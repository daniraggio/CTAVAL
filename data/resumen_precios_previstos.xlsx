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cammesacomar.sharepoint.com/sites/msteams_a0581f_281332/Documentos compartidos/General/Periódicos/LINEAMIENTOS/"/>
    </mc:Choice>
  </mc:AlternateContent>
  <xr:revisionPtr revIDLastSave="519" documentId="8_{3459ACA1-A524-44D3-9EC7-E2BC8D0BF039}" xr6:coauthVersionLast="47" xr6:coauthVersionMax="47" xr10:uidLastSave="{277DC61A-24ED-48BD-B46C-3830E90769CA}"/>
  <bookViews>
    <workbookView xWindow="-108" yWindow="-108" windowWidth="23256" windowHeight="12456" firstSheet="1" activeTab="2" xr2:uid="{D8F25644-2E1E-4ADD-B16E-D78A4F46659D}"/>
  </bookViews>
  <sheets>
    <sheet name="PRECIOS ACUM" sheetId="14" r:id="rId1"/>
    <sheet name="Gráfico Térmico" sheetId="16" r:id="rId2"/>
    <sheet name="Precios" sheetId="5" r:id="rId3"/>
    <sheet name="Fisico ASIG" sheetId="9" r:id="rId4"/>
    <sheet name="Mono ASIG" sheetId="10" r:id="rId5"/>
    <sheet name="Fisico SPOT MAT" sheetId="12" r:id="rId6"/>
    <sheet name="Mono SPOT MAT" sheetId="13" r:id="rId7"/>
  </sheets>
  <definedNames>
    <definedName name="_xlnm._FilterDatabase" localSheetId="3" hidden="1">'Fisico ASIG'!$A$24:$W$414</definedName>
    <definedName name="_xlnm._FilterDatabase" localSheetId="5" hidden="1">'Fisico SPOT MAT'!$C$24:$AN$414</definedName>
    <definedName name="_xlnm._FilterDatabase" localSheetId="4" hidden="1">'Mono ASIG'!$A$24:$AM$414</definedName>
    <definedName name="_xlnm._FilterDatabase" localSheetId="6" hidden="1">'Mono SPOT MAT'!$A$24:$AG$414</definedName>
    <definedName name="_xlnm._FilterDatabase" localSheetId="2" hidden="1">Precios!$A$24:$P$414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7" i="13" l="1"/>
  <c r="E408" i="13"/>
  <c r="E409" i="13"/>
  <c r="E410" i="13"/>
  <c r="E411" i="13"/>
  <c r="E412" i="13"/>
  <c r="E413" i="13"/>
  <c r="E414" i="13"/>
  <c r="E397" i="13"/>
  <c r="E398" i="13"/>
  <c r="E399" i="13"/>
  <c r="E400" i="13"/>
  <c r="E401" i="13"/>
  <c r="E402" i="13"/>
  <c r="E403" i="13"/>
  <c r="E404" i="13"/>
  <c r="E405" i="13"/>
  <c r="E406" i="13"/>
  <c r="AB390" i="12"/>
  <c r="AB391" i="12"/>
  <c r="AB392" i="12"/>
  <c r="AB393" i="12"/>
  <c r="AB394" i="12"/>
  <c r="AB395" i="12"/>
  <c r="AB396" i="12"/>
  <c r="AB397" i="12"/>
  <c r="AB398" i="12"/>
  <c r="AB399" i="12"/>
  <c r="AB400" i="12"/>
  <c r="AB401" i="12"/>
  <c r="AB402" i="12"/>
  <c r="AB403" i="12"/>
  <c r="AB404" i="12"/>
  <c r="AB405" i="12"/>
  <c r="AB406" i="12"/>
  <c r="AB407" i="12"/>
  <c r="AB408" i="12"/>
  <c r="AB409" i="12"/>
  <c r="AB410" i="12"/>
  <c r="AB411" i="12"/>
  <c r="AB412" i="12"/>
  <c r="AB413" i="12"/>
  <c r="AB414" i="12"/>
  <c r="X390" i="12"/>
  <c r="X391" i="12"/>
  <c r="X392" i="12"/>
  <c r="X393" i="12"/>
  <c r="X394" i="12"/>
  <c r="X395" i="12"/>
  <c r="X396" i="12"/>
  <c r="X397" i="12"/>
  <c r="X398" i="12"/>
  <c r="X399" i="12"/>
  <c r="X400" i="12"/>
  <c r="X401" i="12"/>
  <c r="X402" i="12"/>
  <c r="X403" i="12"/>
  <c r="X404" i="12"/>
  <c r="X405" i="12"/>
  <c r="X406" i="12"/>
  <c r="X407" i="12"/>
  <c r="X408" i="12"/>
  <c r="X409" i="12"/>
  <c r="X410" i="12"/>
  <c r="X411" i="12"/>
  <c r="X412" i="12"/>
  <c r="X413" i="12"/>
  <c r="X414" i="12"/>
  <c r="S390" i="12"/>
  <c r="S391" i="12"/>
  <c r="S392" i="12"/>
  <c r="S393" i="12"/>
  <c r="S394" i="12"/>
  <c r="S395" i="12"/>
  <c r="S396" i="12"/>
  <c r="S397" i="12"/>
  <c r="S398" i="12"/>
  <c r="S399" i="12"/>
  <c r="S400" i="12"/>
  <c r="S401" i="12"/>
  <c r="S402" i="12"/>
  <c r="S403" i="12"/>
  <c r="S404" i="12"/>
  <c r="S405" i="12"/>
  <c r="S406" i="12"/>
  <c r="S407" i="12"/>
  <c r="S408" i="12"/>
  <c r="S409" i="12"/>
  <c r="S410" i="12"/>
  <c r="S411" i="12"/>
  <c r="S412" i="12"/>
  <c r="S413" i="12"/>
  <c r="S414" i="12"/>
  <c r="M390" i="12"/>
  <c r="M391" i="12"/>
  <c r="M392" i="12"/>
  <c r="M393" i="12"/>
  <c r="M394" i="12"/>
  <c r="M395" i="12"/>
  <c r="M396" i="12"/>
  <c r="M397" i="12"/>
  <c r="M398" i="12"/>
  <c r="M399" i="12"/>
  <c r="M400" i="12"/>
  <c r="M401" i="12"/>
  <c r="M402" i="12"/>
  <c r="M403" i="12"/>
  <c r="M404" i="12"/>
  <c r="M405" i="12"/>
  <c r="M406" i="12"/>
  <c r="M407" i="12"/>
  <c r="M408" i="12"/>
  <c r="M409" i="12"/>
  <c r="M410" i="12"/>
  <c r="M411" i="12"/>
  <c r="M412" i="12"/>
  <c r="M413" i="12"/>
  <c r="M414" i="12"/>
  <c r="W385" i="9"/>
  <c r="W386" i="9"/>
  <c r="W387" i="9"/>
  <c r="W388" i="9"/>
  <c r="W389" i="9"/>
  <c r="W390" i="9"/>
  <c r="W391" i="9"/>
  <c r="W392" i="9"/>
  <c r="W393" i="9"/>
  <c r="W394" i="9"/>
  <c r="W395" i="9"/>
  <c r="W396" i="9"/>
  <c r="W397" i="9"/>
  <c r="W398" i="9"/>
  <c r="W399" i="9"/>
  <c r="W400" i="9"/>
  <c r="W401" i="9"/>
  <c r="W402" i="9"/>
  <c r="W403" i="9"/>
  <c r="W404" i="9"/>
  <c r="W405" i="9"/>
  <c r="W406" i="9"/>
  <c r="W407" i="9"/>
  <c r="W408" i="9"/>
  <c r="W409" i="9"/>
  <c r="W410" i="9"/>
  <c r="W411" i="9"/>
  <c r="W412" i="9"/>
  <c r="W413" i="9"/>
  <c r="W414" i="9"/>
  <c r="N385" i="9"/>
  <c r="N386" i="9"/>
  <c r="N387" i="9"/>
  <c r="N388" i="9"/>
  <c r="N389" i="9"/>
  <c r="N390" i="9"/>
  <c r="N391" i="9"/>
  <c r="N392" i="9"/>
  <c r="N393" i="9"/>
  <c r="N394" i="9"/>
  <c r="N395" i="9"/>
  <c r="N396" i="9"/>
  <c r="N397" i="9"/>
  <c r="N398" i="9"/>
  <c r="N399" i="9"/>
  <c r="N400" i="9"/>
  <c r="N401" i="9"/>
  <c r="N402" i="9"/>
  <c r="N403" i="9"/>
  <c r="N404" i="9"/>
  <c r="N405" i="9"/>
  <c r="N406" i="9"/>
  <c r="N407" i="9"/>
  <c r="N408" i="9"/>
  <c r="N409" i="9"/>
  <c r="N410" i="9"/>
  <c r="N411" i="9"/>
  <c r="N412" i="9"/>
  <c r="N413" i="9"/>
  <c r="N414" i="9"/>
  <c r="A407" i="13"/>
  <c r="B407" i="13"/>
  <c r="C407" i="13"/>
  <c r="F407" i="13"/>
  <c r="G407" i="13"/>
  <c r="D407" i="13" s="1"/>
  <c r="K407" i="13"/>
  <c r="L407" i="13"/>
  <c r="O407" i="13"/>
  <c r="X407" i="13"/>
  <c r="AB407" i="13"/>
  <c r="AH407" i="13"/>
  <c r="A408" i="13"/>
  <c r="B408" i="13"/>
  <c r="C408" i="13"/>
  <c r="F408" i="13"/>
  <c r="G408" i="13"/>
  <c r="D408" i="13" s="1"/>
  <c r="K408" i="13"/>
  <c r="L408" i="13"/>
  <c r="O408" i="13"/>
  <c r="X408" i="13"/>
  <c r="AB408" i="13"/>
  <c r="AH408" i="13"/>
  <c r="A409" i="13"/>
  <c r="B409" i="13"/>
  <c r="C409" i="13"/>
  <c r="F409" i="13"/>
  <c r="G409" i="13"/>
  <c r="D409" i="13" s="1"/>
  <c r="K409" i="13"/>
  <c r="L409" i="13"/>
  <c r="O409" i="13"/>
  <c r="X409" i="13"/>
  <c r="AB409" i="13"/>
  <c r="AH409" i="13"/>
  <c r="A410" i="13"/>
  <c r="B410" i="13"/>
  <c r="C410" i="13"/>
  <c r="F410" i="13"/>
  <c r="G410" i="13"/>
  <c r="D410" i="13" s="1"/>
  <c r="K410" i="13"/>
  <c r="L410" i="13"/>
  <c r="O410" i="13"/>
  <c r="X410" i="13"/>
  <c r="AB410" i="13"/>
  <c r="AH410" i="13"/>
  <c r="A411" i="13"/>
  <c r="B411" i="13"/>
  <c r="C411" i="13"/>
  <c r="F411" i="13"/>
  <c r="G411" i="13"/>
  <c r="D411" i="13" s="1"/>
  <c r="K411" i="13"/>
  <c r="L411" i="13"/>
  <c r="O411" i="13"/>
  <c r="X411" i="13"/>
  <c r="AB411" i="13"/>
  <c r="AH411" i="13"/>
  <c r="A412" i="13"/>
  <c r="B412" i="13"/>
  <c r="C412" i="13"/>
  <c r="F412" i="13"/>
  <c r="G412" i="13"/>
  <c r="D412" i="13" s="1"/>
  <c r="K412" i="13"/>
  <c r="L412" i="13"/>
  <c r="O412" i="13"/>
  <c r="X412" i="13"/>
  <c r="AB412" i="13"/>
  <c r="AH412" i="13"/>
  <c r="A413" i="13"/>
  <c r="B413" i="13"/>
  <c r="C413" i="13"/>
  <c r="F413" i="13"/>
  <c r="G413" i="13"/>
  <c r="D413" i="13" s="1"/>
  <c r="K413" i="13"/>
  <c r="L413" i="13"/>
  <c r="N413" i="13"/>
  <c r="O413" i="13"/>
  <c r="S413" i="13"/>
  <c r="N413" i="5" s="1"/>
  <c r="X413" i="13"/>
  <c r="AB413" i="13"/>
  <c r="AC413" i="13"/>
  <c r="AH413" i="13"/>
  <c r="A414" i="13"/>
  <c r="B414" i="13"/>
  <c r="C414" i="13"/>
  <c r="F414" i="13"/>
  <c r="G414" i="13"/>
  <c r="D414" i="13" s="1"/>
  <c r="K414" i="13"/>
  <c r="L414" i="13"/>
  <c r="N414" i="13"/>
  <c r="O414" i="13"/>
  <c r="S414" i="13"/>
  <c r="X414" i="13"/>
  <c r="AB414" i="13"/>
  <c r="AC414" i="13"/>
  <c r="AH414" i="13"/>
  <c r="C407" i="12"/>
  <c r="D407" i="12"/>
  <c r="AC407" i="12"/>
  <c r="AC407" i="13" s="1"/>
  <c r="AE407" i="12"/>
  <c r="AF407" i="12"/>
  <c r="AG407" i="12"/>
  <c r="AH407" i="12"/>
  <c r="N407" i="13" s="1"/>
  <c r="S407" i="13" s="1"/>
  <c r="N407" i="5" s="1"/>
  <c r="AL407" i="12"/>
  <c r="AM407" i="12" s="1"/>
  <c r="AN407" i="12"/>
  <c r="C408" i="12"/>
  <c r="D408" i="12"/>
  <c r="AC408" i="12"/>
  <c r="AC408" i="13" s="1"/>
  <c r="AE408" i="12"/>
  <c r="AF408" i="12"/>
  <c r="AG408" i="12"/>
  <c r="AH408" i="12"/>
  <c r="N408" i="13" s="1"/>
  <c r="S408" i="13" s="1"/>
  <c r="N408" i="5" s="1"/>
  <c r="AL408" i="12"/>
  <c r="AM408" i="12"/>
  <c r="AN408" i="12"/>
  <c r="C409" i="12"/>
  <c r="D409" i="12"/>
  <c r="AC409" i="12"/>
  <c r="AC409" i="13" s="1"/>
  <c r="AE409" i="12"/>
  <c r="AF409" i="12"/>
  <c r="AG409" i="12"/>
  <c r="AH409" i="12"/>
  <c r="N409" i="13" s="1"/>
  <c r="S409" i="13" s="1"/>
  <c r="AL409" i="12"/>
  <c r="AM409" i="12"/>
  <c r="AN409" i="12"/>
  <c r="C410" i="12"/>
  <c r="D410" i="12"/>
  <c r="AC410" i="12"/>
  <c r="AC410" i="13" s="1"/>
  <c r="AE410" i="12"/>
  <c r="AF410" i="12"/>
  <c r="AG410" i="12"/>
  <c r="AH410" i="12"/>
  <c r="N410" i="13" s="1"/>
  <c r="S410" i="13" s="1"/>
  <c r="AL410" i="12"/>
  <c r="AM410" i="12"/>
  <c r="AN410" i="12"/>
  <c r="C411" i="12"/>
  <c r="D411" i="12"/>
  <c r="AC411" i="12"/>
  <c r="AC411" i="13" s="1"/>
  <c r="AE411" i="12"/>
  <c r="AF411" i="12"/>
  <c r="AG411" i="12"/>
  <c r="C412" i="12"/>
  <c r="D412" i="12"/>
  <c r="AC412" i="12"/>
  <c r="AC412" i="13" s="1"/>
  <c r="AE412" i="12"/>
  <c r="AF412" i="12"/>
  <c r="AH412" i="12" s="1"/>
  <c r="N412" i="13" s="1"/>
  <c r="S412" i="13" s="1"/>
  <c r="AG412" i="12"/>
  <c r="C413" i="12"/>
  <c r="D413" i="12"/>
  <c r="AC413" i="12"/>
  <c r="AE413" i="12"/>
  <c r="AF413" i="12"/>
  <c r="AG413" i="12"/>
  <c r="AH413" i="12"/>
  <c r="AL413" i="12"/>
  <c r="AM413" i="12" s="1"/>
  <c r="AN413" i="12"/>
  <c r="C414" i="12"/>
  <c r="D414" i="12"/>
  <c r="AC414" i="12"/>
  <c r="AE414" i="12"/>
  <c r="AF414" i="12"/>
  <c r="AG414" i="12"/>
  <c r="AH414" i="12"/>
  <c r="AL414" i="12"/>
  <c r="AM414" i="12"/>
  <c r="AN414" i="12"/>
  <c r="C407" i="10"/>
  <c r="D407" i="10"/>
  <c r="E407" i="10"/>
  <c r="F407" i="10"/>
  <c r="G407" i="10"/>
  <c r="I407" i="10"/>
  <c r="K407" i="10"/>
  <c r="S407" i="10"/>
  <c r="T407" i="10"/>
  <c r="AB407" i="10"/>
  <c r="AK407" i="10"/>
  <c r="R407" i="10" s="1"/>
  <c r="Y407" i="10" s="1"/>
  <c r="AL407" i="10"/>
  <c r="J407" i="10" s="1"/>
  <c r="AO407" i="10"/>
  <c r="N407" i="10" s="1"/>
  <c r="C408" i="10"/>
  <c r="D408" i="10"/>
  <c r="E408" i="10"/>
  <c r="F408" i="10"/>
  <c r="G408" i="10"/>
  <c r="I408" i="10"/>
  <c r="K408" i="10"/>
  <c r="S408" i="10"/>
  <c r="T408" i="10"/>
  <c r="AB408" i="10"/>
  <c r="AK408" i="10"/>
  <c r="R408" i="10" s="1"/>
  <c r="Y408" i="10" s="1"/>
  <c r="AL408" i="10"/>
  <c r="J408" i="10" s="1"/>
  <c r="AO408" i="10"/>
  <c r="N408" i="10" s="1"/>
  <c r="C409" i="10"/>
  <c r="D409" i="10"/>
  <c r="E409" i="10"/>
  <c r="F409" i="10"/>
  <c r="G409" i="10"/>
  <c r="I409" i="10"/>
  <c r="K409" i="10"/>
  <c r="S409" i="10"/>
  <c r="T409" i="10"/>
  <c r="AB409" i="10"/>
  <c r="AK409" i="10"/>
  <c r="R409" i="10" s="1"/>
  <c r="Y409" i="10" s="1"/>
  <c r="AL409" i="10"/>
  <c r="J409" i="10" s="1"/>
  <c r="P409" i="10" s="1"/>
  <c r="Z409" i="10" s="1"/>
  <c r="AA409" i="10" s="1"/>
  <c r="AO409" i="10"/>
  <c r="N409" i="10" s="1"/>
  <c r="C410" i="10"/>
  <c r="D410" i="10"/>
  <c r="E410" i="10"/>
  <c r="F410" i="10"/>
  <c r="G410" i="10"/>
  <c r="I410" i="10"/>
  <c r="K410" i="10"/>
  <c r="S410" i="10"/>
  <c r="T410" i="10"/>
  <c r="AB410" i="10"/>
  <c r="AK410" i="10"/>
  <c r="R410" i="10" s="1"/>
  <c r="Y410" i="10" s="1"/>
  <c r="AL410" i="10"/>
  <c r="J410" i="10" s="1"/>
  <c r="AO410" i="10"/>
  <c r="N410" i="10" s="1"/>
  <c r="C411" i="10"/>
  <c r="D411" i="10"/>
  <c r="E411" i="10"/>
  <c r="F411" i="10"/>
  <c r="G411" i="10"/>
  <c r="I411" i="10"/>
  <c r="K411" i="10"/>
  <c r="S411" i="10"/>
  <c r="T411" i="10"/>
  <c r="AB411" i="10"/>
  <c r="AK411" i="10"/>
  <c r="R411" i="10" s="1"/>
  <c r="Y411" i="10" s="1"/>
  <c r="AL411" i="10"/>
  <c r="J411" i="10" s="1"/>
  <c r="AO411" i="10"/>
  <c r="N411" i="10" s="1"/>
  <c r="C412" i="10"/>
  <c r="D412" i="10"/>
  <c r="E412" i="10"/>
  <c r="F412" i="10"/>
  <c r="G412" i="10"/>
  <c r="I412" i="10"/>
  <c r="K412" i="10"/>
  <c r="S412" i="10"/>
  <c r="T412" i="10"/>
  <c r="AB412" i="10"/>
  <c r="AK412" i="10"/>
  <c r="R412" i="10" s="1"/>
  <c r="Y412" i="10" s="1"/>
  <c r="AL412" i="10"/>
  <c r="J412" i="10" s="1"/>
  <c r="AO412" i="10"/>
  <c r="N412" i="10" s="1"/>
  <c r="C413" i="10"/>
  <c r="D413" i="10"/>
  <c r="E413" i="10"/>
  <c r="F413" i="10"/>
  <c r="G413" i="10"/>
  <c r="I413" i="10"/>
  <c r="K413" i="10"/>
  <c r="S413" i="10"/>
  <c r="T413" i="10"/>
  <c r="AB413" i="10"/>
  <c r="AK413" i="10"/>
  <c r="R413" i="10" s="1"/>
  <c r="Y413" i="10" s="1"/>
  <c r="AL413" i="10"/>
  <c r="J413" i="10" s="1"/>
  <c r="AO413" i="10"/>
  <c r="N413" i="10" s="1"/>
  <c r="C414" i="10"/>
  <c r="D414" i="10"/>
  <c r="E414" i="10"/>
  <c r="F414" i="10"/>
  <c r="G414" i="10"/>
  <c r="I414" i="10"/>
  <c r="K414" i="10"/>
  <c r="S414" i="10"/>
  <c r="T414" i="10"/>
  <c r="AB414" i="10"/>
  <c r="AK414" i="10"/>
  <c r="R414" i="10" s="1"/>
  <c r="Y414" i="10" s="1"/>
  <c r="AL414" i="10"/>
  <c r="J414" i="10" s="1"/>
  <c r="AO414" i="10"/>
  <c r="N414" i="10" s="1"/>
  <c r="C407" i="5"/>
  <c r="D407" i="5"/>
  <c r="G407" i="5"/>
  <c r="J407" i="5"/>
  <c r="K407" i="5"/>
  <c r="Y407" i="5"/>
  <c r="Z407" i="5"/>
  <c r="C408" i="5"/>
  <c r="D408" i="5"/>
  <c r="G408" i="5"/>
  <c r="J408" i="5"/>
  <c r="K408" i="5"/>
  <c r="Y408" i="5"/>
  <c r="Z408" i="5"/>
  <c r="C409" i="5"/>
  <c r="D409" i="5"/>
  <c r="G409" i="5"/>
  <c r="J409" i="5"/>
  <c r="K409" i="5"/>
  <c r="Y409" i="5"/>
  <c r="Z409" i="5"/>
  <c r="C410" i="5"/>
  <c r="D410" i="5"/>
  <c r="G410" i="5"/>
  <c r="J410" i="5"/>
  <c r="K410" i="5"/>
  <c r="Y410" i="5"/>
  <c r="Z410" i="5"/>
  <c r="C411" i="5"/>
  <c r="D411" i="5"/>
  <c r="G411" i="5"/>
  <c r="J411" i="5"/>
  <c r="K411" i="5"/>
  <c r="Y411" i="5"/>
  <c r="Z411" i="5"/>
  <c r="C412" i="5"/>
  <c r="D412" i="5"/>
  <c r="G412" i="5"/>
  <c r="J412" i="5"/>
  <c r="K412" i="5"/>
  <c r="Y412" i="5"/>
  <c r="Z412" i="5"/>
  <c r="C413" i="5"/>
  <c r="D413" i="5"/>
  <c r="G413" i="5"/>
  <c r="J413" i="5"/>
  <c r="K413" i="5"/>
  <c r="Y413" i="5"/>
  <c r="Z413" i="5"/>
  <c r="C414" i="5"/>
  <c r="D414" i="5"/>
  <c r="G414" i="5"/>
  <c r="J414" i="5"/>
  <c r="K414" i="5"/>
  <c r="Y414" i="5"/>
  <c r="Z414" i="5"/>
  <c r="G401" i="5"/>
  <c r="J401" i="5"/>
  <c r="K401" i="5"/>
  <c r="Z401" i="5"/>
  <c r="G402" i="5"/>
  <c r="J402" i="5"/>
  <c r="K402" i="5"/>
  <c r="Z402" i="5"/>
  <c r="G403" i="5"/>
  <c r="J403" i="5"/>
  <c r="K403" i="5"/>
  <c r="Z403" i="5"/>
  <c r="G404" i="5"/>
  <c r="J404" i="5"/>
  <c r="K404" i="5"/>
  <c r="Z404" i="5"/>
  <c r="G405" i="5"/>
  <c r="J405" i="5"/>
  <c r="K405" i="5"/>
  <c r="Z405" i="5"/>
  <c r="G406" i="5"/>
  <c r="J406" i="5"/>
  <c r="K406" i="5"/>
  <c r="Z406" i="5"/>
  <c r="AB385" i="12"/>
  <c r="AB386" i="12"/>
  <c r="AB387" i="12"/>
  <c r="AB388" i="12"/>
  <c r="AB389" i="12"/>
  <c r="X385" i="12"/>
  <c r="X386" i="12"/>
  <c r="X387" i="12"/>
  <c r="X388" i="12"/>
  <c r="X389" i="12"/>
  <c r="S387" i="12"/>
  <c r="S388" i="12"/>
  <c r="S389" i="12"/>
  <c r="M389" i="12"/>
  <c r="A401" i="13"/>
  <c r="B401" i="13"/>
  <c r="K401" i="13"/>
  <c r="L401" i="13"/>
  <c r="O401" i="13"/>
  <c r="X401" i="13"/>
  <c r="AB401" i="13"/>
  <c r="AH401" i="13"/>
  <c r="A402" i="13"/>
  <c r="B402" i="13"/>
  <c r="AB402" i="13"/>
  <c r="K402" i="13"/>
  <c r="L402" i="13"/>
  <c r="O402" i="13"/>
  <c r="X402" i="13"/>
  <c r="AH402" i="13"/>
  <c r="A403" i="13"/>
  <c r="B403" i="13"/>
  <c r="K403" i="13"/>
  <c r="L403" i="13"/>
  <c r="O403" i="13"/>
  <c r="X403" i="13"/>
  <c r="AB403" i="13"/>
  <c r="AH403" i="13"/>
  <c r="A404" i="13"/>
  <c r="B404" i="13"/>
  <c r="K404" i="13"/>
  <c r="L404" i="13"/>
  <c r="O404" i="13"/>
  <c r="X404" i="13"/>
  <c r="AB404" i="13"/>
  <c r="AH404" i="13"/>
  <c r="A405" i="13"/>
  <c r="B405" i="13"/>
  <c r="K405" i="13"/>
  <c r="L405" i="13"/>
  <c r="O405" i="13"/>
  <c r="X405" i="13"/>
  <c r="AB405" i="13"/>
  <c r="AH405" i="13"/>
  <c r="A406" i="13"/>
  <c r="B406" i="13"/>
  <c r="K406" i="13"/>
  <c r="L406" i="13"/>
  <c r="O406" i="13"/>
  <c r="X406" i="13"/>
  <c r="AB406" i="13"/>
  <c r="AH406" i="13"/>
  <c r="C401" i="12"/>
  <c r="D401" i="12"/>
  <c r="AC401" i="12"/>
  <c r="AC401" i="13" s="1"/>
  <c r="AE401" i="12"/>
  <c r="AF401" i="12"/>
  <c r="AG401" i="12"/>
  <c r="AH401" i="12" s="1"/>
  <c r="N401" i="13" s="1"/>
  <c r="S401" i="13" s="1"/>
  <c r="C402" i="12"/>
  <c r="D402" i="12"/>
  <c r="AC402" i="12"/>
  <c r="AC402" i="13" s="1"/>
  <c r="AE402" i="12"/>
  <c r="AF402" i="12"/>
  <c r="AG402" i="12"/>
  <c r="C403" i="12"/>
  <c r="D403" i="12"/>
  <c r="AC403" i="12"/>
  <c r="AC403" i="13" s="1"/>
  <c r="AE403" i="12"/>
  <c r="AF403" i="12"/>
  <c r="AG403" i="12"/>
  <c r="AH403" i="12"/>
  <c r="N403" i="13" s="1"/>
  <c r="S403" i="13" s="1"/>
  <c r="AL403" i="12"/>
  <c r="AM403" i="12"/>
  <c r="AN403" i="12"/>
  <c r="C404" i="12"/>
  <c r="D404" i="12"/>
  <c r="AC404" i="12"/>
  <c r="AC404" i="13" s="1"/>
  <c r="AE404" i="12"/>
  <c r="AF404" i="12"/>
  <c r="AG404" i="12"/>
  <c r="AH404" i="12" s="1"/>
  <c r="N404" i="13" s="1"/>
  <c r="AL404" i="12"/>
  <c r="AM404" i="12"/>
  <c r="AN404" i="12"/>
  <c r="C405" i="12"/>
  <c r="D405" i="12"/>
  <c r="AC405" i="12"/>
  <c r="AC405" i="13" s="1"/>
  <c r="AE405" i="12"/>
  <c r="AF405" i="12"/>
  <c r="AG405" i="12"/>
  <c r="AH405" i="12" s="1"/>
  <c r="N405" i="13" s="1"/>
  <c r="AL405" i="12"/>
  <c r="C406" i="12"/>
  <c r="D406" i="12"/>
  <c r="AC406" i="12"/>
  <c r="AC406" i="13" s="1"/>
  <c r="AE406" i="12"/>
  <c r="AF406" i="12"/>
  <c r="AG406" i="12"/>
  <c r="AH406" i="12" s="1"/>
  <c r="N406" i="13" s="1"/>
  <c r="AL406" i="12"/>
  <c r="AM406" i="12"/>
  <c r="AN406" i="12"/>
  <c r="C401" i="10"/>
  <c r="C401" i="13" s="1"/>
  <c r="D401" i="10"/>
  <c r="E401" i="10"/>
  <c r="I401" i="10"/>
  <c r="K401" i="10"/>
  <c r="S401" i="10"/>
  <c r="T401" i="10"/>
  <c r="AK401" i="10"/>
  <c r="R401" i="10" s="1"/>
  <c r="Y401" i="10" s="1"/>
  <c r="AL401" i="10"/>
  <c r="J401" i="10" s="1"/>
  <c r="AO401" i="10"/>
  <c r="N401" i="10" s="1"/>
  <c r="C402" i="10"/>
  <c r="C402" i="13" s="1"/>
  <c r="D402" i="10"/>
  <c r="E402" i="10"/>
  <c r="I402" i="10"/>
  <c r="K402" i="10"/>
  <c r="S402" i="10"/>
  <c r="T402" i="10"/>
  <c r="AK402" i="10"/>
  <c r="R402" i="10" s="1"/>
  <c r="Y402" i="10" s="1"/>
  <c r="AL402" i="10"/>
  <c r="J402" i="10" s="1"/>
  <c r="AO402" i="10"/>
  <c r="N402" i="10" s="1"/>
  <c r="C403" i="10"/>
  <c r="C403" i="13" s="1"/>
  <c r="D403" i="10"/>
  <c r="E403" i="10"/>
  <c r="I403" i="10"/>
  <c r="K403" i="10"/>
  <c r="S403" i="10"/>
  <c r="T403" i="10"/>
  <c r="AK403" i="10"/>
  <c r="R403" i="10" s="1"/>
  <c r="Y403" i="10" s="1"/>
  <c r="AL403" i="10"/>
  <c r="J403" i="10" s="1"/>
  <c r="AO403" i="10"/>
  <c r="N403" i="10" s="1"/>
  <c r="C404" i="10"/>
  <c r="C404" i="13" s="1"/>
  <c r="D404" i="10"/>
  <c r="E404" i="10"/>
  <c r="I404" i="10"/>
  <c r="K404" i="10"/>
  <c r="S404" i="10"/>
  <c r="T404" i="10"/>
  <c r="AK404" i="10"/>
  <c r="R404" i="10" s="1"/>
  <c r="Y404" i="10" s="1"/>
  <c r="AL404" i="10"/>
  <c r="J404" i="10" s="1"/>
  <c r="AO404" i="10"/>
  <c r="N404" i="10" s="1"/>
  <c r="C405" i="10"/>
  <c r="C405" i="13" s="1"/>
  <c r="D405" i="10"/>
  <c r="E405" i="10"/>
  <c r="I405" i="10"/>
  <c r="K405" i="10"/>
  <c r="S405" i="10"/>
  <c r="T405" i="10"/>
  <c r="AK405" i="10"/>
  <c r="R405" i="10" s="1"/>
  <c r="Y405" i="10" s="1"/>
  <c r="AL405" i="10"/>
  <c r="J405" i="10" s="1"/>
  <c r="AO405" i="10"/>
  <c r="N405" i="10" s="1"/>
  <c r="C406" i="10"/>
  <c r="C406" i="13" s="1"/>
  <c r="D406" i="10"/>
  <c r="E406" i="10"/>
  <c r="I406" i="10"/>
  <c r="K406" i="10"/>
  <c r="S406" i="10"/>
  <c r="T406" i="10"/>
  <c r="AK406" i="10"/>
  <c r="R406" i="10" s="1"/>
  <c r="Y406" i="10" s="1"/>
  <c r="AL406" i="10"/>
  <c r="J406" i="10" s="1"/>
  <c r="AO406" i="10"/>
  <c r="N406" i="10" s="1"/>
  <c r="B390" i="13"/>
  <c r="E390" i="13"/>
  <c r="AB390" i="13" s="1"/>
  <c r="K390" i="13"/>
  <c r="L390" i="13"/>
  <c r="O390" i="13"/>
  <c r="X390" i="13"/>
  <c r="B391" i="13"/>
  <c r="E391" i="13"/>
  <c r="AB391" i="13" s="1"/>
  <c r="K391" i="13"/>
  <c r="L391" i="13"/>
  <c r="O391" i="13"/>
  <c r="X391" i="13"/>
  <c r="B392" i="13"/>
  <c r="E392" i="13"/>
  <c r="AB392" i="13" s="1"/>
  <c r="K392" i="13"/>
  <c r="L392" i="13"/>
  <c r="O392" i="13"/>
  <c r="X392" i="13"/>
  <c r="B393" i="13"/>
  <c r="E393" i="13"/>
  <c r="AB393" i="13" s="1"/>
  <c r="K393" i="13"/>
  <c r="L393" i="13"/>
  <c r="O393" i="13"/>
  <c r="X393" i="13"/>
  <c r="B394" i="13"/>
  <c r="E394" i="13"/>
  <c r="AB394" i="13" s="1"/>
  <c r="K394" i="13"/>
  <c r="L394" i="13"/>
  <c r="O394" i="13"/>
  <c r="X394" i="13"/>
  <c r="B395" i="13"/>
  <c r="E395" i="13"/>
  <c r="AB395" i="13" s="1"/>
  <c r="K395" i="13"/>
  <c r="L395" i="13"/>
  <c r="O395" i="13"/>
  <c r="X395" i="13"/>
  <c r="B396" i="13"/>
  <c r="E396" i="13"/>
  <c r="AB396" i="13" s="1"/>
  <c r="K396" i="13"/>
  <c r="L396" i="13"/>
  <c r="O396" i="13"/>
  <c r="X396" i="13"/>
  <c r="B397" i="13"/>
  <c r="AB397" i="13"/>
  <c r="K397" i="13"/>
  <c r="L397" i="13"/>
  <c r="O397" i="13"/>
  <c r="X397" i="13"/>
  <c r="B398" i="13"/>
  <c r="K398" i="13"/>
  <c r="L398" i="13"/>
  <c r="O398" i="13"/>
  <c r="X398" i="13"/>
  <c r="B399" i="13"/>
  <c r="K399" i="13"/>
  <c r="L399" i="13"/>
  <c r="O399" i="13"/>
  <c r="X399" i="13"/>
  <c r="B400" i="13"/>
  <c r="K400" i="13"/>
  <c r="L400" i="13"/>
  <c r="O400" i="13"/>
  <c r="X400" i="13"/>
  <c r="AA19" i="5"/>
  <c r="O12" i="14"/>
  <c r="O11" i="14"/>
  <c r="O13" i="14" s="1"/>
  <c r="L12" i="14"/>
  <c r="L11" i="14"/>
  <c r="E387" i="13"/>
  <c r="E388" i="13"/>
  <c r="E389" i="13"/>
  <c r="E381" i="13"/>
  <c r="E382" i="13"/>
  <c r="E383" i="13"/>
  <c r="E384" i="13"/>
  <c r="E385" i="13"/>
  <c r="E386" i="13"/>
  <c r="K394" i="5"/>
  <c r="K395" i="5"/>
  <c r="K396" i="5"/>
  <c r="K397" i="5"/>
  <c r="K398" i="5"/>
  <c r="K399" i="5"/>
  <c r="K400" i="5"/>
  <c r="J394" i="5"/>
  <c r="J395" i="5"/>
  <c r="J396" i="5"/>
  <c r="J397" i="5"/>
  <c r="J398" i="5"/>
  <c r="J399" i="5"/>
  <c r="J400" i="5"/>
  <c r="A395" i="13"/>
  <c r="AH395" i="13"/>
  <c r="A396" i="13"/>
  <c r="AH396" i="13"/>
  <c r="A397" i="13"/>
  <c r="AH397" i="13"/>
  <c r="A398" i="13"/>
  <c r="AB398" i="13"/>
  <c r="AH398" i="13"/>
  <c r="A399" i="13"/>
  <c r="AB399" i="13"/>
  <c r="AH399" i="13"/>
  <c r="A400" i="13"/>
  <c r="AB400" i="13"/>
  <c r="AH400" i="13"/>
  <c r="C395" i="12"/>
  <c r="D395" i="12"/>
  <c r="AC395" i="12"/>
  <c r="AC395" i="13" s="1"/>
  <c r="AE395" i="12"/>
  <c r="AF395" i="12"/>
  <c r="AG395" i="12"/>
  <c r="AH395" i="12" s="1"/>
  <c r="N395" i="13" s="1"/>
  <c r="AL395" i="12"/>
  <c r="AM395" i="12" s="1"/>
  <c r="AN395" i="12"/>
  <c r="C396" i="12"/>
  <c r="D396" i="12"/>
  <c r="AC396" i="12"/>
  <c r="AC396" i="13" s="1"/>
  <c r="AE396" i="12"/>
  <c r="AF396" i="12"/>
  <c r="AG396" i="12"/>
  <c r="AH396" i="12"/>
  <c r="N396" i="13" s="1"/>
  <c r="AL396" i="12"/>
  <c r="AM396" i="12" s="1"/>
  <c r="AN396" i="12"/>
  <c r="C397" i="12"/>
  <c r="D397" i="12"/>
  <c r="AC397" i="12"/>
  <c r="AC397" i="13" s="1"/>
  <c r="AE397" i="12"/>
  <c r="AF397" i="12"/>
  <c r="AG397" i="12"/>
  <c r="AH397" i="12" s="1"/>
  <c r="N397" i="13" s="1"/>
  <c r="S397" i="13" s="1"/>
  <c r="AL397" i="12"/>
  <c r="AM397" i="12"/>
  <c r="AN397" i="12"/>
  <c r="C398" i="12"/>
  <c r="D398" i="12"/>
  <c r="AC398" i="12"/>
  <c r="AC398" i="13" s="1"/>
  <c r="AE398" i="12"/>
  <c r="AF398" i="12"/>
  <c r="AG398" i="12"/>
  <c r="AH398" i="12" s="1"/>
  <c r="N398" i="13" s="1"/>
  <c r="S398" i="13" s="1"/>
  <c r="AL398" i="12"/>
  <c r="AM398" i="12" s="1"/>
  <c r="AN398" i="12"/>
  <c r="C399" i="12"/>
  <c r="D399" i="12"/>
  <c r="AC399" i="12"/>
  <c r="AC399" i="13" s="1"/>
  <c r="AE399" i="12"/>
  <c r="AF399" i="12"/>
  <c r="AG399" i="12"/>
  <c r="AH399" i="12" s="1"/>
  <c r="N399" i="13" s="1"/>
  <c r="S399" i="13" s="1"/>
  <c r="AL399" i="12"/>
  <c r="AM399" i="12"/>
  <c r="AN399" i="12"/>
  <c r="C400" i="12"/>
  <c r="D400" i="12"/>
  <c r="AC400" i="12"/>
  <c r="AC400" i="13" s="1"/>
  <c r="AE400" i="12"/>
  <c r="AF400" i="12"/>
  <c r="AG400" i="12"/>
  <c r="G395" i="5"/>
  <c r="Z395" i="5"/>
  <c r="G396" i="5"/>
  <c r="Z396" i="5"/>
  <c r="G397" i="5"/>
  <c r="Z397" i="5"/>
  <c r="G398" i="5"/>
  <c r="Z398" i="5"/>
  <c r="G399" i="5"/>
  <c r="Z399" i="5"/>
  <c r="G400" i="5"/>
  <c r="Z400" i="5"/>
  <c r="I395" i="10"/>
  <c r="K395" i="10"/>
  <c r="S395" i="10"/>
  <c r="T395" i="10"/>
  <c r="AK395" i="10"/>
  <c r="R395" i="10" s="1"/>
  <c r="AL395" i="10"/>
  <c r="J395" i="10" s="1"/>
  <c r="AO395" i="10"/>
  <c r="N395" i="10" s="1"/>
  <c r="I396" i="10"/>
  <c r="K396" i="10"/>
  <c r="S396" i="10"/>
  <c r="T396" i="10"/>
  <c r="AK396" i="10"/>
  <c r="R396" i="10" s="1"/>
  <c r="AL396" i="10"/>
  <c r="J396" i="10" s="1"/>
  <c r="AO396" i="10"/>
  <c r="N396" i="10" s="1"/>
  <c r="I397" i="10"/>
  <c r="K397" i="10"/>
  <c r="S397" i="10"/>
  <c r="T397" i="10"/>
  <c r="AK397" i="10"/>
  <c r="R397" i="10" s="1"/>
  <c r="AL397" i="10"/>
  <c r="J397" i="10" s="1"/>
  <c r="AO397" i="10"/>
  <c r="N397" i="10" s="1"/>
  <c r="I398" i="10"/>
  <c r="K398" i="10"/>
  <c r="S398" i="10"/>
  <c r="T398" i="10"/>
  <c r="AK398" i="10"/>
  <c r="R398" i="10" s="1"/>
  <c r="AL398" i="10"/>
  <c r="J398" i="10" s="1"/>
  <c r="AO398" i="10"/>
  <c r="N398" i="10" s="1"/>
  <c r="I399" i="10"/>
  <c r="K399" i="10"/>
  <c r="S399" i="10"/>
  <c r="T399" i="10"/>
  <c r="AK399" i="10"/>
  <c r="R399" i="10" s="1"/>
  <c r="AL399" i="10"/>
  <c r="J399" i="10" s="1"/>
  <c r="AO399" i="10"/>
  <c r="N399" i="10" s="1"/>
  <c r="I400" i="10"/>
  <c r="K400" i="10"/>
  <c r="S400" i="10"/>
  <c r="T400" i="10"/>
  <c r="AK400" i="10"/>
  <c r="R400" i="10" s="1"/>
  <c r="AL400" i="10"/>
  <c r="J400" i="10" s="1"/>
  <c r="AO400" i="10"/>
  <c r="N400" i="10" s="1"/>
  <c r="E395" i="10"/>
  <c r="E396" i="10"/>
  <c r="E397" i="10"/>
  <c r="E398" i="10"/>
  <c r="E399" i="10"/>
  <c r="E400" i="10"/>
  <c r="C395" i="10"/>
  <c r="C395" i="13" s="1"/>
  <c r="D395" i="10"/>
  <c r="C396" i="10"/>
  <c r="C396" i="13" s="1"/>
  <c r="D396" i="10"/>
  <c r="C397" i="10"/>
  <c r="C397" i="13" s="1"/>
  <c r="D397" i="10"/>
  <c r="C398" i="10"/>
  <c r="C398" i="13" s="1"/>
  <c r="D398" i="10"/>
  <c r="C399" i="10"/>
  <c r="C399" i="13" s="1"/>
  <c r="D399" i="10"/>
  <c r="C400" i="10"/>
  <c r="C400" i="13" s="1"/>
  <c r="D400" i="10"/>
  <c r="Q19" i="5"/>
  <c r="E19" i="9"/>
  <c r="G19" i="13"/>
  <c r="AK390" i="10"/>
  <c r="AL390" i="10"/>
  <c r="AO390" i="10"/>
  <c r="N390" i="10" s="1"/>
  <c r="AK391" i="10"/>
  <c r="AL391" i="10"/>
  <c r="AO391" i="10"/>
  <c r="N391" i="10" s="1"/>
  <c r="AK392" i="10"/>
  <c r="AL392" i="10"/>
  <c r="AO392" i="10"/>
  <c r="N392" i="10" s="1"/>
  <c r="AK393" i="10"/>
  <c r="AL393" i="10"/>
  <c r="AO393" i="10"/>
  <c r="N393" i="10" s="1"/>
  <c r="AK394" i="10"/>
  <c r="AL394" i="10"/>
  <c r="AO394" i="10"/>
  <c r="N394" i="10" s="1"/>
  <c r="AH390" i="13"/>
  <c r="AH391" i="13"/>
  <c r="AH392" i="13"/>
  <c r="AH393" i="13"/>
  <c r="AH394" i="13"/>
  <c r="A390" i="13"/>
  <c r="A391" i="13"/>
  <c r="A392" i="13"/>
  <c r="A393" i="13"/>
  <c r="A394" i="13"/>
  <c r="C390" i="12"/>
  <c r="D390" i="12"/>
  <c r="AC390" i="12"/>
  <c r="AC390" i="13" s="1"/>
  <c r="AE390" i="12"/>
  <c r="AF390" i="12"/>
  <c r="AG390" i="12"/>
  <c r="AL390" i="12"/>
  <c r="C391" i="12"/>
  <c r="D391" i="12"/>
  <c r="AC391" i="12"/>
  <c r="AC391" i="13" s="1"/>
  <c r="AE391" i="12"/>
  <c r="AF391" i="12"/>
  <c r="AG391" i="12"/>
  <c r="AL391" i="12"/>
  <c r="AM391" i="12" s="1"/>
  <c r="AN391" i="12"/>
  <c r="C392" i="12"/>
  <c r="D392" i="12"/>
  <c r="AC392" i="12"/>
  <c r="AC392" i="13" s="1"/>
  <c r="AE392" i="12"/>
  <c r="AF392" i="12"/>
  <c r="AG392" i="12"/>
  <c r="AH392" i="12"/>
  <c r="N392" i="13" s="1"/>
  <c r="S392" i="13" s="1"/>
  <c r="AL392" i="12"/>
  <c r="AM392" i="12" s="1"/>
  <c r="AN392" i="12"/>
  <c r="C393" i="12"/>
  <c r="D393" i="12"/>
  <c r="AC393" i="12"/>
  <c r="AC393" i="13" s="1"/>
  <c r="AE393" i="12"/>
  <c r="AF393" i="12"/>
  <c r="AG393" i="12"/>
  <c r="AH393" i="12"/>
  <c r="N393" i="13" s="1"/>
  <c r="S393" i="13" s="1"/>
  <c r="AL393" i="12"/>
  <c r="C394" i="12"/>
  <c r="D394" i="12"/>
  <c r="AC394" i="12"/>
  <c r="AC394" i="13" s="1"/>
  <c r="AE394" i="12"/>
  <c r="AF394" i="12"/>
  <c r="AG394" i="12"/>
  <c r="E390" i="10"/>
  <c r="I390" i="10"/>
  <c r="J390" i="10"/>
  <c r="K390" i="10"/>
  <c r="R390" i="10"/>
  <c r="S390" i="10"/>
  <c r="T390" i="10"/>
  <c r="Y390" i="10"/>
  <c r="E391" i="10"/>
  <c r="I391" i="10"/>
  <c r="J391" i="10"/>
  <c r="K391" i="10"/>
  <c r="R391" i="10"/>
  <c r="S391" i="10"/>
  <c r="T391" i="10"/>
  <c r="E392" i="10"/>
  <c r="I392" i="10"/>
  <c r="J392" i="10"/>
  <c r="K392" i="10"/>
  <c r="R392" i="10"/>
  <c r="S392" i="10"/>
  <c r="T392" i="10"/>
  <c r="E393" i="10"/>
  <c r="I393" i="10"/>
  <c r="J393" i="10"/>
  <c r="K393" i="10"/>
  <c r="R393" i="10"/>
  <c r="S393" i="10"/>
  <c r="T393" i="10"/>
  <c r="Y393" i="10"/>
  <c r="E394" i="10"/>
  <c r="I394" i="10"/>
  <c r="J394" i="10"/>
  <c r="K394" i="10"/>
  <c r="R394" i="10"/>
  <c r="S394" i="10"/>
  <c r="T394" i="10"/>
  <c r="Y394" i="10"/>
  <c r="C390" i="10"/>
  <c r="C390" i="13" s="1"/>
  <c r="D390" i="10"/>
  <c r="C391" i="10"/>
  <c r="C391" i="13" s="1"/>
  <c r="D391" i="10"/>
  <c r="C392" i="10"/>
  <c r="C392" i="13" s="1"/>
  <c r="D392" i="10"/>
  <c r="C393" i="10"/>
  <c r="C393" i="13" s="1"/>
  <c r="D393" i="10"/>
  <c r="C394" i="10"/>
  <c r="C394" i="13" s="1"/>
  <c r="D394" i="10"/>
  <c r="G390" i="5"/>
  <c r="J390" i="5"/>
  <c r="K390" i="5"/>
  <c r="G391" i="5"/>
  <c r="J391" i="5"/>
  <c r="K391" i="5"/>
  <c r="G392" i="5"/>
  <c r="J392" i="5"/>
  <c r="K392" i="5"/>
  <c r="G393" i="5"/>
  <c r="J393" i="5"/>
  <c r="K393" i="5"/>
  <c r="G394" i="5"/>
  <c r="Z390" i="5"/>
  <c r="Z391" i="5"/>
  <c r="Z392" i="5"/>
  <c r="Z393" i="5"/>
  <c r="Z394" i="5"/>
  <c r="Z386" i="5"/>
  <c r="Z387" i="5"/>
  <c r="Z388" i="5"/>
  <c r="Z389" i="5"/>
  <c r="K386" i="13"/>
  <c r="L386" i="13"/>
  <c r="O386" i="13"/>
  <c r="X386" i="13"/>
  <c r="AH386" i="13"/>
  <c r="K387" i="13"/>
  <c r="L387" i="13"/>
  <c r="O387" i="13"/>
  <c r="X387" i="13"/>
  <c r="AH387" i="13"/>
  <c r="K388" i="13"/>
  <c r="L388" i="13"/>
  <c r="O388" i="13"/>
  <c r="X388" i="13"/>
  <c r="AH388" i="13"/>
  <c r="K389" i="13"/>
  <c r="L389" i="13"/>
  <c r="O389" i="13"/>
  <c r="X389" i="13"/>
  <c r="AH389" i="13"/>
  <c r="AG389" i="12"/>
  <c r="AF389" i="12"/>
  <c r="AE389" i="12"/>
  <c r="AC389" i="12"/>
  <c r="AC389" i="13" s="1"/>
  <c r="AG388" i="12"/>
  <c r="AF388" i="12"/>
  <c r="AE388" i="12"/>
  <c r="AC388" i="12"/>
  <c r="AC388" i="13" s="1"/>
  <c r="AG387" i="12"/>
  <c r="AF387" i="12"/>
  <c r="AE387" i="12"/>
  <c r="AC387" i="12"/>
  <c r="AC387" i="13" s="1"/>
  <c r="AG386" i="12"/>
  <c r="AF386" i="12"/>
  <c r="AE386" i="12"/>
  <c r="AC386" i="12"/>
  <c r="AC386" i="13" s="1"/>
  <c r="AB383" i="12"/>
  <c r="AB384" i="12"/>
  <c r="X379" i="12"/>
  <c r="X380" i="12"/>
  <c r="X381" i="12"/>
  <c r="X382" i="12"/>
  <c r="X383" i="12"/>
  <c r="X384" i="12"/>
  <c r="S381" i="12"/>
  <c r="S382" i="12"/>
  <c r="S383" i="12"/>
  <c r="S384" i="12"/>
  <c r="S385" i="12"/>
  <c r="S386" i="12"/>
  <c r="M384" i="12"/>
  <c r="M385" i="12"/>
  <c r="M386" i="12"/>
  <c r="M387" i="12"/>
  <c r="M388" i="12"/>
  <c r="AO389" i="10"/>
  <c r="N389" i="10" s="1"/>
  <c r="AL389" i="10"/>
  <c r="AK389" i="10"/>
  <c r="T389" i="10"/>
  <c r="S389" i="10"/>
  <c r="R389" i="10"/>
  <c r="K389" i="10"/>
  <c r="J389" i="10"/>
  <c r="I389" i="10"/>
  <c r="AO388" i="10"/>
  <c r="N388" i="10" s="1"/>
  <c r="AL388" i="10"/>
  <c r="AK388" i="10"/>
  <c r="T388" i="10"/>
  <c r="S388" i="10"/>
  <c r="R388" i="10"/>
  <c r="K388" i="10"/>
  <c r="J388" i="10"/>
  <c r="I388" i="10"/>
  <c r="AO387" i="10"/>
  <c r="N387" i="10" s="1"/>
  <c r="AL387" i="10"/>
  <c r="AK387" i="10"/>
  <c r="T387" i="10"/>
  <c r="S387" i="10"/>
  <c r="R387" i="10"/>
  <c r="K387" i="10"/>
  <c r="J387" i="10"/>
  <c r="I387" i="10"/>
  <c r="AO386" i="10"/>
  <c r="N386" i="10" s="1"/>
  <c r="AL386" i="10"/>
  <c r="AK386" i="10"/>
  <c r="T386" i="10"/>
  <c r="S386" i="10"/>
  <c r="R386" i="10"/>
  <c r="K386" i="10"/>
  <c r="J386" i="10"/>
  <c r="I386" i="10"/>
  <c r="W361" i="9"/>
  <c r="W362" i="9"/>
  <c r="W363" i="9"/>
  <c r="W364" i="9"/>
  <c r="W365" i="9"/>
  <c r="W366" i="9"/>
  <c r="W367" i="9"/>
  <c r="W368" i="9"/>
  <c r="W369" i="9"/>
  <c r="W370" i="9"/>
  <c r="W371" i="9"/>
  <c r="W372" i="9"/>
  <c r="W373" i="9"/>
  <c r="W374" i="9"/>
  <c r="W375" i="9"/>
  <c r="W376" i="9"/>
  <c r="W377" i="9"/>
  <c r="W378" i="9"/>
  <c r="W379" i="9"/>
  <c r="W380" i="9"/>
  <c r="W381" i="9"/>
  <c r="W382" i="9"/>
  <c r="W383" i="9"/>
  <c r="W384" i="9"/>
  <c r="N384" i="9"/>
  <c r="K389" i="5"/>
  <c r="J389" i="5"/>
  <c r="G389" i="5"/>
  <c r="K388" i="5"/>
  <c r="J388" i="5"/>
  <c r="G388" i="5"/>
  <c r="K387" i="5"/>
  <c r="J387" i="5"/>
  <c r="G387" i="5"/>
  <c r="K386" i="5"/>
  <c r="J386" i="5"/>
  <c r="G386" i="5"/>
  <c r="A386" i="9"/>
  <c r="B386" i="9"/>
  <c r="A387" i="9"/>
  <c r="B387" i="9"/>
  <c r="A388" i="9"/>
  <c r="B388" i="9"/>
  <c r="A389" i="9"/>
  <c r="B389" i="9"/>
  <c r="C386" i="10"/>
  <c r="C386" i="13" s="1"/>
  <c r="D386" i="10"/>
  <c r="E386" i="10"/>
  <c r="C387" i="10"/>
  <c r="C387" i="13" s="1"/>
  <c r="D387" i="10"/>
  <c r="E387" i="10"/>
  <c r="C388" i="10"/>
  <c r="C388" i="13" s="1"/>
  <c r="D388" i="10"/>
  <c r="E388" i="10"/>
  <c r="C389" i="10"/>
  <c r="C389" i="13" s="1"/>
  <c r="D389" i="10"/>
  <c r="E389" i="10"/>
  <c r="C386" i="12"/>
  <c r="D386" i="12"/>
  <c r="C387" i="12"/>
  <c r="D387" i="12"/>
  <c r="C388" i="12"/>
  <c r="D388" i="12"/>
  <c r="C389" i="12"/>
  <c r="D389" i="12"/>
  <c r="A386" i="13"/>
  <c r="B386" i="13"/>
  <c r="A387" i="13"/>
  <c r="B387" i="13"/>
  <c r="A388" i="13"/>
  <c r="B388" i="13"/>
  <c r="A389" i="13"/>
  <c r="B389" i="13"/>
  <c r="Z385" i="5"/>
  <c r="K385" i="5"/>
  <c r="J385" i="5"/>
  <c r="G385" i="5"/>
  <c r="Z384" i="5"/>
  <c r="K384" i="5"/>
  <c r="J384" i="5"/>
  <c r="G384" i="5"/>
  <c r="Z383" i="5"/>
  <c r="K383" i="5"/>
  <c r="J383" i="5"/>
  <c r="G383" i="5"/>
  <c r="Z382" i="5"/>
  <c r="K382" i="5"/>
  <c r="J382" i="5"/>
  <c r="G382" i="5"/>
  <c r="Z381" i="5"/>
  <c r="K381" i="5"/>
  <c r="J381" i="5"/>
  <c r="G381" i="5"/>
  <c r="Z380" i="5"/>
  <c r="K380" i="5"/>
  <c r="J380" i="5"/>
  <c r="G380" i="5"/>
  <c r="Z379" i="5"/>
  <c r="K379" i="5"/>
  <c r="J379" i="5"/>
  <c r="G379" i="5"/>
  <c r="B385" i="9"/>
  <c r="A385" i="9"/>
  <c r="B384" i="9"/>
  <c r="A384" i="9"/>
  <c r="N383" i="9"/>
  <c r="B383" i="9"/>
  <c r="A383" i="9"/>
  <c r="N382" i="9"/>
  <c r="B382" i="9"/>
  <c r="A382" i="9"/>
  <c r="N381" i="9"/>
  <c r="B381" i="9"/>
  <c r="A381" i="9"/>
  <c r="N380" i="9"/>
  <c r="B380" i="9"/>
  <c r="A380" i="9"/>
  <c r="N379" i="9"/>
  <c r="B379" i="9"/>
  <c r="A379" i="9"/>
  <c r="AO385" i="10"/>
  <c r="N385" i="10" s="1"/>
  <c r="AL385" i="10"/>
  <c r="AK385" i="10"/>
  <c r="T385" i="10"/>
  <c r="S385" i="10"/>
  <c r="R385" i="10"/>
  <c r="K385" i="10"/>
  <c r="J385" i="10"/>
  <c r="I385" i="10"/>
  <c r="E385" i="10"/>
  <c r="Y385" i="10" s="1"/>
  <c r="D385" i="10"/>
  <c r="C385" i="10"/>
  <c r="C385" i="13" s="1"/>
  <c r="AO384" i="10"/>
  <c r="N384" i="10" s="1"/>
  <c r="AL384" i="10"/>
  <c r="AK384" i="10"/>
  <c r="T384" i="10"/>
  <c r="S384" i="10"/>
  <c r="R384" i="10"/>
  <c r="K384" i="10"/>
  <c r="J384" i="10"/>
  <c r="I384" i="10"/>
  <c r="E384" i="10"/>
  <c r="Y384" i="10" s="1"/>
  <c r="D384" i="10"/>
  <c r="C384" i="10"/>
  <c r="AO383" i="10"/>
  <c r="N383" i="10" s="1"/>
  <c r="AL383" i="10"/>
  <c r="AK383" i="10"/>
  <c r="T383" i="10"/>
  <c r="S383" i="10"/>
  <c r="R383" i="10"/>
  <c r="K383" i="10"/>
  <c r="J383" i="10"/>
  <c r="I383" i="10"/>
  <c r="E383" i="10"/>
  <c r="Y383" i="10" s="1"/>
  <c r="D383" i="10"/>
  <c r="C383" i="10"/>
  <c r="AO382" i="10"/>
  <c r="N382" i="10" s="1"/>
  <c r="AL382" i="10"/>
  <c r="AK382" i="10"/>
  <c r="T382" i="10"/>
  <c r="S382" i="10"/>
  <c r="R382" i="10"/>
  <c r="K382" i="10"/>
  <c r="J382" i="10"/>
  <c r="I382" i="10"/>
  <c r="E382" i="10"/>
  <c r="Y382" i="10" s="1"/>
  <c r="D382" i="10"/>
  <c r="C382" i="10"/>
  <c r="AO381" i="10"/>
  <c r="N381" i="10" s="1"/>
  <c r="AL381" i="10"/>
  <c r="AK381" i="10"/>
  <c r="T381" i="10"/>
  <c r="S381" i="10"/>
  <c r="R381" i="10"/>
  <c r="K381" i="10"/>
  <c r="J381" i="10"/>
  <c r="I381" i="10"/>
  <c r="E381" i="10"/>
  <c r="Y381" i="10" s="1"/>
  <c r="D381" i="10"/>
  <c r="C381" i="10"/>
  <c r="AO380" i="10"/>
  <c r="N380" i="10" s="1"/>
  <c r="AL380" i="10"/>
  <c r="AK380" i="10"/>
  <c r="T380" i="10"/>
  <c r="S380" i="10"/>
  <c r="R380" i="10"/>
  <c r="K380" i="10"/>
  <c r="J380" i="10"/>
  <c r="I380" i="10"/>
  <c r="E380" i="10"/>
  <c r="Y380" i="10" s="1"/>
  <c r="D380" i="10"/>
  <c r="C380" i="10"/>
  <c r="AO379" i="10"/>
  <c r="N379" i="10" s="1"/>
  <c r="AL379" i="10"/>
  <c r="AK379" i="10"/>
  <c r="T379" i="10"/>
  <c r="S379" i="10"/>
  <c r="R379" i="10"/>
  <c r="K379" i="10"/>
  <c r="J379" i="10"/>
  <c r="I379" i="10"/>
  <c r="E379" i="10"/>
  <c r="Y379" i="10" s="1"/>
  <c r="D379" i="10"/>
  <c r="C379" i="10"/>
  <c r="C379" i="13" s="1"/>
  <c r="AG385" i="12"/>
  <c r="AF385" i="12"/>
  <c r="AE385" i="12"/>
  <c r="AC385" i="12"/>
  <c r="D385" i="12"/>
  <c r="C385" i="12"/>
  <c r="AG384" i="12"/>
  <c r="AF384" i="12"/>
  <c r="AE384" i="12"/>
  <c r="AC384" i="12"/>
  <c r="D384" i="12"/>
  <c r="C384" i="12"/>
  <c r="AG383" i="12"/>
  <c r="AF383" i="12"/>
  <c r="AE383" i="12"/>
  <c r="AC383" i="12"/>
  <c r="M383" i="12"/>
  <c r="D383" i="12"/>
  <c r="C383" i="12"/>
  <c r="AG382" i="12"/>
  <c r="AF382" i="12"/>
  <c r="AE382" i="12"/>
  <c r="AC382" i="12"/>
  <c r="AC382" i="13" s="1"/>
  <c r="AB382" i="12"/>
  <c r="M382" i="12"/>
  <c r="D382" i="12"/>
  <c r="C382" i="12"/>
  <c r="AG381" i="12"/>
  <c r="AF381" i="12"/>
  <c r="AE381" i="12"/>
  <c r="AC381" i="12"/>
  <c r="AB381" i="12"/>
  <c r="M381" i="12"/>
  <c r="D381" i="12"/>
  <c r="C381" i="12"/>
  <c r="AG380" i="12"/>
  <c r="AF380" i="12"/>
  <c r="AE380" i="12"/>
  <c r="AC380" i="12"/>
  <c r="AB380" i="12"/>
  <c r="S380" i="12"/>
  <c r="M380" i="12"/>
  <c r="D380" i="12"/>
  <c r="C380" i="12"/>
  <c r="AG379" i="12"/>
  <c r="AF379" i="12"/>
  <c r="AE379" i="12"/>
  <c r="AC379" i="12"/>
  <c r="AC379" i="13" s="1"/>
  <c r="AB379" i="12"/>
  <c r="S379" i="12"/>
  <c r="M379" i="12"/>
  <c r="D379" i="12"/>
  <c r="C379" i="12"/>
  <c r="AH385" i="13"/>
  <c r="AC385" i="13"/>
  <c r="X385" i="13"/>
  <c r="O385" i="13"/>
  <c r="L385" i="13"/>
  <c r="K385" i="13"/>
  <c r="I385" i="13"/>
  <c r="H385" i="13"/>
  <c r="B385" i="13"/>
  <c r="A385" i="13"/>
  <c r="AH384" i="13"/>
  <c r="AC384" i="13"/>
  <c r="X384" i="13"/>
  <c r="O384" i="13"/>
  <c r="L384" i="13"/>
  <c r="K384" i="13"/>
  <c r="I384" i="13"/>
  <c r="H384" i="13"/>
  <c r="C384" i="13"/>
  <c r="B384" i="13"/>
  <c r="A384" i="13"/>
  <c r="AH383" i="13"/>
  <c r="AC383" i="13"/>
  <c r="X383" i="13"/>
  <c r="O383" i="13"/>
  <c r="L383" i="13"/>
  <c r="K383" i="13"/>
  <c r="I383" i="13"/>
  <c r="H383" i="13"/>
  <c r="M383" i="13" s="1"/>
  <c r="C383" i="13"/>
  <c r="B383" i="13"/>
  <c r="A383" i="13"/>
  <c r="AH382" i="13"/>
  <c r="X382" i="13"/>
  <c r="O382" i="13"/>
  <c r="L382" i="13"/>
  <c r="K382" i="13"/>
  <c r="C382" i="13"/>
  <c r="B382" i="13"/>
  <c r="A382" i="13"/>
  <c r="AH381" i="13"/>
  <c r="AC381" i="13"/>
  <c r="X381" i="13"/>
  <c r="O381" i="13"/>
  <c r="L381" i="13"/>
  <c r="K381" i="13"/>
  <c r="C381" i="13"/>
  <c r="B381" i="13"/>
  <c r="A381" i="13"/>
  <c r="AH380" i="13"/>
  <c r="AC380" i="13"/>
  <c r="X380" i="13"/>
  <c r="O380" i="13"/>
  <c r="L380" i="13"/>
  <c r="K380" i="13"/>
  <c r="I380" i="13"/>
  <c r="H380" i="13"/>
  <c r="E380" i="13"/>
  <c r="C380" i="13"/>
  <c r="B380" i="13"/>
  <c r="A380" i="13"/>
  <c r="AH379" i="13"/>
  <c r="X379" i="13"/>
  <c r="O379" i="13"/>
  <c r="L379" i="13"/>
  <c r="K379" i="13"/>
  <c r="I379" i="13"/>
  <c r="H379" i="13"/>
  <c r="E379" i="13"/>
  <c r="B379" i="13"/>
  <c r="A379" i="13"/>
  <c r="M360" i="12"/>
  <c r="M361" i="12"/>
  <c r="M362" i="12"/>
  <c r="M363" i="12"/>
  <c r="M364" i="12"/>
  <c r="M365" i="12"/>
  <c r="M366" i="12"/>
  <c r="M367" i="12"/>
  <c r="M368" i="12"/>
  <c r="M369" i="12"/>
  <c r="M370" i="12"/>
  <c r="M371" i="12"/>
  <c r="M372" i="12"/>
  <c r="M373" i="12"/>
  <c r="M374" i="12"/>
  <c r="M375" i="12"/>
  <c r="M376" i="12"/>
  <c r="M377" i="12"/>
  <c r="M378" i="12"/>
  <c r="Z378" i="5"/>
  <c r="K378" i="5"/>
  <c r="J378" i="5"/>
  <c r="G378" i="5"/>
  <c r="Z377" i="5"/>
  <c r="K377" i="5"/>
  <c r="J377" i="5"/>
  <c r="G377" i="5"/>
  <c r="Z376" i="5"/>
  <c r="K376" i="5"/>
  <c r="J376" i="5"/>
  <c r="G376" i="5"/>
  <c r="Z375" i="5"/>
  <c r="K375" i="5"/>
  <c r="J375" i="5"/>
  <c r="G375" i="5"/>
  <c r="Z374" i="5"/>
  <c r="K374" i="5"/>
  <c r="J374" i="5"/>
  <c r="G374" i="5"/>
  <c r="Z373" i="5"/>
  <c r="K373" i="5"/>
  <c r="J373" i="5"/>
  <c r="G373" i="5"/>
  <c r="N378" i="9"/>
  <c r="B378" i="9"/>
  <c r="D378" i="10" s="1"/>
  <c r="A378" i="9"/>
  <c r="C378" i="10" s="1"/>
  <c r="C378" i="13" s="1"/>
  <c r="N377" i="9"/>
  <c r="B377" i="9"/>
  <c r="D377" i="10" s="1"/>
  <c r="A377" i="9"/>
  <c r="C377" i="10" s="1"/>
  <c r="C377" i="13" s="1"/>
  <c r="N376" i="9"/>
  <c r="B376" i="9"/>
  <c r="D376" i="10" s="1"/>
  <c r="A376" i="9"/>
  <c r="C376" i="10" s="1"/>
  <c r="C376" i="13" s="1"/>
  <c r="N375" i="9"/>
  <c r="B375" i="9"/>
  <c r="D375" i="10" s="1"/>
  <c r="A375" i="9"/>
  <c r="C375" i="10" s="1"/>
  <c r="C375" i="13" s="1"/>
  <c r="N374" i="9"/>
  <c r="B374" i="9"/>
  <c r="D374" i="10" s="1"/>
  <c r="A374" i="9"/>
  <c r="C374" i="10" s="1"/>
  <c r="C374" i="13" s="1"/>
  <c r="N373" i="9"/>
  <c r="B373" i="9"/>
  <c r="D373" i="10" s="1"/>
  <c r="A373" i="9"/>
  <c r="C373" i="10" s="1"/>
  <c r="C373" i="13" s="1"/>
  <c r="AO378" i="10"/>
  <c r="N378" i="10" s="1"/>
  <c r="AL378" i="10"/>
  <c r="AK378" i="10"/>
  <c r="T378" i="10"/>
  <c r="S378" i="10"/>
  <c r="R378" i="10"/>
  <c r="K378" i="10"/>
  <c r="J378" i="10"/>
  <c r="I378" i="10"/>
  <c r="E378" i="10"/>
  <c r="Y378" i="10" s="1"/>
  <c r="AO377" i="10"/>
  <c r="N377" i="10" s="1"/>
  <c r="AL377" i="10"/>
  <c r="AK377" i="10"/>
  <c r="T377" i="10"/>
  <c r="S377" i="10"/>
  <c r="R377" i="10"/>
  <c r="K377" i="10"/>
  <c r="J377" i="10"/>
  <c r="I377" i="10"/>
  <c r="E377" i="10"/>
  <c r="Y377" i="10" s="1"/>
  <c r="AO376" i="10"/>
  <c r="N376" i="10" s="1"/>
  <c r="AL376" i="10"/>
  <c r="AK376" i="10"/>
  <c r="T376" i="10"/>
  <c r="S376" i="10"/>
  <c r="R376" i="10"/>
  <c r="K376" i="10"/>
  <c r="J376" i="10"/>
  <c r="I376" i="10"/>
  <c r="E376" i="10"/>
  <c r="Y376" i="10" s="1"/>
  <c r="AO375" i="10"/>
  <c r="N375" i="10" s="1"/>
  <c r="AL375" i="10"/>
  <c r="AK375" i="10"/>
  <c r="T375" i="10"/>
  <c r="S375" i="10"/>
  <c r="R375" i="10"/>
  <c r="K375" i="10"/>
  <c r="J375" i="10"/>
  <c r="I375" i="10"/>
  <c r="E375" i="10"/>
  <c r="Y375" i="10" s="1"/>
  <c r="AO374" i="10"/>
  <c r="N374" i="10" s="1"/>
  <c r="AL374" i="10"/>
  <c r="AK374" i="10"/>
  <c r="T374" i="10"/>
  <c r="S374" i="10"/>
  <c r="R374" i="10"/>
  <c r="K374" i="10"/>
  <c r="J374" i="10"/>
  <c r="I374" i="10"/>
  <c r="E374" i="10"/>
  <c r="Y374" i="10" s="1"/>
  <c r="AO373" i="10"/>
  <c r="N373" i="10" s="1"/>
  <c r="AL373" i="10"/>
  <c r="AK373" i="10"/>
  <c r="T373" i="10"/>
  <c r="S373" i="10"/>
  <c r="R373" i="10"/>
  <c r="K373" i="10"/>
  <c r="J373" i="10"/>
  <c r="I373" i="10"/>
  <c r="E373" i="10"/>
  <c r="Y373" i="10" s="1"/>
  <c r="AG378" i="12"/>
  <c r="AF378" i="12"/>
  <c r="AE378" i="12"/>
  <c r="AC378" i="12"/>
  <c r="AB378" i="12"/>
  <c r="X378" i="12"/>
  <c r="S378" i="12"/>
  <c r="D378" i="12"/>
  <c r="C378" i="12"/>
  <c r="AG377" i="12"/>
  <c r="AF377" i="12"/>
  <c r="AE377" i="12"/>
  <c r="AC377" i="12"/>
  <c r="AB377" i="12"/>
  <c r="X377" i="12"/>
  <c r="S377" i="12"/>
  <c r="D377" i="12"/>
  <c r="C377" i="12"/>
  <c r="AG376" i="12"/>
  <c r="AF376" i="12"/>
  <c r="AE376" i="12"/>
  <c r="AC376" i="12"/>
  <c r="AB376" i="12"/>
  <c r="X376" i="12"/>
  <c r="S376" i="12"/>
  <c r="D376" i="12"/>
  <c r="C376" i="12"/>
  <c r="AG375" i="12"/>
  <c r="AF375" i="12"/>
  <c r="AE375" i="12"/>
  <c r="AC375" i="12"/>
  <c r="AB375" i="12"/>
  <c r="X375" i="12"/>
  <c r="S375" i="12"/>
  <c r="D375" i="12"/>
  <c r="C375" i="12"/>
  <c r="AG374" i="12"/>
  <c r="AF374" i="12"/>
  <c r="AE374" i="12"/>
  <c r="AC374" i="12"/>
  <c r="AB374" i="12"/>
  <c r="X374" i="12"/>
  <c r="S374" i="12"/>
  <c r="D374" i="12"/>
  <c r="C374" i="12"/>
  <c r="AG373" i="12"/>
  <c r="AF373" i="12"/>
  <c r="AE373" i="12"/>
  <c r="AC373" i="12"/>
  <c r="AB373" i="12"/>
  <c r="X373" i="12"/>
  <c r="S373" i="12"/>
  <c r="D373" i="12"/>
  <c r="C373" i="12"/>
  <c r="AH378" i="13"/>
  <c r="AC378" i="13"/>
  <c r="X378" i="13"/>
  <c r="O378" i="13"/>
  <c r="L378" i="13"/>
  <c r="K378" i="13"/>
  <c r="I378" i="13"/>
  <c r="H378" i="13"/>
  <c r="M378" i="13" s="1"/>
  <c r="E378" i="13"/>
  <c r="B378" i="13"/>
  <c r="A378" i="13"/>
  <c r="AH377" i="13"/>
  <c r="AC377" i="13"/>
  <c r="X377" i="13"/>
  <c r="O377" i="13"/>
  <c r="L377" i="13"/>
  <c r="K377" i="13"/>
  <c r="E377" i="13"/>
  <c r="B377" i="13"/>
  <c r="A377" i="13"/>
  <c r="AH376" i="13"/>
  <c r="AC376" i="13"/>
  <c r="X376" i="13"/>
  <c r="O376" i="13"/>
  <c r="L376" i="13"/>
  <c r="K376" i="13"/>
  <c r="I376" i="13"/>
  <c r="H376" i="13"/>
  <c r="M376" i="13" s="1"/>
  <c r="E376" i="13"/>
  <c r="B376" i="13"/>
  <c r="A376" i="13"/>
  <c r="AH375" i="13"/>
  <c r="AC375" i="13"/>
  <c r="X375" i="13"/>
  <c r="O375" i="13"/>
  <c r="L375" i="13"/>
  <c r="K375" i="13"/>
  <c r="E375" i="13"/>
  <c r="B375" i="13"/>
  <c r="A375" i="13"/>
  <c r="AH374" i="13"/>
  <c r="AC374" i="13"/>
  <c r="X374" i="13"/>
  <c r="O374" i="13"/>
  <c r="L374" i="13"/>
  <c r="K374" i="13"/>
  <c r="I374" i="13"/>
  <c r="H374" i="13"/>
  <c r="E374" i="13"/>
  <c r="B374" i="13"/>
  <c r="A374" i="13"/>
  <c r="AH373" i="13"/>
  <c r="AC373" i="13"/>
  <c r="X373" i="13"/>
  <c r="O373" i="13"/>
  <c r="L373" i="13"/>
  <c r="K373" i="13"/>
  <c r="I373" i="13"/>
  <c r="H373" i="13"/>
  <c r="E373" i="13"/>
  <c r="B373" i="13"/>
  <c r="A373" i="13"/>
  <c r="AK367" i="10"/>
  <c r="AL367" i="10"/>
  <c r="AO367" i="10"/>
  <c r="AK368" i="10"/>
  <c r="AL368" i="10"/>
  <c r="AO368" i="10"/>
  <c r="AK369" i="10"/>
  <c r="AL369" i="10"/>
  <c r="AO369" i="10"/>
  <c r="AK370" i="10"/>
  <c r="AL370" i="10"/>
  <c r="AO370" i="10"/>
  <c r="AK371" i="10"/>
  <c r="AL371" i="10"/>
  <c r="AO371" i="10"/>
  <c r="AK372" i="10"/>
  <c r="AL372" i="10"/>
  <c r="AO372" i="10"/>
  <c r="G367" i="5"/>
  <c r="J367" i="5"/>
  <c r="K367" i="5"/>
  <c r="Z367" i="5"/>
  <c r="G368" i="5"/>
  <c r="J368" i="5"/>
  <c r="K368" i="5"/>
  <c r="Z368" i="5"/>
  <c r="G369" i="5"/>
  <c r="J369" i="5"/>
  <c r="K369" i="5"/>
  <c r="Z369" i="5"/>
  <c r="G370" i="5"/>
  <c r="J370" i="5"/>
  <c r="K370" i="5"/>
  <c r="Z370" i="5"/>
  <c r="G371" i="5"/>
  <c r="J371" i="5"/>
  <c r="K371" i="5"/>
  <c r="Z371" i="5"/>
  <c r="G372" i="5"/>
  <c r="J372" i="5"/>
  <c r="K372" i="5"/>
  <c r="Z372" i="5"/>
  <c r="A367" i="9"/>
  <c r="C367" i="10" s="1"/>
  <c r="C367" i="13" s="1"/>
  <c r="B367" i="9"/>
  <c r="D367" i="10" s="1"/>
  <c r="N367" i="9"/>
  <c r="A368" i="9"/>
  <c r="C368" i="10" s="1"/>
  <c r="C368" i="13" s="1"/>
  <c r="B368" i="9"/>
  <c r="D368" i="10" s="1"/>
  <c r="N368" i="9"/>
  <c r="A369" i="9"/>
  <c r="C369" i="10" s="1"/>
  <c r="C369" i="13" s="1"/>
  <c r="B369" i="9"/>
  <c r="D369" i="10" s="1"/>
  <c r="N369" i="9"/>
  <c r="A370" i="9"/>
  <c r="C370" i="10" s="1"/>
  <c r="C370" i="13" s="1"/>
  <c r="B370" i="9"/>
  <c r="D370" i="10" s="1"/>
  <c r="N370" i="9"/>
  <c r="A371" i="9"/>
  <c r="C371" i="10" s="1"/>
  <c r="C371" i="13" s="1"/>
  <c r="B371" i="9"/>
  <c r="D371" i="10" s="1"/>
  <c r="N371" i="9"/>
  <c r="A372" i="9"/>
  <c r="C372" i="10" s="1"/>
  <c r="C372" i="13" s="1"/>
  <c r="B372" i="9"/>
  <c r="D372" i="10" s="1"/>
  <c r="N372" i="9"/>
  <c r="E367" i="10"/>
  <c r="I367" i="10"/>
  <c r="J367" i="10"/>
  <c r="K367" i="10"/>
  <c r="N367" i="10"/>
  <c r="R367" i="10"/>
  <c r="S367" i="10"/>
  <c r="T367" i="10"/>
  <c r="E368" i="10"/>
  <c r="I368" i="10"/>
  <c r="J368" i="10"/>
  <c r="K368" i="10"/>
  <c r="N368" i="10"/>
  <c r="P368" i="10" s="1"/>
  <c r="R368" i="10"/>
  <c r="S368" i="10"/>
  <c r="T368" i="10"/>
  <c r="Y368" i="10" s="1"/>
  <c r="E369" i="10"/>
  <c r="I369" i="10"/>
  <c r="J369" i="10"/>
  <c r="K369" i="10"/>
  <c r="N369" i="10"/>
  <c r="P369" i="10" s="1"/>
  <c r="R369" i="10"/>
  <c r="S369" i="10"/>
  <c r="T369" i="10"/>
  <c r="E370" i="10"/>
  <c r="I370" i="10"/>
  <c r="J370" i="10"/>
  <c r="K370" i="10"/>
  <c r="N370" i="10"/>
  <c r="R370" i="10"/>
  <c r="S370" i="10"/>
  <c r="T370" i="10"/>
  <c r="Y370" i="10" s="1"/>
  <c r="E371" i="10"/>
  <c r="I371" i="10"/>
  <c r="J371" i="10"/>
  <c r="K371" i="10"/>
  <c r="N371" i="10"/>
  <c r="P371" i="10" s="1"/>
  <c r="R371" i="10"/>
  <c r="S371" i="10"/>
  <c r="T371" i="10"/>
  <c r="Y371" i="10"/>
  <c r="E372" i="10"/>
  <c r="I372" i="10"/>
  <c r="J372" i="10"/>
  <c r="K372" i="10"/>
  <c r="N372" i="10"/>
  <c r="P372" i="10"/>
  <c r="R372" i="10"/>
  <c r="S372" i="10"/>
  <c r="T372" i="10"/>
  <c r="C367" i="12"/>
  <c r="D367" i="12"/>
  <c r="S367" i="12"/>
  <c r="X367" i="12"/>
  <c r="AB367" i="12"/>
  <c r="AC367" i="12"/>
  <c r="AC367" i="13" s="1"/>
  <c r="AE367" i="12"/>
  <c r="AL367" i="12" s="1"/>
  <c r="AF367" i="12"/>
  <c r="AG367" i="12"/>
  <c r="AH367" i="12" s="1"/>
  <c r="N367" i="13" s="1"/>
  <c r="C368" i="12"/>
  <c r="D368" i="12"/>
  <c r="S368" i="12"/>
  <c r="X368" i="12"/>
  <c r="AB368" i="12"/>
  <c r="AC368" i="12"/>
  <c r="AE368" i="12"/>
  <c r="AF368" i="12"/>
  <c r="AG368" i="12"/>
  <c r="AH368" i="12"/>
  <c r="AL368" i="12"/>
  <c r="C369" i="12"/>
  <c r="D369" i="12"/>
  <c r="S369" i="12"/>
  <c r="X369" i="12"/>
  <c r="AB369" i="12"/>
  <c r="AC369" i="12"/>
  <c r="AE369" i="12"/>
  <c r="AF369" i="12"/>
  <c r="AG369" i="12"/>
  <c r="AH369" i="12"/>
  <c r="AL369" i="12"/>
  <c r="AM369" i="12" s="1"/>
  <c r="AN369" i="12"/>
  <c r="C370" i="12"/>
  <c r="D370" i="12"/>
  <c r="S370" i="12"/>
  <c r="X370" i="12"/>
  <c r="AB370" i="12"/>
  <c r="AC370" i="12"/>
  <c r="AE370" i="12"/>
  <c r="AF370" i="12"/>
  <c r="AG370" i="12"/>
  <c r="AL370" i="12"/>
  <c r="C371" i="12"/>
  <c r="D371" i="12"/>
  <c r="S371" i="12"/>
  <c r="X371" i="12"/>
  <c r="AB371" i="12"/>
  <c r="AC371" i="12"/>
  <c r="AE371" i="12"/>
  <c r="AF371" i="12"/>
  <c r="AG371" i="12"/>
  <c r="AH371" i="12"/>
  <c r="AL371" i="12"/>
  <c r="C372" i="12"/>
  <c r="D372" i="12"/>
  <c r="S372" i="12"/>
  <c r="X372" i="12"/>
  <c r="AB372" i="12"/>
  <c r="AC372" i="12"/>
  <c r="AC372" i="13" s="1"/>
  <c r="AE372" i="12"/>
  <c r="AF372" i="12"/>
  <c r="AG372" i="12"/>
  <c r="AH372" i="12" s="1"/>
  <c r="N372" i="13" s="1"/>
  <c r="AL372" i="12"/>
  <c r="AM372" i="12" s="1"/>
  <c r="AN372" i="12"/>
  <c r="A367" i="13"/>
  <c r="B367" i="13"/>
  <c r="E367" i="13"/>
  <c r="K367" i="13"/>
  <c r="L367" i="13"/>
  <c r="O367" i="13"/>
  <c r="X367" i="13"/>
  <c r="AB367" i="13"/>
  <c r="AH367" i="13"/>
  <c r="A368" i="13"/>
  <c r="B368" i="13"/>
  <c r="E368" i="13"/>
  <c r="K368" i="13"/>
  <c r="L368" i="13"/>
  <c r="N368" i="13"/>
  <c r="O368" i="13"/>
  <c r="S368" i="13" s="1"/>
  <c r="N368" i="5" s="1"/>
  <c r="X368" i="13"/>
  <c r="AB368" i="13"/>
  <c r="AC368" i="13"/>
  <c r="AH368" i="13"/>
  <c r="A369" i="13"/>
  <c r="B369" i="13"/>
  <c r="E369" i="13"/>
  <c r="K369" i="13"/>
  <c r="L369" i="13"/>
  <c r="N369" i="13"/>
  <c r="O369" i="13"/>
  <c r="S369" i="13" s="1"/>
  <c r="N369" i="5" s="1"/>
  <c r="X369" i="13"/>
  <c r="AB369" i="13"/>
  <c r="AC369" i="13"/>
  <c r="AH369" i="13"/>
  <c r="A370" i="13"/>
  <c r="B370" i="13"/>
  <c r="E370" i="13"/>
  <c r="K370" i="13"/>
  <c r="L370" i="13"/>
  <c r="O370" i="13"/>
  <c r="X370" i="13"/>
  <c r="AB370" i="13"/>
  <c r="AC370" i="13"/>
  <c r="AH370" i="13"/>
  <c r="A371" i="13"/>
  <c r="B371" i="13"/>
  <c r="E371" i="13"/>
  <c r="K371" i="13"/>
  <c r="L371" i="13"/>
  <c r="N371" i="13"/>
  <c r="O371" i="13"/>
  <c r="S371" i="13" s="1"/>
  <c r="N371" i="5" s="1"/>
  <c r="X371" i="13"/>
  <c r="AB371" i="13"/>
  <c r="AC371" i="13"/>
  <c r="AH371" i="13"/>
  <c r="A372" i="13"/>
  <c r="B372" i="13"/>
  <c r="E372" i="13"/>
  <c r="K372" i="13"/>
  <c r="L372" i="13"/>
  <c r="O372" i="13"/>
  <c r="X372" i="13"/>
  <c r="AB372" i="13"/>
  <c r="AH372" i="13"/>
  <c r="K125" i="10"/>
  <c r="K298" i="10"/>
  <c r="O298" i="13"/>
  <c r="AL304" i="10"/>
  <c r="AK360" i="10"/>
  <c r="AL360" i="10"/>
  <c r="AO360" i="10"/>
  <c r="N360" i="10" s="1"/>
  <c r="AK361" i="10"/>
  <c r="AL361" i="10"/>
  <c r="AO361" i="10"/>
  <c r="N361" i="10" s="1"/>
  <c r="AK362" i="10"/>
  <c r="AL362" i="10"/>
  <c r="AO362" i="10"/>
  <c r="N362" i="10" s="1"/>
  <c r="AK363" i="10"/>
  <c r="AL363" i="10"/>
  <c r="AO363" i="10"/>
  <c r="N363" i="10" s="1"/>
  <c r="AK364" i="10"/>
  <c r="AL364" i="10"/>
  <c r="AO364" i="10"/>
  <c r="N364" i="10" s="1"/>
  <c r="AK365" i="10"/>
  <c r="AL365" i="10"/>
  <c r="AO365" i="10"/>
  <c r="N365" i="10" s="1"/>
  <c r="AK366" i="10"/>
  <c r="AL366" i="10"/>
  <c r="AO366" i="10"/>
  <c r="N366" i="10" s="1"/>
  <c r="Q18" i="5"/>
  <c r="AH366" i="13"/>
  <c r="X366" i="13"/>
  <c r="O366" i="13"/>
  <c r="L366" i="13"/>
  <c r="K366" i="13"/>
  <c r="I366" i="13"/>
  <c r="H366" i="13"/>
  <c r="E366" i="13"/>
  <c r="B366" i="13"/>
  <c r="A366" i="13"/>
  <c r="AH365" i="13"/>
  <c r="X365" i="13"/>
  <c r="O365" i="13"/>
  <c r="L365" i="13"/>
  <c r="K365" i="13"/>
  <c r="I365" i="13"/>
  <c r="H365" i="13"/>
  <c r="M365" i="13" s="1"/>
  <c r="E365" i="13"/>
  <c r="B365" i="13"/>
  <c r="A365" i="13"/>
  <c r="AH364" i="13"/>
  <c r="X364" i="13"/>
  <c r="O364" i="13"/>
  <c r="L364" i="13"/>
  <c r="K364" i="13"/>
  <c r="I364" i="13"/>
  <c r="H364" i="13"/>
  <c r="E364" i="13"/>
  <c r="B364" i="13"/>
  <c r="A364" i="13"/>
  <c r="AH363" i="13"/>
  <c r="X363" i="13"/>
  <c r="O363" i="13"/>
  <c r="L363" i="13"/>
  <c r="K363" i="13"/>
  <c r="I363" i="13"/>
  <c r="H363" i="13"/>
  <c r="M363" i="13" s="1"/>
  <c r="E363" i="13"/>
  <c r="B363" i="13"/>
  <c r="A363" i="13"/>
  <c r="AH362" i="13"/>
  <c r="X362" i="13"/>
  <c r="O362" i="13"/>
  <c r="L362" i="13"/>
  <c r="K362" i="13"/>
  <c r="I362" i="13"/>
  <c r="H362" i="13"/>
  <c r="E362" i="13"/>
  <c r="B362" i="13"/>
  <c r="A362" i="13"/>
  <c r="AH361" i="13"/>
  <c r="X361" i="13"/>
  <c r="O361" i="13"/>
  <c r="L361" i="13"/>
  <c r="K361" i="13"/>
  <c r="I361" i="13"/>
  <c r="H361" i="13"/>
  <c r="M361" i="13" s="1"/>
  <c r="E361" i="13"/>
  <c r="B361" i="13"/>
  <c r="A361" i="13"/>
  <c r="AH360" i="13"/>
  <c r="X360" i="13"/>
  <c r="O360" i="13"/>
  <c r="L360" i="13"/>
  <c r="K360" i="13"/>
  <c r="I360" i="13"/>
  <c r="H360" i="13"/>
  <c r="E360" i="13"/>
  <c r="B360" i="13"/>
  <c r="A360" i="13"/>
  <c r="AG366" i="12"/>
  <c r="AF366" i="12"/>
  <c r="AE366" i="12"/>
  <c r="AC366" i="12"/>
  <c r="AC366" i="13" s="1"/>
  <c r="AB366" i="12"/>
  <c r="X366" i="12"/>
  <c r="S366" i="12"/>
  <c r="D366" i="12"/>
  <c r="C366" i="12"/>
  <c r="AG365" i="12"/>
  <c r="AF365" i="12"/>
  <c r="AE365" i="12"/>
  <c r="AC365" i="12"/>
  <c r="AC365" i="13" s="1"/>
  <c r="AB365" i="12"/>
  <c r="X365" i="12"/>
  <c r="S365" i="12"/>
  <c r="D365" i="12"/>
  <c r="C365" i="12"/>
  <c r="AG364" i="12"/>
  <c r="AF364" i="12"/>
  <c r="AE364" i="12"/>
  <c r="AC364" i="12"/>
  <c r="AC364" i="13" s="1"/>
  <c r="AB364" i="12"/>
  <c r="X364" i="12"/>
  <c r="S364" i="12"/>
  <c r="D364" i="12"/>
  <c r="C364" i="12"/>
  <c r="AG363" i="12"/>
  <c r="AF363" i="12"/>
  <c r="AE363" i="12"/>
  <c r="AC363" i="12"/>
  <c r="AC363" i="13" s="1"/>
  <c r="AB363" i="12"/>
  <c r="X363" i="12"/>
  <c r="S363" i="12"/>
  <c r="D363" i="12"/>
  <c r="C363" i="12"/>
  <c r="AG362" i="12"/>
  <c r="AF362" i="12"/>
  <c r="AE362" i="12"/>
  <c r="AC362" i="12"/>
  <c r="AC362" i="13" s="1"/>
  <c r="AB362" i="12"/>
  <c r="X362" i="12"/>
  <c r="S362" i="12"/>
  <c r="D362" i="12"/>
  <c r="C362" i="12"/>
  <c r="AG361" i="12"/>
  <c r="AF361" i="12"/>
  <c r="AE361" i="12"/>
  <c r="AC361" i="12"/>
  <c r="AC361" i="13" s="1"/>
  <c r="AB361" i="12"/>
  <c r="X361" i="12"/>
  <c r="S361" i="12"/>
  <c r="D361" i="12"/>
  <c r="C361" i="12"/>
  <c r="AG360" i="12"/>
  <c r="AF360" i="12"/>
  <c r="AE360" i="12"/>
  <c r="AC360" i="12"/>
  <c r="AC360" i="13" s="1"/>
  <c r="AB360" i="12"/>
  <c r="X360" i="12"/>
  <c r="S360" i="12"/>
  <c r="D360" i="12"/>
  <c r="C360" i="12"/>
  <c r="T366" i="10"/>
  <c r="S366" i="10"/>
  <c r="R366" i="10"/>
  <c r="K366" i="10"/>
  <c r="J366" i="10"/>
  <c r="I366" i="10"/>
  <c r="E366" i="10"/>
  <c r="Y366" i="10" s="1"/>
  <c r="T365" i="10"/>
  <c r="S365" i="10"/>
  <c r="R365" i="10"/>
  <c r="K365" i="10"/>
  <c r="J365" i="10"/>
  <c r="I365" i="10"/>
  <c r="E365" i="10"/>
  <c r="Y365" i="10" s="1"/>
  <c r="T364" i="10"/>
  <c r="S364" i="10"/>
  <c r="R364" i="10"/>
  <c r="K364" i="10"/>
  <c r="J364" i="10"/>
  <c r="I364" i="10"/>
  <c r="E364" i="10"/>
  <c r="Y364" i="10" s="1"/>
  <c r="T363" i="10"/>
  <c r="S363" i="10"/>
  <c r="R363" i="10"/>
  <c r="K363" i="10"/>
  <c r="J363" i="10"/>
  <c r="I363" i="10"/>
  <c r="E363" i="10"/>
  <c r="Y363" i="10" s="1"/>
  <c r="T362" i="10"/>
  <c r="S362" i="10"/>
  <c r="R362" i="10"/>
  <c r="K362" i="10"/>
  <c r="J362" i="10"/>
  <c r="I362" i="10"/>
  <c r="E362" i="10"/>
  <c r="Y362" i="10" s="1"/>
  <c r="T361" i="10"/>
  <c r="S361" i="10"/>
  <c r="R361" i="10"/>
  <c r="K361" i="10"/>
  <c r="J361" i="10"/>
  <c r="I361" i="10"/>
  <c r="E361" i="10"/>
  <c r="T360" i="10"/>
  <c r="S360" i="10"/>
  <c r="R360" i="10"/>
  <c r="K360" i="10"/>
  <c r="J360" i="10"/>
  <c r="I360" i="10"/>
  <c r="E360" i="10"/>
  <c r="Z366" i="5"/>
  <c r="K366" i="5"/>
  <c r="J366" i="5"/>
  <c r="G366" i="5"/>
  <c r="Z365" i="5"/>
  <c r="K365" i="5"/>
  <c r="J365" i="5"/>
  <c r="G365" i="5"/>
  <c r="Z364" i="5"/>
  <c r="K364" i="5"/>
  <c r="J364" i="5"/>
  <c r="G364" i="5"/>
  <c r="Z363" i="5"/>
  <c r="K363" i="5"/>
  <c r="J363" i="5"/>
  <c r="G363" i="5"/>
  <c r="Z362" i="5"/>
  <c r="K362" i="5"/>
  <c r="J362" i="5"/>
  <c r="G362" i="5"/>
  <c r="Z361" i="5"/>
  <c r="K361" i="5"/>
  <c r="J361" i="5"/>
  <c r="G361" i="5"/>
  <c r="Z360" i="5"/>
  <c r="K360" i="5"/>
  <c r="J360" i="5"/>
  <c r="G360" i="5"/>
  <c r="A360" i="9"/>
  <c r="C360" i="10" s="1"/>
  <c r="C360" i="13" s="1"/>
  <c r="B360" i="9"/>
  <c r="D360" i="10" s="1"/>
  <c r="N360" i="9"/>
  <c r="W360" i="9"/>
  <c r="A361" i="9"/>
  <c r="C361" i="10" s="1"/>
  <c r="C361" i="13" s="1"/>
  <c r="B361" i="9"/>
  <c r="D361" i="10" s="1"/>
  <c r="N361" i="9"/>
  <c r="A362" i="9"/>
  <c r="C362" i="10" s="1"/>
  <c r="C362" i="13" s="1"/>
  <c r="B362" i="9"/>
  <c r="D362" i="10" s="1"/>
  <c r="N362" i="9"/>
  <c r="A363" i="9"/>
  <c r="C363" i="10" s="1"/>
  <c r="C363" i="13" s="1"/>
  <c r="B363" i="9"/>
  <c r="D363" i="10" s="1"/>
  <c r="N363" i="9"/>
  <c r="A364" i="9"/>
  <c r="C364" i="10" s="1"/>
  <c r="C364" i="13" s="1"/>
  <c r="B364" i="9"/>
  <c r="D364" i="10" s="1"/>
  <c r="N364" i="9"/>
  <c r="A365" i="9"/>
  <c r="C365" i="10" s="1"/>
  <c r="C365" i="13" s="1"/>
  <c r="B365" i="9"/>
  <c r="D365" i="10" s="1"/>
  <c r="N365" i="9"/>
  <c r="A366" i="9"/>
  <c r="C366" i="10" s="1"/>
  <c r="C366" i="13" s="1"/>
  <c r="B366" i="9"/>
  <c r="D366" i="10" s="1"/>
  <c r="N366" i="9"/>
  <c r="E18" i="9"/>
  <c r="G18" i="10" s="1"/>
  <c r="G18" i="12"/>
  <c r="G18" i="13"/>
  <c r="M321" i="12"/>
  <c r="M322" i="12"/>
  <c r="M323" i="12"/>
  <c r="M324" i="12"/>
  <c r="M325" i="12"/>
  <c r="M326" i="12"/>
  <c r="M327" i="12"/>
  <c r="M328" i="12"/>
  <c r="M329" i="12"/>
  <c r="M330" i="12"/>
  <c r="M331" i="12"/>
  <c r="M332" i="12"/>
  <c r="M333" i="12"/>
  <c r="M334" i="12"/>
  <c r="M335" i="12"/>
  <c r="M336" i="12"/>
  <c r="M337" i="12"/>
  <c r="M338" i="12"/>
  <c r="M339" i="12"/>
  <c r="M340" i="12"/>
  <c r="M341" i="12"/>
  <c r="M342" i="12"/>
  <c r="M343" i="12"/>
  <c r="M344" i="12"/>
  <c r="M345" i="12"/>
  <c r="M346" i="12"/>
  <c r="M347" i="12"/>
  <c r="M348" i="12"/>
  <c r="M349" i="12"/>
  <c r="M350" i="12"/>
  <c r="M351" i="12"/>
  <c r="M352" i="12"/>
  <c r="M353" i="12"/>
  <c r="M354" i="12"/>
  <c r="M355" i="12"/>
  <c r="M356" i="12"/>
  <c r="M357" i="12"/>
  <c r="M358" i="12"/>
  <c r="M359" i="12"/>
  <c r="G358" i="5"/>
  <c r="J358" i="5"/>
  <c r="K358" i="5"/>
  <c r="Z358" i="5"/>
  <c r="G359" i="5"/>
  <c r="J359" i="5"/>
  <c r="K359" i="5"/>
  <c r="Z359" i="5"/>
  <c r="K358" i="13"/>
  <c r="L358" i="13"/>
  <c r="O358" i="13"/>
  <c r="X358" i="13"/>
  <c r="AH358" i="13"/>
  <c r="K359" i="13"/>
  <c r="L359" i="13"/>
  <c r="O359" i="13"/>
  <c r="X359" i="13"/>
  <c r="AH359" i="13"/>
  <c r="AG358" i="12"/>
  <c r="AF358" i="12"/>
  <c r="AE358" i="12"/>
  <c r="AC358" i="12"/>
  <c r="AC358" i="13" s="1"/>
  <c r="AB354" i="12"/>
  <c r="AB355" i="12"/>
  <c r="AB356" i="12"/>
  <c r="AB357" i="12"/>
  <c r="AB358" i="12"/>
  <c r="AB359" i="12"/>
  <c r="X354" i="12"/>
  <c r="X355" i="12"/>
  <c r="X356" i="12"/>
  <c r="X357" i="12"/>
  <c r="X358" i="12"/>
  <c r="X359" i="12"/>
  <c r="S358" i="12"/>
  <c r="S359" i="12"/>
  <c r="I358" i="10"/>
  <c r="K358" i="10"/>
  <c r="S358" i="10"/>
  <c r="T358" i="10"/>
  <c r="AK358" i="10"/>
  <c r="R358" i="10" s="1"/>
  <c r="AL358" i="10"/>
  <c r="J358" i="10" s="1"/>
  <c r="AO358" i="10"/>
  <c r="N358" i="10" s="1"/>
  <c r="I359" i="10"/>
  <c r="K359" i="10"/>
  <c r="S359" i="10"/>
  <c r="T359" i="10"/>
  <c r="AK359" i="10"/>
  <c r="R359" i="10" s="1"/>
  <c r="AL359" i="10"/>
  <c r="J359" i="10" s="1"/>
  <c r="AO359" i="10"/>
  <c r="N359" i="10" s="1"/>
  <c r="W357" i="9"/>
  <c r="W358" i="9"/>
  <c r="W359" i="9"/>
  <c r="N357" i="9"/>
  <c r="N358" i="9"/>
  <c r="N359" i="9"/>
  <c r="A358" i="13"/>
  <c r="B358" i="13"/>
  <c r="E358" i="13"/>
  <c r="A359" i="13"/>
  <c r="B359" i="13"/>
  <c r="E359" i="13"/>
  <c r="C358" i="12"/>
  <c r="D358" i="12"/>
  <c r="C359" i="12"/>
  <c r="D359" i="12"/>
  <c r="E358" i="10"/>
  <c r="E359" i="10"/>
  <c r="A358" i="9"/>
  <c r="C358" i="10" s="1"/>
  <c r="C358" i="13" s="1"/>
  <c r="B358" i="9"/>
  <c r="D358" i="10" s="1"/>
  <c r="A359" i="9"/>
  <c r="C359" i="10" s="1"/>
  <c r="C359" i="13" s="1"/>
  <c r="B359" i="9"/>
  <c r="D359" i="10" s="1"/>
  <c r="O351" i="13"/>
  <c r="X351" i="13"/>
  <c r="AH351" i="13"/>
  <c r="O352" i="13"/>
  <c r="X352" i="13"/>
  <c r="AH352" i="13"/>
  <c r="O353" i="13"/>
  <c r="X353" i="13"/>
  <c r="AH353" i="13"/>
  <c r="O354" i="13"/>
  <c r="X354" i="13"/>
  <c r="AH354" i="13"/>
  <c r="O355" i="13"/>
  <c r="X355" i="13"/>
  <c r="AH355" i="13"/>
  <c r="O356" i="13"/>
  <c r="X356" i="13"/>
  <c r="AH356" i="13"/>
  <c r="O357" i="13"/>
  <c r="X357" i="13"/>
  <c r="AH357" i="13"/>
  <c r="L357" i="13"/>
  <c r="K357" i="13"/>
  <c r="E357" i="13"/>
  <c r="B357" i="13"/>
  <c r="A357" i="13"/>
  <c r="L356" i="13"/>
  <c r="K356" i="13"/>
  <c r="E356" i="13"/>
  <c r="B356" i="13"/>
  <c r="A356" i="13"/>
  <c r="L355" i="13"/>
  <c r="K355" i="13"/>
  <c r="E355" i="13"/>
  <c r="B355" i="13"/>
  <c r="A355" i="13"/>
  <c r="L354" i="13"/>
  <c r="K354" i="13"/>
  <c r="E354" i="13"/>
  <c r="B354" i="13"/>
  <c r="A354" i="13"/>
  <c r="L353" i="13"/>
  <c r="K353" i="13"/>
  <c r="E353" i="13"/>
  <c r="B353" i="13"/>
  <c r="A353" i="13"/>
  <c r="L352" i="13"/>
  <c r="K352" i="13"/>
  <c r="E352" i="13"/>
  <c r="B352" i="13"/>
  <c r="A352" i="13"/>
  <c r="L351" i="13"/>
  <c r="K351" i="13"/>
  <c r="E351" i="13"/>
  <c r="B351" i="13"/>
  <c r="A351" i="13"/>
  <c r="AG359" i="12"/>
  <c r="AF359" i="12"/>
  <c r="AE359" i="12"/>
  <c r="AC359" i="12"/>
  <c r="AC359" i="13" s="1"/>
  <c r="AG357" i="12"/>
  <c r="AF357" i="12"/>
  <c r="AE357" i="12"/>
  <c r="AC357" i="12"/>
  <c r="AC357" i="13" s="1"/>
  <c r="AG356" i="12"/>
  <c r="AF356" i="12"/>
  <c r="AE356" i="12"/>
  <c r="AC356" i="12"/>
  <c r="AC356" i="13" s="1"/>
  <c r="AG355" i="12"/>
  <c r="AF355" i="12"/>
  <c r="AE355" i="12"/>
  <c r="AC355" i="12"/>
  <c r="AC355" i="13" s="1"/>
  <c r="AG354" i="12"/>
  <c r="AF354" i="12"/>
  <c r="AE354" i="12"/>
  <c r="AC354" i="12"/>
  <c r="AC354" i="13" s="1"/>
  <c r="AG353" i="12"/>
  <c r="AF353" i="12"/>
  <c r="AE353" i="12"/>
  <c r="AC353" i="12"/>
  <c r="AC353" i="13" s="1"/>
  <c r="AG352" i="12"/>
  <c r="AF352" i="12"/>
  <c r="AE352" i="12"/>
  <c r="AC352" i="12"/>
  <c r="AC352" i="13" s="1"/>
  <c r="AG351" i="12"/>
  <c r="AF351" i="12"/>
  <c r="AE351" i="12"/>
  <c r="AC351" i="12"/>
  <c r="AC351" i="13" s="1"/>
  <c r="AB351" i="12"/>
  <c r="AB352" i="12"/>
  <c r="AB353" i="12"/>
  <c r="X348" i="12"/>
  <c r="X349" i="12"/>
  <c r="X350" i="12"/>
  <c r="X351" i="12"/>
  <c r="X352" i="12"/>
  <c r="X353" i="12"/>
  <c r="S351" i="12"/>
  <c r="S352" i="12"/>
  <c r="S353" i="12"/>
  <c r="S354" i="12"/>
  <c r="S355" i="12"/>
  <c r="S356" i="12"/>
  <c r="S357" i="12"/>
  <c r="C351" i="12"/>
  <c r="D351" i="12"/>
  <c r="C352" i="12"/>
  <c r="D352" i="12"/>
  <c r="C353" i="12"/>
  <c r="D353" i="12"/>
  <c r="C354" i="12"/>
  <c r="D354" i="12"/>
  <c r="C355" i="12"/>
  <c r="D355" i="12"/>
  <c r="C356" i="12"/>
  <c r="D356" i="12"/>
  <c r="C357" i="12"/>
  <c r="D357" i="12"/>
  <c r="AK351" i="10"/>
  <c r="AL351" i="10"/>
  <c r="AO351" i="10"/>
  <c r="N351" i="10" s="1"/>
  <c r="AK352" i="10"/>
  <c r="AL352" i="10"/>
  <c r="AO352" i="10"/>
  <c r="N352" i="10" s="1"/>
  <c r="AK353" i="10"/>
  <c r="AL353" i="10"/>
  <c r="AO353" i="10"/>
  <c r="N353" i="10" s="1"/>
  <c r="AK354" i="10"/>
  <c r="AL354" i="10"/>
  <c r="AO354" i="10"/>
  <c r="N354" i="10" s="1"/>
  <c r="AK355" i="10"/>
  <c r="AL355" i="10"/>
  <c r="AO355" i="10"/>
  <c r="N355" i="10" s="1"/>
  <c r="AK356" i="10"/>
  <c r="AL356" i="10"/>
  <c r="AO356" i="10"/>
  <c r="N356" i="10" s="1"/>
  <c r="AK357" i="10"/>
  <c r="AL357" i="10"/>
  <c r="AO357" i="10"/>
  <c r="N357" i="10" s="1"/>
  <c r="I351" i="10"/>
  <c r="J351" i="10"/>
  <c r="K351" i="10"/>
  <c r="R351" i="10"/>
  <c r="S351" i="10"/>
  <c r="T351" i="10"/>
  <c r="I352" i="10"/>
  <c r="J352" i="10"/>
  <c r="K352" i="10"/>
  <c r="R352" i="10"/>
  <c r="S352" i="10"/>
  <c r="T352" i="10"/>
  <c r="I353" i="10"/>
  <c r="J353" i="10"/>
  <c r="K353" i="10"/>
  <c r="R353" i="10"/>
  <c r="S353" i="10"/>
  <c r="T353" i="10"/>
  <c r="I354" i="10"/>
  <c r="J354" i="10"/>
  <c r="K354" i="10"/>
  <c r="R354" i="10"/>
  <c r="S354" i="10"/>
  <c r="T354" i="10"/>
  <c r="I355" i="10"/>
  <c r="J355" i="10"/>
  <c r="K355" i="10"/>
  <c r="R355" i="10"/>
  <c r="S355" i="10"/>
  <c r="T355" i="10"/>
  <c r="I356" i="10"/>
  <c r="J356" i="10"/>
  <c r="K356" i="10"/>
  <c r="R356" i="10"/>
  <c r="S356" i="10"/>
  <c r="T356" i="10"/>
  <c r="I357" i="10"/>
  <c r="J357" i="10"/>
  <c r="K357" i="10"/>
  <c r="R357" i="10"/>
  <c r="S357" i="10"/>
  <c r="T357" i="10"/>
  <c r="E351" i="10"/>
  <c r="E352" i="10"/>
  <c r="Y352" i="10" s="1"/>
  <c r="E353" i="10"/>
  <c r="Y353" i="10" s="1"/>
  <c r="E354" i="10"/>
  <c r="Y354" i="10" s="1"/>
  <c r="E355" i="10"/>
  <c r="Y355" i="10" s="1"/>
  <c r="E356" i="10"/>
  <c r="Y356" i="10" s="1"/>
  <c r="E357" i="10"/>
  <c r="Y357" i="10" s="1"/>
  <c r="W321" i="9"/>
  <c r="W322" i="9"/>
  <c r="W323" i="9"/>
  <c r="W324" i="9"/>
  <c r="W325" i="9"/>
  <c r="W326" i="9"/>
  <c r="W327" i="9"/>
  <c r="W328" i="9"/>
  <c r="W329" i="9"/>
  <c r="W330" i="9"/>
  <c r="W331" i="9"/>
  <c r="W332" i="9"/>
  <c r="W333" i="9"/>
  <c r="W334" i="9"/>
  <c r="W335" i="9"/>
  <c r="W336" i="9"/>
  <c r="W337" i="9"/>
  <c r="W338" i="9"/>
  <c r="W339" i="9"/>
  <c r="W340" i="9"/>
  <c r="W341" i="9"/>
  <c r="W342" i="9"/>
  <c r="W343" i="9"/>
  <c r="W344" i="9"/>
  <c r="W345" i="9"/>
  <c r="W346" i="9"/>
  <c r="W347" i="9"/>
  <c r="W348" i="9"/>
  <c r="W349" i="9"/>
  <c r="W350" i="9"/>
  <c r="W351" i="9"/>
  <c r="W352" i="9"/>
  <c r="W353" i="9"/>
  <c r="W354" i="9"/>
  <c r="W355" i="9"/>
  <c r="W356" i="9"/>
  <c r="N320" i="9"/>
  <c r="N321" i="9"/>
  <c r="N322" i="9"/>
  <c r="N323" i="9"/>
  <c r="N324" i="9"/>
  <c r="N325" i="9"/>
  <c r="N326" i="9"/>
  <c r="N327" i="9"/>
  <c r="N328" i="9"/>
  <c r="N329" i="9"/>
  <c r="N330" i="9"/>
  <c r="N331" i="9"/>
  <c r="N332" i="9"/>
  <c r="N333" i="9"/>
  <c r="N334" i="9"/>
  <c r="N335" i="9"/>
  <c r="N336" i="9"/>
  <c r="N337" i="9"/>
  <c r="N338" i="9"/>
  <c r="N339" i="9"/>
  <c r="N340" i="9"/>
  <c r="N341" i="9"/>
  <c r="N342" i="9"/>
  <c r="N343" i="9"/>
  <c r="N344" i="9"/>
  <c r="N345" i="9"/>
  <c r="N346" i="9"/>
  <c r="N347" i="9"/>
  <c r="N348" i="9"/>
  <c r="N349" i="9"/>
  <c r="N350" i="9"/>
  <c r="N351" i="9"/>
  <c r="N352" i="9"/>
  <c r="N353" i="9"/>
  <c r="N354" i="9"/>
  <c r="N355" i="9"/>
  <c r="N356" i="9"/>
  <c r="A351" i="9"/>
  <c r="C351" i="10" s="1"/>
  <c r="C351" i="13" s="1"/>
  <c r="B351" i="9"/>
  <c r="D351" i="10" s="1"/>
  <c r="A352" i="9"/>
  <c r="C352" i="10" s="1"/>
  <c r="C352" i="13" s="1"/>
  <c r="B352" i="9"/>
  <c r="D352" i="10" s="1"/>
  <c r="A353" i="9"/>
  <c r="C353" i="10" s="1"/>
  <c r="C353" i="13" s="1"/>
  <c r="B353" i="9"/>
  <c r="D353" i="10" s="1"/>
  <c r="A354" i="9"/>
  <c r="C354" i="10" s="1"/>
  <c r="C354" i="13" s="1"/>
  <c r="B354" i="9"/>
  <c r="D354" i="10" s="1"/>
  <c r="A355" i="9"/>
  <c r="C355" i="10" s="1"/>
  <c r="C355" i="13" s="1"/>
  <c r="B355" i="9"/>
  <c r="D355" i="10" s="1"/>
  <c r="A356" i="9"/>
  <c r="C356" i="10" s="1"/>
  <c r="C356" i="13" s="1"/>
  <c r="B356" i="9"/>
  <c r="D356" i="10" s="1"/>
  <c r="A357" i="9"/>
  <c r="C357" i="10" s="1"/>
  <c r="C357" i="13" s="1"/>
  <c r="B357" i="9"/>
  <c r="D357" i="10" s="1"/>
  <c r="G351" i="5"/>
  <c r="J351" i="5"/>
  <c r="K351" i="5"/>
  <c r="Z351" i="5"/>
  <c r="G352" i="5"/>
  <c r="J352" i="5"/>
  <c r="K352" i="5"/>
  <c r="Z352" i="5"/>
  <c r="G353" i="5"/>
  <c r="J353" i="5"/>
  <c r="K353" i="5"/>
  <c r="Z353" i="5"/>
  <c r="G354" i="5"/>
  <c r="J354" i="5"/>
  <c r="K354" i="5"/>
  <c r="Z354" i="5"/>
  <c r="G355" i="5"/>
  <c r="J355" i="5"/>
  <c r="K355" i="5"/>
  <c r="Z355" i="5"/>
  <c r="G356" i="5"/>
  <c r="J356" i="5"/>
  <c r="K356" i="5"/>
  <c r="Z356" i="5"/>
  <c r="G357" i="5"/>
  <c r="J357" i="5"/>
  <c r="K357" i="5"/>
  <c r="Z357" i="5"/>
  <c r="AH350" i="13"/>
  <c r="X350" i="13"/>
  <c r="O350" i="13"/>
  <c r="L350" i="13"/>
  <c r="K350" i="13"/>
  <c r="AH349" i="13"/>
  <c r="X349" i="13"/>
  <c r="O349" i="13"/>
  <c r="L349" i="13"/>
  <c r="K349" i="13"/>
  <c r="AH348" i="13"/>
  <c r="X348" i="13"/>
  <c r="O348" i="13"/>
  <c r="L348" i="13"/>
  <c r="K348" i="13"/>
  <c r="AH347" i="13"/>
  <c r="X347" i="13"/>
  <c r="O347" i="13"/>
  <c r="L347" i="13"/>
  <c r="K347" i="13"/>
  <c r="AH346" i="13"/>
  <c r="X346" i="13"/>
  <c r="O346" i="13"/>
  <c r="L346" i="13"/>
  <c r="K346" i="13"/>
  <c r="AH345" i="13"/>
  <c r="X345" i="13"/>
  <c r="O345" i="13"/>
  <c r="L345" i="13"/>
  <c r="K345" i="13"/>
  <c r="AG350" i="12"/>
  <c r="AF350" i="12"/>
  <c r="AE350" i="12"/>
  <c r="AL350" i="12" s="1"/>
  <c r="AM350" i="12" s="1"/>
  <c r="AC350" i="12"/>
  <c r="AC350" i="13" s="1"/>
  <c r="AG349" i="12"/>
  <c r="AF349" i="12"/>
  <c r="AE349" i="12"/>
  <c r="AC349" i="12"/>
  <c r="AC349" i="13" s="1"/>
  <c r="AG348" i="12"/>
  <c r="AF348" i="12"/>
  <c r="AE348" i="12"/>
  <c r="AC348" i="12"/>
  <c r="AC348" i="13" s="1"/>
  <c r="AG347" i="12"/>
  <c r="AF347" i="12"/>
  <c r="AE347" i="12"/>
  <c r="AL347" i="12" s="1"/>
  <c r="AC347" i="12"/>
  <c r="AC347" i="13" s="1"/>
  <c r="AG346" i="12"/>
  <c r="AF346" i="12"/>
  <c r="AE346" i="12"/>
  <c r="AL346" i="12" s="1"/>
  <c r="AM346" i="12" s="1"/>
  <c r="AC346" i="12"/>
  <c r="AC346" i="13" s="1"/>
  <c r="AG345" i="12"/>
  <c r="AF345" i="12"/>
  <c r="AE345" i="12"/>
  <c r="AL345" i="12" s="1"/>
  <c r="AM345" i="12" s="1"/>
  <c r="AC345" i="12"/>
  <c r="AC345" i="13" s="1"/>
  <c r="AB345" i="12"/>
  <c r="AB346" i="12"/>
  <c r="AB347" i="12"/>
  <c r="AB348" i="12"/>
  <c r="AB349" i="12"/>
  <c r="AB350" i="12"/>
  <c r="X345" i="12"/>
  <c r="X346" i="12"/>
  <c r="X347" i="12"/>
  <c r="S345" i="12"/>
  <c r="S346" i="12"/>
  <c r="S347" i="12"/>
  <c r="S348" i="12"/>
  <c r="S349" i="12"/>
  <c r="S350" i="12"/>
  <c r="AO350" i="10"/>
  <c r="N350" i="10" s="1"/>
  <c r="AL350" i="10"/>
  <c r="J350" i="10" s="1"/>
  <c r="AK350" i="10"/>
  <c r="T350" i="10"/>
  <c r="S350" i="10"/>
  <c r="R350" i="10"/>
  <c r="K350" i="10"/>
  <c r="I350" i="10"/>
  <c r="AO349" i="10"/>
  <c r="N349" i="10" s="1"/>
  <c r="AL349" i="10"/>
  <c r="J349" i="10" s="1"/>
  <c r="AK349" i="10"/>
  <c r="R349" i="10" s="1"/>
  <c r="T349" i="10"/>
  <c r="S349" i="10"/>
  <c r="K349" i="10"/>
  <c r="I349" i="10"/>
  <c r="AO348" i="10"/>
  <c r="N348" i="10" s="1"/>
  <c r="AL348" i="10"/>
  <c r="J348" i="10" s="1"/>
  <c r="AK348" i="10"/>
  <c r="T348" i="10"/>
  <c r="S348" i="10"/>
  <c r="R348" i="10"/>
  <c r="K348" i="10"/>
  <c r="I348" i="10"/>
  <c r="AO347" i="10"/>
  <c r="N347" i="10" s="1"/>
  <c r="AL347" i="10"/>
  <c r="J347" i="10" s="1"/>
  <c r="AK347" i="10"/>
  <c r="T347" i="10"/>
  <c r="S347" i="10"/>
  <c r="R347" i="10"/>
  <c r="K347" i="10"/>
  <c r="I347" i="10"/>
  <c r="AO346" i="10"/>
  <c r="N346" i="10" s="1"/>
  <c r="AL346" i="10"/>
  <c r="J346" i="10" s="1"/>
  <c r="AK346" i="10"/>
  <c r="T346" i="10"/>
  <c r="S346" i="10"/>
  <c r="R346" i="10"/>
  <c r="K346" i="10"/>
  <c r="I346" i="10"/>
  <c r="AO345" i="10"/>
  <c r="N345" i="10" s="1"/>
  <c r="AL345" i="10"/>
  <c r="J345" i="10" s="1"/>
  <c r="AK345" i="10"/>
  <c r="T345" i="10"/>
  <c r="S345" i="10"/>
  <c r="R345" i="10"/>
  <c r="K345" i="10"/>
  <c r="I345" i="10"/>
  <c r="Z350" i="5"/>
  <c r="Z349" i="5"/>
  <c r="Z348" i="5"/>
  <c r="Z347" i="5"/>
  <c r="Z346" i="5"/>
  <c r="Z345" i="5"/>
  <c r="K350" i="5"/>
  <c r="J350" i="5"/>
  <c r="G350" i="5"/>
  <c r="K349" i="5"/>
  <c r="J349" i="5"/>
  <c r="G349" i="5"/>
  <c r="K348" i="5"/>
  <c r="J348" i="5"/>
  <c r="G348" i="5"/>
  <c r="K347" i="5"/>
  <c r="J347" i="5"/>
  <c r="G347" i="5"/>
  <c r="K346" i="5"/>
  <c r="J346" i="5"/>
  <c r="G346" i="5"/>
  <c r="K345" i="5"/>
  <c r="J345" i="5"/>
  <c r="G345" i="5"/>
  <c r="A345" i="13"/>
  <c r="B345" i="13"/>
  <c r="E345" i="13"/>
  <c r="AB345" i="13" s="1"/>
  <c r="A346" i="13"/>
  <c r="B346" i="13"/>
  <c r="E346" i="13"/>
  <c r="AB346" i="13" s="1"/>
  <c r="A347" i="13"/>
  <c r="B347" i="13"/>
  <c r="E347" i="13"/>
  <c r="AB347" i="13" s="1"/>
  <c r="A348" i="13"/>
  <c r="B348" i="13"/>
  <c r="E348" i="13"/>
  <c r="AB348" i="13" s="1"/>
  <c r="A349" i="13"/>
  <c r="B349" i="13"/>
  <c r="E349" i="13"/>
  <c r="AB349" i="13" s="1"/>
  <c r="A350" i="13"/>
  <c r="B350" i="13"/>
  <c r="E350" i="13"/>
  <c r="AB350" i="13" s="1"/>
  <c r="C345" i="12"/>
  <c r="D345" i="12"/>
  <c r="C346" i="12"/>
  <c r="D346" i="12"/>
  <c r="C347" i="12"/>
  <c r="D347" i="12"/>
  <c r="C348" i="12"/>
  <c r="D348" i="12"/>
  <c r="C349" i="12"/>
  <c r="D349" i="12"/>
  <c r="C350" i="12"/>
  <c r="D350" i="12"/>
  <c r="E345" i="10"/>
  <c r="E346" i="10"/>
  <c r="E347" i="10"/>
  <c r="E348" i="10"/>
  <c r="E349" i="10"/>
  <c r="E350" i="10"/>
  <c r="A345" i="9"/>
  <c r="C345" i="10" s="1"/>
  <c r="C345" i="13" s="1"/>
  <c r="B345" i="9"/>
  <c r="D345" i="10" s="1"/>
  <c r="A346" i="9"/>
  <c r="C346" i="10" s="1"/>
  <c r="C346" i="13" s="1"/>
  <c r="B346" i="9"/>
  <c r="D346" i="10" s="1"/>
  <c r="A347" i="9"/>
  <c r="C347" i="10" s="1"/>
  <c r="C347" i="13" s="1"/>
  <c r="B347" i="9"/>
  <c r="D347" i="10" s="1"/>
  <c r="A348" i="9"/>
  <c r="C348" i="10" s="1"/>
  <c r="C348" i="13" s="1"/>
  <c r="B348" i="9"/>
  <c r="D348" i="10" s="1"/>
  <c r="A349" i="9"/>
  <c r="C349" i="10" s="1"/>
  <c r="C349" i="13" s="1"/>
  <c r="B349" i="9"/>
  <c r="D349" i="10" s="1"/>
  <c r="A350" i="9"/>
  <c r="C350" i="10" s="1"/>
  <c r="C350" i="13" s="1"/>
  <c r="B350" i="9"/>
  <c r="D350" i="10" s="1"/>
  <c r="G336" i="5"/>
  <c r="J336" i="5"/>
  <c r="K336" i="5"/>
  <c r="G337" i="5"/>
  <c r="J337" i="5"/>
  <c r="K337" i="5"/>
  <c r="G338" i="5"/>
  <c r="J338" i="5"/>
  <c r="K338" i="5"/>
  <c r="G339" i="5"/>
  <c r="J339" i="5"/>
  <c r="K339" i="5"/>
  <c r="G340" i="5"/>
  <c r="J340" i="5"/>
  <c r="K340" i="5"/>
  <c r="G341" i="5"/>
  <c r="J341" i="5"/>
  <c r="K341" i="5"/>
  <c r="G342" i="5"/>
  <c r="J342" i="5"/>
  <c r="K342" i="5"/>
  <c r="G343" i="5"/>
  <c r="J343" i="5"/>
  <c r="K343" i="5"/>
  <c r="G344" i="5"/>
  <c r="J344" i="5"/>
  <c r="K344" i="5"/>
  <c r="AH337" i="13"/>
  <c r="AH338" i="13"/>
  <c r="AH339" i="13"/>
  <c r="AH340" i="13"/>
  <c r="AH341" i="13"/>
  <c r="AH342" i="13"/>
  <c r="AH343" i="13"/>
  <c r="AH344" i="13"/>
  <c r="K337" i="13"/>
  <c r="L337" i="13"/>
  <c r="O337" i="13"/>
  <c r="X337" i="13"/>
  <c r="K338" i="13"/>
  <c r="L338" i="13"/>
  <c r="O338" i="13"/>
  <c r="X338" i="13"/>
  <c r="K339" i="13"/>
  <c r="L339" i="13"/>
  <c r="O339" i="13"/>
  <c r="X339" i="13"/>
  <c r="K340" i="13"/>
  <c r="L340" i="13"/>
  <c r="O340" i="13"/>
  <c r="X340" i="13"/>
  <c r="K341" i="13"/>
  <c r="L341" i="13"/>
  <c r="O341" i="13"/>
  <c r="X341" i="13"/>
  <c r="K342" i="13"/>
  <c r="L342" i="13"/>
  <c r="O342" i="13"/>
  <c r="X342" i="13"/>
  <c r="K343" i="13"/>
  <c r="L343" i="13"/>
  <c r="O343" i="13"/>
  <c r="X343" i="13"/>
  <c r="K344" i="13"/>
  <c r="L344" i="13"/>
  <c r="O344" i="13"/>
  <c r="X344" i="13"/>
  <c r="E330" i="13"/>
  <c r="E331" i="13"/>
  <c r="E332" i="13"/>
  <c r="AB332" i="13" s="1"/>
  <c r="E333" i="13"/>
  <c r="AB333" i="13" s="1"/>
  <c r="E334" i="13"/>
  <c r="AB334" i="13" s="1"/>
  <c r="E335" i="13"/>
  <c r="AB335" i="13" s="1"/>
  <c r="E336" i="13"/>
  <c r="AB336" i="13" s="1"/>
  <c r="E337" i="13"/>
  <c r="E338" i="13"/>
  <c r="AB338" i="13" s="1"/>
  <c r="E339" i="13"/>
  <c r="AB339" i="13" s="1"/>
  <c r="E340" i="13"/>
  <c r="AB340" i="13" s="1"/>
  <c r="E341" i="13"/>
  <c r="AB341" i="13" s="1"/>
  <c r="E342" i="13"/>
  <c r="AB342" i="13" s="1"/>
  <c r="E343" i="13"/>
  <c r="AB343" i="13" s="1"/>
  <c r="E344" i="13"/>
  <c r="E329" i="13"/>
  <c r="A337" i="13"/>
  <c r="B337" i="13"/>
  <c r="A338" i="13"/>
  <c r="B338" i="13"/>
  <c r="A339" i="13"/>
  <c r="B339" i="13"/>
  <c r="A340" i="13"/>
  <c r="B340" i="13"/>
  <c r="A341" i="13"/>
  <c r="B341" i="13"/>
  <c r="A342" i="13"/>
  <c r="B342" i="13"/>
  <c r="A343" i="13"/>
  <c r="B343" i="13"/>
  <c r="A344" i="13"/>
  <c r="B344" i="13"/>
  <c r="AG344" i="12"/>
  <c r="AF344" i="12"/>
  <c r="AE344" i="12"/>
  <c r="AL344" i="12" s="1"/>
  <c r="AC344" i="12"/>
  <c r="AC344" i="13" s="1"/>
  <c r="AG343" i="12"/>
  <c r="AF343" i="12"/>
  <c r="AE343" i="12"/>
  <c r="AL343" i="12" s="1"/>
  <c r="AC343" i="12"/>
  <c r="AC343" i="13" s="1"/>
  <c r="AG342" i="12"/>
  <c r="AF342" i="12"/>
  <c r="AE342" i="12"/>
  <c r="AL342" i="12" s="1"/>
  <c r="AC342" i="12"/>
  <c r="AC342" i="13" s="1"/>
  <c r="AG341" i="12"/>
  <c r="AF341" i="12"/>
  <c r="AE341" i="12"/>
  <c r="AL341" i="12" s="1"/>
  <c r="AC341" i="12"/>
  <c r="AC341" i="13" s="1"/>
  <c r="AG340" i="12"/>
  <c r="AF340" i="12"/>
  <c r="AE340" i="12"/>
  <c r="AL340" i="12" s="1"/>
  <c r="AC340" i="12"/>
  <c r="AC340" i="13" s="1"/>
  <c r="AG339" i="12"/>
  <c r="AF339" i="12"/>
  <c r="AE339" i="12"/>
  <c r="AL339" i="12" s="1"/>
  <c r="AC339" i="12"/>
  <c r="AC339" i="13" s="1"/>
  <c r="AG338" i="12"/>
  <c r="AF338" i="12"/>
  <c r="AE338" i="12"/>
  <c r="AL338" i="12" s="1"/>
  <c r="AC338" i="12"/>
  <c r="AC338" i="13" s="1"/>
  <c r="AG337" i="12"/>
  <c r="AF337" i="12"/>
  <c r="AE337" i="12"/>
  <c r="AL337" i="12" s="1"/>
  <c r="AC337" i="12"/>
  <c r="AC337" i="13" s="1"/>
  <c r="AB328" i="12"/>
  <c r="AB329" i="12"/>
  <c r="AB330" i="12"/>
  <c r="AB331" i="12"/>
  <c r="AB332" i="12"/>
  <c r="AB333" i="12"/>
  <c r="AB334" i="12"/>
  <c r="AB335" i="12"/>
  <c r="AB336" i="12"/>
  <c r="AB337" i="12"/>
  <c r="AB338" i="12"/>
  <c r="AB339" i="12"/>
  <c r="AB340" i="12"/>
  <c r="AB341" i="12"/>
  <c r="AB342" i="12"/>
  <c r="AB343" i="12"/>
  <c r="AB344" i="12"/>
  <c r="X336" i="12"/>
  <c r="X337" i="12"/>
  <c r="X338" i="12"/>
  <c r="X339" i="12"/>
  <c r="X340" i="12"/>
  <c r="X341" i="12"/>
  <c r="X342" i="12"/>
  <c r="X343" i="12"/>
  <c r="X344" i="12"/>
  <c r="S335" i="12"/>
  <c r="S336" i="12"/>
  <c r="S337" i="12"/>
  <c r="S338" i="12"/>
  <c r="S339" i="12"/>
  <c r="S340" i="12"/>
  <c r="S341" i="12"/>
  <c r="S342" i="12"/>
  <c r="S343" i="12"/>
  <c r="S344" i="12"/>
  <c r="C337" i="12"/>
  <c r="D337" i="12"/>
  <c r="C338" i="12"/>
  <c r="D338" i="12"/>
  <c r="C339" i="12"/>
  <c r="D339" i="12"/>
  <c r="C340" i="12"/>
  <c r="D340" i="12"/>
  <c r="C341" i="12"/>
  <c r="D341" i="12"/>
  <c r="C342" i="12"/>
  <c r="D342" i="12"/>
  <c r="C343" i="12"/>
  <c r="D343" i="12"/>
  <c r="C344" i="12"/>
  <c r="D344" i="12"/>
  <c r="AK337" i="10"/>
  <c r="R337" i="10" s="1"/>
  <c r="AL337" i="10"/>
  <c r="AO337" i="10"/>
  <c r="N337" i="10" s="1"/>
  <c r="AK338" i="10"/>
  <c r="R338" i="10" s="1"/>
  <c r="AL338" i="10"/>
  <c r="AO338" i="10"/>
  <c r="N338" i="10" s="1"/>
  <c r="AK339" i="10"/>
  <c r="R339" i="10" s="1"/>
  <c r="AL339" i="10"/>
  <c r="AO339" i="10"/>
  <c r="N339" i="10" s="1"/>
  <c r="AK340" i="10"/>
  <c r="AL340" i="10"/>
  <c r="AO340" i="10"/>
  <c r="N340" i="10" s="1"/>
  <c r="AK341" i="10"/>
  <c r="AL341" i="10"/>
  <c r="AO341" i="10"/>
  <c r="N341" i="10" s="1"/>
  <c r="AK342" i="10"/>
  <c r="R342" i="10" s="1"/>
  <c r="AL342" i="10"/>
  <c r="J342" i="10" s="1"/>
  <c r="AO342" i="10"/>
  <c r="N342" i="10" s="1"/>
  <c r="AK343" i="10"/>
  <c r="R343" i="10" s="1"/>
  <c r="AL343" i="10"/>
  <c r="AO343" i="10"/>
  <c r="N343" i="10" s="1"/>
  <c r="AK344" i="10"/>
  <c r="AL344" i="10"/>
  <c r="J344" i="10" s="1"/>
  <c r="AO344" i="10"/>
  <c r="N344" i="10" s="1"/>
  <c r="E337" i="10"/>
  <c r="I337" i="10"/>
  <c r="J337" i="10"/>
  <c r="K337" i="10"/>
  <c r="S337" i="10"/>
  <c r="T337" i="10"/>
  <c r="E338" i="10"/>
  <c r="I338" i="10"/>
  <c r="J338" i="10"/>
  <c r="K338" i="10"/>
  <c r="S338" i="10"/>
  <c r="T338" i="10"/>
  <c r="E339" i="10"/>
  <c r="I339" i="10"/>
  <c r="J339" i="10"/>
  <c r="K339" i="10"/>
  <c r="S339" i="10"/>
  <c r="T339" i="10"/>
  <c r="E340" i="10"/>
  <c r="I340" i="10"/>
  <c r="J340" i="10"/>
  <c r="K340" i="10"/>
  <c r="R340" i="10"/>
  <c r="S340" i="10"/>
  <c r="T340" i="10"/>
  <c r="E341" i="10"/>
  <c r="I341" i="10"/>
  <c r="J341" i="10"/>
  <c r="K341" i="10"/>
  <c r="R341" i="10"/>
  <c r="S341" i="10"/>
  <c r="T341" i="10"/>
  <c r="E342" i="10"/>
  <c r="I342" i="10"/>
  <c r="K342" i="10"/>
  <c r="S342" i="10"/>
  <c r="T342" i="10"/>
  <c r="E343" i="10"/>
  <c r="I343" i="10"/>
  <c r="J343" i="10"/>
  <c r="K343" i="10"/>
  <c r="S343" i="10"/>
  <c r="T343" i="10"/>
  <c r="E344" i="10"/>
  <c r="I344" i="10"/>
  <c r="K344" i="10"/>
  <c r="R344" i="10"/>
  <c r="S344" i="10"/>
  <c r="T344" i="10"/>
  <c r="A330" i="9"/>
  <c r="C330" i="10" s="1"/>
  <c r="C330" i="13" s="1"/>
  <c r="B330" i="9"/>
  <c r="D330" i="10" s="1"/>
  <c r="A331" i="9"/>
  <c r="C331" i="10" s="1"/>
  <c r="C331" i="13" s="1"/>
  <c r="B331" i="9"/>
  <c r="D331" i="10" s="1"/>
  <c r="A332" i="9"/>
  <c r="C332" i="10" s="1"/>
  <c r="C332" i="13" s="1"/>
  <c r="B332" i="9"/>
  <c r="D332" i="10" s="1"/>
  <c r="A333" i="9"/>
  <c r="C333" i="10" s="1"/>
  <c r="C333" i="13" s="1"/>
  <c r="B333" i="9"/>
  <c r="D333" i="10" s="1"/>
  <c r="A334" i="9"/>
  <c r="C334" i="10" s="1"/>
  <c r="C334" i="13" s="1"/>
  <c r="B334" i="9"/>
  <c r="D334" i="10" s="1"/>
  <c r="A335" i="9"/>
  <c r="C335" i="10" s="1"/>
  <c r="C335" i="13" s="1"/>
  <c r="B335" i="9"/>
  <c r="D335" i="10" s="1"/>
  <c r="A336" i="9"/>
  <c r="C336" i="10" s="1"/>
  <c r="C336" i="13" s="1"/>
  <c r="B336" i="9"/>
  <c r="D336" i="10" s="1"/>
  <c r="A337" i="9"/>
  <c r="C337" i="10" s="1"/>
  <c r="C337" i="13" s="1"/>
  <c r="B337" i="9"/>
  <c r="D337" i="10" s="1"/>
  <c r="A338" i="9"/>
  <c r="C338" i="10" s="1"/>
  <c r="C338" i="13" s="1"/>
  <c r="B338" i="9"/>
  <c r="D338" i="10" s="1"/>
  <c r="A339" i="9"/>
  <c r="C339" i="10" s="1"/>
  <c r="C339" i="13" s="1"/>
  <c r="B339" i="9"/>
  <c r="D339" i="10" s="1"/>
  <c r="A340" i="9"/>
  <c r="C340" i="10" s="1"/>
  <c r="C340" i="13" s="1"/>
  <c r="B340" i="9"/>
  <c r="D340" i="10" s="1"/>
  <c r="A341" i="9"/>
  <c r="C341" i="10" s="1"/>
  <c r="C341" i="13" s="1"/>
  <c r="B341" i="9"/>
  <c r="D341" i="10" s="1"/>
  <c r="A342" i="9"/>
  <c r="C342" i="10" s="1"/>
  <c r="C342" i="13" s="1"/>
  <c r="B342" i="9"/>
  <c r="D342" i="10" s="1"/>
  <c r="A343" i="9"/>
  <c r="C343" i="10" s="1"/>
  <c r="C343" i="13" s="1"/>
  <c r="B343" i="9"/>
  <c r="D343" i="10" s="1"/>
  <c r="A344" i="9"/>
  <c r="C344" i="10" s="1"/>
  <c r="C344" i="13" s="1"/>
  <c r="B344" i="9"/>
  <c r="D344" i="10" s="1"/>
  <c r="Z337" i="5"/>
  <c r="Z338" i="5"/>
  <c r="Z339" i="5"/>
  <c r="Z340" i="5"/>
  <c r="Z341" i="5"/>
  <c r="Z342" i="5"/>
  <c r="Z343" i="5"/>
  <c r="Z344" i="5"/>
  <c r="K19" i="14"/>
  <c r="K17" i="14"/>
  <c r="L8" i="14"/>
  <c r="I13" i="14"/>
  <c r="E17" i="9"/>
  <c r="G17" i="10" s="1"/>
  <c r="Q17" i="5"/>
  <c r="G17" i="13"/>
  <c r="A329" i="13"/>
  <c r="B329" i="13"/>
  <c r="K329" i="13"/>
  <c r="L329" i="13"/>
  <c r="O329" i="13"/>
  <c r="X329" i="13"/>
  <c r="AB329" i="13"/>
  <c r="AH329" i="13"/>
  <c r="A330" i="13"/>
  <c r="B330" i="13"/>
  <c r="K330" i="13"/>
  <c r="L330" i="13"/>
  <c r="O330" i="13"/>
  <c r="X330" i="13"/>
  <c r="AB330" i="13"/>
  <c r="AH330" i="13"/>
  <c r="A331" i="13"/>
  <c r="B331" i="13"/>
  <c r="K331" i="13"/>
  <c r="L331" i="13"/>
  <c r="O331" i="13"/>
  <c r="X331" i="13"/>
  <c r="AB331" i="13"/>
  <c r="AH331" i="13"/>
  <c r="A332" i="13"/>
  <c r="B332" i="13"/>
  <c r="K332" i="13"/>
  <c r="L332" i="13"/>
  <c r="O332" i="13"/>
  <c r="X332" i="13"/>
  <c r="AH332" i="13"/>
  <c r="A333" i="13"/>
  <c r="B333" i="13"/>
  <c r="K333" i="13"/>
  <c r="L333" i="13"/>
  <c r="O333" i="13"/>
  <c r="X333" i="13"/>
  <c r="AH333" i="13"/>
  <c r="A334" i="13"/>
  <c r="B334" i="13"/>
  <c r="K334" i="13"/>
  <c r="L334" i="13"/>
  <c r="O334" i="13"/>
  <c r="X334" i="13"/>
  <c r="AH334" i="13"/>
  <c r="A335" i="13"/>
  <c r="B335" i="13"/>
  <c r="K335" i="13"/>
  <c r="L335" i="13"/>
  <c r="O335" i="13"/>
  <c r="X335" i="13"/>
  <c r="AH335" i="13"/>
  <c r="A336" i="13"/>
  <c r="B336" i="13"/>
  <c r="K336" i="13"/>
  <c r="L336" i="13"/>
  <c r="O336" i="13"/>
  <c r="X336" i="13"/>
  <c r="AH336" i="13"/>
  <c r="X329" i="12"/>
  <c r="X330" i="12"/>
  <c r="X331" i="12"/>
  <c r="X332" i="12"/>
  <c r="X333" i="12"/>
  <c r="X334" i="12"/>
  <c r="X335" i="12"/>
  <c r="S329" i="12"/>
  <c r="S330" i="12"/>
  <c r="S331" i="12"/>
  <c r="S332" i="12"/>
  <c r="S333" i="12"/>
  <c r="S334" i="12"/>
  <c r="C329" i="12"/>
  <c r="D329" i="12"/>
  <c r="AC329" i="12"/>
  <c r="AC329" i="13" s="1"/>
  <c r="AE329" i="12"/>
  <c r="AL329" i="12" s="1"/>
  <c r="AM329" i="12" s="1"/>
  <c r="AF329" i="12"/>
  <c r="AG329" i="12"/>
  <c r="C330" i="12"/>
  <c r="D330" i="12"/>
  <c r="AC330" i="12"/>
  <c r="AC330" i="13" s="1"/>
  <c r="AE330" i="12"/>
  <c r="AL330" i="12" s="1"/>
  <c r="AM330" i="12" s="1"/>
  <c r="AF330" i="12"/>
  <c r="AG330" i="12"/>
  <c r="C331" i="12"/>
  <c r="D331" i="12"/>
  <c r="AC331" i="12"/>
  <c r="AC331" i="13" s="1"/>
  <c r="AE331" i="12"/>
  <c r="AL331" i="12" s="1"/>
  <c r="AM331" i="12" s="1"/>
  <c r="AF331" i="12"/>
  <c r="AG331" i="12"/>
  <c r="C332" i="12"/>
  <c r="D332" i="12"/>
  <c r="AC332" i="12"/>
  <c r="AC332" i="13" s="1"/>
  <c r="AE332" i="12"/>
  <c r="AL332" i="12" s="1"/>
  <c r="AF332" i="12"/>
  <c r="AG332" i="12"/>
  <c r="C333" i="12"/>
  <c r="D333" i="12"/>
  <c r="AC333" i="12"/>
  <c r="AC333" i="13" s="1"/>
  <c r="AE333" i="12"/>
  <c r="AF333" i="12"/>
  <c r="AG333" i="12"/>
  <c r="AH333" i="12"/>
  <c r="N333" i="13" s="1"/>
  <c r="AL333" i="12"/>
  <c r="AM333" i="12" s="1"/>
  <c r="C334" i="12"/>
  <c r="D334" i="12"/>
  <c r="AC334" i="12"/>
  <c r="AC334" i="13" s="1"/>
  <c r="AE334" i="12"/>
  <c r="AL334" i="12" s="1"/>
  <c r="AM334" i="12" s="1"/>
  <c r="AF334" i="12"/>
  <c r="AG334" i="12"/>
  <c r="C335" i="12"/>
  <c r="D335" i="12"/>
  <c r="AC335" i="12"/>
  <c r="AC335" i="13" s="1"/>
  <c r="AE335" i="12"/>
  <c r="AL335" i="12" s="1"/>
  <c r="AM335" i="12" s="1"/>
  <c r="AF335" i="12"/>
  <c r="AG335" i="12"/>
  <c r="C336" i="12"/>
  <c r="D336" i="12"/>
  <c r="AC336" i="12"/>
  <c r="AC336" i="13" s="1"/>
  <c r="AE336" i="12"/>
  <c r="AL336" i="12" s="1"/>
  <c r="AF336" i="12"/>
  <c r="AG336" i="12"/>
  <c r="AK329" i="10"/>
  <c r="AL329" i="10"/>
  <c r="AO329" i="10"/>
  <c r="N329" i="10" s="1"/>
  <c r="AK330" i="10"/>
  <c r="AL330" i="10"/>
  <c r="AO330" i="10"/>
  <c r="N330" i="10" s="1"/>
  <c r="AK331" i="10"/>
  <c r="R331" i="10" s="1"/>
  <c r="AL331" i="10"/>
  <c r="J331" i="10" s="1"/>
  <c r="AO331" i="10"/>
  <c r="N331" i="10" s="1"/>
  <c r="AK332" i="10"/>
  <c r="R332" i="10" s="1"/>
  <c r="AL332" i="10"/>
  <c r="AO332" i="10"/>
  <c r="N332" i="10" s="1"/>
  <c r="AK333" i="10"/>
  <c r="AL333" i="10"/>
  <c r="AO333" i="10"/>
  <c r="N333" i="10" s="1"/>
  <c r="AK334" i="10"/>
  <c r="R334" i="10" s="1"/>
  <c r="AL334" i="10"/>
  <c r="AO334" i="10"/>
  <c r="N334" i="10" s="1"/>
  <c r="AK335" i="10"/>
  <c r="R335" i="10" s="1"/>
  <c r="AL335" i="10"/>
  <c r="AO335" i="10"/>
  <c r="N335" i="10" s="1"/>
  <c r="AK336" i="10"/>
  <c r="R336" i="10" s="1"/>
  <c r="AL336" i="10"/>
  <c r="AO336" i="10"/>
  <c r="N336" i="10" s="1"/>
  <c r="E329" i="10"/>
  <c r="I329" i="10"/>
  <c r="J329" i="10"/>
  <c r="K329" i="10"/>
  <c r="R329" i="10"/>
  <c r="S329" i="10"/>
  <c r="T329" i="10"/>
  <c r="E330" i="10"/>
  <c r="I330" i="10"/>
  <c r="J330" i="10"/>
  <c r="K330" i="10"/>
  <c r="R330" i="10"/>
  <c r="S330" i="10"/>
  <c r="T330" i="10"/>
  <c r="E331" i="10"/>
  <c r="I331" i="10"/>
  <c r="K331" i="10"/>
  <c r="S331" i="10"/>
  <c r="T331" i="10"/>
  <c r="E332" i="10"/>
  <c r="I332" i="10"/>
  <c r="J332" i="10"/>
  <c r="K332" i="10"/>
  <c r="S332" i="10"/>
  <c r="T332" i="10"/>
  <c r="E333" i="10"/>
  <c r="I333" i="10"/>
  <c r="J333" i="10"/>
  <c r="K333" i="10"/>
  <c r="R333" i="10"/>
  <c r="S333" i="10"/>
  <c r="T333" i="10"/>
  <c r="E334" i="10"/>
  <c r="I334" i="10"/>
  <c r="J334" i="10"/>
  <c r="K334" i="10"/>
  <c r="S334" i="10"/>
  <c r="T334" i="10"/>
  <c r="E335" i="10"/>
  <c r="I335" i="10"/>
  <c r="J335" i="10"/>
  <c r="K335" i="10"/>
  <c r="S335" i="10"/>
  <c r="T335" i="10"/>
  <c r="E336" i="10"/>
  <c r="I336" i="10"/>
  <c r="J336" i="10"/>
  <c r="K336" i="10"/>
  <c r="S336" i="10"/>
  <c r="T336" i="10"/>
  <c r="A329" i="9"/>
  <c r="C329" i="10" s="1"/>
  <c r="C329" i="13" s="1"/>
  <c r="B329" i="9"/>
  <c r="D329" i="10" s="1"/>
  <c r="G329" i="5"/>
  <c r="J329" i="5"/>
  <c r="K329" i="5"/>
  <c r="Z329" i="5"/>
  <c r="G330" i="5"/>
  <c r="J330" i="5"/>
  <c r="K330" i="5"/>
  <c r="Z330" i="5"/>
  <c r="G331" i="5"/>
  <c r="J331" i="5"/>
  <c r="K331" i="5"/>
  <c r="Z331" i="5"/>
  <c r="G332" i="5"/>
  <c r="J332" i="5"/>
  <c r="K332" i="5"/>
  <c r="Z332" i="5"/>
  <c r="G333" i="5"/>
  <c r="J333" i="5"/>
  <c r="K333" i="5"/>
  <c r="Z333" i="5"/>
  <c r="G334" i="5"/>
  <c r="J334" i="5"/>
  <c r="K334" i="5"/>
  <c r="Z334" i="5"/>
  <c r="G335" i="5"/>
  <c r="J335" i="5"/>
  <c r="K335" i="5"/>
  <c r="Z335" i="5"/>
  <c r="Z336" i="5"/>
  <c r="AH328" i="13"/>
  <c r="AH327" i="13"/>
  <c r="AH326" i="13"/>
  <c r="AH325" i="13"/>
  <c r="AH324" i="13"/>
  <c r="AH323" i="13"/>
  <c r="AH322" i="13"/>
  <c r="AH321" i="13"/>
  <c r="AH320" i="13"/>
  <c r="AH319" i="13"/>
  <c r="AH318" i="13"/>
  <c r="AH317" i="13"/>
  <c r="AH316" i="13"/>
  <c r="AH315" i="13"/>
  <c r="AH314" i="13"/>
  <c r="AH313" i="13"/>
  <c r="AH312" i="13"/>
  <c r="AH311" i="13"/>
  <c r="AH310" i="13"/>
  <c r="AH309" i="13"/>
  <c r="AH308" i="13"/>
  <c r="AH307" i="13"/>
  <c r="AH306" i="13"/>
  <c r="AH305" i="13"/>
  <c r="AH304" i="13"/>
  <c r="AH303" i="13"/>
  <c r="AH302" i="13"/>
  <c r="AH301" i="13"/>
  <c r="AH300" i="13"/>
  <c r="AH299" i="13"/>
  <c r="AH298" i="13"/>
  <c r="I298" i="13" s="1"/>
  <c r="AH297" i="13"/>
  <c r="AH296" i="13"/>
  <c r="AH295" i="13"/>
  <c r="AH294" i="13"/>
  <c r="AH293" i="13"/>
  <c r="AH292" i="13"/>
  <c r="AH291" i="13"/>
  <c r="AH290" i="13"/>
  <c r="AH289" i="13"/>
  <c r="AH288" i="13"/>
  <c r="AH287" i="13"/>
  <c r="AH286" i="13"/>
  <c r="AH285" i="13"/>
  <c r="AH284" i="13"/>
  <c r="AH283" i="13"/>
  <c r="AH282" i="13"/>
  <c r="AH281" i="13"/>
  <c r="AH280" i="13"/>
  <c r="AH279" i="13"/>
  <c r="AH278" i="13"/>
  <c r="AH277" i="13"/>
  <c r="AH276" i="13"/>
  <c r="AH275" i="13"/>
  <c r="AH274" i="13"/>
  <c r="AH273" i="13"/>
  <c r="AH272" i="13"/>
  <c r="AH271" i="13"/>
  <c r="AH270" i="13"/>
  <c r="AH269" i="13"/>
  <c r="AH268" i="13"/>
  <c r="N409" i="5" l="1"/>
  <c r="N410" i="5"/>
  <c r="N412" i="5"/>
  <c r="N401" i="5"/>
  <c r="N403" i="5"/>
  <c r="AL412" i="12"/>
  <c r="AM412" i="12" s="1"/>
  <c r="AN412" i="12"/>
  <c r="P408" i="10"/>
  <c r="Z408" i="10" s="1"/>
  <c r="P410" i="10"/>
  <c r="Z410" i="10" s="1"/>
  <c r="AA410" i="10" s="1"/>
  <c r="P413" i="10"/>
  <c r="Z413" i="10" s="1"/>
  <c r="AA413" i="10" s="1"/>
  <c r="P414" i="10"/>
  <c r="Z414" i="10" s="1"/>
  <c r="AA414" i="10" s="1"/>
  <c r="P402" i="10"/>
  <c r="Z402" i="10" s="1"/>
  <c r="AA402" i="10" s="1"/>
  <c r="AA408" i="10"/>
  <c r="AC408" i="10" s="1"/>
  <c r="H407" i="13"/>
  <c r="I407" i="13"/>
  <c r="H408" i="13"/>
  <c r="I408" i="13"/>
  <c r="H409" i="13"/>
  <c r="I409" i="13"/>
  <c r="H410" i="13"/>
  <c r="I410" i="13"/>
  <c r="H411" i="13"/>
  <c r="I411" i="13"/>
  <c r="I412" i="13"/>
  <c r="H412" i="13"/>
  <c r="M412" i="13" s="1"/>
  <c r="F412" i="5" s="1"/>
  <c r="AA412" i="5" s="1"/>
  <c r="H413" i="13"/>
  <c r="I413" i="13"/>
  <c r="H414" i="13"/>
  <c r="I414" i="13"/>
  <c r="AL411" i="12"/>
  <c r="AH411" i="12"/>
  <c r="N411" i="13" s="1"/>
  <c r="S411" i="13" s="1"/>
  <c r="N411" i="5" s="1"/>
  <c r="AL401" i="12"/>
  <c r="AM401" i="12" s="1"/>
  <c r="AN401" i="12"/>
  <c r="AN405" i="12"/>
  <c r="AM405" i="12"/>
  <c r="H408" i="5"/>
  <c r="I408" i="5" s="1"/>
  <c r="H409" i="5"/>
  <c r="I409" i="5" s="1"/>
  <c r="AC409" i="10"/>
  <c r="P407" i="10"/>
  <c r="Z407" i="10" s="1"/>
  <c r="AA407" i="10" s="1"/>
  <c r="P411" i="10"/>
  <c r="Z411" i="10" s="1"/>
  <c r="AA411" i="10" s="1"/>
  <c r="P412" i="10"/>
  <c r="Z412" i="10" s="1"/>
  <c r="AA412" i="10" s="1"/>
  <c r="M384" i="13"/>
  <c r="F384" i="5" s="1"/>
  <c r="AA384" i="5" s="1"/>
  <c r="S395" i="13"/>
  <c r="S396" i="13"/>
  <c r="AH390" i="12"/>
  <c r="N390" i="13" s="1"/>
  <c r="S390" i="13" s="1"/>
  <c r="N390" i="5" s="1"/>
  <c r="S404" i="13"/>
  <c r="N404" i="5" s="1"/>
  <c r="S405" i="13"/>
  <c r="N405" i="5" s="1"/>
  <c r="S406" i="13"/>
  <c r="N406" i="5" s="1"/>
  <c r="N414" i="5"/>
  <c r="AB401" i="10"/>
  <c r="AB402" i="10"/>
  <c r="AB403" i="10"/>
  <c r="AB404" i="10"/>
  <c r="AB405" i="10"/>
  <c r="AB406" i="10"/>
  <c r="I395" i="13"/>
  <c r="H395" i="13"/>
  <c r="H396" i="13"/>
  <c r="I396" i="13"/>
  <c r="H397" i="13"/>
  <c r="I397" i="13"/>
  <c r="H398" i="13"/>
  <c r="I398" i="13"/>
  <c r="I399" i="13"/>
  <c r="H399" i="13"/>
  <c r="M399" i="13" s="1"/>
  <c r="H390" i="13"/>
  <c r="I390" i="13"/>
  <c r="I391" i="13"/>
  <c r="H391" i="13"/>
  <c r="H392" i="13"/>
  <c r="I392" i="13"/>
  <c r="H393" i="13"/>
  <c r="I393" i="13"/>
  <c r="H394" i="13"/>
  <c r="I394" i="13"/>
  <c r="N395" i="5"/>
  <c r="N396" i="5"/>
  <c r="AH402" i="12"/>
  <c r="N402" i="13" s="1"/>
  <c r="S402" i="13" s="1"/>
  <c r="N402" i="5" s="1"/>
  <c r="AL402" i="12"/>
  <c r="AM402" i="12" s="1"/>
  <c r="AN402" i="12"/>
  <c r="AM393" i="12"/>
  <c r="AN393" i="12"/>
  <c r="H400" i="13"/>
  <c r="I400" i="13"/>
  <c r="H401" i="13"/>
  <c r="I401" i="13"/>
  <c r="H402" i="13"/>
  <c r="I402" i="13"/>
  <c r="H403" i="13"/>
  <c r="I403" i="13"/>
  <c r="H404" i="13"/>
  <c r="I404" i="13"/>
  <c r="H405" i="13"/>
  <c r="I405" i="13"/>
  <c r="H406" i="13"/>
  <c r="I406" i="13"/>
  <c r="P401" i="10"/>
  <c r="Z401" i="10" s="1"/>
  <c r="AA401" i="10" s="1"/>
  <c r="P403" i="10"/>
  <c r="Z403" i="10" s="1"/>
  <c r="AA403" i="10" s="1"/>
  <c r="P404" i="10"/>
  <c r="Z404" i="10" s="1"/>
  <c r="AA404" i="10" s="1"/>
  <c r="P405" i="10"/>
  <c r="Z405" i="10" s="1"/>
  <c r="AA405" i="10" s="1"/>
  <c r="P406" i="10"/>
  <c r="Z406" i="10" s="1"/>
  <c r="AA406" i="10" s="1"/>
  <c r="Y391" i="10"/>
  <c r="AH400" i="12"/>
  <c r="N400" i="13" s="1"/>
  <c r="S400" i="13" s="1"/>
  <c r="N400" i="5" s="1"/>
  <c r="AL400" i="12"/>
  <c r="AM390" i="12"/>
  <c r="AN390" i="12"/>
  <c r="Y369" i="10"/>
  <c r="Z369" i="10" s="1"/>
  <c r="AA369" i="10" s="1"/>
  <c r="H369" i="5" s="1"/>
  <c r="I369" i="5" s="1"/>
  <c r="Y372" i="10"/>
  <c r="Z372" i="10" s="1"/>
  <c r="AA372" i="10" s="1"/>
  <c r="H372" i="5" s="1"/>
  <c r="I372" i="5" s="1"/>
  <c r="N398" i="5"/>
  <c r="N399" i="5"/>
  <c r="N392" i="5"/>
  <c r="N393" i="5"/>
  <c r="Y392" i="10"/>
  <c r="Y395" i="10"/>
  <c r="Y396" i="10"/>
  <c r="Y397" i="10"/>
  <c r="AB396" i="10"/>
  <c r="AB398" i="10"/>
  <c r="AB400" i="10"/>
  <c r="AB397" i="10"/>
  <c r="AB399" i="10"/>
  <c r="AB395" i="10"/>
  <c r="M374" i="13"/>
  <c r="F374" i="5" s="1"/>
  <c r="AA374" i="5" s="1"/>
  <c r="N397" i="5"/>
  <c r="AH391" i="12"/>
  <c r="N391" i="13" s="1"/>
  <c r="S391" i="13" s="1"/>
  <c r="N391" i="5" s="1"/>
  <c r="AH394" i="12"/>
  <c r="N394" i="13" s="1"/>
  <c r="S394" i="13" s="1"/>
  <c r="N394" i="5" s="1"/>
  <c r="AN368" i="12"/>
  <c r="AM368" i="12"/>
  <c r="P397" i="10"/>
  <c r="P370" i="10"/>
  <c r="Z370" i="10" s="1"/>
  <c r="AA370" i="10" s="1"/>
  <c r="H370" i="5" s="1"/>
  <c r="I370" i="5" s="1"/>
  <c r="P390" i="10"/>
  <c r="Z390" i="10" s="1"/>
  <c r="AA390" i="10" s="1"/>
  <c r="H390" i="5" s="1"/>
  <c r="P392" i="10"/>
  <c r="P393" i="10"/>
  <c r="P394" i="10"/>
  <c r="Z394" i="10" s="1"/>
  <c r="AA394" i="10" s="1"/>
  <c r="H394" i="5" s="1"/>
  <c r="I394" i="5" s="1"/>
  <c r="Y398" i="10"/>
  <c r="Y399" i="10"/>
  <c r="Y400" i="10"/>
  <c r="Z393" i="10"/>
  <c r="AA393" i="10" s="1"/>
  <c r="H393" i="5" s="1"/>
  <c r="I393" i="5" s="1"/>
  <c r="K19" i="5"/>
  <c r="M364" i="13"/>
  <c r="F364" i="5" s="1"/>
  <c r="AA364" i="5" s="1"/>
  <c r="M373" i="13"/>
  <c r="F373" i="5" s="1"/>
  <c r="AA373" i="5" s="1"/>
  <c r="M366" i="13"/>
  <c r="F366" i="5" s="1"/>
  <c r="AA366" i="5" s="1"/>
  <c r="AL394" i="12"/>
  <c r="P391" i="10"/>
  <c r="Z391" i="10" s="1"/>
  <c r="AA391" i="10" s="1"/>
  <c r="H391" i="5" s="1"/>
  <c r="I391" i="5" s="1"/>
  <c r="P395" i="10"/>
  <c r="Z395" i="10" s="1"/>
  <c r="AA395" i="10" s="1"/>
  <c r="H395" i="5" s="1"/>
  <c r="I395" i="5" s="1"/>
  <c r="P396" i="10"/>
  <c r="P398" i="10"/>
  <c r="P399" i="10"/>
  <c r="P400" i="10"/>
  <c r="P367" i="10"/>
  <c r="G19" i="12"/>
  <c r="G19" i="10"/>
  <c r="AB390" i="10"/>
  <c r="AB391" i="10"/>
  <c r="AB392" i="10"/>
  <c r="AB393" i="10"/>
  <c r="AB394" i="10"/>
  <c r="AH389" i="12"/>
  <c r="N389" i="13" s="1"/>
  <c r="S389" i="13" s="1"/>
  <c r="N389" i="5" s="1"/>
  <c r="AH370" i="12"/>
  <c r="N370" i="13" s="1"/>
  <c r="S370" i="13" s="1"/>
  <c r="N370" i="5" s="1"/>
  <c r="P389" i="10"/>
  <c r="P388" i="10"/>
  <c r="P387" i="10"/>
  <c r="P386" i="10"/>
  <c r="P377" i="10"/>
  <c r="Z377" i="10" s="1"/>
  <c r="AA377" i="10" s="1"/>
  <c r="S367" i="13"/>
  <c r="N367" i="5" s="1"/>
  <c r="S372" i="13"/>
  <c r="N372" i="5" s="1"/>
  <c r="Y389" i="10"/>
  <c r="Y388" i="10"/>
  <c r="Y387" i="10"/>
  <c r="Y386" i="10"/>
  <c r="AB389" i="10"/>
  <c r="AB388" i="10"/>
  <c r="AB387" i="10"/>
  <c r="AB386" i="10"/>
  <c r="F383" i="5"/>
  <c r="AA383" i="5" s="1"/>
  <c r="AH388" i="12"/>
  <c r="N388" i="13" s="1"/>
  <c r="AH387" i="12"/>
  <c r="N387" i="13" s="1"/>
  <c r="AH386" i="12"/>
  <c r="N386" i="13" s="1"/>
  <c r="S386" i="13" s="1"/>
  <c r="N386" i="5" s="1"/>
  <c r="AB386" i="13"/>
  <c r="S387" i="13"/>
  <c r="N387" i="5" s="1"/>
  <c r="AB387" i="13"/>
  <c r="AB388" i="13"/>
  <c r="S388" i="13"/>
  <c r="N388" i="5" s="1"/>
  <c r="AB389" i="13"/>
  <c r="AN367" i="12"/>
  <c r="AM367" i="12"/>
  <c r="H386" i="13"/>
  <c r="I386" i="13"/>
  <c r="H387" i="13"/>
  <c r="I387" i="13"/>
  <c r="H388" i="13"/>
  <c r="I388" i="13"/>
  <c r="H389" i="13"/>
  <c r="I389" i="13"/>
  <c r="AL389" i="12"/>
  <c r="AL388" i="12"/>
  <c r="AL387" i="12"/>
  <c r="AL386" i="12"/>
  <c r="P385" i="10"/>
  <c r="Z385" i="10" s="1"/>
  <c r="AA385" i="10" s="1"/>
  <c r="P384" i="10"/>
  <c r="Z384" i="10" s="1"/>
  <c r="AA384" i="10" s="1"/>
  <c r="P383" i="10"/>
  <c r="Z383" i="10" s="1"/>
  <c r="AA383" i="10" s="1"/>
  <c r="P382" i="10"/>
  <c r="Z382" i="10" s="1"/>
  <c r="AA382" i="10" s="1"/>
  <c r="P380" i="10"/>
  <c r="Z380" i="10" s="1"/>
  <c r="AA380" i="10" s="1"/>
  <c r="P379" i="10"/>
  <c r="Z379" i="10" s="1"/>
  <c r="AA379" i="10" s="1"/>
  <c r="AB385" i="10"/>
  <c r="AB384" i="10"/>
  <c r="AB383" i="10"/>
  <c r="AB382" i="10"/>
  <c r="AB381" i="10"/>
  <c r="AB380" i="10"/>
  <c r="AB379" i="10"/>
  <c r="M385" i="13"/>
  <c r="F385" i="5" s="1"/>
  <c r="AA385" i="5" s="1"/>
  <c r="M379" i="13"/>
  <c r="F379" i="5" s="1"/>
  <c r="AA379" i="5" s="1"/>
  <c r="I382" i="13"/>
  <c r="H382" i="13"/>
  <c r="H375" i="13"/>
  <c r="I375" i="13"/>
  <c r="M375" i="13" s="1"/>
  <c r="F375" i="5" s="1"/>
  <c r="AA375" i="5" s="1"/>
  <c r="I381" i="13"/>
  <c r="H381" i="13"/>
  <c r="M381" i="13" s="1"/>
  <c r="F381" i="5" s="1"/>
  <c r="AA381" i="5" s="1"/>
  <c r="AH385" i="12"/>
  <c r="N385" i="13" s="1"/>
  <c r="S385" i="13" s="1"/>
  <c r="N385" i="5" s="1"/>
  <c r="AH384" i="12"/>
  <c r="N384" i="13" s="1"/>
  <c r="S384" i="13" s="1"/>
  <c r="N384" i="5" s="1"/>
  <c r="AH383" i="12"/>
  <c r="N383" i="13" s="1"/>
  <c r="S383" i="13" s="1"/>
  <c r="N383" i="5" s="1"/>
  <c r="AH382" i="12"/>
  <c r="N382" i="13" s="1"/>
  <c r="S382" i="13" s="1"/>
  <c r="N382" i="5" s="1"/>
  <c r="AH381" i="12"/>
  <c r="N381" i="13" s="1"/>
  <c r="S381" i="13" s="1"/>
  <c r="N381" i="5" s="1"/>
  <c r="AH380" i="12"/>
  <c r="N380" i="13" s="1"/>
  <c r="S380" i="13" s="1"/>
  <c r="N380" i="5" s="1"/>
  <c r="AH379" i="12"/>
  <c r="N379" i="13" s="1"/>
  <c r="S379" i="13" s="1"/>
  <c r="N379" i="5" s="1"/>
  <c r="AM370" i="12"/>
  <c r="AN370" i="12"/>
  <c r="AM371" i="12"/>
  <c r="AN371" i="12"/>
  <c r="P381" i="10"/>
  <c r="P375" i="10"/>
  <c r="Z375" i="10" s="1"/>
  <c r="AA375" i="10" s="1"/>
  <c r="Z368" i="10"/>
  <c r="AA368" i="10" s="1"/>
  <c r="H368" i="5" s="1"/>
  <c r="I368" i="5" s="1"/>
  <c r="P378" i="10"/>
  <c r="Z378" i="10" s="1"/>
  <c r="AA378" i="10" s="1"/>
  <c r="Y367" i="10"/>
  <c r="Z371" i="10"/>
  <c r="AA371" i="10" s="1"/>
  <c r="H371" i="5" s="1"/>
  <c r="I371" i="5" s="1"/>
  <c r="Y360" i="10"/>
  <c r="M380" i="13"/>
  <c r="F380" i="5" s="1"/>
  <c r="AA380" i="5" s="1"/>
  <c r="P376" i="10"/>
  <c r="Z376" i="10" s="1"/>
  <c r="AA376" i="10" s="1"/>
  <c r="P374" i="10"/>
  <c r="Z374" i="10" s="1"/>
  <c r="AA374" i="10" s="1"/>
  <c r="Z381" i="10"/>
  <c r="AA381" i="10" s="1"/>
  <c r="AL385" i="12"/>
  <c r="AL384" i="12"/>
  <c r="AL383" i="12"/>
  <c r="AL382" i="12"/>
  <c r="AL381" i="12"/>
  <c r="AL380" i="12"/>
  <c r="AL379" i="12"/>
  <c r="AB385" i="13"/>
  <c r="AB384" i="13"/>
  <c r="AB383" i="13"/>
  <c r="AB382" i="13"/>
  <c r="AB381" i="13"/>
  <c r="AB380" i="13"/>
  <c r="AB379" i="13"/>
  <c r="M362" i="13"/>
  <c r="F362" i="5" s="1"/>
  <c r="AA362" i="5" s="1"/>
  <c r="F378" i="5"/>
  <c r="AA378" i="5" s="1"/>
  <c r="F376" i="5"/>
  <c r="AA376" i="5" s="1"/>
  <c r="P373" i="10"/>
  <c r="Z373" i="10" s="1"/>
  <c r="AA373" i="10" s="1"/>
  <c r="AB378" i="10"/>
  <c r="AB377" i="10"/>
  <c r="AB376" i="10"/>
  <c r="AB375" i="10"/>
  <c r="AB374" i="10"/>
  <c r="AB373" i="10"/>
  <c r="I377" i="13"/>
  <c r="H377" i="13"/>
  <c r="M377" i="13" s="1"/>
  <c r="F377" i="5" s="1"/>
  <c r="AA377" i="5" s="1"/>
  <c r="M360" i="13"/>
  <c r="F360" i="5" s="1"/>
  <c r="AH378" i="12"/>
  <c r="N378" i="13" s="1"/>
  <c r="S378" i="13" s="1"/>
  <c r="N378" i="5" s="1"/>
  <c r="AH377" i="12"/>
  <c r="N377" i="13" s="1"/>
  <c r="S377" i="13" s="1"/>
  <c r="N377" i="5" s="1"/>
  <c r="AH376" i="12"/>
  <c r="N376" i="13" s="1"/>
  <c r="S376" i="13" s="1"/>
  <c r="N376" i="5" s="1"/>
  <c r="AH375" i="12"/>
  <c r="N375" i="13" s="1"/>
  <c r="S375" i="13" s="1"/>
  <c r="N375" i="5" s="1"/>
  <c r="AH374" i="12"/>
  <c r="N374" i="13" s="1"/>
  <c r="S374" i="13" s="1"/>
  <c r="N374" i="5" s="1"/>
  <c r="AH373" i="12"/>
  <c r="N373" i="13" s="1"/>
  <c r="S373" i="13" s="1"/>
  <c r="N373" i="5" s="1"/>
  <c r="AL378" i="12"/>
  <c r="AL377" i="12"/>
  <c r="AL376" i="12"/>
  <c r="AL375" i="12"/>
  <c r="AL374" i="12"/>
  <c r="AL373" i="12"/>
  <c r="AB378" i="13"/>
  <c r="AB377" i="13"/>
  <c r="AB376" i="13"/>
  <c r="AB375" i="13"/>
  <c r="AB374" i="13"/>
  <c r="AB373" i="13"/>
  <c r="AB372" i="10"/>
  <c r="AB371" i="10"/>
  <c r="AB370" i="10"/>
  <c r="AB369" i="10"/>
  <c r="AB368" i="10"/>
  <c r="AB367" i="10"/>
  <c r="AB366" i="10"/>
  <c r="AB365" i="10"/>
  <c r="AB364" i="10"/>
  <c r="AB363" i="10"/>
  <c r="AB362" i="10"/>
  <c r="AB361" i="10"/>
  <c r="AB360" i="10"/>
  <c r="AB330" i="10"/>
  <c r="AB331" i="10"/>
  <c r="AB332" i="10"/>
  <c r="AB333" i="10"/>
  <c r="AB334" i="10"/>
  <c r="AB335" i="10"/>
  <c r="AB336" i="10"/>
  <c r="AB337" i="10"/>
  <c r="AB338" i="10"/>
  <c r="AB339" i="10"/>
  <c r="AB340" i="10"/>
  <c r="AB341" i="10"/>
  <c r="AB342" i="10"/>
  <c r="AB343" i="10"/>
  <c r="AB344" i="10"/>
  <c r="AB345" i="10"/>
  <c r="AB346" i="10"/>
  <c r="AB347" i="10"/>
  <c r="AB348" i="10"/>
  <c r="AB349" i="10"/>
  <c r="AB350" i="10"/>
  <c r="AB351" i="10"/>
  <c r="AB352" i="10"/>
  <c r="AB353" i="10"/>
  <c r="AB354" i="10"/>
  <c r="AB355" i="10"/>
  <c r="AB356" i="10"/>
  <c r="AB357" i="10"/>
  <c r="AB358" i="10"/>
  <c r="AB359" i="10"/>
  <c r="AB329" i="10"/>
  <c r="H367" i="13"/>
  <c r="I367" i="13"/>
  <c r="H368" i="13"/>
  <c r="I368" i="13"/>
  <c r="H369" i="13"/>
  <c r="I369" i="13"/>
  <c r="H370" i="13"/>
  <c r="I370" i="13"/>
  <c r="H371" i="13"/>
  <c r="I371" i="13"/>
  <c r="H372" i="13"/>
  <c r="I372" i="13"/>
  <c r="P360" i="10"/>
  <c r="P363" i="10"/>
  <c r="Z363" i="10" s="1"/>
  <c r="AA363" i="10" s="1"/>
  <c r="P364" i="10"/>
  <c r="Z364" i="10" s="1"/>
  <c r="AA364" i="10" s="1"/>
  <c r="P366" i="10"/>
  <c r="Z366" i="10" s="1"/>
  <c r="AA366" i="10" s="1"/>
  <c r="P361" i="10"/>
  <c r="Y361" i="10"/>
  <c r="P362" i="10"/>
  <c r="Z362" i="10" s="1"/>
  <c r="AA362" i="10" s="1"/>
  <c r="Y351" i="10"/>
  <c r="P365" i="10"/>
  <c r="Z365" i="10" s="1"/>
  <c r="AA365" i="10" s="1"/>
  <c r="K18" i="5"/>
  <c r="AH366" i="12"/>
  <c r="N366" i="13" s="1"/>
  <c r="S366" i="13" s="1"/>
  <c r="N366" i="5" s="1"/>
  <c r="AH365" i="12"/>
  <c r="N365" i="13" s="1"/>
  <c r="S365" i="13" s="1"/>
  <c r="N365" i="5" s="1"/>
  <c r="AH364" i="12"/>
  <c r="N364" i="13" s="1"/>
  <c r="S364" i="13" s="1"/>
  <c r="N364" i="5" s="1"/>
  <c r="AH363" i="12"/>
  <c r="N363" i="13" s="1"/>
  <c r="S363" i="13" s="1"/>
  <c r="N363" i="5" s="1"/>
  <c r="AH362" i="12"/>
  <c r="N362" i="13" s="1"/>
  <c r="S362" i="13" s="1"/>
  <c r="N362" i="5" s="1"/>
  <c r="AH361" i="12"/>
  <c r="N361" i="13" s="1"/>
  <c r="AH360" i="12"/>
  <c r="N360" i="13" s="1"/>
  <c r="S360" i="13" s="1"/>
  <c r="N360" i="5" s="1"/>
  <c r="F365" i="5"/>
  <c r="AA365" i="5" s="1"/>
  <c r="F363" i="5"/>
  <c r="AA363" i="5" s="1"/>
  <c r="F361" i="5"/>
  <c r="AB366" i="13"/>
  <c r="AB365" i="13"/>
  <c r="AB364" i="13"/>
  <c r="AB363" i="13"/>
  <c r="AB362" i="13"/>
  <c r="AB361" i="13"/>
  <c r="AB360" i="13"/>
  <c r="AL366" i="12"/>
  <c r="AL365" i="12"/>
  <c r="AL364" i="12"/>
  <c r="AL363" i="12"/>
  <c r="AL362" i="12"/>
  <c r="AL361" i="12"/>
  <c r="AL360" i="12"/>
  <c r="AH358" i="12"/>
  <c r="N358" i="13" s="1"/>
  <c r="S358" i="13" s="1"/>
  <c r="N358" i="5" s="1"/>
  <c r="P351" i="10"/>
  <c r="P352" i="10"/>
  <c r="Z352" i="10" s="1"/>
  <c r="AA352" i="10" s="1"/>
  <c r="H352" i="5" s="1"/>
  <c r="I352" i="5" s="1"/>
  <c r="P353" i="10"/>
  <c r="Z353" i="10" s="1"/>
  <c r="AA353" i="10" s="1"/>
  <c r="H353" i="5" s="1"/>
  <c r="I353" i="5" s="1"/>
  <c r="P354" i="10"/>
  <c r="Z354" i="10" s="1"/>
  <c r="AA354" i="10" s="1"/>
  <c r="H354" i="5" s="1"/>
  <c r="I354" i="5" s="1"/>
  <c r="Y358" i="10"/>
  <c r="Y359" i="10"/>
  <c r="P332" i="10"/>
  <c r="P355" i="10"/>
  <c r="Z355" i="10" s="1"/>
  <c r="AA355" i="10" s="1"/>
  <c r="H355" i="5" s="1"/>
  <c r="I355" i="5" s="1"/>
  <c r="P357" i="10"/>
  <c r="Z357" i="10" s="1"/>
  <c r="AA357" i="10" s="1"/>
  <c r="H357" i="5" s="1"/>
  <c r="I357" i="5" s="1"/>
  <c r="P350" i="10"/>
  <c r="P346" i="10"/>
  <c r="P356" i="10"/>
  <c r="Z356" i="10" s="1"/>
  <c r="AA356" i="10" s="1"/>
  <c r="H356" i="5" s="1"/>
  <c r="I356" i="5" s="1"/>
  <c r="AL358" i="12"/>
  <c r="AL359" i="12"/>
  <c r="AB358" i="13"/>
  <c r="AB359" i="13"/>
  <c r="H337" i="13"/>
  <c r="I337" i="13"/>
  <c r="P358" i="10"/>
  <c r="P359" i="10"/>
  <c r="AH359" i="12"/>
  <c r="N359" i="13" s="1"/>
  <c r="S359" i="13" s="1"/>
  <c r="N359" i="5" s="1"/>
  <c r="AH357" i="12"/>
  <c r="N357" i="13" s="1"/>
  <c r="S357" i="13" s="1"/>
  <c r="N357" i="5" s="1"/>
  <c r="AH356" i="12"/>
  <c r="N356" i="13" s="1"/>
  <c r="S356" i="13" s="1"/>
  <c r="N356" i="5" s="1"/>
  <c r="AH355" i="12"/>
  <c r="N355" i="13" s="1"/>
  <c r="S355" i="13" s="1"/>
  <c r="N355" i="5" s="1"/>
  <c r="AH354" i="12"/>
  <c r="N354" i="13" s="1"/>
  <c r="S354" i="13" s="1"/>
  <c r="N354" i="5" s="1"/>
  <c r="AH353" i="12"/>
  <c r="N353" i="13" s="1"/>
  <c r="S353" i="13" s="1"/>
  <c r="N353" i="5" s="1"/>
  <c r="AH352" i="12"/>
  <c r="N352" i="13" s="1"/>
  <c r="S352" i="13" s="1"/>
  <c r="N352" i="5" s="1"/>
  <c r="AH351" i="12"/>
  <c r="N351" i="13" s="1"/>
  <c r="S351" i="13" s="1"/>
  <c r="N351" i="5" s="1"/>
  <c r="AL357" i="12"/>
  <c r="AL356" i="12"/>
  <c r="AL355" i="12"/>
  <c r="AL354" i="12"/>
  <c r="AL353" i="12"/>
  <c r="AL352" i="12"/>
  <c r="AL351" i="12"/>
  <c r="AB357" i="13"/>
  <c r="AB356" i="13"/>
  <c r="AB355" i="13"/>
  <c r="AB354" i="13"/>
  <c r="AB353" i="13"/>
  <c r="AB352" i="13"/>
  <c r="AB351" i="13"/>
  <c r="AH350" i="12"/>
  <c r="N350" i="13" s="1"/>
  <c r="S350" i="13" s="1"/>
  <c r="N350" i="5" s="1"/>
  <c r="AH349" i="12"/>
  <c r="N349" i="13" s="1"/>
  <c r="S349" i="13" s="1"/>
  <c r="N349" i="5" s="1"/>
  <c r="AH348" i="12"/>
  <c r="N348" i="13" s="1"/>
  <c r="S348" i="13" s="1"/>
  <c r="N348" i="5" s="1"/>
  <c r="AH347" i="12"/>
  <c r="N347" i="13" s="1"/>
  <c r="S347" i="13" s="1"/>
  <c r="N347" i="5" s="1"/>
  <c r="AH332" i="12"/>
  <c r="N332" i="13" s="1"/>
  <c r="S332" i="13" s="1"/>
  <c r="N332" i="5" s="1"/>
  <c r="AN334" i="12"/>
  <c r="AH334" i="12"/>
  <c r="N334" i="13" s="1"/>
  <c r="S334" i="13" s="1"/>
  <c r="N334" i="5" s="1"/>
  <c r="AH336" i="12"/>
  <c r="N336" i="13" s="1"/>
  <c r="S336" i="13" s="1"/>
  <c r="N336" i="5" s="1"/>
  <c r="AL349" i="12"/>
  <c r="AM349" i="12" s="1"/>
  <c r="AN349" i="12"/>
  <c r="AL348" i="12"/>
  <c r="AM347" i="12"/>
  <c r="AN347" i="12"/>
  <c r="P337" i="10"/>
  <c r="P340" i="10"/>
  <c r="Y340" i="10"/>
  <c r="P341" i="10"/>
  <c r="Y329" i="10"/>
  <c r="P330" i="10"/>
  <c r="P334" i="10"/>
  <c r="P335" i="10"/>
  <c r="Y350" i="10"/>
  <c r="Y349" i="10"/>
  <c r="Y347" i="10"/>
  <c r="Y345" i="10"/>
  <c r="Y333" i="10"/>
  <c r="P331" i="10"/>
  <c r="Y346" i="10"/>
  <c r="Y331" i="10"/>
  <c r="Y338" i="10"/>
  <c r="Y348" i="10"/>
  <c r="P343" i="10"/>
  <c r="P338" i="10"/>
  <c r="P342" i="10"/>
  <c r="Y335" i="10"/>
  <c r="Y342" i="10"/>
  <c r="Y332" i="10"/>
  <c r="Y339" i="10"/>
  <c r="AN346" i="12"/>
  <c r="AH346" i="12"/>
  <c r="N346" i="13" s="1"/>
  <c r="S346" i="13" s="1"/>
  <c r="N346" i="5" s="1"/>
  <c r="AN345" i="12"/>
  <c r="AN350" i="12"/>
  <c r="AH345" i="12"/>
  <c r="N345" i="13" s="1"/>
  <c r="S345" i="13" s="1"/>
  <c r="N345" i="5" s="1"/>
  <c r="AN333" i="12"/>
  <c r="AN330" i="12"/>
  <c r="AH330" i="12"/>
  <c r="N330" i="13" s="1"/>
  <c r="AN329" i="12"/>
  <c r="P336" i="10"/>
  <c r="P344" i="10"/>
  <c r="P345" i="10"/>
  <c r="P347" i="10"/>
  <c r="P348" i="10"/>
  <c r="P349" i="10"/>
  <c r="S333" i="13"/>
  <c r="N333" i="5" s="1"/>
  <c r="AN336" i="12"/>
  <c r="AM336" i="12"/>
  <c r="AN332" i="12"/>
  <c r="AM332" i="12"/>
  <c r="AH329" i="12"/>
  <c r="N329" i="13" s="1"/>
  <c r="S329" i="13" s="1"/>
  <c r="N329" i="5" s="1"/>
  <c r="AN335" i="12"/>
  <c r="AN331" i="12"/>
  <c r="AH335" i="12"/>
  <c r="N335" i="13" s="1"/>
  <c r="S335" i="13" s="1"/>
  <c r="N335" i="5" s="1"/>
  <c r="AH331" i="12"/>
  <c r="N331" i="13" s="1"/>
  <c r="S331" i="13" s="1"/>
  <c r="N331" i="5" s="1"/>
  <c r="AB337" i="13"/>
  <c r="P333" i="10"/>
  <c r="P339" i="10"/>
  <c r="P329" i="10"/>
  <c r="Y344" i="10"/>
  <c r="Y343" i="10"/>
  <c r="Y336" i="10"/>
  <c r="Y330" i="10"/>
  <c r="Y337" i="10"/>
  <c r="AB344" i="13"/>
  <c r="Y334" i="10"/>
  <c r="Y341" i="10"/>
  <c r="G17" i="12"/>
  <c r="AH344" i="12"/>
  <c r="N344" i="13" s="1"/>
  <c r="S344" i="13" s="1"/>
  <c r="N344" i="5" s="1"/>
  <c r="AH343" i="12"/>
  <c r="N343" i="13" s="1"/>
  <c r="S343" i="13" s="1"/>
  <c r="N343" i="5" s="1"/>
  <c r="AH342" i="12"/>
  <c r="N342" i="13" s="1"/>
  <c r="S342" i="13" s="1"/>
  <c r="N342" i="5" s="1"/>
  <c r="AH341" i="12"/>
  <c r="N341" i="13" s="1"/>
  <c r="S341" i="13" s="1"/>
  <c r="N341" i="5" s="1"/>
  <c r="AH340" i="12"/>
  <c r="N340" i="13" s="1"/>
  <c r="S340" i="13" s="1"/>
  <c r="N340" i="5" s="1"/>
  <c r="AH339" i="12"/>
  <c r="N339" i="13" s="1"/>
  <c r="S339" i="13" s="1"/>
  <c r="N339" i="5" s="1"/>
  <c r="AH338" i="12"/>
  <c r="N338" i="13" s="1"/>
  <c r="S338" i="13" s="1"/>
  <c r="N338" i="5" s="1"/>
  <c r="AH337" i="12"/>
  <c r="N337" i="13" s="1"/>
  <c r="S337" i="13" s="1"/>
  <c r="N337" i="5" s="1"/>
  <c r="AN344" i="12"/>
  <c r="AM344" i="12"/>
  <c r="AN343" i="12"/>
  <c r="AM343" i="12"/>
  <c r="AN342" i="12"/>
  <c r="AM342" i="12"/>
  <c r="AN341" i="12"/>
  <c r="AM341" i="12"/>
  <c r="AN340" i="12"/>
  <c r="AM340" i="12"/>
  <c r="AN339" i="12"/>
  <c r="AM339" i="12"/>
  <c r="AN338" i="12"/>
  <c r="AM338" i="12"/>
  <c r="AN337" i="12"/>
  <c r="AM337" i="12"/>
  <c r="K17" i="5"/>
  <c r="H329" i="13"/>
  <c r="I329" i="13"/>
  <c r="H330" i="13"/>
  <c r="I330" i="13"/>
  <c r="H331" i="13"/>
  <c r="I331" i="13"/>
  <c r="H332" i="13"/>
  <c r="I332" i="13"/>
  <c r="H333" i="13"/>
  <c r="I333" i="13"/>
  <c r="H334" i="13"/>
  <c r="I334" i="13"/>
  <c r="H335" i="13"/>
  <c r="I335" i="13"/>
  <c r="H336" i="13"/>
  <c r="I336" i="13"/>
  <c r="M414" i="13" l="1"/>
  <c r="AC414" i="10"/>
  <c r="H414" i="5"/>
  <c r="I414" i="5" s="1"/>
  <c r="AC410" i="10"/>
  <c r="H410" i="5"/>
  <c r="I410" i="5" s="1"/>
  <c r="H413" i="5"/>
  <c r="I413" i="5" s="1"/>
  <c r="AC413" i="10"/>
  <c r="AC402" i="10"/>
  <c r="H402" i="5"/>
  <c r="I402" i="5" s="1"/>
  <c r="Z396" i="10"/>
  <c r="AA396" i="10" s="1"/>
  <c r="H396" i="5" s="1"/>
  <c r="I396" i="5" s="1"/>
  <c r="Z398" i="10"/>
  <c r="AA398" i="10" s="1"/>
  <c r="H398" i="5" s="1"/>
  <c r="I398" i="5" s="1"/>
  <c r="Z399" i="10"/>
  <c r="AA399" i="10" s="1"/>
  <c r="H399" i="5" s="1"/>
  <c r="I399" i="5" s="1"/>
  <c r="Z400" i="10"/>
  <c r="AA400" i="10" s="1"/>
  <c r="H400" i="5" s="1"/>
  <c r="I400" i="5" s="1"/>
  <c r="AC393" i="10"/>
  <c r="M413" i="13"/>
  <c r="F413" i="5" s="1"/>
  <c r="AA413" i="5" s="1"/>
  <c r="M408" i="13"/>
  <c r="F408" i="5" s="1"/>
  <c r="AA408" i="5" s="1"/>
  <c r="M407" i="13"/>
  <c r="F407" i="5" s="1"/>
  <c r="AA407" i="5" s="1"/>
  <c r="M409" i="13"/>
  <c r="F409" i="5" s="1"/>
  <c r="AA409" i="5" s="1"/>
  <c r="M410" i="13"/>
  <c r="F410" i="5" s="1"/>
  <c r="AA410" i="5" s="1"/>
  <c r="M411" i="13"/>
  <c r="F411" i="5" s="1"/>
  <c r="AA411" i="5" s="1"/>
  <c r="AN411" i="12"/>
  <c r="AM411" i="12"/>
  <c r="H407" i="5"/>
  <c r="I407" i="5" s="1"/>
  <c r="AC407" i="10"/>
  <c r="H411" i="5"/>
  <c r="I411" i="5" s="1"/>
  <c r="AC411" i="10"/>
  <c r="AC412" i="10"/>
  <c r="H412" i="5"/>
  <c r="I412" i="5" s="1"/>
  <c r="M395" i="13"/>
  <c r="F395" i="5" s="1"/>
  <c r="AM351" i="12"/>
  <c r="AN351" i="12"/>
  <c r="Z392" i="10"/>
  <c r="AA392" i="10" s="1"/>
  <c r="Z367" i="10"/>
  <c r="AA367" i="10" s="1"/>
  <c r="H367" i="5" s="1"/>
  <c r="I367" i="5" s="1"/>
  <c r="AC401" i="10"/>
  <c r="H401" i="5"/>
  <c r="I401" i="5" s="1"/>
  <c r="AC403" i="10"/>
  <c r="H403" i="5"/>
  <c r="I403" i="5" s="1"/>
  <c r="AC404" i="10"/>
  <c r="H404" i="5"/>
  <c r="I404" i="5" s="1"/>
  <c r="AC405" i="10"/>
  <c r="H405" i="5"/>
  <c r="I405" i="5" s="1"/>
  <c r="AC406" i="10"/>
  <c r="H406" i="5"/>
  <c r="I406" i="5" s="1"/>
  <c r="M391" i="13"/>
  <c r="F391" i="5" s="1"/>
  <c r="AA391" i="5" s="1"/>
  <c r="M390" i="13"/>
  <c r="F390" i="5" s="1"/>
  <c r="M396" i="13"/>
  <c r="M397" i="13"/>
  <c r="M398" i="13"/>
  <c r="M392" i="13"/>
  <c r="F392" i="5" s="1"/>
  <c r="AA392" i="5" s="1"/>
  <c r="M393" i="13"/>
  <c r="F393" i="5" s="1"/>
  <c r="AA393" i="5" s="1"/>
  <c r="M394" i="13"/>
  <c r="F394" i="5" s="1"/>
  <c r="AA394" i="5" s="1"/>
  <c r="AM400" i="12"/>
  <c r="AN400" i="12"/>
  <c r="M400" i="13"/>
  <c r="M401" i="13"/>
  <c r="F401" i="5" s="1"/>
  <c r="AA401" i="5" s="1"/>
  <c r="M402" i="13"/>
  <c r="F402" i="5" s="1"/>
  <c r="AA402" i="5" s="1"/>
  <c r="M403" i="13"/>
  <c r="F403" i="5" s="1"/>
  <c r="AA403" i="5" s="1"/>
  <c r="M404" i="13"/>
  <c r="F404" i="5" s="1"/>
  <c r="AA404" i="5" s="1"/>
  <c r="M405" i="13"/>
  <c r="F405" i="5" s="1"/>
  <c r="AA405" i="5" s="1"/>
  <c r="M406" i="13"/>
  <c r="F406" i="5" s="1"/>
  <c r="AA406" i="5" s="1"/>
  <c r="F414" i="5"/>
  <c r="AA414" i="5" s="1"/>
  <c r="AC390" i="10"/>
  <c r="Z397" i="10"/>
  <c r="AA397" i="10" s="1"/>
  <c r="AM394" i="12"/>
  <c r="AN394" i="12"/>
  <c r="AC370" i="10"/>
  <c r="AC394" i="10"/>
  <c r="K28" i="14"/>
  <c r="F396" i="5"/>
  <c r="AA396" i="5" s="1"/>
  <c r="F398" i="5"/>
  <c r="AA398" i="5" s="1"/>
  <c r="F400" i="5"/>
  <c r="AA400" i="5" s="1"/>
  <c r="AC391" i="10"/>
  <c r="F397" i="5"/>
  <c r="AA397" i="5" s="1"/>
  <c r="F399" i="5"/>
  <c r="AA399" i="5" s="1"/>
  <c r="M382" i="13"/>
  <c r="F382" i="5" s="1"/>
  <c r="AA382" i="5" s="1"/>
  <c r="AC395" i="10"/>
  <c r="AC396" i="10"/>
  <c r="AC398" i="10"/>
  <c r="AC399" i="10"/>
  <c r="AC400" i="10"/>
  <c r="Z389" i="10"/>
  <c r="AA389" i="10" s="1"/>
  <c r="Z388" i="10"/>
  <c r="AA388" i="10" s="1"/>
  <c r="Z387" i="10"/>
  <c r="AA387" i="10" s="1"/>
  <c r="Z386" i="10"/>
  <c r="AA386" i="10" s="1"/>
  <c r="I390" i="5"/>
  <c r="AA390" i="5"/>
  <c r="AM356" i="12"/>
  <c r="AN356" i="12"/>
  <c r="AM354" i="12"/>
  <c r="AN354" i="12"/>
  <c r="AM348" i="12"/>
  <c r="AN348" i="12"/>
  <c r="S361" i="13"/>
  <c r="N361" i="5" s="1"/>
  <c r="AA361" i="5"/>
  <c r="Z342" i="10"/>
  <c r="AA342" i="10" s="1"/>
  <c r="H342" i="5" s="1"/>
  <c r="I342" i="5" s="1"/>
  <c r="AM358" i="12"/>
  <c r="AN358" i="12"/>
  <c r="AM359" i="12"/>
  <c r="AN359" i="12"/>
  <c r="M386" i="13"/>
  <c r="F386" i="5" s="1"/>
  <c r="AA386" i="5" s="1"/>
  <c r="M387" i="13"/>
  <c r="F387" i="5" s="1"/>
  <c r="AA387" i="5" s="1"/>
  <c r="M388" i="13"/>
  <c r="F388" i="5" s="1"/>
  <c r="AA388" i="5" s="1"/>
  <c r="M389" i="13"/>
  <c r="F389" i="5" s="1"/>
  <c r="AA389" i="5" s="1"/>
  <c r="AM389" i="12"/>
  <c r="AN389" i="12"/>
  <c r="AM388" i="12"/>
  <c r="AN388" i="12"/>
  <c r="AM387" i="12"/>
  <c r="AN387" i="12"/>
  <c r="AM386" i="12"/>
  <c r="AN386" i="12"/>
  <c r="Z331" i="10"/>
  <c r="AA331" i="10" s="1"/>
  <c r="H331" i="5" s="1"/>
  <c r="I331" i="5" s="1"/>
  <c r="Z338" i="10"/>
  <c r="AA338" i="10" s="1"/>
  <c r="H338" i="5" s="1"/>
  <c r="I338" i="5" s="1"/>
  <c r="Z340" i="10"/>
  <c r="AA340" i="10" s="1"/>
  <c r="H340" i="5" s="1"/>
  <c r="I340" i="5" s="1"/>
  <c r="Z335" i="10"/>
  <c r="AA335" i="10" s="1"/>
  <c r="H335" i="5" s="1"/>
  <c r="I335" i="5" s="1"/>
  <c r="Z360" i="10"/>
  <c r="AA360" i="10" s="1"/>
  <c r="H360" i="5" s="1"/>
  <c r="AC372" i="10"/>
  <c r="AC371" i="10"/>
  <c r="AC369" i="10"/>
  <c r="AC368" i="10"/>
  <c r="AC367" i="10"/>
  <c r="AC385" i="10"/>
  <c r="H385" i="5"/>
  <c r="I385" i="5" s="1"/>
  <c r="AC384" i="10"/>
  <c r="H384" i="5"/>
  <c r="I384" i="5" s="1"/>
  <c r="AC383" i="10"/>
  <c r="H383" i="5"/>
  <c r="I383" i="5" s="1"/>
  <c r="AC382" i="10"/>
  <c r="H382" i="5"/>
  <c r="I382" i="5" s="1"/>
  <c r="AC381" i="10"/>
  <c r="H381" i="5"/>
  <c r="I381" i="5" s="1"/>
  <c r="AC380" i="10"/>
  <c r="H380" i="5"/>
  <c r="I380" i="5" s="1"/>
  <c r="AC379" i="10"/>
  <c r="H379" i="5"/>
  <c r="I379" i="5" s="1"/>
  <c r="AM385" i="12"/>
  <c r="AN385" i="12"/>
  <c r="AM384" i="12"/>
  <c r="AN384" i="12"/>
  <c r="AM383" i="12"/>
  <c r="AN383" i="12"/>
  <c r="AM382" i="12"/>
  <c r="AN382" i="12"/>
  <c r="AM381" i="12"/>
  <c r="AN381" i="12"/>
  <c r="AM380" i="12"/>
  <c r="AN380" i="12"/>
  <c r="AM379" i="12"/>
  <c r="AN379" i="12"/>
  <c r="M337" i="13"/>
  <c r="F337" i="5" s="1"/>
  <c r="AA337" i="5" s="1"/>
  <c r="Z332" i="10"/>
  <c r="AA332" i="10" s="1"/>
  <c r="H332" i="5" s="1"/>
  <c r="I332" i="5" s="1"/>
  <c r="Z347" i="10"/>
  <c r="AA347" i="10" s="1"/>
  <c r="H347" i="5" s="1"/>
  <c r="I347" i="5" s="1"/>
  <c r="Z349" i="10"/>
  <c r="AA349" i="10" s="1"/>
  <c r="H349" i="5" s="1"/>
  <c r="I349" i="5" s="1"/>
  <c r="Z345" i="10"/>
  <c r="AA345" i="10" s="1"/>
  <c r="H345" i="5" s="1"/>
  <c r="I345" i="5" s="1"/>
  <c r="Z333" i="10"/>
  <c r="AA333" i="10" s="1"/>
  <c r="H333" i="5" s="1"/>
  <c r="I333" i="5" s="1"/>
  <c r="Z329" i="10"/>
  <c r="AA329" i="10" s="1"/>
  <c r="H329" i="5" s="1"/>
  <c r="I329" i="5" s="1"/>
  <c r="Z330" i="10"/>
  <c r="AA330" i="10" s="1"/>
  <c r="H330" i="5" s="1"/>
  <c r="I330" i="5" s="1"/>
  <c r="Z337" i="10"/>
  <c r="AA337" i="10" s="1"/>
  <c r="H337" i="5" s="1"/>
  <c r="I337" i="5" s="1"/>
  <c r="AC378" i="10"/>
  <c r="H378" i="5"/>
  <c r="I378" i="5" s="1"/>
  <c r="AC377" i="10"/>
  <c r="H377" i="5"/>
  <c r="I377" i="5" s="1"/>
  <c r="AC376" i="10"/>
  <c r="H376" i="5"/>
  <c r="I376" i="5" s="1"/>
  <c r="AC375" i="10"/>
  <c r="H375" i="5"/>
  <c r="I375" i="5" s="1"/>
  <c r="AC374" i="10"/>
  <c r="H374" i="5"/>
  <c r="I374" i="5" s="1"/>
  <c r="AC373" i="10"/>
  <c r="H373" i="5"/>
  <c r="I373" i="5" s="1"/>
  <c r="AM378" i="12"/>
  <c r="AN378" i="12"/>
  <c r="AM377" i="12"/>
  <c r="AN377" i="12"/>
  <c r="AM376" i="12"/>
  <c r="AN376" i="12"/>
  <c r="AM375" i="12"/>
  <c r="AN375" i="12"/>
  <c r="AM374" i="12"/>
  <c r="AN374" i="12"/>
  <c r="AM373" i="12"/>
  <c r="AN373" i="12"/>
  <c r="M367" i="13"/>
  <c r="M368" i="13"/>
  <c r="F368" i="5" s="1"/>
  <c r="AA368" i="5" s="1"/>
  <c r="M369" i="13"/>
  <c r="F369" i="5" s="1"/>
  <c r="AA369" i="5" s="1"/>
  <c r="M370" i="13"/>
  <c r="F370" i="5" s="1"/>
  <c r="AA370" i="5" s="1"/>
  <c r="M371" i="13"/>
  <c r="F371" i="5" s="1"/>
  <c r="AA371" i="5" s="1"/>
  <c r="M372" i="13"/>
  <c r="F372" i="5" s="1"/>
  <c r="AA372" i="5" s="1"/>
  <c r="AM355" i="12"/>
  <c r="AN355" i="12"/>
  <c r="Z334" i="10"/>
  <c r="AA334" i="10" s="1"/>
  <c r="H334" i="5" s="1"/>
  <c r="Z361" i="10"/>
  <c r="AA361" i="10" s="1"/>
  <c r="H361" i="5" s="1"/>
  <c r="I361" i="5" s="1"/>
  <c r="Z351" i="10"/>
  <c r="AA351" i="10" s="1"/>
  <c r="H351" i="5" s="1"/>
  <c r="I351" i="5" s="1"/>
  <c r="Z350" i="10"/>
  <c r="AA350" i="10" s="1"/>
  <c r="H350" i="5" s="1"/>
  <c r="I350" i="5" s="1"/>
  <c r="Z346" i="10"/>
  <c r="AA346" i="10" s="1"/>
  <c r="H346" i="5" s="1"/>
  <c r="I346" i="5" s="1"/>
  <c r="Z341" i="10"/>
  <c r="AA341" i="10" s="1"/>
  <c r="H341" i="5" s="1"/>
  <c r="I341" i="5" s="1"/>
  <c r="Z358" i="10"/>
  <c r="AA358" i="10" s="1"/>
  <c r="H358" i="5" s="1"/>
  <c r="I358" i="5" s="1"/>
  <c r="Z359" i="10"/>
  <c r="AA359" i="10" s="1"/>
  <c r="H359" i="5" s="1"/>
  <c r="I359" i="5" s="1"/>
  <c r="AA360" i="5"/>
  <c r="AM366" i="12"/>
  <c r="AN366" i="12"/>
  <c r="AM365" i="12"/>
  <c r="AN365" i="12"/>
  <c r="AM364" i="12"/>
  <c r="AN364" i="12"/>
  <c r="AM363" i="12"/>
  <c r="AN363" i="12"/>
  <c r="AM362" i="12"/>
  <c r="AN362" i="12"/>
  <c r="AM361" i="12"/>
  <c r="AN361" i="12"/>
  <c r="AM360" i="12"/>
  <c r="AN360" i="12"/>
  <c r="H366" i="5"/>
  <c r="I366" i="5" s="1"/>
  <c r="H365" i="5"/>
  <c r="I365" i="5" s="1"/>
  <c r="H364" i="5"/>
  <c r="I364" i="5" s="1"/>
  <c r="H363" i="5"/>
  <c r="I363" i="5" s="1"/>
  <c r="H362" i="5"/>
  <c r="I362" i="5" s="1"/>
  <c r="S330" i="13"/>
  <c r="N330" i="5" s="1"/>
  <c r="AM353" i="12"/>
  <c r="AN353" i="12"/>
  <c r="AM352" i="12"/>
  <c r="AN352" i="12"/>
  <c r="I338" i="13"/>
  <c r="H338" i="13"/>
  <c r="M338" i="13" s="1"/>
  <c r="F338" i="5" s="1"/>
  <c r="AM357" i="12"/>
  <c r="AN357" i="12"/>
  <c r="Z348" i="10"/>
  <c r="AA348" i="10" s="1"/>
  <c r="H348" i="5" s="1"/>
  <c r="I348" i="5" s="1"/>
  <c r="Z343" i="10"/>
  <c r="AA343" i="10" s="1"/>
  <c r="H343" i="5" s="1"/>
  <c r="I343" i="5" s="1"/>
  <c r="Z344" i="10"/>
  <c r="AA344" i="10" s="1"/>
  <c r="H344" i="5" s="1"/>
  <c r="I344" i="5" s="1"/>
  <c r="Z339" i="10"/>
  <c r="AA339" i="10" s="1"/>
  <c r="H339" i="5" s="1"/>
  <c r="I339" i="5" s="1"/>
  <c r="Z336" i="10"/>
  <c r="AA336" i="10" s="1"/>
  <c r="H336" i="5" s="1"/>
  <c r="I336" i="5" s="1"/>
  <c r="M329" i="13"/>
  <c r="M330" i="13"/>
  <c r="M331" i="13"/>
  <c r="F331" i="5" s="1"/>
  <c r="M332" i="13"/>
  <c r="F332" i="5" s="1"/>
  <c r="M333" i="13"/>
  <c r="F333" i="5" s="1"/>
  <c r="M334" i="13"/>
  <c r="F334" i="5" s="1"/>
  <c r="M335" i="13"/>
  <c r="F335" i="5" s="1"/>
  <c r="M336" i="13"/>
  <c r="F336" i="5" s="1"/>
  <c r="Z323" i="5"/>
  <c r="Z324" i="5"/>
  <c r="Z325" i="5"/>
  <c r="Z326" i="5"/>
  <c r="Z327" i="5"/>
  <c r="Z328" i="5"/>
  <c r="K328" i="5"/>
  <c r="J328" i="5"/>
  <c r="G328" i="5"/>
  <c r="K327" i="5"/>
  <c r="J327" i="5"/>
  <c r="G327" i="5"/>
  <c r="K326" i="5"/>
  <c r="J326" i="5"/>
  <c r="G326" i="5"/>
  <c r="K325" i="5"/>
  <c r="J325" i="5"/>
  <c r="G325" i="5"/>
  <c r="K324" i="5"/>
  <c r="J324" i="5"/>
  <c r="G324" i="5"/>
  <c r="K323" i="5"/>
  <c r="J323" i="5"/>
  <c r="G323" i="5"/>
  <c r="A323" i="13"/>
  <c r="B323" i="13"/>
  <c r="E323" i="13"/>
  <c r="AB323" i="13" s="1"/>
  <c r="K323" i="13"/>
  <c r="L323" i="13"/>
  <c r="O323" i="13"/>
  <c r="X323" i="13"/>
  <c r="A324" i="13"/>
  <c r="B324" i="13"/>
  <c r="E324" i="13"/>
  <c r="AB324" i="13" s="1"/>
  <c r="K324" i="13"/>
  <c r="L324" i="13"/>
  <c r="O324" i="13"/>
  <c r="X324" i="13"/>
  <c r="A325" i="13"/>
  <c r="B325" i="13"/>
  <c r="E325" i="13"/>
  <c r="AB325" i="13" s="1"/>
  <c r="K325" i="13"/>
  <c r="L325" i="13"/>
  <c r="O325" i="13"/>
  <c r="X325" i="13"/>
  <c r="A326" i="13"/>
  <c r="B326" i="13"/>
  <c r="E326" i="13"/>
  <c r="AB326" i="13" s="1"/>
  <c r="K326" i="13"/>
  <c r="L326" i="13"/>
  <c r="O326" i="13"/>
  <c r="X326" i="13"/>
  <c r="A327" i="13"/>
  <c r="B327" i="13"/>
  <c r="E327" i="13"/>
  <c r="AB327" i="13" s="1"/>
  <c r="K327" i="13"/>
  <c r="L327" i="13"/>
  <c r="O327" i="13"/>
  <c r="X327" i="13"/>
  <c r="A328" i="13"/>
  <c r="B328" i="13"/>
  <c r="E328" i="13"/>
  <c r="AB328" i="13" s="1"/>
  <c r="K328" i="13"/>
  <c r="L328" i="13"/>
  <c r="O328" i="13"/>
  <c r="X328" i="13"/>
  <c r="AG328" i="12"/>
  <c r="AF328" i="12"/>
  <c r="AE328" i="12"/>
  <c r="AC328" i="12"/>
  <c r="AC328" i="13" s="1"/>
  <c r="AG327" i="12"/>
  <c r="AF327" i="12"/>
  <c r="AE327" i="12"/>
  <c r="AC327" i="12"/>
  <c r="AC327" i="13" s="1"/>
  <c r="AG326" i="12"/>
  <c r="AF326" i="12"/>
  <c r="AE326" i="12"/>
  <c r="AC326" i="12"/>
  <c r="AC326" i="13" s="1"/>
  <c r="AG325" i="12"/>
  <c r="AF325" i="12"/>
  <c r="AE325" i="12"/>
  <c r="AC325" i="12"/>
  <c r="AC325" i="13" s="1"/>
  <c r="AG324" i="12"/>
  <c r="AF324" i="12"/>
  <c r="AE324" i="12"/>
  <c r="AC324" i="12"/>
  <c r="AC324" i="13" s="1"/>
  <c r="AG323" i="12"/>
  <c r="AF323" i="12"/>
  <c r="AE323" i="12"/>
  <c r="AC323" i="12"/>
  <c r="AC323" i="13" s="1"/>
  <c r="AB323" i="12"/>
  <c r="AB324" i="12"/>
  <c r="AB325" i="12"/>
  <c r="AB326" i="12"/>
  <c r="AB327" i="12"/>
  <c r="X323" i="12"/>
  <c r="X324" i="12"/>
  <c r="X325" i="12"/>
  <c r="X326" i="12"/>
  <c r="X327" i="12"/>
  <c r="X328" i="12"/>
  <c r="S323" i="12"/>
  <c r="S324" i="12"/>
  <c r="S325" i="12"/>
  <c r="S326" i="12"/>
  <c r="S327" i="12"/>
  <c r="S328" i="12"/>
  <c r="M309" i="12"/>
  <c r="M310" i="12"/>
  <c r="M311" i="12"/>
  <c r="M312" i="12"/>
  <c r="M313" i="12"/>
  <c r="M314" i="12"/>
  <c r="M315" i="12"/>
  <c r="M316" i="12"/>
  <c r="M317" i="12"/>
  <c r="M318" i="12"/>
  <c r="M319" i="12"/>
  <c r="M320" i="12"/>
  <c r="C323" i="12"/>
  <c r="D323" i="12"/>
  <c r="C324" i="12"/>
  <c r="D324" i="12"/>
  <c r="C325" i="12"/>
  <c r="D325" i="12"/>
  <c r="C326" i="12"/>
  <c r="D326" i="12"/>
  <c r="C327" i="12"/>
  <c r="D327" i="12"/>
  <c r="C328" i="12"/>
  <c r="D328" i="12"/>
  <c r="AO328" i="10"/>
  <c r="N328" i="10" s="1"/>
  <c r="AL328" i="10"/>
  <c r="J328" i="10" s="1"/>
  <c r="AK328" i="10"/>
  <c r="R328" i="10" s="1"/>
  <c r="T328" i="10"/>
  <c r="S328" i="10"/>
  <c r="K328" i="10"/>
  <c r="I328" i="10"/>
  <c r="E328" i="10"/>
  <c r="AO327" i="10"/>
  <c r="N327" i="10" s="1"/>
  <c r="AL327" i="10"/>
  <c r="J327" i="10" s="1"/>
  <c r="AK327" i="10"/>
  <c r="R327" i="10" s="1"/>
  <c r="T327" i="10"/>
  <c r="S327" i="10"/>
  <c r="K327" i="10"/>
  <c r="I327" i="10"/>
  <c r="E327" i="10"/>
  <c r="AO326" i="10"/>
  <c r="N326" i="10" s="1"/>
  <c r="AL326" i="10"/>
  <c r="AK326" i="10"/>
  <c r="R326" i="10" s="1"/>
  <c r="T326" i="10"/>
  <c r="S326" i="10"/>
  <c r="K326" i="10"/>
  <c r="J326" i="10"/>
  <c r="I326" i="10"/>
  <c r="E326" i="10"/>
  <c r="AO325" i="10"/>
  <c r="N325" i="10" s="1"/>
  <c r="AL325" i="10"/>
  <c r="J325" i="10" s="1"/>
  <c r="AK325" i="10"/>
  <c r="R325" i="10" s="1"/>
  <c r="T325" i="10"/>
  <c r="S325" i="10"/>
  <c r="K325" i="10"/>
  <c r="I325" i="10"/>
  <c r="E325" i="10"/>
  <c r="AO324" i="10"/>
  <c r="AL324" i="10"/>
  <c r="J324" i="10" s="1"/>
  <c r="AK324" i="10"/>
  <c r="R324" i="10" s="1"/>
  <c r="T324" i="10"/>
  <c r="S324" i="10"/>
  <c r="N324" i="10"/>
  <c r="K324" i="10"/>
  <c r="I324" i="10"/>
  <c r="E324" i="10"/>
  <c r="AO323" i="10"/>
  <c r="AL323" i="10"/>
  <c r="J323" i="10" s="1"/>
  <c r="AK323" i="10"/>
  <c r="R323" i="10" s="1"/>
  <c r="T323" i="10"/>
  <c r="S323" i="10"/>
  <c r="N323" i="10"/>
  <c r="K323" i="10"/>
  <c r="I323" i="10"/>
  <c r="E323" i="10"/>
  <c r="A323" i="9"/>
  <c r="C323" i="10" s="1"/>
  <c r="C323" i="13" s="1"/>
  <c r="B323" i="9"/>
  <c r="D323" i="10" s="1"/>
  <c r="A324" i="9"/>
  <c r="C324" i="10" s="1"/>
  <c r="C324" i="13" s="1"/>
  <c r="B324" i="9"/>
  <c r="D324" i="10" s="1"/>
  <c r="A325" i="9"/>
  <c r="C325" i="10" s="1"/>
  <c r="C325" i="13" s="1"/>
  <c r="B325" i="9"/>
  <c r="D325" i="10" s="1"/>
  <c r="A326" i="9"/>
  <c r="C326" i="10" s="1"/>
  <c r="C326" i="13" s="1"/>
  <c r="B326" i="9"/>
  <c r="D326" i="10" s="1"/>
  <c r="A327" i="9"/>
  <c r="C327" i="10" s="1"/>
  <c r="C327" i="13" s="1"/>
  <c r="B327" i="9"/>
  <c r="D327" i="10" s="1"/>
  <c r="L269" i="13"/>
  <c r="L270" i="13"/>
  <c r="L271" i="13"/>
  <c r="L272" i="13"/>
  <c r="L273" i="13"/>
  <c r="L274" i="13"/>
  <c r="L275" i="13"/>
  <c r="L276" i="13"/>
  <c r="L277" i="13"/>
  <c r="L278" i="13"/>
  <c r="L279" i="13"/>
  <c r="L280" i="13"/>
  <c r="L281" i="13"/>
  <c r="L282" i="13"/>
  <c r="L283" i="13"/>
  <c r="L284" i="13"/>
  <c r="L285" i="13"/>
  <c r="L286" i="13"/>
  <c r="L287" i="13"/>
  <c r="L288" i="13"/>
  <c r="L289" i="13"/>
  <c r="L290" i="13"/>
  <c r="L291" i="13"/>
  <c r="L292" i="13"/>
  <c r="L293" i="13"/>
  <c r="L294" i="13"/>
  <c r="L295" i="13"/>
  <c r="L296" i="13"/>
  <c r="L297" i="13"/>
  <c r="L298" i="13"/>
  <c r="L299" i="13"/>
  <c r="L300" i="13"/>
  <c r="L301" i="13"/>
  <c r="L302" i="13"/>
  <c r="L303" i="13"/>
  <c r="L304" i="13"/>
  <c r="L305" i="13"/>
  <c r="L306" i="13"/>
  <c r="L307" i="13"/>
  <c r="L308" i="13"/>
  <c r="L309" i="13"/>
  <c r="L310" i="13"/>
  <c r="L311" i="13"/>
  <c r="L312" i="13"/>
  <c r="L313" i="13"/>
  <c r="L314" i="13"/>
  <c r="L315" i="13"/>
  <c r="L316" i="13"/>
  <c r="L317" i="13"/>
  <c r="L318" i="13"/>
  <c r="L319" i="13"/>
  <c r="L320" i="13"/>
  <c r="L321" i="13"/>
  <c r="L322" i="13"/>
  <c r="L268" i="13"/>
  <c r="K18" i="14"/>
  <c r="K8" i="14"/>
  <c r="L13" i="14"/>
  <c r="K21" i="14"/>
  <c r="K20" i="14"/>
  <c r="W316" i="9"/>
  <c r="W317" i="9"/>
  <c r="W318" i="9"/>
  <c r="W319" i="9"/>
  <c r="W320" i="9"/>
  <c r="N316" i="9"/>
  <c r="N317" i="9"/>
  <c r="N318" i="9"/>
  <c r="N319" i="9"/>
  <c r="X316" i="13"/>
  <c r="I316" i="13"/>
  <c r="X317" i="13"/>
  <c r="I317" i="13"/>
  <c r="X318" i="13"/>
  <c r="H318" i="13"/>
  <c r="X319" i="13"/>
  <c r="H319" i="13"/>
  <c r="X320" i="13"/>
  <c r="H320" i="13"/>
  <c r="X321" i="13"/>
  <c r="H321" i="13"/>
  <c r="X322" i="13"/>
  <c r="H322" i="13"/>
  <c r="O316" i="13"/>
  <c r="O317" i="13"/>
  <c r="O318" i="13"/>
  <c r="O319" i="13"/>
  <c r="O320" i="13"/>
  <c r="O321" i="13"/>
  <c r="O322" i="13"/>
  <c r="H316" i="13"/>
  <c r="K316" i="13"/>
  <c r="K317" i="13"/>
  <c r="K318" i="13"/>
  <c r="K319" i="13"/>
  <c r="K320" i="13"/>
  <c r="K321" i="13"/>
  <c r="K322" i="13"/>
  <c r="A316" i="13"/>
  <c r="B316" i="13"/>
  <c r="E316" i="13"/>
  <c r="AB316" i="13" s="1"/>
  <c r="A317" i="13"/>
  <c r="B317" i="13"/>
  <c r="E317" i="13"/>
  <c r="AB317" i="13" s="1"/>
  <c r="A318" i="13"/>
  <c r="B318" i="13"/>
  <c r="E318" i="13"/>
  <c r="AB318" i="13" s="1"/>
  <c r="A319" i="13"/>
  <c r="B319" i="13"/>
  <c r="E319" i="13"/>
  <c r="AB319" i="13" s="1"/>
  <c r="A320" i="13"/>
  <c r="B320" i="13"/>
  <c r="E320" i="13"/>
  <c r="AB320" i="13" s="1"/>
  <c r="A321" i="13"/>
  <c r="B321" i="13"/>
  <c r="E321" i="13"/>
  <c r="AB321" i="13" s="1"/>
  <c r="A322" i="13"/>
  <c r="B322" i="13"/>
  <c r="E322" i="13"/>
  <c r="AB322" i="13" s="1"/>
  <c r="AC316" i="12"/>
  <c r="AC316" i="13" s="1"/>
  <c r="AE316" i="12"/>
  <c r="AL316" i="12" s="1"/>
  <c r="AM316" i="12" s="1"/>
  <c r="AF316" i="12"/>
  <c r="AG316" i="12"/>
  <c r="AC317" i="12"/>
  <c r="AC317" i="13" s="1"/>
  <c r="AE317" i="12"/>
  <c r="AL317" i="12" s="1"/>
  <c r="AM317" i="12" s="1"/>
  <c r="AF317" i="12"/>
  <c r="AG317" i="12"/>
  <c r="AC318" i="12"/>
  <c r="AC318" i="13" s="1"/>
  <c r="AE318" i="12"/>
  <c r="AL318" i="12" s="1"/>
  <c r="AN318" i="12" s="1"/>
  <c r="AF318" i="12"/>
  <c r="AG318" i="12"/>
  <c r="AC319" i="12"/>
  <c r="AC319" i="13" s="1"/>
  <c r="AE319" i="12"/>
  <c r="AL319" i="12" s="1"/>
  <c r="AM319" i="12" s="1"/>
  <c r="AF319" i="12"/>
  <c r="AG319" i="12"/>
  <c r="AC320" i="12"/>
  <c r="AC320" i="13" s="1"/>
  <c r="AE320" i="12"/>
  <c r="AL320" i="12" s="1"/>
  <c r="AM320" i="12" s="1"/>
  <c r="AF320" i="12"/>
  <c r="AG320" i="12"/>
  <c r="AC321" i="12"/>
  <c r="AC321" i="13" s="1"/>
  <c r="AE321" i="12"/>
  <c r="AF321" i="12"/>
  <c r="AG321" i="12"/>
  <c r="AC322" i="12"/>
  <c r="AC322" i="13" s="1"/>
  <c r="AE322" i="12"/>
  <c r="AL322" i="12" s="1"/>
  <c r="AF322" i="12"/>
  <c r="AG322" i="12"/>
  <c r="AB316" i="12"/>
  <c r="AB317" i="12"/>
  <c r="AB318" i="12"/>
  <c r="AB319" i="12"/>
  <c r="AB320" i="12"/>
  <c r="AB321" i="12"/>
  <c r="AB322" i="12"/>
  <c r="X316" i="12"/>
  <c r="X317" i="12"/>
  <c r="X318" i="12"/>
  <c r="X319" i="12"/>
  <c r="X320" i="12"/>
  <c r="X321" i="12"/>
  <c r="X322" i="12"/>
  <c r="S316" i="12"/>
  <c r="S317" i="12"/>
  <c r="S318" i="12"/>
  <c r="S319" i="12"/>
  <c r="S320" i="12"/>
  <c r="S321" i="12"/>
  <c r="S322" i="12"/>
  <c r="C316" i="12"/>
  <c r="D316" i="12"/>
  <c r="C317" i="12"/>
  <c r="D317" i="12"/>
  <c r="C318" i="12"/>
  <c r="D318" i="12"/>
  <c r="C319" i="12"/>
  <c r="D319" i="12"/>
  <c r="C320" i="12"/>
  <c r="D320" i="12"/>
  <c r="C321" i="12"/>
  <c r="D321" i="12"/>
  <c r="C322" i="12"/>
  <c r="D322" i="12"/>
  <c r="AO322" i="10"/>
  <c r="N322" i="10" s="1"/>
  <c r="AL322" i="10"/>
  <c r="J322" i="10" s="1"/>
  <c r="AK322" i="10"/>
  <c r="R322" i="10" s="1"/>
  <c r="T322" i="10"/>
  <c r="S322" i="10"/>
  <c r="K322" i="10"/>
  <c r="I322" i="10"/>
  <c r="E322" i="10"/>
  <c r="AO321" i="10"/>
  <c r="N321" i="10" s="1"/>
  <c r="AL321" i="10"/>
  <c r="J321" i="10" s="1"/>
  <c r="AK321" i="10"/>
  <c r="R321" i="10" s="1"/>
  <c r="T321" i="10"/>
  <c r="S321" i="10"/>
  <c r="K321" i="10"/>
  <c r="I321" i="10"/>
  <c r="E321" i="10"/>
  <c r="AO320" i="10"/>
  <c r="N320" i="10" s="1"/>
  <c r="AL320" i="10"/>
  <c r="J320" i="10" s="1"/>
  <c r="AK320" i="10"/>
  <c r="R320" i="10" s="1"/>
  <c r="T320" i="10"/>
  <c r="S320" i="10"/>
  <c r="K320" i="10"/>
  <c r="I320" i="10"/>
  <c r="E320" i="10"/>
  <c r="AO319" i="10"/>
  <c r="N319" i="10" s="1"/>
  <c r="AL319" i="10"/>
  <c r="J319" i="10" s="1"/>
  <c r="AK319" i="10"/>
  <c r="T319" i="10"/>
  <c r="S319" i="10"/>
  <c r="R319" i="10"/>
  <c r="K319" i="10"/>
  <c r="I319" i="10"/>
  <c r="E319" i="10"/>
  <c r="AO318" i="10"/>
  <c r="N318" i="10" s="1"/>
  <c r="AL318" i="10"/>
  <c r="J318" i="10" s="1"/>
  <c r="AK318" i="10"/>
  <c r="R318" i="10" s="1"/>
  <c r="T318" i="10"/>
  <c r="S318" i="10"/>
  <c r="K318" i="10"/>
  <c r="I318" i="10"/>
  <c r="E318" i="10"/>
  <c r="AO317" i="10"/>
  <c r="N317" i="10" s="1"/>
  <c r="AL317" i="10"/>
  <c r="AK317" i="10"/>
  <c r="R317" i="10" s="1"/>
  <c r="T317" i="10"/>
  <c r="S317" i="10"/>
  <c r="K317" i="10"/>
  <c r="J317" i="10"/>
  <c r="I317" i="10"/>
  <c r="E317" i="10"/>
  <c r="AO316" i="10"/>
  <c r="N316" i="10" s="1"/>
  <c r="AL316" i="10"/>
  <c r="J316" i="10" s="1"/>
  <c r="AK316" i="10"/>
  <c r="R316" i="10" s="1"/>
  <c r="T316" i="10"/>
  <c r="S316" i="10"/>
  <c r="K316" i="10"/>
  <c r="I316" i="10"/>
  <c r="E316" i="10"/>
  <c r="A316" i="9"/>
  <c r="C316" i="10" s="1"/>
  <c r="C316" i="13" s="1"/>
  <c r="B316" i="9"/>
  <c r="D316" i="10" s="1"/>
  <c r="A317" i="9"/>
  <c r="C317" i="10" s="1"/>
  <c r="C317" i="13" s="1"/>
  <c r="B317" i="9"/>
  <c r="D317" i="10" s="1"/>
  <c r="A318" i="9"/>
  <c r="C318" i="10" s="1"/>
  <c r="C318" i="13" s="1"/>
  <c r="B318" i="9"/>
  <c r="D318" i="10" s="1"/>
  <c r="A319" i="9"/>
  <c r="C319" i="10" s="1"/>
  <c r="C319" i="13" s="1"/>
  <c r="B319" i="9"/>
  <c r="D319" i="10" s="1"/>
  <c r="A320" i="9"/>
  <c r="C320" i="10" s="1"/>
  <c r="C320" i="13" s="1"/>
  <c r="B320" i="9"/>
  <c r="D320" i="10" s="1"/>
  <c r="A321" i="9"/>
  <c r="C321" i="10" s="1"/>
  <c r="C321" i="13" s="1"/>
  <c r="B321" i="9"/>
  <c r="D321" i="10" s="1"/>
  <c r="A322" i="9"/>
  <c r="C322" i="10" s="1"/>
  <c r="B322" i="9"/>
  <c r="D322" i="10" s="1"/>
  <c r="A328" i="9"/>
  <c r="C328" i="10" s="1"/>
  <c r="C328" i="13" s="1"/>
  <c r="B328" i="9"/>
  <c r="D328" i="10" s="1"/>
  <c r="Z322" i="5"/>
  <c r="K322" i="5"/>
  <c r="J322" i="5"/>
  <c r="G322" i="5"/>
  <c r="Z321" i="5"/>
  <c r="K321" i="5"/>
  <c r="J321" i="5"/>
  <c r="G321" i="5"/>
  <c r="Z320" i="5"/>
  <c r="K320" i="5"/>
  <c r="J320" i="5"/>
  <c r="G320" i="5"/>
  <c r="Z319" i="5"/>
  <c r="K319" i="5"/>
  <c r="J319" i="5"/>
  <c r="G319" i="5"/>
  <c r="Z318" i="5"/>
  <c r="K318" i="5"/>
  <c r="J318" i="5"/>
  <c r="G318" i="5"/>
  <c r="Z317" i="5"/>
  <c r="K317" i="5"/>
  <c r="J317" i="5"/>
  <c r="G317" i="5"/>
  <c r="Z316" i="5"/>
  <c r="K316" i="5"/>
  <c r="J316" i="5"/>
  <c r="G316" i="5"/>
  <c r="X58" i="12"/>
  <c r="J17" i="14"/>
  <c r="J10" i="14"/>
  <c r="J11" i="14"/>
  <c r="J12" i="14"/>
  <c r="AC315" i="12"/>
  <c r="AC315" i="13" s="1"/>
  <c r="AC314" i="12"/>
  <c r="AC314" i="13" s="1"/>
  <c r="AC313" i="12"/>
  <c r="AC313" i="13" s="1"/>
  <c r="AC312" i="12"/>
  <c r="AC312" i="13" s="1"/>
  <c r="AC311" i="12"/>
  <c r="AC311" i="13" s="1"/>
  <c r="AC310" i="12"/>
  <c r="AC310" i="13" s="1"/>
  <c r="AC309" i="12"/>
  <c r="AC309" i="13" s="1"/>
  <c r="AC308" i="12"/>
  <c r="AC308" i="13" s="1"/>
  <c r="AC307" i="12"/>
  <c r="AC307" i="13" s="1"/>
  <c r="AC306" i="12"/>
  <c r="AC306" i="13" s="1"/>
  <c r="AC305" i="12"/>
  <c r="AC305" i="13" s="1"/>
  <c r="AC304" i="12"/>
  <c r="AC304" i="13" s="1"/>
  <c r="AC303" i="12"/>
  <c r="AC303" i="13" s="1"/>
  <c r="AC302" i="12"/>
  <c r="AC302" i="13" s="1"/>
  <c r="AC301" i="12"/>
  <c r="AC301" i="13" s="1"/>
  <c r="AC300" i="12"/>
  <c r="AC300" i="13" s="1"/>
  <c r="AC299" i="12"/>
  <c r="AC299" i="13" s="1"/>
  <c r="AC298" i="12"/>
  <c r="AC298" i="13" s="1"/>
  <c r="AC297" i="12"/>
  <c r="AC297" i="13" s="1"/>
  <c r="AC296" i="12"/>
  <c r="AC296" i="13" s="1"/>
  <c r="AC295" i="12"/>
  <c r="AC295" i="13" s="1"/>
  <c r="AC294" i="12"/>
  <c r="AC294" i="13" s="1"/>
  <c r="AC293" i="12"/>
  <c r="AC293" i="13" s="1"/>
  <c r="AC292" i="12"/>
  <c r="AC292" i="13" s="1"/>
  <c r="AC291" i="12"/>
  <c r="AC291" i="13" s="1"/>
  <c r="AC290" i="12"/>
  <c r="AC290" i="13" s="1"/>
  <c r="AC289" i="12"/>
  <c r="AC289" i="13" s="1"/>
  <c r="AC288" i="12"/>
  <c r="AC288" i="13" s="1"/>
  <c r="AC287" i="12"/>
  <c r="AC287" i="13" s="1"/>
  <c r="AC286" i="12"/>
  <c r="AC286" i="13" s="1"/>
  <c r="AC285" i="12"/>
  <c r="AC285" i="13" s="1"/>
  <c r="AC284" i="12"/>
  <c r="AC284" i="13" s="1"/>
  <c r="AC283" i="12"/>
  <c r="AC283" i="13" s="1"/>
  <c r="AC282" i="12"/>
  <c r="AC282" i="13" s="1"/>
  <c r="AC281" i="12"/>
  <c r="AC281" i="13" s="1"/>
  <c r="AC280" i="12"/>
  <c r="AC280" i="13" s="1"/>
  <c r="AC279" i="12"/>
  <c r="AC279" i="13" s="1"/>
  <c r="AC278" i="12"/>
  <c r="AC278" i="13" s="1"/>
  <c r="AC277" i="12"/>
  <c r="AC277" i="13" s="1"/>
  <c r="AC276" i="12"/>
  <c r="AC276" i="13" s="1"/>
  <c r="AC275" i="12"/>
  <c r="AC275" i="13" s="1"/>
  <c r="AC274" i="12"/>
  <c r="AC274" i="13" s="1"/>
  <c r="AC273" i="12"/>
  <c r="AC273" i="13" s="1"/>
  <c r="AC272" i="12"/>
  <c r="AC272" i="13" s="1"/>
  <c r="AC271" i="12"/>
  <c r="AC271" i="13" s="1"/>
  <c r="AC270" i="12"/>
  <c r="AC270" i="13" s="1"/>
  <c r="AC269" i="12"/>
  <c r="AC269" i="13" s="1"/>
  <c r="AC268" i="12"/>
  <c r="AC268" i="13" s="1"/>
  <c r="AC267" i="12"/>
  <c r="AC267" i="13" s="1"/>
  <c r="AC266" i="12"/>
  <c r="AC266" i="13" s="1"/>
  <c r="AC265" i="12"/>
  <c r="AC265" i="13" s="1"/>
  <c r="AC264" i="12"/>
  <c r="AC264" i="13" s="1"/>
  <c r="AC263" i="12"/>
  <c r="AC263" i="13" s="1"/>
  <c r="AC262" i="12"/>
  <c r="AC262" i="13" s="1"/>
  <c r="AC261" i="12"/>
  <c r="AC261" i="13" s="1"/>
  <c r="AC260" i="12"/>
  <c r="AC260" i="13" s="1"/>
  <c r="AC259" i="12"/>
  <c r="AC259" i="13" s="1"/>
  <c r="AC258" i="12"/>
  <c r="AC258" i="13" s="1"/>
  <c r="AC257" i="12"/>
  <c r="AC257" i="13" s="1"/>
  <c r="AC256" i="12"/>
  <c r="AC256" i="13" s="1"/>
  <c r="AC255" i="12"/>
  <c r="AC255" i="13" s="1"/>
  <c r="AC254" i="12"/>
  <c r="AC254" i="13" s="1"/>
  <c r="AC253" i="12"/>
  <c r="AC253" i="13" s="1"/>
  <c r="AC252" i="12"/>
  <c r="AC252" i="13" s="1"/>
  <c r="AC251" i="12"/>
  <c r="AC251" i="13" s="1"/>
  <c r="AC250" i="12"/>
  <c r="AC250" i="13" s="1"/>
  <c r="AC249" i="12"/>
  <c r="AC249" i="13" s="1"/>
  <c r="AC248" i="12"/>
  <c r="AC248" i="13" s="1"/>
  <c r="AC247" i="12"/>
  <c r="AC247" i="13" s="1"/>
  <c r="AC246" i="12"/>
  <c r="AC246" i="13" s="1"/>
  <c r="AC245" i="12"/>
  <c r="AC245" i="13" s="1"/>
  <c r="AC244" i="12"/>
  <c r="AC244" i="13" s="1"/>
  <c r="AC243" i="12"/>
  <c r="AC243" i="13" s="1"/>
  <c r="AC242" i="12"/>
  <c r="AC242" i="13" s="1"/>
  <c r="AC241" i="12"/>
  <c r="AC241" i="13" s="1"/>
  <c r="AC240" i="12"/>
  <c r="AC240" i="13" s="1"/>
  <c r="AC239" i="12"/>
  <c r="AC239" i="13" s="1"/>
  <c r="AC238" i="12"/>
  <c r="AC238" i="13" s="1"/>
  <c r="AC237" i="12"/>
  <c r="AC237" i="13" s="1"/>
  <c r="AC236" i="12"/>
  <c r="AC236" i="13" s="1"/>
  <c r="AC235" i="12"/>
  <c r="AC235" i="13" s="1"/>
  <c r="AC234" i="12"/>
  <c r="AC234" i="13" s="1"/>
  <c r="AC233" i="12"/>
  <c r="AC233" i="13" s="1"/>
  <c r="AC232" i="12"/>
  <c r="AC232" i="13" s="1"/>
  <c r="AC231" i="12"/>
  <c r="AC231" i="13" s="1"/>
  <c r="AC230" i="12"/>
  <c r="AC230" i="13" s="1"/>
  <c r="AC229" i="12"/>
  <c r="AC229" i="13" s="1"/>
  <c r="AC228" i="12"/>
  <c r="AC228" i="13" s="1"/>
  <c r="AC227" i="12"/>
  <c r="AC227" i="13" s="1"/>
  <c r="AC226" i="12"/>
  <c r="AC226" i="13" s="1"/>
  <c r="AC225" i="12"/>
  <c r="AC225" i="13" s="1"/>
  <c r="AC224" i="12"/>
  <c r="AC224" i="13" s="1"/>
  <c r="AC223" i="12"/>
  <c r="AC223" i="13" s="1"/>
  <c r="AC222" i="12"/>
  <c r="AC222" i="13" s="1"/>
  <c r="AC221" i="12"/>
  <c r="AC221" i="13" s="1"/>
  <c r="AC220" i="12"/>
  <c r="AC220" i="13" s="1"/>
  <c r="AC219" i="12"/>
  <c r="AC219" i="13" s="1"/>
  <c r="AC218" i="12"/>
  <c r="AC218" i="13" s="1"/>
  <c r="AC217" i="12"/>
  <c r="AC217" i="13" s="1"/>
  <c r="AC216" i="12"/>
  <c r="AC216" i="13" s="1"/>
  <c r="AC215" i="12"/>
  <c r="AC215" i="13" s="1"/>
  <c r="AC214" i="12"/>
  <c r="AC214" i="13" s="1"/>
  <c r="AC213" i="12"/>
  <c r="AC213" i="13" s="1"/>
  <c r="AC212" i="12"/>
  <c r="AC212" i="13" s="1"/>
  <c r="AC211" i="12"/>
  <c r="AC211" i="13" s="1"/>
  <c r="AC210" i="12"/>
  <c r="AC210" i="13" s="1"/>
  <c r="AC209" i="12"/>
  <c r="AC209" i="13" s="1"/>
  <c r="AC208" i="12"/>
  <c r="AC208" i="13" s="1"/>
  <c r="AC207" i="12"/>
  <c r="AC207" i="13" s="1"/>
  <c r="AC206" i="12"/>
  <c r="AC206" i="13" s="1"/>
  <c r="AC205" i="12"/>
  <c r="AC205" i="13" s="1"/>
  <c r="AC204" i="12"/>
  <c r="AC204" i="13" s="1"/>
  <c r="AC203" i="12"/>
  <c r="AC203" i="13" s="1"/>
  <c r="AC202" i="12"/>
  <c r="AC202" i="13" s="1"/>
  <c r="AC201" i="12"/>
  <c r="AC201" i="13" s="1"/>
  <c r="AC200" i="12"/>
  <c r="AC200" i="13" s="1"/>
  <c r="AC199" i="12"/>
  <c r="AC199" i="13" s="1"/>
  <c r="AC198" i="12"/>
  <c r="AC198" i="13" s="1"/>
  <c r="AC197" i="12"/>
  <c r="AC197" i="13" s="1"/>
  <c r="AC196" i="12"/>
  <c r="AC196" i="13" s="1"/>
  <c r="AC195" i="12"/>
  <c r="AC195" i="13" s="1"/>
  <c r="AC194" i="12"/>
  <c r="AC194" i="13" s="1"/>
  <c r="AC193" i="12"/>
  <c r="AC193" i="13" s="1"/>
  <c r="AC192" i="12"/>
  <c r="AC192" i="13" s="1"/>
  <c r="AC191" i="12"/>
  <c r="AC191" i="13" s="1"/>
  <c r="AC190" i="12"/>
  <c r="AC190" i="13" s="1"/>
  <c r="AC189" i="12"/>
  <c r="AC189" i="13" s="1"/>
  <c r="AC188" i="12"/>
  <c r="AC188" i="13" s="1"/>
  <c r="AC187" i="12"/>
  <c r="AC187" i="13" s="1"/>
  <c r="AC186" i="12"/>
  <c r="AC186" i="13" s="1"/>
  <c r="AC185" i="12"/>
  <c r="AC185" i="13" s="1"/>
  <c r="AC184" i="12"/>
  <c r="AC184" i="13" s="1"/>
  <c r="AC183" i="12"/>
  <c r="AC183" i="13" s="1"/>
  <c r="AC182" i="12"/>
  <c r="AC182" i="13" s="1"/>
  <c r="AC181" i="12"/>
  <c r="AC181" i="13" s="1"/>
  <c r="AC180" i="12"/>
  <c r="AC180" i="13" s="1"/>
  <c r="AC179" i="12"/>
  <c r="AC179" i="13" s="1"/>
  <c r="AC178" i="12"/>
  <c r="AC178" i="13" s="1"/>
  <c r="AC177" i="12"/>
  <c r="AC177" i="13" s="1"/>
  <c r="AC176" i="12"/>
  <c r="AC176" i="13" s="1"/>
  <c r="AC175" i="12"/>
  <c r="AC175" i="13" s="1"/>
  <c r="AC174" i="12"/>
  <c r="AC174" i="13" s="1"/>
  <c r="AC173" i="12"/>
  <c r="AC173" i="13" s="1"/>
  <c r="AC172" i="12"/>
  <c r="AC172" i="13" s="1"/>
  <c r="AC171" i="12"/>
  <c r="AC171" i="13" s="1"/>
  <c r="AC170" i="12"/>
  <c r="AC170" i="13" s="1"/>
  <c r="AC169" i="12"/>
  <c r="AC169" i="13" s="1"/>
  <c r="AC168" i="12"/>
  <c r="AC168" i="13" s="1"/>
  <c r="AC167" i="12"/>
  <c r="AC167" i="13" s="1"/>
  <c r="AC166" i="12"/>
  <c r="AC166" i="13" s="1"/>
  <c r="AC165" i="12"/>
  <c r="AC165" i="13" s="1"/>
  <c r="AC164" i="12"/>
  <c r="AC164" i="13" s="1"/>
  <c r="AC163" i="12"/>
  <c r="AC163" i="13" s="1"/>
  <c r="AC162" i="12"/>
  <c r="AC162" i="13" s="1"/>
  <c r="AC161" i="12"/>
  <c r="AC161" i="13" s="1"/>
  <c r="AC160" i="12"/>
  <c r="AC160" i="13" s="1"/>
  <c r="AC159" i="12"/>
  <c r="AC159" i="13" s="1"/>
  <c r="AC158" i="12"/>
  <c r="AC158" i="13" s="1"/>
  <c r="AC157" i="12"/>
  <c r="AC157" i="13" s="1"/>
  <c r="AC156" i="12"/>
  <c r="AC156" i="13" s="1"/>
  <c r="AC155" i="12"/>
  <c r="AC155" i="13" s="1"/>
  <c r="AC154" i="12"/>
  <c r="AC154" i="13" s="1"/>
  <c r="AC153" i="12"/>
  <c r="AC153" i="13" s="1"/>
  <c r="AC152" i="12"/>
  <c r="AC152" i="13" s="1"/>
  <c r="AC151" i="12"/>
  <c r="AC151" i="13" s="1"/>
  <c r="AC150" i="12"/>
  <c r="AC150" i="13" s="1"/>
  <c r="AC149" i="12"/>
  <c r="AC149" i="13" s="1"/>
  <c r="AC148" i="12"/>
  <c r="AC148" i="13" s="1"/>
  <c r="AC147" i="12"/>
  <c r="AC147" i="13" s="1"/>
  <c r="AC146" i="12"/>
  <c r="AC146" i="13" s="1"/>
  <c r="AC145" i="12"/>
  <c r="AC145" i="13" s="1"/>
  <c r="AC144" i="12"/>
  <c r="AC144" i="13" s="1"/>
  <c r="AC143" i="12"/>
  <c r="AC143" i="13" s="1"/>
  <c r="AC142" i="12"/>
  <c r="AC142" i="13" s="1"/>
  <c r="AC141" i="12"/>
  <c r="AC141" i="13" s="1"/>
  <c r="AC140" i="12"/>
  <c r="AC140" i="13" s="1"/>
  <c r="AC139" i="12"/>
  <c r="AC139" i="13" s="1"/>
  <c r="AC138" i="12"/>
  <c r="AC138" i="13" s="1"/>
  <c r="AC137" i="12"/>
  <c r="AC137" i="13" s="1"/>
  <c r="AC136" i="12"/>
  <c r="AC136" i="13" s="1"/>
  <c r="AC135" i="12"/>
  <c r="AC135" i="13" s="1"/>
  <c r="AC134" i="12"/>
  <c r="AC134" i="13" s="1"/>
  <c r="AC133" i="12"/>
  <c r="AC133" i="13" s="1"/>
  <c r="AC132" i="12"/>
  <c r="AC132" i="13" s="1"/>
  <c r="AC131" i="12"/>
  <c r="AC131" i="13" s="1"/>
  <c r="AC130" i="12"/>
  <c r="AC130" i="13" s="1"/>
  <c r="AC129" i="12"/>
  <c r="AC129" i="13" s="1"/>
  <c r="AC128" i="12"/>
  <c r="AC128" i="13" s="1"/>
  <c r="AC127" i="12"/>
  <c r="AC127" i="13" s="1"/>
  <c r="AC126" i="12"/>
  <c r="AC126" i="13" s="1"/>
  <c r="AC125" i="12"/>
  <c r="AC125" i="13" s="1"/>
  <c r="AC124" i="12"/>
  <c r="AC124" i="13" s="1"/>
  <c r="AC123" i="12"/>
  <c r="AC123" i="13" s="1"/>
  <c r="AC122" i="12"/>
  <c r="AC122" i="13" s="1"/>
  <c r="AC121" i="12"/>
  <c r="AC121" i="13" s="1"/>
  <c r="AC120" i="12"/>
  <c r="AC120" i="13" s="1"/>
  <c r="AC119" i="12"/>
  <c r="AC119" i="13" s="1"/>
  <c r="AC118" i="12"/>
  <c r="AC118" i="13" s="1"/>
  <c r="AC117" i="12"/>
  <c r="AC117" i="13" s="1"/>
  <c r="AC116" i="12"/>
  <c r="AC116" i="13" s="1"/>
  <c r="AC115" i="12"/>
  <c r="AC115" i="13" s="1"/>
  <c r="AC114" i="12"/>
  <c r="AC114" i="13" s="1"/>
  <c r="AC113" i="12"/>
  <c r="AC113" i="13" s="1"/>
  <c r="AC112" i="12"/>
  <c r="AC112" i="13" s="1"/>
  <c r="AC111" i="12"/>
  <c r="AC111" i="13" s="1"/>
  <c r="AC110" i="12"/>
  <c r="AC110" i="13" s="1"/>
  <c r="AC109" i="12"/>
  <c r="AC109" i="13" s="1"/>
  <c r="AC108" i="12"/>
  <c r="AC108" i="13" s="1"/>
  <c r="AC107" i="12"/>
  <c r="AC107" i="13" s="1"/>
  <c r="AC106" i="12"/>
  <c r="AC106" i="13" s="1"/>
  <c r="AC105" i="12"/>
  <c r="AC105" i="13" s="1"/>
  <c r="AC104" i="12"/>
  <c r="AC104" i="13" s="1"/>
  <c r="AC103" i="12"/>
  <c r="AC103" i="13" s="1"/>
  <c r="AC102" i="12"/>
  <c r="AC102" i="13" s="1"/>
  <c r="AC101" i="12"/>
  <c r="AC101" i="13" s="1"/>
  <c r="AC100" i="12"/>
  <c r="AC100" i="13" s="1"/>
  <c r="AC99" i="12"/>
  <c r="AC99" i="13" s="1"/>
  <c r="AC98" i="12"/>
  <c r="AC98" i="13" s="1"/>
  <c r="AC97" i="12"/>
  <c r="AC97" i="13" s="1"/>
  <c r="AC96" i="12"/>
  <c r="AC96" i="13" s="1"/>
  <c r="AC95" i="12"/>
  <c r="AC95" i="13" s="1"/>
  <c r="AC94" i="12"/>
  <c r="AC94" i="13" s="1"/>
  <c r="AC93" i="12"/>
  <c r="AC93" i="13" s="1"/>
  <c r="AC92" i="12"/>
  <c r="AC92" i="13" s="1"/>
  <c r="AC91" i="12"/>
  <c r="AC91" i="13" s="1"/>
  <c r="AC90" i="12"/>
  <c r="AC90" i="13" s="1"/>
  <c r="AC89" i="12"/>
  <c r="AC89" i="13" s="1"/>
  <c r="AC88" i="12"/>
  <c r="AC88" i="13" s="1"/>
  <c r="AC87" i="12"/>
  <c r="AC87" i="13" s="1"/>
  <c r="AC86" i="12"/>
  <c r="AC86" i="13" s="1"/>
  <c r="AC85" i="12"/>
  <c r="AC85" i="13" s="1"/>
  <c r="AC84" i="12"/>
  <c r="AC84" i="13" s="1"/>
  <c r="AC83" i="12"/>
  <c r="AC83" i="13" s="1"/>
  <c r="AC82" i="12"/>
  <c r="AC82" i="13" s="1"/>
  <c r="AC81" i="12"/>
  <c r="AC81" i="13" s="1"/>
  <c r="AC80" i="12"/>
  <c r="AC80" i="13" s="1"/>
  <c r="AC79" i="12"/>
  <c r="AC79" i="13" s="1"/>
  <c r="AC78" i="12"/>
  <c r="AC78" i="13" s="1"/>
  <c r="AC77" i="12"/>
  <c r="AC77" i="13" s="1"/>
  <c r="AC76" i="12"/>
  <c r="AC76" i="13" s="1"/>
  <c r="AC75" i="12"/>
  <c r="AC75" i="13" s="1"/>
  <c r="AC74" i="12"/>
  <c r="AC74" i="13" s="1"/>
  <c r="AC73" i="12"/>
  <c r="AC73" i="13" s="1"/>
  <c r="AC72" i="12"/>
  <c r="AC72" i="13" s="1"/>
  <c r="AC71" i="12"/>
  <c r="AC71" i="13" s="1"/>
  <c r="AC70" i="12"/>
  <c r="AC70" i="13" s="1"/>
  <c r="AC69" i="12"/>
  <c r="AC69" i="13" s="1"/>
  <c r="AC68" i="12"/>
  <c r="AC68" i="13" s="1"/>
  <c r="AC67" i="12"/>
  <c r="AC67" i="13" s="1"/>
  <c r="AC66" i="12"/>
  <c r="AC66" i="13" s="1"/>
  <c r="AC65" i="12"/>
  <c r="AC65" i="13" s="1"/>
  <c r="AC64" i="12"/>
  <c r="AC64" i="13" s="1"/>
  <c r="AC63" i="12"/>
  <c r="AC63" i="13" s="1"/>
  <c r="AC62" i="12"/>
  <c r="AC62" i="13" s="1"/>
  <c r="AC61" i="12"/>
  <c r="AC61" i="13" s="1"/>
  <c r="AC60" i="12"/>
  <c r="AC60" i="13" s="1"/>
  <c r="AC59" i="12"/>
  <c r="AC59" i="13" s="1"/>
  <c r="AC58" i="12"/>
  <c r="AC58" i="13" s="1"/>
  <c r="AC57" i="12"/>
  <c r="AC57" i="13" s="1"/>
  <c r="AC56" i="12"/>
  <c r="AC56" i="13" s="1"/>
  <c r="AC55" i="12"/>
  <c r="AC55" i="13" s="1"/>
  <c r="AC54" i="12"/>
  <c r="AC54" i="13" s="1"/>
  <c r="AC53" i="12"/>
  <c r="AC53" i="13" s="1"/>
  <c r="AC52" i="12"/>
  <c r="AC52" i="13" s="1"/>
  <c r="AC51" i="12"/>
  <c r="AC51" i="13" s="1"/>
  <c r="AC50" i="12"/>
  <c r="AC50" i="13" s="1"/>
  <c r="AC49" i="12"/>
  <c r="AC49" i="13" s="1"/>
  <c r="AC48" i="12"/>
  <c r="AC48" i="13" s="1"/>
  <c r="AC47" i="12"/>
  <c r="AC47" i="13" s="1"/>
  <c r="AC46" i="12"/>
  <c r="AC46" i="13" s="1"/>
  <c r="AC45" i="12"/>
  <c r="AC45" i="13" s="1"/>
  <c r="AC44" i="12"/>
  <c r="AC44" i="13" s="1"/>
  <c r="AC43" i="12"/>
  <c r="AC43" i="13" s="1"/>
  <c r="AC42" i="12"/>
  <c r="AC42" i="13" s="1"/>
  <c r="AC41" i="12"/>
  <c r="AC41" i="13" s="1"/>
  <c r="AC40" i="12"/>
  <c r="AC40" i="13" s="1"/>
  <c r="AC39" i="12"/>
  <c r="AC39" i="13" s="1"/>
  <c r="AC38" i="12"/>
  <c r="AC38" i="13" s="1"/>
  <c r="AC37" i="12"/>
  <c r="AC37" i="13" s="1"/>
  <c r="AC36" i="12"/>
  <c r="AC36" i="13" s="1"/>
  <c r="AC35" i="12"/>
  <c r="AC35" i="13" s="1"/>
  <c r="AC34" i="12"/>
  <c r="AC34" i="13" s="1"/>
  <c r="AC33" i="12"/>
  <c r="AC33" i="13" s="1"/>
  <c r="AC32" i="12"/>
  <c r="AC32" i="13" s="1"/>
  <c r="AC31" i="12"/>
  <c r="AC31" i="13" s="1"/>
  <c r="AC30" i="12"/>
  <c r="AC30" i="13" s="1"/>
  <c r="AC29" i="12"/>
  <c r="AC29" i="13" s="1"/>
  <c r="AC28" i="12"/>
  <c r="AC28" i="13" s="1"/>
  <c r="AC27" i="12"/>
  <c r="AC27" i="13" s="1"/>
  <c r="AC26" i="12"/>
  <c r="AC26" i="13" s="1"/>
  <c r="AC25" i="12"/>
  <c r="AC25" i="13" s="1"/>
  <c r="L237" i="5"/>
  <c r="AC392" i="10" l="1"/>
  <c r="H392" i="5"/>
  <c r="I392" i="5" s="1"/>
  <c r="AC397" i="10"/>
  <c r="H397" i="5"/>
  <c r="F19" i="5"/>
  <c r="AA395" i="5"/>
  <c r="H389" i="5"/>
  <c r="I389" i="5" s="1"/>
  <c r="AC389" i="10"/>
  <c r="H388" i="5"/>
  <c r="I388" i="5" s="1"/>
  <c r="AC388" i="10"/>
  <c r="H387" i="5"/>
  <c r="I387" i="5" s="1"/>
  <c r="AC387" i="10"/>
  <c r="H386" i="5"/>
  <c r="I386" i="5" s="1"/>
  <c r="AC386" i="10"/>
  <c r="F367" i="5"/>
  <c r="H17" i="5"/>
  <c r="I334" i="5"/>
  <c r="H18" i="5"/>
  <c r="I360" i="5"/>
  <c r="F18" i="5"/>
  <c r="AA367" i="5"/>
  <c r="F330" i="5"/>
  <c r="AA330" i="5" s="1"/>
  <c r="AA338" i="5"/>
  <c r="AA331" i="5"/>
  <c r="AA332" i="5"/>
  <c r="AA333" i="5"/>
  <c r="AA334" i="5"/>
  <c r="AA335" i="5"/>
  <c r="AA336" i="5"/>
  <c r="I339" i="13"/>
  <c r="H339" i="13"/>
  <c r="P323" i="10"/>
  <c r="Y326" i="10"/>
  <c r="Y320" i="10"/>
  <c r="P326" i="10"/>
  <c r="Y324" i="10"/>
  <c r="Y327" i="10"/>
  <c r="P327" i="10"/>
  <c r="Y322" i="10"/>
  <c r="Y325" i="10"/>
  <c r="Y321" i="10"/>
  <c r="P324" i="10"/>
  <c r="P325" i="10"/>
  <c r="Y323" i="10"/>
  <c r="P328" i="10"/>
  <c r="F329" i="5"/>
  <c r="Y328" i="10"/>
  <c r="AH328" i="12"/>
  <c r="N328" i="13" s="1"/>
  <c r="S328" i="13" s="1"/>
  <c r="N328" i="5" s="1"/>
  <c r="AH327" i="12"/>
  <c r="N327" i="13" s="1"/>
  <c r="S327" i="13" s="1"/>
  <c r="N327" i="5" s="1"/>
  <c r="AH326" i="12"/>
  <c r="N326" i="13" s="1"/>
  <c r="S326" i="13" s="1"/>
  <c r="N326" i="5" s="1"/>
  <c r="AH325" i="12"/>
  <c r="N325" i="13" s="1"/>
  <c r="S325" i="13" s="1"/>
  <c r="N325" i="5" s="1"/>
  <c r="AH324" i="12"/>
  <c r="N324" i="13" s="1"/>
  <c r="S324" i="13" s="1"/>
  <c r="N324" i="5" s="1"/>
  <c r="AH323" i="12"/>
  <c r="N323" i="13" s="1"/>
  <c r="S323" i="13" s="1"/>
  <c r="N323" i="5" s="1"/>
  <c r="AL328" i="12"/>
  <c r="AL327" i="12"/>
  <c r="AL326" i="12"/>
  <c r="AL325" i="12"/>
  <c r="AL324" i="12"/>
  <c r="AL323" i="12"/>
  <c r="AM323" i="12" s="1"/>
  <c r="C322" i="13"/>
  <c r="I321" i="13"/>
  <c r="M321" i="13" s="1"/>
  <c r="F321" i="5" s="1"/>
  <c r="I322" i="13"/>
  <c r="M322" i="13" s="1"/>
  <c r="F322" i="5" s="1"/>
  <c r="H317" i="13"/>
  <c r="M317" i="13" s="1"/>
  <c r="F317" i="5" s="1"/>
  <c r="AA317" i="5" s="1"/>
  <c r="H323" i="13"/>
  <c r="I323" i="13"/>
  <c r="H324" i="13"/>
  <c r="I324" i="13"/>
  <c r="H325" i="13"/>
  <c r="I325" i="13"/>
  <c r="H326" i="13"/>
  <c r="I326" i="13"/>
  <c r="H327" i="13"/>
  <c r="I327" i="13"/>
  <c r="H328" i="13"/>
  <c r="I328" i="13"/>
  <c r="AH320" i="12"/>
  <c r="N320" i="13" s="1"/>
  <c r="S320" i="13" s="1"/>
  <c r="N320" i="5" s="1"/>
  <c r="Y319" i="10"/>
  <c r="P318" i="10"/>
  <c r="Y318" i="10"/>
  <c r="Y317" i="10"/>
  <c r="P317" i="10"/>
  <c r="P316" i="10"/>
  <c r="K22" i="14"/>
  <c r="AH321" i="12"/>
  <c r="N321" i="13" s="1"/>
  <c r="S321" i="13" s="1"/>
  <c r="N321" i="5" s="1"/>
  <c r="AH322" i="12"/>
  <c r="N322" i="13" s="1"/>
  <c r="S322" i="13" s="1"/>
  <c r="N322" i="5" s="1"/>
  <c r="M316" i="13"/>
  <c r="F316" i="5" s="1"/>
  <c r="AA316" i="5" s="1"/>
  <c r="AL321" i="12"/>
  <c r="AH319" i="12"/>
  <c r="N319" i="13" s="1"/>
  <c r="S319" i="13" s="1"/>
  <c r="N319" i="5" s="1"/>
  <c r="AH317" i="12"/>
  <c r="N317" i="13" s="1"/>
  <c r="S317" i="13" s="1"/>
  <c r="N317" i="5" s="1"/>
  <c r="AH316" i="12"/>
  <c r="N316" i="13" s="1"/>
  <c r="S316" i="13" s="1"/>
  <c r="N316" i="5" s="1"/>
  <c r="AH318" i="12"/>
  <c r="N318" i="13" s="1"/>
  <c r="S318" i="13" s="1"/>
  <c r="N318" i="5" s="1"/>
  <c r="I318" i="13"/>
  <c r="M318" i="13" s="1"/>
  <c r="F318" i="5" s="1"/>
  <c r="AA318" i="5" s="1"/>
  <c r="I320" i="13"/>
  <c r="M320" i="13" s="1"/>
  <c r="F320" i="5" s="1"/>
  <c r="AA320" i="5" s="1"/>
  <c r="I319" i="13"/>
  <c r="M319" i="13" s="1"/>
  <c r="F319" i="5" s="1"/>
  <c r="AA319" i="5" s="1"/>
  <c r="AN322" i="12"/>
  <c r="AM322" i="12"/>
  <c r="AM318" i="12"/>
  <c r="AN320" i="12"/>
  <c r="AN317" i="12"/>
  <c r="AN319" i="12"/>
  <c r="AN316" i="12"/>
  <c r="P319" i="10"/>
  <c r="P321" i="10"/>
  <c r="P320" i="10"/>
  <c r="P322" i="10"/>
  <c r="Y316" i="10"/>
  <c r="V7" i="13"/>
  <c r="V24" i="13" s="1"/>
  <c r="U7" i="13"/>
  <c r="U24" i="13" s="1"/>
  <c r="K26" i="14"/>
  <c r="H26" i="14"/>
  <c r="O8" i="14"/>
  <c r="H8" i="14"/>
  <c r="H12" i="14" s="1"/>
  <c r="K315" i="13"/>
  <c r="K314" i="13"/>
  <c r="K313" i="13"/>
  <c r="K312" i="13"/>
  <c r="K311" i="13"/>
  <c r="K310" i="13"/>
  <c r="K309" i="13"/>
  <c r="K308" i="13"/>
  <c r="K307" i="13"/>
  <c r="K306" i="13"/>
  <c r="K305" i="13"/>
  <c r="K304" i="13"/>
  <c r="K303" i="13"/>
  <c r="K302" i="13"/>
  <c r="K301" i="13"/>
  <c r="K300" i="13"/>
  <c r="K299" i="13"/>
  <c r="K298" i="13"/>
  <c r="A309" i="13"/>
  <c r="B309" i="13"/>
  <c r="E309" i="13"/>
  <c r="AB309" i="13" s="1"/>
  <c r="O309" i="13"/>
  <c r="X309" i="13"/>
  <c r="I309" i="13"/>
  <c r="A310" i="13"/>
  <c r="B310" i="13"/>
  <c r="E310" i="13"/>
  <c r="AB310" i="13" s="1"/>
  <c r="O310" i="13"/>
  <c r="X310" i="13"/>
  <c r="I310" i="13"/>
  <c r="A311" i="13"/>
  <c r="B311" i="13"/>
  <c r="E311" i="13"/>
  <c r="AB311" i="13" s="1"/>
  <c r="O311" i="13"/>
  <c r="X311" i="13"/>
  <c r="I311" i="13"/>
  <c r="A312" i="13"/>
  <c r="B312" i="13"/>
  <c r="E312" i="13"/>
  <c r="AB312" i="13" s="1"/>
  <c r="O312" i="13"/>
  <c r="X312" i="13"/>
  <c r="H312" i="13"/>
  <c r="A313" i="13"/>
  <c r="B313" i="13"/>
  <c r="E313" i="13"/>
  <c r="AB313" i="13" s="1"/>
  <c r="O313" i="13"/>
  <c r="X313" i="13"/>
  <c r="H313" i="13"/>
  <c r="A314" i="13"/>
  <c r="B314" i="13"/>
  <c r="E314" i="13"/>
  <c r="AB314" i="13" s="1"/>
  <c r="O314" i="13"/>
  <c r="X314" i="13"/>
  <c r="H314" i="13"/>
  <c r="A315" i="13"/>
  <c r="B315" i="13"/>
  <c r="E315" i="13"/>
  <c r="O315" i="13"/>
  <c r="X315" i="13"/>
  <c r="H315" i="13"/>
  <c r="AG315" i="12"/>
  <c r="AF315" i="12"/>
  <c r="AE315" i="12"/>
  <c r="AL315" i="12" s="1"/>
  <c r="AM315" i="12" s="1"/>
  <c r="AG314" i="12"/>
  <c r="AF314" i="12"/>
  <c r="AE314" i="12"/>
  <c r="AL314" i="12" s="1"/>
  <c r="AM314" i="12" s="1"/>
  <c r="AG313" i="12"/>
  <c r="AF313" i="12"/>
  <c r="AE313" i="12"/>
  <c r="AL313" i="12" s="1"/>
  <c r="AG312" i="12"/>
  <c r="AF312" i="12"/>
  <c r="AE312" i="12"/>
  <c r="AG311" i="12"/>
  <c r="AF311" i="12"/>
  <c r="AE311" i="12"/>
  <c r="AG310" i="12"/>
  <c r="AF310" i="12"/>
  <c r="AE310" i="12"/>
  <c r="AG309" i="12"/>
  <c r="AF309" i="12"/>
  <c r="AE309" i="12"/>
  <c r="AL309" i="12" s="1"/>
  <c r="AB304" i="12"/>
  <c r="AB305" i="12"/>
  <c r="AB306" i="12"/>
  <c r="AB307" i="12"/>
  <c r="AB308" i="12"/>
  <c r="AB309" i="12"/>
  <c r="AB310" i="12"/>
  <c r="AB311" i="12"/>
  <c r="AB312" i="12"/>
  <c r="AB313" i="12"/>
  <c r="AB314" i="12"/>
  <c r="AB315" i="12"/>
  <c r="S302" i="12"/>
  <c r="S303" i="12"/>
  <c r="S304" i="12"/>
  <c r="S305" i="12"/>
  <c r="S306" i="12"/>
  <c r="S307" i="12"/>
  <c r="S308" i="12"/>
  <c r="S309" i="12"/>
  <c r="S310" i="12"/>
  <c r="S311" i="12"/>
  <c r="S312" i="12"/>
  <c r="S313" i="12"/>
  <c r="S314" i="12"/>
  <c r="S315" i="12"/>
  <c r="X303" i="12"/>
  <c r="X304" i="12"/>
  <c r="X305" i="12"/>
  <c r="X306" i="12"/>
  <c r="X307" i="12"/>
  <c r="X308" i="12"/>
  <c r="X309" i="12"/>
  <c r="X310" i="12"/>
  <c r="X311" i="12"/>
  <c r="X312" i="12"/>
  <c r="X313" i="12"/>
  <c r="X314" i="12"/>
  <c r="X315" i="12"/>
  <c r="M306" i="12"/>
  <c r="M307" i="12"/>
  <c r="M308" i="12"/>
  <c r="C307" i="12"/>
  <c r="D307" i="12"/>
  <c r="C308" i="12"/>
  <c r="D308" i="12"/>
  <c r="C309" i="12"/>
  <c r="D309" i="12"/>
  <c r="C310" i="12"/>
  <c r="D310" i="12"/>
  <c r="C311" i="12"/>
  <c r="D311" i="12"/>
  <c r="C312" i="12"/>
  <c r="D312" i="12"/>
  <c r="C313" i="12"/>
  <c r="D313" i="12"/>
  <c r="C314" i="12"/>
  <c r="D314" i="12"/>
  <c r="C315" i="12"/>
  <c r="D315" i="12"/>
  <c r="D306" i="12"/>
  <c r="C306" i="12"/>
  <c r="AO315" i="10"/>
  <c r="N315" i="10" s="1"/>
  <c r="AL315" i="10"/>
  <c r="J315" i="10" s="1"/>
  <c r="AK315" i="10"/>
  <c r="R315" i="10" s="1"/>
  <c r="T315" i="10"/>
  <c r="S315" i="10"/>
  <c r="K315" i="10"/>
  <c r="I315" i="10"/>
  <c r="AO314" i="10"/>
  <c r="N314" i="10" s="1"/>
  <c r="AL314" i="10"/>
  <c r="J314" i="10" s="1"/>
  <c r="AK314" i="10"/>
  <c r="R314" i="10" s="1"/>
  <c r="T314" i="10"/>
  <c r="S314" i="10"/>
  <c r="K314" i="10"/>
  <c r="I314" i="10"/>
  <c r="AO313" i="10"/>
  <c r="N313" i="10" s="1"/>
  <c r="AL313" i="10"/>
  <c r="J313" i="10" s="1"/>
  <c r="AK313" i="10"/>
  <c r="R313" i="10" s="1"/>
  <c r="T313" i="10"/>
  <c r="S313" i="10"/>
  <c r="K313" i="10"/>
  <c r="I313" i="10"/>
  <c r="AO312" i="10"/>
  <c r="N312" i="10" s="1"/>
  <c r="AL312" i="10"/>
  <c r="J312" i="10" s="1"/>
  <c r="AK312" i="10"/>
  <c r="R312" i="10" s="1"/>
  <c r="T312" i="10"/>
  <c r="S312" i="10"/>
  <c r="K312" i="10"/>
  <c r="I312" i="10"/>
  <c r="AO311" i="10"/>
  <c r="N311" i="10" s="1"/>
  <c r="AL311" i="10"/>
  <c r="J311" i="10" s="1"/>
  <c r="AK311" i="10"/>
  <c r="R311" i="10" s="1"/>
  <c r="T311" i="10"/>
  <c r="S311" i="10"/>
  <c r="K311" i="10"/>
  <c r="I311" i="10"/>
  <c r="AO310" i="10"/>
  <c r="N310" i="10" s="1"/>
  <c r="AL310" i="10"/>
  <c r="J310" i="10" s="1"/>
  <c r="AK310" i="10"/>
  <c r="T310" i="10"/>
  <c r="S310" i="10"/>
  <c r="R310" i="10"/>
  <c r="K310" i="10"/>
  <c r="I310" i="10"/>
  <c r="AO309" i="10"/>
  <c r="N309" i="10" s="1"/>
  <c r="AL309" i="10"/>
  <c r="J309" i="10" s="1"/>
  <c r="AK309" i="10"/>
  <c r="R309" i="10" s="1"/>
  <c r="T309" i="10"/>
  <c r="S309" i="10"/>
  <c r="K309" i="10"/>
  <c r="I309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C300" i="10"/>
  <c r="C301" i="10"/>
  <c r="C302" i="10"/>
  <c r="C302" i="13" s="1"/>
  <c r="C303" i="10"/>
  <c r="C303" i="13" s="1"/>
  <c r="C304" i="10"/>
  <c r="C304" i="13" s="1"/>
  <c r="C305" i="10"/>
  <c r="C305" i="13" s="1"/>
  <c r="C306" i="10"/>
  <c r="C306" i="13" s="1"/>
  <c r="C307" i="10"/>
  <c r="C307" i="13" s="1"/>
  <c r="C299" i="10"/>
  <c r="E298" i="10"/>
  <c r="W303" i="9"/>
  <c r="W304" i="9"/>
  <c r="W305" i="9"/>
  <c r="W306" i="9"/>
  <c r="W307" i="9"/>
  <c r="W308" i="9"/>
  <c r="W309" i="9"/>
  <c r="W310" i="9"/>
  <c r="W311" i="9"/>
  <c r="W312" i="9"/>
  <c r="W313" i="9"/>
  <c r="W314" i="9"/>
  <c r="W315" i="9"/>
  <c r="N299" i="9"/>
  <c r="N300" i="9"/>
  <c r="N301" i="9"/>
  <c r="N302" i="9"/>
  <c r="N303" i="9"/>
  <c r="N304" i="9"/>
  <c r="N305" i="9"/>
  <c r="N306" i="9"/>
  <c r="N307" i="9"/>
  <c r="N308" i="9"/>
  <c r="N309" i="9"/>
  <c r="N310" i="9"/>
  <c r="N311" i="9"/>
  <c r="N312" i="9"/>
  <c r="N313" i="9"/>
  <c r="N314" i="9"/>
  <c r="N315" i="9"/>
  <c r="A309" i="9"/>
  <c r="C309" i="10" s="1"/>
  <c r="C309" i="13" s="1"/>
  <c r="B309" i="9"/>
  <c r="D309" i="10" s="1"/>
  <c r="A310" i="9"/>
  <c r="C310" i="10" s="1"/>
  <c r="C310" i="13" s="1"/>
  <c r="B310" i="9"/>
  <c r="D310" i="10" s="1"/>
  <c r="A311" i="9"/>
  <c r="C311" i="10" s="1"/>
  <c r="C311" i="13" s="1"/>
  <c r="B311" i="9"/>
  <c r="D311" i="10" s="1"/>
  <c r="A312" i="9"/>
  <c r="C312" i="10" s="1"/>
  <c r="C312" i="13" s="1"/>
  <c r="B312" i="9"/>
  <c r="D312" i="10" s="1"/>
  <c r="A313" i="9"/>
  <c r="C313" i="10" s="1"/>
  <c r="C313" i="13" s="1"/>
  <c r="B313" i="9"/>
  <c r="D313" i="10" s="1"/>
  <c r="A314" i="9"/>
  <c r="C314" i="10" s="1"/>
  <c r="C314" i="13" s="1"/>
  <c r="B314" i="9"/>
  <c r="D314" i="10" s="1"/>
  <c r="A315" i="9"/>
  <c r="C315" i="10" s="1"/>
  <c r="C315" i="13" s="1"/>
  <c r="B315" i="9"/>
  <c r="D315" i="10" s="1"/>
  <c r="B308" i="9"/>
  <c r="A308" i="9"/>
  <c r="C308" i="10" s="1"/>
  <c r="C308" i="13" s="1"/>
  <c r="G309" i="5"/>
  <c r="J309" i="5"/>
  <c r="K309" i="5"/>
  <c r="Z309" i="5"/>
  <c r="G310" i="5"/>
  <c r="J310" i="5"/>
  <c r="K310" i="5"/>
  <c r="Z310" i="5"/>
  <c r="G311" i="5"/>
  <c r="J311" i="5"/>
  <c r="K311" i="5"/>
  <c r="Z311" i="5"/>
  <c r="G312" i="5"/>
  <c r="J312" i="5"/>
  <c r="K312" i="5"/>
  <c r="Z312" i="5"/>
  <c r="G313" i="5"/>
  <c r="J313" i="5"/>
  <c r="K313" i="5"/>
  <c r="Z313" i="5"/>
  <c r="G314" i="5"/>
  <c r="J314" i="5"/>
  <c r="K314" i="5"/>
  <c r="Z314" i="5"/>
  <c r="G315" i="5"/>
  <c r="J315" i="5"/>
  <c r="K315" i="5"/>
  <c r="Z315" i="5"/>
  <c r="I308" i="13"/>
  <c r="X308" i="13"/>
  <c r="O308" i="13"/>
  <c r="E308" i="13"/>
  <c r="AB308" i="13" s="1"/>
  <c r="B308" i="13"/>
  <c r="A308" i="13"/>
  <c r="H307" i="13"/>
  <c r="X307" i="13"/>
  <c r="O307" i="13"/>
  <c r="E307" i="13"/>
  <c r="AB307" i="13" s="1"/>
  <c r="B307" i="13"/>
  <c r="A307" i="13"/>
  <c r="H306" i="13"/>
  <c r="X306" i="13"/>
  <c r="O306" i="13"/>
  <c r="E306" i="13"/>
  <c r="AB306" i="13" s="1"/>
  <c r="B306" i="13"/>
  <c r="A306" i="13"/>
  <c r="I305" i="13"/>
  <c r="X305" i="13"/>
  <c r="O305" i="13"/>
  <c r="E305" i="13"/>
  <c r="AB305" i="13" s="1"/>
  <c r="B305" i="13"/>
  <c r="A305" i="13"/>
  <c r="H304" i="13"/>
  <c r="X304" i="13"/>
  <c r="O304" i="13"/>
  <c r="E304" i="13"/>
  <c r="AB304" i="13" s="1"/>
  <c r="B304" i="13"/>
  <c r="A304" i="13"/>
  <c r="I303" i="13"/>
  <c r="X303" i="13"/>
  <c r="O303" i="13"/>
  <c r="E303" i="13"/>
  <c r="AB303" i="13" s="1"/>
  <c r="B303" i="13"/>
  <c r="A303" i="13"/>
  <c r="I302" i="13"/>
  <c r="X302" i="13"/>
  <c r="O302" i="13"/>
  <c r="E302" i="13"/>
  <c r="AB302" i="13" s="1"/>
  <c r="B302" i="13"/>
  <c r="A302" i="13"/>
  <c r="M339" i="13" l="1"/>
  <c r="Z19" i="5"/>
  <c r="H9" i="14"/>
  <c r="H19" i="5"/>
  <c r="I397" i="5"/>
  <c r="I19" i="5" s="1"/>
  <c r="H11" i="14"/>
  <c r="Z324" i="10"/>
  <c r="AA324" i="10" s="1"/>
  <c r="H324" i="5" s="1"/>
  <c r="Z326" i="10"/>
  <c r="AA326" i="10" s="1"/>
  <c r="H326" i="5" s="1"/>
  <c r="Z323" i="10"/>
  <c r="AA323" i="10" s="1"/>
  <c r="H323" i="5" s="1"/>
  <c r="Z321" i="10"/>
  <c r="AA321" i="10" s="1"/>
  <c r="H321" i="5" s="1"/>
  <c r="Z320" i="10"/>
  <c r="AA320" i="10" s="1"/>
  <c r="H320" i="5" s="1"/>
  <c r="Z328" i="10"/>
  <c r="AA328" i="10" s="1"/>
  <c r="H328" i="5" s="1"/>
  <c r="Z327" i="10"/>
  <c r="AA327" i="10" s="1"/>
  <c r="H327" i="5" s="1"/>
  <c r="Z325" i="10"/>
  <c r="AA325" i="10" s="1"/>
  <c r="H325" i="5" s="1"/>
  <c r="F339" i="5"/>
  <c r="AA339" i="5" s="1"/>
  <c r="AA322" i="5"/>
  <c r="AA321" i="5"/>
  <c r="I340" i="13"/>
  <c r="H340" i="13"/>
  <c r="AN323" i="12"/>
  <c r="Z322" i="10"/>
  <c r="AA322" i="10" s="1"/>
  <c r="H322" i="5" s="1"/>
  <c r="AM328" i="12"/>
  <c r="AN328" i="12"/>
  <c r="AA329" i="5"/>
  <c r="AM327" i="12"/>
  <c r="AN327" i="12"/>
  <c r="AM324" i="12"/>
  <c r="AN324" i="12"/>
  <c r="AM325" i="12"/>
  <c r="AN325" i="12"/>
  <c r="AM321" i="12"/>
  <c r="AN321" i="12"/>
  <c r="AM326" i="12"/>
  <c r="AN326" i="12"/>
  <c r="Z316" i="10"/>
  <c r="AA316" i="10" s="1"/>
  <c r="H316" i="5" s="1"/>
  <c r="Z317" i="10"/>
  <c r="AA317" i="10" s="1"/>
  <c r="H317" i="5" s="1"/>
  <c r="Z318" i="10"/>
  <c r="AA318" i="10" s="1"/>
  <c r="H318" i="5" s="1"/>
  <c r="M323" i="13"/>
  <c r="F323" i="5" s="1"/>
  <c r="M324" i="13"/>
  <c r="F324" i="5" s="1"/>
  <c r="M325" i="13"/>
  <c r="F325" i="5" s="1"/>
  <c r="M326" i="13"/>
  <c r="F326" i="5" s="1"/>
  <c r="M327" i="13"/>
  <c r="F327" i="5" s="1"/>
  <c r="M328" i="13"/>
  <c r="F328" i="5" s="1"/>
  <c r="Z319" i="10"/>
  <c r="AA319" i="10" s="1"/>
  <c r="H319" i="5" s="1"/>
  <c r="N8" i="14"/>
  <c r="Y310" i="10"/>
  <c r="Y313" i="10"/>
  <c r="Y309" i="10"/>
  <c r="Y315" i="10"/>
  <c r="Y312" i="10"/>
  <c r="Y314" i="10"/>
  <c r="AH315" i="12"/>
  <c r="N315" i="13" s="1"/>
  <c r="S315" i="13" s="1"/>
  <c r="N315" i="5" s="1"/>
  <c r="AH311" i="12"/>
  <c r="N311" i="13" s="1"/>
  <c r="AH314" i="12"/>
  <c r="N314" i="13" s="1"/>
  <c r="AH309" i="12"/>
  <c r="N309" i="13" s="1"/>
  <c r="AH312" i="12"/>
  <c r="N312" i="13" s="1"/>
  <c r="AN315" i="12"/>
  <c r="AH313" i="12"/>
  <c r="N313" i="13" s="1"/>
  <c r="AN314" i="12"/>
  <c r="Y311" i="10"/>
  <c r="I315" i="13"/>
  <c r="M315" i="13" s="1"/>
  <c r="F315" i="5" s="1"/>
  <c r="I313" i="13"/>
  <c r="M313" i="13" s="1"/>
  <c r="F313" i="5" s="1"/>
  <c r="I306" i="13"/>
  <c r="M306" i="13" s="1"/>
  <c r="I314" i="13"/>
  <c r="M314" i="13" s="1"/>
  <c r="F314" i="5" s="1"/>
  <c r="I312" i="13"/>
  <c r="M312" i="13" s="1"/>
  <c r="F312" i="5" s="1"/>
  <c r="H311" i="13"/>
  <c r="M311" i="13" s="1"/>
  <c r="F311" i="5" s="1"/>
  <c r="H310" i="13"/>
  <c r="M310" i="13" s="1"/>
  <c r="F310" i="5" s="1"/>
  <c r="H309" i="13"/>
  <c r="M309" i="13" s="1"/>
  <c r="F309" i="5" s="1"/>
  <c r="AB315" i="13"/>
  <c r="H303" i="13"/>
  <c r="M303" i="13" s="1"/>
  <c r="AN313" i="12"/>
  <c r="AM313" i="12"/>
  <c r="AM309" i="12"/>
  <c r="AN309" i="12"/>
  <c r="AL312" i="12"/>
  <c r="AM312" i="12" s="1"/>
  <c r="AH310" i="12"/>
  <c r="N310" i="13" s="1"/>
  <c r="AL311" i="12"/>
  <c r="AM311" i="12" s="1"/>
  <c r="AL310" i="12"/>
  <c r="AM310" i="12" s="1"/>
  <c r="P312" i="10"/>
  <c r="P313" i="10"/>
  <c r="P314" i="10"/>
  <c r="P310" i="10"/>
  <c r="P315" i="10"/>
  <c r="P309" i="10"/>
  <c r="P311" i="10"/>
  <c r="H305" i="13"/>
  <c r="M305" i="13" s="1"/>
  <c r="I307" i="13"/>
  <c r="M307" i="13" s="1"/>
  <c r="I304" i="13"/>
  <c r="M304" i="13" s="1"/>
  <c r="H302" i="13"/>
  <c r="M302" i="13" s="1"/>
  <c r="H308" i="13"/>
  <c r="M308" i="13" s="1"/>
  <c r="AA323" i="5" l="1"/>
  <c r="AA324" i="5"/>
  <c r="AA325" i="5"/>
  <c r="AA326" i="5"/>
  <c r="AA327" i="5"/>
  <c r="AA328" i="5"/>
  <c r="I341" i="13"/>
  <c r="H341" i="13"/>
  <c r="M340" i="13"/>
  <c r="Z310" i="10"/>
  <c r="AA310" i="10" s="1"/>
  <c r="H310" i="5" s="1"/>
  <c r="N12" i="14"/>
  <c r="K12" i="14"/>
  <c r="J21" i="14"/>
  <c r="N11" i="14"/>
  <c r="K11" i="14"/>
  <c r="J20" i="14"/>
  <c r="Z313" i="10"/>
  <c r="AA313" i="10" s="1"/>
  <c r="H313" i="5" s="1"/>
  <c r="Z309" i="10"/>
  <c r="AA309" i="10" s="1"/>
  <c r="H309" i="5" s="1"/>
  <c r="Z312" i="10"/>
  <c r="AA312" i="10" s="1"/>
  <c r="H312" i="5" s="1"/>
  <c r="Z311" i="10"/>
  <c r="AA311" i="10" s="1"/>
  <c r="H311" i="5" s="1"/>
  <c r="Z315" i="10"/>
  <c r="AA315" i="10" s="1"/>
  <c r="H315" i="5" s="1"/>
  <c r="Z314" i="10"/>
  <c r="AA314" i="10" s="1"/>
  <c r="H314" i="5" s="1"/>
  <c r="AA315" i="5"/>
  <c r="S312" i="13"/>
  <c r="N312" i="5" s="1"/>
  <c r="S309" i="13"/>
  <c r="N309" i="5" s="1"/>
  <c r="AA312" i="5"/>
  <c r="S313" i="13"/>
  <c r="N313" i="5" s="1"/>
  <c r="S314" i="13"/>
  <c r="N314" i="5" s="1"/>
  <c r="AA314" i="5"/>
  <c r="AA309" i="5"/>
  <c r="S310" i="13"/>
  <c r="N310" i="5" s="1"/>
  <c r="AA310" i="5"/>
  <c r="AA313" i="5"/>
  <c r="S311" i="13"/>
  <c r="N311" i="5" s="1"/>
  <c r="AA311" i="5"/>
  <c r="AN310" i="12"/>
  <c r="AN311" i="12"/>
  <c r="AN312" i="12"/>
  <c r="W298" i="9"/>
  <c r="W299" i="9"/>
  <c r="W300" i="9"/>
  <c r="W301" i="9"/>
  <c r="W302" i="9"/>
  <c r="AG308" i="12"/>
  <c r="AF308" i="12"/>
  <c r="AE308" i="12"/>
  <c r="AG307" i="12"/>
  <c r="AF307" i="12"/>
  <c r="AE307" i="12"/>
  <c r="AL307" i="12" s="1"/>
  <c r="AM307" i="12" s="1"/>
  <c r="AG306" i="12"/>
  <c r="AF306" i="12"/>
  <c r="AE306" i="12"/>
  <c r="AL306" i="12" s="1"/>
  <c r="AM306" i="12" s="1"/>
  <c r="F306" i="5"/>
  <c r="AG305" i="12"/>
  <c r="AF305" i="12"/>
  <c r="AE305" i="12"/>
  <c r="M305" i="12"/>
  <c r="AG304" i="12"/>
  <c r="AF304" i="12"/>
  <c r="AE304" i="12"/>
  <c r="AL304" i="12" s="1"/>
  <c r="AN304" i="12" s="1"/>
  <c r="M304" i="12"/>
  <c r="AG303" i="12"/>
  <c r="AF303" i="12"/>
  <c r="AE303" i="12"/>
  <c r="AB303" i="12"/>
  <c r="M303" i="12"/>
  <c r="AG302" i="12"/>
  <c r="AF302" i="12"/>
  <c r="AE302" i="12"/>
  <c r="AL302" i="12" s="1"/>
  <c r="AB302" i="12"/>
  <c r="X302" i="12"/>
  <c r="M302" i="12"/>
  <c r="AO308" i="10"/>
  <c r="N308" i="10" s="1"/>
  <c r="AL308" i="10"/>
  <c r="J308" i="10" s="1"/>
  <c r="AK308" i="10"/>
  <c r="R308" i="10" s="1"/>
  <c r="T308" i="10"/>
  <c r="S308" i="10"/>
  <c r="K308" i="10"/>
  <c r="I308" i="10"/>
  <c r="D308" i="10"/>
  <c r="AO307" i="10"/>
  <c r="N307" i="10" s="1"/>
  <c r="AL307" i="10"/>
  <c r="J307" i="10" s="1"/>
  <c r="AK307" i="10"/>
  <c r="R307" i="10" s="1"/>
  <c r="T307" i="10"/>
  <c r="S307" i="10"/>
  <c r="K307" i="10"/>
  <c r="I307" i="10"/>
  <c r="D307" i="10"/>
  <c r="AO306" i="10"/>
  <c r="N306" i="10" s="1"/>
  <c r="AL306" i="10"/>
  <c r="J306" i="10" s="1"/>
  <c r="AK306" i="10"/>
  <c r="R306" i="10" s="1"/>
  <c r="T306" i="10"/>
  <c r="S306" i="10"/>
  <c r="K306" i="10"/>
  <c r="I306" i="10"/>
  <c r="D306" i="10"/>
  <c r="AO305" i="10"/>
  <c r="N305" i="10" s="1"/>
  <c r="AL305" i="10"/>
  <c r="J305" i="10" s="1"/>
  <c r="AK305" i="10"/>
  <c r="R305" i="10" s="1"/>
  <c r="T305" i="10"/>
  <c r="S305" i="10"/>
  <c r="K305" i="10"/>
  <c r="I305" i="10"/>
  <c r="D305" i="10"/>
  <c r="AO304" i="10"/>
  <c r="N304" i="10" s="1"/>
  <c r="J304" i="10"/>
  <c r="AK304" i="10"/>
  <c r="T304" i="10"/>
  <c r="S304" i="10"/>
  <c r="R304" i="10"/>
  <c r="K304" i="10"/>
  <c r="I304" i="10"/>
  <c r="D304" i="10"/>
  <c r="AO303" i="10"/>
  <c r="N303" i="10" s="1"/>
  <c r="AL303" i="10"/>
  <c r="J303" i="10" s="1"/>
  <c r="AK303" i="10"/>
  <c r="R303" i="10" s="1"/>
  <c r="T303" i="10"/>
  <c r="S303" i="10"/>
  <c r="K303" i="10"/>
  <c r="I303" i="10"/>
  <c r="D303" i="10"/>
  <c r="AO302" i="10"/>
  <c r="N302" i="10" s="1"/>
  <c r="AL302" i="10"/>
  <c r="J302" i="10" s="1"/>
  <c r="AK302" i="10"/>
  <c r="R302" i="10" s="1"/>
  <c r="T302" i="10"/>
  <c r="S302" i="10"/>
  <c r="K302" i="10"/>
  <c r="I302" i="10"/>
  <c r="D302" i="10"/>
  <c r="Z308" i="5"/>
  <c r="K308" i="5"/>
  <c r="J308" i="5"/>
  <c r="G308" i="5"/>
  <c r="F308" i="5"/>
  <c r="Z307" i="5"/>
  <c r="K307" i="5"/>
  <c r="J307" i="5"/>
  <c r="G307" i="5"/>
  <c r="F307" i="5"/>
  <c r="Z306" i="5"/>
  <c r="K306" i="5"/>
  <c r="J306" i="5"/>
  <c r="G306" i="5"/>
  <c r="Z305" i="5"/>
  <c r="K305" i="5"/>
  <c r="J305" i="5"/>
  <c r="G305" i="5"/>
  <c r="Z304" i="5"/>
  <c r="K304" i="5"/>
  <c r="J304" i="5"/>
  <c r="G304" i="5"/>
  <c r="Z303" i="5"/>
  <c r="K303" i="5"/>
  <c r="J303" i="5"/>
  <c r="G303" i="5"/>
  <c r="Z302" i="5"/>
  <c r="K302" i="5"/>
  <c r="J302" i="5"/>
  <c r="G302" i="5"/>
  <c r="E16" i="9"/>
  <c r="Q16" i="5"/>
  <c r="Z298" i="5"/>
  <c r="Z299" i="5"/>
  <c r="Z300" i="5"/>
  <c r="Z301" i="5"/>
  <c r="K296" i="5"/>
  <c r="K297" i="5"/>
  <c r="K298" i="5"/>
  <c r="K299" i="5"/>
  <c r="K300" i="5"/>
  <c r="K301" i="5"/>
  <c r="B19" i="5"/>
  <c r="G16" i="13"/>
  <c r="I299" i="13"/>
  <c r="H300" i="13"/>
  <c r="I301" i="13"/>
  <c r="X298" i="13"/>
  <c r="X299" i="13"/>
  <c r="X300" i="13"/>
  <c r="X301" i="13"/>
  <c r="O299" i="13"/>
  <c r="O300" i="13"/>
  <c r="O301" i="13"/>
  <c r="A298" i="13"/>
  <c r="B298" i="13"/>
  <c r="C298" i="13"/>
  <c r="E298" i="13"/>
  <c r="AB298" i="13" s="1"/>
  <c r="A299" i="13"/>
  <c r="B299" i="13"/>
  <c r="C299" i="13"/>
  <c r="E299" i="13"/>
  <c r="AB299" i="13" s="1"/>
  <c r="A300" i="13"/>
  <c r="B300" i="13"/>
  <c r="C300" i="13"/>
  <c r="E300" i="13"/>
  <c r="AB300" i="13" s="1"/>
  <c r="A301" i="13"/>
  <c r="B301" i="13"/>
  <c r="C301" i="13"/>
  <c r="E301" i="13"/>
  <c r="AB301" i="13" s="1"/>
  <c r="I297" i="13"/>
  <c r="X297" i="13"/>
  <c r="O297" i="13"/>
  <c r="E297" i="13"/>
  <c r="C297" i="13"/>
  <c r="B297" i="13"/>
  <c r="A297" i="13"/>
  <c r="AG298" i="12"/>
  <c r="AG299" i="12"/>
  <c r="AG300" i="12"/>
  <c r="AG301" i="12"/>
  <c r="AF298" i="12"/>
  <c r="AF299" i="12"/>
  <c r="AF300" i="12"/>
  <c r="AF301" i="12"/>
  <c r="AE298" i="12"/>
  <c r="AE299" i="12"/>
  <c r="AE300" i="12"/>
  <c r="AE301" i="12"/>
  <c r="T298" i="10"/>
  <c r="T299" i="10"/>
  <c r="T300" i="10"/>
  <c r="T301" i="10"/>
  <c r="S299" i="10"/>
  <c r="S300" i="10"/>
  <c r="S301" i="10"/>
  <c r="K296" i="10"/>
  <c r="K297" i="10"/>
  <c r="K299" i="10"/>
  <c r="K300" i="10"/>
  <c r="K301" i="10"/>
  <c r="I299" i="10"/>
  <c r="I300" i="10"/>
  <c r="I301" i="10"/>
  <c r="I298" i="10"/>
  <c r="S298" i="10"/>
  <c r="D298" i="10"/>
  <c r="D299" i="10"/>
  <c r="D300" i="10"/>
  <c r="D301" i="10"/>
  <c r="AO297" i="10"/>
  <c r="N297" i="10" s="1"/>
  <c r="AL297" i="10"/>
  <c r="J297" i="10" s="1"/>
  <c r="AK297" i="10"/>
  <c r="R297" i="10" s="1"/>
  <c r="T297" i="10"/>
  <c r="S297" i="10"/>
  <c r="I297" i="10"/>
  <c r="D297" i="10"/>
  <c r="X298" i="12"/>
  <c r="X299" i="12"/>
  <c r="X300" i="12"/>
  <c r="X301" i="12"/>
  <c r="AB298" i="12"/>
  <c r="AB299" i="12"/>
  <c r="AB300" i="12"/>
  <c r="AB301" i="12"/>
  <c r="S298" i="12"/>
  <c r="S299" i="12"/>
  <c r="S300" i="12"/>
  <c r="S301" i="12"/>
  <c r="M298" i="12"/>
  <c r="M299" i="12"/>
  <c r="M300" i="12"/>
  <c r="M301" i="12"/>
  <c r="AG297" i="12"/>
  <c r="AF297" i="12"/>
  <c r="AE297" i="12"/>
  <c r="AB297" i="12"/>
  <c r="X297" i="12"/>
  <c r="S297" i="12"/>
  <c r="M297" i="12"/>
  <c r="AO298" i="10"/>
  <c r="N298" i="10" s="1"/>
  <c r="AO299" i="10"/>
  <c r="N299" i="10" s="1"/>
  <c r="AO300" i="10"/>
  <c r="N300" i="10" s="1"/>
  <c r="AO301" i="10"/>
  <c r="N301" i="10" s="1"/>
  <c r="AK298" i="10"/>
  <c r="R298" i="10" s="1"/>
  <c r="AL298" i="10"/>
  <c r="J298" i="10" s="1"/>
  <c r="AK299" i="10"/>
  <c r="R299" i="10" s="1"/>
  <c r="AL299" i="10"/>
  <c r="J299" i="10" s="1"/>
  <c r="AK300" i="10"/>
  <c r="R300" i="10" s="1"/>
  <c r="AL300" i="10"/>
  <c r="J300" i="10" s="1"/>
  <c r="AK301" i="10"/>
  <c r="R301" i="10" s="1"/>
  <c r="AL301" i="10"/>
  <c r="J301" i="10" s="1"/>
  <c r="D296" i="10"/>
  <c r="N298" i="9"/>
  <c r="W297" i="9"/>
  <c r="N297" i="9"/>
  <c r="J298" i="5"/>
  <c r="J299" i="5"/>
  <c r="J300" i="5"/>
  <c r="J301" i="5"/>
  <c r="G298" i="5"/>
  <c r="G299" i="5"/>
  <c r="G300" i="5"/>
  <c r="G301" i="5"/>
  <c r="J297" i="5"/>
  <c r="G297" i="5"/>
  <c r="Z297" i="5"/>
  <c r="M341" i="13" l="1"/>
  <c r="F341" i="5" s="1"/>
  <c r="AB299" i="10"/>
  <c r="AB300" i="10"/>
  <c r="AB301" i="10"/>
  <c r="AB302" i="10"/>
  <c r="AB303" i="10"/>
  <c r="AB304" i="10"/>
  <c r="AB305" i="10"/>
  <c r="AB306" i="10"/>
  <c r="AB307" i="10"/>
  <c r="AB308" i="10"/>
  <c r="AB309" i="10"/>
  <c r="AB310" i="10"/>
  <c r="AB311" i="10"/>
  <c r="AB312" i="10"/>
  <c r="AB313" i="10"/>
  <c r="AB314" i="10"/>
  <c r="AB315" i="10"/>
  <c r="AB316" i="10"/>
  <c r="AB317" i="10"/>
  <c r="AB318" i="10"/>
  <c r="AB319" i="10"/>
  <c r="AB320" i="10"/>
  <c r="AB321" i="10"/>
  <c r="AB322" i="10"/>
  <c r="AB323" i="10"/>
  <c r="AB324" i="10"/>
  <c r="AB325" i="10"/>
  <c r="AB326" i="10"/>
  <c r="AB327" i="10"/>
  <c r="AB328" i="10"/>
  <c r="AB298" i="10"/>
  <c r="I18" i="5"/>
  <c r="N9" i="14" s="1"/>
  <c r="N10" i="14" s="1"/>
  <c r="F340" i="5"/>
  <c r="AA340" i="5" s="1"/>
  <c r="AA341" i="5"/>
  <c r="I342" i="13"/>
  <c r="H342" i="13"/>
  <c r="I312" i="5"/>
  <c r="I314" i="5"/>
  <c r="I309" i="5"/>
  <c r="I311" i="5"/>
  <c r="I315" i="5"/>
  <c r="I313" i="5"/>
  <c r="I320" i="5"/>
  <c r="I317" i="5"/>
  <c r="I310" i="5"/>
  <c r="I328" i="5"/>
  <c r="I323" i="5"/>
  <c r="I318" i="5"/>
  <c r="I327" i="5"/>
  <c r="I326" i="5"/>
  <c r="I325" i="5"/>
  <c r="I319" i="5"/>
  <c r="I322" i="5"/>
  <c r="I321" i="5"/>
  <c r="I324" i="5"/>
  <c r="I316" i="5"/>
  <c r="H297" i="13"/>
  <c r="M297" i="13" s="1"/>
  <c r="F297" i="5" s="1"/>
  <c r="F302" i="5"/>
  <c r="AA307" i="5"/>
  <c r="F304" i="5"/>
  <c r="AA306" i="5"/>
  <c r="AA308" i="5"/>
  <c r="F305" i="5"/>
  <c r="F303" i="5"/>
  <c r="H299" i="13"/>
  <c r="M299" i="13" s="1"/>
  <c r="Y303" i="10"/>
  <c r="Y307" i="10"/>
  <c r="P304" i="10"/>
  <c r="P305" i="10"/>
  <c r="G16" i="12"/>
  <c r="Y308" i="10"/>
  <c r="Y302" i="10"/>
  <c r="P303" i="10"/>
  <c r="Y305" i="10"/>
  <c r="AH305" i="12"/>
  <c r="N305" i="13" s="1"/>
  <c r="AL305" i="12"/>
  <c r="AM305" i="12" s="1"/>
  <c r="AH303" i="12"/>
  <c r="N303" i="13" s="1"/>
  <c r="AH304" i="12"/>
  <c r="N304" i="13" s="1"/>
  <c r="I300" i="13"/>
  <c r="M300" i="13" s="1"/>
  <c r="F300" i="5" s="1"/>
  <c r="H301" i="13"/>
  <c r="M301" i="13" s="1"/>
  <c r="F301" i="5" s="1"/>
  <c r="Y298" i="10"/>
  <c r="Y306" i="10"/>
  <c r="Y304" i="10"/>
  <c r="K16" i="5"/>
  <c r="AH307" i="12"/>
  <c r="N307" i="13" s="1"/>
  <c r="AN306" i="12"/>
  <c r="AH302" i="12"/>
  <c r="N302" i="13" s="1"/>
  <c r="AH306" i="12"/>
  <c r="N306" i="13" s="1"/>
  <c r="AN307" i="12"/>
  <c r="AN302" i="12"/>
  <c r="AM302" i="12"/>
  <c r="AL303" i="12"/>
  <c r="AM303" i="12" s="1"/>
  <c r="AH308" i="12"/>
  <c r="N308" i="13" s="1"/>
  <c r="AL308" i="12"/>
  <c r="AM308" i="12" s="1"/>
  <c r="AM304" i="12"/>
  <c r="P306" i="10"/>
  <c r="P302" i="10"/>
  <c r="P307" i="10"/>
  <c r="P308" i="10"/>
  <c r="Y301" i="10"/>
  <c r="Y297" i="10"/>
  <c r="H298" i="13"/>
  <c r="M298" i="13" s="1"/>
  <c r="Y300" i="10"/>
  <c r="Y299" i="10"/>
  <c r="G16" i="10"/>
  <c r="P297" i="10"/>
  <c r="AH298" i="12"/>
  <c r="N298" i="13" s="1"/>
  <c r="AH299" i="12"/>
  <c r="N299" i="13" s="1"/>
  <c r="AH300" i="12"/>
  <c r="N300" i="13" s="1"/>
  <c r="AH301" i="12"/>
  <c r="N301" i="13" s="1"/>
  <c r="AL298" i="12"/>
  <c r="AL299" i="12"/>
  <c r="AL300" i="12"/>
  <c r="AL301" i="12"/>
  <c r="P299" i="10"/>
  <c r="P300" i="10"/>
  <c r="P301" i="10"/>
  <c r="P298" i="10"/>
  <c r="AB297" i="13"/>
  <c r="AH297" i="12"/>
  <c r="N297" i="13" s="1"/>
  <c r="AL297" i="12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37" i="13"/>
  <c r="AH38" i="13"/>
  <c r="AH39" i="13"/>
  <c r="AH40" i="13"/>
  <c r="AH41" i="13"/>
  <c r="AH42" i="13"/>
  <c r="AH43" i="13"/>
  <c r="AH44" i="13"/>
  <c r="AH45" i="13"/>
  <c r="AH46" i="13"/>
  <c r="AH47" i="13"/>
  <c r="AH48" i="13"/>
  <c r="AH49" i="13"/>
  <c r="AH50" i="13"/>
  <c r="AH51" i="13"/>
  <c r="AH52" i="13"/>
  <c r="AH53" i="13"/>
  <c r="AH54" i="13"/>
  <c r="AH55" i="13"/>
  <c r="AH56" i="13"/>
  <c r="AH57" i="13"/>
  <c r="AH58" i="13"/>
  <c r="AH59" i="13"/>
  <c r="AH60" i="13"/>
  <c r="AH61" i="13"/>
  <c r="AH62" i="13"/>
  <c r="AH63" i="13"/>
  <c r="AH64" i="13"/>
  <c r="AH65" i="13"/>
  <c r="AH66" i="13"/>
  <c r="AH67" i="13"/>
  <c r="AH68" i="13"/>
  <c r="AH69" i="13"/>
  <c r="AH70" i="13"/>
  <c r="AH71" i="13"/>
  <c r="AH72" i="13"/>
  <c r="AH73" i="13"/>
  <c r="AH74" i="13"/>
  <c r="AH75" i="13"/>
  <c r="AH76" i="13"/>
  <c r="AH77" i="13"/>
  <c r="AH78" i="13"/>
  <c r="AH79" i="13"/>
  <c r="AH80" i="13"/>
  <c r="AH81" i="13"/>
  <c r="AH82" i="13"/>
  <c r="AH83" i="13"/>
  <c r="AH84" i="13"/>
  <c r="AH85" i="13"/>
  <c r="AH86" i="13"/>
  <c r="AH87" i="13"/>
  <c r="AH88" i="13"/>
  <c r="AH89" i="13"/>
  <c r="AH90" i="13"/>
  <c r="AH91" i="13"/>
  <c r="AH92" i="13"/>
  <c r="AH93" i="13"/>
  <c r="AH94" i="13"/>
  <c r="AH95" i="13"/>
  <c r="AH96" i="13"/>
  <c r="AH97" i="13"/>
  <c r="AH98" i="13"/>
  <c r="AH99" i="13"/>
  <c r="AH100" i="13"/>
  <c r="AH101" i="13"/>
  <c r="AH102" i="13"/>
  <c r="AH103" i="13"/>
  <c r="AH104" i="13"/>
  <c r="AH105" i="13"/>
  <c r="AH106" i="13"/>
  <c r="AH107" i="13"/>
  <c r="AH108" i="13"/>
  <c r="AH109" i="13"/>
  <c r="AH110" i="13"/>
  <c r="AH111" i="13"/>
  <c r="AH112" i="13"/>
  <c r="AH113" i="13"/>
  <c r="AH114" i="13"/>
  <c r="AH115" i="13"/>
  <c r="AH116" i="13"/>
  <c r="AH117" i="13"/>
  <c r="AH118" i="13"/>
  <c r="AH119" i="13"/>
  <c r="AH120" i="13"/>
  <c r="AH121" i="13"/>
  <c r="AH122" i="13"/>
  <c r="AH123" i="13"/>
  <c r="AH124" i="13"/>
  <c r="AH125" i="13"/>
  <c r="AH126" i="13"/>
  <c r="AH127" i="13"/>
  <c r="AH128" i="13"/>
  <c r="AH129" i="13"/>
  <c r="AH130" i="13"/>
  <c r="AH131" i="13"/>
  <c r="AH132" i="13"/>
  <c r="AH133" i="13"/>
  <c r="AH134" i="13"/>
  <c r="AH135" i="13"/>
  <c r="AH136" i="13"/>
  <c r="AH137" i="13"/>
  <c r="AH138" i="13"/>
  <c r="AH139" i="13"/>
  <c r="AH140" i="13"/>
  <c r="AH141" i="13"/>
  <c r="AH142" i="13"/>
  <c r="AH143" i="13"/>
  <c r="AH144" i="13"/>
  <c r="AH145" i="13"/>
  <c r="AH146" i="13"/>
  <c r="AH147" i="13"/>
  <c r="AH148" i="13"/>
  <c r="AH149" i="13"/>
  <c r="AH150" i="13"/>
  <c r="AH151" i="13"/>
  <c r="AH152" i="13"/>
  <c r="AH153" i="13"/>
  <c r="AH154" i="13"/>
  <c r="AH155" i="13"/>
  <c r="AH156" i="13"/>
  <c r="AH157" i="13"/>
  <c r="AH158" i="13"/>
  <c r="AH159" i="13"/>
  <c r="AH160" i="13"/>
  <c r="AH161" i="13"/>
  <c r="AH162" i="13"/>
  <c r="AH163" i="13"/>
  <c r="AH164" i="13"/>
  <c r="AH165" i="13"/>
  <c r="AH166" i="13"/>
  <c r="AH167" i="13"/>
  <c r="AH168" i="13"/>
  <c r="AH169" i="13"/>
  <c r="AH170" i="13"/>
  <c r="AH171" i="13"/>
  <c r="AH172" i="13"/>
  <c r="AH173" i="13"/>
  <c r="AH174" i="13"/>
  <c r="AH175" i="13"/>
  <c r="AH176" i="13"/>
  <c r="AH177" i="13"/>
  <c r="AH178" i="13"/>
  <c r="AH179" i="13"/>
  <c r="AH180" i="13"/>
  <c r="AH181" i="13"/>
  <c r="AH182" i="13"/>
  <c r="AH183" i="13"/>
  <c r="AH184" i="13"/>
  <c r="AH185" i="13"/>
  <c r="AH186" i="13"/>
  <c r="AH187" i="13"/>
  <c r="AH188" i="13"/>
  <c r="AH189" i="13"/>
  <c r="AH190" i="13"/>
  <c r="AH191" i="13"/>
  <c r="AH192" i="13"/>
  <c r="AH193" i="13"/>
  <c r="AH194" i="13"/>
  <c r="AH195" i="13"/>
  <c r="AH196" i="13"/>
  <c r="AH197" i="13"/>
  <c r="AH198" i="13"/>
  <c r="AH199" i="13"/>
  <c r="AH200" i="13"/>
  <c r="AH201" i="13"/>
  <c r="AH202" i="13"/>
  <c r="AH203" i="13"/>
  <c r="AH204" i="13"/>
  <c r="AH205" i="13"/>
  <c r="AH206" i="13"/>
  <c r="AH207" i="13"/>
  <c r="AH208" i="13"/>
  <c r="AH209" i="13"/>
  <c r="AH210" i="13"/>
  <c r="AH211" i="13"/>
  <c r="AH212" i="13"/>
  <c r="AH213" i="13"/>
  <c r="AH214" i="13"/>
  <c r="AH215" i="13"/>
  <c r="AH216" i="13"/>
  <c r="AH217" i="13"/>
  <c r="AH218" i="13"/>
  <c r="AH219" i="13"/>
  <c r="AH220" i="13"/>
  <c r="AH221" i="13"/>
  <c r="AH222" i="13"/>
  <c r="AH223" i="13"/>
  <c r="AH224" i="13"/>
  <c r="AH225" i="13"/>
  <c r="AH226" i="13"/>
  <c r="AH227" i="13"/>
  <c r="AH228" i="13"/>
  <c r="AH229" i="13"/>
  <c r="AH230" i="13"/>
  <c r="AH231" i="13"/>
  <c r="AH232" i="13"/>
  <c r="AH233" i="13"/>
  <c r="AH234" i="13"/>
  <c r="AH235" i="13"/>
  <c r="AH236" i="13"/>
  <c r="AH237" i="13"/>
  <c r="AH238" i="13"/>
  <c r="AH239" i="13"/>
  <c r="AH240" i="13"/>
  <c r="AH241" i="13"/>
  <c r="AH242" i="13"/>
  <c r="AH243" i="13"/>
  <c r="AH244" i="13"/>
  <c r="AH245" i="13"/>
  <c r="AH246" i="13"/>
  <c r="AH247" i="13"/>
  <c r="AH248" i="13"/>
  <c r="AH249" i="13"/>
  <c r="AH250" i="13"/>
  <c r="AH251" i="13"/>
  <c r="AH252" i="13"/>
  <c r="AH253" i="13"/>
  <c r="AH254" i="13"/>
  <c r="AH255" i="13"/>
  <c r="AH256" i="13"/>
  <c r="AH257" i="13"/>
  <c r="AH258" i="13"/>
  <c r="AH259" i="13"/>
  <c r="AH260" i="13"/>
  <c r="AH261" i="13"/>
  <c r="AH262" i="13"/>
  <c r="AH263" i="13"/>
  <c r="AH264" i="13"/>
  <c r="AH265" i="13"/>
  <c r="AH266" i="13"/>
  <c r="AH267" i="13"/>
  <c r="M342" i="13" l="1"/>
  <c r="I343" i="13"/>
  <c r="H343" i="13"/>
  <c r="M343" i="13" s="1"/>
  <c r="F343" i="5" s="1"/>
  <c r="I17" i="5"/>
  <c r="F299" i="5"/>
  <c r="AA299" i="5" s="1"/>
  <c r="S305" i="13"/>
  <c r="N305" i="5" s="1"/>
  <c r="S301" i="13"/>
  <c r="N301" i="5" s="1"/>
  <c r="S300" i="13"/>
  <c r="N300" i="5" s="1"/>
  <c r="S306" i="13"/>
  <c r="N306" i="5" s="1"/>
  <c r="AA301" i="5"/>
  <c r="S302" i="13"/>
  <c r="N302" i="5" s="1"/>
  <c r="AA300" i="5"/>
  <c r="AA303" i="5"/>
  <c r="AA304" i="5"/>
  <c r="S299" i="13"/>
  <c r="S304" i="13"/>
  <c r="N304" i="5" s="1"/>
  <c r="AA305" i="5"/>
  <c r="AA302" i="5"/>
  <c r="S297" i="13"/>
  <c r="N297" i="5" s="1"/>
  <c r="S308" i="13"/>
  <c r="N308" i="5" s="1"/>
  <c r="S307" i="13"/>
  <c r="N307" i="5" s="1"/>
  <c r="S303" i="13"/>
  <c r="N303" i="5" s="1"/>
  <c r="Z304" i="10"/>
  <c r="AA304" i="10" s="1"/>
  <c r="H304" i="5" s="1"/>
  <c r="I304" i="5" s="1"/>
  <c r="Z303" i="10"/>
  <c r="AA303" i="10" s="1"/>
  <c r="H303" i="5" s="1"/>
  <c r="I303" i="5" s="1"/>
  <c r="Z307" i="10"/>
  <c r="AA307" i="10" s="1"/>
  <c r="H307" i="5" s="1"/>
  <c r="I307" i="5" s="1"/>
  <c r="Z305" i="10"/>
  <c r="AA305" i="10" s="1"/>
  <c r="H305" i="5" s="1"/>
  <c r="I305" i="5" s="1"/>
  <c r="Z306" i="10"/>
  <c r="AA306" i="10" s="1"/>
  <c r="H306" i="5" s="1"/>
  <c r="I306" i="5" s="1"/>
  <c r="Z308" i="10"/>
  <c r="AA308" i="10" s="1"/>
  <c r="H308" i="5" s="1"/>
  <c r="I308" i="5" s="1"/>
  <c r="Z301" i="10"/>
  <c r="AA301" i="10" s="1"/>
  <c r="H301" i="5" s="1"/>
  <c r="I301" i="5" s="1"/>
  <c r="AN308" i="12"/>
  <c r="Z302" i="10"/>
  <c r="AA302" i="10" s="1"/>
  <c r="H302" i="5" s="1"/>
  <c r="AN305" i="12"/>
  <c r="AN303" i="12"/>
  <c r="Z297" i="10"/>
  <c r="AA297" i="10" s="1"/>
  <c r="H297" i="5" s="1"/>
  <c r="Z300" i="10"/>
  <c r="AA300" i="10" s="1"/>
  <c r="H300" i="5" s="1"/>
  <c r="I300" i="5" s="1"/>
  <c r="Z299" i="10"/>
  <c r="AA299" i="10" s="1"/>
  <c r="H299" i="5" s="1"/>
  <c r="I299" i="5" s="1"/>
  <c r="Z298" i="10"/>
  <c r="AA298" i="10" s="1"/>
  <c r="S298" i="13"/>
  <c r="F298" i="5"/>
  <c r="AM298" i="12"/>
  <c r="AN298" i="12"/>
  <c r="AM299" i="12"/>
  <c r="AN299" i="12"/>
  <c r="AM300" i="12"/>
  <c r="AN300" i="12"/>
  <c r="AM301" i="12"/>
  <c r="AN301" i="12"/>
  <c r="AM297" i="12"/>
  <c r="AN297" i="12"/>
  <c r="H295" i="13"/>
  <c r="G295" i="5"/>
  <c r="J295" i="5"/>
  <c r="K295" i="5"/>
  <c r="Z295" i="5"/>
  <c r="G296" i="5"/>
  <c r="J296" i="5"/>
  <c r="Z296" i="5"/>
  <c r="I296" i="13"/>
  <c r="X296" i="13"/>
  <c r="O296" i="13"/>
  <c r="E296" i="13"/>
  <c r="C296" i="13"/>
  <c r="B296" i="13"/>
  <c r="A296" i="13"/>
  <c r="X295" i="13"/>
  <c r="O295" i="13"/>
  <c r="E295" i="13"/>
  <c r="C295" i="13"/>
  <c r="B295" i="13"/>
  <c r="A295" i="13"/>
  <c r="M295" i="12"/>
  <c r="S295" i="12"/>
  <c r="X295" i="12"/>
  <c r="AB295" i="12"/>
  <c r="AE295" i="12"/>
  <c r="AF295" i="12"/>
  <c r="AG295" i="12"/>
  <c r="M296" i="12"/>
  <c r="S296" i="12"/>
  <c r="X296" i="12"/>
  <c r="AB296" i="12"/>
  <c r="AE296" i="12"/>
  <c r="AF296" i="12"/>
  <c r="AG296" i="12"/>
  <c r="I295" i="10"/>
  <c r="K295" i="10"/>
  <c r="S295" i="10"/>
  <c r="T295" i="10"/>
  <c r="AK295" i="10"/>
  <c r="R295" i="10" s="1"/>
  <c r="AL295" i="10"/>
  <c r="J295" i="10" s="1"/>
  <c r="AO295" i="10"/>
  <c r="N295" i="10" s="1"/>
  <c r="I296" i="10"/>
  <c r="S296" i="10"/>
  <c r="T296" i="10"/>
  <c r="AK296" i="10"/>
  <c r="R296" i="10" s="1"/>
  <c r="AL296" i="10"/>
  <c r="J296" i="10" s="1"/>
  <c r="AO296" i="10"/>
  <c r="N296" i="10" s="1"/>
  <c r="D295" i="10"/>
  <c r="N295" i="9"/>
  <c r="W295" i="9"/>
  <c r="N296" i="9"/>
  <c r="W296" i="9"/>
  <c r="I302" i="5" l="1"/>
  <c r="F342" i="5"/>
  <c r="AA342" i="5" s="1"/>
  <c r="H344" i="13"/>
  <c r="I344" i="13"/>
  <c r="AA343" i="5"/>
  <c r="N299" i="5"/>
  <c r="Y295" i="10"/>
  <c r="AA298" i="5"/>
  <c r="H298" i="5"/>
  <c r="H16" i="5" s="1"/>
  <c r="N298" i="5"/>
  <c r="F16" i="5"/>
  <c r="AH295" i="12"/>
  <c r="N295" i="13" s="1"/>
  <c r="Y296" i="10"/>
  <c r="AB295" i="13"/>
  <c r="AB296" i="13"/>
  <c r="I295" i="13"/>
  <c r="M295" i="13" s="1"/>
  <c r="F295" i="5" s="1"/>
  <c r="AA297" i="5"/>
  <c r="H296" i="13"/>
  <c r="M296" i="13" s="1"/>
  <c r="F296" i="5" s="1"/>
  <c r="AL295" i="12"/>
  <c r="AL296" i="12"/>
  <c r="AH296" i="12"/>
  <c r="N296" i="13" s="1"/>
  <c r="P296" i="10"/>
  <c r="P295" i="10"/>
  <c r="H289" i="13"/>
  <c r="H290" i="13"/>
  <c r="H291" i="13"/>
  <c r="I292" i="13"/>
  <c r="H293" i="13"/>
  <c r="H294" i="13"/>
  <c r="O289" i="13"/>
  <c r="X289" i="13"/>
  <c r="O290" i="13"/>
  <c r="X290" i="13"/>
  <c r="O291" i="13"/>
  <c r="X291" i="13"/>
  <c r="O292" i="13"/>
  <c r="X292" i="13"/>
  <c r="O293" i="13"/>
  <c r="X293" i="13"/>
  <c r="O294" i="13"/>
  <c r="X294" i="13"/>
  <c r="I293" i="13"/>
  <c r="A289" i="13"/>
  <c r="B289" i="13"/>
  <c r="C289" i="13"/>
  <c r="E289" i="13"/>
  <c r="AB289" i="13" s="1"/>
  <c r="A290" i="13"/>
  <c r="B290" i="13"/>
  <c r="C290" i="13"/>
  <c r="E290" i="13"/>
  <c r="AB290" i="13" s="1"/>
  <c r="A291" i="13"/>
  <c r="B291" i="13"/>
  <c r="C291" i="13"/>
  <c r="E291" i="13"/>
  <c r="AB291" i="13" s="1"/>
  <c r="A292" i="13"/>
  <c r="B292" i="13"/>
  <c r="C292" i="13"/>
  <c r="E292" i="13"/>
  <c r="AB292" i="13" s="1"/>
  <c r="A293" i="13"/>
  <c r="B293" i="13"/>
  <c r="C293" i="13"/>
  <c r="E293" i="13"/>
  <c r="AB293" i="13" s="1"/>
  <c r="A294" i="13"/>
  <c r="B294" i="13"/>
  <c r="C294" i="13"/>
  <c r="E294" i="13"/>
  <c r="AB294" i="13" s="1"/>
  <c r="AG289" i="12"/>
  <c r="AG290" i="12"/>
  <c r="AG291" i="12"/>
  <c r="AG292" i="12"/>
  <c r="AG293" i="12"/>
  <c r="AG294" i="12"/>
  <c r="AF289" i="12"/>
  <c r="AF290" i="12"/>
  <c r="AF291" i="12"/>
  <c r="AF292" i="12"/>
  <c r="AF293" i="12"/>
  <c r="AF294" i="12"/>
  <c r="AE289" i="12"/>
  <c r="AL289" i="12" s="1"/>
  <c r="AE290" i="12"/>
  <c r="AL290" i="12" s="1"/>
  <c r="AM290" i="12" s="1"/>
  <c r="AE291" i="12"/>
  <c r="AL291" i="12" s="1"/>
  <c r="AN291" i="12" s="1"/>
  <c r="AE292" i="12"/>
  <c r="AE293" i="12"/>
  <c r="AL293" i="12" s="1"/>
  <c r="AM293" i="12" s="1"/>
  <c r="AE294" i="12"/>
  <c r="AL294" i="12" s="1"/>
  <c r="AM294" i="12" s="1"/>
  <c r="AB289" i="12"/>
  <c r="AB290" i="12"/>
  <c r="AB291" i="12"/>
  <c r="AB292" i="12"/>
  <c r="AB293" i="12"/>
  <c r="AB294" i="12"/>
  <c r="X289" i="12"/>
  <c r="X290" i="12"/>
  <c r="X291" i="12"/>
  <c r="X292" i="12"/>
  <c r="X293" i="12"/>
  <c r="X294" i="12"/>
  <c r="S289" i="12"/>
  <c r="S290" i="12"/>
  <c r="S291" i="12"/>
  <c r="S292" i="12"/>
  <c r="S293" i="12"/>
  <c r="S294" i="12"/>
  <c r="M289" i="12"/>
  <c r="M290" i="12"/>
  <c r="M291" i="12"/>
  <c r="M292" i="12"/>
  <c r="M293" i="12"/>
  <c r="M294" i="12"/>
  <c r="I289" i="10"/>
  <c r="K289" i="10"/>
  <c r="S289" i="10"/>
  <c r="T289" i="10"/>
  <c r="AK289" i="10"/>
  <c r="R289" i="10" s="1"/>
  <c r="AL289" i="10"/>
  <c r="J289" i="10" s="1"/>
  <c r="AO289" i="10"/>
  <c r="N289" i="10" s="1"/>
  <c r="I290" i="10"/>
  <c r="K290" i="10"/>
  <c r="S290" i="10"/>
  <c r="T290" i="10"/>
  <c r="AK290" i="10"/>
  <c r="R290" i="10" s="1"/>
  <c r="AL290" i="10"/>
  <c r="J290" i="10" s="1"/>
  <c r="AO290" i="10"/>
  <c r="N290" i="10" s="1"/>
  <c r="I291" i="10"/>
  <c r="K291" i="10"/>
  <c r="S291" i="10"/>
  <c r="T291" i="10"/>
  <c r="AK291" i="10"/>
  <c r="R291" i="10" s="1"/>
  <c r="AL291" i="10"/>
  <c r="J291" i="10" s="1"/>
  <c r="AO291" i="10"/>
  <c r="N291" i="10" s="1"/>
  <c r="I292" i="10"/>
  <c r="K292" i="10"/>
  <c r="S292" i="10"/>
  <c r="T292" i="10"/>
  <c r="AK292" i="10"/>
  <c r="R292" i="10" s="1"/>
  <c r="AL292" i="10"/>
  <c r="J292" i="10" s="1"/>
  <c r="AO292" i="10"/>
  <c r="N292" i="10" s="1"/>
  <c r="I293" i="10"/>
  <c r="K293" i="10"/>
  <c r="S293" i="10"/>
  <c r="T293" i="10"/>
  <c r="AK293" i="10"/>
  <c r="R293" i="10" s="1"/>
  <c r="AL293" i="10"/>
  <c r="J293" i="10" s="1"/>
  <c r="AO293" i="10"/>
  <c r="N293" i="10" s="1"/>
  <c r="I294" i="10"/>
  <c r="K294" i="10"/>
  <c r="S294" i="10"/>
  <c r="T294" i="10"/>
  <c r="AK294" i="10"/>
  <c r="R294" i="10" s="1"/>
  <c r="AL294" i="10"/>
  <c r="J294" i="10" s="1"/>
  <c r="AO294" i="10"/>
  <c r="N294" i="10" s="1"/>
  <c r="D289" i="10"/>
  <c r="D290" i="10"/>
  <c r="D291" i="10"/>
  <c r="D292" i="10"/>
  <c r="D293" i="10"/>
  <c r="D294" i="10"/>
  <c r="N289" i="9"/>
  <c r="W289" i="9"/>
  <c r="N290" i="9"/>
  <c r="W290" i="9"/>
  <c r="N291" i="9"/>
  <c r="W291" i="9"/>
  <c r="N292" i="9"/>
  <c r="W292" i="9"/>
  <c r="N293" i="9"/>
  <c r="W293" i="9"/>
  <c r="N294" i="9"/>
  <c r="W294" i="9"/>
  <c r="G289" i="5"/>
  <c r="J289" i="5"/>
  <c r="K289" i="5"/>
  <c r="Z289" i="5"/>
  <c r="G290" i="5"/>
  <c r="J290" i="5"/>
  <c r="K290" i="5"/>
  <c r="Z290" i="5"/>
  <c r="G291" i="5"/>
  <c r="J291" i="5"/>
  <c r="K291" i="5"/>
  <c r="Z291" i="5"/>
  <c r="G292" i="5"/>
  <c r="J292" i="5"/>
  <c r="K292" i="5"/>
  <c r="Z292" i="5"/>
  <c r="G293" i="5"/>
  <c r="J293" i="5"/>
  <c r="K293" i="5"/>
  <c r="Z293" i="5"/>
  <c r="G294" i="5"/>
  <c r="J294" i="5"/>
  <c r="K294" i="5"/>
  <c r="Z294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Z279" i="5"/>
  <c r="Z280" i="5"/>
  <c r="Z281" i="5"/>
  <c r="Z282" i="5"/>
  <c r="Z283" i="5"/>
  <c r="Z284" i="5"/>
  <c r="Z285" i="5"/>
  <c r="Z286" i="5"/>
  <c r="Z287" i="5"/>
  <c r="Z288" i="5"/>
  <c r="J280" i="5"/>
  <c r="J281" i="5"/>
  <c r="J282" i="5"/>
  <c r="J283" i="5"/>
  <c r="J284" i="5"/>
  <c r="J285" i="5"/>
  <c r="J286" i="5"/>
  <c r="J287" i="5"/>
  <c r="J288" i="5"/>
  <c r="G281" i="5"/>
  <c r="G282" i="5"/>
  <c r="G283" i="5"/>
  <c r="G284" i="5"/>
  <c r="G285" i="5"/>
  <c r="G286" i="5"/>
  <c r="G287" i="5"/>
  <c r="G288" i="5"/>
  <c r="Z295" i="10" l="1"/>
  <c r="AA295" i="10" s="1"/>
  <c r="H295" i="5" s="1"/>
  <c r="I345" i="13"/>
  <c r="H345" i="13"/>
  <c r="M345" i="13" s="1"/>
  <c r="F345" i="5" s="1"/>
  <c r="M344" i="13"/>
  <c r="I298" i="5"/>
  <c r="I16" i="5" s="1"/>
  <c r="Z296" i="10"/>
  <c r="AA296" i="10" s="1"/>
  <c r="H296" i="5" s="1"/>
  <c r="Y294" i="10"/>
  <c r="AA296" i="5"/>
  <c r="AA295" i="5"/>
  <c r="S296" i="13"/>
  <c r="N296" i="5" s="1"/>
  <c r="S295" i="13"/>
  <c r="N295" i="5" s="1"/>
  <c r="Y290" i="10"/>
  <c r="Y291" i="10"/>
  <c r="AH292" i="12"/>
  <c r="N292" i="13" s="1"/>
  <c r="Y293" i="10"/>
  <c r="K15" i="5"/>
  <c r="AM295" i="12"/>
  <c r="AN295" i="12"/>
  <c r="AM296" i="12"/>
  <c r="AN296" i="12"/>
  <c r="Y289" i="10"/>
  <c r="Y292" i="10"/>
  <c r="AH291" i="12"/>
  <c r="N291" i="13" s="1"/>
  <c r="AL292" i="12"/>
  <c r="AM292" i="12" s="1"/>
  <c r="P290" i="10"/>
  <c r="P291" i="10"/>
  <c r="P289" i="10"/>
  <c r="P292" i="10"/>
  <c r="P294" i="10"/>
  <c r="P293" i="10"/>
  <c r="I291" i="13"/>
  <c r="M291" i="13" s="1"/>
  <c r="F291" i="5" s="1"/>
  <c r="I290" i="13"/>
  <c r="M290" i="13" s="1"/>
  <c r="F290" i="5" s="1"/>
  <c r="H292" i="13"/>
  <c r="M292" i="13" s="1"/>
  <c r="F292" i="5" s="1"/>
  <c r="M293" i="13"/>
  <c r="F293" i="5" s="1"/>
  <c r="AH293" i="12"/>
  <c r="N293" i="13" s="1"/>
  <c r="AH289" i="12"/>
  <c r="N289" i="13" s="1"/>
  <c r="AN289" i="12"/>
  <c r="AM289" i="12"/>
  <c r="AM291" i="12"/>
  <c r="AN290" i="12"/>
  <c r="AN293" i="12"/>
  <c r="I294" i="13"/>
  <c r="M294" i="13" s="1"/>
  <c r="F294" i="5" s="1"/>
  <c r="I289" i="13"/>
  <c r="M289" i="13" s="1"/>
  <c r="F289" i="5" s="1"/>
  <c r="AH294" i="12"/>
  <c r="N294" i="13" s="1"/>
  <c r="AN294" i="12"/>
  <c r="AH290" i="12"/>
  <c r="N290" i="13" s="1"/>
  <c r="A283" i="13"/>
  <c r="B283" i="13"/>
  <c r="C283" i="13"/>
  <c r="E283" i="13"/>
  <c r="AB283" i="13" s="1"/>
  <c r="O283" i="13"/>
  <c r="X283" i="13"/>
  <c r="H283" i="13"/>
  <c r="A284" i="13"/>
  <c r="B284" i="13"/>
  <c r="C284" i="13"/>
  <c r="E284" i="13"/>
  <c r="AB284" i="13" s="1"/>
  <c r="O284" i="13"/>
  <c r="X284" i="13"/>
  <c r="H284" i="13"/>
  <c r="A285" i="13"/>
  <c r="B285" i="13"/>
  <c r="C285" i="13"/>
  <c r="E285" i="13"/>
  <c r="AB285" i="13" s="1"/>
  <c r="O285" i="13"/>
  <c r="X285" i="13"/>
  <c r="H285" i="13"/>
  <c r="A286" i="13"/>
  <c r="B286" i="13"/>
  <c r="C286" i="13"/>
  <c r="E286" i="13"/>
  <c r="AB286" i="13" s="1"/>
  <c r="O286" i="13"/>
  <c r="X286" i="13"/>
  <c r="H286" i="13"/>
  <c r="A287" i="13"/>
  <c r="B287" i="13"/>
  <c r="C287" i="13"/>
  <c r="E287" i="13"/>
  <c r="AB287" i="13" s="1"/>
  <c r="O287" i="13"/>
  <c r="X287" i="13"/>
  <c r="H287" i="13"/>
  <c r="A288" i="13"/>
  <c r="B288" i="13"/>
  <c r="C288" i="13"/>
  <c r="E288" i="13"/>
  <c r="AB288" i="13" s="1"/>
  <c r="O288" i="13"/>
  <c r="X288" i="13"/>
  <c r="H288" i="13"/>
  <c r="AE283" i="12"/>
  <c r="AL283" i="12" s="1"/>
  <c r="AM283" i="12" s="1"/>
  <c r="AF283" i="12"/>
  <c r="AG283" i="12"/>
  <c r="AE284" i="12"/>
  <c r="AL284" i="12" s="1"/>
  <c r="AN284" i="12" s="1"/>
  <c r="AF284" i="12"/>
  <c r="AG284" i="12"/>
  <c r="AE285" i="12"/>
  <c r="AL285" i="12" s="1"/>
  <c r="AF285" i="12"/>
  <c r="AG285" i="12"/>
  <c r="AE286" i="12"/>
  <c r="AL286" i="12" s="1"/>
  <c r="AM286" i="12" s="1"/>
  <c r="AF286" i="12"/>
  <c r="AG286" i="12"/>
  <c r="AE287" i="12"/>
  <c r="AF287" i="12"/>
  <c r="AG287" i="12"/>
  <c r="AE288" i="12"/>
  <c r="AL288" i="12" s="1"/>
  <c r="AM288" i="12" s="1"/>
  <c r="AF288" i="12"/>
  <c r="AG288" i="12"/>
  <c r="AB281" i="12"/>
  <c r="AB282" i="12"/>
  <c r="AB283" i="12"/>
  <c r="AB284" i="12"/>
  <c r="AB285" i="12"/>
  <c r="AB286" i="12"/>
  <c r="AB287" i="12"/>
  <c r="AB288" i="12"/>
  <c r="X283" i="12"/>
  <c r="X284" i="12"/>
  <c r="X285" i="12"/>
  <c r="X286" i="12"/>
  <c r="X287" i="12"/>
  <c r="X288" i="12"/>
  <c r="S283" i="12"/>
  <c r="S284" i="12"/>
  <c r="S285" i="12"/>
  <c r="S286" i="12"/>
  <c r="S287" i="12"/>
  <c r="S288" i="12"/>
  <c r="M283" i="12"/>
  <c r="M284" i="12"/>
  <c r="M285" i="12"/>
  <c r="M286" i="12"/>
  <c r="M287" i="12"/>
  <c r="M288" i="12"/>
  <c r="AK283" i="10"/>
  <c r="R283" i="10" s="1"/>
  <c r="AL283" i="10"/>
  <c r="J283" i="10" s="1"/>
  <c r="AO283" i="10"/>
  <c r="N283" i="10" s="1"/>
  <c r="AK284" i="10"/>
  <c r="R284" i="10" s="1"/>
  <c r="AL284" i="10"/>
  <c r="J284" i="10" s="1"/>
  <c r="AO284" i="10"/>
  <c r="N284" i="10" s="1"/>
  <c r="AK285" i="10"/>
  <c r="R285" i="10" s="1"/>
  <c r="AL285" i="10"/>
  <c r="J285" i="10" s="1"/>
  <c r="AO285" i="10"/>
  <c r="N285" i="10" s="1"/>
  <c r="AK286" i="10"/>
  <c r="R286" i="10" s="1"/>
  <c r="AL286" i="10"/>
  <c r="J286" i="10" s="1"/>
  <c r="AO286" i="10"/>
  <c r="N286" i="10" s="1"/>
  <c r="AK287" i="10"/>
  <c r="R287" i="10" s="1"/>
  <c r="AL287" i="10"/>
  <c r="J287" i="10" s="1"/>
  <c r="AO287" i="10"/>
  <c r="N287" i="10" s="1"/>
  <c r="AK288" i="10"/>
  <c r="R288" i="10" s="1"/>
  <c r="AL288" i="10"/>
  <c r="J288" i="10" s="1"/>
  <c r="AO288" i="10"/>
  <c r="N288" i="10" s="1"/>
  <c r="T288" i="10"/>
  <c r="S288" i="10"/>
  <c r="T287" i="10"/>
  <c r="S287" i="10"/>
  <c r="T286" i="10"/>
  <c r="S286" i="10"/>
  <c r="T285" i="10"/>
  <c r="S285" i="10"/>
  <c r="T284" i="10"/>
  <c r="S284" i="10"/>
  <c r="T283" i="10"/>
  <c r="S283" i="10"/>
  <c r="K283" i="10"/>
  <c r="K284" i="10"/>
  <c r="K285" i="10"/>
  <c r="K286" i="10"/>
  <c r="K287" i="10"/>
  <c r="K288" i="10"/>
  <c r="I283" i="10"/>
  <c r="I284" i="10"/>
  <c r="I285" i="10"/>
  <c r="I286" i="10"/>
  <c r="I287" i="10"/>
  <c r="I288" i="10"/>
  <c r="D283" i="10"/>
  <c r="D284" i="10"/>
  <c r="D285" i="10"/>
  <c r="D286" i="10"/>
  <c r="D287" i="10"/>
  <c r="D288" i="10"/>
  <c r="W281" i="9"/>
  <c r="W282" i="9"/>
  <c r="W283" i="9"/>
  <c r="W284" i="9"/>
  <c r="W285" i="9"/>
  <c r="W286" i="9"/>
  <c r="W287" i="9"/>
  <c r="W288" i="9"/>
  <c r="N283" i="9"/>
  <c r="N284" i="9"/>
  <c r="N285" i="9"/>
  <c r="N286" i="9"/>
  <c r="N287" i="9"/>
  <c r="N288" i="9"/>
  <c r="H277" i="13"/>
  <c r="H278" i="13"/>
  <c r="H279" i="13"/>
  <c r="H280" i="13"/>
  <c r="H281" i="13"/>
  <c r="H282" i="13"/>
  <c r="B269" i="13"/>
  <c r="B270" i="13"/>
  <c r="B271" i="13"/>
  <c r="B272" i="13"/>
  <c r="B273" i="13"/>
  <c r="B274" i="13"/>
  <c r="B275" i="13"/>
  <c r="B276" i="13"/>
  <c r="B277" i="13"/>
  <c r="B278" i="13"/>
  <c r="B279" i="13"/>
  <c r="B280" i="13"/>
  <c r="B281" i="13"/>
  <c r="B282" i="13"/>
  <c r="B268" i="13"/>
  <c r="A277" i="13"/>
  <c r="C277" i="13"/>
  <c r="E277" i="13"/>
  <c r="AB277" i="13" s="1"/>
  <c r="O277" i="13"/>
  <c r="X277" i="13"/>
  <c r="A278" i="13"/>
  <c r="C278" i="13"/>
  <c r="E278" i="13"/>
  <c r="AB278" i="13" s="1"/>
  <c r="O278" i="13"/>
  <c r="X278" i="13"/>
  <c r="A279" i="13"/>
  <c r="C279" i="13"/>
  <c r="E279" i="13"/>
  <c r="AB279" i="13" s="1"/>
  <c r="O279" i="13"/>
  <c r="X279" i="13"/>
  <c r="A280" i="13"/>
  <c r="C280" i="13"/>
  <c r="E280" i="13"/>
  <c r="AB280" i="13" s="1"/>
  <c r="O280" i="13"/>
  <c r="X280" i="13"/>
  <c r="A281" i="13"/>
  <c r="C281" i="13"/>
  <c r="E281" i="13"/>
  <c r="AB281" i="13" s="1"/>
  <c r="I281" i="13"/>
  <c r="O281" i="13"/>
  <c r="X281" i="13"/>
  <c r="A282" i="13"/>
  <c r="C282" i="13"/>
  <c r="E282" i="13"/>
  <c r="AB282" i="13" s="1"/>
  <c r="O282" i="13"/>
  <c r="X282" i="13"/>
  <c r="S276" i="12"/>
  <c r="S277" i="12"/>
  <c r="S278" i="12"/>
  <c r="S279" i="12"/>
  <c r="S280" i="12"/>
  <c r="S281" i="12"/>
  <c r="S282" i="12"/>
  <c r="M276" i="12"/>
  <c r="M277" i="12"/>
  <c r="M278" i="12"/>
  <c r="M279" i="12"/>
  <c r="M280" i="12"/>
  <c r="M281" i="12"/>
  <c r="M282" i="12"/>
  <c r="X277" i="12"/>
  <c r="AB277" i="12"/>
  <c r="AE277" i="12"/>
  <c r="AF277" i="12"/>
  <c r="AG277" i="12"/>
  <c r="X278" i="12"/>
  <c r="AB278" i="12"/>
  <c r="AE278" i="12"/>
  <c r="AL278" i="12" s="1"/>
  <c r="AM278" i="12" s="1"/>
  <c r="AF278" i="12"/>
  <c r="AG278" i="12"/>
  <c r="X279" i="12"/>
  <c r="AB279" i="12"/>
  <c r="AE279" i="12"/>
  <c r="AL279" i="12" s="1"/>
  <c r="AM279" i="12" s="1"/>
  <c r="AF279" i="12"/>
  <c r="AG279" i="12"/>
  <c r="X280" i="12"/>
  <c r="AB280" i="12"/>
  <c r="AE280" i="12"/>
  <c r="AF280" i="12"/>
  <c r="AG280" i="12"/>
  <c r="X281" i="12"/>
  <c r="AE281" i="12"/>
  <c r="AL281" i="12" s="1"/>
  <c r="AF281" i="12"/>
  <c r="AG281" i="12"/>
  <c r="X282" i="12"/>
  <c r="AE282" i="12"/>
  <c r="AL282" i="12" s="1"/>
  <c r="AF282" i="12"/>
  <c r="AG282" i="12"/>
  <c r="AO282" i="10"/>
  <c r="N282" i="10" s="1"/>
  <c r="AL282" i="10"/>
  <c r="J282" i="10" s="1"/>
  <c r="AK282" i="10"/>
  <c r="R282" i="10" s="1"/>
  <c r="AO281" i="10"/>
  <c r="N281" i="10" s="1"/>
  <c r="AL281" i="10"/>
  <c r="J281" i="10" s="1"/>
  <c r="AK281" i="10"/>
  <c r="R281" i="10" s="1"/>
  <c r="AO280" i="10"/>
  <c r="N280" i="10" s="1"/>
  <c r="AL280" i="10"/>
  <c r="J280" i="10" s="1"/>
  <c r="AK280" i="10"/>
  <c r="R280" i="10" s="1"/>
  <c r="AO279" i="10"/>
  <c r="N279" i="10" s="1"/>
  <c r="AL279" i="10"/>
  <c r="J279" i="10" s="1"/>
  <c r="AK279" i="10"/>
  <c r="R279" i="10" s="1"/>
  <c r="AO278" i="10"/>
  <c r="N278" i="10" s="1"/>
  <c r="AL278" i="10"/>
  <c r="J278" i="10" s="1"/>
  <c r="AK278" i="10"/>
  <c r="R278" i="10" s="1"/>
  <c r="AO277" i="10"/>
  <c r="N277" i="10" s="1"/>
  <c r="AL277" i="10"/>
  <c r="J277" i="10" s="1"/>
  <c r="AK277" i="10"/>
  <c r="R277" i="10" s="1"/>
  <c r="I277" i="10"/>
  <c r="K277" i="10"/>
  <c r="S277" i="10"/>
  <c r="T277" i="10"/>
  <c r="I278" i="10"/>
  <c r="K278" i="10"/>
  <c r="S278" i="10"/>
  <c r="T278" i="10"/>
  <c r="I279" i="10"/>
  <c r="K279" i="10"/>
  <c r="S279" i="10"/>
  <c r="T279" i="10"/>
  <c r="I280" i="10"/>
  <c r="K280" i="10"/>
  <c r="S280" i="10"/>
  <c r="T280" i="10"/>
  <c r="I281" i="10"/>
  <c r="K281" i="10"/>
  <c r="S281" i="10"/>
  <c r="T281" i="10"/>
  <c r="I282" i="10"/>
  <c r="K282" i="10"/>
  <c r="S282" i="10"/>
  <c r="T282" i="10"/>
  <c r="D277" i="10"/>
  <c r="D278" i="10"/>
  <c r="D279" i="10"/>
  <c r="D280" i="10"/>
  <c r="D281" i="10"/>
  <c r="D282" i="10"/>
  <c r="N276" i="9"/>
  <c r="N277" i="9"/>
  <c r="N278" i="9"/>
  <c r="N279" i="9"/>
  <c r="N280" i="9"/>
  <c r="N281" i="9"/>
  <c r="N282" i="9"/>
  <c r="W277" i="9"/>
  <c r="W278" i="9"/>
  <c r="W279" i="9"/>
  <c r="W280" i="9"/>
  <c r="G277" i="5"/>
  <c r="J277" i="5"/>
  <c r="Z277" i="5"/>
  <c r="G278" i="5"/>
  <c r="J278" i="5"/>
  <c r="Z278" i="5"/>
  <c r="G279" i="5"/>
  <c r="J279" i="5"/>
  <c r="G280" i="5"/>
  <c r="F344" i="5" l="1"/>
  <c r="AA344" i="5" s="1"/>
  <c r="AA345" i="5"/>
  <c r="H346" i="13"/>
  <c r="I346" i="13"/>
  <c r="Z294" i="10"/>
  <c r="AA294" i="10" s="1"/>
  <c r="H294" i="5" s="1"/>
  <c r="Z291" i="10"/>
  <c r="AA291" i="10" s="1"/>
  <c r="H291" i="5" s="1"/>
  <c r="Z293" i="10"/>
  <c r="AA293" i="10" s="1"/>
  <c r="H293" i="5" s="1"/>
  <c r="Z290" i="10"/>
  <c r="AA290" i="10" s="1"/>
  <c r="H290" i="5" s="1"/>
  <c r="AA290" i="5"/>
  <c r="AA291" i="5"/>
  <c r="S291" i="13"/>
  <c r="N291" i="5" s="1"/>
  <c r="AA292" i="5"/>
  <c r="S290" i="13"/>
  <c r="N290" i="5" s="1"/>
  <c r="S292" i="13"/>
  <c r="N292" i="5" s="1"/>
  <c r="S294" i="13"/>
  <c r="N294" i="5" s="1"/>
  <c r="S289" i="13"/>
  <c r="N289" i="5" s="1"/>
  <c r="AA289" i="5"/>
  <c r="S293" i="13"/>
  <c r="N293" i="5" s="1"/>
  <c r="AA294" i="5"/>
  <c r="AA293" i="5"/>
  <c r="Z292" i="10"/>
  <c r="AA292" i="10" s="1"/>
  <c r="H292" i="5" s="1"/>
  <c r="Z289" i="10"/>
  <c r="AA289" i="10" s="1"/>
  <c r="H289" i="5" s="1"/>
  <c r="AN292" i="12"/>
  <c r="AH286" i="12"/>
  <c r="N286" i="13" s="1"/>
  <c r="AH283" i="12"/>
  <c r="N283" i="13" s="1"/>
  <c r="I285" i="13"/>
  <c r="M285" i="13" s="1"/>
  <c r="F285" i="5" s="1"/>
  <c r="I283" i="13"/>
  <c r="M283" i="13" s="1"/>
  <c r="F283" i="5" s="1"/>
  <c r="AN285" i="12"/>
  <c r="AM285" i="12"/>
  <c r="AH284" i="12"/>
  <c r="N284" i="13" s="1"/>
  <c r="AL287" i="12"/>
  <c r="AM287" i="12" s="1"/>
  <c r="AM284" i="12"/>
  <c r="P283" i="10"/>
  <c r="P286" i="10"/>
  <c r="Y284" i="10"/>
  <c r="I287" i="13"/>
  <c r="M287" i="13" s="1"/>
  <c r="F287" i="5" s="1"/>
  <c r="I288" i="13"/>
  <c r="M288" i="13" s="1"/>
  <c r="F288" i="5" s="1"/>
  <c r="I286" i="13"/>
  <c r="M286" i="13" s="1"/>
  <c r="F286" i="5" s="1"/>
  <c r="I284" i="13"/>
  <c r="M284" i="13" s="1"/>
  <c r="F284" i="5" s="1"/>
  <c r="AH288" i="12"/>
  <c r="N288" i="13" s="1"/>
  <c r="AH285" i="12"/>
  <c r="N285" i="13" s="1"/>
  <c r="AH287" i="12"/>
  <c r="N287" i="13" s="1"/>
  <c r="AN286" i="12"/>
  <c r="AN283" i="12"/>
  <c r="AN288" i="12"/>
  <c r="P284" i="10"/>
  <c r="P288" i="10"/>
  <c r="P287" i="10"/>
  <c r="P285" i="10"/>
  <c r="Y283" i="10"/>
  <c r="Y285" i="10"/>
  <c r="Y287" i="10"/>
  <c r="Y286" i="10"/>
  <c r="Y288" i="10"/>
  <c r="P280" i="10"/>
  <c r="Y277" i="10"/>
  <c r="Y279" i="10"/>
  <c r="Y282" i="10"/>
  <c r="AH280" i="12"/>
  <c r="N280" i="13" s="1"/>
  <c r="AH282" i="12"/>
  <c r="N282" i="13" s="1"/>
  <c r="M281" i="13"/>
  <c r="F281" i="5" s="1"/>
  <c r="I282" i="13"/>
  <c r="M282" i="13" s="1"/>
  <c r="F282" i="5" s="1"/>
  <c r="I278" i="13"/>
  <c r="M278" i="13" s="1"/>
  <c r="I280" i="13"/>
  <c r="M280" i="13" s="1"/>
  <c r="F280" i="5" s="1"/>
  <c r="I279" i="13"/>
  <c r="M279" i="13" s="1"/>
  <c r="F279" i="5" s="1"/>
  <c r="I277" i="13"/>
  <c r="M277" i="13" s="1"/>
  <c r="AH279" i="12"/>
  <c r="N279" i="13" s="1"/>
  <c r="AL280" i="12"/>
  <c r="AM280" i="12" s="1"/>
  <c r="AL277" i="12"/>
  <c r="AM277" i="12" s="1"/>
  <c r="AH277" i="12"/>
  <c r="N277" i="13" s="1"/>
  <c r="AN278" i="12"/>
  <c r="AH281" i="12"/>
  <c r="N281" i="13" s="1"/>
  <c r="AH278" i="12"/>
  <c r="N278" i="13" s="1"/>
  <c r="AN281" i="12"/>
  <c r="AM281" i="12"/>
  <c r="AM282" i="12"/>
  <c r="AN282" i="12"/>
  <c r="AN279" i="12"/>
  <c r="P277" i="10"/>
  <c r="P279" i="10"/>
  <c r="P278" i="10"/>
  <c r="Y281" i="10"/>
  <c r="P282" i="10"/>
  <c r="Y278" i="10"/>
  <c r="P281" i="10"/>
  <c r="Y280" i="10"/>
  <c r="A275" i="13"/>
  <c r="C275" i="13"/>
  <c r="E275" i="13"/>
  <c r="AB275" i="13" s="1"/>
  <c r="O275" i="13"/>
  <c r="X275" i="13"/>
  <c r="H275" i="13"/>
  <c r="A276" i="13"/>
  <c r="C276" i="13"/>
  <c r="E276" i="13"/>
  <c r="AB276" i="13" s="1"/>
  <c r="O276" i="13"/>
  <c r="X276" i="13"/>
  <c r="H276" i="13"/>
  <c r="AE275" i="12"/>
  <c r="AL275" i="12" s="1"/>
  <c r="AM275" i="12" s="1"/>
  <c r="AF275" i="12"/>
  <c r="AG275" i="12"/>
  <c r="AE276" i="12"/>
  <c r="AL276" i="12" s="1"/>
  <c r="AF276" i="12"/>
  <c r="AG276" i="12"/>
  <c r="AB275" i="12"/>
  <c r="AB276" i="12"/>
  <c r="X274" i="12"/>
  <c r="X275" i="12"/>
  <c r="X276" i="12"/>
  <c r="S275" i="12"/>
  <c r="M274" i="12"/>
  <c r="M275" i="12"/>
  <c r="W270" i="9"/>
  <c r="W271" i="9"/>
  <c r="W272" i="9"/>
  <c r="W273" i="9"/>
  <c r="W274" i="9"/>
  <c r="W275" i="9"/>
  <c r="W276" i="9"/>
  <c r="N239" i="9"/>
  <c r="N240" i="9"/>
  <c r="N241" i="9"/>
  <c r="N242" i="9"/>
  <c r="N243" i="9"/>
  <c r="N244" i="9"/>
  <c r="N245" i="9"/>
  <c r="N246" i="9"/>
  <c r="N247" i="9"/>
  <c r="N248" i="9"/>
  <c r="N249" i="9"/>
  <c r="N250" i="9"/>
  <c r="N251" i="9"/>
  <c r="N252" i="9"/>
  <c r="N253" i="9"/>
  <c r="N254" i="9"/>
  <c r="N255" i="9"/>
  <c r="N256" i="9"/>
  <c r="N257" i="9"/>
  <c r="N258" i="9"/>
  <c r="N259" i="9"/>
  <c r="N260" i="9"/>
  <c r="N261" i="9"/>
  <c r="N262" i="9"/>
  <c r="N263" i="9"/>
  <c r="N264" i="9"/>
  <c r="N265" i="9"/>
  <c r="N266" i="9"/>
  <c r="N268" i="9"/>
  <c r="N269" i="9"/>
  <c r="N270" i="9"/>
  <c r="N271" i="9"/>
  <c r="N272" i="9"/>
  <c r="N273" i="9"/>
  <c r="N274" i="9"/>
  <c r="N275" i="9"/>
  <c r="G275" i="5"/>
  <c r="J275" i="5"/>
  <c r="Z275" i="5"/>
  <c r="G276" i="5"/>
  <c r="J276" i="5"/>
  <c r="Z276" i="5"/>
  <c r="I275" i="10"/>
  <c r="K275" i="10"/>
  <c r="S275" i="10"/>
  <c r="T275" i="10"/>
  <c r="AK275" i="10"/>
  <c r="R275" i="10" s="1"/>
  <c r="AL275" i="10"/>
  <c r="J275" i="10" s="1"/>
  <c r="AO275" i="10"/>
  <c r="N275" i="10" s="1"/>
  <c r="I276" i="10"/>
  <c r="K276" i="10"/>
  <c r="S276" i="10"/>
  <c r="T276" i="10"/>
  <c r="AK276" i="10"/>
  <c r="R276" i="10" s="1"/>
  <c r="AL276" i="10"/>
  <c r="J276" i="10" s="1"/>
  <c r="AO276" i="10"/>
  <c r="N276" i="10" s="1"/>
  <c r="D276" i="10"/>
  <c r="D275" i="10"/>
  <c r="Q15" i="5"/>
  <c r="Q14" i="5"/>
  <c r="AB265" i="10" s="1"/>
  <c r="E266" i="13"/>
  <c r="E267" i="13"/>
  <c r="AB267" i="13" s="1"/>
  <c r="E268" i="13"/>
  <c r="AB268" i="13" s="1"/>
  <c r="E269" i="13"/>
  <c r="AB269" i="13" s="1"/>
  <c r="E270" i="13"/>
  <c r="AB270" i="13" s="1"/>
  <c r="E271" i="13"/>
  <c r="AB271" i="13" s="1"/>
  <c r="E272" i="13"/>
  <c r="AB272" i="13" s="1"/>
  <c r="E273" i="13"/>
  <c r="AB273" i="13" s="1"/>
  <c r="E274" i="13"/>
  <c r="AB274" i="13" s="1"/>
  <c r="I268" i="13"/>
  <c r="H269" i="13"/>
  <c r="H270" i="13"/>
  <c r="I271" i="13"/>
  <c r="I272" i="13"/>
  <c r="I273" i="13"/>
  <c r="I274" i="13"/>
  <c r="X268" i="13"/>
  <c r="X269" i="13"/>
  <c r="X270" i="13"/>
  <c r="X271" i="13"/>
  <c r="X272" i="13"/>
  <c r="X273" i="13"/>
  <c r="X274" i="13"/>
  <c r="O268" i="13"/>
  <c r="O269" i="13"/>
  <c r="O270" i="13"/>
  <c r="O271" i="13"/>
  <c r="O272" i="13"/>
  <c r="O273" i="13"/>
  <c r="O274" i="13"/>
  <c r="AO274" i="10"/>
  <c r="N274" i="10" s="1"/>
  <c r="AL274" i="10"/>
  <c r="J274" i="10" s="1"/>
  <c r="AK274" i="10"/>
  <c r="R274" i="10" s="1"/>
  <c r="T274" i="10"/>
  <c r="S274" i="10"/>
  <c r="K274" i="10"/>
  <c r="I274" i="10"/>
  <c r="AO273" i="10"/>
  <c r="N273" i="10" s="1"/>
  <c r="AL273" i="10"/>
  <c r="J273" i="10" s="1"/>
  <c r="AK273" i="10"/>
  <c r="R273" i="10" s="1"/>
  <c r="T273" i="10"/>
  <c r="S273" i="10"/>
  <c r="K273" i="10"/>
  <c r="I273" i="10"/>
  <c r="AO272" i="10"/>
  <c r="N272" i="10" s="1"/>
  <c r="AL272" i="10"/>
  <c r="J272" i="10" s="1"/>
  <c r="AK272" i="10"/>
  <c r="R272" i="10" s="1"/>
  <c r="T272" i="10"/>
  <c r="S272" i="10"/>
  <c r="K272" i="10"/>
  <c r="I272" i="10"/>
  <c r="AO271" i="10"/>
  <c r="N271" i="10" s="1"/>
  <c r="AL271" i="10"/>
  <c r="J271" i="10" s="1"/>
  <c r="AK271" i="10"/>
  <c r="R271" i="10" s="1"/>
  <c r="T271" i="10"/>
  <c r="S271" i="10"/>
  <c r="K271" i="10"/>
  <c r="I271" i="10"/>
  <c r="AO270" i="10"/>
  <c r="N270" i="10" s="1"/>
  <c r="AL270" i="10"/>
  <c r="J270" i="10" s="1"/>
  <c r="AK270" i="10"/>
  <c r="R270" i="10" s="1"/>
  <c r="T270" i="10"/>
  <c r="S270" i="10"/>
  <c r="K270" i="10"/>
  <c r="I270" i="10"/>
  <c r="AO269" i="10"/>
  <c r="N269" i="10" s="1"/>
  <c r="AL269" i="10"/>
  <c r="J269" i="10" s="1"/>
  <c r="AK269" i="10"/>
  <c r="R269" i="10" s="1"/>
  <c r="T269" i="10"/>
  <c r="S269" i="10"/>
  <c r="K269" i="10"/>
  <c r="I269" i="10"/>
  <c r="AO268" i="10"/>
  <c r="N268" i="10" s="1"/>
  <c r="AL268" i="10"/>
  <c r="J268" i="10" s="1"/>
  <c r="AK268" i="10"/>
  <c r="R268" i="10" s="1"/>
  <c r="T268" i="10"/>
  <c r="S268" i="10"/>
  <c r="K268" i="10"/>
  <c r="I268" i="10"/>
  <c r="AO267" i="10"/>
  <c r="N267" i="10" s="1"/>
  <c r="AL267" i="10"/>
  <c r="J267" i="10" s="1"/>
  <c r="AK267" i="10"/>
  <c r="R267" i="10" s="1"/>
  <c r="T267" i="10"/>
  <c r="S267" i="10"/>
  <c r="K267" i="10"/>
  <c r="I267" i="10"/>
  <c r="A268" i="13"/>
  <c r="C268" i="13"/>
  <c r="A269" i="13"/>
  <c r="C269" i="13"/>
  <c r="A270" i="13"/>
  <c r="C270" i="13"/>
  <c r="A271" i="13"/>
  <c r="C271" i="13"/>
  <c r="A272" i="13"/>
  <c r="C272" i="13"/>
  <c r="A273" i="13"/>
  <c r="C273" i="13"/>
  <c r="A274" i="13"/>
  <c r="C274" i="13"/>
  <c r="AE268" i="12"/>
  <c r="AL268" i="12" s="1"/>
  <c r="AN268" i="12" s="1"/>
  <c r="AF268" i="12"/>
  <c r="AG268" i="12"/>
  <c r="AE269" i="12"/>
  <c r="AL269" i="12" s="1"/>
  <c r="AM269" i="12" s="1"/>
  <c r="AF269" i="12"/>
  <c r="AG269" i="12"/>
  <c r="AE270" i="12"/>
  <c r="AL270" i="12" s="1"/>
  <c r="AF270" i="12"/>
  <c r="AG270" i="12"/>
  <c r="AE271" i="12"/>
  <c r="AL271" i="12" s="1"/>
  <c r="AN271" i="12" s="1"/>
  <c r="AF271" i="12"/>
  <c r="AG271" i="12"/>
  <c r="AE272" i="12"/>
  <c r="AL272" i="12" s="1"/>
  <c r="AN272" i="12" s="1"/>
  <c r="AF272" i="12"/>
  <c r="AG272" i="12"/>
  <c r="AE273" i="12"/>
  <c r="AL273" i="12" s="1"/>
  <c r="AF273" i="12"/>
  <c r="AG273" i="12"/>
  <c r="AE274" i="12"/>
  <c r="AL274" i="12" s="1"/>
  <c r="AF274" i="12"/>
  <c r="AG274" i="12"/>
  <c r="AB268" i="12"/>
  <c r="AB269" i="12"/>
  <c r="AB270" i="12"/>
  <c r="AB271" i="12"/>
  <c r="AB272" i="12"/>
  <c r="AB273" i="12"/>
  <c r="AB274" i="12"/>
  <c r="S274" i="12"/>
  <c r="S273" i="12"/>
  <c r="S272" i="12"/>
  <c r="S271" i="12"/>
  <c r="S270" i="12"/>
  <c r="S269" i="12"/>
  <c r="S268" i="12"/>
  <c r="X268" i="12"/>
  <c r="X269" i="12"/>
  <c r="X270" i="12"/>
  <c r="X271" i="12"/>
  <c r="X272" i="12"/>
  <c r="X273" i="12"/>
  <c r="M268" i="12"/>
  <c r="M269" i="12"/>
  <c r="M270" i="12"/>
  <c r="M271" i="12"/>
  <c r="M272" i="12"/>
  <c r="M273" i="12"/>
  <c r="D268" i="10"/>
  <c r="D269" i="10"/>
  <c r="D270" i="10"/>
  <c r="D271" i="10"/>
  <c r="D272" i="10"/>
  <c r="D273" i="10"/>
  <c r="D274" i="10"/>
  <c r="N267" i="9"/>
  <c r="G268" i="5"/>
  <c r="J268" i="5"/>
  <c r="Z268" i="5"/>
  <c r="G269" i="5"/>
  <c r="J269" i="5"/>
  <c r="Z269" i="5"/>
  <c r="G270" i="5"/>
  <c r="J270" i="5"/>
  <c r="Z270" i="5"/>
  <c r="G271" i="5"/>
  <c r="J271" i="5"/>
  <c r="Z271" i="5"/>
  <c r="G272" i="5"/>
  <c r="J272" i="5"/>
  <c r="Z272" i="5"/>
  <c r="G273" i="5"/>
  <c r="J273" i="5"/>
  <c r="Z273" i="5"/>
  <c r="G274" i="5"/>
  <c r="J274" i="5"/>
  <c r="Z274" i="5"/>
  <c r="W268" i="9"/>
  <c r="W269" i="9"/>
  <c r="E14" i="9"/>
  <c r="G14" i="12" s="1"/>
  <c r="C14" i="5"/>
  <c r="G14" i="13"/>
  <c r="G15" i="13"/>
  <c r="AG267" i="12"/>
  <c r="AF267" i="12"/>
  <c r="AE267" i="12"/>
  <c r="AB267" i="12"/>
  <c r="X267" i="12"/>
  <c r="S267" i="12"/>
  <c r="M267" i="12"/>
  <c r="H267" i="13"/>
  <c r="O267" i="13"/>
  <c r="X267" i="13"/>
  <c r="A267" i="13"/>
  <c r="B267" i="13"/>
  <c r="C267" i="13"/>
  <c r="D267" i="10"/>
  <c r="W267" i="9"/>
  <c r="J267" i="5"/>
  <c r="G267" i="5"/>
  <c r="Z267" i="5"/>
  <c r="C267" i="5"/>
  <c r="D267" i="9" s="1"/>
  <c r="I266" i="13"/>
  <c r="O266" i="13"/>
  <c r="C266" i="13"/>
  <c r="B266" i="13"/>
  <c r="A266" i="13"/>
  <c r="I265" i="13"/>
  <c r="O265" i="13"/>
  <c r="E265" i="13"/>
  <c r="AB265" i="13" s="1"/>
  <c r="C265" i="13"/>
  <c r="B265" i="13"/>
  <c r="A265" i="13"/>
  <c r="I264" i="13"/>
  <c r="O264" i="13"/>
  <c r="E264" i="13"/>
  <c r="C264" i="13"/>
  <c r="B264" i="13"/>
  <c r="A264" i="13"/>
  <c r="I263" i="13"/>
  <c r="O263" i="13"/>
  <c r="E263" i="13"/>
  <c r="C263" i="13"/>
  <c r="B263" i="13"/>
  <c r="A263" i="13"/>
  <c r="I262" i="13"/>
  <c r="O262" i="13"/>
  <c r="E262" i="13"/>
  <c r="C262" i="13"/>
  <c r="B262" i="13"/>
  <c r="A262" i="13"/>
  <c r="AG266" i="12"/>
  <c r="AF266" i="12"/>
  <c r="AE266" i="12"/>
  <c r="AB266" i="12"/>
  <c r="X266" i="12"/>
  <c r="S266" i="12"/>
  <c r="M266" i="12"/>
  <c r="AG265" i="12"/>
  <c r="AF265" i="12"/>
  <c r="AE265" i="12"/>
  <c r="AB265" i="12"/>
  <c r="X265" i="12"/>
  <c r="S265" i="12"/>
  <c r="M265" i="12"/>
  <c r="AG264" i="12"/>
  <c r="AF264" i="12"/>
  <c r="AE264" i="12"/>
  <c r="AL264" i="12" s="1"/>
  <c r="AM264" i="12" s="1"/>
  <c r="AB264" i="12"/>
  <c r="X264" i="12"/>
  <c r="S264" i="12"/>
  <c r="M264" i="12"/>
  <c r="AG263" i="12"/>
  <c r="AF263" i="12"/>
  <c r="AE263" i="12"/>
  <c r="AL263" i="12" s="1"/>
  <c r="AM263" i="12" s="1"/>
  <c r="AB263" i="12"/>
  <c r="X263" i="12"/>
  <c r="S263" i="12"/>
  <c r="M263" i="12"/>
  <c r="AG262" i="12"/>
  <c r="AF262" i="12"/>
  <c r="AE262" i="12"/>
  <c r="AL262" i="12" s="1"/>
  <c r="AN262" i="12" s="1"/>
  <c r="AB262" i="12"/>
  <c r="X262" i="12"/>
  <c r="S262" i="12"/>
  <c r="M262" i="12"/>
  <c r="AO262" i="10"/>
  <c r="AO263" i="10"/>
  <c r="AO264" i="10"/>
  <c r="AO265" i="10"/>
  <c r="AO266" i="10"/>
  <c r="AK262" i="10"/>
  <c r="AL262" i="10"/>
  <c r="AK263" i="10"/>
  <c r="AL263" i="10"/>
  <c r="AK264" i="10"/>
  <c r="AL264" i="10"/>
  <c r="AK265" i="10"/>
  <c r="AL265" i="10"/>
  <c r="AK266" i="10"/>
  <c r="AL266" i="10"/>
  <c r="W237" i="9"/>
  <c r="W238" i="9"/>
  <c r="W239" i="9"/>
  <c r="W240" i="9"/>
  <c r="W241" i="9"/>
  <c r="W242" i="9"/>
  <c r="W243" i="9"/>
  <c r="W244" i="9"/>
  <c r="W245" i="9"/>
  <c r="W246" i="9"/>
  <c r="W247" i="9"/>
  <c r="W248" i="9"/>
  <c r="W249" i="9"/>
  <c r="W250" i="9"/>
  <c r="W251" i="9"/>
  <c r="W252" i="9"/>
  <c r="W253" i="9"/>
  <c r="W254" i="9"/>
  <c r="W255" i="9"/>
  <c r="W256" i="9"/>
  <c r="W257" i="9"/>
  <c r="W258" i="9"/>
  <c r="W259" i="9"/>
  <c r="W260" i="9"/>
  <c r="W261" i="9"/>
  <c r="W262" i="9"/>
  <c r="W263" i="9"/>
  <c r="W264" i="9"/>
  <c r="W265" i="9"/>
  <c r="W266" i="9"/>
  <c r="AC366" i="10" l="1"/>
  <c r="AC365" i="10"/>
  <c r="AC364" i="10"/>
  <c r="AC363" i="10"/>
  <c r="AC362" i="10"/>
  <c r="AC361" i="10"/>
  <c r="AC360" i="10"/>
  <c r="AC358" i="10"/>
  <c r="AC359" i="10"/>
  <c r="H347" i="13"/>
  <c r="I347" i="13"/>
  <c r="M346" i="13"/>
  <c r="AC351" i="10"/>
  <c r="AC352" i="10"/>
  <c r="AC353" i="10"/>
  <c r="AC354" i="10"/>
  <c r="AC355" i="10"/>
  <c r="AC356" i="10"/>
  <c r="AC357" i="10"/>
  <c r="AC350" i="10"/>
  <c r="AC349" i="10"/>
  <c r="AC348" i="10"/>
  <c r="AC347" i="10"/>
  <c r="AC346" i="10"/>
  <c r="AC345" i="10"/>
  <c r="AC337" i="10"/>
  <c r="AC339" i="10"/>
  <c r="AC341" i="10"/>
  <c r="AC343" i="10"/>
  <c r="AC338" i="10"/>
  <c r="AC340" i="10"/>
  <c r="AC342" i="10"/>
  <c r="AC344" i="10"/>
  <c r="AC329" i="10"/>
  <c r="AC330" i="10"/>
  <c r="AC331" i="10"/>
  <c r="AC332" i="10"/>
  <c r="AC333" i="10"/>
  <c r="AC334" i="10"/>
  <c r="AC335" i="10"/>
  <c r="AC336" i="10"/>
  <c r="I291" i="5"/>
  <c r="I289" i="5"/>
  <c r="I294" i="5"/>
  <c r="I290" i="5"/>
  <c r="I293" i="5"/>
  <c r="I292" i="5"/>
  <c r="AC326" i="10"/>
  <c r="AC323" i="10"/>
  <c r="AC328" i="10"/>
  <c r="AC325" i="10"/>
  <c r="AC327" i="10"/>
  <c r="AC324" i="10"/>
  <c r="I297" i="5"/>
  <c r="I295" i="5"/>
  <c r="I296" i="5"/>
  <c r="AC322" i="10"/>
  <c r="AC321" i="10"/>
  <c r="AC320" i="10"/>
  <c r="AC319" i="10"/>
  <c r="AC318" i="10"/>
  <c r="AC317" i="10"/>
  <c r="AC316" i="10"/>
  <c r="AC312" i="10"/>
  <c r="AC309" i="10"/>
  <c r="AC315" i="10"/>
  <c r="AC311" i="10"/>
  <c r="AC314" i="10"/>
  <c r="AC313" i="10"/>
  <c r="AC310" i="10"/>
  <c r="AA286" i="5"/>
  <c r="AA281" i="5"/>
  <c r="AA288" i="5"/>
  <c r="S286" i="13"/>
  <c r="N286" i="5" s="1"/>
  <c r="S277" i="13"/>
  <c r="N277" i="5" s="1"/>
  <c r="S283" i="13"/>
  <c r="N283" i="5" s="1"/>
  <c r="S282" i="13"/>
  <c r="N282" i="5" s="1"/>
  <c r="AA287" i="5"/>
  <c r="S279" i="13"/>
  <c r="N279" i="5" s="1"/>
  <c r="S280" i="13"/>
  <c r="N280" i="5" s="1"/>
  <c r="AA283" i="5"/>
  <c r="AA282" i="5"/>
  <c r="S287" i="13"/>
  <c r="N287" i="5" s="1"/>
  <c r="AA285" i="5"/>
  <c r="S284" i="13"/>
  <c r="N284" i="5" s="1"/>
  <c r="S278" i="13"/>
  <c r="N278" i="5" s="1"/>
  <c r="AA279" i="5"/>
  <c r="S285" i="13"/>
  <c r="N285" i="5" s="1"/>
  <c r="AA280" i="5"/>
  <c r="S288" i="13"/>
  <c r="N288" i="5" s="1"/>
  <c r="S281" i="13"/>
  <c r="N281" i="5" s="1"/>
  <c r="AA284" i="5"/>
  <c r="AC306" i="10"/>
  <c r="AC307" i="10"/>
  <c r="AC305" i="10"/>
  <c r="AC304" i="10"/>
  <c r="AC302" i="10"/>
  <c r="AC308" i="10"/>
  <c r="AC303" i="10"/>
  <c r="AC299" i="10"/>
  <c r="AC300" i="10"/>
  <c r="AC301" i="10"/>
  <c r="AC298" i="10"/>
  <c r="AB297" i="10"/>
  <c r="AC297" i="10" s="1"/>
  <c r="AB296" i="10"/>
  <c r="AC296" i="10" s="1"/>
  <c r="AB295" i="10"/>
  <c r="AC295" i="10" s="1"/>
  <c r="AB289" i="10"/>
  <c r="AC289" i="10" s="1"/>
  <c r="AB291" i="10"/>
  <c r="AC291" i="10" s="1"/>
  <c r="AB290" i="10"/>
  <c r="AC290" i="10" s="1"/>
  <c r="AB292" i="10"/>
  <c r="AC292" i="10" s="1"/>
  <c r="AB293" i="10"/>
  <c r="AC293" i="10" s="1"/>
  <c r="AB294" i="10"/>
  <c r="AC294" i="10" s="1"/>
  <c r="Z286" i="10"/>
  <c r="AA286" i="10" s="1"/>
  <c r="H286" i="5" s="1"/>
  <c r="I286" i="5" s="1"/>
  <c r="AN287" i="12"/>
  <c r="Z280" i="10"/>
  <c r="AA280" i="10" s="1"/>
  <c r="H280" i="5" s="1"/>
  <c r="I280" i="5" s="1"/>
  <c r="Z284" i="10"/>
  <c r="AA284" i="10" s="1"/>
  <c r="H284" i="5" s="1"/>
  <c r="I284" i="5" s="1"/>
  <c r="Z283" i="10"/>
  <c r="AA283" i="10" s="1"/>
  <c r="H283" i="5" s="1"/>
  <c r="I283" i="5" s="1"/>
  <c r="Z288" i="10"/>
  <c r="AA288" i="10" s="1"/>
  <c r="H288" i="5" s="1"/>
  <c r="I288" i="5" s="1"/>
  <c r="Z285" i="10"/>
  <c r="AA285" i="10" s="1"/>
  <c r="H285" i="5" s="1"/>
  <c r="I285" i="5" s="1"/>
  <c r="F278" i="5"/>
  <c r="F277" i="5"/>
  <c r="AB285" i="10"/>
  <c r="AB283" i="10"/>
  <c r="AB287" i="10"/>
  <c r="AB284" i="10"/>
  <c r="AB286" i="10"/>
  <c r="AB288" i="10"/>
  <c r="Z287" i="10"/>
  <c r="AA287" i="10" s="1"/>
  <c r="Y274" i="10"/>
  <c r="Z279" i="10"/>
  <c r="AA279" i="10" s="1"/>
  <c r="H279" i="5" s="1"/>
  <c r="I279" i="5" s="1"/>
  <c r="Z277" i="10"/>
  <c r="AA277" i="10" s="1"/>
  <c r="H277" i="5" s="1"/>
  <c r="I277" i="5" s="1"/>
  <c r="Z281" i="10"/>
  <c r="AA281" i="10" s="1"/>
  <c r="H281" i="5" s="1"/>
  <c r="I281" i="5" s="1"/>
  <c r="Z282" i="10"/>
  <c r="AA282" i="10" s="1"/>
  <c r="H282" i="5" s="1"/>
  <c r="I282" i="5" s="1"/>
  <c r="I269" i="13"/>
  <c r="M269" i="13" s="1"/>
  <c r="Y267" i="10"/>
  <c r="Y273" i="10"/>
  <c r="AB272" i="10"/>
  <c r="AB280" i="10"/>
  <c r="AB278" i="10"/>
  <c r="AB282" i="10"/>
  <c r="AB281" i="10"/>
  <c r="AB279" i="10"/>
  <c r="AB277" i="10"/>
  <c r="AB273" i="10"/>
  <c r="AB271" i="10"/>
  <c r="AB270" i="10"/>
  <c r="AB276" i="10"/>
  <c r="AB275" i="10"/>
  <c r="AB242" i="10"/>
  <c r="AB250" i="10"/>
  <c r="AN280" i="12"/>
  <c r="AN277" i="12"/>
  <c r="AH275" i="12"/>
  <c r="N275" i="13" s="1"/>
  <c r="Z278" i="10"/>
  <c r="AA278" i="10" s="1"/>
  <c r="H278" i="5" s="1"/>
  <c r="I278" i="5" s="1"/>
  <c r="Y270" i="10"/>
  <c r="C274" i="5"/>
  <c r="C281" i="5" s="1"/>
  <c r="C288" i="5" s="1"/>
  <c r="C295" i="5" s="1"/>
  <c r="C302" i="5" s="1"/>
  <c r="C309" i="5" s="1"/>
  <c r="C316" i="5" s="1"/>
  <c r="C323" i="5" s="1"/>
  <c r="C330" i="5" s="1"/>
  <c r="AB258" i="10"/>
  <c r="AB266" i="10"/>
  <c r="Y272" i="10"/>
  <c r="Y276" i="10"/>
  <c r="Y275" i="10"/>
  <c r="Y271" i="10"/>
  <c r="Y269" i="10"/>
  <c r="AH276" i="12"/>
  <c r="N276" i="13" s="1"/>
  <c r="H271" i="13"/>
  <c r="M271" i="13" s="1"/>
  <c r="I275" i="13"/>
  <c r="M275" i="13" s="1"/>
  <c r="I276" i="13"/>
  <c r="M276" i="13" s="1"/>
  <c r="AM276" i="12"/>
  <c r="AN276" i="12"/>
  <c r="AN275" i="12"/>
  <c r="P276" i="10"/>
  <c r="P275" i="10"/>
  <c r="Y268" i="10"/>
  <c r="H272" i="13"/>
  <c r="M272" i="13" s="1"/>
  <c r="P268" i="10"/>
  <c r="P274" i="10"/>
  <c r="G14" i="10"/>
  <c r="AB268" i="10"/>
  <c r="AB237" i="10"/>
  <c r="AB245" i="10"/>
  <c r="AB253" i="10"/>
  <c r="AB261" i="10"/>
  <c r="AB259" i="10"/>
  <c r="AB269" i="10"/>
  <c r="AB252" i="10"/>
  <c r="AB260" i="10"/>
  <c r="AB238" i="10"/>
  <c r="AB246" i="10"/>
  <c r="AB254" i="10"/>
  <c r="AB262" i="10"/>
  <c r="AB243" i="10"/>
  <c r="AB251" i="10"/>
  <c r="AB267" i="10"/>
  <c r="AB244" i="10"/>
  <c r="AB274" i="10"/>
  <c r="AB239" i="10"/>
  <c r="AB247" i="10"/>
  <c r="AB255" i="10"/>
  <c r="AB263" i="10"/>
  <c r="AB240" i="10"/>
  <c r="AB248" i="10"/>
  <c r="AB256" i="10"/>
  <c r="AB264" i="10"/>
  <c r="AB241" i="10"/>
  <c r="AB249" i="10"/>
  <c r="AB257" i="10"/>
  <c r="AH272" i="12"/>
  <c r="N272" i="13" s="1"/>
  <c r="AN269" i="12"/>
  <c r="AH271" i="12"/>
  <c r="N271" i="13" s="1"/>
  <c r="AM273" i="12"/>
  <c r="AN273" i="12"/>
  <c r="AN270" i="12"/>
  <c r="AM270" i="12"/>
  <c r="AN274" i="12"/>
  <c r="AM274" i="12"/>
  <c r="AH269" i="12"/>
  <c r="N269" i="13" s="1"/>
  <c r="AH274" i="12"/>
  <c r="N274" i="13" s="1"/>
  <c r="AH273" i="12"/>
  <c r="N273" i="13" s="1"/>
  <c r="AM272" i="12"/>
  <c r="AH270" i="12"/>
  <c r="N270" i="13" s="1"/>
  <c r="H274" i="13"/>
  <c r="M274" i="13" s="1"/>
  <c r="H273" i="13"/>
  <c r="M273" i="13" s="1"/>
  <c r="H268" i="13"/>
  <c r="I270" i="13"/>
  <c r="M270" i="13" s="1"/>
  <c r="P269" i="10"/>
  <c r="P270" i="10"/>
  <c r="P271" i="10"/>
  <c r="P272" i="10"/>
  <c r="P273" i="10"/>
  <c r="P267" i="10"/>
  <c r="AM271" i="12"/>
  <c r="AH268" i="12"/>
  <c r="N268" i="13" s="1"/>
  <c r="AM268" i="12"/>
  <c r="F267" i="12"/>
  <c r="I267" i="13"/>
  <c r="M267" i="13" s="1"/>
  <c r="F267" i="5" s="1"/>
  <c r="AA267" i="5" s="1"/>
  <c r="X266" i="13"/>
  <c r="AH267" i="12"/>
  <c r="N267" i="13" s="1"/>
  <c r="S267" i="13" s="1"/>
  <c r="N267" i="5" s="1"/>
  <c r="AL267" i="12"/>
  <c r="AM267" i="12" s="1"/>
  <c r="H262" i="13"/>
  <c r="M262" i="13" s="1"/>
  <c r="H263" i="13"/>
  <c r="M263" i="13" s="1"/>
  <c r="H265" i="13"/>
  <c r="M265" i="13" s="1"/>
  <c r="AH266" i="12"/>
  <c r="N266" i="13" s="1"/>
  <c r="S266" i="13" s="1"/>
  <c r="AH265" i="12"/>
  <c r="N265" i="13" s="1"/>
  <c r="S265" i="13" s="1"/>
  <c r="AB262" i="13"/>
  <c r="AB264" i="13"/>
  <c r="AB266" i="13"/>
  <c r="AB263" i="13"/>
  <c r="H264" i="13"/>
  <c r="M264" i="13" s="1"/>
  <c r="H266" i="13"/>
  <c r="M266" i="13" s="1"/>
  <c r="AH263" i="12"/>
  <c r="N263" i="13" s="1"/>
  <c r="S263" i="13" s="1"/>
  <c r="AH264" i="12"/>
  <c r="N264" i="13" s="1"/>
  <c r="S264" i="13" s="1"/>
  <c r="AN264" i="12"/>
  <c r="AH262" i="12"/>
  <c r="N262" i="13" s="1"/>
  <c r="S262" i="13" s="1"/>
  <c r="AN263" i="12"/>
  <c r="AL266" i="12"/>
  <c r="AM266" i="12" s="1"/>
  <c r="AL265" i="12"/>
  <c r="AM265" i="12" s="1"/>
  <c r="AM262" i="12"/>
  <c r="F346" i="5" l="1"/>
  <c r="AA346" i="5" s="1"/>
  <c r="H348" i="13"/>
  <c r="I348" i="13"/>
  <c r="M347" i="13"/>
  <c r="C337" i="5"/>
  <c r="D330" i="9"/>
  <c r="F330" i="12"/>
  <c r="F323" i="12"/>
  <c r="D323" i="9"/>
  <c r="D316" i="9"/>
  <c r="F316" i="12"/>
  <c r="D309" i="9"/>
  <c r="F309" i="12"/>
  <c r="S276" i="13"/>
  <c r="N276" i="5" s="1"/>
  <c r="S273" i="13"/>
  <c r="N273" i="5" s="1"/>
  <c r="S270" i="13"/>
  <c r="N270" i="5" s="1"/>
  <c r="S274" i="13"/>
  <c r="N274" i="5" s="1"/>
  <c r="S271" i="13"/>
  <c r="N271" i="5" s="1"/>
  <c r="S275" i="13"/>
  <c r="N275" i="5" s="1"/>
  <c r="AA277" i="5"/>
  <c r="S269" i="13"/>
  <c r="N269" i="5" s="1"/>
  <c r="AA278" i="5"/>
  <c r="S272" i="13"/>
  <c r="N272" i="5" s="1"/>
  <c r="D302" i="9"/>
  <c r="F302" i="12"/>
  <c r="S268" i="13"/>
  <c r="D295" i="9"/>
  <c r="F295" i="12"/>
  <c r="AC286" i="10"/>
  <c r="AC280" i="10"/>
  <c r="AC285" i="10"/>
  <c r="AC284" i="10"/>
  <c r="AC283" i="10"/>
  <c r="AC288" i="10"/>
  <c r="AC287" i="10"/>
  <c r="H287" i="5"/>
  <c r="I287" i="5" s="1"/>
  <c r="Z274" i="10"/>
  <c r="AA274" i="10" s="1"/>
  <c r="AC274" i="10" s="1"/>
  <c r="F269" i="5"/>
  <c r="F271" i="5"/>
  <c r="F270" i="5"/>
  <c r="F273" i="5"/>
  <c r="F272" i="5"/>
  <c r="F276" i="5"/>
  <c r="F274" i="5"/>
  <c r="F275" i="5"/>
  <c r="F288" i="12"/>
  <c r="D288" i="9"/>
  <c r="AC277" i="10"/>
  <c r="AC282" i="10"/>
  <c r="AC279" i="10"/>
  <c r="AC281" i="10"/>
  <c r="Z273" i="10"/>
  <c r="AA273" i="10" s="1"/>
  <c r="H273" i="5" s="1"/>
  <c r="I273" i="5" s="1"/>
  <c r="Z272" i="10"/>
  <c r="AA272" i="10" s="1"/>
  <c r="H272" i="5" s="1"/>
  <c r="I272" i="5" s="1"/>
  <c r="Z267" i="10"/>
  <c r="AA267" i="10" s="1"/>
  <c r="Z270" i="10"/>
  <c r="AA270" i="10" s="1"/>
  <c r="AC270" i="10" s="1"/>
  <c r="D281" i="9"/>
  <c r="F281" i="12"/>
  <c r="AC278" i="10"/>
  <c r="Z269" i="10"/>
  <c r="AA269" i="10" s="1"/>
  <c r="H269" i="5" s="1"/>
  <c r="I269" i="5" s="1"/>
  <c r="Z271" i="10"/>
  <c r="AA271" i="10" s="1"/>
  <c r="H271" i="5" s="1"/>
  <c r="I271" i="5" s="1"/>
  <c r="Z275" i="10"/>
  <c r="AA275" i="10" s="1"/>
  <c r="AC275" i="10" s="1"/>
  <c r="Z276" i="10"/>
  <c r="AA276" i="10" s="1"/>
  <c r="AC276" i="10" s="1"/>
  <c r="F274" i="12"/>
  <c r="D274" i="9"/>
  <c r="Z268" i="10"/>
  <c r="AA268" i="10" s="1"/>
  <c r="M268" i="13"/>
  <c r="X265" i="13"/>
  <c r="AN267" i="12"/>
  <c r="AN265" i="12"/>
  <c r="AN266" i="12"/>
  <c r="F347" i="5" l="1"/>
  <c r="AA347" i="5" s="1"/>
  <c r="M348" i="13"/>
  <c r="I349" i="13"/>
  <c r="H349" i="13"/>
  <c r="M349" i="13" s="1"/>
  <c r="F349" i="5" s="1"/>
  <c r="C344" i="5"/>
  <c r="C351" i="5" s="1"/>
  <c r="C358" i="5" s="1"/>
  <c r="C365" i="5" s="1"/>
  <c r="C372" i="5" s="1"/>
  <c r="C379" i="5" s="1"/>
  <c r="C386" i="5" s="1"/>
  <c r="C393" i="5" s="1"/>
  <c r="C400" i="5" s="1"/>
  <c r="D337" i="9"/>
  <c r="F337" i="12"/>
  <c r="AA275" i="5"/>
  <c r="AA274" i="5"/>
  <c r="AA276" i="5"/>
  <c r="AA269" i="5"/>
  <c r="AA272" i="5"/>
  <c r="AA273" i="5"/>
  <c r="AA271" i="5"/>
  <c r="AA270" i="5"/>
  <c r="AC267" i="10"/>
  <c r="H267" i="5"/>
  <c r="I267" i="5" s="1"/>
  <c r="N268" i="5"/>
  <c r="H274" i="5"/>
  <c r="I274" i="5" s="1"/>
  <c r="AC273" i="10"/>
  <c r="AC272" i="10"/>
  <c r="H270" i="5"/>
  <c r="I270" i="5" s="1"/>
  <c r="AC271" i="10"/>
  <c r="H275" i="5"/>
  <c r="I275" i="5" s="1"/>
  <c r="AC269" i="10"/>
  <c r="H276" i="5"/>
  <c r="I276" i="5" s="1"/>
  <c r="H268" i="5"/>
  <c r="AC268" i="10"/>
  <c r="F268" i="5"/>
  <c r="X264" i="13"/>
  <c r="T266" i="10"/>
  <c r="S266" i="10"/>
  <c r="R266" i="10"/>
  <c r="N266" i="10"/>
  <c r="K266" i="10"/>
  <c r="J266" i="10"/>
  <c r="I266" i="10"/>
  <c r="D266" i="10"/>
  <c r="T265" i="10"/>
  <c r="S265" i="10"/>
  <c r="R265" i="10"/>
  <c r="N265" i="10"/>
  <c r="K265" i="10"/>
  <c r="J265" i="10"/>
  <c r="I265" i="10"/>
  <c r="D265" i="10"/>
  <c r="T264" i="10"/>
  <c r="S264" i="10"/>
  <c r="R264" i="10"/>
  <c r="N264" i="10"/>
  <c r="K264" i="10"/>
  <c r="J264" i="10"/>
  <c r="I264" i="10"/>
  <c r="D264" i="10"/>
  <c r="T263" i="10"/>
  <c r="S263" i="10"/>
  <c r="R263" i="10"/>
  <c r="N263" i="10"/>
  <c r="K263" i="10"/>
  <c r="J263" i="10"/>
  <c r="I263" i="10"/>
  <c r="D263" i="10"/>
  <c r="T262" i="10"/>
  <c r="S262" i="10"/>
  <c r="R262" i="10"/>
  <c r="N262" i="10"/>
  <c r="K262" i="10"/>
  <c r="J262" i="10"/>
  <c r="I262" i="10"/>
  <c r="D262" i="10"/>
  <c r="Z266" i="5"/>
  <c r="Z265" i="5"/>
  <c r="Z264" i="5"/>
  <c r="Z263" i="5"/>
  <c r="Z262" i="5"/>
  <c r="N266" i="5"/>
  <c r="J266" i="5"/>
  <c r="G266" i="5"/>
  <c r="F266" i="5"/>
  <c r="AA266" i="5" s="1"/>
  <c r="N265" i="5"/>
  <c r="J265" i="5"/>
  <c r="G265" i="5"/>
  <c r="F265" i="5"/>
  <c r="AA265" i="5" s="1"/>
  <c r="N264" i="5"/>
  <c r="J264" i="5"/>
  <c r="G264" i="5"/>
  <c r="F264" i="5"/>
  <c r="AA264" i="5" s="1"/>
  <c r="N263" i="5"/>
  <c r="J263" i="5"/>
  <c r="G263" i="5"/>
  <c r="F263" i="5"/>
  <c r="AA263" i="5" s="1"/>
  <c r="N262" i="5"/>
  <c r="J262" i="5"/>
  <c r="G262" i="5"/>
  <c r="F262" i="5"/>
  <c r="C266" i="5"/>
  <c r="C265" i="5"/>
  <c r="C264" i="5"/>
  <c r="C263" i="5"/>
  <c r="C262" i="5"/>
  <c r="C261" i="5"/>
  <c r="C268" i="5" s="1"/>
  <c r="C275" i="5" s="1"/>
  <c r="C282" i="5" s="1"/>
  <c r="C289" i="5" s="1"/>
  <c r="C296" i="5" s="1"/>
  <c r="C303" i="5" s="1"/>
  <c r="C310" i="5" s="1"/>
  <c r="C317" i="5" s="1"/>
  <c r="C324" i="5" s="1"/>
  <c r="C331" i="5" s="1"/>
  <c r="F386" i="12" l="1"/>
  <c r="D386" i="9"/>
  <c r="F379" i="12"/>
  <c r="D379" i="9"/>
  <c r="F372" i="12"/>
  <c r="D372" i="9"/>
  <c r="F365" i="12"/>
  <c r="D365" i="9"/>
  <c r="F348" i="5"/>
  <c r="AA348" i="5" s="1"/>
  <c r="D358" i="9"/>
  <c r="F358" i="12"/>
  <c r="I350" i="13"/>
  <c r="H350" i="13"/>
  <c r="AA349" i="5"/>
  <c r="D351" i="9"/>
  <c r="F351" i="12"/>
  <c r="D344" i="9"/>
  <c r="F344" i="12"/>
  <c r="C338" i="5"/>
  <c r="C345" i="5" s="1"/>
  <c r="C352" i="5" s="1"/>
  <c r="C359" i="5" s="1"/>
  <c r="C366" i="5" s="1"/>
  <c r="C373" i="5" s="1"/>
  <c r="C380" i="5" s="1"/>
  <c r="C387" i="5" s="1"/>
  <c r="C394" i="5" s="1"/>
  <c r="C401" i="5" s="1"/>
  <c r="D331" i="9"/>
  <c r="F331" i="12"/>
  <c r="H15" i="5"/>
  <c r="I268" i="5"/>
  <c r="I15" i="5" s="1"/>
  <c r="F324" i="12"/>
  <c r="D324" i="9"/>
  <c r="D317" i="9"/>
  <c r="F317" i="12"/>
  <c r="D310" i="9"/>
  <c r="F310" i="12"/>
  <c r="F15" i="5"/>
  <c r="D303" i="9"/>
  <c r="F303" i="12"/>
  <c r="D296" i="9"/>
  <c r="F296" i="12"/>
  <c r="F289" i="12"/>
  <c r="D289" i="9"/>
  <c r="D282" i="9"/>
  <c r="F282" i="12"/>
  <c r="F275" i="12"/>
  <c r="D275" i="9"/>
  <c r="F265" i="12"/>
  <c r="C272" i="5"/>
  <c r="C279" i="5" s="1"/>
  <c r="C286" i="5" s="1"/>
  <c r="C293" i="5" s="1"/>
  <c r="C300" i="5" s="1"/>
  <c r="C307" i="5" s="1"/>
  <c r="C314" i="5" s="1"/>
  <c r="C321" i="5" s="1"/>
  <c r="C328" i="5" s="1"/>
  <c r="C335" i="5" s="1"/>
  <c r="F266" i="12"/>
  <c r="C273" i="5"/>
  <c r="C280" i="5" s="1"/>
  <c r="C287" i="5" s="1"/>
  <c r="C294" i="5" s="1"/>
  <c r="C301" i="5" s="1"/>
  <c r="C308" i="5" s="1"/>
  <c r="C315" i="5" s="1"/>
  <c r="C322" i="5" s="1"/>
  <c r="C329" i="5" s="1"/>
  <c r="D268" i="9"/>
  <c r="F268" i="12"/>
  <c r="F262" i="12"/>
  <c r="C269" i="5"/>
  <c r="C276" i="5" s="1"/>
  <c r="C283" i="5" s="1"/>
  <c r="C290" i="5" s="1"/>
  <c r="C297" i="5" s="1"/>
  <c r="C304" i="5" s="1"/>
  <c r="C311" i="5" s="1"/>
  <c r="C318" i="5" s="1"/>
  <c r="C325" i="5" s="1"/>
  <c r="C332" i="5" s="1"/>
  <c r="F263" i="12"/>
  <c r="C270" i="5"/>
  <c r="C277" i="5" s="1"/>
  <c r="C284" i="5" s="1"/>
  <c r="C291" i="5" s="1"/>
  <c r="C298" i="5" s="1"/>
  <c r="C305" i="5" s="1"/>
  <c r="C312" i="5" s="1"/>
  <c r="C319" i="5" s="1"/>
  <c r="C326" i="5" s="1"/>
  <c r="C333" i="5" s="1"/>
  <c r="F264" i="12"/>
  <c r="C271" i="5"/>
  <c r="C278" i="5" s="1"/>
  <c r="C285" i="5" s="1"/>
  <c r="C292" i="5" s="1"/>
  <c r="C299" i="5" s="1"/>
  <c r="C306" i="5" s="1"/>
  <c r="C313" i="5" s="1"/>
  <c r="C320" i="5" s="1"/>
  <c r="C327" i="5" s="1"/>
  <c r="C334" i="5" s="1"/>
  <c r="AA268" i="5"/>
  <c r="AA262" i="5"/>
  <c r="X263" i="13"/>
  <c r="D266" i="9"/>
  <c r="D263" i="9"/>
  <c r="D264" i="9"/>
  <c r="D265" i="9"/>
  <c r="D262" i="9"/>
  <c r="Y263" i="10"/>
  <c r="Y265" i="10"/>
  <c r="Y266" i="10"/>
  <c r="Y262" i="10"/>
  <c r="P265" i="10"/>
  <c r="Y264" i="10"/>
  <c r="P262" i="10"/>
  <c r="P266" i="10"/>
  <c r="P263" i="10"/>
  <c r="P264" i="10"/>
  <c r="F387" i="12" l="1"/>
  <c r="D387" i="9"/>
  <c r="F380" i="12"/>
  <c r="D380" i="9"/>
  <c r="F373" i="12"/>
  <c r="D373" i="9"/>
  <c r="F366" i="12"/>
  <c r="D366" i="9"/>
  <c r="M350" i="13"/>
  <c r="D359" i="9"/>
  <c r="F359" i="12"/>
  <c r="H351" i="13"/>
  <c r="I351" i="13"/>
  <c r="D352" i="9"/>
  <c r="F352" i="12"/>
  <c r="D345" i="9"/>
  <c r="F345" i="12"/>
  <c r="D338" i="9"/>
  <c r="F338" i="12"/>
  <c r="C342" i="5"/>
  <c r="C349" i="5" s="1"/>
  <c r="C356" i="5" s="1"/>
  <c r="C363" i="5" s="1"/>
  <c r="C370" i="5" s="1"/>
  <c r="C377" i="5" s="1"/>
  <c r="C384" i="5" s="1"/>
  <c r="C391" i="5" s="1"/>
  <c r="C398" i="5" s="1"/>
  <c r="C405" i="5" s="1"/>
  <c r="D335" i="9"/>
  <c r="C339" i="5"/>
  <c r="C346" i="5" s="1"/>
  <c r="C353" i="5" s="1"/>
  <c r="C360" i="5" s="1"/>
  <c r="C367" i="5" s="1"/>
  <c r="C374" i="5" s="1"/>
  <c r="C381" i="5" s="1"/>
  <c r="C388" i="5" s="1"/>
  <c r="C395" i="5" s="1"/>
  <c r="C402" i="5" s="1"/>
  <c r="D332" i="9"/>
  <c r="C340" i="5"/>
  <c r="C347" i="5" s="1"/>
  <c r="C354" i="5" s="1"/>
  <c r="C361" i="5" s="1"/>
  <c r="C368" i="5" s="1"/>
  <c r="C375" i="5" s="1"/>
  <c r="C382" i="5" s="1"/>
  <c r="C389" i="5" s="1"/>
  <c r="C396" i="5" s="1"/>
  <c r="C403" i="5" s="1"/>
  <c r="D333" i="9"/>
  <c r="C341" i="5"/>
  <c r="C348" i="5" s="1"/>
  <c r="C355" i="5" s="1"/>
  <c r="C362" i="5" s="1"/>
  <c r="C369" i="5" s="1"/>
  <c r="C376" i="5" s="1"/>
  <c r="C383" i="5" s="1"/>
  <c r="C390" i="5" s="1"/>
  <c r="C397" i="5" s="1"/>
  <c r="C404" i="5" s="1"/>
  <c r="D334" i="9"/>
  <c r="F335" i="12"/>
  <c r="C336" i="5"/>
  <c r="F329" i="12"/>
  <c r="D329" i="9"/>
  <c r="F332" i="12"/>
  <c r="F333" i="12"/>
  <c r="F334" i="12"/>
  <c r="D328" i="9"/>
  <c r="F328" i="12"/>
  <c r="F325" i="12"/>
  <c r="D325" i="9"/>
  <c r="F326" i="12"/>
  <c r="D326" i="9"/>
  <c r="D327" i="9"/>
  <c r="F327" i="12"/>
  <c r="D321" i="9"/>
  <c r="F321" i="12"/>
  <c r="D322" i="9"/>
  <c r="F322" i="12"/>
  <c r="D318" i="9"/>
  <c r="F318" i="12"/>
  <c r="D319" i="9"/>
  <c r="F319" i="12"/>
  <c r="D320" i="9"/>
  <c r="F320" i="12"/>
  <c r="F314" i="12"/>
  <c r="D314" i="9"/>
  <c r="F312" i="12"/>
  <c r="D312" i="9"/>
  <c r="F311" i="12"/>
  <c r="D311" i="9"/>
  <c r="D315" i="9"/>
  <c r="F315" i="12"/>
  <c r="F313" i="12"/>
  <c r="D313" i="9"/>
  <c r="F305" i="12"/>
  <c r="D305" i="9"/>
  <c r="F307" i="12"/>
  <c r="D307" i="9"/>
  <c r="D308" i="9"/>
  <c r="F308" i="12"/>
  <c r="F306" i="12"/>
  <c r="D306" i="9"/>
  <c r="D304" i="9"/>
  <c r="F304" i="12"/>
  <c r="D297" i="9"/>
  <c r="F297" i="12"/>
  <c r="F299" i="12"/>
  <c r="D299" i="9"/>
  <c r="F301" i="12"/>
  <c r="D301" i="9"/>
  <c r="F298" i="12"/>
  <c r="D298" i="9"/>
  <c r="F300" i="12"/>
  <c r="D300" i="9"/>
  <c r="F290" i="12"/>
  <c r="D290" i="9"/>
  <c r="D294" i="9"/>
  <c r="F294" i="12"/>
  <c r="D291" i="9"/>
  <c r="F291" i="12"/>
  <c r="F293" i="12"/>
  <c r="D293" i="9"/>
  <c r="D292" i="9"/>
  <c r="F292" i="12"/>
  <c r="D285" i="9"/>
  <c r="F285" i="12"/>
  <c r="F284" i="12"/>
  <c r="D284" i="9"/>
  <c r="D286" i="9"/>
  <c r="F286" i="12"/>
  <c r="D287" i="9"/>
  <c r="F287" i="12"/>
  <c r="D283" i="9"/>
  <c r="F283" i="12"/>
  <c r="F278" i="12"/>
  <c r="D278" i="9"/>
  <c r="D280" i="9"/>
  <c r="F280" i="12"/>
  <c r="F277" i="12"/>
  <c r="D277" i="9"/>
  <c r="D279" i="9"/>
  <c r="F279" i="12"/>
  <c r="D276" i="9"/>
  <c r="F276" i="12"/>
  <c r="Z263" i="10"/>
  <c r="AA263" i="10" s="1"/>
  <c r="H263" i="5" s="1"/>
  <c r="I263" i="5" s="1"/>
  <c r="D273" i="9"/>
  <c r="F273" i="12"/>
  <c r="D270" i="9"/>
  <c r="F270" i="12"/>
  <c r="D272" i="9"/>
  <c r="F272" i="12"/>
  <c r="D271" i="9"/>
  <c r="F271" i="12"/>
  <c r="F269" i="12"/>
  <c r="D269" i="9"/>
  <c r="Z262" i="10"/>
  <c r="AA262" i="10" s="1"/>
  <c r="H262" i="5" s="1"/>
  <c r="I262" i="5" s="1"/>
  <c r="X262" i="13"/>
  <c r="Z266" i="10"/>
  <c r="AA266" i="10" s="1"/>
  <c r="H266" i="5" s="1"/>
  <c r="I266" i="5" s="1"/>
  <c r="Z265" i="10"/>
  <c r="AA265" i="10" s="1"/>
  <c r="H265" i="5" s="1"/>
  <c r="I265" i="5" s="1"/>
  <c r="Z264" i="10"/>
  <c r="AA264" i="10" s="1"/>
  <c r="H264" i="5" s="1"/>
  <c r="I264" i="5" s="1"/>
  <c r="F388" i="12" l="1"/>
  <c r="D388" i="9"/>
  <c r="F389" i="12"/>
  <c r="D389" i="9"/>
  <c r="F384" i="12"/>
  <c r="D384" i="9"/>
  <c r="F381" i="12"/>
  <c r="D381" i="9"/>
  <c r="F382" i="12"/>
  <c r="D382" i="9"/>
  <c r="F383" i="12"/>
  <c r="D383" i="9"/>
  <c r="F377" i="12"/>
  <c r="D377" i="9"/>
  <c r="F374" i="12"/>
  <c r="D374" i="9"/>
  <c r="D375" i="9"/>
  <c r="F375" i="12"/>
  <c r="F376" i="12"/>
  <c r="D376" i="9"/>
  <c r="F370" i="12"/>
  <c r="D370" i="9"/>
  <c r="F367" i="12"/>
  <c r="D367" i="9"/>
  <c r="F368" i="12"/>
  <c r="D368" i="9"/>
  <c r="F369" i="12"/>
  <c r="D369" i="9"/>
  <c r="F363" i="12"/>
  <c r="D363" i="9"/>
  <c r="F360" i="12"/>
  <c r="D360" i="9"/>
  <c r="F361" i="12"/>
  <c r="D361" i="9"/>
  <c r="F362" i="12"/>
  <c r="D362" i="9"/>
  <c r="F350" i="5"/>
  <c r="H352" i="13"/>
  <c r="I352" i="13"/>
  <c r="M351" i="13"/>
  <c r="D356" i="9"/>
  <c r="F356" i="12"/>
  <c r="D353" i="9"/>
  <c r="F353" i="12"/>
  <c r="D354" i="9"/>
  <c r="F354" i="12"/>
  <c r="D355" i="9"/>
  <c r="F355" i="12"/>
  <c r="D349" i="9"/>
  <c r="F349" i="12"/>
  <c r="D346" i="9"/>
  <c r="F346" i="12"/>
  <c r="D347" i="9"/>
  <c r="F347" i="12"/>
  <c r="D348" i="9"/>
  <c r="F348" i="12"/>
  <c r="D342" i="9"/>
  <c r="F342" i="12"/>
  <c r="D339" i="9"/>
  <c r="F339" i="12"/>
  <c r="D340" i="9"/>
  <c r="F340" i="12"/>
  <c r="D341" i="9"/>
  <c r="F341" i="12"/>
  <c r="C343" i="5"/>
  <c r="C350" i="5" s="1"/>
  <c r="C357" i="5" s="1"/>
  <c r="C364" i="5" s="1"/>
  <c r="C371" i="5" s="1"/>
  <c r="C378" i="5" s="1"/>
  <c r="C385" i="5" s="1"/>
  <c r="C392" i="5" s="1"/>
  <c r="C399" i="5" s="1"/>
  <c r="C406" i="5" s="1"/>
  <c r="D336" i="9"/>
  <c r="F336" i="12"/>
  <c r="E256" i="9"/>
  <c r="E257" i="9" s="1"/>
  <c r="E258" i="9" s="1"/>
  <c r="E259" i="9" s="1"/>
  <c r="E260" i="9" s="1"/>
  <c r="E261" i="9" s="1"/>
  <c r="D253" i="5"/>
  <c r="Y253" i="5" s="1"/>
  <c r="Z261" i="5"/>
  <c r="J261" i="5"/>
  <c r="G261" i="5"/>
  <c r="Z260" i="5"/>
  <c r="J260" i="5"/>
  <c r="G260" i="5"/>
  <c r="Z259" i="5"/>
  <c r="J259" i="5"/>
  <c r="G259" i="5"/>
  <c r="Z258" i="5"/>
  <c r="J258" i="5"/>
  <c r="G258" i="5"/>
  <c r="Z257" i="5"/>
  <c r="J257" i="5"/>
  <c r="G257" i="5"/>
  <c r="Z256" i="5"/>
  <c r="J256" i="5"/>
  <c r="G256" i="5"/>
  <c r="AO261" i="10"/>
  <c r="N261" i="10" s="1"/>
  <c r="AL261" i="10"/>
  <c r="J261" i="10" s="1"/>
  <c r="AK261" i="10"/>
  <c r="R261" i="10" s="1"/>
  <c r="T261" i="10"/>
  <c r="S261" i="10"/>
  <c r="K261" i="10"/>
  <c r="I261" i="10"/>
  <c r="D261" i="10"/>
  <c r="AO260" i="10"/>
  <c r="N260" i="10" s="1"/>
  <c r="AL260" i="10"/>
  <c r="J260" i="10" s="1"/>
  <c r="AK260" i="10"/>
  <c r="R260" i="10" s="1"/>
  <c r="T260" i="10"/>
  <c r="S260" i="10"/>
  <c r="K260" i="10"/>
  <c r="I260" i="10"/>
  <c r="D260" i="10"/>
  <c r="AO259" i="10"/>
  <c r="N259" i="10" s="1"/>
  <c r="AL259" i="10"/>
  <c r="J259" i="10" s="1"/>
  <c r="AK259" i="10"/>
  <c r="R259" i="10" s="1"/>
  <c r="T259" i="10"/>
  <c r="S259" i="10"/>
  <c r="K259" i="10"/>
  <c r="I259" i="10"/>
  <c r="D259" i="10"/>
  <c r="AO258" i="10"/>
  <c r="N258" i="10" s="1"/>
  <c r="AL258" i="10"/>
  <c r="J258" i="10" s="1"/>
  <c r="AK258" i="10"/>
  <c r="R258" i="10" s="1"/>
  <c r="T258" i="10"/>
  <c r="S258" i="10"/>
  <c r="K258" i="10"/>
  <c r="I258" i="10"/>
  <c r="D258" i="10"/>
  <c r="AO257" i="10"/>
  <c r="N257" i="10" s="1"/>
  <c r="AL257" i="10"/>
  <c r="J257" i="10" s="1"/>
  <c r="AK257" i="10"/>
  <c r="R257" i="10" s="1"/>
  <c r="T257" i="10"/>
  <c r="S257" i="10"/>
  <c r="K257" i="10"/>
  <c r="I257" i="10"/>
  <c r="D257" i="10"/>
  <c r="AO256" i="10"/>
  <c r="N256" i="10" s="1"/>
  <c r="AL256" i="10"/>
  <c r="J256" i="10" s="1"/>
  <c r="AK256" i="10"/>
  <c r="R256" i="10" s="1"/>
  <c r="T256" i="10"/>
  <c r="S256" i="10"/>
  <c r="K256" i="10"/>
  <c r="I256" i="10"/>
  <c r="D256" i="10"/>
  <c r="AG261" i="12"/>
  <c r="AF261" i="12"/>
  <c r="AE261" i="12"/>
  <c r="AL261" i="12" s="1"/>
  <c r="AM261" i="12" s="1"/>
  <c r="AB261" i="12"/>
  <c r="X261" i="12"/>
  <c r="S261" i="12"/>
  <c r="M261" i="12"/>
  <c r="F261" i="12"/>
  <c r="AG260" i="12"/>
  <c r="AF260" i="12"/>
  <c r="AE260" i="12"/>
  <c r="AB260" i="12"/>
  <c r="X260" i="12"/>
  <c r="S260" i="12"/>
  <c r="M260" i="12"/>
  <c r="F260" i="12"/>
  <c r="AG259" i="12"/>
  <c r="AF259" i="12"/>
  <c r="AE259" i="12"/>
  <c r="AB259" i="12"/>
  <c r="X259" i="12"/>
  <c r="S259" i="12"/>
  <c r="M259" i="12"/>
  <c r="F259" i="12"/>
  <c r="AG258" i="12"/>
  <c r="AF258" i="12"/>
  <c r="AE258" i="12"/>
  <c r="AL258" i="12" s="1"/>
  <c r="AM258" i="12" s="1"/>
  <c r="AB258" i="12"/>
  <c r="X258" i="12"/>
  <c r="S258" i="12"/>
  <c r="M258" i="12"/>
  <c r="F258" i="12"/>
  <c r="AG257" i="12"/>
  <c r="AF257" i="12"/>
  <c r="AE257" i="12"/>
  <c r="AB257" i="12"/>
  <c r="X257" i="12"/>
  <c r="S257" i="12"/>
  <c r="M257" i="12"/>
  <c r="F257" i="12"/>
  <c r="AG256" i="12"/>
  <c r="AF256" i="12"/>
  <c r="AE256" i="12"/>
  <c r="AL256" i="12" s="1"/>
  <c r="AM256" i="12" s="1"/>
  <c r="AB256" i="12"/>
  <c r="X256" i="12"/>
  <c r="S256" i="12"/>
  <c r="M256" i="12"/>
  <c r="F256" i="12"/>
  <c r="I261" i="13"/>
  <c r="X261" i="13"/>
  <c r="O261" i="13"/>
  <c r="E261" i="13"/>
  <c r="AB261" i="13" s="1"/>
  <c r="C261" i="13"/>
  <c r="B261" i="13"/>
  <c r="A261" i="13"/>
  <c r="I260" i="13"/>
  <c r="X260" i="13"/>
  <c r="O260" i="13"/>
  <c r="E260" i="13"/>
  <c r="AB260" i="13" s="1"/>
  <c r="C260" i="13"/>
  <c r="B260" i="13"/>
  <c r="A260" i="13"/>
  <c r="I259" i="13"/>
  <c r="X259" i="13"/>
  <c r="O259" i="13"/>
  <c r="E259" i="13"/>
  <c r="AB259" i="13" s="1"/>
  <c r="C259" i="13"/>
  <c r="B259" i="13"/>
  <c r="A259" i="13"/>
  <c r="I258" i="13"/>
  <c r="X258" i="13"/>
  <c r="O258" i="13"/>
  <c r="E258" i="13"/>
  <c r="AB258" i="13" s="1"/>
  <c r="C258" i="13"/>
  <c r="B258" i="13"/>
  <c r="A258" i="13"/>
  <c r="I257" i="13"/>
  <c r="X257" i="13"/>
  <c r="O257" i="13"/>
  <c r="E257" i="13"/>
  <c r="AB257" i="13" s="1"/>
  <c r="C257" i="13"/>
  <c r="B257" i="13"/>
  <c r="A257" i="13"/>
  <c r="I256" i="13"/>
  <c r="X256" i="13"/>
  <c r="O256" i="13"/>
  <c r="E256" i="13"/>
  <c r="AB256" i="13" s="1"/>
  <c r="C256" i="13"/>
  <c r="B256" i="13"/>
  <c r="A256" i="13"/>
  <c r="Z255" i="5"/>
  <c r="J255" i="5"/>
  <c r="G255" i="5"/>
  <c r="Z254" i="5"/>
  <c r="J254" i="5"/>
  <c r="G254" i="5"/>
  <c r="Z253" i="5"/>
  <c r="J253" i="5"/>
  <c r="G253" i="5"/>
  <c r="Z252" i="5"/>
  <c r="Y252" i="5"/>
  <c r="J252" i="5"/>
  <c r="G252" i="5"/>
  <c r="Z251" i="5"/>
  <c r="Y251" i="5"/>
  <c r="J251" i="5"/>
  <c r="G251" i="5"/>
  <c r="Z250" i="5"/>
  <c r="Y250" i="5"/>
  <c r="J250" i="5"/>
  <c r="G250" i="5"/>
  <c r="Z249" i="5"/>
  <c r="Y249" i="5"/>
  <c r="J249" i="5"/>
  <c r="G249" i="5"/>
  <c r="E238" i="13"/>
  <c r="E239" i="13"/>
  <c r="E240" i="13"/>
  <c r="E241" i="13"/>
  <c r="E242" i="13"/>
  <c r="E243" i="13"/>
  <c r="E244" i="13"/>
  <c r="E245" i="13"/>
  <c r="E246" i="13"/>
  <c r="E247" i="13"/>
  <c r="E248" i="13"/>
  <c r="AB248" i="13" s="1"/>
  <c r="E249" i="13"/>
  <c r="AB249" i="13" s="1"/>
  <c r="E250" i="13"/>
  <c r="AB250" i="13" s="1"/>
  <c r="E251" i="13"/>
  <c r="AB251" i="13" s="1"/>
  <c r="E252" i="13"/>
  <c r="AB252" i="13" s="1"/>
  <c r="E253" i="13"/>
  <c r="AB253" i="13" s="1"/>
  <c r="E254" i="13"/>
  <c r="AB254" i="13" s="1"/>
  <c r="E255" i="13"/>
  <c r="AB255" i="13" s="1"/>
  <c r="E237" i="13"/>
  <c r="AE248" i="12"/>
  <c r="AL248" i="12" s="1"/>
  <c r="AF248" i="12"/>
  <c r="AG248" i="12"/>
  <c r="AE249" i="12"/>
  <c r="AL249" i="12" s="1"/>
  <c r="AM249" i="12" s="1"/>
  <c r="AF249" i="12"/>
  <c r="AG249" i="12"/>
  <c r="AE250" i="12"/>
  <c r="AL250" i="12" s="1"/>
  <c r="AM250" i="12" s="1"/>
  <c r="AF250" i="12"/>
  <c r="AG250" i="12"/>
  <c r="AE251" i="12"/>
  <c r="AL251" i="12" s="1"/>
  <c r="AM251" i="12" s="1"/>
  <c r="AF251" i="12"/>
  <c r="AG251" i="12"/>
  <c r="AE252" i="12"/>
  <c r="AL252" i="12" s="1"/>
  <c r="AM252" i="12" s="1"/>
  <c r="AF252" i="12"/>
  <c r="AG252" i="12"/>
  <c r="AE253" i="12"/>
  <c r="AF253" i="12"/>
  <c r="AG253" i="12"/>
  <c r="AE254" i="12"/>
  <c r="AL254" i="12" s="1"/>
  <c r="AN254" i="12" s="1"/>
  <c r="AF254" i="12"/>
  <c r="AG254" i="12"/>
  <c r="AE255" i="12"/>
  <c r="AL255" i="12" s="1"/>
  <c r="AM255" i="12" s="1"/>
  <c r="AF255" i="12"/>
  <c r="AG255" i="12"/>
  <c r="AB249" i="12"/>
  <c r="AB250" i="12"/>
  <c r="AB251" i="12"/>
  <c r="AB252" i="12"/>
  <c r="AB253" i="12"/>
  <c r="AB254" i="12"/>
  <c r="AB255" i="12"/>
  <c r="AO255" i="10"/>
  <c r="N255" i="10" s="1"/>
  <c r="AL255" i="10"/>
  <c r="J255" i="10" s="1"/>
  <c r="AK255" i="10"/>
  <c r="R255" i="10" s="1"/>
  <c r="T255" i="10"/>
  <c r="S255" i="10"/>
  <c r="K255" i="10"/>
  <c r="I255" i="10"/>
  <c r="AO254" i="10"/>
  <c r="N254" i="10" s="1"/>
  <c r="AL254" i="10"/>
  <c r="J254" i="10" s="1"/>
  <c r="AK254" i="10"/>
  <c r="R254" i="10" s="1"/>
  <c r="T254" i="10"/>
  <c r="S254" i="10"/>
  <c r="K254" i="10"/>
  <c r="I254" i="10"/>
  <c r="AO253" i="10"/>
  <c r="N253" i="10" s="1"/>
  <c r="AL253" i="10"/>
  <c r="J253" i="10" s="1"/>
  <c r="AK253" i="10"/>
  <c r="R253" i="10" s="1"/>
  <c r="T253" i="10"/>
  <c r="S253" i="10"/>
  <c r="K253" i="10"/>
  <c r="I253" i="10"/>
  <c r="AO252" i="10"/>
  <c r="N252" i="10" s="1"/>
  <c r="AL252" i="10"/>
  <c r="J252" i="10" s="1"/>
  <c r="AK252" i="10"/>
  <c r="R252" i="10" s="1"/>
  <c r="T252" i="10"/>
  <c r="S252" i="10"/>
  <c r="K252" i="10"/>
  <c r="I252" i="10"/>
  <c r="AO251" i="10"/>
  <c r="N251" i="10" s="1"/>
  <c r="AL251" i="10"/>
  <c r="J251" i="10" s="1"/>
  <c r="AK251" i="10"/>
  <c r="R251" i="10" s="1"/>
  <c r="T251" i="10"/>
  <c r="S251" i="10"/>
  <c r="K251" i="10"/>
  <c r="I251" i="10"/>
  <c r="AO250" i="10"/>
  <c r="N250" i="10" s="1"/>
  <c r="AL250" i="10"/>
  <c r="J250" i="10" s="1"/>
  <c r="AK250" i="10"/>
  <c r="R250" i="10" s="1"/>
  <c r="T250" i="10"/>
  <c r="S250" i="10"/>
  <c r="K250" i="10"/>
  <c r="I250" i="10"/>
  <c r="AO249" i="10"/>
  <c r="N249" i="10" s="1"/>
  <c r="AL249" i="10"/>
  <c r="J249" i="10" s="1"/>
  <c r="AK249" i="10"/>
  <c r="R249" i="10" s="1"/>
  <c r="T249" i="10"/>
  <c r="S249" i="10"/>
  <c r="K249" i="10"/>
  <c r="I249" i="10"/>
  <c r="D249" i="10"/>
  <c r="D250" i="10"/>
  <c r="D251" i="10"/>
  <c r="D252" i="10"/>
  <c r="D253" i="10"/>
  <c r="D254" i="10"/>
  <c r="D255" i="10"/>
  <c r="I249" i="13"/>
  <c r="I250" i="13"/>
  <c r="H251" i="13"/>
  <c r="I252" i="13"/>
  <c r="H253" i="13"/>
  <c r="H254" i="13"/>
  <c r="H255" i="13"/>
  <c r="O249" i="13"/>
  <c r="X249" i="13"/>
  <c r="O250" i="13"/>
  <c r="X250" i="13"/>
  <c r="O251" i="13"/>
  <c r="X251" i="13"/>
  <c r="O252" i="13"/>
  <c r="X252" i="13"/>
  <c r="O253" i="13"/>
  <c r="X253" i="13"/>
  <c r="O254" i="13"/>
  <c r="X254" i="13"/>
  <c r="O255" i="13"/>
  <c r="X255" i="13"/>
  <c r="A248" i="13"/>
  <c r="B248" i="13"/>
  <c r="C248" i="13"/>
  <c r="A249" i="13"/>
  <c r="B249" i="13"/>
  <c r="C249" i="13"/>
  <c r="A250" i="13"/>
  <c r="B250" i="13"/>
  <c r="C250" i="13"/>
  <c r="A251" i="13"/>
  <c r="B251" i="13"/>
  <c r="C251" i="13"/>
  <c r="A252" i="13"/>
  <c r="B252" i="13"/>
  <c r="C252" i="13"/>
  <c r="A253" i="13"/>
  <c r="B253" i="13"/>
  <c r="C253" i="13"/>
  <c r="A254" i="13"/>
  <c r="B254" i="13"/>
  <c r="C254" i="13"/>
  <c r="A255" i="13"/>
  <c r="B255" i="13"/>
  <c r="C255" i="13"/>
  <c r="X249" i="12"/>
  <c r="X250" i="12"/>
  <c r="X251" i="12"/>
  <c r="X252" i="12"/>
  <c r="X253" i="12"/>
  <c r="X254" i="12"/>
  <c r="X255" i="12"/>
  <c r="S249" i="12"/>
  <c r="S250" i="12"/>
  <c r="S251" i="12"/>
  <c r="S252" i="12"/>
  <c r="S253" i="12"/>
  <c r="S254" i="12"/>
  <c r="S255" i="12"/>
  <c r="M249" i="12"/>
  <c r="M250" i="12"/>
  <c r="M251" i="12"/>
  <c r="M252" i="12"/>
  <c r="M253" i="12"/>
  <c r="M254" i="12"/>
  <c r="M255" i="12"/>
  <c r="M247" i="12"/>
  <c r="M248" i="12"/>
  <c r="F237" i="12"/>
  <c r="G237" i="12"/>
  <c r="F238" i="12"/>
  <c r="G238" i="12"/>
  <c r="F239" i="12"/>
  <c r="G239" i="12"/>
  <c r="F240" i="12"/>
  <c r="G240" i="12"/>
  <c r="F241" i="12"/>
  <c r="G241" i="12"/>
  <c r="F242" i="12"/>
  <c r="G242" i="12"/>
  <c r="F243" i="12"/>
  <c r="G243" i="12"/>
  <c r="F244" i="12"/>
  <c r="G244" i="12"/>
  <c r="F245" i="12"/>
  <c r="G245" i="12"/>
  <c r="F246" i="12"/>
  <c r="G246" i="12"/>
  <c r="F247" i="12"/>
  <c r="G247" i="12"/>
  <c r="F248" i="12"/>
  <c r="G248" i="12"/>
  <c r="F249" i="12"/>
  <c r="G249" i="12"/>
  <c r="F250" i="12"/>
  <c r="G250" i="12"/>
  <c r="F251" i="12"/>
  <c r="G251" i="12"/>
  <c r="F252" i="12"/>
  <c r="G252" i="12"/>
  <c r="F253" i="12"/>
  <c r="F254" i="12"/>
  <c r="F255" i="12"/>
  <c r="Z248" i="5"/>
  <c r="Y248" i="5"/>
  <c r="J248" i="5"/>
  <c r="G248" i="5"/>
  <c r="D248" i="10"/>
  <c r="AO248" i="10"/>
  <c r="N248" i="10" s="1"/>
  <c r="AL248" i="10"/>
  <c r="J248" i="10" s="1"/>
  <c r="AK248" i="10"/>
  <c r="R248" i="10" s="1"/>
  <c r="T248" i="10"/>
  <c r="S248" i="10"/>
  <c r="K248" i="10"/>
  <c r="I248" i="10"/>
  <c r="AB248" i="12"/>
  <c r="X248" i="12"/>
  <c r="S248" i="12"/>
  <c r="I248" i="13"/>
  <c r="X248" i="13"/>
  <c r="O248" i="13"/>
  <c r="F385" i="12" l="1"/>
  <c r="D385" i="9"/>
  <c r="F378" i="12"/>
  <c r="D378" i="9"/>
  <c r="F371" i="12"/>
  <c r="D371" i="9"/>
  <c r="F364" i="12"/>
  <c r="D364" i="9"/>
  <c r="AA350" i="5"/>
  <c r="F351" i="5"/>
  <c r="AA351" i="5" s="1"/>
  <c r="M352" i="13"/>
  <c r="H353" i="13"/>
  <c r="I353" i="13"/>
  <c r="D357" i="9"/>
  <c r="F357" i="12"/>
  <c r="D350" i="9"/>
  <c r="F350" i="12"/>
  <c r="D343" i="9"/>
  <c r="F343" i="12"/>
  <c r="H249" i="13"/>
  <c r="M249" i="13" s="1"/>
  <c r="F249" i="5" s="1"/>
  <c r="AA249" i="5" s="1"/>
  <c r="H250" i="13"/>
  <c r="M250" i="13" s="1"/>
  <c r="F250" i="5" s="1"/>
  <c r="AA250" i="5" s="1"/>
  <c r="H256" i="13"/>
  <c r="M256" i="13" s="1"/>
  <c r="F256" i="5" s="1"/>
  <c r="AA256" i="5" s="1"/>
  <c r="H257" i="13"/>
  <c r="M257" i="13" s="1"/>
  <c r="F257" i="5" s="1"/>
  <c r="AA257" i="5" s="1"/>
  <c r="H258" i="13"/>
  <c r="M258" i="13" s="1"/>
  <c r="F258" i="5" s="1"/>
  <c r="AA258" i="5" s="1"/>
  <c r="AH256" i="12"/>
  <c r="N256" i="13" s="1"/>
  <c r="S256" i="13" s="1"/>
  <c r="N256" i="5" s="1"/>
  <c r="AH260" i="12"/>
  <c r="N260" i="13" s="1"/>
  <c r="S260" i="13" s="1"/>
  <c r="N260" i="5" s="1"/>
  <c r="AH261" i="12"/>
  <c r="N261" i="13" s="1"/>
  <c r="S261" i="13" s="1"/>
  <c r="N261" i="5" s="1"/>
  <c r="Y259" i="10"/>
  <c r="Y256" i="10"/>
  <c r="Y252" i="10"/>
  <c r="P256" i="10"/>
  <c r="P251" i="10"/>
  <c r="P248" i="10"/>
  <c r="P250" i="10"/>
  <c r="P259" i="10"/>
  <c r="AH258" i="12"/>
  <c r="N258" i="13" s="1"/>
  <c r="S258" i="13" s="1"/>
  <c r="N258" i="5" s="1"/>
  <c r="AH249" i="12"/>
  <c r="N249" i="13" s="1"/>
  <c r="S249" i="13" s="1"/>
  <c r="N249" i="5" s="1"/>
  <c r="AH254" i="12"/>
  <c r="N254" i="13" s="1"/>
  <c r="S254" i="13" s="1"/>
  <c r="N254" i="5" s="1"/>
  <c r="AH253" i="12"/>
  <c r="N253" i="13" s="1"/>
  <c r="S253" i="13" s="1"/>
  <c r="N253" i="5" s="1"/>
  <c r="AH255" i="12"/>
  <c r="N255" i="13" s="1"/>
  <c r="S255" i="13" s="1"/>
  <c r="N255" i="5" s="1"/>
  <c r="P253" i="10"/>
  <c r="P254" i="10"/>
  <c r="P255" i="10"/>
  <c r="P260" i="10"/>
  <c r="P252" i="10"/>
  <c r="P257" i="10"/>
  <c r="P249" i="10"/>
  <c r="P261" i="10"/>
  <c r="P258" i="10"/>
  <c r="D254" i="5"/>
  <c r="Y254" i="5" s="1"/>
  <c r="H252" i="13"/>
  <c r="M252" i="13" s="1"/>
  <c r="F252" i="5" s="1"/>
  <c r="AA252" i="5" s="1"/>
  <c r="H259" i="13"/>
  <c r="M259" i="13" s="1"/>
  <c r="F259" i="5" s="1"/>
  <c r="AA259" i="5" s="1"/>
  <c r="H260" i="13"/>
  <c r="M260" i="13" s="1"/>
  <c r="F260" i="5" s="1"/>
  <c r="AA260" i="5" s="1"/>
  <c r="H261" i="13"/>
  <c r="M261" i="13" s="1"/>
  <c r="F261" i="5" s="1"/>
  <c r="AA261" i="5" s="1"/>
  <c r="AN258" i="12"/>
  <c r="AL259" i="12"/>
  <c r="AM259" i="12" s="1"/>
  <c r="AN261" i="12"/>
  <c r="AL260" i="12"/>
  <c r="AM260" i="12" s="1"/>
  <c r="AH259" i="12"/>
  <c r="N259" i="13" s="1"/>
  <c r="S259" i="13" s="1"/>
  <c r="N259" i="5" s="1"/>
  <c r="Y255" i="10"/>
  <c r="Y249" i="10"/>
  <c r="Y251" i="10"/>
  <c r="Y254" i="10"/>
  <c r="Y257" i="10"/>
  <c r="Y261" i="10"/>
  <c r="Y250" i="10"/>
  <c r="Y253" i="10"/>
  <c r="Y258" i="10"/>
  <c r="Y260" i="10"/>
  <c r="G253" i="12"/>
  <c r="AN256" i="12"/>
  <c r="AH257" i="12"/>
  <c r="N257" i="13" s="1"/>
  <c r="S257" i="13" s="1"/>
  <c r="N257" i="5" s="1"/>
  <c r="AL257" i="12"/>
  <c r="AM257" i="12" s="1"/>
  <c r="I253" i="13"/>
  <c r="M253" i="13" s="1"/>
  <c r="F253" i="5" s="1"/>
  <c r="AA253" i="5" s="1"/>
  <c r="I251" i="13"/>
  <c r="M251" i="13" s="1"/>
  <c r="F251" i="5" s="1"/>
  <c r="AA251" i="5" s="1"/>
  <c r="AH248" i="12"/>
  <c r="N248" i="13" s="1"/>
  <c r="S248" i="13" s="1"/>
  <c r="N248" i="5" s="1"/>
  <c r="AH252" i="12"/>
  <c r="N252" i="13" s="1"/>
  <c r="S252" i="13" s="1"/>
  <c r="N252" i="5" s="1"/>
  <c r="AN249" i="12"/>
  <c r="AN252" i="12"/>
  <c r="AH251" i="12"/>
  <c r="N251" i="13" s="1"/>
  <c r="S251" i="13" s="1"/>
  <c r="N251" i="5" s="1"/>
  <c r="AN255" i="12"/>
  <c r="AH250" i="12"/>
  <c r="N250" i="13" s="1"/>
  <c r="S250" i="13" s="1"/>
  <c r="N250" i="5" s="1"/>
  <c r="Y248" i="10"/>
  <c r="H248" i="13"/>
  <c r="M248" i="13" s="1"/>
  <c r="F248" i="5" s="1"/>
  <c r="AA248" i="5" s="1"/>
  <c r="AM248" i="12"/>
  <c r="AN248" i="12"/>
  <c r="AM254" i="12"/>
  <c r="AL253" i="12"/>
  <c r="AM253" i="12" s="1"/>
  <c r="AN250" i="12"/>
  <c r="AN251" i="12"/>
  <c r="I254" i="13"/>
  <c r="M254" i="13" s="1"/>
  <c r="F254" i="5" s="1"/>
  <c r="AA254" i="5" s="1"/>
  <c r="I255" i="13"/>
  <c r="M255" i="13" s="1"/>
  <c r="F255" i="5" s="1"/>
  <c r="AA255" i="5" s="1"/>
  <c r="F352" i="5" l="1"/>
  <c r="AA352" i="5" s="1"/>
  <c r="H354" i="13"/>
  <c r="I354" i="13"/>
  <c r="M353" i="13"/>
  <c r="Z249" i="10"/>
  <c r="AA249" i="10" s="1"/>
  <c r="H249" i="5" s="1"/>
  <c r="I249" i="5" s="1"/>
  <c r="Z252" i="10"/>
  <c r="AA252" i="10" s="1"/>
  <c r="H252" i="5" s="1"/>
  <c r="I252" i="5" s="1"/>
  <c r="Z256" i="10"/>
  <c r="AA256" i="10" s="1"/>
  <c r="H256" i="5" s="1"/>
  <c r="I256" i="5" s="1"/>
  <c r="AN253" i="12"/>
  <c r="Z251" i="10"/>
  <c r="AA251" i="10" s="1"/>
  <c r="H251" i="5" s="1"/>
  <c r="I251" i="5" s="1"/>
  <c r="Z259" i="10"/>
  <c r="AA259" i="10" s="1"/>
  <c r="H259" i="5" s="1"/>
  <c r="I259" i="5" s="1"/>
  <c r="Z250" i="10"/>
  <c r="AA250" i="10" s="1"/>
  <c r="H250" i="5" s="1"/>
  <c r="I250" i="5" s="1"/>
  <c r="Z248" i="10"/>
  <c r="AA248" i="10" s="1"/>
  <c r="H248" i="5" s="1"/>
  <c r="I248" i="5" s="1"/>
  <c r="Z255" i="10"/>
  <c r="AA255" i="10" s="1"/>
  <c r="H255" i="5" s="1"/>
  <c r="I255" i="5" s="1"/>
  <c r="Z254" i="10"/>
  <c r="AA254" i="10" s="1"/>
  <c r="H254" i="5" s="1"/>
  <c r="I254" i="5" s="1"/>
  <c r="Z253" i="10"/>
  <c r="AA253" i="10" s="1"/>
  <c r="H253" i="5" s="1"/>
  <c r="I253" i="5" s="1"/>
  <c r="Z258" i="10"/>
  <c r="AA258" i="10" s="1"/>
  <c r="H258" i="5" s="1"/>
  <c r="I258" i="5" s="1"/>
  <c r="AN260" i="12"/>
  <c r="Z261" i="10"/>
  <c r="AA261" i="10" s="1"/>
  <c r="H261" i="5" s="1"/>
  <c r="I261" i="5" s="1"/>
  <c r="Z257" i="10"/>
  <c r="AA257" i="10" s="1"/>
  <c r="H257" i="5" s="1"/>
  <c r="I257" i="5" s="1"/>
  <c r="G254" i="12"/>
  <c r="D255" i="5"/>
  <c r="AN259" i="12"/>
  <c r="Z260" i="10"/>
  <c r="AA260" i="10" s="1"/>
  <c r="AN257" i="12"/>
  <c r="F353" i="5" l="1"/>
  <c r="AA353" i="5" s="1"/>
  <c r="M354" i="13"/>
  <c r="H355" i="13"/>
  <c r="I355" i="13"/>
  <c r="D256" i="5"/>
  <c r="G255" i="12"/>
  <c r="Y255" i="5"/>
  <c r="H260" i="5"/>
  <c r="I260" i="5" s="1"/>
  <c r="O215" i="13"/>
  <c r="F354" i="5" l="1"/>
  <c r="M355" i="13"/>
  <c r="H356" i="13"/>
  <c r="I356" i="13"/>
  <c r="G256" i="12"/>
  <c r="D257" i="5"/>
  <c r="Y256" i="5"/>
  <c r="M240" i="12"/>
  <c r="E15" i="9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14" i="13"/>
  <c r="O115" i="13"/>
  <c r="O116" i="13"/>
  <c r="O117" i="13"/>
  <c r="O118" i="13"/>
  <c r="O119" i="13"/>
  <c r="O120" i="13"/>
  <c r="O121" i="13"/>
  <c r="O122" i="13"/>
  <c r="O123" i="13"/>
  <c r="O124" i="13"/>
  <c r="O125" i="13"/>
  <c r="O126" i="13"/>
  <c r="O127" i="13"/>
  <c r="O128" i="13"/>
  <c r="O129" i="13"/>
  <c r="O130" i="13"/>
  <c r="O131" i="13"/>
  <c r="O132" i="13"/>
  <c r="O133" i="13"/>
  <c r="O134" i="13"/>
  <c r="O135" i="13"/>
  <c r="O136" i="13"/>
  <c r="O137" i="13"/>
  <c r="O138" i="13"/>
  <c r="O139" i="13"/>
  <c r="O140" i="13"/>
  <c r="O141" i="13"/>
  <c r="O142" i="13"/>
  <c r="O143" i="13"/>
  <c r="O144" i="13"/>
  <c r="O145" i="13"/>
  <c r="O146" i="13"/>
  <c r="O147" i="13"/>
  <c r="O148" i="13"/>
  <c r="O149" i="13"/>
  <c r="O150" i="13"/>
  <c r="O151" i="13"/>
  <c r="O152" i="13"/>
  <c r="O153" i="13"/>
  <c r="O154" i="13"/>
  <c r="O155" i="13"/>
  <c r="O156" i="13"/>
  <c r="O157" i="13"/>
  <c r="O158" i="13"/>
  <c r="O159" i="13"/>
  <c r="O160" i="13"/>
  <c r="O161" i="13"/>
  <c r="O162" i="13"/>
  <c r="O163" i="13"/>
  <c r="O164" i="13"/>
  <c r="O165" i="13"/>
  <c r="O166" i="13"/>
  <c r="O167" i="13"/>
  <c r="O168" i="13"/>
  <c r="O169" i="13"/>
  <c r="O170" i="13"/>
  <c r="O171" i="13"/>
  <c r="O172" i="13"/>
  <c r="O173" i="13"/>
  <c r="O174" i="13"/>
  <c r="O175" i="13"/>
  <c r="O176" i="13"/>
  <c r="O177" i="13"/>
  <c r="O178" i="13"/>
  <c r="O179" i="13"/>
  <c r="O180" i="13"/>
  <c r="O181" i="13"/>
  <c r="O182" i="13"/>
  <c r="O183" i="13"/>
  <c r="O184" i="13"/>
  <c r="O185" i="13"/>
  <c r="O186" i="13"/>
  <c r="O187" i="13"/>
  <c r="O188" i="13"/>
  <c r="O189" i="13"/>
  <c r="O190" i="13"/>
  <c r="O191" i="13"/>
  <c r="O192" i="13"/>
  <c r="O193" i="13"/>
  <c r="O194" i="13"/>
  <c r="O195" i="13"/>
  <c r="O196" i="13"/>
  <c r="O197" i="13"/>
  <c r="O198" i="13"/>
  <c r="O199" i="13"/>
  <c r="O200" i="13"/>
  <c r="O201" i="13"/>
  <c r="O202" i="13"/>
  <c r="O203" i="13"/>
  <c r="O204" i="13"/>
  <c r="O205" i="13"/>
  <c r="O206" i="13"/>
  <c r="O207" i="13"/>
  <c r="O208" i="13"/>
  <c r="O209" i="13"/>
  <c r="O210" i="13"/>
  <c r="O211" i="13"/>
  <c r="O212" i="13"/>
  <c r="O213" i="13"/>
  <c r="O214" i="13"/>
  <c r="O216" i="13"/>
  <c r="O217" i="13"/>
  <c r="O218" i="13"/>
  <c r="O219" i="13"/>
  <c r="O220" i="13"/>
  <c r="O221" i="13"/>
  <c r="O222" i="13"/>
  <c r="O223" i="13"/>
  <c r="O224" i="13"/>
  <c r="O225" i="13"/>
  <c r="O226" i="13"/>
  <c r="O227" i="13"/>
  <c r="O228" i="13"/>
  <c r="O229" i="13"/>
  <c r="O230" i="13"/>
  <c r="O231" i="13"/>
  <c r="O232" i="13"/>
  <c r="O233" i="13"/>
  <c r="O234" i="13"/>
  <c r="O235" i="13"/>
  <c r="O236" i="13"/>
  <c r="O237" i="13"/>
  <c r="O238" i="13"/>
  <c r="O239" i="13"/>
  <c r="O240" i="13"/>
  <c r="O241" i="13"/>
  <c r="O242" i="13"/>
  <c r="O243" i="13"/>
  <c r="O244" i="13"/>
  <c r="O245" i="13"/>
  <c r="O246" i="13"/>
  <c r="O247" i="13"/>
  <c r="O56" i="13"/>
  <c r="AB247" i="13"/>
  <c r="AB246" i="13"/>
  <c r="AB245" i="13"/>
  <c r="AB244" i="13"/>
  <c r="AB243" i="13"/>
  <c r="AB242" i="13"/>
  <c r="AB241" i="13"/>
  <c r="AB240" i="13"/>
  <c r="AB239" i="13"/>
  <c r="AB238" i="13"/>
  <c r="AB237" i="13"/>
  <c r="X237" i="13"/>
  <c r="X238" i="13"/>
  <c r="X239" i="13"/>
  <c r="X240" i="13"/>
  <c r="X241" i="13"/>
  <c r="X242" i="13"/>
  <c r="X243" i="13"/>
  <c r="X244" i="13"/>
  <c r="X245" i="13"/>
  <c r="X246" i="13"/>
  <c r="X247" i="13"/>
  <c r="I237" i="13"/>
  <c r="H238" i="13"/>
  <c r="I239" i="13"/>
  <c r="I240" i="13"/>
  <c r="I241" i="13"/>
  <c r="H242" i="13"/>
  <c r="I243" i="13"/>
  <c r="I244" i="13"/>
  <c r="I245" i="13"/>
  <c r="H246" i="13"/>
  <c r="H247" i="13"/>
  <c r="C237" i="13"/>
  <c r="C238" i="13"/>
  <c r="C239" i="13"/>
  <c r="C240" i="13"/>
  <c r="C241" i="13"/>
  <c r="C242" i="13"/>
  <c r="C243" i="13"/>
  <c r="C244" i="13"/>
  <c r="C245" i="13"/>
  <c r="C246" i="13"/>
  <c r="C247" i="13"/>
  <c r="B237" i="13"/>
  <c r="B238" i="13"/>
  <c r="B239" i="13"/>
  <c r="B240" i="13"/>
  <c r="B241" i="13"/>
  <c r="B242" i="13"/>
  <c r="B243" i="13"/>
  <c r="B244" i="13"/>
  <c r="B245" i="13"/>
  <c r="B246" i="13"/>
  <c r="B247" i="13"/>
  <c r="A237" i="13"/>
  <c r="A238" i="13"/>
  <c r="A239" i="13"/>
  <c r="A240" i="13"/>
  <c r="A241" i="13"/>
  <c r="A242" i="13"/>
  <c r="A243" i="13"/>
  <c r="A244" i="13"/>
  <c r="A245" i="13"/>
  <c r="A246" i="13"/>
  <c r="A247" i="13"/>
  <c r="AO236" i="10"/>
  <c r="N236" i="10" s="1"/>
  <c r="AO237" i="10"/>
  <c r="N237" i="10" s="1"/>
  <c r="AO238" i="10"/>
  <c r="N238" i="10" s="1"/>
  <c r="AO239" i="10"/>
  <c r="N239" i="10" s="1"/>
  <c r="AO240" i="10"/>
  <c r="N240" i="10" s="1"/>
  <c r="AO241" i="10"/>
  <c r="N241" i="10" s="1"/>
  <c r="AO242" i="10"/>
  <c r="N242" i="10" s="1"/>
  <c r="AO243" i="10"/>
  <c r="N243" i="10" s="1"/>
  <c r="AO244" i="10"/>
  <c r="N244" i="10" s="1"/>
  <c r="AO245" i="10"/>
  <c r="N245" i="10" s="1"/>
  <c r="AO246" i="10"/>
  <c r="N246" i="10" s="1"/>
  <c r="AO247" i="10"/>
  <c r="N247" i="10" s="1"/>
  <c r="AK236" i="10"/>
  <c r="AL236" i="10"/>
  <c r="AK237" i="10"/>
  <c r="R237" i="10" s="1"/>
  <c r="AL237" i="10"/>
  <c r="J237" i="10" s="1"/>
  <c r="AK238" i="10"/>
  <c r="R238" i="10" s="1"/>
  <c r="AL238" i="10"/>
  <c r="J238" i="10" s="1"/>
  <c r="AK239" i="10"/>
  <c r="R239" i="10" s="1"/>
  <c r="AL239" i="10"/>
  <c r="J239" i="10" s="1"/>
  <c r="AK240" i="10"/>
  <c r="R240" i="10" s="1"/>
  <c r="AL240" i="10"/>
  <c r="J240" i="10" s="1"/>
  <c r="AK241" i="10"/>
  <c r="R241" i="10" s="1"/>
  <c r="AL241" i="10"/>
  <c r="J241" i="10" s="1"/>
  <c r="AK242" i="10"/>
  <c r="R242" i="10" s="1"/>
  <c r="AL242" i="10"/>
  <c r="J242" i="10" s="1"/>
  <c r="AK243" i="10"/>
  <c r="R243" i="10" s="1"/>
  <c r="AL243" i="10"/>
  <c r="J243" i="10" s="1"/>
  <c r="AK244" i="10"/>
  <c r="R244" i="10" s="1"/>
  <c r="AL244" i="10"/>
  <c r="J244" i="10" s="1"/>
  <c r="AK245" i="10"/>
  <c r="R245" i="10" s="1"/>
  <c r="AL245" i="10"/>
  <c r="J245" i="10" s="1"/>
  <c r="AK246" i="10"/>
  <c r="R246" i="10" s="1"/>
  <c r="AL246" i="10"/>
  <c r="J246" i="10" s="1"/>
  <c r="AK247" i="10"/>
  <c r="R247" i="10" s="1"/>
  <c r="AL247" i="10"/>
  <c r="J247" i="10" s="1"/>
  <c r="T237" i="10"/>
  <c r="T238" i="10"/>
  <c r="T239" i="10"/>
  <c r="T240" i="10"/>
  <c r="T241" i="10"/>
  <c r="T242" i="10"/>
  <c r="T243" i="10"/>
  <c r="T244" i="10"/>
  <c r="T245" i="10"/>
  <c r="T246" i="10"/>
  <c r="T247" i="10"/>
  <c r="S237" i="10"/>
  <c r="S238" i="10"/>
  <c r="S239" i="10"/>
  <c r="S240" i="10"/>
  <c r="S241" i="10"/>
  <c r="S242" i="10"/>
  <c r="S243" i="10"/>
  <c r="S244" i="10"/>
  <c r="S245" i="10"/>
  <c r="S246" i="10"/>
  <c r="S247" i="10"/>
  <c r="K237" i="10"/>
  <c r="K238" i="10"/>
  <c r="K239" i="10"/>
  <c r="K240" i="10"/>
  <c r="K241" i="10"/>
  <c r="K242" i="10"/>
  <c r="K243" i="10"/>
  <c r="K244" i="10"/>
  <c r="K245" i="10"/>
  <c r="K246" i="10"/>
  <c r="K247" i="10"/>
  <c r="I237" i="10"/>
  <c r="I238" i="10"/>
  <c r="I239" i="10"/>
  <c r="I240" i="10"/>
  <c r="I241" i="10"/>
  <c r="I242" i="10"/>
  <c r="I243" i="10"/>
  <c r="I244" i="10"/>
  <c r="I245" i="10"/>
  <c r="I246" i="10"/>
  <c r="I247" i="10"/>
  <c r="D237" i="10"/>
  <c r="D238" i="10"/>
  <c r="D239" i="10"/>
  <c r="D240" i="10"/>
  <c r="D241" i="10"/>
  <c r="D242" i="10"/>
  <c r="D243" i="10"/>
  <c r="D244" i="10"/>
  <c r="D245" i="10"/>
  <c r="D246" i="10"/>
  <c r="D247" i="10"/>
  <c r="AE236" i="12"/>
  <c r="AF236" i="12"/>
  <c r="AG236" i="12"/>
  <c r="AE237" i="12"/>
  <c r="AL237" i="12" s="1"/>
  <c r="AM237" i="12" s="1"/>
  <c r="AF237" i="12"/>
  <c r="AG237" i="12"/>
  <c r="AE238" i="12"/>
  <c r="AL238" i="12" s="1"/>
  <c r="AM238" i="12" s="1"/>
  <c r="AF238" i="12"/>
  <c r="AG238" i="12"/>
  <c r="AE239" i="12"/>
  <c r="AL239" i="12" s="1"/>
  <c r="AM239" i="12" s="1"/>
  <c r="AF239" i="12"/>
  <c r="AG239" i="12"/>
  <c r="AE240" i="12"/>
  <c r="AL240" i="12" s="1"/>
  <c r="AM240" i="12" s="1"/>
  <c r="AF240" i="12"/>
  <c r="AG240" i="12"/>
  <c r="AE241" i="12"/>
  <c r="AF241" i="12"/>
  <c r="AG241" i="12"/>
  <c r="AE242" i="12"/>
  <c r="AL242" i="12" s="1"/>
  <c r="AF242" i="12"/>
  <c r="AG242" i="12"/>
  <c r="AE243" i="12"/>
  <c r="AF243" i="12"/>
  <c r="AG243" i="12"/>
  <c r="AE244" i="12"/>
  <c r="AL244" i="12" s="1"/>
  <c r="AM244" i="12" s="1"/>
  <c r="AF244" i="12"/>
  <c r="AG244" i="12"/>
  <c r="AE245" i="12"/>
  <c r="AL245" i="12" s="1"/>
  <c r="AM245" i="12" s="1"/>
  <c r="AF245" i="12"/>
  <c r="AG245" i="12"/>
  <c r="AE246" i="12"/>
  <c r="AL246" i="12" s="1"/>
  <c r="AM246" i="12" s="1"/>
  <c r="AF246" i="12"/>
  <c r="AG246" i="12"/>
  <c r="AE247" i="12"/>
  <c r="AF247" i="12"/>
  <c r="AG247" i="12"/>
  <c r="AB231" i="12"/>
  <c r="AB232" i="12"/>
  <c r="AB233" i="12"/>
  <c r="AB234" i="12"/>
  <c r="AB235" i="12"/>
  <c r="AB236" i="12"/>
  <c r="AB237" i="12"/>
  <c r="AB238" i="12"/>
  <c r="AB239" i="12"/>
  <c r="AB240" i="12"/>
  <c r="AB241" i="12"/>
  <c r="AB242" i="12"/>
  <c r="AB243" i="12"/>
  <c r="AB244" i="12"/>
  <c r="AB245" i="12"/>
  <c r="AB246" i="12"/>
  <c r="AB247" i="12"/>
  <c r="X237" i="12"/>
  <c r="X238" i="12"/>
  <c r="X239" i="12"/>
  <c r="X240" i="12"/>
  <c r="X241" i="12"/>
  <c r="X242" i="12"/>
  <c r="X243" i="12"/>
  <c r="X244" i="12"/>
  <c r="X245" i="12"/>
  <c r="X246" i="12"/>
  <c r="X247" i="12"/>
  <c r="S237" i="12"/>
  <c r="S238" i="12"/>
  <c r="S239" i="12"/>
  <c r="S240" i="12"/>
  <c r="S241" i="12"/>
  <c r="S242" i="12"/>
  <c r="S243" i="12"/>
  <c r="S244" i="12"/>
  <c r="S245" i="12"/>
  <c r="S246" i="12"/>
  <c r="S247" i="12"/>
  <c r="M237" i="12"/>
  <c r="M238" i="12"/>
  <c r="M239" i="12"/>
  <c r="M241" i="12"/>
  <c r="M242" i="12"/>
  <c r="M243" i="12"/>
  <c r="M244" i="12"/>
  <c r="M245" i="12"/>
  <c r="M246" i="12"/>
  <c r="N237" i="9"/>
  <c r="N238" i="9"/>
  <c r="Y237" i="5"/>
  <c r="Z237" i="5"/>
  <c r="Y238" i="5"/>
  <c r="Z238" i="5"/>
  <c r="Y239" i="5"/>
  <c r="Z239" i="5"/>
  <c r="Y240" i="5"/>
  <c r="Z240" i="5"/>
  <c r="Y241" i="5"/>
  <c r="Z241" i="5"/>
  <c r="Y242" i="5"/>
  <c r="Z242" i="5"/>
  <c r="Y243" i="5"/>
  <c r="Z243" i="5"/>
  <c r="Y244" i="5"/>
  <c r="Z244" i="5"/>
  <c r="Y245" i="5"/>
  <c r="Z245" i="5"/>
  <c r="Y246" i="5"/>
  <c r="Z246" i="5"/>
  <c r="Y247" i="5"/>
  <c r="Z247" i="5"/>
  <c r="J237" i="5"/>
  <c r="J238" i="5"/>
  <c r="J239" i="5"/>
  <c r="J240" i="5"/>
  <c r="J241" i="5"/>
  <c r="J242" i="5"/>
  <c r="J243" i="5"/>
  <c r="J244" i="5"/>
  <c r="J245" i="5"/>
  <c r="J246" i="5"/>
  <c r="J247" i="5"/>
  <c r="G237" i="5"/>
  <c r="G238" i="5"/>
  <c r="G239" i="5"/>
  <c r="G240" i="5"/>
  <c r="G241" i="5"/>
  <c r="G242" i="5"/>
  <c r="G243" i="5"/>
  <c r="G244" i="5"/>
  <c r="G245" i="5"/>
  <c r="G246" i="5"/>
  <c r="G247" i="5"/>
  <c r="H236" i="13"/>
  <c r="AA354" i="5" l="1"/>
  <c r="F355" i="5"/>
  <c r="M356" i="13"/>
  <c r="H357" i="13"/>
  <c r="I357" i="13"/>
  <c r="P247" i="10"/>
  <c r="P246" i="10"/>
  <c r="P245" i="10"/>
  <c r="Y242" i="10"/>
  <c r="P244" i="10"/>
  <c r="P243" i="10"/>
  <c r="D258" i="5"/>
  <c r="Y257" i="5"/>
  <c r="G257" i="12"/>
  <c r="Y246" i="10"/>
  <c r="Y241" i="10"/>
  <c r="Y237" i="10"/>
  <c r="Y244" i="10"/>
  <c r="AL247" i="12"/>
  <c r="AM247" i="12" s="1"/>
  <c r="AH243" i="12"/>
  <c r="N243" i="13" s="1"/>
  <c r="S243" i="13" s="1"/>
  <c r="N243" i="5" s="1"/>
  <c r="AL243" i="12"/>
  <c r="AM243" i="12" s="1"/>
  <c r="AL241" i="12"/>
  <c r="AM241" i="12" s="1"/>
  <c r="Y245" i="10"/>
  <c r="Y243" i="10"/>
  <c r="Y238" i="10"/>
  <c r="Y239" i="10"/>
  <c r="Y247" i="10"/>
  <c r="Y240" i="10"/>
  <c r="G15" i="10"/>
  <c r="G15" i="12"/>
  <c r="AN242" i="12"/>
  <c r="AM242" i="12"/>
  <c r="AH244" i="12"/>
  <c r="N244" i="13" s="1"/>
  <c r="S244" i="13" s="1"/>
  <c r="N244" i="5" s="1"/>
  <c r="AH236" i="12"/>
  <c r="AN244" i="12"/>
  <c r="AN240" i="12"/>
  <c r="AH242" i="12"/>
  <c r="N242" i="13" s="1"/>
  <c r="S242" i="13" s="1"/>
  <c r="N242" i="5" s="1"/>
  <c r="P242" i="10"/>
  <c r="H244" i="13"/>
  <c r="M244" i="13" s="1"/>
  <c r="F244" i="5" s="1"/>
  <c r="AA244" i="5" s="1"/>
  <c r="H240" i="13"/>
  <c r="M240" i="13" s="1"/>
  <c r="F240" i="5" s="1"/>
  <c r="AA240" i="5" s="1"/>
  <c r="H239" i="13"/>
  <c r="M239" i="13" s="1"/>
  <c r="F239" i="5" s="1"/>
  <c r="AA239" i="5" s="1"/>
  <c r="I242" i="13"/>
  <c r="M242" i="13" s="1"/>
  <c r="F242" i="5" s="1"/>
  <c r="AA242" i="5" s="1"/>
  <c r="I247" i="13"/>
  <c r="M247" i="13" s="1"/>
  <c r="F247" i="5" s="1"/>
  <c r="AA247" i="5" s="1"/>
  <c r="I238" i="13"/>
  <c r="M238" i="13" s="1"/>
  <c r="H241" i="13"/>
  <c r="M241" i="13" s="1"/>
  <c r="F241" i="5" s="1"/>
  <c r="AA241" i="5" s="1"/>
  <c r="H245" i="13"/>
  <c r="M245" i="13" s="1"/>
  <c r="F245" i="5" s="1"/>
  <c r="AA245" i="5" s="1"/>
  <c r="H237" i="13"/>
  <c r="H243" i="13"/>
  <c r="M243" i="13" s="1"/>
  <c r="F243" i="5" s="1"/>
  <c r="AA243" i="5" s="1"/>
  <c r="I246" i="13"/>
  <c r="M246" i="13" s="1"/>
  <c r="F246" i="5" s="1"/>
  <c r="AA246" i="5" s="1"/>
  <c r="P240" i="10"/>
  <c r="P238" i="10"/>
  <c r="P241" i="10"/>
  <c r="P239" i="10"/>
  <c r="P237" i="10"/>
  <c r="AN239" i="12"/>
  <c r="AN246" i="12"/>
  <c r="AN238" i="12"/>
  <c r="AN245" i="12"/>
  <c r="AN237" i="12"/>
  <c r="AH241" i="12"/>
  <c r="N241" i="13" s="1"/>
  <c r="S241" i="13" s="1"/>
  <c r="N241" i="5" s="1"/>
  <c r="AH246" i="12"/>
  <c r="N246" i="13" s="1"/>
  <c r="S246" i="13" s="1"/>
  <c r="N246" i="5" s="1"/>
  <c r="AH238" i="12"/>
  <c r="N238" i="13" s="1"/>
  <c r="S238" i="13" s="1"/>
  <c r="N238" i="5" s="1"/>
  <c r="AH240" i="12"/>
  <c r="N240" i="13" s="1"/>
  <c r="S240" i="13" s="1"/>
  <c r="N240" i="5" s="1"/>
  <c r="AH245" i="12"/>
  <c r="N245" i="13" s="1"/>
  <c r="S245" i="13" s="1"/>
  <c r="N245" i="5" s="1"/>
  <c r="AH237" i="12"/>
  <c r="N237" i="13" s="1"/>
  <c r="S237" i="13" s="1"/>
  <c r="N237" i="5" s="1"/>
  <c r="AH247" i="12"/>
  <c r="N247" i="13" s="1"/>
  <c r="S247" i="13" s="1"/>
  <c r="N247" i="5" s="1"/>
  <c r="AH239" i="12"/>
  <c r="N239" i="13" s="1"/>
  <c r="S239" i="13" s="1"/>
  <c r="N239" i="5" s="1"/>
  <c r="I236" i="13"/>
  <c r="AL236" i="12"/>
  <c r="AM236" i="12" s="1"/>
  <c r="AA355" i="5" l="1"/>
  <c r="F356" i="5"/>
  <c r="M357" i="13"/>
  <c r="I358" i="13"/>
  <c r="H358" i="13"/>
  <c r="Z246" i="10"/>
  <c r="AA246" i="10" s="1"/>
  <c r="H246" i="5" s="1"/>
  <c r="I246" i="5" s="1"/>
  <c r="Z240" i="10"/>
  <c r="AA240" i="10" s="1"/>
  <c r="H240" i="5" s="1"/>
  <c r="I240" i="5" s="1"/>
  <c r="M237" i="13"/>
  <c r="F238" i="5"/>
  <c r="AA238" i="5" s="1"/>
  <c r="Z247" i="10"/>
  <c r="AA247" i="10" s="1"/>
  <c r="H247" i="5" s="1"/>
  <c r="I247" i="5" s="1"/>
  <c r="Z242" i="10"/>
  <c r="AA242" i="10" s="1"/>
  <c r="H242" i="5" s="1"/>
  <c r="I242" i="5" s="1"/>
  <c r="Z237" i="10"/>
  <c r="AA237" i="10" s="1"/>
  <c r="H237" i="5" s="1"/>
  <c r="I237" i="5" s="1"/>
  <c r="D259" i="5"/>
  <c r="G258" i="12"/>
  <c r="Y258" i="5"/>
  <c r="Z241" i="10"/>
  <c r="AA241" i="10" s="1"/>
  <c r="H241" i="5" s="1"/>
  <c r="I241" i="5" s="1"/>
  <c r="Z244" i="10"/>
  <c r="AA244" i="10" s="1"/>
  <c r="H244" i="5" s="1"/>
  <c r="I244" i="5" s="1"/>
  <c r="Z243" i="10"/>
  <c r="AA243" i="10" s="1"/>
  <c r="H243" i="5" s="1"/>
  <c r="I243" i="5" s="1"/>
  <c r="Z239" i="10"/>
  <c r="AA239" i="10" s="1"/>
  <c r="H239" i="5" s="1"/>
  <c r="I239" i="5" s="1"/>
  <c r="Z245" i="10"/>
  <c r="AA245" i="10" s="1"/>
  <c r="H245" i="5" s="1"/>
  <c r="I245" i="5" s="1"/>
  <c r="Z238" i="10"/>
  <c r="AA238" i="10" s="1"/>
  <c r="H238" i="5" s="1"/>
  <c r="I238" i="5" s="1"/>
  <c r="AN243" i="12"/>
  <c r="AN241" i="12"/>
  <c r="AN247" i="12"/>
  <c r="AN236" i="12"/>
  <c r="AA356" i="5" l="1"/>
  <c r="F357" i="5"/>
  <c r="M358" i="13"/>
  <c r="I359" i="13"/>
  <c r="H359" i="13"/>
  <c r="M359" i="13" s="1"/>
  <c r="F359" i="5" s="1"/>
  <c r="H14" i="5"/>
  <c r="F237" i="5"/>
  <c r="G259" i="12"/>
  <c r="D260" i="5"/>
  <c r="Y259" i="5"/>
  <c r="Z235" i="5"/>
  <c r="Z236" i="5"/>
  <c r="J236" i="5"/>
  <c r="G236" i="5"/>
  <c r="W236" i="9"/>
  <c r="N236" i="9"/>
  <c r="T236" i="10"/>
  <c r="S236" i="10"/>
  <c r="R236" i="10"/>
  <c r="K236" i="10"/>
  <c r="J236" i="10"/>
  <c r="I236" i="10"/>
  <c r="D236" i="10"/>
  <c r="X236" i="12"/>
  <c r="S236" i="12"/>
  <c r="M236" i="12"/>
  <c r="D236" i="12"/>
  <c r="AB236" i="13"/>
  <c r="X236" i="13"/>
  <c r="N236" i="13"/>
  <c r="S236" i="13" s="1"/>
  <c r="M236" i="13"/>
  <c r="C236" i="13"/>
  <c r="B236" i="13"/>
  <c r="A236" i="13"/>
  <c r="I235" i="13"/>
  <c r="AB235" i="13"/>
  <c r="X235" i="13"/>
  <c r="C235" i="13"/>
  <c r="B235" i="13"/>
  <c r="A235" i="13"/>
  <c r="I234" i="13"/>
  <c r="AB234" i="13"/>
  <c r="X234" i="13"/>
  <c r="C234" i="13"/>
  <c r="B234" i="13"/>
  <c r="A234" i="13"/>
  <c r="I233" i="13"/>
  <c r="AB233" i="13"/>
  <c r="X233" i="13"/>
  <c r="C233" i="13"/>
  <c r="B233" i="13"/>
  <c r="A233" i="13"/>
  <c r="I232" i="13"/>
  <c r="AB232" i="13"/>
  <c r="X232" i="13"/>
  <c r="C232" i="13"/>
  <c r="B232" i="13"/>
  <c r="A232" i="13"/>
  <c r="AE232" i="12"/>
  <c r="AL232" i="12" s="1"/>
  <c r="AM232" i="12" s="1"/>
  <c r="AF232" i="12"/>
  <c r="AG232" i="12"/>
  <c r="AE233" i="12"/>
  <c r="AL233" i="12" s="1"/>
  <c r="AM233" i="12" s="1"/>
  <c r="AF233" i="12"/>
  <c r="AG233" i="12"/>
  <c r="AE234" i="12"/>
  <c r="AF234" i="12"/>
  <c r="AG234" i="12"/>
  <c r="AE235" i="12"/>
  <c r="AL235" i="12" s="1"/>
  <c r="AM235" i="12" s="1"/>
  <c r="AF235" i="12"/>
  <c r="AG235" i="12"/>
  <c r="AB230" i="12"/>
  <c r="X231" i="12"/>
  <c r="X232" i="12"/>
  <c r="X233" i="12"/>
  <c r="X234" i="12"/>
  <c r="X235" i="12"/>
  <c r="S231" i="12"/>
  <c r="S232" i="12"/>
  <c r="S233" i="12"/>
  <c r="S234" i="12"/>
  <c r="S235" i="12"/>
  <c r="M231" i="12"/>
  <c r="M232" i="12"/>
  <c r="M233" i="12"/>
  <c r="M234" i="12"/>
  <c r="M235" i="12"/>
  <c r="Z232" i="5"/>
  <c r="Z233" i="5"/>
  <c r="Z234" i="5"/>
  <c r="J235" i="5"/>
  <c r="G235" i="5"/>
  <c r="J234" i="5"/>
  <c r="G234" i="5"/>
  <c r="J233" i="5"/>
  <c r="G233" i="5"/>
  <c r="J232" i="5"/>
  <c r="G232" i="5"/>
  <c r="D232" i="12"/>
  <c r="D233" i="12"/>
  <c r="D234" i="12"/>
  <c r="D235" i="12"/>
  <c r="AO235" i="10"/>
  <c r="N235" i="10" s="1"/>
  <c r="AL235" i="10"/>
  <c r="J235" i="10" s="1"/>
  <c r="AK235" i="10"/>
  <c r="R235" i="10" s="1"/>
  <c r="T235" i="10"/>
  <c r="S235" i="10"/>
  <c r="K235" i="10"/>
  <c r="I235" i="10"/>
  <c r="AO234" i="10"/>
  <c r="N234" i="10" s="1"/>
  <c r="AL234" i="10"/>
  <c r="J234" i="10" s="1"/>
  <c r="AK234" i="10"/>
  <c r="R234" i="10" s="1"/>
  <c r="T234" i="10"/>
  <c r="S234" i="10"/>
  <c r="K234" i="10"/>
  <c r="I234" i="10"/>
  <c r="AO233" i="10"/>
  <c r="N233" i="10" s="1"/>
  <c r="AL233" i="10"/>
  <c r="J233" i="10" s="1"/>
  <c r="AK233" i="10"/>
  <c r="R233" i="10" s="1"/>
  <c r="T233" i="10"/>
  <c r="S233" i="10"/>
  <c r="K233" i="10"/>
  <c r="I233" i="10"/>
  <c r="AO232" i="10"/>
  <c r="N232" i="10" s="1"/>
  <c r="AL232" i="10"/>
  <c r="J232" i="10" s="1"/>
  <c r="AK232" i="10"/>
  <c r="R232" i="10" s="1"/>
  <c r="T232" i="10"/>
  <c r="S232" i="10"/>
  <c r="K232" i="10"/>
  <c r="I232" i="10"/>
  <c r="D235" i="10"/>
  <c r="D234" i="10"/>
  <c r="D233" i="10"/>
  <c r="D232" i="10"/>
  <c r="W208" i="9"/>
  <c r="W209" i="9"/>
  <c r="W210" i="9"/>
  <c r="W211" i="9"/>
  <c r="W212" i="9"/>
  <c r="W213" i="9"/>
  <c r="W214" i="9"/>
  <c r="W215" i="9"/>
  <c r="W216" i="9"/>
  <c r="W217" i="9"/>
  <c r="W218" i="9"/>
  <c r="W219" i="9"/>
  <c r="W220" i="9"/>
  <c r="W221" i="9"/>
  <c r="W222" i="9"/>
  <c r="W223" i="9"/>
  <c r="W224" i="9"/>
  <c r="W225" i="9"/>
  <c r="W226" i="9"/>
  <c r="W227" i="9"/>
  <c r="W228" i="9"/>
  <c r="W229" i="9"/>
  <c r="W230" i="9"/>
  <c r="W231" i="9"/>
  <c r="W232" i="9"/>
  <c r="W233" i="9"/>
  <c r="W234" i="9"/>
  <c r="W235" i="9"/>
  <c r="N208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N226" i="9"/>
  <c r="N227" i="9"/>
  <c r="N228" i="9"/>
  <c r="N229" i="9"/>
  <c r="N230" i="9"/>
  <c r="N231" i="9"/>
  <c r="N232" i="9"/>
  <c r="N233" i="9"/>
  <c r="N234" i="9"/>
  <c r="N235" i="9"/>
  <c r="M212" i="12"/>
  <c r="M213" i="12"/>
  <c r="M214" i="12"/>
  <c r="M215" i="12"/>
  <c r="M216" i="12"/>
  <c r="M217" i="12"/>
  <c r="M218" i="12"/>
  <c r="M219" i="12"/>
  <c r="M220" i="12"/>
  <c r="M221" i="12"/>
  <c r="M222" i="12"/>
  <c r="M223" i="12"/>
  <c r="M224" i="12"/>
  <c r="M225" i="12"/>
  <c r="M226" i="12"/>
  <c r="M227" i="12"/>
  <c r="M228" i="12"/>
  <c r="M229" i="12"/>
  <c r="M230" i="12"/>
  <c r="M210" i="12"/>
  <c r="M211" i="12"/>
  <c r="M209" i="12"/>
  <c r="M208" i="12"/>
  <c r="M207" i="12"/>
  <c r="Z227" i="5"/>
  <c r="Z228" i="5"/>
  <c r="Z229" i="5"/>
  <c r="Z230" i="5"/>
  <c r="Z231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I227" i="10"/>
  <c r="K227" i="10"/>
  <c r="S227" i="10"/>
  <c r="T227" i="10"/>
  <c r="AK227" i="10"/>
  <c r="R227" i="10" s="1"/>
  <c r="AL227" i="10"/>
  <c r="J227" i="10" s="1"/>
  <c r="AO227" i="10"/>
  <c r="N227" i="10" s="1"/>
  <c r="I228" i="10"/>
  <c r="K228" i="10"/>
  <c r="S228" i="10"/>
  <c r="T228" i="10"/>
  <c r="AK228" i="10"/>
  <c r="R228" i="10" s="1"/>
  <c r="AL228" i="10"/>
  <c r="J228" i="10" s="1"/>
  <c r="AO228" i="10"/>
  <c r="N228" i="10" s="1"/>
  <c r="I229" i="10"/>
  <c r="K229" i="10"/>
  <c r="S229" i="10"/>
  <c r="T229" i="10"/>
  <c r="AK229" i="10"/>
  <c r="R229" i="10" s="1"/>
  <c r="AL229" i="10"/>
  <c r="J229" i="10" s="1"/>
  <c r="AO229" i="10"/>
  <c r="N229" i="10" s="1"/>
  <c r="I230" i="10"/>
  <c r="K230" i="10"/>
  <c r="S230" i="10"/>
  <c r="T230" i="10"/>
  <c r="AK230" i="10"/>
  <c r="R230" i="10" s="1"/>
  <c r="AL230" i="10"/>
  <c r="J230" i="10" s="1"/>
  <c r="AO230" i="10"/>
  <c r="N230" i="10" s="1"/>
  <c r="I231" i="10"/>
  <c r="K231" i="10"/>
  <c r="S231" i="10"/>
  <c r="T231" i="10"/>
  <c r="AK231" i="10"/>
  <c r="R231" i="10" s="1"/>
  <c r="AL231" i="10"/>
  <c r="J231" i="10" s="1"/>
  <c r="AO231" i="10"/>
  <c r="N231" i="10" s="1"/>
  <c r="X227" i="13"/>
  <c r="I227" i="13"/>
  <c r="X228" i="13"/>
  <c r="H228" i="13"/>
  <c r="X229" i="13"/>
  <c r="H229" i="13"/>
  <c r="X230" i="13"/>
  <c r="H230" i="13"/>
  <c r="X231" i="13"/>
  <c r="H231" i="13"/>
  <c r="AE226" i="12"/>
  <c r="AF226" i="12"/>
  <c r="AG226" i="12"/>
  <c r="AE227" i="12"/>
  <c r="AL227" i="12" s="1"/>
  <c r="AN227" i="12" s="1"/>
  <c r="AF227" i="12"/>
  <c r="AG227" i="12"/>
  <c r="AE228" i="12"/>
  <c r="AL228" i="12" s="1"/>
  <c r="AF228" i="12"/>
  <c r="AG228" i="12"/>
  <c r="AE229" i="12"/>
  <c r="AF229" i="12"/>
  <c r="AG229" i="12"/>
  <c r="AE230" i="12"/>
  <c r="AL230" i="12" s="1"/>
  <c r="AM230" i="12" s="1"/>
  <c r="AF230" i="12"/>
  <c r="AG230" i="12"/>
  <c r="AE231" i="12"/>
  <c r="AL231" i="12" s="1"/>
  <c r="AF231" i="12"/>
  <c r="AG231" i="12"/>
  <c r="AB196" i="12"/>
  <c r="AB197" i="12"/>
  <c r="AB198" i="12"/>
  <c r="AB199" i="12"/>
  <c r="AB200" i="12"/>
  <c r="AB201" i="12"/>
  <c r="AB202" i="12"/>
  <c r="AB203" i="12"/>
  <c r="AB204" i="12"/>
  <c r="AB205" i="12"/>
  <c r="AB206" i="12"/>
  <c r="AB207" i="12"/>
  <c r="AB208" i="12"/>
  <c r="AB209" i="12"/>
  <c r="AB210" i="12"/>
  <c r="AB211" i="12"/>
  <c r="AB212" i="12"/>
  <c r="AB213" i="12"/>
  <c r="AB214" i="12"/>
  <c r="AB215" i="12"/>
  <c r="AB216" i="12"/>
  <c r="AB217" i="12"/>
  <c r="AB218" i="12"/>
  <c r="AB219" i="12"/>
  <c r="AB220" i="12"/>
  <c r="AB221" i="12"/>
  <c r="AB222" i="12"/>
  <c r="AB223" i="12"/>
  <c r="AB224" i="12"/>
  <c r="AB225" i="12"/>
  <c r="AB226" i="12"/>
  <c r="AB227" i="12"/>
  <c r="AB228" i="12"/>
  <c r="AB229" i="12"/>
  <c r="X207" i="12"/>
  <c r="X208" i="12"/>
  <c r="X209" i="12"/>
  <c r="X210" i="12"/>
  <c r="X211" i="12"/>
  <c r="X212" i="12"/>
  <c r="X213" i="12"/>
  <c r="X214" i="12"/>
  <c r="X215" i="12"/>
  <c r="X216" i="12"/>
  <c r="X217" i="12"/>
  <c r="X218" i="12"/>
  <c r="X219" i="12"/>
  <c r="X220" i="12"/>
  <c r="X221" i="12"/>
  <c r="X222" i="12"/>
  <c r="X223" i="12"/>
  <c r="X224" i="12"/>
  <c r="X225" i="12"/>
  <c r="X226" i="12"/>
  <c r="X227" i="12"/>
  <c r="X228" i="12"/>
  <c r="X229" i="12"/>
  <c r="X230" i="12"/>
  <c r="S177" i="12"/>
  <c r="S178" i="12"/>
  <c r="S179" i="12"/>
  <c r="S180" i="12"/>
  <c r="S181" i="12"/>
  <c r="S182" i="12"/>
  <c r="S183" i="12"/>
  <c r="S184" i="12"/>
  <c r="S185" i="12"/>
  <c r="S186" i="12"/>
  <c r="S187" i="12"/>
  <c r="S188" i="12"/>
  <c r="S189" i="12"/>
  <c r="S190" i="12"/>
  <c r="S191" i="12"/>
  <c r="S192" i="12"/>
  <c r="S193" i="12"/>
  <c r="S194" i="12"/>
  <c r="S195" i="12"/>
  <c r="S196" i="12"/>
  <c r="S197" i="12"/>
  <c r="S198" i="12"/>
  <c r="S199" i="12"/>
  <c r="S200" i="12"/>
  <c r="S201" i="12"/>
  <c r="S202" i="12"/>
  <c r="S203" i="12"/>
  <c r="S204" i="12"/>
  <c r="S205" i="12"/>
  <c r="S206" i="12"/>
  <c r="S207" i="12"/>
  <c r="S208" i="12"/>
  <c r="S209" i="12"/>
  <c r="S210" i="12"/>
  <c r="S211" i="12"/>
  <c r="S212" i="12"/>
  <c r="S213" i="12"/>
  <c r="S214" i="12"/>
  <c r="S215" i="12"/>
  <c r="S216" i="12"/>
  <c r="S217" i="12"/>
  <c r="S218" i="12"/>
  <c r="S219" i="12"/>
  <c r="S220" i="12"/>
  <c r="S221" i="12"/>
  <c r="S222" i="12"/>
  <c r="S223" i="12"/>
  <c r="S224" i="12"/>
  <c r="S225" i="12"/>
  <c r="S226" i="12"/>
  <c r="S227" i="12"/>
  <c r="S228" i="12"/>
  <c r="S229" i="12"/>
  <c r="S230" i="12"/>
  <c r="M177" i="12"/>
  <c r="M178" i="12"/>
  <c r="M179" i="12"/>
  <c r="M180" i="12"/>
  <c r="M181" i="12"/>
  <c r="M182" i="12"/>
  <c r="M183" i="12"/>
  <c r="M184" i="12"/>
  <c r="M185" i="12"/>
  <c r="M186" i="12"/>
  <c r="M187" i="12"/>
  <c r="M188" i="12"/>
  <c r="M189" i="12"/>
  <c r="M190" i="12"/>
  <c r="M191" i="12"/>
  <c r="M192" i="12"/>
  <c r="M193" i="12"/>
  <c r="M194" i="12"/>
  <c r="M195" i="12"/>
  <c r="M196" i="12"/>
  <c r="M197" i="12"/>
  <c r="M198" i="12"/>
  <c r="M199" i="12"/>
  <c r="M200" i="12"/>
  <c r="M201" i="12"/>
  <c r="M202" i="12"/>
  <c r="M203" i="12"/>
  <c r="M204" i="12"/>
  <c r="M205" i="12"/>
  <c r="M206" i="12"/>
  <c r="M176" i="12"/>
  <c r="N207" i="9"/>
  <c r="A227" i="13"/>
  <c r="B227" i="13"/>
  <c r="C227" i="13"/>
  <c r="AB227" i="13"/>
  <c r="A228" i="13"/>
  <c r="B228" i="13"/>
  <c r="C228" i="13"/>
  <c r="AB228" i="13"/>
  <c r="A229" i="13"/>
  <c r="B229" i="13"/>
  <c r="C229" i="13"/>
  <c r="AB229" i="13"/>
  <c r="A230" i="13"/>
  <c r="B230" i="13"/>
  <c r="C230" i="13"/>
  <c r="AB230" i="13"/>
  <c r="A231" i="13"/>
  <c r="B231" i="13"/>
  <c r="C231" i="13"/>
  <c r="AB231" i="13"/>
  <c r="D227" i="12"/>
  <c r="D228" i="12"/>
  <c r="D229" i="12"/>
  <c r="D230" i="12"/>
  <c r="D231" i="12"/>
  <c r="AA357" i="5" l="1"/>
  <c r="F358" i="5"/>
  <c r="AA359" i="5"/>
  <c r="F17" i="5"/>
  <c r="AA237" i="5"/>
  <c r="F14" i="5"/>
  <c r="F236" i="5"/>
  <c r="AA236" i="5" s="1"/>
  <c r="Y260" i="5"/>
  <c r="D261" i="5"/>
  <c r="D262" i="5" s="1"/>
  <c r="G260" i="12"/>
  <c r="N236" i="5"/>
  <c r="AH234" i="12"/>
  <c r="N234" i="13" s="1"/>
  <c r="S234" i="13" s="1"/>
  <c r="N234" i="5" s="1"/>
  <c r="AH235" i="12"/>
  <c r="N235" i="13" s="1"/>
  <c r="S235" i="13" s="1"/>
  <c r="N235" i="5" s="1"/>
  <c r="AH232" i="12"/>
  <c r="N232" i="13" s="1"/>
  <c r="S232" i="13" s="1"/>
  <c r="N232" i="5" s="1"/>
  <c r="P233" i="10"/>
  <c r="P232" i="10"/>
  <c r="Y236" i="10"/>
  <c r="H233" i="13"/>
  <c r="M233" i="13" s="1"/>
  <c r="F233" i="5" s="1"/>
  <c r="AA233" i="5" s="1"/>
  <c r="P236" i="10"/>
  <c r="H235" i="13"/>
  <c r="M235" i="13" s="1"/>
  <c r="F235" i="5" s="1"/>
  <c r="AA235" i="5" s="1"/>
  <c r="AH233" i="12"/>
  <c r="N233" i="13" s="1"/>
  <c r="S233" i="13" s="1"/>
  <c r="N233" i="5" s="1"/>
  <c r="AN235" i="12"/>
  <c r="Y235" i="10"/>
  <c r="P235" i="10"/>
  <c r="Y233" i="10"/>
  <c r="Y232" i="10"/>
  <c r="Y234" i="10"/>
  <c r="H232" i="13"/>
  <c r="M232" i="13" s="1"/>
  <c r="F232" i="5" s="1"/>
  <c r="AA232" i="5" s="1"/>
  <c r="H234" i="13"/>
  <c r="M234" i="13" s="1"/>
  <c r="F234" i="5" s="1"/>
  <c r="AA234" i="5" s="1"/>
  <c r="AN232" i="12"/>
  <c r="AN233" i="12"/>
  <c r="AL234" i="12"/>
  <c r="AM234" i="12" s="1"/>
  <c r="P234" i="10"/>
  <c r="AH226" i="12"/>
  <c r="AH228" i="12"/>
  <c r="N228" i="13" s="1"/>
  <c r="S228" i="13" s="1"/>
  <c r="N228" i="5" s="1"/>
  <c r="AM227" i="12"/>
  <c r="Y230" i="10"/>
  <c r="Y229" i="10"/>
  <c r="Y228" i="10"/>
  <c r="Y227" i="10"/>
  <c r="I231" i="13"/>
  <c r="P227" i="10"/>
  <c r="Y231" i="10"/>
  <c r="AN228" i="12"/>
  <c r="AM228" i="12"/>
  <c r="AH230" i="12"/>
  <c r="N230" i="13" s="1"/>
  <c r="S230" i="13" s="1"/>
  <c r="N230" i="5" s="1"/>
  <c r="AN230" i="12"/>
  <c r="AH227" i="12"/>
  <c r="N227" i="13" s="1"/>
  <c r="S227" i="13" s="1"/>
  <c r="N227" i="5" s="1"/>
  <c r="AL229" i="12"/>
  <c r="AM229" i="12" s="1"/>
  <c r="AH231" i="12"/>
  <c r="N231" i="13" s="1"/>
  <c r="S231" i="13" s="1"/>
  <c r="N231" i="5" s="1"/>
  <c r="AL226" i="12"/>
  <c r="AM226" i="12" s="1"/>
  <c r="P231" i="10"/>
  <c r="P228" i="10"/>
  <c r="P230" i="10"/>
  <c r="P229" i="10"/>
  <c r="I229" i="13"/>
  <c r="I230" i="13"/>
  <c r="H227" i="13"/>
  <c r="I228" i="13"/>
  <c r="AM231" i="12"/>
  <c r="AN231" i="12"/>
  <c r="AH229" i="12"/>
  <c r="N229" i="13" s="1"/>
  <c r="S229" i="13" s="1"/>
  <c r="N229" i="5" s="1"/>
  <c r="AA358" i="5" l="1"/>
  <c r="G262" i="12"/>
  <c r="D263" i="5"/>
  <c r="E262" i="9"/>
  <c r="Y262" i="5"/>
  <c r="G261" i="12"/>
  <c r="Y261" i="5"/>
  <c r="Z233" i="10"/>
  <c r="AA233" i="10" s="1"/>
  <c r="H233" i="5" s="1"/>
  <c r="Z232" i="10"/>
  <c r="AA232" i="10" s="1"/>
  <c r="H232" i="5" s="1"/>
  <c r="Z230" i="10"/>
  <c r="AA230" i="10" s="1"/>
  <c r="H230" i="5" s="1"/>
  <c r="Z236" i="10"/>
  <c r="AA236" i="10" s="1"/>
  <c r="Z234" i="10"/>
  <c r="AA234" i="10" s="1"/>
  <c r="H234" i="5" s="1"/>
  <c r="Z235" i="10"/>
  <c r="AA235" i="10" s="1"/>
  <c r="H235" i="5" s="1"/>
  <c r="Z228" i="10"/>
  <c r="AA228" i="10" s="1"/>
  <c r="H228" i="5" s="1"/>
  <c r="AN234" i="12"/>
  <c r="Z227" i="10"/>
  <c r="AA227" i="10" s="1"/>
  <c r="H227" i="5" s="1"/>
  <c r="Z229" i="10"/>
  <c r="AA229" i="10" s="1"/>
  <c r="H229" i="5" s="1"/>
  <c r="AN229" i="12"/>
  <c r="Z231" i="10"/>
  <c r="AA231" i="10" s="1"/>
  <c r="H231" i="5" s="1"/>
  <c r="AN226" i="12"/>
  <c r="D264" i="5" l="1"/>
  <c r="G263" i="12"/>
  <c r="Y263" i="5"/>
  <c r="E263" i="9"/>
  <c r="H236" i="5"/>
  <c r="D226" i="12"/>
  <c r="D227" i="10"/>
  <c r="D228" i="10"/>
  <c r="D229" i="10"/>
  <c r="D230" i="10"/>
  <c r="D231" i="10"/>
  <c r="Z208" i="5"/>
  <c r="Z209" i="5"/>
  <c r="Z210" i="5"/>
  <c r="Z211" i="5"/>
  <c r="Z212" i="5"/>
  <c r="Z213" i="5"/>
  <c r="Z214" i="5"/>
  <c r="Z215" i="5"/>
  <c r="Z216" i="5"/>
  <c r="Z217" i="5"/>
  <c r="Z218" i="5"/>
  <c r="Z219" i="5"/>
  <c r="Z220" i="5"/>
  <c r="Z221" i="5"/>
  <c r="Z222" i="5"/>
  <c r="Z223" i="5"/>
  <c r="Z224" i="5"/>
  <c r="Z225" i="5"/>
  <c r="Z226" i="5"/>
  <c r="I218" i="13"/>
  <c r="I219" i="13"/>
  <c r="I220" i="13"/>
  <c r="I221" i="13"/>
  <c r="I222" i="13"/>
  <c r="I223" i="13"/>
  <c r="I224" i="13"/>
  <c r="I225" i="13"/>
  <c r="H226" i="13"/>
  <c r="AE218" i="12"/>
  <c r="AL218" i="12" s="1"/>
  <c r="AM218" i="12" s="1"/>
  <c r="AF218" i="12"/>
  <c r="AG218" i="12"/>
  <c r="AE219" i="12"/>
  <c r="AL219" i="12" s="1"/>
  <c r="AF219" i="12"/>
  <c r="AG219" i="12"/>
  <c r="AE220" i="12"/>
  <c r="AF220" i="12"/>
  <c r="AG220" i="12"/>
  <c r="AE221" i="12"/>
  <c r="AF221" i="12"/>
  <c r="AG221" i="12"/>
  <c r="AE222" i="12"/>
  <c r="AL222" i="12" s="1"/>
  <c r="AM222" i="12" s="1"/>
  <c r="AF222" i="12"/>
  <c r="AG222" i="12"/>
  <c r="AE223" i="12"/>
  <c r="AF223" i="12"/>
  <c r="AG223" i="12"/>
  <c r="AE224" i="12"/>
  <c r="AL224" i="12" s="1"/>
  <c r="AN224" i="12" s="1"/>
  <c r="AF224" i="12"/>
  <c r="AG224" i="12"/>
  <c r="AE225" i="12"/>
  <c r="AL225" i="12" s="1"/>
  <c r="AM225" i="12" s="1"/>
  <c r="AF225" i="12"/>
  <c r="AG225" i="12"/>
  <c r="N226" i="13"/>
  <c r="X226" i="13"/>
  <c r="X225" i="13"/>
  <c r="X224" i="13"/>
  <c r="X223" i="13"/>
  <c r="X222" i="13"/>
  <c r="X221" i="13"/>
  <c r="X220" i="13"/>
  <c r="X219" i="13"/>
  <c r="X218" i="13"/>
  <c r="X217" i="13"/>
  <c r="X216" i="13"/>
  <c r="X215" i="13"/>
  <c r="X214" i="13"/>
  <c r="X213" i="13"/>
  <c r="A214" i="13"/>
  <c r="B214" i="13"/>
  <c r="C214" i="13"/>
  <c r="AB214" i="13"/>
  <c r="A215" i="13"/>
  <c r="B215" i="13"/>
  <c r="C215" i="13"/>
  <c r="AB215" i="13"/>
  <c r="A216" i="13"/>
  <c r="B216" i="13"/>
  <c r="C216" i="13"/>
  <c r="AB216" i="13"/>
  <c r="A217" i="13"/>
  <c r="B217" i="13"/>
  <c r="C217" i="13"/>
  <c r="AB217" i="13"/>
  <c r="A218" i="13"/>
  <c r="B218" i="13"/>
  <c r="C218" i="13"/>
  <c r="AB218" i="13"/>
  <c r="A219" i="13"/>
  <c r="B219" i="13"/>
  <c r="C219" i="13"/>
  <c r="AB219" i="13"/>
  <c r="A220" i="13"/>
  <c r="B220" i="13"/>
  <c r="C220" i="13"/>
  <c r="AB220" i="13"/>
  <c r="A221" i="13"/>
  <c r="B221" i="13"/>
  <c r="C221" i="13"/>
  <c r="AB221" i="13"/>
  <c r="A222" i="13"/>
  <c r="B222" i="13"/>
  <c r="C222" i="13"/>
  <c r="AB222" i="13"/>
  <c r="A223" i="13"/>
  <c r="B223" i="13"/>
  <c r="C223" i="13"/>
  <c r="AB223" i="13"/>
  <c r="A224" i="13"/>
  <c r="B224" i="13"/>
  <c r="C224" i="13"/>
  <c r="AB224" i="13"/>
  <c r="A225" i="13"/>
  <c r="B225" i="13"/>
  <c r="C225" i="13"/>
  <c r="AB225" i="13"/>
  <c r="A226" i="13"/>
  <c r="B226" i="13"/>
  <c r="C226" i="13"/>
  <c r="AB226" i="13"/>
  <c r="AO166" i="10"/>
  <c r="AO167" i="10"/>
  <c r="AO168" i="10"/>
  <c r="AO169" i="10"/>
  <c r="AO170" i="10"/>
  <c r="AO171" i="10"/>
  <c r="AO172" i="10"/>
  <c r="AO173" i="10"/>
  <c r="AO174" i="10"/>
  <c r="AO175" i="10"/>
  <c r="AO176" i="10"/>
  <c r="AO177" i="10"/>
  <c r="AO178" i="10"/>
  <c r="AO179" i="10"/>
  <c r="AO180" i="10"/>
  <c r="AO181" i="10"/>
  <c r="AO182" i="10"/>
  <c r="AO183" i="10"/>
  <c r="AO184" i="10"/>
  <c r="AO185" i="10"/>
  <c r="AO186" i="10"/>
  <c r="AO187" i="10"/>
  <c r="AO188" i="10"/>
  <c r="AO189" i="10"/>
  <c r="AO190" i="10"/>
  <c r="AO191" i="10"/>
  <c r="AO192" i="10"/>
  <c r="AO193" i="10"/>
  <c r="AO194" i="10"/>
  <c r="AO195" i="10"/>
  <c r="AO196" i="10"/>
  <c r="AO197" i="10"/>
  <c r="AO198" i="10"/>
  <c r="AO199" i="10"/>
  <c r="AO200" i="10"/>
  <c r="AO201" i="10"/>
  <c r="AO202" i="10"/>
  <c r="AO203" i="10"/>
  <c r="AO204" i="10"/>
  <c r="AO205" i="10"/>
  <c r="AO206" i="10"/>
  <c r="AO207" i="10"/>
  <c r="AO208" i="10"/>
  <c r="AO209" i="10"/>
  <c r="AO210" i="10"/>
  <c r="AO211" i="10"/>
  <c r="AO212" i="10"/>
  <c r="AO213" i="10"/>
  <c r="AO214" i="10"/>
  <c r="AO215" i="10"/>
  <c r="AO216" i="10"/>
  <c r="AO217" i="10"/>
  <c r="AO218" i="10"/>
  <c r="N218" i="10" s="1"/>
  <c r="AO219" i="10"/>
  <c r="N219" i="10" s="1"/>
  <c r="AO220" i="10"/>
  <c r="N220" i="10" s="1"/>
  <c r="AO221" i="10"/>
  <c r="N221" i="10" s="1"/>
  <c r="AO222" i="10"/>
  <c r="N222" i="10" s="1"/>
  <c r="AO223" i="10"/>
  <c r="N223" i="10" s="1"/>
  <c r="AO224" i="10"/>
  <c r="N224" i="10" s="1"/>
  <c r="AO225" i="10"/>
  <c r="N225" i="10" s="1"/>
  <c r="AO226" i="10"/>
  <c r="N226" i="10" s="1"/>
  <c r="AL226" i="10"/>
  <c r="J226" i="10" s="1"/>
  <c r="AK226" i="10"/>
  <c r="R226" i="10" s="1"/>
  <c r="AL225" i="10"/>
  <c r="J225" i="10" s="1"/>
  <c r="AK225" i="10"/>
  <c r="R225" i="10" s="1"/>
  <c r="AL224" i="10"/>
  <c r="J224" i="10" s="1"/>
  <c r="AK224" i="10"/>
  <c r="R224" i="10" s="1"/>
  <c r="AL223" i="10"/>
  <c r="J223" i="10" s="1"/>
  <c r="AK223" i="10"/>
  <c r="R223" i="10" s="1"/>
  <c r="AL222" i="10"/>
  <c r="J222" i="10" s="1"/>
  <c r="AK222" i="10"/>
  <c r="R222" i="10" s="1"/>
  <c r="AL221" i="10"/>
  <c r="J221" i="10" s="1"/>
  <c r="AK221" i="10"/>
  <c r="R221" i="10" s="1"/>
  <c r="AL220" i="10"/>
  <c r="J220" i="10" s="1"/>
  <c r="AK220" i="10"/>
  <c r="R220" i="10" s="1"/>
  <c r="AL219" i="10"/>
  <c r="J219" i="10" s="1"/>
  <c r="AK219" i="10"/>
  <c r="R219" i="10" s="1"/>
  <c r="AL218" i="10"/>
  <c r="J218" i="10" s="1"/>
  <c r="AK218" i="10"/>
  <c r="R218" i="10" s="1"/>
  <c r="AL217" i="10"/>
  <c r="J217" i="10" s="1"/>
  <c r="AK217" i="10"/>
  <c r="AL216" i="10"/>
  <c r="J216" i="10" s="1"/>
  <c r="AK216" i="10"/>
  <c r="AL215" i="10"/>
  <c r="J215" i="10" s="1"/>
  <c r="AK215" i="10"/>
  <c r="T226" i="10"/>
  <c r="S226" i="10"/>
  <c r="T225" i="10"/>
  <c r="S225" i="10"/>
  <c r="T224" i="10"/>
  <c r="S224" i="10"/>
  <c r="T223" i="10"/>
  <c r="S223" i="10"/>
  <c r="T222" i="10"/>
  <c r="S222" i="10"/>
  <c r="T221" i="10"/>
  <c r="S221" i="10"/>
  <c r="T220" i="10"/>
  <c r="S220" i="10"/>
  <c r="T219" i="10"/>
  <c r="S219" i="10"/>
  <c r="T218" i="10"/>
  <c r="S218" i="10"/>
  <c r="K216" i="10"/>
  <c r="K217" i="10"/>
  <c r="K218" i="10"/>
  <c r="K219" i="10"/>
  <c r="K220" i="10"/>
  <c r="K221" i="10"/>
  <c r="K222" i="10"/>
  <c r="K223" i="10"/>
  <c r="K224" i="10"/>
  <c r="K225" i="10"/>
  <c r="K226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12" i="10"/>
  <c r="D225" i="10"/>
  <c r="D22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18" i="12"/>
  <c r="D219" i="12"/>
  <c r="D220" i="12"/>
  <c r="D221" i="12"/>
  <c r="D222" i="12"/>
  <c r="D223" i="12"/>
  <c r="D224" i="12"/>
  <c r="D225" i="12"/>
  <c r="N196" i="9"/>
  <c r="N197" i="9"/>
  <c r="N198" i="9"/>
  <c r="N199" i="9"/>
  <c r="N200" i="9"/>
  <c r="N201" i="9"/>
  <c r="N202" i="9"/>
  <c r="N203" i="9"/>
  <c r="N204" i="9"/>
  <c r="N205" i="9"/>
  <c r="N206" i="9"/>
  <c r="W207" i="9"/>
  <c r="D265" i="5" l="1"/>
  <c r="G264" i="12"/>
  <c r="E264" i="9"/>
  <c r="Y264" i="5"/>
  <c r="H222" i="13"/>
  <c r="M222" i="13" s="1"/>
  <c r="F222" i="5" s="1"/>
  <c r="H219" i="13"/>
  <c r="Y221" i="10"/>
  <c r="M231" i="13"/>
  <c r="F231" i="5" s="1"/>
  <c r="AA231" i="5" s="1"/>
  <c r="M229" i="13"/>
  <c r="F229" i="5" s="1"/>
  <c r="Y225" i="10"/>
  <c r="Y223" i="10"/>
  <c r="Y220" i="10"/>
  <c r="H223" i="13"/>
  <c r="AH218" i="12"/>
  <c r="N218" i="13" s="1"/>
  <c r="S218" i="13" s="1"/>
  <c r="N218" i="5" s="1"/>
  <c r="AH225" i="12"/>
  <c r="N225" i="13" s="1"/>
  <c r="S225" i="13" s="1"/>
  <c r="N225" i="5" s="1"/>
  <c r="P219" i="10"/>
  <c r="AN219" i="12"/>
  <c r="AM219" i="12"/>
  <c r="AL221" i="12"/>
  <c r="AM221" i="12" s="1"/>
  <c r="AH223" i="12"/>
  <c r="N223" i="13" s="1"/>
  <c r="S223" i="13" s="1"/>
  <c r="N223" i="5" s="1"/>
  <c r="AH221" i="12"/>
  <c r="N221" i="13" s="1"/>
  <c r="S221" i="13" s="1"/>
  <c r="N221" i="5" s="1"/>
  <c r="AH219" i="12"/>
  <c r="N219" i="13" s="1"/>
  <c r="S219" i="13" s="1"/>
  <c r="N219" i="5" s="1"/>
  <c r="AH222" i="12"/>
  <c r="N222" i="13" s="1"/>
  <c r="S222" i="13" s="1"/>
  <c r="N222" i="5" s="1"/>
  <c r="AH220" i="12"/>
  <c r="N220" i="13" s="1"/>
  <c r="S220" i="13" s="1"/>
  <c r="N220" i="5" s="1"/>
  <c r="AH224" i="12"/>
  <c r="N224" i="13" s="1"/>
  <c r="S224" i="13" s="1"/>
  <c r="N224" i="5" s="1"/>
  <c r="Y219" i="10"/>
  <c r="P225" i="10"/>
  <c r="I226" i="13"/>
  <c r="H218" i="13"/>
  <c r="H225" i="13"/>
  <c r="H220" i="13"/>
  <c r="H224" i="13"/>
  <c r="H221" i="13"/>
  <c r="S226" i="13"/>
  <c r="N226" i="5" s="1"/>
  <c r="AN225" i="12"/>
  <c r="AM224" i="12"/>
  <c r="AL223" i="12"/>
  <c r="AM223" i="12" s="1"/>
  <c r="AN218" i="12"/>
  <c r="AN222" i="12"/>
  <c r="AL220" i="12"/>
  <c r="P223" i="10"/>
  <c r="P221" i="10"/>
  <c r="P218" i="10"/>
  <c r="Y222" i="10"/>
  <c r="P224" i="10"/>
  <c r="Y226" i="10"/>
  <c r="Y218" i="10"/>
  <c r="P220" i="10"/>
  <c r="Y224" i="10"/>
  <c r="P226" i="10"/>
  <c r="P222" i="10"/>
  <c r="Q13" i="5"/>
  <c r="Z221" i="10" l="1"/>
  <c r="AA221" i="10" s="1"/>
  <c r="H221" i="5" s="1"/>
  <c r="I221" i="5" s="1"/>
  <c r="AC266" i="10"/>
  <c r="AC265" i="10"/>
  <c r="AC264" i="10"/>
  <c r="AC263" i="10"/>
  <c r="AC262" i="10"/>
  <c r="D266" i="5"/>
  <c r="D267" i="5" s="1"/>
  <c r="D268" i="5" s="1"/>
  <c r="G265" i="12"/>
  <c r="Y265" i="5"/>
  <c r="E265" i="9"/>
  <c r="AC261" i="10"/>
  <c r="AC256" i="10"/>
  <c r="AC258" i="10"/>
  <c r="AC260" i="10"/>
  <c r="AC259" i="10"/>
  <c r="AC257" i="10"/>
  <c r="AC251" i="10"/>
  <c r="AC248" i="10"/>
  <c r="AC253" i="10"/>
  <c r="AC250" i="10"/>
  <c r="AC255" i="10"/>
  <c r="AC252" i="10"/>
  <c r="AC249" i="10"/>
  <c r="AC254" i="10"/>
  <c r="AC240" i="10"/>
  <c r="AC242" i="10"/>
  <c r="AC239" i="10"/>
  <c r="AC241" i="10"/>
  <c r="AC247" i="10"/>
  <c r="AC243" i="10"/>
  <c r="AB236" i="10"/>
  <c r="AC236" i="10" s="1"/>
  <c r="AC244" i="10"/>
  <c r="AC238" i="10"/>
  <c r="AC237" i="10"/>
  <c r="AC245" i="10"/>
  <c r="AC246" i="10"/>
  <c r="I236" i="5"/>
  <c r="AB232" i="10"/>
  <c r="AC232" i="10" s="1"/>
  <c r="I235" i="5"/>
  <c r="AB235" i="10"/>
  <c r="AC235" i="10" s="1"/>
  <c r="AB233" i="10"/>
  <c r="AC233" i="10" s="1"/>
  <c r="AB234" i="10"/>
  <c r="AC234" i="10" s="1"/>
  <c r="I234" i="5"/>
  <c r="I233" i="5"/>
  <c r="I232" i="5"/>
  <c r="M223" i="13"/>
  <c r="F223" i="5" s="1"/>
  <c r="AA223" i="5" s="1"/>
  <c r="M219" i="13"/>
  <c r="F219" i="5" s="1"/>
  <c r="AA219" i="5" s="1"/>
  <c r="Z223" i="10"/>
  <c r="AA223" i="10" s="1"/>
  <c r="H223" i="5" s="1"/>
  <c r="I223" i="5" s="1"/>
  <c r="Z220" i="10"/>
  <c r="AA220" i="10" s="1"/>
  <c r="H220" i="5" s="1"/>
  <c r="I220" i="5" s="1"/>
  <c r="Z225" i="10"/>
  <c r="AA225" i="10" s="1"/>
  <c r="H225" i="5" s="1"/>
  <c r="I225" i="5" s="1"/>
  <c r="AB227" i="10"/>
  <c r="AC227" i="10" s="1"/>
  <c r="AB228" i="10"/>
  <c r="AC228" i="10" s="1"/>
  <c r="AB229" i="10"/>
  <c r="AC229" i="10" s="1"/>
  <c r="AB230" i="10"/>
  <c r="AC230" i="10" s="1"/>
  <c r="AB231" i="10"/>
  <c r="AC231" i="10" s="1"/>
  <c r="I228" i="5"/>
  <c r="I229" i="5"/>
  <c r="I230" i="5"/>
  <c r="I227" i="5"/>
  <c r="I231" i="5"/>
  <c r="M227" i="13"/>
  <c r="F227" i="5" s="1"/>
  <c r="AA227" i="5" s="1"/>
  <c r="M220" i="13"/>
  <c r="F220" i="5" s="1"/>
  <c r="AA220" i="5" s="1"/>
  <c r="M228" i="13"/>
  <c r="F228" i="5" s="1"/>
  <c r="AA228" i="5" s="1"/>
  <c r="M225" i="13"/>
  <c r="F225" i="5" s="1"/>
  <c r="AA225" i="5" s="1"/>
  <c r="M218" i="13"/>
  <c r="F218" i="5" s="1"/>
  <c r="AA218" i="5" s="1"/>
  <c r="M221" i="13"/>
  <c r="F221" i="5" s="1"/>
  <c r="AA221" i="5" s="1"/>
  <c r="M226" i="13"/>
  <c r="F226" i="5" s="1"/>
  <c r="AA226" i="5" s="1"/>
  <c r="M224" i="13"/>
  <c r="F224" i="5" s="1"/>
  <c r="AA224" i="5" s="1"/>
  <c r="AA229" i="5"/>
  <c r="M230" i="13"/>
  <c r="F230" i="5" s="1"/>
  <c r="AA230" i="5" s="1"/>
  <c r="AN221" i="12"/>
  <c r="Z219" i="10"/>
  <c r="AA219" i="10" s="1"/>
  <c r="H219" i="5" s="1"/>
  <c r="I219" i="5" s="1"/>
  <c r="Z224" i="10"/>
  <c r="AA224" i="10" s="1"/>
  <c r="AB226" i="10"/>
  <c r="AB224" i="10"/>
  <c r="AB222" i="10"/>
  <c r="AB220" i="10"/>
  <c r="AB218" i="10"/>
  <c r="AB225" i="10"/>
  <c r="AB223" i="10"/>
  <c r="AB221" i="10"/>
  <c r="AB219" i="10"/>
  <c r="AA222" i="5"/>
  <c r="Z218" i="10"/>
  <c r="AA218" i="10" s="1"/>
  <c r="H218" i="5" s="1"/>
  <c r="I218" i="5" s="1"/>
  <c r="Z226" i="10"/>
  <c r="AA226" i="10" s="1"/>
  <c r="AN220" i="12"/>
  <c r="AM220" i="12"/>
  <c r="AN223" i="12"/>
  <c r="Z222" i="10"/>
  <c r="AA222" i="10" s="1"/>
  <c r="H222" i="5" s="1"/>
  <c r="I222" i="5" s="1"/>
  <c r="AB208" i="10"/>
  <c r="AB209" i="10"/>
  <c r="AB210" i="10"/>
  <c r="AB211" i="10"/>
  <c r="AB212" i="10"/>
  <c r="AB213" i="10"/>
  <c r="AB214" i="10"/>
  <c r="AB215" i="10"/>
  <c r="AB216" i="10"/>
  <c r="AB217" i="10"/>
  <c r="F211" i="10"/>
  <c r="F211" i="13" s="1"/>
  <c r="F212" i="10"/>
  <c r="F219" i="10" s="1"/>
  <c r="F213" i="10"/>
  <c r="F220" i="10" s="1"/>
  <c r="F227" i="10" s="1"/>
  <c r="F214" i="10"/>
  <c r="F215" i="10"/>
  <c r="F216" i="10"/>
  <c r="F210" i="10"/>
  <c r="F210" i="13" s="1"/>
  <c r="G214" i="10"/>
  <c r="T217" i="10"/>
  <c r="R217" i="10"/>
  <c r="N217" i="10"/>
  <c r="R216" i="10"/>
  <c r="T216" i="10"/>
  <c r="N216" i="10"/>
  <c r="R215" i="10"/>
  <c r="T215" i="10"/>
  <c r="N215" i="10"/>
  <c r="K215" i="10"/>
  <c r="S215" i="10"/>
  <c r="AL214" i="10"/>
  <c r="J214" i="10" s="1"/>
  <c r="AK214" i="10"/>
  <c r="T214" i="10"/>
  <c r="N214" i="10"/>
  <c r="K214" i="10"/>
  <c r="S214" i="10"/>
  <c r="AE214" i="12"/>
  <c r="AL214" i="12" s="1"/>
  <c r="AM214" i="12" s="1"/>
  <c r="AF214" i="12"/>
  <c r="AG214" i="12"/>
  <c r="AE215" i="12"/>
  <c r="AL215" i="12" s="1"/>
  <c r="AF215" i="12"/>
  <c r="AG215" i="12"/>
  <c r="AE216" i="12"/>
  <c r="AL216" i="12" s="1"/>
  <c r="AM216" i="12" s="1"/>
  <c r="AF216" i="12"/>
  <c r="AG216" i="12"/>
  <c r="AE217" i="12"/>
  <c r="AF217" i="12"/>
  <c r="AG217" i="12"/>
  <c r="AB129" i="12"/>
  <c r="AB130" i="12"/>
  <c r="AB131" i="12"/>
  <c r="AB132" i="12"/>
  <c r="AB133" i="12"/>
  <c r="AB134" i="12"/>
  <c r="AB135" i="12"/>
  <c r="AB136" i="12"/>
  <c r="AB137" i="12"/>
  <c r="AB138" i="12"/>
  <c r="AB139" i="12"/>
  <c r="AB140" i="12"/>
  <c r="AB141" i="12"/>
  <c r="AB142" i="12"/>
  <c r="AB143" i="12"/>
  <c r="AB144" i="12"/>
  <c r="AB145" i="12"/>
  <c r="AB146" i="12"/>
  <c r="AB147" i="12"/>
  <c r="AB148" i="12"/>
  <c r="AB149" i="12"/>
  <c r="AB150" i="12"/>
  <c r="AB151" i="12"/>
  <c r="AB152" i="12"/>
  <c r="AB153" i="12"/>
  <c r="AB154" i="12"/>
  <c r="AB155" i="12"/>
  <c r="AB156" i="12"/>
  <c r="AB157" i="12"/>
  <c r="AB158" i="12"/>
  <c r="AB159" i="12"/>
  <c r="AB14" i="13" s="1"/>
  <c r="AB160" i="12"/>
  <c r="AB161" i="12"/>
  <c r="AB162" i="12"/>
  <c r="AB163" i="12"/>
  <c r="AB164" i="12"/>
  <c r="AB165" i="12"/>
  <c r="AB166" i="12"/>
  <c r="AB167" i="12"/>
  <c r="AB168" i="12"/>
  <c r="AB169" i="12"/>
  <c r="AB170" i="12"/>
  <c r="AB171" i="12"/>
  <c r="AB172" i="12"/>
  <c r="AB173" i="12"/>
  <c r="AB174" i="12"/>
  <c r="AB175" i="12"/>
  <c r="AB176" i="12"/>
  <c r="AB177" i="12"/>
  <c r="AB178" i="12"/>
  <c r="AB179" i="12"/>
  <c r="AB180" i="12"/>
  <c r="AB181" i="12"/>
  <c r="AB182" i="12"/>
  <c r="AB183" i="12"/>
  <c r="AB184" i="12"/>
  <c r="AB185" i="12"/>
  <c r="AB186" i="12"/>
  <c r="AB187" i="12"/>
  <c r="AB188" i="12"/>
  <c r="AB189" i="12"/>
  <c r="AB190" i="12"/>
  <c r="AB191" i="12"/>
  <c r="AB192" i="12"/>
  <c r="AB193" i="12"/>
  <c r="AB194" i="12"/>
  <c r="AB195" i="12"/>
  <c r="X129" i="12"/>
  <c r="X130" i="12"/>
  <c r="X131" i="12"/>
  <c r="X132" i="12"/>
  <c r="X133" i="12"/>
  <c r="X134" i="12"/>
  <c r="X135" i="12"/>
  <c r="X136" i="12"/>
  <c r="X137" i="12"/>
  <c r="X138" i="12"/>
  <c r="X139" i="12"/>
  <c r="X140" i="12"/>
  <c r="X141" i="12"/>
  <c r="X142" i="12"/>
  <c r="X143" i="12"/>
  <c r="X144" i="12"/>
  <c r="X145" i="12"/>
  <c r="X146" i="12"/>
  <c r="X147" i="12"/>
  <c r="X148" i="12"/>
  <c r="X149" i="12"/>
  <c r="X150" i="12"/>
  <c r="X151" i="12"/>
  <c r="X152" i="12"/>
  <c r="X153" i="12"/>
  <c r="X154" i="12"/>
  <c r="X155" i="12"/>
  <c r="X156" i="12"/>
  <c r="X157" i="12"/>
  <c r="X158" i="12"/>
  <c r="X159" i="12"/>
  <c r="X160" i="12"/>
  <c r="X161" i="12"/>
  <c r="X162" i="12"/>
  <c r="X163" i="12"/>
  <c r="X164" i="12"/>
  <c r="X165" i="12"/>
  <c r="X166" i="12"/>
  <c r="X167" i="12"/>
  <c r="X168" i="12"/>
  <c r="X169" i="12"/>
  <c r="X170" i="12"/>
  <c r="X171" i="12"/>
  <c r="X172" i="12"/>
  <c r="X173" i="12"/>
  <c r="X174" i="12"/>
  <c r="X175" i="12"/>
  <c r="X176" i="12"/>
  <c r="X177" i="12"/>
  <c r="X178" i="12"/>
  <c r="X179" i="12"/>
  <c r="X180" i="12"/>
  <c r="X181" i="12"/>
  <c r="X182" i="12"/>
  <c r="X183" i="12"/>
  <c r="X184" i="12"/>
  <c r="X185" i="12"/>
  <c r="X186" i="12"/>
  <c r="X187" i="12"/>
  <c r="X188" i="12"/>
  <c r="X189" i="12"/>
  <c r="X190" i="12"/>
  <c r="X191" i="12"/>
  <c r="X192" i="12"/>
  <c r="X193" i="12"/>
  <c r="X194" i="12"/>
  <c r="X195" i="12"/>
  <c r="X196" i="12"/>
  <c r="X197" i="12"/>
  <c r="X198" i="12"/>
  <c r="X199" i="12"/>
  <c r="X200" i="12"/>
  <c r="X201" i="12"/>
  <c r="X202" i="12"/>
  <c r="X203" i="12"/>
  <c r="X204" i="12"/>
  <c r="X205" i="12"/>
  <c r="X206" i="12"/>
  <c r="S129" i="12"/>
  <c r="S130" i="12"/>
  <c r="S131" i="12"/>
  <c r="S132" i="12"/>
  <c r="S133" i="12"/>
  <c r="S134" i="12"/>
  <c r="S135" i="12"/>
  <c r="S136" i="12"/>
  <c r="S137" i="12"/>
  <c r="S138" i="12"/>
  <c r="S139" i="12"/>
  <c r="S140" i="12"/>
  <c r="S141" i="12"/>
  <c r="S142" i="12"/>
  <c r="S143" i="12"/>
  <c r="S144" i="12"/>
  <c r="S145" i="12"/>
  <c r="S146" i="12"/>
  <c r="S147" i="12"/>
  <c r="S148" i="12"/>
  <c r="S149" i="12"/>
  <c r="S150" i="12"/>
  <c r="S151" i="12"/>
  <c r="S152" i="12"/>
  <c r="S153" i="12"/>
  <c r="S154" i="12"/>
  <c r="S155" i="12"/>
  <c r="S156" i="12"/>
  <c r="S157" i="12"/>
  <c r="S158" i="12"/>
  <c r="S159" i="12"/>
  <c r="S160" i="12"/>
  <c r="S161" i="12"/>
  <c r="S162" i="12"/>
  <c r="S163" i="12"/>
  <c r="S164" i="12"/>
  <c r="S165" i="12"/>
  <c r="S166" i="12"/>
  <c r="S167" i="12"/>
  <c r="S168" i="12"/>
  <c r="S169" i="12"/>
  <c r="S170" i="12"/>
  <c r="S171" i="12"/>
  <c r="S172" i="12"/>
  <c r="S173" i="12"/>
  <c r="S174" i="12"/>
  <c r="S175" i="12"/>
  <c r="S176" i="12"/>
  <c r="D214" i="12"/>
  <c r="D215" i="12"/>
  <c r="D216" i="12"/>
  <c r="D217" i="12"/>
  <c r="W206" i="9"/>
  <c r="G13" i="13"/>
  <c r="F13" i="13" s="1"/>
  <c r="E13" i="9"/>
  <c r="G206" i="5"/>
  <c r="J206" i="5"/>
  <c r="Z206" i="5"/>
  <c r="G207" i="5"/>
  <c r="J207" i="5"/>
  <c r="Z207" i="5"/>
  <c r="G208" i="5"/>
  <c r="J208" i="5"/>
  <c r="S213" i="10"/>
  <c r="S212" i="10"/>
  <c r="A211" i="13"/>
  <c r="A210" i="13"/>
  <c r="I209" i="10"/>
  <c r="S208" i="10"/>
  <c r="A207" i="13"/>
  <c r="AG213" i="12"/>
  <c r="AF213" i="12"/>
  <c r="AE213" i="12"/>
  <c r="AG212" i="12"/>
  <c r="AF212" i="12"/>
  <c r="AE212" i="12"/>
  <c r="AL212" i="12" s="1"/>
  <c r="AM212" i="12" s="1"/>
  <c r="AG211" i="12"/>
  <c r="AF211" i="12"/>
  <c r="AE211" i="12"/>
  <c r="AL211" i="12" s="1"/>
  <c r="AG210" i="12"/>
  <c r="AF210" i="12"/>
  <c r="AE210" i="12"/>
  <c r="AL210" i="12" s="1"/>
  <c r="AN210" i="12" s="1"/>
  <c r="AG209" i="12"/>
  <c r="AF209" i="12"/>
  <c r="AE209" i="12"/>
  <c r="AG208" i="12"/>
  <c r="AF208" i="12"/>
  <c r="AE208" i="12"/>
  <c r="AG207" i="12"/>
  <c r="AF207" i="12"/>
  <c r="AE207" i="12"/>
  <c r="AG206" i="12"/>
  <c r="AF206" i="12"/>
  <c r="AE206" i="12"/>
  <c r="G213" i="13"/>
  <c r="D213" i="13" s="1"/>
  <c r="AB213" i="13"/>
  <c r="C213" i="13"/>
  <c r="B213" i="13"/>
  <c r="I212" i="13"/>
  <c r="X212" i="13"/>
  <c r="G212" i="13"/>
  <c r="D212" i="13" s="1"/>
  <c r="AB212" i="13"/>
  <c r="C212" i="13"/>
  <c r="B212" i="13"/>
  <c r="I211" i="13"/>
  <c r="X211" i="13"/>
  <c r="G211" i="13"/>
  <c r="D211" i="13" s="1"/>
  <c r="AB211" i="13"/>
  <c r="C211" i="13"/>
  <c r="B211" i="13"/>
  <c r="I210" i="13"/>
  <c r="X210" i="13"/>
  <c r="G210" i="13"/>
  <c r="D210" i="13" s="1"/>
  <c r="AB210" i="13"/>
  <c r="C210" i="13"/>
  <c r="B210" i="13"/>
  <c r="I209" i="13"/>
  <c r="X209" i="13"/>
  <c r="G209" i="13"/>
  <c r="D209" i="13" s="1"/>
  <c r="F209" i="13"/>
  <c r="AB209" i="13"/>
  <c r="C209" i="13"/>
  <c r="B209" i="13"/>
  <c r="I208" i="13"/>
  <c r="X208" i="13"/>
  <c r="G208" i="13"/>
  <c r="D208" i="13" s="1"/>
  <c r="F208" i="13"/>
  <c r="AB208" i="13"/>
  <c r="C208" i="13"/>
  <c r="B208" i="13"/>
  <c r="I207" i="13"/>
  <c r="X207" i="13"/>
  <c r="G207" i="13"/>
  <c r="D207" i="13" s="1"/>
  <c r="F207" i="13"/>
  <c r="AB207" i="13"/>
  <c r="C207" i="13"/>
  <c r="B207" i="13"/>
  <c r="I206" i="13"/>
  <c r="X206" i="13"/>
  <c r="G206" i="13"/>
  <c r="D206" i="13" s="1"/>
  <c r="F206" i="13"/>
  <c r="E206" i="13"/>
  <c r="AB206" i="13" s="1"/>
  <c r="C206" i="13"/>
  <c r="B206" i="13"/>
  <c r="A206" i="13"/>
  <c r="N213" i="10"/>
  <c r="N206" i="10"/>
  <c r="AL213" i="10"/>
  <c r="AK213" i="10"/>
  <c r="T213" i="10"/>
  <c r="K213" i="10"/>
  <c r="AL212" i="10"/>
  <c r="AK212" i="10"/>
  <c r="T212" i="10"/>
  <c r="N212" i="10"/>
  <c r="K212" i="10"/>
  <c r="AL211" i="10"/>
  <c r="AK211" i="10"/>
  <c r="T211" i="10"/>
  <c r="N211" i="10"/>
  <c r="K211" i="10"/>
  <c r="AL210" i="10"/>
  <c r="J210" i="10" s="1"/>
  <c r="AK210" i="10"/>
  <c r="T210" i="10"/>
  <c r="N210" i="10"/>
  <c r="K210" i="10"/>
  <c r="AL209" i="10"/>
  <c r="AK209" i="10"/>
  <c r="R209" i="10" s="1"/>
  <c r="T209" i="10"/>
  <c r="S209" i="10"/>
  <c r="N209" i="10"/>
  <c r="K209" i="10"/>
  <c r="AL208" i="10"/>
  <c r="AK208" i="10"/>
  <c r="T208" i="10"/>
  <c r="N208" i="10"/>
  <c r="K208" i="10"/>
  <c r="AL207" i="10"/>
  <c r="AK207" i="10"/>
  <c r="T207" i="10"/>
  <c r="N207" i="10"/>
  <c r="K207" i="10"/>
  <c r="AL206" i="10"/>
  <c r="J206" i="10" s="1"/>
  <c r="AK206" i="10"/>
  <c r="R206" i="10" s="1"/>
  <c r="T206" i="10"/>
  <c r="S206" i="10"/>
  <c r="K206" i="10"/>
  <c r="I206" i="10"/>
  <c r="D204" i="10"/>
  <c r="D205" i="10"/>
  <c r="D206" i="10"/>
  <c r="E12" i="9"/>
  <c r="G12" i="10" s="1"/>
  <c r="W151" i="9"/>
  <c r="W152" i="9"/>
  <c r="W153" i="9"/>
  <c r="W154" i="9"/>
  <c r="W155" i="9"/>
  <c r="W156" i="9"/>
  <c r="W157" i="9"/>
  <c r="W158" i="9"/>
  <c r="W159" i="9"/>
  <c r="W160" i="9"/>
  <c r="W161" i="9"/>
  <c r="W162" i="9"/>
  <c r="W163" i="9"/>
  <c r="W164" i="9"/>
  <c r="W165" i="9"/>
  <c r="W166" i="9"/>
  <c r="W167" i="9"/>
  <c r="W168" i="9"/>
  <c r="W169" i="9"/>
  <c r="W170" i="9"/>
  <c r="W171" i="9"/>
  <c r="W172" i="9"/>
  <c r="W173" i="9"/>
  <c r="W174" i="9"/>
  <c r="W175" i="9"/>
  <c r="W176" i="9"/>
  <c r="W177" i="9"/>
  <c r="W178" i="9"/>
  <c r="W179" i="9"/>
  <c r="W180" i="9"/>
  <c r="W181" i="9"/>
  <c r="W182" i="9"/>
  <c r="W183" i="9"/>
  <c r="W184" i="9"/>
  <c r="W185" i="9"/>
  <c r="W186" i="9"/>
  <c r="W187" i="9"/>
  <c r="W188" i="9"/>
  <c r="W189" i="9"/>
  <c r="W190" i="9"/>
  <c r="W191" i="9"/>
  <c r="W192" i="9"/>
  <c r="W193" i="9"/>
  <c r="W194" i="9"/>
  <c r="W195" i="9"/>
  <c r="W196" i="9"/>
  <c r="W197" i="9"/>
  <c r="W198" i="9"/>
  <c r="W199" i="9"/>
  <c r="W200" i="9"/>
  <c r="W201" i="9"/>
  <c r="W202" i="9"/>
  <c r="W203" i="9"/>
  <c r="W204" i="9"/>
  <c r="W205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D206" i="12"/>
  <c r="D207" i="12"/>
  <c r="D208" i="12"/>
  <c r="D209" i="12"/>
  <c r="D210" i="12"/>
  <c r="D211" i="12"/>
  <c r="D212" i="12"/>
  <c r="D213" i="12"/>
  <c r="AC221" i="10" l="1"/>
  <c r="Y268" i="5"/>
  <c r="E268" i="9"/>
  <c r="D269" i="5"/>
  <c r="G268" i="12"/>
  <c r="I14" i="5"/>
  <c r="E267" i="9"/>
  <c r="G267" i="12"/>
  <c r="Y267" i="5"/>
  <c r="G266" i="12"/>
  <c r="E266" i="9"/>
  <c r="Y266" i="5"/>
  <c r="F227" i="13"/>
  <c r="F234" i="10"/>
  <c r="AC225" i="10"/>
  <c r="AC220" i="10"/>
  <c r="AC223" i="10"/>
  <c r="F213" i="13"/>
  <c r="AC219" i="10"/>
  <c r="AC224" i="10"/>
  <c r="H224" i="5"/>
  <c r="I224" i="5" s="1"/>
  <c r="AC226" i="10"/>
  <c r="H226" i="5"/>
  <c r="I226" i="5" s="1"/>
  <c r="AC218" i="10"/>
  <c r="AH215" i="12"/>
  <c r="N215" i="13" s="1"/>
  <c r="S215" i="13" s="1"/>
  <c r="N215" i="5" s="1"/>
  <c r="AH214" i="12"/>
  <c r="N214" i="13" s="1"/>
  <c r="S214" i="13" s="1"/>
  <c r="N214" i="5" s="1"/>
  <c r="G215" i="10"/>
  <c r="G214" i="13"/>
  <c r="D214" i="13" s="1"/>
  <c r="F219" i="13"/>
  <c r="F226" i="10"/>
  <c r="F223" i="10"/>
  <c r="F216" i="13"/>
  <c r="F222" i="10"/>
  <c r="F215" i="13"/>
  <c r="F221" i="10"/>
  <c r="F214" i="13"/>
  <c r="F212" i="13"/>
  <c r="F220" i="13"/>
  <c r="AC222" i="10"/>
  <c r="H213" i="13"/>
  <c r="I213" i="13"/>
  <c r="I217" i="13"/>
  <c r="H217" i="13"/>
  <c r="I216" i="13"/>
  <c r="H216" i="13"/>
  <c r="H215" i="13"/>
  <c r="I215" i="13"/>
  <c r="I214" i="13"/>
  <c r="H214" i="13"/>
  <c r="F218" i="10"/>
  <c r="AH216" i="12"/>
  <c r="N216" i="13" s="1"/>
  <c r="S216" i="13" s="1"/>
  <c r="N216" i="5" s="1"/>
  <c r="AN216" i="12"/>
  <c r="Y209" i="10"/>
  <c r="Y215" i="10"/>
  <c r="F217" i="10"/>
  <c r="P214" i="10"/>
  <c r="P215" i="10"/>
  <c r="S216" i="10"/>
  <c r="Y216" i="10" s="1"/>
  <c r="P216" i="10"/>
  <c r="P217" i="10"/>
  <c r="R214" i="10"/>
  <c r="Y214" i="10" s="1"/>
  <c r="S217" i="10"/>
  <c r="Y217" i="10" s="1"/>
  <c r="AN215" i="12"/>
  <c r="AM215" i="12"/>
  <c r="AL217" i="12"/>
  <c r="AM217" i="12" s="1"/>
  <c r="AH217" i="12"/>
  <c r="N217" i="13" s="1"/>
  <c r="S217" i="13" s="1"/>
  <c r="N217" i="5" s="1"/>
  <c r="AN214" i="12"/>
  <c r="H212" i="13"/>
  <c r="M212" i="13" s="1"/>
  <c r="F212" i="5" s="1"/>
  <c r="R213" i="10"/>
  <c r="Y213" i="10" s="1"/>
  <c r="H208" i="13"/>
  <c r="M208" i="13" s="1"/>
  <c r="AH212" i="12"/>
  <c r="N212" i="13" s="1"/>
  <c r="S212" i="13" s="1"/>
  <c r="N212" i="5" s="1"/>
  <c r="AH208" i="12"/>
  <c r="N208" i="13" s="1"/>
  <c r="I207" i="10"/>
  <c r="J207" i="10"/>
  <c r="S207" i="10"/>
  <c r="R212" i="10"/>
  <c r="Y212" i="10" s="1"/>
  <c r="J213" i="10"/>
  <c r="A212" i="13"/>
  <c r="G13" i="12"/>
  <c r="G13" i="10"/>
  <c r="AH209" i="12"/>
  <c r="N209" i="13" s="1"/>
  <c r="S209" i="13" s="1"/>
  <c r="N209" i="5" s="1"/>
  <c r="AH207" i="12"/>
  <c r="N207" i="13" s="1"/>
  <c r="S207" i="13" s="1"/>
  <c r="N207" i="5" s="1"/>
  <c r="AN212" i="12"/>
  <c r="AH211" i="12"/>
  <c r="N211" i="13" s="1"/>
  <c r="S211" i="13" s="1"/>
  <c r="N211" i="5" s="1"/>
  <c r="AH213" i="12"/>
  <c r="AL207" i="12"/>
  <c r="AM207" i="12" s="1"/>
  <c r="AL213" i="12"/>
  <c r="AM213" i="12" s="1"/>
  <c r="AH210" i="12"/>
  <c r="N210" i="13" s="1"/>
  <c r="S210" i="13" s="1"/>
  <c r="N210" i="5" s="1"/>
  <c r="AH206" i="12"/>
  <c r="N206" i="13" s="1"/>
  <c r="S206" i="13" s="1"/>
  <c r="N206" i="5" s="1"/>
  <c r="J209" i="10"/>
  <c r="P209" i="10" s="1"/>
  <c r="Y206" i="10"/>
  <c r="R207" i="10"/>
  <c r="R210" i="10"/>
  <c r="J211" i="10"/>
  <c r="J212" i="10"/>
  <c r="P212" i="10" s="1"/>
  <c r="A209" i="13"/>
  <c r="H207" i="13"/>
  <c r="M207" i="13" s="1"/>
  <c r="F207" i="5" s="1"/>
  <c r="H210" i="13"/>
  <c r="M210" i="13" s="1"/>
  <c r="F210" i="5" s="1"/>
  <c r="I210" i="10"/>
  <c r="P210" i="10" s="1"/>
  <c r="R211" i="10"/>
  <c r="I211" i="10"/>
  <c r="A208" i="13"/>
  <c r="A213" i="13"/>
  <c r="I208" i="10"/>
  <c r="J208" i="10"/>
  <c r="S210" i="10"/>
  <c r="S211" i="10"/>
  <c r="R208" i="10"/>
  <c r="Y208" i="10" s="1"/>
  <c r="AM211" i="12"/>
  <c r="AN211" i="12"/>
  <c r="AL209" i="12"/>
  <c r="AM209" i="12" s="1"/>
  <c r="AM210" i="12"/>
  <c r="AL208" i="12"/>
  <c r="AM208" i="12" s="1"/>
  <c r="AL206" i="12"/>
  <c r="AM206" i="12" s="1"/>
  <c r="H211" i="13"/>
  <c r="M211" i="13" s="1"/>
  <c r="F211" i="5" s="1"/>
  <c r="H206" i="13"/>
  <c r="M206" i="13" s="1"/>
  <c r="F206" i="5" s="1"/>
  <c r="AA206" i="5" s="1"/>
  <c r="H209" i="13"/>
  <c r="M209" i="13" s="1"/>
  <c r="F209" i="5" s="1"/>
  <c r="P206" i="10"/>
  <c r="G269" i="12" l="1"/>
  <c r="D270" i="5"/>
  <c r="E269" i="9"/>
  <c r="Y269" i="5"/>
  <c r="F234" i="13"/>
  <c r="F241" i="10"/>
  <c r="F248" i="10" s="1"/>
  <c r="F208" i="5"/>
  <c r="AA208" i="5" s="1"/>
  <c r="S208" i="13"/>
  <c r="F226" i="13"/>
  <c r="F233" i="10"/>
  <c r="M214" i="13"/>
  <c r="F214" i="5" s="1"/>
  <c r="AA214" i="5" s="1"/>
  <c r="F221" i="13"/>
  <c r="F228" i="10"/>
  <c r="F222" i="13"/>
  <c r="F229" i="10"/>
  <c r="F236" i="10" s="1"/>
  <c r="F223" i="13"/>
  <c r="F230" i="10"/>
  <c r="M216" i="13"/>
  <c r="M213" i="13"/>
  <c r="AA209" i="5"/>
  <c r="AA211" i="5"/>
  <c r="AA210" i="5"/>
  <c r="N213" i="13"/>
  <c r="S213" i="13" s="1"/>
  <c r="N213" i="5" s="1"/>
  <c r="AA212" i="5"/>
  <c r="F218" i="13"/>
  <c r="F225" i="10"/>
  <c r="F232" i="10" s="1"/>
  <c r="F217" i="13"/>
  <c r="F224" i="10"/>
  <c r="G216" i="10"/>
  <c r="G215" i="13"/>
  <c r="D215" i="13" s="1"/>
  <c r="M215" i="13"/>
  <c r="F215" i="5" s="1"/>
  <c r="M217" i="13"/>
  <c r="F217" i="5" s="1"/>
  <c r="Z209" i="10"/>
  <c r="AA209" i="10" s="1"/>
  <c r="H209" i="5" s="1"/>
  <c r="I209" i="5" s="1"/>
  <c r="Z215" i="10"/>
  <c r="AA215" i="10" s="1"/>
  <c r="P213" i="10"/>
  <c r="Z213" i="10" s="1"/>
  <c r="AA213" i="10" s="1"/>
  <c r="H213" i="5" s="1"/>
  <c r="I213" i="5" s="1"/>
  <c r="Z206" i="10"/>
  <c r="AA206" i="10" s="1"/>
  <c r="H206" i="5" s="1"/>
  <c r="Z214" i="10"/>
  <c r="AA214" i="10" s="1"/>
  <c r="H214" i="5" s="1"/>
  <c r="I214" i="5" s="1"/>
  <c r="P207" i="10"/>
  <c r="Z216" i="10"/>
  <c r="AA216" i="10" s="1"/>
  <c r="H216" i="5" s="1"/>
  <c r="I216" i="5" s="1"/>
  <c r="Z217" i="10"/>
  <c r="AA217" i="10" s="1"/>
  <c r="H217" i="5" s="1"/>
  <c r="I217" i="5" s="1"/>
  <c r="AN217" i="12"/>
  <c r="AN209" i="12"/>
  <c r="AN207" i="12"/>
  <c r="Y207" i="10"/>
  <c r="AN213" i="12"/>
  <c r="AA207" i="5"/>
  <c r="Y210" i="10"/>
  <c r="Z210" i="10" s="1"/>
  <c r="AA210" i="10" s="1"/>
  <c r="H210" i="5" s="1"/>
  <c r="I210" i="5" s="1"/>
  <c r="P211" i="10"/>
  <c r="P208" i="10"/>
  <c r="Z208" i="10" s="1"/>
  <c r="AA208" i="10" s="1"/>
  <c r="H208" i="5" s="1"/>
  <c r="Z212" i="10"/>
  <c r="AA212" i="10" s="1"/>
  <c r="H212" i="5" s="1"/>
  <c r="I212" i="5" s="1"/>
  <c r="Y211" i="10"/>
  <c r="AN208" i="12"/>
  <c r="AN206" i="12"/>
  <c r="E270" i="9" l="1"/>
  <c r="G270" i="12"/>
  <c r="Y270" i="5"/>
  <c r="D271" i="5"/>
  <c r="F248" i="13"/>
  <c r="F255" i="10"/>
  <c r="F262" i="10" s="1"/>
  <c r="F241" i="13"/>
  <c r="F232" i="13"/>
  <c r="F239" i="10"/>
  <c r="F233" i="13"/>
  <c r="F240" i="10"/>
  <c r="F230" i="13"/>
  <c r="F237" i="10"/>
  <c r="F243" i="10"/>
  <c r="F236" i="13"/>
  <c r="N208" i="5"/>
  <c r="F229" i="13"/>
  <c r="F228" i="13"/>
  <c r="F235" i="10"/>
  <c r="AC215" i="10"/>
  <c r="H215" i="5"/>
  <c r="I215" i="5" s="1"/>
  <c r="F213" i="5"/>
  <c r="AA213" i="5" s="1"/>
  <c r="F216" i="5"/>
  <c r="AA216" i="5" s="1"/>
  <c r="F224" i="13"/>
  <c r="F231" i="10"/>
  <c r="F225" i="13"/>
  <c r="AA215" i="5"/>
  <c r="AA217" i="5"/>
  <c r="G217" i="10"/>
  <c r="G216" i="13"/>
  <c r="D216" i="13" s="1"/>
  <c r="AC214" i="10"/>
  <c r="AC217" i="10"/>
  <c r="AC216" i="10"/>
  <c r="Z207" i="10"/>
  <c r="AA207" i="10" s="1"/>
  <c r="H207" i="5" s="1"/>
  <c r="Z211" i="10"/>
  <c r="AA211" i="10" s="1"/>
  <c r="H211" i="5" s="1"/>
  <c r="I211" i="5" s="1"/>
  <c r="F262" i="13" l="1"/>
  <c r="F269" i="10"/>
  <c r="G271" i="12"/>
  <c r="Y271" i="5"/>
  <c r="D272" i="5"/>
  <c r="E271" i="9"/>
  <c r="F255" i="13"/>
  <c r="F243" i="13"/>
  <c r="F250" i="10"/>
  <c r="H13" i="5"/>
  <c r="F13" i="5"/>
  <c r="F235" i="13"/>
  <c r="F242" i="10"/>
  <c r="F244" i="10"/>
  <c r="F237" i="13"/>
  <c r="F247" i="10"/>
  <c r="F240" i="13"/>
  <c r="F239" i="13"/>
  <c r="F246" i="10"/>
  <c r="F231" i="13"/>
  <c r="F238" i="10"/>
  <c r="G218" i="10"/>
  <c r="G217" i="13"/>
  <c r="D217" i="13" s="1"/>
  <c r="W149" i="9"/>
  <c r="W150" i="9"/>
  <c r="W148" i="9"/>
  <c r="AB149" i="10"/>
  <c r="AB150" i="10"/>
  <c r="AB151" i="10"/>
  <c r="AB152" i="10"/>
  <c r="AB153" i="10"/>
  <c r="AB154" i="10"/>
  <c r="AB155" i="10"/>
  <c r="AB156" i="10"/>
  <c r="AB157" i="10"/>
  <c r="AB158" i="10"/>
  <c r="AB159" i="10"/>
  <c r="AB160" i="10"/>
  <c r="AB161" i="10"/>
  <c r="AB162" i="10"/>
  <c r="AB163" i="10"/>
  <c r="AB164" i="10"/>
  <c r="AB165" i="10"/>
  <c r="AB166" i="10"/>
  <c r="AB167" i="10"/>
  <c r="AB168" i="10"/>
  <c r="AB169" i="10"/>
  <c r="AB170" i="10"/>
  <c r="AB171" i="10"/>
  <c r="AB172" i="10"/>
  <c r="AB173" i="10"/>
  <c r="AB174" i="10"/>
  <c r="AB175" i="10"/>
  <c r="AB148" i="10"/>
  <c r="F269" i="13" l="1"/>
  <c r="F276" i="10"/>
  <c r="F283" i="10" s="1"/>
  <c r="G272" i="12"/>
  <c r="D273" i="5"/>
  <c r="E272" i="9"/>
  <c r="Y272" i="5"/>
  <c r="F250" i="13"/>
  <c r="F257" i="10"/>
  <c r="F244" i="13"/>
  <c r="F251" i="10"/>
  <c r="F242" i="13"/>
  <c r="F249" i="10"/>
  <c r="F256" i="10" s="1"/>
  <c r="F246" i="13"/>
  <c r="F253" i="10"/>
  <c r="F247" i="13"/>
  <c r="F254" i="10"/>
  <c r="F245" i="10"/>
  <c r="F238" i="13"/>
  <c r="G219" i="10"/>
  <c r="G218" i="13"/>
  <c r="D218" i="13" s="1"/>
  <c r="D8" i="14"/>
  <c r="C8" i="5"/>
  <c r="Q8" i="5" s="1"/>
  <c r="C9" i="5"/>
  <c r="Q9" i="5" s="1"/>
  <c r="C10" i="5"/>
  <c r="Q10" i="5" s="1"/>
  <c r="C11" i="5"/>
  <c r="Q11" i="5" s="1"/>
  <c r="G8" i="13"/>
  <c r="F8" i="13" s="1"/>
  <c r="V8" i="13" s="1"/>
  <c r="G9" i="13"/>
  <c r="F9" i="13" s="1"/>
  <c r="V9" i="13" s="1"/>
  <c r="G10" i="13"/>
  <c r="F10" i="13" s="1"/>
  <c r="V10" i="13" s="1"/>
  <c r="G11" i="13"/>
  <c r="F11" i="13" s="1"/>
  <c r="V11" i="13" s="1"/>
  <c r="B117" i="9"/>
  <c r="D117" i="12" s="1"/>
  <c r="B118" i="9"/>
  <c r="D118" i="12" s="1"/>
  <c r="B119" i="9"/>
  <c r="D119" i="12" s="1"/>
  <c r="B120" i="9"/>
  <c r="D120" i="12" s="1"/>
  <c r="B121" i="9"/>
  <c r="D121" i="12" s="1"/>
  <c r="B122" i="9"/>
  <c r="D122" i="12" s="1"/>
  <c r="B123" i="9"/>
  <c r="D123" i="10" s="1"/>
  <c r="B124" i="9"/>
  <c r="D124" i="10" s="1"/>
  <c r="B125" i="9"/>
  <c r="D125" i="12" s="1"/>
  <c r="B126" i="9"/>
  <c r="D126" i="12" s="1"/>
  <c r="B127" i="9"/>
  <c r="D127" i="12" s="1"/>
  <c r="B128" i="9"/>
  <c r="D128" i="12" s="1"/>
  <c r="B129" i="9"/>
  <c r="D129" i="12" s="1"/>
  <c r="B130" i="9"/>
  <c r="D130" i="10" s="1"/>
  <c r="B131" i="9"/>
  <c r="D131" i="10" s="1"/>
  <c r="B132" i="9"/>
  <c r="D132" i="10" s="1"/>
  <c r="B133" i="9"/>
  <c r="D133" i="12" s="1"/>
  <c r="B134" i="9"/>
  <c r="D134" i="12" s="1"/>
  <c r="B135" i="9"/>
  <c r="D135" i="12" s="1"/>
  <c r="B136" i="9"/>
  <c r="D136" i="12" s="1"/>
  <c r="B137" i="9"/>
  <c r="D137" i="12" s="1"/>
  <c r="B138" i="9"/>
  <c r="D138" i="12" s="1"/>
  <c r="B139" i="9"/>
  <c r="D139" i="10" s="1"/>
  <c r="B140" i="9"/>
  <c r="D140" i="10" s="1"/>
  <c r="B141" i="9"/>
  <c r="D141" i="12" s="1"/>
  <c r="B142" i="9"/>
  <c r="D142" i="12" s="1"/>
  <c r="B143" i="9"/>
  <c r="D143" i="12" s="1"/>
  <c r="B144" i="9"/>
  <c r="D144" i="12" s="1"/>
  <c r="B145" i="9"/>
  <c r="D145" i="12" s="1"/>
  <c r="B146" i="9"/>
  <c r="D146" i="10" s="1"/>
  <c r="B147" i="9"/>
  <c r="D147" i="10" s="1"/>
  <c r="B148" i="9"/>
  <c r="D148" i="10" s="1"/>
  <c r="B149" i="9"/>
  <c r="D149" i="12" s="1"/>
  <c r="B150" i="9"/>
  <c r="D150" i="12" s="1"/>
  <c r="B151" i="9"/>
  <c r="D151" i="12" s="1"/>
  <c r="B152" i="9"/>
  <c r="D152" i="12" s="1"/>
  <c r="B153" i="9"/>
  <c r="D153" i="12" s="1"/>
  <c r="B154" i="9"/>
  <c r="D154" i="12" s="1"/>
  <c r="B155" i="9"/>
  <c r="D155" i="10" s="1"/>
  <c r="B156" i="9"/>
  <c r="D156" i="10" s="1"/>
  <c r="B157" i="9"/>
  <c r="D157" i="12" s="1"/>
  <c r="B158" i="9"/>
  <c r="D158" i="12" s="1"/>
  <c r="B159" i="9"/>
  <c r="D159" i="12" s="1"/>
  <c r="B160" i="9"/>
  <c r="D160" i="12" s="1"/>
  <c r="B161" i="9"/>
  <c r="D161" i="12" s="1"/>
  <c r="B162" i="9"/>
  <c r="D162" i="10" s="1"/>
  <c r="B163" i="9"/>
  <c r="D163" i="10" s="1"/>
  <c r="B164" i="9"/>
  <c r="D164" i="10" s="1"/>
  <c r="B165" i="9"/>
  <c r="D165" i="12" s="1"/>
  <c r="B166" i="9"/>
  <c r="D166" i="12" s="1"/>
  <c r="B167" i="9"/>
  <c r="D167" i="12" s="1"/>
  <c r="B168" i="9"/>
  <c r="D168" i="12" s="1"/>
  <c r="B169" i="9"/>
  <c r="D169" i="12" s="1"/>
  <c r="B170" i="9"/>
  <c r="D170" i="10" s="1"/>
  <c r="B171" i="9"/>
  <c r="D171" i="10" s="1"/>
  <c r="B172" i="9"/>
  <c r="D172" i="10" s="1"/>
  <c r="B173" i="9"/>
  <c r="D173" i="12" s="1"/>
  <c r="B174" i="9"/>
  <c r="D174" i="12" s="1"/>
  <c r="B175" i="9"/>
  <c r="D175" i="12" s="1"/>
  <c r="E8" i="9"/>
  <c r="E9" i="9"/>
  <c r="G9" i="12" s="1"/>
  <c r="E10" i="9"/>
  <c r="G10" i="12" s="1"/>
  <c r="E11" i="9"/>
  <c r="G11" i="12" s="1"/>
  <c r="G177" i="5"/>
  <c r="J177" i="5"/>
  <c r="G178" i="5"/>
  <c r="J178" i="5"/>
  <c r="G179" i="5"/>
  <c r="J179" i="5"/>
  <c r="G180" i="5"/>
  <c r="J180" i="5"/>
  <c r="G181" i="5"/>
  <c r="J181" i="5"/>
  <c r="G182" i="5"/>
  <c r="J182" i="5"/>
  <c r="G183" i="5"/>
  <c r="J183" i="5"/>
  <c r="G184" i="5"/>
  <c r="J184" i="5"/>
  <c r="G185" i="5"/>
  <c r="J185" i="5"/>
  <c r="G186" i="5"/>
  <c r="J186" i="5"/>
  <c r="G187" i="5"/>
  <c r="J187" i="5"/>
  <c r="G188" i="5"/>
  <c r="J188" i="5"/>
  <c r="G189" i="5"/>
  <c r="J189" i="5"/>
  <c r="G190" i="5"/>
  <c r="J190" i="5"/>
  <c r="G191" i="5"/>
  <c r="J191" i="5"/>
  <c r="G192" i="5"/>
  <c r="J192" i="5"/>
  <c r="G193" i="5"/>
  <c r="J193" i="5"/>
  <c r="G194" i="5"/>
  <c r="J194" i="5"/>
  <c r="G195" i="5"/>
  <c r="J195" i="5"/>
  <c r="G196" i="5"/>
  <c r="J196" i="5"/>
  <c r="G197" i="5"/>
  <c r="J197" i="5"/>
  <c r="G198" i="5"/>
  <c r="J198" i="5"/>
  <c r="G199" i="5"/>
  <c r="J199" i="5"/>
  <c r="G200" i="5"/>
  <c r="J200" i="5"/>
  <c r="G201" i="5"/>
  <c r="J201" i="5"/>
  <c r="G202" i="5"/>
  <c r="J202" i="5"/>
  <c r="G203" i="5"/>
  <c r="J203" i="5"/>
  <c r="G204" i="5"/>
  <c r="J204" i="5"/>
  <c r="G205" i="5"/>
  <c r="J205" i="5"/>
  <c r="H201" i="13"/>
  <c r="I202" i="13"/>
  <c r="H203" i="13"/>
  <c r="H204" i="13"/>
  <c r="H205" i="13"/>
  <c r="X199" i="13"/>
  <c r="X200" i="13"/>
  <c r="X201" i="13"/>
  <c r="X202" i="13"/>
  <c r="X203" i="13"/>
  <c r="X204" i="13"/>
  <c r="X205" i="13"/>
  <c r="A177" i="13"/>
  <c r="B177" i="13"/>
  <c r="C177" i="13"/>
  <c r="E177" i="13"/>
  <c r="AB177" i="13" s="1"/>
  <c r="F177" i="13"/>
  <c r="G177" i="13"/>
  <c r="D177" i="13" s="1"/>
  <c r="A178" i="13"/>
  <c r="B178" i="13"/>
  <c r="C178" i="13"/>
  <c r="E178" i="13"/>
  <c r="F178" i="13"/>
  <c r="G178" i="13"/>
  <c r="D178" i="13" s="1"/>
  <c r="A179" i="13"/>
  <c r="B179" i="13"/>
  <c r="C179" i="13"/>
  <c r="E179" i="13"/>
  <c r="F179" i="13"/>
  <c r="G179" i="13"/>
  <c r="D179" i="13" s="1"/>
  <c r="A180" i="13"/>
  <c r="B180" i="13"/>
  <c r="C180" i="13"/>
  <c r="E180" i="13"/>
  <c r="F180" i="13"/>
  <c r="G180" i="13"/>
  <c r="D180" i="13" s="1"/>
  <c r="A181" i="13"/>
  <c r="B181" i="13"/>
  <c r="C181" i="13"/>
  <c r="E181" i="13"/>
  <c r="F181" i="13"/>
  <c r="G181" i="13"/>
  <c r="D181" i="13" s="1"/>
  <c r="A182" i="13"/>
  <c r="B182" i="13"/>
  <c r="C182" i="13"/>
  <c r="E182" i="13"/>
  <c r="F182" i="13"/>
  <c r="G182" i="13"/>
  <c r="D182" i="13" s="1"/>
  <c r="A183" i="13"/>
  <c r="B183" i="13"/>
  <c r="C183" i="13"/>
  <c r="E183" i="13"/>
  <c r="F183" i="13"/>
  <c r="G183" i="13"/>
  <c r="D183" i="13" s="1"/>
  <c r="A184" i="13"/>
  <c r="B184" i="13"/>
  <c r="C184" i="13"/>
  <c r="E184" i="13"/>
  <c r="F184" i="13"/>
  <c r="G184" i="13"/>
  <c r="D184" i="13" s="1"/>
  <c r="A185" i="13"/>
  <c r="B185" i="13"/>
  <c r="C185" i="13"/>
  <c r="E185" i="13"/>
  <c r="F185" i="13"/>
  <c r="G185" i="13"/>
  <c r="D185" i="13" s="1"/>
  <c r="A186" i="13"/>
  <c r="B186" i="13"/>
  <c r="C186" i="13"/>
  <c r="E186" i="13"/>
  <c r="F186" i="13"/>
  <c r="G186" i="13"/>
  <c r="D186" i="13" s="1"/>
  <c r="A187" i="13"/>
  <c r="B187" i="13"/>
  <c r="C187" i="13"/>
  <c r="E187" i="13"/>
  <c r="F187" i="13"/>
  <c r="G187" i="13"/>
  <c r="D187" i="13" s="1"/>
  <c r="A188" i="13"/>
  <c r="B188" i="13"/>
  <c r="C188" i="13"/>
  <c r="E188" i="13"/>
  <c r="F188" i="13"/>
  <c r="G188" i="13"/>
  <c r="D188" i="13" s="1"/>
  <c r="A189" i="13"/>
  <c r="B189" i="13"/>
  <c r="C189" i="13"/>
  <c r="E189" i="13"/>
  <c r="F189" i="13"/>
  <c r="G189" i="13"/>
  <c r="D189" i="13" s="1"/>
  <c r="A190" i="13"/>
  <c r="B190" i="13"/>
  <c r="C190" i="13"/>
  <c r="E190" i="13"/>
  <c r="F190" i="13"/>
  <c r="G190" i="13"/>
  <c r="D190" i="13" s="1"/>
  <c r="A191" i="13"/>
  <c r="B191" i="13"/>
  <c r="C191" i="13"/>
  <c r="E191" i="13"/>
  <c r="F191" i="13"/>
  <c r="G191" i="13"/>
  <c r="D191" i="13" s="1"/>
  <c r="A192" i="13"/>
  <c r="B192" i="13"/>
  <c r="C192" i="13"/>
  <c r="E192" i="13"/>
  <c r="F192" i="13"/>
  <c r="G192" i="13"/>
  <c r="D192" i="13" s="1"/>
  <c r="A193" i="13"/>
  <c r="B193" i="13"/>
  <c r="C193" i="13"/>
  <c r="E193" i="13"/>
  <c r="F193" i="13"/>
  <c r="G193" i="13"/>
  <c r="D193" i="13" s="1"/>
  <c r="A194" i="13"/>
  <c r="B194" i="13"/>
  <c r="C194" i="13"/>
  <c r="E194" i="13"/>
  <c r="F194" i="13"/>
  <c r="G194" i="13"/>
  <c r="D194" i="13" s="1"/>
  <c r="A195" i="13"/>
  <c r="B195" i="13"/>
  <c r="C195" i="13"/>
  <c r="E195" i="13"/>
  <c r="F195" i="13"/>
  <c r="G195" i="13"/>
  <c r="D195" i="13" s="1"/>
  <c r="A196" i="13"/>
  <c r="B196" i="13"/>
  <c r="C196" i="13"/>
  <c r="E196" i="13"/>
  <c r="F196" i="13"/>
  <c r="G196" i="13"/>
  <c r="D196" i="13" s="1"/>
  <c r="A197" i="13"/>
  <c r="B197" i="13"/>
  <c r="C197" i="13"/>
  <c r="E197" i="13"/>
  <c r="F197" i="13"/>
  <c r="G197" i="13"/>
  <c r="D197" i="13" s="1"/>
  <c r="A198" i="13"/>
  <c r="B198" i="13"/>
  <c r="C198" i="13"/>
  <c r="E198" i="13"/>
  <c r="F198" i="13"/>
  <c r="G198" i="13"/>
  <c r="D198" i="13" s="1"/>
  <c r="A199" i="13"/>
  <c r="B199" i="13"/>
  <c r="C199" i="13"/>
  <c r="E199" i="13"/>
  <c r="AB199" i="13" s="1"/>
  <c r="F199" i="13"/>
  <c r="G199" i="13"/>
  <c r="D199" i="13" s="1"/>
  <c r="A200" i="13"/>
  <c r="B200" i="13"/>
  <c r="C200" i="13"/>
  <c r="E200" i="13"/>
  <c r="AB200" i="13" s="1"/>
  <c r="F200" i="13"/>
  <c r="G200" i="13"/>
  <c r="D200" i="13" s="1"/>
  <c r="A201" i="13"/>
  <c r="B201" i="13"/>
  <c r="C201" i="13"/>
  <c r="E201" i="13"/>
  <c r="AB201" i="13" s="1"/>
  <c r="F201" i="13"/>
  <c r="G201" i="13"/>
  <c r="D201" i="13" s="1"/>
  <c r="A202" i="13"/>
  <c r="B202" i="13"/>
  <c r="C202" i="13"/>
  <c r="E202" i="13"/>
  <c r="AB202" i="13" s="1"/>
  <c r="F202" i="13"/>
  <c r="G202" i="13"/>
  <c r="D202" i="13" s="1"/>
  <c r="A203" i="13"/>
  <c r="B203" i="13"/>
  <c r="C203" i="13"/>
  <c r="E203" i="13"/>
  <c r="AB203" i="13" s="1"/>
  <c r="F203" i="13"/>
  <c r="G203" i="13"/>
  <c r="D203" i="13" s="1"/>
  <c r="A204" i="13"/>
  <c r="B204" i="13"/>
  <c r="C204" i="13"/>
  <c r="E204" i="13"/>
  <c r="AB204" i="13" s="1"/>
  <c r="F204" i="13"/>
  <c r="G204" i="13"/>
  <c r="D204" i="13" s="1"/>
  <c r="A205" i="13"/>
  <c r="B205" i="13"/>
  <c r="C205" i="13"/>
  <c r="E205" i="13"/>
  <c r="AB205" i="13" s="1"/>
  <c r="F205" i="13"/>
  <c r="G205" i="13"/>
  <c r="D205" i="13" s="1"/>
  <c r="AG200" i="12"/>
  <c r="AG201" i="12"/>
  <c r="AG202" i="12"/>
  <c r="AG203" i="12"/>
  <c r="AG204" i="12"/>
  <c r="AG205" i="12"/>
  <c r="AF201" i="12"/>
  <c r="AF202" i="12"/>
  <c r="AF203" i="12"/>
  <c r="AF204" i="12"/>
  <c r="AF205" i="12"/>
  <c r="AE204" i="12"/>
  <c r="AL204" i="12" s="1"/>
  <c r="AM204" i="12" s="1"/>
  <c r="AE205" i="12"/>
  <c r="AL205" i="12" s="1"/>
  <c r="AM205" i="12" s="1"/>
  <c r="AE202" i="12"/>
  <c r="AL202" i="12" s="1"/>
  <c r="AM202" i="12" s="1"/>
  <c r="AE203" i="12"/>
  <c r="AL203" i="12" s="1"/>
  <c r="AM203" i="12" s="1"/>
  <c r="E176" i="13"/>
  <c r="AK200" i="10"/>
  <c r="AL200" i="10"/>
  <c r="AK201" i="10"/>
  <c r="R201" i="10" s="1"/>
  <c r="AL201" i="10"/>
  <c r="J201" i="10" s="1"/>
  <c r="AK202" i="10"/>
  <c r="R202" i="10" s="1"/>
  <c r="AL202" i="10"/>
  <c r="J202" i="10" s="1"/>
  <c r="AK203" i="10"/>
  <c r="R203" i="10" s="1"/>
  <c r="AL203" i="10"/>
  <c r="J203" i="10" s="1"/>
  <c r="AK204" i="10"/>
  <c r="R204" i="10" s="1"/>
  <c r="AL204" i="10"/>
  <c r="J204" i="10" s="1"/>
  <c r="AK205" i="10"/>
  <c r="R205" i="10" s="1"/>
  <c r="AL205" i="10"/>
  <c r="J205" i="10" s="1"/>
  <c r="I202" i="10"/>
  <c r="I201" i="10"/>
  <c r="K201" i="10"/>
  <c r="N201" i="10"/>
  <c r="S201" i="10"/>
  <c r="T201" i="10"/>
  <c r="K202" i="10"/>
  <c r="N202" i="10"/>
  <c r="S202" i="10"/>
  <c r="T202" i="10"/>
  <c r="I203" i="10"/>
  <c r="K203" i="10"/>
  <c r="N203" i="10"/>
  <c r="S203" i="10"/>
  <c r="T203" i="10"/>
  <c r="I204" i="10"/>
  <c r="K204" i="10"/>
  <c r="N204" i="10"/>
  <c r="S204" i="10"/>
  <c r="T204" i="10"/>
  <c r="I205" i="10"/>
  <c r="K205" i="10"/>
  <c r="N205" i="10"/>
  <c r="S205" i="10"/>
  <c r="T205" i="10"/>
  <c r="Z202" i="5"/>
  <c r="Z203" i="5"/>
  <c r="Z204" i="5"/>
  <c r="Z205" i="5"/>
  <c r="X193" i="13"/>
  <c r="H193" i="13"/>
  <c r="X194" i="13"/>
  <c r="H194" i="13"/>
  <c r="X195" i="13"/>
  <c r="H195" i="13"/>
  <c r="X196" i="13"/>
  <c r="H196" i="13"/>
  <c r="X197" i="13"/>
  <c r="H197" i="13"/>
  <c r="X198" i="13"/>
  <c r="H199" i="13"/>
  <c r="H200" i="13"/>
  <c r="AE194" i="12"/>
  <c r="AL194" i="12" s="1"/>
  <c r="AM194" i="12" s="1"/>
  <c r="AF194" i="12"/>
  <c r="AG194" i="12"/>
  <c r="AE195" i="12"/>
  <c r="AL195" i="12" s="1"/>
  <c r="AF195" i="12"/>
  <c r="AG195" i="12"/>
  <c r="AE196" i="12"/>
  <c r="AL196" i="12" s="1"/>
  <c r="AF196" i="12"/>
  <c r="AG196" i="12"/>
  <c r="AE197" i="12"/>
  <c r="AF197" i="12"/>
  <c r="AG197" i="12"/>
  <c r="AE198" i="12"/>
  <c r="AF198" i="12"/>
  <c r="AG198" i="12"/>
  <c r="AE199" i="12"/>
  <c r="AF199" i="12"/>
  <c r="AG199" i="12"/>
  <c r="AE200" i="12"/>
  <c r="AL200" i="12" s="1"/>
  <c r="AF200" i="12"/>
  <c r="AE201" i="12"/>
  <c r="AL201" i="12" s="1"/>
  <c r="K194" i="10"/>
  <c r="N194" i="10"/>
  <c r="T194" i="10"/>
  <c r="AK194" i="10"/>
  <c r="AL194" i="10"/>
  <c r="K195" i="10"/>
  <c r="N195" i="10"/>
  <c r="T195" i="10"/>
  <c r="AK195" i="10"/>
  <c r="AL195" i="10"/>
  <c r="K196" i="10"/>
  <c r="N196" i="10"/>
  <c r="T196" i="10"/>
  <c r="AK196" i="10"/>
  <c r="AL196" i="10"/>
  <c r="K197" i="10"/>
  <c r="N197" i="10"/>
  <c r="T197" i="10"/>
  <c r="AK197" i="10"/>
  <c r="AL197" i="10"/>
  <c r="K198" i="10"/>
  <c r="N198" i="10"/>
  <c r="T198" i="10"/>
  <c r="AK198" i="10"/>
  <c r="AL198" i="10"/>
  <c r="K199" i="10"/>
  <c r="N199" i="10"/>
  <c r="T199" i="10"/>
  <c r="AK199" i="10"/>
  <c r="AL199" i="10"/>
  <c r="K200" i="10"/>
  <c r="N200" i="10"/>
  <c r="T200" i="10"/>
  <c r="Z194" i="5"/>
  <c r="Z195" i="5"/>
  <c r="Z196" i="5"/>
  <c r="Z197" i="5"/>
  <c r="Z198" i="5"/>
  <c r="Z199" i="5"/>
  <c r="Z200" i="5"/>
  <c r="Z201" i="5"/>
  <c r="X181" i="13"/>
  <c r="H181" i="13"/>
  <c r="X182" i="13"/>
  <c r="I182" i="13"/>
  <c r="X183" i="13"/>
  <c r="H183" i="13"/>
  <c r="X184" i="13"/>
  <c r="H184" i="13"/>
  <c r="X185" i="13"/>
  <c r="I185" i="13"/>
  <c r="X186" i="13"/>
  <c r="I186" i="13"/>
  <c r="X187" i="13"/>
  <c r="X188" i="13"/>
  <c r="H188" i="13"/>
  <c r="X189" i="13"/>
  <c r="H189" i="13"/>
  <c r="X190" i="13"/>
  <c r="I190" i="13"/>
  <c r="X191" i="13"/>
  <c r="H191" i="13"/>
  <c r="X192" i="13"/>
  <c r="H192" i="13"/>
  <c r="AK177" i="10"/>
  <c r="R177" i="10" s="1"/>
  <c r="AL177" i="10"/>
  <c r="J177" i="10" s="1"/>
  <c r="AK178" i="10"/>
  <c r="AL178" i="10"/>
  <c r="J178" i="10" s="1"/>
  <c r="AK179" i="10"/>
  <c r="AL179" i="10"/>
  <c r="AK180" i="10"/>
  <c r="AL180" i="10"/>
  <c r="AK181" i="10"/>
  <c r="AL181" i="10"/>
  <c r="AK182" i="10"/>
  <c r="AL182" i="10"/>
  <c r="AK183" i="10"/>
  <c r="AL183" i="10"/>
  <c r="AK184" i="10"/>
  <c r="AL184" i="10"/>
  <c r="AK185" i="10"/>
  <c r="AL185" i="10"/>
  <c r="AK186" i="10"/>
  <c r="AL186" i="10"/>
  <c r="AK187" i="10"/>
  <c r="AL187" i="10"/>
  <c r="AK188" i="10"/>
  <c r="AL188" i="10"/>
  <c r="AK189" i="10"/>
  <c r="AL189" i="10"/>
  <c r="T181" i="10"/>
  <c r="T182" i="10"/>
  <c r="T183" i="10"/>
  <c r="T184" i="10"/>
  <c r="T185" i="10"/>
  <c r="T186" i="10"/>
  <c r="T187" i="10"/>
  <c r="T188" i="10"/>
  <c r="T189" i="10"/>
  <c r="K181" i="10"/>
  <c r="K182" i="10"/>
  <c r="K183" i="10"/>
  <c r="K184" i="10"/>
  <c r="K185" i="10"/>
  <c r="K186" i="10"/>
  <c r="K187" i="10"/>
  <c r="K188" i="10"/>
  <c r="K189" i="10"/>
  <c r="K190" i="10"/>
  <c r="K191" i="10"/>
  <c r="N181" i="10"/>
  <c r="N182" i="10"/>
  <c r="N183" i="10"/>
  <c r="N184" i="10"/>
  <c r="N185" i="10"/>
  <c r="N186" i="10"/>
  <c r="N187" i="10"/>
  <c r="N188" i="10"/>
  <c r="N189" i="10"/>
  <c r="AF177" i="12"/>
  <c r="AG177" i="12"/>
  <c r="AF178" i="12"/>
  <c r="AG178" i="12"/>
  <c r="AF179" i="12"/>
  <c r="AG179" i="12"/>
  <c r="AF180" i="12"/>
  <c r="AG180" i="12"/>
  <c r="AF181" i="12"/>
  <c r="AG181" i="12"/>
  <c r="AF182" i="12"/>
  <c r="AG182" i="12"/>
  <c r="AF183" i="12"/>
  <c r="AG183" i="12"/>
  <c r="AF184" i="12"/>
  <c r="AG184" i="12"/>
  <c r="AF185" i="12"/>
  <c r="AG185" i="12"/>
  <c r="AF186" i="12"/>
  <c r="AG186" i="12"/>
  <c r="AF187" i="12"/>
  <c r="AG187" i="12"/>
  <c r="AF188" i="12"/>
  <c r="AG188" i="12"/>
  <c r="AF189" i="12"/>
  <c r="AG189" i="12"/>
  <c r="AF190" i="12"/>
  <c r="AG190" i="12"/>
  <c r="AF191" i="12"/>
  <c r="AG191" i="12"/>
  <c r="AF192" i="12"/>
  <c r="AG192" i="12"/>
  <c r="AF193" i="12"/>
  <c r="AG193" i="12"/>
  <c r="AE181" i="12"/>
  <c r="AE182" i="12"/>
  <c r="AL182" i="12" s="1"/>
  <c r="AM182" i="12" s="1"/>
  <c r="AE183" i="12"/>
  <c r="AL183" i="12" s="1"/>
  <c r="AM183" i="12" s="1"/>
  <c r="AE184" i="12"/>
  <c r="AL184" i="12" s="1"/>
  <c r="AN184" i="12" s="1"/>
  <c r="AE185" i="12"/>
  <c r="AL185" i="12" s="1"/>
  <c r="AM185" i="12" s="1"/>
  <c r="AE186" i="12"/>
  <c r="AL186" i="12" s="1"/>
  <c r="AE187" i="12"/>
  <c r="AL187" i="12" s="1"/>
  <c r="AE188" i="12"/>
  <c r="AL188" i="12" s="1"/>
  <c r="AM188" i="12" s="1"/>
  <c r="AE189" i="12"/>
  <c r="AL189" i="12" s="1"/>
  <c r="Z177" i="5"/>
  <c r="Z178" i="5"/>
  <c r="Z179" i="5"/>
  <c r="Z180" i="5"/>
  <c r="Z181" i="5"/>
  <c r="Z182" i="5"/>
  <c r="Z183" i="5"/>
  <c r="Z184" i="5"/>
  <c r="Z185" i="5"/>
  <c r="Z186" i="5"/>
  <c r="Z187" i="5"/>
  <c r="Z188" i="5"/>
  <c r="Z189" i="5"/>
  <c r="Z190" i="5"/>
  <c r="Z191" i="5"/>
  <c r="Z192" i="5"/>
  <c r="Z193" i="5"/>
  <c r="J148" i="5"/>
  <c r="J176" i="5"/>
  <c r="K193" i="10"/>
  <c r="K192" i="10"/>
  <c r="K180" i="10"/>
  <c r="K179" i="10"/>
  <c r="K178" i="10"/>
  <c r="K177" i="10"/>
  <c r="AL193" i="10"/>
  <c r="AL192" i="10"/>
  <c r="AL191" i="10"/>
  <c r="AL190" i="10"/>
  <c r="AL176" i="10"/>
  <c r="J176" i="10" s="1"/>
  <c r="K176" i="10"/>
  <c r="C12" i="5"/>
  <c r="Q12" i="5" s="1"/>
  <c r="H177" i="13"/>
  <c r="I178" i="13"/>
  <c r="H179" i="13"/>
  <c r="H180" i="13"/>
  <c r="AE179" i="12"/>
  <c r="AL179" i="12" s="1"/>
  <c r="AE177" i="12"/>
  <c r="AL177" i="12" s="1"/>
  <c r="AM177" i="12" s="1"/>
  <c r="AE178" i="12"/>
  <c r="AL178" i="12" s="1"/>
  <c r="AM178" i="12" s="1"/>
  <c r="AE180" i="12"/>
  <c r="AL180" i="12" s="1"/>
  <c r="AN180" i="12" s="1"/>
  <c r="AE190" i="12"/>
  <c r="AL190" i="12" s="1"/>
  <c r="AM190" i="12" s="1"/>
  <c r="AE191" i="12"/>
  <c r="AE192" i="12"/>
  <c r="AL192" i="12" s="1"/>
  <c r="AM192" i="12" s="1"/>
  <c r="AE193" i="12"/>
  <c r="AL193" i="12" s="1"/>
  <c r="AM193" i="12" s="1"/>
  <c r="X177" i="13"/>
  <c r="X178" i="13"/>
  <c r="X179" i="13"/>
  <c r="X180" i="13"/>
  <c r="N191" i="10"/>
  <c r="N192" i="10"/>
  <c r="N193" i="10"/>
  <c r="N179" i="10"/>
  <c r="N177" i="10"/>
  <c r="I177" i="10"/>
  <c r="S177" i="10"/>
  <c r="T177" i="10"/>
  <c r="S178" i="10"/>
  <c r="T178" i="10"/>
  <c r="N178" i="10"/>
  <c r="T179" i="10"/>
  <c r="T180" i="10"/>
  <c r="N180" i="10"/>
  <c r="T190" i="10"/>
  <c r="AK190" i="10"/>
  <c r="N190" i="10"/>
  <c r="T191" i="10"/>
  <c r="AK191" i="10"/>
  <c r="T192" i="10"/>
  <c r="AK192" i="10"/>
  <c r="T193" i="10"/>
  <c r="AK193" i="10"/>
  <c r="H172" i="13"/>
  <c r="H173" i="13"/>
  <c r="H174" i="13"/>
  <c r="I175" i="13"/>
  <c r="H176" i="13"/>
  <c r="AK176" i="10"/>
  <c r="R176" i="10" s="1"/>
  <c r="AL175" i="10"/>
  <c r="AK175" i="10"/>
  <c r="AL174" i="10"/>
  <c r="AK174" i="10"/>
  <c r="AL173" i="10"/>
  <c r="AK173" i="10"/>
  <c r="AL172" i="10"/>
  <c r="AK172" i="10"/>
  <c r="N172" i="10"/>
  <c r="N173" i="10"/>
  <c r="N174" i="10"/>
  <c r="N175" i="10"/>
  <c r="N176" i="10"/>
  <c r="F171" i="10"/>
  <c r="F171" i="13" s="1"/>
  <c r="G171" i="10"/>
  <c r="K171" i="10"/>
  <c r="T171" i="10"/>
  <c r="F172" i="10"/>
  <c r="F172" i="13" s="1"/>
  <c r="G172" i="10"/>
  <c r="G172" i="13" s="1"/>
  <c r="D172" i="13" s="1"/>
  <c r="K172" i="10"/>
  <c r="T172" i="10"/>
  <c r="F173" i="10"/>
  <c r="F173" i="13" s="1"/>
  <c r="G173" i="10"/>
  <c r="G173" i="13" s="1"/>
  <c r="D173" i="13" s="1"/>
  <c r="K173" i="10"/>
  <c r="T173" i="10"/>
  <c r="F174" i="10"/>
  <c r="F174" i="13" s="1"/>
  <c r="G174" i="10"/>
  <c r="K174" i="10"/>
  <c r="T174" i="10"/>
  <c r="F175" i="10"/>
  <c r="F175" i="13" s="1"/>
  <c r="G175" i="10"/>
  <c r="G175" i="13" s="1"/>
  <c r="D175" i="13" s="1"/>
  <c r="K175" i="10"/>
  <c r="T175" i="10"/>
  <c r="T176" i="10"/>
  <c r="G171" i="5"/>
  <c r="J171" i="5"/>
  <c r="Z171" i="5"/>
  <c r="G172" i="5"/>
  <c r="J172" i="5"/>
  <c r="Z172" i="5"/>
  <c r="G173" i="5"/>
  <c r="J173" i="5"/>
  <c r="Z173" i="5"/>
  <c r="G174" i="5"/>
  <c r="J174" i="5"/>
  <c r="Z174" i="5"/>
  <c r="G175" i="5"/>
  <c r="J175" i="5"/>
  <c r="Z175" i="5"/>
  <c r="G176" i="5"/>
  <c r="Z176" i="5"/>
  <c r="B171" i="13"/>
  <c r="E171" i="13"/>
  <c r="AB171" i="13" s="1"/>
  <c r="X171" i="13"/>
  <c r="B172" i="13"/>
  <c r="E172" i="13"/>
  <c r="AB172" i="13" s="1"/>
  <c r="X172" i="13"/>
  <c r="B173" i="13"/>
  <c r="E173" i="13"/>
  <c r="AB173" i="13" s="1"/>
  <c r="X173" i="13"/>
  <c r="B174" i="13"/>
  <c r="E174" i="13"/>
  <c r="AB174" i="13" s="1"/>
  <c r="X174" i="13"/>
  <c r="B175" i="13"/>
  <c r="X175" i="13"/>
  <c r="B176" i="13"/>
  <c r="X176" i="13"/>
  <c r="AE171" i="12"/>
  <c r="AL171" i="12" s="1"/>
  <c r="AM171" i="12" s="1"/>
  <c r="AF171" i="12"/>
  <c r="AG171" i="12"/>
  <c r="AE172" i="12"/>
  <c r="AL172" i="12" s="1"/>
  <c r="AF172" i="12"/>
  <c r="AG172" i="12"/>
  <c r="AE173" i="12"/>
  <c r="AL173" i="12" s="1"/>
  <c r="AM173" i="12" s="1"/>
  <c r="AF173" i="12"/>
  <c r="AG173" i="12"/>
  <c r="AE174" i="12"/>
  <c r="AL174" i="12" s="1"/>
  <c r="AM174" i="12" s="1"/>
  <c r="AF174" i="12"/>
  <c r="AG174" i="12"/>
  <c r="AE175" i="12"/>
  <c r="AL175" i="12" s="1"/>
  <c r="AM175" i="12" s="1"/>
  <c r="AF175" i="12"/>
  <c r="AG175" i="12"/>
  <c r="AE176" i="12"/>
  <c r="AL176" i="12" s="1"/>
  <c r="AF176" i="12"/>
  <c r="AG176" i="12"/>
  <c r="C175" i="12"/>
  <c r="C174" i="12"/>
  <c r="C173" i="12"/>
  <c r="C172" i="12"/>
  <c r="N149" i="9"/>
  <c r="N150" i="9"/>
  <c r="N151" i="9"/>
  <c r="E170" i="13"/>
  <c r="AB170" i="13" s="1"/>
  <c r="E164" i="13"/>
  <c r="AB164" i="13" s="1"/>
  <c r="E163" i="13"/>
  <c r="AB163" i="13" s="1"/>
  <c r="G160" i="5"/>
  <c r="J160" i="5"/>
  <c r="Z160" i="5"/>
  <c r="G161" i="5"/>
  <c r="J161" i="5"/>
  <c r="Z161" i="5"/>
  <c r="G162" i="5"/>
  <c r="J162" i="5"/>
  <c r="Z162" i="5"/>
  <c r="G163" i="5"/>
  <c r="J163" i="5"/>
  <c r="Z163" i="5"/>
  <c r="G164" i="5"/>
  <c r="J164" i="5"/>
  <c r="Z164" i="5"/>
  <c r="G165" i="5"/>
  <c r="J165" i="5"/>
  <c r="Z165" i="5"/>
  <c r="G166" i="5"/>
  <c r="J166" i="5"/>
  <c r="Z166" i="5"/>
  <c r="G167" i="5"/>
  <c r="J167" i="5"/>
  <c r="Z167" i="5"/>
  <c r="G168" i="5"/>
  <c r="J168" i="5"/>
  <c r="Z168" i="5"/>
  <c r="G169" i="5"/>
  <c r="J169" i="5"/>
  <c r="Z169" i="5"/>
  <c r="G170" i="5"/>
  <c r="J170" i="5"/>
  <c r="Z170" i="5"/>
  <c r="B161" i="13"/>
  <c r="X161" i="13"/>
  <c r="I161" i="13"/>
  <c r="B162" i="13"/>
  <c r="X162" i="13"/>
  <c r="H162" i="13"/>
  <c r="B163" i="13"/>
  <c r="X163" i="13"/>
  <c r="I163" i="13"/>
  <c r="B164" i="13"/>
  <c r="X164" i="13"/>
  <c r="H164" i="13"/>
  <c r="B165" i="13"/>
  <c r="X165" i="13"/>
  <c r="I165" i="13"/>
  <c r="B166" i="13"/>
  <c r="X166" i="13"/>
  <c r="I166" i="13"/>
  <c r="B167" i="13"/>
  <c r="X167" i="13"/>
  <c r="H167" i="13"/>
  <c r="B168" i="13"/>
  <c r="X168" i="13"/>
  <c r="H168" i="13"/>
  <c r="B169" i="13"/>
  <c r="X169" i="13"/>
  <c r="H169" i="13"/>
  <c r="B170" i="13"/>
  <c r="X170" i="13"/>
  <c r="I170" i="13"/>
  <c r="H171" i="13"/>
  <c r="N171" i="10"/>
  <c r="AL171" i="10"/>
  <c r="AK171" i="10"/>
  <c r="N170" i="10"/>
  <c r="AL170" i="10"/>
  <c r="AK170" i="10"/>
  <c r="N169" i="10"/>
  <c r="AL169" i="10"/>
  <c r="AK169" i="10"/>
  <c r="N168" i="10"/>
  <c r="AL168" i="10"/>
  <c r="AK168" i="10"/>
  <c r="N167" i="10"/>
  <c r="AL167" i="10"/>
  <c r="AK167" i="10"/>
  <c r="N166" i="10"/>
  <c r="AL166" i="10"/>
  <c r="AK166" i="10"/>
  <c r="AO165" i="10"/>
  <c r="N165" i="10" s="1"/>
  <c r="AL165" i="10"/>
  <c r="AK165" i="10"/>
  <c r="AO164" i="10"/>
  <c r="N164" i="10" s="1"/>
  <c r="AL164" i="10"/>
  <c r="AK164" i="10"/>
  <c r="AO163" i="10"/>
  <c r="N163" i="10" s="1"/>
  <c r="AL163" i="10"/>
  <c r="AK163" i="10"/>
  <c r="AO162" i="10"/>
  <c r="N162" i="10" s="1"/>
  <c r="AL162" i="10"/>
  <c r="AK162" i="10"/>
  <c r="AO161" i="10"/>
  <c r="N161" i="10" s="1"/>
  <c r="AL161" i="10"/>
  <c r="AK161" i="10"/>
  <c r="AO160" i="10"/>
  <c r="N160" i="10" s="1"/>
  <c r="AL160" i="10"/>
  <c r="AK160" i="10"/>
  <c r="K159" i="10"/>
  <c r="T159" i="10"/>
  <c r="K160" i="10"/>
  <c r="T160" i="10"/>
  <c r="K161" i="10"/>
  <c r="T161" i="10"/>
  <c r="K162" i="10"/>
  <c r="T162" i="10"/>
  <c r="K163" i="10"/>
  <c r="T163" i="10"/>
  <c r="K164" i="10"/>
  <c r="T164" i="10"/>
  <c r="K165" i="10"/>
  <c r="T165" i="10"/>
  <c r="K166" i="10"/>
  <c r="T166" i="10"/>
  <c r="K167" i="10"/>
  <c r="T167" i="10"/>
  <c r="K168" i="10"/>
  <c r="T168" i="10"/>
  <c r="K169" i="10"/>
  <c r="T169" i="10"/>
  <c r="K170" i="10"/>
  <c r="T170" i="10"/>
  <c r="G176" i="13"/>
  <c r="D176" i="13" s="1"/>
  <c r="F176" i="13"/>
  <c r="G170" i="10"/>
  <c r="C170" i="10" s="1"/>
  <c r="C170" i="13" s="1"/>
  <c r="F170" i="10"/>
  <c r="F170" i="13" s="1"/>
  <c r="G169" i="10"/>
  <c r="F169" i="10"/>
  <c r="F169" i="13" s="1"/>
  <c r="G168" i="10"/>
  <c r="F168" i="10"/>
  <c r="F168" i="13" s="1"/>
  <c r="G167" i="10"/>
  <c r="G167" i="13" s="1"/>
  <c r="D167" i="13" s="1"/>
  <c r="F167" i="10"/>
  <c r="F167" i="13" s="1"/>
  <c r="G166" i="10"/>
  <c r="F166" i="10"/>
  <c r="F166" i="13" s="1"/>
  <c r="G165" i="10"/>
  <c r="G165" i="13" s="1"/>
  <c r="D165" i="13" s="1"/>
  <c r="F165" i="10"/>
  <c r="F165" i="13" s="1"/>
  <c r="G164" i="10"/>
  <c r="F164" i="10"/>
  <c r="F164" i="13" s="1"/>
  <c r="G163" i="10"/>
  <c r="C163" i="10" s="1"/>
  <c r="C163" i="13" s="1"/>
  <c r="F163" i="10"/>
  <c r="F163" i="13" s="1"/>
  <c r="G162" i="10"/>
  <c r="C162" i="10" s="1"/>
  <c r="C162" i="13" s="1"/>
  <c r="F162" i="10"/>
  <c r="F162" i="13" s="1"/>
  <c r="A149" i="10"/>
  <c r="AE161" i="12"/>
  <c r="AL161" i="12" s="1"/>
  <c r="AM161" i="12" s="1"/>
  <c r="AF161" i="12"/>
  <c r="AG161" i="12"/>
  <c r="AE162" i="12"/>
  <c r="AL162" i="12" s="1"/>
  <c r="AF162" i="12"/>
  <c r="AG162" i="12"/>
  <c r="AE163" i="12"/>
  <c r="AF163" i="12"/>
  <c r="AG163" i="12"/>
  <c r="AE164" i="12"/>
  <c r="AF164" i="12"/>
  <c r="AG164" i="12"/>
  <c r="AE165" i="12"/>
  <c r="AL165" i="12" s="1"/>
  <c r="AF165" i="12"/>
  <c r="AG165" i="12"/>
  <c r="AE166" i="12"/>
  <c r="AL166" i="12" s="1"/>
  <c r="AM166" i="12" s="1"/>
  <c r="AF166" i="12"/>
  <c r="AG166" i="12"/>
  <c r="AE167" i="12"/>
  <c r="AF167" i="12"/>
  <c r="AG167" i="12"/>
  <c r="AE168" i="12"/>
  <c r="AL168" i="12" s="1"/>
  <c r="AM168" i="12" s="1"/>
  <c r="AF168" i="12"/>
  <c r="AG168" i="12"/>
  <c r="AE169" i="12"/>
  <c r="AF169" i="12"/>
  <c r="AG169" i="12"/>
  <c r="AE170" i="12"/>
  <c r="AL170" i="12" s="1"/>
  <c r="AM170" i="12" s="1"/>
  <c r="AF170" i="12"/>
  <c r="AG170" i="12"/>
  <c r="C171" i="12"/>
  <c r="C170" i="12"/>
  <c r="C169" i="12"/>
  <c r="C168" i="12"/>
  <c r="C167" i="12"/>
  <c r="C166" i="12"/>
  <c r="C165" i="12"/>
  <c r="C162" i="12"/>
  <c r="M148" i="12"/>
  <c r="E149" i="12"/>
  <c r="E156" i="12" s="1"/>
  <c r="E156" i="13" s="1"/>
  <c r="AB156" i="13" s="1"/>
  <c r="E150" i="12"/>
  <c r="E150" i="13" s="1"/>
  <c r="AB150" i="13" s="1"/>
  <c r="E151" i="12"/>
  <c r="E151" i="13" s="1"/>
  <c r="AB151" i="13" s="1"/>
  <c r="E152" i="12"/>
  <c r="E152" i="13" s="1"/>
  <c r="AB152" i="13" s="1"/>
  <c r="E153" i="12"/>
  <c r="E153" i="13" s="1"/>
  <c r="E154" i="12"/>
  <c r="E154" i="13" s="1"/>
  <c r="AB154" i="13" s="1"/>
  <c r="AE160" i="12"/>
  <c r="X160" i="13"/>
  <c r="AE159" i="12"/>
  <c r="AL159" i="12" s="1"/>
  <c r="AN159" i="12" s="1"/>
  <c r="X159" i="13"/>
  <c r="X158" i="13"/>
  <c r="X157" i="13"/>
  <c r="AE156" i="12"/>
  <c r="AL156" i="12" s="1"/>
  <c r="AM156" i="12" s="1"/>
  <c r="X156" i="13"/>
  <c r="X155" i="13"/>
  <c r="AE152" i="12"/>
  <c r="AL152" i="12" s="1"/>
  <c r="AM152" i="12" s="1"/>
  <c r="AE151" i="12"/>
  <c r="AL151" i="12" s="1"/>
  <c r="AE150" i="12"/>
  <c r="AL150" i="12" s="1"/>
  <c r="AM150" i="12" s="1"/>
  <c r="AE149" i="12"/>
  <c r="AL149" i="12" s="1"/>
  <c r="AM149" i="12" s="1"/>
  <c r="Z159" i="5"/>
  <c r="J159" i="5"/>
  <c r="G159" i="5"/>
  <c r="Z158" i="5"/>
  <c r="J158" i="5"/>
  <c r="G158" i="5"/>
  <c r="Z157" i="5"/>
  <c r="J157" i="5"/>
  <c r="G157" i="5"/>
  <c r="Z156" i="5"/>
  <c r="J156" i="5"/>
  <c r="G156" i="5"/>
  <c r="Z155" i="5"/>
  <c r="J155" i="5"/>
  <c r="G155" i="5"/>
  <c r="B160" i="13"/>
  <c r="B159" i="13"/>
  <c r="B158" i="13"/>
  <c r="B157" i="13"/>
  <c r="B156" i="13"/>
  <c r="B155" i="13"/>
  <c r="I155" i="13"/>
  <c r="H156" i="13"/>
  <c r="I157" i="13"/>
  <c r="I158" i="13"/>
  <c r="H159" i="13"/>
  <c r="H160" i="13"/>
  <c r="AO155" i="10"/>
  <c r="N155" i="10" s="1"/>
  <c r="AO156" i="10"/>
  <c r="N156" i="10" s="1"/>
  <c r="AO157" i="10"/>
  <c r="N157" i="10" s="1"/>
  <c r="AO158" i="10"/>
  <c r="N158" i="10" s="1"/>
  <c r="AO159" i="10"/>
  <c r="N159" i="10" s="1"/>
  <c r="AL159" i="10"/>
  <c r="AL158" i="10"/>
  <c r="AL157" i="10"/>
  <c r="AL156" i="10"/>
  <c r="AL155" i="10"/>
  <c r="AL154" i="10"/>
  <c r="AL153" i="10"/>
  <c r="AK159" i="10"/>
  <c r="AK158" i="10"/>
  <c r="AK157" i="10"/>
  <c r="AK156" i="10"/>
  <c r="AK155" i="10"/>
  <c r="AK154" i="10"/>
  <c r="T149" i="10"/>
  <c r="T150" i="10"/>
  <c r="T151" i="10"/>
  <c r="T152" i="10"/>
  <c r="T153" i="10"/>
  <c r="T154" i="10"/>
  <c r="T155" i="10"/>
  <c r="T156" i="10"/>
  <c r="T157" i="10"/>
  <c r="T158" i="10"/>
  <c r="K158" i="10"/>
  <c r="K157" i="10"/>
  <c r="K156" i="10"/>
  <c r="K155" i="10"/>
  <c r="K154" i="10"/>
  <c r="K153" i="10"/>
  <c r="K152" i="10"/>
  <c r="K151" i="10"/>
  <c r="K150" i="10"/>
  <c r="F155" i="10"/>
  <c r="F155" i="13" s="1"/>
  <c r="AF149" i="12"/>
  <c r="AG149" i="12"/>
  <c r="AF150" i="12"/>
  <c r="AG150" i="12"/>
  <c r="AF151" i="12"/>
  <c r="AG151" i="12"/>
  <c r="AF152" i="12"/>
  <c r="AG152" i="12"/>
  <c r="AF153" i="12"/>
  <c r="AG153" i="12"/>
  <c r="AE154" i="12"/>
  <c r="AF154" i="12"/>
  <c r="AG154" i="12"/>
  <c r="AF155" i="12"/>
  <c r="AG155" i="12"/>
  <c r="AF156" i="12"/>
  <c r="AG156" i="12"/>
  <c r="AF157" i="12"/>
  <c r="AG157" i="12"/>
  <c r="AE158" i="12"/>
  <c r="AL158" i="12" s="1"/>
  <c r="AF158" i="12"/>
  <c r="AG158" i="12"/>
  <c r="AF159" i="12"/>
  <c r="AG159" i="12"/>
  <c r="AF160" i="12"/>
  <c r="AG160" i="12"/>
  <c r="C176" i="13"/>
  <c r="C150" i="12"/>
  <c r="F157" i="10"/>
  <c r="F157" i="13" s="1"/>
  <c r="F156" i="10"/>
  <c r="F156" i="13" s="1"/>
  <c r="F160" i="10"/>
  <c r="F160" i="13" s="1"/>
  <c r="F159" i="10"/>
  <c r="F159" i="13" s="1"/>
  <c r="F161" i="10"/>
  <c r="F161" i="13" s="1"/>
  <c r="F158" i="10"/>
  <c r="F158" i="13" s="1"/>
  <c r="C149" i="12"/>
  <c r="AE155" i="12"/>
  <c r="AL155" i="12" s="1"/>
  <c r="AM155" i="12" s="1"/>
  <c r="AE157" i="12"/>
  <c r="AL157" i="12" s="1"/>
  <c r="AM157" i="12" s="1"/>
  <c r="AE153" i="12"/>
  <c r="AL153" i="12" s="1"/>
  <c r="AM153" i="12" s="1"/>
  <c r="AL152" i="10"/>
  <c r="AL151" i="10"/>
  <c r="AL150" i="10"/>
  <c r="AL149" i="10"/>
  <c r="AL148" i="10"/>
  <c r="J148" i="10" s="1"/>
  <c r="AL147" i="10"/>
  <c r="AL146" i="10"/>
  <c r="AL145" i="10"/>
  <c r="AL144" i="10"/>
  <c r="AL143" i="10"/>
  <c r="AL142" i="10"/>
  <c r="AL141" i="10"/>
  <c r="AL140" i="10"/>
  <c r="AL139" i="10"/>
  <c r="AL138" i="10"/>
  <c r="AL137" i="10"/>
  <c r="AL136" i="10"/>
  <c r="AL135" i="10"/>
  <c r="AL134" i="10"/>
  <c r="AL133" i="10"/>
  <c r="AL132" i="10"/>
  <c r="AL131" i="10"/>
  <c r="AL130" i="10"/>
  <c r="AL129" i="10"/>
  <c r="AL128" i="10"/>
  <c r="AL127" i="10"/>
  <c r="AL126" i="10"/>
  <c r="AL125" i="10"/>
  <c r="AL124" i="10"/>
  <c r="AL123" i="10"/>
  <c r="AL122" i="10"/>
  <c r="AL121" i="10"/>
  <c r="AL120" i="10"/>
  <c r="AL119" i="10"/>
  <c r="AL118" i="10"/>
  <c r="AL117" i="10"/>
  <c r="C151" i="12"/>
  <c r="C154" i="5"/>
  <c r="C161" i="5" s="1"/>
  <c r="C168" i="5" s="1"/>
  <c r="C175" i="5" s="1"/>
  <c r="C182" i="5" s="1"/>
  <c r="C189" i="5" s="1"/>
  <c r="C196" i="5" s="1"/>
  <c r="C203" i="5" s="1"/>
  <c r="C210" i="5" s="1"/>
  <c r="C217" i="5" s="1"/>
  <c r="C224" i="5" s="1"/>
  <c r="C231" i="5" s="1"/>
  <c r="F231" i="12" s="1"/>
  <c r="C153" i="5"/>
  <c r="C160" i="5" s="1"/>
  <c r="C167" i="5" s="1"/>
  <c r="C174" i="5" s="1"/>
  <c r="C181" i="5" s="1"/>
  <c r="C188" i="5" s="1"/>
  <c r="C195" i="5" s="1"/>
  <c r="C202" i="5" s="1"/>
  <c r="C209" i="5" s="1"/>
  <c r="C216" i="5" s="1"/>
  <c r="C223" i="5" s="1"/>
  <c r="C230" i="5" s="1"/>
  <c r="F230" i="12" s="1"/>
  <c r="C152" i="5"/>
  <c r="C159" i="5" s="1"/>
  <c r="C166" i="5" s="1"/>
  <c r="C173" i="5" s="1"/>
  <c r="C180" i="5" s="1"/>
  <c r="C187" i="5" s="1"/>
  <c r="C194" i="5" s="1"/>
  <c r="C201" i="5" s="1"/>
  <c r="C208" i="5" s="1"/>
  <c r="C215" i="5" s="1"/>
  <c r="C222" i="5" s="1"/>
  <c r="C229" i="5" s="1"/>
  <c r="C151" i="5"/>
  <c r="C158" i="5" s="1"/>
  <c r="C165" i="5" s="1"/>
  <c r="C172" i="5" s="1"/>
  <c r="C179" i="5" s="1"/>
  <c r="C186" i="5" s="1"/>
  <c r="C193" i="5" s="1"/>
  <c r="C200" i="5" s="1"/>
  <c r="C207" i="5" s="1"/>
  <c r="C214" i="5" s="1"/>
  <c r="C221" i="5" s="1"/>
  <c r="C228" i="5" s="1"/>
  <c r="C235" i="5" s="1"/>
  <c r="F235" i="12" s="1"/>
  <c r="C150" i="5"/>
  <c r="C157" i="5" s="1"/>
  <c r="C164" i="5" s="1"/>
  <c r="C171" i="5" s="1"/>
  <c r="C178" i="5" s="1"/>
  <c r="C185" i="5" s="1"/>
  <c r="C192" i="5" s="1"/>
  <c r="C199" i="5" s="1"/>
  <c r="C206" i="5" s="1"/>
  <c r="C213" i="5" s="1"/>
  <c r="C220" i="5" s="1"/>
  <c r="C227" i="5" s="1"/>
  <c r="C234" i="5" s="1"/>
  <c r="F234" i="12" s="1"/>
  <c r="C149" i="5"/>
  <c r="C156" i="5" s="1"/>
  <c r="C163" i="5" s="1"/>
  <c r="C170" i="5" s="1"/>
  <c r="C177" i="5" s="1"/>
  <c r="C184" i="5" s="1"/>
  <c r="C191" i="5" s="1"/>
  <c r="C198" i="5" s="1"/>
  <c r="C205" i="5" s="1"/>
  <c r="C212" i="5" s="1"/>
  <c r="C219" i="5" s="1"/>
  <c r="C226" i="5" s="1"/>
  <c r="C233" i="5" s="1"/>
  <c r="F233" i="12" s="1"/>
  <c r="C148" i="5"/>
  <c r="C155" i="5" s="1"/>
  <c r="C162" i="5" s="1"/>
  <c r="C169" i="5" s="1"/>
  <c r="C176" i="5" s="1"/>
  <c r="C183" i="5" s="1"/>
  <c r="C190" i="5" s="1"/>
  <c r="C197" i="5" s="1"/>
  <c r="C204" i="5" s="1"/>
  <c r="C211" i="5" s="1"/>
  <c r="C218" i="5" s="1"/>
  <c r="C225" i="5" s="1"/>
  <c r="C232" i="5" s="1"/>
  <c r="F232" i="12" s="1"/>
  <c r="G148" i="5"/>
  <c r="Z148" i="5"/>
  <c r="G149" i="5"/>
  <c r="J149" i="5"/>
  <c r="Z149" i="5"/>
  <c r="G150" i="5"/>
  <c r="J150" i="5"/>
  <c r="Z150" i="5"/>
  <c r="G151" i="5"/>
  <c r="J151" i="5"/>
  <c r="Z151" i="5"/>
  <c r="G152" i="5"/>
  <c r="J152" i="5"/>
  <c r="Z152" i="5"/>
  <c r="G153" i="5"/>
  <c r="J153" i="5"/>
  <c r="Z153" i="5"/>
  <c r="G154" i="5"/>
  <c r="J154" i="5"/>
  <c r="Z154" i="5"/>
  <c r="H151" i="13"/>
  <c r="I152" i="13"/>
  <c r="I153" i="13"/>
  <c r="I154" i="13"/>
  <c r="X151" i="13"/>
  <c r="X152" i="13"/>
  <c r="X153" i="13"/>
  <c r="X154" i="13"/>
  <c r="M143" i="12"/>
  <c r="M144" i="12"/>
  <c r="M145" i="12"/>
  <c r="M146" i="12"/>
  <c r="M147" i="12"/>
  <c r="AE148" i="12"/>
  <c r="AL148" i="12" s="1"/>
  <c r="E148" i="12"/>
  <c r="E148" i="13" s="1"/>
  <c r="C148" i="12"/>
  <c r="E147" i="13"/>
  <c r="AB147" i="13" s="1"/>
  <c r="B151" i="13"/>
  <c r="B152" i="13"/>
  <c r="B153" i="13"/>
  <c r="B154" i="13"/>
  <c r="AO151" i="10"/>
  <c r="N151" i="10" s="1"/>
  <c r="AO152" i="10"/>
  <c r="N152" i="10" s="1"/>
  <c r="AO153" i="10"/>
  <c r="N153" i="10" s="1"/>
  <c r="AO154" i="10"/>
  <c r="N154" i="10" s="1"/>
  <c r="AK153" i="10"/>
  <c r="AK152" i="10"/>
  <c r="AK151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7" i="13" s="1"/>
  <c r="F148" i="10"/>
  <c r="F148" i="13" s="1"/>
  <c r="G117" i="10"/>
  <c r="C117" i="10" s="1"/>
  <c r="G118" i="10"/>
  <c r="G119" i="10"/>
  <c r="C119" i="10" s="1"/>
  <c r="G120" i="10"/>
  <c r="C120" i="10" s="1"/>
  <c r="G121" i="10"/>
  <c r="C121" i="10" s="1"/>
  <c r="G122" i="10"/>
  <c r="G123" i="10"/>
  <c r="G124" i="10"/>
  <c r="G125" i="10"/>
  <c r="C125" i="10" s="1"/>
  <c r="G126" i="10"/>
  <c r="G127" i="10"/>
  <c r="G128" i="10"/>
  <c r="C128" i="10" s="1"/>
  <c r="G129" i="10"/>
  <c r="C129" i="10" s="1"/>
  <c r="G130" i="10"/>
  <c r="G131" i="10"/>
  <c r="G132" i="10"/>
  <c r="C132" i="10" s="1"/>
  <c r="G133" i="10"/>
  <c r="G134" i="10"/>
  <c r="C134" i="10" s="1"/>
  <c r="G135" i="10"/>
  <c r="C135" i="10" s="1"/>
  <c r="G136" i="10"/>
  <c r="C136" i="10" s="1"/>
  <c r="G137" i="10"/>
  <c r="G138" i="10"/>
  <c r="C138" i="10" s="1"/>
  <c r="G139" i="10"/>
  <c r="G140" i="10"/>
  <c r="C140" i="10" s="1"/>
  <c r="G141" i="10"/>
  <c r="G142" i="10"/>
  <c r="C142" i="10" s="1"/>
  <c r="G143" i="10"/>
  <c r="G144" i="10"/>
  <c r="G145" i="10"/>
  <c r="C145" i="10" s="1"/>
  <c r="G146" i="10"/>
  <c r="G147" i="10"/>
  <c r="G147" i="13" s="1"/>
  <c r="D147" i="13" s="1"/>
  <c r="G148" i="10"/>
  <c r="F150" i="10"/>
  <c r="F150" i="13" s="1"/>
  <c r="G150" i="10"/>
  <c r="G150" i="13" s="1"/>
  <c r="D150" i="13" s="1"/>
  <c r="F151" i="10"/>
  <c r="F151" i="13" s="1"/>
  <c r="G151" i="10"/>
  <c r="G151" i="13" s="1"/>
  <c r="D151" i="13" s="1"/>
  <c r="F152" i="10"/>
  <c r="F152" i="13" s="1"/>
  <c r="G152" i="10"/>
  <c r="G152" i="13" s="1"/>
  <c r="D152" i="13" s="1"/>
  <c r="F153" i="10"/>
  <c r="F153" i="13" s="1"/>
  <c r="F154" i="10"/>
  <c r="F154" i="13" s="1"/>
  <c r="G149" i="10"/>
  <c r="G149" i="13" s="1"/>
  <c r="D149" i="13" s="1"/>
  <c r="F149" i="10"/>
  <c r="F149" i="13" s="1"/>
  <c r="W147" i="9"/>
  <c r="N147" i="9"/>
  <c r="N148" i="9"/>
  <c r="Z147" i="5"/>
  <c r="J147" i="5"/>
  <c r="G147" i="5"/>
  <c r="G12" i="13"/>
  <c r="F12" i="13" s="1"/>
  <c r="V12" i="13" s="1"/>
  <c r="I150" i="13"/>
  <c r="I149" i="13"/>
  <c r="I148" i="13"/>
  <c r="AG148" i="12"/>
  <c r="AF148" i="12"/>
  <c r="AG147" i="12"/>
  <c r="AF147" i="12"/>
  <c r="AE147" i="12"/>
  <c r="AL147" i="12" s="1"/>
  <c r="X150" i="13"/>
  <c r="X149" i="13"/>
  <c r="X148" i="13"/>
  <c r="B148" i="13"/>
  <c r="B149" i="13"/>
  <c r="B150" i="13"/>
  <c r="B147" i="13"/>
  <c r="I148" i="10"/>
  <c r="K148" i="10"/>
  <c r="T148" i="10"/>
  <c r="K149" i="10"/>
  <c r="H147" i="13"/>
  <c r="X147" i="13"/>
  <c r="AO150" i="10"/>
  <c r="N150" i="10" s="1"/>
  <c r="AK150" i="10"/>
  <c r="AO149" i="10"/>
  <c r="N149" i="10" s="1"/>
  <c r="AK149" i="10"/>
  <c r="AO148" i="10"/>
  <c r="N148" i="10" s="1"/>
  <c r="AK148" i="10"/>
  <c r="R148" i="10" s="1"/>
  <c r="AO147" i="10"/>
  <c r="N147" i="10" s="1"/>
  <c r="AK147" i="10"/>
  <c r="AB147" i="10"/>
  <c r="T147" i="10"/>
  <c r="K147" i="10"/>
  <c r="C147" i="12"/>
  <c r="C152" i="12"/>
  <c r="S148" i="10"/>
  <c r="A148" i="13"/>
  <c r="C153" i="12"/>
  <c r="G153" i="10"/>
  <c r="G153" i="13" s="1"/>
  <c r="D153" i="13" s="1"/>
  <c r="C154" i="12"/>
  <c r="G154" i="10"/>
  <c r="C154" i="10" s="1"/>
  <c r="C154" i="13" s="1"/>
  <c r="G155" i="10"/>
  <c r="C155" i="12"/>
  <c r="Y24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17" i="5"/>
  <c r="C156" i="12"/>
  <c r="G156" i="10"/>
  <c r="Z24" i="5"/>
  <c r="C157" i="12"/>
  <c r="G157" i="10"/>
  <c r="H117" i="13"/>
  <c r="G158" i="10"/>
  <c r="C158" i="10" s="1"/>
  <c r="C158" i="13" s="1"/>
  <c r="C158" i="12"/>
  <c r="G159" i="10"/>
  <c r="G159" i="13" s="1"/>
  <c r="D159" i="13" s="1"/>
  <c r="C159" i="12"/>
  <c r="AB136" i="13"/>
  <c r="AB137" i="13"/>
  <c r="AB138" i="13"/>
  <c r="AB139" i="13"/>
  <c r="AB140" i="13"/>
  <c r="AB141" i="13"/>
  <c r="AB142" i="13"/>
  <c r="AB143" i="13"/>
  <c r="AB144" i="13"/>
  <c r="AB145" i="13"/>
  <c r="AB146" i="13"/>
  <c r="X134" i="13"/>
  <c r="X135" i="13"/>
  <c r="X136" i="13"/>
  <c r="X137" i="13"/>
  <c r="X138" i="13"/>
  <c r="X139" i="13"/>
  <c r="X140" i="13"/>
  <c r="X141" i="13"/>
  <c r="X142" i="13"/>
  <c r="X143" i="13"/>
  <c r="X144" i="13"/>
  <c r="X145" i="13"/>
  <c r="X146" i="13"/>
  <c r="AB142" i="10"/>
  <c r="AB143" i="10"/>
  <c r="AB144" i="10"/>
  <c r="AB145" i="10"/>
  <c r="AB146" i="10"/>
  <c r="K143" i="10"/>
  <c r="K144" i="10"/>
  <c r="K145" i="10"/>
  <c r="K146" i="10"/>
  <c r="G142" i="5"/>
  <c r="J142" i="5"/>
  <c r="G143" i="5"/>
  <c r="J143" i="5"/>
  <c r="G144" i="5"/>
  <c r="J144" i="5"/>
  <c r="G145" i="5"/>
  <c r="J145" i="5"/>
  <c r="G146" i="5"/>
  <c r="J146" i="5"/>
  <c r="AO146" i="10"/>
  <c r="N146" i="10" s="1"/>
  <c r="AK146" i="10"/>
  <c r="T146" i="10"/>
  <c r="AO145" i="10"/>
  <c r="N145" i="10" s="1"/>
  <c r="AK145" i="10"/>
  <c r="T145" i="10"/>
  <c r="AO144" i="10"/>
  <c r="N144" i="10" s="1"/>
  <c r="AK144" i="10"/>
  <c r="T144" i="10"/>
  <c r="AO143" i="10"/>
  <c r="N143" i="10" s="1"/>
  <c r="AK143" i="10"/>
  <c r="T143" i="10"/>
  <c r="A117" i="10"/>
  <c r="S117" i="10" s="1"/>
  <c r="I143" i="13"/>
  <c r="I144" i="13"/>
  <c r="I145" i="13"/>
  <c r="H146" i="13"/>
  <c r="AG145" i="12"/>
  <c r="AF145" i="12"/>
  <c r="AE145" i="12"/>
  <c r="AL145" i="12" s="1"/>
  <c r="AM145" i="12" s="1"/>
  <c r="AG144" i="12"/>
  <c r="AF144" i="12"/>
  <c r="AE144" i="12"/>
  <c r="AL144" i="12" s="1"/>
  <c r="AG143" i="12"/>
  <c r="AF143" i="12"/>
  <c r="AE143" i="12"/>
  <c r="AG142" i="12"/>
  <c r="AF142" i="12"/>
  <c r="AE142" i="12"/>
  <c r="AL142" i="12" s="1"/>
  <c r="AB124" i="12"/>
  <c r="AB125" i="12"/>
  <c r="AB126" i="12"/>
  <c r="AB127" i="12"/>
  <c r="AB128" i="12"/>
  <c r="X125" i="12"/>
  <c r="X126" i="12"/>
  <c r="X127" i="12"/>
  <c r="X128" i="12"/>
  <c r="S125" i="12"/>
  <c r="S126" i="12"/>
  <c r="S127" i="12"/>
  <c r="S128" i="12"/>
  <c r="M125" i="12"/>
  <c r="M126" i="12"/>
  <c r="M127" i="12"/>
  <c r="M128" i="12"/>
  <c r="M129" i="12"/>
  <c r="M130" i="12"/>
  <c r="M131" i="12"/>
  <c r="M132" i="12"/>
  <c r="M133" i="12"/>
  <c r="M134" i="12"/>
  <c r="M135" i="12"/>
  <c r="M136" i="12"/>
  <c r="M137" i="12"/>
  <c r="M138" i="12"/>
  <c r="M139" i="12"/>
  <c r="M140" i="12"/>
  <c r="M141" i="12"/>
  <c r="M142" i="12"/>
  <c r="W125" i="9"/>
  <c r="W126" i="9"/>
  <c r="W127" i="9"/>
  <c r="W128" i="9"/>
  <c r="W129" i="9"/>
  <c r="W130" i="9"/>
  <c r="W131" i="9"/>
  <c r="W132" i="9"/>
  <c r="W133" i="9"/>
  <c r="W134" i="9"/>
  <c r="W135" i="9"/>
  <c r="W136" i="9"/>
  <c r="W137" i="9"/>
  <c r="W138" i="9"/>
  <c r="W139" i="9"/>
  <c r="W140" i="9"/>
  <c r="W141" i="9"/>
  <c r="W142" i="9"/>
  <c r="W143" i="9"/>
  <c r="W144" i="9"/>
  <c r="W145" i="9"/>
  <c r="W146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C142" i="12"/>
  <c r="J137" i="5"/>
  <c r="J138" i="5"/>
  <c r="J139" i="5"/>
  <c r="J140" i="5"/>
  <c r="J141" i="5"/>
  <c r="G139" i="5"/>
  <c r="G140" i="5"/>
  <c r="G141" i="5"/>
  <c r="I142" i="13"/>
  <c r="AO142" i="10"/>
  <c r="N142" i="10" s="1"/>
  <c r="AK142" i="10"/>
  <c r="T142" i="10"/>
  <c r="K142" i="10"/>
  <c r="AE139" i="12"/>
  <c r="AL139" i="12" s="1"/>
  <c r="AF139" i="12"/>
  <c r="AG139" i="12"/>
  <c r="AE140" i="12"/>
  <c r="AL140" i="12" s="1"/>
  <c r="AM140" i="12" s="1"/>
  <c r="AF140" i="12"/>
  <c r="AG140" i="12"/>
  <c r="AE141" i="12"/>
  <c r="AL141" i="12" s="1"/>
  <c r="AM141" i="12" s="1"/>
  <c r="AF141" i="12"/>
  <c r="AG141" i="12"/>
  <c r="AE146" i="12"/>
  <c r="AL146" i="12" s="1"/>
  <c r="AF146" i="12"/>
  <c r="AG146" i="12"/>
  <c r="X124" i="12"/>
  <c r="H141" i="13"/>
  <c r="I140" i="13"/>
  <c r="H139" i="13"/>
  <c r="I138" i="13"/>
  <c r="I137" i="13"/>
  <c r="H136" i="13"/>
  <c r="W123" i="9"/>
  <c r="W124" i="9"/>
  <c r="N124" i="9"/>
  <c r="C160" i="12"/>
  <c r="G160" i="10"/>
  <c r="C143" i="12"/>
  <c r="C136" i="12"/>
  <c r="AG138" i="12"/>
  <c r="AF138" i="12"/>
  <c r="AE138" i="12"/>
  <c r="AL138" i="12" s="1"/>
  <c r="AM138" i="12" s="1"/>
  <c r="AG137" i="12"/>
  <c r="AF137" i="12"/>
  <c r="AE137" i="12"/>
  <c r="AL137" i="12" s="1"/>
  <c r="AG136" i="12"/>
  <c r="AF136" i="12"/>
  <c r="AE136" i="12"/>
  <c r="AL136" i="12" s="1"/>
  <c r="AM136" i="12" s="1"/>
  <c r="AO141" i="10"/>
  <c r="N141" i="10" s="1"/>
  <c r="AK141" i="10"/>
  <c r="AB141" i="10"/>
  <c r="T141" i="10"/>
  <c r="K141" i="10"/>
  <c r="AO140" i="10"/>
  <c r="N140" i="10" s="1"/>
  <c r="AK140" i="10"/>
  <c r="AB140" i="10"/>
  <c r="T140" i="10"/>
  <c r="K140" i="10"/>
  <c r="AO139" i="10"/>
  <c r="N139" i="10" s="1"/>
  <c r="AK139" i="10"/>
  <c r="AB139" i="10"/>
  <c r="T139" i="10"/>
  <c r="K139" i="10"/>
  <c r="AO138" i="10"/>
  <c r="N138" i="10" s="1"/>
  <c r="AK138" i="10"/>
  <c r="AB138" i="10"/>
  <c r="T138" i="10"/>
  <c r="K138" i="10"/>
  <c r="AO137" i="10"/>
  <c r="N137" i="10" s="1"/>
  <c r="AK137" i="10"/>
  <c r="AB137" i="10"/>
  <c r="T137" i="10"/>
  <c r="K137" i="10"/>
  <c r="AO136" i="10"/>
  <c r="N136" i="10" s="1"/>
  <c r="AK136" i="10"/>
  <c r="AB136" i="10"/>
  <c r="T136" i="10"/>
  <c r="K136" i="10"/>
  <c r="G138" i="5"/>
  <c r="G137" i="5"/>
  <c r="J136" i="5"/>
  <c r="G136" i="5"/>
  <c r="T135" i="10"/>
  <c r="T134" i="10"/>
  <c r="T133" i="10"/>
  <c r="T132" i="10"/>
  <c r="T131" i="10"/>
  <c r="T130" i="10"/>
  <c r="T129" i="10"/>
  <c r="T128" i="10"/>
  <c r="T127" i="10"/>
  <c r="T126" i="10"/>
  <c r="T125" i="10"/>
  <c r="K135" i="10"/>
  <c r="K134" i="10"/>
  <c r="K133" i="10"/>
  <c r="K132" i="10"/>
  <c r="K131" i="10"/>
  <c r="K130" i="10"/>
  <c r="K129" i="10"/>
  <c r="K128" i="10"/>
  <c r="K127" i="10"/>
  <c r="K126" i="10"/>
  <c r="I135" i="13"/>
  <c r="H134" i="13"/>
  <c r="H133" i="13"/>
  <c r="H132" i="13"/>
  <c r="H131" i="13"/>
  <c r="H130" i="13"/>
  <c r="AB135" i="13"/>
  <c r="AB134" i="13"/>
  <c r="AB133" i="13"/>
  <c r="X133" i="13"/>
  <c r="AB132" i="13"/>
  <c r="X132" i="13"/>
  <c r="AB131" i="13"/>
  <c r="X131" i="13"/>
  <c r="AB130" i="13"/>
  <c r="X130" i="13"/>
  <c r="AO135" i="10"/>
  <c r="N135" i="10" s="1"/>
  <c r="AO134" i="10"/>
  <c r="N134" i="10" s="1"/>
  <c r="AO133" i="10"/>
  <c r="N133" i="10" s="1"/>
  <c r="AO132" i="10"/>
  <c r="N132" i="10" s="1"/>
  <c r="AO131" i="10"/>
  <c r="N131" i="10" s="1"/>
  <c r="AO130" i="10"/>
  <c r="N130" i="10" s="1"/>
  <c r="AK135" i="10"/>
  <c r="AK134" i="10"/>
  <c r="AK133" i="10"/>
  <c r="AK132" i="10"/>
  <c r="AK131" i="10"/>
  <c r="AK130" i="10"/>
  <c r="AB135" i="10"/>
  <c r="AB134" i="10"/>
  <c r="AB133" i="10"/>
  <c r="AB132" i="10"/>
  <c r="AB131" i="10"/>
  <c r="AB130" i="10"/>
  <c r="J135" i="5"/>
  <c r="G135" i="5"/>
  <c r="J134" i="5"/>
  <c r="G134" i="5"/>
  <c r="J133" i="5"/>
  <c r="G133" i="5"/>
  <c r="J132" i="5"/>
  <c r="G132" i="5"/>
  <c r="J131" i="5"/>
  <c r="G131" i="5"/>
  <c r="J130" i="5"/>
  <c r="G130" i="5"/>
  <c r="AE128" i="12"/>
  <c r="AL128" i="12" s="1"/>
  <c r="AF128" i="12"/>
  <c r="AG128" i="12"/>
  <c r="AE129" i="12"/>
  <c r="AL129" i="12" s="1"/>
  <c r="AM129" i="12" s="1"/>
  <c r="AF129" i="12"/>
  <c r="AG129" i="12"/>
  <c r="AE130" i="12"/>
  <c r="AF130" i="12"/>
  <c r="AG130" i="12"/>
  <c r="AE131" i="12"/>
  <c r="AL131" i="12" s="1"/>
  <c r="AM131" i="12" s="1"/>
  <c r="AF131" i="12"/>
  <c r="AG131" i="12"/>
  <c r="AE132" i="12"/>
  <c r="AL132" i="12" s="1"/>
  <c r="AM132" i="12" s="1"/>
  <c r="AF132" i="12"/>
  <c r="AG132" i="12"/>
  <c r="AE133" i="12"/>
  <c r="AL133" i="12" s="1"/>
  <c r="AM133" i="12" s="1"/>
  <c r="AF133" i="12"/>
  <c r="AG133" i="12"/>
  <c r="AE134" i="12"/>
  <c r="AL134" i="12" s="1"/>
  <c r="AF134" i="12"/>
  <c r="AG134" i="12"/>
  <c r="AE135" i="12"/>
  <c r="AF135" i="12"/>
  <c r="AG135" i="12"/>
  <c r="C135" i="12"/>
  <c r="C134" i="12"/>
  <c r="C133" i="12"/>
  <c r="C132" i="12"/>
  <c r="C131" i="12"/>
  <c r="C130" i="12"/>
  <c r="C129" i="12"/>
  <c r="C128" i="12"/>
  <c r="H129" i="13"/>
  <c r="I128" i="13"/>
  <c r="I127" i="13"/>
  <c r="I126" i="13"/>
  <c r="H125" i="13"/>
  <c r="H124" i="13"/>
  <c r="H123" i="13"/>
  <c r="AB129" i="13"/>
  <c r="X129" i="13"/>
  <c r="AB128" i="13"/>
  <c r="X128" i="13"/>
  <c r="AB127" i="13"/>
  <c r="X127" i="13"/>
  <c r="AB126" i="13"/>
  <c r="X126" i="13"/>
  <c r="AB125" i="13"/>
  <c r="X125" i="13"/>
  <c r="AB124" i="13"/>
  <c r="X124" i="13"/>
  <c r="AB123" i="13"/>
  <c r="X123" i="13"/>
  <c r="A118" i="13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O129" i="10"/>
  <c r="N129" i="10" s="1"/>
  <c r="AK129" i="10"/>
  <c r="AO128" i="10"/>
  <c r="N128" i="10" s="1"/>
  <c r="AK128" i="10"/>
  <c r="AO127" i="10"/>
  <c r="N127" i="10" s="1"/>
  <c r="AK127" i="10"/>
  <c r="AO126" i="10"/>
  <c r="N126" i="10" s="1"/>
  <c r="AK126" i="10"/>
  <c r="AO125" i="10"/>
  <c r="N125" i="10" s="1"/>
  <c r="AK125" i="10"/>
  <c r="AO124" i="10"/>
  <c r="N124" i="10" s="1"/>
  <c r="AK124" i="10"/>
  <c r="AO123" i="10"/>
  <c r="N123" i="10" s="1"/>
  <c r="AK123" i="10"/>
  <c r="AB129" i="10"/>
  <c r="AB128" i="10"/>
  <c r="AB127" i="10"/>
  <c r="AB126" i="10"/>
  <c r="AB125" i="10"/>
  <c r="AB124" i="10"/>
  <c r="AB123" i="10"/>
  <c r="J129" i="5"/>
  <c r="G129" i="5"/>
  <c r="J128" i="5"/>
  <c r="G128" i="5"/>
  <c r="J127" i="5"/>
  <c r="G127" i="5"/>
  <c r="J126" i="5"/>
  <c r="G126" i="5"/>
  <c r="J125" i="5"/>
  <c r="G125" i="5"/>
  <c r="J124" i="5"/>
  <c r="G124" i="5"/>
  <c r="J123" i="5"/>
  <c r="G123" i="5"/>
  <c r="M120" i="12"/>
  <c r="AG127" i="12"/>
  <c r="AF127" i="12"/>
  <c r="AE127" i="12"/>
  <c r="AL127" i="12" s="1"/>
  <c r="AM127" i="12" s="1"/>
  <c r="AG126" i="12"/>
  <c r="AF126" i="12"/>
  <c r="AE126" i="12"/>
  <c r="AL126" i="12" s="1"/>
  <c r="AM126" i="12" s="1"/>
  <c r="AG125" i="12"/>
  <c r="AF125" i="12"/>
  <c r="AE125" i="12"/>
  <c r="AL125" i="12" s="1"/>
  <c r="AM125" i="12" s="1"/>
  <c r="AG124" i="12"/>
  <c r="AF124" i="12"/>
  <c r="AE124" i="12"/>
  <c r="AL124" i="12" s="1"/>
  <c r="AM124" i="12" s="1"/>
  <c r="AG123" i="12"/>
  <c r="AF123" i="12"/>
  <c r="AE123" i="12"/>
  <c r="AG122" i="12"/>
  <c r="AF122" i="12"/>
  <c r="AE122" i="12"/>
  <c r="AG121" i="12"/>
  <c r="AF121" i="12"/>
  <c r="AE121" i="12"/>
  <c r="AL121" i="12" s="1"/>
  <c r="AG120" i="12"/>
  <c r="AF120" i="12"/>
  <c r="AE120" i="12"/>
  <c r="AL120" i="12" s="1"/>
  <c r="AM120" i="12" s="1"/>
  <c r="AG119" i="12"/>
  <c r="AF119" i="12"/>
  <c r="AE119" i="12"/>
  <c r="AL119" i="12" s="1"/>
  <c r="AB123" i="12"/>
  <c r="AB122" i="12"/>
  <c r="AB121" i="12"/>
  <c r="AB120" i="12"/>
  <c r="AB119" i="12"/>
  <c r="X119" i="12"/>
  <c r="X120" i="12"/>
  <c r="X121" i="12"/>
  <c r="X122" i="12"/>
  <c r="X123" i="12"/>
  <c r="S118" i="12"/>
  <c r="S119" i="12"/>
  <c r="S120" i="12"/>
  <c r="S121" i="12"/>
  <c r="S122" i="12"/>
  <c r="S123" i="12"/>
  <c r="S124" i="12"/>
  <c r="C127" i="12"/>
  <c r="C126" i="12"/>
  <c r="C125" i="12"/>
  <c r="C124" i="12"/>
  <c r="C123" i="12"/>
  <c r="M123" i="12"/>
  <c r="M124" i="12"/>
  <c r="M121" i="12"/>
  <c r="M122" i="12"/>
  <c r="M119" i="12"/>
  <c r="M118" i="12"/>
  <c r="C118" i="12"/>
  <c r="M117" i="12"/>
  <c r="C117" i="12"/>
  <c r="N123" i="9"/>
  <c r="N122" i="9"/>
  <c r="N121" i="9"/>
  <c r="N120" i="9"/>
  <c r="N119" i="9"/>
  <c r="N118" i="9"/>
  <c r="N117" i="9"/>
  <c r="W119" i="9"/>
  <c r="W120" i="9"/>
  <c r="W121" i="9"/>
  <c r="W122" i="9"/>
  <c r="W118" i="9"/>
  <c r="H122" i="13"/>
  <c r="H121" i="13"/>
  <c r="AB122" i="13"/>
  <c r="X122" i="13"/>
  <c r="AB121" i="13"/>
  <c r="X121" i="13"/>
  <c r="C116" i="12"/>
  <c r="C115" i="12"/>
  <c r="C114" i="12"/>
  <c r="C113" i="12"/>
  <c r="C112" i="12"/>
  <c r="C111" i="12"/>
  <c r="C110" i="12"/>
  <c r="C109" i="12"/>
  <c r="C108" i="12"/>
  <c r="C107" i="12"/>
  <c r="C106" i="12"/>
  <c r="C105" i="12"/>
  <c r="C104" i="12"/>
  <c r="C103" i="12"/>
  <c r="C102" i="12"/>
  <c r="C101" i="12"/>
  <c r="C100" i="12"/>
  <c r="C99" i="12"/>
  <c r="C98" i="12"/>
  <c r="C97" i="12"/>
  <c r="C96" i="12"/>
  <c r="C95" i="12"/>
  <c r="C94" i="12"/>
  <c r="C93" i="12"/>
  <c r="C92" i="12"/>
  <c r="C91" i="12"/>
  <c r="C90" i="12"/>
  <c r="C89" i="12"/>
  <c r="C88" i="12"/>
  <c r="C87" i="12"/>
  <c r="C86" i="12"/>
  <c r="C85" i="12"/>
  <c r="C84" i="12"/>
  <c r="C83" i="12"/>
  <c r="C82" i="12"/>
  <c r="C81" i="12"/>
  <c r="C80" i="12"/>
  <c r="C79" i="12"/>
  <c r="C78" i="12"/>
  <c r="C77" i="12"/>
  <c r="C76" i="12"/>
  <c r="C75" i="12"/>
  <c r="C74" i="12"/>
  <c r="C73" i="12"/>
  <c r="C72" i="12"/>
  <c r="C71" i="12"/>
  <c r="C70" i="12"/>
  <c r="C69" i="12"/>
  <c r="C68" i="12"/>
  <c r="C67" i="12"/>
  <c r="C66" i="12"/>
  <c r="C65" i="12"/>
  <c r="C64" i="12"/>
  <c r="C63" i="12"/>
  <c r="C62" i="12"/>
  <c r="C61" i="12"/>
  <c r="C60" i="12"/>
  <c r="C59" i="12"/>
  <c r="C58" i="12"/>
  <c r="C57" i="12"/>
  <c r="C56" i="12"/>
  <c r="AO122" i="10"/>
  <c r="N122" i="10" s="1"/>
  <c r="AO121" i="10"/>
  <c r="N121" i="10" s="1"/>
  <c r="AK122" i="10"/>
  <c r="AK121" i="10"/>
  <c r="AB122" i="10"/>
  <c r="AB121" i="10"/>
  <c r="C113" i="10"/>
  <c r="C112" i="10"/>
  <c r="C111" i="10"/>
  <c r="C110" i="10"/>
  <c r="C109" i="10"/>
  <c r="C108" i="10"/>
  <c r="C107" i="10"/>
  <c r="A116" i="9"/>
  <c r="B116" i="9" s="1"/>
  <c r="D116" i="10" s="1"/>
  <c r="A115" i="9"/>
  <c r="B115" i="9" s="1"/>
  <c r="D115" i="10" s="1"/>
  <c r="A114" i="9"/>
  <c r="B114" i="9" s="1"/>
  <c r="D114" i="12" s="1"/>
  <c r="A113" i="9"/>
  <c r="B113" i="9" s="1"/>
  <c r="D113" i="12" s="1"/>
  <c r="A112" i="9"/>
  <c r="B112" i="9" s="1"/>
  <c r="D112" i="12" s="1"/>
  <c r="A111" i="9"/>
  <c r="B111" i="9" s="1"/>
  <c r="D111" i="12" s="1"/>
  <c r="A110" i="9"/>
  <c r="B110" i="9" s="1"/>
  <c r="D110" i="12" s="1"/>
  <c r="A109" i="9"/>
  <c r="B109" i="9" s="1"/>
  <c r="D109" i="12" s="1"/>
  <c r="A108" i="9"/>
  <c r="B108" i="9" s="1"/>
  <c r="D108" i="10" s="1"/>
  <c r="A107" i="9"/>
  <c r="B107" i="9" s="1"/>
  <c r="D107" i="10" s="1"/>
  <c r="A106" i="9"/>
  <c r="B106" i="9" s="1"/>
  <c r="D106" i="12" s="1"/>
  <c r="A105" i="9"/>
  <c r="B105" i="9" s="1"/>
  <c r="D105" i="12" s="1"/>
  <c r="A104" i="9"/>
  <c r="B104" i="9" s="1"/>
  <c r="D104" i="12" s="1"/>
  <c r="A103" i="9"/>
  <c r="B103" i="9" s="1"/>
  <c r="D103" i="12" s="1"/>
  <c r="A102" i="9"/>
  <c r="B102" i="9" s="1"/>
  <c r="D102" i="12" s="1"/>
  <c r="A101" i="9"/>
  <c r="B101" i="9" s="1"/>
  <c r="D101" i="12" s="1"/>
  <c r="A100" i="9"/>
  <c r="B100" i="9" s="1"/>
  <c r="A99" i="9"/>
  <c r="B99" i="9" s="1"/>
  <c r="D99" i="10" s="1"/>
  <c r="A98" i="9"/>
  <c r="B98" i="9" s="1"/>
  <c r="D98" i="12" s="1"/>
  <c r="A97" i="9"/>
  <c r="B97" i="9" s="1"/>
  <c r="D97" i="12" s="1"/>
  <c r="A96" i="9"/>
  <c r="B96" i="9" s="1"/>
  <c r="D96" i="12" s="1"/>
  <c r="A95" i="9"/>
  <c r="B95" i="9" s="1"/>
  <c r="D95" i="12" s="1"/>
  <c r="A94" i="9"/>
  <c r="B94" i="9" s="1"/>
  <c r="D94" i="12" s="1"/>
  <c r="A93" i="9"/>
  <c r="B93" i="9" s="1"/>
  <c r="D93" i="12" s="1"/>
  <c r="A92" i="9"/>
  <c r="B92" i="9" s="1"/>
  <c r="A91" i="9"/>
  <c r="B91" i="9" s="1"/>
  <c r="D91" i="10" s="1"/>
  <c r="A90" i="9"/>
  <c r="B90" i="9" s="1"/>
  <c r="D90" i="12" s="1"/>
  <c r="A89" i="9"/>
  <c r="B89" i="9" s="1"/>
  <c r="D89" i="12" s="1"/>
  <c r="A88" i="9"/>
  <c r="B88" i="9" s="1"/>
  <c r="D88" i="12" s="1"/>
  <c r="A87" i="9"/>
  <c r="B87" i="9" s="1"/>
  <c r="D87" i="12" s="1"/>
  <c r="A86" i="9"/>
  <c r="B86" i="9" s="1"/>
  <c r="D86" i="12" s="1"/>
  <c r="A85" i="9"/>
  <c r="B85" i="9" s="1"/>
  <c r="D85" i="12" s="1"/>
  <c r="A84" i="9"/>
  <c r="B84" i="9" s="1"/>
  <c r="A83" i="9"/>
  <c r="B83" i="9" s="1"/>
  <c r="D83" i="10" s="1"/>
  <c r="A82" i="9"/>
  <c r="B82" i="9" s="1"/>
  <c r="D82" i="12" s="1"/>
  <c r="A81" i="9"/>
  <c r="B81" i="9" s="1"/>
  <c r="D81" i="12" s="1"/>
  <c r="A80" i="9"/>
  <c r="B80" i="9" s="1"/>
  <c r="D80" i="12" s="1"/>
  <c r="A79" i="9"/>
  <c r="B79" i="9" s="1"/>
  <c r="D79" i="12" s="1"/>
  <c r="A78" i="9"/>
  <c r="B78" i="9" s="1"/>
  <c r="D78" i="12" s="1"/>
  <c r="A77" i="9"/>
  <c r="B77" i="9" s="1"/>
  <c r="D77" i="12" s="1"/>
  <c r="A76" i="9"/>
  <c r="B76" i="9" s="1"/>
  <c r="A75" i="9"/>
  <c r="B75" i="9" s="1"/>
  <c r="D75" i="10" s="1"/>
  <c r="A74" i="9"/>
  <c r="B74" i="9" s="1"/>
  <c r="D74" i="12" s="1"/>
  <c r="A73" i="9"/>
  <c r="B73" i="9" s="1"/>
  <c r="D73" i="12" s="1"/>
  <c r="A72" i="9"/>
  <c r="B72" i="9" s="1"/>
  <c r="D72" i="12" s="1"/>
  <c r="A71" i="9"/>
  <c r="B71" i="9" s="1"/>
  <c r="D71" i="12" s="1"/>
  <c r="A70" i="9"/>
  <c r="B70" i="9" s="1"/>
  <c r="D70" i="12" s="1"/>
  <c r="A69" i="9"/>
  <c r="B69" i="9" s="1"/>
  <c r="D69" i="12" s="1"/>
  <c r="A68" i="9"/>
  <c r="B68" i="9" s="1"/>
  <c r="A67" i="9"/>
  <c r="B67" i="9" s="1"/>
  <c r="D67" i="10" s="1"/>
  <c r="A66" i="9"/>
  <c r="B66" i="9" s="1"/>
  <c r="D66" i="12" s="1"/>
  <c r="A65" i="9"/>
  <c r="B65" i="9" s="1"/>
  <c r="D65" i="10" s="1"/>
  <c r="A64" i="9"/>
  <c r="B64" i="9" s="1"/>
  <c r="D64" i="12" s="1"/>
  <c r="A63" i="9"/>
  <c r="B63" i="9" s="1"/>
  <c r="D63" i="12" s="1"/>
  <c r="A62" i="9"/>
  <c r="B62" i="9" s="1"/>
  <c r="D62" i="12" s="1"/>
  <c r="A61" i="9"/>
  <c r="B61" i="9" s="1"/>
  <c r="D61" i="12" s="1"/>
  <c r="A60" i="9"/>
  <c r="B60" i="9" s="1"/>
  <c r="A59" i="9"/>
  <c r="B59" i="9" s="1"/>
  <c r="D59" i="10" s="1"/>
  <c r="A58" i="9"/>
  <c r="B58" i="9" s="1"/>
  <c r="D58" i="12" s="1"/>
  <c r="A57" i="9"/>
  <c r="B57" i="9" s="1"/>
  <c r="D57" i="12" s="1"/>
  <c r="A56" i="9"/>
  <c r="B56" i="9" s="1"/>
  <c r="D56" i="12" s="1"/>
  <c r="J122" i="5"/>
  <c r="G122" i="5"/>
  <c r="J121" i="5"/>
  <c r="G121" i="5"/>
  <c r="J120" i="5"/>
  <c r="G120" i="5"/>
  <c r="A113" i="5"/>
  <c r="B113" i="5" s="1"/>
  <c r="A112" i="5"/>
  <c r="B112" i="5" s="1"/>
  <c r="A111" i="5"/>
  <c r="B111" i="5" s="1"/>
  <c r="A110" i="5"/>
  <c r="B110" i="5" s="1"/>
  <c r="A109" i="5"/>
  <c r="B109" i="5" s="1"/>
  <c r="A108" i="5"/>
  <c r="B108" i="5" s="1"/>
  <c r="A107" i="5"/>
  <c r="B107" i="5" s="1"/>
  <c r="AB56" i="12"/>
  <c r="AB57" i="12"/>
  <c r="AB58" i="12"/>
  <c r="AB59" i="12"/>
  <c r="AB60" i="12"/>
  <c r="AB61" i="12"/>
  <c r="AB62" i="12"/>
  <c r="AB63" i="12"/>
  <c r="AB64" i="12"/>
  <c r="AB65" i="12"/>
  <c r="AB66" i="12"/>
  <c r="AB67" i="12"/>
  <c r="AB68" i="12"/>
  <c r="AB69" i="12"/>
  <c r="AB70" i="12"/>
  <c r="AB71" i="12"/>
  <c r="AB72" i="12"/>
  <c r="AB73" i="12"/>
  <c r="AB74" i="12"/>
  <c r="AB75" i="12"/>
  <c r="AB76" i="12"/>
  <c r="AB77" i="12"/>
  <c r="AB78" i="12"/>
  <c r="AB79" i="12"/>
  <c r="AB80" i="12"/>
  <c r="AB81" i="12"/>
  <c r="AB82" i="12"/>
  <c r="AB83" i="12"/>
  <c r="AB84" i="12"/>
  <c r="AB85" i="12"/>
  <c r="AB86" i="12"/>
  <c r="AB87" i="12"/>
  <c r="AB88" i="12"/>
  <c r="AB89" i="12"/>
  <c r="AB90" i="12"/>
  <c r="AB91" i="12"/>
  <c r="AB92" i="12"/>
  <c r="AB93" i="12"/>
  <c r="AB94" i="12"/>
  <c r="AB95" i="12"/>
  <c r="AB96" i="12"/>
  <c r="AB97" i="12"/>
  <c r="AB98" i="12"/>
  <c r="AB99" i="12"/>
  <c r="AB100" i="12"/>
  <c r="AB101" i="12"/>
  <c r="AB102" i="12"/>
  <c r="AB103" i="12"/>
  <c r="AB104" i="12"/>
  <c r="AB105" i="12"/>
  <c r="AB106" i="12"/>
  <c r="AB107" i="12"/>
  <c r="AB108" i="12"/>
  <c r="AB109" i="12"/>
  <c r="AB110" i="12"/>
  <c r="AB111" i="12"/>
  <c r="AB112" i="12"/>
  <c r="AB113" i="12"/>
  <c r="AB114" i="12"/>
  <c r="AB115" i="12"/>
  <c r="AB116" i="12"/>
  <c r="AB117" i="12"/>
  <c r="AB118" i="12"/>
  <c r="X56" i="12"/>
  <c r="X57" i="12"/>
  <c r="X59" i="12"/>
  <c r="X60" i="12"/>
  <c r="X61" i="12"/>
  <c r="X62" i="12"/>
  <c r="X63" i="12"/>
  <c r="X64" i="12"/>
  <c r="X65" i="12"/>
  <c r="X66" i="12"/>
  <c r="X67" i="12"/>
  <c r="X68" i="12"/>
  <c r="X69" i="12"/>
  <c r="X70" i="12"/>
  <c r="X71" i="12"/>
  <c r="X72" i="12"/>
  <c r="X73" i="12"/>
  <c r="X74" i="12"/>
  <c r="X75" i="12"/>
  <c r="X76" i="12"/>
  <c r="X77" i="12"/>
  <c r="X78" i="12"/>
  <c r="X79" i="12"/>
  <c r="X80" i="12"/>
  <c r="X81" i="12"/>
  <c r="X82" i="12"/>
  <c r="X83" i="12"/>
  <c r="X84" i="12"/>
  <c r="X85" i="12"/>
  <c r="X86" i="12"/>
  <c r="X87" i="12"/>
  <c r="X88" i="12"/>
  <c r="X89" i="12"/>
  <c r="X90" i="12"/>
  <c r="X91" i="12"/>
  <c r="X92" i="12"/>
  <c r="X93" i="12"/>
  <c r="X94" i="12"/>
  <c r="X95" i="12"/>
  <c r="X96" i="12"/>
  <c r="X97" i="12"/>
  <c r="X98" i="12"/>
  <c r="X99" i="12"/>
  <c r="X100" i="12"/>
  <c r="X101" i="12"/>
  <c r="X102" i="12"/>
  <c r="X103" i="12"/>
  <c r="X104" i="12"/>
  <c r="X105" i="12"/>
  <c r="X106" i="12"/>
  <c r="X107" i="12"/>
  <c r="X108" i="12"/>
  <c r="X109" i="12"/>
  <c r="X110" i="12"/>
  <c r="X111" i="12"/>
  <c r="X112" i="12"/>
  <c r="X113" i="12"/>
  <c r="X114" i="12"/>
  <c r="X115" i="12"/>
  <c r="X116" i="12"/>
  <c r="X117" i="12"/>
  <c r="X118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0" i="12"/>
  <c r="S71" i="12"/>
  <c r="S72" i="12"/>
  <c r="S73" i="12"/>
  <c r="S74" i="12"/>
  <c r="S75" i="12"/>
  <c r="S76" i="12"/>
  <c r="S77" i="12"/>
  <c r="S78" i="12"/>
  <c r="S79" i="12"/>
  <c r="S80" i="12"/>
  <c r="S81" i="12"/>
  <c r="S82" i="12"/>
  <c r="S83" i="12"/>
  <c r="S84" i="12"/>
  <c r="S85" i="12"/>
  <c r="S86" i="12"/>
  <c r="S87" i="12"/>
  <c r="S88" i="12"/>
  <c r="S89" i="12"/>
  <c r="S90" i="12"/>
  <c r="S91" i="12"/>
  <c r="S92" i="12"/>
  <c r="S93" i="12"/>
  <c r="S94" i="12"/>
  <c r="S95" i="12"/>
  <c r="S96" i="12"/>
  <c r="S97" i="12"/>
  <c r="S98" i="12"/>
  <c r="S99" i="12"/>
  <c r="S100" i="12"/>
  <c r="S101" i="12"/>
  <c r="S102" i="12"/>
  <c r="S103" i="12"/>
  <c r="S104" i="12"/>
  <c r="S105" i="12"/>
  <c r="S106" i="12"/>
  <c r="S107" i="12"/>
  <c r="S108" i="12"/>
  <c r="S109" i="12"/>
  <c r="S110" i="12"/>
  <c r="S111" i="12"/>
  <c r="S112" i="12"/>
  <c r="S113" i="12"/>
  <c r="S114" i="12"/>
  <c r="S115" i="12"/>
  <c r="S116" i="12"/>
  <c r="S117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73" i="12"/>
  <c r="M74" i="12"/>
  <c r="M75" i="12"/>
  <c r="M76" i="12"/>
  <c r="M77" i="12"/>
  <c r="M78" i="12"/>
  <c r="M79" i="12"/>
  <c r="M80" i="12"/>
  <c r="M81" i="12"/>
  <c r="M82" i="12"/>
  <c r="M83" i="12"/>
  <c r="M84" i="12"/>
  <c r="M85" i="12"/>
  <c r="M86" i="12"/>
  <c r="M87" i="12"/>
  <c r="M88" i="12"/>
  <c r="M89" i="12"/>
  <c r="M90" i="12"/>
  <c r="M91" i="12"/>
  <c r="M92" i="12"/>
  <c r="M93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15" i="12"/>
  <c r="M116" i="12"/>
  <c r="W86" i="9"/>
  <c r="W87" i="9"/>
  <c r="W88" i="9"/>
  <c r="W89" i="9"/>
  <c r="W90" i="9"/>
  <c r="W91" i="9"/>
  <c r="W92" i="9"/>
  <c r="W93" i="9"/>
  <c r="W94" i="9"/>
  <c r="W95" i="9"/>
  <c r="W96" i="9"/>
  <c r="W97" i="9"/>
  <c r="W98" i="9"/>
  <c r="W99" i="9"/>
  <c r="W100" i="9"/>
  <c r="W101" i="9"/>
  <c r="W102" i="9"/>
  <c r="W103" i="9"/>
  <c r="W104" i="9"/>
  <c r="W105" i="9"/>
  <c r="W106" i="9"/>
  <c r="W107" i="9"/>
  <c r="W108" i="9"/>
  <c r="W109" i="9"/>
  <c r="W110" i="9"/>
  <c r="W111" i="9"/>
  <c r="W112" i="9"/>
  <c r="W113" i="9"/>
  <c r="W114" i="9"/>
  <c r="W115" i="9"/>
  <c r="W116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H120" i="13"/>
  <c r="H119" i="13"/>
  <c r="H118" i="13"/>
  <c r="H116" i="13"/>
  <c r="H115" i="13"/>
  <c r="I114" i="13"/>
  <c r="X120" i="13"/>
  <c r="X119" i="13"/>
  <c r="X118" i="13"/>
  <c r="X117" i="13"/>
  <c r="X116" i="13"/>
  <c r="X115" i="13"/>
  <c r="X114" i="13"/>
  <c r="AO120" i="10"/>
  <c r="N120" i="10" s="1"/>
  <c r="AO119" i="10"/>
  <c r="N119" i="10" s="1"/>
  <c r="AO118" i="10"/>
  <c r="N118" i="10" s="1"/>
  <c r="AO117" i="10"/>
  <c r="N117" i="10" s="1"/>
  <c r="AO116" i="10"/>
  <c r="N116" i="10" s="1"/>
  <c r="AO115" i="10"/>
  <c r="N115" i="10" s="1"/>
  <c r="AO114" i="10"/>
  <c r="N114" i="10" s="1"/>
  <c r="AK120" i="10"/>
  <c r="AK119" i="10"/>
  <c r="AK118" i="10"/>
  <c r="AK117" i="10"/>
  <c r="AL116" i="10"/>
  <c r="AK116" i="10"/>
  <c r="AL115" i="10"/>
  <c r="AK115" i="10"/>
  <c r="AL114" i="10"/>
  <c r="AK114" i="10"/>
  <c r="AB120" i="10"/>
  <c r="AB119" i="10"/>
  <c r="AB118" i="10"/>
  <c r="AB117" i="10"/>
  <c r="AB116" i="10"/>
  <c r="AB115" i="10"/>
  <c r="AB114" i="10"/>
  <c r="G114" i="10"/>
  <c r="G115" i="10" s="1"/>
  <c r="J119" i="5"/>
  <c r="G119" i="5"/>
  <c r="J118" i="5"/>
  <c r="G118" i="5"/>
  <c r="J117" i="5"/>
  <c r="G117" i="5"/>
  <c r="J116" i="5"/>
  <c r="G116" i="5"/>
  <c r="J115" i="5"/>
  <c r="G115" i="5"/>
  <c r="J114" i="5"/>
  <c r="G114" i="5"/>
  <c r="C161" i="12"/>
  <c r="G161" i="10"/>
  <c r="C161" i="10" s="1"/>
  <c r="C161" i="13" s="1"/>
  <c r="C144" i="12"/>
  <c r="W117" i="9"/>
  <c r="C145" i="12"/>
  <c r="C138" i="12"/>
  <c r="C137" i="12"/>
  <c r="C119" i="12"/>
  <c r="C146" i="12"/>
  <c r="C139" i="12"/>
  <c r="C120" i="12"/>
  <c r="C140" i="12"/>
  <c r="C121" i="12"/>
  <c r="I176" i="10"/>
  <c r="C141" i="12"/>
  <c r="C122" i="12"/>
  <c r="A176" i="13"/>
  <c r="S176" i="10"/>
  <c r="D114" i="5"/>
  <c r="D115" i="5" s="1"/>
  <c r="AG118" i="12"/>
  <c r="AF118" i="12"/>
  <c r="AE118" i="12"/>
  <c r="AG117" i="12"/>
  <c r="AF117" i="12"/>
  <c r="AE117" i="12"/>
  <c r="AL117" i="12" s="1"/>
  <c r="AM117" i="12" s="1"/>
  <c r="AG116" i="12"/>
  <c r="AF116" i="12"/>
  <c r="AE116" i="12"/>
  <c r="AL116" i="12" s="1"/>
  <c r="AM116" i="12" s="1"/>
  <c r="AG115" i="12"/>
  <c r="AF115" i="12"/>
  <c r="AE115" i="12"/>
  <c r="AL115" i="12" s="1"/>
  <c r="AN115" i="12" s="1"/>
  <c r="AG114" i="12"/>
  <c r="AF114" i="12"/>
  <c r="AE114" i="12"/>
  <c r="AL114" i="12" s="1"/>
  <c r="AB115" i="13"/>
  <c r="AB116" i="13"/>
  <c r="AB120" i="13"/>
  <c r="AB119" i="13"/>
  <c r="AB118" i="13"/>
  <c r="AB117" i="13"/>
  <c r="AB114" i="13"/>
  <c r="H113" i="13"/>
  <c r="I112" i="13"/>
  <c r="H111" i="13"/>
  <c r="I110" i="13"/>
  <c r="I109" i="13"/>
  <c r="H108" i="13"/>
  <c r="I107" i="13"/>
  <c r="AB113" i="13"/>
  <c r="X113" i="13"/>
  <c r="AB112" i="13"/>
  <c r="X112" i="13"/>
  <c r="AB111" i="13"/>
  <c r="X111" i="13"/>
  <c r="AB110" i="13"/>
  <c r="X110" i="13"/>
  <c r="AB109" i="13"/>
  <c r="X109" i="13"/>
  <c r="AB108" i="13"/>
  <c r="X108" i="13"/>
  <c r="AB107" i="13"/>
  <c r="X107" i="13"/>
  <c r="AO113" i="10"/>
  <c r="N113" i="10" s="1"/>
  <c r="AO112" i="10"/>
  <c r="N112" i="10" s="1"/>
  <c r="AO111" i="10"/>
  <c r="N111" i="10" s="1"/>
  <c r="AO110" i="10"/>
  <c r="N110" i="10" s="1"/>
  <c r="AO109" i="10"/>
  <c r="N109" i="10" s="1"/>
  <c r="AO108" i="10"/>
  <c r="N108" i="10" s="1"/>
  <c r="AO107" i="10"/>
  <c r="N107" i="10" s="1"/>
  <c r="AL113" i="10"/>
  <c r="AL112" i="10"/>
  <c r="AL111" i="10"/>
  <c r="AL110" i="10"/>
  <c r="AL109" i="10"/>
  <c r="AL108" i="10"/>
  <c r="AL107" i="10"/>
  <c r="AK113" i="10"/>
  <c r="AK112" i="10"/>
  <c r="AK111" i="10"/>
  <c r="AK110" i="10"/>
  <c r="AK109" i="10"/>
  <c r="AK108" i="10"/>
  <c r="AK107" i="10"/>
  <c r="AB113" i="10"/>
  <c r="AB112" i="10"/>
  <c r="AB111" i="10"/>
  <c r="AB110" i="10"/>
  <c r="AB109" i="10"/>
  <c r="AB108" i="10"/>
  <c r="AB107" i="10"/>
  <c r="J113" i="5"/>
  <c r="G113" i="5"/>
  <c r="J112" i="5"/>
  <c r="G112" i="5"/>
  <c r="J111" i="5"/>
  <c r="G111" i="5"/>
  <c r="J110" i="5"/>
  <c r="G110" i="5"/>
  <c r="J109" i="5"/>
  <c r="G109" i="5"/>
  <c r="J108" i="5"/>
  <c r="G108" i="5"/>
  <c r="J107" i="5"/>
  <c r="G107" i="5"/>
  <c r="AG113" i="12"/>
  <c r="AF113" i="12"/>
  <c r="AE113" i="12"/>
  <c r="AL113" i="12" s="1"/>
  <c r="AM113" i="12" s="1"/>
  <c r="AG112" i="12"/>
  <c r="AF112" i="12"/>
  <c r="AE112" i="12"/>
  <c r="AG111" i="12"/>
  <c r="AF111" i="12"/>
  <c r="AE111" i="12"/>
  <c r="AG110" i="12"/>
  <c r="AF110" i="12"/>
  <c r="AE110" i="12"/>
  <c r="AL110" i="12" s="1"/>
  <c r="AM110" i="12" s="1"/>
  <c r="AG109" i="12"/>
  <c r="AF109" i="12"/>
  <c r="AE109" i="12"/>
  <c r="AL109" i="12" s="1"/>
  <c r="AM109" i="12" s="1"/>
  <c r="AG108" i="12"/>
  <c r="AF108" i="12"/>
  <c r="AE108" i="12"/>
  <c r="AL108" i="12" s="1"/>
  <c r="AN108" i="12" s="1"/>
  <c r="AG107" i="12"/>
  <c r="AF107" i="12"/>
  <c r="AE107" i="12"/>
  <c r="AL107" i="12" s="1"/>
  <c r="H106" i="13"/>
  <c r="I105" i="13"/>
  <c r="I104" i="13"/>
  <c r="I103" i="13"/>
  <c r="H102" i="13"/>
  <c r="H101" i="13"/>
  <c r="AO106" i="10"/>
  <c r="N106" i="10" s="1"/>
  <c r="AO105" i="10"/>
  <c r="N105" i="10" s="1"/>
  <c r="AO104" i="10"/>
  <c r="N104" i="10" s="1"/>
  <c r="AO103" i="10"/>
  <c r="N103" i="10" s="1"/>
  <c r="AO102" i="10"/>
  <c r="N102" i="10" s="1"/>
  <c r="AO101" i="10"/>
  <c r="N101" i="10" s="1"/>
  <c r="AL106" i="10"/>
  <c r="AK106" i="10"/>
  <c r="AL105" i="10"/>
  <c r="AK105" i="10"/>
  <c r="AL104" i="10"/>
  <c r="AK104" i="10"/>
  <c r="AL103" i="10"/>
  <c r="AK103" i="10"/>
  <c r="AL102" i="10"/>
  <c r="AK102" i="10"/>
  <c r="AL101" i="10"/>
  <c r="AK101" i="10"/>
  <c r="AB106" i="10"/>
  <c r="AB105" i="10"/>
  <c r="AB104" i="10"/>
  <c r="AB103" i="10"/>
  <c r="AB102" i="10"/>
  <c r="AB101" i="10"/>
  <c r="G101" i="5"/>
  <c r="J101" i="5"/>
  <c r="G102" i="5"/>
  <c r="J102" i="5"/>
  <c r="G103" i="5"/>
  <c r="J103" i="5"/>
  <c r="G104" i="5"/>
  <c r="J104" i="5"/>
  <c r="G105" i="5"/>
  <c r="J105" i="5"/>
  <c r="G106" i="5"/>
  <c r="J106" i="5"/>
  <c r="AG106" i="12"/>
  <c r="AF106" i="12"/>
  <c r="AE106" i="12"/>
  <c r="AL106" i="12" s="1"/>
  <c r="AG105" i="12"/>
  <c r="AF105" i="12"/>
  <c r="AE105" i="12"/>
  <c r="AL105" i="12" s="1"/>
  <c r="AM105" i="12" s="1"/>
  <c r="AG104" i="12"/>
  <c r="AF104" i="12"/>
  <c r="AE104" i="12"/>
  <c r="AL104" i="12" s="1"/>
  <c r="AM104" i="12" s="1"/>
  <c r="AG103" i="12"/>
  <c r="AF103" i="12"/>
  <c r="AE103" i="12"/>
  <c r="AG102" i="12"/>
  <c r="AF102" i="12"/>
  <c r="AE102" i="12"/>
  <c r="AL102" i="12" s="1"/>
  <c r="AG101" i="12"/>
  <c r="AF101" i="12"/>
  <c r="AE101" i="12"/>
  <c r="AO100" i="10"/>
  <c r="N100" i="10" s="1"/>
  <c r="AO99" i="10"/>
  <c r="N99" i="10" s="1"/>
  <c r="AO98" i="10"/>
  <c r="N98" i="10" s="1"/>
  <c r="AO97" i="10"/>
  <c r="N97" i="10" s="1"/>
  <c r="AO96" i="10"/>
  <c r="N96" i="10" s="1"/>
  <c r="AO95" i="10"/>
  <c r="N95" i="10" s="1"/>
  <c r="AO94" i="10"/>
  <c r="N94" i="10" s="1"/>
  <c r="AO93" i="10"/>
  <c r="N93" i="10" s="1"/>
  <c r="AO92" i="10"/>
  <c r="N92" i="10" s="1"/>
  <c r="AO91" i="10"/>
  <c r="N91" i="10" s="1"/>
  <c r="AO90" i="10"/>
  <c r="N90" i="10" s="1"/>
  <c r="AO89" i="10"/>
  <c r="N89" i="10" s="1"/>
  <c r="AO88" i="10"/>
  <c r="N88" i="10" s="1"/>
  <c r="AO87" i="10"/>
  <c r="N87" i="10" s="1"/>
  <c r="AO86" i="10"/>
  <c r="N86" i="10" s="1"/>
  <c r="AO85" i="10"/>
  <c r="N85" i="10" s="1"/>
  <c r="AO84" i="10"/>
  <c r="N84" i="10" s="1"/>
  <c r="AO83" i="10"/>
  <c r="N83" i="10" s="1"/>
  <c r="AO82" i="10"/>
  <c r="N82" i="10" s="1"/>
  <c r="AO81" i="10"/>
  <c r="N81" i="10" s="1"/>
  <c r="AO80" i="10"/>
  <c r="N80" i="10" s="1"/>
  <c r="AO79" i="10"/>
  <c r="N79" i="10" s="1"/>
  <c r="AO78" i="10"/>
  <c r="N78" i="10" s="1"/>
  <c r="AO77" i="10"/>
  <c r="N77" i="10" s="1"/>
  <c r="AO76" i="10"/>
  <c r="N76" i="10" s="1"/>
  <c r="AO75" i="10"/>
  <c r="N75" i="10" s="1"/>
  <c r="AO74" i="10"/>
  <c r="N74" i="10" s="1"/>
  <c r="AO73" i="10"/>
  <c r="N73" i="10" s="1"/>
  <c r="AO72" i="10"/>
  <c r="N72" i="10" s="1"/>
  <c r="AO71" i="10"/>
  <c r="N71" i="10" s="1"/>
  <c r="AO70" i="10"/>
  <c r="N70" i="10" s="1"/>
  <c r="AO69" i="10"/>
  <c r="N69" i="10" s="1"/>
  <c r="AO68" i="10"/>
  <c r="N68" i="10" s="1"/>
  <c r="AO67" i="10"/>
  <c r="N67" i="10" s="1"/>
  <c r="AO66" i="10"/>
  <c r="N66" i="10" s="1"/>
  <c r="AO65" i="10"/>
  <c r="N65" i="10" s="1"/>
  <c r="AO64" i="10"/>
  <c r="N64" i="10" s="1"/>
  <c r="AO63" i="10"/>
  <c r="N63" i="10" s="1"/>
  <c r="AO62" i="10"/>
  <c r="N62" i="10" s="1"/>
  <c r="AO61" i="10"/>
  <c r="N61" i="10" s="1"/>
  <c r="AO60" i="10"/>
  <c r="N60" i="10" s="1"/>
  <c r="AO59" i="10"/>
  <c r="N59" i="10" s="1"/>
  <c r="AO58" i="10"/>
  <c r="N58" i="10" s="1"/>
  <c r="AO57" i="10"/>
  <c r="N57" i="10" s="1"/>
  <c r="AO56" i="10"/>
  <c r="N56" i="10" s="1"/>
  <c r="AO55" i="10"/>
  <c r="N55" i="10" s="1"/>
  <c r="AO54" i="10"/>
  <c r="N54" i="10" s="1"/>
  <c r="AO53" i="10"/>
  <c r="N53" i="10" s="1"/>
  <c r="AO52" i="10"/>
  <c r="N52" i="10" s="1"/>
  <c r="AO51" i="10"/>
  <c r="N51" i="10" s="1"/>
  <c r="AO50" i="10"/>
  <c r="N50" i="10" s="1"/>
  <c r="AO49" i="10"/>
  <c r="N49" i="10" s="1"/>
  <c r="AO48" i="10"/>
  <c r="N48" i="10" s="1"/>
  <c r="AO47" i="10"/>
  <c r="N47" i="10" s="1"/>
  <c r="AO46" i="10"/>
  <c r="N46" i="10" s="1"/>
  <c r="AO45" i="10"/>
  <c r="N45" i="10" s="1"/>
  <c r="AO44" i="10"/>
  <c r="N44" i="10" s="1"/>
  <c r="AO43" i="10"/>
  <c r="N43" i="10" s="1"/>
  <c r="AO42" i="10"/>
  <c r="N42" i="10" s="1"/>
  <c r="AO41" i="10"/>
  <c r="N41" i="10" s="1"/>
  <c r="AO40" i="10"/>
  <c r="N40" i="10" s="1"/>
  <c r="AO39" i="10"/>
  <c r="N39" i="10" s="1"/>
  <c r="AO38" i="10"/>
  <c r="N38" i="10" s="1"/>
  <c r="AO37" i="10"/>
  <c r="N37" i="10" s="1"/>
  <c r="AO36" i="10"/>
  <c r="N36" i="10" s="1"/>
  <c r="AO35" i="10"/>
  <c r="N35" i="10" s="1"/>
  <c r="AO34" i="10"/>
  <c r="N34" i="10" s="1"/>
  <c r="AO33" i="10"/>
  <c r="N33" i="10" s="1"/>
  <c r="AO32" i="10"/>
  <c r="N32" i="10" s="1"/>
  <c r="AO31" i="10"/>
  <c r="N31" i="10" s="1"/>
  <c r="AO30" i="10"/>
  <c r="N30" i="10" s="1"/>
  <c r="AO29" i="10"/>
  <c r="N29" i="10" s="1"/>
  <c r="AO28" i="10"/>
  <c r="N28" i="10" s="1"/>
  <c r="AO27" i="10"/>
  <c r="N27" i="10" s="1"/>
  <c r="AO26" i="10"/>
  <c r="N26" i="10" s="1"/>
  <c r="AO25" i="10"/>
  <c r="N25" i="10" s="1"/>
  <c r="I100" i="13"/>
  <c r="H99" i="13"/>
  <c r="I98" i="13"/>
  <c r="H97" i="13"/>
  <c r="H96" i="13"/>
  <c r="I95" i="13"/>
  <c r="H94" i="13"/>
  <c r="I93" i="13"/>
  <c r="I92" i="13"/>
  <c r="H91" i="13"/>
  <c r="H90" i="13"/>
  <c r="I89" i="13"/>
  <c r="H88" i="13"/>
  <c r="I87" i="13"/>
  <c r="I85" i="13"/>
  <c r="I84" i="13"/>
  <c r="H83" i="13"/>
  <c r="I82" i="13"/>
  <c r="I81" i="13"/>
  <c r="I80" i="13"/>
  <c r="I79" i="13"/>
  <c r="I78" i="13"/>
  <c r="I77" i="13"/>
  <c r="H76" i="13"/>
  <c r="I75" i="13"/>
  <c r="I74" i="13"/>
  <c r="I73" i="13"/>
  <c r="H72" i="13"/>
  <c r="H71" i="13"/>
  <c r="I70" i="13"/>
  <c r="I69" i="13"/>
  <c r="H68" i="13"/>
  <c r="I67" i="13"/>
  <c r="I66" i="13"/>
  <c r="H65" i="13"/>
  <c r="I64" i="13"/>
  <c r="H63" i="13"/>
  <c r="H62" i="13"/>
  <c r="H61" i="13"/>
  <c r="H60" i="13"/>
  <c r="I59" i="13"/>
  <c r="I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I86" i="13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A87" i="13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B100" i="10"/>
  <c r="AB99" i="10"/>
  <c r="AB98" i="10"/>
  <c r="AB97" i="10"/>
  <c r="AB96" i="10"/>
  <c r="AB95" i="10"/>
  <c r="AB94" i="10"/>
  <c r="AL100" i="10"/>
  <c r="AK100" i="10"/>
  <c r="AL99" i="10"/>
  <c r="AK99" i="10"/>
  <c r="AL98" i="10"/>
  <c r="AK98" i="10"/>
  <c r="AL97" i="10"/>
  <c r="AK97" i="10"/>
  <c r="AL96" i="10"/>
  <c r="AK96" i="10"/>
  <c r="AL95" i="10"/>
  <c r="AK95" i="10"/>
  <c r="AL94" i="10"/>
  <c r="AK94" i="10"/>
  <c r="G100" i="5"/>
  <c r="G99" i="5"/>
  <c r="G98" i="5"/>
  <c r="G97" i="5"/>
  <c r="G96" i="5"/>
  <c r="G95" i="5"/>
  <c r="G94" i="5"/>
  <c r="AE94" i="12"/>
  <c r="AL94" i="12" s="1"/>
  <c r="AM94" i="12" s="1"/>
  <c r="AF94" i="12"/>
  <c r="AG94" i="12"/>
  <c r="AE95" i="12"/>
  <c r="AL95" i="12" s="1"/>
  <c r="AM95" i="12" s="1"/>
  <c r="AF95" i="12"/>
  <c r="AG95" i="12"/>
  <c r="AE96" i="12"/>
  <c r="AL96" i="12" s="1"/>
  <c r="AM96" i="12" s="1"/>
  <c r="AF96" i="12"/>
  <c r="AG96" i="12"/>
  <c r="AE97" i="12"/>
  <c r="AL97" i="12" s="1"/>
  <c r="AN97" i="12" s="1"/>
  <c r="AF97" i="12"/>
  <c r="AG97" i="12"/>
  <c r="AE98" i="12"/>
  <c r="AF98" i="12"/>
  <c r="AG98" i="12"/>
  <c r="AE99" i="12"/>
  <c r="AL99" i="12" s="1"/>
  <c r="AF99" i="12"/>
  <c r="AG99" i="12"/>
  <c r="AE100" i="12"/>
  <c r="AF100" i="12"/>
  <c r="AG100" i="12"/>
  <c r="W74" i="9"/>
  <c r="W75" i="9"/>
  <c r="W76" i="9"/>
  <c r="W77" i="9"/>
  <c r="W78" i="9"/>
  <c r="W79" i="9"/>
  <c r="W80" i="9"/>
  <c r="W81" i="9"/>
  <c r="W82" i="9"/>
  <c r="W83" i="9"/>
  <c r="W84" i="9"/>
  <c r="W85" i="9"/>
  <c r="N74" i="9"/>
  <c r="N75" i="9"/>
  <c r="N76" i="9"/>
  <c r="N77" i="9"/>
  <c r="N78" i="9"/>
  <c r="N79" i="9"/>
  <c r="N80" i="9"/>
  <c r="N81" i="9"/>
  <c r="N82" i="9"/>
  <c r="N83" i="9"/>
  <c r="N84" i="9"/>
  <c r="N85" i="9"/>
  <c r="AG26" i="12"/>
  <c r="AG27" i="12"/>
  <c r="AG28" i="12"/>
  <c r="AG29" i="12"/>
  <c r="AG30" i="12"/>
  <c r="AG31" i="12"/>
  <c r="AG32" i="12"/>
  <c r="AG33" i="12"/>
  <c r="AG34" i="12"/>
  <c r="AG35" i="12"/>
  <c r="AG36" i="12"/>
  <c r="AG37" i="12"/>
  <c r="AG38" i="12"/>
  <c r="AG39" i="12"/>
  <c r="AG40" i="12"/>
  <c r="AG41" i="12"/>
  <c r="AG42" i="12"/>
  <c r="AG43" i="12"/>
  <c r="AG44" i="12"/>
  <c r="AG45" i="12"/>
  <c r="AG46" i="12"/>
  <c r="AG47" i="12"/>
  <c r="AG48" i="12"/>
  <c r="AG49" i="12"/>
  <c r="AG50" i="12"/>
  <c r="AG51" i="12"/>
  <c r="AG52" i="12"/>
  <c r="AG53" i="12"/>
  <c r="AG54" i="12"/>
  <c r="AG55" i="12"/>
  <c r="AG56" i="12"/>
  <c r="AG57" i="12"/>
  <c r="AG58" i="12"/>
  <c r="AG59" i="12"/>
  <c r="AG60" i="12"/>
  <c r="AG61" i="12"/>
  <c r="AG62" i="12"/>
  <c r="AG63" i="12"/>
  <c r="AG64" i="12"/>
  <c r="AG65" i="12"/>
  <c r="AG66" i="12"/>
  <c r="AG67" i="12"/>
  <c r="AG68" i="12"/>
  <c r="AG69" i="12"/>
  <c r="AG70" i="12"/>
  <c r="AG71" i="12"/>
  <c r="AG72" i="12"/>
  <c r="AG73" i="12"/>
  <c r="AG74" i="12"/>
  <c r="AG75" i="12"/>
  <c r="AG76" i="12"/>
  <c r="AG77" i="12"/>
  <c r="AG78" i="12"/>
  <c r="AG79" i="12"/>
  <c r="AG80" i="12"/>
  <c r="AG81" i="12"/>
  <c r="AG82" i="12"/>
  <c r="AG83" i="12"/>
  <c r="AG84" i="12"/>
  <c r="AG85" i="12"/>
  <c r="AG86" i="12"/>
  <c r="AG87" i="12"/>
  <c r="AG88" i="12"/>
  <c r="AG89" i="12"/>
  <c r="AG90" i="12"/>
  <c r="AG91" i="12"/>
  <c r="AG92" i="12"/>
  <c r="AG93" i="12"/>
  <c r="AG25" i="12"/>
  <c r="AF26" i="12"/>
  <c r="AF27" i="12"/>
  <c r="AF28" i="12"/>
  <c r="AF29" i="12"/>
  <c r="AF30" i="12"/>
  <c r="AF31" i="12"/>
  <c r="AF32" i="12"/>
  <c r="AF33" i="12"/>
  <c r="AF34" i="12"/>
  <c r="AF35" i="12"/>
  <c r="AF36" i="12"/>
  <c r="AF37" i="12"/>
  <c r="AF38" i="12"/>
  <c r="AF39" i="12"/>
  <c r="AF40" i="12"/>
  <c r="AF41" i="12"/>
  <c r="AF42" i="12"/>
  <c r="AF43" i="12"/>
  <c r="AF44" i="12"/>
  <c r="AF45" i="12"/>
  <c r="AF46" i="12"/>
  <c r="AF47" i="12"/>
  <c r="AF48" i="12"/>
  <c r="AF49" i="12"/>
  <c r="AF50" i="12"/>
  <c r="AF51" i="12"/>
  <c r="AF52" i="12"/>
  <c r="AF53" i="12"/>
  <c r="AF54" i="12"/>
  <c r="AF55" i="12"/>
  <c r="AF56" i="12"/>
  <c r="AF57" i="12"/>
  <c r="AF58" i="12"/>
  <c r="AF59" i="12"/>
  <c r="AF60" i="12"/>
  <c r="AF61" i="12"/>
  <c r="AF62" i="12"/>
  <c r="AF63" i="12"/>
  <c r="AF64" i="12"/>
  <c r="AF65" i="12"/>
  <c r="AF66" i="12"/>
  <c r="AF67" i="12"/>
  <c r="AF68" i="12"/>
  <c r="AF69" i="12"/>
  <c r="AF70" i="12"/>
  <c r="AF71" i="12"/>
  <c r="AF72" i="12"/>
  <c r="AF73" i="12"/>
  <c r="AF74" i="12"/>
  <c r="AF75" i="12"/>
  <c r="AF76" i="12"/>
  <c r="AF77" i="12"/>
  <c r="AF78" i="12"/>
  <c r="AF79" i="12"/>
  <c r="AF80" i="12"/>
  <c r="AF81" i="12"/>
  <c r="AF82" i="12"/>
  <c r="AF83" i="12"/>
  <c r="AF84" i="12"/>
  <c r="AF85" i="12"/>
  <c r="AF86" i="12"/>
  <c r="AF87" i="12"/>
  <c r="AF88" i="12"/>
  <c r="AF89" i="12"/>
  <c r="AF90" i="12"/>
  <c r="AF91" i="12"/>
  <c r="AF92" i="12"/>
  <c r="AF93" i="12"/>
  <c r="AF25" i="12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AB88" i="13"/>
  <c r="X88" i="13"/>
  <c r="AB87" i="13"/>
  <c r="X87" i="13"/>
  <c r="AB86" i="13"/>
  <c r="X86" i="13"/>
  <c r="AL93" i="10"/>
  <c r="AK93" i="10"/>
  <c r="AL92" i="10"/>
  <c r="AK92" i="10"/>
  <c r="AL91" i="10"/>
  <c r="AK91" i="10"/>
  <c r="AL90" i="10"/>
  <c r="AK90" i="10"/>
  <c r="AL89" i="10"/>
  <c r="AK89" i="10"/>
  <c r="AL88" i="10"/>
  <c r="AK88" i="10"/>
  <c r="AL87" i="10"/>
  <c r="AK87" i="10"/>
  <c r="AL86" i="10"/>
  <c r="J86" i="10" s="1"/>
  <c r="AK86" i="10"/>
  <c r="R86" i="10" s="1"/>
  <c r="AB93" i="10"/>
  <c r="AB92" i="10"/>
  <c r="AB91" i="10"/>
  <c r="AB90" i="10"/>
  <c r="AB89" i="10"/>
  <c r="AB88" i="10"/>
  <c r="AB87" i="10"/>
  <c r="AB86" i="10"/>
  <c r="AB89" i="13"/>
  <c r="S86" i="10"/>
  <c r="A87" i="10"/>
  <c r="S87" i="10" s="1"/>
  <c r="I86" i="10"/>
  <c r="X89" i="13"/>
  <c r="AB90" i="13"/>
  <c r="AB94" i="13"/>
  <c r="X94" i="13"/>
  <c r="AB91" i="13"/>
  <c r="X90" i="13"/>
  <c r="AE93" i="12"/>
  <c r="AE92" i="12"/>
  <c r="AL92" i="12" s="1"/>
  <c r="AE91" i="12"/>
  <c r="AL91" i="12" s="1"/>
  <c r="AE90" i="12"/>
  <c r="AL90" i="12" s="1"/>
  <c r="AM90" i="12" s="1"/>
  <c r="AE89" i="12"/>
  <c r="AE88" i="12"/>
  <c r="AL88" i="12" s="1"/>
  <c r="AM88" i="12" s="1"/>
  <c r="AE87" i="12"/>
  <c r="AE86" i="12"/>
  <c r="X55" i="12"/>
  <c r="W57" i="9"/>
  <c r="W58" i="9"/>
  <c r="W59" i="9"/>
  <c r="W60" i="9"/>
  <c r="W61" i="9"/>
  <c r="W62" i="9"/>
  <c r="W63" i="9"/>
  <c r="W64" i="9"/>
  <c r="W65" i="9"/>
  <c r="W66" i="9"/>
  <c r="W67" i="9"/>
  <c r="W68" i="9"/>
  <c r="W69" i="9"/>
  <c r="W70" i="9"/>
  <c r="W71" i="9"/>
  <c r="W72" i="9"/>
  <c r="W73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X95" i="13"/>
  <c r="AB95" i="13"/>
  <c r="X91" i="13"/>
  <c r="AB92" i="13"/>
  <c r="AB96" i="13"/>
  <c r="X96" i="13"/>
  <c r="AB93" i="13"/>
  <c r="X92" i="13"/>
  <c r="AB97" i="13"/>
  <c r="X97" i="13"/>
  <c r="X93" i="13"/>
  <c r="X98" i="13"/>
  <c r="AB98" i="13"/>
  <c r="AB85" i="13"/>
  <c r="X85" i="13"/>
  <c r="AB84" i="13"/>
  <c r="X84" i="13"/>
  <c r="AB83" i="13"/>
  <c r="X83" i="13"/>
  <c r="AB82" i="13"/>
  <c r="X82" i="13"/>
  <c r="AB81" i="13"/>
  <c r="X81" i="13"/>
  <c r="AB80" i="13"/>
  <c r="X80" i="13"/>
  <c r="AB79" i="13"/>
  <c r="X79" i="13"/>
  <c r="AL85" i="10"/>
  <c r="J85" i="10" s="1"/>
  <c r="AK85" i="10"/>
  <c r="R85" i="10" s="1"/>
  <c r="AL84" i="10"/>
  <c r="J84" i="10" s="1"/>
  <c r="AK84" i="10"/>
  <c r="R84" i="10" s="1"/>
  <c r="AL83" i="10"/>
  <c r="J83" i="10" s="1"/>
  <c r="AK83" i="10"/>
  <c r="R83" i="10" s="1"/>
  <c r="AL82" i="10"/>
  <c r="J82" i="10" s="1"/>
  <c r="AK82" i="10"/>
  <c r="R82" i="10" s="1"/>
  <c r="AL81" i="10"/>
  <c r="J81" i="10" s="1"/>
  <c r="AK81" i="10"/>
  <c r="R81" i="10" s="1"/>
  <c r="AL80" i="10"/>
  <c r="J80" i="10" s="1"/>
  <c r="AK80" i="10"/>
  <c r="R80" i="10" s="1"/>
  <c r="AL79" i="10"/>
  <c r="J79" i="10" s="1"/>
  <c r="AK79" i="10"/>
  <c r="R79" i="10" s="1"/>
  <c r="AB85" i="10"/>
  <c r="AB84" i="10"/>
  <c r="AB83" i="10"/>
  <c r="AB82" i="10"/>
  <c r="AB81" i="10"/>
  <c r="AB80" i="10"/>
  <c r="AB79" i="10"/>
  <c r="S85" i="10"/>
  <c r="S84" i="10"/>
  <c r="I83" i="10"/>
  <c r="I82" i="10"/>
  <c r="S81" i="10"/>
  <c r="S80" i="10"/>
  <c r="I79" i="10"/>
  <c r="AE85" i="12"/>
  <c r="AE84" i="12"/>
  <c r="AL84" i="12" s="1"/>
  <c r="AM84" i="12" s="1"/>
  <c r="AE83" i="12"/>
  <c r="AL83" i="12" s="1"/>
  <c r="AM83" i="12" s="1"/>
  <c r="AE82" i="12"/>
  <c r="AE81" i="12"/>
  <c r="AL81" i="12" s="1"/>
  <c r="AM81" i="12" s="1"/>
  <c r="AE80" i="12"/>
  <c r="AL80" i="12" s="1"/>
  <c r="AM80" i="12" s="1"/>
  <c r="AE79" i="12"/>
  <c r="AL79" i="12" s="1"/>
  <c r="AB99" i="13"/>
  <c r="X99" i="13"/>
  <c r="S82" i="10"/>
  <c r="I85" i="10"/>
  <c r="S79" i="10"/>
  <c r="S83" i="10"/>
  <c r="I84" i="10"/>
  <c r="I80" i="10"/>
  <c r="I81" i="10"/>
  <c r="X100" i="13"/>
  <c r="AB100" i="13"/>
  <c r="AB101" i="13"/>
  <c r="X101" i="13"/>
  <c r="AB78" i="13"/>
  <c r="X78" i="13"/>
  <c r="AB77" i="13"/>
  <c r="X77" i="13"/>
  <c r="AB76" i="13"/>
  <c r="X76" i="13"/>
  <c r="AB75" i="13"/>
  <c r="X75" i="13"/>
  <c r="AB74" i="13"/>
  <c r="X74" i="13"/>
  <c r="AB73" i="13"/>
  <c r="X73" i="13"/>
  <c r="AB72" i="13"/>
  <c r="X72" i="13"/>
  <c r="X102" i="13"/>
  <c r="AB102" i="13"/>
  <c r="AL78" i="10"/>
  <c r="J78" i="10" s="1"/>
  <c r="AK78" i="10"/>
  <c r="R78" i="10" s="1"/>
  <c r="AL77" i="10"/>
  <c r="J77" i="10" s="1"/>
  <c r="AK77" i="10"/>
  <c r="R77" i="10" s="1"/>
  <c r="AL76" i="10"/>
  <c r="J76" i="10" s="1"/>
  <c r="AK76" i="10"/>
  <c r="R76" i="10" s="1"/>
  <c r="AL75" i="10"/>
  <c r="J75" i="10" s="1"/>
  <c r="AK75" i="10"/>
  <c r="R75" i="10" s="1"/>
  <c r="AL74" i="10"/>
  <c r="J74" i="10" s="1"/>
  <c r="AK74" i="10"/>
  <c r="R74" i="10" s="1"/>
  <c r="AL73" i="10"/>
  <c r="J73" i="10" s="1"/>
  <c r="AK73" i="10"/>
  <c r="R73" i="10" s="1"/>
  <c r="AL72" i="10"/>
  <c r="J72" i="10" s="1"/>
  <c r="AK72" i="10"/>
  <c r="R72" i="10" s="1"/>
  <c r="AB78" i="10"/>
  <c r="AB77" i="10"/>
  <c r="AB76" i="10"/>
  <c r="AB75" i="10"/>
  <c r="AB74" i="10"/>
  <c r="AB73" i="10"/>
  <c r="AB72" i="10"/>
  <c r="I78" i="10"/>
  <c r="I77" i="10"/>
  <c r="I76" i="10"/>
  <c r="S75" i="10"/>
  <c r="I72" i="10"/>
  <c r="AE78" i="12"/>
  <c r="AL78" i="12" s="1"/>
  <c r="AM78" i="12" s="1"/>
  <c r="AE77" i="12"/>
  <c r="AL77" i="12" s="1"/>
  <c r="AE76" i="12"/>
  <c r="AL76" i="12" s="1"/>
  <c r="AM76" i="12" s="1"/>
  <c r="AE75" i="12"/>
  <c r="AL75" i="12" s="1"/>
  <c r="AM75" i="12" s="1"/>
  <c r="AE74" i="12"/>
  <c r="AL74" i="12" s="1"/>
  <c r="AM74" i="12" s="1"/>
  <c r="AE73" i="12"/>
  <c r="AL73" i="12" s="1"/>
  <c r="AM73" i="12" s="1"/>
  <c r="AE72" i="12"/>
  <c r="AL72" i="12" s="1"/>
  <c r="AB103" i="13"/>
  <c r="X103" i="13"/>
  <c r="S77" i="10"/>
  <c r="I73" i="10"/>
  <c r="S73" i="10"/>
  <c r="S72" i="10"/>
  <c r="S76" i="10"/>
  <c r="S78" i="10"/>
  <c r="I74" i="10"/>
  <c r="I75" i="10"/>
  <c r="S74" i="10"/>
  <c r="X104" i="13"/>
  <c r="AB104" i="13"/>
  <c r="AB105" i="13"/>
  <c r="X105" i="13"/>
  <c r="X106" i="13"/>
  <c r="AB106" i="13"/>
  <c r="W56" i="9"/>
  <c r="AB71" i="13"/>
  <c r="X71" i="13"/>
  <c r="AB70" i="13"/>
  <c r="X70" i="13"/>
  <c r="AB69" i="13"/>
  <c r="X69" i="13"/>
  <c r="AB68" i="13"/>
  <c r="X68" i="13"/>
  <c r="AB67" i="13"/>
  <c r="X67" i="13"/>
  <c r="AB66" i="13"/>
  <c r="X66" i="13"/>
  <c r="AB65" i="13"/>
  <c r="X65" i="13"/>
  <c r="AB71" i="10"/>
  <c r="S71" i="10"/>
  <c r="AB70" i="10"/>
  <c r="AB69" i="10"/>
  <c r="AB68" i="10"/>
  <c r="AB67" i="10"/>
  <c r="AB66" i="10"/>
  <c r="AB65" i="10"/>
  <c r="S65" i="10"/>
  <c r="I71" i="10"/>
  <c r="I70" i="10"/>
  <c r="I69" i="10"/>
  <c r="I68" i="10"/>
  <c r="I65" i="10"/>
  <c r="AL71" i="10"/>
  <c r="J71" i="10" s="1"/>
  <c r="AK71" i="10"/>
  <c r="R71" i="10" s="1"/>
  <c r="AL70" i="10"/>
  <c r="J70" i="10" s="1"/>
  <c r="AK70" i="10"/>
  <c r="R70" i="10" s="1"/>
  <c r="AL69" i="10"/>
  <c r="J69" i="10" s="1"/>
  <c r="AK69" i="10"/>
  <c r="R69" i="10" s="1"/>
  <c r="AL68" i="10"/>
  <c r="J68" i="10" s="1"/>
  <c r="AK68" i="10"/>
  <c r="R68" i="10" s="1"/>
  <c r="AL67" i="10"/>
  <c r="J67" i="10" s="1"/>
  <c r="AK67" i="10"/>
  <c r="R67" i="10" s="1"/>
  <c r="AL66" i="10"/>
  <c r="J66" i="10" s="1"/>
  <c r="AK66" i="10"/>
  <c r="R66" i="10" s="1"/>
  <c r="AL65" i="10"/>
  <c r="J65" i="10" s="1"/>
  <c r="AK65" i="10"/>
  <c r="R65" i="10" s="1"/>
  <c r="S70" i="10"/>
  <c r="I67" i="10"/>
  <c r="I66" i="10"/>
  <c r="AE71" i="12"/>
  <c r="AL71" i="12" s="1"/>
  <c r="AM71" i="12" s="1"/>
  <c r="AE70" i="12"/>
  <c r="AL70" i="12" s="1"/>
  <c r="AM70" i="12" s="1"/>
  <c r="AE69" i="12"/>
  <c r="AE68" i="12"/>
  <c r="AL68" i="12" s="1"/>
  <c r="AM68" i="12" s="1"/>
  <c r="AE67" i="12"/>
  <c r="AE66" i="12"/>
  <c r="AE65" i="12"/>
  <c r="AL65" i="12" s="1"/>
  <c r="AM65" i="12" s="1"/>
  <c r="S68" i="10"/>
  <c r="S69" i="10"/>
  <c r="S67" i="10"/>
  <c r="S66" i="10"/>
  <c r="AE25" i="12"/>
  <c r="AL25" i="12" s="1"/>
  <c r="AE26" i="12"/>
  <c r="AL26" i="12" s="1"/>
  <c r="AM26" i="12" s="1"/>
  <c r="AE27" i="12"/>
  <c r="AL27" i="12" s="1"/>
  <c r="AE28" i="12"/>
  <c r="AL28" i="12" s="1"/>
  <c r="AM28" i="12" s="1"/>
  <c r="AE29" i="12"/>
  <c r="AL29" i="12" s="1"/>
  <c r="AM29" i="12" s="1"/>
  <c r="AE30" i="12"/>
  <c r="AL30" i="12" s="1"/>
  <c r="AM30" i="12" s="1"/>
  <c r="AE31" i="12"/>
  <c r="AE32" i="12"/>
  <c r="AL32" i="12" s="1"/>
  <c r="AM32" i="12" s="1"/>
  <c r="AE33" i="12"/>
  <c r="AL33" i="12" s="1"/>
  <c r="AM33" i="12" s="1"/>
  <c r="AE34" i="12"/>
  <c r="AL34" i="12" s="1"/>
  <c r="AN34" i="12" s="1"/>
  <c r="AE35" i="12"/>
  <c r="AE36" i="12"/>
  <c r="AL36" i="12" s="1"/>
  <c r="AM36" i="12" s="1"/>
  <c r="AE37" i="12"/>
  <c r="AE38" i="12"/>
  <c r="AL38" i="12" s="1"/>
  <c r="AM38" i="12" s="1"/>
  <c r="AE39" i="12"/>
  <c r="AL39" i="12" s="1"/>
  <c r="AM39" i="12" s="1"/>
  <c r="AE40" i="12"/>
  <c r="AE41" i="12"/>
  <c r="AL41" i="12" s="1"/>
  <c r="AM41" i="12" s="1"/>
  <c r="AE42" i="12"/>
  <c r="AE43" i="12"/>
  <c r="AL43" i="12" s="1"/>
  <c r="AN43" i="12" s="1"/>
  <c r="AE44" i="12"/>
  <c r="AL44" i="12" s="1"/>
  <c r="AM44" i="12" s="1"/>
  <c r="AE45" i="12"/>
  <c r="AL45" i="12" s="1"/>
  <c r="AM45" i="12" s="1"/>
  <c r="AE46" i="12"/>
  <c r="AL46" i="12" s="1"/>
  <c r="AM46" i="12" s="1"/>
  <c r="AE47" i="12"/>
  <c r="AL47" i="12" s="1"/>
  <c r="AE48" i="12"/>
  <c r="AE49" i="12"/>
  <c r="AE50" i="12"/>
  <c r="AL50" i="12" s="1"/>
  <c r="AM50" i="12" s="1"/>
  <c r="AE51" i="12"/>
  <c r="AL51" i="12" s="1"/>
  <c r="AE52" i="12"/>
  <c r="AE53" i="12"/>
  <c r="AL53" i="12" s="1"/>
  <c r="AM53" i="12" s="1"/>
  <c r="AE54" i="12"/>
  <c r="AL54" i="12" s="1"/>
  <c r="AE55" i="12"/>
  <c r="AE56" i="12"/>
  <c r="AL56" i="12" s="1"/>
  <c r="AM56" i="12" s="1"/>
  <c r="AE57" i="12"/>
  <c r="AL57" i="12" s="1"/>
  <c r="AE58" i="12"/>
  <c r="AL58" i="12" s="1"/>
  <c r="AM58" i="12" s="1"/>
  <c r="AE59" i="12"/>
  <c r="AL59" i="12" s="1"/>
  <c r="AM59" i="12" s="1"/>
  <c r="AE60" i="12"/>
  <c r="AL60" i="12" s="1"/>
  <c r="AM60" i="12" s="1"/>
  <c r="AE61" i="12"/>
  <c r="AL61" i="12" s="1"/>
  <c r="AM61" i="12" s="1"/>
  <c r="AE62" i="12"/>
  <c r="AE63" i="12"/>
  <c r="AL63" i="12" s="1"/>
  <c r="AE64" i="12"/>
  <c r="Y6" i="10"/>
  <c r="Z6" i="10" s="1"/>
  <c r="AB64" i="13"/>
  <c r="X64" i="13"/>
  <c r="AB63" i="13"/>
  <c r="X63" i="13"/>
  <c r="AB62" i="13"/>
  <c r="X62" i="13"/>
  <c r="AB64" i="10"/>
  <c r="AB63" i="10"/>
  <c r="AB62" i="10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X56" i="13"/>
  <c r="AB56" i="13"/>
  <c r="X57" i="13"/>
  <c r="AB57" i="13"/>
  <c r="X58" i="13"/>
  <c r="AB58" i="13"/>
  <c r="X59" i="13"/>
  <c r="AB59" i="13"/>
  <c r="X60" i="13"/>
  <c r="AB60" i="13"/>
  <c r="X61" i="13"/>
  <c r="AB61" i="13"/>
  <c r="AB61" i="10"/>
  <c r="AB60" i="10"/>
  <c r="AB59" i="10"/>
  <c r="AB58" i="10"/>
  <c r="AB57" i="10"/>
  <c r="AB56" i="10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25" i="13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25" i="10"/>
  <c r="AL26" i="10"/>
  <c r="J26" i="10" s="1"/>
  <c r="AL27" i="10"/>
  <c r="J27" i="10" s="1"/>
  <c r="AL28" i="10"/>
  <c r="J28" i="10" s="1"/>
  <c r="AL29" i="10"/>
  <c r="J29" i="10" s="1"/>
  <c r="AL30" i="10"/>
  <c r="J30" i="10" s="1"/>
  <c r="AL31" i="10"/>
  <c r="J31" i="10" s="1"/>
  <c r="AL32" i="10"/>
  <c r="J32" i="10" s="1"/>
  <c r="AL33" i="10"/>
  <c r="J33" i="10" s="1"/>
  <c r="AL34" i="10"/>
  <c r="J34" i="10" s="1"/>
  <c r="AL35" i="10"/>
  <c r="J35" i="10" s="1"/>
  <c r="AL36" i="10"/>
  <c r="J36" i="10" s="1"/>
  <c r="AL37" i="10"/>
  <c r="J37" i="10" s="1"/>
  <c r="AL38" i="10"/>
  <c r="J38" i="10" s="1"/>
  <c r="AL39" i="10"/>
  <c r="J39" i="10" s="1"/>
  <c r="AL40" i="10"/>
  <c r="J40" i="10" s="1"/>
  <c r="AL41" i="10"/>
  <c r="J41" i="10" s="1"/>
  <c r="AL42" i="10"/>
  <c r="J42" i="10" s="1"/>
  <c r="AL43" i="10"/>
  <c r="J43" i="10" s="1"/>
  <c r="AL44" i="10"/>
  <c r="J44" i="10" s="1"/>
  <c r="AL45" i="10"/>
  <c r="J45" i="10" s="1"/>
  <c r="AL46" i="10"/>
  <c r="J46" i="10" s="1"/>
  <c r="AL47" i="10"/>
  <c r="J47" i="10" s="1"/>
  <c r="AL48" i="10"/>
  <c r="J48" i="10" s="1"/>
  <c r="AL49" i="10"/>
  <c r="J49" i="10" s="1"/>
  <c r="AL50" i="10"/>
  <c r="J50" i="10" s="1"/>
  <c r="AL51" i="10"/>
  <c r="J51" i="10" s="1"/>
  <c r="AL52" i="10"/>
  <c r="J52" i="10" s="1"/>
  <c r="AL53" i="10"/>
  <c r="J53" i="10" s="1"/>
  <c r="AL54" i="10"/>
  <c r="J54" i="10" s="1"/>
  <c r="AL55" i="10"/>
  <c r="J55" i="10" s="1"/>
  <c r="AL56" i="10"/>
  <c r="J56" i="10" s="1"/>
  <c r="AL57" i="10"/>
  <c r="J57" i="10" s="1"/>
  <c r="AL58" i="10"/>
  <c r="J58" i="10" s="1"/>
  <c r="AL59" i="10"/>
  <c r="J59" i="10" s="1"/>
  <c r="AL60" i="10"/>
  <c r="J60" i="10" s="1"/>
  <c r="AL61" i="10"/>
  <c r="J61" i="10" s="1"/>
  <c r="AL62" i="10"/>
  <c r="J62" i="10" s="1"/>
  <c r="AL63" i="10"/>
  <c r="J63" i="10" s="1"/>
  <c r="AL64" i="10"/>
  <c r="J64" i="10" s="1"/>
  <c r="AL25" i="10"/>
  <c r="J25" i="10" s="1"/>
  <c r="AK26" i="10"/>
  <c r="R26" i="10" s="1"/>
  <c r="AK27" i="10"/>
  <c r="R27" i="10" s="1"/>
  <c r="AK28" i="10"/>
  <c r="R28" i="10" s="1"/>
  <c r="AK29" i="10"/>
  <c r="R29" i="10" s="1"/>
  <c r="AK30" i="10"/>
  <c r="R30" i="10" s="1"/>
  <c r="AK31" i="10"/>
  <c r="R31" i="10" s="1"/>
  <c r="AK32" i="10"/>
  <c r="R32" i="10" s="1"/>
  <c r="AK33" i="10"/>
  <c r="R33" i="10" s="1"/>
  <c r="AK34" i="10"/>
  <c r="R34" i="10" s="1"/>
  <c r="AK35" i="10"/>
  <c r="R35" i="10" s="1"/>
  <c r="AK36" i="10"/>
  <c r="R36" i="10" s="1"/>
  <c r="AK37" i="10"/>
  <c r="R37" i="10" s="1"/>
  <c r="AK38" i="10"/>
  <c r="R38" i="10" s="1"/>
  <c r="AK39" i="10"/>
  <c r="R39" i="10" s="1"/>
  <c r="AK40" i="10"/>
  <c r="R40" i="10" s="1"/>
  <c r="AK41" i="10"/>
  <c r="R41" i="10" s="1"/>
  <c r="AK42" i="10"/>
  <c r="R42" i="10" s="1"/>
  <c r="AK43" i="10"/>
  <c r="R43" i="10" s="1"/>
  <c r="AK44" i="10"/>
  <c r="R44" i="10" s="1"/>
  <c r="AK45" i="10"/>
  <c r="R45" i="10" s="1"/>
  <c r="AK46" i="10"/>
  <c r="R46" i="10" s="1"/>
  <c r="AK47" i="10"/>
  <c r="R47" i="10" s="1"/>
  <c r="AK48" i="10"/>
  <c r="R48" i="10" s="1"/>
  <c r="AK49" i="10"/>
  <c r="R49" i="10" s="1"/>
  <c r="AK50" i="10"/>
  <c r="R50" i="10" s="1"/>
  <c r="AK51" i="10"/>
  <c r="R51" i="10" s="1"/>
  <c r="AK52" i="10"/>
  <c r="R52" i="10" s="1"/>
  <c r="AK53" i="10"/>
  <c r="R53" i="10" s="1"/>
  <c r="AK54" i="10"/>
  <c r="R54" i="10" s="1"/>
  <c r="AK55" i="10"/>
  <c r="R55" i="10" s="1"/>
  <c r="AK56" i="10"/>
  <c r="R56" i="10" s="1"/>
  <c r="AK57" i="10"/>
  <c r="R57" i="10" s="1"/>
  <c r="AK58" i="10"/>
  <c r="R58" i="10" s="1"/>
  <c r="AK59" i="10"/>
  <c r="R59" i="10" s="1"/>
  <c r="AK60" i="10"/>
  <c r="R60" i="10" s="1"/>
  <c r="AK61" i="10"/>
  <c r="R61" i="10" s="1"/>
  <c r="AK62" i="10"/>
  <c r="R62" i="10" s="1"/>
  <c r="AK63" i="10"/>
  <c r="R63" i="10" s="1"/>
  <c r="AK64" i="10"/>
  <c r="R64" i="10" s="1"/>
  <c r="AK25" i="10"/>
  <c r="R25" i="10" s="1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25" i="10"/>
  <c r="I64" i="10"/>
  <c r="I63" i="10"/>
  <c r="I62" i="10"/>
  <c r="I61" i="10"/>
  <c r="S60" i="10"/>
  <c r="S59" i="10"/>
  <c r="I58" i="10"/>
  <c r="S57" i="10"/>
  <c r="S56" i="10"/>
  <c r="I56" i="10"/>
  <c r="I60" i="10"/>
  <c r="I57" i="10"/>
  <c r="I59" i="10"/>
  <c r="S62" i="10"/>
  <c r="S63" i="10"/>
  <c r="S64" i="10"/>
  <c r="S58" i="10"/>
  <c r="S61" i="10"/>
  <c r="M54" i="12"/>
  <c r="M53" i="12"/>
  <c r="M52" i="12"/>
  <c r="M47" i="12"/>
  <c r="M40" i="12"/>
  <c r="M39" i="12"/>
  <c r="M30" i="12"/>
  <c r="M29" i="12"/>
  <c r="M28" i="12"/>
  <c r="M27" i="12"/>
  <c r="S54" i="12"/>
  <c r="S53" i="12"/>
  <c r="S52" i="12"/>
  <c r="S49" i="12"/>
  <c r="S47" i="12"/>
  <c r="S46" i="12"/>
  <c r="S36" i="12"/>
  <c r="S35" i="12"/>
  <c r="W55" i="9"/>
  <c r="D26" i="5"/>
  <c r="D27" i="5" s="1"/>
  <c r="AB55" i="13"/>
  <c r="X55" i="13"/>
  <c r="G26" i="13"/>
  <c r="D25" i="13"/>
  <c r="C25" i="13"/>
  <c r="S30" i="12"/>
  <c r="S42" i="12"/>
  <c r="M44" i="12"/>
  <c r="AB55" i="12"/>
  <c r="S43" i="12"/>
  <c r="S33" i="12"/>
  <c r="S28" i="12"/>
  <c r="S44" i="12"/>
  <c r="M48" i="12"/>
  <c r="M46" i="12"/>
  <c r="M37" i="12"/>
  <c r="G26" i="12"/>
  <c r="G27" i="12" s="1"/>
  <c r="AB55" i="10"/>
  <c r="G26" i="10"/>
  <c r="C26" i="10" s="1"/>
  <c r="C25" i="10"/>
  <c r="W26" i="9"/>
  <c r="W50" i="9"/>
  <c r="W54" i="9"/>
  <c r="W25" i="9"/>
  <c r="W42" i="9"/>
  <c r="W30" i="9"/>
  <c r="W34" i="9"/>
  <c r="A25" i="5"/>
  <c r="B25" i="5" s="1"/>
  <c r="AB54" i="13"/>
  <c r="X54" i="13"/>
  <c r="AB53" i="13"/>
  <c r="X53" i="13"/>
  <c r="AB52" i="13"/>
  <c r="X52" i="13"/>
  <c r="AB51" i="13"/>
  <c r="X51" i="13"/>
  <c r="AB50" i="13"/>
  <c r="X50" i="13"/>
  <c r="AB49" i="13"/>
  <c r="X49" i="13"/>
  <c r="AB48" i="13"/>
  <c r="X48" i="13"/>
  <c r="AB47" i="13"/>
  <c r="X47" i="13"/>
  <c r="AB46" i="13"/>
  <c r="X46" i="13"/>
  <c r="AB45" i="13"/>
  <c r="X45" i="13"/>
  <c r="AB44" i="13"/>
  <c r="X44" i="13"/>
  <c r="AB43" i="13"/>
  <c r="X43" i="13"/>
  <c r="AB42" i="13"/>
  <c r="X42" i="13"/>
  <c r="AB41" i="13"/>
  <c r="X41" i="13"/>
  <c r="AB40" i="13"/>
  <c r="X40" i="13"/>
  <c r="AB39" i="13"/>
  <c r="X39" i="13"/>
  <c r="AB38" i="13"/>
  <c r="X38" i="13"/>
  <c r="AB37" i="13"/>
  <c r="X37" i="13"/>
  <c r="AB36" i="13"/>
  <c r="X36" i="13"/>
  <c r="AB35" i="13"/>
  <c r="X35" i="13"/>
  <c r="AB34" i="13"/>
  <c r="X34" i="13"/>
  <c r="AB33" i="13"/>
  <c r="X33" i="13"/>
  <c r="AB32" i="13"/>
  <c r="X32" i="13"/>
  <c r="AB31" i="13"/>
  <c r="X31" i="13"/>
  <c r="AB30" i="13"/>
  <c r="X30" i="13"/>
  <c r="AB29" i="13"/>
  <c r="X29" i="13"/>
  <c r="AB28" i="13"/>
  <c r="X28" i="13"/>
  <c r="AB27" i="13"/>
  <c r="X27" i="13"/>
  <c r="AB26" i="13"/>
  <c r="X26" i="13"/>
  <c r="AB54" i="12"/>
  <c r="X54" i="12"/>
  <c r="AB53" i="12"/>
  <c r="X53" i="12"/>
  <c r="AB52" i="12"/>
  <c r="X52" i="12"/>
  <c r="AB51" i="12"/>
  <c r="X51" i="12"/>
  <c r="AB50" i="12"/>
  <c r="X50" i="12"/>
  <c r="AB49" i="12"/>
  <c r="X49" i="12"/>
  <c r="AB48" i="12"/>
  <c r="X48" i="12"/>
  <c r="AB47" i="12"/>
  <c r="X47" i="12"/>
  <c r="AB46" i="12"/>
  <c r="X46" i="12"/>
  <c r="AB45" i="12"/>
  <c r="X45" i="12"/>
  <c r="AB44" i="12"/>
  <c r="X44" i="12"/>
  <c r="AB43" i="12"/>
  <c r="X43" i="12"/>
  <c r="AB42" i="12"/>
  <c r="X42" i="12"/>
  <c r="AB41" i="12"/>
  <c r="X41" i="12"/>
  <c r="AB40" i="12"/>
  <c r="X40" i="12"/>
  <c r="AB39" i="12"/>
  <c r="X39" i="12"/>
  <c r="AB38" i="12"/>
  <c r="X38" i="12"/>
  <c r="M38" i="12"/>
  <c r="AB37" i="12"/>
  <c r="X37" i="12"/>
  <c r="AB36" i="12"/>
  <c r="X36" i="12"/>
  <c r="AB35" i="12"/>
  <c r="X35" i="12"/>
  <c r="AB34" i="12"/>
  <c r="X34" i="12"/>
  <c r="AB33" i="12"/>
  <c r="X33" i="12"/>
  <c r="AB32" i="12"/>
  <c r="X32" i="12"/>
  <c r="AB31" i="12"/>
  <c r="X31" i="12"/>
  <c r="AB30" i="12"/>
  <c r="X30" i="12"/>
  <c r="AB29" i="12"/>
  <c r="X29" i="12"/>
  <c r="AB28" i="12"/>
  <c r="X28" i="12"/>
  <c r="AB27" i="12"/>
  <c r="X27" i="12"/>
  <c r="AB26" i="12"/>
  <c r="X26" i="12"/>
  <c r="W53" i="9"/>
  <c r="W52" i="9"/>
  <c r="W51" i="9"/>
  <c r="W48" i="9"/>
  <c r="W46" i="9"/>
  <c r="W45" i="9"/>
  <c r="W44" i="9"/>
  <c r="W43" i="9"/>
  <c r="W40" i="9"/>
  <c r="W37" i="9"/>
  <c r="W36" i="9"/>
  <c r="W35" i="9"/>
  <c r="W32" i="9"/>
  <c r="W29" i="9"/>
  <c r="W28" i="9"/>
  <c r="W27" i="9"/>
  <c r="AB25" i="13"/>
  <c r="X25" i="13"/>
  <c r="AB25" i="12"/>
  <c r="X25" i="12"/>
  <c r="C25" i="12"/>
  <c r="A25" i="9"/>
  <c r="B25" i="9" s="1"/>
  <c r="Y23" i="10"/>
  <c r="Z23" i="10" s="1"/>
  <c r="E26" i="9"/>
  <c r="E27" i="9" s="1"/>
  <c r="S27" i="12"/>
  <c r="M31" i="12"/>
  <c r="M55" i="12"/>
  <c r="M45" i="12"/>
  <c r="M34" i="12"/>
  <c r="S55" i="12"/>
  <c r="S51" i="12"/>
  <c r="S37" i="12"/>
  <c r="S38" i="12"/>
  <c r="M32" i="12"/>
  <c r="S40" i="12"/>
  <c r="S31" i="12"/>
  <c r="M36" i="12"/>
  <c r="S50" i="12"/>
  <c r="S26" i="12"/>
  <c r="M42" i="12"/>
  <c r="S34" i="12"/>
  <c r="S29" i="12"/>
  <c r="M35" i="12"/>
  <c r="M43" i="12"/>
  <c r="S39" i="12"/>
  <c r="S41" i="12"/>
  <c r="S32" i="12"/>
  <c r="S48" i="12"/>
  <c r="M51" i="12"/>
  <c r="S45" i="12"/>
  <c r="M26" i="12"/>
  <c r="M50" i="12"/>
  <c r="M41" i="12"/>
  <c r="M49" i="12"/>
  <c r="S25" i="12"/>
  <c r="M33" i="12"/>
  <c r="M25" i="12"/>
  <c r="W38" i="9"/>
  <c r="W47" i="9"/>
  <c r="W39" i="9"/>
  <c r="W31" i="9"/>
  <c r="W49" i="9"/>
  <c r="W41" i="9"/>
  <c r="W33" i="9"/>
  <c r="AB42" i="10"/>
  <c r="AB50" i="10"/>
  <c r="AB25" i="10"/>
  <c r="AB45" i="10"/>
  <c r="AB41" i="10"/>
  <c r="AB46" i="10"/>
  <c r="AB34" i="10"/>
  <c r="AB32" i="10"/>
  <c r="AB27" i="10"/>
  <c r="AB52" i="10"/>
  <c r="AB47" i="10"/>
  <c r="AB49" i="10"/>
  <c r="AB54" i="10"/>
  <c r="AB26" i="10"/>
  <c r="AB37" i="10"/>
  <c r="AB28" i="10"/>
  <c r="AB39" i="10"/>
  <c r="AB40" i="10"/>
  <c r="AB35" i="10"/>
  <c r="AB29" i="10"/>
  <c r="AB30" i="10"/>
  <c r="AB51" i="10"/>
  <c r="AB31" i="10"/>
  <c r="AB43" i="10"/>
  <c r="AB53" i="10"/>
  <c r="AB48" i="10"/>
  <c r="AB36" i="10"/>
  <c r="AB33" i="10"/>
  <c r="AB38" i="10"/>
  <c r="AB44" i="10"/>
  <c r="N25" i="9"/>
  <c r="F283" i="13" l="1"/>
  <c r="F290" i="10"/>
  <c r="F297" i="10" s="1"/>
  <c r="G8" i="10"/>
  <c r="F276" i="13"/>
  <c r="G273" i="12"/>
  <c r="D274" i="5"/>
  <c r="D275" i="5" s="1"/>
  <c r="Y273" i="5"/>
  <c r="E273" i="9"/>
  <c r="F256" i="13"/>
  <c r="F263" i="10"/>
  <c r="F257" i="13"/>
  <c r="F264" i="10"/>
  <c r="F253" i="13"/>
  <c r="F260" i="10"/>
  <c r="F267" i="10" s="1"/>
  <c r="F251" i="13"/>
  <c r="F258" i="10"/>
  <c r="F254" i="13"/>
  <c r="F261" i="10"/>
  <c r="F249" i="13"/>
  <c r="F245" i="13"/>
  <c r="F252" i="10"/>
  <c r="C236" i="5"/>
  <c r="F236" i="12" s="1"/>
  <c r="F229" i="12"/>
  <c r="D232" i="9"/>
  <c r="D233" i="9"/>
  <c r="D234" i="9"/>
  <c r="D235" i="9"/>
  <c r="C26" i="13"/>
  <c r="D230" i="9"/>
  <c r="D231" i="9"/>
  <c r="F226" i="12"/>
  <c r="D226" i="9"/>
  <c r="F227" i="12"/>
  <c r="D227" i="9"/>
  <c r="F228" i="12"/>
  <c r="D228" i="9"/>
  <c r="D229" i="9"/>
  <c r="I146" i="13"/>
  <c r="M146" i="13" s="1"/>
  <c r="Y49" i="10"/>
  <c r="I97" i="13"/>
  <c r="M97" i="13" s="1"/>
  <c r="F97" i="5" s="1"/>
  <c r="H109" i="13"/>
  <c r="M109" i="13" s="1"/>
  <c r="F109" i="5" s="1"/>
  <c r="H86" i="13"/>
  <c r="M86" i="13" s="1"/>
  <c r="F86" i="5" s="1"/>
  <c r="I56" i="13"/>
  <c r="M56" i="13" s="1"/>
  <c r="F56" i="5" s="1"/>
  <c r="G220" i="10"/>
  <c r="G219" i="13"/>
  <c r="D219" i="13" s="1"/>
  <c r="M32" i="13"/>
  <c r="F32" i="5" s="1"/>
  <c r="I72" i="13"/>
  <c r="M72" i="13" s="1"/>
  <c r="F72" i="5" s="1"/>
  <c r="I106" i="13"/>
  <c r="M106" i="13" s="1"/>
  <c r="F106" i="5" s="1"/>
  <c r="I131" i="13"/>
  <c r="M131" i="13" s="1"/>
  <c r="F131" i="5" s="1"/>
  <c r="AA131" i="5" s="1"/>
  <c r="M40" i="13"/>
  <c r="F40" i="5" s="1"/>
  <c r="H64" i="13"/>
  <c r="M64" i="13" s="1"/>
  <c r="F64" i="5" s="1"/>
  <c r="H80" i="13"/>
  <c r="M80" i="13" s="1"/>
  <c r="F80" i="5" s="1"/>
  <c r="H89" i="13"/>
  <c r="M89" i="13" s="1"/>
  <c r="F89" i="5" s="1"/>
  <c r="Y51" i="10"/>
  <c r="H59" i="13"/>
  <c r="M59" i="13" s="1"/>
  <c r="F59" i="5" s="1"/>
  <c r="I83" i="13"/>
  <c r="M83" i="13" s="1"/>
  <c r="F83" i="5" s="1"/>
  <c r="H67" i="13"/>
  <c r="M67" i="13" s="1"/>
  <c r="F67" i="5" s="1"/>
  <c r="H92" i="13"/>
  <c r="M92" i="13" s="1"/>
  <c r="F92" i="5" s="1"/>
  <c r="G27" i="13"/>
  <c r="D27" i="13" s="1"/>
  <c r="I101" i="13"/>
  <c r="M101" i="13" s="1"/>
  <c r="F101" i="5" s="1"/>
  <c r="I172" i="13"/>
  <c r="M172" i="13" s="1"/>
  <c r="D25" i="12"/>
  <c r="P28" i="10"/>
  <c r="Y50" i="10"/>
  <c r="I134" i="13"/>
  <c r="M134" i="13" s="1"/>
  <c r="F134" i="5" s="1"/>
  <c r="AA134" i="5" s="1"/>
  <c r="AN125" i="12"/>
  <c r="AH86" i="12"/>
  <c r="N86" i="13" s="1"/>
  <c r="S86" i="13" s="1"/>
  <c r="N86" i="5" s="1"/>
  <c r="I121" i="13"/>
  <c r="M121" i="13" s="1"/>
  <c r="F121" i="5" s="1"/>
  <c r="AA121" i="5" s="1"/>
  <c r="I122" i="13"/>
  <c r="M122" i="13" s="1"/>
  <c r="F122" i="5" s="1"/>
  <c r="AA122" i="5" s="1"/>
  <c r="Y65" i="10"/>
  <c r="Y57" i="10"/>
  <c r="D146" i="12"/>
  <c r="D147" i="12"/>
  <c r="D115" i="12"/>
  <c r="D169" i="10"/>
  <c r="D145" i="10"/>
  <c r="D122" i="10"/>
  <c r="D72" i="10"/>
  <c r="D107" i="12"/>
  <c r="D168" i="10"/>
  <c r="D144" i="10"/>
  <c r="D121" i="10"/>
  <c r="D64" i="10"/>
  <c r="D171" i="12"/>
  <c r="D139" i="12"/>
  <c r="D99" i="12"/>
  <c r="D161" i="10"/>
  <c r="D138" i="10"/>
  <c r="D120" i="10"/>
  <c r="D56" i="10"/>
  <c r="D170" i="12"/>
  <c r="D91" i="12"/>
  <c r="D160" i="10"/>
  <c r="D137" i="10"/>
  <c r="D112" i="10"/>
  <c r="D163" i="12"/>
  <c r="D131" i="12"/>
  <c r="D83" i="12"/>
  <c r="D154" i="10"/>
  <c r="D136" i="10"/>
  <c r="D104" i="10"/>
  <c r="D162" i="12"/>
  <c r="D130" i="12"/>
  <c r="D75" i="12"/>
  <c r="D153" i="10"/>
  <c r="D96" i="10"/>
  <c r="D155" i="12"/>
  <c r="D123" i="12"/>
  <c r="D67" i="12"/>
  <c r="D152" i="10"/>
  <c r="D129" i="10"/>
  <c r="D88" i="10"/>
  <c r="D59" i="12"/>
  <c r="D128" i="10"/>
  <c r="D80" i="10"/>
  <c r="I60" i="13"/>
  <c r="M60" i="13" s="1"/>
  <c r="F60" i="5" s="1"/>
  <c r="H84" i="13"/>
  <c r="M84" i="13" s="1"/>
  <c r="F84" i="5" s="1"/>
  <c r="D26" i="13"/>
  <c r="I125" i="13"/>
  <c r="M125" i="13" s="1"/>
  <c r="F125" i="5" s="1"/>
  <c r="AA125" i="5" s="1"/>
  <c r="M52" i="13"/>
  <c r="F52" i="5" s="1"/>
  <c r="I94" i="13"/>
  <c r="M94" i="13" s="1"/>
  <c r="F94" i="5" s="1"/>
  <c r="H126" i="13"/>
  <c r="M126" i="13" s="1"/>
  <c r="F126" i="5" s="1"/>
  <c r="AA126" i="5" s="1"/>
  <c r="I76" i="13"/>
  <c r="M76" i="13" s="1"/>
  <c r="F76" i="5" s="1"/>
  <c r="D60" i="10"/>
  <c r="D60" i="12"/>
  <c r="D100" i="10"/>
  <c r="D100" i="12"/>
  <c r="D76" i="10"/>
  <c r="D76" i="12"/>
  <c r="D68" i="10"/>
  <c r="D68" i="12"/>
  <c r="D84" i="10"/>
  <c r="D84" i="12"/>
  <c r="D92" i="10"/>
  <c r="D92" i="12"/>
  <c r="D97" i="10"/>
  <c r="D57" i="10"/>
  <c r="D172" i="12"/>
  <c r="D164" i="12"/>
  <c r="D156" i="12"/>
  <c r="D148" i="12"/>
  <c r="D140" i="12"/>
  <c r="D132" i="12"/>
  <c r="D124" i="12"/>
  <c r="D116" i="12"/>
  <c r="D108" i="12"/>
  <c r="D114" i="10"/>
  <c r="D106" i="10"/>
  <c r="D98" i="10"/>
  <c r="D90" i="10"/>
  <c r="D82" i="10"/>
  <c r="D74" i="10"/>
  <c r="D66" i="10"/>
  <c r="D58" i="10"/>
  <c r="D113" i="10"/>
  <c r="D89" i="10"/>
  <c r="D73" i="10"/>
  <c r="D105" i="10"/>
  <c r="D81" i="10"/>
  <c r="D65" i="12"/>
  <c r="D25" i="10"/>
  <c r="D175" i="10"/>
  <c r="D167" i="10"/>
  <c r="D159" i="10"/>
  <c r="D151" i="10"/>
  <c r="D143" i="10"/>
  <c r="D135" i="10"/>
  <c r="D127" i="10"/>
  <c r="D119" i="10"/>
  <c r="D111" i="10"/>
  <c r="D103" i="10"/>
  <c r="D95" i="10"/>
  <c r="D87" i="10"/>
  <c r="D79" i="10"/>
  <c r="D71" i="10"/>
  <c r="D63" i="10"/>
  <c r="D174" i="10"/>
  <c r="D166" i="10"/>
  <c r="D158" i="10"/>
  <c r="D150" i="10"/>
  <c r="D142" i="10"/>
  <c r="D134" i="10"/>
  <c r="D126" i="10"/>
  <c r="D118" i="10"/>
  <c r="D110" i="10"/>
  <c r="D102" i="10"/>
  <c r="D94" i="10"/>
  <c r="D86" i="10"/>
  <c r="D78" i="10"/>
  <c r="D70" i="10"/>
  <c r="D62" i="10"/>
  <c r="D173" i="10"/>
  <c r="D165" i="10"/>
  <c r="D157" i="10"/>
  <c r="D149" i="10"/>
  <c r="D141" i="10"/>
  <c r="D133" i="10"/>
  <c r="D125" i="10"/>
  <c r="D117" i="10"/>
  <c r="D109" i="10"/>
  <c r="D101" i="10"/>
  <c r="D93" i="10"/>
  <c r="D85" i="10"/>
  <c r="D77" i="10"/>
  <c r="D69" i="10"/>
  <c r="D61" i="10"/>
  <c r="K9" i="13"/>
  <c r="Q9" i="13"/>
  <c r="Q8" i="13"/>
  <c r="K8" i="13"/>
  <c r="H58" i="13"/>
  <c r="M58" i="13" s="1"/>
  <c r="F58" i="5" s="1"/>
  <c r="H158" i="13"/>
  <c r="M158" i="13" s="1"/>
  <c r="F158" i="5" s="1"/>
  <c r="AA158" i="5" s="1"/>
  <c r="H150" i="13"/>
  <c r="M150" i="13" s="1"/>
  <c r="F150" i="5" s="1"/>
  <c r="AA150" i="5" s="1"/>
  <c r="H66" i="13"/>
  <c r="M66" i="13" s="1"/>
  <c r="F66" i="5" s="1"/>
  <c r="H153" i="13"/>
  <c r="M153" i="13" s="1"/>
  <c r="F153" i="5" s="1"/>
  <c r="H143" i="13"/>
  <c r="M143" i="13" s="1"/>
  <c r="F143" i="5" s="1"/>
  <c r="AA143" i="5" s="1"/>
  <c r="H163" i="13"/>
  <c r="M163" i="13" s="1"/>
  <c r="F163" i="5" s="1"/>
  <c r="E157" i="12"/>
  <c r="E157" i="13" s="1"/>
  <c r="AB157" i="13" s="1"/>
  <c r="M43" i="13"/>
  <c r="F43" i="5" s="1"/>
  <c r="M34" i="13"/>
  <c r="F34" i="5" s="1"/>
  <c r="M50" i="13"/>
  <c r="F50" i="5" s="1"/>
  <c r="I62" i="13"/>
  <c r="M62" i="13" s="1"/>
  <c r="F62" i="5" s="1"/>
  <c r="I99" i="13"/>
  <c r="M99" i="13" s="1"/>
  <c r="F99" i="5" s="1"/>
  <c r="H82" i="13"/>
  <c r="M82" i="13" s="1"/>
  <c r="F82" i="5" s="1"/>
  <c r="I91" i="13"/>
  <c r="M91" i="13" s="1"/>
  <c r="F91" i="5" s="1"/>
  <c r="H107" i="13"/>
  <c r="M107" i="13" s="1"/>
  <c r="F107" i="5" s="1"/>
  <c r="H74" i="13"/>
  <c r="M74" i="13" s="1"/>
  <c r="F74" i="5" s="1"/>
  <c r="I61" i="13"/>
  <c r="M61" i="13" s="1"/>
  <c r="F61" i="5" s="1"/>
  <c r="I141" i="13"/>
  <c r="M141" i="13" s="1"/>
  <c r="F141" i="5" s="1"/>
  <c r="AA141" i="5" s="1"/>
  <c r="H69" i="13"/>
  <c r="M69" i="13" s="1"/>
  <c r="F69" i="5" s="1"/>
  <c r="H77" i="13"/>
  <c r="M77" i="13" s="1"/>
  <c r="F77" i="5" s="1"/>
  <c r="H85" i="13"/>
  <c r="M85" i="13" s="1"/>
  <c r="F85" i="5" s="1"/>
  <c r="M26" i="13"/>
  <c r="F26" i="5" s="1"/>
  <c r="I119" i="13"/>
  <c r="M119" i="13" s="1"/>
  <c r="F119" i="5" s="1"/>
  <c r="AA119" i="5" s="1"/>
  <c r="M53" i="13"/>
  <c r="F53" i="5" s="1"/>
  <c r="M29" i="13"/>
  <c r="F29" i="5" s="1"/>
  <c r="H103" i="13"/>
  <c r="M103" i="13" s="1"/>
  <c r="F103" i="5" s="1"/>
  <c r="H114" i="13"/>
  <c r="M114" i="13" s="1"/>
  <c r="F114" i="5" s="1"/>
  <c r="H144" i="13"/>
  <c r="M144" i="13" s="1"/>
  <c r="F144" i="5" s="1"/>
  <c r="AA144" i="5" s="1"/>
  <c r="H137" i="13"/>
  <c r="M137" i="13" s="1"/>
  <c r="F137" i="5" s="1"/>
  <c r="AA137" i="5" s="1"/>
  <c r="I164" i="13"/>
  <c r="M164" i="13" s="1"/>
  <c r="F164" i="5" s="1"/>
  <c r="AA164" i="5" s="1"/>
  <c r="M45" i="13"/>
  <c r="F45" i="5" s="1"/>
  <c r="I151" i="13"/>
  <c r="M151" i="13" s="1"/>
  <c r="F151" i="5" s="1"/>
  <c r="H142" i="13"/>
  <c r="M142" i="13" s="1"/>
  <c r="F142" i="5" s="1"/>
  <c r="AA142" i="5" s="1"/>
  <c r="I147" i="13"/>
  <c r="M147" i="13" s="1"/>
  <c r="M27" i="13"/>
  <c r="F27" i="5" s="1"/>
  <c r="I117" i="10"/>
  <c r="I133" i="13"/>
  <c r="M133" i="13" s="1"/>
  <c r="F133" i="5" s="1"/>
  <c r="AA133" i="5" s="1"/>
  <c r="H148" i="13"/>
  <c r="M148" i="13" s="1"/>
  <c r="F148" i="5" s="1"/>
  <c r="M46" i="13"/>
  <c r="F46" i="5" s="1"/>
  <c r="I115" i="13"/>
  <c r="M115" i="13" s="1"/>
  <c r="F115" i="5" s="1"/>
  <c r="M35" i="13"/>
  <c r="F35" i="5" s="1"/>
  <c r="I124" i="13"/>
  <c r="M124" i="13" s="1"/>
  <c r="F124" i="5" s="1"/>
  <c r="AA124" i="5" s="1"/>
  <c r="I177" i="13"/>
  <c r="M177" i="13" s="1"/>
  <c r="F177" i="5" s="1"/>
  <c r="M47" i="13"/>
  <c r="F47" i="5" s="1"/>
  <c r="M30" i="13"/>
  <c r="F30" i="5" s="1"/>
  <c r="M38" i="13"/>
  <c r="F38" i="5" s="1"/>
  <c r="M54" i="13"/>
  <c r="F54" i="5" s="1"/>
  <c r="I113" i="13"/>
  <c r="M113" i="13" s="1"/>
  <c r="F113" i="5" s="1"/>
  <c r="H127" i="13"/>
  <c r="M127" i="13" s="1"/>
  <c r="F127" i="5" s="1"/>
  <c r="AA127" i="5" s="1"/>
  <c r="H145" i="13"/>
  <c r="M145" i="13" s="1"/>
  <c r="H152" i="13"/>
  <c r="M152" i="13" s="1"/>
  <c r="F152" i="5" s="1"/>
  <c r="H75" i="13"/>
  <c r="M75" i="13" s="1"/>
  <c r="F75" i="5" s="1"/>
  <c r="M48" i="13"/>
  <c r="F48" i="5" s="1"/>
  <c r="I102" i="13"/>
  <c r="M102" i="13" s="1"/>
  <c r="F102" i="5" s="1"/>
  <c r="H93" i="13"/>
  <c r="M93" i="13" s="1"/>
  <c r="F93" i="5" s="1"/>
  <c r="I139" i="13"/>
  <c r="M139" i="13" s="1"/>
  <c r="F139" i="5" s="1"/>
  <c r="AA139" i="5" s="1"/>
  <c r="M37" i="13"/>
  <c r="F37" i="5" s="1"/>
  <c r="H100" i="13"/>
  <c r="M100" i="13" s="1"/>
  <c r="F100" i="5" s="1"/>
  <c r="I120" i="13"/>
  <c r="M120" i="13" s="1"/>
  <c r="F120" i="5" s="1"/>
  <c r="AA120" i="5" s="1"/>
  <c r="I68" i="13"/>
  <c r="M68" i="13" s="1"/>
  <c r="F68" i="5" s="1"/>
  <c r="I123" i="13"/>
  <c r="M123" i="13" s="1"/>
  <c r="F123" i="5" s="1"/>
  <c r="AA123" i="5" s="1"/>
  <c r="I201" i="13"/>
  <c r="M201" i="13" s="1"/>
  <c r="F201" i="5" s="1"/>
  <c r="M44" i="13"/>
  <c r="F44" i="5" s="1"/>
  <c r="H105" i="13"/>
  <c r="M105" i="13" s="1"/>
  <c r="F105" i="5" s="1"/>
  <c r="I132" i="13"/>
  <c r="M132" i="13" s="1"/>
  <c r="F132" i="5" s="1"/>
  <c r="AA132" i="5" s="1"/>
  <c r="H165" i="13"/>
  <c r="M165" i="13" s="1"/>
  <c r="F165" i="5" s="1"/>
  <c r="I173" i="13"/>
  <c r="H87" i="13"/>
  <c r="M87" i="13" s="1"/>
  <c r="F87" i="5" s="1"/>
  <c r="I130" i="13"/>
  <c r="M130" i="13" s="1"/>
  <c r="F130" i="5" s="1"/>
  <c r="AA130" i="5" s="1"/>
  <c r="I116" i="13"/>
  <c r="M116" i="13" s="1"/>
  <c r="F116" i="5" s="1"/>
  <c r="H128" i="13"/>
  <c r="M128" i="13" s="1"/>
  <c r="F128" i="5" s="1"/>
  <c r="AA128" i="5" s="1"/>
  <c r="H149" i="13"/>
  <c r="M149" i="13" s="1"/>
  <c r="F149" i="5" s="1"/>
  <c r="I168" i="13"/>
  <c r="M168" i="13" s="1"/>
  <c r="F168" i="5" s="1"/>
  <c r="AA168" i="5" s="1"/>
  <c r="H185" i="13"/>
  <c r="M185" i="13" s="1"/>
  <c r="F185" i="5" s="1"/>
  <c r="H78" i="13"/>
  <c r="M78" i="13" s="1"/>
  <c r="F78" i="5" s="1"/>
  <c r="H70" i="13"/>
  <c r="M70" i="13" s="1"/>
  <c r="F70" i="5" s="1"/>
  <c r="H95" i="13"/>
  <c r="M95" i="13" s="1"/>
  <c r="F95" i="5" s="1"/>
  <c r="H138" i="13"/>
  <c r="M138" i="13" s="1"/>
  <c r="F138" i="5" s="1"/>
  <c r="AA138" i="5" s="1"/>
  <c r="I160" i="13"/>
  <c r="M160" i="13" s="1"/>
  <c r="F160" i="5" s="1"/>
  <c r="M51" i="13"/>
  <c r="F51" i="5" s="1"/>
  <c r="M25" i="13"/>
  <c r="F25" i="5" s="1"/>
  <c r="M41" i="13"/>
  <c r="F41" i="5" s="1"/>
  <c r="M49" i="13"/>
  <c r="F49" i="5" s="1"/>
  <c r="M36" i="13"/>
  <c r="F36" i="5" s="1"/>
  <c r="M28" i="13"/>
  <c r="F28" i="5" s="1"/>
  <c r="M42" i="13"/>
  <c r="F42" i="5" s="1"/>
  <c r="H104" i="13"/>
  <c r="M104" i="13" s="1"/>
  <c r="F104" i="5" s="1"/>
  <c r="I156" i="13"/>
  <c r="M156" i="13" s="1"/>
  <c r="F156" i="5" s="1"/>
  <c r="I205" i="13"/>
  <c r="M205" i="13" s="1"/>
  <c r="M33" i="13"/>
  <c r="F33" i="5" s="1"/>
  <c r="I117" i="13"/>
  <c r="M117" i="13" s="1"/>
  <c r="F117" i="5" s="1"/>
  <c r="AA117" i="5" s="1"/>
  <c r="H155" i="13"/>
  <c r="M155" i="13" s="1"/>
  <c r="F155" i="5" s="1"/>
  <c r="I189" i="13"/>
  <c r="G8" i="12"/>
  <c r="G12" i="12"/>
  <c r="AH34" i="12"/>
  <c r="N34" i="13" s="1"/>
  <c r="S34" i="13" s="1"/>
  <c r="N34" i="5" s="1"/>
  <c r="AH30" i="12"/>
  <c r="N30" i="13" s="1"/>
  <c r="S30" i="13" s="1"/>
  <c r="N30" i="5" s="1"/>
  <c r="AH128" i="12"/>
  <c r="N128" i="13" s="1"/>
  <c r="S128" i="13" s="1"/>
  <c r="N128" i="5" s="1"/>
  <c r="I129" i="13"/>
  <c r="M129" i="13" s="1"/>
  <c r="F129" i="5" s="1"/>
  <c r="AA129" i="5" s="1"/>
  <c r="H135" i="13"/>
  <c r="M135" i="13" s="1"/>
  <c r="F135" i="5" s="1"/>
  <c r="AA135" i="5" s="1"/>
  <c r="H166" i="13"/>
  <c r="M166" i="13" s="1"/>
  <c r="F166" i="5" s="1"/>
  <c r="AA166" i="5" s="1"/>
  <c r="I176" i="13"/>
  <c r="H202" i="13"/>
  <c r="M202" i="13" s="1"/>
  <c r="F202" i="5" s="1"/>
  <c r="I90" i="13"/>
  <c r="M90" i="13" s="1"/>
  <c r="F90" i="5" s="1"/>
  <c r="H170" i="13"/>
  <c r="M170" i="13" s="1"/>
  <c r="F170" i="5" s="1"/>
  <c r="AA170" i="5" s="1"/>
  <c r="I174" i="13"/>
  <c r="I197" i="13"/>
  <c r="M197" i="13" s="1"/>
  <c r="I181" i="13"/>
  <c r="M181" i="13" s="1"/>
  <c r="F181" i="5" s="1"/>
  <c r="AA181" i="5" s="1"/>
  <c r="H81" i="13"/>
  <c r="M81" i="13" s="1"/>
  <c r="F81" i="5" s="1"/>
  <c r="H110" i="13"/>
  <c r="M110" i="13" s="1"/>
  <c r="F110" i="5" s="1"/>
  <c r="H157" i="13"/>
  <c r="M157" i="13" s="1"/>
  <c r="F157" i="5" s="1"/>
  <c r="I171" i="13"/>
  <c r="M171" i="13" s="1"/>
  <c r="F171" i="5" s="1"/>
  <c r="I167" i="13"/>
  <c r="M167" i="13" s="1"/>
  <c r="F167" i="5" s="1"/>
  <c r="AA167" i="5" s="1"/>
  <c r="I162" i="13"/>
  <c r="M162" i="13" s="1"/>
  <c r="F162" i="5" s="1"/>
  <c r="I193" i="13"/>
  <c r="M193" i="13" s="1"/>
  <c r="F193" i="5" s="1"/>
  <c r="I65" i="13"/>
  <c r="M65" i="13" s="1"/>
  <c r="F65" i="5" s="1"/>
  <c r="H73" i="13"/>
  <c r="M73" i="13" s="1"/>
  <c r="F73" i="5" s="1"/>
  <c r="H140" i="13"/>
  <c r="M140" i="13" s="1"/>
  <c r="F140" i="5" s="1"/>
  <c r="AA140" i="5" s="1"/>
  <c r="I57" i="13"/>
  <c r="M57" i="13" s="1"/>
  <c r="F57" i="5" s="1"/>
  <c r="H98" i="13"/>
  <c r="M98" i="13" s="1"/>
  <c r="F98" i="5" s="1"/>
  <c r="M31" i="13"/>
  <c r="F31" i="5" s="1"/>
  <c r="I159" i="13"/>
  <c r="M159" i="13" s="1"/>
  <c r="F159" i="5" s="1"/>
  <c r="AH125" i="12"/>
  <c r="N125" i="13" s="1"/>
  <c r="S125" i="13" s="1"/>
  <c r="N125" i="5" s="1"/>
  <c r="AN133" i="12"/>
  <c r="G11" i="10"/>
  <c r="G10" i="10"/>
  <c r="G9" i="10"/>
  <c r="Y77" i="10"/>
  <c r="Y41" i="10"/>
  <c r="Y33" i="10"/>
  <c r="Y48" i="10"/>
  <c r="Y69" i="10"/>
  <c r="Y63" i="10"/>
  <c r="Y45" i="10"/>
  <c r="Y176" i="10"/>
  <c r="Y35" i="10"/>
  <c r="P63" i="10"/>
  <c r="J149" i="10"/>
  <c r="Y42" i="10"/>
  <c r="Y34" i="10"/>
  <c r="Y26" i="10"/>
  <c r="Y37" i="10"/>
  <c r="C173" i="10"/>
  <c r="C173" i="13" s="1"/>
  <c r="P34" i="10"/>
  <c r="Y27" i="10"/>
  <c r="Y44" i="10"/>
  <c r="Y36" i="10"/>
  <c r="Y43" i="10"/>
  <c r="Y82" i="10"/>
  <c r="Y32" i="10"/>
  <c r="Y28" i="10"/>
  <c r="P53" i="10"/>
  <c r="P41" i="10"/>
  <c r="P33" i="10"/>
  <c r="Y25" i="10"/>
  <c r="Y61" i="10"/>
  <c r="Y85" i="10"/>
  <c r="Y60" i="10"/>
  <c r="Y76" i="10"/>
  <c r="Y66" i="10"/>
  <c r="Y83" i="10"/>
  <c r="P47" i="10"/>
  <c r="Y204" i="10"/>
  <c r="Y59" i="10"/>
  <c r="Y80" i="10"/>
  <c r="P35" i="10"/>
  <c r="P61" i="10"/>
  <c r="Y79" i="10"/>
  <c r="P52" i="10"/>
  <c r="P36" i="10"/>
  <c r="P65" i="10"/>
  <c r="C151" i="10"/>
  <c r="C151" i="13" s="1"/>
  <c r="P83" i="10"/>
  <c r="Y75" i="10"/>
  <c r="P51" i="10"/>
  <c r="Y70" i="10"/>
  <c r="Y72" i="10"/>
  <c r="Y84" i="10"/>
  <c r="R87" i="10"/>
  <c r="Y87" i="10" s="1"/>
  <c r="Y29" i="10"/>
  <c r="Y64" i="10"/>
  <c r="Y56" i="10"/>
  <c r="P72" i="10"/>
  <c r="J87" i="10"/>
  <c r="C144" i="10"/>
  <c r="P37" i="10"/>
  <c r="P58" i="10"/>
  <c r="Y62" i="10"/>
  <c r="P48" i="10"/>
  <c r="P32" i="10"/>
  <c r="Y205" i="10"/>
  <c r="P79" i="10"/>
  <c r="Y47" i="10"/>
  <c r="Y40" i="10"/>
  <c r="P50" i="10"/>
  <c r="P85" i="10"/>
  <c r="Y86" i="10"/>
  <c r="Y53" i="10"/>
  <c r="Y46" i="10"/>
  <c r="Y39" i="10"/>
  <c r="P25" i="10"/>
  <c r="Y71" i="10"/>
  <c r="A88" i="10"/>
  <c r="P27" i="10"/>
  <c r="C114" i="10"/>
  <c r="Y148" i="10"/>
  <c r="Y202" i="10"/>
  <c r="Y52" i="10"/>
  <c r="Y38" i="10"/>
  <c r="P71" i="10"/>
  <c r="P78" i="10"/>
  <c r="I87" i="10"/>
  <c r="P43" i="10"/>
  <c r="P49" i="10"/>
  <c r="A118" i="10"/>
  <c r="A119" i="10" s="1"/>
  <c r="R119" i="10" s="1"/>
  <c r="P69" i="10"/>
  <c r="G27" i="10"/>
  <c r="Y31" i="10"/>
  <c r="P40" i="10"/>
  <c r="Y203" i="10"/>
  <c r="P64" i="10"/>
  <c r="Y30" i="10"/>
  <c r="Y78" i="10"/>
  <c r="P31" i="10"/>
  <c r="P59" i="10"/>
  <c r="R117" i="10"/>
  <c r="Y67" i="10"/>
  <c r="Y55" i="10"/>
  <c r="P44" i="10"/>
  <c r="P75" i="10"/>
  <c r="P54" i="10"/>
  <c r="P46" i="10"/>
  <c r="P38" i="10"/>
  <c r="P30" i="10"/>
  <c r="Y54" i="10"/>
  <c r="C141" i="10"/>
  <c r="C149" i="10"/>
  <c r="C149" i="13" s="1"/>
  <c r="C126" i="10"/>
  <c r="C131" i="10"/>
  <c r="C147" i="10"/>
  <c r="C147" i="13" s="1"/>
  <c r="C130" i="10"/>
  <c r="C123" i="10"/>
  <c r="C139" i="10"/>
  <c r="C122" i="10"/>
  <c r="C146" i="10"/>
  <c r="G156" i="13"/>
  <c r="D156" i="13" s="1"/>
  <c r="C156" i="10"/>
  <c r="C156" i="13" s="1"/>
  <c r="AH136" i="12"/>
  <c r="N136" i="13" s="1"/>
  <c r="S136" i="13" s="1"/>
  <c r="N136" i="5" s="1"/>
  <c r="AH25" i="12"/>
  <c r="N25" i="13" s="1"/>
  <c r="S25" i="13" s="1"/>
  <c r="N25" i="5" s="1"/>
  <c r="AH39" i="12"/>
  <c r="N39" i="13" s="1"/>
  <c r="S39" i="13" s="1"/>
  <c r="N39" i="5" s="1"/>
  <c r="AH165" i="12"/>
  <c r="N165" i="13" s="1"/>
  <c r="AN129" i="12"/>
  <c r="AH130" i="12"/>
  <c r="N130" i="13" s="1"/>
  <c r="S130" i="13" s="1"/>
  <c r="N130" i="5" s="1"/>
  <c r="AH137" i="12"/>
  <c r="N137" i="13" s="1"/>
  <c r="S137" i="13" s="1"/>
  <c r="N137" i="5" s="1"/>
  <c r="AN141" i="12"/>
  <c r="AH147" i="12"/>
  <c r="N147" i="13" s="1"/>
  <c r="S147" i="13" s="1"/>
  <c r="AN166" i="12"/>
  <c r="E160" i="12"/>
  <c r="E160" i="13" s="1"/>
  <c r="AB160" i="13" s="1"/>
  <c r="AH168" i="12"/>
  <c r="N168" i="13" s="1"/>
  <c r="AN193" i="12"/>
  <c r="AH176" i="12"/>
  <c r="N176" i="13" s="1"/>
  <c r="AH183" i="12"/>
  <c r="N183" i="13" s="1"/>
  <c r="AH119" i="12"/>
  <c r="N119" i="13" s="1"/>
  <c r="S119" i="13" s="1"/>
  <c r="N119" i="5" s="1"/>
  <c r="AH170" i="12"/>
  <c r="N170" i="13" s="1"/>
  <c r="S170" i="13" s="1"/>
  <c r="N170" i="5" s="1"/>
  <c r="AH178" i="12"/>
  <c r="N178" i="13" s="1"/>
  <c r="AH83" i="12"/>
  <c r="N83" i="13" s="1"/>
  <c r="S83" i="13" s="1"/>
  <c r="N83" i="5" s="1"/>
  <c r="AH88" i="12"/>
  <c r="N88" i="13" s="1"/>
  <c r="S88" i="13" s="1"/>
  <c r="N88" i="5" s="1"/>
  <c r="AH101" i="12"/>
  <c r="N101" i="13" s="1"/>
  <c r="S101" i="13" s="1"/>
  <c r="N101" i="5" s="1"/>
  <c r="AH50" i="12"/>
  <c r="N50" i="13" s="1"/>
  <c r="S50" i="13" s="1"/>
  <c r="N50" i="5" s="1"/>
  <c r="AN177" i="12"/>
  <c r="AH193" i="12"/>
  <c r="N193" i="13" s="1"/>
  <c r="AH189" i="12"/>
  <c r="N189" i="13" s="1"/>
  <c r="AH66" i="12"/>
  <c r="N66" i="13" s="1"/>
  <c r="S66" i="13" s="1"/>
  <c r="N66" i="5" s="1"/>
  <c r="AL86" i="12"/>
  <c r="AM86" i="12" s="1"/>
  <c r="AH31" i="12"/>
  <c r="N31" i="13" s="1"/>
  <c r="S31" i="13" s="1"/>
  <c r="N31" i="5" s="1"/>
  <c r="AH87" i="12"/>
  <c r="N87" i="13" s="1"/>
  <c r="S87" i="13" s="1"/>
  <c r="N87" i="5" s="1"/>
  <c r="AM147" i="12"/>
  <c r="AN147" i="12"/>
  <c r="G28" i="12"/>
  <c r="C27" i="12"/>
  <c r="AM107" i="12"/>
  <c r="AN107" i="12"/>
  <c r="AH58" i="12"/>
  <c r="N58" i="13" s="1"/>
  <c r="S58" i="13" s="1"/>
  <c r="AH105" i="12"/>
  <c r="N105" i="13" s="1"/>
  <c r="S105" i="13" s="1"/>
  <c r="N105" i="5" s="1"/>
  <c r="AH115" i="12"/>
  <c r="N115" i="13" s="1"/>
  <c r="S115" i="13" s="1"/>
  <c r="N115" i="5" s="1"/>
  <c r="AL130" i="12"/>
  <c r="AN130" i="12" s="1"/>
  <c r="AH42" i="12"/>
  <c r="N42" i="13" s="1"/>
  <c r="S42" i="13" s="1"/>
  <c r="N42" i="5" s="1"/>
  <c r="AL89" i="12"/>
  <c r="AM89" i="12" s="1"/>
  <c r="E159" i="12"/>
  <c r="E166" i="12" s="1"/>
  <c r="E166" i="13" s="1"/>
  <c r="AB166" i="13" s="1"/>
  <c r="AH75" i="12"/>
  <c r="N75" i="13" s="1"/>
  <c r="S75" i="13" s="1"/>
  <c r="N75" i="5" s="1"/>
  <c r="AH51" i="12"/>
  <c r="N51" i="13" s="1"/>
  <c r="S51" i="13" s="1"/>
  <c r="N51" i="5" s="1"/>
  <c r="AH43" i="12"/>
  <c r="N43" i="13" s="1"/>
  <c r="S43" i="13" s="1"/>
  <c r="N43" i="5" s="1"/>
  <c r="AH27" i="12"/>
  <c r="N27" i="13" s="1"/>
  <c r="S27" i="13" s="1"/>
  <c r="N27" i="5" s="1"/>
  <c r="AH80" i="12"/>
  <c r="N80" i="13" s="1"/>
  <c r="S80" i="13" s="1"/>
  <c r="N80" i="5" s="1"/>
  <c r="AH56" i="12"/>
  <c r="N56" i="13" s="1"/>
  <c r="S56" i="13" s="1"/>
  <c r="N56" i="5" s="1"/>
  <c r="E161" i="12"/>
  <c r="AH181" i="12"/>
  <c r="N181" i="13" s="1"/>
  <c r="AH177" i="12"/>
  <c r="N177" i="13" s="1"/>
  <c r="S177" i="13" s="1"/>
  <c r="N177" i="5" s="1"/>
  <c r="AH203" i="12"/>
  <c r="N203" i="13" s="1"/>
  <c r="S203" i="13" s="1"/>
  <c r="N203" i="5" s="1"/>
  <c r="C26" i="12"/>
  <c r="AH98" i="12"/>
  <c r="N98" i="13" s="1"/>
  <c r="S98" i="13" s="1"/>
  <c r="N98" i="5" s="1"/>
  <c r="AH131" i="12"/>
  <c r="N131" i="13" s="1"/>
  <c r="S131" i="13" s="1"/>
  <c r="N131" i="5" s="1"/>
  <c r="AN161" i="12"/>
  <c r="AH61" i="12"/>
  <c r="N61" i="13" s="1"/>
  <c r="S61" i="13" s="1"/>
  <c r="N61" i="5" s="1"/>
  <c r="AN73" i="12"/>
  <c r="AN39" i="12"/>
  <c r="AL87" i="12"/>
  <c r="AM87" i="12" s="1"/>
  <c r="E158" i="12"/>
  <c r="E158" i="13" s="1"/>
  <c r="AB158" i="13" s="1"/>
  <c r="AH71" i="12"/>
  <c r="N71" i="13" s="1"/>
  <c r="S71" i="13" s="1"/>
  <c r="N71" i="5" s="1"/>
  <c r="AH117" i="12"/>
  <c r="N117" i="13" s="1"/>
  <c r="S117" i="13" s="1"/>
  <c r="AH140" i="12"/>
  <c r="N140" i="13" s="1"/>
  <c r="S140" i="13" s="1"/>
  <c r="N140" i="5" s="1"/>
  <c r="AH142" i="12"/>
  <c r="N142" i="13" s="1"/>
  <c r="S142" i="13" s="1"/>
  <c r="N142" i="5" s="1"/>
  <c r="AH153" i="12"/>
  <c r="N153" i="13" s="1"/>
  <c r="S153" i="13" s="1"/>
  <c r="N153" i="5" s="1"/>
  <c r="AH163" i="12"/>
  <c r="N163" i="13" s="1"/>
  <c r="S163" i="13" s="1"/>
  <c r="N163" i="5" s="1"/>
  <c r="AM151" i="12"/>
  <c r="AN151" i="12"/>
  <c r="AN99" i="12"/>
  <c r="AM99" i="12"/>
  <c r="AM72" i="12"/>
  <c r="AN72" i="12"/>
  <c r="AM179" i="12"/>
  <c r="AN179" i="12"/>
  <c r="AM57" i="12"/>
  <c r="AN57" i="12"/>
  <c r="AN28" i="12"/>
  <c r="AL66" i="12"/>
  <c r="AM66" i="12" s="1"/>
  <c r="AH85" i="12"/>
  <c r="N85" i="13" s="1"/>
  <c r="S85" i="13" s="1"/>
  <c r="N85" i="5" s="1"/>
  <c r="AH97" i="12"/>
  <c r="N97" i="13" s="1"/>
  <c r="S97" i="13" s="1"/>
  <c r="N97" i="5" s="1"/>
  <c r="AH108" i="12"/>
  <c r="N108" i="13" s="1"/>
  <c r="S108" i="13" s="1"/>
  <c r="N108" i="5" s="1"/>
  <c r="AH134" i="12"/>
  <c r="N134" i="13" s="1"/>
  <c r="S134" i="13" s="1"/>
  <c r="N134" i="5" s="1"/>
  <c r="AH129" i="12"/>
  <c r="N129" i="13" s="1"/>
  <c r="S129" i="13" s="1"/>
  <c r="N129" i="5" s="1"/>
  <c r="AH138" i="12"/>
  <c r="N138" i="13" s="1"/>
  <c r="S138" i="13" s="1"/>
  <c r="N138" i="5" s="1"/>
  <c r="AH45" i="12"/>
  <c r="N45" i="13" s="1"/>
  <c r="S45" i="13" s="1"/>
  <c r="N45" i="5" s="1"/>
  <c r="AN56" i="12"/>
  <c r="AH93" i="12"/>
  <c r="N93" i="13" s="1"/>
  <c r="S93" i="13" s="1"/>
  <c r="N93" i="5" s="1"/>
  <c r="AN120" i="12"/>
  <c r="AH122" i="12"/>
  <c r="N122" i="13" s="1"/>
  <c r="S122" i="13" s="1"/>
  <c r="N122" i="5" s="1"/>
  <c r="AH127" i="12"/>
  <c r="N127" i="13" s="1"/>
  <c r="S127" i="13" s="1"/>
  <c r="N127" i="5" s="1"/>
  <c r="AH152" i="12"/>
  <c r="N152" i="13" s="1"/>
  <c r="S152" i="13" s="1"/>
  <c r="N152" i="5" s="1"/>
  <c r="AH111" i="12"/>
  <c r="N111" i="13" s="1"/>
  <c r="S111" i="13" s="1"/>
  <c r="N111" i="5" s="1"/>
  <c r="AH120" i="12"/>
  <c r="N120" i="13" s="1"/>
  <c r="S120" i="13" s="1"/>
  <c r="N120" i="5" s="1"/>
  <c r="AH141" i="12"/>
  <c r="N141" i="13" s="1"/>
  <c r="S141" i="13" s="1"/>
  <c r="N141" i="5" s="1"/>
  <c r="AH139" i="12"/>
  <c r="N139" i="13" s="1"/>
  <c r="S139" i="13" s="1"/>
  <c r="N139" i="5" s="1"/>
  <c r="AN152" i="12"/>
  <c r="AN157" i="12"/>
  <c r="AH79" i="12"/>
  <c r="N79" i="13" s="1"/>
  <c r="S79" i="13" s="1"/>
  <c r="N79" i="5" s="1"/>
  <c r="AL93" i="12"/>
  <c r="AM93" i="12" s="1"/>
  <c r="AN95" i="12"/>
  <c r="AH116" i="12"/>
  <c r="N116" i="13" s="1"/>
  <c r="S116" i="13" s="1"/>
  <c r="N116" i="5" s="1"/>
  <c r="AH133" i="12"/>
  <c r="N133" i="13" s="1"/>
  <c r="S133" i="13" s="1"/>
  <c r="N133" i="5" s="1"/>
  <c r="AH187" i="12"/>
  <c r="N187" i="13" s="1"/>
  <c r="AH48" i="12"/>
  <c r="N48" i="13" s="1"/>
  <c r="S48" i="13" s="1"/>
  <c r="N48" i="5" s="1"/>
  <c r="AL42" i="12"/>
  <c r="AM42" i="12" s="1"/>
  <c r="AH102" i="12"/>
  <c r="N102" i="13" s="1"/>
  <c r="S102" i="13" s="1"/>
  <c r="N102" i="5" s="1"/>
  <c r="AH107" i="12"/>
  <c r="N107" i="13" s="1"/>
  <c r="S107" i="13" s="1"/>
  <c r="N107" i="5" s="1"/>
  <c r="AN132" i="12"/>
  <c r="AH148" i="12"/>
  <c r="N148" i="13" s="1"/>
  <c r="S148" i="13" s="1"/>
  <c r="AH158" i="12"/>
  <c r="N158" i="13" s="1"/>
  <c r="AH151" i="12"/>
  <c r="N151" i="13" s="1"/>
  <c r="S151" i="13" s="1"/>
  <c r="N151" i="5" s="1"/>
  <c r="AH162" i="12"/>
  <c r="N162" i="13" s="1"/>
  <c r="AN175" i="12"/>
  <c r="AH132" i="12"/>
  <c r="N132" i="13" s="1"/>
  <c r="S132" i="13" s="1"/>
  <c r="N132" i="5" s="1"/>
  <c r="AH149" i="12"/>
  <c r="N149" i="13" s="1"/>
  <c r="AM180" i="12"/>
  <c r="AH172" i="12"/>
  <c r="N172" i="13" s="1"/>
  <c r="AH84" i="12"/>
  <c r="N84" i="13" s="1"/>
  <c r="S84" i="13" s="1"/>
  <c r="N84" i="5" s="1"/>
  <c r="AH76" i="12"/>
  <c r="N76" i="13" s="1"/>
  <c r="S76" i="13" s="1"/>
  <c r="N76" i="5" s="1"/>
  <c r="AH68" i="12"/>
  <c r="N68" i="13" s="1"/>
  <c r="S68" i="13" s="1"/>
  <c r="N68" i="5" s="1"/>
  <c r="AH60" i="12"/>
  <c r="N60" i="13" s="1"/>
  <c r="S60" i="13" s="1"/>
  <c r="N60" i="5" s="1"/>
  <c r="AH44" i="12"/>
  <c r="N44" i="13" s="1"/>
  <c r="S44" i="13" s="1"/>
  <c r="N44" i="5" s="1"/>
  <c r="AH36" i="12"/>
  <c r="N36" i="13" s="1"/>
  <c r="S36" i="13" s="1"/>
  <c r="N36" i="5" s="1"/>
  <c r="AH28" i="12"/>
  <c r="N28" i="13" s="1"/>
  <c r="S28" i="13" s="1"/>
  <c r="N28" i="5" s="1"/>
  <c r="AH81" i="12"/>
  <c r="N81" i="13" s="1"/>
  <c r="S81" i="13" s="1"/>
  <c r="N81" i="5" s="1"/>
  <c r="AH57" i="12"/>
  <c r="N57" i="13" s="1"/>
  <c r="S57" i="13" s="1"/>
  <c r="N57" i="5" s="1"/>
  <c r="AH41" i="12"/>
  <c r="N41" i="13" s="1"/>
  <c r="S41" i="13" s="1"/>
  <c r="N41" i="5" s="1"/>
  <c r="AH33" i="12"/>
  <c r="N33" i="13" s="1"/>
  <c r="S33" i="13" s="1"/>
  <c r="N33" i="5" s="1"/>
  <c r="AH144" i="12"/>
  <c r="N144" i="13" s="1"/>
  <c r="S144" i="13" s="1"/>
  <c r="AH161" i="12"/>
  <c r="N161" i="13" s="1"/>
  <c r="AM142" i="12"/>
  <c r="AN142" i="12"/>
  <c r="AN162" i="12"/>
  <c r="AM162" i="12"/>
  <c r="AN106" i="12"/>
  <c r="AM106" i="12"/>
  <c r="AM186" i="12"/>
  <c r="AN186" i="12"/>
  <c r="AM134" i="12"/>
  <c r="AN134" i="12"/>
  <c r="AM25" i="12"/>
  <c r="AN25" i="12"/>
  <c r="AN114" i="12"/>
  <c r="AM114" i="12"/>
  <c r="AN200" i="12"/>
  <c r="AM200" i="12"/>
  <c r="AN201" i="12"/>
  <c r="AM201" i="12"/>
  <c r="AM144" i="12"/>
  <c r="AN144" i="12"/>
  <c r="AL62" i="12"/>
  <c r="AM62" i="12" s="1"/>
  <c r="AN53" i="12"/>
  <c r="AL48" i="12"/>
  <c r="AN33" i="12"/>
  <c r="AN71" i="12"/>
  <c r="AL69" i="12"/>
  <c r="AM69" i="12" s="1"/>
  <c r="AH77" i="12"/>
  <c r="N77" i="13" s="1"/>
  <c r="S77" i="13" s="1"/>
  <c r="N77" i="5" s="1"/>
  <c r="AH96" i="12"/>
  <c r="N96" i="13" s="1"/>
  <c r="S96" i="13" s="1"/>
  <c r="N96" i="5" s="1"/>
  <c r="AH104" i="12"/>
  <c r="N104" i="13" s="1"/>
  <c r="S104" i="13" s="1"/>
  <c r="N104" i="5" s="1"/>
  <c r="AH106" i="12"/>
  <c r="N106" i="13" s="1"/>
  <c r="S106" i="13" s="1"/>
  <c r="N106" i="5" s="1"/>
  <c r="AH109" i="12"/>
  <c r="N109" i="13" s="1"/>
  <c r="S109" i="13" s="1"/>
  <c r="N109" i="5" s="1"/>
  <c r="AH112" i="12"/>
  <c r="N112" i="13" s="1"/>
  <c r="S112" i="13" s="1"/>
  <c r="N112" i="5" s="1"/>
  <c r="AL122" i="12"/>
  <c r="AM122" i="12" s="1"/>
  <c r="AH146" i="12"/>
  <c r="N146" i="13" s="1"/>
  <c r="S146" i="13" s="1"/>
  <c r="AN170" i="12"/>
  <c r="AH167" i="12"/>
  <c r="N167" i="13" s="1"/>
  <c r="AN173" i="12"/>
  <c r="AH171" i="12"/>
  <c r="N171" i="13" s="1"/>
  <c r="S171" i="13" s="1"/>
  <c r="N171" i="5" s="1"/>
  <c r="AH200" i="12"/>
  <c r="N200" i="13" s="1"/>
  <c r="S200" i="13" s="1"/>
  <c r="N200" i="5" s="1"/>
  <c r="AH201" i="12"/>
  <c r="N201" i="13" s="1"/>
  <c r="S201" i="13" s="1"/>
  <c r="N201" i="5" s="1"/>
  <c r="AL199" i="12"/>
  <c r="AM199" i="12" s="1"/>
  <c r="AN38" i="12"/>
  <c r="AH91" i="12"/>
  <c r="N91" i="13" s="1"/>
  <c r="S91" i="13" s="1"/>
  <c r="N91" i="5" s="1"/>
  <c r="AH72" i="12"/>
  <c r="N72" i="13" s="1"/>
  <c r="S72" i="13" s="1"/>
  <c r="N72" i="5" s="1"/>
  <c r="AH32" i="12"/>
  <c r="N32" i="13" s="1"/>
  <c r="S32" i="13" s="1"/>
  <c r="N32" i="5" s="1"/>
  <c r="AH166" i="12"/>
  <c r="N166" i="13" s="1"/>
  <c r="AN183" i="12"/>
  <c r="AH205" i="12"/>
  <c r="N205" i="13" s="1"/>
  <c r="S205" i="13" s="1"/>
  <c r="N205" i="5" s="1"/>
  <c r="AH29" i="12"/>
  <c r="N29" i="13" s="1"/>
  <c r="S29" i="13" s="1"/>
  <c r="N29" i="5" s="1"/>
  <c r="AL31" i="12"/>
  <c r="AN31" i="12" s="1"/>
  <c r="AN81" i="12"/>
  <c r="AL85" i="12"/>
  <c r="AM85" i="12" s="1"/>
  <c r="AH90" i="12"/>
  <c r="N90" i="13" s="1"/>
  <c r="S90" i="13" s="1"/>
  <c r="N90" i="5" s="1"/>
  <c r="AH95" i="12"/>
  <c r="N95" i="13" s="1"/>
  <c r="S95" i="13" s="1"/>
  <c r="N95" i="5" s="1"/>
  <c r="AH103" i="12"/>
  <c r="N103" i="13" s="1"/>
  <c r="S103" i="13" s="1"/>
  <c r="N103" i="5" s="1"/>
  <c r="AH113" i="12"/>
  <c r="N113" i="13" s="1"/>
  <c r="S113" i="13" s="1"/>
  <c r="N113" i="5" s="1"/>
  <c r="AH110" i="12"/>
  <c r="N110" i="13" s="1"/>
  <c r="S110" i="13" s="1"/>
  <c r="N110" i="5" s="1"/>
  <c r="AN136" i="12"/>
  <c r="AN145" i="12"/>
  <c r="AH145" i="12"/>
  <c r="N145" i="13" s="1"/>
  <c r="S145" i="13" s="1"/>
  <c r="AN150" i="12"/>
  <c r="AM159" i="12"/>
  <c r="AL163" i="12"/>
  <c r="AM163" i="12" s="1"/>
  <c r="AH157" i="12"/>
  <c r="N157" i="13" s="1"/>
  <c r="AH150" i="12"/>
  <c r="N150" i="13" s="1"/>
  <c r="S150" i="13" s="1"/>
  <c r="N150" i="5" s="1"/>
  <c r="AH174" i="12"/>
  <c r="N174" i="13" s="1"/>
  <c r="S174" i="13" s="1"/>
  <c r="N174" i="5" s="1"/>
  <c r="AH204" i="12"/>
  <c r="N204" i="13" s="1"/>
  <c r="S204" i="13" s="1"/>
  <c r="N204" i="5" s="1"/>
  <c r="AN36" i="12"/>
  <c r="AN46" i="12"/>
  <c r="AH89" i="12"/>
  <c r="N89" i="13" s="1"/>
  <c r="S89" i="13" s="1"/>
  <c r="N89" i="5" s="1"/>
  <c r="AH99" i="12"/>
  <c r="N99" i="13" s="1"/>
  <c r="S99" i="13" s="1"/>
  <c r="N99" i="5" s="1"/>
  <c r="AM97" i="12"/>
  <c r="AN127" i="12"/>
  <c r="AN138" i="12"/>
  <c r="AN149" i="12"/>
  <c r="AH185" i="12"/>
  <c r="N185" i="13" s="1"/>
  <c r="AL98" i="12"/>
  <c r="AN156" i="12"/>
  <c r="AH47" i="12"/>
  <c r="N47" i="13" s="1"/>
  <c r="S47" i="13" s="1"/>
  <c r="N47" i="5" s="1"/>
  <c r="AN41" i="12"/>
  <c r="AH35" i="12"/>
  <c r="N35" i="13" s="1"/>
  <c r="S35" i="13" s="1"/>
  <c r="N35" i="5" s="1"/>
  <c r="AH69" i="12"/>
  <c r="N69" i="13" s="1"/>
  <c r="S69" i="13" s="1"/>
  <c r="N69" i="5" s="1"/>
  <c r="AN76" i="12"/>
  <c r="AN104" i="12"/>
  <c r="AM115" i="12"/>
  <c r="AH156" i="12"/>
  <c r="N156" i="13" s="1"/>
  <c r="S156" i="13" s="1"/>
  <c r="N156" i="5" s="1"/>
  <c r="AH179" i="12"/>
  <c r="N179" i="13" s="1"/>
  <c r="AN205" i="12"/>
  <c r="AN59" i="12"/>
  <c r="AN74" i="12"/>
  <c r="AH78" i="12"/>
  <c r="N78" i="13" s="1"/>
  <c r="S78" i="13" s="1"/>
  <c r="N78" i="5" s="1"/>
  <c r="AN84" i="12"/>
  <c r="AN96" i="12"/>
  <c r="AH175" i="12"/>
  <c r="N175" i="13" s="1"/>
  <c r="AN174" i="12"/>
  <c r="AH62" i="12"/>
  <c r="N62" i="13" s="1"/>
  <c r="S62" i="13" s="1"/>
  <c r="N62" i="5" s="1"/>
  <c r="AH121" i="12"/>
  <c r="N121" i="13" s="1"/>
  <c r="S121" i="13" s="1"/>
  <c r="N121" i="5" s="1"/>
  <c r="AH124" i="12"/>
  <c r="N124" i="13" s="1"/>
  <c r="S124" i="13" s="1"/>
  <c r="N124" i="5" s="1"/>
  <c r="AH126" i="12"/>
  <c r="N126" i="13" s="1"/>
  <c r="S126" i="13" s="1"/>
  <c r="N126" i="5" s="1"/>
  <c r="AH159" i="12"/>
  <c r="N159" i="13" s="1"/>
  <c r="AH173" i="12"/>
  <c r="N173" i="13" s="1"/>
  <c r="AH180" i="12"/>
  <c r="N180" i="13" s="1"/>
  <c r="AH202" i="12"/>
  <c r="N202" i="13" s="1"/>
  <c r="S202" i="13" s="1"/>
  <c r="N202" i="5" s="1"/>
  <c r="A114" i="5"/>
  <c r="B114" i="5" s="1"/>
  <c r="D28" i="5"/>
  <c r="A27" i="5"/>
  <c r="B27" i="5" s="1"/>
  <c r="A26" i="5"/>
  <c r="B26" i="5" s="1"/>
  <c r="I203" i="13"/>
  <c r="M203" i="13" s="1"/>
  <c r="F203" i="5" s="1"/>
  <c r="H198" i="13"/>
  <c r="H190" i="13"/>
  <c r="M190" i="13" s="1"/>
  <c r="F190" i="5" s="1"/>
  <c r="AA190" i="5" s="1"/>
  <c r="H186" i="13"/>
  <c r="M186" i="13" s="1"/>
  <c r="F186" i="5" s="1"/>
  <c r="AA186" i="5" s="1"/>
  <c r="H182" i="13"/>
  <c r="M182" i="13" s="1"/>
  <c r="F182" i="5" s="1"/>
  <c r="AA182" i="5" s="1"/>
  <c r="H178" i="13"/>
  <c r="M178" i="13" s="1"/>
  <c r="I204" i="13"/>
  <c r="M204" i="13" s="1"/>
  <c r="I200" i="13"/>
  <c r="M200" i="13" s="1"/>
  <c r="F200" i="5" s="1"/>
  <c r="I196" i="13"/>
  <c r="M196" i="13" s="1"/>
  <c r="F196" i="5" s="1"/>
  <c r="I192" i="13"/>
  <c r="M192" i="13" s="1"/>
  <c r="F192" i="5" s="1"/>
  <c r="I188" i="13"/>
  <c r="M188" i="13" s="1"/>
  <c r="F188" i="5" s="1"/>
  <c r="I184" i="13"/>
  <c r="M184" i="13" s="1"/>
  <c r="F184" i="5" s="1"/>
  <c r="I180" i="13"/>
  <c r="M180" i="13" s="1"/>
  <c r="I199" i="13"/>
  <c r="M199" i="13" s="1"/>
  <c r="I195" i="13"/>
  <c r="M195" i="13" s="1"/>
  <c r="F195" i="5" s="1"/>
  <c r="AA195" i="5" s="1"/>
  <c r="I191" i="13"/>
  <c r="M191" i="13" s="1"/>
  <c r="F191" i="5" s="1"/>
  <c r="I187" i="13"/>
  <c r="I183" i="13"/>
  <c r="M183" i="13" s="1"/>
  <c r="I179" i="13"/>
  <c r="M179" i="13" s="1"/>
  <c r="F179" i="5" s="1"/>
  <c r="H187" i="13"/>
  <c r="I198" i="13"/>
  <c r="I194" i="13"/>
  <c r="M194" i="13" s="1"/>
  <c r="F194" i="5" s="1"/>
  <c r="M39" i="13"/>
  <c r="F39" i="5" s="1"/>
  <c r="M55" i="13"/>
  <c r="F55" i="5" s="1"/>
  <c r="I96" i="13"/>
  <c r="M96" i="13" s="1"/>
  <c r="F96" i="5" s="1"/>
  <c r="I136" i="13"/>
  <c r="M136" i="13" s="1"/>
  <c r="F136" i="5" s="1"/>
  <c r="AA136" i="5" s="1"/>
  <c r="H154" i="13"/>
  <c r="M154" i="13" s="1"/>
  <c r="F154" i="5" s="1"/>
  <c r="AA154" i="5" s="1"/>
  <c r="H112" i="13"/>
  <c r="M112" i="13" s="1"/>
  <c r="F112" i="5" s="1"/>
  <c r="I108" i="13"/>
  <c r="M108" i="13" s="1"/>
  <c r="F108" i="5" s="1"/>
  <c r="I111" i="13"/>
  <c r="M111" i="13" s="1"/>
  <c r="F111" i="5" s="1"/>
  <c r="H161" i="13"/>
  <c r="M161" i="13" s="1"/>
  <c r="F161" i="5" s="1"/>
  <c r="I88" i="13"/>
  <c r="M88" i="13" s="1"/>
  <c r="F88" i="5" s="1"/>
  <c r="H79" i="13"/>
  <c r="M79" i="13" s="1"/>
  <c r="F79" i="5" s="1"/>
  <c r="I118" i="13"/>
  <c r="M118" i="13" s="1"/>
  <c r="F118" i="5" s="1"/>
  <c r="AA118" i="5" s="1"/>
  <c r="I63" i="13"/>
  <c r="M63" i="13" s="1"/>
  <c r="F63" i="5" s="1"/>
  <c r="I71" i="13"/>
  <c r="M71" i="13" s="1"/>
  <c r="F71" i="5" s="1"/>
  <c r="I169" i="13"/>
  <c r="M169" i="13" s="1"/>
  <c r="F169" i="5" s="1"/>
  <c r="H175" i="13"/>
  <c r="AN203" i="12"/>
  <c r="AN202" i="12"/>
  <c r="AN204" i="12"/>
  <c r="AN182" i="12"/>
  <c r="AH199" i="12"/>
  <c r="N199" i="13" s="1"/>
  <c r="AN178" i="12"/>
  <c r="AH190" i="12"/>
  <c r="N190" i="13" s="1"/>
  <c r="AH186" i="12"/>
  <c r="N186" i="13" s="1"/>
  <c r="AH182" i="12"/>
  <c r="N182" i="13" s="1"/>
  <c r="AH197" i="12"/>
  <c r="N197" i="13" s="1"/>
  <c r="AN190" i="12"/>
  <c r="AL197" i="12"/>
  <c r="AM197" i="12" s="1"/>
  <c r="AN185" i="12"/>
  <c r="AH192" i="12"/>
  <c r="N192" i="13" s="1"/>
  <c r="AH188" i="12"/>
  <c r="N188" i="13" s="1"/>
  <c r="AH184" i="12"/>
  <c r="N184" i="13" s="1"/>
  <c r="AH196" i="12"/>
  <c r="N196" i="13" s="1"/>
  <c r="AH195" i="12"/>
  <c r="N195" i="13" s="1"/>
  <c r="AN188" i="12"/>
  <c r="AB178" i="13"/>
  <c r="AL40" i="12"/>
  <c r="AM40" i="12" s="1"/>
  <c r="AM54" i="12"/>
  <c r="AN54" i="12"/>
  <c r="AL82" i="12"/>
  <c r="AM82" i="12" s="1"/>
  <c r="AH82" i="12"/>
  <c r="N82" i="13" s="1"/>
  <c r="S82" i="13" s="1"/>
  <c r="N82" i="5" s="1"/>
  <c r="AM92" i="12"/>
  <c r="AN92" i="12"/>
  <c r="AH40" i="12"/>
  <c r="N40" i="13" s="1"/>
  <c r="S40" i="13" s="1"/>
  <c r="N40" i="5" s="1"/>
  <c r="AH52" i="12"/>
  <c r="N52" i="13" s="1"/>
  <c r="S52" i="13" s="1"/>
  <c r="N52" i="5" s="1"/>
  <c r="AL52" i="12"/>
  <c r="AM52" i="12" s="1"/>
  <c r="AM47" i="12"/>
  <c r="AN47" i="12"/>
  <c r="AM51" i="12"/>
  <c r="AN51" i="12"/>
  <c r="AH37" i="12"/>
  <c r="N37" i="13" s="1"/>
  <c r="S37" i="13" s="1"/>
  <c r="N37" i="5" s="1"/>
  <c r="AL37" i="12"/>
  <c r="AM37" i="12" s="1"/>
  <c r="AM27" i="12"/>
  <c r="AN27" i="12"/>
  <c r="AM102" i="12"/>
  <c r="AN102" i="12"/>
  <c r="AM77" i="12"/>
  <c r="AN77" i="12"/>
  <c r="AN165" i="12"/>
  <c r="AM165" i="12"/>
  <c r="AH64" i="12"/>
  <c r="N64" i="13" s="1"/>
  <c r="S64" i="13" s="1"/>
  <c r="N64" i="5" s="1"/>
  <c r="AL64" i="12"/>
  <c r="AM64" i="12" s="1"/>
  <c r="AM63" i="12"/>
  <c r="AN63" i="12"/>
  <c r="AH55" i="12"/>
  <c r="N55" i="13" s="1"/>
  <c r="S55" i="13" s="1"/>
  <c r="N55" i="5" s="1"/>
  <c r="AL55" i="12"/>
  <c r="AM55" i="12" s="1"/>
  <c r="AH49" i="12"/>
  <c r="N49" i="13" s="1"/>
  <c r="S49" i="13" s="1"/>
  <c r="N49" i="5" s="1"/>
  <c r="AL49" i="12"/>
  <c r="AM49" i="12" s="1"/>
  <c r="AN44" i="12"/>
  <c r="AL118" i="12"/>
  <c r="AM118" i="12" s="1"/>
  <c r="AH46" i="12"/>
  <c r="N46" i="13" s="1"/>
  <c r="S46" i="13" s="1"/>
  <c r="N46" i="5" s="1"/>
  <c r="AH53" i="12"/>
  <c r="N53" i="13" s="1"/>
  <c r="S53" i="13" s="1"/>
  <c r="N53" i="5" s="1"/>
  <c r="AH63" i="12"/>
  <c r="N63" i="13" s="1"/>
  <c r="S63" i="13" s="1"/>
  <c r="N63" i="5" s="1"/>
  <c r="AM43" i="12"/>
  <c r="AN61" i="12"/>
  <c r="AN58" i="12"/>
  <c r="AN68" i="12"/>
  <c r="AN83" i="12"/>
  <c r="AN90" i="12"/>
  <c r="AN88" i="12"/>
  <c r="AM91" i="12"/>
  <c r="AN91" i="12"/>
  <c r="AH94" i="12"/>
  <c r="N94" i="13" s="1"/>
  <c r="S94" i="13" s="1"/>
  <c r="N94" i="5" s="1"/>
  <c r="AN113" i="12"/>
  <c r="AN109" i="12"/>
  <c r="AN137" i="12"/>
  <c r="AM137" i="12"/>
  <c r="AN140" i="12"/>
  <c r="AH59" i="12"/>
  <c r="N59" i="13" s="1"/>
  <c r="S59" i="13" s="1"/>
  <c r="N59" i="5" s="1"/>
  <c r="AN30" i="12"/>
  <c r="AN70" i="12"/>
  <c r="AH70" i="12"/>
  <c r="N70" i="13" s="1"/>
  <c r="S70" i="13" s="1"/>
  <c r="N70" i="5" s="1"/>
  <c r="AN75" i="12"/>
  <c r="AM79" i="12"/>
  <c r="AN79" i="12"/>
  <c r="AL112" i="12"/>
  <c r="AM112" i="12" s="1"/>
  <c r="AH118" i="12"/>
  <c r="N118" i="13" s="1"/>
  <c r="S118" i="13" s="1"/>
  <c r="N118" i="5" s="1"/>
  <c r="AN60" i="12"/>
  <c r="AH54" i="12"/>
  <c r="N54" i="13" s="1"/>
  <c r="S54" i="13" s="1"/>
  <c r="N54" i="5" s="1"/>
  <c r="AN45" i="12"/>
  <c r="AN26" i="12"/>
  <c r="AN65" i="12"/>
  <c r="AN78" i="12"/>
  <c r="AN80" i="12"/>
  <c r="AH26" i="12"/>
  <c r="N26" i="13" s="1"/>
  <c r="S26" i="13" s="1"/>
  <c r="N26" i="5" s="1"/>
  <c r="AH38" i="12"/>
  <c r="N38" i="13" s="1"/>
  <c r="S38" i="13" s="1"/>
  <c r="N38" i="5" s="1"/>
  <c r="AM34" i="12"/>
  <c r="AN32" i="12"/>
  <c r="AL35" i="12"/>
  <c r="AM35" i="12" s="1"/>
  <c r="AN29" i="12"/>
  <c r="AH92" i="12"/>
  <c r="N92" i="13" s="1"/>
  <c r="S92" i="13" s="1"/>
  <c r="N92" i="5" s="1"/>
  <c r="AN94" i="12"/>
  <c r="AL103" i="12"/>
  <c r="AM103" i="12" s="1"/>
  <c r="AN105" i="12"/>
  <c r="AM128" i="12"/>
  <c r="AN128" i="12"/>
  <c r="AN148" i="12"/>
  <c r="AM148" i="12"/>
  <c r="AM184" i="12"/>
  <c r="AH67" i="12"/>
  <c r="N67" i="13" s="1"/>
  <c r="S67" i="13" s="1"/>
  <c r="N67" i="5" s="1"/>
  <c r="AH114" i="12"/>
  <c r="N114" i="13" s="1"/>
  <c r="S114" i="13" s="1"/>
  <c r="N114" i="5" s="1"/>
  <c r="AN117" i="12"/>
  <c r="AN139" i="12"/>
  <c r="AM139" i="12"/>
  <c r="AH143" i="12"/>
  <c r="N143" i="13" s="1"/>
  <c r="S143" i="13" s="1"/>
  <c r="N143" i="5" s="1"/>
  <c r="AL143" i="12"/>
  <c r="AM143" i="12" s="1"/>
  <c r="AN50" i="12"/>
  <c r="AH100" i="12"/>
  <c r="N100" i="13" s="1"/>
  <c r="S100" i="13" s="1"/>
  <c r="N100" i="5" s="1"/>
  <c r="AL101" i="12"/>
  <c r="AM101" i="12" s="1"/>
  <c r="AM121" i="12"/>
  <c r="AN121" i="12"/>
  <c r="AH123" i="12"/>
  <c r="N123" i="13" s="1"/>
  <c r="S123" i="13" s="1"/>
  <c r="N123" i="5" s="1"/>
  <c r="AL123" i="12"/>
  <c r="AH135" i="12"/>
  <c r="N135" i="13" s="1"/>
  <c r="S135" i="13" s="1"/>
  <c r="N135" i="5" s="1"/>
  <c r="AL135" i="12"/>
  <c r="AL67" i="12"/>
  <c r="AM67" i="12" s="1"/>
  <c r="AH74" i="12"/>
  <c r="N74" i="13" s="1"/>
  <c r="S74" i="13" s="1"/>
  <c r="N74" i="5" s="1"/>
  <c r="AH73" i="12"/>
  <c r="N73" i="13" s="1"/>
  <c r="S73" i="13" s="1"/>
  <c r="N73" i="5" s="1"/>
  <c r="AH65" i="12"/>
  <c r="N65" i="13" s="1"/>
  <c r="S65" i="13" s="1"/>
  <c r="N65" i="5" s="1"/>
  <c r="AL100" i="12"/>
  <c r="AM100" i="12" s="1"/>
  <c r="AN119" i="12"/>
  <c r="AM119" i="12"/>
  <c r="AN116" i="12"/>
  <c r="AN131" i="12"/>
  <c r="AM176" i="12"/>
  <c r="AN176" i="12"/>
  <c r="AN172" i="12"/>
  <c r="AM172" i="12"/>
  <c r="AM189" i="12"/>
  <c r="AN189" i="12"/>
  <c r="AM108" i="12"/>
  <c r="AL111" i="12"/>
  <c r="AM111" i="12" s="1"/>
  <c r="AN126" i="12"/>
  <c r="AM187" i="12"/>
  <c r="AN187" i="12"/>
  <c r="AN110" i="12"/>
  <c r="AN124" i="12"/>
  <c r="AH160" i="12"/>
  <c r="N160" i="13" s="1"/>
  <c r="AL160" i="12"/>
  <c r="AM160" i="12" s="1"/>
  <c r="AN196" i="12"/>
  <c r="AM196" i="12"/>
  <c r="AM195" i="12"/>
  <c r="AN195" i="12"/>
  <c r="AN194" i="12"/>
  <c r="AM158" i="12"/>
  <c r="AN158" i="12"/>
  <c r="AH169" i="12"/>
  <c r="N169" i="13" s="1"/>
  <c r="AH164" i="12"/>
  <c r="N164" i="13" s="1"/>
  <c r="S164" i="13" s="1"/>
  <c r="N164" i="5" s="1"/>
  <c r="AL164" i="12"/>
  <c r="AM164" i="12" s="1"/>
  <c r="AL181" i="12"/>
  <c r="AM181" i="12" s="1"/>
  <c r="AH198" i="12"/>
  <c r="N198" i="13" s="1"/>
  <c r="AM146" i="12"/>
  <c r="AN146" i="12"/>
  <c r="AH154" i="12"/>
  <c r="N154" i="13" s="1"/>
  <c r="S154" i="13" s="1"/>
  <c r="N154" i="5" s="1"/>
  <c r="AL154" i="12"/>
  <c r="AM154" i="12" s="1"/>
  <c r="AL169" i="12"/>
  <c r="AM169" i="12" s="1"/>
  <c r="AL191" i="12"/>
  <c r="AM191" i="12" s="1"/>
  <c r="AH191" i="12"/>
  <c r="N191" i="13" s="1"/>
  <c r="AL198" i="12"/>
  <c r="AM198" i="12" s="1"/>
  <c r="AN155" i="12"/>
  <c r="AN171" i="12"/>
  <c r="AN192" i="12"/>
  <c r="AH194" i="12"/>
  <c r="N194" i="13" s="1"/>
  <c r="AH155" i="12"/>
  <c r="N155" i="13" s="1"/>
  <c r="AL167" i="12"/>
  <c r="AM167" i="12" s="1"/>
  <c r="E149" i="13"/>
  <c r="E155" i="12"/>
  <c r="AN168" i="12"/>
  <c r="AN153" i="12"/>
  <c r="Y201" i="10"/>
  <c r="P201" i="10"/>
  <c r="P205" i="10"/>
  <c r="P203" i="10"/>
  <c r="P202" i="10"/>
  <c r="P204" i="10"/>
  <c r="R178" i="10"/>
  <c r="I178" i="10"/>
  <c r="P178" i="10" s="1"/>
  <c r="P67" i="10"/>
  <c r="Y58" i="10"/>
  <c r="Y81" i="10"/>
  <c r="P74" i="10"/>
  <c r="P80" i="10"/>
  <c r="J117" i="10"/>
  <c r="AB153" i="13"/>
  <c r="P81" i="10"/>
  <c r="G155" i="13"/>
  <c r="D155" i="13" s="1"/>
  <c r="Y73" i="10"/>
  <c r="P56" i="10"/>
  <c r="P55" i="10"/>
  <c r="P42" i="10"/>
  <c r="P29" i="10"/>
  <c r="P68" i="10"/>
  <c r="P82" i="10"/>
  <c r="P57" i="10"/>
  <c r="P70" i="10"/>
  <c r="P148" i="10"/>
  <c r="P66" i="10"/>
  <c r="Y74" i="10"/>
  <c r="P77" i="10"/>
  <c r="P84" i="10"/>
  <c r="Y177" i="10"/>
  <c r="P62" i="10"/>
  <c r="P26" i="10"/>
  <c r="Y68" i="10"/>
  <c r="C169" i="10"/>
  <c r="C169" i="13" s="1"/>
  <c r="P45" i="10"/>
  <c r="P39" i="10"/>
  <c r="P60" i="10"/>
  <c r="P73" i="10"/>
  <c r="P86" i="10"/>
  <c r="G162" i="13"/>
  <c r="D162" i="13" s="1"/>
  <c r="G174" i="13"/>
  <c r="D174" i="13" s="1"/>
  <c r="P76" i="10"/>
  <c r="C115" i="10"/>
  <c r="G116" i="10"/>
  <c r="AB176" i="13"/>
  <c r="C124" i="10"/>
  <c r="P177" i="10"/>
  <c r="P176" i="10"/>
  <c r="AB148" i="13"/>
  <c r="C168" i="10"/>
  <c r="C168" i="13" s="1"/>
  <c r="G168" i="13"/>
  <c r="D168" i="13" s="1"/>
  <c r="C171" i="10"/>
  <c r="C171" i="13" s="1"/>
  <c r="G171" i="13"/>
  <c r="D171" i="13" s="1"/>
  <c r="A150" i="10"/>
  <c r="R150" i="10" s="1"/>
  <c r="S149" i="10"/>
  <c r="R149" i="10"/>
  <c r="I149" i="10"/>
  <c r="A149" i="13"/>
  <c r="C159" i="10"/>
  <c r="C159" i="13" s="1"/>
  <c r="C155" i="10"/>
  <c r="C155" i="13" s="1"/>
  <c r="C153" i="10"/>
  <c r="C153" i="13" s="1"/>
  <c r="C160" i="10"/>
  <c r="C160" i="13" s="1"/>
  <c r="C143" i="10"/>
  <c r="G158" i="13"/>
  <c r="D158" i="13" s="1"/>
  <c r="G169" i="13"/>
  <c r="D169" i="13" s="1"/>
  <c r="C127" i="10"/>
  <c r="C150" i="10"/>
  <c r="C150" i="13" s="1"/>
  <c r="C174" i="10"/>
  <c r="C174" i="13" s="1"/>
  <c r="C133" i="10"/>
  <c r="G157" i="13"/>
  <c r="D157" i="13" s="1"/>
  <c r="C157" i="10"/>
  <c r="C157" i="13" s="1"/>
  <c r="C148" i="10"/>
  <c r="C148" i="13" s="1"/>
  <c r="G148" i="13"/>
  <c r="D148" i="13" s="1"/>
  <c r="A27" i="9"/>
  <c r="B27" i="9" s="1"/>
  <c r="E28" i="9"/>
  <c r="C166" i="10"/>
  <c r="C166" i="13" s="1"/>
  <c r="C118" i="10"/>
  <c r="G160" i="13"/>
  <c r="D160" i="13" s="1"/>
  <c r="G170" i="13"/>
  <c r="D170" i="13" s="1"/>
  <c r="C164" i="10"/>
  <c r="C164" i="13" s="1"/>
  <c r="C175" i="10"/>
  <c r="C175" i="13" s="1"/>
  <c r="C172" i="10"/>
  <c r="C172" i="13" s="1"/>
  <c r="A26" i="9"/>
  <c r="B26" i="9" s="1"/>
  <c r="G164" i="13"/>
  <c r="D164" i="13" s="1"/>
  <c r="G161" i="13"/>
  <c r="D161" i="13" s="1"/>
  <c r="G166" i="13"/>
  <c r="D166" i="13" s="1"/>
  <c r="G163" i="13"/>
  <c r="D163" i="13" s="1"/>
  <c r="C152" i="10"/>
  <c r="C152" i="13" s="1"/>
  <c r="G154" i="13"/>
  <c r="D154" i="13" s="1"/>
  <c r="C165" i="10"/>
  <c r="C165" i="13" s="1"/>
  <c r="C167" i="10"/>
  <c r="C167" i="13" s="1"/>
  <c r="C137" i="10"/>
  <c r="D116" i="5"/>
  <c r="A115" i="5"/>
  <c r="B115" i="5" s="1"/>
  <c r="Z71" i="10" l="1"/>
  <c r="AA71" i="10" s="1"/>
  <c r="AC71" i="10" s="1"/>
  <c r="F297" i="13"/>
  <c r="F304" i="10"/>
  <c r="F290" i="13"/>
  <c r="G275" i="12"/>
  <c r="D276" i="5"/>
  <c r="D277" i="5" s="1"/>
  <c r="Y275" i="5"/>
  <c r="E275" i="9"/>
  <c r="F264" i="13"/>
  <c r="F271" i="10"/>
  <c r="F261" i="13"/>
  <c r="F268" i="10"/>
  <c r="F275" i="10" s="1"/>
  <c r="F263" i="13"/>
  <c r="F270" i="10"/>
  <c r="F277" i="10" s="1"/>
  <c r="F267" i="13"/>
  <c r="F274" i="10"/>
  <c r="G274" i="12"/>
  <c r="E274" i="9"/>
  <c r="Y274" i="5"/>
  <c r="Z49" i="10"/>
  <c r="AA49" i="10" s="1"/>
  <c r="AC49" i="10" s="1"/>
  <c r="F258" i="13"/>
  <c r="F265" i="10"/>
  <c r="F260" i="13"/>
  <c r="F252" i="13"/>
  <c r="F259" i="10"/>
  <c r="D236" i="9"/>
  <c r="S157" i="13"/>
  <c r="N157" i="5" s="1"/>
  <c r="C27" i="13"/>
  <c r="P149" i="10"/>
  <c r="G221" i="10"/>
  <c r="G220" i="13"/>
  <c r="D220" i="13" s="1"/>
  <c r="Z42" i="10"/>
  <c r="AA42" i="10" s="1"/>
  <c r="H42" i="5" s="1"/>
  <c r="I42" i="5" s="1"/>
  <c r="Z51" i="10"/>
  <c r="AA51" i="10" s="1"/>
  <c r="H51" i="5" s="1"/>
  <c r="I51" i="5" s="1"/>
  <c r="Z57" i="10"/>
  <c r="AA57" i="10" s="1"/>
  <c r="H57" i="5" s="1"/>
  <c r="I57" i="5" s="1"/>
  <c r="Z50" i="10"/>
  <c r="AA50" i="10" s="1"/>
  <c r="AC50" i="10" s="1"/>
  <c r="Z72" i="10"/>
  <c r="AA72" i="10" s="1"/>
  <c r="AC72" i="10" s="1"/>
  <c r="G28" i="13"/>
  <c r="D28" i="13" s="1"/>
  <c r="Z28" i="10"/>
  <c r="AA28" i="10" s="1"/>
  <c r="H28" i="5" s="1"/>
  <c r="I28" i="5" s="1"/>
  <c r="Z70" i="10"/>
  <c r="AA70" i="10" s="1"/>
  <c r="AC70" i="10" s="1"/>
  <c r="Z65" i="10"/>
  <c r="AA65" i="10" s="1"/>
  <c r="H65" i="5" s="1"/>
  <c r="I65" i="5" s="1"/>
  <c r="AN66" i="12"/>
  <c r="AA177" i="5"/>
  <c r="Z45" i="10"/>
  <c r="AA45" i="10" s="1"/>
  <c r="AC45" i="10" s="1"/>
  <c r="Z37" i="10"/>
  <c r="AA37" i="10" s="1"/>
  <c r="AC37" i="10" s="1"/>
  <c r="Z69" i="10"/>
  <c r="AA69" i="10" s="1"/>
  <c r="AC69" i="10" s="1"/>
  <c r="Z48" i="10"/>
  <c r="AA48" i="10" s="1"/>
  <c r="AC48" i="10" s="1"/>
  <c r="Z26" i="10"/>
  <c r="AA26" i="10" s="1"/>
  <c r="AC26" i="10" s="1"/>
  <c r="Z86" i="10"/>
  <c r="AA86" i="10" s="1"/>
  <c r="AC86" i="10" s="1"/>
  <c r="Z85" i="10"/>
  <c r="AA85" i="10" s="1"/>
  <c r="AC85" i="10" s="1"/>
  <c r="AN85" i="12"/>
  <c r="Z82" i="10"/>
  <c r="AA82" i="10" s="1"/>
  <c r="H82" i="5" s="1"/>
  <c r="I82" i="5" s="1"/>
  <c r="Z55" i="10"/>
  <c r="AA55" i="10" s="1"/>
  <c r="AC55" i="10" s="1"/>
  <c r="Z80" i="10"/>
  <c r="AA80" i="10" s="1"/>
  <c r="H80" i="5" s="1"/>
  <c r="I80" i="5" s="1"/>
  <c r="Z63" i="10"/>
  <c r="AA63" i="10" s="1"/>
  <c r="H63" i="5" s="1"/>
  <c r="I63" i="5" s="1"/>
  <c r="D191" i="12"/>
  <c r="D191" i="10"/>
  <c r="D199" i="12"/>
  <c r="D199" i="10"/>
  <c r="D195" i="10"/>
  <c r="D195" i="12"/>
  <c r="D26" i="12"/>
  <c r="D26" i="10"/>
  <c r="D182" i="12"/>
  <c r="D182" i="10"/>
  <c r="D176" i="12"/>
  <c r="D176" i="10"/>
  <c r="D201" i="10"/>
  <c r="D201" i="12"/>
  <c r="D203" i="10"/>
  <c r="D203" i="12"/>
  <c r="Z41" i="10"/>
  <c r="AA41" i="10" s="1"/>
  <c r="H41" i="5" s="1"/>
  <c r="I41" i="5" s="1"/>
  <c r="Z84" i="10"/>
  <c r="AA84" i="10" s="1"/>
  <c r="H84" i="5" s="1"/>
  <c r="I84" i="5" s="1"/>
  <c r="D190" i="12"/>
  <c r="D190" i="10"/>
  <c r="D184" i="12"/>
  <c r="D184" i="10"/>
  <c r="D178" i="12"/>
  <c r="D178" i="10"/>
  <c r="D181" i="12"/>
  <c r="D181" i="10"/>
  <c r="D177" i="12"/>
  <c r="D177" i="10"/>
  <c r="D27" i="10"/>
  <c r="D27" i="12"/>
  <c r="D198" i="12"/>
  <c r="D198" i="10"/>
  <c r="D192" i="12"/>
  <c r="D192" i="10"/>
  <c r="D186" i="12"/>
  <c r="D186" i="10"/>
  <c r="D189" i="12"/>
  <c r="D189" i="10"/>
  <c r="D180" i="10"/>
  <c r="D180" i="12"/>
  <c r="D188" i="10"/>
  <c r="D188" i="12"/>
  <c r="D187" i="10"/>
  <c r="D187" i="12"/>
  <c r="D193" i="10"/>
  <c r="D193" i="12"/>
  <c r="D200" i="12"/>
  <c r="D200" i="10"/>
  <c r="D194" i="12"/>
  <c r="D194" i="10"/>
  <c r="D197" i="12"/>
  <c r="D197" i="10"/>
  <c r="D204" i="12"/>
  <c r="D179" i="10"/>
  <c r="D179" i="12"/>
  <c r="D185" i="12"/>
  <c r="D185" i="10"/>
  <c r="D183" i="12"/>
  <c r="D183" i="10"/>
  <c r="D202" i="12"/>
  <c r="D202" i="10"/>
  <c r="D205" i="12"/>
  <c r="D196" i="10"/>
  <c r="D196" i="12"/>
  <c r="S176" i="13"/>
  <c r="N176" i="5" s="1"/>
  <c r="M176" i="13"/>
  <c r="M173" i="13"/>
  <c r="F172" i="5"/>
  <c r="AA172" i="5" s="1"/>
  <c r="N58" i="5"/>
  <c r="AA151" i="5"/>
  <c r="M198" i="13"/>
  <c r="F198" i="5" s="1"/>
  <c r="AA198" i="5" s="1"/>
  <c r="AA163" i="5"/>
  <c r="N117" i="5"/>
  <c r="AA149" i="5"/>
  <c r="AA156" i="5"/>
  <c r="AA157" i="5"/>
  <c r="AA160" i="5"/>
  <c r="AA152" i="5"/>
  <c r="M187" i="13"/>
  <c r="F187" i="5" s="1"/>
  <c r="AA187" i="5" s="1"/>
  <c r="AA155" i="5"/>
  <c r="AA201" i="5"/>
  <c r="AA153" i="5"/>
  <c r="M189" i="13"/>
  <c r="F189" i="5" s="1"/>
  <c r="AA189" i="5" s="1"/>
  <c r="M174" i="13"/>
  <c r="M175" i="13"/>
  <c r="P117" i="10"/>
  <c r="Y117" i="10"/>
  <c r="Z76" i="10"/>
  <c r="AA76" i="10" s="1"/>
  <c r="H76" i="5" s="1"/>
  <c r="I76" i="5" s="1"/>
  <c r="Z77" i="10"/>
  <c r="AA77" i="10" s="1"/>
  <c r="H77" i="5" s="1"/>
  <c r="I77" i="5" s="1"/>
  <c r="Z53" i="10"/>
  <c r="AA53" i="10" s="1"/>
  <c r="H53" i="5" s="1"/>
  <c r="I53" i="5" s="1"/>
  <c r="Z64" i="10"/>
  <c r="AA64" i="10" s="1"/>
  <c r="H64" i="5" s="1"/>
  <c r="I64" i="5" s="1"/>
  <c r="Z38" i="10"/>
  <c r="AA38" i="10" s="1"/>
  <c r="H38" i="5" s="1"/>
  <c r="I38" i="5" s="1"/>
  <c r="Z35" i="10"/>
  <c r="AA35" i="10" s="1"/>
  <c r="AC35" i="10" s="1"/>
  <c r="Z40" i="10"/>
  <c r="AA40" i="10" s="1"/>
  <c r="H40" i="5" s="1"/>
  <c r="I40" i="5" s="1"/>
  <c r="Z33" i="10"/>
  <c r="AA33" i="10" s="1"/>
  <c r="H33" i="5" s="1"/>
  <c r="I33" i="5" s="1"/>
  <c r="N146" i="5"/>
  <c r="N144" i="5"/>
  <c r="F147" i="5"/>
  <c r="AA147" i="5" s="1"/>
  <c r="N145" i="5"/>
  <c r="F146" i="5"/>
  <c r="AA146" i="5" s="1"/>
  <c r="F145" i="5"/>
  <c r="AA145" i="5" s="1"/>
  <c r="S172" i="13"/>
  <c r="N172" i="5" s="1"/>
  <c r="S173" i="13"/>
  <c r="N173" i="5" s="1"/>
  <c r="N147" i="5"/>
  <c r="AA162" i="5"/>
  <c r="AA159" i="5"/>
  <c r="AA171" i="5"/>
  <c r="G29" i="12"/>
  <c r="G30" i="12" s="1"/>
  <c r="E167" i="12"/>
  <c r="E167" i="13" s="1"/>
  <c r="AB167" i="13" s="1"/>
  <c r="Z56" i="10"/>
  <c r="AA56" i="10" s="1"/>
  <c r="H56" i="5" s="1"/>
  <c r="Z79" i="10"/>
  <c r="AA79" i="10" s="1"/>
  <c r="H79" i="5" s="1"/>
  <c r="I79" i="5" s="1"/>
  <c r="Z34" i="10"/>
  <c r="AA34" i="10" s="1"/>
  <c r="H34" i="5" s="1"/>
  <c r="I34" i="5" s="1"/>
  <c r="Z27" i="10"/>
  <c r="AA27" i="10" s="1"/>
  <c r="AC27" i="10" s="1"/>
  <c r="Z44" i="10"/>
  <c r="AA44" i="10" s="1"/>
  <c r="H44" i="5" s="1"/>
  <c r="I44" i="5" s="1"/>
  <c r="Z61" i="10"/>
  <c r="AA61" i="10" s="1"/>
  <c r="H61" i="5" s="1"/>
  <c r="I61" i="5" s="1"/>
  <c r="Z46" i="10"/>
  <c r="AA46" i="10" s="1"/>
  <c r="H46" i="5" s="1"/>
  <c r="I46" i="5" s="1"/>
  <c r="Z32" i="10"/>
  <c r="AA32" i="10" s="1"/>
  <c r="AC32" i="10" s="1"/>
  <c r="Z47" i="10"/>
  <c r="AA47" i="10" s="1"/>
  <c r="AC47" i="10" s="1"/>
  <c r="Z25" i="10"/>
  <c r="AA25" i="10" s="1"/>
  <c r="H25" i="5" s="1"/>
  <c r="I25" i="5" s="1"/>
  <c r="Z176" i="10"/>
  <c r="AA176" i="10" s="1"/>
  <c r="H176" i="5" s="1"/>
  <c r="Z60" i="10"/>
  <c r="AA60" i="10" s="1"/>
  <c r="H60" i="5" s="1"/>
  <c r="I60" i="5" s="1"/>
  <c r="Z43" i="10"/>
  <c r="AA43" i="10" s="1"/>
  <c r="H43" i="5" s="1"/>
  <c r="I43" i="5" s="1"/>
  <c r="Z36" i="10"/>
  <c r="AA36" i="10" s="1"/>
  <c r="AC36" i="10" s="1"/>
  <c r="Z59" i="10"/>
  <c r="AA59" i="10" s="1"/>
  <c r="AC59" i="10" s="1"/>
  <c r="Z148" i="10"/>
  <c r="AA148" i="10" s="1"/>
  <c r="P87" i="10"/>
  <c r="Z87" i="10" s="1"/>
  <c r="AA87" i="10" s="1"/>
  <c r="AC87" i="10" s="1"/>
  <c r="Z204" i="10"/>
  <c r="AA204" i="10" s="1"/>
  <c r="H204" i="5" s="1"/>
  <c r="Z30" i="10"/>
  <c r="AA30" i="10" s="1"/>
  <c r="H30" i="5" s="1"/>
  <c r="I30" i="5" s="1"/>
  <c r="Z78" i="10"/>
  <c r="AA78" i="10" s="1"/>
  <c r="AC78" i="10" s="1"/>
  <c r="Z205" i="10"/>
  <c r="AA205" i="10" s="1"/>
  <c r="H205" i="5" s="1"/>
  <c r="Z203" i="10"/>
  <c r="AA203" i="10" s="1"/>
  <c r="J118" i="10"/>
  <c r="Z66" i="10"/>
  <c r="AA66" i="10" s="1"/>
  <c r="AC66" i="10" s="1"/>
  <c r="Z75" i="10"/>
  <c r="AA75" i="10" s="1"/>
  <c r="H75" i="5" s="1"/>
  <c r="I75" i="5" s="1"/>
  <c r="Z31" i="10"/>
  <c r="AA31" i="10" s="1"/>
  <c r="AC31" i="10" s="1"/>
  <c r="Z52" i="10"/>
  <c r="AA52" i="10" s="1"/>
  <c r="H52" i="5" s="1"/>
  <c r="I52" i="5" s="1"/>
  <c r="Z83" i="10"/>
  <c r="AA83" i="10" s="1"/>
  <c r="H83" i="5" s="1"/>
  <c r="I83" i="5" s="1"/>
  <c r="Z29" i="10"/>
  <c r="AA29" i="10" s="1"/>
  <c r="AC29" i="10" s="1"/>
  <c r="Z202" i="10"/>
  <c r="AA202" i="10" s="1"/>
  <c r="H202" i="5" s="1"/>
  <c r="Z62" i="10"/>
  <c r="AA62" i="10" s="1"/>
  <c r="H62" i="5" s="1"/>
  <c r="I62" i="5" s="1"/>
  <c r="Z58" i="10"/>
  <c r="AA58" i="10" s="1"/>
  <c r="AC58" i="10" s="1"/>
  <c r="Z39" i="10"/>
  <c r="AA39" i="10" s="1"/>
  <c r="H39" i="5" s="1"/>
  <c r="I39" i="5" s="1"/>
  <c r="Z67" i="10"/>
  <c r="AA67" i="10" s="1"/>
  <c r="H67" i="5" s="1"/>
  <c r="I67" i="5" s="1"/>
  <c r="S88" i="10"/>
  <c r="A89" i="10"/>
  <c r="I88" i="10"/>
  <c r="R88" i="10"/>
  <c r="J88" i="10"/>
  <c r="Z54" i="10"/>
  <c r="AA54" i="10" s="1"/>
  <c r="H54" i="5" s="1"/>
  <c r="I54" i="5" s="1"/>
  <c r="C27" i="10"/>
  <c r="G28" i="10"/>
  <c r="R118" i="10"/>
  <c r="S118" i="10"/>
  <c r="I118" i="10"/>
  <c r="Z68" i="10"/>
  <c r="AA68" i="10" s="1"/>
  <c r="H68" i="5" s="1"/>
  <c r="I68" i="5" s="1"/>
  <c r="Z201" i="10"/>
  <c r="AA201" i="10" s="1"/>
  <c r="Z81" i="10"/>
  <c r="AA81" i="10" s="1"/>
  <c r="AC81" i="10" s="1"/>
  <c r="AA191" i="5"/>
  <c r="AN87" i="12"/>
  <c r="AN42" i="12"/>
  <c r="F9" i="5"/>
  <c r="AN111" i="12"/>
  <c r="E159" i="13"/>
  <c r="S159" i="13" s="1"/>
  <c r="N159" i="5" s="1"/>
  <c r="S158" i="13"/>
  <c r="N158" i="5" s="1"/>
  <c r="S160" i="13"/>
  <c r="N160" i="5" s="1"/>
  <c r="E165" i="12"/>
  <c r="E165" i="13" s="1"/>
  <c r="S165" i="13" s="1"/>
  <c r="N165" i="5" s="1"/>
  <c r="AN86" i="12"/>
  <c r="C28" i="12"/>
  <c r="AN89" i="12"/>
  <c r="AM130" i="12"/>
  <c r="E161" i="13"/>
  <c r="AB161" i="13" s="1"/>
  <c r="E168" i="12"/>
  <c r="AM31" i="12"/>
  <c r="F8" i="5"/>
  <c r="AN62" i="12"/>
  <c r="AN93" i="12"/>
  <c r="F183" i="5"/>
  <c r="AA203" i="5"/>
  <c r="F205" i="5"/>
  <c r="AN122" i="12"/>
  <c r="AN112" i="12"/>
  <c r="AM98" i="12"/>
  <c r="AN98" i="12"/>
  <c r="AN103" i="12"/>
  <c r="F197" i="5"/>
  <c r="AA202" i="5"/>
  <c r="F204" i="5"/>
  <c r="AA204" i="5" s="1"/>
  <c r="AN69" i="12"/>
  <c r="AN49" i="12"/>
  <c r="AN64" i="12"/>
  <c r="F199" i="5"/>
  <c r="AN48" i="12"/>
  <c r="AM48" i="12"/>
  <c r="AN163" i="12"/>
  <c r="F178" i="5"/>
  <c r="AN167" i="12"/>
  <c r="AN55" i="12"/>
  <c r="F180" i="5"/>
  <c r="AN199" i="12"/>
  <c r="AA148" i="5"/>
  <c r="A28" i="5"/>
  <c r="B28" i="5" s="1"/>
  <c r="D29" i="5"/>
  <c r="AA188" i="5"/>
  <c r="AA179" i="5"/>
  <c r="AA194" i="5"/>
  <c r="AA192" i="5"/>
  <c r="AA200" i="5"/>
  <c r="AA196" i="5"/>
  <c r="AA184" i="5"/>
  <c r="AA169" i="5"/>
  <c r="AA165" i="5"/>
  <c r="AA161" i="5"/>
  <c r="I119" i="10"/>
  <c r="A120" i="10"/>
  <c r="J119" i="10"/>
  <c r="S119" i="10"/>
  <c r="Y119" i="10" s="1"/>
  <c r="AN197" i="12"/>
  <c r="S178" i="13"/>
  <c r="N178" i="5" s="1"/>
  <c r="S166" i="13"/>
  <c r="N166" i="5" s="1"/>
  <c r="E162" i="12"/>
  <c r="E155" i="13"/>
  <c r="AB155" i="13" s="1"/>
  <c r="AN198" i="12"/>
  <c r="AN169" i="12"/>
  <c r="AN164" i="12"/>
  <c r="AA185" i="5"/>
  <c r="AN101" i="12"/>
  <c r="AN35" i="12"/>
  <c r="AN82" i="12"/>
  <c r="AN181" i="12"/>
  <c r="AN118" i="12"/>
  <c r="AM135" i="12"/>
  <c r="AN135" i="12"/>
  <c r="AN154" i="12"/>
  <c r="AN52" i="12"/>
  <c r="S149" i="13"/>
  <c r="N149" i="5" s="1"/>
  <c r="AB149" i="13"/>
  <c r="AN100" i="12"/>
  <c r="AN67" i="12"/>
  <c r="AM123" i="12"/>
  <c r="AN123" i="12"/>
  <c r="AN143" i="12"/>
  <c r="AN37" i="12"/>
  <c r="AA193" i="5"/>
  <c r="AN191" i="12"/>
  <c r="AN160" i="12"/>
  <c r="AN40" i="12"/>
  <c r="Y178" i="10"/>
  <c r="Z178" i="10" s="1"/>
  <c r="R179" i="10"/>
  <c r="J179" i="10"/>
  <c r="S179" i="10"/>
  <c r="I179" i="10"/>
  <c r="Z74" i="10"/>
  <c r="AA74" i="10" s="1"/>
  <c r="AC74" i="10" s="1"/>
  <c r="Z73" i="10"/>
  <c r="AA73" i="10" s="1"/>
  <c r="AC73" i="10" s="1"/>
  <c r="Z177" i="10"/>
  <c r="AA177" i="10" s="1"/>
  <c r="Y149" i="10"/>
  <c r="C116" i="10"/>
  <c r="A151" i="10"/>
  <c r="A150" i="13"/>
  <c r="I150" i="10"/>
  <c r="S150" i="10"/>
  <c r="Y150" i="10" s="1"/>
  <c r="J150" i="10"/>
  <c r="N148" i="5"/>
  <c r="E29" i="9"/>
  <c r="A28" i="9"/>
  <c r="B28" i="9" s="1"/>
  <c r="A116" i="5"/>
  <c r="B116" i="5" s="1"/>
  <c r="D117" i="5"/>
  <c r="H71" i="5" l="1"/>
  <c r="I71" i="5" s="1"/>
  <c r="I56" i="5"/>
  <c r="F304" i="13"/>
  <c r="F311" i="10"/>
  <c r="F277" i="13"/>
  <c r="F284" i="10"/>
  <c r="F275" i="13"/>
  <c r="F282" i="10"/>
  <c r="F289" i="10" s="1"/>
  <c r="F271" i="13"/>
  <c r="F278" i="10"/>
  <c r="F274" i="13"/>
  <c r="F281" i="10"/>
  <c r="D278" i="5"/>
  <c r="G277" i="12"/>
  <c r="E277" i="9"/>
  <c r="Y277" i="5"/>
  <c r="G276" i="12"/>
  <c r="E276" i="9"/>
  <c r="Y276" i="5"/>
  <c r="F270" i="13"/>
  <c r="F265" i="13"/>
  <c r="F272" i="10"/>
  <c r="F268" i="13"/>
  <c r="H70" i="5"/>
  <c r="I70" i="5" s="1"/>
  <c r="H49" i="5"/>
  <c r="I49" i="5" s="1"/>
  <c r="F259" i="13"/>
  <c r="F266" i="10"/>
  <c r="AC28" i="10"/>
  <c r="AC42" i="10"/>
  <c r="AC51" i="10"/>
  <c r="Z149" i="10"/>
  <c r="AA149" i="10" s="1"/>
  <c r="AC149" i="10" s="1"/>
  <c r="C28" i="13"/>
  <c r="H86" i="5"/>
  <c r="AC41" i="10"/>
  <c r="H50" i="5"/>
  <c r="I50" i="5" s="1"/>
  <c r="H72" i="5"/>
  <c r="I72" i="5" s="1"/>
  <c r="H37" i="5"/>
  <c r="I37" i="5" s="1"/>
  <c r="G222" i="10"/>
  <c r="G221" i="13"/>
  <c r="D221" i="13" s="1"/>
  <c r="AC63" i="10"/>
  <c r="H26" i="5"/>
  <c r="I26" i="5" s="1"/>
  <c r="AC57" i="10"/>
  <c r="AC61" i="10"/>
  <c r="G29" i="13"/>
  <c r="AC65" i="10"/>
  <c r="AC80" i="10"/>
  <c r="H48" i="5"/>
  <c r="I48" i="5" s="1"/>
  <c r="H45" i="5"/>
  <c r="I45" i="5" s="1"/>
  <c r="AA178" i="10"/>
  <c r="H55" i="5"/>
  <c r="I55" i="5" s="1"/>
  <c r="H69" i="5"/>
  <c r="I69" i="5" s="1"/>
  <c r="AC64" i="10"/>
  <c r="H36" i="5"/>
  <c r="I36" i="5" s="1"/>
  <c r="AC76" i="10"/>
  <c r="AC34" i="10"/>
  <c r="C29" i="12"/>
  <c r="AC38" i="10"/>
  <c r="AC77" i="10"/>
  <c r="AC84" i="10"/>
  <c r="H85" i="5"/>
  <c r="I85" i="5" s="1"/>
  <c r="AC82" i="10"/>
  <c r="AC53" i="10"/>
  <c r="H148" i="5"/>
  <c r="AC148" i="10"/>
  <c r="H47" i="5"/>
  <c r="I47" i="5" s="1"/>
  <c r="H58" i="5"/>
  <c r="AC25" i="10"/>
  <c r="AC79" i="10"/>
  <c r="AC33" i="10"/>
  <c r="AC75" i="10"/>
  <c r="D28" i="10"/>
  <c r="D28" i="12"/>
  <c r="H35" i="5"/>
  <c r="I35" i="5" s="1"/>
  <c r="F174" i="5"/>
  <c r="AA174" i="5" s="1"/>
  <c r="F176" i="5"/>
  <c r="F12" i="5" s="1"/>
  <c r="F175" i="5"/>
  <c r="AA175" i="5" s="1"/>
  <c r="F173" i="5"/>
  <c r="Z117" i="10"/>
  <c r="AA117" i="10" s="1"/>
  <c r="H117" i="5" s="1"/>
  <c r="P118" i="10"/>
  <c r="AC44" i="10"/>
  <c r="H27" i="5"/>
  <c r="I27" i="5" s="1"/>
  <c r="AC60" i="10"/>
  <c r="AC40" i="10"/>
  <c r="H66" i="5"/>
  <c r="I66" i="5" s="1"/>
  <c r="F10" i="5"/>
  <c r="S167" i="13"/>
  <c r="N167" i="5" s="1"/>
  <c r="AC54" i="10"/>
  <c r="H32" i="5"/>
  <c r="I32" i="5" s="1"/>
  <c r="AC62" i="10"/>
  <c r="AC56" i="10"/>
  <c r="AC46" i="10"/>
  <c r="AC43" i="10"/>
  <c r="H59" i="5"/>
  <c r="I59" i="5" s="1"/>
  <c r="H203" i="5"/>
  <c r="H29" i="5"/>
  <c r="I29" i="5" s="1"/>
  <c r="AC52" i="10"/>
  <c r="Y118" i="10"/>
  <c r="H31" i="5"/>
  <c r="I31" i="5" s="1"/>
  <c r="AC67" i="10"/>
  <c r="H78" i="5"/>
  <c r="I78" i="5" s="1"/>
  <c r="P119" i="10"/>
  <c r="Z119" i="10" s="1"/>
  <c r="AA119" i="10" s="1"/>
  <c r="AC30" i="10"/>
  <c r="AC39" i="10"/>
  <c r="H87" i="5"/>
  <c r="I87" i="5" s="1"/>
  <c r="AC83" i="10"/>
  <c r="P88" i="10"/>
  <c r="Y88" i="10"/>
  <c r="G29" i="10"/>
  <c r="C28" i="10"/>
  <c r="A90" i="10"/>
  <c r="S89" i="10"/>
  <c r="J89" i="10"/>
  <c r="I89" i="10"/>
  <c r="R89" i="10"/>
  <c r="AC68" i="10"/>
  <c r="H73" i="5"/>
  <c r="I73" i="5" s="1"/>
  <c r="H81" i="5"/>
  <c r="I81" i="5" s="1"/>
  <c r="H177" i="5"/>
  <c r="H201" i="5"/>
  <c r="AB159" i="13"/>
  <c r="S161" i="13"/>
  <c r="N161" i="5" s="1"/>
  <c r="AB165" i="13"/>
  <c r="AA197" i="5"/>
  <c r="E175" i="12"/>
  <c r="E175" i="13" s="1"/>
  <c r="E168" i="13"/>
  <c r="AA180" i="5"/>
  <c r="S155" i="13"/>
  <c r="N155" i="5" s="1"/>
  <c r="AA199" i="5"/>
  <c r="AA178" i="5"/>
  <c r="AA205" i="5"/>
  <c r="AA183" i="5"/>
  <c r="A29" i="5"/>
  <c r="B29" i="5" s="1"/>
  <c r="D30" i="5"/>
  <c r="S120" i="10"/>
  <c r="A121" i="10"/>
  <c r="R120" i="10"/>
  <c r="J120" i="10"/>
  <c r="I120" i="10"/>
  <c r="AB179" i="13"/>
  <c r="S179" i="13"/>
  <c r="G31" i="12"/>
  <c r="C30" i="12"/>
  <c r="E169" i="12"/>
  <c r="E169" i="13" s="1"/>
  <c r="E162" i="13"/>
  <c r="S180" i="10"/>
  <c r="I180" i="10"/>
  <c r="J180" i="10"/>
  <c r="R180" i="10"/>
  <c r="P179" i="10"/>
  <c r="Y179" i="10"/>
  <c r="P150" i="10"/>
  <c r="Z150" i="10" s="1"/>
  <c r="AA150" i="10" s="1"/>
  <c r="AC150" i="10" s="1"/>
  <c r="H74" i="5"/>
  <c r="I74" i="5" s="1"/>
  <c r="J151" i="10"/>
  <c r="A151" i="13"/>
  <c r="R151" i="10"/>
  <c r="A152" i="10"/>
  <c r="S151" i="10"/>
  <c r="I151" i="10"/>
  <c r="E30" i="9"/>
  <c r="A29" i="9"/>
  <c r="B29" i="9" s="1"/>
  <c r="A117" i="5"/>
  <c r="B117" i="5" s="1"/>
  <c r="D118" i="5"/>
  <c r="Y117" i="5"/>
  <c r="I86" i="5" l="1"/>
  <c r="I58" i="5"/>
  <c r="I8" i="5" s="1"/>
  <c r="H8" i="5"/>
  <c r="I117" i="5"/>
  <c r="F311" i="13"/>
  <c r="F318" i="10"/>
  <c r="F289" i="13"/>
  <c r="F296" i="10"/>
  <c r="F284" i="13"/>
  <c r="F291" i="10"/>
  <c r="F281" i="13"/>
  <c r="F288" i="10"/>
  <c r="F295" i="10" s="1"/>
  <c r="F302" i="10" s="1"/>
  <c r="F309" i="10" s="1"/>
  <c r="F316" i="10" s="1"/>
  <c r="F323" i="10" s="1"/>
  <c r="F278" i="13"/>
  <c r="F285" i="10"/>
  <c r="F282" i="13"/>
  <c r="F272" i="13"/>
  <c r="F279" i="10"/>
  <c r="E278" i="9"/>
  <c r="G278" i="12"/>
  <c r="Y278" i="5"/>
  <c r="D279" i="5"/>
  <c r="Y279" i="5" s="1"/>
  <c r="F266" i="13"/>
  <c r="F273" i="10"/>
  <c r="H149" i="5"/>
  <c r="I149" i="5" s="1"/>
  <c r="C29" i="13"/>
  <c r="G223" i="10"/>
  <c r="G222" i="13"/>
  <c r="D222" i="13" s="1"/>
  <c r="G30" i="13"/>
  <c r="G31" i="13" s="1"/>
  <c r="G32" i="13" s="1"/>
  <c r="D29" i="13"/>
  <c r="H178" i="5"/>
  <c r="I148" i="5"/>
  <c r="AC117" i="10"/>
  <c r="D29" i="12"/>
  <c r="D29" i="10"/>
  <c r="AA173" i="5"/>
  <c r="AA176" i="5"/>
  <c r="F11" i="5"/>
  <c r="N179" i="5"/>
  <c r="Z118" i="10"/>
  <c r="AA118" i="10" s="1"/>
  <c r="AC118" i="10" s="1"/>
  <c r="Z88" i="10"/>
  <c r="AA88" i="10" s="1"/>
  <c r="AC88" i="10" s="1"/>
  <c r="Y120" i="10"/>
  <c r="Y89" i="10"/>
  <c r="P89" i="10"/>
  <c r="P180" i="10"/>
  <c r="A91" i="10"/>
  <c r="R90" i="10"/>
  <c r="J90" i="10"/>
  <c r="I90" i="10"/>
  <c r="S90" i="10"/>
  <c r="G30" i="10"/>
  <c r="C29" i="10"/>
  <c r="S168" i="13"/>
  <c r="N168" i="5" s="1"/>
  <c r="AB168" i="13"/>
  <c r="S175" i="13"/>
  <c r="AB175" i="13"/>
  <c r="A30" i="5"/>
  <c r="B30" i="5" s="1"/>
  <c r="D31" i="5"/>
  <c r="AC119" i="10"/>
  <c r="H119" i="5"/>
  <c r="I119" i="5" s="1"/>
  <c r="J121" i="10"/>
  <c r="R121" i="10"/>
  <c r="S121" i="10"/>
  <c r="I121" i="10"/>
  <c r="A122" i="10"/>
  <c r="P120" i="10"/>
  <c r="AB180" i="13"/>
  <c r="S180" i="13"/>
  <c r="N180" i="5" s="1"/>
  <c r="G32" i="12"/>
  <c r="C31" i="12"/>
  <c r="S162" i="13"/>
  <c r="AB162" i="13"/>
  <c r="AB169" i="13"/>
  <c r="S169" i="13"/>
  <c r="N169" i="5" s="1"/>
  <c r="Y180" i="10"/>
  <c r="S181" i="10"/>
  <c r="I181" i="10"/>
  <c r="R181" i="10"/>
  <c r="J181" i="10"/>
  <c r="Z179" i="10"/>
  <c r="AA179" i="10" s="1"/>
  <c r="H179" i="5" s="1"/>
  <c r="H150" i="5"/>
  <c r="I150" i="5" s="1"/>
  <c r="P151" i="10"/>
  <c r="I152" i="10"/>
  <c r="S152" i="10"/>
  <c r="A152" i="13"/>
  <c r="A153" i="10"/>
  <c r="R152" i="10"/>
  <c r="J152" i="10"/>
  <c r="Y151" i="10"/>
  <c r="E31" i="9"/>
  <c r="A30" i="9"/>
  <c r="B30" i="9" s="1"/>
  <c r="A118" i="5"/>
  <c r="B118" i="5" s="1"/>
  <c r="D119" i="5"/>
  <c r="Y118" i="5"/>
  <c r="F323" i="13" l="1"/>
  <c r="F330" i="10"/>
  <c r="F337" i="10" s="1"/>
  <c r="F318" i="13"/>
  <c r="F325" i="10"/>
  <c r="F316" i="13"/>
  <c r="F309" i="13"/>
  <c r="F302" i="13"/>
  <c r="F296" i="13"/>
  <c r="F303" i="10"/>
  <c r="F291" i="13"/>
  <c r="F298" i="10"/>
  <c r="F295" i="13"/>
  <c r="F288" i="13"/>
  <c r="F285" i="13"/>
  <c r="F292" i="10"/>
  <c r="F279" i="13"/>
  <c r="F286" i="10"/>
  <c r="F273" i="13"/>
  <c r="F280" i="10"/>
  <c r="G279" i="12"/>
  <c r="E279" i="9"/>
  <c r="D280" i="5"/>
  <c r="Y280" i="5" s="1"/>
  <c r="D31" i="13"/>
  <c r="C31" i="13"/>
  <c r="G224" i="10"/>
  <c r="G223" i="13"/>
  <c r="D223" i="13" s="1"/>
  <c r="D30" i="13"/>
  <c r="C30" i="13"/>
  <c r="H118" i="5"/>
  <c r="D30" i="12"/>
  <c r="D30" i="10"/>
  <c r="N175" i="5"/>
  <c r="Z120" i="10"/>
  <c r="AA120" i="10" s="1"/>
  <c r="H120" i="5" s="1"/>
  <c r="I120" i="5" s="1"/>
  <c r="Z89" i="10"/>
  <c r="AA89" i="10" s="1"/>
  <c r="AC89" i="10" s="1"/>
  <c r="H88" i="5"/>
  <c r="P90" i="10"/>
  <c r="Y90" i="10"/>
  <c r="C30" i="10"/>
  <c r="G31" i="10"/>
  <c r="A92" i="10"/>
  <c r="R91" i="10"/>
  <c r="I91" i="10"/>
  <c r="J91" i="10"/>
  <c r="S91" i="10"/>
  <c r="A31" i="5"/>
  <c r="B31" i="5" s="1"/>
  <c r="D32" i="5"/>
  <c r="J122" i="10"/>
  <c r="R122" i="10"/>
  <c r="I122" i="10"/>
  <c r="S122" i="10"/>
  <c r="A123" i="10"/>
  <c r="P121" i="10"/>
  <c r="Y121" i="10"/>
  <c r="D32" i="13"/>
  <c r="C32" i="13"/>
  <c r="G33" i="13"/>
  <c r="AB181" i="13"/>
  <c r="S181" i="13"/>
  <c r="N181" i="5" s="1"/>
  <c r="N162" i="5"/>
  <c r="G33" i="12"/>
  <c r="C32" i="12"/>
  <c r="P181" i="10"/>
  <c r="Z180" i="10"/>
  <c r="AA180" i="10" s="1"/>
  <c r="H180" i="5" s="1"/>
  <c r="S182" i="10"/>
  <c r="R182" i="10"/>
  <c r="I182" i="10"/>
  <c r="J182" i="10"/>
  <c r="Y181" i="10"/>
  <c r="Y152" i="10"/>
  <c r="Z151" i="10"/>
  <c r="AA151" i="10" s="1"/>
  <c r="H151" i="5" s="1"/>
  <c r="I151" i="5" s="1"/>
  <c r="P152" i="10"/>
  <c r="A153" i="13"/>
  <c r="S153" i="10"/>
  <c r="A154" i="10"/>
  <c r="I153" i="10"/>
  <c r="J153" i="10"/>
  <c r="R153" i="10"/>
  <c r="E32" i="9"/>
  <c r="A31" i="9"/>
  <c r="B31" i="9" s="1"/>
  <c r="D120" i="5"/>
  <c r="A119" i="5"/>
  <c r="B119" i="5" s="1"/>
  <c r="Y119" i="5"/>
  <c r="F344" i="10" l="1"/>
  <c r="F351" i="10" s="1"/>
  <c r="F358" i="10" s="1"/>
  <c r="F337" i="13"/>
  <c r="I118" i="5"/>
  <c r="I88" i="5"/>
  <c r="F330" i="13"/>
  <c r="F325" i="13"/>
  <c r="F332" i="10"/>
  <c r="F303" i="13"/>
  <c r="F310" i="10"/>
  <c r="F298" i="13"/>
  <c r="F305" i="10"/>
  <c r="F292" i="13"/>
  <c r="F299" i="10"/>
  <c r="F286" i="13"/>
  <c r="F293" i="10"/>
  <c r="F280" i="13"/>
  <c r="F287" i="10"/>
  <c r="E280" i="9"/>
  <c r="G280" i="12"/>
  <c r="D281" i="5"/>
  <c r="Y281" i="5" s="1"/>
  <c r="G225" i="10"/>
  <c r="G224" i="13"/>
  <c r="D224" i="13" s="1"/>
  <c r="D31" i="12"/>
  <c r="D31" i="10"/>
  <c r="AC120" i="10"/>
  <c r="H89" i="5"/>
  <c r="Z90" i="10"/>
  <c r="AA90" i="10" s="1"/>
  <c r="H90" i="5" s="1"/>
  <c r="I90" i="5" s="1"/>
  <c r="Y122" i="10"/>
  <c r="P91" i="10"/>
  <c r="Y91" i="10"/>
  <c r="A93" i="10"/>
  <c r="S92" i="10"/>
  <c r="J92" i="10"/>
  <c r="R92" i="10"/>
  <c r="I92" i="10"/>
  <c r="G32" i="10"/>
  <c r="C31" i="10"/>
  <c r="Z121" i="10"/>
  <c r="AA121" i="10" s="1"/>
  <c r="H121" i="5" s="1"/>
  <c r="Z152" i="10"/>
  <c r="AA152" i="10" s="1"/>
  <c r="AC152" i="10" s="1"/>
  <c r="D33" i="5"/>
  <c r="A32" i="5"/>
  <c r="B32" i="5" s="1"/>
  <c r="G34" i="13"/>
  <c r="D33" i="13"/>
  <c r="C33" i="13"/>
  <c r="I123" i="10"/>
  <c r="R123" i="10"/>
  <c r="A124" i="10"/>
  <c r="S123" i="10"/>
  <c r="J123" i="10"/>
  <c r="P122" i="10"/>
  <c r="S182" i="13"/>
  <c r="N182" i="5" s="1"/>
  <c r="AB182" i="13"/>
  <c r="C33" i="12"/>
  <c r="G34" i="12"/>
  <c r="Z181" i="10"/>
  <c r="AA181" i="10" s="1"/>
  <c r="H181" i="5" s="1"/>
  <c r="P182" i="10"/>
  <c r="J183" i="10"/>
  <c r="S183" i="10"/>
  <c r="I183" i="10"/>
  <c r="R183" i="10"/>
  <c r="Y182" i="10"/>
  <c r="AC151" i="10"/>
  <c r="P153" i="10"/>
  <c r="J154" i="10"/>
  <c r="A154" i="13"/>
  <c r="A155" i="10"/>
  <c r="S154" i="10"/>
  <c r="I154" i="10"/>
  <c r="R154" i="10"/>
  <c r="Y153" i="10"/>
  <c r="A32" i="9"/>
  <c r="B32" i="9" s="1"/>
  <c r="E33" i="9"/>
  <c r="A120" i="5"/>
  <c r="B120" i="5" s="1"/>
  <c r="Y120" i="5"/>
  <c r="D121" i="5"/>
  <c r="F358" i="13" l="1"/>
  <c r="F365" i="10"/>
  <c r="F351" i="13"/>
  <c r="F344" i="13"/>
  <c r="F332" i="13"/>
  <c r="F339" i="10"/>
  <c r="I89" i="5"/>
  <c r="I121" i="5"/>
  <c r="F310" i="13"/>
  <c r="F317" i="10"/>
  <c r="F305" i="13"/>
  <c r="F312" i="10"/>
  <c r="F299" i="13"/>
  <c r="F306" i="10"/>
  <c r="F293" i="13"/>
  <c r="F300" i="10"/>
  <c r="F287" i="13"/>
  <c r="F294" i="10"/>
  <c r="E281" i="9"/>
  <c r="G281" i="12"/>
  <c r="D282" i="5"/>
  <c r="G226" i="10"/>
  <c r="G227" i="10" s="1"/>
  <c r="G225" i="13"/>
  <c r="D225" i="13" s="1"/>
  <c r="P183" i="10"/>
  <c r="AC90" i="10"/>
  <c r="D32" i="12"/>
  <c r="D32" i="10"/>
  <c r="Z122" i="10"/>
  <c r="AA122" i="10" s="1"/>
  <c r="H122" i="5" s="1"/>
  <c r="Z91" i="10"/>
  <c r="AA91" i="10" s="1"/>
  <c r="H91" i="5" s="1"/>
  <c r="P123" i="10"/>
  <c r="S93" i="10"/>
  <c r="R93" i="10"/>
  <c r="J93" i="10"/>
  <c r="A94" i="10"/>
  <c r="I93" i="10"/>
  <c r="G33" i="10"/>
  <c r="C32" i="10"/>
  <c r="P92" i="10"/>
  <c r="Y123" i="10"/>
  <c r="Y92" i="10"/>
  <c r="AC121" i="10"/>
  <c r="H152" i="5"/>
  <c r="I152" i="5" s="1"/>
  <c r="Z153" i="10"/>
  <c r="AA153" i="10" s="1"/>
  <c r="H153" i="5" s="1"/>
  <c r="I153" i="5" s="1"/>
  <c r="D34" i="5"/>
  <c r="A33" i="5"/>
  <c r="B33" i="5" s="1"/>
  <c r="S124" i="10"/>
  <c r="J124" i="10"/>
  <c r="A125" i="10"/>
  <c r="I124" i="10"/>
  <c r="R124" i="10"/>
  <c r="C34" i="13"/>
  <c r="G35" i="13"/>
  <c r="D34" i="13"/>
  <c r="AB183" i="13"/>
  <c r="S183" i="13"/>
  <c r="N183" i="5" s="1"/>
  <c r="C34" i="12"/>
  <c r="G35" i="12"/>
  <c r="Z182" i="10"/>
  <c r="AA182" i="10" s="1"/>
  <c r="H182" i="5" s="1"/>
  <c r="Y183" i="10"/>
  <c r="R184" i="10"/>
  <c r="S184" i="10"/>
  <c r="I184" i="10"/>
  <c r="J184" i="10"/>
  <c r="Y154" i="10"/>
  <c r="P154" i="10"/>
  <c r="A155" i="13"/>
  <c r="S155" i="10"/>
  <c r="R155" i="10"/>
  <c r="A156" i="10"/>
  <c r="I155" i="10"/>
  <c r="J155" i="10"/>
  <c r="E34" i="9"/>
  <c r="A33" i="9"/>
  <c r="B33" i="9" s="1"/>
  <c r="Y121" i="5"/>
  <c r="D122" i="5"/>
  <c r="A121" i="5"/>
  <c r="B121" i="5" s="1"/>
  <c r="F365" i="13" l="1"/>
  <c r="F372" i="10"/>
  <c r="F379" i="10" s="1"/>
  <c r="F386" i="10" s="1"/>
  <c r="F339" i="13"/>
  <c r="F346" i="10"/>
  <c r="I122" i="5"/>
  <c r="I91" i="5"/>
  <c r="F317" i="13"/>
  <c r="F324" i="10"/>
  <c r="F312" i="13"/>
  <c r="F319" i="10"/>
  <c r="F306" i="13"/>
  <c r="F313" i="10"/>
  <c r="F300" i="13"/>
  <c r="F307" i="10"/>
  <c r="F294" i="13"/>
  <c r="F301" i="10"/>
  <c r="Y282" i="5"/>
  <c r="D283" i="5"/>
  <c r="E282" i="9"/>
  <c r="G282" i="12"/>
  <c r="G227" i="13"/>
  <c r="D227" i="13" s="1"/>
  <c r="G228" i="10"/>
  <c r="G226" i="13"/>
  <c r="D226" i="13" s="1"/>
  <c r="Z183" i="10"/>
  <c r="AA183" i="10" s="1"/>
  <c r="H183" i="5" s="1"/>
  <c r="D33" i="12"/>
  <c r="D33" i="10"/>
  <c r="AC122" i="10"/>
  <c r="Y124" i="10"/>
  <c r="Y93" i="10"/>
  <c r="Z123" i="10"/>
  <c r="AA123" i="10" s="1"/>
  <c r="H123" i="5" s="1"/>
  <c r="AC91" i="10"/>
  <c r="AC153" i="10"/>
  <c r="Z92" i="10"/>
  <c r="AA92" i="10" s="1"/>
  <c r="P184" i="10"/>
  <c r="C33" i="10"/>
  <c r="G34" i="10"/>
  <c r="P93" i="10"/>
  <c r="I94" i="10"/>
  <c r="R94" i="10"/>
  <c r="S94" i="10"/>
  <c r="A95" i="10"/>
  <c r="J94" i="10"/>
  <c r="D35" i="5"/>
  <c r="A34" i="5"/>
  <c r="B34" i="5" s="1"/>
  <c r="P124" i="10"/>
  <c r="R125" i="10"/>
  <c r="I125" i="10"/>
  <c r="S125" i="10"/>
  <c r="J125" i="10"/>
  <c r="A126" i="10"/>
  <c r="D35" i="13"/>
  <c r="G36" i="13"/>
  <c r="C35" i="13"/>
  <c r="AB184" i="13"/>
  <c r="S184" i="13"/>
  <c r="N184" i="5" s="1"/>
  <c r="G36" i="12"/>
  <c r="C35" i="12"/>
  <c r="S185" i="10"/>
  <c r="I185" i="10"/>
  <c r="J185" i="10"/>
  <c r="R185" i="10"/>
  <c r="Y184" i="10"/>
  <c r="Z154" i="10"/>
  <c r="AA154" i="10" s="1"/>
  <c r="AC154" i="10" s="1"/>
  <c r="P155" i="10"/>
  <c r="J156" i="10"/>
  <c r="I156" i="10"/>
  <c r="S156" i="10"/>
  <c r="A156" i="13"/>
  <c r="A157" i="10"/>
  <c r="R156" i="10"/>
  <c r="Y155" i="10"/>
  <c r="E35" i="9"/>
  <c r="A34" i="9"/>
  <c r="B34" i="9" s="1"/>
  <c r="Y122" i="5"/>
  <c r="A122" i="5"/>
  <c r="B122" i="5" s="1"/>
  <c r="D123" i="5"/>
  <c r="F386" i="13" l="1"/>
  <c r="F393" i="10"/>
  <c r="F393" i="13" s="1"/>
  <c r="F379" i="13"/>
  <c r="F372" i="13"/>
  <c r="F346" i="13"/>
  <c r="F353" i="10"/>
  <c r="I123" i="5"/>
  <c r="F324" i="13"/>
  <c r="F331" i="10"/>
  <c r="F319" i="13"/>
  <c r="F326" i="10"/>
  <c r="F313" i="13"/>
  <c r="F320" i="10"/>
  <c r="F307" i="13"/>
  <c r="F314" i="10"/>
  <c r="F301" i="13"/>
  <c r="F308" i="10"/>
  <c r="D284" i="5"/>
  <c r="Y283" i="5"/>
  <c r="G283" i="12"/>
  <c r="E283" i="9"/>
  <c r="G229" i="10"/>
  <c r="G228" i="13"/>
  <c r="D228" i="13" s="1"/>
  <c r="Z93" i="10"/>
  <c r="AA93" i="10" s="1"/>
  <c r="H93" i="5" s="1"/>
  <c r="I93" i="5" s="1"/>
  <c r="D34" i="12"/>
  <c r="D34" i="10"/>
  <c r="AC123" i="10"/>
  <c r="Z124" i="10"/>
  <c r="AA124" i="10" s="1"/>
  <c r="H124" i="5" s="1"/>
  <c r="P94" i="10"/>
  <c r="P156" i="10"/>
  <c r="A96" i="10"/>
  <c r="J95" i="10"/>
  <c r="R95" i="10"/>
  <c r="I95" i="10"/>
  <c r="S95" i="10"/>
  <c r="AC92" i="10"/>
  <c r="H92" i="5"/>
  <c r="Y94" i="10"/>
  <c r="Z184" i="10"/>
  <c r="AA184" i="10" s="1"/>
  <c r="H184" i="5" s="1"/>
  <c r="C34" i="10"/>
  <c r="G35" i="10"/>
  <c r="H154" i="5"/>
  <c r="I154" i="5" s="1"/>
  <c r="D36" i="5"/>
  <c r="A35" i="5"/>
  <c r="B35" i="5" s="1"/>
  <c r="D36" i="13"/>
  <c r="G37" i="13"/>
  <c r="C36" i="13"/>
  <c r="S126" i="10"/>
  <c r="I126" i="10"/>
  <c r="R126" i="10"/>
  <c r="J126" i="10"/>
  <c r="A127" i="10"/>
  <c r="P125" i="10"/>
  <c r="Y125" i="10"/>
  <c r="AB185" i="13"/>
  <c r="S185" i="13"/>
  <c r="N185" i="5" s="1"/>
  <c r="G37" i="12"/>
  <c r="C36" i="12"/>
  <c r="R186" i="10"/>
  <c r="I186" i="10"/>
  <c r="S186" i="10"/>
  <c r="J186" i="10"/>
  <c r="Y185" i="10"/>
  <c r="P185" i="10"/>
  <c r="Z155" i="10"/>
  <c r="AA155" i="10" s="1"/>
  <c r="Y156" i="10"/>
  <c r="A158" i="10"/>
  <c r="A157" i="13"/>
  <c r="R157" i="10"/>
  <c r="J157" i="10"/>
  <c r="I157" i="10"/>
  <c r="S157" i="10"/>
  <c r="E36" i="9"/>
  <c r="A35" i="9"/>
  <c r="B35" i="9" s="1"/>
  <c r="Y123" i="5"/>
  <c r="A123" i="5"/>
  <c r="B123" i="5" s="1"/>
  <c r="D124" i="5"/>
  <c r="F400" i="10" l="1"/>
  <c r="F353" i="13"/>
  <c r="F360" i="10"/>
  <c r="F367" i="10" s="1"/>
  <c r="F331" i="13"/>
  <c r="F338" i="10"/>
  <c r="F345" i="10" s="1"/>
  <c r="I124" i="5"/>
  <c r="I92" i="5"/>
  <c r="F326" i="13"/>
  <c r="F333" i="10"/>
  <c r="F320" i="13"/>
  <c r="F327" i="10"/>
  <c r="F314" i="13"/>
  <c r="F321" i="10"/>
  <c r="F308" i="13"/>
  <c r="F315" i="10"/>
  <c r="Y284" i="5"/>
  <c r="G284" i="12"/>
  <c r="D285" i="5"/>
  <c r="E284" i="9"/>
  <c r="G230" i="10"/>
  <c r="G229" i="13"/>
  <c r="D229" i="13" s="1"/>
  <c r="AC93" i="10"/>
  <c r="D35" i="10"/>
  <c r="D35" i="12"/>
  <c r="AC124" i="10"/>
  <c r="P157" i="10"/>
  <c r="Z94" i="10"/>
  <c r="AA94" i="10" s="1"/>
  <c r="AC94" i="10" s="1"/>
  <c r="Z156" i="10"/>
  <c r="AA156" i="10" s="1"/>
  <c r="AC156" i="10" s="1"/>
  <c r="Y95" i="10"/>
  <c r="Y126" i="10"/>
  <c r="A97" i="10"/>
  <c r="I96" i="10"/>
  <c r="S96" i="10"/>
  <c r="R96" i="10"/>
  <c r="J96" i="10"/>
  <c r="G36" i="10"/>
  <c r="C35" i="10"/>
  <c r="P95" i="10"/>
  <c r="A36" i="5"/>
  <c r="B36" i="5" s="1"/>
  <c r="D37" i="5"/>
  <c r="Z125" i="10"/>
  <c r="AA125" i="10" s="1"/>
  <c r="S127" i="10"/>
  <c r="A128" i="10"/>
  <c r="R127" i="10"/>
  <c r="J127" i="10"/>
  <c r="I127" i="10"/>
  <c r="D37" i="13"/>
  <c r="C37" i="13"/>
  <c r="G38" i="13"/>
  <c r="P126" i="10"/>
  <c r="AB186" i="13"/>
  <c r="S186" i="13"/>
  <c r="N186" i="5" s="1"/>
  <c r="C37" i="12"/>
  <c r="G38" i="12"/>
  <c r="P186" i="10"/>
  <c r="Y186" i="10"/>
  <c r="S187" i="10"/>
  <c r="I187" i="10"/>
  <c r="J187" i="10"/>
  <c r="R187" i="10"/>
  <c r="Z185" i="10"/>
  <c r="AA185" i="10" s="1"/>
  <c r="H185" i="5" s="1"/>
  <c r="Y157" i="10"/>
  <c r="AC155" i="10"/>
  <c r="H155" i="5"/>
  <c r="I155" i="5" s="1"/>
  <c r="A159" i="10"/>
  <c r="I158" i="10"/>
  <c r="S158" i="10"/>
  <c r="A158" i="13"/>
  <c r="J158" i="10"/>
  <c r="R158" i="10"/>
  <c r="E37" i="9"/>
  <c r="A36" i="9"/>
  <c r="B36" i="9" s="1"/>
  <c r="D125" i="5"/>
  <c r="A124" i="5"/>
  <c r="B124" i="5" s="1"/>
  <c r="Y124" i="5"/>
  <c r="F400" i="13" l="1"/>
  <c r="F367" i="13"/>
  <c r="F374" i="10"/>
  <c r="F360" i="13"/>
  <c r="F345" i="13"/>
  <c r="F352" i="10"/>
  <c r="F338" i="13"/>
  <c r="F333" i="13"/>
  <c r="F340" i="10"/>
  <c r="F327" i="13"/>
  <c r="F334" i="10"/>
  <c r="F321" i="13"/>
  <c r="F328" i="10"/>
  <c r="F315" i="13"/>
  <c r="F322" i="10"/>
  <c r="Y285" i="5"/>
  <c r="G285" i="12"/>
  <c r="D286" i="5"/>
  <c r="E285" i="9"/>
  <c r="G231" i="10"/>
  <c r="G232" i="10" s="1"/>
  <c r="G230" i="13"/>
  <c r="D230" i="13" s="1"/>
  <c r="D36" i="10"/>
  <c r="D36" i="12"/>
  <c r="H156" i="5"/>
  <c r="I156" i="5" s="1"/>
  <c r="P127" i="10"/>
  <c r="Z126" i="10"/>
  <c r="AA126" i="10" s="1"/>
  <c r="H126" i="5" s="1"/>
  <c r="I126" i="5" s="1"/>
  <c r="H94" i="5"/>
  <c r="Z157" i="10"/>
  <c r="AA157" i="10" s="1"/>
  <c r="AC157" i="10" s="1"/>
  <c r="Y96" i="10"/>
  <c r="Z95" i="10"/>
  <c r="AA95" i="10" s="1"/>
  <c r="AC95" i="10" s="1"/>
  <c r="P158" i="10"/>
  <c r="R97" i="10"/>
  <c r="I97" i="10"/>
  <c r="J97" i="10"/>
  <c r="A98" i="10"/>
  <c r="S97" i="10"/>
  <c r="G37" i="10"/>
  <c r="C36" i="10"/>
  <c r="P96" i="10"/>
  <c r="D38" i="5"/>
  <c r="A37" i="5"/>
  <c r="B37" i="5" s="1"/>
  <c r="D38" i="13"/>
  <c r="C38" i="13"/>
  <c r="G39" i="13"/>
  <c r="AC125" i="10"/>
  <c r="H125" i="5"/>
  <c r="Y127" i="10"/>
  <c r="S128" i="10"/>
  <c r="R128" i="10"/>
  <c r="J128" i="10"/>
  <c r="A129" i="10"/>
  <c r="I128" i="10"/>
  <c r="AB187" i="13"/>
  <c r="S187" i="13"/>
  <c r="N187" i="5" s="1"/>
  <c r="G39" i="12"/>
  <c r="C38" i="12"/>
  <c r="Z186" i="10"/>
  <c r="AA186" i="10" s="1"/>
  <c r="H186" i="5" s="1"/>
  <c r="P187" i="10"/>
  <c r="Y187" i="10"/>
  <c r="R188" i="10"/>
  <c r="S188" i="10"/>
  <c r="I188" i="10"/>
  <c r="J188" i="10"/>
  <c r="A159" i="13"/>
  <c r="A160" i="10"/>
  <c r="S159" i="10"/>
  <c r="I159" i="10"/>
  <c r="R159" i="10"/>
  <c r="J159" i="10"/>
  <c r="Y158" i="10"/>
  <c r="A37" i="9"/>
  <c r="B37" i="9" s="1"/>
  <c r="E38" i="9"/>
  <c r="A125" i="5"/>
  <c r="B125" i="5" s="1"/>
  <c r="Y125" i="5"/>
  <c r="D126" i="5"/>
  <c r="F374" i="13" l="1"/>
  <c r="F381" i="10"/>
  <c r="F352" i="13"/>
  <c r="F359" i="10"/>
  <c r="F340" i="13"/>
  <c r="F347" i="10"/>
  <c r="F334" i="13"/>
  <c r="F341" i="10"/>
  <c r="I94" i="5"/>
  <c r="I125" i="5"/>
  <c r="F328" i="13"/>
  <c r="F335" i="10"/>
  <c r="F322" i="13"/>
  <c r="F329" i="10"/>
  <c r="Y286" i="5"/>
  <c r="G286" i="12"/>
  <c r="E286" i="9"/>
  <c r="D287" i="5"/>
  <c r="G233" i="10"/>
  <c r="G232" i="13"/>
  <c r="D232" i="13" s="1"/>
  <c r="G231" i="13"/>
  <c r="D231" i="13" s="1"/>
  <c r="H157" i="5"/>
  <c r="I157" i="5" s="1"/>
  <c r="D37" i="12"/>
  <c r="D37" i="10"/>
  <c r="Z158" i="10"/>
  <c r="AA158" i="10" s="1"/>
  <c r="AC158" i="10" s="1"/>
  <c r="Z127" i="10"/>
  <c r="AA127" i="10" s="1"/>
  <c r="AC127" i="10" s="1"/>
  <c r="AC126" i="10"/>
  <c r="Z96" i="10"/>
  <c r="AA96" i="10" s="1"/>
  <c r="AC96" i="10" s="1"/>
  <c r="H95" i="5"/>
  <c r="Y128" i="10"/>
  <c r="Y97" i="10"/>
  <c r="G38" i="10"/>
  <c r="C37" i="10"/>
  <c r="S98" i="10"/>
  <c r="J98" i="10"/>
  <c r="I98" i="10"/>
  <c r="R98" i="10"/>
  <c r="A99" i="10"/>
  <c r="P97" i="10"/>
  <c r="A38" i="5"/>
  <c r="B38" i="5" s="1"/>
  <c r="D39" i="5"/>
  <c r="P128" i="10"/>
  <c r="I129" i="10"/>
  <c r="A130" i="10"/>
  <c r="S129" i="10"/>
  <c r="R129" i="10"/>
  <c r="J129" i="10"/>
  <c r="D39" i="13"/>
  <c r="G40" i="13"/>
  <c r="C39" i="13"/>
  <c r="AB188" i="13"/>
  <c r="S188" i="13"/>
  <c r="N188" i="5" s="1"/>
  <c r="C39" i="12"/>
  <c r="G40" i="12"/>
  <c r="Z187" i="10"/>
  <c r="AA187" i="10" s="1"/>
  <c r="H187" i="5" s="1"/>
  <c r="P188" i="10"/>
  <c r="Y188" i="10"/>
  <c r="I189" i="10"/>
  <c r="S189" i="10"/>
  <c r="R189" i="10"/>
  <c r="J189" i="10"/>
  <c r="Y159" i="10"/>
  <c r="P159" i="10"/>
  <c r="A161" i="10"/>
  <c r="S160" i="10"/>
  <c r="I160" i="10"/>
  <c r="A160" i="13"/>
  <c r="J160" i="10"/>
  <c r="R160" i="10"/>
  <c r="A38" i="9"/>
  <c r="B38" i="9" s="1"/>
  <c r="E39" i="9"/>
  <c r="A126" i="5"/>
  <c r="B126" i="5" s="1"/>
  <c r="Y126" i="5"/>
  <c r="D127" i="5"/>
  <c r="F381" i="13" l="1"/>
  <c r="F388" i="10"/>
  <c r="F395" i="10" s="1"/>
  <c r="F359" i="13"/>
  <c r="F366" i="10"/>
  <c r="F373" i="10" s="1"/>
  <c r="F347" i="13"/>
  <c r="F354" i="10"/>
  <c r="F341" i="13"/>
  <c r="F348" i="10"/>
  <c r="F335" i="13"/>
  <c r="F342" i="10"/>
  <c r="I95" i="5"/>
  <c r="F329" i="13"/>
  <c r="F336" i="10"/>
  <c r="Y287" i="5"/>
  <c r="G287" i="12"/>
  <c r="D288" i="5"/>
  <c r="D289" i="5" s="1"/>
  <c r="E287" i="9"/>
  <c r="G234" i="10"/>
  <c r="G233" i="13"/>
  <c r="D233" i="13" s="1"/>
  <c r="H158" i="5"/>
  <c r="I158" i="5" s="1"/>
  <c r="D38" i="12"/>
  <c r="D38" i="10"/>
  <c r="H127" i="5"/>
  <c r="Z128" i="10"/>
  <c r="AA128" i="10" s="1"/>
  <c r="AC128" i="10" s="1"/>
  <c r="Y129" i="10"/>
  <c r="Z97" i="10"/>
  <c r="AA97" i="10" s="1"/>
  <c r="AC97" i="10" s="1"/>
  <c r="H96" i="5"/>
  <c r="Y160" i="10"/>
  <c r="A100" i="10"/>
  <c r="J99" i="10"/>
  <c r="R99" i="10"/>
  <c r="S99" i="10"/>
  <c r="I99" i="10"/>
  <c r="Y98" i="10"/>
  <c r="P98" i="10"/>
  <c r="C38" i="10"/>
  <c r="G39" i="10"/>
  <c r="Z159" i="10"/>
  <c r="AA159" i="10" s="1"/>
  <c r="H159" i="5" s="1"/>
  <c r="I159" i="5" s="1"/>
  <c r="D40" i="5"/>
  <c r="A39" i="5"/>
  <c r="B39" i="5" s="1"/>
  <c r="P129" i="10"/>
  <c r="A131" i="10"/>
  <c r="I130" i="10"/>
  <c r="S130" i="10"/>
  <c r="J130" i="10"/>
  <c r="R130" i="10"/>
  <c r="G41" i="13"/>
  <c r="D40" i="13"/>
  <c r="C40" i="13"/>
  <c r="AB189" i="13"/>
  <c r="S189" i="13"/>
  <c r="N189" i="5" s="1"/>
  <c r="C40" i="12"/>
  <c r="G41" i="12"/>
  <c r="I190" i="10"/>
  <c r="J190" i="10"/>
  <c r="R190" i="10"/>
  <c r="S190" i="10"/>
  <c r="Y189" i="10"/>
  <c r="Z188" i="10"/>
  <c r="AA188" i="10" s="1"/>
  <c r="H188" i="5" s="1"/>
  <c r="P189" i="10"/>
  <c r="P160" i="10"/>
  <c r="R161" i="10"/>
  <c r="J161" i="10"/>
  <c r="A162" i="10"/>
  <c r="A161" i="13"/>
  <c r="S161" i="10"/>
  <c r="I161" i="10"/>
  <c r="A39" i="9"/>
  <c r="B39" i="9" s="1"/>
  <c r="E40" i="9"/>
  <c r="D128" i="5"/>
  <c r="A127" i="5"/>
  <c r="B127" i="5" s="1"/>
  <c r="Y127" i="5"/>
  <c r="F402" i="10" l="1"/>
  <c r="F402" i="13" s="1"/>
  <c r="F395" i="13"/>
  <c r="F388" i="13"/>
  <c r="F373" i="13"/>
  <c r="F380" i="10"/>
  <c r="F366" i="13"/>
  <c r="F354" i="13"/>
  <c r="F361" i="10"/>
  <c r="F348" i="13"/>
  <c r="F355" i="10"/>
  <c r="F342" i="13"/>
  <c r="F349" i="10"/>
  <c r="F336" i="13"/>
  <c r="F343" i="10"/>
  <c r="I127" i="5"/>
  <c r="I96" i="5"/>
  <c r="D290" i="5"/>
  <c r="G289" i="12"/>
  <c r="Y289" i="5"/>
  <c r="E289" i="9"/>
  <c r="Y288" i="5"/>
  <c r="G288" i="12"/>
  <c r="E288" i="9"/>
  <c r="G235" i="10"/>
  <c r="G236" i="10" s="1"/>
  <c r="G234" i="13"/>
  <c r="D234" i="13" s="1"/>
  <c r="H128" i="5"/>
  <c r="D39" i="12"/>
  <c r="D39" i="10"/>
  <c r="Z160" i="10"/>
  <c r="AA160" i="10" s="1"/>
  <c r="AC160" i="10" s="1"/>
  <c r="Z129" i="10"/>
  <c r="AA129" i="10" s="1"/>
  <c r="AC129" i="10" s="1"/>
  <c r="Z98" i="10"/>
  <c r="AA98" i="10" s="1"/>
  <c r="AC98" i="10" s="1"/>
  <c r="H97" i="5"/>
  <c r="Y99" i="10"/>
  <c r="I100" i="10"/>
  <c r="S100" i="10"/>
  <c r="R100" i="10"/>
  <c r="A101" i="10"/>
  <c r="J100" i="10"/>
  <c r="P99" i="10"/>
  <c r="G40" i="10"/>
  <c r="C39" i="10"/>
  <c r="AC159" i="10"/>
  <c r="A40" i="5"/>
  <c r="B40" i="5" s="1"/>
  <c r="D41" i="5"/>
  <c r="Y130" i="10"/>
  <c r="P130" i="10"/>
  <c r="J131" i="10"/>
  <c r="I131" i="10"/>
  <c r="A132" i="10"/>
  <c r="S131" i="10"/>
  <c r="R131" i="10"/>
  <c r="C41" i="13"/>
  <c r="D41" i="13"/>
  <c r="G42" i="13"/>
  <c r="AB190" i="13"/>
  <c r="S190" i="13"/>
  <c r="N190" i="5" s="1"/>
  <c r="G42" i="12"/>
  <c r="C41" i="12"/>
  <c r="P190" i="10"/>
  <c r="Y190" i="10"/>
  <c r="R191" i="10"/>
  <c r="I191" i="10"/>
  <c r="S191" i="10"/>
  <c r="J191" i="10"/>
  <c r="Z189" i="10"/>
  <c r="AA189" i="10" s="1"/>
  <c r="H189" i="5" s="1"/>
  <c r="Y161" i="10"/>
  <c r="P161" i="10"/>
  <c r="A163" i="10"/>
  <c r="A162" i="13"/>
  <c r="I162" i="10"/>
  <c r="J162" i="10"/>
  <c r="S162" i="10"/>
  <c r="R162" i="10"/>
  <c r="A40" i="9"/>
  <c r="B40" i="9" s="1"/>
  <c r="E41" i="9"/>
  <c r="A128" i="5"/>
  <c r="B128" i="5" s="1"/>
  <c r="D129" i="5"/>
  <c r="Y128" i="5"/>
  <c r="F380" i="13" l="1"/>
  <c r="F387" i="10"/>
  <c r="F361" i="13"/>
  <c r="F368" i="10"/>
  <c r="F355" i="13"/>
  <c r="F362" i="10"/>
  <c r="F349" i="13"/>
  <c r="F356" i="10"/>
  <c r="F343" i="13"/>
  <c r="F350" i="10"/>
  <c r="I128" i="5"/>
  <c r="I97" i="5"/>
  <c r="D291" i="5"/>
  <c r="E290" i="9"/>
  <c r="Y290" i="5"/>
  <c r="G290" i="12"/>
  <c r="G237" i="10"/>
  <c r="G236" i="13"/>
  <c r="D236" i="13" s="1"/>
  <c r="G235" i="13"/>
  <c r="D235" i="13" s="1"/>
  <c r="H98" i="5"/>
  <c r="Z99" i="10"/>
  <c r="AA99" i="10" s="1"/>
  <c r="AC99" i="10" s="1"/>
  <c r="D40" i="10"/>
  <c r="D40" i="12"/>
  <c r="H160" i="5"/>
  <c r="I160" i="5" s="1"/>
  <c r="H129" i="5"/>
  <c r="Y131" i="10"/>
  <c r="P131" i="10"/>
  <c r="Y100" i="10"/>
  <c r="Y162" i="10"/>
  <c r="P100" i="10"/>
  <c r="C40" i="10"/>
  <c r="G41" i="10"/>
  <c r="R101" i="10"/>
  <c r="A102" i="10"/>
  <c r="J101" i="10"/>
  <c r="S101" i="10"/>
  <c r="I101" i="10"/>
  <c r="Z161" i="10"/>
  <c r="AA161" i="10" s="1"/>
  <c r="H161" i="5" s="1"/>
  <c r="I161" i="5" s="1"/>
  <c r="Z130" i="10"/>
  <c r="AA130" i="10" s="1"/>
  <c r="H130" i="5" s="1"/>
  <c r="I130" i="5" s="1"/>
  <c r="D42" i="5"/>
  <c r="A41" i="5"/>
  <c r="B41" i="5" s="1"/>
  <c r="R132" i="10"/>
  <c r="J132" i="10"/>
  <c r="S132" i="10"/>
  <c r="A133" i="10"/>
  <c r="I132" i="10"/>
  <c r="D42" i="13"/>
  <c r="G43" i="13"/>
  <c r="C42" i="13"/>
  <c r="AB191" i="13"/>
  <c r="S191" i="13"/>
  <c r="N191" i="5" s="1"/>
  <c r="G43" i="12"/>
  <c r="C42" i="12"/>
  <c r="P191" i="10"/>
  <c r="I192" i="10"/>
  <c r="R192" i="10"/>
  <c r="J192" i="10"/>
  <c r="S192" i="10"/>
  <c r="Z190" i="10"/>
  <c r="AA190" i="10" s="1"/>
  <c r="H190" i="5" s="1"/>
  <c r="Y191" i="10"/>
  <c r="P162" i="10"/>
  <c r="A163" i="13"/>
  <c r="I163" i="10"/>
  <c r="J163" i="10"/>
  <c r="R163" i="10"/>
  <c r="S163" i="10"/>
  <c r="A164" i="10"/>
  <c r="A41" i="9"/>
  <c r="B41" i="9" s="1"/>
  <c r="E42" i="9"/>
  <c r="A129" i="5"/>
  <c r="B129" i="5" s="1"/>
  <c r="Y129" i="5"/>
  <c r="D130" i="5"/>
  <c r="F387" i="13" l="1"/>
  <c r="F394" i="10"/>
  <c r="F368" i="13"/>
  <c r="F375" i="10"/>
  <c r="F362" i="13"/>
  <c r="F369" i="10"/>
  <c r="F356" i="13"/>
  <c r="F363" i="10"/>
  <c r="F350" i="13"/>
  <c r="F357" i="10"/>
  <c r="I98" i="5"/>
  <c r="I129" i="5"/>
  <c r="D292" i="5"/>
  <c r="E291" i="9"/>
  <c r="Y291" i="5"/>
  <c r="G291" i="12"/>
  <c r="G238" i="10"/>
  <c r="G237" i="13"/>
  <c r="D237" i="13" s="1"/>
  <c r="C13" i="5"/>
  <c r="H99" i="5"/>
  <c r="D41" i="10"/>
  <c r="D41" i="12"/>
  <c r="P132" i="10"/>
  <c r="Z131" i="10"/>
  <c r="AA131" i="10" s="1"/>
  <c r="AC131" i="10" s="1"/>
  <c r="Z162" i="10"/>
  <c r="AA162" i="10" s="1"/>
  <c r="AC162" i="10" s="1"/>
  <c r="Z100" i="10"/>
  <c r="AA100" i="10" s="1"/>
  <c r="H100" i="5" s="1"/>
  <c r="I100" i="5" s="1"/>
  <c r="AC161" i="10"/>
  <c r="J102" i="10"/>
  <c r="A103" i="10"/>
  <c r="R102" i="10"/>
  <c r="I102" i="10"/>
  <c r="S102" i="10"/>
  <c r="Y101" i="10"/>
  <c r="P101" i="10"/>
  <c r="C41" i="10"/>
  <c r="G42" i="10"/>
  <c r="AC130" i="10"/>
  <c r="D43" i="5"/>
  <c r="A42" i="5"/>
  <c r="B42" i="5" s="1"/>
  <c r="A134" i="10"/>
  <c r="I133" i="10"/>
  <c r="J133" i="10"/>
  <c r="R133" i="10"/>
  <c r="S133" i="10"/>
  <c r="Y132" i="10"/>
  <c r="D43" i="13"/>
  <c r="C43" i="13"/>
  <c r="G44" i="13"/>
  <c r="AB192" i="13"/>
  <c r="S192" i="13"/>
  <c r="N192" i="5" s="1"/>
  <c r="C43" i="12"/>
  <c r="G44" i="12"/>
  <c r="P192" i="10"/>
  <c r="Y192" i="10"/>
  <c r="Z191" i="10"/>
  <c r="AA191" i="10" s="1"/>
  <c r="H191" i="5" s="1"/>
  <c r="R193" i="10"/>
  <c r="S193" i="10"/>
  <c r="I193" i="10"/>
  <c r="J193" i="10"/>
  <c r="Y163" i="10"/>
  <c r="A165" i="10"/>
  <c r="A164" i="13"/>
  <c r="I164" i="10"/>
  <c r="J164" i="10"/>
  <c r="S164" i="10"/>
  <c r="R164" i="10"/>
  <c r="P163" i="10"/>
  <c r="E43" i="9"/>
  <c r="A42" i="9"/>
  <c r="B42" i="9" s="1"/>
  <c r="D131" i="5"/>
  <c r="A130" i="5"/>
  <c r="B130" i="5" s="1"/>
  <c r="Y130" i="5"/>
  <c r="F394" i="13" l="1"/>
  <c r="F401" i="10"/>
  <c r="F401" i="13" s="1"/>
  <c r="F375" i="13"/>
  <c r="F382" i="10"/>
  <c r="F369" i="13"/>
  <c r="F376" i="10"/>
  <c r="F363" i="13"/>
  <c r="F370" i="10"/>
  <c r="F357" i="13"/>
  <c r="F364" i="10"/>
  <c r="I99" i="5"/>
  <c r="D293" i="5"/>
  <c r="E292" i="9"/>
  <c r="Y292" i="5"/>
  <c r="G292" i="12"/>
  <c r="G239" i="10"/>
  <c r="G238" i="13"/>
  <c r="D238" i="13" s="1"/>
  <c r="H162" i="5"/>
  <c r="I162" i="5" s="1"/>
  <c r="D42" i="12"/>
  <c r="D42" i="10"/>
  <c r="H131" i="5"/>
  <c r="Z132" i="10"/>
  <c r="AA132" i="10" s="1"/>
  <c r="H132" i="5" s="1"/>
  <c r="I132" i="5" s="1"/>
  <c r="AC100" i="10"/>
  <c r="Y133" i="10"/>
  <c r="Y102" i="10"/>
  <c r="Z101" i="10"/>
  <c r="AA101" i="10" s="1"/>
  <c r="AC101" i="10" s="1"/>
  <c r="P133" i="10"/>
  <c r="I103" i="10"/>
  <c r="S103" i="10"/>
  <c r="R103" i="10"/>
  <c r="J103" i="10"/>
  <c r="A104" i="10"/>
  <c r="C42" i="10"/>
  <c r="G43" i="10"/>
  <c r="P102" i="10"/>
  <c r="A43" i="5"/>
  <c r="B43" i="5" s="1"/>
  <c r="D44" i="5"/>
  <c r="G45" i="13"/>
  <c r="C44" i="13"/>
  <c r="D44" i="13"/>
  <c r="I134" i="10"/>
  <c r="S134" i="10"/>
  <c r="R134" i="10"/>
  <c r="A135" i="10"/>
  <c r="J134" i="10"/>
  <c r="S193" i="13"/>
  <c r="N193" i="5" s="1"/>
  <c r="AB193" i="13"/>
  <c r="G45" i="12"/>
  <c r="C44" i="12"/>
  <c r="Z192" i="10"/>
  <c r="AA192" i="10" s="1"/>
  <c r="H192" i="5" s="1"/>
  <c r="P193" i="10"/>
  <c r="S194" i="10"/>
  <c r="J194" i="10"/>
  <c r="I194" i="10"/>
  <c r="R194" i="10"/>
  <c r="Y193" i="10"/>
  <c r="Z163" i="10"/>
  <c r="AA163" i="10" s="1"/>
  <c r="H163" i="5" s="1"/>
  <c r="I163" i="5" s="1"/>
  <c r="Y164" i="10"/>
  <c r="P164" i="10"/>
  <c r="A166" i="10"/>
  <c r="A165" i="13"/>
  <c r="J165" i="10"/>
  <c r="S165" i="10"/>
  <c r="I165" i="10"/>
  <c r="R165" i="10"/>
  <c r="A43" i="9"/>
  <c r="B43" i="9" s="1"/>
  <c r="E44" i="9"/>
  <c r="Y131" i="5"/>
  <c r="A131" i="5"/>
  <c r="B131" i="5" s="1"/>
  <c r="D132" i="5"/>
  <c r="F382" i="13" l="1"/>
  <c r="F389" i="10"/>
  <c r="F376" i="13"/>
  <c r="F383" i="10"/>
  <c r="F370" i="13"/>
  <c r="F377" i="10"/>
  <c r="F364" i="13"/>
  <c r="F371" i="10"/>
  <c r="I131" i="5"/>
  <c r="D294" i="5"/>
  <c r="D295" i="5" s="1"/>
  <c r="G293" i="12"/>
  <c r="E293" i="9"/>
  <c r="Y293" i="5"/>
  <c r="G240" i="10"/>
  <c r="G239" i="13"/>
  <c r="D239" i="13" s="1"/>
  <c r="AC132" i="10"/>
  <c r="D43" i="10"/>
  <c r="D43" i="12"/>
  <c r="Y103" i="10"/>
  <c r="Z133" i="10"/>
  <c r="AA133" i="10" s="1"/>
  <c r="AC133" i="10" s="1"/>
  <c r="Z102" i="10"/>
  <c r="AA102" i="10" s="1"/>
  <c r="H102" i="5" s="1"/>
  <c r="I102" i="5" s="1"/>
  <c r="H101" i="5"/>
  <c r="C43" i="10"/>
  <c r="G44" i="10"/>
  <c r="A105" i="10"/>
  <c r="S104" i="10"/>
  <c r="I104" i="10"/>
  <c r="R104" i="10"/>
  <c r="J104" i="10"/>
  <c r="P134" i="10"/>
  <c r="Y165" i="10"/>
  <c r="P103" i="10"/>
  <c r="P165" i="10"/>
  <c r="AC163" i="10"/>
  <c r="Z164" i="10"/>
  <c r="AA164" i="10" s="1"/>
  <c r="AC164" i="10" s="1"/>
  <c r="A44" i="5"/>
  <c r="B44" i="5" s="1"/>
  <c r="D45" i="5"/>
  <c r="D45" i="13"/>
  <c r="C45" i="13"/>
  <c r="G46" i="13"/>
  <c r="A136" i="10"/>
  <c r="S135" i="10"/>
  <c r="R135" i="10"/>
  <c r="J135" i="10"/>
  <c r="I135" i="10"/>
  <c r="Y134" i="10"/>
  <c r="AB194" i="13"/>
  <c r="S194" i="13"/>
  <c r="N194" i="5" s="1"/>
  <c r="C45" i="12"/>
  <c r="G46" i="12"/>
  <c r="Z193" i="10"/>
  <c r="AA193" i="10" s="1"/>
  <c r="H193" i="5" s="1"/>
  <c r="P194" i="10"/>
  <c r="I195" i="10"/>
  <c r="J195" i="10"/>
  <c r="S195" i="10"/>
  <c r="R195" i="10"/>
  <c r="Y194" i="10"/>
  <c r="A166" i="13"/>
  <c r="S166" i="10"/>
  <c r="I166" i="10"/>
  <c r="R166" i="10"/>
  <c r="J166" i="10"/>
  <c r="A167" i="10"/>
  <c r="A44" i="9"/>
  <c r="B44" i="9" s="1"/>
  <c r="E45" i="9"/>
  <c r="A132" i="5"/>
  <c r="B132" i="5" s="1"/>
  <c r="Y132" i="5"/>
  <c r="D133" i="5"/>
  <c r="F389" i="13" l="1"/>
  <c r="F396" i="10"/>
  <c r="F383" i="13"/>
  <c r="F390" i="10"/>
  <c r="F390" i="13" s="1"/>
  <c r="F377" i="13"/>
  <c r="F384" i="10"/>
  <c r="F371" i="13"/>
  <c r="F378" i="10"/>
  <c r="I101" i="5"/>
  <c r="E295" i="9"/>
  <c r="G295" i="12"/>
  <c r="Y295" i="5"/>
  <c r="D296" i="5"/>
  <c r="D297" i="5" s="1"/>
  <c r="E294" i="9"/>
  <c r="G294" i="12"/>
  <c r="Y294" i="5"/>
  <c r="G241" i="10"/>
  <c r="G240" i="13"/>
  <c r="D240" i="13" s="1"/>
  <c r="Z103" i="10"/>
  <c r="AA103" i="10" s="1"/>
  <c r="AC103" i="10" s="1"/>
  <c r="D44" i="10"/>
  <c r="D44" i="12"/>
  <c r="AC102" i="10"/>
  <c r="H133" i="5"/>
  <c r="Y135" i="10"/>
  <c r="P104" i="10"/>
  <c r="H164" i="5"/>
  <c r="I164" i="5" s="1"/>
  <c r="Z165" i="10"/>
  <c r="AA165" i="10" s="1"/>
  <c r="AC165" i="10" s="1"/>
  <c r="Z134" i="10"/>
  <c r="AA134" i="10" s="1"/>
  <c r="AC134" i="10" s="1"/>
  <c r="Y104" i="10"/>
  <c r="C44" i="10"/>
  <c r="G45" i="10"/>
  <c r="J105" i="10"/>
  <c r="S105" i="10"/>
  <c r="A106" i="10"/>
  <c r="R105" i="10"/>
  <c r="I105" i="10"/>
  <c r="Y166" i="10"/>
  <c r="A45" i="5"/>
  <c r="B45" i="5" s="1"/>
  <c r="D46" i="5"/>
  <c r="R136" i="10"/>
  <c r="J136" i="10"/>
  <c r="A137" i="10"/>
  <c r="S136" i="10"/>
  <c r="I136" i="10"/>
  <c r="C46" i="13"/>
  <c r="G47" i="13"/>
  <c r="D46" i="13"/>
  <c r="P135" i="10"/>
  <c r="S195" i="13"/>
  <c r="N195" i="5" s="1"/>
  <c r="AB195" i="13"/>
  <c r="C46" i="12"/>
  <c r="G47" i="12"/>
  <c r="P195" i="10"/>
  <c r="Y195" i="10"/>
  <c r="Z194" i="10"/>
  <c r="AA194" i="10" s="1"/>
  <c r="H194" i="5" s="1"/>
  <c r="I196" i="10"/>
  <c r="J196" i="10"/>
  <c r="S196" i="10"/>
  <c r="R196" i="10"/>
  <c r="S167" i="10"/>
  <c r="R167" i="10"/>
  <c r="J167" i="10"/>
  <c r="A168" i="10"/>
  <c r="A167" i="13"/>
  <c r="I167" i="10"/>
  <c r="P166" i="10"/>
  <c r="A45" i="9"/>
  <c r="B45" i="9" s="1"/>
  <c r="E46" i="9"/>
  <c r="D134" i="5"/>
  <c r="Y133" i="5"/>
  <c r="A133" i="5"/>
  <c r="B133" i="5" s="1"/>
  <c r="F403" i="10" l="1"/>
  <c r="F403" i="13" s="1"/>
  <c r="F396" i="13"/>
  <c r="F397" i="10"/>
  <c r="F384" i="13"/>
  <c r="F391" i="10"/>
  <c r="F391" i="13" s="1"/>
  <c r="F378" i="13"/>
  <c r="F385" i="10"/>
  <c r="I133" i="5"/>
  <c r="G297" i="12"/>
  <c r="Y297" i="5"/>
  <c r="D298" i="5"/>
  <c r="E297" i="9"/>
  <c r="E296" i="9"/>
  <c r="G296" i="12"/>
  <c r="Y296" i="5"/>
  <c r="H103" i="5"/>
  <c r="G242" i="10"/>
  <c r="G241" i="13"/>
  <c r="D241" i="13" s="1"/>
  <c r="Z104" i="10"/>
  <c r="AA104" i="10" s="1"/>
  <c r="AC104" i="10" s="1"/>
  <c r="D45" i="12"/>
  <c r="D45" i="10"/>
  <c r="Z135" i="10"/>
  <c r="AA135" i="10" s="1"/>
  <c r="H135" i="5" s="1"/>
  <c r="I135" i="5" s="1"/>
  <c r="H134" i="5"/>
  <c r="H165" i="5"/>
  <c r="I165" i="5" s="1"/>
  <c r="Y167" i="10"/>
  <c r="Z166" i="10"/>
  <c r="AA166" i="10" s="1"/>
  <c r="AC166" i="10" s="1"/>
  <c r="P105" i="10"/>
  <c r="G46" i="10"/>
  <c r="C45" i="10"/>
  <c r="Y105" i="10"/>
  <c r="S106" i="10"/>
  <c r="A107" i="10"/>
  <c r="R106" i="10"/>
  <c r="I106" i="10"/>
  <c r="J106" i="10"/>
  <c r="P136" i="10"/>
  <c r="A46" i="5"/>
  <c r="B46" i="5" s="1"/>
  <c r="D47" i="5"/>
  <c r="J137" i="10"/>
  <c r="I137" i="10"/>
  <c r="A138" i="10"/>
  <c r="S137" i="10"/>
  <c r="R137" i="10"/>
  <c r="Y136" i="10"/>
  <c r="C47" i="13"/>
  <c r="D47" i="13"/>
  <c r="G48" i="13"/>
  <c r="AB196" i="13"/>
  <c r="S196" i="13"/>
  <c r="N196" i="5" s="1"/>
  <c r="C47" i="12"/>
  <c r="G48" i="12"/>
  <c r="Y196" i="10"/>
  <c r="P196" i="10"/>
  <c r="S197" i="10"/>
  <c r="I197" i="10"/>
  <c r="J197" i="10"/>
  <c r="R197" i="10"/>
  <c r="Z195" i="10"/>
  <c r="AA195" i="10" s="1"/>
  <c r="H195" i="5" s="1"/>
  <c r="P167" i="10"/>
  <c r="A169" i="10"/>
  <c r="A168" i="13"/>
  <c r="I168" i="10"/>
  <c r="R168" i="10"/>
  <c r="S168" i="10"/>
  <c r="J168" i="10"/>
  <c r="A46" i="9"/>
  <c r="B46" i="9" s="1"/>
  <c r="E47" i="9"/>
  <c r="Y134" i="5"/>
  <c r="D135" i="5"/>
  <c r="A134" i="5"/>
  <c r="B134" i="5" s="1"/>
  <c r="F404" i="10" l="1"/>
  <c r="F404" i="13" s="1"/>
  <c r="F397" i="13"/>
  <c r="F398" i="10"/>
  <c r="F385" i="13"/>
  <c r="F392" i="10"/>
  <c r="F392" i="13" s="1"/>
  <c r="I103" i="5"/>
  <c r="I134" i="5"/>
  <c r="Y298" i="5"/>
  <c r="E298" i="9"/>
  <c r="G298" i="12"/>
  <c r="D299" i="5"/>
  <c r="G243" i="10"/>
  <c r="G242" i="13"/>
  <c r="D242" i="13" s="1"/>
  <c r="H104" i="5"/>
  <c r="AC135" i="10"/>
  <c r="D46" i="12"/>
  <c r="D46" i="10"/>
  <c r="H166" i="5"/>
  <c r="I166" i="5" s="1"/>
  <c r="Z167" i="10"/>
  <c r="AA167" i="10" s="1"/>
  <c r="AC167" i="10" s="1"/>
  <c r="Z136" i="10"/>
  <c r="AA136" i="10" s="1"/>
  <c r="AC136" i="10" s="1"/>
  <c r="P197" i="10"/>
  <c r="G47" i="10"/>
  <c r="C46" i="10"/>
  <c r="P106" i="10"/>
  <c r="Z105" i="10"/>
  <c r="AA105" i="10" s="1"/>
  <c r="I107" i="10"/>
  <c r="A108" i="10"/>
  <c r="J107" i="10"/>
  <c r="S107" i="10"/>
  <c r="R107" i="10"/>
  <c r="Y106" i="10"/>
  <c r="A47" i="5"/>
  <c r="B47" i="5" s="1"/>
  <c r="D48" i="5"/>
  <c r="Y137" i="10"/>
  <c r="C48" i="13"/>
  <c r="G49" i="13"/>
  <c r="D48" i="13"/>
  <c r="A147" i="10"/>
  <c r="J138" i="10"/>
  <c r="S138" i="10"/>
  <c r="R138" i="10"/>
  <c r="I138" i="10"/>
  <c r="A139" i="10"/>
  <c r="P137" i="10"/>
  <c r="AB197" i="13"/>
  <c r="S197" i="13"/>
  <c r="N197" i="5" s="1"/>
  <c r="C48" i="12"/>
  <c r="G49" i="12"/>
  <c r="Y197" i="10"/>
  <c r="S198" i="10"/>
  <c r="R198" i="10"/>
  <c r="J198" i="10"/>
  <c r="I198" i="10"/>
  <c r="Z196" i="10"/>
  <c r="AA196" i="10" s="1"/>
  <c r="H196" i="5" s="1"/>
  <c r="Y168" i="10"/>
  <c r="P168" i="10"/>
  <c r="A169" i="13"/>
  <c r="S169" i="10"/>
  <c r="I169" i="10"/>
  <c r="J169" i="10"/>
  <c r="R169" i="10"/>
  <c r="A170" i="10"/>
  <c r="A47" i="9"/>
  <c r="B47" i="9" s="1"/>
  <c r="E48" i="9"/>
  <c r="D136" i="5"/>
  <c r="A135" i="5"/>
  <c r="B135" i="5" s="1"/>
  <c r="Y135" i="5"/>
  <c r="F405" i="10" l="1"/>
  <c r="F405" i="13" s="1"/>
  <c r="F398" i="13"/>
  <c r="F399" i="10"/>
  <c r="I104" i="5"/>
  <c r="Y299" i="5"/>
  <c r="E299" i="9"/>
  <c r="D300" i="5"/>
  <c r="G299" i="12"/>
  <c r="G244" i="10"/>
  <c r="G243" i="13"/>
  <c r="D243" i="13" s="1"/>
  <c r="Y107" i="10"/>
  <c r="D47" i="12"/>
  <c r="D47" i="10"/>
  <c r="H136" i="5"/>
  <c r="Y138" i="10"/>
  <c r="Z197" i="10"/>
  <c r="AA197" i="10" s="1"/>
  <c r="H197" i="5" s="1"/>
  <c r="H167" i="5"/>
  <c r="I167" i="5" s="1"/>
  <c r="Y169" i="10"/>
  <c r="Z106" i="10"/>
  <c r="AA106" i="10" s="1"/>
  <c r="AC106" i="10" s="1"/>
  <c r="S108" i="10"/>
  <c r="I108" i="10"/>
  <c r="R108" i="10"/>
  <c r="J108" i="10"/>
  <c r="A109" i="10"/>
  <c r="P107" i="10"/>
  <c r="AC105" i="10"/>
  <c r="H105" i="5"/>
  <c r="G48" i="10"/>
  <c r="C47" i="10"/>
  <c r="Z168" i="10"/>
  <c r="AA168" i="10" s="1"/>
  <c r="AC168" i="10" s="1"/>
  <c r="Z137" i="10"/>
  <c r="AA137" i="10" s="1"/>
  <c r="H137" i="5" s="1"/>
  <c r="I137" i="5" s="1"/>
  <c r="A48" i="5"/>
  <c r="B48" i="5" s="1"/>
  <c r="D49" i="5"/>
  <c r="J147" i="10"/>
  <c r="R147" i="10"/>
  <c r="A147" i="13"/>
  <c r="S147" i="10"/>
  <c r="I147" i="10"/>
  <c r="C49" i="13"/>
  <c r="D49" i="13"/>
  <c r="G50" i="13"/>
  <c r="J139" i="10"/>
  <c r="I139" i="10"/>
  <c r="A140" i="10"/>
  <c r="R139" i="10"/>
  <c r="S139" i="10"/>
  <c r="P138" i="10"/>
  <c r="AB198" i="13"/>
  <c r="S198" i="13"/>
  <c r="N198" i="5" s="1"/>
  <c r="C49" i="12"/>
  <c r="G50" i="12"/>
  <c r="P198" i="10"/>
  <c r="Y198" i="10"/>
  <c r="S199" i="10"/>
  <c r="J199" i="10"/>
  <c r="I199" i="10"/>
  <c r="R199" i="10"/>
  <c r="A170" i="13"/>
  <c r="I170" i="10"/>
  <c r="R170" i="10"/>
  <c r="S170" i="10"/>
  <c r="J170" i="10"/>
  <c r="A171" i="10"/>
  <c r="P169" i="10"/>
  <c r="A48" i="9"/>
  <c r="B48" i="9" s="1"/>
  <c r="E49" i="9"/>
  <c r="Y136" i="5"/>
  <c r="A136" i="5"/>
  <c r="B136" i="5" s="1"/>
  <c r="D137" i="5"/>
  <c r="F406" i="10" l="1"/>
  <c r="F406" i="13" s="1"/>
  <c r="F399" i="13"/>
  <c r="I136" i="5"/>
  <c r="I105" i="5"/>
  <c r="Y300" i="5"/>
  <c r="G300" i="12"/>
  <c r="E300" i="9"/>
  <c r="D301" i="5"/>
  <c r="D302" i="5" s="1"/>
  <c r="G245" i="10"/>
  <c r="G244" i="13"/>
  <c r="D244" i="13" s="1"/>
  <c r="Z107" i="10"/>
  <c r="AA107" i="10" s="1"/>
  <c r="P199" i="10"/>
  <c r="H168" i="5"/>
  <c r="I168" i="5" s="1"/>
  <c r="D48" i="10"/>
  <c r="D48" i="12"/>
  <c r="Z169" i="10"/>
  <c r="AA169" i="10" s="1"/>
  <c r="H169" i="5" s="1"/>
  <c r="I169" i="5" s="1"/>
  <c r="Z138" i="10"/>
  <c r="AA138" i="10" s="1"/>
  <c r="H138" i="5" s="1"/>
  <c r="P147" i="10"/>
  <c r="P139" i="10"/>
  <c r="H106" i="5"/>
  <c r="Y108" i="10"/>
  <c r="AC137" i="10"/>
  <c r="J109" i="10"/>
  <c r="I109" i="10"/>
  <c r="S109" i="10"/>
  <c r="R109" i="10"/>
  <c r="A110" i="10"/>
  <c r="C48" i="10"/>
  <c r="G49" i="10"/>
  <c r="Y147" i="10"/>
  <c r="P108" i="10"/>
  <c r="D50" i="5"/>
  <c r="A49" i="5"/>
  <c r="B49" i="5" s="1"/>
  <c r="D50" i="13"/>
  <c r="G51" i="13"/>
  <c r="C50" i="13"/>
  <c r="Y139" i="10"/>
  <c r="A141" i="10"/>
  <c r="I140" i="10"/>
  <c r="J140" i="10"/>
  <c r="S140" i="10"/>
  <c r="R140" i="10"/>
  <c r="S199" i="13"/>
  <c r="C50" i="12"/>
  <c r="G51" i="12"/>
  <c r="Z198" i="10"/>
  <c r="AA198" i="10" s="1"/>
  <c r="S200" i="10"/>
  <c r="I200" i="10"/>
  <c r="J200" i="10"/>
  <c r="R200" i="10"/>
  <c r="Y199" i="10"/>
  <c r="P170" i="10"/>
  <c r="Y170" i="10"/>
  <c r="R171" i="10"/>
  <c r="A172" i="10"/>
  <c r="S171" i="10"/>
  <c r="I171" i="10"/>
  <c r="A171" i="13"/>
  <c r="J171" i="10"/>
  <c r="A49" i="9"/>
  <c r="B49" i="9" s="1"/>
  <c r="E50" i="9"/>
  <c r="Y137" i="5"/>
  <c r="D138" i="5"/>
  <c r="A137" i="5"/>
  <c r="B137" i="5" s="1"/>
  <c r="I138" i="5" l="1"/>
  <c r="I106" i="5"/>
  <c r="D303" i="5"/>
  <c r="E302" i="9"/>
  <c r="G302" i="12"/>
  <c r="Y302" i="5"/>
  <c r="G301" i="12"/>
  <c r="Y301" i="5"/>
  <c r="E301" i="9"/>
  <c r="AC107" i="10"/>
  <c r="H107" i="5"/>
  <c r="G246" i="10"/>
  <c r="G245" i="13"/>
  <c r="D245" i="13" s="1"/>
  <c r="AC169" i="10"/>
  <c r="Z199" i="10"/>
  <c r="AA199" i="10" s="1"/>
  <c r="H199" i="5" s="1"/>
  <c r="D49" i="10"/>
  <c r="D49" i="12"/>
  <c r="AC138" i="10"/>
  <c r="N199" i="5"/>
  <c r="Z147" i="10"/>
  <c r="AA147" i="10" s="1"/>
  <c r="H147" i="5" s="1"/>
  <c r="I147" i="5" s="1"/>
  <c r="Z139" i="10"/>
  <c r="AA139" i="10" s="1"/>
  <c r="AC139" i="10" s="1"/>
  <c r="Y109" i="10"/>
  <c r="Z170" i="10"/>
  <c r="AA170" i="10" s="1"/>
  <c r="H170" i="5" s="1"/>
  <c r="I170" i="5" s="1"/>
  <c r="Z108" i="10"/>
  <c r="AA108" i="10" s="1"/>
  <c r="AC108" i="10" s="1"/>
  <c r="P109" i="10"/>
  <c r="J110" i="10"/>
  <c r="A111" i="10"/>
  <c r="S110" i="10"/>
  <c r="R110" i="10"/>
  <c r="I110" i="10"/>
  <c r="P200" i="10"/>
  <c r="G50" i="10"/>
  <c r="C49" i="10"/>
  <c r="H198" i="5"/>
  <c r="D51" i="5"/>
  <c r="A50" i="5"/>
  <c r="B50" i="5" s="1"/>
  <c r="Y140" i="10"/>
  <c r="P140" i="10"/>
  <c r="D51" i="13"/>
  <c r="G52" i="13"/>
  <c r="C51" i="13"/>
  <c r="S141" i="10"/>
  <c r="R141" i="10"/>
  <c r="J141" i="10"/>
  <c r="I141" i="10"/>
  <c r="A142" i="10"/>
  <c r="G52" i="12"/>
  <c r="C51" i="12"/>
  <c r="Y200" i="10"/>
  <c r="I172" i="10"/>
  <c r="S172" i="10"/>
  <c r="A172" i="13"/>
  <c r="J172" i="10"/>
  <c r="R172" i="10"/>
  <c r="A173" i="10"/>
  <c r="Y171" i="10"/>
  <c r="P171" i="10"/>
  <c r="E51" i="9"/>
  <c r="A50" i="9"/>
  <c r="B50" i="9" s="1"/>
  <c r="Y138" i="5"/>
  <c r="D139" i="5"/>
  <c r="A138" i="5"/>
  <c r="B138" i="5" s="1"/>
  <c r="I107" i="5" l="1"/>
  <c r="E303" i="9"/>
  <c r="G303" i="12"/>
  <c r="Y303" i="5"/>
  <c r="D304" i="5"/>
  <c r="G247" i="10"/>
  <c r="G248" i="10" s="1"/>
  <c r="G246" i="13"/>
  <c r="D246" i="13" s="1"/>
  <c r="H108" i="5"/>
  <c r="D50" i="12"/>
  <c r="D50" i="10"/>
  <c r="AC147" i="10"/>
  <c r="H139" i="5"/>
  <c r="P110" i="10"/>
  <c r="Y110" i="10"/>
  <c r="P141" i="10"/>
  <c r="Z109" i="10"/>
  <c r="AA109" i="10" s="1"/>
  <c r="H109" i="5" s="1"/>
  <c r="I109" i="5" s="1"/>
  <c r="AC170" i="10"/>
  <c r="Y141" i="10"/>
  <c r="R111" i="10"/>
  <c r="J111" i="10"/>
  <c r="A112" i="10"/>
  <c r="S111" i="10"/>
  <c r="I111" i="10"/>
  <c r="Z200" i="10"/>
  <c r="AA200" i="10" s="1"/>
  <c r="H200" i="5" s="1"/>
  <c r="H12" i="5" s="1"/>
  <c r="C50" i="10"/>
  <c r="G51" i="10"/>
  <c r="Z140" i="10"/>
  <c r="AA140" i="10" s="1"/>
  <c r="H140" i="5" s="1"/>
  <c r="I140" i="5" s="1"/>
  <c r="A51" i="5"/>
  <c r="B51" i="5" s="1"/>
  <c r="D52" i="5"/>
  <c r="D52" i="13"/>
  <c r="C52" i="13"/>
  <c r="G53" i="13"/>
  <c r="A143" i="10"/>
  <c r="J142" i="10"/>
  <c r="I142" i="10"/>
  <c r="S142" i="10"/>
  <c r="R142" i="10"/>
  <c r="G53" i="12"/>
  <c r="C52" i="12"/>
  <c r="Z171" i="10"/>
  <c r="AA171" i="10" s="1"/>
  <c r="H171" i="5" s="1"/>
  <c r="I171" i="5" s="1"/>
  <c r="Y172" i="10"/>
  <c r="R173" i="10"/>
  <c r="A174" i="10"/>
  <c r="S173" i="10"/>
  <c r="I173" i="10"/>
  <c r="J173" i="10"/>
  <c r="A173" i="13"/>
  <c r="P172" i="10"/>
  <c r="A51" i="9"/>
  <c r="B51" i="9" s="1"/>
  <c r="E52" i="9"/>
  <c r="Y139" i="5"/>
  <c r="D140" i="5"/>
  <c r="A139" i="5"/>
  <c r="B139" i="5" s="1"/>
  <c r="I108" i="5" l="1"/>
  <c r="I139" i="5"/>
  <c r="G304" i="12"/>
  <c r="E304" i="9"/>
  <c r="D305" i="5"/>
  <c r="Y304" i="5"/>
  <c r="G249" i="10"/>
  <c r="G248" i="13"/>
  <c r="D248" i="13" s="1"/>
  <c r="G247" i="13"/>
  <c r="D247" i="13" s="1"/>
  <c r="Z110" i="10"/>
  <c r="AA110" i="10" s="1"/>
  <c r="AC110" i="10" s="1"/>
  <c r="D51" i="10"/>
  <c r="D51" i="12"/>
  <c r="Z141" i="10"/>
  <c r="AA141" i="10" s="1"/>
  <c r="H141" i="5" s="1"/>
  <c r="AC109" i="10"/>
  <c r="P111" i="10"/>
  <c r="P142" i="10"/>
  <c r="Z172" i="10"/>
  <c r="AA172" i="10" s="1"/>
  <c r="AC172" i="10" s="1"/>
  <c r="A113" i="10"/>
  <c r="S112" i="10"/>
  <c r="I112" i="10"/>
  <c r="R112" i="10"/>
  <c r="J112" i="10"/>
  <c r="Y111" i="10"/>
  <c r="G52" i="10"/>
  <c r="C51" i="10"/>
  <c r="AC140" i="10"/>
  <c r="AC171" i="10"/>
  <c r="A52" i="5"/>
  <c r="B52" i="5" s="1"/>
  <c r="D53" i="5"/>
  <c r="A144" i="10"/>
  <c r="I143" i="10"/>
  <c r="S143" i="10"/>
  <c r="R143" i="10"/>
  <c r="J143" i="10"/>
  <c r="C53" i="13"/>
  <c r="G54" i="13"/>
  <c r="D53" i="13"/>
  <c r="Y142" i="10"/>
  <c r="C53" i="12"/>
  <c r="G54" i="12"/>
  <c r="A175" i="10"/>
  <c r="A174" i="13"/>
  <c r="S174" i="10"/>
  <c r="I174" i="10"/>
  <c r="R174" i="10"/>
  <c r="J174" i="10"/>
  <c r="P173" i="10"/>
  <c r="Y173" i="10"/>
  <c r="E53" i="9"/>
  <c r="A52" i="9"/>
  <c r="B52" i="9" s="1"/>
  <c r="Y140" i="5"/>
  <c r="D141" i="5"/>
  <c r="A140" i="5"/>
  <c r="B140" i="5" s="1"/>
  <c r="I141" i="5" l="1"/>
  <c r="G305" i="12"/>
  <c r="E305" i="9"/>
  <c r="Y305" i="5"/>
  <c r="D306" i="5"/>
  <c r="G249" i="13"/>
  <c r="D249" i="13" s="1"/>
  <c r="G250" i="10"/>
  <c r="H110" i="5"/>
  <c r="AC141" i="10"/>
  <c r="Z111" i="10"/>
  <c r="AA111" i="10" s="1"/>
  <c r="AC111" i="10" s="1"/>
  <c r="D52" i="10"/>
  <c r="D52" i="12"/>
  <c r="Z142" i="10"/>
  <c r="AA142" i="10" s="1"/>
  <c r="H142" i="5" s="1"/>
  <c r="I142" i="5" s="1"/>
  <c r="Y143" i="10"/>
  <c r="Y112" i="10"/>
  <c r="H172" i="5"/>
  <c r="I172" i="5" s="1"/>
  <c r="P112" i="10"/>
  <c r="S113" i="10"/>
  <c r="A114" i="10"/>
  <c r="J113" i="10"/>
  <c r="R113" i="10"/>
  <c r="I113" i="10"/>
  <c r="C52" i="10"/>
  <c r="G53" i="10"/>
  <c r="D54" i="5"/>
  <c r="A53" i="5"/>
  <c r="B53" i="5" s="1"/>
  <c r="G55" i="13"/>
  <c r="C54" i="13"/>
  <c r="D54" i="13"/>
  <c r="P143" i="10"/>
  <c r="A145" i="10"/>
  <c r="J144" i="10"/>
  <c r="S144" i="10"/>
  <c r="R144" i="10"/>
  <c r="I144" i="10"/>
  <c r="C54" i="12"/>
  <c r="G55" i="12"/>
  <c r="Y174" i="10"/>
  <c r="P174" i="10"/>
  <c r="Z173" i="10"/>
  <c r="AA173" i="10" s="1"/>
  <c r="I175" i="10"/>
  <c r="J175" i="10"/>
  <c r="R175" i="10"/>
  <c r="S175" i="10"/>
  <c r="A175" i="13"/>
  <c r="A53" i="9"/>
  <c r="B53" i="9" s="1"/>
  <c r="E54" i="9"/>
  <c r="A141" i="5"/>
  <c r="B141" i="5" s="1"/>
  <c r="D142" i="5"/>
  <c r="Y141" i="5"/>
  <c r="I110" i="5" l="1"/>
  <c r="E306" i="9"/>
  <c r="G306" i="12"/>
  <c r="D307" i="5"/>
  <c r="Y306" i="5"/>
  <c r="G250" i="13"/>
  <c r="D250" i="13" s="1"/>
  <c r="G251" i="10"/>
  <c r="H111" i="5"/>
  <c r="Z174" i="10"/>
  <c r="AA174" i="10" s="1"/>
  <c r="H174" i="5" s="1"/>
  <c r="I174" i="5" s="1"/>
  <c r="D53" i="12"/>
  <c r="D53" i="10"/>
  <c r="Z143" i="10"/>
  <c r="AA143" i="10" s="1"/>
  <c r="H143" i="5" s="1"/>
  <c r="AC142" i="10"/>
  <c r="Y113" i="10"/>
  <c r="Z112" i="10"/>
  <c r="AA112" i="10" s="1"/>
  <c r="AC112" i="10" s="1"/>
  <c r="P113" i="10"/>
  <c r="J114" i="10"/>
  <c r="R114" i="10"/>
  <c r="I114" i="10"/>
  <c r="A115" i="10"/>
  <c r="S114" i="10"/>
  <c r="G54" i="10"/>
  <c r="C53" i="10"/>
  <c r="Y144" i="10"/>
  <c r="D55" i="5"/>
  <c r="A54" i="5"/>
  <c r="B54" i="5" s="1"/>
  <c r="S145" i="10"/>
  <c r="R145" i="10"/>
  <c r="I145" i="10"/>
  <c r="J145" i="10"/>
  <c r="A146" i="10"/>
  <c r="P144" i="10"/>
  <c r="C55" i="13"/>
  <c r="G56" i="13"/>
  <c r="D55" i="13"/>
  <c r="C55" i="12"/>
  <c r="Y175" i="10"/>
  <c r="P175" i="10"/>
  <c r="H173" i="5"/>
  <c r="I173" i="5" s="1"/>
  <c r="AC173" i="10"/>
  <c r="A54" i="9"/>
  <c r="B54" i="9" s="1"/>
  <c r="E55" i="9"/>
  <c r="D143" i="5"/>
  <c r="Y142" i="5"/>
  <c r="A142" i="5"/>
  <c r="B142" i="5" s="1"/>
  <c r="I111" i="5" l="1"/>
  <c r="I143" i="5"/>
  <c r="E307" i="9"/>
  <c r="G307" i="12"/>
  <c r="D308" i="5"/>
  <c r="D309" i="5" s="1"/>
  <c r="Y307" i="5"/>
  <c r="G252" i="10"/>
  <c r="G251" i="13"/>
  <c r="D251" i="13" s="1"/>
  <c r="P114" i="10"/>
  <c r="Z113" i="10"/>
  <c r="AA113" i="10" s="1"/>
  <c r="AC113" i="10" s="1"/>
  <c r="AC174" i="10"/>
  <c r="D54" i="12"/>
  <c r="D54" i="10"/>
  <c r="AC143" i="10"/>
  <c r="H112" i="5"/>
  <c r="I112" i="5" s="1"/>
  <c r="Y145" i="10"/>
  <c r="Y114" i="10"/>
  <c r="R115" i="10"/>
  <c r="J115" i="10"/>
  <c r="S115" i="10"/>
  <c r="A116" i="10"/>
  <c r="I115" i="10"/>
  <c r="G55" i="10"/>
  <c r="C54" i="10"/>
  <c r="Z144" i="10"/>
  <c r="AA144" i="10" s="1"/>
  <c r="AC144" i="10" s="1"/>
  <c r="Z175" i="10"/>
  <c r="AA175" i="10" s="1"/>
  <c r="AC175" i="10" s="1"/>
  <c r="D56" i="5"/>
  <c r="A55" i="5"/>
  <c r="B55" i="5" s="1"/>
  <c r="S146" i="10"/>
  <c r="I146" i="10"/>
  <c r="J146" i="10"/>
  <c r="R146" i="10"/>
  <c r="D56" i="13"/>
  <c r="C56" i="13"/>
  <c r="G57" i="13"/>
  <c r="P145" i="10"/>
  <c r="A55" i="9"/>
  <c r="B55" i="9" s="1"/>
  <c r="F19" i="9" s="1"/>
  <c r="A143" i="5"/>
  <c r="B143" i="5" s="1"/>
  <c r="Y143" i="5"/>
  <c r="D144" i="5"/>
  <c r="L19" i="9" l="1"/>
  <c r="J19" i="9"/>
  <c r="I19" i="9"/>
  <c r="H19" i="9"/>
  <c r="O19" i="9"/>
  <c r="V19" i="9"/>
  <c r="P19" i="9"/>
  <c r="Q19" i="9"/>
  <c r="M19" i="9"/>
  <c r="R19" i="9"/>
  <c r="T19" i="9"/>
  <c r="G19" i="9"/>
  <c r="K19" i="9"/>
  <c r="S19" i="9"/>
  <c r="U19" i="9"/>
  <c r="T18" i="9"/>
  <c r="F18" i="9"/>
  <c r="R18" i="9"/>
  <c r="J18" i="9"/>
  <c r="U18" i="9"/>
  <c r="H18" i="9"/>
  <c r="L18" i="9"/>
  <c r="G18" i="9"/>
  <c r="O18" i="9"/>
  <c r="K18" i="9"/>
  <c r="V18" i="9"/>
  <c r="Q18" i="9"/>
  <c r="I18" i="9"/>
  <c r="M18" i="9"/>
  <c r="P18" i="9"/>
  <c r="S18" i="9"/>
  <c r="M16" i="9"/>
  <c r="S17" i="9"/>
  <c r="R17" i="9"/>
  <c r="L17" i="9"/>
  <c r="G17" i="9"/>
  <c r="T17" i="9"/>
  <c r="I17" i="9"/>
  <c r="M17" i="9"/>
  <c r="K17" i="9"/>
  <c r="J17" i="9"/>
  <c r="V17" i="9"/>
  <c r="H17" i="9"/>
  <c r="F17" i="9"/>
  <c r="U17" i="9"/>
  <c r="Q17" i="9"/>
  <c r="O17" i="9"/>
  <c r="P17" i="9"/>
  <c r="D310" i="5"/>
  <c r="G309" i="12"/>
  <c r="Y309" i="5"/>
  <c r="E309" i="9"/>
  <c r="E308" i="9"/>
  <c r="G308" i="12"/>
  <c r="Y308" i="5"/>
  <c r="F16" i="9"/>
  <c r="U16" i="9"/>
  <c r="Q16" i="9"/>
  <c r="J16" i="9"/>
  <c r="T16" i="9"/>
  <c r="P16" i="9"/>
  <c r="I16" i="9"/>
  <c r="K16" i="9"/>
  <c r="H16" i="9"/>
  <c r="G16" i="9"/>
  <c r="S16" i="9"/>
  <c r="O16" i="9"/>
  <c r="R16" i="9"/>
  <c r="V16" i="9"/>
  <c r="L16" i="9"/>
  <c r="P14" i="9"/>
  <c r="F14" i="9"/>
  <c r="G14" i="9"/>
  <c r="M14" i="9"/>
  <c r="J14" i="9"/>
  <c r="S14" i="9"/>
  <c r="R14" i="9"/>
  <c r="V14" i="9"/>
  <c r="L14" i="9"/>
  <c r="U14" i="9"/>
  <c r="I14" i="9"/>
  <c r="K14" i="9"/>
  <c r="T14" i="9"/>
  <c r="H14" i="9"/>
  <c r="Q14" i="9"/>
  <c r="O14" i="9"/>
  <c r="G253" i="10"/>
  <c r="G252" i="13"/>
  <c r="D252" i="13" s="1"/>
  <c r="G15" i="9"/>
  <c r="J15" i="9"/>
  <c r="O15" i="9"/>
  <c r="R15" i="9"/>
  <c r="S15" i="9"/>
  <c r="V15" i="9"/>
  <c r="I15" i="9"/>
  <c r="U15" i="9"/>
  <c r="T15" i="9"/>
  <c r="M15" i="9"/>
  <c r="L15" i="9"/>
  <c r="P15" i="9"/>
  <c r="K15" i="9"/>
  <c r="F15" i="9"/>
  <c r="H15" i="9"/>
  <c r="Q15" i="9"/>
  <c r="Z114" i="10"/>
  <c r="AA114" i="10" s="1"/>
  <c r="AC114" i="10" s="1"/>
  <c r="U13" i="9"/>
  <c r="F13" i="9"/>
  <c r="O13" i="9"/>
  <c r="J13" i="9"/>
  <c r="Q13" i="9"/>
  <c r="H13" i="9"/>
  <c r="I13" i="9"/>
  <c r="R13" i="9"/>
  <c r="S13" i="9"/>
  <c r="G13" i="9"/>
  <c r="L13" i="9"/>
  <c r="M13" i="9"/>
  <c r="P13" i="9"/>
  <c r="V13" i="9"/>
  <c r="T13" i="9"/>
  <c r="K13" i="9"/>
  <c r="H113" i="5"/>
  <c r="D55" i="12"/>
  <c r="D55" i="10"/>
  <c r="Z145" i="10"/>
  <c r="AA145" i="10" s="1"/>
  <c r="H145" i="5" s="1"/>
  <c r="I145" i="5" s="1"/>
  <c r="H9" i="9"/>
  <c r="U9" i="9"/>
  <c r="J11" i="9"/>
  <c r="G12" i="9"/>
  <c r="I10" i="9"/>
  <c r="O8" i="9"/>
  <c r="K8" i="9"/>
  <c r="G9" i="9"/>
  <c r="T11" i="9"/>
  <c r="Q11" i="9"/>
  <c r="M8" i="9"/>
  <c r="F12" i="9"/>
  <c r="P12" i="9"/>
  <c r="M11" i="9"/>
  <c r="R12" i="9"/>
  <c r="H8" i="9"/>
  <c r="K9" i="9"/>
  <c r="R11" i="9"/>
  <c r="P10" i="9"/>
  <c r="G11" i="9"/>
  <c r="U11" i="9"/>
  <c r="J10" i="9"/>
  <c r="L12" i="9"/>
  <c r="T10" i="9"/>
  <c r="H12" i="9"/>
  <c r="G8" i="9"/>
  <c r="V11" i="9"/>
  <c r="I8" i="9"/>
  <c r="L8" i="9"/>
  <c r="J12" i="9"/>
  <c r="F10" i="9"/>
  <c r="U8" i="9"/>
  <c r="P8" i="9"/>
  <c r="U10" i="9"/>
  <c r="S12" i="9"/>
  <c r="H10" i="9"/>
  <c r="L9" i="9"/>
  <c r="J8" i="9"/>
  <c r="O12" i="9"/>
  <c r="O9" i="9"/>
  <c r="V12" i="9"/>
  <c r="S9" i="9"/>
  <c r="M12" i="9"/>
  <c r="S8" i="9"/>
  <c r="M10" i="9"/>
  <c r="O10" i="9"/>
  <c r="S10" i="9"/>
  <c r="H11" i="9"/>
  <c r="G10" i="9"/>
  <c r="F8" i="9"/>
  <c r="P11" i="9"/>
  <c r="I12" i="9"/>
  <c r="F9" i="9"/>
  <c r="Q10" i="9"/>
  <c r="R10" i="9"/>
  <c r="U12" i="9"/>
  <c r="K12" i="9"/>
  <c r="J9" i="9"/>
  <c r="S11" i="9"/>
  <c r="Q9" i="9"/>
  <c r="V9" i="9"/>
  <c r="P9" i="9"/>
  <c r="K10" i="9"/>
  <c r="V8" i="9"/>
  <c r="T8" i="9"/>
  <c r="O11" i="9"/>
  <c r="K11" i="9"/>
  <c r="T12" i="9"/>
  <c r="V10" i="9"/>
  <c r="T9" i="9"/>
  <c r="F11" i="9"/>
  <c r="Q8" i="9"/>
  <c r="I11" i="9"/>
  <c r="Q12" i="9"/>
  <c r="L11" i="9"/>
  <c r="M9" i="9"/>
  <c r="I9" i="9"/>
  <c r="L10" i="9"/>
  <c r="Y146" i="10"/>
  <c r="P115" i="10"/>
  <c r="H144" i="5"/>
  <c r="C55" i="10"/>
  <c r="G56" i="10"/>
  <c r="Y115" i="10"/>
  <c r="I116" i="10"/>
  <c r="R116" i="10"/>
  <c r="J116" i="10"/>
  <c r="S116" i="10"/>
  <c r="H175" i="5"/>
  <c r="I175" i="5" s="1"/>
  <c r="I11" i="5" s="1"/>
  <c r="A56" i="5"/>
  <c r="B56" i="5" s="1"/>
  <c r="D57" i="5"/>
  <c r="D57" i="13"/>
  <c r="G58" i="13"/>
  <c r="C57" i="13"/>
  <c r="P146" i="10"/>
  <c r="D145" i="5"/>
  <c r="Y144" i="5"/>
  <c r="A144" i="5"/>
  <c r="B144" i="5" s="1"/>
  <c r="N19" i="9" l="1"/>
  <c r="W19" i="9"/>
  <c r="O19" i="12"/>
  <c r="Y19" i="12"/>
  <c r="E19" i="12"/>
  <c r="L19" i="12"/>
  <c r="I19" i="12"/>
  <c r="Z19" i="12"/>
  <c r="J19" i="12"/>
  <c r="N19" i="12"/>
  <c r="W19" i="12"/>
  <c r="V19" i="12"/>
  <c r="AA19" i="12"/>
  <c r="R19" i="12"/>
  <c r="U19" i="12"/>
  <c r="T19" i="12"/>
  <c r="H19" i="12"/>
  <c r="P19" i="12"/>
  <c r="P19" i="10"/>
  <c r="U19" i="10"/>
  <c r="J19" i="10"/>
  <c r="Y19" i="10"/>
  <c r="W19" i="10"/>
  <c r="K19" i="10"/>
  <c r="X19" i="10"/>
  <c r="O19" i="10"/>
  <c r="H19" i="10"/>
  <c r="M19" i="10"/>
  <c r="R19" i="10"/>
  <c r="L19" i="10"/>
  <c r="I19" i="10"/>
  <c r="S19" i="10"/>
  <c r="V19" i="10"/>
  <c r="Q19" i="10"/>
  <c r="T19" i="10"/>
  <c r="N19" i="10"/>
  <c r="W18" i="9"/>
  <c r="N18" i="9"/>
  <c r="E17" i="12"/>
  <c r="V18" i="12"/>
  <c r="J18" i="12"/>
  <c r="I18" i="12"/>
  <c r="AA18" i="12"/>
  <c r="W18" i="12"/>
  <c r="H18" i="12"/>
  <c r="E18" i="12"/>
  <c r="Y18" i="12"/>
  <c r="L18" i="12"/>
  <c r="U18" i="12"/>
  <c r="P18" i="12"/>
  <c r="O18" i="12"/>
  <c r="T18" i="12"/>
  <c r="N18" i="12"/>
  <c r="Z18" i="12"/>
  <c r="R18" i="12"/>
  <c r="P18" i="10"/>
  <c r="R18" i="10"/>
  <c r="Q18" i="10"/>
  <c r="J18" i="10"/>
  <c r="N18" i="10"/>
  <c r="X18" i="10"/>
  <c r="S18" i="10"/>
  <c r="T18" i="10"/>
  <c r="U18" i="10"/>
  <c r="O18" i="10"/>
  <c r="M18" i="10"/>
  <c r="Y18" i="10"/>
  <c r="K18" i="10"/>
  <c r="I18" i="10"/>
  <c r="H18" i="10"/>
  <c r="V18" i="10"/>
  <c r="L18" i="10"/>
  <c r="W18" i="10"/>
  <c r="N17" i="9"/>
  <c r="W17" i="9"/>
  <c r="P17" i="12"/>
  <c r="W17" i="12"/>
  <c r="J17" i="12"/>
  <c r="O17" i="12"/>
  <c r="T17" i="12"/>
  <c r="R17" i="12"/>
  <c r="I17" i="12"/>
  <c r="L17" i="12"/>
  <c r="V17" i="12"/>
  <c r="N17" i="12"/>
  <c r="Z17" i="12"/>
  <c r="AA17" i="12"/>
  <c r="H17" i="12"/>
  <c r="U17" i="12"/>
  <c r="Y17" i="12"/>
  <c r="L17" i="10"/>
  <c r="O17" i="10"/>
  <c r="W17" i="10"/>
  <c r="I17" i="10"/>
  <c r="R17" i="10"/>
  <c r="M17" i="10"/>
  <c r="H17" i="10"/>
  <c r="V17" i="10"/>
  <c r="T17" i="10"/>
  <c r="U17" i="10"/>
  <c r="S17" i="10"/>
  <c r="Q17" i="10"/>
  <c r="P17" i="10"/>
  <c r="Y17" i="10"/>
  <c r="X17" i="10"/>
  <c r="K17" i="10"/>
  <c r="J17" i="10"/>
  <c r="N17" i="10"/>
  <c r="I113" i="5"/>
  <c r="I144" i="5"/>
  <c r="Y10" i="10"/>
  <c r="V14" i="12"/>
  <c r="V14" i="13" s="1"/>
  <c r="V13" i="12"/>
  <c r="V13" i="13" s="1"/>
  <c r="V15" i="12"/>
  <c r="D311" i="5"/>
  <c r="E310" i="9"/>
  <c r="Y310" i="5"/>
  <c r="G310" i="12"/>
  <c r="T15" i="12"/>
  <c r="U16" i="12"/>
  <c r="V16" i="12"/>
  <c r="O8" i="12"/>
  <c r="O8" i="13" s="1"/>
  <c r="N14" i="9"/>
  <c r="N16" i="9"/>
  <c r="N15" i="9"/>
  <c r="P10" i="10"/>
  <c r="W16" i="9"/>
  <c r="AA16" i="12"/>
  <c r="I16" i="12"/>
  <c r="T16" i="12"/>
  <c r="E16" i="12"/>
  <c r="H16" i="12"/>
  <c r="W16" i="12"/>
  <c r="R16" i="12"/>
  <c r="L16" i="12"/>
  <c r="P16" i="12"/>
  <c r="Z16" i="12"/>
  <c r="Y16" i="12"/>
  <c r="N16" i="12"/>
  <c r="O16" i="12"/>
  <c r="J16" i="12"/>
  <c r="O16" i="10"/>
  <c r="Y16" i="10"/>
  <c r="P16" i="10"/>
  <c r="U16" i="10"/>
  <c r="R16" i="10"/>
  <c r="H16" i="10"/>
  <c r="Q16" i="10"/>
  <c r="I16" i="10"/>
  <c r="V16" i="10"/>
  <c r="X16" i="10"/>
  <c r="J16" i="10"/>
  <c r="K16" i="10"/>
  <c r="M16" i="10"/>
  <c r="T16" i="10"/>
  <c r="L16" i="10"/>
  <c r="W16" i="10"/>
  <c r="N16" i="10"/>
  <c r="S16" i="10"/>
  <c r="W14" i="9"/>
  <c r="N15" i="10"/>
  <c r="H14" i="10"/>
  <c r="T14" i="10"/>
  <c r="U14" i="10"/>
  <c r="W14" i="10"/>
  <c r="O14" i="10"/>
  <c r="M14" i="10"/>
  <c r="J14" i="10"/>
  <c r="L14" i="10"/>
  <c r="I14" i="10"/>
  <c r="R14" i="10"/>
  <c r="X14" i="10"/>
  <c r="S14" i="10"/>
  <c r="Q14" i="10"/>
  <c r="K14" i="10"/>
  <c r="P14" i="10"/>
  <c r="V14" i="10"/>
  <c r="Y14" i="10"/>
  <c r="N14" i="10"/>
  <c r="E14" i="12"/>
  <c r="I14" i="12"/>
  <c r="I14" i="13" s="1"/>
  <c r="J14" i="12"/>
  <c r="J14" i="13" s="1"/>
  <c r="R14" i="12"/>
  <c r="R14" i="13" s="1"/>
  <c r="L14" i="12"/>
  <c r="L14" i="13" s="1"/>
  <c r="AA14" i="12"/>
  <c r="Y14" i="12"/>
  <c r="Z14" i="12"/>
  <c r="T14" i="12"/>
  <c r="T14" i="13" s="1"/>
  <c r="P14" i="12"/>
  <c r="P14" i="13" s="1"/>
  <c r="H14" i="12"/>
  <c r="H14" i="13" s="1"/>
  <c r="Q14" i="12"/>
  <c r="Q14" i="13" s="1"/>
  <c r="U14" i="12"/>
  <c r="U14" i="13" s="1"/>
  <c r="W14" i="12"/>
  <c r="W14" i="13" s="1"/>
  <c r="O14" i="12"/>
  <c r="O14" i="13" s="1"/>
  <c r="K14" i="12"/>
  <c r="K14" i="13" s="1"/>
  <c r="N14" i="12"/>
  <c r="G254" i="10"/>
  <c r="G253" i="13"/>
  <c r="D253" i="13" s="1"/>
  <c r="R10" i="10"/>
  <c r="O15" i="10"/>
  <c r="L15" i="10"/>
  <c r="M15" i="10"/>
  <c r="Q15" i="10"/>
  <c r="V15" i="10"/>
  <c r="X15" i="10"/>
  <c r="S15" i="10"/>
  <c r="R15" i="10"/>
  <c r="U15" i="10"/>
  <c r="T15" i="10"/>
  <c r="W15" i="10"/>
  <c r="H15" i="10"/>
  <c r="K15" i="10"/>
  <c r="J15" i="10"/>
  <c r="Y15" i="10"/>
  <c r="P15" i="10"/>
  <c r="I15" i="10"/>
  <c r="E13" i="12"/>
  <c r="N15" i="12"/>
  <c r="E15" i="12"/>
  <c r="Z15" i="12"/>
  <c r="P15" i="12"/>
  <c r="AA15" i="12"/>
  <c r="R15" i="12"/>
  <c r="L15" i="12"/>
  <c r="I15" i="12"/>
  <c r="U15" i="12"/>
  <c r="W15" i="12"/>
  <c r="J15" i="12"/>
  <c r="O15" i="12"/>
  <c r="Y15" i="12"/>
  <c r="H15" i="12"/>
  <c r="W15" i="9"/>
  <c r="H114" i="5"/>
  <c r="S10" i="10"/>
  <c r="X13" i="10"/>
  <c r="O13" i="10"/>
  <c r="J13" i="10"/>
  <c r="Y13" i="10"/>
  <c r="L13" i="10"/>
  <c r="V13" i="10"/>
  <c r="I13" i="10"/>
  <c r="P13" i="10"/>
  <c r="M13" i="10"/>
  <c r="S13" i="10"/>
  <c r="W13" i="10"/>
  <c r="Q13" i="10"/>
  <c r="N13" i="10"/>
  <c r="R13" i="10"/>
  <c r="U13" i="10"/>
  <c r="T13" i="10"/>
  <c r="K13" i="10"/>
  <c r="H13" i="10"/>
  <c r="AA13" i="12"/>
  <c r="W13" i="12"/>
  <c r="W13" i="13" s="1"/>
  <c r="Q13" i="12"/>
  <c r="Q13" i="13" s="1"/>
  <c r="H13" i="12"/>
  <c r="Z13" i="12"/>
  <c r="I13" i="12"/>
  <c r="I13" i="13" s="1"/>
  <c r="N13" i="12"/>
  <c r="K13" i="12"/>
  <c r="K13" i="13" s="1"/>
  <c r="T13" i="12"/>
  <c r="T13" i="13" s="1"/>
  <c r="L13" i="12"/>
  <c r="L13" i="13" s="1"/>
  <c r="O13" i="12"/>
  <c r="O13" i="13" s="1"/>
  <c r="Y13" i="12"/>
  <c r="J13" i="12"/>
  <c r="J13" i="13" s="1"/>
  <c r="P13" i="12"/>
  <c r="P13" i="13" s="1"/>
  <c r="R13" i="12"/>
  <c r="R13" i="13" s="1"/>
  <c r="U13" i="12"/>
  <c r="U13" i="13" s="1"/>
  <c r="W13" i="9"/>
  <c r="I10" i="10"/>
  <c r="N13" i="9"/>
  <c r="W12" i="9"/>
  <c r="AC145" i="10"/>
  <c r="N10" i="10"/>
  <c r="V9" i="10"/>
  <c r="W8" i="10"/>
  <c r="S9" i="10"/>
  <c r="W9" i="10"/>
  <c r="O10" i="10"/>
  <c r="H8" i="10"/>
  <c r="Y8" i="10"/>
  <c r="K10" i="10"/>
  <c r="J8" i="10"/>
  <c r="L12" i="10"/>
  <c r="S12" i="10"/>
  <c r="J12" i="10"/>
  <c r="X8" i="10"/>
  <c r="O11" i="10"/>
  <c r="M9" i="10"/>
  <c r="S8" i="10"/>
  <c r="P11" i="10"/>
  <c r="Q9" i="10"/>
  <c r="R12" i="10"/>
  <c r="W11" i="10"/>
  <c r="H10" i="10"/>
  <c r="P12" i="10"/>
  <c r="U11" i="10"/>
  <c r="N11" i="10"/>
  <c r="X10" i="10"/>
  <c r="X9" i="10"/>
  <c r="V10" i="10"/>
  <c r="U10" i="10"/>
  <c r="Q8" i="10"/>
  <c r="R8" i="10"/>
  <c r="T10" i="10"/>
  <c r="X12" i="10"/>
  <c r="V12" i="10"/>
  <c r="V11" i="10"/>
  <c r="M10" i="10"/>
  <c r="K11" i="10"/>
  <c r="N12" i="10"/>
  <c r="I12" i="10"/>
  <c r="T11" i="10"/>
  <c r="L11" i="10"/>
  <c r="I8" i="10"/>
  <c r="U12" i="10"/>
  <c r="J11" i="10"/>
  <c r="I11" i="10"/>
  <c r="H9" i="10"/>
  <c r="U8" i="10"/>
  <c r="W10" i="10"/>
  <c r="T12" i="10"/>
  <c r="L8" i="10"/>
  <c r="Y12" i="10"/>
  <c r="Y11" i="10"/>
  <c r="Q12" i="10"/>
  <c r="H11" i="10"/>
  <c r="N8" i="10"/>
  <c r="V8" i="10"/>
  <c r="Q11" i="10"/>
  <c r="H12" i="10"/>
  <c r="W12" i="10"/>
  <c r="R9" i="10"/>
  <c r="J9" i="10"/>
  <c r="P8" i="10"/>
  <c r="X11" i="10"/>
  <c r="L9" i="10"/>
  <c r="S11" i="10"/>
  <c r="O12" i="10"/>
  <c r="M11" i="10"/>
  <c r="M8" i="10"/>
  <c r="K12" i="10"/>
  <c r="M12" i="10"/>
  <c r="O9" i="10"/>
  <c r="O8" i="10"/>
  <c r="Q10" i="10"/>
  <c r="U9" i="10"/>
  <c r="L10" i="10"/>
  <c r="N9" i="10"/>
  <c r="I9" i="10"/>
  <c r="R11" i="10"/>
  <c r="P12" i="12"/>
  <c r="P12" i="13" s="1"/>
  <c r="W8" i="12"/>
  <c r="W8" i="13" s="1"/>
  <c r="AA11" i="12"/>
  <c r="Z12" i="12"/>
  <c r="O9" i="12"/>
  <c r="O9" i="13" s="1"/>
  <c r="N12" i="12"/>
  <c r="E12" i="12"/>
  <c r="P12" i="5" s="1"/>
  <c r="H12" i="12"/>
  <c r="H12" i="13" s="1"/>
  <c r="P8" i="12"/>
  <c r="P8" i="13" s="1"/>
  <c r="T8" i="12"/>
  <c r="T8" i="13" s="1"/>
  <c r="Q11" i="12"/>
  <c r="Q11" i="13" s="1"/>
  <c r="W9" i="12"/>
  <c r="W9" i="13" s="1"/>
  <c r="H11" i="12"/>
  <c r="E9" i="12"/>
  <c r="Q12" i="12"/>
  <c r="Q12" i="13" s="1"/>
  <c r="P9" i="12"/>
  <c r="P9" i="13" s="1"/>
  <c r="W12" i="12"/>
  <c r="W12" i="13" s="1"/>
  <c r="J9" i="12"/>
  <c r="J9" i="13" s="1"/>
  <c r="K10" i="12"/>
  <c r="K10" i="13" s="1"/>
  <c r="N8" i="12"/>
  <c r="R8" i="12"/>
  <c r="R8" i="13" s="1"/>
  <c r="H8" i="12"/>
  <c r="O12" i="12"/>
  <c r="O12" i="13" s="1"/>
  <c r="W11" i="12"/>
  <c r="W11" i="13" s="1"/>
  <c r="E10" i="12"/>
  <c r="P11" i="12"/>
  <c r="P11" i="13" s="1"/>
  <c r="I8" i="12"/>
  <c r="I8" i="13" s="1"/>
  <c r="I11" i="12"/>
  <c r="I11" i="13" s="1"/>
  <c r="Z8" i="12"/>
  <c r="AA12" i="12"/>
  <c r="Z9" i="12"/>
  <c r="R11" i="12"/>
  <c r="R11" i="13" s="1"/>
  <c r="T10" i="12"/>
  <c r="T10" i="13" s="1"/>
  <c r="L10" i="12"/>
  <c r="L10" i="13" s="1"/>
  <c r="U12" i="12"/>
  <c r="U12" i="13" s="1"/>
  <c r="Y9" i="12"/>
  <c r="P10" i="12"/>
  <c r="P10" i="13" s="1"/>
  <c r="N9" i="12"/>
  <c r="J11" i="12"/>
  <c r="J11" i="13" s="1"/>
  <c r="L11" i="12"/>
  <c r="L11" i="13" s="1"/>
  <c r="AA9" i="12"/>
  <c r="E8" i="12"/>
  <c r="P8" i="5" s="1"/>
  <c r="Y8" i="12"/>
  <c r="Z11" i="12"/>
  <c r="R12" i="12"/>
  <c r="R12" i="13" s="1"/>
  <c r="Z10" i="12"/>
  <c r="L8" i="12"/>
  <c r="L8" i="13" s="1"/>
  <c r="L12" i="12"/>
  <c r="L12" i="13" s="1"/>
  <c r="U11" i="12"/>
  <c r="U11" i="13" s="1"/>
  <c r="Y10" i="12"/>
  <c r="R10" i="12"/>
  <c r="R10" i="13" s="1"/>
  <c r="O11" i="12"/>
  <c r="O11" i="13" s="1"/>
  <c r="N10" i="12"/>
  <c r="U8" i="12"/>
  <c r="U8" i="13" s="1"/>
  <c r="AA10" i="12"/>
  <c r="Y12" i="12"/>
  <c r="K12" i="12"/>
  <c r="K12" i="13" s="1"/>
  <c r="I10" i="12"/>
  <c r="I10" i="13" s="1"/>
  <c r="AA8" i="12"/>
  <c r="W10" i="12"/>
  <c r="W10" i="13" s="1"/>
  <c r="T12" i="12"/>
  <c r="T12" i="13" s="1"/>
  <c r="U10" i="12"/>
  <c r="U10" i="13" s="1"/>
  <c r="O10" i="12"/>
  <c r="O10" i="13" s="1"/>
  <c r="T11" i="12"/>
  <c r="T11" i="13" s="1"/>
  <c r="N11" i="12"/>
  <c r="H9" i="12"/>
  <c r="J12" i="12"/>
  <c r="J12" i="13" s="1"/>
  <c r="Q10" i="12"/>
  <c r="Q10" i="13" s="1"/>
  <c r="U9" i="12"/>
  <c r="U9" i="13" s="1"/>
  <c r="J10" i="12"/>
  <c r="J10" i="13" s="1"/>
  <c r="L9" i="12"/>
  <c r="L9" i="13" s="1"/>
  <c r="R9" i="12"/>
  <c r="R9" i="13" s="1"/>
  <c r="J8" i="12"/>
  <c r="J8" i="13" s="1"/>
  <c r="Y11" i="12"/>
  <c r="K11" i="12"/>
  <c r="K11" i="13" s="1"/>
  <c r="H10" i="12"/>
  <c r="I12" i="12"/>
  <c r="I12" i="13" s="1"/>
  <c r="I9" i="12"/>
  <c r="I9" i="13" s="1"/>
  <c r="T9" i="12"/>
  <c r="T9" i="13" s="1"/>
  <c r="E11" i="12"/>
  <c r="J10" i="10"/>
  <c r="H11" i="5"/>
  <c r="P116" i="10"/>
  <c r="P9" i="10" s="1"/>
  <c r="N9" i="9"/>
  <c r="W10" i="9"/>
  <c r="W9" i="9"/>
  <c r="W8" i="9"/>
  <c r="W11" i="9"/>
  <c r="N11" i="9"/>
  <c r="N12" i="9"/>
  <c r="N8" i="9"/>
  <c r="N10" i="9"/>
  <c r="Z146" i="10"/>
  <c r="AA146" i="10" s="1"/>
  <c r="AC146" i="10" s="1"/>
  <c r="Z115" i="10"/>
  <c r="AA115" i="10" s="1"/>
  <c r="AC115" i="10" s="1"/>
  <c r="C56" i="10"/>
  <c r="G57" i="10"/>
  <c r="Y116" i="10"/>
  <c r="Y9" i="10" s="1"/>
  <c r="A57" i="5"/>
  <c r="B57" i="5" s="1"/>
  <c r="D58" i="5"/>
  <c r="C58" i="13"/>
  <c r="G59" i="13"/>
  <c r="D58" i="13"/>
  <c r="A145" i="5"/>
  <c r="B145" i="5" s="1"/>
  <c r="Y145" i="5"/>
  <c r="D146" i="5"/>
  <c r="S19" i="12" l="1"/>
  <c r="S19" i="13" s="1"/>
  <c r="AC19" i="12"/>
  <c r="X19" i="12"/>
  <c r="M19" i="12"/>
  <c r="M19" i="13" s="1"/>
  <c r="AB19" i="12"/>
  <c r="Z19" i="10"/>
  <c r="AA19" i="10" s="1"/>
  <c r="M18" i="12"/>
  <c r="M18" i="13" s="1"/>
  <c r="X18" i="12"/>
  <c r="AC18" i="12"/>
  <c r="S18" i="12"/>
  <c r="S18" i="13" s="1"/>
  <c r="Z18" i="10"/>
  <c r="AA18" i="10" s="1"/>
  <c r="AB18" i="12"/>
  <c r="Z10" i="10"/>
  <c r="AA10" i="10" s="1"/>
  <c r="Z17" i="10"/>
  <c r="AA17" i="10" s="1"/>
  <c r="X17" i="12"/>
  <c r="AC17" i="12"/>
  <c r="S17" i="12"/>
  <c r="S17" i="13" s="1"/>
  <c r="M17" i="12"/>
  <c r="M17" i="13" s="1"/>
  <c r="AB17" i="12"/>
  <c r="I114" i="5"/>
  <c r="AC16" i="12"/>
  <c r="D312" i="5"/>
  <c r="E311" i="9"/>
  <c r="Y311" i="5"/>
  <c r="G311" i="12"/>
  <c r="AC12" i="12"/>
  <c r="AC12" i="13" s="1"/>
  <c r="AC8" i="12"/>
  <c r="AC8" i="13" s="1"/>
  <c r="AC14" i="12"/>
  <c r="AC14" i="13" s="1"/>
  <c r="AC10" i="12"/>
  <c r="AC10" i="13" s="1"/>
  <c r="AC9" i="12"/>
  <c r="AC9" i="13" s="1"/>
  <c r="AC11" i="12"/>
  <c r="AC11" i="13" s="1"/>
  <c r="AC15" i="12"/>
  <c r="AC13" i="12"/>
  <c r="AC13" i="13" s="1"/>
  <c r="Z16" i="10"/>
  <c r="AA16" i="10" s="1"/>
  <c r="AB16" i="12"/>
  <c r="X16" i="12"/>
  <c r="M16" i="12"/>
  <c r="M16" i="13" s="1"/>
  <c r="S16" i="12"/>
  <c r="S16" i="13" s="1"/>
  <c r="K27" i="14"/>
  <c r="AB14" i="12"/>
  <c r="X11" i="12"/>
  <c r="X11" i="13" s="1"/>
  <c r="X12" i="12"/>
  <c r="X12" i="13" s="1"/>
  <c r="S15" i="12"/>
  <c r="S15" i="13" s="1"/>
  <c r="N14" i="13"/>
  <c r="S14" i="12"/>
  <c r="X14" i="12"/>
  <c r="X14" i="13" s="1"/>
  <c r="X15" i="12"/>
  <c r="N12" i="13"/>
  <c r="S12" i="12"/>
  <c r="S12" i="13" s="1"/>
  <c r="X13" i="12"/>
  <c r="X13" i="13" s="1"/>
  <c r="N13" i="13"/>
  <c r="S13" i="12"/>
  <c r="S13" i="13" s="1"/>
  <c r="M14" i="12"/>
  <c r="Z14" i="10"/>
  <c r="AA14" i="10" s="1"/>
  <c r="G254" i="13"/>
  <c r="D254" i="13" s="1"/>
  <c r="G255" i="10"/>
  <c r="G256" i="10" s="1"/>
  <c r="AB15" i="12"/>
  <c r="Z15" i="10"/>
  <c r="AA15" i="10" s="1"/>
  <c r="M15" i="12"/>
  <c r="M15" i="13" s="1"/>
  <c r="H27" i="14"/>
  <c r="H13" i="13"/>
  <c r="Z13" i="10"/>
  <c r="AA13" i="10" s="1"/>
  <c r="I194" i="5"/>
  <c r="N6" i="14"/>
  <c r="P11" i="5"/>
  <c r="P10" i="5"/>
  <c r="AB13" i="12"/>
  <c r="AB13" i="13" s="1"/>
  <c r="M13" i="12"/>
  <c r="M13" i="13" s="1"/>
  <c r="I206" i="5"/>
  <c r="I176" i="5"/>
  <c r="I202" i="5"/>
  <c r="I204" i="5"/>
  <c r="I205" i="5"/>
  <c r="I201" i="5"/>
  <c r="I203" i="5"/>
  <c r="I177" i="5"/>
  <c r="I179" i="5"/>
  <c r="I178" i="5"/>
  <c r="I180" i="5"/>
  <c r="I181" i="5"/>
  <c r="I183" i="5"/>
  <c r="I182" i="5"/>
  <c r="I184" i="5"/>
  <c r="I185" i="5"/>
  <c r="I186" i="5"/>
  <c r="I187" i="5"/>
  <c r="I188" i="5"/>
  <c r="I189" i="5"/>
  <c r="I190" i="5"/>
  <c r="I191" i="5"/>
  <c r="I192" i="5"/>
  <c r="I193" i="5"/>
  <c r="I195" i="5"/>
  <c r="I196" i="5"/>
  <c r="I197" i="5"/>
  <c r="I199" i="5"/>
  <c r="I198" i="5"/>
  <c r="I200" i="5"/>
  <c r="P9" i="5"/>
  <c r="AB207" i="10"/>
  <c r="AC207" i="10" s="1"/>
  <c r="I207" i="5"/>
  <c r="I208" i="5"/>
  <c r="AC210" i="10"/>
  <c r="AC209" i="10"/>
  <c r="AB206" i="10"/>
  <c r="AC206" i="10" s="1"/>
  <c r="AC212" i="10"/>
  <c r="AC208" i="10"/>
  <c r="AC213" i="10"/>
  <c r="AC211" i="10"/>
  <c r="Z12" i="10"/>
  <c r="AA12" i="10" s="1"/>
  <c r="AB11" i="12"/>
  <c r="AB11" i="13" s="1"/>
  <c r="Z9" i="10"/>
  <c r="AA9" i="10" s="1"/>
  <c r="H10" i="13"/>
  <c r="M10" i="12"/>
  <c r="M10" i="13" s="1"/>
  <c r="H11" i="13"/>
  <c r="M11" i="12"/>
  <c r="AB186" i="10"/>
  <c r="AC186" i="10" s="1"/>
  <c r="AB196" i="10"/>
  <c r="AC196" i="10" s="1"/>
  <c r="AB184" i="10"/>
  <c r="AC184" i="10" s="1"/>
  <c r="AB188" i="10"/>
  <c r="AC188" i="10" s="1"/>
  <c r="AB182" i="10"/>
  <c r="AC182" i="10" s="1"/>
  <c r="AB202" i="10"/>
  <c r="AC202" i="10" s="1"/>
  <c r="AB180" i="10"/>
  <c r="AC180" i="10" s="1"/>
  <c r="AB189" i="10"/>
  <c r="AC189" i="10" s="1"/>
  <c r="AB191" i="10"/>
  <c r="AC191" i="10" s="1"/>
  <c r="AB181" i="10"/>
  <c r="AC181" i="10" s="1"/>
  <c r="AB205" i="10"/>
  <c r="AC205" i="10" s="1"/>
  <c r="AB194" i="10"/>
  <c r="AC194" i="10" s="1"/>
  <c r="AB177" i="10"/>
  <c r="AC177" i="10" s="1"/>
  <c r="AB187" i="10"/>
  <c r="AC187" i="10" s="1"/>
  <c r="AB198" i="10"/>
  <c r="AC198" i="10" s="1"/>
  <c r="AB197" i="10"/>
  <c r="AC197" i="10" s="1"/>
  <c r="AB193" i="10"/>
  <c r="AC193" i="10" s="1"/>
  <c r="AB185" i="10"/>
  <c r="AC185" i="10" s="1"/>
  <c r="AB183" i="10"/>
  <c r="AC183" i="10" s="1"/>
  <c r="AB176" i="10"/>
  <c r="AC176" i="10" s="1"/>
  <c r="AB201" i="10"/>
  <c r="AC201" i="10" s="1"/>
  <c r="AB199" i="10"/>
  <c r="AC199" i="10" s="1"/>
  <c r="AB190" i="10"/>
  <c r="AC190" i="10" s="1"/>
  <c r="AB179" i="10"/>
  <c r="AC179" i="10" s="1"/>
  <c r="AB178" i="10"/>
  <c r="AC178" i="10" s="1"/>
  <c r="AB200" i="10"/>
  <c r="AC200" i="10" s="1"/>
  <c r="AB195" i="10"/>
  <c r="AC195" i="10" s="1"/>
  <c r="AB192" i="10"/>
  <c r="AC192" i="10" s="1"/>
  <c r="AB203" i="10"/>
  <c r="AC203" i="10" s="1"/>
  <c r="AB204" i="10"/>
  <c r="AC204" i="10" s="1"/>
  <c r="Z116" i="10"/>
  <c r="AA116" i="10" s="1"/>
  <c r="AC116" i="10" s="1"/>
  <c r="AB9" i="12"/>
  <c r="AB9" i="13" s="1"/>
  <c r="N8" i="13"/>
  <c r="S8" i="12"/>
  <c r="S8" i="13" s="1"/>
  <c r="AB8" i="12"/>
  <c r="AB8" i="13" s="1"/>
  <c r="Z11" i="10"/>
  <c r="AA11" i="10" s="1"/>
  <c r="N9" i="13"/>
  <c r="S9" i="12"/>
  <c r="S9" i="13" s="1"/>
  <c r="N10" i="13"/>
  <c r="S10" i="12"/>
  <c r="S10" i="13" s="1"/>
  <c r="H9" i="13"/>
  <c r="M9" i="12"/>
  <c r="M9" i="13" s="1"/>
  <c r="AB10" i="12"/>
  <c r="AB10" i="13" s="1"/>
  <c r="X8" i="12"/>
  <c r="X8" i="13" s="1"/>
  <c r="N11" i="13"/>
  <c r="S11" i="12"/>
  <c r="S11" i="13" s="1"/>
  <c r="X10" i="12"/>
  <c r="X10" i="13" s="1"/>
  <c r="H8" i="13"/>
  <c r="M8" i="12"/>
  <c r="M8" i="13" s="1"/>
  <c r="X9" i="12"/>
  <c r="X9" i="13" s="1"/>
  <c r="AB12" i="12"/>
  <c r="AB12" i="13" s="1"/>
  <c r="M12" i="12"/>
  <c r="M12" i="13" s="1"/>
  <c r="Z8" i="10"/>
  <c r="AA8" i="10" s="1"/>
  <c r="H146" i="5"/>
  <c r="H115" i="5"/>
  <c r="C57" i="10"/>
  <c r="G58" i="10"/>
  <c r="D59" i="5"/>
  <c r="A58" i="5"/>
  <c r="B58" i="5" s="1"/>
  <c r="D59" i="13"/>
  <c r="G60" i="13"/>
  <c r="C59" i="13"/>
  <c r="Y146" i="5"/>
  <c r="A146" i="5"/>
  <c r="B146" i="5" s="1"/>
  <c r="D147" i="5"/>
  <c r="K6" i="14" l="1"/>
  <c r="I146" i="5"/>
  <c r="I10" i="5" s="1"/>
  <c r="H10" i="5"/>
  <c r="I115" i="5"/>
  <c r="D313" i="5"/>
  <c r="E312" i="9"/>
  <c r="Y312" i="5"/>
  <c r="G312" i="12"/>
  <c r="M14" i="13"/>
  <c r="S14" i="13"/>
  <c r="G257" i="10"/>
  <c r="G256" i="13"/>
  <c r="D256" i="13" s="1"/>
  <c r="G255" i="13"/>
  <c r="D255" i="13" s="1"/>
  <c r="I13" i="5"/>
  <c r="I12" i="5"/>
  <c r="H116" i="5"/>
  <c r="M11" i="13"/>
  <c r="H6" i="14"/>
  <c r="C58" i="10"/>
  <c r="G59" i="10"/>
  <c r="A59" i="5"/>
  <c r="B59" i="5" s="1"/>
  <c r="D60" i="5"/>
  <c r="C60" i="13"/>
  <c r="G61" i="13"/>
  <c r="D60" i="13"/>
  <c r="A147" i="5"/>
  <c r="B147" i="5" s="1"/>
  <c r="D148" i="5"/>
  <c r="Y147" i="5"/>
  <c r="I116" i="5" l="1"/>
  <c r="I9" i="5" s="1"/>
  <c r="H9" i="5"/>
  <c r="D314" i="5"/>
  <c r="G313" i="12"/>
  <c r="Y313" i="5"/>
  <c r="E313" i="9"/>
  <c r="G258" i="10"/>
  <c r="G257" i="13"/>
  <c r="D257" i="13" s="1"/>
  <c r="C59" i="10"/>
  <c r="G60" i="10"/>
  <c r="D61" i="5"/>
  <c r="A60" i="5"/>
  <c r="B60" i="5" s="1"/>
  <c r="C61" i="13"/>
  <c r="G62" i="13"/>
  <c r="D61" i="13"/>
  <c r="Y148" i="5"/>
  <c r="D149" i="5"/>
  <c r="A148" i="5"/>
  <c r="B148" i="5" s="1"/>
  <c r="D315" i="5" l="1"/>
  <c r="D316" i="5" s="1"/>
  <c r="Y314" i="5"/>
  <c r="G314" i="12"/>
  <c r="E314" i="9"/>
  <c r="G259" i="10"/>
  <c r="G258" i="13"/>
  <c r="D258" i="13" s="1"/>
  <c r="C60" i="10"/>
  <c r="G61" i="10"/>
  <c r="D62" i="5"/>
  <c r="A61" i="5"/>
  <c r="B61" i="5" s="1"/>
  <c r="G63" i="13"/>
  <c r="D62" i="13"/>
  <c r="C62" i="13"/>
  <c r="D150" i="5"/>
  <c r="A149" i="5"/>
  <c r="B149" i="5" s="1"/>
  <c r="Y149" i="5"/>
  <c r="N13" i="14" l="1"/>
  <c r="Y316" i="5"/>
  <c r="E316" i="9"/>
  <c r="G316" i="12"/>
  <c r="D317" i="5"/>
  <c r="E315" i="9"/>
  <c r="Y315" i="5"/>
  <c r="G315" i="12"/>
  <c r="G259" i="13"/>
  <c r="D259" i="13" s="1"/>
  <c r="G260" i="10"/>
  <c r="C61" i="10"/>
  <c r="G62" i="10"/>
  <c r="D63" i="5"/>
  <c r="A62" i="5"/>
  <c r="B62" i="5" s="1"/>
  <c r="C63" i="13"/>
  <c r="D63" i="13"/>
  <c r="G64" i="13"/>
  <c r="D151" i="5"/>
  <c r="A150" i="5"/>
  <c r="B150" i="5" s="1"/>
  <c r="Y150" i="5"/>
  <c r="Y317" i="5" l="1"/>
  <c r="D318" i="5"/>
  <c r="E317" i="9"/>
  <c r="G317" i="12"/>
  <c r="G260" i="13"/>
  <c r="D260" i="13" s="1"/>
  <c r="G261" i="10"/>
  <c r="G262" i="10" s="1"/>
  <c r="C62" i="10"/>
  <c r="G63" i="10"/>
  <c r="D64" i="5"/>
  <c r="A63" i="5"/>
  <c r="B63" i="5" s="1"/>
  <c r="G65" i="13"/>
  <c r="D64" i="13"/>
  <c r="C64" i="13"/>
  <c r="A151" i="5"/>
  <c r="B151" i="5" s="1"/>
  <c r="Y151" i="5"/>
  <c r="D152" i="5"/>
  <c r="Y318" i="5" l="1"/>
  <c r="D319" i="5"/>
  <c r="E318" i="9"/>
  <c r="G318" i="12"/>
  <c r="G263" i="10"/>
  <c r="G262" i="13"/>
  <c r="D262" i="13" s="1"/>
  <c r="G261" i="13"/>
  <c r="D261" i="13" s="1"/>
  <c r="C63" i="10"/>
  <c r="G64" i="10"/>
  <c r="D65" i="5"/>
  <c r="A64" i="5"/>
  <c r="B64" i="5" s="1"/>
  <c r="C65" i="13"/>
  <c r="G66" i="13"/>
  <c r="D65" i="13"/>
  <c r="A152" i="5"/>
  <c r="B152" i="5" s="1"/>
  <c r="Y152" i="5"/>
  <c r="D153" i="5"/>
  <c r="D320" i="5" l="1"/>
  <c r="Y319" i="5"/>
  <c r="E319" i="9"/>
  <c r="G319" i="12"/>
  <c r="G264" i="10"/>
  <c r="G263" i="13"/>
  <c r="D263" i="13" s="1"/>
  <c r="C64" i="10"/>
  <c r="G65" i="10"/>
  <c r="A65" i="5"/>
  <c r="B65" i="5" s="1"/>
  <c r="D66" i="5"/>
  <c r="G67" i="13"/>
  <c r="C66" i="13"/>
  <c r="D66" i="13"/>
  <c r="D154" i="5"/>
  <c r="A153" i="5"/>
  <c r="B153" i="5" s="1"/>
  <c r="Y153" i="5"/>
  <c r="D321" i="5" l="1"/>
  <c r="Y320" i="5"/>
  <c r="E320" i="9"/>
  <c r="G320" i="12"/>
  <c r="G265" i="10"/>
  <c r="G264" i="13"/>
  <c r="D264" i="13" s="1"/>
  <c r="G66" i="10"/>
  <c r="C65" i="10"/>
  <c r="A66" i="5"/>
  <c r="B66" i="5" s="1"/>
  <c r="D67" i="5"/>
  <c r="C67" i="13"/>
  <c r="D67" i="13"/>
  <c r="G68" i="13"/>
  <c r="D155" i="5"/>
  <c r="A154" i="5"/>
  <c r="B154" i="5" s="1"/>
  <c r="Y154" i="5"/>
  <c r="D322" i="5" l="1"/>
  <c r="D323" i="5" s="1"/>
  <c r="Y321" i="5"/>
  <c r="E321" i="9"/>
  <c r="G321" i="12"/>
  <c r="G266" i="10"/>
  <c r="G267" i="10" s="1"/>
  <c r="G265" i="13"/>
  <c r="D265" i="13" s="1"/>
  <c r="G67" i="10"/>
  <c r="C66" i="10"/>
  <c r="A67" i="5"/>
  <c r="B67" i="5" s="1"/>
  <c r="D68" i="5"/>
  <c r="G69" i="13"/>
  <c r="D68" i="13"/>
  <c r="C68" i="13"/>
  <c r="Y155" i="5"/>
  <c r="A155" i="5"/>
  <c r="B155" i="5" s="1"/>
  <c r="D156" i="5"/>
  <c r="E323" i="9" l="1"/>
  <c r="D324" i="5"/>
  <c r="G323" i="12"/>
  <c r="Y323" i="5"/>
  <c r="Y322" i="5"/>
  <c r="E322" i="9"/>
  <c r="G322" i="12"/>
  <c r="G267" i="13"/>
  <c r="D267" i="13" s="1"/>
  <c r="G268" i="10"/>
  <c r="G266" i="13"/>
  <c r="D266" i="13" s="1"/>
  <c r="C67" i="10"/>
  <c r="G68" i="10"/>
  <c r="A68" i="5"/>
  <c r="B68" i="5" s="1"/>
  <c r="D69" i="5"/>
  <c r="D69" i="13"/>
  <c r="G70" i="13"/>
  <c r="C69" i="13"/>
  <c r="Y156" i="5"/>
  <c r="D157" i="5"/>
  <c r="A156" i="5"/>
  <c r="B156" i="5" s="1"/>
  <c r="G324" i="12" l="1"/>
  <c r="Y324" i="5"/>
  <c r="D325" i="5"/>
  <c r="E324" i="9"/>
  <c r="G269" i="10"/>
  <c r="G268" i="13"/>
  <c r="C68" i="10"/>
  <c r="G69" i="10"/>
  <c r="A69" i="5"/>
  <c r="B69" i="5" s="1"/>
  <c r="D70" i="5"/>
  <c r="C70" i="13"/>
  <c r="D70" i="13"/>
  <c r="G71" i="13"/>
  <c r="A157" i="5"/>
  <c r="B157" i="5" s="1"/>
  <c r="D158" i="5"/>
  <c r="Y157" i="5"/>
  <c r="D326" i="5" l="1"/>
  <c r="E325" i="9"/>
  <c r="G325" i="12"/>
  <c r="Y325" i="5"/>
  <c r="D268" i="13"/>
  <c r="G270" i="10"/>
  <c r="G269" i="13"/>
  <c r="G70" i="10"/>
  <c r="C69" i="10"/>
  <c r="D71" i="5"/>
  <c r="A70" i="5"/>
  <c r="B70" i="5" s="1"/>
  <c r="D71" i="13"/>
  <c r="C71" i="13"/>
  <c r="G72" i="13"/>
  <c r="A158" i="5"/>
  <c r="B158" i="5" s="1"/>
  <c r="Y158" i="5"/>
  <c r="D159" i="5"/>
  <c r="Y326" i="5" l="1"/>
  <c r="G326" i="12"/>
  <c r="E326" i="9"/>
  <c r="D327" i="5"/>
  <c r="D269" i="13"/>
  <c r="G271" i="10"/>
  <c r="G270" i="13"/>
  <c r="C70" i="10"/>
  <c r="G71" i="10"/>
  <c r="A71" i="5"/>
  <c r="B71" i="5" s="1"/>
  <c r="D72" i="5"/>
  <c r="C72" i="13"/>
  <c r="G73" i="13"/>
  <c r="D72" i="13"/>
  <c r="Y159" i="5"/>
  <c r="D160" i="5"/>
  <c r="A159" i="5"/>
  <c r="B159" i="5" s="1"/>
  <c r="E327" i="9" l="1"/>
  <c r="Y327" i="5"/>
  <c r="G327" i="12"/>
  <c r="D328" i="5"/>
  <c r="D329" i="5" s="1"/>
  <c r="D270" i="13"/>
  <c r="G272" i="10"/>
  <c r="G271" i="13"/>
  <c r="G72" i="10"/>
  <c r="C71" i="10"/>
  <c r="A72" i="5"/>
  <c r="B72" i="5" s="1"/>
  <c r="D73" i="5"/>
  <c r="G74" i="13"/>
  <c r="C73" i="13"/>
  <c r="D73" i="13"/>
  <c r="Y160" i="5"/>
  <c r="D161" i="5"/>
  <c r="A160" i="5"/>
  <c r="B160" i="5" s="1"/>
  <c r="D330" i="5" l="1"/>
  <c r="E330" i="9" s="1"/>
  <c r="G329" i="12"/>
  <c r="E329" i="9"/>
  <c r="Y329" i="5"/>
  <c r="E328" i="9"/>
  <c r="G328" i="12"/>
  <c r="Y328" i="5"/>
  <c r="D271" i="13"/>
  <c r="G273" i="10"/>
  <c r="G272" i="13"/>
  <c r="D272" i="13" s="1"/>
  <c r="G73" i="10"/>
  <c r="C72" i="10"/>
  <c r="A73" i="5"/>
  <c r="B73" i="5" s="1"/>
  <c r="D74" i="5"/>
  <c r="G75" i="13"/>
  <c r="C74" i="13"/>
  <c r="D74" i="13"/>
  <c r="Y161" i="5"/>
  <c r="A161" i="5"/>
  <c r="B161" i="5" s="1"/>
  <c r="D162" i="5"/>
  <c r="Y330" i="5" l="1"/>
  <c r="G330" i="12"/>
  <c r="D331" i="5"/>
  <c r="E331" i="9" s="1"/>
  <c r="G274" i="10"/>
  <c r="G275" i="10" s="1"/>
  <c r="G273" i="13"/>
  <c r="D273" i="13" s="1"/>
  <c r="G74" i="10"/>
  <c r="C73" i="10"/>
  <c r="D75" i="5"/>
  <c r="A74" i="5"/>
  <c r="B74" i="5" s="1"/>
  <c r="D75" i="13"/>
  <c r="G76" i="13"/>
  <c r="C75" i="13"/>
  <c r="D163" i="5"/>
  <c r="Y162" i="5"/>
  <c r="A162" i="5"/>
  <c r="B162" i="5" s="1"/>
  <c r="Y331" i="5" l="1"/>
  <c r="G331" i="12"/>
  <c r="D332" i="5"/>
  <c r="E332" i="9" s="1"/>
  <c r="G276" i="10"/>
  <c r="G277" i="10" s="1"/>
  <c r="G275" i="13"/>
  <c r="D275" i="13" s="1"/>
  <c r="G274" i="13"/>
  <c r="D274" i="13" s="1"/>
  <c r="G75" i="10"/>
  <c r="C74" i="10"/>
  <c r="D76" i="5"/>
  <c r="A75" i="5"/>
  <c r="B75" i="5" s="1"/>
  <c r="G77" i="13"/>
  <c r="D76" i="13"/>
  <c r="C76" i="13"/>
  <c r="D164" i="5"/>
  <c r="A163" i="5"/>
  <c r="B163" i="5" s="1"/>
  <c r="Y163" i="5"/>
  <c r="Y332" i="5" l="1"/>
  <c r="G332" i="12"/>
  <c r="D333" i="5"/>
  <c r="E333" i="9" s="1"/>
  <c r="G278" i="10"/>
  <c r="G277" i="13"/>
  <c r="D277" i="13" s="1"/>
  <c r="G276" i="13"/>
  <c r="D276" i="13" s="1"/>
  <c r="G76" i="10"/>
  <c r="C75" i="10"/>
  <c r="D77" i="5"/>
  <c r="A76" i="5"/>
  <c r="B76" i="5" s="1"/>
  <c r="C77" i="13"/>
  <c r="D77" i="13"/>
  <c r="G78" i="13"/>
  <c r="D165" i="5"/>
  <c r="A164" i="5"/>
  <c r="B164" i="5" s="1"/>
  <c r="Y164" i="5"/>
  <c r="Y333" i="5" l="1"/>
  <c r="G333" i="12"/>
  <c r="D334" i="5"/>
  <c r="E334" i="9" s="1"/>
  <c r="G279" i="10"/>
  <c r="G278" i="13"/>
  <c r="D278" i="13" s="1"/>
  <c r="G77" i="10"/>
  <c r="C76" i="10"/>
  <c r="D78" i="5"/>
  <c r="A77" i="5"/>
  <c r="B77" i="5" s="1"/>
  <c r="D78" i="13"/>
  <c r="C78" i="13"/>
  <c r="G79" i="13"/>
  <c r="A165" i="5"/>
  <c r="B165" i="5" s="1"/>
  <c r="D166" i="5"/>
  <c r="Y165" i="5"/>
  <c r="Y334" i="5" l="1"/>
  <c r="G334" i="12"/>
  <c r="D335" i="5"/>
  <c r="E335" i="9" s="1"/>
  <c r="G280" i="10"/>
  <c r="G279" i="13"/>
  <c r="D279" i="13" s="1"/>
  <c r="C77" i="10"/>
  <c r="G78" i="10"/>
  <c r="D79" i="5"/>
  <c r="A78" i="5"/>
  <c r="B78" i="5" s="1"/>
  <c r="D79" i="13"/>
  <c r="C79" i="13"/>
  <c r="G80" i="13"/>
  <c r="D167" i="5"/>
  <c r="Y166" i="5"/>
  <c r="A166" i="5"/>
  <c r="B166" i="5" s="1"/>
  <c r="Y335" i="5" l="1"/>
  <c r="G335" i="12"/>
  <c r="D336" i="5"/>
  <c r="G281" i="10"/>
  <c r="G280" i="13"/>
  <c r="D280" i="13" s="1"/>
  <c r="C78" i="10"/>
  <c r="G79" i="10"/>
  <c r="A79" i="5"/>
  <c r="B79" i="5" s="1"/>
  <c r="D80" i="5"/>
  <c r="G81" i="13"/>
  <c r="C80" i="13"/>
  <c r="D80" i="13"/>
  <c r="A167" i="5"/>
  <c r="B167" i="5" s="1"/>
  <c r="D168" i="5"/>
  <c r="Y167" i="5"/>
  <c r="D337" i="5" l="1"/>
  <c r="D338" i="5" s="1"/>
  <c r="E336" i="9"/>
  <c r="Y336" i="5"/>
  <c r="G336" i="12"/>
  <c r="G282" i="10"/>
  <c r="G283" i="10" s="1"/>
  <c r="G281" i="13"/>
  <c r="D281" i="13" s="1"/>
  <c r="C79" i="10"/>
  <c r="G80" i="10"/>
  <c r="A80" i="5"/>
  <c r="B80" i="5" s="1"/>
  <c r="D81" i="5"/>
  <c r="D81" i="13"/>
  <c r="C81" i="13"/>
  <c r="G82" i="13"/>
  <c r="A168" i="5"/>
  <c r="B168" i="5" s="1"/>
  <c r="D169" i="5"/>
  <c r="Y168" i="5"/>
  <c r="Y337" i="5" l="1"/>
  <c r="E337" i="9"/>
  <c r="G337" i="12"/>
  <c r="G338" i="12"/>
  <c r="E338" i="9"/>
  <c r="Y338" i="5"/>
  <c r="D339" i="5"/>
  <c r="G284" i="10"/>
  <c r="G283" i="13"/>
  <c r="D283" i="13" s="1"/>
  <c r="G282" i="13"/>
  <c r="D282" i="13" s="1"/>
  <c r="G81" i="10"/>
  <c r="C80" i="10"/>
  <c r="D82" i="5"/>
  <c r="A81" i="5"/>
  <c r="B81" i="5" s="1"/>
  <c r="D82" i="13"/>
  <c r="G83" i="13"/>
  <c r="C82" i="13"/>
  <c r="D170" i="5"/>
  <c r="Y169" i="5"/>
  <c r="A169" i="5"/>
  <c r="B169" i="5" s="1"/>
  <c r="G339" i="12" l="1"/>
  <c r="E339" i="9"/>
  <c r="Y339" i="5"/>
  <c r="D340" i="5"/>
  <c r="G284" i="13"/>
  <c r="D284" i="13" s="1"/>
  <c r="G285" i="10"/>
  <c r="C81" i="10"/>
  <c r="G82" i="10"/>
  <c r="D83" i="5"/>
  <c r="A82" i="5"/>
  <c r="B82" i="5" s="1"/>
  <c r="D83" i="13"/>
  <c r="G84" i="13"/>
  <c r="C83" i="13"/>
  <c r="D171" i="5"/>
  <c r="A170" i="5"/>
  <c r="B170" i="5" s="1"/>
  <c r="Y170" i="5"/>
  <c r="G340" i="12" l="1"/>
  <c r="E340" i="9"/>
  <c r="Y340" i="5"/>
  <c r="D341" i="5"/>
  <c r="G286" i="10"/>
  <c r="G285" i="13"/>
  <c r="D285" i="13" s="1"/>
  <c r="G83" i="10"/>
  <c r="C82" i="10"/>
  <c r="D84" i="5"/>
  <c r="A83" i="5"/>
  <c r="B83" i="5" s="1"/>
  <c r="G85" i="13"/>
  <c r="D84" i="13"/>
  <c r="C84" i="13"/>
  <c r="A171" i="5"/>
  <c r="B171" i="5" s="1"/>
  <c r="D172" i="5"/>
  <c r="Y171" i="5"/>
  <c r="G341" i="12" l="1"/>
  <c r="E341" i="9"/>
  <c r="Y341" i="5"/>
  <c r="D342" i="5"/>
  <c r="G287" i="10"/>
  <c r="G286" i="13"/>
  <c r="D286" i="13" s="1"/>
  <c r="G84" i="10"/>
  <c r="C83" i="10"/>
  <c r="D85" i="5"/>
  <c r="A84" i="5"/>
  <c r="B84" i="5" s="1"/>
  <c r="C85" i="13"/>
  <c r="G86" i="13"/>
  <c r="D85" i="13"/>
  <c r="D173" i="5"/>
  <c r="Y172" i="5"/>
  <c r="A172" i="5"/>
  <c r="B172" i="5" s="1"/>
  <c r="G342" i="12" l="1"/>
  <c r="E342" i="9"/>
  <c r="Y342" i="5"/>
  <c r="D343" i="5"/>
  <c r="G288" i="10"/>
  <c r="G289" i="10" s="1"/>
  <c r="G287" i="13"/>
  <c r="D287" i="13" s="1"/>
  <c r="G85" i="10"/>
  <c r="C84" i="10"/>
  <c r="A85" i="5"/>
  <c r="B85" i="5" s="1"/>
  <c r="D86" i="5"/>
  <c r="G87" i="13"/>
  <c r="D86" i="13"/>
  <c r="C86" i="13"/>
  <c r="A173" i="5"/>
  <c r="B173" i="5" s="1"/>
  <c r="D174" i="5"/>
  <c r="Y173" i="5"/>
  <c r="G343" i="12" l="1"/>
  <c r="E343" i="9"/>
  <c r="Y343" i="5"/>
  <c r="D344" i="5"/>
  <c r="D345" i="5" s="1"/>
  <c r="G290" i="10"/>
  <c r="G289" i="13"/>
  <c r="D289" i="13" s="1"/>
  <c r="G288" i="13"/>
  <c r="D288" i="13" s="1"/>
  <c r="G86" i="10"/>
  <c r="C85" i="10"/>
  <c r="D87" i="5"/>
  <c r="A86" i="5"/>
  <c r="B86" i="5" s="1"/>
  <c r="C87" i="13"/>
  <c r="D87" i="13"/>
  <c r="G88" i="13"/>
  <c r="Y174" i="5"/>
  <c r="A174" i="5"/>
  <c r="B174" i="5" s="1"/>
  <c r="D175" i="5"/>
  <c r="E345" i="9" l="1"/>
  <c r="G345" i="12"/>
  <c r="Y345" i="5"/>
  <c r="D346" i="5"/>
  <c r="Y344" i="5"/>
  <c r="E344" i="9"/>
  <c r="G344" i="12"/>
  <c r="G291" i="10"/>
  <c r="G290" i="13"/>
  <c r="D290" i="13" s="1"/>
  <c r="C86" i="10"/>
  <c r="G87" i="10"/>
  <c r="A87" i="5"/>
  <c r="B87" i="5" s="1"/>
  <c r="D88" i="5"/>
  <c r="G89" i="13"/>
  <c r="D88" i="13"/>
  <c r="C88" i="13"/>
  <c r="A175" i="5"/>
  <c r="B175" i="5" s="1"/>
  <c r="D176" i="5"/>
  <c r="Y175" i="5"/>
  <c r="E346" i="9" l="1"/>
  <c r="G346" i="12"/>
  <c r="Y346" i="5"/>
  <c r="D347" i="5"/>
  <c r="G292" i="10"/>
  <c r="G291" i="13"/>
  <c r="D291" i="13" s="1"/>
  <c r="C87" i="10"/>
  <c r="G88" i="10"/>
  <c r="D89" i="5"/>
  <c r="A88" i="5"/>
  <c r="B88" i="5" s="1"/>
  <c r="C89" i="13"/>
  <c r="D89" i="13"/>
  <c r="G90" i="13"/>
  <c r="A176" i="5"/>
  <c r="B176" i="5" s="1"/>
  <c r="D177" i="5"/>
  <c r="Y176" i="5"/>
  <c r="E347" i="9" l="1"/>
  <c r="G347" i="12"/>
  <c r="Y347" i="5"/>
  <c r="D348" i="5"/>
  <c r="G293" i="10"/>
  <c r="G292" i="13"/>
  <c r="D292" i="13" s="1"/>
  <c r="C88" i="10"/>
  <c r="G89" i="10"/>
  <c r="D90" i="5"/>
  <c r="A89" i="5"/>
  <c r="B89" i="5" s="1"/>
  <c r="C90" i="13"/>
  <c r="G91" i="13"/>
  <c r="D90" i="13"/>
  <c r="Y177" i="5"/>
  <c r="D178" i="5"/>
  <c r="A177" i="5"/>
  <c r="B177" i="5" s="1"/>
  <c r="E348" i="9" l="1"/>
  <c r="G348" i="12"/>
  <c r="Y348" i="5"/>
  <c r="D349" i="5"/>
  <c r="G294" i="10"/>
  <c r="G295" i="10" s="1"/>
  <c r="G293" i="13"/>
  <c r="D293" i="13" s="1"/>
  <c r="G90" i="10"/>
  <c r="C89" i="10"/>
  <c r="D91" i="5"/>
  <c r="A90" i="5"/>
  <c r="B90" i="5" s="1"/>
  <c r="D91" i="13"/>
  <c r="G92" i="13"/>
  <c r="C91" i="13"/>
  <c r="D179" i="5"/>
  <c r="Y178" i="5"/>
  <c r="A178" i="5"/>
  <c r="B178" i="5" s="1"/>
  <c r="E349" i="9" l="1"/>
  <c r="G349" i="12"/>
  <c r="Y349" i="5"/>
  <c r="D350" i="5"/>
  <c r="D351" i="5" s="1"/>
  <c r="G295" i="13"/>
  <c r="D295" i="13" s="1"/>
  <c r="G296" i="10"/>
  <c r="G297" i="10" s="1"/>
  <c r="G294" i="13"/>
  <c r="D294" i="13" s="1"/>
  <c r="C90" i="10"/>
  <c r="G91" i="10"/>
  <c r="A91" i="5"/>
  <c r="B91" i="5" s="1"/>
  <c r="D92" i="5"/>
  <c r="G93" i="13"/>
  <c r="D92" i="13"/>
  <c r="C92" i="13"/>
  <c r="Y179" i="5"/>
  <c r="A179" i="5"/>
  <c r="B179" i="5" s="1"/>
  <c r="D180" i="5"/>
  <c r="Y351" i="5" l="1"/>
  <c r="E351" i="9"/>
  <c r="G351" i="12"/>
  <c r="D352" i="5"/>
  <c r="E350" i="9"/>
  <c r="G350" i="12"/>
  <c r="Y350" i="5"/>
  <c r="G298" i="10"/>
  <c r="G297" i="13"/>
  <c r="D297" i="13" s="1"/>
  <c r="G296" i="13"/>
  <c r="D296" i="13" s="1"/>
  <c r="C91" i="10"/>
  <c r="G92" i="10"/>
  <c r="D93" i="5"/>
  <c r="A92" i="5"/>
  <c r="B92" i="5" s="1"/>
  <c r="C93" i="13"/>
  <c r="G94" i="13"/>
  <c r="D93" i="13"/>
  <c r="A180" i="5"/>
  <c r="B180" i="5" s="1"/>
  <c r="Y180" i="5"/>
  <c r="D181" i="5"/>
  <c r="Y352" i="5" l="1"/>
  <c r="E352" i="9"/>
  <c r="G352" i="12"/>
  <c r="D353" i="5"/>
  <c r="G298" i="13"/>
  <c r="D298" i="13" s="1"/>
  <c r="G299" i="10"/>
  <c r="G93" i="10"/>
  <c r="C92" i="10"/>
  <c r="D94" i="5"/>
  <c r="A93" i="5"/>
  <c r="B93" i="5" s="1"/>
  <c r="D94" i="13"/>
  <c r="G95" i="13"/>
  <c r="C94" i="13"/>
  <c r="D182" i="5"/>
  <c r="A181" i="5"/>
  <c r="B181" i="5" s="1"/>
  <c r="Y181" i="5"/>
  <c r="Y353" i="5" l="1"/>
  <c r="E353" i="9"/>
  <c r="G353" i="12"/>
  <c r="D354" i="5"/>
  <c r="G299" i="13"/>
  <c r="D299" i="13" s="1"/>
  <c r="G300" i="10"/>
  <c r="G94" i="10"/>
  <c r="C93" i="10"/>
  <c r="D95" i="5"/>
  <c r="A94" i="5"/>
  <c r="B94" i="5" s="1"/>
  <c r="G96" i="13"/>
  <c r="C95" i="13"/>
  <c r="D95" i="13"/>
  <c r="Y182" i="5"/>
  <c r="A182" i="5"/>
  <c r="B182" i="5" s="1"/>
  <c r="D183" i="5"/>
  <c r="Y354" i="5" l="1"/>
  <c r="E354" i="9"/>
  <c r="G354" i="12"/>
  <c r="D355" i="5"/>
  <c r="G301" i="10"/>
  <c r="G302" i="10" s="1"/>
  <c r="G300" i="13"/>
  <c r="D300" i="13" s="1"/>
  <c r="G95" i="10"/>
  <c r="C94" i="10"/>
  <c r="A95" i="5"/>
  <c r="B95" i="5" s="1"/>
  <c r="D96" i="5"/>
  <c r="C96" i="13"/>
  <c r="G97" i="13"/>
  <c r="D96" i="13"/>
  <c r="Y183" i="5"/>
  <c r="D184" i="5"/>
  <c r="A183" i="5"/>
  <c r="B183" i="5" s="1"/>
  <c r="Y355" i="5" l="1"/>
  <c r="E355" i="9"/>
  <c r="G355" i="12"/>
  <c r="D356" i="5"/>
  <c r="G303" i="10"/>
  <c r="G302" i="13"/>
  <c r="D302" i="13" s="1"/>
  <c r="G301" i="13"/>
  <c r="D301" i="13" s="1"/>
  <c r="G96" i="10"/>
  <c r="C95" i="10"/>
  <c r="D97" i="5"/>
  <c r="A96" i="5"/>
  <c r="B96" i="5" s="1"/>
  <c r="G98" i="13"/>
  <c r="C97" i="13"/>
  <c r="D97" i="13"/>
  <c r="Y184" i="5"/>
  <c r="A184" i="5"/>
  <c r="B184" i="5" s="1"/>
  <c r="D185" i="5"/>
  <c r="Y356" i="5" l="1"/>
  <c r="E356" i="9"/>
  <c r="G356" i="12"/>
  <c r="D357" i="5"/>
  <c r="D358" i="5" s="1"/>
  <c r="G304" i="10"/>
  <c r="G303" i="13"/>
  <c r="D303" i="13" s="1"/>
  <c r="G97" i="10"/>
  <c r="C96" i="10"/>
  <c r="A97" i="5"/>
  <c r="B97" i="5" s="1"/>
  <c r="D98" i="5"/>
  <c r="C98" i="13"/>
  <c r="D98" i="13"/>
  <c r="G99" i="13"/>
  <c r="Y185" i="5"/>
  <c r="A185" i="5"/>
  <c r="B185" i="5" s="1"/>
  <c r="D186" i="5"/>
  <c r="E358" i="9" l="1"/>
  <c r="G358" i="12"/>
  <c r="Y358" i="5"/>
  <c r="D359" i="5"/>
  <c r="D360" i="5" s="1"/>
  <c r="Y357" i="5"/>
  <c r="E357" i="9"/>
  <c r="G357" i="12"/>
  <c r="G305" i="10"/>
  <c r="G304" i="13"/>
  <c r="D304" i="13" s="1"/>
  <c r="G98" i="10"/>
  <c r="C97" i="10"/>
  <c r="A98" i="5"/>
  <c r="B98" i="5" s="1"/>
  <c r="D99" i="5"/>
  <c r="C99" i="13"/>
  <c r="G100" i="13"/>
  <c r="D99" i="13"/>
  <c r="Y186" i="5"/>
  <c r="D187" i="5"/>
  <c r="A186" i="5"/>
  <c r="B186" i="5" s="1"/>
  <c r="Y360" i="5" l="1"/>
  <c r="D361" i="5"/>
  <c r="G360" i="12"/>
  <c r="E360" i="9"/>
  <c r="E359" i="9"/>
  <c r="G359" i="12"/>
  <c r="Y359" i="5"/>
  <c r="G306" i="10"/>
  <c r="G305" i="13"/>
  <c r="D305" i="13" s="1"/>
  <c r="C98" i="10"/>
  <c r="G99" i="10"/>
  <c r="A99" i="5"/>
  <c r="B99" i="5" s="1"/>
  <c r="D100" i="5"/>
  <c r="G101" i="13"/>
  <c r="D100" i="13"/>
  <c r="C100" i="13"/>
  <c r="D188" i="5"/>
  <c r="A187" i="5"/>
  <c r="B187" i="5" s="1"/>
  <c r="Y187" i="5"/>
  <c r="E361" i="9" l="1"/>
  <c r="D362" i="5"/>
  <c r="Y361" i="5"/>
  <c r="G361" i="12"/>
  <c r="G307" i="10"/>
  <c r="G306" i="13"/>
  <c r="D306" i="13" s="1"/>
  <c r="G100" i="10"/>
  <c r="C99" i="10"/>
  <c r="A100" i="5"/>
  <c r="B100" i="5" s="1"/>
  <c r="D101" i="5"/>
  <c r="G102" i="13"/>
  <c r="D101" i="13"/>
  <c r="C101" i="13"/>
  <c r="D189" i="5"/>
  <c r="A188" i="5"/>
  <c r="B188" i="5" s="1"/>
  <c r="Y188" i="5"/>
  <c r="E362" i="9" l="1"/>
  <c r="D363" i="5"/>
  <c r="Y362" i="5"/>
  <c r="G362" i="12"/>
  <c r="G308" i="10"/>
  <c r="G309" i="10" s="1"/>
  <c r="G307" i="13"/>
  <c r="D307" i="13" s="1"/>
  <c r="G101" i="10"/>
  <c r="C100" i="10"/>
  <c r="A101" i="5"/>
  <c r="B101" i="5" s="1"/>
  <c r="D102" i="5"/>
  <c r="D102" i="13"/>
  <c r="G103" i="13"/>
  <c r="C102" i="13"/>
  <c r="Y189" i="5"/>
  <c r="A189" i="5"/>
  <c r="B189" i="5" s="1"/>
  <c r="D190" i="5"/>
  <c r="Y363" i="5" l="1"/>
  <c r="E363" i="9"/>
  <c r="D364" i="5"/>
  <c r="G363" i="12"/>
  <c r="G310" i="10"/>
  <c r="G309" i="13"/>
  <c r="D309" i="13" s="1"/>
  <c r="G308" i="13"/>
  <c r="D308" i="13" s="1"/>
  <c r="G102" i="10"/>
  <c r="C101" i="10"/>
  <c r="A102" i="5"/>
  <c r="B102" i="5" s="1"/>
  <c r="D103" i="5"/>
  <c r="G104" i="13"/>
  <c r="D103" i="13"/>
  <c r="C103" i="13"/>
  <c r="D191" i="5"/>
  <c r="A190" i="5"/>
  <c r="B190" i="5" s="1"/>
  <c r="Y190" i="5"/>
  <c r="E364" i="9" l="1"/>
  <c r="D365" i="5"/>
  <c r="Y364" i="5"/>
  <c r="G364" i="12"/>
  <c r="G311" i="10"/>
  <c r="G310" i="13"/>
  <c r="D310" i="13" s="1"/>
  <c r="C102" i="10"/>
  <c r="G103" i="10"/>
  <c r="D104" i="5"/>
  <c r="A103" i="5"/>
  <c r="B103" i="5" s="1"/>
  <c r="D104" i="13"/>
  <c r="G105" i="13"/>
  <c r="C104" i="13"/>
  <c r="Y191" i="5"/>
  <c r="A191" i="5"/>
  <c r="B191" i="5" s="1"/>
  <c r="D192" i="5"/>
  <c r="Y365" i="5" l="1"/>
  <c r="E365" i="9"/>
  <c r="D366" i="5"/>
  <c r="D367" i="5" s="1"/>
  <c r="G365" i="12"/>
  <c r="G312" i="10"/>
  <c r="G311" i="13"/>
  <c r="D311" i="13" s="1"/>
  <c r="C103" i="10"/>
  <c r="G104" i="10"/>
  <c r="D105" i="5"/>
  <c r="A104" i="5"/>
  <c r="B104" i="5" s="1"/>
  <c r="D105" i="13"/>
  <c r="C105" i="13"/>
  <c r="G106" i="13"/>
  <c r="D193" i="5"/>
  <c r="A192" i="5"/>
  <c r="B192" i="5" s="1"/>
  <c r="Y192" i="5"/>
  <c r="G367" i="12" l="1"/>
  <c r="E367" i="9"/>
  <c r="D368" i="5"/>
  <c r="Y367" i="5"/>
  <c r="E366" i="9"/>
  <c r="Y366" i="5"/>
  <c r="G366" i="12"/>
  <c r="G313" i="10"/>
  <c r="G312" i="13"/>
  <c r="D312" i="13" s="1"/>
  <c r="C104" i="10"/>
  <c r="G105" i="10"/>
  <c r="A105" i="5"/>
  <c r="B105" i="5" s="1"/>
  <c r="D106" i="5"/>
  <c r="D106" i="13"/>
  <c r="G107" i="13"/>
  <c r="C106" i="13"/>
  <c r="D194" i="5"/>
  <c r="A193" i="5"/>
  <c r="B193" i="5" s="1"/>
  <c r="Y193" i="5"/>
  <c r="G368" i="12" l="1"/>
  <c r="E368" i="9"/>
  <c r="D369" i="5"/>
  <c r="Y368" i="5"/>
  <c r="G314" i="10"/>
  <c r="G313" i="13"/>
  <c r="D313" i="13" s="1"/>
  <c r="G106" i="10"/>
  <c r="C105" i="10"/>
  <c r="A106" i="5"/>
  <c r="B106" i="5" s="1"/>
  <c r="D107" i="13"/>
  <c r="G108" i="13"/>
  <c r="C107" i="13"/>
  <c r="D195" i="5"/>
  <c r="A194" i="5"/>
  <c r="B194" i="5" s="1"/>
  <c r="Y194" i="5"/>
  <c r="G369" i="12" l="1"/>
  <c r="E369" i="9"/>
  <c r="D370" i="5"/>
  <c r="Y369" i="5"/>
  <c r="G315" i="10"/>
  <c r="G316" i="10" s="1"/>
  <c r="G314" i="13"/>
  <c r="D314" i="13" s="1"/>
  <c r="C106" i="10"/>
  <c r="G109" i="13"/>
  <c r="D108" i="13"/>
  <c r="C108" i="13"/>
  <c r="A195" i="5"/>
  <c r="B195" i="5" s="1"/>
  <c r="D196" i="5"/>
  <c r="Y195" i="5"/>
  <c r="G370" i="12" l="1"/>
  <c r="E370" i="9"/>
  <c r="D371" i="5"/>
  <c r="Y370" i="5"/>
  <c r="G317" i="10"/>
  <c r="G316" i="13"/>
  <c r="D316" i="13" s="1"/>
  <c r="G315" i="13"/>
  <c r="D315" i="13" s="1"/>
  <c r="C109" i="13"/>
  <c r="G110" i="13"/>
  <c r="D109" i="13"/>
  <c r="A196" i="5"/>
  <c r="B196" i="5" s="1"/>
  <c r="D197" i="5"/>
  <c r="Y196" i="5"/>
  <c r="G371" i="12" l="1"/>
  <c r="E371" i="9"/>
  <c r="D372" i="5"/>
  <c r="D373" i="5" s="1"/>
  <c r="Y371" i="5"/>
  <c r="G317" i="13"/>
  <c r="D317" i="13" s="1"/>
  <c r="G318" i="10"/>
  <c r="C110" i="13"/>
  <c r="G111" i="13"/>
  <c r="D110" i="13"/>
  <c r="Y197" i="5"/>
  <c r="A197" i="5"/>
  <c r="B197" i="5" s="1"/>
  <c r="D198" i="5"/>
  <c r="Y373" i="5" l="1"/>
  <c r="D374" i="5"/>
  <c r="G373" i="12"/>
  <c r="E373" i="9"/>
  <c r="G372" i="12"/>
  <c r="E372" i="9"/>
  <c r="Y372" i="5"/>
  <c r="G318" i="13"/>
  <c r="D318" i="13" s="1"/>
  <c r="G319" i="10"/>
  <c r="D111" i="13"/>
  <c r="G112" i="13"/>
  <c r="C111" i="13"/>
  <c r="Y198" i="5"/>
  <c r="A198" i="5"/>
  <c r="B198" i="5" s="1"/>
  <c r="D199" i="5"/>
  <c r="E374" i="9" l="1"/>
  <c r="Y374" i="5"/>
  <c r="D375" i="5"/>
  <c r="G374" i="12"/>
  <c r="G319" i="13"/>
  <c r="D319" i="13" s="1"/>
  <c r="G320" i="10"/>
  <c r="G113" i="13"/>
  <c r="C112" i="13"/>
  <c r="D112" i="13"/>
  <c r="A199" i="5"/>
  <c r="B199" i="5" s="1"/>
  <c r="D200" i="5"/>
  <c r="Y199" i="5"/>
  <c r="E375" i="9" l="1"/>
  <c r="G375" i="12"/>
  <c r="D376" i="5"/>
  <c r="Y375" i="5"/>
  <c r="G320" i="13"/>
  <c r="D320" i="13" s="1"/>
  <c r="G321" i="10"/>
  <c r="C113" i="13"/>
  <c r="G114" i="13"/>
  <c r="D113" i="13"/>
  <c r="D201" i="5"/>
  <c r="D202" i="5" s="1"/>
  <c r="Y200" i="5"/>
  <c r="A200" i="5"/>
  <c r="B200" i="5" s="1"/>
  <c r="E376" i="9" l="1"/>
  <c r="G376" i="12"/>
  <c r="D377" i="5"/>
  <c r="Y376" i="5"/>
  <c r="G321" i="13"/>
  <c r="D321" i="13" s="1"/>
  <c r="G322" i="10"/>
  <c r="G323" i="10" s="1"/>
  <c r="A202" i="5"/>
  <c r="B202" i="5" s="1"/>
  <c r="D203" i="5"/>
  <c r="Y202" i="5"/>
  <c r="C114" i="13"/>
  <c r="G115" i="13"/>
  <c r="D114" i="13"/>
  <c r="A201" i="5"/>
  <c r="B201" i="5" s="1"/>
  <c r="Y201" i="5"/>
  <c r="E377" i="9" l="1"/>
  <c r="G377" i="12"/>
  <c r="D378" i="5"/>
  <c r="D379" i="5" s="1"/>
  <c r="Y377" i="5"/>
  <c r="G323" i="13"/>
  <c r="D323" i="13" s="1"/>
  <c r="G324" i="10"/>
  <c r="G322" i="13"/>
  <c r="D322" i="13" s="1"/>
  <c r="A203" i="5"/>
  <c r="B203" i="5" s="1"/>
  <c r="D204" i="5"/>
  <c r="Y203" i="5"/>
  <c r="D115" i="13"/>
  <c r="C115" i="13"/>
  <c r="G116" i="13"/>
  <c r="D380" i="5" l="1"/>
  <c r="Y379" i="5"/>
  <c r="G379" i="12"/>
  <c r="E379" i="9"/>
  <c r="E378" i="9"/>
  <c r="G378" i="12"/>
  <c r="Y378" i="5"/>
  <c r="G324" i="13"/>
  <c r="D324" i="13" s="1"/>
  <c r="G325" i="10"/>
  <c r="Y204" i="5"/>
  <c r="A204" i="5"/>
  <c r="B204" i="5" s="1"/>
  <c r="D205" i="5"/>
  <c r="D206" i="5" s="1"/>
  <c r="C116" i="13"/>
  <c r="G117" i="13"/>
  <c r="D116" i="13"/>
  <c r="D381" i="5" l="1"/>
  <c r="Y380" i="5"/>
  <c r="E380" i="9"/>
  <c r="G380" i="12"/>
  <c r="G325" i="13"/>
  <c r="D325" i="13" s="1"/>
  <c r="G326" i="10"/>
  <c r="A206" i="5"/>
  <c r="B206" i="5" s="1"/>
  <c r="D207" i="5"/>
  <c r="Y206" i="5"/>
  <c r="A205" i="5"/>
  <c r="B205" i="5" s="1"/>
  <c r="Y205" i="5"/>
  <c r="G118" i="13"/>
  <c r="C117" i="13"/>
  <c r="D117" i="13"/>
  <c r="G381" i="12" l="1"/>
  <c r="D382" i="5"/>
  <c r="Y381" i="5"/>
  <c r="E381" i="9"/>
  <c r="G326" i="13"/>
  <c r="D326" i="13" s="1"/>
  <c r="G327" i="10"/>
  <c r="A207" i="5"/>
  <c r="B207" i="5" s="1"/>
  <c r="D208" i="5"/>
  <c r="Y208" i="5" s="1"/>
  <c r="Y207" i="5"/>
  <c r="G119" i="13"/>
  <c r="C118" i="13"/>
  <c r="D118" i="13"/>
  <c r="E382" i="9" l="1"/>
  <c r="G382" i="12"/>
  <c r="D383" i="5"/>
  <c r="Y382" i="5"/>
  <c r="G327" i="13"/>
  <c r="D327" i="13" s="1"/>
  <c r="G328" i="10"/>
  <c r="A208" i="5"/>
  <c r="B208" i="5" s="1"/>
  <c r="D209" i="5"/>
  <c r="Y209" i="5" s="1"/>
  <c r="G120" i="13"/>
  <c r="D119" i="13"/>
  <c r="C119" i="13"/>
  <c r="D384" i="5" l="1"/>
  <c r="Y383" i="5"/>
  <c r="E383" i="9"/>
  <c r="G383" i="12"/>
  <c r="G328" i="13"/>
  <c r="D328" i="13" s="1"/>
  <c r="G329" i="10"/>
  <c r="A209" i="5"/>
  <c r="B209" i="5" s="1"/>
  <c r="D210" i="5"/>
  <c r="Y210" i="5" s="1"/>
  <c r="C120" i="13"/>
  <c r="G121" i="13"/>
  <c r="D120" i="13"/>
  <c r="E384" i="9" l="1"/>
  <c r="G384" i="12"/>
  <c r="D385" i="5"/>
  <c r="D386" i="5" s="1"/>
  <c r="Y384" i="5"/>
  <c r="G329" i="13"/>
  <c r="D329" i="13" s="1"/>
  <c r="G330" i="10"/>
  <c r="A210" i="5"/>
  <c r="B210" i="5" s="1"/>
  <c r="D211" i="5"/>
  <c r="Y211" i="5" s="1"/>
  <c r="D121" i="13"/>
  <c r="C121" i="13"/>
  <c r="G122" i="13"/>
  <c r="Y386" i="5" l="1"/>
  <c r="G386" i="12"/>
  <c r="E386" i="9"/>
  <c r="D387" i="5"/>
  <c r="E385" i="9"/>
  <c r="G385" i="12"/>
  <c r="Y385" i="5"/>
  <c r="G330" i="13"/>
  <c r="D330" i="13" s="1"/>
  <c r="G331" i="10"/>
  <c r="D212" i="5"/>
  <c r="Y212" i="5" s="1"/>
  <c r="A211" i="5"/>
  <c r="B211" i="5" s="1"/>
  <c r="G123" i="13"/>
  <c r="C122" i="13"/>
  <c r="D122" i="13"/>
  <c r="Y387" i="5" l="1"/>
  <c r="G387" i="12"/>
  <c r="E387" i="9"/>
  <c r="D388" i="5"/>
  <c r="G331" i="13"/>
  <c r="D331" i="13" s="1"/>
  <c r="G332" i="10"/>
  <c r="A212" i="5"/>
  <c r="B212" i="5" s="1"/>
  <c r="D213" i="5"/>
  <c r="G124" i="13"/>
  <c r="C123" i="13"/>
  <c r="D123" i="13"/>
  <c r="Y388" i="5" l="1"/>
  <c r="G388" i="12"/>
  <c r="E388" i="9"/>
  <c r="D389" i="5"/>
  <c r="D390" i="5" s="1"/>
  <c r="G332" i="13"/>
  <c r="D332" i="13" s="1"/>
  <c r="G333" i="10"/>
  <c r="D214" i="5"/>
  <c r="Y213" i="5"/>
  <c r="A213" i="5"/>
  <c r="B213" i="5" s="1"/>
  <c r="D124" i="13"/>
  <c r="C124" i="13"/>
  <c r="G125" i="13"/>
  <c r="Y390" i="5" l="1"/>
  <c r="D391" i="5"/>
  <c r="Y389" i="5"/>
  <c r="G389" i="12"/>
  <c r="E389" i="9"/>
  <c r="G333" i="13"/>
  <c r="D333" i="13" s="1"/>
  <c r="G334" i="10"/>
  <c r="Y214" i="5"/>
  <c r="A214" i="5"/>
  <c r="B214" i="5" s="1"/>
  <c r="D215" i="5"/>
  <c r="A215" i="5" s="1"/>
  <c r="B215" i="5" s="1"/>
  <c r="D125" i="13"/>
  <c r="C125" i="13"/>
  <c r="G126" i="13"/>
  <c r="Y391" i="5" l="1"/>
  <c r="D392" i="5"/>
  <c r="G334" i="13"/>
  <c r="D334" i="13" s="1"/>
  <c r="G335" i="10"/>
  <c r="Y215" i="5"/>
  <c r="D216" i="5"/>
  <c r="D126" i="13"/>
  <c r="C126" i="13"/>
  <c r="G127" i="13"/>
  <c r="Y392" i="5" l="1"/>
  <c r="D393" i="5"/>
  <c r="G335" i="13"/>
  <c r="D335" i="13" s="1"/>
  <c r="G336" i="10"/>
  <c r="G337" i="10" s="1"/>
  <c r="D217" i="5"/>
  <c r="Y216" i="5"/>
  <c r="A216" i="5"/>
  <c r="B216" i="5" s="1"/>
  <c r="G128" i="13"/>
  <c r="C127" i="13"/>
  <c r="D127" i="13"/>
  <c r="Y393" i="5" l="1"/>
  <c r="D394" i="5"/>
  <c r="D395" i="5" s="1"/>
  <c r="G338" i="10"/>
  <c r="G337" i="13"/>
  <c r="D337" i="13" s="1"/>
  <c r="G336" i="13"/>
  <c r="D336" i="13" s="1"/>
  <c r="A217" i="5"/>
  <c r="B217" i="5" s="1"/>
  <c r="Y217" i="5"/>
  <c r="D218" i="5"/>
  <c r="G129" i="13"/>
  <c r="D128" i="13"/>
  <c r="C128" i="13"/>
  <c r="D396" i="5" l="1"/>
  <c r="Y395" i="5"/>
  <c r="Y394" i="5"/>
  <c r="G339" i="10"/>
  <c r="G338" i="13"/>
  <c r="D338" i="13" s="1"/>
  <c r="Y218" i="5"/>
  <c r="A218" i="5"/>
  <c r="B218" i="5" s="1"/>
  <c r="D219" i="5"/>
  <c r="D129" i="13"/>
  <c r="C129" i="13"/>
  <c r="G130" i="13"/>
  <c r="Y396" i="5" l="1"/>
  <c r="D397" i="5"/>
  <c r="G340" i="10"/>
  <c r="G339" i="13"/>
  <c r="D339" i="13" s="1"/>
  <c r="Y219" i="5"/>
  <c r="A219" i="5"/>
  <c r="B219" i="5" s="1"/>
  <c r="D220" i="5"/>
  <c r="G131" i="13"/>
  <c r="D130" i="13"/>
  <c r="C130" i="13"/>
  <c r="Y397" i="5" l="1"/>
  <c r="D398" i="5"/>
  <c r="G341" i="10"/>
  <c r="G340" i="13"/>
  <c r="D340" i="13" s="1"/>
  <c r="Y220" i="5"/>
  <c r="A220" i="5"/>
  <c r="B220" i="5" s="1"/>
  <c r="D221" i="5"/>
  <c r="G132" i="13"/>
  <c r="D131" i="13"/>
  <c r="C131" i="13"/>
  <c r="Y398" i="5" l="1"/>
  <c r="D399" i="5"/>
  <c r="G342" i="10"/>
  <c r="G341" i="13"/>
  <c r="D341" i="13" s="1"/>
  <c r="Y221" i="5"/>
  <c r="D222" i="5"/>
  <c r="A221" i="5"/>
  <c r="B221" i="5" s="1"/>
  <c r="C132" i="13"/>
  <c r="G133" i="13"/>
  <c r="D132" i="13"/>
  <c r="D400" i="5" l="1"/>
  <c r="D401" i="5" s="1"/>
  <c r="Y399" i="5"/>
  <c r="G343" i="10"/>
  <c r="G342" i="13"/>
  <c r="D342" i="13" s="1"/>
  <c r="Y222" i="5"/>
  <c r="D223" i="5"/>
  <c r="A222" i="5"/>
  <c r="B222" i="5" s="1"/>
  <c r="G134" i="13"/>
  <c r="D133" i="13"/>
  <c r="C133" i="13"/>
  <c r="D402" i="5" l="1"/>
  <c r="Y401" i="5"/>
  <c r="Y400" i="5"/>
  <c r="G344" i="10"/>
  <c r="G345" i="10" s="1"/>
  <c r="G343" i="13"/>
  <c r="D343" i="13" s="1"/>
  <c r="Y223" i="5"/>
  <c r="D224" i="5"/>
  <c r="A223" i="5"/>
  <c r="B223" i="5" s="1"/>
  <c r="C134" i="13"/>
  <c r="D134" i="13"/>
  <c r="G135" i="13"/>
  <c r="D403" i="5" l="1"/>
  <c r="Y402" i="5"/>
  <c r="G345" i="13"/>
  <c r="D345" i="13" s="1"/>
  <c r="G346" i="10"/>
  <c r="G344" i="13"/>
  <c r="D344" i="13" s="1"/>
  <c r="Y224" i="5"/>
  <c r="A224" i="5"/>
  <c r="B224" i="5" s="1"/>
  <c r="D225" i="5"/>
  <c r="D135" i="13"/>
  <c r="C135" i="13"/>
  <c r="G136" i="13"/>
  <c r="D404" i="5" l="1"/>
  <c r="Y403" i="5"/>
  <c r="G346" i="13"/>
  <c r="D346" i="13" s="1"/>
  <c r="G347" i="10"/>
  <c r="Y225" i="5"/>
  <c r="A225" i="5"/>
  <c r="B225" i="5" s="1"/>
  <c r="D226" i="5"/>
  <c r="G137" i="13"/>
  <c r="D136" i="13"/>
  <c r="C136" i="13"/>
  <c r="D405" i="5" l="1"/>
  <c r="Y404" i="5"/>
  <c r="G347" i="13"/>
  <c r="D347" i="13" s="1"/>
  <c r="G348" i="10"/>
  <c r="G226" i="12"/>
  <c r="D227" i="5"/>
  <c r="Y227" i="5" s="1"/>
  <c r="E226" i="9"/>
  <c r="Y226" i="5"/>
  <c r="A226" i="5"/>
  <c r="B226" i="5" s="1"/>
  <c r="C137" i="13"/>
  <c r="G138" i="13"/>
  <c r="D137" i="13"/>
  <c r="D406" i="5" l="1"/>
  <c r="Y405" i="5"/>
  <c r="G348" i="13"/>
  <c r="D348" i="13" s="1"/>
  <c r="G349" i="10"/>
  <c r="D228" i="5"/>
  <c r="Y228" i="5" s="1"/>
  <c r="G227" i="12"/>
  <c r="E227" i="9"/>
  <c r="A227" i="5"/>
  <c r="B227" i="5" s="1"/>
  <c r="G139" i="13"/>
  <c r="D138" i="13"/>
  <c r="C138" i="13"/>
  <c r="Y406" i="5" l="1"/>
  <c r="G349" i="13"/>
  <c r="D349" i="13" s="1"/>
  <c r="G350" i="10"/>
  <c r="G351" i="10" s="1"/>
  <c r="G228" i="12"/>
  <c r="E228" i="9"/>
  <c r="D229" i="5"/>
  <c r="A228" i="5"/>
  <c r="B228" i="5" s="1"/>
  <c r="G140" i="13"/>
  <c r="C139" i="13"/>
  <c r="D139" i="13"/>
  <c r="G351" i="13" l="1"/>
  <c r="D351" i="13" s="1"/>
  <c r="G352" i="10"/>
  <c r="G350" i="13"/>
  <c r="D350" i="13" s="1"/>
  <c r="Y229" i="5"/>
  <c r="G229" i="12"/>
  <c r="E229" i="9"/>
  <c r="A229" i="5"/>
  <c r="B229" i="5" s="1"/>
  <c r="D230" i="5"/>
  <c r="D140" i="13"/>
  <c r="C140" i="13"/>
  <c r="G141" i="13"/>
  <c r="G352" i="13" l="1"/>
  <c r="D352" i="13" s="1"/>
  <c r="G353" i="10"/>
  <c r="Y230" i="5"/>
  <c r="G230" i="12"/>
  <c r="E230" i="9"/>
  <c r="D231" i="5"/>
  <c r="G231" i="12" s="1"/>
  <c r="A230" i="5"/>
  <c r="B230" i="5" s="1"/>
  <c r="C141" i="13"/>
  <c r="G142" i="13"/>
  <c r="D141" i="13"/>
  <c r="G353" i="13" l="1"/>
  <c r="D353" i="13" s="1"/>
  <c r="G354" i="10"/>
  <c r="Y231" i="5"/>
  <c r="D232" i="5"/>
  <c r="G232" i="12" s="1"/>
  <c r="E231" i="9"/>
  <c r="A231" i="5"/>
  <c r="B231" i="5" s="1"/>
  <c r="D142" i="13"/>
  <c r="C142" i="13"/>
  <c r="G143" i="13"/>
  <c r="G354" i="13" l="1"/>
  <c r="D354" i="13" s="1"/>
  <c r="G355" i="10"/>
  <c r="E232" i="9"/>
  <c r="Y232" i="5"/>
  <c r="A232" i="5"/>
  <c r="B232" i="5" s="1"/>
  <c r="D233" i="5"/>
  <c r="G233" i="12" s="1"/>
  <c r="C143" i="13"/>
  <c r="G144" i="13"/>
  <c r="D143" i="13"/>
  <c r="G355" i="13" l="1"/>
  <c r="D355" i="13" s="1"/>
  <c r="G356" i="10"/>
  <c r="Y233" i="5"/>
  <c r="A233" i="5"/>
  <c r="B233" i="5" s="1"/>
  <c r="E233" i="9"/>
  <c r="D234" i="5"/>
  <c r="G234" i="12" s="1"/>
  <c r="G145" i="13"/>
  <c r="D144" i="13"/>
  <c r="C144" i="13"/>
  <c r="G356" i="13" l="1"/>
  <c r="D356" i="13" s="1"/>
  <c r="G357" i="10"/>
  <c r="G358" i="10" s="1"/>
  <c r="Y234" i="5"/>
  <c r="A234" i="5"/>
  <c r="B234" i="5" s="1"/>
  <c r="E234" i="9"/>
  <c r="D235" i="5"/>
  <c r="C145" i="13"/>
  <c r="G146" i="13"/>
  <c r="D145" i="13"/>
  <c r="G358" i="13" l="1"/>
  <c r="D358" i="13" s="1"/>
  <c r="G359" i="10"/>
  <c r="G357" i="13"/>
  <c r="D357" i="13" s="1"/>
  <c r="D236" i="5"/>
  <c r="G236" i="12" s="1"/>
  <c r="G235" i="12"/>
  <c r="Y235" i="5"/>
  <c r="A235" i="5"/>
  <c r="B235" i="5" s="1"/>
  <c r="E235" i="9"/>
  <c r="C146" i="13"/>
  <c r="D146" i="13"/>
  <c r="G359" i="13" l="1"/>
  <c r="D359" i="13" s="1"/>
  <c r="G360" i="10"/>
  <c r="D19" i="12"/>
  <c r="Y236" i="5"/>
  <c r="E236" i="9"/>
  <c r="A236" i="5"/>
  <c r="B236" i="5" s="1"/>
  <c r="J11" i="5" l="1"/>
  <c r="X11" i="5" s="1"/>
  <c r="J10" i="5"/>
  <c r="X10" i="5" s="1"/>
  <c r="J18" i="5"/>
  <c r="G9" i="5"/>
  <c r="T9" i="5" s="1"/>
  <c r="J9" i="5"/>
  <c r="X9" i="5" s="1"/>
  <c r="R19" i="5"/>
  <c r="AB19" i="10" s="1"/>
  <c r="AC19" i="10" s="1"/>
  <c r="J19" i="5"/>
  <c r="X19" i="5" s="1"/>
  <c r="J15" i="5"/>
  <c r="X15" i="5" s="1"/>
  <c r="G11" i="5"/>
  <c r="T11" i="5" s="1"/>
  <c r="G13" i="5"/>
  <c r="T13" i="5" s="1"/>
  <c r="J16" i="5"/>
  <c r="X16" i="5" s="1"/>
  <c r="G16" i="5"/>
  <c r="T16" i="5" s="1"/>
  <c r="U16" i="5" s="1"/>
  <c r="G8" i="5"/>
  <c r="T8" i="5" s="1"/>
  <c r="N19" i="5"/>
  <c r="G10" i="5"/>
  <c r="T10" i="5" s="1"/>
  <c r="G12" i="5"/>
  <c r="T12" i="5" s="1"/>
  <c r="G14" i="5"/>
  <c r="T14" i="5" s="1"/>
  <c r="G19" i="5"/>
  <c r="T19" i="5" s="1"/>
  <c r="G17" i="5"/>
  <c r="T17" i="5" s="1"/>
  <c r="U17" i="5" s="1"/>
  <c r="J14" i="5"/>
  <c r="X14" i="5" s="1"/>
  <c r="G15" i="5"/>
  <c r="T15" i="5" s="1"/>
  <c r="U15" i="5" s="1"/>
  <c r="J8" i="5"/>
  <c r="X8" i="5" s="1"/>
  <c r="E19" i="5"/>
  <c r="G18" i="5"/>
  <c r="J17" i="5"/>
  <c r="X17" i="5" s="1"/>
  <c r="J12" i="5"/>
  <c r="X12" i="5" s="1"/>
  <c r="J13" i="5"/>
  <c r="X13" i="5" s="1"/>
  <c r="G360" i="13"/>
  <c r="G361" i="10"/>
  <c r="R18" i="5"/>
  <c r="AB18" i="10" s="1"/>
  <c r="AC18" i="10" s="1"/>
  <c r="N18" i="5"/>
  <c r="E18" i="5"/>
  <c r="N17" i="5"/>
  <c r="E17" i="5"/>
  <c r="R17" i="5"/>
  <c r="AB17" i="10" s="1"/>
  <c r="AC17" i="10" s="1"/>
  <c r="R16" i="5"/>
  <c r="AB16" i="10" s="1"/>
  <c r="AC16" i="10" s="1"/>
  <c r="N16" i="5"/>
  <c r="E16" i="5"/>
  <c r="E8" i="5"/>
  <c r="R9" i="5"/>
  <c r="AB9" i="10" s="1"/>
  <c r="AC9" i="10" s="1"/>
  <c r="R12" i="5"/>
  <c r="AB12" i="10" s="1"/>
  <c r="AC12" i="10" s="1"/>
  <c r="R11" i="5"/>
  <c r="AB11" i="10" s="1"/>
  <c r="AC11" i="10" s="1"/>
  <c r="N10" i="5"/>
  <c r="E10" i="5"/>
  <c r="N13" i="5"/>
  <c r="R13" i="5"/>
  <c r="AB13" i="10" s="1"/>
  <c r="AC13" i="10" s="1"/>
  <c r="R10" i="5"/>
  <c r="AB10" i="10" s="1"/>
  <c r="AC10" i="10" s="1"/>
  <c r="N14" i="5"/>
  <c r="E15" i="5"/>
  <c r="N15" i="5"/>
  <c r="E14" i="5"/>
  <c r="R15" i="5"/>
  <c r="AB15" i="10" s="1"/>
  <c r="AC15" i="10" s="1"/>
  <c r="R14" i="5"/>
  <c r="AB14" i="10" s="1"/>
  <c r="AC14" i="10" s="1"/>
  <c r="N9" i="5"/>
  <c r="N11" i="5"/>
  <c r="N12" i="5"/>
  <c r="E11" i="5"/>
  <c r="E9" i="5"/>
  <c r="R8" i="5"/>
  <c r="AB8" i="10" s="1"/>
  <c r="AC8" i="10" s="1"/>
  <c r="E12" i="5"/>
  <c r="E13" i="5"/>
  <c r="N8" i="5"/>
  <c r="H7" i="14" l="1"/>
  <c r="K29" i="14"/>
  <c r="X18" i="5"/>
  <c r="V9" i="5"/>
  <c r="U9" i="5"/>
  <c r="V11" i="5"/>
  <c r="U11" i="5"/>
  <c r="V13" i="5"/>
  <c r="U13" i="5"/>
  <c r="V8" i="5"/>
  <c r="U8" i="5"/>
  <c r="U10" i="5"/>
  <c r="V10" i="5"/>
  <c r="U12" i="5"/>
  <c r="V12" i="5"/>
  <c r="V14" i="5"/>
  <c r="U14" i="5"/>
  <c r="U19" i="5"/>
  <c r="T18" i="5"/>
  <c r="U18" i="5" s="1"/>
  <c r="H10" i="14" s="1"/>
  <c r="H29" i="14"/>
  <c r="D360" i="13"/>
  <c r="G361" i="13"/>
  <c r="D361" i="13" s="1"/>
  <c r="G362" i="10"/>
  <c r="H13" i="14" l="1"/>
  <c r="J19" i="14"/>
  <c r="K10" i="14"/>
  <c r="G362" i="13"/>
  <c r="G363" i="10"/>
  <c r="D362" i="13" l="1"/>
  <c r="G363" i="13"/>
  <c r="D363" i="13" s="1"/>
  <c r="G364" i="10"/>
  <c r="G364" i="13" l="1"/>
  <c r="G365" i="10"/>
  <c r="D364" i="13" l="1"/>
  <c r="G365" i="13"/>
  <c r="D365" i="13" s="1"/>
  <c r="G366" i="10"/>
  <c r="G367" i="10" s="1"/>
  <c r="G367" i="13" l="1"/>
  <c r="D367" i="13" s="1"/>
  <c r="G368" i="10"/>
  <c r="G366" i="13"/>
  <c r="G368" i="13" l="1"/>
  <c r="D368" i="13" s="1"/>
  <c r="G369" i="10"/>
  <c r="D366" i="13"/>
  <c r="G369" i="13" l="1"/>
  <c r="G370" i="10"/>
  <c r="D369" i="13" l="1"/>
  <c r="G370" i="13"/>
  <c r="D370" i="13" s="1"/>
  <c r="G371" i="10"/>
  <c r="G371" i="13" l="1"/>
  <c r="G372" i="10"/>
  <c r="G373" i="10" s="1"/>
  <c r="G373" i="13" l="1"/>
  <c r="D373" i="13" s="1"/>
  <c r="G374" i="10"/>
  <c r="D371" i="13"/>
  <c r="G372" i="13"/>
  <c r="D372" i="13" s="1"/>
  <c r="G374" i="13" l="1"/>
  <c r="G375" i="10"/>
  <c r="D374" i="13" l="1"/>
  <c r="G375" i="13"/>
  <c r="G376" i="10"/>
  <c r="G376" i="13" l="1"/>
  <c r="G377" i="10"/>
  <c r="D375" i="13"/>
  <c r="D376" i="13" l="1"/>
  <c r="G378" i="10"/>
  <c r="G379" i="10" s="1"/>
  <c r="G377" i="13"/>
  <c r="G379" i="13" l="1"/>
  <c r="D379" i="13" s="1"/>
  <c r="G380" i="10"/>
  <c r="G378" i="13"/>
  <c r="D377" i="13"/>
  <c r="G380" i="13" l="1"/>
  <c r="G381" i="10"/>
  <c r="D378" i="13"/>
  <c r="D380" i="13" l="1"/>
  <c r="G382" i="10"/>
  <c r="G381" i="13"/>
  <c r="G383" i="10" l="1"/>
  <c r="G382" i="13"/>
  <c r="D381" i="13"/>
  <c r="G384" i="10" l="1"/>
  <c r="G383" i="13"/>
  <c r="D382" i="13"/>
  <c r="G385" i="10" l="1"/>
  <c r="G386" i="10" s="1"/>
  <c r="G384" i="13"/>
  <c r="D383" i="13"/>
  <c r="G386" i="13" l="1"/>
  <c r="D386" i="13" s="1"/>
  <c r="G387" i="10"/>
  <c r="G385" i="13"/>
  <c r="D384" i="13"/>
  <c r="G387" i="13" l="1"/>
  <c r="G388" i="10"/>
  <c r="D385" i="13"/>
  <c r="D387" i="13" l="1"/>
  <c r="G388" i="13"/>
  <c r="G389" i="10"/>
  <c r="G389" i="13" l="1"/>
  <c r="D389" i="13" s="1"/>
  <c r="G390" i="10"/>
  <c r="G390" i="13" s="1"/>
  <c r="D390" i="13" s="1"/>
  <c r="D388" i="13"/>
  <c r="G391" i="10" l="1"/>
  <c r="G391" i="13" s="1"/>
  <c r="D391" i="13" s="1"/>
  <c r="G392" i="10" l="1"/>
  <c r="G392" i="13" s="1"/>
  <c r="D392" i="13" s="1"/>
  <c r="G393" i="10" l="1"/>
  <c r="G393" i="13" s="1"/>
  <c r="D393" i="13" s="1"/>
  <c r="G394" i="10" l="1"/>
  <c r="G395" i="10" l="1"/>
  <c r="G394" i="13"/>
  <c r="D394" i="13" s="1"/>
  <c r="G395" i="13" l="1"/>
  <c r="D395" i="13" s="1"/>
  <c r="G396" i="10"/>
  <c r="G396" i="13" s="1"/>
  <c r="D396" i="13" s="1"/>
  <c r="G397" i="10"/>
  <c r="G397" i="13" s="1"/>
  <c r="D397" i="13" s="1"/>
  <c r="G398" i="10" l="1"/>
  <c r="G398" i="13" s="1"/>
  <c r="D398" i="13" s="1"/>
  <c r="G399" i="10" l="1"/>
  <c r="G399" i="13" s="1"/>
  <c r="D399" i="13" s="1"/>
  <c r="G400" i="10" l="1"/>
  <c r="G401" i="10" l="1"/>
  <c r="G400" i="13"/>
  <c r="D400" i="13" s="1"/>
  <c r="G401" i="13" l="1"/>
  <c r="G402" i="10"/>
  <c r="D401" i="13" l="1"/>
  <c r="G402" i="13"/>
  <c r="G403" i="10"/>
  <c r="D402" i="13" l="1"/>
  <c r="G403" i="13"/>
  <c r="G404" i="10"/>
  <c r="D403" i="13" l="1"/>
  <c r="G404" i="13"/>
  <c r="G405" i="10"/>
  <c r="D404" i="13" l="1"/>
  <c r="G405" i="13"/>
  <c r="G406" i="10"/>
  <c r="C7" i="14" l="1"/>
  <c r="D405" i="13"/>
  <c r="G406" i="13"/>
  <c r="D7" i="14" l="1"/>
  <c r="D406" i="13"/>
  <c r="F15" i="13"/>
  <c r="F16" i="13"/>
  <c r="F18" i="13" l="1"/>
  <c r="F19" i="13"/>
  <c r="F17" i="13"/>
  <c r="R15" i="13"/>
  <c r="L15" i="13"/>
  <c r="C15" i="5"/>
  <c r="AC15" i="13"/>
  <c r="L15" i="5" s="1"/>
  <c r="W15" i="13"/>
  <c r="H15" i="13"/>
  <c r="V15" i="5" s="1"/>
  <c r="I15" i="13"/>
  <c r="T15" i="13"/>
  <c r="V15" i="13"/>
  <c r="AB15" i="13"/>
  <c r="N15" i="13"/>
  <c r="U15" i="13"/>
  <c r="K15" i="13"/>
  <c r="O15" i="13"/>
  <c r="P15" i="13"/>
  <c r="X15" i="13"/>
  <c r="Q15" i="13"/>
  <c r="J15" i="13"/>
  <c r="Q16" i="13"/>
  <c r="O16" i="13"/>
  <c r="J16" i="13"/>
  <c r="C16" i="5"/>
  <c r="U16" i="13"/>
  <c r="AB16" i="13"/>
  <c r="H16" i="13"/>
  <c r="V16" i="5" s="1"/>
  <c r="W16" i="13"/>
  <c r="AC16" i="13"/>
  <c r="L16" i="5" s="1"/>
  <c r="P16" i="13"/>
  <c r="T16" i="13"/>
  <c r="V16" i="13"/>
  <c r="R16" i="13"/>
  <c r="N16" i="13"/>
  <c r="I16" i="13"/>
  <c r="L16" i="13"/>
  <c r="K16" i="13"/>
  <c r="X16" i="13"/>
  <c r="U18" i="13" l="1"/>
  <c r="L18" i="13"/>
  <c r="I18" i="13"/>
  <c r="H18" i="13"/>
  <c r="V18" i="5" s="1"/>
  <c r="AC18" i="13"/>
  <c r="L18" i="5" s="1"/>
  <c r="AB18" i="13"/>
  <c r="J18" i="13"/>
  <c r="W18" i="13"/>
  <c r="K18" i="13"/>
  <c r="T18" i="13"/>
  <c r="V18" i="13"/>
  <c r="Q18" i="13"/>
  <c r="R18" i="13"/>
  <c r="P18" i="13"/>
  <c r="C18" i="5"/>
  <c r="O18" i="13"/>
  <c r="N18" i="13"/>
  <c r="X18" i="13"/>
  <c r="AB19" i="13"/>
  <c r="P19" i="13"/>
  <c r="AC19" i="13"/>
  <c r="N19" i="13"/>
  <c r="U19" i="13"/>
  <c r="R19" i="13"/>
  <c r="X19" i="13"/>
  <c r="T19" i="13"/>
  <c r="V19" i="13"/>
  <c r="K19" i="13"/>
  <c r="L19" i="13"/>
  <c r="H19" i="13"/>
  <c r="J19" i="13"/>
  <c r="Q19" i="13"/>
  <c r="W19" i="13"/>
  <c r="I19" i="13"/>
  <c r="O19" i="13"/>
  <c r="C19" i="5"/>
  <c r="Q17" i="13"/>
  <c r="H17" i="13"/>
  <c r="V17" i="5" s="1"/>
  <c r="N17" i="13"/>
  <c r="V17" i="13"/>
  <c r="J17" i="13"/>
  <c r="I17" i="13"/>
  <c r="X17" i="13"/>
  <c r="O17" i="13"/>
  <c r="T17" i="13"/>
  <c r="W17" i="13"/>
  <c r="R17" i="13"/>
  <c r="K17" i="13"/>
  <c r="AB17" i="13"/>
  <c r="AC17" i="13"/>
  <c r="L17" i="5" s="1"/>
  <c r="C17" i="5"/>
  <c r="P17" i="13"/>
  <c r="U17" i="13"/>
  <c r="L17" i="13"/>
  <c r="L19" i="5" l="1"/>
  <c r="K9" i="14"/>
  <c r="H28" i="14"/>
  <c r="V19" i="5"/>
  <c r="H30" i="14" s="1"/>
  <c r="J18" i="14" l="1"/>
  <c r="J22" i="14" s="1"/>
  <c r="K13" i="14"/>
  <c r="K30" i="14"/>
</calcChain>
</file>

<file path=xl/sharedStrings.xml><?xml version="1.0" encoding="utf-8"?>
<sst xmlns="http://schemas.openxmlformats.org/spreadsheetml/2006/main" count="1624" uniqueCount="166">
  <si>
    <t>PRECIOS ESTIMADOS DE ENERGIA y POTENCIA  x MERCADO</t>
  </si>
  <si>
    <t>Incluye CVP y estimación de renta marginal en base a datos operativos</t>
  </si>
  <si>
    <t>Incluye estimación de costos variables y fijos de la generación asignada</t>
  </si>
  <si>
    <t>No incluye costos de servicios adicionales ni de transporte en AT/DT</t>
  </si>
  <si>
    <t>No incluye contratos MATE - MATP a ser transaccionados</t>
  </si>
  <si>
    <t>Datos provisorios a confirmar con la salida del DTE</t>
  </si>
  <si>
    <t>VALORES  ACUMULADO MES</t>
  </si>
  <si>
    <t>Mercado asociado a Grandes Usuarios y demanda</t>
  </si>
  <si>
    <t>Mercado asociado a demanda estacionalizada</t>
  </si>
  <si>
    <t>estacionalizada no cubierta por la generación asignada</t>
  </si>
  <si>
    <t>(Res/NO Res) cubierta por la generación asignada</t>
  </si>
  <si>
    <t>MERCADO SPOT</t>
  </si>
  <si>
    <t>POT MEDIA</t>
  </si>
  <si>
    <t>MW med</t>
  </si>
  <si>
    <t>CMg</t>
  </si>
  <si>
    <t>usd/MWh</t>
  </si>
  <si>
    <t>MONO ASIG</t>
  </si>
  <si>
    <t>ENERGIA</t>
  </si>
  <si>
    <t>POTENCIA</t>
  </si>
  <si>
    <t>usd/MWhrp</t>
  </si>
  <si>
    <t>MONO E + P para FC</t>
  </si>
  <si>
    <t>HRP</t>
  </si>
  <si>
    <t>Costo Marginal Medio</t>
  </si>
  <si>
    <t>Monómico de Costo de la Generación Asignada</t>
  </si>
  <si>
    <t>VALORES ECONOMICOS - ACUMULADO MES</t>
  </si>
  <si>
    <t>MES</t>
  </si>
  <si>
    <t>ENER SPOT</t>
  </si>
  <si>
    <t>POT SPOT</t>
  </si>
  <si>
    <t>ENER ASIG</t>
  </si>
  <si>
    <t>POT ASIG</t>
  </si>
  <si>
    <t>HMES</t>
  </si>
  <si>
    <t>VALORES FISICOS - PASO DIARIO</t>
  </si>
  <si>
    <t>AÑO</t>
  </si>
  <si>
    <t>TIPO dia</t>
  </si>
  <si>
    <t>DIA</t>
  </si>
  <si>
    <t>Factor Potencia</t>
  </si>
  <si>
    <t>mié.</t>
  </si>
  <si>
    <t>jue.</t>
  </si>
  <si>
    <t>vie.</t>
  </si>
  <si>
    <t>sáb.</t>
  </si>
  <si>
    <t>dom.</t>
  </si>
  <si>
    <t>lun.</t>
  </si>
  <si>
    <t>mar.</t>
  </si>
  <si>
    <t>sáb</t>
  </si>
  <si>
    <t>dom</t>
  </si>
  <si>
    <t>lun</t>
  </si>
  <si>
    <t>mar</t>
  </si>
  <si>
    <t>mié</t>
  </si>
  <si>
    <t>jue</t>
  </si>
  <si>
    <t>vie</t>
  </si>
  <si>
    <t>ASIGNADA - POTENCIA</t>
  </si>
  <si>
    <t>VALORES FISICOS - ACUMULADO MES</t>
  </si>
  <si>
    <t>MW med d</t>
  </si>
  <si>
    <t>YACYRETA</t>
  </si>
  <si>
    <t>SALTO GRANDE</t>
  </si>
  <si>
    <t>HIDRO NAC</t>
  </si>
  <si>
    <t>NUCLEAR</t>
  </si>
  <si>
    <t>PPA RENOV</t>
  </si>
  <si>
    <t>PPA TERM</t>
  </si>
  <si>
    <t>IMPORTACION</t>
  </si>
  <si>
    <t>promedio MW/dia</t>
  </si>
  <si>
    <t># dias/mes</t>
  </si>
  <si>
    <t>PRECIOS UNITARIOS REPRESENTATIVOS</t>
  </si>
  <si>
    <t>$ ASIGNADA - ENERGIA $</t>
  </si>
  <si>
    <t>$ ASIGNADA - POTENCIA $</t>
  </si>
  <si>
    <t>$ ASIGNADA $</t>
  </si>
  <si>
    <t>VARIABLES</t>
  </si>
  <si>
    <t>FIJOS</t>
  </si>
  <si>
    <t>FIJ + VAR</t>
  </si>
  <si>
    <t>usd/dia</t>
  </si>
  <si>
    <t>usd/MW mes</t>
  </si>
  <si>
    <t>usd/Mwh</t>
  </si>
  <si>
    <t>VAR ASIG</t>
  </si>
  <si>
    <t>FIJOS ASIG</t>
  </si>
  <si>
    <t>SUMA ASIG</t>
  </si>
  <si>
    <t>MONO</t>
  </si>
  <si>
    <t>POT</t>
  </si>
  <si>
    <t>ENER</t>
  </si>
  <si>
    <t>VALORES ECONOMICOS - PASO DIARIO</t>
  </si>
  <si>
    <t>$/MWh</t>
  </si>
  <si>
    <t>$/MW mes</t>
  </si>
  <si>
    <t>K</t>
  </si>
  <si>
    <t>TC fin de mes</t>
  </si>
  <si>
    <t>TC quincena</t>
  </si>
  <si>
    <t>ADIC</t>
  </si>
  <si>
    <t>TER TOTAL</t>
  </si>
  <si>
    <t>SPOT - ENERGIA</t>
  </si>
  <si>
    <t>SPOT - POTENCIA</t>
  </si>
  <si>
    <t>MAT - ENERGIA</t>
  </si>
  <si>
    <t>MAT - POTENCIA</t>
  </si>
  <si>
    <t>TERM SPOT</t>
  </si>
  <si>
    <t>TERM FON 1</t>
  </si>
  <si>
    <t>HIDRO PROV</t>
  </si>
  <si>
    <t>RENOV</t>
  </si>
  <si>
    <t>SUMA SPOT</t>
  </si>
  <si>
    <t>TERM MAT</t>
  </si>
  <si>
    <t>HIDRO MAT</t>
  </si>
  <si>
    <t>RENOV MAT</t>
  </si>
  <si>
    <t>SUMA MAT</t>
  </si>
  <si>
    <t>pot</t>
  </si>
  <si>
    <t>precio</t>
  </si>
  <si>
    <t>GN</t>
  </si>
  <si>
    <t>ALT</t>
  </si>
  <si>
    <t># HRP/dia</t>
  </si>
  <si>
    <t>Explicito POT DISP</t>
  </si>
  <si>
    <t>$ SPOT - ENERGIA $</t>
  </si>
  <si>
    <t>$ SPOT - POTENCIA $</t>
  </si>
  <si>
    <t>$ MAT - ENERGIA $</t>
  </si>
  <si>
    <t>$ MAT - POTENCIA $</t>
  </si>
  <si>
    <t>usd/d</t>
  </si>
  <si>
    <t>ADICIONALES Transporte</t>
  </si>
  <si>
    <t>ADICIONALES Fondo Fiduciario</t>
  </si>
  <si>
    <t>mie</t>
  </si>
  <si>
    <t>HIDRO NAC Resto</t>
  </si>
  <si>
    <r>
      <t xml:space="preserve">HIDRO COM </t>
    </r>
    <r>
      <rPr>
        <sz val="8"/>
        <color theme="1"/>
        <rFont val="Proxima Nova Rg"/>
        <family val="3"/>
        <scheme val="minor"/>
      </rPr>
      <t>CONCESION</t>
    </r>
  </si>
  <si>
    <t>HIDRO COM</t>
  </si>
  <si>
    <t>ADICIONALES Costo Combustible</t>
  </si>
  <si>
    <t>TÉRMICO SPOT</t>
  </si>
  <si>
    <t>RMA</t>
  </si>
  <si>
    <t>CVP</t>
  </si>
  <si>
    <t>Días del mes:</t>
  </si>
  <si>
    <t>Res. 34 =&gt;</t>
  </si>
  <si>
    <t>Cant días:</t>
  </si>
  <si>
    <t>Transporte</t>
  </si>
  <si>
    <t>Servicios</t>
  </si>
  <si>
    <t>MONO SPOT</t>
  </si>
  <si>
    <t>promedio [MW]</t>
  </si>
  <si>
    <t>VALORES FISICOS</t>
  </si>
  <si>
    <t>FC SPOT</t>
  </si>
  <si>
    <t>FC Asignado</t>
  </si>
  <si>
    <t>días en análisis:</t>
  </si>
  <si>
    <t>POT asig</t>
  </si>
  <si>
    <t xml:space="preserve"> </t>
  </si>
  <si>
    <t>Mercado ASIGNADO</t>
  </si>
  <si>
    <t>Potencia disponible por día</t>
  </si>
  <si>
    <t>Energía Generada por tipo</t>
  </si>
  <si>
    <t>Mercado SPOT / MAT</t>
  </si>
  <si>
    <t>Por Energía  / Por Potencia</t>
  </si>
  <si>
    <t>Hasta:</t>
  </si>
  <si>
    <t>MW disp</t>
  </si>
  <si>
    <t>TERM MATE</t>
  </si>
  <si>
    <t>TÉRMICO MATE</t>
  </si>
  <si>
    <t>Mercado a término de Energía</t>
  </si>
  <si>
    <t>Generación Térmica asociada al MAT</t>
  </si>
  <si>
    <t>ENER TERM MAT</t>
  </si>
  <si>
    <t>MONO MAT</t>
  </si>
  <si>
    <t>GEN ASIGNADA</t>
  </si>
  <si>
    <t>Generación Térmica del Mercado SPOT</t>
  </si>
  <si>
    <t>Generación asociada al MATE</t>
  </si>
  <si>
    <t>RESTO HIDRO MAT</t>
  </si>
  <si>
    <t>HIDRO MAT FUTA</t>
  </si>
  <si>
    <t>total MATE</t>
  </si>
  <si>
    <t>SUMA MAT sin Futa</t>
  </si>
  <si>
    <t>PRECIO MEDIO GRANDES USUARIOS MEM</t>
  </si>
  <si>
    <t>MONO GU</t>
  </si>
  <si>
    <t>MATE TOTAL (Hi + Ren + Tér)</t>
  </si>
  <si>
    <t>ANEXO TÉRMICO</t>
  </si>
  <si>
    <t>Mix MATE + SPOT
[usd/MWh]</t>
  </si>
  <si>
    <t>MERCADO SPOT
[usd/MWh]</t>
  </si>
  <si>
    <t>MERCADO MATE
[usd/MWh]</t>
  </si>
  <si>
    <t>MERCADO ASIGNADO
[usd/MWh]</t>
  </si>
  <si>
    <t>Monómico simulado Mercado Spot para FC y HRP</t>
  </si>
  <si>
    <t>POT MEDIA PERIODO</t>
  </si>
  <si>
    <t>Monómico Mercado MAT</t>
  </si>
  <si>
    <t>SERVICIOS</t>
  </si>
  <si>
    <t>Precio Medio 
Nov-25 a Sep-26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</si>
</sst>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"/>
    <numFmt numFmtId="167" formatCode="_-&quot;$&quot;\ * #,##0.0_-;\-&quot;$&quot;\ * #,##0.0_-;_-&quot;$&quot;\ * &quot;-&quot;??_-;_-@_-"/>
    <numFmt numFmtId="168" formatCode="_-&quot;$&quot;\ * #,##0_-;\-&quot;$&quot;\ * #,##0_-;_-&quot;$&quot;\ * &quot;-&quot;??_-;_-@_-"/>
    <numFmt numFmtId="169" formatCode="#,##0.0"/>
    <numFmt numFmtId="170" formatCode="0.0%"/>
    <numFmt numFmtId="171" formatCode="_(* #,##0.0_);_(* \(#,##0.0\);_(* &quot;-&quot;??_);_(@_)"/>
    <numFmt numFmtId="172" formatCode="_(* #,##0_);_(* \(#,##0\);_(* &quot;-&quot;??_);_(@_)"/>
    <numFmt numFmtId="173" formatCode="_-* #,##0.0_-;\-* #,##0.0_-;_-* &quot;-&quot;??_-;_-@_-"/>
    <numFmt numFmtId="176" formatCode="_-&quot;$&quot;\ * #,##0.00_-;\-&quot;$&quot;\ * #,##0.00_-;_-&quot;$&quot;\ * &quot;-&quot;??_-;_-@_-"/>
    <numFmt numFmtId="177" formatCode="_-* #,##0.00_-;\-* #,##0.00_-;_-* &quot;-&quot;??_-;_-@_-"/>
  </numFmts>
  <fonts count="84" x14ac:knownFonts="1">
    <font>
      <sz val="11"/>
      <color theme="1"/>
      <name val="Proxima Nova Rg"/>
      <family val="2"/>
      <scheme val="minor"/>
    </font>
    <font>
      <sz val="11"/>
      <color theme="1"/>
      <name val="Proxima Nova Rg"/>
      <family val="2"/>
      <scheme val="minor"/>
    </font>
    <font>
      <sz val="8"/>
      <name val="Proxima Nova Rg"/>
      <family val="2"/>
      <scheme val="minor"/>
    </font>
    <font>
      <b/>
      <sz val="11"/>
      <color theme="0"/>
      <name val="Proxima Nova Rg"/>
      <family val="2"/>
      <scheme val="minor"/>
    </font>
    <font>
      <sz val="11"/>
      <color theme="0"/>
      <name val="Proxima Nova Rg"/>
      <family val="2"/>
      <scheme val="minor"/>
    </font>
    <font>
      <sz val="24"/>
      <color theme="1"/>
      <name val="Proxima Nova Rg"/>
      <family val="2"/>
      <scheme val="minor"/>
    </font>
    <font>
      <sz val="11"/>
      <color rgb="FFFF0000"/>
      <name val="Proxima Nova Rg"/>
      <family val="2"/>
      <scheme val="minor"/>
    </font>
    <font>
      <b/>
      <sz val="11"/>
      <color theme="1"/>
      <name val="Proxima Nova Rg"/>
      <family val="2"/>
      <scheme val="minor"/>
    </font>
    <font>
      <sz val="24"/>
      <color theme="1"/>
      <name val="Proxima Nova Bl"/>
      <family val="3"/>
      <scheme val="major"/>
    </font>
    <font>
      <sz val="11"/>
      <color theme="1"/>
      <name val="Proxima Nova Bl"/>
      <family val="3"/>
      <scheme val="major"/>
    </font>
    <font>
      <b/>
      <sz val="11"/>
      <color theme="1"/>
      <name val="Proxima Nova Rg"/>
      <family val="3"/>
      <scheme val="minor"/>
    </font>
    <font>
      <sz val="12"/>
      <color theme="1"/>
      <name val="Proxima Nova Rg"/>
      <family val="2"/>
      <scheme val="minor"/>
    </font>
    <font>
      <sz val="14"/>
      <color theme="1"/>
      <name val="Proxima Nova Rg"/>
      <family val="2"/>
      <scheme val="minor"/>
    </font>
    <font>
      <sz val="16"/>
      <color theme="1"/>
      <name val="Proxima Nova Rg"/>
      <family val="2"/>
      <scheme val="minor"/>
    </font>
    <font>
      <sz val="18"/>
      <color theme="1"/>
      <name val="Proxima Nova Rg"/>
      <family val="2"/>
      <scheme val="minor"/>
    </font>
    <font>
      <sz val="14"/>
      <color theme="1"/>
      <name val="Proxima Nova Rg"/>
      <family val="3"/>
      <scheme val="minor"/>
    </font>
    <font>
      <b/>
      <i/>
      <sz val="10"/>
      <color theme="1"/>
      <name val="Proxima Nova Rg"/>
      <family val="3"/>
      <scheme val="minor"/>
    </font>
    <font>
      <b/>
      <sz val="16"/>
      <color theme="0"/>
      <name val="Proxima Nova Rg"/>
      <family val="3"/>
      <scheme val="minor"/>
    </font>
    <font>
      <b/>
      <sz val="18"/>
      <color theme="4"/>
      <name val="Proxima Nova Rg"/>
      <family val="3"/>
      <scheme val="minor"/>
    </font>
    <font>
      <b/>
      <sz val="14"/>
      <color theme="4"/>
      <name val="Proxima Nova Rg"/>
      <family val="3"/>
      <scheme val="minor"/>
    </font>
    <font>
      <b/>
      <sz val="20"/>
      <color theme="4"/>
      <name val="Proxima Nova Rg"/>
      <family val="3"/>
      <scheme val="minor"/>
    </font>
    <font>
      <sz val="11"/>
      <color theme="4"/>
      <name val="Proxima Nova Rg"/>
      <family val="3"/>
      <scheme val="minor"/>
    </font>
    <font>
      <sz val="18"/>
      <color theme="4"/>
      <name val="Proxima Nova Rg"/>
      <family val="3"/>
      <scheme val="minor"/>
    </font>
    <font>
      <b/>
      <sz val="14"/>
      <color theme="3"/>
      <name val="Proxima Nova Rg"/>
      <family val="3"/>
      <scheme val="minor"/>
    </font>
    <font>
      <sz val="14"/>
      <color theme="3"/>
      <name val="Proxima Nova Rg"/>
      <family val="3"/>
      <scheme val="minor"/>
    </font>
    <font>
      <b/>
      <sz val="18"/>
      <color theme="3"/>
      <name val="Proxima Nova Rg"/>
      <family val="3"/>
      <scheme val="minor"/>
    </font>
    <font>
      <b/>
      <sz val="20"/>
      <color theme="3"/>
      <name val="Proxima Nova Rg"/>
      <family val="3"/>
      <scheme val="minor"/>
    </font>
    <font>
      <b/>
      <sz val="14"/>
      <color theme="0"/>
      <name val="Proxima Nova Rg"/>
      <family val="3"/>
      <scheme val="minor"/>
    </font>
    <font>
      <sz val="8"/>
      <color theme="1"/>
      <name val="Proxima Nova Rg"/>
      <family val="3"/>
      <scheme val="minor"/>
    </font>
    <font>
      <b/>
      <sz val="12"/>
      <color theme="1"/>
      <name val="Proxima Nova Rg"/>
      <family val="3"/>
      <scheme val="minor"/>
    </font>
    <font>
      <sz val="11"/>
      <color theme="0"/>
      <name val="Proxima Nova Rg"/>
      <family val="3"/>
      <scheme val="minor"/>
    </font>
    <font>
      <sz val="20"/>
      <color theme="1"/>
      <name val="Proxima Nova Bl"/>
      <family val="3"/>
      <scheme val="major"/>
    </font>
    <font>
      <b/>
      <i/>
      <sz val="16"/>
      <color theme="1"/>
      <name val="Proxima Nova Bl"/>
      <family val="3"/>
      <scheme val="major"/>
    </font>
    <font>
      <sz val="18"/>
      <color theme="3"/>
      <name val="Proxima Nova Bl"/>
      <family val="2"/>
      <scheme val="major"/>
    </font>
    <font>
      <sz val="11"/>
      <name val="Proxima Nova Rg"/>
      <family val="3"/>
      <scheme val="minor"/>
    </font>
    <font>
      <sz val="10"/>
      <name val="Arial"/>
      <family val="2"/>
    </font>
    <font>
      <sz val="10"/>
      <name val="Arial"/>
      <family val="2"/>
    </font>
    <font>
      <b/>
      <sz val="15"/>
      <color theme="3"/>
      <name val="Proxima Nova Rg"/>
      <family val="2"/>
      <scheme val="minor"/>
    </font>
    <font>
      <b/>
      <sz val="13"/>
      <color theme="3"/>
      <name val="Proxima Nova Rg"/>
      <family val="2"/>
      <scheme val="minor"/>
    </font>
    <font>
      <b/>
      <sz val="11"/>
      <color theme="3"/>
      <name val="Proxima Nova Rg"/>
      <family val="2"/>
      <scheme val="minor"/>
    </font>
    <font>
      <sz val="11"/>
      <color rgb="FF006100"/>
      <name val="Proxima Nova Rg"/>
      <family val="2"/>
      <scheme val="minor"/>
    </font>
    <font>
      <sz val="11"/>
      <color rgb="FF9C0006"/>
      <name val="Proxima Nova Rg"/>
      <family val="2"/>
      <scheme val="minor"/>
    </font>
    <font>
      <sz val="11"/>
      <color rgb="FF9C5700"/>
      <name val="Proxima Nova Rg"/>
      <family val="2"/>
      <scheme val="minor"/>
    </font>
    <font>
      <sz val="11"/>
      <color rgb="FF3F3F76"/>
      <name val="Proxima Nova Rg"/>
      <family val="2"/>
      <scheme val="minor"/>
    </font>
    <font>
      <b/>
      <sz val="11"/>
      <color rgb="FF3F3F3F"/>
      <name val="Proxima Nova Rg"/>
      <family val="2"/>
      <scheme val="minor"/>
    </font>
    <font>
      <b/>
      <sz val="11"/>
      <color rgb="FFFA7D00"/>
      <name val="Proxima Nova Rg"/>
      <family val="2"/>
      <scheme val="minor"/>
    </font>
    <font>
      <sz val="11"/>
      <color rgb="FFFA7D00"/>
      <name val="Proxima Nova Rg"/>
      <family val="2"/>
      <scheme val="minor"/>
    </font>
    <font>
      <i/>
      <sz val="11"/>
      <color rgb="FF7F7F7F"/>
      <name val="Proxima Nova Rg"/>
      <family val="2"/>
      <scheme val="minor"/>
    </font>
    <font>
      <sz val="11"/>
      <color theme="3"/>
      <name val="Proxima Nova Rg"/>
      <family val="3"/>
      <scheme val="minor"/>
    </font>
    <font>
      <sz val="18"/>
      <color theme="3"/>
      <name val="Proxima Nova Rg"/>
      <family val="3"/>
      <scheme val="minor"/>
    </font>
    <font>
      <b/>
      <sz val="16"/>
      <color theme="3"/>
      <name val="Proxima Nova Rg"/>
      <family val="3"/>
      <scheme val="minor"/>
    </font>
    <font>
      <sz val="16"/>
      <color theme="3"/>
      <name val="Proxima Nova Rg"/>
      <family val="3"/>
      <scheme val="minor"/>
    </font>
    <font>
      <sz val="11"/>
      <color theme="3"/>
      <name val="Proxima Nova Rg"/>
      <family val="2"/>
      <scheme val="minor"/>
    </font>
    <font>
      <b/>
      <sz val="16"/>
      <color theme="1" tint="0.34998626667073579"/>
      <name val="Proxima Nova Rg"/>
      <family val="3"/>
      <scheme val="minor"/>
    </font>
    <font>
      <b/>
      <sz val="18"/>
      <color theme="1" tint="0.34998626667073579"/>
      <name val="Proxima Nova Rg"/>
      <family val="3"/>
      <scheme val="minor"/>
    </font>
    <font>
      <b/>
      <sz val="14"/>
      <color theme="1" tint="0.34998626667073579"/>
      <name val="Proxima Nova Rg"/>
      <family val="3"/>
      <scheme val="minor"/>
    </font>
    <font>
      <b/>
      <sz val="20"/>
      <color theme="1" tint="0.34998626667073579"/>
      <name val="Proxima Nova Rg"/>
      <family val="3"/>
      <scheme val="minor"/>
    </font>
    <font>
      <b/>
      <sz val="14"/>
      <color theme="1" tint="0.499984740745262"/>
      <name val="Proxima Nova Rg"/>
      <family val="3"/>
      <scheme val="minor"/>
    </font>
    <font>
      <b/>
      <sz val="16"/>
      <color rgb="FFFF0000"/>
      <name val="Proxima Nova Rg"/>
      <family val="3"/>
      <scheme val="minor"/>
    </font>
    <font>
      <b/>
      <sz val="18"/>
      <color theme="5" tint="-0.249977111117893"/>
      <name val="Proxima Nova Rg"/>
      <family val="3"/>
      <scheme val="minor"/>
    </font>
    <font>
      <b/>
      <sz val="18"/>
      <color theme="0"/>
      <name val="Proxima Nova Rg"/>
      <family val="3"/>
      <scheme val="minor"/>
    </font>
    <font>
      <b/>
      <sz val="20"/>
      <color theme="5" tint="-0.249977111117893"/>
      <name val="Proxima Nova Rg"/>
      <family val="3"/>
      <scheme val="minor"/>
    </font>
    <font>
      <sz val="16"/>
      <color theme="1" tint="0.34998626667073579"/>
      <name val="Proxima Nova Rg"/>
      <family val="3"/>
      <scheme val="minor"/>
    </font>
    <font>
      <sz val="14"/>
      <color theme="1" tint="0.34998626667073579"/>
      <name val="Proxima Nova Rg"/>
      <family val="3"/>
      <scheme val="minor"/>
    </font>
    <font>
      <sz val="11"/>
      <name val="Proxima Nova Rg"/>
      <family val="2"/>
      <scheme val="minor"/>
    </font>
    <font>
      <sz val="12"/>
      <color theme="1"/>
      <name val="Proxima Nova Rg"/>
      <family val="2"/>
    </font>
    <font>
      <b/>
      <sz val="12"/>
      <color theme="1"/>
      <name val="Proxima Nova Rg"/>
      <family val="2"/>
    </font>
    <font>
      <b/>
      <sz val="15"/>
      <color theme="3"/>
      <name val="Proxima Nova Rg"/>
      <family val="2"/>
    </font>
    <font>
      <b/>
      <sz val="13"/>
      <color theme="3"/>
      <name val="Proxima Nova Rg"/>
      <family val="2"/>
    </font>
    <font>
      <b/>
      <sz val="11"/>
      <color theme="3"/>
      <name val="Proxima Nova Rg"/>
      <family val="2"/>
    </font>
    <font>
      <sz val="12"/>
      <color rgb="FF006100"/>
      <name val="Proxima Nova Rg"/>
      <family val="2"/>
    </font>
    <font>
      <sz val="12"/>
      <color rgb="FF9C0006"/>
      <name val="Proxima Nova Rg"/>
      <family val="2"/>
    </font>
    <font>
      <sz val="12"/>
      <color rgb="FF9C5700"/>
      <name val="Proxima Nova Rg"/>
      <family val="2"/>
    </font>
    <font>
      <sz val="12"/>
      <color rgb="FF3F3F76"/>
      <name val="Proxima Nova Rg"/>
      <family val="2"/>
    </font>
    <font>
      <b/>
      <sz val="12"/>
      <color rgb="FF3F3F3F"/>
      <name val="Proxima Nova Rg"/>
      <family val="2"/>
    </font>
    <font>
      <b/>
      <sz val="12"/>
      <color rgb="FFFA7D00"/>
      <name val="Proxima Nova Rg"/>
      <family val="2"/>
    </font>
    <font>
      <sz val="12"/>
      <color rgb="FFFA7D00"/>
      <name val="Proxima Nova Rg"/>
      <family val="2"/>
    </font>
    <font>
      <b/>
      <sz val="12"/>
      <color theme="0"/>
      <name val="Proxima Nova Rg"/>
      <family val="2"/>
    </font>
    <font>
      <sz val="12"/>
      <color rgb="FFFF0000"/>
      <name val="Proxima Nova Rg"/>
      <family val="2"/>
    </font>
    <font>
      <i/>
      <sz val="12"/>
      <color rgb="FF7F7F7F"/>
      <name val="Proxima Nova Rg"/>
      <family val="2"/>
    </font>
    <font>
      <sz val="12"/>
      <color theme="0"/>
      <name val="Proxima Nova Rg"/>
      <family val="2"/>
    </font>
    <font>
      <sz val="10"/>
      <name val="Arial"/>
      <family val="2"/>
    </font>
    <font>
      <sz val="10"/>
      <name val="Arial"/>
    </font>
    <font>
      <sz val="16"/>
      <color theme="0"/>
      <name val="Proxima Nova Bl"/>
      <family val="3"/>
      <scheme val="major"/>
    </font>
  </fonts>
  <fills count="5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CEEF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/>
      <bottom/>
      <diagonal/>
    </border>
  </borders>
  <cellStyleXfs count="301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1" fillId="24" borderId="9" applyNumberFormat="0" applyFont="0" applyAlignment="0" applyProtection="0"/>
    <xf numFmtId="0" fontId="35" fillId="0" borderId="0"/>
    <xf numFmtId="165" fontId="35" fillId="0" borderId="0" applyFont="0" applyFill="0" applyBorder="0" applyAlignment="0" applyProtection="0"/>
    <xf numFmtId="0" fontId="36" fillId="0" borderId="0"/>
    <xf numFmtId="0" fontId="37" fillId="0" borderId="2" applyNumberFormat="0" applyFill="0" applyAlignment="0" applyProtection="0"/>
    <xf numFmtId="0" fontId="38" fillId="0" borderId="3" applyNumberFormat="0" applyFill="0" applyAlignment="0" applyProtection="0"/>
    <xf numFmtId="0" fontId="39" fillId="0" borderId="4" applyNumberFormat="0" applyFill="0" applyAlignment="0" applyProtection="0"/>
    <xf numFmtId="0" fontId="39" fillId="0" borderId="0" applyNumberFormat="0" applyFill="0" applyBorder="0" applyAlignment="0" applyProtection="0"/>
    <xf numFmtId="0" fontId="40" fillId="18" borderId="0" applyNumberFormat="0" applyBorder="0" applyAlignment="0" applyProtection="0"/>
    <xf numFmtId="0" fontId="41" fillId="19" borderId="0" applyNumberFormat="0" applyBorder="0" applyAlignment="0" applyProtection="0"/>
    <xf numFmtId="0" fontId="42" fillId="20" borderId="0" applyNumberFormat="0" applyBorder="0" applyAlignment="0" applyProtection="0"/>
    <xf numFmtId="0" fontId="43" fillId="21" borderId="5" applyNumberFormat="0" applyAlignment="0" applyProtection="0"/>
    <xf numFmtId="0" fontId="44" fillId="22" borderId="6" applyNumberFormat="0" applyAlignment="0" applyProtection="0"/>
    <xf numFmtId="0" fontId="45" fillId="22" borderId="5" applyNumberFormat="0" applyAlignment="0" applyProtection="0"/>
    <xf numFmtId="0" fontId="46" fillId="0" borderId="7" applyNumberFormat="0" applyFill="0" applyAlignment="0" applyProtection="0"/>
    <xf numFmtId="0" fontId="3" fillId="23" borderId="8" applyNumberFormat="0" applyAlignment="0" applyProtection="0"/>
    <xf numFmtId="0" fontId="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7" fillId="0" borderId="10" applyNumberFormat="0" applyFill="0" applyAlignment="0" applyProtection="0"/>
    <xf numFmtId="0" fontId="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4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4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4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4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35" fillId="0" borderId="0"/>
    <xf numFmtId="0" fontId="35" fillId="0" borderId="0"/>
    <xf numFmtId="0" fontId="1" fillId="0" borderId="0"/>
    <xf numFmtId="0" fontId="37" fillId="0" borderId="2" applyNumberFormat="0" applyFill="0" applyAlignment="0" applyProtection="0"/>
    <xf numFmtId="0" fontId="38" fillId="0" borderId="3" applyNumberFormat="0" applyFill="0" applyAlignment="0" applyProtection="0"/>
    <xf numFmtId="0" fontId="39" fillId="0" borderId="4" applyNumberFormat="0" applyFill="0" applyAlignment="0" applyProtection="0"/>
    <xf numFmtId="0" fontId="39" fillId="0" borderId="0" applyNumberFormat="0" applyFill="0" applyBorder="0" applyAlignment="0" applyProtection="0"/>
    <xf numFmtId="0" fontId="40" fillId="18" borderId="0" applyNumberFormat="0" applyBorder="0" applyAlignment="0" applyProtection="0"/>
    <xf numFmtId="0" fontId="41" fillId="19" borderId="0" applyNumberFormat="0" applyBorder="0" applyAlignment="0" applyProtection="0"/>
    <xf numFmtId="0" fontId="42" fillId="20" borderId="0" applyNumberFormat="0" applyBorder="0" applyAlignment="0" applyProtection="0"/>
    <xf numFmtId="0" fontId="43" fillId="21" borderId="5" applyNumberFormat="0" applyAlignment="0" applyProtection="0"/>
    <xf numFmtId="0" fontId="44" fillId="22" borderId="6" applyNumberFormat="0" applyAlignment="0" applyProtection="0"/>
    <xf numFmtId="0" fontId="45" fillId="22" borderId="5" applyNumberFormat="0" applyAlignment="0" applyProtection="0"/>
    <xf numFmtId="0" fontId="46" fillId="0" borderId="7" applyNumberFormat="0" applyFill="0" applyAlignment="0" applyProtection="0"/>
    <xf numFmtId="0" fontId="3" fillId="23" borderId="8" applyNumberFormat="0" applyAlignment="0" applyProtection="0"/>
    <xf numFmtId="0" fontId="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7" fillId="0" borderId="10" applyNumberFormat="0" applyFill="0" applyAlignment="0" applyProtection="0"/>
    <xf numFmtId="0" fontId="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4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4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4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4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65" fillId="0" borderId="0"/>
    <xf numFmtId="43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0" fontId="1" fillId="0" borderId="0"/>
    <xf numFmtId="0" fontId="1" fillId="24" borderId="9" applyNumberFormat="0" applyFont="0" applyAlignment="0" applyProtection="0"/>
    <xf numFmtId="43" fontId="35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7" fillId="0" borderId="2" applyNumberFormat="0" applyFill="0" applyAlignment="0" applyProtection="0"/>
    <xf numFmtId="0" fontId="68" fillId="0" borderId="3" applyNumberFormat="0" applyFill="0" applyAlignment="0" applyProtection="0"/>
    <xf numFmtId="0" fontId="69" fillId="0" borderId="4" applyNumberFormat="0" applyFill="0" applyAlignment="0" applyProtection="0"/>
    <xf numFmtId="0" fontId="69" fillId="0" borderId="0" applyNumberFormat="0" applyFill="0" applyBorder="0" applyAlignment="0" applyProtection="0"/>
    <xf numFmtId="0" fontId="70" fillId="18" borderId="0" applyNumberFormat="0" applyBorder="0" applyAlignment="0" applyProtection="0"/>
    <xf numFmtId="0" fontId="71" fillId="19" borderId="0" applyNumberFormat="0" applyBorder="0" applyAlignment="0" applyProtection="0"/>
    <xf numFmtId="0" fontId="72" fillId="20" borderId="0" applyNumberFormat="0" applyBorder="0" applyAlignment="0" applyProtection="0"/>
    <xf numFmtId="0" fontId="73" fillId="21" borderId="5" applyNumberFormat="0" applyAlignment="0" applyProtection="0"/>
    <xf numFmtId="0" fontId="74" fillId="22" borderId="6" applyNumberFormat="0" applyAlignment="0" applyProtection="0"/>
    <xf numFmtId="0" fontId="75" fillId="22" borderId="5" applyNumberFormat="0" applyAlignment="0" applyProtection="0"/>
    <xf numFmtId="0" fontId="76" fillId="0" borderId="7" applyNumberFormat="0" applyFill="0" applyAlignment="0" applyProtection="0"/>
    <xf numFmtId="0" fontId="77" fillId="23" borderId="8" applyNumberFormat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6" fillId="0" borderId="10" applyNumberFormat="0" applyFill="0" applyAlignment="0" applyProtection="0"/>
    <xf numFmtId="0" fontId="80" fillId="25" borderId="0" applyNumberFormat="0" applyBorder="0" applyAlignment="0" applyProtection="0"/>
    <xf numFmtId="0" fontId="65" fillId="26" borderId="0" applyNumberFormat="0" applyBorder="0" applyAlignment="0" applyProtection="0"/>
    <xf numFmtId="0" fontId="65" fillId="27" borderId="0" applyNumberFormat="0" applyBorder="0" applyAlignment="0" applyProtection="0"/>
    <xf numFmtId="0" fontId="65" fillId="28" borderId="0" applyNumberFormat="0" applyBorder="0" applyAlignment="0" applyProtection="0"/>
    <xf numFmtId="0" fontId="80" fillId="29" borderId="0" applyNumberFormat="0" applyBorder="0" applyAlignment="0" applyProtection="0"/>
    <xf numFmtId="0" fontId="65" fillId="30" borderId="0" applyNumberFormat="0" applyBorder="0" applyAlignment="0" applyProtection="0"/>
    <xf numFmtId="0" fontId="65" fillId="31" borderId="0" applyNumberFormat="0" applyBorder="0" applyAlignment="0" applyProtection="0"/>
    <xf numFmtId="0" fontId="65" fillId="32" borderId="0" applyNumberFormat="0" applyBorder="0" applyAlignment="0" applyProtection="0"/>
    <xf numFmtId="0" fontId="80" fillId="33" borderId="0" applyNumberFormat="0" applyBorder="0" applyAlignment="0" applyProtection="0"/>
    <xf numFmtId="0" fontId="65" fillId="34" borderId="0" applyNumberFormat="0" applyBorder="0" applyAlignment="0" applyProtection="0"/>
    <xf numFmtId="0" fontId="65" fillId="35" borderId="0" applyNumberFormat="0" applyBorder="0" applyAlignment="0" applyProtection="0"/>
    <xf numFmtId="0" fontId="65" fillId="36" borderId="0" applyNumberFormat="0" applyBorder="0" applyAlignment="0" applyProtection="0"/>
    <xf numFmtId="0" fontId="80" fillId="37" borderId="0" applyNumberFormat="0" applyBorder="0" applyAlignment="0" applyProtection="0"/>
    <xf numFmtId="0" fontId="65" fillId="38" borderId="0" applyNumberFormat="0" applyBorder="0" applyAlignment="0" applyProtection="0"/>
    <xf numFmtId="0" fontId="65" fillId="39" borderId="0" applyNumberFormat="0" applyBorder="0" applyAlignment="0" applyProtection="0"/>
    <xf numFmtId="0" fontId="65" fillId="40" borderId="0" applyNumberFormat="0" applyBorder="0" applyAlignment="0" applyProtection="0"/>
    <xf numFmtId="0" fontId="80" fillId="41" borderId="0" applyNumberFormat="0" applyBorder="0" applyAlignment="0" applyProtection="0"/>
    <xf numFmtId="0" fontId="65" fillId="42" borderId="0" applyNumberFormat="0" applyBorder="0" applyAlignment="0" applyProtection="0"/>
    <xf numFmtId="0" fontId="65" fillId="43" borderId="0" applyNumberFormat="0" applyBorder="0" applyAlignment="0" applyProtection="0"/>
    <xf numFmtId="0" fontId="65" fillId="44" borderId="0" applyNumberFormat="0" applyBorder="0" applyAlignment="0" applyProtection="0"/>
    <xf numFmtId="0" fontId="80" fillId="45" borderId="0" applyNumberFormat="0" applyBorder="0" applyAlignment="0" applyProtection="0"/>
    <xf numFmtId="0" fontId="65" fillId="46" borderId="0" applyNumberFormat="0" applyBorder="0" applyAlignment="0" applyProtection="0"/>
    <xf numFmtId="0" fontId="65" fillId="47" borderId="0" applyNumberFormat="0" applyBorder="0" applyAlignment="0" applyProtection="0"/>
    <xf numFmtId="0" fontId="65" fillId="48" borderId="0" applyNumberFormat="0" applyBorder="0" applyAlignment="0" applyProtection="0"/>
    <xf numFmtId="0" fontId="65" fillId="24" borderId="9" applyNumberFormat="0" applyFont="0" applyAlignment="0" applyProtection="0"/>
    <xf numFmtId="0" fontId="35" fillId="0" borderId="0"/>
    <xf numFmtId="0" fontId="81" fillId="0" borderId="0"/>
    <xf numFmtId="44" fontId="1" fillId="0" borderId="0" applyFont="0" applyFill="0" applyBorder="0" applyAlignment="0" applyProtection="0"/>
    <xf numFmtId="0" fontId="82" fillId="0" borderId="0"/>
    <xf numFmtId="0" fontId="35" fillId="0" borderId="0"/>
    <xf numFmtId="43" fontId="6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43" fontId="65" fillId="0" borderId="0" applyFont="0" applyFill="0" applyBorder="0" applyAlignment="0" applyProtection="0"/>
    <xf numFmtId="0" fontId="1" fillId="24" borderId="9" applyNumberFormat="0" applyFont="0" applyAlignment="0" applyProtection="0"/>
    <xf numFmtId="43" fontId="35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5" fillId="0" borderId="0"/>
    <xf numFmtId="0" fontId="3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3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3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3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3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3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5" fillId="0" borderId="0"/>
    <xf numFmtId="43" fontId="6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3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3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5" fillId="0" borderId="0" applyFont="0" applyFill="0" applyBorder="0" applyAlignment="0" applyProtection="0"/>
    <xf numFmtId="176" fontId="1" fillId="0" borderId="0" applyFont="0" applyFill="0" applyBorder="0" applyAlignment="0" applyProtection="0"/>
    <xf numFmtId="177" fontId="65" fillId="0" borderId="0" applyFont="0" applyFill="0" applyBorder="0" applyAlignment="0" applyProtection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65" fillId="0" borderId="0" applyFont="0" applyFill="0" applyBorder="0" applyAlignment="0" applyProtection="0"/>
    <xf numFmtId="177" fontId="35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65" fillId="0" borderId="0" applyFont="0" applyFill="0" applyBorder="0" applyAlignment="0" applyProtection="0"/>
    <xf numFmtId="177" fontId="35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7" fontId="65" fillId="0" borderId="0" applyFont="0" applyFill="0" applyBorder="0" applyAlignment="0" applyProtection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65" fillId="0" borderId="0" applyFont="0" applyFill="0" applyBorder="0" applyAlignment="0" applyProtection="0"/>
    <xf numFmtId="177" fontId="35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65" fillId="0" borderId="0" applyFont="0" applyFill="0" applyBorder="0" applyAlignment="0" applyProtection="0"/>
    <xf numFmtId="177" fontId="35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7" fontId="65" fillId="0" borderId="0" applyFont="0" applyFill="0" applyBorder="0" applyAlignment="0" applyProtection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65" fillId="0" borderId="0" applyFont="0" applyFill="0" applyBorder="0" applyAlignment="0" applyProtection="0"/>
    <xf numFmtId="177" fontId="35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65" fillId="0" borderId="0" applyFont="0" applyFill="0" applyBorder="0" applyAlignment="0" applyProtection="0"/>
    <xf numFmtId="177" fontId="35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65" fillId="0" borderId="0" applyFont="0" applyFill="0" applyBorder="0" applyAlignment="0" applyProtection="0"/>
    <xf numFmtId="176" fontId="1" fillId="0" borderId="0" applyFont="0" applyFill="0" applyBorder="0" applyAlignment="0" applyProtection="0"/>
    <xf numFmtId="177" fontId="65" fillId="0" borderId="0" applyFont="0" applyFill="0" applyBorder="0" applyAlignment="0" applyProtection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65" fillId="0" borderId="0" applyFont="0" applyFill="0" applyBorder="0" applyAlignment="0" applyProtection="0"/>
    <xf numFmtId="177" fontId="35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65" fillId="0" borderId="0" applyFont="0" applyFill="0" applyBorder="0" applyAlignment="0" applyProtection="0"/>
    <xf numFmtId="177" fontId="35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7" fontId="65" fillId="0" borderId="0" applyFont="0" applyFill="0" applyBorder="0" applyAlignment="0" applyProtection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65" fillId="0" borderId="0" applyFont="0" applyFill="0" applyBorder="0" applyAlignment="0" applyProtection="0"/>
    <xf numFmtId="177" fontId="35" fillId="0" borderId="0" applyFont="0" applyFill="0" applyBorder="0" applyAlignment="0" applyProtection="0"/>
    <xf numFmtId="176" fontId="1" fillId="0" borderId="0" applyFont="0" applyFill="0" applyBorder="0" applyAlignment="0" applyProtection="0"/>
  </cellStyleXfs>
  <cellXfs count="201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14" fontId="0" fillId="0" borderId="0" xfId="0" applyNumberFormat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166" fontId="0" fillId="2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167" fontId="0" fillId="0" borderId="0" xfId="2" applyNumberFormat="1" applyFont="1" applyAlignment="1">
      <alignment horizontal="center"/>
    </xf>
    <xf numFmtId="168" fontId="0" fillId="2" borderId="0" xfId="2" applyNumberFormat="1" applyFont="1" applyFill="1" applyAlignment="1">
      <alignment horizontal="center"/>
    </xf>
    <xf numFmtId="167" fontId="0" fillId="0" borderId="0" xfId="2" applyNumberFormat="1" applyFont="1" applyFill="1" applyAlignment="1">
      <alignment horizontal="center"/>
    </xf>
    <xf numFmtId="168" fontId="0" fillId="0" borderId="0" xfId="2" applyNumberFormat="1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/>
    </xf>
    <xf numFmtId="0" fontId="4" fillId="7" borderId="0" xfId="0" applyFont="1" applyFill="1" applyAlignment="1">
      <alignment horizontal="center" vertical="center"/>
    </xf>
    <xf numFmtId="168" fontId="3" fillId="6" borderId="0" xfId="2" applyNumberFormat="1" applyFont="1" applyFill="1" applyAlignment="1">
      <alignment horizontal="center"/>
    </xf>
    <xf numFmtId="167" fontId="3" fillId="7" borderId="0" xfId="2" applyNumberFormat="1" applyFont="1" applyFill="1" applyAlignment="1">
      <alignment horizontal="center"/>
    </xf>
    <xf numFmtId="0" fontId="5" fillId="0" borderId="0" xfId="0" applyFont="1"/>
    <xf numFmtId="168" fontId="0" fillId="4" borderId="0" xfId="2" applyNumberFormat="1" applyFont="1" applyFill="1" applyAlignment="1">
      <alignment horizontal="center"/>
    </xf>
    <xf numFmtId="167" fontId="3" fillId="8" borderId="0" xfId="2" applyNumberFormat="1" applyFont="1" applyFill="1" applyAlignment="1">
      <alignment horizontal="center"/>
    </xf>
    <xf numFmtId="166" fontId="0" fillId="4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1" fontId="0" fillId="0" borderId="0" xfId="0" applyNumberFormat="1"/>
    <xf numFmtId="0" fontId="4" fillId="8" borderId="0" xfId="0" applyFont="1" applyFill="1" applyAlignment="1">
      <alignment horizontal="center"/>
    </xf>
    <xf numFmtId="0" fontId="4" fillId="8" borderId="0" xfId="0" applyFont="1" applyFill="1" applyAlignment="1">
      <alignment horizontal="center" vertical="center"/>
    </xf>
    <xf numFmtId="1" fontId="0" fillId="3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8" fontId="0" fillId="0" borderId="0" xfId="0" applyNumberFormat="1"/>
    <xf numFmtId="0" fontId="6" fillId="9" borderId="0" xfId="0" applyFont="1" applyFill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8" fontId="0" fillId="10" borderId="0" xfId="2" applyNumberFormat="1" applyFont="1" applyFill="1" applyAlignment="1">
      <alignment horizontal="center"/>
    </xf>
    <xf numFmtId="168" fontId="7" fillId="3" borderId="0" xfId="2" applyNumberFormat="1" applyFont="1" applyFill="1" applyAlignment="1">
      <alignment horizontal="center"/>
    </xf>
    <xf numFmtId="1" fontId="0" fillId="4" borderId="0" xfId="0" applyNumberFormat="1" applyFill="1" applyAlignment="1">
      <alignment horizontal="center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37" fontId="0" fillId="0" borderId="0" xfId="3" applyNumberFormat="1" applyFont="1" applyAlignment="1">
      <alignment horizontal="center" vertical="center"/>
    </xf>
    <xf numFmtId="169" fontId="0" fillId="0" borderId="0" xfId="3" applyNumberFormat="1" applyFont="1" applyFill="1"/>
    <xf numFmtId="169" fontId="0" fillId="0" borderId="0" xfId="3" applyNumberFormat="1" applyFont="1" applyFill="1" applyAlignment="1">
      <alignment horizontal="center"/>
    </xf>
    <xf numFmtId="17" fontId="0" fillId="0" borderId="0" xfId="0" applyNumberFormat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9" fontId="0" fillId="0" borderId="0" xfId="0" applyNumberFormat="1"/>
    <xf numFmtId="14" fontId="0" fillId="0" borderId="0" xfId="0" applyNumberForma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9" fontId="11" fillId="0" borderId="0" xfId="1" applyFont="1" applyAlignment="1">
      <alignment horizontal="center"/>
    </xf>
    <xf numFmtId="3" fontId="0" fillId="0" borderId="0" xfId="3" applyNumberFormat="1" applyFont="1" applyFill="1" applyAlignment="1">
      <alignment horizontal="center"/>
    </xf>
    <xf numFmtId="166" fontId="0" fillId="0" borderId="0" xfId="0" applyNumberFormat="1"/>
    <xf numFmtId="0" fontId="16" fillId="0" borderId="0" xfId="0" applyFont="1"/>
    <xf numFmtId="170" fontId="0" fillId="0" borderId="0" xfId="1" applyNumberFormat="1" applyFont="1"/>
    <xf numFmtId="166" fontId="19" fillId="0" borderId="0" xfId="0" applyNumberFormat="1" applyFont="1" applyAlignment="1">
      <alignment horizontal="left"/>
    </xf>
    <xf numFmtId="0" fontId="21" fillId="0" borderId="0" xfId="0" applyFont="1"/>
    <xf numFmtId="0" fontId="22" fillId="0" borderId="0" xfId="0" applyFont="1"/>
    <xf numFmtId="166" fontId="20" fillId="0" borderId="0" xfId="0" applyNumberFormat="1" applyFont="1" applyAlignment="1">
      <alignment horizontal="center"/>
    </xf>
    <xf numFmtId="166" fontId="23" fillId="0" borderId="0" xfId="0" applyNumberFormat="1" applyFont="1" applyAlignment="1">
      <alignment horizontal="left"/>
    </xf>
    <xf numFmtId="0" fontId="24" fillId="0" borderId="0" xfId="0" applyFont="1" applyAlignment="1">
      <alignment horizontal="center"/>
    </xf>
    <xf numFmtId="0" fontId="24" fillId="0" borderId="0" xfId="0" applyFont="1"/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center" vertical="center"/>
    </xf>
    <xf numFmtId="0" fontId="0" fillId="14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3" fontId="0" fillId="15" borderId="0" xfId="0" applyNumberFormat="1" applyFill="1" applyAlignment="1">
      <alignment horizontal="center"/>
    </xf>
    <xf numFmtId="3" fontId="0" fillId="5" borderId="0" xfId="0" applyNumberFormat="1" applyFill="1" applyAlignment="1">
      <alignment horizontal="center"/>
    </xf>
    <xf numFmtId="3" fontId="0" fillId="0" borderId="0" xfId="3" applyNumberFormat="1" applyFont="1" applyAlignment="1">
      <alignment horizontal="center"/>
    </xf>
    <xf numFmtId="3" fontId="0" fillId="3" borderId="0" xfId="0" applyNumberFormat="1" applyFill="1" applyAlignment="1">
      <alignment horizontal="center"/>
    </xf>
    <xf numFmtId="3" fontId="0" fillId="4" borderId="0" xfId="0" applyNumberFormat="1" applyFill="1" applyAlignment="1">
      <alignment horizontal="center"/>
    </xf>
    <xf numFmtId="167" fontId="0" fillId="0" borderId="0" xfId="2" applyNumberFormat="1" applyFont="1" applyAlignment="1">
      <alignment horizontal="center" vertical="center"/>
    </xf>
    <xf numFmtId="3" fontId="0" fillId="0" borderId="0" xfId="0" applyNumberFormat="1"/>
    <xf numFmtId="2" fontId="0" fillId="0" borderId="0" xfId="0" applyNumberFormat="1"/>
    <xf numFmtId="171" fontId="0" fillId="0" borderId="0" xfId="3" applyNumberFormat="1" applyFont="1"/>
    <xf numFmtId="165" fontId="0" fillId="0" borderId="0" xfId="0" applyNumberFormat="1"/>
    <xf numFmtId="172" fontId="0" fillId="0" borderId="0" xfId="3" applyNumberFormat="1" applyFont="1"/>
    <xf numFmtId="9" fontId="0" fillId="0" borderId="0" xfId="1" applyFont="1"/>
    <xf numFmtId="173" fontId="0" fillId="0" borderId="0" xfId="0" applyNumberFormat="1" applyAlignment="1">
      <alignment horizontal="center" vertical="center"/>
    </xf>
    <xf numFmtId="166" fontId="14" fillId="0" borderId="0" xfId="0" applyNumberFormat="1" applyFont="1" applyAlignment="1">
      <alignment horizontal="center"/>
    </xf>
    <xf numFmtId="171" fontId="0" fillId="0" borderId="0" xfId="3" applyNumberFormat="1" applyFont="1" applyAlignment="1">
      <alignment horizontal="center"/>
    </xf>
    <xf numFmtId="171" fontId="10" fillId="0" borderId="0" xfId="3" applyNumberFormat="1" applyFont="1" applyAlignment="1">
      <alignment horizontal="center"/>
    </xf>
    <xf numFmtId="165" fontId="0" fillId="0" borderId="0" xfId="3" applyFont="1"/>
    <xf numFmtId="0" fontId="0" fillId="17" borderId="0" xfId="0" applyFill="1" applyAlignment="1">
      <alignment horizontal="center" vertical="center"/>
    </xf>
    <xf numFmtId="0" fontId="0" fillId="17" borderId="0" xfId="0" applyFill="1" applyAlignment="1">
      <alignment horizontal="center"/>
    </xf>
    <xf numFmtId="166" fontId="0" fillId="17" borderId="0" xfId="0" applyNumberFormat="1" applyFill="1" applyAlignment="1">
      <alignment horizontal="center"/>
    </xf>
    <xf numFmtId="166" fontId="30" fillId="16" borderId="1" xfId="0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0" fillId="0" borderId="0" xfId="0" applyNumberFormat="1" applyAlignment="1">
      <alignment horizontal="right"/>
    </xf>
    <xf numFmtId="0" fontId="31" fillId="0" borderId="0" xfId="0" applyFont="1"/>
    <xf numFmtId="164" fontId="0" fillId="0" borderId="0" xfId="0" applyNumberFormat="1"/>
    <xf numFmtId="0" fontId="32" fillId="0" borderId="0" xfId="0" applyFont="1"/>
    <xf numFmtId="165" fontId="0" fillId="0" borderId="0" xfId="3" applyFont="1" applyAlignment="1">
      <alignment horizontal="center"/>
    </xf>
    <xf numFmtId="171" fontId="0" fillId="0" borderId="0" xfId="0" applyNumberFormat="1"/>
    <xf numFmtId="172" fontId="0" fillId="0" borderId="0" xfId="0" applyNumberFormat="1"/>
    <xf numFmtId="166" fontId="0" fillId="0" borderId="0" xfId="3" applyNumberFormat="1" applyFont="1" applyAlignment="1">
      <alignment horizontal="center"/>
    </xf>
    <xf numFmtId="166" fontId="0" fillId="0" borderId="0" xfId="3" applyNumberFormat="1" applyFont="1" applyFill="1" applyAlignment="1">
      <alignment horizontal="center"/>
    </xf>
    <xf numFmtId="0" fontId="48" fillId="0" borderId="0" xfId="0" applyFont="1"/>
    <xf numFmtId="0" fontId="49" fillId="0" borderId="0" xfId="0" applyFont="1"/>
    <xf numFmtId="166" fontId="26" fillId="0" borderId="0" xfId="0" applyNumberFormat="1" applyFont="1" applyAlignment="1">
      <alignment horizontal="center"/>
    </xf>
    <xf numFmtId="0" fontId="52" fillId="0" borderId="0" xfId="0" applyFont="1"/>
    <xf numFmtId="0" fontId="52" fillId="0" borderId="0" xfId="0" applyFont="1" applyAlignment="1">
      <alignment horizontal="center" vertical="center"/>
    </xf>
    <xf numFmtId="0" fontId="52" fillId="0" borderId="0" xfId="0" applyFont="1" applyAlignment="1">
      <alignment horizontal="center"/>
    </xf>
    <xf numFmtId="166" fontId="52" fillId="0" borderId="0" xfId="0" applyNumberFormat="1" applyFont="1" applyAlignment="1">
      <alignment horizontal="center"/>
    </xf>
    <xf numFmtId="166" fontId="57" fillId="0" borderId="0" xfId="0" applyNumberFormat="1" applyFont="1" applyAlignment="1">
      <alignment horizontal="left"/>
    </xf>
    <xf numFmtId="167" fontId="0" fillId="0" borderId="0" xfId="4" applyNumberFormat="1" applyFont="1" applyAlignment="1">
      <alignment horizontal="center"/>
    </xf>
    <xf numFmtId="171" fontId="34" fillId="0" borderId="0" xfId="9" applyNumberFormat="1" applyFont="1"/>
    <xf numFmtId="172" fontId="0" fillId="0" borderId="0" xfId="3" applyNumberFormat="1" applyFont="1" applyAlignment="1">
      <alignment horizontal="center"/>
    </xf>
    <xf numFmtId="166" fontId="17" fillId="13" borderId="0" xfId="0" applyNumberFormat="1" applyFont="1" applyFill="1" applyAlignment="1">
      <alignment horizontal="center" vertical="center" wrapText="1"/>
    </xf>
    <xf numFmtId="166" fontId="20" fillId="12" borderId="0" xfId="0" applyNumberFormat="1" applyFont="1" applyFill="1" applyAlignment="1">
      <alignment horizontal="center"/>
    </xf>
    <xf numFmtId="166" fontId="0" fillId="4" borderId="0" xfId="2" applyNumberFormat="1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6" fontId="17" fillId="11" borderId="0" xfId="0" applyNumberFormat="1" applyFont="1" applyFill="1" applyAlignment="1">
      <alignment horizontal="center" vertical="center" wrapText="1"/>
    </xf>
    <xf numFmtId="0" fontId="18" fillId="12" borderId="0" xfId="0" applyFont="1" applyFill="1" applyAlignment="1">
      <alignment horizontal="center"/>
    </xf>
    <xf numFmtId="0" fontId="58" fillId="0" borderId="0" xfId="0" applyFont="1" applyAlignment="1">
      <alignment horizontal="center" vertical="center"/>
    </xf>
    <xf numFmtId="166" fontId="50" fillId="49" borderId="0" xfId="0" applyNumberFormat="1" applyFont="1" applyFill="1" applyAlignment="1">
      <alignment horizontal="center" vertical="center" wrapText="1"/>
    </xf>
    <xf numFmtId="17" fontId="50" fillId="49" borderId="0" xfId="0" applyNumberFormat="1" applyFont="1" applyFill="1" applyAlignment="1">
      <alignment horizontal="center" vertical="center" wrapText="1"/>
    </xf>
    <xf numFmtId="3" fontId="24" fillId="4" borderId="0" xfId="0" applyNumberFormat="1" applyFont="1" applyFill="1" applyAlignment="1">
      <alignment horizontal="center" vertical="center"/>
    </xf>
    <xf numFmtId="17" fontId="53" fillId="49" borderId="0" xfId="0" applyNumberFormat="1" applyFont="1" applyFill="1" applyAlignment="1">
      <alignment horizontal="center" vertical="center" wrapText="1"/>
    </xf>
    <xf numFmtId="166" fontId="53" fillId="49" borderId="0" xfId="0" applyNumberFormat="1" applyFont="1" applyFill="1" applyAlignment="1">
      <alignment horizontal="center" vertical="center" wrapText="1"/>
    </xf>
    <xf numFmtId="0" fontId="24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17" fontId="27" fillId="53" borderId="0" xfId="0" applyNumberFormat="1" applyFont="1" applyFill="1" applyAlignment="1">
      <alignment horizontal="center" vertical="center"/>
    </xf>
    <xf numFmtId="166" fontId="17" fillId="53" borderId="0" xfId="0" applyNumberFormat="1" applyFont="1" applyFill="1" applyAlignment="1">
      <alignment horizontal="center" vertical="center" wrapText="1"/>
    </xf>
    <xf numFmtId="166" fontId="17" fillId="53" borderId="0" xfId="0" applyNumberFormat="1" applyFont="1" applyFill="1" applyAlignment="1">
      <alignment horizontal="center"/>
    </xf>
    <xf numFmtId="17" fontId="12" fillId="54" borderId="0" xfId="0" applyNumberFormat="1" applyFont="1" applyFill="1" applyAlignment="1">
      <alignment horizontal="center"/>
    </xf>
    <xf numFmtId="0" fontId="50" fillId="0" borderId="0" xfId="0" applyFont="1" applyAlignment="1">
      <alignment horizontal="center" vertical="top"/>
    </xf>
    <xf numFmtId="166" fontId="13" fillId="0" borderId="0" xfId="0" applyNumberFormat="1" applyFont="1" applyAlignment="1">
      <alignment horizontal="center" vertical="top"/>
    </xf>
    <xf numFmtId="0" fontId="15" fillId="0" borderId="0" xfId="0" applyFont="1" applyAlignment="1">
      <alignment horizontal="left" vertical="top"/>
    </xf>
    <xf numFmtId="166" fontId="56" fillId="0" borderId="0" xfId="0" applyNumberFormat="1" applyFont="1" applyAlignment="1">
      <alignment horizontal="center"/>
    </xf>
    <xf numFmtId="0" fontId="27" fillId="13" borderId="11" xfId="0" applyFont="1" applyFill="1" applyBorder="1" applyAlignment="1">
      <alignment horizontal="center" vertical="center" wrapText="1"/>
    </xf>
    <xf numFmtId="166" fontId="17" fillId="13" borderId="1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 wrapText="1"/>
    </xf>
    <xf numFmtId="166" fontId="17" fillId="11" borderId="0" xfId="0" applyNumberFormat="1" applyFont="1" applyFill="1" applyAlignment="1">
      <alignment horizontal="center" vertical="center"/>
    </xf>
    <xf numFmtId="0" fontId="27" fillId="51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72" fontId="0" fillId="0" borderId="0" xfId="3" applyNumberFormat="1" applyFont="1" applyAlignment="1">
      <alignment vertical="center"/>
    </xf>
    <xf numFmtId="3" fontId="63" fillId="4" borderId="0" xfId="0" applyNumberFormat="1" applyFont="1" applyFill="1" applyAlignment="1">
      <alignment horizontal="center" vertical="center"/>
    </xf>
    <xf numFmtId="0" fontId="51" fillId="4" borderId="0" xfId="0" applyFont="1" applyFill="1" applyAlignment="1">
      <alignment horizontal="center" vertical="center"/>
    </xf>
    <xf numFmtId="0" fontId="62" fillId="4" borderId="0" xfId="0" applyFont="1" applyFill="1" applyAlignment="1">
      <alignment horizontal="center" vertical="center"/>
    </xf>
    <xf numFmtId="0" fontId="25" fillId="50" borderId="0" xfId="0" applyFont="1" applyFill="1" applyAlignment="1">
      <alignment horizontal="center" vertical="center"/>
    </xf>
    <xf numFmtId="166" fontId="26" fillId="50" borderId="0" xfId="0" applyNumberFormat="1" applyFont="1" applyFill="1" applyAlignment="1">
      <alignment horizontal="center" vertical="center"/>
    </xf>
    <xf numFmtId="0" fontId="54" fillId="50" borderId="0" xfId="0" applyFont="1" applyFill="1" applyAlignment="1">
      <alignment horizontal="center" vertical="center"/>
    </xf>
    <xf numFmtId="166" fontId="56" fillId="50" borderId="0" xfId="0" applyNumberFormat="1" applyFont="1" applyFill="1" applyAlignment="1">
      <alignment horizontal="center" vertical="center"/>
    </xf>
    <xf numFmtId="0" fontId="50" fillId="4" borderId="0" xfId="0" applyFont="1" applyFill="1" applyAlignment="1">
      <alignment horizontal="center" vertical="center"/>
    </xf>
    <xf numFmtId="166" fontId="50" fillId="4" borderId="0" xfId="0" applyNumberFormat="1" applyFont="1" applyFill="1" applyAlignment="1">
      <alignment horizontal="center" vertical="center"/>
    </xf>
    <xf numFmtId="0" fontId="53" fillId="4" borderId="0" xfId="0" applyFont="1" applyFill="1" applyAlignment="1">
      <alignment horizontal="center" vertical="center"/>
    </xf>
    <xf numFmtId="166" fontId="53" fillId="4" borderId="0" xfId="0" applyNumberFormat="1" applyFont="1" applyFill="1" applyAlignment="1">
      <alignment horizontal="center" vertical="center"/>
    </xf>
    <xf numFmtId="166" fontId="61" fillId="0" borderId="0" xfId="0" applyNumberFormat="1" applyFont="1" applyAlignment="1">
      <alignment horizontal="center"/>
    </xf>
    <xf numFmtId="0" fontId="53" fillId="0" borderId="0" xfId="0" applyFont="1" applyAlignment="1">
      <alignment horizontal="center" vertical="center"/>
    </xf>
    <xf numFmtId="0" fontId="24" fillId="0" borderId="12" xfId="0" applyFont="1" applyBorder="1"/>
    <xf numFmtId="166" fontId="23" fillId="0" borderId="12" xfId="0" applyNumberFormat="1" applyFont="1" applyBorder="1" applyAlignment="1">
      <alignment horizontal="center"/>
    </xf>
    <xf numFmtId="0" fontId="0" fillId="0" borderId="12" xfId="0" applyBorder="1"/>
    <xf numFmtId="0" fontId="15" fillId="0" borderId="12" xfId="0" applyFont="1" applyBorder="1" applyAlignment="1">
      <alignment horizontal="left" vertical="center"/>
    </xf>
    <xf numFmtId="0" fontId="0" fillId="0" borderId="13" xfId="0" applyBorder="1"/>
    <xf numFmtId="166" fontId="17" fillId="51" borderId="13" xfId="0" applyNumberFormat="1" applyFont="1" applyFill="1" applyBorder="1" applyAlignment="1">
      <alignment horizontal="center" vertical="center" wrapText="1"/>
    </xf>
    <xf numFmtId="0" fontId="54" fillId="0" borderId="0" xfId="0" applyFont="1" applyAlignment="1">
      <alignment horizontal="center"/>
    </xf>
    <xf numFmtId="166" fontId="26" fillId="0" borderId="12" xfId="0" applyNumberFormat="1" applyFont="1" applyBorder="1" applyAlignment="1">
      <alignment horizontal="center"/>
    </xf>
    <xf numFmtId="166" fontId="14" fillId="0" borderId="12" xfId="0" applyNumberFormat="1" applyFont="1" applyBorder="1" applyAlignment="1">
      <alignment horizontal="center"/>
    </xf>
    <xf numFmtId="166" fontId="17" fillId="51" borderId="12" xfId="0" applyNumberFormat="1" applyFont="1" applyFill="1" applyBorder="1" applyAlignment="1">
      <alignment horizontal="center" vertical="center" wrapText="1"/>
    </xf>
    <xf numFmtId="166" fontId="56" fillId="0" borderId="12" xfId="0" applyNumberFormat="1" applyFont="1" applyBorder="1" applyAlignment="1">
      <alignment horizontal="center"/>
    </xf>
    <xf numFmtId="166" fontId="17" fillId="51" borderId="12" xfId="0" applyNumberFormat="1" applyFont="1" applyFill="1" applyBorder="1" applyAlignment="1">
      <alignment horizontal="center" vertical="center"/>
    </xf>
    <xf numFmtId="0" fontId="64" fillId="0" borderId="0" xfId="0" applyFont="1" applyAlignment="1">
      <alignment horizontal="center"/>
    </xf>
    <xf numFmtId="167" fontId="0" fillId="0" borderId="0" xfId="98" applyNumberFormat="1" applyFont="1" applyAlignment="1">
      <alignment horizontal="center"/>
    </xf>
    <xf numFmtId="167" fontId="0" fillId="0" borderId="0" xfId="154" applyNumberFormat="1" applyFont="1" applyAlignment="1">
      <alignment horizontal="center"/>
    </xf>
    <xf numFmtId="17" fontId="83" fillId="13" borderId="0" xfId="0" applyNumberFormat="1" applyFont="1" applyFill="1" applyAlignment="1">
      <alignment horizontal="center" vertical="center"/>
    </xf>
    <xf numFmtId="17" fontId="83" fillId="51" borderId="0" xfId="0" applyNumberFormat="1" applyFont="1" applyFill="1" applyAlignment="1">
      <alignment horizontal="center" vertical="center"/>
    </xf>
    <xf numFmtId="17" fontId="83" fillId="11" borderId="0" xfId="0" applyNumberFormat="1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27" fillId="13" borderId="12" xfId="0" applyFont="1" applyFill="1" applyBorder="1" applyAlignment="1">
      <alignment horizontal="center" vertical="center"/>
    </xf>
    <xf numFmtId="0" fontId="27" fillId="52" borderId="0" xfId="0" applyFont="1" applyFill="1" applyAlignment="1">
      <alignment horizontal="center" vertical="center"/>
    </xf>
    <xf numFmtId="0" fontId="27" fillId="51" borderId="0" xfId="0" applyFont="1" applyFill="1" applyAlignment="1">
      <alignment horizontal="center" vertical="center"/>
    </xf>
    <xf numFmtId="0" fontId="27" fillId="51" borderId="12" xfId="0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27" fillId="53" borderId="0" xfId="0" applyFont="1" applyFill="1" applyAlignment="1">
      <alignment horizontal="center" vertical="center"/>
    </xf>
    <xf numFmtId="166" fontId="60" fillId="53" borderId="0" xfId="0" applyNumberFormat="1" applyFont="1" applyFill="1" applyAlignment="1">
      <alignment horizontal="center" vertical="center" wrapText="1"/>
    </xf>
    <xf numFmtId="0" fontId="59" fillId="0" borderId="0" xfId="0" applyFont="1" applyAlignment="1">
      <alignment horizontal="center"/>
    </xf>
    <xf numFmtId="0" fontId="17" fillId="53" borderId="0" xfId="0" applyFont="1" applyFill="1" applyAlignment="1">
      <alignment horizontal="center"/>
    </xf>
    <xf numFmtId="3" fontId="0" fillId="15" borderId="0" xfId="0" applyNumberFormat="1" applyFill="1" applyAlignment="1">
      <alignment horizontal="center"/>
    </xf>
    <xf numFmtId="3" fontId="0" fillId="5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3" fontId="0" fillId="3" borderId="0" xfId="0" applyNumberFormat="1" applyFill="1" applyAlignment="1">
      <alignment horizontal="center"/>
    </xf>
    <xf numFmtId="3" fontId="0" fillId="4" borderId="0" xfId="0" applyNumberFormat="1" applyFill="1" applyAlignment="1">
      <alignment horizontal="center"/>
    </xf>
    <xf numFmtId="166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301">
    <cellStyle name="20% - Énfasis1" xfId="69" builtinId="30" customBuiltin="1"/>
    <cellStyle name="20% - Énfasis1 2" xfId="27" xr:uid="{C2D0AC1C-651C-4157-841E-23884DF53E5D}"/>
    <cellStyle name="20% - Énfasis1 3" xfId="115" xr:uid="{60E20100-AA77-4CC1-97B7-A5E3C4541E8F}"/>
    <cellStyle name="20% - Énfasis2" xfId="73" builtinId="34" customBuiltin="1"/>
    <cellStyle name="20% - Énfasis2 2" xfId="31" xr:uid="{A021DEB3-70A6-4A91-8B90-F16C4D13A1D1}"/>
    <cellStyle name="20% - Énfasis2 3" xfId="119" xr:uid="{8084BD53-6DF9-4426-B95F-2E063276380F}"/>
    <cellStyle name="20% - Énfasis3" xfId="77" builtinId="38" customBuiltin="1"/>
    <cellStyle name="20% - Énfasis3 2" xfId="35" xr:uid="{64E183E3-5AFD-4F54-B168-163C10588A0B}"/>
    <cellStyle name="20% - Énfasis3 3" xfId="123" xr:uid="{2B2A3527-A310-4457-9E3D-C7E8199E9828}"/>
    <cellStyle name="20% - Énfasis4" xfId="81" builtinId="42" customBuiltin="1"/>
    <cellStyle name="20% - Énfasis4 2" xfId="39" xr:uid="{126CA6DA-5568-418C-82AB-C1C4ABB2C77F}"/>
    <cellStyle name="20% - Énfasis4 3" xfId="127" xr:uid="{C623104C-95E1-46DA-8E89-420B01084EDC}"/>
    <cellStyle name="20% - Énfasis5" xfId="85" builtinId="46" customBuiltin="1"/>
    <cellStyle name="20% - Énfasis5 2" xfId="43" xr:uid="{6EBEFD60-6FEC-4DE4-80D4-729553B12D21}"/>
    <cellStyle name="20% - Énfasis5 3" xfId="131" xr:uid="{832443C7-07AD-40F0-AF08-2248BE53C18D}"/>
    <cellStyle name="20% - Énfasis6" xfId="89" builtinId="50" customBuiltin="1"/>
    <cellStyle name="20% - Énfasis6 2" xfId="47" xr:uid="{6666D1F9-3B53-4D1A-814A-8136FE326427}"/>
    <cellStyle name="20% - Énfasis6 3" xfId="135" xr:uid="{40E251B1-E264-4592-9755-344D99A2D760}"/>
    <cellStyle name="40% - Énfasis1" xfId="70" builtinId="31" customBuiltin="1"/>
    <cellStyle name="40% - Énfasis1 2" xfId="28" xr:uid="{EE4648D5-B508-4A61-8C44-B39293251284}"/>
    <cellStyle name="40% - Énfasis1 3" xfId="116" xr:uid="{2DE8956B-7514-4D18-B85F-C3D8B79C2AC7}"/>
    <cellStyle name="40% - Énfasis2" xfId="74" builtinId="35" customBuiltin="1"/>
    <cellStyle name="40% - Énfasis2 2" xfId="32" xr:uid="{9BD48A82-D01B-4567-8317-7642EB9A347F}"/>
    <cellStyle name="40% - Énfasis2 3" xfId="120" xr:uid="{43F79944-FF55-4C57-A8E8-FD0B5D4F1AB0}"/>
    <cellStyle name="40% - Énfasis3" xfId="78" builtinId="39" customBuiltin="1"/>
    <cellStyle name="40% - Énfasis3 2" xfId="36" xr:uid="{6BB855A7-C613-409E-88E2-93E531A22137}"/>
    <cellStyle name="40% - Énfasis3 3" xfId="124" xr:uid="{1F3E80BA-15A1-4431-B8A6-F661EFA3BC37}"/>
    <cellStyle name="40% - Énfasis4" xfId="82" builtinId="43" customBuiltin="1"/>
    <cellStyle name="40% - Énfasis4 2" xfId="40" xr:uid="{AAEF6AA3-0F7C-4FC1-9517-8CAF73DAB0C6}"/>
    <cellStyle name="40% - Énfasis4 3" xfId="128" xr:uid="{531AC3BB-84DA-46AA-A3B8-05E04D2C9ABD}"/>
    <cellStyle name="40% - Énfasis5" xfId="86" builtinId="47" customBuiltin="1"/>
    <cellStyle name="40% - Énfasis5 2" xfId="44" xr:uid="{99E44A95-08FA-45F9-B439-316027007AD2}"/>
    <cellStyle name="40% - Énfasis5 3" xfId="132" xr:uid="{3DACD1E4-C2EC-4949-BAEF-603935712767}"/>
    <cellStyle name="40% - Énfasis6" xfId="90" builtinId="51" customBuiltin="1"/>
    <cellStyle name="40% - Énfasis6 2" xfId="48" xr:uid="{C7A9A0B6-8638-4AE9-A9CA-1D404ECB6EC6}"/>
    <cellStyle name="40% - Énfasis6 3" xfId="136" xr:uid="{18281A24-D00A-402A-B3E5-0134DF438B0E}"/>
    <cellStyle name="60% - Énfasis1" xfId="71" builtinId="32" customBuiltin="1"/>
    <cellStyle name="60% - Énfasis1 2" xfId="29" xr:uid="{467FAB0F-5258-425A-8C6A-AEDAC5934D90}"/>
    <cellStyle name="60% - Énfasis1 3" xfId="117" xr:uid="{D0DED004-39F7-44C8-A547-E5AB7729723F}"/>
    <cellStyle name="60% - Énfasis2" xfId="75" builtinId="36" customBuiltin="1"/>
    <cellStyle name="60% - Énfasis2 2" xfId="33" xr:uid="{26760600-B524-4773-BF93-7C133A58FB36}"/>
    <cellStyle name="60% - Énfasis2 3" xfId="121" xr:uid="{F7407C6B-0085-4F9C-86FD-64AAEAF8FFEA}"/>
    <cellStyle name="60% - Énfasis3" xfId="79" builtinId="40" customBuiltin="1"/>
    <cellStyle name="60% - Énfasis3 2" xfId="37" xr:uid="{9F08B0D4-B2E5-4BA2-8A61-7ED6D6F27D25}"/>
    <cellStyle name="60% - Énfasis3 3" xfId="125" xr:uid="{A0C32C6C-35E8-4EED-8BC8-756554B5B199}"/>
    <cellStyle name="60% - Énfasis4" xfId="83" builtinId="44" customBuiltin="1"/>
    <cellStyle name="60% - Énfasis4 2" xfId="41" xr:uid="{C57FFA15-B94E-4D92-8064-E21745DAE95B}"/>
    <cellStyle name="60% - Énfasis4 3" xfId="129" xr:uid="{0E4F0F2D-0400-40B0-8B4B-3AABC08E311B}"/>
    <cellStyle name="60% - Énfasis5" xfId="87" builtinId="48" customBuiltin="1"/>
    <cellStyle name="60% - Énfasis5 2" xfId="45" xr:uid="{6AC142D4-204A-4DA6-8EAA-7F2BC71E5A23}"/>
    <cellStyle name="60% - Énfasis5 3" xfId="133" xr:uid="{9103C723-0BAD-440D-AA91-2DB59BAAE34E}"/>
    <cellStyle name="60% - Énfasis6" xfId="91" builtinId="52" customBuiltin="1"/>
    <cellStyle name="60% - Énfasis6 2" xfId="49" xr:uid="{52503A94-3515-4C87-847F-0E35D8EAC483}"/>
    <cellStyle name="60% - Énfasis6 3" xfId="137" xr:uid="{E3F10BD3-74AE-437C-8BCF-DBB55E08C721}"/>
    <cellStyle name="Bueno" xfId="57" builtinId="26" customBuiltin="1"/>
    <cellStyle name="Bueno 2" xfId="15" xr:uid="{DBB2F752-82DD-4DFA-907C-4C462D3C7E7B}"/>
    <cellStyle name="Bueno 3" xfId="103" xr:uid="{4D05F1B1-FEBB-4219-81C6-B5DE755832CC}"/>
    <cellStyle name="Cálculo" xfId="62" builtinId="22" customBuiltin="1"/>
    <cellStyle name="Cálculo 2" xfId="20" xr:uid="{C892A4CE-48A5-4883-94A1-6EB4A0CF848B}"/>
    <cellStyle name="Cálculo 3" xfId="108" xr:uid="{D97B7B6D-A032-408D-95B1-78B21812C21C}"/>
    <cellStyle name="Celda de comprobación" xfId="64" builtinId="23" customBuiltin="1"/>
    <cellStyle name="Celda de comprobación 2" xfId="22" xr:uid="{8D82DC60-38CB-4CCC-B830-9493F6E8B1D8}"/>
    <cellStyle name="Celda de comprobación 3" xfId="110" xr:uid="{C5574D36-E2CE-484E-980E-2D8DB371D9F7}"/>
    <cellStyle name="Celda vinculada" xfId="63" builtinId="24" customBuiltin="1"/>
    <cellStyle name="Celda vinculada 2" xfId="21" xr:uid="{92B40B30-289D-401A-AE3A-FA86861A9D01}"/>
    <cellStyle name="Celda vinculada 3" xfId="109" xr:uid="{7EFA293A-2F7E-4B93-A366-30F4EF8360E5}"/>
    <cellStyle name="Encabezado 1" xfId="53" builtinId="16" customBuiltin="1"/>
    <cellStyle name="Encabezado 1 2" xfId="11" xr:uid="{136FF82B-ED85-47FC-966F-8BE0296800DD}"/>
    <cellStyle name="Encabezado 1 3" xfId="99" xr:uid="{10DA211A-0BDF-4EF5-B32B-0D0AD339943A}"/>
    <cellStyle name="Encabezado 4" xfId="56" builtinId="19" customBuiltin="1"/>
    <cellStyle name="Encabezado 4 2" xfId="14" xr:uid="{DDF9A741-C001-4F02-8281-E45ECE3F794F}"/>
    <cellStyle name="Encabezado 4 3" xfId="102" xr:uid="{EAFD1614-80CD-4412-8F63-4B5E83D41CE5}"/>
    <cellStyle name="Énfasis1" xfId="68" builtinId="29" customBuiltin="1"/>
    <cellStyle name="Énfasis1 2" xfId="26" xr:uid="{B401B2C1-A349-4BB3-8C02-AAB89B364F5A}"/>
    <cellStyle name="Énfasis1 3" xfId="114" xr:uid="{A6D98ECC-2C4B-4E6B-9A33-122E35948468}"/>
    <cellStyle name="Énfasis2" xfId="72" builtinId="33" customBuiltin="1"/>
    <cellStyle name="Énfasis2 2" xfId="30" xr:uid="{9BCC131F-1563-473C-8FFB-21E1EFC3662B}"/>
    <cellStyle name="Énfasis2 3" xfId="118" xr:uid="{DA627DD5-8F3B-480F-BC94-5027C469C532}"/>
    <cellStyle name="Énfasis3" xfId="76" builtinId="37" customBuiltin="1"/>
    <cellStyle name="Énfasis3 2" xfId="34" xr:uid="{5A3ED312-D1D1-498B-B625-546AB26CA823}"/>
    <cellStyle name="Énfasis3 3" xfId="122" xr:uid="{E544F611-E6D3-43D3-A966-65F2171EEAC4}"/>
    <cellStyle name="Énfasis4" xfId="80" builtinId="41" customBuiltin="1"/>
    <cellStyle name="Énfasis4 2" xfId="38" xr:uid="{DF2C7956-77A3-4A79-B62E-6EC4FCB727A7}"/>
    <cellStyle name="Énfasis4 3" xfId="126" xr:uid="{AE5B3254-BD19-4E78-A95F-A7C49A8A2562}"/>
    <cellStyle name="Énfasis5" xfId="84" builtinId="45" customBuiltin="1"/>
    <cellStyle name="Énfasis5 2" xfId="42" xr:uid="{76D79EEC-74C7-4D76-8127-DD99D7230B5D}"/>
    <cellStyle name="Énfasis5 3" xfId="130" xr:uid="{19114F52-7101-4230-AF9A-3B397A05CB62}"/>
    <cellStyle name="Énfasis6" xfId="88" builtinId="49" customBuiltin="1"/>
    <cellStyle name="Énfasis6 2" xfId="46" xr:uid="{B576BDD0-D855-4710-9FE6-2AF69C68514C}"/>
    <cellStyle name="Énfasis6 3" xfId="134" xr:uid="{7BC3E7B7-DB9F-494B-AF00-29494B5443D1}"/>
    <cellStyle name="Entrada" xfId="60" builtinId="20" customBuiltin="1"/>
    <cellStyle name="Entrada 2" xfId="18" xr:uid="{021DDF0F-FA6B-4614-95F4-C48C64AF2A6A}"/>
    <cellStyle name="Entrada 3" xfId="106" xr:uid="{20D893E5-DB6D-4F07-96D3-A457B0B1536A}"/>
    <cellStyle name="Incorrecto" xfId="58" builtinId="27" customBuiltin="1"/>
    <cellStyle name="Incorrecto 2" xfId="16" xr:uid="{5AFC04D7-8237-4F10-B810-C3FD86A7CDC9}"/>
    <cellStyle name="Incorrecto 3" xfId="104" xr:uid="{C00FC395-78D6-4E2A-89E1-827F8A379D89}"/>
    <cellStyle name="Millares" xfId="3" builtinId="3"/>
    <cellStyle name="Millares 2" xfId="5" xr:uid="{70F3B81D-5734-4BFC-8A9D-14C6C4715BCA}"/>
    <cellStyle name="Millares 2 2" xfId="9" xr:uid="{2FEC89FD-6A5D-4B28-9A9D-5FCDDB291CF2}"/>
    <cellStyle name="Millares 2 2 2" xfId="149" xr:uid="{978DA962-41BA-40EB-8D8F-7D32BAC13305}"/>
    <cellStyle name="Millares 2 2 2 2" xfId="190" xr:uid="{AA03E5F5-B5BC-4961-935E-3B29EC03F18D}"/>
    <cellStyle name="Millares 2 2 2 2 2" xfId="297" xr:uid="{5ACFEB31-E502-4E7B-A6F2-1CCE2722DA6F}"/>
    <cellStyle name="Millares 2 2 2 3" xfId="207" xr:uid="{50E31FA3-39F6-4832-BB0B-835C0F4D0494}"/>
    <cellStyle name="Millares 2 2 2 3 2" xfId="260" xr:uid="{704BA5FD-D57F-4038-BBCF-757704FAB220}"/>
    <cellStyle name="Millares 2 2 2 4" xfId="244" xr:uid="{195610BF-E330-4913-9417-06BA4A4C5995}"/>
    <cellStyle name="Millares 2 2 3" xfId="174" xr:uid="{82EF25B7-6C6E-4F4E-9F95-1047D808C7A4}"/>
    <cellStyle name="Millares 2 2 3 2" xfId="281" xr:uid="{C66ED501-6C1C-4692-A357-EBDD16057A46}"/>
    <cellStyle name="Millares 2 2 4" xfId="228" xr:uid="{3ED18246-4885-4608-AF64-4D657C3A00AC}"/>
    <cellStyle name="Millares 2 3" xfId="97" xr:uid="{D57E2CA6-4AEA-4052-BD56-F89A12E57976}"/>
    <cellStyle name="Millares 2 3 2" xfId="153" xr:uid="{B32251B8-E0BC-49CF-90F0-E0F55CCA7942}"/>
    <cellStyle name="Millares 2 3 2 2" xfId="192" xr:uid="{C0CD2943-D49A-40EE-98F5-B7981D93B5F1}"/>
    <cellStyle name="Millares 2 3 2 2 2" xfId="299" xr:uid="{6DA01D9F-CC36-4D9A-B1DE-54DC0C4ED3E4}"/>
    <cellStyle name="Millares 2 3 2 3" xfId="209" xr:uid="{22674BD0-0C1B-4589-8676-BFAD2C528F1A}"/>
    <cellStyle name="Millares 2 3 2 3 2" xfId="262" xr:uid="{67F6F1CF-5BED-43BF-8073-204990C19A43}"/>
    <cellStyle name="Millares 2 3 2 4" xfId="246" xr:uid="{319621AE-B72A-4BAB-A8E1-CAC2C4B2C748}"/>
    <cellStyle name="Millares 2 3 3" xfId="161" xr:uid="{2EDD8EAC-4E4A-42F0-8A25-D8C612A8BA17}"/>
    <cellStyle name="Millares 2 3 3 2" xfId="182" xr:uid="{CD3D6C70-2285-4264-B0B9-5D4C73DB0C10}"/>
    <cellStyle name="Millares 2 3 3 2 2" xfId="289" xr:uid="{5C46B712-0E97-4B13-A490-0A9675FDEACC}"/>
    <cellStyle name="Millares 2 3 3 3" xfId="215" xr:uid="{8EDE3084-6D76-49E5-A8A6-F72541530BD9}"/>
    <cellStyle name="Millares 2 3 3 3 2" xfId="268" xr:uid="{C4FB4BE2-458B-4564-9CD1-FBB4E37E5763}"/>
    <cellStyle name="Millares 2 3 3 4" xfId="236" xr:uid="{FDC7D50A-31E7-43AE-9CAF-B41B0BAFB5C7}"/>
    <cellStyle name="Millares 2 3 4" xfId="176" xr:uid="{97A607A6-14A5-4DAD-B592-AD2B2106DCA1}"/>
    <cellStyle name="Millares 2 3 4 2" xfId="283" xr:uid="{E5DCAA33-9C37-4A8D-80D2-AC279ACF4F5A}"/>
    <cellStyle name="Millares 2 3 5" xfId="198" xr:uid="{B637E477-C58C-402F-8230-288068D8B0E3}"/>
    <cellStyle name="Millares 2 3 5 2" xfId="252" xr:uid="{FB6B5CE1-C5FB-4072-B4A1-CE4A1751ED07}"/>
    <cellStyle name="Millares 2 3 6" xfId="230" xr:uid="{9221FC1D-C3D5-4F01-AA4E-01FBD403843D}"/>
    <cellStyle name="Millares 2 4" xfId="148" xr:uid="{507ABD93-590B-4D61-AADB-81411EE64717}"/>
    <cellStyle name="Millares 2 4 2" xfId="166" xr:uid="{E30E902D-7475-43E6-BF80-B3D4F04303E3}"/>
    <cellStyle name="Millares 2 4 2 2" xfId="189" xr:uid="{BC69C418-B84B-498E-BD29-F62B9CBA1409}"/>
    <cellStyle name="Millares 2 4 2 2 2" xfId="296" xr:uid="{287D103A-3189-4708-B725-B89D7EE7DA64}"/>
    <cellStyle name="Millares 2 4 2 3" xfId="220" xr:uid="{BF072576-EAC4-4EEA-B931-FE24E1D5623E}"/>
    <cellStyle name="Millares 2 4 2 3 2" xfId="273" xr:uid="{7F7021AD-A30F-48CD-9A30-8272729DE59D}"/>
    <cellStyle name="Millares 2 4 2 4" xfId="243" xr:uid="{7ED67258-0466-432A-B039-D27C7E9FF500}"/>
    <cellStyle name="Millares 2 4 3" xfId="173" xr:uid="{3B660102-435D-444D-883C-331416BD7329}"/>
    <cellStyle name="Millares 2 4 3 2" xfId="280" xr:uid="{C0DBD42A-A7B9-4BC3-A0B7-F8485629CE57}"/>
    <cellStyle name="Millares 2 4 4" xfId="206" xr:uid="{93547FDD-FB41-4C8B-9F3C-7C2ABAC6EC8A}"/>
    <cellStyle name="Millares 2 4 4 2" xfId="259" xr:uid="{A3E7F3B1-C950-4151-914F-836EF3526BD5}"/>
    <cellStyle name="Millares 2 4 5" xfId="227" xr:uid="{A4DF7B47-DF63-4B3E-B36F-AEFD75900727}"/>
    <cellStyle name="Millares 2 5" xfId="159" xr:uid="{EAB742E0-BDB6-4671-B02D-D85D6BE46369}"/>
    <cellStyle name="Millares 2 5 2" xfId="180" xr:uid="{DBE166F6-AA33-468C-BB68-BD0A8128192D}"/>
    <cellStyle name="Millares 2 5 2 2" xfId="287" xr:uid="{95F00780-3DE7-4C84-A077-48CFE583C05E}"/>
    <cellStyle name="Millares 2 5 3" xfId="213" xr:uid="{3E37F632-E076-4A96-BED3-0EB4CB59397B}"/>
    <cellStyle name="Millares 2 5 3 2" xfId="266" xr:uid="{83F9CF5B-E9A0-4172-8592-DEFC0C93FC3C}"/>
    <cellStyle name="Millares 2 5 4" xfId="234" xr:uid="{066ACEE2-EF7F-4484-85FA-D59B8BA852DD}"/>
    <cellStyle name="Millares 2 6" xfId="196" xr:uid="{A5130A50-F26B-4032-A6D7-1A875EB5FE8B}"/>
    <cellStyle name="Millares 2 6 2" xfId="250" xr:uid="{6EB20320-941D-4B07-9799-73398B2970CA}"/>
    <cellStyle name="Millares 3" xfId="93" xr:uid="{C2B4AA15-323C-4CEB-A71F-9B6722286B0A}"/>
    <cellStyle name="Millares 3 2" xfId="151" xr:uid="{CF7715C4-51A0-4A41-90D8-1036D6F0298F}"/>
    <cellStyle name="Millares 3 2 2" xfId="167" xr:uid="{75226D5E-F8DE-436E-BBA4-1D5472E363E6}"/>
    <cellStyle name="Millares 3 2 2 2" xfId="191" xr:uid="{154B48BB-1D32-4772-8B23-F6B3D2BD1C14}"/>
    <cellStyle name="Millares 3 2 2 2 2" xfId="298" xr:uid="{5CF5F831-6262-4310-9A7D-78A654A84820}"/>
    <cellStyle name="Millares 3 2 2 3" xfId="221" xr:uid="{CEA0A015-1864-4235-94EF-0F7EF848AC7B}"/>
    <cellStyle name="Millares 3 2 2 3 2" xfId="274" xr:uid="{41DA6200-C3E2-457B-86F5-E8D33A0D7EF5}"/>
    <cellStyle name="Millares 3 2 2 4" xfId="245" xr:uid="{54C6A748-CE73-45A0-86F3-B9F156AB8975}"/>
    <cellStyle name="Millares 3 2 3" xfId="175" xr:uid="{4DEEDA25-6B09-44FB-BEA1-AE264EFC8B5E}"/>
    <cellStyle name="Millares 3 2 3 2" xfId="282" xr:uid="{1778F976-2EEC-4E1D-94D6-E818366C8C5E}"/>
    <cellStyle name="Millares 3 2 4" xfId="208" xr:uid="{EB816002-62C1-4A8B-AED9-49274AAC1F68}"/>
    <cellStyle name="Millares 3 2 4 2" xfId="261" xr:uid="{60FD2852-B3FE-4277-838E-0FCB9E60FFAC}"/>
    <cellStyle name="Millares 3 2 5" xfId="229" xr:uid="{A1586621-DAC2-449A-B832-EBCBD7C510AA}"/>
    <cellStyle name="Millares 3 3" xfId="144" xr:uid="{D4F40986-BAC2-4E69-A0A6-4AAB4B223078}"/>
    <cellStyle name="Millares 3 3 2" xfId="185" xr:uid="{B0AEC927-835D-4958-8459-1CCFACBFD1C7}"/>
    <cellStyle name="Millares 3 3 2 2" xfId="292" xr:uid="{1C979C21-6D84-456A-BBD9-0F2F24656C69}"/>
    <cellStyle name="Millares 3 3 3" xfId="202" xr:uid="{DBDC7F06-63F0-4B17-A6AA-217BF3F21F24}"/>
    <cellStyle name="Millares 3 3 3 2" xfId="255" xr:uid="{11E32C0E-2F06-4A35-B6BD-B24205F5D3DF}"/>
    <cellStyle name="Millares 3 3 4" xfId="239" xr:uid="{2403A34C-ADB2-4720-AE6E-ECB76A4B7A1A}"/>
    <cellStyle name="Millares 3 4" xfId="160" xr:uid="{D27DDCE7-BCD8-40E4-8982-D79D616E719A}"/>
    <cellStyle name="Millares 3 4 2" xfId="181" xr:uid="{AF761289-96E9-4522-875B-72278C3F84AE}"/>
    <cellStyle name="Millares 3 4 2 2" xfId="288" xr:uid="{D70B41B2-6844-41AC-BD3C-FE00DB8ED599}"/>
    <cellStyle name="Millares 3 4 3" xfId="214" xr:uid="{42A5DC78-D3FF-4597-A4B7-EE5399A94799}"/>
    <cellStyle name="Millares 3 4 3 2" xfId="267" xr:uid="{3E2E7A5D-B94A-406B-82C7-DA5C8FF7F9DB}"/>
    <cellStyle name="Millares 3 4 4" xfId="235" xr:uid="{BEA5313F-220F-4CA1-8A86-54B54481D97F}"/>
    <cellStyle name="Millares 3 5" xfId="169" xr:uid="{E68ACA41-6A01-4A38-975F-D84F2C0AD0C3}"/>
    <cellStyle name="Millares 3 5 2" xfId="276" xr:uid="{5AFBA299-E407-46AB-8E8D-AB4E8A767132}"/>
    <cellStyle name="Millares 3 6" xfId="197" xr:uid="{B435A70D-F6F5-41D9-8CAE-95379584C49E}"/>
    <cellStyle name="Millares 3 6 2" xfId="251" xr:uid="{F24ADC67-C4E2-4B63-A54B-546ADC61C718}"/>
    <cellStyle name="Millares 3 7" xfId="223" xr:uid="{0D6AD507-5626-40EA-9597-7E8B517C6D47}"/>
    <cellStyle name="Millares 4" xfId="146" xr:uid="{B3B44069-E759-4C87-A7E0-743C72846D72}"/>
    <cellStyle name="Millares 4 2" xfId="164" xr:uid="{A675DFA8-5F26-4640-B669-E8E0BDB73402}"/>
    <cellStyle name="Millares 4 2 2" xfId="187" xr:uid="{267669C8-26D0-405F-A8E4-C9208E9173DB}"/>
    <cellStyle name="Millares 4 2 2 2" xfId="294" xr:uid="{8437CB37-8B5B-4F7B-8D13-C643B6943B44}"/>
    <cellStyle name="Millares 4 2 3" xfId="218" xr:uid="{42B72F74-861C-4222-B5B1-55E5A7E08FE1}"/>
    <cellStyle name="Millares 4 2 3 2" xfId="271" xr:uid="{995F74F7-EAA8-4A58-922A-52530AB36D5D}"/>
    <cellStyle name="Millares 4 2 4" xfId="241" xr:uid="{F9BB9BD8-9864-4EBC-957A-2CB687D13911}"/>
    <cellStyle name="Millares 4 3" xfId="171" xr:uid="{89FC78D6-BA0B-4994-AC1A-10A76F0A6463}"/>
    <cellStyle name="Millares 4 3 2" xfId="278" xr:uid="{F4A50E6C-BC46-44F7-9A59-6EAE360D8A47}"/>
    <cellStyle name="Millares 4 4" xfId="204" xr:uid="{9182224C-999C-4CB7-A337-F12467756D3C}"/>
    <cellStyle name="Millares 4 4 2" xfId="257" xr:uid="{D065852D-2C51-44B8-B892-60E7CEFAEAB4}"/>
    <cellStyle name="Millares 4 5" xfId="225" xr:uid="{21CBD8E3-3070-4427-BA65-326FF071801E}"/>
    <cellStyle name="Moneda" xfId="2" builtinId="4"/>
    <cellStyle name="Moneda 2" xfId="4" xr:uid="{17D0D18B-940A-408C-B591-0EFD6BFF8989}"/>
    <cellStyle name="Moneda 2 2" xfId="98" xr:uid="{0AB09440-8CD8-4244-9CA2-98F7290E2E94}"/>
    <cellStyle name="Moneda 2 2 2" xfId="154" xr:uid="{08AFF608-406A-4A2A-932C-2269DD675799}"/>
    <cellStyle name="Moneda 2 2 2 2" xfId="193" xr:uid="{79D01A4C-ED45-4C4C-81A8-9B5C7E6C8862}"/>
    <cellStyle name="Moneda 2 2 2 2 2" xfId="300" xr:uid="{44882FBE-878A-46E4-9FDE-ABCC9103688F}"/>
    <cellStyle name="Moneda 2 2 2 3" xfId="210" xr:uid="{44EC713D-F552-4774-B122-26371EAF9A55}"/>
    <cellStyle name="Moneda 2 2 2 3 2" xfId="263" xr:uid="{28B94B4B-5C89-4E2F-8980-7BD19ABB4582}"/>
    <cellStyle name="Moneda 2 2 2 4" xfId="247" xr:uid="{C5F79C84-66C6-4DFD-AA65-3D2DC6A8E2A4}"/>
    <cellStyle name="Moneda 2 2 3" xfId="162" xr:uid="{628CAA39-2E6C-4AF5-93B7-24F845EF3CE3}"/>
    <cellStyle name="Moneda 2 2 3 2" xfId="183" xr:uid="{5ECC0556-E887-4658-B43E-9C66430A1891}"/>
    <cellStyle name="Moneda 2 2 3 2 2" xfId="290" xr:uid="{B5035195-1A3C-4900-B0E3-863AACE3CEB2}"/>
    <cellStyle name="Moneda 2 2 3 3" xfId="216" xr:uid="{E52B59F4-B0E8-41CA-AC4B-A2DF22D8231C}"/>
    <cellStyle name="Moneda 2 2 3 3 2" xfId="269" xr:uid="{7D7F1C46-1F42-452A-917C-C9529B48E010}"/>
    <cellStyle name="Moneda 2 2 3 4" xfId="237" xr:uid="{63ABCA89-BC42-48E5-8A2B-1FF94AFB46BD}"/>
    <cellStyle name="Moneda 2 2 4" xfId="177" xr:uid="{71302D21-2E7D-463E-9B4B-83FA93CF53D5}"/>
    <cellStyle name="Moneda 2 2 4 2" xfId="284" xr:uid="{5BDE80D1-85F4-4FDC-9E0C-F0AC185F34B0}"/>
    <cellStyle name="Moneda 2 2 5" xfId="199" xr:uid="{C1B68FCF-C5D1-4ED6-884F-FABD9B276304}"/>
    <cellStyle name="Moneda 2 2 5 2" xfId="253" xr:uid="{9AB09BE7-7606-47B6-BAFB-FB42705E4576}"/>
    <cellStyle name="Moneda 2 2 6" xfId="231" xr:uid="{99CB43A5-4AD4-40CF-B566-533EAC72C20C}"/>
    <cellStyle name="Moneda 2 3" xfId="147" xr:uid="{3A740BE7-D619-4AFF-B7C7-54CABFB88876}"/>
    <cellStyle name="Moneda 2 3 2" xfId="165" xr:uid="{3C0E1124-C01D-4F3A-9C67-9B6679E50F1C}"/>
    <cellStyle name="Moneda 2 3 2 2" xfId="188" xr:uid="{E293C2D5-057A-42DB-94B9-546BC5448A99}"/>
    <cellStyle name="Moneda 2 3 2 2 2" xfId="295" xr:uid="{02334BF4-686E-4530-B8CE-1CB2CC5C0572}"/>
    <cellStyle name="Moneda 2 3 2 3" xfId="219" xr:uid="{18B114AF-518E-4338-A38D-01B1537731A2}"/>
    <cellStyle name="Moneda 2 3 2 3 2" xfId="272" xr:uid="{9A8688D1-5255-40D2-B784-F85ED22CBD28}"/>
    <cellStyle name="Moneda 2 3 2 4" xfId="242" xr:uid="{52BD2472-A20C-4338-80FD-F98B2CC971FA}"/>
    <cellStyle name="Moneda 2 3 3" xfId="172" xr:uid="{EEAF9C93-4616-4FBA-B2C4-18DCEB901613}"/>
    <cellStyle name="Moneda 2 3 3 2" xfId="279" xr:uid="{B3FEBB63-5688-4809-B749-DB3B76AA356E}"/>
    <cellStyle name="Moneda 2 3 4" xfId="205" xr:uid="{C8AC2E39-26EA-489C-8765-EEA6E6351A86}"/>
    <cellStyle name="Moneda 2 3 4 2" xfId="258" xr:uid="{302F31D2-F0CB-4205-BBBC-FC7398C598EC}"/>
    <cellStyle name="Moneda 2 3 5" xfId="226" xr:uid="{584769DE-421F-4F82-A2CC-4083FB7B0D52}"/>
    <cellStyle name="Moneda 2 4" xfId="141" xr:uid="{688F9E66-86A7-46A0-BA13-65304D942172}"/>
    <cellStyle name="Moneda 2 4 2" xfId="184" xr:uid="{9C91BFF9-4551-4F8A-8D0A-66D0D6029602}"/>
    <cellStyle name="Moneda 2 4 2 2" xfId="291" xr:uid="{D809ED04-8F67-4840-B310-A43B59F5F214}"/>
    <cellStyle name="Moneda 2 4 3" xfId="200" xr:uid="{548CF4FC-13A3-4D43-9F5C-1FDB43CC78B2}"/>
    <cellStyle name="Moneda 2 4 3 2" xfId="254" xr:uid="{FA989696-4D0D-4CE4-9C73-B235EA8800CF}"/>
    <cellStyle name="Moneda 2 4 4" xfId="238" xr:uid="{695BB459-F9BE-4E35-BF39-2C328EB82925}"/>
    <cellStyle name="Moneda 2 5" xfId="158" xr:uid="{39BD236D-0281-4AFA-A297-91C806102263}"/>
    <cellStyle name="Moneda 2 5 2" xfId="179" xr:uid="{E7D94D7A-35D7-44A6-911E-F83961238C0E}"/>
    <cellStyle name="Moneda 2 5 2 2" xfId="286" xr:uid="{34F78E66-0EA7-4B17-92B7-48441D6138F0}"/>
    <cellStyle name="Moneda 2 5 3" xfId="212" xr:uid="{5FC75FDB-CC1D-4F82-88B8-4566285383F4}"/>
    <cellStyle name="Moneda 2 5 3 2" xfId="265" xr:uid="{33960CB7-2D8D-47C1-A64A-55996217358F}"/>
    <cellStyle name="Moneda 2 5 4" xfId="233" xr:uid="{3E8CB924-D1F1-47E6-8FB8-F9CAC6B17A38}"/>
    <cellStyle name="Moneda 2 6" xfId="168" xr:uid="{5D22A7D5-2DE3-4266-B970-5E75A93F2F36}"/>
    <cellStyle name="Moneda 2 6 2" xfId="275" xr:uid="{331773F5-A122-4048-96D6-048DBBEE864E}"/>
    <cellStyle name="Moneda 2 7" xfId="195" xr:uid="{F45DC5E6-138D-481C-A571-5DA6518D344B}"/>
    <cellStyle name="Moneda 2 7 2" xfId="249" xr:uid="{5B2F6DB1-6C7D-4398-8F45-F8869D5F384B}"/>
    <cellStyle name="Moneda 2 8" xfId="222" xr:uid="{F82B99A7-C3BA-4B43-AEE7-2CC2F2B7FCEF}"/>
    <cellStyle name="Moneda 3" xfId="145" xr:uid="{16B77E21-7288-4644-8476-F5C12597AF6A}"/>
    <cellStyle name="Moneda 3 2" xfId="163" xr:uid="{101A1DCF-8749-488F-9AB3-F6101E507D66}"/>
    <cellStyle name="Moneda 3 2 2" xfId="186" xr:uid="{932E63DD-13B6-4337-9F34-5493FD17F1DB}"/>
    <cellStyle name="Moneda 3 2 2 2" xfId="293" xr:uid="{22248A5D-33E1-44DF-BDB6-862EA801B3F9}"/>
    <cellStyle name="Moneda 3 2 3" xfId="217" xr:uid="{F095E576-34FE-4E1B-9726-96849D4DE1CF}"/>
    <cellStyle name="Moneda 3 2 3 2" xfId="270" xr:uid="{5C6EC3AD-3955-4289-9C4A-46DFE2822347}"/>
    <cellStyle name="Moneda 3 2 4" xfId="240" xr:uid="{97C08076-E453-4BA9-8306-3C9DCD55323D}"/>
    <cellStyle name="Moneda 3 3" xfId="170" xr:uid="{3F341F97-A3F4-42C0-953A-0AECD7E26ED2}"/>
    <cellStyle name="Moneda 3 3 2" xfId="277" xr:uid="{4216E5A0-8A97-47E1-A959-6A783220175F}"/>
    <cellStyle name="Moneda 3 4" xfId="203" xr:uid="{21E19890-BAC3-47C3-9440-E8789EA940D0}"/>
    <cellStyle name="Moneda 3 4 2" xfId="256" xr:uid="{51E2A10A-7166-4C7D-9F5C-30D2067F86D5}"/>
    <cellStyle name="Moneda 3 5" xfId="224" xr:uid="{83EEC1E0-8C9E-4553-97CC-5F1E716CE392}"/>
    <cellStyle name="Moneda 4" xfId="157" xr:uid="{2340B1BB-2DCD-4B8B-9C76-9D8CC4EAEA4F}"/>
    <cellStyle name="Moneda 4 2" xfId="178" xr:uid="{C3F2CE53-D362-4431-B3E7-4377438E033D}"/>
    <cellStyle name="Moneda 4 2 2" xfId="285" xr:uid="{3338C476-D0DE-4837-959B-340820676534}"/>
    <cellStyle name="Moneda 4 3" xfId="211" xr:uid="{5D77803E-8CE2-4884-BF85-50AC6F01A741}"/>
    <cellStyle name="Moneda 4 3 2" xfId="264" xr:uid="{A1DA4C7E-F2DD-44B5-939D-D83D9B3DD9A3}"/>
    <cellStyle name="Moneda 4 4" xfId="232" xr:uid="{56ABD887-AE0A-48FF-B4C8-1206D3F9D3C8}"/>
    <cellStyle name="Moneda 5" xfId="194" xr:uid="{B33F7D79-5903-49C7-9E4C-3A8400379357}"/>
    <cellStyle name="Moneda 5 2" xfId="248" xr:uid="{02DD067C-7FBC-440A-A33D-B11BA67C86D9}"/>
    <cellStyle name="Neutral" xfId="59" builtinId="28" customBuiltin="1"/>
    <cellStyle name="Neutral 2" xfId="17" xr:uid="{5B91CA09-E48E-41D5-A01F-0246EF44A253}"/>
    <cellStyle name="Neutral 3" xfId="105" xr:uid="{25798A8E-1014-4FDF-B9C5-BE80C109D295}"/>
    <cellStyle name="Normal" xfId="0" builtinId="0"/>
    <cellStyle name="Normal 2" xfId="8" xr:uid="{7254F743-B2A6-4C74-B0D1-A988B2EFF1A5}"/>
    <cellStyle name="Normal 2 2" xfId="95" xr:uid="{AEF01C29-43AF-4F84-A66E-35DE18851642}"/>
    <cellStyle name="Normal 3" xfId="10" xr:uid="{389D3485-5241-4243-B57C-9D638B7FB137}"/>
    <cellStyle name="Normal 3 2" xfId="50" xr:uid="{2DBE7B5B-5F55-456D-A071-EB1DE3BA9705}"/>
    <cellStyle name="Normal 3 3" xfId="150" xr:uid="{542097B2-D1AD-4BD5-AC61-C2E88313C503}"/>
    <cellStyle name="Normal 4" xfId="51" xr:uid="{98D3FE03-0277-41B3-939B-896B28DBEE7E}"/>
    <cellStyle name="Normal 4 2" xfId="143" xr:uid="{415E0D91-59D0-4314-9E31-0D8DDE0FC03B}"/>
    <cellStyle name="Normal 5" xfId="52" xr:uid="{B02FFABA-A02C-4969-8F46-9FE1216A9AF2}"/>
    <cellStyle name="Normal 6" xfId="92" xr:uid="{388256C1-4190-4C37-95A6-97FA2FCB2EBB}"/>
    <cellStyle name="Normal 7" xfId="139" xr:uid="{CCC40D8F-54E2-4EF8-88FC-03FD469EA9B6}"/>
    <cellStyle name="Normal 7 2" xfId="155" xr:uid="{CCB31351-C5E6-4583-8EAF-335CE6EEB687}"/>
    <cellStyle name="Normal 8" xfId="140" xr:uid="{0BE95DCA-CBD7-4801-81DF-DC939BA7ECE2}"/>
    <cellStyle name="Normal 8 2" xfId="156" xr:uid="{3FEEFC2C-173C-4F1D-B9CE-21F2FB45C4A4}"/>
    <cellStyle name="Normal 8 3" xfId="142" xr:uid="{6F22D36F-CC39-429D-B083-E93FE867C1D5}"/>
    <cellStyle name="Normal 8 3 2" xfId="201" xr:uid="{3E4EDA1C-3742-4F63-A603-21112E2A940F}"/>
    <cellStyle name="Notas" xfId="7" builtinId="10" customBuiltin="1"/>
    <cellStyle name="Notas 2" xfId="96" xr:uid="{4D443B00-EF5C-4CFF-BEF0-98BB565EB592}"/>
    <cellStyle name="Notas 2 2" xfId="138" xr:uid="{2A6C6916-39C5-42FF-B941-4EA3E6E6AF4B}"/>
    <cellStyle name="Notas 2 3" xfId="152" xr:uid="{1458F55E-E26D-45A4-B5E6-C0106079B47D}"/>
    <cellStyle name="Porcentaje" xfId="1" builtinId="5"/>
    <cellStyle name="Porcentaje 2" xfId="94" xr:uid="{53C0FC38-0170-4930-94CD-5D59C54724AC}"/>
    <cellStyle name="Salida" xfId="61" builtinId="21" customBuiltin="1"/>
    <cellStyle name="Salida 2" xfId="19" xr:uid="{6506BFEB-6CE1-4DA0-B244-57C4A2EB3F4F}"/>
    <cellStyle name="Salida 3" xfId="107" xr:uid="{911EB419-28F6-4343-BB20-8D90D3019193}"/>
    <cellStyle name="Texto de advertencia" xfId="65" builtinId="11" customBuiltin="1"/>
    <cellStyle name="Texto de advertencia 2" xfId="23" xr:uid="{8F332B1C-48D1-4D53-AE03-F9A42CEBE201}"/>
    <cellStyle name="Texto de advertencia 3" xfId="111" xr:uid="{A76CC4A1-7A1D-4D8C-8645-9E7848C2A21F}"/>
    <cellStyle name="Texto explicativo" xfId="66" builtinId="53" customBuiltin="1"/>
    <cellStyle name="Texto explicativo 2" xfId="24" xr:uid="{904A778B-8C9E-456B-AB50-F0F89002E524}"/>
    <cellStyle name="Texto explicativo 3" xfId="112" xr:uid="{1D8CA5DF-E7F9-4806-A540-1849FCE52AB5}"/>
    <cellStyle name="Título" xfId="6" builtinId="15" customBuiltin="1"/>
    <cellStyle name="Título 2" xfId="54" builtinId="17" customBuiltin="1"/>
    <cellStyle name="Título 2 2" xfId="12" xr:uid="{C7387DA9-FDCA-41EC-82C5-4AE689110F35}"/>
    <cellStyle name="Título 2 3" xfId="100" xr:uid="{1B9F6D7A-8AB1-4D18-A531-DD045898F1A9}"/>
    <cellStyle name="Título 3" xfId="55" builtinId="18" customBuiltin="1"/>
    <cellStyle name="Título 3 2" xfId="13" xr:uid="{0FBFCBC8-4407-4E93-AFAA-55EAD979AE97}"/>
    <cellStyle name="Título 3 3" xfId="101" xr:uid="{AD7246C0-196B-4B3F-80B0-E51979791A6A}"/>
    <cellStyle name="Total" xfId="67" builtinId="25" customBuiltin="1"/>
    <cellStyle name="Total 2" xfId="25" xr:uid="{7B9A302A-B275-4D45-9444-C88BB374CD13}"/>
    <cellStyle name="Total 3" xfId="113" xr:uid="{E7402F6A-7B07-4147-B06C-CEFAAD310853}"/>
  </cellStyles>
  <dxfs count="0"/>
  <tableStyles count="0" defaultTableStyle="TableStyleMedium2" defaultPivotStyle="PivotStyleLight16"/>
  <colors>
    <mruColors>
      <color rgb="FFFCEEF0"/>
      <color rgb="FFFFE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customXml" Target="../customXml/item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calcChain" Target="calcChain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s-AR" sz="1800">
                <a:latin typeface="+mj-lt"/>
              </a:rPr>
              <a:t>CVP + RMA - Térmico SPOT vs CMg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Precios!$AA$24</c:f>
              <c:strCache>
                <c:ptCount val="1"/>
                <c:pt idx="0">
                  <c:v>CVP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Precios!$Y$25:$Y$414</c:f>
              <c:numCache>
                <c:formatCode>m/d/yyyy</c:formatCode>
                <c:ptCount val="86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  <c:pt idx="31">
                  <c:v>46266</c:v>
                </c:pt>
                <c:pt idx="32">
                  <c:v>46267</c:v>
                </c:pt>
                <c:pt idx="33">
                  <c:v>46268</c:v>
                </c:pt>
                <c:pt idx="34">
                  <c:v>46269</c:v>
                </c:pt>
                <c:pt idx="35">
                  <c:v>46270</c:v>
                </c:pt>
                <c:pt idx="36">
                  <c:v>46271</c:v>
                </c:pt>
                <c:pt idx="37">
                  <c:v>46272</c:v>
                </c:pt>
                <c:pt idx="38">
                  <c:v>46273</c:v>
                </c:pt>
                <c:pt idx="39">
                  <c:v>46274</c:v>
                </c:pt>
                <c:pt idx="40">
                  <c:v>46275</c:v>
                </c:pt>
                <c:pt idx="41">
                  <c:v>46276</c:v>
                </c:pt>
                <c:pt idx="42">
                  <c:v>46277</c:v>
                </c:pt>
                <c:pt idx="43">
                  <c:v>46278</c:v>
                </c:pt>
                <c:pt idx="44">
                  <c:v>46279</c:v>
                </c:pt>
                <c:pt idx="45">
                  <c:v>46280</c:v>
                </c:pt>
                <c:pt idx="46">
                  <c:v>46281</c:v>
                </c:pt>
                <c:pt idx="47">
                  <c:v>46282</c:v>
                </c:pt>
                <c:pt idx="48">
                  <c:v>46283</c:v>
                </c:pt>
                <c:pt idx="49">
                  <c:v>46284</c:v>
                </c:pt>
                <c:pt idx="50">
                  <c:v>46285</c:v>
                </c:pt>
                <c:pt idx="51">
                  <c:v>46286</c:v>
                </c:pt>
                <c:pt idx="52">
                  <c:v>46287</c:v>
                </c:pt>
                <c:pt idx="53">
                  <c:v>46288</c:v>
                </c:pt>
                <c:pt idx="54">
                  <c:v>46289</c:v>
                </c:pt>
                <c:pt idx="55">
                  <c:v>46290</c:v>
                </c:pt>
                <c:pt idx="56">
                  <c:v>46291</c:v>
                </c:pt>
                <c:pt idx="57">
                  <c:v>46292</c:v>
                </c:pt>
                <c:pt idx="58">
                  <c:v>46293</c:v>
                </c:pt>
                <c:pt idx="59">
                  <c:v>46294</c:v>
                </c:pt>
                <c:pt idx="60">
                  <c:v>46295</c:v>
                </c:pt>
                <c:pt idx="61">
                  <c:v>46296</c:v>
                </c:pt>
                <c:pt idx="62">
                  <c:v>46297</c:v>
                </c:pt>
                <c:pt idx="63">
                  <c:v>46298</c:v>
                </c:pt>
                <c:pt idx="64">
                  <c:v>46299</c:v>
                </c:pt>
                <c:pt idx="65">
                  <c:v>46300</c:v>
                </c:pt>
                <c:pt idx="66">
                  <c:v>46301</c:v>
                </c:pt>
                <c:pt idx="67">
                  <c:v>46302</c:v>
                </c:pt>
                <c:pt idx="68">
                  <c:v>46303</c:v>
                </c:pt>
                <c:pt idx="69">
                  <c:v>46304</c:v>
                </c:pt>
                <c:pt idx="70">
                  <c:v>46305</c:v>
                </c:pt>
                <c:pt idx="71">
                  <c:v>46306</c:v>
                </c:pt>
                <c:pt idx="72">
                  <c:v>46307</c:v>
                </c:pt>
                <c:pt idx="73">
                  <c:v>46308</c:v>
                </c:pt>
                <c:pt idx="74">
                  <c:v>46309</c:v>
                </c:pt>
                <c:pt idx="75">
                  <c:v>46310</c:v>
                </c:pt>
                <c:pt idx="76">
                  <c:v>46311</c:v>
                </c:pt>
                <c:pt idx="77">
                  <c:v>46312</c:v>
                </c:pt>
                <c:pt idx="78">
                  <c:v>46313</c:v>
                </c:pt>
                <c:pt idx="79">
                  <c:v>46314</c:v>
                </c:pt>
                <c:pt idx="80">
                  <c:v>46315</c:v>
                </c:pt>
                <c:pt idx="81">
                  <c:v>46316</c:v>
                </c:pt>
                <c:pt idx="82">
                  <c:v>46317</c:v>
                </c:pt>
                <c:pt idx="83">
                  <c:v>46318</c:v>
                </c:pt>
                <c:pt idx="84">
                  <c:v>46319</c:v>
                </c:pt>
                <c:pt idx="85">
                  <c:v>46320</c:v>
                </c:pt>
              </c:numCache>
            </c:numRef>
          </c:cat>
          <c:val>
            <c:numRef>
              <c:f>Precios!$AA$25:$AA$414</c:f>
              <c:numCache>
                <c:formatCode>_(* #,##0.00_);_(* \(#,##0.00\);_(* "-"??_);_(@_)</c:formatCode>
                <c:ptCount val="86"/>
                <c:pt idx="0">
                  <c:v>85.358134380891499</c:v>
                </c:pt>
                <c:pt idx="1">
                  <c:v>80.373393458422427</c:v>
                </c:pt>
                <c:pt idx="2">
                  <c:v>103.00035337302978</c:v>
                </c:pt>
                <c:pt idx="3">
                  <c:v>98.439275708262414</c:v>
                </c:pt>
                <c:pt idx="4">
                  <c:v>98.527706037526741</c:v>
                </c:pt>
                <c:pt idx="5">
                  <c:v>120.44367097582608</c:v>
                </c:pt>
                <c:pt idx="6">
                  <c:v>128.60558067599001</c:v>
                </c:pt>
                <c:pt idx="7">
                  <c:v>136.68873514577774</c:v>
                </c:pt>
                <c:pt idx="8">
                  <c:v>146.39771362936131</c:v>
                </c:pt>
                <c:pt idx="9">
                  <c:v>159.58553074370769</c:v>
                </c:pt>
                <c:pt idx="10">
                  <c:v>172.64656789019435</c:v>
                </c:pt>
                <c:pt idx="11">
                  <c:v>172.79849800663109</c:v>
                </c:pt>
                <c:pt idx="12">
                  <c:v>171.99502414943839</c:v>
                </c:pt>
                <c:pt idx="13">
                  <c:v>176.55559558785191</c:v>
                </c:pt>
                <c:pt idx="14">
                  <c:v>143.99047495353005</c:v>
                </c:pt>
                <c:pt idx="15">
                  <c:v>101.75164381260737</c:v>
                </c:pt>
                <c:pt idx="16">
                  <c:v>91.999372094528226</c:v>
                </c:pt>
                <c:pt idx="17">
                  <c:v>123.38116411241518</c:v>
                </c:pt>
                <c:pt idx="18">
                  <c:v>138.3384610589718</c:v>
                </c:pt>
                <c:pt idx="19">
                  <c:v>132.9021242723768</c:v>
                </c:pt>
                <c:pt idx="20">
                  <c:v>139.91696754694144</c:v>
                </c:pt>
                <c:pt idx="21">
                  <c:v>137.34197312676957</c:v>
                </c:pt>
                <c:pt idx="22">
                  <c:v>127.3359734856173</c:v>
                </c:pt>
                <c:pt idx="23">
                  <c:v>123.23783688296204</c:v>
                </c:pt>
                <c:pt idx="24">
                  <c:v>119.75966024584775</c:v>
                </c:pt>
                <c:pt idx="25">
                  <c:v>105.07722183162797</c:v>
                </c:pt>
                <c:pt idx="26">
                  <c:v>103.65353487747534</c:v>
                </c:pt>
                <c:pt idx="27">
                  <c:v>102.27747859482773</c:v>
                </c:pt>
                <c:pt idx="28">
                  <c:v>85.410928958071878</c:v>
                </c:pt>
                <c:pt idx="29">
                  <c:v>94.082298662048771</c:v>
                </c:pt>
                <c:pt idx="30">
                  <c:v>75.229125704397873</c:v>
                </c:pt>
                <c:pt idx="31">
                  <c:v>60.085990736780978</c:v>
                </c:pt>
                <c:pt idx="32">
                  <c:v>56.142786353057069</c:v>
                </c:pt>
                <c:pt idx="33">
                  <c:v>55.447169906065028</c:v>
                </c:pt>
                <c:pt idx="34">
                  <c:v>56.092196742258324</c:v>
                </c:pt>
                <c:pt idx="35">
                  <c:v>68.83226719467909</c:v>
                </c:pt>
                <c:pt idx="36">
                  <c:v>77.458022976078624</c:v>
                </c:pt>
                <c:pt idx="37">
                  <c:v>80.544877949095493</c:v>
                </c:pt>
                <c:pt idx="38">
                  <c:v>91.506584295853671</c:v>
                </c:pt>
                <c:pt idx="39">
                  <c:v>96.151634281607386</c:v>
                </c:pt>
                <c:pt idx="40">
                  <c:v>89.294262394180905</c:v>
                </c:pt>
                <c:pt idx="41">
                  <c:v>77.655335414283925</c:v>
                </c:pt>
                <c:pt idx="42">
                  <c:v>79.447312440066781</c:v>
                </c:pt>
                <c:pt idx="43">
                  <c:v>82.083816581711559</c:v>
                </c:pt>
                <c:pt idx="44">
                  <c:v>80.786619963118326</c:v>
                </c:pt>
                <c:pt idx="45">
                  <c:v>86.982831880203889</c:v>
                </c:pt>
                <c:pt idx="46">
                  <c:v>80.967239611000593</c:v>
                </c:pt>
                <c:pt idx="47">
                  <c:v>68.874833045208973</c:v>
                </c:pt>
                <c:pt idx="48">
                  <c:v>60.776965379388621</c:v>
                </c:pt>
                <c:pt idx="49">
                  <c:v>54.264745261836879</c:v>
                </c:pt>
                <c:pt idx="50">
                  <c:v>59.255012756706861</c:v>
                </c:pt>
                <c:pt idx="51">
                  <c:v>55.585686193131238</c:v>
                </c:pt>
                <c:pt idx="52">
                  <c:v>56.304707642768633</c:v>
                </c:pt>
                <c:pt idx="53">
                  <c:v>55.096729634080233</c:v>
                </c:pt>
                <c:pt idx="54">
                  <c:v>54.917892457635901</c:v>
                </c:pt>
                <c:pt idx="55">
                  <c:v>57.615805464323827</c:v>
                </c:pt>
                <c:pt idx="56">
                  <c:v>54.334916732103189</c:v>
                </c:pt>
                <c:pt idx="57">
                  <c:v>57.630225638265628</c:v>
                </c:pt>
                <c:pt idx="58">
                  <c:v>56.150269224961207</c:v>
                </c:pt>
                <c:pt idx="59">
                  <c:v>55.41183249070734</c:v>
                </c:pt>
                <c:pt idx="60">
                  <c:v>58.670121991555234</c:v>
                </c:pt>
                <c:pt idx="61">
                  <c:v>44.303933394938873</c:v>
                </c:pt>
                <c:pt idx="62">
                  <c:v>34.551223684210534</c:v>
                </c:pt>
                <c:pt idx="63">
                  <c:v>35.582771816372947</c:v>
                </c:pt>
                <c:pt idx="64">
                  <c:v>35.123527498063524</c:v>
                </c:pt>
                <c:pt idx="65">
                  <c:v>35.62552449641516</c:v>
                </c:pt>
                <c:pt idx="66">
                  <c:v>36.427074190097812</c:v>
                </c:pt>
                <c:pt idx="67">
                  <c:v>36.653472054835795</c:v>
                </c:pt>
                <c:pt idx="68">
                  <c:v>35.223058390022686</c:v>
                </c:pt>
                <c:pt idx="69">
                  <c:v>35.08753985306349</c:v>
                </c:pt>
                <c:pt idx="70">
                  <c:v>34.364149669421487</c:v>
                </c:pt>
                <c:pt idx="71">
                  <c:v>34.078316395919913</c:v>
                </c:pt>
                <c:pt idx="72">
                  <c:v>33.790395412529961</c:v>
                </c:pt>
                <c:pt idx="73">
                  <c:v>35.354799237265048</c:v>
                </c:pt>
                <c:pt idx="74">
                  <c:v>35.835321505763694</c:v>
                </c:pt>
                <c:pt idx="75">
                  <c:v>35.960688760806917</c:v>
                </c:pt>
                <c:pt idx="76">
                  <c:v>35.640554878048789</c:v>
                </c:pt>
                <c:pt idx="77">
                  <c:v>36.742282701880534</c:v>
                </c:pt>
                <c:pt idx="78">
                  <c:v>34.557212270133164</c:v>
                </c:pt>
                <c:pt idx="79">
                  <c:v>41.469090722706305</c:v>
                </c:pt>
                <c:pt idx="80">
                  <c:v>40.278124924379917</c:v>
                </c:pt>
                <c:pt idx="81">
                  <c:v>42.181334141610087</c:v>
                </c:pt>
                <c:pt idx="82">
                  <c:v>42.079601720647773</c:v>
                </c:pt>
                <c:pt idx="83">
                  <c:v>41.238984549776291</c:v>
                </c:pt>
                <c:pt idx="84">
                  <c:v>42.613178327645045</c:v>
                </c:pt>
                <c:pt idx="85">
                  <c:v>41.316748201438855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91-454D-9476-0DAB431CF41A}"/>
            </c:ext>
          </c:extLst>
        </c:ser>
        <c:ser>
          <c:idx val="2"/>
          <c:order val="2"/>
          <c:tx>
            <c:strRef>
              <c:f>Precios!$AB$24</c:f>
              <c:strCache>
                <c:ptCount val="1"/>
                <c:pt idx="0">
                  <c:v>RMA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Precios!$Y$25:$Y$414</c:f>
              <c:numCache>
                <c:formatCode>m/d/yyyy</c:formatCode>
                <c:ptCount val="86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  <c:pt idx="31">
                  <c:v>46266</c:v>
                </c:pt>
                <c:pt idx="32">
                  <c:v>46267</c:v>
                </c:pt>
                <c:pt idx="33">
                  <c:v>46268</c:v>
                </c:pt>
                <c:pt idx="34">
                  <c:v>46269</c:v>
                </c:pt>
                <c:pt idx="35">
                  <c:v>46270</c:v>
                </c:pt>
                <c:pt idx="36">
                  <c:v>46271</c:v>
                </c:pt>
                <c:pt idx="37">
                  <c:v>46272</c:v>
                </c:pt>
                <c:pt idx="38">
                  <c:v>46273</c:v>
                </c:pt>
                <c:pt idx="39">
                  <c:v>46274</c:v>
                </c:pt>
                <c:pt idx="40">
                  <c:v>46275</c:v>
                </c:pt>
                <c:pt idx="41">
                  <c:v>46276</c:v>
                </c:pt>
                <c:pt idx="42">
                  <c:v>46277</c:v>
                </c:pt>
                <c:pt idx="43">
                  <c:v>46278</c:v>
                </c:pt>
                <c:pt idx="44">
                  <c:v>46279</c:v>
                </c:pt>
                <c:pt idx="45">
                  <c:v>46280</c:v>
                </c:pt>
                <c:pt idx="46">
                  <c:v>46281</c:v>
                </c:pt>
                <c:pt idx="47">
                  <c:v>46282</c:v>
                </c:pt>
                <c:pt idx="48">
                  <c:v>46283</c:v>
                </c:pt>
                <c:pt idx="49">
                  <c:v>46284</c:v>
                </c:pt>
                <c:pt idx="50">
                  <c:v>46285</c:v>
                </c:pt>
                <c:pt idx="51">
                  <c:v>46286</c:v>
                </c:pt>
                <c:pt idx="52">
                  <c:v>46287</c:v>
                </c:pt>
                <c:pt idx="53">
                  <c:v>46288</c:v>
                </c:pt>
                <c:pt idx="54">
                  <c:v>46289</c:v>
                </c:pt>
                <c:pt idx="55">
                  <c:v>46290</c:v>
                </c:pt>
                <c:pt idx="56">
                  <c:v>46291</c:v>
                </c:pt>
                <c:pt idx="57">
                  <c:v>46292</c:v>
                </c:pt>
                <c:pt idx="58">
                  <c:v>46293</c:v>
                </c:pt>
                <c:pt idx="59">
                  <c:v>46294</c:v>
                </c:pt>
                <c:pt idx="60">
                  <c:v>46295</c:v>
                </c:pt>
                <c:pt idx="61">
                  <c:v>46296</c:v>
                </c:pt>
                <c:pt idx="62">
                  <c:v>46297</c:v>
                </c:pt>
                <c:pt idx="63">
                  <c:v>46298</c:v>
                </c:pt>
                <c:pt idx="64">
                  <c:v>46299</c:v>
                </c:pt>
                <c:pt idx="65">
                  <c:v>46300</c:v>
                </c:pt>
                <c:pt idx="66">
                  <c:v>46301</c:v>
                </c:pt>
                <c:pt idx="67">
                  <c:v>46302</c:v>
                </c:pt>
                <c:pt idx="68">
                  <c:v>46303</c:v>
                </c:pt>
                <c:pt idx="69">
                  <c:v>46304</c:v>
                </c:pt>
                <c:pt idx="70">
                  <c:v>46305</c:v>
                </c:pt>
                <c:pt idx="71">
                  <c:v>46306</c:v>
                </c:pt>
                <c:pt idx="72">
                  <c:v>46307</c:v>
                </c:pt>
                <c:pt idx="73">
                  <c:v>46308</c:v>
                </c:pt>
                <c:pt idx="74">
                  <c:v>46309</c:v>
                </c:pt>
                <c:pt idx="75">
                  <c:v>46310</c:v>
                </c:pt>
                <c:pt idx="76">
                  <c:v>46311</c:v>
                </c:pt>
                <c:pt idx="77">
                  <c:v>46312</c:v>
                </c:pt>
                <c:pt idx="78">
                  <c:v>46313</c:v>
                </c:pt>
                <c:pt idx="79">
                  <c:v>46314</c:v>
                </c:pt>
                <c:pt idx="80">
                  <c:v>46315</c:v>
                </c:pt>
                <c:pt idx="81">
                  <c:v>46316</c:v>
                </c:pt>
                <c:pt idx="82">
                  <c:v>46317</c:v>
                </c:pt>
                <c:pt idx="83">
                  <c:v>46318</c:v>
                </c:pt>
                <c:pt idx="84">
                  <c:v>46319</c:v>
                </c:pt>
                <c:pt idx="85">
                  <c:v>46320</c:v>
                </c:pt>
              </c:numCache>
            </c:numRef>
          </c:cat>
          <c:val>
            <c:numRef>
              <c:f>Precios!$AB$25:$AB$414</c:f>
              <c:numCache>
                <c:formatCode>_(* #,##0.0_);_(* \(#,##0.0\);_(* "-"??_);_(@_)</c:formatCode>
                <c:ptCount val="86"/>
                <c:pt idx="0">
                  <c:v>1.5764770307376772</c:v>
                </c:pt>
                <c:pt idx="1">
                  <c:v>0.52489756217658423</c:v>
                </c:pt>
                <c:pt idx="2">
                  <c:v>5.6108607550621707</c:v>
                </c:pt>
                <c:pt idx="3">
                  <c:v>5.53598442214847</c:v>
                </c:pt>
                <c:pt idx="4">
                  <c:v>9.3866873905975687</c:v>
                </c:pt>
                <c:pt idx="5">
                  <c:v>9.4569301569052922</c:v>
                </c:pt>
                <c:pt idx="6">
                  <c:v>8.579974625463592</c:v>
                </c:pt>
                <c:pt idx="7">
                  <c:v>6.8056309711832554</c:v>
                </c:pt>
                <c:pt idx="8">
                  <c:v>4.1320003320885217</c:v>
                </c:pt>
                <c:pt idx="9">
                  <c:v>9.0055536784469972</c:v>
                </c:pt>
                <c:pt idx="10">
                  <c:v>9.7005020759942706</c:v>
                </c:pt>
                <c:pt idx="11">
                  <c:v>15.239287390796667</c:v>
                </c:pt>
                <c:pt idx="12">
                  <c:v>8.9289239779645353</c:v>
                </c:pt>
                <c:pt idx="13">
                  <c:v>6.6873524722596107</c:v>
                </c:pt>
                <c:pt idx="14">
                  <c:v>4.1499088534787827</c:v>
                </c:pt>
                <c:pt idx="15">
                  <c:v>6.6494730411431044</c:v>
                </c:pt>
                <c:pt idx="16">
                  <c:v>9.5103265118636262</c:v>
                </c:pt>
                <c:pt idx="17">
                  <c:v>19.937183091405704</c:v>
                </c:pt>
                <c:pt idx="18">
                  <c:v>10.142057417852769</c:v>
                </c:pt>
                <c:pt idx="19">
                  <c:v>3.8643848527399518</c:v>
                </c:pt>
                <c:pt idx="20">
                  <c:v>5.2644928376583859</c:v>
                </c:pt>
                <c:pt idx="21">
                  <c:v>4.0483027775349196</c:v>
                </c:pt>
                <c:pt idx="22">
                  <c:v>4.4856443633231082</c:v>
                </c:pt>
                <c:pt idx="23">
                  <c:v>5.9080800743138759</c:v>
                </c:pt>
                <c:pt idx="24">
                  <c:v>7.7269759893285794</c:v>
                </c:pt>
                <c:pt idx="25">
                  <c:v>5.4417419649435139</c:v>
                </c:pt>
                <c:pt idx="26">
                  <c:v>6.7512035887792328</c:v>
                </c:pt>
                <c:pt idx="27">
                  <c:v>6.0260578367724102</c:v>
                </c:pt>
                <c:pt idx="28">
                  <c:v>5.5041933899506876</c:v>
                </c:pt>
                <c:pt idx="29">
                  <c:v>1.7039022102142014</c:v>
                </c:pt>
                <c:pt idx="30">
                  <c:v>2.3529783838342007</c:v>
                </c:pt>
                <c:pt idx="31">
                  <c:v>1.9737186109418854</c:v>
                </c:pt>
                <c:pt idx="32">
                  <c:v>0.86908579890800308</c:v>
                </c:pt>
                <c:pt idx="33">
                  <c:v>1.1937071450840353</c:v>
                </c:pt>
                <c:pt idx="34">
                  <c:v>1.0375270674965453</c:v>
                </c:pt>
                <c:pt idx="35">
                  <c:v>1.0859820465397085</c:v>
                </c:pt>
                <c:pt idx="36">
                  <c:v>7.2319682813289941</c:v>
                </c:pt>
                <c:pt idx="37">
                  <c:v>6.6565809802957157</c:v>
                </c:pt>
                <c:pt idx="38">
                  <c:v>3.4174378987436103</c:v>
                </c:pt>
                <c:pt idx="39">
                  <c:v>3.6897827306882838</c:v>
                </c:pt>
                <c:pt idx="40">
                  <c:v>5.8005161326956305</c:v>
                </c:pt>
                <c:pt idx="41">
                  <c:v>1.4412283551368479</c:v>
                </c:pt>
                <c:pt idx="42">
                  <c:v>3.7866816010560647</c:v>
                </c:pt>
                <c:pt idx="43">
                  <c:v>3.5261878760338425</c:v>
                </c:pt>
                <c:pt idx="44">
                  <c:v>4.7619414192697258</c:v>
                </c:pt>
                <c:pt idx="45">
                  <c:v>9.4222625967179123</c:v>
                </c:pt>
                <c:pt idx="46">
                  <c:v>5.8975350494152385</c:v>
                </c:pt>
                <c:pt idx="47">
                  <c:v>1.5153776697815393</c:v>
                </c:pt>
                <c:pt idx="48">
                  <c:v>0.72356128095120942</c:v>
                </c:pt>
                <c:pt idx="49">
                  <c:v>0.49895237090305483</c:v>
                </c:pt>
                <c:pt idx="50">
                  <c:v>0.44992033238932372</c:v>
                </c:pt>
                <c:pt idx="51">
                  <c:v>1.0177890114117323</c:v>
                </c:pt>
                <c:pt idx="52">
                  <c:v>1.1424618826322412</c:v>
                </c:pt>
                <c:pt idx="53">
                  <c:v>0.86807248104999601</c:v>
                </c:pt>
                <c:pt idx="54">
                  <c:v>1.1057500023480551</c:v>
                </c:pt>
                <c:pt idx="55">
                  <c:v>0.72060324874068404</c:v>
                </c:pt>
                <c:pt idx="56">
                  <c:v>0.35264140212998757</c:v>
                </c:pt>
                <c:pt idx="57">
                  <c:v>0.68983042826313667</c:v>
                </c:pt>
                <c:pt idx="58">
                  <c:v>1.7008899210615964</c:v>
                </c:pt>
                <c:pt idx="59">
                  <c:v>0.68565320670978314</c:v>
                </c:pt>
                <c:pt idx="60">
                  <c:v>0.71379186210809342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0.5</c:v>
                </c:pt>
                <c:pt idx="65">
                  <c:v>1</c:v>
                </c:pt>
                <c:pt idx="66">
                  <c:v>1.1000000000000001</c:v>
                </c:pt>
                <c:pt idx="67">
                  <c:v>0.7</c:v>
                </c:pt>
                <c:pt idx="68">
                  <c:v>0.9</c:v>
                </c:pt>
                <c:pt idx="69">
                  <c:v>1</c:v>
                </c:pt>
                <c:pt idx="70">
                  <c:v>1.2</c:v>
                </c:pt>
                <c:pt idx="71">
                  <c:v>0.6</c:v>
                </c:pt>
                <c:pt idx="72">
                  <c:v>0.9</c:v>
                </c:pt>
                <c:pt idx="73">
                  <c:v>1.2</c:v>
                </c:pt>
                <c:pt idx="74">
                  <c:v>1.6</c:v>
                </c:pt>
                <c:pt idx="75">
                  <c:v>1.1000000000000001</c:v>
                </c:pt>
                <c:pt idx="76">
                  <c:v>1.3</c:v>
                </c:pt>
                <c:pt idx="77">
                  <c:v>6</c:v>
                </c:pt>
                <c:pt idx="78">
                  <c:v>3.6</c:v>
                </c:pt>
                <c:pt idx="79">
                  <c:v>1.3</c:v>
                </c:pt>
                <c:pt idx="80">
                  <c:v>0.5</c:v>
                </c:pt>
                <c:pt idx="81">
                  <c:v>0.5</c:v>
                </c:pt>
                <c:pt idx="82">
                  <c:v>1.1000000000000001</c:v>
                </c:pt>
                <c:pt idx="83">
                  <c:v>1.5</c:v>
                </c:pt>
                <c:pt idx="84">
                  <c:v>0.6</c:v>
                </c:pt>
                <c:pt idx="85">
                  <c:v>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91-454D-9476-0DAB431CF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08599552"/>
        <c:axId val="408600032"/>
      </c:barChart>
      <c:lineChart>
        <c:grouping val="standard"/>
        <c:varyColors val="0"/>
        <c:ser>
          <c:idx val="0"/>
          <c:order val="0"/>
          <c:tx>
            <c:strRef>
              <c:f>Precios!$Z$24</c:f>
              <c:strCache>
                <c:ptCount val="1"/>
                <c:pt idx="0">
                  <c:v>CMg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Precios!$Y$25:$Y$414</c:f>
              <c:numCache>
                <c:formatCode>m/d/yyyy</c:formatCode>
                <c:ptCount val="86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  <c:pt idx="31">
                  <c:v>46266</c:v>
                </c:pt>
                <c:pt idx="32">
                  <c:v>46267</c:v>
                </c:pt>
                <c:pt idx="33">
                  <c:v>46268</c:v>
                </c:pt>
                <c:pt idx="34">
                  <c:v>46269</c:v>
                </c:pt>
                <c:pt idx="35">
                  <c:v>46270</c:v>
                </c:pt>
                <c:pt idx="36">
                  <c:v>46271</c:v>
                </c:pt>
                <c:pt idx="37">
                  <c:v>46272</c:v>
                </c:pt>
                <c:pt idx="38">
                  <c:v>46273</c:v>
                </c:pt>
                <c:pt idx="39">
                  <c:v>46274</c:v>
                </c:pt>
                <c:pt idx="40">
                  <c:v>46275</c:v>
                </c:pt>
                <c:pt idx="41">
                  <c:v>46276</c:v>
                </c:pt>
                <c:pt idx="42">
                  <c:v>46277</c:v>
                </c:pt>
                <c:pt idx="43">
                  <c:v>46278</c:v>
                </c:pt>
                <c:pt idx="44">
                  <c:v>46279</c:v>
                </c:pt>
                <c:pt idx="45">
                  <c:v>46280</c:v>
                </c:pt>
                <c:pt idx="46">
                  <c:v>46281</c:v>
                </c:pt>
                <c:pt idx="47">
                  <c:v>46282</c:v>
                </c:pt>
                <c:pt idx="48">
                  <c:v>46283</c:v>
                </c:pt>
                <c:pt idx="49">
                  <c:v>46284</c:v>
                </c:pt>
                <c:pt idx="50">
                  <c:v>46285</c:v>
                </c:pt>
                <c:pt idx="51">
                  <c:v>46286</c:v>
                </c:pt>
                <c:pt idx="52">
                  <c:v>46287</c:v>
                </c:pt>
                <c:pt idx="53">
                  <c:v>46288</c:v>
                </c:pt>
                <c:pt idx="54">
                  <c:v>46289</c:v>
                </c:pt>
                <c:pt idx="55">
                  <c:v>46290</c:v>
                </c:pt>
                <c:pt idx="56">
                  <c:v>46291</c:v>
                </c:pt>
                <c:pt idx="57">
                  <c:v>46292</c:v>
                </c:pt>
                <c:pt idx="58">
                  <c:v>46293</c:v>
                </c:pt>
                <c:pt idx="59">
                  <c:v>46294</c:v>
                </c:pt>
                <c:pt idx="60">
                  <c:v>46295</c:v>
                </c:pt>
                <c:pt idx="61">
                  <c:v>46296</c:v>
                </c:pt>
                <c:pt idx="62">
                  <c:v>46297</c:v>
                </c:pt>
                <c:pt idx="63">
                  <c:v>46298</c:v>
                </c:pt>
                <c:pt idx="64">
                  <c:v>46299</c:v>
                </c:pt>
                <c:pt idx="65">
                  <c:v>46300</c:v>
                </c:pt>
                <c:pt idx="66">
                  <c:v>46301</c:v>
                </c:pt>
                <c:pt idx="67">
                  <c:v>46302</c:v>
                </c:pt>
                <c:pt idx="68">
                  <c:v>46303</c:v>
                </c:pt>
                <c:pt idx="69">
                  <c:v>46304</c:v>
                </c:pt>
                <c:pt idx="70">
                  <c:v>46305</c:v>
                </c:pt>
                <c:pt idx="71">
                  <c:v>46306</c:v>
                </c:pt>
                <c:pt idx="72">
                  <c:v>46307</c:v>
                </c:pt>
                <c:pt idx="73">
                  <c:v>46308</c:v>
                </c:pt>
                <c:pt idx="74">
                  <c:v>46309</c:v>
                </c:pt>
                <c:pt idx="75">
                  <c:v>46310</c:v>
                </c:pt>
                <c:pt idx="76">
                  <c:v>46311</c:v>
                </c:pt>
                <c:pt idx="77">
                  <c:v>46312</c:v>
                </c:pt>
                <c:pt idx="78">
                  <c:v>46313</c:v>
                </c:pt>
                <c:pt idx="79">
                  <c:v>46314</c:v>
                </c:pt>
                <c:pt idx="80">
                  <c:v>46315</c:v>
                </c:pt>
                <c:pt idx="81">
                  <c:v>46316</c:v>
                </c:pt>
                <c:pt idx="82">
                  <c:v>46317</c:v>
                </c:pt>
                <c:pt idx="83">
                  <c:v>46318</c:v>
                </c:pt>
                <c:pt idx="84">
                  <c:v>46319</c:v>
                </c:pt>
                <c:pt idx="85">
                  <c:v>46320</c:v>
                </c:pt>
              </c:numCache>
            </c:numRef>
          </c:cat>
          <c:val>
            <c:numRef>
              <c:f>Precios!$Z$25:$Z$414</c:f>
              <c:numCache>
                <c:formatCode>_(* #,##0.00_);_(* \(#,##0.00\);_(* "-"??_);_(@_)</c:formatCode>
                <c:ptCount val="86"/>
                <c:pt idx="0">
                  <c:v>59.552946718179548</c:v>
                </c:pt>
                <c:pt idx="1">
                  <c:v>50.684735336338633</c:v>
                </c:pt>
                <c:pt idx="2">
                  <c:v>120.22470957856862</c:v>
                </c:pt>
                <c:pt idx="3">
                  <c:v>120.14231033852245</c:v>
                </c:pt>
                <c:pt idx="4">
                  <c:v>141.4575300364628</c:v>
                </c:pt>
                <c:pt idx="5">
                  <c:v>173.82654398719086</c:v>
                </c:pt>
                <c:pt idx="6">
                  <c:v>162.40182844715292</c:v>
                </c:pt>
                <c:pt idx="7">
                  <c:v>145.58697867173126</c:v>
                </c:pt>
                <c:pt idx="8">
                  <c:v>104.60210834703581</c:v>
                </c:pt>
                <c:pt idx="9">
                  <c:v>196.91493739567429</c:v>
                </c:pt>
                <c:pt idx="10">
                  <c:v>206.90159276891563</c:v>
                </c:pt>
                <c:pt idx="11">
                  <c:v>249.19771830322347</c:v>
                </c:pt>
                <c:pt idx="12">
                  <c:v>200.53736556664208</c:v>
                </c:pt>
                <c:pt idx="13">
                  <c:v>170.41948223749071</c:v>
                </c:pt>
                <c:pt idx="14">
                  <c:v>124.56049095146834</c:v>
                </c:pt>
                <c:pt idx="15">
                  <c:v>136.97928178085999</c:v>
                </c:pt>
                <c:pt idx="16">
                  <c:v>142.99282844289698</c:v>
                </c:pt>
                <c:pt idx="17">
                  <c:v>239.87727210931578</c:v>
                </c:pt>
                <c:pt idx="18">
                  <c:v>163.78279333606571</c:v>
                </c:pt>
                <c:pt idx="19">
                  <c:v>112.57126027027232</c:v>
                </c:pt>
                <c:pt idx="20">
                  <c:v>130.1169168957355</c:v>
                </c:pt>
                <c:pt idx="21">
                  <c:v>122.70040993199804</c:v>
                </c:pt>
                <c:pt idx="22">
                  <c:v>121.73483439623946</c:v>
                </c:pt>
                <c:pt idx="23">
                  <c:v>133.98061664799849</c:v>
                </c:pt>
                <c:pt idx="24">
                  <c:v>152.6502806788715</c:v>
                </c:pt>
                <c:pt idx="25">
                  <c:v>125.87948614483913</c:v>
                </c:pt>
                <c:pt idx="26">
                  <c:v>141.62530383051171</c:v>
                </c:pt>
                <c:pt idx="27">
                  <c:v>133.13550028680891</c:v>
                </c:pt>
                <c:pt idx="28">
                  <c:v>117.26596734472827</c:v>
                </c:pt>
                <c:pt idx="29">
                  <c:v>91.63189720849735</c:v>
                </c:pt>
                <c:pt idx="30">
                  <c:v>88.587141648417273</c:v>
                </c:pt>
                <c:pt idx="31">
                  <c:v>60.899121177632679</c:v>
                </c:pt>
                <c:pt idx="32">
                  <c:v>48.249708973818841</c:v>
                </c:pt>
                <c:pt idx="33">
                  <c:v>43.687637617131998</c:v>
                </c:pt>
                <c:pt idx="34">
                  <c:v>51.717701921483034</c:v>
                </c:pt>
                <c:pt idx="35">
                  <c:v>48.213520410174638</c:v>
                </c:pt>
                <c:pt idx="36">
                  <c:v>105.7109568311265</c:v>
                </c:pt>
                <c:pt idx="37">
                  <c:v>104.38864514324284</c:v>
                </c:pt>
                <c:pt idx="38">
                  <c:v>81.799631414661604</c:v>
                </c:pt>
                <c:pt idx="39">
                  <c:v>84.727072766095347</c:v>
                </c:pt>
                <c:pt idx="40">
                  <c:v>115.43855337812782</c:v>
                </c:pt>
                <c:pt idx="41">
                  <c:v>59.399665609291397</c:v>
                </c:pt>
                <c:pt idx="42">
                  <c:v>78.852023207510072</c:v>
                </c:pt>
                <c:pt idx="43">
                  <c:v>72.601587492674355</c:v>
                </c:pt>
                <c:pt idx="44">
                  <c:v>82.715804720540376</c:v>
                </c:pt>
                <c:pt idx="45">
                  <c:v>143.74149033303081</c:v>
                </c:pt>
                <c:pt idx="46">
                  <c:v>102.22329789184194</c:v>
                </c:pt>
                <c:pt idx="47">
                  <c:v>60.652552894457124</c:v>
                </c:pt>
                <c:pt idx="48">
                  <c:v>42.384984759246976</c:v>
                </c:pt>
                <c:pt idx="49">
                  <c:v>36.586419964339612</c:v>
                </c:pt>
                <c:pt idx="50">
                  <c:v>26.915606935713896</c:v>
                </c:pt>
                <c:pt idx="51">
                  <c:v>42.871366949901621</c:v>
                </c:pt>
                <c:pt idx="52">
                  <c:v>51.644673389811466</c:v>
                </c:pt>
                <c:pt idx="53">
                  <c:v>48.345983433850201</c:v>
                </c:pt>
                <c:pt idx="54">
                  <c:v>47.069119580055911</c:v>
                </c:pt>
                <c:pt idx="55">
                  <c:v>36.153176645129435</c:v>
                </c:pt>
                <c:pt idx="56">
                  <c:v>25.894328109509441</c:v>
                </c:pt>
                <c:pt idx="57">
                  <c:v>33.340610884138542</c:v>
                </c:pt>
                <c:pt idx="58">
                  <c:v>56.684158014340632</c:v>
                </c:pt>
                <c:pt idx="59">
                  <c:v>41.193901338674081</c:v>
                </c:pt>
                <c:pt idx="60">
                  <c:v>33.995463666717093</c:v>
                </c:pt>
                <c:pt idx="61">
                  <c:v>34.5</c:v>
                </c:pt>
                <c:pt idx="62">
                  <c:v>29.5</c:v>
                </c:pt>
                <c:pt idx="63">
                  <c:v>28.4</c:v>
                </c:pt>
                <c:pt idx="64">
                  <c:v>17</c:v>
                </c:pt>
                <c:pt idx="65">
                  <c:v>33.200000000000003</c:v>
                </c:pt>
                <c:pt idx="66">
                  <c:v>35.6</c:v>
                </c:pt>
                <c:pt idx="67">
                  <c:v>29.4</c:v>
                </c:pt>
                <c:pt idx="68">
                  <c:v>33.4</c:v>
                </c:pt>
                <c:pt idx="69">
                  <c:v>36.200000000000003</c:v>
                </c:pt>
                <c:pt idx="70">
                  <c:v>33.700000000000003</c:v>
                </c:pt>
                <c:pt idx="71">
                  <c:v>24.5</c:v>
                </c:pt>
                <c:pt idx="72">
                  <c:v>29.9</c:v>
                </c:pt>
                <c:pt idx="73">
                  <c:v>35</c:v>
                </c:pt>
                <c:pt idx="74">
                  <c:v>39.9</c:v>
                </c:pt>
                <c:pt idx="75">
                  <c:v>38.6</c:v>
                </c:pt>
                <c:pt idx="76">
                  <c:v>39.6</c:v>
                </c:pt>
                <c:pt idx="77">
                  <c:v>79.099999999999994</c:v>
                </c:pt>
                <c:pt idx="78">
                  <c:v>54.9</c:v>
                </c:pt>
                <c:pt idx="79">
                  <c:v>37.6</c:v>
                </c:pt>
                <c:pt idx="80">
                  <c:v>29</c:v>
                </c:pt>
                <c:pt idx="81">
                  <c:v>23.2</c:v>
                </c:pt>
                <c:pt idx="82">
                  <c:v>38.299999999999997</c:v>
                </c:pt>
                <c:pt idx="83">
                  <c:v>39.4</c:v>
                </c:pt>
                <c:pt idx="84">
                  <c:v>31.6</c:v>
                </c:pt>
                <c:pt idx="85">
                  <c:v>36.4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91-454D-9476-0DAB431CF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599552"/>
        <c:axId val="408600032"/>
      </c:lineChart>
      <c:dateAx>
        <c:axId val="408599552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08600032"/>
        <c:crosses val="autoZero"/>
        <c:auto val="1"/>
        <c:lblOffset val="100"/>
        <c:baseTimeUnit val="days"/>
      </c:dateAx>
      <c:valAx>
        <c:axId val="40860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[u$s/MWh]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0859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s-A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E0DBA43-9872-4B73-8537-B966A8E27EA4}">
  <sheetPr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6" name="Gráfico 1">
          <a:extLst>
            <a:ext uri="{FF2B5EF4-FFF2-40B4-BE49-F238E27FC236}">
              <a16:creationId xmlns:a16="http://schemas.microsoft.com/office/drawing/2014/main" id="{5C5525D9-38DB-C8B5-6B3D-DE209492B26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CAMMESA">
  <a:themeElements>
    <a:clrScheme name="CAMMESA">
      <a:dk1>
        <a:srgbClr val="000000"/>
      </a:dk1>
      <a:lt1>
        <a:srgbClr val="FFFFFF"/>
      </a:lt1>
      <a:dk2>
        <a:srgbClr val="002C7A"/>
      </a:dk2>
      <a:lt2>
        <a:srgbClr val="F7F7F7"/>
      </a:lt2>
      <a:accent1>
        <a:srgbClr val="E23348"/>
      </a:accent1>
      <a:accent2>
        <a:srgbClr val="74A0D2"/>
      </a:accent2>
      <a:accent3>
        <a:srgbClr val="51B37F"/>
      </a:accent3>
      <a:accent4>
        <a:srgbClr val="59D299"/>
      </a:accent4>
      <a:accent5>
        <a:srgbClr val="D3E8EF"/>
      </a:accent5>
      <a:accent6>
        <a:srgbClr val="676866"/>
      </a:accent6>
      <a:hlink>
        <a:srgbClr val="0000FF"/>
      </a:hlink>
      <a:folHlink>
        <a:srgbClr val="800080"/>
      </a:folHlink>
    </a:clrScheme>
    <a:fontScheme name="CAMMESA">
      <a:majorFont>
        <a:latin typeface="Proxima Nova Bl"/>
        <a:ea typeface=""/>
        <a:cs typeface=""/>
      </a:majorFont>
      <a:minorFont>
        <a:latin typeface="Proxima Nova Rg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D0FF-1B27-47BD-980C-F10A645EDB1C}">
  <dimension ref="A1:Z31"/>
  <sheetViews>
    <sheetView showGridLines="0" zoomScale="85" zoomScaleNormal="85" workbookViewId="0"/>
  </sheetViews>
  <sheetFormatPr baseColWidth="10" defaultColWidth="11" defaultRowHeight="14.4" x14ac:dyDescent="0.3"/>
  <cols>
    <col min="1" max="1" width="32" customWidth="1"/>
    <col min="6" max="6" width="24.08984375" customWidth="1"/>
    <col min="7" max="7" width="31.453125" customWidth="1"/>
    <col min="8" max="8" width="17.36328125" customWidth="1"/>
    <col min="9" max="9" width="22.54296875" customWidth="1"/>
    <col min="10" max="10" width="30.08984375" bestFit="1" customWidth="1"/>
    <col min="11" max="11" width="20.81640625" customWidth="1"/>
    <col min="12" max="12" width="26.6328125" customWidth="1"/>
    <col min="13" max="13" width="30.36328125" customWidth="1"/>
    <col min="14" max="14" width="18.54296875" customWidth="1"/>
    <col min="15" max="15" width="22.26953125" customWidth="1"/>
    <col min="16" max="16" width="11.6328125" bestFit="1" customWidth="1"/>
    <col min="17" max="19" width="11.6328125" customWidth="1"/>
    <col min="20" max="20" width="11.6328125" bestFit="1" customWidth="1"/>
    <col min="21" max="21" width="11" hidden="1" customWidth="1"/>
  </cols>
  <sheetData>
    <row r="1" spans="1:21" ht="26.4" x14ac:dyDescent="0.55000000000000004">
      <c r="A1" s="101" t="s">
        <v>0</v>
      </c>
      <c r="G1" s="184" t="s">
        <v>11</v>
      </c>
      <c r="H1" s="184"/>
      <c r="I1" s="185"/>
      <c r="J1" s="187" t="s">
        <v>155</v>
      </c>
      <c r="K1" s="187"/>
      <c r="L1" s="188"/>
      <c r="M1" s="189" t="s">
        <v>146</v>
      </c>
      <c r="N1" s="189"/>
      <c r="O1" s="189"/>
    </row>
    <row r="2" spans="1:21" ht="21.6" x14ac:dyDescent="0.45">
      <c r="A2" s="60" t="s">
        <v>1</v>
      </c>
      <c r="G2" s="184"/>
      <c r="H2" s="184"/>
      <c r="I2" s="185"/>
      <c r="J2" s="187"/>
      <c r="K2" s="187"/>
      <c r="L2" s="188"/>
      <c r="M2" s="189"/>
      <c r="N2" s="189"/>
      <c r="O2" s="189"/>
    </row>
    <row r="3" spans="1:21" ht="21.6" x14ac:dyDescent="0.45">
      <c r="A3" s="60" t="s">
        <v>2</v>
      </c>
      <c r="G3" s="71" t="s">
        <v>7</v>
      </c>
      <c r="H3" s="72"/>
      <c r="I3" s="166"/>
      <c r="J3" s="116" t="s">
        <v>142</v>
      </c>
      <c r="L3" s="168"/>
      <c r="M3" s="67" t="s">
        <v>8</v>
      </c>
      <c r="N3" s="68"/>
      <c r="O3" s="68"/>
      <c r="U3" s="52">
        <v>45962</v>
      </c>
    </row>
    <row r="4" spans="1:21" ht="26.4" x14ac:dyDescent="0.55000000000000004">
      <c r="A4" s="60" t="s">
        <v>3</v>
      </c>
      <c r="B4" s="61"/>
      <c r="C4" s="61"/>
      <c r="D4" s="61"/>
      <c r="E4" s="61"/>
      <c r="G4" s="71" t="s">
        <v>9</v>
      </c>
      <c r="H4" s="73"/>
      <c r="I4" s="167"/>
      <c r="J4" s="116" t="s">
        <v>148</v>
      </c>
      <c r="L4" s="168"/>
      <c r="M4" s="67" t="s">
        <v>10</v>
      </c>
      <c r="N4" s="69"/>
      <c r="O4" s="70"/>
      <c r="U4" s="52">
        <v>45992</v>
      </c>
    </row>
    <row r="5" spans="1:21" ht="24" x14ac:dyDescent="0.5">
      <c r="A5" s="60" t="s">
        <v>4</v>
      </c>
      <c r="B5" s="61"/>
      <c r="C5" s="61"/>
      <c r="D5" s="61"/>
      <c r="E5" s="61"/>
      <c r="G5" s="71"/>
      <c r="H5" s="73"/>
      <c r="I5" s="168"/>
      <c r="L5" s="168"/>
      <c r="M5" s="67"/>
      <c r="N5" s="69"/>
      <c r="U5" s="52">
        <v>46023</v>
      </c>
    </row>
    <row r="6" spans="1:21" ht="24" x14ac:dyDescent="0.5">
      <c r="A6" s="103" t="s">
        <v>5</v>
      </c>
      <c r="B6" s="61"/>
      <c r="C6" s="61"/>
      <c r="D6" s="61"/>
      <c r="E6" s="61"/>
      <c r="G6" s="123" t="s">
        <v>162</v>
      </c>
      <c r="H6" s="124">
        <f>+VLOOKUP($B$7,'Fisico SPOT MAT'!$G$7:$M$21,7,FALSE)</f>
        <v>3338.64</v>
      </c>
      <c r="I6" s="169" t="s">
        <v>13</v>
      </c>
      <c r="J6" s="165" t="s">
        <v>162</v>
      </c>
      <c r="K6" s="124">
        <f>+VLOOKUP($B$7,'Fisico SPOT MAT'!$G$7:$AC$21,23,FALSE)</f>
        <v>2370.92</v>
      </c>
      <c r="L6" s="169" t="s">
        <v>13</v>
      </c>
      <c r="M6" s="128" t="s">
        <v>162</v>
      </c>
      <c r="N6" s="124">
        <f>+VLOOKUP($B$7,'Fisico ASIG'!$E$8:$W$20,10,FALSE)</f>
        <v>9372.16</v>
      </c>
      <c r="O6" s="137" t="s">
        <v>13</v>
      </c>
      <c r="U6" s="52">
        <v>46054</v>
      </c>
    </row>
    <row r="7" spans="1:21" ht="26.4" x14ac:dyDescent="0.55000000000000004">
      <c r="A7" s="57" t="s">
        <v>6</v>
      </c>
      <c r="B7" s="141">
        <v>46296</v>
      </c>
      <c r="C7" t="str">
        <f>+IF(MONTH(B7)=MONTH(MAX('Mono SPOT MAT'!G24:G1048576)),"Análisis hasta:","")</f>
        <v>Análisis hasta:</v>
      </c>
      <c r="D7" s="100">
        <f>+IF(MONTH(B7)=MONTH(MAX('Mono SPOT MAT'!G24:G1048576)),MAX('Mono SPOT MAT'!G24:G1048576),"")</f>
        <v>46320</v>
      </c>
      <c r="G7" s="142" t="s">
        <v>22</v>
      </c>
      <c r="H7" s="143">
        <f>+VLOOKUP($B$7,Precios!$D$7:$N$20,2,FALSE)</f>
        <v>35.515999999999998</v>
      </c>
      <c r="I7" s="144" t="s">
        <v>15</v>
      </c>
      <c r="J7" s="170"/>
      <c r="L7" s="174"/>
      <c r="M7" s="67"/>
      <c r="N7" s="69"/>
      <c r="O7" s="70"/>
      <c r="U7" s="52">
        <v>46082</v>
      </c>
    </row>
    <row r="8" spans="1:21" ht="43.2" x14ac:dyDescent="0.35">
      <c r="A8" s="57"/>
      <c r="C8" s="151" t="s">
        <v>120</v>
      </c>
      <c r="D8" s="152">
        <f>+EDATE(B7,1)-B7</f>
        <v>31</v>
      </c>
      <c r="G8" s="120" t="s">
        <v>158</v>
      </c>
      <c r="H8" s="181">
        <f>+B7</f>
        <v>46296</v>
      </c>
      <c r="I8" s="120" t="s">
        <v>165</v>
      </c>
      <c r="J8" s="171" t="s">
        <v>159</v>
      </c>
      <c r="K8" s="182">
        <f>+$B$7</f>
        <v>46296</v>
      </c>
      <c r="L8" s="175" t="str">
        <f>+I8</f>
        <v>Precio Medio 
Nov-25 a Sep-26</v>
      </c>
      <c r="M8" s="126" t="s">
        <v>160</v>
      </c>
      <c r="N8" s="183">
        <f>+H8</f>
        <v>46296</v>
      </c>
      <c r="O8" s="126" t="str">
        <f>+I8</f>
        <v>Precio Medio 
Nov-25 a Sep-26</v>
      </c>
      <c r="U8" s="52">
        <v>46113</v>
      </c>
    </row>
    <row r="9" spans="1:21" ht="26.4" x14ac:dyDescent="0.55000000000000004">
      <c r="A9" s="57"/>
      <c r="D9" s="59"/>
      <c r="E9" s="59"/>
      <c r="G9" s="125" t="s">
        <v>17</v>
      </c>
      <c r="H9" s="111">
        <f>+VLOOKUP($B$7,Precios!$D$7:$N$22,3,FALSE)</f>
        <v>38.73764424436299</v>
      </c>
      <c r="I9" s="173">
        <v>80.653853278481293</v>
      </c>
      <c r="J9" s="172" t="s">
        <v>17</v>
      </c>
      <c r="K9" s="145">
        <f>+VLOOKUP($B$7,'Mono SPOT MAT'!$G$8:$AC$21,23,FALSE)</f>
        <v>63.852512948560054</v>
      </c>
      <c r="L9" s="176">
        <v>61.706548451391967</v>
      </c>
      <c r="M9" s="127" t="s">
        <v>17</v>
      </c>
      <c r="N9" s="121">
        <f>+VLOOKUP($B$7,Precios!$D$7:$N$20,6,FALSE)</f>
        <v>42.519676349582475</v>
      </c>
      <c r="O9" s="121">
        <v>59.881156336789189</v>
      </c>
      <c r="P9" s="69"/>
      <c r="Q9" s="69"/>
      <c r="R9" s="69"/>
      <c r="S9" s="69"/>
      <c r="U9" s="52">
        <v>46143</v>
      </c>
    </row>
    <row r="10" spans="1:21" ht="26.4" x14ac:dyDescent="0.55000000000000004">
      <c r="A10" s="57"/>
      <c r="B10" s="59"/>
      <c r="C10" s="59"/>
      <c r="D10" s="59"/>
      <c r="E10" s="59"/>
      <c r="G10" s="125" t="s">
        <v>18</v>
      </c>
      <c r="H10" s="111">
        <f>+VLOOKUP($B$7,Precios!$D$7:$AC$20,18,FALSE)-H9</f>
        <v>8.9652790141927525</v>
      </c>
      <c r="I10" s="173">
        <v>9.9255955080295024</v>
      </c>
      <c r="J10" s="172" t="str">
        <f t="shared" ref="J10:K12" si="0">G10</f>
        <v>POTENCIA</v>
      </c>
      <c r="K10" s="145">
        <f t="shared" si="0"/>
        <v>8.9652790141927525</v>
      </c>
      <c r="L10" s="176">
        <v>9.9255955080295024</v>
      </c>
      <c r="M10" s="127" t="s">
        <v>18</v>
      </c>
      <c r="N10" s="121">
        <f>+VLOOKUP($B$7,Precios!$D$7:$N$20,5,FALSE)-N9</f>
        <v>12.315987005656673</v>
      </c>
      <c r="O10" s="121">
        <v>14.260307959921761</v>
      </c>
      <c r="U10" s="52">
        <v>46174</v>
      </c>
    </row>
    <row r="11" spans="1:21" ht="21" customHeight="1" x14ac:dyDescent="0.55000000000000004">
      <c r="G11" s="125" t="s">
        <v>124</v>
      </c>
      <c r="H11" s="111">
        <f>+VLOOKUP(H8,Precios!$D$7:$AA$20,23,FALSE)</f>
        <v>4.0558175485527048</v>
      </c>
      <c r="I11" s="173">
        <v>5.7429043886274531</v>
      </c>
      <c r="J11" s="172" t="str">
        <f t="shared" si="0"/>
        <v>Servicios</v>
      </c>
      <c r="K11" s="145">
        <f t="shared" si="0"/>
        <v>4.0558175485527048</v>
      </c>
      <c r="L11" s="176">
        <f>+I11</f>
        <v>5.7429043886274531</v>
      </c>
      <c r="M11" s="127" t="s">
        <v>124</v>
      </c>
      <c r="N11" s="121">
        <f>+H11</f>
        <v>4.0558175485527048</v>
      </c>
      <c r="O11" s="121">
        <f>+I11</f>
        <v>5.7429043886274531</v>
      </c>
      <c r="U11" s="52">
        <v>46204</v>
      </c>
    </row>
    <row r="12" spans="1:21" ht="26.4" x14ac:dyDescent="0.55000000000000004">
      <c r="G12" s="125" t="s">
        <v>123</v>
      </c>
      <c r="H12" s="111">
        <f>+VLOOKUP(H8,Precios!$D$7:$AA$20,24,FALSE)</f>
        <v>6.3384833153797517</v>
      </c>
      <c r="I12" s="173">
        <v>6.0284378947240791</v>
      </c>
      <c r="J12" s="172" t="str">
        <f t="shared" si="0"/>
        <v>Transporte</v>
      </c>
      <c r="K12" s="145">
        <f t="shared" si="0"/>
        <v>6.3384833153797517</v>
      </c>
      <c r="L12" s="176">
        <f>+I12</f>
        <v>6.0284378947240791</v>
      </c>
      <c r="M12" s="127" t="s">
        <v>123</v>
      </c>
      <c r="N12" s="121">
        <f>+H12</f>
        <v>6.3384833153797517</v>
      </c>
      <c r="O12" s="121">
        <f>+I12</f>
        <v>6.0284378947240791</v>
      </c>
      <c r="U12" s="52">
        <v>46235</v>
      </c>
    </row>
    <row r="13" spans="1:21" ht="57.75" customHeight="1" x14ac:dyDescent="0.3">
      <c r="G13" s="146" t="s">
        <v>161</v>
      </c>
      <c r="H13" s="147">
        <f>+SUM(H9:H12)</f>
        <v>58.0972241224882</v>
      </c>
      <c r="I13" s="147">
        <f>+SUM(I9:I12)</f>
        <v>102.35079106986232</v>
      </c>
      <c r="J13" s="150" t="s">
        <v>163</v>
      </c>
      <c r="K13" s="177">
        <f>+SUM(K9:K12)</f>
        <v>83.212092826685264</v>
      </c>
      <c r="L13" s="177">
        <f>+SUM(L9:L12)</f>
        <v>83.403486242772999</v>
      </c>
      <c r="M13" s="148" t="s">
        <v>23</v>
      </c>
      <c r="N13" s="149">
        <f>+SUM(N9:N12)</f>
        <v>65.229964219171606</v>
      </c>
      <c r="O13" s="149">
        <f>+SUM(O9:O12)</f>
        <v>85.91280658006248</v>
      </c>
      <c r="T13" s="106"/>
      <c r="U13" s="52">
        <v>46266</v>
      </c>
    </row>
    <row r="14" spans="1:21" ht="24" customHeight="1" x14ac:dyDescent="0.5">
      <c r="H14" s="73"/>
      <c r="K14" s="73"/>
      <c r="M14" s="69"/>
      <c r="N14" s="73"/>
      <c r="O14" s="69"/>
      <c r="P14" s="69"/>
      <c r="Q14" s="69"/>
      <c r="R14" s="69"/>
      <c r="S14" s="69"/>
      <c r="U14" s="52">
        <v>46296</v>
      </c>
    </row>
    <row r="15" spans="1:21" ht="24" customHeight="1" x14ac:dyDescent="0.3">
      <c r="G15" s="190" t="s">
        <v>153</v>
      </c>
      <c r="H15" s="190"/>
      <c r="I15" s="190"/>
      <c r="J15" s="190"/>
      <c r="K15" s="190"/>
      <c r="L15" s="190"/>
      <c r="U15" s="52"/>
    </row>
    <row r="16" spans="1:21" ht="24" customHeight="1" x14ac:dyDescent="0.3">
      <c r="U16" s="52"/>
    </row>
    <row r="17" spans="7:26" ht="42" customHeight="1" x14ac:dyDescent="0.3">
      <c r="H17" s="191" t="s">
        <v>157</v>
      </c>
      <c r="I17" s="191"/>
      <c r="J17" s="138">
        <f>+$B$7</f>
        <v>46296</v>
      </c>
      <c r="K17" s="139" t="str">
        <f>+I8</f>
        <v>Precio Medio 
Nov-25 a Sep-26</v>
      </c>
      <c r="U17" s="52"/>
    </row>
    <row r="18" spans="7:26" ht="26.4" x14ac:dyDescent="0.55000000000000004">
      <c r="H18" s="192" t="s">
        <v>17</v>
      </c>
      <c r="I18" s="192"/>
      <c r="J18" s="164">
        <f>+(H9*1800+K9*1800)/3600</f>
        <v>51.295078596461522</v>
      </c>
      <c r="K18" s="164">
        <f>+(I9*1800+L9*2000)/3800</f>
        <v>70.681587580013229</v>
      </c>
      <c r="U18" s="52"/>
    </row>
    <row r="19" spans="7:26" ht="26.4" x14ac:dyDescent="0.55000000000000004">
      <c r="H19" s="192" t="s">
        <v>18</v>
      </c>
      <c r="I19" s="192"/>
      <c r="J19" s="164">
        <f t="shared" ref="J19:K21" si="1">+H10</f>
        <v>8.9652790141927525</v>
      </c>
      <c r="K19" s="164">
        <f t="shared" si="1"/>
        <v>9.9255955080295024</v>
      </c>
      <c r="T19" s="69"/>
    </row>
    <row r="20" spans="7:26" ht="26.4" x14ac:dyDescent="0.55000000000000004">
      <c r="H20" s="192" t="s">
        <v>124</v>
      </c>
      <c r="I20" s="192"/>
      <c r="J20" s="164">
        <f t="shared" si="1"/>
        <v>4.0558175485527048</v>
      </c>
      <c r="K20" s="164">
        <f t="shared" si="1"/>
        <v>5.7429043886274531</v>
      </c>
    </row>
    <row r="21" spans="7:26" ht="26.4" x14ac:dyDescent="0.55000000000000004">
      <c r="H21" s="192" t="s">
        <v>123</v>
      </c>
      <c r="I21" s="192"/>
      <c r="J21" s="164">
        <f t="shared" si="1"/>
        <v>6.3384833153797517</v>
      </c>
      <c r="K21" s="164">
        <f t="shared" si="1"/>
        <v>6.0284378947240791</v>
      </c>
    </row>
    <row r="22" spans="7:26" ht="21.6" x14ac:dyDescent="0.45">
      <c r="H22" s="193" t="s">
        <v>154</v>
      </c>
      <c r="I22" s="193"/>
      <c r="J22" s="140">
        <f>+SUM(J18:J21)</f>
        <v>70.654658474586725</v>
      </c>
      <c r="K22" s="140">
        <f>+SUM(K18:K21)</f>
        <v>92.378525371394261</v>
      </c>
    </row>
    <row r="23" spans="7:26" ht="21" customHeight="1" x14ac:dyDescent="0.3"/>
    <row r="24" spans="7:26" ht="24" x14ac:dyDescent="0.5">
      <c r="G24" s="186" t="s">
        <v>156</v>
      </c>
      <c r="H24" s="186"/>
      <c r="I24" s="186"/>
      <c r="J24" s="186"/>
      <c r="K24" s="186"/>
      <c r="L24" s="186"/>
      <c r="O24" s="91"/>
      <c r="T24" s="69"/>
    </row>
    <row r="25" spans="7:26" ht="24" x14ac:dyDescent="0.5">
      <c r="G25" s="1"/>
      <c r="H25" s="1"/>
      <c r="I25" s="1"/>
      <c r="J25" s="64"/>
      <c r="O25" s="91"/>
    </row>
    <row r="26" spans="7:26" ht="43.2" x14ac:dyDescent="0.5">
      <c r="G26" s="129" t="s">
        <v>147</v>
      </c>
      <c r="H26" s="130">
        <f>+$B$7</f>
        <v>46296</v>
      </c>
      <c r="I26" s="151"/>
      <c r="J26" s="133" t="s">
        <v>143</v>
      </c>
      <c r="K26" s="132">
        <f>+$B$7</f>
        <v>46296</v>
      </c>
      <c r="L26" s="151"/>
      <c r="O26" s="109"/>
      <c r="W26" s="116"/>
      <c r="X26" s="110"/>
      <c r="Z26" s="91"/>
    </row>
    <row r="27" spans="7:26" ht="26.4" x14ac:dyDescent="0.55000000000000004">
      <c r="G27" s="154" t="s">
        <v>12</v>
      </c>
      <c r="H27" s="131">
        <f>+VLOOKUP($B$7,'Fisico SPOT MAT'!$G$7:$AA$21,2,FALSE)</f>
        <v>2777.4</v>
      </c>
      <c r="I27" s="134" t="s">
        <v>13</v>
      </c>
      <c r="J27" s="155" t="s">
        <v>12</v>
      </c>
      <c r="K27" s="153">
        <f>+VLOOKUP($B$7,'Fisico SPOT MAT'!$G$7:$AA$21,14,FALSE)</f>
        <v>650</v>
      </c>
      <c r="L27" s="136" t="s">
        <v>13</v>
      </c>
      <c r="O27" s="111"/>
    </row>
    <row r="28" spans="7:26" ht="26.4" x14ac:dyDescent="0.55000000000000004">
      <c r="G28" s="156" t="s">
        <v>17</v>
      </c>
      <c r="H28" s="157">
        <f>+VLOOKUP($B$7,'Mono SPOT MAT'!$G$7:$M$21,2,FALSE)</f>
        <v>37.872117249945994</v>
      </c>
      <c r="I28" s="135" t="s">
        <v>15</v>
      </c>
      <c r="J28" s="158" t="s">
        <v>17</v>
      </c>
      <c r="K28" s="159">
        <f>+VLOOKUP($B$7,Precios!$D$7:$N$20,8,FALSE)</f>
        <v>80</v>
      </c>
      <c r="L28" s="136" t="s">
        <v>15</v>
      </c>
      <c r="O28" s="111"/>
    </row>
    <row r="29" spans="7:26" ht="26.4" x14ac:dyDescent="0.55000000000000004">
      <c r="G29" s="156" t="s">
        <v>18</v>
      </c>
      <c r="H29" s="157">
        <f>+VLOOKUP($B$7,Precios!$D$7:$N$20,4,FALSE)</f>
        <v>14.399999999999995</v>
      </c>
      <c r="I29" s="135" t="s">
        <v>19</v>
      </c>
      <c r="J29" s="158" t="s">
        <v>18</v>
      </c>
      <c r="K29" s="159">
        <f>+IF(K27=0,0,VLOOKUP($B$7,Precios!$D$7:$N$20,7,FALSE))</f>
        <v>14.399999999999995</v>
      </c>
      <c r="L29" s="136" t="s">
        <v>19</v>
      </c>
      <c r="O29" s="111"/>
    </row>
    <row r="30" spans="7:26" ht="26.4" x14ac:dyDescent="0.55000000000000004">
      <c r="G30" s="160" t="s">
        <v>20</v>
      </c>
      <c r="H30" s="161">
        <f>+VLOOKUP($B$7,Precios!$D$7:$AC$20,19,FALSE)</f>
        <v>46.837396264138746</v>
      </c>
      <c r="I30" s="135" t="s">
        <v>15</v>
      </c>
      <c r="J30" s="162" t="s">
        <v>145</v>
      </c>
      <c r="K30" s="163">
        <f>+IF(K27=0,0,+H30-H28+K28)</f>
        <v>88.96527901419276</v>
      </c>
      <c r="L30" s="136" t="s">
        <v>15</v>
      </c>
      <c r="O30" s="111"/>
    </row>
    <row r="31" spans="7:26" ht="26.4" x14ac:dyDescent="0.55000000000000004">
      <c r="G31" s="58"/>
      <c r="H31" s="62"/>
      <c r="O31" s="111"/>
    </row>
  </sheetData>
  <mergeCells count="11">
    <mergeCell ref="G1:I2"/>
    <mergeCell ref="G24:L24"/>
    <mergeCell ref="J1:L2"/>
    <mergeCell ref="M1:O2"/>
    <mergeCell ref="G15:L15"/>
    <mergeCell ref="H17:I17"/>
    <mergeCell ref="H18:I18"/>
    <mergeCell ref="H19:I19"/>
    <mergeCell ref="H20:I20"/>
    <mergeCell ref="H21:I21"/>
    <mergeCell ref="H22:I22"/>
  </mergeCells>
  <dataValidations count="1">
    <dataValidation type="list" allowBlank="1" showInputMessage="1" showErrorMessage="1" sqref="B7" xr:uid="{77679F2B-82E2-4246-A55A-4731FCF29314}">
      <formula1>$U$1:$U$41</formula1>
    </dataValidation>
  </dataValidations>
  <pageMargins left="0.7" right="0.7" top="0.75" bottom="0.75" header="0.3" footer="0.3"/>
  <ignoredErrors>
    <ignoredError sqref="K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FE711-3039-401B-9725-A569DD4C7B71}">
  <sheetPr filterMode="1"/>
  <dimension ref="A1:AJ419"/>
  <sheetViews>
    <sheetView tabSelected="1" topLeftCell="A405" zoomScale="130" zoomScaleNormal="130" workbookViewId="0">
      <pane xSplit="4" topLeftCell="Y1" activePane="topRight" state="frozen"/>
      <selection pane="topRight" activeCell="AB390" sqref="AB390:AB414"/>
    </sheetView>
  </sheetViews>
  <sheetFormatPr baseColWidth="10" defaultColWidth="11" defaultRowHeight="14.4" x14ac:dyDescent="0.3"/>
  <cols>
    <col min="5" max="5" width="11.6328125" bestFit="1" customWidth="1"/>
    <col min="6" max="6" width="11.81640625" customWidth="1"/>
    <col min="7" max="7" width="12.1796875" bestFit="1" customWidth="1"/>
    <col min="8" max="10" width="11.6328125" bestFit="1" customWidth="1"/>
    <col min="11" max="11" width="12.36328125" style="112" customWidth="1"/>
    <col min="14" max="15" width="11" customWidth="1"/>
    <col min="24" max="24" width="11" style="5"/>
    <col min="28" max="28" width="15.453125" bestFit="1" customWidth="1"/>
  </cols>
  <sheetData>
    <row r="1" spans="2:30" ht="26.4" x14ac:dyDescent="0.55000000000000004">
      <c r="B1" s="101" t="s">
        <v>0</v>
      </c>
    </row>
    <row r="2" spans="2:30" ht="21.6" x14ac:dyDescent="0.45">
      <c r="B2" s="60" t="s">
        <v>1</v>
      </c>
    </row>
    <row r="3" spans="2:30" ht="21.6" x14ac:dyDescent="0.45">
      <c r="B3" s="60" t="s">
        <v>2</v>
      </c>
    </row>
    <row r="6" spans="2:30" x14ac:dyDescent="0.3">
      <c r="B6" t="s">
        <v>24</v>
      </c>
      <c r="E6" s="9" t="s">
        <v>15</v>
      </c>
      <c r="F6" s="9" t="s">
        <v>15</v>
      </c>
      <c r="G6" s="9" t="s">
        <v>19</v>
      </c>
      <c r="H6" s="7" t="s">
        <v>15</v>
      </c>
      <c r="I6" s="7" t="s">
        <v>15</v>
      </c>
      <c r="J6" s="7" t="s">
        <v>19</v>
      </c>
      <c r="K6" s="113" t="s">
        <v>15</v>
      </c>
      <c r="L6" s="113" t="s">
        <v>15</v>
      </c>
      <c r="T6" t="s">
        <v>15</v>
      </c>
      <c r="U6" s="95" t="s">
        <v>15</v>
      </c>
      <c r="X6" t="s">
        <v>15</v>
      </c>
      <c r="Z6" t="s">
        <v>15</v>
      </c>
      <c r="AA6" t="s">
        <v>15</v>
      </c>
      <c r="AD6" s="5"/>
    </row>
    <row r="7" spans="2:30" ht="28.8" x14ac:dyDescent="0.3">
      <c r="C7" s="1" t="s">
        <v>122</v>
      </c>
      <c r="D7" s="1" t="s">
        <v>25</v>
      </c>
      <c r="E7" s="10" t="s">
        <v>14</v>
      </c>
      <c r="F7" s="8" t="s">
        <v>26</v>
      </c>
      <c r="G7" s="8" t="s">
        <v>27</v>
      </c>
      <c r="H7" s="6" t="s">
        <v>16</v>
      </c>
      <c r="I7" s="6" t="s">
        <v>28</v>
      </c>
      <c r="J7" s="6" t="s">
        <v>29</v>
      </c>
      <c r="K7" s="114" t="s">
        <v>141</v>
      </c>
      <c r="L7" s="114" t="s">
        <v>151</v>
      </c>
      <c r="N7" s="51" t="s">
        <v>27</v>
      </c>
      <c r="P7" s="51" t="s">
        <v>21</v>
      </c>
      <c r="Q7" s="51" t="s">
        <v>30</v>
      </c>
      <c r="R7" t="s">
        <v>35</v>
      </c>
      <c r="S7" s="51" t="s">
        <v>128</v>
      </c>
      <c r="T7" s="51" t="s">
        <v>27</v>
      </c>
      <c r="U7" s="96" t="s">
        <v>125</v>
      </c>
      <c r="V7" s="98" t="s">
        <v>117</v>
      </c>
      <c r="W7" s="51" t="s">
        <v>129</v>
      </c>
      <c r="X7" s="51" t="s">
        <v>131</v>
      </c>
      <c r="Z7" s="178" t="s">
        <v>164</v>
      </c>
      <c r="AA7" s="178" t="s">
        <v>123</v>
      </c>
      <c r="AD7" s="5"/>
    </row>
    <row r="8" spans="2:30" x14ac:dyDescent="0.3">
      <c r="B8" s="1"/>
      <c r="C8" s="88">
        <f t="shared" ref="C8:C11" si="0">+EDATE(D8,1)-D8</f>
        <v>30</v>
      </c>
      <c r="D8" s="52">
        <v>45962</v>
      </c>
      <c r="E8" s="30">
        <f>AVERAGEIFS($E$25:$E$1048576,$B$25:$B$1048576,D8)</f>
        <v>32.334184096325224</v>
      </c>
      <c r="F8" s="14">
        <f>+SUMPRODUCT(F56:F85,'Fisico SPOT MAT'!M56:M85)/SUM('Fisico SPOT MAT'!M56:M85)</f>
        <v>35.782032489686124</v>
      </c>
      <c r="G8" s="14">
        <f>AVERAGEIFS($G$25:$G$1048576,$B$25:$B$1048576,D8)</f>
        <v>14.399999999999993</v>
      </c>
      <c r="H8" s="12">
        <f>+SUMPRODUCT(H56:H85,'Fisico ASIG'!$P$56:$P$85)/SUM('Fisico ASIG'!$P$56:$P$85)</f>
        <v>62.072800403728777</v>
      </c>
      <c r="I8" s="12">
        <f>+SUMPRODUCT(I56:I85,'Fisico ASIG'!$P$56:$P$85)/SUM('Fisico ASIG'!$P$56:$P$85)</f>
        <v>47.657626536500118</v>
      </c>
      <c r="J8" s="12">
        <f>AVERAGEIFS($J$25:$J$1048576,$B$25:$B$1048576,D8)</f>
        <v>14.399999999999993</v>
      </c>
      <c r="K8" s="115"/>
      <c r="L8" s="115"/>
      <c r="M8" s="2"/>
      <c r="N8" s="77">
        <f>AVERAGEIFS($N$25:$N$1048576,$B$25:$B$1048576,D8)</f>
        <v>11.531159557568566</v>
      </c>
      <c r="O8" s="3"/>
      <c r="P8" s="77">
        <f>'Fisico SPOT MAT'!E8</f>
        <v>348</v>
      </c>
      <c r="Q8" s="63">
        <f t="shared" ref="Q8:Q11" si="1">+C8*24</f>
        <v>720</v>
      </c>
      <c r="R8">
        <f>AVERAGEIFS(R$24:R$1048576,$B$24:$B$1048576,$D8)</f>
        <v>0.89999999999999958</v>
      </c>
      <c r="S8" s="51">
        <v>0.75</v>
      </c>
      <c r="T8" s="51">
        <f>+G8*P8/Q8/S8</f>
        <v>9.2799999999999958</v>
      </c>
      <c r="U8" s="97">
        <f>+T8+F8</f>
        <v>45.062032489686118</v>
      </c>
      <c r="V8" s="97">
        <f>+T8+'Mono SPOT MAT'!H8</f>
        <v>47.06284268662845</v>
      </c>
      <c r="W8" s="51">
        <v>0.52</v>
      </c>
      <c r="X8" s="51">
        <f>+J8*P8/Q8/W8</f>
        <v>13.38461538461538</v>
      </c>
      <c r="Y8" s="94"/>
      <c r="Z8" s="51">
        <v>5.8</v>
      </c>
      <c r="AA8" s="51">
        <v>5.7</v>
      </c>
      <c r="AB8" s="94"/>
      <c r="AD8" s="5"/>
    </row>
    <row r="9" spans="2:30" x14ac:dyDescent="0.3">
      <c r="B9" s="1"/>
      <c r="C9" s="88">
        <f t="shared" si="0"/>
        <v>31</v>
      </c>
      <c r="D9" s="52">
        <v>45992</v>
      </c>
      <c r="E9" s="30">
        <f>AVERAGEIFS($E$25:$E$1048576,$B$25:$B$1048576,D9)</f>
        <v>40.553131985867729</v>
      </c>
      <c r="F9" s="14">
        <f>+SUMPRODUCT(F86:F116,'Fisico SPOT MAT'!M86:M116)/SUM('Fisico SPOT MAT'!M86:M116)</f>
        <v>40.399388650566706</v>
      </c>
      <c r="G9" s="14">
        <f>AVERAGEIFS($G$25:$G$1048576,$B$25:$B$1048576,D9)</f>
        <v>17.600000000000009</v>
      </c>
      <c r="H9" s="12">
        <f>+SUMPRODUCT(H86:H116,'Fisico ASIG'!$P$86:$P$116)/SUM('Fisico ASIG'!$P$86:$P$116)</f>
        <v>63.788292517529293</v>
      </c>
      <c r="I9" s="12">
        <f>+SUMPRODUCT(I86:I116,'Fisico ASIG'!$P$86:$P$116)/SUM('Fisico ASIG'!$P$86:$P$116)</f>
        <v>46.319309887256352</v>
      </c>
      <c r="J9" s="12">
        <f>AVERAGEIFS($J$25:$J$1048576,$B$25:$B$1048576,D9)</f>
        <v>17.600000000000009</v>
      </c>
      <c r="K9" s="115"/>
      <c r="L9" s="115"/>
      <c r="M9" s="2"/>
      <c r="N9" s="77">
        <f>AVERAGEIFS($N$25:$N$1048576,$B$25:$B$1048576,D9)</f>
        <v>15.772536291202991</v>
      </c>
      <c r="O9" s="3"/>
      <c r="P9" s="77">
        <f>'Fisico SPOT MAT'!E9</f>
        <v>384</v>
      </c>
      <c r="Q9" s="63">
        <f t="shared" si="1"/>
        <v>744</v>
      </c>
      <c r="R9">
        <f>AVERAGEIFS(R$24:R$1048576,$B$24:$B$1048576,$D9)</f>
        <v>1.1000000000000005</v>
      </c>
      <c r="S9" s="51">
        <v>0.75</v>
      </c>
      <c r="T9" s="51">
        <f t="shared" ref="T9:T11" si="2">+G9*P9/Q9/S9</f>
        <v>12.111827956989252</v>
      </c>
      <c r="U9" s="97">
        <f t="shared" ref="U9:U11" si="3">+T9+F9</f>
        <v>52.511216607555959</v>
      </c>
      <c r="V9" s="97">
        <f>+T9+'Mono SPOT MAT'!H9</f>
        <v>54.271807452948117</v>
      </c>
      <c r="W9" s="51">
        <v>0.52</v>
      </c>
      <c r="X9" s="51">
        <f t="shared" ref="X9:X13" si="4">+J9*P9/Q9/W9</f>
        <v>17.468982630272958</v>
      </c>
      <c r="Y9" s="94"/>
      <c r="Z9" s="51">
        <v>3.9467457726647686</v>
      </c>
      <c r="AA9" s="51">
        <v>5.2611399149667797</v>
      </c>
      <c r="AB9" s="94"/>
      <c r="AD9" s="5"/>
    </row>
    <row r="10" spans="2:30" x14ac:dyDescent="0.3">
      <c r="B10" s="1"/>
      <c r="C10" s="88">
        <f t="shared" si="0"/>
        <v>31</v>
      </c>
      <c r="D10" s="52">
        <v>46023</v>
      </c>
      <c r="E10" s="30">
        <f>AVERAGEIFS($E$25:$E$1048576,$B$25:$B$1048576,D10)</f>
        <v>55.612596568512679</v>
      </c>
      <c r="F10" s="14">
        <f>+SUMPRODUCT(F117:F147,'Fisico SPOT MAT'!M117:M147)/SUM('Fisico SPOT MAT'!M117:M147)</f>
        <v>42.573442207314706</v>
      </c>
      <c r="G10" s="14">
        <f>AVERAGEIFS($G$25:$G$1048576,$B$25:$B$1048576,D10)</f>
        <v>17.600000000000009</v>
      </c>
      <c r="H10" s="12">
        <f>+SUMPRODUCT(H117:H147,'Fisico ASIG'!$P$117:$P$147)/SUM('Fisico ASIG'!$P$117:$P$147)</f>
        <v>65.981465442082808</v>
      </c>
      <c r="I10" s="12">
        <f>+SUMPRODUCT(I117:I147,'Fisico ASIG'!$P$117:$P$147)/SUM('Fisico ASIG'!$P$117:$P$147)</f>
        <v>48.42149852727718</v>
      </c>
      <c r="J10" s="12">
        <f>AVERAGEIFS($J$25:$J$1048576,$B$25:$B$1048576,D10)</f>
        <v>17.600000000000009</v>
      </c>
      <c r="K10" s="115"/>
      <c r="L10" s="115"/>
      <c r="M10" s="2"/>
      <c r="N10" s="77">
        <f>AVERAGEIFS($N$25:$N$1048576,$B$25:$B$1048576,D10)</f>
        <v>15.674033153300803</v>
      </c>
      <c r="O10" s="3"/>
      <c r="P10" s="77">
        <f>'Fisico SPOT MAT'!E10</f>
        <v>386</v>
      </c>
      <c r="Q10" s="63">
        <f t="shared" si="1"/>
        <v>744</v>
      </c>
      <c r="R10">
        <f>AVERAGEIFS(R$24:R$1048576,$B$24:$B$1048576,$D10)</f>
        <v>1.1000000000000005</v>
      </c>
      <c r="S10" s="51">
        <v>0.75</v>
      </c>
      <c r="T10" s="51">
        <f t="shared" si="2"/>
        <v>12.17491039426524</v>
      </c>
      <c r="U10" s="97">
        <f t="shared" si="3"/>
        <v>54.748352601579946</v>
      </c>
      <c r="V10" s="97">
        <f>+T10+'Mono SPOT MAT'!H10</f>
        <v>56.984422061616677</v>
      </c>
      <c r="W10" s="51">
        <v>0.60886855883285118</v>
      </c>
      <c r="X10" s="51">
        <f t="shared" si="4"/>
        <v>14.996968825591232</v>
      </c>
      <c r="Y10" s="94"/>
      <c r="Z10" s="51">
        <v>3.9</v>
      </c>
      <c r="AA10" s="51">
        <v>5.4</v>
      </c>
      <c r="AB10" s="94"/>
      <c r="AD10" s="5"/>
    </row>
    <row r="11" spans="2:30" x14ac:dyDescent="0.3">
      <c r="B11" s="1"/>
      <c r="C11" s="88">
        <f t="shared" si="0"/>
        <v>28</v>
      </c>
      <c r="D11" s="52">
        <v>46054</v>
      </c>
      <c r="E11" s="30">
        <f>AVERAGEIFS($E$25:$E$1048576,$B$25:$B$1048576,D11)</f>
        <v>52.514713254856119</v>
      </c>
      <c r="F11" s="14">
        <f>+SUMPRODUCT(F148:F175,'Fisico SPOT MAT'!M148:M175)/SUM('Fisico SPOT MAT'!M148:M175)</f>
        <v>42.909910509666268</v>
      </c>
      <c r="G11" s="14">
        <f>AVERAGEIFS($G$25:$G$1048576,$B$25:$B$1048576,D11)</f>
        <v>17.600000000000009</v>
      </c>
      <c r="H11" s="12">
        <f>+SUMPRODUCT(H148:H175,'Fisico ASIG'!$N$148:$N$175)/SUM('Fisico ASIG'!$N$148:$N$175)</f>
        <v>73.131269490006659</v>
      </c>
      <c r="I11" s="12">
        <f>+SUMPRODUCT(I148:I175,'Fisico ASIG'!$N$148:$N$175)/SUM('Fisico ASIG'!$N$148:$N$175)</f>
        <v>56.208192566929739</v>
      </c>
      <c r="J11" s="12">
        <f>AVERAGEIFS($J$25:$J$1048576,$B$25:$B$1048576,D11)</f>
        <v>17.600000000000009</v>
      </c>
      <c r="K11" s="115"/>
      <c r="L11" s="115"/>
      <c r="M11" s="2"/>
      <c r="N11" s="77">
        <f>AVERAGEIFS($N$25:$N$1048576,$B$25:$B$1048576,D11)</f>
        <v>15.854856810864954</v>
      </c>
      <c r="O11" s="3"/>
      <c r="P11" s="77">
        <f>'Fisico SPOT MAT'!E11</f>
        <v>336</v>
      </c>
      <c r="Q11" s="63">
        <f t="shared" si="1"/>
        <v>672</v>
      </c>
      <c r="R11">
        <f>AVERAGEIFS(R$24:R$1048576,$B$24:$B$1048576,$D11)</f>
        <v>1.1000000000000005</v>
      </c>
      <c r="S11" s="51">
        <v>0.75</v>
      </c>
      <c r="T11" s="51">
        <f t="shared" si="2"/>
        <v>11.73333333333334</v>
      </c>
      <c r="U11" s="97">
        <f t="shared" si="3"/>
        <v>54.64324384299961</v>
      </c>
      <c r="V11" s="97">
        <f>+T11+'Mono SPOT MAT'!H11</f>
        <v>57.103840164390647</v>
      </c>
      <c r="W11" s="51">
        <v>0.6093573297416468</v>
      </c>
      <c r="X11" s="51">
        <f t="shared" si="4"/>
        <v>14.441444404600823</v>
      </c>
      <c r="Y11" s="94"/>
      <c r="Z11" s="51">
        <v>4.2415653871976247</v>
      </c>
      <c r="AA11" s="51">
        <v>5.5316881739967227</v>
      </c>
      <c r="AB11" s="94"/>
      <c r="AD11" s="5"/>
    </row>
    <row r="12" spans="2:30" x14ac:dyDescent="0.3">
      <c r="B12" s="1"/>
      <c r="C12" s="88">
        <f>+EDATE(D12,1)-D12</f>
        <v>31</v>
      </c>
      <c r="D12" s="52">
        <v>46082</v>
      </c>
      <c r="E12" s="30">
        <f>AVERAGEIFS($E$25:$E$1048576,$B$25:$B$1048576,D12)</f>
        <v>62.286214282691716</v>
      </c>
      <c r="F12" s="14">
        <f>+SUMPRODUCT(F176:F206,'Fisico SPOT MAT'!M176:M206)/SUM('Fisico SPOT MAT'!M176:M206)</f>
        <v>45.274490519284939</v>
      </c>
      <c r="G12" s="14">
        <f>AVERAGEIFS($G$25:$G$1048576,$B$25:$B$1048576,D12)</f>
        <v>14.399999999999991</v>
      </c>
      <c r="H12" s="12">
        <f>+SUMPRODUCT(H176:H206,'Fisico ASIG'!$N$176:$N$206)/SUM('Fisico ASIG'!$N$176:$N$206)</f>
        <v>71.173352107631047</v>
      </c>
      <c r="I12" s="12">
        <f>+SUMPRODUCT(I176:I206,'Fisico ASIG'!$N$176:$N$206)/SUM('Fisico ASIG'!$N$176:$N$206)</f>
        <v>58.64531513097927</v>
      </c>
      <c r="J12" s="12">
        <f>AVERAGEIFS($J$25:$J$1048576,$B$25:$B$1048576,D12)</f>
        <v>14.399999999999991</v>
      </c>
      <c r="K12" s="115"/>
      <c r="L12" s="115"/>
      <c r="M12" s="2"/>
      <c r="N12" s="77">
        <f>AVERAGEIFS($N$25:$N$1048576,$B$25:$B$1048576,D12)</f>
        <v>15.212011166056104</v>
      </c>
      <c r="O12" s="3"/>
      <c r="P12" s="77">
        <f>'Fisico SPOT MAT'!E12</f>
        <v>374</v>
      </c>
      <c r="Q12" s="63">
        <f>+C12*24</f>
        <v>744</v>
      </c>
      <c r="R12">
        <f>AVERAGEIFS(R$24:R$1048576,$B$24:$B$1048576,$D12)</f>
        <v>0.89999999999999947</v>
      </c>
      <c r="S12" s="51">
        <v>0.82756875806999797</v>
      </c>
      <c r="T12" s="51">
        <f>+G12*P12/Q12/S12</f>
        <v>8.746958614412895</v>
      </c>
      <c r="U12" s="97">
        <f>+T12+F12</f>
        <v>54.021449133697836</v>
      </c>
      <c r="V12" s="97">
        <f>+T12+'Mono SPOT MAT'!H12</f>
        <v>55.751221410929368</v>
      </c>
      <c r="W12" s="51">
        <v>0.57780079121014605</v>
      </c>
      <c r="X12" s="51">
        <f t="shared" si="4"/>
        <v>12.528036976651755</v>
      </c>
      <c r="Y12" s="94"/>
      <c r="Z12" s="51">
        <v>4.3271912020089518</v>
      </c>
      <c r="AA12" s="51">
        <v>6.3890888607228584</v>
      </c>
      <c r="AB12" s="94"/>
      <c r="AD12" s="5"/>
    </row>
    <row r="13" spans="2:30" x14ac:dyDescent="0.3">
      <c r="B13" s="88"/>
      <c r="C13" s="88">
        <f>+'Mono SPOT MAT'!F13</f>
        <v>30</v>
      </c>
      <c r="D13" s="52">
        <v>46113</v>
      </c>
      <c r="E13" s="30">
        <f>AVERAGEIFS($E$25:$E$1048576,$B$25:$B$1048576,D13)</f>
        <v>86.168556084980892</v>
      </c>
      <c r="F13" s="14">
        <f>+SUMPRODUCT(F207:F236,'Fisico SPOT MAT'!M207:M236)/SUM('Fisico SPOT MAT'!M207:M236)</f>
        <v>51.723012947131252</v>
      </c>
      <c r="G13" s="14">
        <f>AVERAGEIFS($G$25:$G$1048576,$B$25:$B$1048576,D13)</f>
        <v>14.399999999999993</v>
      </c>
      <c r="H13" s="12">
        <f>+SUMPRODUCT(H207:H236,'Fisico ASIG'!$N$207:$N$236)/SUM('Fisico ASIG'!$N$207:$N$236)</f>
        <v>72.749402867220596</v>
      </c>
      <c r="I13" s="12">
        <f>+SUMPRODUCT(I207:I236,'Fisico ASIG'!$N$207:$N$236)/SUM('Fisico ASIG'!$N$207:$N$236)</f>
        <v>59.78258119440364</v>
      </c>
      <c r="J13" s="12">
        <f>AVERAGEIFS($J$25:$J$1048576,$B$25:$B$1048576,D13)</f>
        <v>14.399999999999993</v>
      </c>
      <c r="K13" s="115"/>
      <c r="L13" s="115"/>
      <c r="M13" s="2"/>
      <c r="N13" s="77">
        <f>AVERAGEIFS($N$25:$N$1048576,$B$25:$B$1048576,D13)</f>
        <v>15.093951419688818</v>
      </c>
      <c r="O13" s="3"/>
      <c r="P13" s="77">
        <v>368</v>
      </c>
      <c r="Q13" s="63">
        <f>30*24</f>
        <v>720</v>
      </c>
      <c r="R13">
        <f>AVERAGEIFS(R$24:R$1048576,$B$24:$B$1048576,$D13)</f>
        <v>0.89999999999999958</v>
      </c>
      <c r="S13" s="51">
        <v>0.82756875806999797</v>
      </c>
      <c r="T13" s="51">
        <f>+G13*P13/Q13/S13</f>
        <v>8.8935208443157148</v>
      </c>
      <c r="U13" s="97">
        <f>+T13+F13</f>
        <v>60.616533791446969</v>
      </c>
      <c r="V13" s="97">
        <f>+T13+'Mono SPOT MAT'!H13</f>
        <v>63.092364906440181</v>
      </c>
      <c r="W13" s="51">
        <v>0.56760246926424329</v>
      </c>
      <c r="X13" s="51">
        <f t="shared" si="4"/>
        <v>12.966821672816931</v>
      </c>
      <c r="Y13" s="94"/>
      <c r="Z13" s="51">
        <v>4.3350156844861178</v>
      </c>
      <c r="AA13" s="51">
        <v>6.9556699211826478</v>
      </c>
      <c r="AB13" s="94"/>
      <c r="AD13" s="5"/>
    </row>
    <row r="14" spans="2:30" x14ac:dyDescent="0.3">
      <c r="B14" s="88"/>
      <c r="C14" s="88">
        <f>+'Mono SPOT MAT'!F14</f>
        <v>31</v>
      </c>
      <c r="D14" s="52">
        <v>46143</v>
      </c>
      <c r="E14" s="30">
        <f>AVERAGEIFS($E$25:$E$1048576,$B$25:$B$1048576,D14)</f>
        <v>188.32261571043819</v>
      </c>
      <c r="F14" s="14">
        <f>+SUMPRODUCT(F237:F267,'Fisico SPOT MAT'!M237:M267)/SUM('Fisico SPOT MAT'!M237:M267)</f>
        <v>117.98009281752223</v>
      </c>
      <c r="G14" s="14">
        <f>AVERAGEIFS($G$25:$G$1048576,$B$25:$B$1048576,D14)</f>
        <v>14.399999999999991</v>
      </c>
      <c r="H14" s="12">
        <f>+SUMPRODUCT(H237:H267,'Fisico ASIG'!$N$237:$N$267)/SUM('Fisico ASIG'!$N$237:$N$267)</f>
        <v>85.537689248208622</v>
      </c>
      <c r="I14" s="12">
        <f>+SUMPRODUCT(I237:I267,'Fisico ASIG'!$N$237:$N$267)/SUM('Fisico ASIG'!$N$237:$N$267)</f>
        <v>74.380303903422742</v>
      </c>
      <c r="J14" s="12">
        <f>AVERAGEIFS($J$25:$J$1048576,$B$25:$B$1048576,D14)</f>
        <v>14.399999999999991</v>
      </c>
      <c r="K14" s="115"/>
      <c r="L14" s="115"/>
      <c r="M14" s="2"/>
      <c r="N14" s="77">
        <f>AVERAGEIFS($N$25:$N$1048576,$B$25:$B$1048576,D14)</f>
        <v>15.324438467297046</v>
      </c>
      <c r="O14" s="3"/>
      <c r="P14" s="77">
        <v>362</v>
      </c>
      <c r="Q14" s="63">
        <f>31*24</f>
        <v>744</v>
      </c>
      <c r="R14">
        <f>AVERAGEIFS(R$24:R$1048576,$B$24:$B$1048576,$D14)</f>
        <v>0.89999999999999947</v>
      </c>
      <c r="S14" s="51">
        <v>0.82756875806999797</v>
      </c>
      <c r="T14" s="51">
        <f t="shared" ref="T14:T15" si="5">+G14*P14/Q14/S14</f>
        <v>8.4663075358755826</v>
      </c>
      <c r="U14" s="97">
        <f t="shared" ref="U14" si="6">+T14+F14</f>
        <v>126.44640035339782</v>
      </c>
      <c r="V14" s="97">
        <f>+T14+'Mono SPOT MAT'!H14</f>
        <v>122.59213878270307</v>
      </c>
      <c r="W14" s="51">
        <v>0.62796536969815242</v>
      </c>
      <c r="X14" s="51">
        <f t="shared" ref="X14:X15" si="7">+J14*P14/Q14/W14</f>
        <v>11.157385344785892</v>
      </c>
      <c r="Y14" s="94"/>
      <c r="Z14" s="51">
        <v>6.2696035057226016</v>
      </c>
      <c r="AA14" s="51">
        <v>6.2922055544915443</v>
      </c>
      <c r="AB14" s="94"/>
      <c r="AD14" s="5"/>
    </row>
    <row r="15" spans="2:30" x14ac:dyDescent="0.3">
      <c r="B15" s="88"/>
      <c r="C15" s="88">
        <f>+'Mono SPOT MAT'!F15</f>
        <v>30</v>
      </c>
      <c r="D15" s="52">
        <v>46174</v>
      </c>
      <c r="E15" s="30">
        <f>AVERAGEIFS($E$25:$E$1048576,$B$25:$B$1048576,D15)</f>
        <v>202.55727130251606</v>
      </c>
      <c r="F15" s="14">
        <f>+SUMPRODUCT(F268:F297,'Fisico SPOT MAT'!M267:M296)/SUM('Fisico SPOT MAT'!M268:M296)</f>
        <v>176.47463655724673</v>
      </c>
      <c r="G15" s="14">
        <f>AVERAGEIFS($G$25:$G$1048576,$B$25:$B$1048576,D15)</f>
        <v>17.600000000000009</v>
      </c>
      <c r="H15" s="12">
        <f>+SUMPRODUCT(H268:H297,'Fisico ASIG'!$N$268:$N$297)/SUM('Fisico ASIG'!$N$268:$N$297)</f>
        <v>97.092179100803222</v>
      </c>
      <c r="I15" s="12">
        <f>+SUMPRODUCT(I268:I297,'Fisico ASIG'!$N$268:$N$297)/SUM('Fisico ASIG'!$N$268:$N$297)</f>
        <v>83.30532680078764</v>
      </c>
      <c r="J15" s="12">
        <f>AVERAGEIFS($J$25:$J$1048576,$B$25:$B$1048576,D15)</f>
        <v>17.600000000000009</v>
      </c>
      <c r="K15" s="115">
        <f>+SUMPRODUCT(K268:K297,'Fisico SPOT MAT'!T268:T297)/SUM('Fisico SPOT MAT'!T268:T297)</f>
        <v>70</v>
      </c>
      <c r="L15" s="115">
        <f>+'Mono SPOT MAT'!AC15</f>
        <v>62.568230925742107</v>
      </c>
      <c r="M15" s="2"/>
      <c r="N15" s="77">
        <f>AVERAGEIFS($N$25:$N$1048576,$B$25:$B$1048576,D15)</f>
        <v>16.434820533260776</v>
      </c>
      <c r="P15" s="77">
        <v>378</v>
      </c>
      <c r="Q15" s="63">
        <f>30*24</f>
        <v>720</v>
      </c>
      <c r="R15">
        <f>AVERAGEIFS(R$24:R$1048576,$B$24:$B$1048576,$D15)</f>
        <v>1.1000000000000005</v>
      </c>
      <c r="S15" s="51">
        <v>0.82756875806999797</v>
      </c>
      <c r="T15" s="51">
        <f t="shared" si="5"/>
        <v>11.165235407809414</v>
      </c>
      <c r="U15" s="97">
        <f>+T15+F15</f>
        <v>187.63987196505613</v>
      </c>
      <c r="V15" s="97">
        <f>+T15+'Mono SPOT MAT'!H15</f>
        <v>182.57926600996868</v>
      </c>
      <c r="W15" s="51">
        <v>0.67020374186423648</v>
      </c>
      <c r="X15" s="51">
        <f t="shared" si="7"/>
        <v>13.786852300015591</v>
      </c>
      <c r="Y15" s="94"/>
      <c r="Z15" s="51">
        <v>8.9</v>
      </c>
      <c r="AA15" s="51">
        <v>5.855107461303529</v>
      </c>
      <c r="AB15" s="94"/>
      <c r="AD15" s="5"/>
    </row>
    <row r="16" spans="2:30" x14ac:dyDescent="0.3">
      <c r="C16" s="88">
        <f>+'Mono SPOT MAT'!F16</f>
        <v>31</v>
      </c>
      <c r="D16" s="52">
        <v>46204</v>
      </c>
      <c r="E16" s="30">
        <f>AVERAGEIFS($E$25:$E$1048576,$B$25:$B$1048576,D16)</f>
        <v>154.2100256147408</v>
      </c>
      <c r="F16" s="14">
        <f>+SUMPRODUCT(F298:F328,'Fisico SPOT MAT'!M298:M328)/SUM('Fisico SPOT MAT'!M298:M328)</f>
        <v>143.18639727697885</v>
      </c>
      <c r="G16" s="14">
        <f>AVERAGEIFS($G$25:$G$1048576,$B$25:$B$1048576,D16)</f>
        <v>17.600000000000009</v>
      </c>
      <c r="H16" s="12">
        <f>+SUMPRODUCT(H298:H328,'Fisico ASIG'!$N$298:$N$328)/SUM('Fisico ASIG'!$N$298:$N$328)</f>
        <v>79.568531062395749</v>
      </c>
      <c r="I16" s="12">
        <f>+SUMPRODUCT(I298:I328,'Fisico ASIG'!$N$298:$N$328)/SUM('Fisico ASIG'!$N$298:$N$328)</f>
        <v>65.431017870199796</v>
      </c>
      <c r="J16" s="12">
        <f>AVERAGEIFS($J$25:$J$1048576,$B$25:$B$1048576,D16)</f>
        <v>17.600000000000009</v>
      </c>
      <c r="K16" s="115">
        <f>+SUMPRODUCT(K298:K328,'Fisico SPOT MAT'!T298:T328)/SUM('Fisico SPOT MAT'!T298:T328)</f>
        <v>80</v>
      </c>
      <c r="L16" s="115">
        <f>+'Mono SPOT MAT'!AC16</f>
        <v>66.471180651591865</v>
      </c>
      <c r="M16" s="2"/>
      <c r="N16" s="77">
        <f>AVERAGEIFS($N$25:$N$1048576,$B$25:$B$1048576,D16)</f>
        <v>16.293317843266529</v>
      </c>
      <c r="P16" s="77">
        <v>386</v>
      </c>
      <c r="Q16" s="63">
        <f>31*24</f>
        <v>744</v>
      </c>
      <c r="R16">
        <f>AVERAGEIFS(R$24:R$1048576,$B$24:$B$1048576,$D16)</f>
        <v>1.1000000000000005</v>
      </c>
      <c r="S16" s="51">
        <v>0.82756875806999797</v>
      </c>
      <c r="T16" s="51">
        <f t="shared" ref="T16" si="8">+G16*P16/Q16/S16</f>
        <v>11.03374518027249</v>
      </c>
      <c r="U16" s="97">
        <f>+T16+F16</f>
        <v>154.22014245725134</v>
      </c>
      <c r="V16" s="97">
        <f>+T16+'Mono SPOT MAT'!H16</f>
        <v>153.58661799809744</v>
      </c>
      <c r="W16" s="51">
        <v>0.6458832378483248</v>
      </c>
      <c r="X16" s="51">
        <f t="shared" ref="X16" si="9">+J16*P16/Q16/W16</f>
        <v>14.137513192195955</v>
      </c>
      <c r="Y16" s="94"/>
      <c r="Z16" s="51">
        <v>8.3474684769278955</v>
      </c>
      <c r="AA16" s="51">
        <v>5.9359257433880979</v>
      </c>
      <c r="AB16" s="94"/>
      <c r="AD16" s="5"/>
    </row>
    <row r="17" spans="1:36" x14ac:dyDescent="0.3">
      <c r="C17" s="88">
        <f>+'Mono SPOT MAT'!F17</f>
        <v>31</v>
      </c>
      <c r="D17" s="52">
        <v>46235</v>
      </c>
      <c r="E17" s="30">
        <f>AVERAGEIFS($E$25:$E$1048576,$B$25:$B$1048576,D17)</f>
        <v>141.37171192382752</v>
      </c>
      <c r="F17" s="14">
        <f>+SUMPRODUCT(F329:F359,'Fisico SPOT MAT'!M329:M359)/SUM('Fisico SPOT MAT'!M329:M359)</f>
        <v>133.2885835401577</v>
      </c>
      <c r="G17" s="14">
        <f>AVERAGEIFS($G$25:$G$1048576,$B$25:$B$1048576,D17)</f>
        <v>17.600000000000009</v>
      </c>
      <c r="H17" s="12">
        <f>+SUMPRODUCT(H329:H359,'Fisico ASIG'!$N329:$N$359)/SUM('Fisico ASIG'!$N329:$N$359)</f>
        <v>80.768273814841905</v>
      </c>
      <c r="I17" s="12">
        <f>+SUMPRODUCT(I329:I359,'Fisico ASIG'!$N329:$N$359)/SUM('Fisico ASIG'!$N329:$N359)</f>
        <v>66.869883826562486</v>
      </c>
      <c r="J17" s="12">
        <f>AVERAGEIFS($J$25:$J$1048576,$B$25:$B$1048576,D17)</f>
        <v>17.600000000000009</v>
      </c>
      <c r="K17" s="115">
        <f>+SUMPRODUCT(K329:K359,'Fisico SPOT MAT'!T329:T359)/SUM('Fisico SPOT MAT'!T329:T359)</f>
        <v>80</v>
      </c>
      <c r="L17" s="115">
        <f>+'Mono SPOT MAT'!AC17</f>
        <v>64.918897121093295</v>
      </c>
      <c r="M17" s="2"/>
      <c r="N17" s="77">
        <f>AVERAGEIFS($N$25:$N$1048576,$B$25:$B$1048576,D17)</f>
        <v>16.363890094541055</v>
      </c>
      <c r="P17" s="77">
        <v>374</v>
      </c>
      <c r="Q17" s="63">
        <f>31*24</f>
        <v>744</v>
      </c>
      <c r="R17">
        <f>AVERAGEIFS(R$24:R$1048576,$B$24:$B$1048576,$D17)</f>
        <v>1.1000000000000005</v>
      </c>
      <c r="S17" s="51">
        <v>0.83332239075976788</v>
      </c>
      <c r="T17" s="51">
        <f>+G17*P17/Q17/S17</f>
        <v>10.616913605178187</v>
      </c>
      <c r="U17" s="97">
        <f>+T17+F17</f>
        <v>143.90549714533589</v>
      </c>
      <c r="V17" s="97">
        <f>+T17+'Mono SPOT MAT'!H17</f>
        <v>145.21390284908756</v>
      </c>
      <c r="W17" s="51">
        <v>0.63657098666953194</v>
      </c>
      <c r="X17" s="51">
        <f>+J17*P17/Q17/W17</f>
        <v>13.898389988279449</v>
      </c>
      <c r="Y17" s="94"/>
      <c r="Z17" s="51">
        <v>7.9673582458940304</v>
      </c>
      <c r="AA17" s="51">
        <v>6.3619912119126942</v>
      </c>
      <c r="AB17" s="94"/>
      <c r="AD17" s="5"/>
    </row>
    <row r="18" spans="1:36" x14ac:dyDescent="0.3">
      <c r="C18" s="88">
        <f>+'Mono SPOT MAT'!F18</f>
        <v>30</v>
      </c>
      <c r="D18" s="52">
        <v>46266</v>
      </c>
      <c r="E18" s="30">
        <f>AVERAGEIFS($E$25:$E$1048576,$B$25:$B$1048576,D18)</f>
        <v>62.269958848475689</v>
      </c>
      <c r="F18" s="14">
        <f>+SUMPRODUCT(F360:F389,'Fisico SPOT MAT'!M360:M389)/SUM('Fisico SPOT MAT'!M360:M389)</f>
        <v>71.509949576645226</v>
      </c>
      <c r="G18" s="14">
        <f>AVERAGEIFS($G$25:$G$1048576,$B$25:$B$1048576,D18)</f>
        <v>14.399999999999993</v>
      </c>
      <c r="H18" s="12">
        <f>+SUMPRODUCT(H360:H389,'Fisico ASIG'!$N$360:$N389)/SUM('Fisico ASIG'!$N$360:$N389)</f>
        <v>63.540031170350403</v>
      </c>
      <c r="I18" s="12">
        <f>+SUMPRODUCT(I360:I389,'Fisico ASIG'!$N360:$N$389)/SUM('Fisico ASIG'!$N360:$N389)</f>
        <v>51.224044164693737</v>
      </c>
      <c r="J18" s="12">
        <f>AVERAGEIFS($J$25:$J$1048576,$B$25:$B$1048576,D18)</f>
        <v>14.399999999999993</v>
      </c>
      <c r="K18" s="115">
        <f>+SUMPRODUCT(K360:K389,'Fisico SPOT MAT'!T360:T389)/SUM('Fisico SPOT MAT'!T360:T389)</f>
        <v>80</v>
      </c>
      <c r="L18" s="115">
        <f>+'Mono SPOT MAT'!AC18</f>
        <v>63.668157132480069</v>
      </c>
      <c r="M18" s="2"/>
      <c r="N18" s="77">
        <f>AVERAGEIFS($N$25:$N$1048576,$B$25:$B$1048576,D18)</f>
        <v>15.75807549379811</v>
      </c>
      <c r="P18" s="77">
        <v>392</v>
      </c>
      <c r="Q18" s="63">
        <f>30*24</f>
        <v>720</v>
      </c>
      <c r="R18">
        <f>AVERAGEIFS(R$24:R$1048576,$B$24:$B$1048576,$D18)</f>
        <v>0.89999999999999958</v>
      </c>
      <c r="S18" s="51">
        <v>0.83332239075976788</v>
      </c>
      <c r="T18" s="51">
        <f>+G18*P18/Q18/S18</f>
        <v>9.4081235389007194</v>
      </c>
      <c r="U18" s="97">
        <f>+T18+F18</f>
        <v>80.918073115545951</v>
      </c>
      <c r="V18" s="97">
        <f>+T18+'Mono SPOT MAT'!H18</f>
        <v>82.97253700625194</v>
      </c>
      <c r="W18" s="51">
        <v>0.63657098666953194</v>
      </c>
      <c r="X18" s="51">
        <f>+J18*P18/Q18/W18</f>
        <v>12.315987005656662</v>
      </c>
      <c r="Y18" s="94"/>
      <c r="Z18" s="51">
        <v>5.1369999999999996</v>
      </c>
      <c r="AA18" s="51">
        <v>6.63</v>
      </c>
      <c r="AB18" s="94"/>
      <c r="AD18" s="5"/>
    </row>
    <row r="19" spans="1:36" x14ac:dyDescent="0.3">
      <c r="B19" s="88" t="str">
        <f>+'Mono SPOT MAT'!E19</f>
        <v>días en análisis:</v>
      </c>
      <c r="C19" s="88">
        <f>+'Mono SPOT MAT'!F19</f>
        <v>25</v>
      </c>
      <c r="D19" s="52">
        <v>46296</v>
      </c>
      <c r="E19" s="30">
        <f>AVERAGEIFS($E$25:$E$1048576,$B$25:$B$1048576,D19)</f>
        <v>35.515999999999998</v>
      </c>
      <c r="F19" s="14">
        <f>+SUMPRODUCT(F390:F414,'Fisico SPOT MAT'!M390:M414)/SUM('Fisico SPOT MAT'!M390:M414)</f>
        <v>38.73764424436299</v>
      </c>
      <c r="G19" s="14">
        <f>AVERAGEIFS($G$25:$G$1048576,$B$25:$B$1048576,D19)</f>
        <v>14.399999999999995</v>
      </c>
      <c r="H19" s="12">
        <f>+SUMPRODUCT(H390:H414,'Fisico ASIG'!$N390:$N$414)/SUM('Fisico ASIG'!$N390:$N$414)</f>
        <v>54.835663355239149</v>
      </c>
      <c r="I19" s="12">
        <f>+SUMPRODUCT(I390:I414,'Fisico ASIG'!$N390:$N$414)/SUM('Fisico ASIG'!$N390:$N414)</f>
        <v>42.519676349582475</v>
      </c>
      <c r="J19" s="12">
        <f>AVERAGEIFS($J$25:$J$1048576,$B$25:$B$1048576,D19)</f>
        <v>14.399999999999995</v>
      </c>
      <c r="K19" s="115">
        <f>+SUMPRODUCT(K390:K414,'Fisico SPOT MAT'!T390:T414)/SUM('Fisico SPOT MAT'!T390:T414)</f>
        <v>80</v>
      </c>
      <c r="L19" s="115">
        <f>+'Mono SPOT MAT'!AC19</f>
        <v>63.852512948560054</v>
      </c>
      <c r="M19" s="2"/>
      <c r="N19" s="77">
        <f>AVERAGEIFS($N$25:$N$1048576,$B$25:$B$1048576,D19)</f>
        <v>15.595351506165676</v>
      </c>
      <c r="P19" s="77">
        <v>386</v>
      </c>
      <c r="Q19" s="63">
        <f>31*24</f>
        <v>744</v>
      </c>
      <c r="R19">
        <f>AVERAGEIFS(R$24:R$1048576,$B$24:$B$1048576,$D19)</f>
        <v>0.89999999999999969</v>
      </c>
      <c r="S19" s="51">
        <v>0.83332239075976788</v>
      </c>
      <c r="T19" s="51">
        <f>+G19*P19/Q19/S19</f>
        <v>8.9652790141927543</v>
      </c>
      <c r="U19" s="97">
        <f>+T19+F19</f>
        <v>47.702923258555742</v>
      </c>
      <c r="V19" s="97">
        <f>+T19+'Mono SPOT MAT'!H19</f>
        <v>46.837396264138746</v>
      </c>
      <c r="W19" s="51">
        <v>0.63657098666953194</v>
      </c>
      <c r="X19" s="51">
        <f>+J19*P19/Q19/W19</f>
        <v>11.736268064969073</v>
      </c>
      <c r="Y19" s="94"/>
      <c r="Z19" s="51">
        <f>3.5%*F19+2.7</f>
        <v>4.0558175485527048</v>
      </c>
      <c r="AA19" s="51">
        <f>+AVERAGE(AA13:AA18)</f>
        <v>6.3384833153797517</v>
      </c>
      <c r="AB19" s="94"/>
      <c r="AD19" s="5"/>
    </row>
    <row r="20" spans="1:36" x14ac:dyDescent="0.3">
      <c r="C20" s="1"/>
      <c r="E20" s="50"/>
      <c r="F20" s="51"/>
      <c r="G20" s="51"/>
      <c r="T20" s="51"/>
      <c r="AD20" s="5"/>
    </row>
    <row r="21" spans="1:36" x14ac:dyDescent="0.3">
      <c r="C21" s="1"/>
      <c r="E21" s="50"/>
      <c r="F21" s="51"/>
      <c r="G21" s="51"/>
      <c r="T21" s="51"/>
      <c r="AD21" s="5"/>
    </row>
    <row r="22" spans="1:36" x14ac:dyDescent="0.3">
      <c r="B22" t="s">
        <v>31</v>
      </c>
      <c r="C22" s="1"/>
      <c r="E22" s="50"/>
      <c r="F22" s="51"/>
      <c r="G22" s="51"/>
      <c r="AD22" s="5"/>
    </row>
    <row r="23" spans="1:36" ht="16.2" x14ac:dyDescent="0.35">
      <c r="E23" s="9" t="s">
        <v>15</v>
      </c>
      <c r="F23" s="9" t="s">
        <v>15</v>
      </c>
      <c r="G23" s="9" t="s">
        <v>19</v>
      </c>
      <c r="H23" s="7" t="s">
        <v>15</v>
      </c>
      <c r="I23" s="7" t="s">
        <v>15</v>
      </c>
      <c r="J23" s="7" t="s">
        <v>19</v>
      </c>
      <c r="K23" s="113" t="s">
        <v>15</v>
      </c>
      <c r="Y23" s="99"/>
      <c r="Z23" s="99"/>
      <c r="AA23" s="99"/>
      <c r="AB23" s="99"/>
      <c r="AD23" s="5"/>
      <c r="AE23" s="99"/>
      <c r="AF23" s="99"/>
      <c r="AG23" s="99"/>
      <c r="AH23" s="99"/>
    </row>
    <row r="24" spans="1:36" x14ac:dyDescent="0.3">
      <c r="A24" s="1" t="s">
        <v>32</v>
      </c>
      <c r="B24" s="1" t="s">
        <v>25</v>
      </c>
      <c r="C24" s="1" t="s">
        <v>33</v>
      </c>
      <c r="D24" s="5" t="s">
        <v>34</v>
      </c>
      <c r="E24" s="10" t="s">
        <v>14</v>
      </c>
      <c r="F24" s="8" t="s">
        <v>26</v>
      </c>
      <c r="G24" s="8" t="s">
        <v>27</v>
      </c>
      <c r="H24" s="6" t="s">
        <v>16</v>
      </c>
      <c r="I24" s="6" t="s">
        <v>28</v>
      </c>
      <c r="J24" s="6" t="s">
        <v>29</v>
      </c>
      <c r="K24" s="114" t="s">
        <v>144</v>
      </c>
      <c r="N24" s="51" t="s">
        <v>27</v>
      </c>
      <c r="R24" t="s">
        <v>35</v>
      </c>
      <c r="Y24" s="5" t="str">
        <f>$D24</f>
        <v>DIA</v>
      </c>
      <c r="Z24" t="str">
        <f>+E24</f>
        <v>CMg</v>
      </c>
      <c r="AA24" t="s">
        <v>119</v>
      </c>
      <c r="AB24" t="s">
        <v>118</v>
      </c>
      <c r="AD24" s="5"/>
      <c r="AE24" s="92"/>
      <c r="AF24" s="92"/>
      <c r="AG24" s="92"/>
      <c r="AH24" s="92"/>
      <c r="AI24" s="93"/>
      <c r="AJ24" s="93"/>
    </row>
    <row r="25" spans="1:36" ht="15" hidden="1" customHeight="1" x14ac:dyDescent="0.3">
      <c r="A25" s="1">
        <f>YEAR(D25)</f>
        <v>2025</v>
      </c>
      <c r="B25" s="52">
        <f>DATE(A25,MONTH(D25),1)</f>
        <v>45931</v>
      </c>
      <c r="C25" s="1" t="s">
        <v>36</v>
      </c>
      <c r="D25" s="5">
        <v>45931</v>
      </c>
      <c r="E25" s="30">
        <v>24.854148385749735</v>
      </c>
      <c r="F25" s="14">
        <f>+'Mono SPOT MAT'!M25/'Fisico SPOT MAT'!M25/24</f>
        <v>29.684186242730046</v>
      </c>
      <c r="G25" s="13">
        <f>16*R25</f>
        <v>14.4</v>
      </c>
      <c r="H25" s="12">
        <f>+'Mono ASIG'!AA25</f>
        <v>61.946815007197607</v>
      </c>
      <c r="I25" s="12">
        <f>+H25-J25*380/730/0.52</f>
        <v>47.531641139968947</v>
      </c>
      <c r="J25" s="12">
        <f>16*R25</f>
        <v>14.4</v>
      </c>
      <c r="K25" s="115"/>
      <c r="N25" s="107">
        <f>+'Mono SPOT MAT'!S25/'Fisico SPOT MAT'!S25/'Fisico SPOT MAT'!E25</f>
        <v>11.380900024237556</v>
      </c>
      <c r="R25">
        <v>0.9</v>
      </c>
    </row>
    <row r="26" spans="1:36" ht="15" hidden="1" customHeight="1" x14ac:dyDescent="0.3">
      <c r="A26" s="1">
        <f t="shared" ref="A26:A89" si="10">YEAR(D26)</f>
        <v>2025</v>
      </c>
      <c r="B26" s="52">
        <f t="shared" ref="B26:B89" si="11">DATE(A26,MONTH(D26),1)</f>
        <v>45931</v>
      </c>
      <c r="C26" s="1" t="s">
        <v>37</v>
      </c>
      <c r="D26" s="5">
        <f>+ D25+1</f>
        <v>45932</v>
      </c>
      <c r="E26" s="30">
        <v>27.983237261342705</v>
      </c>
      <c r="F26" s="14">
        <f>+'Mono SPOT MAT'!M26/'Fisico SPOT MAT'!M26/24</f>
        <v>30.044257180422367</v>
      </c>
      <c r="G26" s="13">
        <f t="shared" ref="G26:G89" si="12">16*R26</f>
        <v>14.4</v>
      </c>
      <c r="H26" s="12">
        <f>+'Mono ASIG'!AA26</f>
        <v>60.11682897481095</v>
      </c>
      <c r="I26" s="12">
        <f t="shared" ref="I26:I55" si="13">+H26-J26*380/730/0.52</f>
        <v>45.70165510758229</v>
      </c>
      <c r="J26" s="12">
        <f t="shared" ref="J26:J89" si="14">16*R26</f>
        <v>14.4</v>
      </c>
      <c r="K26" s="115"/>
      <c r="N26" s="108">
        <f>+'Mono SPOT MAT'!S26/'Fisico SPOT MAT'!S26/'Fisico SPOT MAT'!E26</f>
        <v>11.407824551566703</v>
      </c>
      <c r="R26">
        <v>0.9</v>
      </c>
    </row>
    <row r="27" spans="1:36" ht="15" hidden="1" customHeight="1" x14ac:dyDescent="0.3">
      <c r="A27" s="1">
        <f t="shared" si="10"/>
        <v>2025</v>
      </c>
      <c r="B27" s="52">
        <f t="shared" si="11"/>
        <v>45931</v>
      </c>
      <c r="C27" s="1" t="s">
        <v>38</v>
      </c>
      <c r="D27" s="5">
        <f t="shared" ref="D27:D90" si="15">+ D26+1</f>
        <v>45933</v>
      </c>
      <c r="E27" s="30">
        <v>27.892877217003228</v>
      </c>
      <c r="F27" s="14">
        <f>+'Mono SPOT MAT'!M27/'Fisico SPOT MAT'!M27/24</f>
        <v>30.691543065727696</v>
      </c>
      <c r="G27" s="13">
        <f t="shared" si="12"/>
        <v>14.4</v>
      </c>
      <c r="H27" s="12">
        <f>+'Mono ASIG'!AA27</f>
        <v>58.648999718734643</v>
      </c>
      <c r="I27" s="12">
        <f t="shared" si="13"/>
        <v>44.233825851505983</v>
      </c>
      <c r="J27" s="12">
        <f t="shared" si="14"/>
        <v>14.4</v>
      </c>
      <c r="K27" s="115"/>
      <c r="N27" s="107">
        <f>+'Mono SPOT MAT'!S27/'Fisico SPOT MAT'!S27/'Fisico SPOT MAT'!E27</f>
        <v>11.413797767926548</v>
      </c>
      <c r="R27">
        <v>0.9</v>
      </c>
    </row>
    <row r="28" spans="1:36" ht="15" hidden="1" customHeight="1" x14ac:dyDescent="0.3">
      <c r="A28" s="1">
        <f t="shared" si="10"/>
        <v>2025</v>
      </c>
      <c r="B28" s="52">
        <f t="shared" si="11"/>
        <v>45931</v>
      </c>
      <c r="C28" s="1" t="s">
        <v>39</v>
      </c>
      <c r="D28" s="5">
        <f t="shared" si="15"/>
        <v>45934</v>
      </c>
      <c r="E28" s="30">
        <v>31.530274075222337</v>
      </c>
      <c r="F28" s="14">
        <f>+'Mono SPOT MAT'!M28/'Fisico SPOT MAT'!M28/24</f>
        <v>32.022818659521157</v>
      </c>
      <c r="G28" s="13">
        <f t="shared" si="12"/>
        <v>14.4</v>
      </c>
      <c r="H28" s="12">
        <f>+'Mono ASIG'!AA28</f>
        <v>61.223919730918311</v>
      </c>
      <c r="I28" s="12">
        <f t="shared" si="13"/>
        <v>46.808745863689651</v>
      </c>
      <c r="J28" s="12">
        <f t="shared" si="14"/>
        <v>14.4</v>
      </c>
      <c r="K28" s="115"/>
      <c r="N28" s="108">
        <f>+'Mono SPOT MAT'!S28/'Fisico SPOT MAT'!S28/'Fisico SPOT MAT'!E28</f>
        <v>11.377525958999565</v>
      </c>
      <c r="R28">
        <v>0.9</v>
      </c>
    </row>
    <row r="29" spans="1:36" ht="15" hidden="1" customHeight="1" x14ac:dyDescent="0.3">
      <c r="A29" s="1">
        <f t="shared" si="10"/>
        <v>2025</v>
      </c>
      <c r="B29" s="52">
        <f t="shared" si="11"/>
        <v>45931</v>
      </c>
      <c r="C29" s="1" t="s">
        <v>40</v>
      </c>
      <c r="D29" s="5">
        <f t="shared" si="15"/>
        <v>45935</v>
      </c>
      <c r="E29" s="30">
        <v>28.785433414675378</v>
      </c>
      <c r="F29" s="14">
        <f>+'Mono SPOT MAT'!M29/'Fisico SPOT MAT'!M29/24</f>
        <v>31.941739408438441</v>
      </c>
      <c r="G29" s="13">
        <f t="shared" si="12"/>
        <v>14.4</v>
      </c>
      <c r="H29" s="12">
        <f>+'Mono ASIG'!AA29</f>
        <v>63.18064623317813</v>
      </c>
      <c r="I29" s="12">
        <f t="shared" si="13"/>
        <v>48.765472365949471</v>
      </c>
      <c r="J29" s="12">
        <f t="shared" si="14"/>
        <v>14.4</v>
      </c>
      <c r="K29" s="115"/>
      <c r="N29" s="107">
        <f>+'Mono SPOT MAT'!S29/'Fisico SPOT MAT'!S29/'Fisico SPOT MAT'!E29</f>
        <v>11.374840398583778</v>
      </c>
      <c r="R29">
        <v>0.9</v>
      </c>
    </row>
    <row r="30" spans="1:36" ht="15" hidden="1" customHeight="1" x14ac:dyDescent="0.3">
      <c r="A30" s="1">
        <f t="shared" si="10"/>
        <v>2025</v>
      </c>
      <c r="B30" s="52">
        <f t="shared" si="11"/>
        <v>45931</v>
      </c>
      <c r="C30" s="1" t="s">
        <v>41</v>
      </c>
      <c r="D30" s="5">
        <f t="shared" si="15"/>
        <v>45936</v>
      </c>
      <c r="E30" s="30">
        <v>31.612931584537872</v>
      </c>
      <c r="F30" s="14">
        <f>+'Mono SPOT MAT'!M30/'Fisico SPOT MAT'!M30/24</f>
        <v>30.996047614657126</v>
      </c>
      <c r="G30" s="13">
        <f t="shared" si="12"/>
        <v>14.4</v>
      </c>
      <c r="H30" s="12">
        <f>+'Mono ASIG'!AA30</f>
        <v>61.080365549655504</v>
      </c>
      <c r="I30" s="12">
        <f t="shared" si="13"/>
        <v>46.665191682426844</v>
      </c>
      <c r="J30" s="12">
        <f t="shared" si="14"/>
        <v>14.4</v>
      </c>
      <c r="K30" s="115"/>
      <c r="N30" s="108">
        <f>+'Mono SPOT MAT'!S30/'Fisico SPOT MAT'!S30/'Fisico SPOT MAT'!E30</f>
        <v>11.380223051790985</v>
      </c>
      <c r="R30">
        <v>0.9</v>
      </c>
    </row>
    <row r="31" spans="1:36" ht="15" hidden="1" customHeight="1" x14ac:dyDescent="0.3">
      <c r="A31" s="1">
        <f t="shared" si="10"/>
        <v>2025</v>
      </c>
      <c r="B31" s="52">
        <f t="shared" si="11"/>
        <v>45931</v>
      </c>
      <c r="C31" s="1" t="s">
        <v>42</v>
      </c>
      <c r="D31" s="5">
        <f t="shared" si="15"/>
        <v>45937</v>
      </c>
      <c r="E31" s="30">
        <v>31.570177912046308</v>
      </c>
      <c r="F31" s="14">
        <f>+'Mono SPOT MAT'!M31/'Fisico SPOT MAT'!M31/24</f>
        <v>30.78496370219278</v>
      </c>
      <c r="G31" s="13">
        <f t="shared" si="12"/>
        <v>14.4</v>
      </c>
      <c r="H31" s="12">
        <f>+'Mono ASIG'!AA31</f>
        <v>63.155935136086178</v>
      </c>
      <c r="I31" s="12">
        <f t="shared" si="13"/>
        <v>48.740761268857518</v>
      </c>
      <c r="J31" s="12">
        <f t="shared" si="14"/>
        <v>14.4</v>
      </c>
      <c r="K31" s="115"/>
      <c r="N31" s="107">
        <f>+'Mono SPOT MAT'!S31/'Fisico SPOT MAT'!S31/'Fisico SPOT MAT'!E31</f>
        <v>11.376156681430603</v>
      </c>
      <c r="R31">
        <v>0.9</v>
      </c>
    </row>
    <row r="32" spans="1:36" ht="15" hidden="1" customHeight="1" x14ac:dyDescent="0.3">
      <c r="A32" s="1">
        <f t="shared" si="10"/>
        <v>2025</v>
      </c>
      <c r="B32" s="52">
        <f t="shared" si="11"/>
        <v>45931</v>
      </c>
      <c r="C32" s="1" t="s">
        <v>36</v>
      </c>
      <c r="D32" s="5">
        <f t="shared" si="15"/>
        <v>45938</v>
      </c>
      <c r="E32" s="30">
        <v>27.968369951281293</v>
      </c>
      <c r="F32" s="14">
        <f>+'Mono SPOT MAT'!M32/'Fisico SPOT MAT'!M32/24</f>
        <v>31.348177263664606</v>
      </c>
      <c r="G32" s="13">
        <f t="shared" si="12"/>
        <v>14.4</v>
      </c>
      <c r="H32" s="12">
        <f>+'Mono ASIG'!AA32</f>
        <v>65.376972881578254</v>
      </c>
      <c r="I32" s="12">
        <f t="shared" si="13"/>
        <v>50.961799014349594</v>
      </c>
      <c r="J32" s="12">
        <f t="shared" si="14"/>
        <v>14.4</v>
      </c>
      <c r="K32" s="115"/>
      <c r="N32" s="108">
        <f>+'Mono SPOT MAT'!S32/'Fisico SPOT MAT'!S32/'Fisico SPOT MAT'!E32</f>
        <v>11.37937460382839</v>
      </c>
      <c r="R32">
        <v>0.9</v>
      </c>
    </row>
    <row r="33" spans="1:18" ht="15" hidden="1" customHeight="1" x14ac:dyDescent="0.3">
      <c r="A33" s="1">
        <f t="shared" si="10"/>
        <v>2025</v>
      </c>
      <c r="B33" s="52">
        <f t="shared" si="11"/>
        <v>45931</v>
      </c>
      <c r="C33" s="1" t="s">
        <v>37</v>
      </c>
      <c r="D33" s="5">
        <f t="shared" si="15"/>
        <v>45939</v>
      </c>
      <c r="E33" s="30">
        <v>29.918786259343875</v>
      </c>
      <c r="F33" s="14">
        <f>+'Mono SPOT MAT'!M33/'Fisico SPOT MAT'!M33/24</f>
        <v>30.859800589690568</v>
      </c>
      <c r="G33" s="13">
        <f t="shared" si="12"/>
        <v>14.4</v>
      </c>
      <c r="H33" s="12">
        <f>+'Mono ASIG'!AA33</f>
        <v>63.346287415681076</v>
      </c>
      <c r="I33" s="12">
        <f t="shared" si="13"/>
        <v>48.931113548452416</v>
      </c>
      <c r="J33" s="12">
        <f t="shared" si="14"/>
        <v>14.4</v>
      </c>
      <c r="K33" s="115"/>
      <c r="N33" s="107">
        <f>+'Mono SPOT MAT'!S33/'Fisico SPOT MAT'!S33/'Fisico SPOT MAT'!E33</f>
        <v>11.375130353606233</v>
      </c>
      <c r="R33">
        <v>0.9</v>
      </c>
    </row>
    <row r="34" spans="1:18" ht="15" hidden="1" customHeight="1" x14ac:dyDescent="0.3">
      <c r="A34" s="1">
        <f t="shared" si="10"/>
        <v>2025</v>
      </c>
      <c r="B34" s="52">
        <f t="shared" si="11"/>
        <v>45931</v>
      </c>
      <c r="C34" s="1" t="s">
        <v>38</v>
      </c>
      <c r="D34" s="5">
        <f t="shared" si="15"/>
        <v>45940</v>
      </c>
      <c r="E34" s="30">
        <v>28.943680688875215</v>
      </c>
      <c r="F34" s="14">
        <f>+'Mono SPOT MAT'!M34/'Fisico SPOT MAT'!M34/24</f>
        <v>31.651831054431028</v>
      </c>
      <c r="G34" s="13">
        <f t="shared" si="12"/>
        <v>14.4</v>
      </c>
      <c r="H34" s="12">
        <f>+'Mono ASIG'!AA34</f>
        <v>63.163796122693476</v>
      </c>
      <c r="I34" s="12">
        <f t="shared" si="13"/>
        <v>48.748622255464817</v>
      </c>
      <c r="J34" s="12">
        <f t="shared" si="14"/>
        <v>14.4</v>
      </c>
      <c r="K34" s="115"/>
      <c r="N34" s="108">
        <f>+'Mono SPOT MAT'!S34/'Fisico SPOT MAT'!S34/'Fisico SPOT MAT'!E34</f>
        <v>11.374467390096161</v>
      </c>
      <c r="R34">
        <v>0.9</v>
      </c>
    </row>
    <row r="35" spans="1:18" ht="15" hidden="1" customHeight="1" x14ac:dyDescent="0.3">
      <c r="A35" s="1">
        <f t="shared" si="10"/>
        <v>2025</v>
      </c>
      <c r="B35" s="52">
        <f t="shared" si="11"/>
        <v>45931</v>
      </c>
      <c r="C35" s="1" t="s">
        <v>39</v>
      </c>
      <c r="D35" s="5">
        <f t="shared" si="15"/>
        <v>45941</v>
      </c>
      <c r="E35" s="30">
        <v>30.423262117544507</v>
      </c>
      <c r="F35" s="14">
        <f>+'Mono SPOT MAT'!M35/'Fisico SPOT MAT'!M35/24</f>
        <v>31.926911737247821</v>
      </c>
      <c r="G35" s="13">
        <f t="shared" si="12"/>
        <v>14.4</v>
      </c>
      <c r="H35" s="12">
        <f>+'Mono ASIG'!AA35</f>
        <v>62.649775550192466</v>
      </c>
      <c r="I35" s="12">
        <f t="shared" si="13"/>
        <v>48.234601682963806</v>
      </c>
      <c r="J35" s="12">
        <f t="shared" si="14"/>
        <v>14.4</v>
      </c>
      <c r="K35" s="115"/>
      <c r="N35" s="107">
        <f>+'Mono SPOT MAT'!S35/'Fisico SPOT MAT'!S35/'Fisico SPOT MAT'!E35</f>
        <v>11.373415123064882</v>
      </c>
      <c r="R35">
        <v>0.9</v>
      </c>
    </row>
    <row r="36" spans="1:18" ht="15" hidden="1" customHeight="1" x14ac:dyDescent="0.3">
      <c r="A36" s="1">
        <f t="shared" si="10"/>
        <v>2025</v>
      </c>
      <c r="B36" s="52">
        <f t="shared" si="11"/>
        <v>45931</v>
      </c>
      <c r="C36" s="1" t="s">
        <v>40</v>
      </c>
      <c r="D36" s="5">
        <f t="shared" si="15"/>
        <v>45942</v>
      </c>
      <c r="E36" s="30">
        <v>19.247503975332247</v>
      </c>
      <c r="F36" s="14">
        <f>+'Mono SPOT MAT'!M36/'Fisico SPOT MAT'!M36/24</f>
        <v>32.592034356444934</v>
      </c>
      <c r="G36" s="13">
        <f t="shared" si="12"/>
        <v>14.4</v>
      </c>
      <c r="H36" s="12">
        <f>+'Mono ASIG'!AA36</f>
        <v>68.841524512823995</v>
      </c>
      <c r="I36" s="12">
        <f t="shared" si="13"/>
        <v>54.426350645595335</v>
      </c>
      <c r="J36" s="12">
        <f t="shared" si="14"/>
        <v>14.4</v>
      </c>
      <c r="K36" s="115"/>
      <c r="N36" s="108">
        <f>+'Mono SPOT MAT'!S36/'Fisico SPOT MAT'!S36/'Fisico SPOT MAT'!E36</f>
        <v>11.366155439485077</v>
      </c>
      <c r="R36">
        <v>0.9</v>
      </c>
    </row>
    <row r="37" spans="1:18" ht="15" hidden="1" customHeight="1" x14ac:dyDescent="0.3">
      <c r="A37" s="1">
        <f t="shared" si="10"/>
        <v>2025</v>
      </c>
      <c r="B37" s="52">
        <f t="shared" si="11"/>
        <v>45931</v>
      </c>
      <c r="C37" s="1" t="s">
        <v>41</v>
      </c>
      <c r="D37" s="5">
        <f t="shared" si="15"/>
        <v>45943</v>
      </c>
      <c r="E37" s="30">
        <v>28.342065629189253</v>
      </c>
      <c r="F37" s="14">
        <f>+'Mono SPOT MAT'!M37/'Fisico SPOT MAT'!M37/24</f>
        <v>31.780015942961128</v>
      </c>
      <c r="G37" s="13">
        <f t="shared" si="12"/>
        <v>14.4</v>
      </c>
      <c r="H37" s="12">
        <f>+'Mono ASIG'!AA37</f>
        <v>61.63375252540277</v>
      </c>
      <c r="I37" s="12">
        <f t="shared" si="13"/>
        <v>47.21857865817411</v>
      </c>
      <c r="J37" s="12">
        <f t="shared" si="14"/>
        <v>14.4</v>
      </c>
      <c r="K37" s="115"/>
      <c r="N37" s="107">
        <f>+'Mono SPOT MAT'!S37/'Fisico SPOT MAT'!S37/'Fisico SPOT MAT'!E37</f>
        <v>11.369995449389315</v>
      </c>
      <c r="R37">
        <v>0.9</v>
      </c>
    </row>
    <row r="38" spans="1:18" ht="15" hidden="1" customHeight="1" x14ac:dyDescent="0.3">
      <c r="A38" s="1">
        <f t="shared" si="10"/>
        <v>2025</v>
      </c>
      <c r="B38" s="52">
        <f t="shared" si="11"/>
        <v>45931</v>
      </c>
      <c r="C38" s="1" t="s">
        <v>42</v>
      </c>
      <c r="D38" s="5">
        <f t="shared" si="15"/>
        <v>45944</v>
      </c>
      <c r="E38" s="30">
        <v>30.942644401701916</v>
      </c>
      <c r="F38" s="14">
        <f>+'Mono SPOT MAT'!M38/'Fisico SPOT MAT'!M38/24</f>
        <v>32.014639166270157</v>
      </c>
      <c r="G38" s="13">
        <f t="shared" si="12"/>
        <v>14.4</v>
      </c>
      <c r="H38" s="12">
        <f>+'Mono ASIG'!AA38</f>
        <v>60.126667355040979</v>
      </c>
      <c r="I38" s="12">
        <f t="shared" si="13"/>
        <v>45.711493487812319</v>
      </c>
      <c r="J38" s="12">
        <f t="shared" si="14"/>
        <v>14.4</v>
      </c>
      <c r="K38" s="115"/>
      <c r="N38" s="108">
        <f>+'Mono SPOT MAT'!S38/'Fisico SPOT MAT'!S38/'Fisico SPOT MAT'!E38</f>
        <v>11.379458942685627</v>
      </c>
      <c r="R38">
        <v>0.9</v>
      </c>
    </row>
    <row r="39" spans="1:18" ht="15" hidden="1" customHeight="1" x14ac:dyDescent="0.3">
      <c r="A39" s="1">
        <f t="shared" si="10"/>
        <v>2025</v>
      </c>
      <c r="B39" s="52">
        <f t="shared" si="11"/>
        <v>45931</v>
      </c>
      <c r="C39" s="1" t="s">
        <v>36</v>
      </c>
      <c r="D39" s="5">
        <f t="shared" si="15"/>
        <v>45945</v>
      </c>
      <c r="E39" s="30">
        <v>25.062145479979019</v>
      </c>
      <c r="F39" s="14">
        <f>+'Mono SPOT MAT'!M39/'Fisico SPOT MAT'!M39/24</f>
        <v>32.275032659748739</v>
      </c>
      <c r="G39" s="13">
        <f t="shared" si="12"/>
        <v>14.4</v>
      </c>
      <c r="H39" s="12">
        <f>+'Mono ASIG'!AA39</f>
        <v>60.412775000870255</v>
      </c>
      <c r="I39" s="12">
        <f t="shared" si="13"/>
        <v>45.997601133641595</v>
      </c>
      <c r="J39" s="12">
        <f t="shared" si="14"/>
        <v>14.4</v>
      </c>
      <c r="K39" s="115"/>
      <c r="N39" s="107">
        <f>+'Mono SPOT MAT'!S39/'Fisico SPOT MAT'!S39/'Fisico SPOT MAT'!E39</f>
        <v>11.365837956757305</v>
      </c>
      <c r="R39">
        <v>0.9</v>
      </c>
    </row>
    <row r="40" spans="1:18" ht="15" hidden="1" customHeight="1" x14ac:dyDescent="0.3">
      <c r="A40" s="1">
        <f t="shared" si="10"/>
        <v>2025</v>
      </c>
      <c r="B40" s="52">
        <f t="shared" si="11"/>
        <v>45931</v>
      </c>
      <c r="C40" s="1" t="s">
        <v>37</v>
      </c>
      <c r="D40" s="5">
        <f t="shared" si="15"/>
        <v>45946</v>
      </c>
      <c r="E40" s="30">
        <v>30.268996910881864</v>
      </c>
      <c r="F40" s="14">
        <f>+'Mono SPOT MAT'!M40/'Fisico SPOT MAT'!M40/24</f>
        <v>31.972206739151943</v>
      </c>
      <c r="G40" s="13">
        <f t="shared" si="12"/>
        <v>14.4</v>
      </c>
      <c r="H40" s="12">
        <f>+'Mono ASIG'!AA40</f>
        <v>57.279802281149898</v>
      </c>
      <c r="I40" s="12">
        <f t="shared" si="13"/>
        <v>42.864628413921238</v>
      </c>
      <c r="J40" s="12">
        <f t="shared" si="14"/>
        <v>14.4</v>
      </c>
      <c r="K40" s="115"/>
      <c r="N40" s="108">
        <f>+'Mono SPOT MAT'!S40/'Fisico SPOT MAT'!S40/'Fisico SPOT MAT'!E40</f>
        <v>11.368646187292921</v>
      </c>
      <c r="R40">
        <v>0.9</v>
      </c>
    </row>
    <row r="41" spans="1:18" ht="15" hidden="1" customHeight="1" x14ac:dyDescent="0.3">
      <c r="A41" s="1">
        <f t="shared" si="10"/>
        <v>2025</v>
      </c>
      <c r="B41" s="52">
        <f t="shared" si="11"/>
        <v>45931</v>
      </c>
      <c r="C41" s="1" t="s">
        <v>38</v>
      </c>
      <c r="D41" s="5">
        <f t="shared" si="15"/>
        <v>45947</v>
      </c>
      <c r="E41" s="30">
        <v>29.503057644110282</v>
      </c>
      <c r="F41" s="14">
        <f>+'Mono SPOT MAT'!M41/'Fisico SPOT MAT'!M41/24</f>
        <v>31.608974027235707</v>
      </c>
      <c r="G41" s="13">
        <f t="shared" si="12"/>
        <v>14.4</v>
      </c>
      <c r="H41" s="12">
        <f>+'Mono ASIG'!AA41</f>
        <v>57.831011633524561</v>
      </c>
      <c r="I41" s="12">
        <f t="shared" si="13"/>
        <v>43.415837766295901</v>
      </c>
      <c r="J41" s="12">
        <f t="shared" si="14"/>
        <v>14.4</v>
      </c>
      <c r="K41" s="115"/>
      <c r="N41" s="107">
        <f>+'Mono SPOT MAT'!S41/'Fisico SPOT MAT'!S41/'Fisico SPOT MAT'!E41</f>
        <v>11.369815537278525</v>
      </c>
      <c r="R41">
        <v>0.9</v>
      </c>
    </row>
    <row r="42" spans="1:18" ht="15" hidden="1" customHeight="1" x14ac:dyDescent="0.3">
      <c r="A42" s="1">
        <f t="shared" si="10"/>
        <v>2025</v>
      </c>
      <c r="B42" s="52">
        <f t="shared" si="11"/>
        <v>45931</v>
      </c>
      <c r="C42" s="1" t="s">
        <v>39</v>
      </c>
      <c r="D42" s="5">
        <f t="shared" si="15"/>
        <v>45948</v>
      </c>
      <c r="E42" s="30">
        <v>15.961585941598182</v>
      </c>
      <c r="F42" s="14">
        <f>+'Mono SPOT MAT'!M42/'Fisico SPOT MAT'!M42/24</f>
        <v>32.256299462561032</v>
      </c>
      <c r="G42" s="13">
        <f t="shared" si="12"/>
        <v>14.4</v>
      </c>
      <c r="H42" s="12">
        <f>+'Mono ASIG'!AA42</f>
        <v>62.391547245303933</v>
      </c>
      <c r="I42" s="12">
        <f t="shared" si="13"/>
        <v>47.976373378075273</v>
      </c>
      <c r="J42" s="12">
        <f t="shared" si="14"/>
        <v>14.4</v>
      </c>
      <c r="K42" s="115"/>
      <c r="N42" s="108">
        <f>+'Mono SPOT MAT'!S42/'Fisico SPOT MAT'!S42/'Fisico SPOT MAT'!E42</f>
        <v>11.374473818698705</v>
      </c>
      <c r="R42">
        <v>0.9</v>
      </c>
    </row>
    <row r="43" spans="1:18" ht="15" hidden="1" customHeight="1" x14ac:dyDescent="0.3">
      <c r="A43" s="1">
        <f t="shared" si="10"/>
        <v>2025</v>
      </c>
      <c r="B43" s="52">
        <f t="shared" si="11"/>
        <v>45931</v>
      </c>
      <c r="C43" s="1" t="s">
        <v>40</v>
      </c>
      <c r="D43" s="5">
        <f t="shared" si="15"/>
        <v>45949</v>
      </c>
      <c r="E43" s="30">
        <v>6.214335548172758</v>
      </c>
      <c r="F43" s="14">
        <f>+'Mono SPOT MAT'!M43/'Fisico SPOT MAT'!M43/24</f>
        <v>32.668207612296108</v>
      </c>
      <c r="G43" s="13">
        <f t="shared" si="12"/>
        <v>14.4</v>
      </c>
      <c r="H43" s="12">
        <f>+'Mono ASIG'!AA43</f>
        <v>68.164926644733967</v>
      </c>
      <c r="I43" s="12">
        <f t="shared" si="13"/>
        <v>53.749752777505307</v>
      </c>
      <c r="J43" s="12">
        <f t="shared" si="14"/>
        <v>14.4</v>
      </c>
      <c r="K43" s="115"/>
      <c r="N43" s="107">
        <f>+'Mono SPOT MAT'!S43/'Fisico SPOT MAT'!S43/'Fisico SPOT MAT'!E43</f>
        <v>11.374590247865601</v>
      </c>
      <c r="R43">
        <v>0.9</v>
      </c>
    </row>
    <row r="44" spans="1:18" ht="15" hidden="1" customHeight="1" x14ac:dyDescent="0.3">
      <c r="A44" s="1">
        <f t="shared" si="10"/>
        <v>2025</v>
      </c>
      <c r="B44" s="52">
        <f t="shared" si="11"/>
        <v>45931</v>
      </c>
      <c r="C44" s="1" t="s">
        <v>41</v>
      </c>
      <c r="D44" s="5">
        <f t="shared" si="15"/>
        <v>45950</v>
      </c>
      <c r="E44" s="30">
        <v>21.606415748674006</v>
      </c>
      <c r="F44" s="14">
        <f>+'Mono SPOT MAT'!M44/'Fisico SPOT MAT'!M44/24</f>
        <v>31.505143050688911</v>
      </c>
      <c r="G44" s="13">
        <f t="shared" si="12"/>
        <v>14.4</v>
      </c>
      <c r="H44" s="12">
        <f>+'Mono ASIG'!AA44</f>
        <v>64.827626995413297</v>
      </c>
      <c r="I44" s="12">
        <f t="shared" si="13"/>
        <v>50.412453128184637</v>
      </c>
      <c r="J44" s="12">
        <f t="shared" si="14"/>
        <v>14.4</v>
      </c>
      <c r="K44" s="115"/>
      <c r="N44" s="108">
        <f>+'Mono SPOT MAT'!S44/'Fisico SPOT MAT'!S44/'Fisico SPOT MAT'!E44</f>
        <v>11.373912973160786</v>
      </c>
      <c r="R44">
        <v>0.9</v>
      </c>
    </row>
    <row r="45" spans="1:18" ht="15" hidden="1" customHeight="1" x14ac:dyDescent="0.3">
      <c r="A45" s="1">
        <f t="shared" si="10"/>
        <v>2025</v>
      </c>
      <c r="B45" s="52">
        <f t="shared" si="11"/>
        <v>45931</v>
      </c>
      <c r="C45" s="1" t="s">
        <v>42</v>
      </c>
      <c r="D45" s="5">
        <f t="shared" si="15"/>
        <v>45951</v>
      </c>
      <c r="E45" s="30">
        <v>22.381515999300575</v>
      </c>
      <c r="F45" s="14">
        <f>+'Mono SPOT MAT'!M45/'Fisico SPOT MAT'!M45/24</f>
        <v>31.860349516526341</v>
      </c>
      <c r="G45" s="13">
        <f t="shared" si="12"/>
        <v>14.4</v>
      </c>
      <c r="H45" s="12">
        <f>+'Mono ASIG'!AA45</f>
        <v>58.217225422960439</v>
      </c>
      <c r="I45" s="12">
        <f t="shared" si="13"/>
        <v>43.802051555731779</v>
      </c>
      <c r="J45" s="12">
        <f t="shared" si="14"/>
        <v>14.4</v>
      </c>
      <c r="K45" s="115"/>
      <c r="N45" s="107">
        <f>+'Mono SPOT MAT'!S45/'Fisico SPOT MAT'!S45/'Fisico SPOT MAT'!E45</f>
        <v>11.343084440294289</v>
      </c>
      <c r="R45">
        <v>0.9</v>
      </c>
    </row>
    <row r="46" spans="1:18" ht="15" hidden="1" customHeight="1" x14ac:dyDescent="0.3">
      <c r="A46" s="1">
        <f t="shared" si="10"/>
        <v>2025</v>
      </c>
      <c r="B46" s="52">
        <f t="shared" si="11"/>
        <v>45931</v>
      </c>
      <c r="C46" s="1" t="s">
        <v>36</v>
      </c>
      <c r="D46" s="5">
        <f t="shared" si="15"/>
        <v>45952</v>
      </c>
      <c r="E46" s="30">
        <v>26.851387480328725</v>
      </c>
      <c r="F46" s="14">
        <f>+'Mono SPOT MAT'!M46/'Fisico SPOT MAT'!M46/24</f>
        <v>31.445659328292649</v>
      </c>
      <c r="G46" s="13">
        <f t="shared" si="12"/>
        <v>14.4</v>
      </c>
      <c r="H46" s="12">
        <f>+'Mono ASIG'!AA46</f>
        <v>58.885816718928595</v>
      </c>
      <c r="I46" s="12">
        <f t="shared" si="13"/>
        <v>44.470642851699935</v>
      </c>
      <c r="J46" s="12">
        <f t="shared" si="14"/>
        <v>14.4</v>
      </c>
      <c r="K46" s="115"/>
      <c r="N46" s="108">
        <f>+'Mono SPOT MAT'!S46/'Fisico SPOT MAT'!S46/'Fisico SPOT MAT'!E46</f>
        <v>11.340781393121297</v>
      </c>
      <c r="R46">
        <v>0.9</v>
      </c>
    </row>
    <row r="47" spans="1:18" ht="15" hidden="1" customHeight="1" x14ac:dyDescent="0.3">
      <c r="A47" s="1">
        <f t="shared" si="10"/>
        <v>2025</v>
      </c>
      <c r="B47" s="52">
        <f t="shared" si="11"/>
        <v>45931</v>
      </c>
      <c r="C47" s="1" t="s">
        <v>37</v>
      </c>
      <c r="D47" s="5">
        <f t="shared" si="15"/>
        <v>45953</v>
      </c>
      <c r="E47" s="30">
        <v>34.255806667832367</v>
      </c>
      <c r="F47" s="14">
        <f>+'Mono SPOT MAT'!M47/'Fisico SPOT MAT'!M47/24</f>
        <v>32.400185425728772</v>
      </c>
      <c r="G47" s="13">
        <f t="shared" si="12"/>
        <v>14.4</v>
      </c>
      <c r="H47" s="12">
        <f>+'Mono ASIG'!AA47</f>
        <v>54.055885370097883</v>
      </c>
      <c r="I47" s="12">
        <f t="shared" si="13"/>
        <v>39.640711502869223</v>
      </c>
      <c r="J47" s="12">
        <f t="shared" si="14"/>
        <v>14.4</v>
      </c>
      <c r="K47" s="115"/>
      <c r="N47" s="107">
        <f>+'Mono SPOT MAT'!S47/'Fisico SPOT MAT'!S47/'Fisico SPOT MAT'!E47</f>
        <v>11.350236545039987</v>
      </c>
      <c r="R47">
        <v>0.9</v>
      </c>
    </row>
    <row r="48" spans="1:18" ht="15" hidden="1" customHeight="1" x14ac:dyDescent="0.3">
      <c r="A48" s="1">
        <f t="shared" si="10"/>
        <v>2025</v>
      </c>
      <c r="B48" s="52">
        <f t="shared" si="11"/>
        <v>45931</v>
      </c>
      <c r="C48" s="1" t="s">
        <v>38</v>
      </c>
      <c r="D48" s="5">
        <f t="shared" si="15"/>
        <v>45954</v>
      </c>
      <c r="E48" s="30">
        <v>33.548430378271256</v>
      </c>
      <c r="F48" s="14">
        <f>+'Mono SPOT MAT'!M48/'Fisico SPOT MAT'!M48/24</f>
        <v>31.842554918194352</v>
      </c>
      <c r="G48" s="13">
        <f t="shared" si="12"/>
        <v>14.4</v>
      </c>
      <c r="H48" s="12">
        <f>+'Mono ASIG'!AA48</f>
        <v>57.845083978210084</v>
      </c>
      <c r="I48" s="12">
        <f t="shared" si="13"/>
        <v>43.429910110981425</v>
      </c>
      <c r="J48" s="12">
        <f t="shared" si="14"/>
        <v>14.4</v>
      </c>
      <c r="K48" s="115"/>
      <c r="N48" s="108">
        <f>+'Mono SPOT MAT'!S48/'Fisico SPOT MAT'!S48/'Fisico SPOT MAT'!E48</f>
        <v>11.321580826512788</v>
      </c>
      <c r="R48">
        <v>0.9</v>
      </c>
    </row>
    <row r="49" spans="1:18" ht="15" hidden="1" customHeight="1" x14ac:dyDescent="0.3">
      <c r="A49" s="1">
        <f t="shared" si="10"/>
        <v>2025</v>
      </c>
      <c r="B49" s="52">
        <f t="shared" si="11"/>
        <v>45931</v>
      </c>
      <c r="C49" s="1" t="s">
        <v>39</v>
      </c>
      <c r="D49" s="5">
        <f t="shared" si="15"/>
        <v>45955</v>
      </c>
      <c r="E49" s="30">
        <v>27.24482601853471</v>
      </c>
      <c r="F49" s="14">
        <f>+'Mono SPOT MAT'!M49/'Fisico SPOT MAT'!M49/24</f>
        <v>31.518444832332275</v>
      </c>
      <c r="G49" s="13">
        <f t="shared" si="12"/>
        <v>14.4</v>
      </c>
      <c r="H49" s="12">
        <f>+'Mono ASIG'!AA49</f>
        <v>62.94978720305901</v>
      </c>
      <c r="I49" s="12">
        <f t="shared" si="13"/>
        <v>48.53461333583035</v>
      </c>
      <c r="J49" s="12">
        <f t="shared" si="14"/>
        <v>14.4</v>
      </c>
      <c r="K49" s="115"/>
      <c r="N49" s="107">
        <f>+'Mono SPOT MAT'!S49/'Fisico SPOT MAT'!S49/'Fisico SPOT MAT'!E49</f>
        <v>11.337768399840039</v>
      </c>
      <c r="R49">
        <v>0.9</v>
      </c>
    </row>
    <row r="50" spans="1:18" ht="15" hidden="1" customHeight="1" x14ac:dyDescent="0.3">
      <c r="A50" s="1">
        <f t="shared" si="10"/>
        <v>2025</v>
      </c>
      <c r="B50" s="52">
        <f t="shared" si="11"/>
        <v>45931</v>
      </c>
      <c r="C50" s="1" t="s">
        <v>40</v>
      </c>
      <c r="D50" s="5">
        <f t="shared" si="15"/>
        <v>45956</v>
      </c>
      <c r="E50" s="30">
        <v>21.315767616716212</v>
      </c>
      <c r="F50" s="14">
        <f>+'Mono SPOT MAT'!M50/'Fisico SPOT MAT'!M50/24</f>
        <v>31.639494121595231</v>
      </c>
      <c r="G50" s="13">
        <f t="shared" si="12"/>
        <v>14.4</v>
      </c>
      <c r="H50" s="12">
        <f>+'Mono ASIG'!AA50</f>
        <v>65.831438332607704</v>
      </c>
      <c r="I50" s="12">
        <f t="shared" si="13"/>
        <v>51.416264465379044</v>
      </c>
      <c r="J50" s="12">
        <f t="shared" si="14"/>
        <v>14.4</v>
      </c>
      <c r="K50" s="115"/>
      <c r="N50" s="108">
        <f>+'Mono SPOT MAT'!S50/'Fisico SPOT MAT'!S50/'Fisico SPOT MAT'!E50</f>
        <v>11.343646534165284</v>
      </c>
      <c r="R50">
        <v>0.9</v>
      </c>
    </row>
    <row r="51" spans="1:18" ht="15" hidden="1" customHeight="1" x14ac:dyDescent="0.3">
      <c r="A51" s="1">
        <f t="shared" si="10"/>
        <v>2025</v>
      </c>
      <c r="B51" s="52">
        <f t="shared" si="11"/>
        <v>45931</v>
      </c>
      <c r="C51" s="1" t="s">
        <v>41</v>
      </c>
      <c r="D51" s="5">
        <f t="shared" si="15"/>
        <v>45957</v>
      </c>
      <c r="E51" s="30">
        <v>31.03281255464243</v>
      </c>
      <c r="F51" s="14">
        <f>+'Mono SPOT MAT'!M51/'Fisico SPOT MAT'!M51/24</f>
        <v>33.189353298576634</v>
      </c>
      <c r="G51" s="13">
        <f t="shared" si="12"/>
        <v>14.4</v>
      </c>
      <c r="H51" s="12">
        <f>+'Mono ASIG'!AA51</f>
        <v>56.551067948936769</v>
      </c>
      <c r="I51" s="12">
        <f t="shared" si="13"/>
        <v>42.135894081708109</v>
      </c>
      <c r="J51" s="12">
        <f t="shared" si="14"/>
        <v>14.4</v>
      </c>
      <c r="K51" s="115"/>
      <c r="N51" s="107">
        <f>+'Mono SPOT MAT'!S51/'Fisico SPOT MAT'!S51/'Fisico SPOT MAT'!E51</f>
        <v>11.354265750181321</v>
      </c>
      <c r="R51">
        <v>0.9</v>
      </c>
    </row>
    <row r="52" spans="1:18" ht="15" hidden="1" customHeight="1" x14ac:dyDescent="0.3">
      <c r="A52" s="1">
        <f t="shared" si="10"/>
        <v>2025</v>
      </c>
      <c r="B52" s="52">
        <f t="shared" si="11"/>
        <v>45931</v>
      </c>
      <c r="C52" s="1" t="s">
        <v>42</v>
      </c>
      <c r="D52" s="5">
        <f t="shared" si="15"/>
        <v>45958</v>
      </c>
      <c r="E52" s="30">
        <v>31.052292358803985</v>
      </c>
      <c r="F52" s="14">
        <f>+'Mono SPOT MAT'!M52/'Fisico SPOT MAT'!M52/24</f>
        <v>32.695901755256834</v>
      </c>
      <c r="G52" s="13">
        <f t="shared" si="12"/>
        <v>14.4</v>
      </c>
      <c r="H52" s="12">
        <f>+'Mono ASIG'!AA52</f>
        <v>54.824979708345857</v>
      </c>
      <c r="I52" s="12">
        <f t="shared" si="13"/>
        <v>40.409805841117198</v>
      </c>
      <c r="J52" s="12">
        <f t="shared" si="14"/>
        <v>14.4</v>
      </c>
      <c r="K52" s="115"/>
      <c r="N52" s="108">
        <f>+'Mono SPOT MAT'!S52/'Fisico SPOT MAT'!S52/'Fisico SPOT MAT'!E52</f>
        <v>11.366563019978553</v>
      </c>
      <c r="R52">
        <v>0.9</v>
      </c>
    </row>
    <row r="53" spans="1:18" ht="15" hidden="1" customHeight="1" x14ac:dyDescent="0.3">
      <c r="A53" s="1">
        <f t="shared" si="10"/>
        <v>2025</v>
      </c>
      <c r="B53" s="52">
        <f t="shared" si="11"/>
        <v>45931</v>
      </c>
      <c r="C53" s="1" t="s">
        <v>36</v>
      </c>
      <c r="D53" s="5">
        <f t="shared" si="15"/>
        <v>45959</v>
      </c>
      <c r="E53" s="30">
        <v>29.821598472926496</v>
      </c>
      <c r="F53" s="14">
        <f>+'Mono SPOT MAT'!M53/'Fisico SPOT MAT'!M53/24</f>
        <v>31.12090547934875</v>
      </c>
      <c r="G53" s="13">
        <f t="shared" si="12"/>
        <v>14.4</v>
      </c>
      <c r="H53" s="12">
        <f>+'Mono ASIG'!AA53</f>
        <v>55.727327783341565</v>
      </c>
      <c r="I53" s="12">
        <f t="shared" si="13"/>
        <v>41.312153916112905</v>
      </c>
      <c r="J53" s="12">
        <f t="shared" si="14"/>
        <v>14.4</v>
      </c>
      <c r="K53" s="115"/>
      <c r="N53" s="107">
        <f>+'Mono SPOT MAT'!S53/'Fisico SPOT MAT'!S53/'Fisico SPOT MAT'!E53</f>
        <v>11.388939500871068</v>
      </c>
      <c r="R53">
        <v>0.9</v>
      </c>
    </row>
    <row r="54" spans="1:18" ht="15" hidden="1" customHeight="1" x14ac:dyDescent="0.3">
      <c r="A54" s="1">
        <f t="shared" si="10"/>
        <v>2025</v>
      </c>
      <c r="B54" s="52">
        <f t="shared" si="11"/>
        <v>45931</v>
      </c>
      <c r="C54" s="1" t="s">
        <v>37</v>
      </c>
      <c r="D54" s="5">
        <f t="shared" si="15"/>
        <v>45960</v>
      </c>
      <c r="E54" s="30">
        <v>23.323789415398959</v>
      </c>
      <c r="F54" s="14">
        <f>+'Mono SPOT MAT'!M54/'Fisico SPOT MAT'!M54/24</f>
        <v>31.862766842523371</v>
      </c>
      <c r="G54" s="13">
        <f t="shared" si="12"/>
        <v>14.4</v>
      </c>
      <c r="H54" s="12">
        <f>+'Mono ASIG'!AA54</f>
        <v>60.772118648473885</v>
      </c>
      <c r="I54" s="12">
        <f t="shared" si="13"/>
        <v>46.356944781245225</v>
      </c>
      <c r="J54" s="12">
        <f t="shared" si="14"/>
        <v>14.4</v>
      </c>
      <c r="K54" s="115"/>
      <c r="N54" s="108">
        <f>+'Mono SPOT MAT'!S54/'Fisico SPOT MAT'!S54/'Fisico SPOT MAT'!E54</f>
        <v>11.385882230804377</v>
      </c>
      <c r="R54">
        <v>0.9</v>
      </c>
    </row>
    <row r="55" spans="1:18" ht="15" hidden="1" customHeight="1" x14ac:dyDescent="0.3">
      <c r="A55" s="1">
        <f t="shared" si="10"/>
        <v>2025</v>
      </c>
      <c r="B55" s="52">
        <f t="shared" si="11"/>
        <v>45931</v>
      </c>
      <c r="C55" s="1" t="s">
        <v>38</v>
      </c>
      <c r="D55" s="5">
        <f t="shared" si="15"/>
        <v>45961</v>
      </c>
      <c r="E55" s="30">
        <v>24.52913796118203</v>
      </c>
      <c r="F55" s="14">
        <f>+'Mono SPOT MAT'!M55/'Fisico SPOT MAT'!M55/24</f>
        <v>32.010296899123297</v>
      </c>
      <c r="G55" s="13">
        <f t="shared" si="12"/>
        <v>14.4</v>
      </c>
      <c r="H55" s="12">
        <f>+'Mono ASIG'!AA55</f>
        <v>62.294662321836363</v>
      </c>
      <c r="I55" s="12">
        <f t="shared" si="13"/>
        <v>47.879488454607703</v>
      </c>
      <c r="J55" s="12">
        <f t="shared" si="14"/>
        <v>14.4</v>
      </c>
      <c r="K55" s="115"/>
      <c r="N55" s="107">
        <f>+'Mono SPOT MAT'!S55/'Fisico SPOT MAT'!S55/'Fisico SPOT MAT'!E55</f>
        <v>11.388271938453045</v>
      </c>
      <c r="R55">
        <v>0.9</v>
      </c>
    </row>
    <row r="56" spans="1:18" ht="15" hidden="1" customHeight="1" x14ac:dyDescent="0.3">
      <c r="A56" s="1">
        <f t="shared" si="10"/>
        <v>2025</v>
      </c>
      <c r="B56" s="52">
        <f t="shared" si="11"/>
        <v>45962</v>
      </c>
      <c r="C56" s="1" t="s">
        <v>43</v>
      </c>
      <c r="D56" s="5">
        <f t="shared" si="15"/>
        <v>45962</v>
      </c>
      <c r="E56" s="30">
        <v>27.458570262866459</v>
      </c>
      <c r="F56" s="14">
        <f>+'Mono SPOT MAT'!M56/'Fisico SPOT MAT'!M56/24</f>
        <v>35.371961419275259</v>
      </c>
      <c r="G56" s="13">
        <f t="shared" si="12"/>
        <v>14.4</v>
      </c>
      <c r="H56" s="12">
        <f>+'Mono ASIG'!AA56</f>
        <v>64.545112033536569</v>
      </c>
      <c r="I56" s="12">
        <f>+H56-J56*380/730/0.52</f>
        <v>50.129938166307909</v>
      </c>
      <c r="J56" s="12">
        <f t="shared" si="14"/>
        <v>14.4</v>
      </c>
      <c r="K56" s="115"/>
      <c r="L56" s="86"/>
      <c r="M56" s="86"/>
      <c r="N56" s="108">
        <f>+'Mono SPOT MAT'!S56/'Fisico SPOT MAT'!S56/'Fisico SPOT MAT'!E56</f>
        <v>11.537654625421732</v>
      </c>
      <c r="O56" s="86"/>
      <c r="R56">
        <v>0.9</v>
      </c>
    </row>
    <row r="57" spans="1:18" ht="15" hidden="1" customHeight="1" x14ac:dyDescent="0.3">
      <c r="A57" s="1">
        <f t="shared" si="10"/>
        <v>2025</v>
      </c>
      <c r="B57" s="52">
        <f t="shared" si="11"/>
        <v>45962</v>
      </c>
      <c r="C57" s="1" t="s">
        <v>44</v>
      </c>
      <c r="D57" s="5">
        <f t="shared" si="15"/>
        <v>45963</v>
      </c>
      <c r="E57" s="30">
        <v>28.907395232266708</v>
      </c>
      <c r="F57" s="14">
        <f>+'Mono SPOT MAT'!M57/'Fisico SPOT MAT'!M57/24</f>
        <v>36.141391732584516</v>
      </c>
      <c r="G57" s="13">
        <f t="shared" si="12"/>
        <v>14.4</v>
      </c>
      <c r="H57" s="12">
        <f>+'Mono ASIG'!AA57</f>
        <v>66.526824204129099</v>
      </c>
      <c r="I57" s="12">
        <f t="shared" ref="I57:I85" si="16">+H57-J57*380/730/0.52</f>
        <v>52.111650336900439</v>
      </c>
      <c r="J57" s="12">
        <f t="shared" si="14"/>
        <v>14.4</v>
      </c>
      <c r="K57" s="115"/>
      <c r="L57" s="86"/>
      <c r="M57" s="86"/>
      <c r="N57" s="107">
        <f>+'Mono SPOT MAT'!S57/'Fisico SPOT MAT'!S57/'Fisico SPOT MAT'!E57</f>
        <v>11.539048018147261</v>
      </c>
      <c r="O57" s="86"/>
      <c r="R57">
        <v>0.9</v>
      </c>
    </row>
    <row r="58" spans="1:18" ht="15" hidden="1" customHeight="1" x14ac:dyDescent="0.3">
      <c r="A58" s="1">
        <f t="shared" si="10"/>
        <v>2025</v>
      </c>
      <c r="B58" s="52">
        <f t="shared" si="11"/>
        <v>45962</v>
      </c>
      <c r="C58" s="1" t="s">
        <v>45</v>
      </c>
      <c r="D58" s="5">
        <f t="shared" si="15"/>
        <v>45964</v>
      </c>
      <c r="E58" s="30">
        <v>34.306080862567896</v>
      </c>
      <c r="F58" s="14">
        <f>+'Mono SPOT MAT'!M58/'Fisico SPOT MAT'!M58/24</f>
        <v>36.602821448594405</v>
      </c>
      <c r="G58" s="13">
        <f t="shared" si="12"/>
        <v>14.4</v>
      </c>
      <c r="H58" s="12">
        <f>+'Mono ASIG'!AA58</f>
        <v>55.358458451347367</v>
      </c>
      <c r="I58" s="12">
        <f t="shared" si="16"/>
        <v>40.943284584118707</v>
      </c>
      <c r="J58" s="12">
        <f t="shared" si="14"/>
        <v>14.4</v>
      </c>
      <c r="K58" s="115"/>
      <c r="L58" s="86"/>
      <c r="M58" s="86"/>
      <c r="N58" s="108">
        <f>+'Mono SPOT MAT'!S58/'Fisico SPOT MAT'!S58/'Fisico SPOT MAT'!E58</f>
        <v>11.540235112459357</v>
      </c>
      <c r="O58" s="86"/>
      <c r="R58">
        <v>0.9</v>
      </c>
    </row>
    <row r="59" spans="1:18" ht="15" hidden="1" customHeight="1" x14ac:dyDescent="0.3">
      <c r="A59" s="1">
        <f t="shared" si="10"/>
        <v>2025</v>
      </c>
      <c r="B59" s="52">
        <f t="shared" si="11"/>
        <v>45962</v>
      </c>
      <c r="C59" s="1" t="s">
        <v>46</v>
      </c>
      <c r="D59" s="5">
        <f t="shared" si="15"/>
        <v>45965</v>
      </c>
      <c r="E59" s="30">
        <v>37.283947543104254</v>
      </c>
      <c r="F59" s="14">
        <f>+'Mono SPOT MAT'!M59/'Fisico SPOT MAT'!M59/24</f>
        <v>37.719444702077674</v>
      </c>
      <c r="G59" s="13">
        <f t="shared" si="12"/>
        <v>14.4</v>
      </c>
      <c r="H59" s="12">
        <f>+'Mono ASIG'!AA59</f>
        <v>56.658081008104176</v>
      </c>
      <c r="I59" s="12">
        <f t="shared" si="16"/>
        <v>42.242907140875516</v>
      </c>
      <c r="J59" s="12">
        <f t="shared" si="14"/>
        <v>14.4</v>
      </c>
      <c r="K59" s="115"/>
      <c r="L59" s="86"/>
      <c r="M59" s="86"/>
      <c r="N59" s="107">
        <f>+'Mono SPOT MAT'!S59/'Fisico SPOT MAT'!S59/'Fisico SPOT MAT'!E59</f>
        <v>11.535087204747166</v>
      </c>
      <c r="O59" s="86"/>
      <c r="R59">
        <v>0.9</v>
      </c>
    </row>
    <row r="60" spans="1:18" ht="15" hidden="1" customHeight="1" x14ac:dyDescent="0.3">
      <c r="A60" s="1">
        <f t="shared" si="10"/>
        <v>2025</v>
      </c>
      <c r="B60" s="52">
        <f t="shared" si="11"/>
        <v>45962</v>
      </c>
      <c r="C60" s="1" t="s">
        <v>47</v>
      </c>
      <c r="D60" s="5">
        <f t="shared" si="15"/>
        <v>45966</v>
      </c>
      <c r="E60" s="30">
        <v>31.682310579560468</v>
      </c>
      <c r="F60" s="14">
        <f>+'Mono SPOT MAT'!M60/'Fisico SPOT MAT'!M60/24</f>
        <v>36.314061929363696</v>
      </c>
      <c r="G60" s="13">
        <f t="shared" si="12"/>
        <v>14.4</v>
      </c>
      <c r="H60" s="12">
        <f>+'Mono ASIG'!AA60</f>
        <v>59.008242794356924</v>
      </c>
      <c r="I60" s="12">
        <f t="shared" si="16"/>
        <v>44.593068927128265</v>
      </c>
      <c r="J60" s="12">
        <f t="shared" si="14"/>
        <v>14.4</v>
      </c>
      <c r="K60" s="115"/>
      <c r="L60" s="86"/>
      <c r="M60" s="86"/>
      <c r="N60" s="108">
        <f>+'Mono SPOT MAT'!S60/'Fisico SPOT MAT'!S60/'Fisico SPOT MAT'!E60</f>
        <v>11.558313239126381</v>
      </c>
      <c r="O60" s="86"/>
      <c r="R60">
        <v>0.9</v>
      </c>
    </row>
    <row r="61" spans="1:18" ht="15" hidden="1" customHeight="1" x14ac:dyDescent="0.3">
      <c r="A61" s="1">
        <f t="shared" si="10"/>
        <v>2025</v>
      </c>
      <c r="B61" s="52">
        <f t="shared" si="11"/>
        <v>45962</v>
      </c>
      <c r="C61" s="1" t="s">
        <v>48</v>
      </c>
      <c r="D61" s="5">
        <f t="shared" si="15"/>
        <v>45967</v>
      </c>
      <c r="E61" s="30">
        <v>30.806295366865793</v>
      </c>
      <c r="F61" s="14">
        <f>+'Mono SPOT MAT'!M61/'Fisico SPOT MAT'!M61/24</f>
        <v>35.438549943514147</v>
      </c>
      <c r="G61" s="13">
        <f t="shared" si="12"/>
        <v>14.4</v>
      </c>
      <c r="H61" s="12">
        <f>+'Mono ASIG'!AA61</f>
        <v>60.176227505955246</v>
      </c>
      <c r="I61" s="12">
        <f t="shared" si="16"/>
        <v>45.761053638726587</v>
      </c>
      <c r="J61" s="12">
        <f t="shared" si="14"/>
        <v>14.4</v>
      </c>
      <c r="K61" s="115"/>
      <c r="L61" s="86"/>
      <c r="M61" s="86"/>
      <c r="N61" s="107">
        <f>+'Mono SPOT MAT'!S61/'Fisico SPOT MAT'!S61/'Fisico SPOT MAT'!E61</f>
        <v>11.569716114066978</v>
      </c>
      <c r="O61" s="86"/>
      <c r="R61">
        <v>0.9</v>
      </c>
    </row>
    <row r="62" spans="1:18" ht="15" hidden="1" customHeight="1" x14ac:dyDescent="0.3">
      <c r="A62" s="1">
        <f t="shared" si="10"/>
        <v>2025</v>
      </c>
      <c r="B62" s="52">
        <f t="shared" si="11"/>
        <v>45962</v>
      </c>
      <c r="C62" s="1" t="s">
        <v>49</v>
      </c>
      <c r="D62" s="5">
        <f t="shared" si="15"/>
        <v>45968</v>
      </c>
      <c r="E62" s="30">
        <v>27.040567601261785</v>
      </c>
      <c r="F62" s="14">
        <f>+'Mono SPOT MAT'!M62/'Fisico SPOT MAT'!M62/24</f>
        <v>35.228816185285389</v>
      </c>
      <c r="G62" s="13">
        <f t="shared" si="12"/>
        <v>14.4</v>
      </c>
      <c r="H62" s="12">
        <f>+'Mono ASIG'!AA62</f>
        <v>59.03138400754144</v>
      </c>
      <c r="I62" s="12">
        <f t="shared" si="16"/>
        <v>44.616210140312781</v>
      </c>
      <c r="J62" s="12">
        <f t="shared" si="14"/>
        <v>14.4</v>
      </c>
      <c r="K62" s="115"/>
      <c r="L62" s="86"/>
      <c r="M62" s="86"/>
      <c r="N62" s="108">
        <f>+'Mono SPOT MAT'!S62/'Fisico SPOT MAT'!S62/'Fisico SPOT MAT'!E62</f>
        <v>11.582797298858582</v>
      </c>
      <c r="O62" s="86"/>
      <c r="R62">
        <v>0.9</v>
      </c>
    </row>
    <row r="63" spans="1:18" ht="15" hidden="1" customHeight="1" x14ac:dyDescent="0.3">
      <c r="A63" s="1">
        <f t="shared" si="10"/>
        <v>2025</v>
      </c>
      <c r="B63" s="52">
        <f t="shared" si="11"/>
        <v>45962</v>
      </c>
      <c r="C63" s="1" t="s">
        <v>43</v>
      </c>
      <c r="D63" s="5">
        <f t="shared" si="15"/>
        <v>45969</v>
      </c>
      <c r="E63" s="30">
        <v>32.240077278204474</v>
      </c>
      <c r="F63" s="14">
        <f>+'Mono SPOT MAT'!M63/'Fisico SPOT MAT'!M63/24</f>
        <v>36.535630821410514</v>
      </c>
      <c r="G63" s="13">
        <f t="shared" si="12"/>
        <v>14.4</v>
      </c>
      <c r="H63" s="12">
        <f>+'Mono ASIG'!AA63</f>
        <v>59.259116327720541</v>
      </c>
      <c r="I63" s="12">
        <f t="shared" si="16"/>
        <v>44.843942460491881</v>
      </c>
      <c r="J63" s="12">
        <f t="shared" si="14"/>
        <v>14.4</v>
      </c>
      <c r="K63" s="115"/>
      <c r="L63" s="86"/>
      <c r="M63" s="86"/>
      <c r="N63" s="107">
        <f>+'Mono SPOT MAT'!S63/'Fisico SPOT MAT'!S63/'Fisico SPOT MAT'!E63</f>
        <v>11.556633344228752</v>
      </c>
      <c r="O63" s="86"/>
      <c r="R63">
        <v>0.9</v>
      </c>
    </row>
    <row r="64" spans="1:18" ht="15" hidden="1" customHeight="1" x14ac:dyDescent="0.3">
      <c r="A64" s="1">
        <f t="shared" si="10"/>
        <v>2025</v>
      </c>
      <c r="B64" s="52">
        <f t="shared" si="11"/>
        <v>45962</v>
      </c>
      <c r="C64" s="1" t="s">
        <v>44</v>
      </c>
      <c r="D64" s="5">
        <f t="shared" si="15"/>
        <v>45970</v>
      </c>
      <c r="E64" s="30">
        <v>25.893742978751945</v>
      </c>
      <c r="F64" s="14">
        <f>+'Mono SPOT MAT'!M64/'Fisico SPOT MAT'!M64/24</f>
        <v>34.59431598228624</v>
      </c>
      <c r="G64" s="13">
        <f t="shared" si="12"/>
        <v>14.4</v>
      </c>
      <c r="H64" s="12">
        <f>+'Mono ASIG'!AA64</f>
        <v>60.95084229636381</v>
      </c>
      <c r="I64" s="12">
        <f t="shared" si="16"/>
        <v>46.53566842913515</v>
      </c>
      <c r="J64" s="12">
        <f t="shared" si="14"/>
        <v>14.4</v>
      </c>
      <c r="K64" s="115"/>
      <c r="L64" s="86"/>
      <c r="M64" s="86"/>
      <c r="N64" s="108">
        <f>+'Mono SPOT MAT'!S64/'Fisico SPOT MAT'!S64/'Fisico SPOT MAT'!E64</f>
        <v>11.563637664425132</v>
      </c>
      <c r="O64" s="86"/>
      <c r="R64">
        <v>0.9</v>
      </c>
    </row>
    <row r="65" spans="1:18" ht="15" hidden="1" customHeight="1" x14ac:dyDescent="0.3">
      <c r="A65" s="1">
        <f t="shared" si="10"/>
        <v>2025</v>
      </c>
      <c r="B65" s="52">
        <f t="shared" si="11"/>
        <v>45962</v>
      </c>
      <c r="C65" s="1" t="s">
        <v>45</v>
      </c>
      <c r="D65" s="5">
        <f t="shared" si="15"/>
        <v>45971</v>
      </c>
      <c r="E65" s="30">
        <v>26.593350219456141</v>
      </c>
      <c r="F65" s="14">
        <f>+'Mono SPOT MAT'!M65/'Fisico SPOT MAT'!M65/24</f>
        <v>35.559461432556226</v>
      </c>
      <c r="G65" s="13">
        <f t="shared" si="12"/>
        <v>14.4</v>
      </c>
      <c r="H65" s="12">
        <f>+'Mono ASIG'!AA65</f>
        <v>59.950232526713627</v>
      </c>
      <c r="I65" s="12">
        <f t="shared" si="16"/>
        <v>45.535058659484967</v>
      </c>
      <c r="J65" s="12">
        <f t="shared" si="14"/>
        <v>14.4</v>
      </c>
      <c r="K65" s="115"/>
      <c r="L65" s="86"/>
      <c r="M65" s="86"/>
      <c r="N65" s="107">
        <f>+'Mono SPOT MAT'!S65/'Fisico SPOT MAT'!S65/'Fisico SPOT MAT'!E65</f>
        <v>11.568568229235836</v>
      </c>
      <c r="O65" s="86"/>
      <c r="R65">
        <v>0.9</v>
      </c>
    </row>
    <row r="66" spans="1:18" ht="15" hidden="1" customHeight="1" x14ac:dyDescent="0.3">
      <c r="A66" s="1">
        <f t="shared" si="10"/>
        <v>2025</v>
      </c>
      <c r="B66" s="52">
        <f t="shared" si="11"/>
        <v>45962</v>
      </c>
      <c r="C66" s="1" t="s">
        <v>46</v>
      </c>
      <c r="D66" s="5">
        <f t="shared" si="15"/>
        <v>45972</v>
      </c>
      <c r="E66" s="30">
        <v>21.018059720806736</v>
      </c>
      <c r="F66" s="14">
        <f>+'Mono SPOT MAT'!M66/'Fisico SPOT MAT'!M66/24</f>
        <v>35.712015694241749</v>
      </c>
      <c r="G66" s="13">
        <f t="shared" si="12"/>
        <v>14.4</v>
      </c>
      <c r="H66" s="12">
        <f>+'Mono ASIG'!AA66</f>
        <v>61.665552545117372</v>
      </c>
      <c r="I66" s="12">
        <f t="shared" si="16"/>
        <v>47.250378677888712</v>
      </c>
      <c r="J66" s="12">
        <f t="shared" si="14"/>
        <v>14.4</v>
      </c>
      <c r="K66" s="115"/>
      <c r="L66" s="86"/>
      <c r="M66" s="86"/>
      <c r="N66" s="108">
        <f>+'Mono SPOT MAT'!S66/'Fisico SPOT MAT'!S66/'Fisico SPOT MAT'!E66</f>
        <v>11.528389741677747</v>
      </c>
      <c r="O66" s="86"/>
      <c r="R66">
        <v>0.9</v>
      </c>
    </row>
    <row r="67" spans="1:18" ht="15" hidden="1" customHeight="1" x14ac:dyDescent="0.3">
      <c r="A67" s="1">
        <f t="shared" si="10"/>
        <v>2025</v>
      </c>
      <c r="B67" s="52">
        <f t="shared" si="11"/>
        <v>45962</v>
      </c>
      <c r="C67" s="1" t="s">
        <v>47</v>
      </c>
      <c r="D67" s="5">
        <f t="shared" si="15"/>
        <v>45973</v>
      </c>
      <c r="E67" s="30">
        <v>30.197886447113081</v>
      </c>
      <c r="F67" s="14">
        <f>+'Mono SPOT MAT'!M67/'Fisico SPOT MAT'!M67/24</f>
        <v>34.386101335434397</v>
      </c>
      <c r="G67" s="13">
        <f t="shared" si="12"/>
        <v>14.4</v>
      </c>
      <c r="H67" s="12">
        <f>+'Mono ASIG'!AA67</f>
        <v>62.512183069025532</v>
      </c>
      <c r="I67" s="12">
        <f t="shared" si="16"/>
        <v>48.097009201796872</v>
      </c>
      <c r="J67" s="12">
        <f t="shared" si="14"/>
        <v>14.4</v>
      </c>
      <c r="K67" s="115"/>
      <c r="L67" s="86"/>
      <c r="M67" s="86"/>
      <c r="N67" s="107">
        <f>+'Mono SPOT MAT'!S67/'Fisico SPOT MAT'!S67/'Fisico SPOT MAT'!E67</f>
        <v>11.504256703561468</v>
      </c>
      <c r="O67" s="86"/>
      <c r="R67">
        <v>0.9</v>
      </c>
    </row>
    <row r="68" spans="1:18" ht="15" hidden="1" customHeight="1" x14ac:dyDescent="0.3">
      <c r="A68" s="1">
        <f t="shared" si="10"/>
        <v>2025</v>
      </c>
      <c r="B68" s="52">
        <f t="shared" si="11"/>
        <v>45962</v>
      </c>
      <c r="C68" s="1" t="s">
        <v>48</v>
      </c>
      <c r="D68" s="5">
        <f t="shared" si="15"/>
        <v>45974</v>
      </c>
      <c r="E68" s="30">
        <v>29.941578457014955</v>
      </c>
      <c r="F68" s="14">
        <f>+'Mono SPOT MAT'!M68/'Fisico SPOT MAT'!M68/24</f>
        <v>34.46662519546036</v>
      </c>
      <c r="G68" s="13">
        <f t="shared" si="12"/>
        <v>14.4</v>
      </c>
      <c r="H68" s="12">
        <f>+'Mono ASIG'!AA68</f>
        <v>60.186020215721534</v>
      </c>
      <c r="I68" s="12">
        <f t="shared" si="16"/>
        <v>45.770846348492874</v>
      </c>
      <c r="J68" s="12">
        <f t="shared" si="14"/>
        <v>14.4</v>
      </c>
      <c r="K68" s="115"/>
      <c r="L68" s="86"/>
      <c r="M68" s="86"/>
      <c r="N68" s="108">
        <f>+'Mono SPOT MAT'!S68/'Fisico SPOT MAT'!S68/'Fisico SPOT MAT'!E68</f>
        <v>11.500454593989756</v>
      </c>
      <c r="O68" s="86"/>
      <c r="R68">
        <v>0.9</v>
      </c>
    </row>
    <row r="69" spans="1:18" ht="15" hidden="1" customHeight="1" x14ac:dyDescent="0.3">
      <c r="A69" s="1">
        <f t="shared" si="10"/>
        <v>2025</v>
      </c>
      <c r="B69" s="52">
        <f t="shared" si="11"/>
        <v>45962</v>
      </c>
      <c r="C69" s="1" t="s">
        <v>49</v>
      </c>
      <c r="D69" s="5">
        <f t="shared" si="15"/>
        <v>45975</v>
      </c>
      <c r="E69" s="30">
        <v>29.836369651301904</v>
      </c>
      <c r="F69" s="14">
        <f>+'Mono SPOT MAT'!M69/'Fisico SPOT MAT'!M69/24</f>
        <v>34.976659966474607</v>
      </c>
      <c r="G69" s="13">
        <f t="shared" si="12"/>
        <v>14.4</v>
      </c>
      <c r="H69" s="12">
        <f>+'Mono ASIG'!AA69</f>
        <v>60.147682196884027</v>
      </c>
      <c r="I69" s="12">
        <f t="shared" si="16"/>
        <v>45.732508329655367</v>
      </c>
      <c r="J69" s="12">
        <f t="shared" si="14"/>
        <v>14.4</v>
      </c>
      <c r="K69" s="115"/>
      <c r="L69" s="86"/>
      <c r="M69" s="86"/>
      <c r="N69" s="107">
        <f>+'Mono SPOT MAT'!S69/'Fisico SPOT MAT'!S69/'Fisico SPOT MAT'!E69</f>
        <v>11.494406867041686</v>
      </c>
      <c r="O69" s="86"/>
      <c r="R69">
        <v>0.9</v>
      </c>
    </row>
    <row r="70" spans="1:18" ht="15" hidden="1" customHeight="1" x14ac:dyDescent="0.3">
      <c r="A70" s="1">
        <f t="shared" si="10"/>
        <v>2025</v>
      </c>
      <c r="B70" s="52">
        <f t="shared" si="11"/>
        <v>45962</v>
      </c>
      <c r="C70" s="1" t="s">
        <v>43</v>
      </c>
      <c r="D70" s="5">
        <f t="shared" si="15"/>
        <v>45976</v>
      </c>
      <c r="E70" s="30">
        <v>30.521186803668389</v>
      </c>
      <c r="F70" s="14">
        <f>+'Mono SPOT MAT'!M70/'Fisico SPOT MAT'!M70/24</f>
        <v>34.556556768163546</v>
      </c>
      <c r="G70" s="13">
        <f t="shared" si="12"/>
        <v>14.4</v>
      </c>
      <c r="H70" s="12">
        <f>+'Mono ASIG'!AA70</f>
        <v>59.045669261541526</v>
      </c>
      <c r="I70" s="12">
        <f t="shared" si="16"/>
        <v>44.630495394312867</v>
      </c>
      <c r="J70" s="12">
        <f t="shared" si="14"/>
        <v>14.4</v>
      </c>
      <c r="K70" s="115"/>
      <c r="L70" s="86"/>
      <c r="M70" s="86"/>
      <c r="N70" s="108">
        <f>+'Mono SPOT MAT'!S70/'Fisico SPOT MAT'!S70/'Fisico SPOT MAT'!E70</f>
        <v>11.486489459066945</v>
      </c>
      <c r="O70" s="86"/>
      <c r="R70">
        <v>0.9</v>
      </c>
    </row>
    <row r="71" spans="1:18" ht="15" hidden="1" customHeight="1" x14ac:dyDescent="0.3">
      <c r="A71" s="1">
        <f t="shared" si="10"/>
        <v>2025</v>
      </c>
      <c r="B71" s="52">
        <f t="shared" si="11"/>
        <v>45962</v>
      </c>
      <c r="C71" s="1" t="s">
        <v>44</v>
      </c>
      <c r="D71" s="5">
        <f t="shared" si="15"/>
        <v>45977</v>
      </c>
      <c r="E71" s="30">
        <v>27.028260233033475</v>
      </c>
      <c r="F71" s="14">
        <f>+'Mono SPOT MAT'!M71/'Fisico SPOT MAT'!M71/24</f>
        <v>34.802958976891581</v>
      </c>
      <c r="G71" s="13">
        <f t="shared" si="12"/>
        <v>14.4</v>
      </c>
      <c r="H71" s="12">
        <f>+'Mono ASIG'!AA71</f>
        <v>67.416028372837403</v>
      </c>
      <c r="I71" s="12">
        <f t="shared" si="16"/>
        <v>53.000854505608743</v>
      </c>
      <c r="J71" s="12">
        <f t="shared" si="14"/>
        <v>14.4</v>
      </c>
      <c r="K71" s="115"/>
      <c r="L71" s="86"/>
      <c r="M71" s="86"/>
      <c r="N71" s="107">
        <f>+'Mono SPOT MAT'!S71/'Fisico SPOT MAT'!S71/'Fisico SPOT MAT'!E71</f>
        <v>11.490739156272232</v>
      </c>
      <c r="O71" s="86"/>
      <c r="R71">
        <v>0.9</v>
      </c>
    </row>
    <row r="72" spans="1:18" ht="15" hidden="1" customHeight="1" x14ac:dyDescent="0.3">
      <c r="A72" s="1">
        <f t="shared" si="10"/>
        <v>2025</v>
      </c>
      <c r="B72" s="52">
        <f t="shared" si="11"/>
        <v>45962</v>
      </c>
      <c r="C72" s="1" t="s">
        <v>45</v>
      </c>
      <c r="D72" s="5">
        <f t="shared" si="15"/>
        <v>45978</v>
      </c>
      <c r="E72" s="30">
        <v>29.901240876289538</v>
      </c>
      <c r="F72" s="14">
        <f>+'Mono SPOT MAT'!M72/'Fisico SPOT MAT'!M72/24</f>
        <v>34.788794382117679</v>
      </c>
      <c r="G72" s="13">
        <f t="shared" si="12"/>
        <v>14.4</v>
      </c>
      <c r="H72" s="12">
        <f>+'Mono ASIG'!AA72</f>
        <v>65.504190581600739</v>
      </c>
      <c r="I72" s="12">
        <f t="shared" si="16"/>
        <v>51.089016714372079</v>
      </c>
      <c r="J72" s="12">
        <f t="shared" si="14"/>
        <v>14.4</v>
      </c>
      <c r="K72" s="115"/>
      <c r="L72" s="86"/>
      <c r="M72" s="86"/>
      <c r="N72" s="108">
        <f>+'Mono SPOT MAT'!S72/'Fisico SPOT MAT'!S72/'Fisico SPOT MAT'!E72</f>
        <v>11.504030900554399</v>
      </c>
      <c r="O72" s="86"/>
      <c r="R72">
        <v>0.9</v>
      </c>
    </row>
    <row r="73" spans="1:18" ht="15" hidden="1" customHeight="1" x14ac:dyDescent="0.3">
      <c r="A73" s="1">
        <f t="shared" si="10"/>
        <v>2025</v>
      </c>
      <c r="B73" s="52">
        <f t="shared" si="11"/>
        <v>45962</v>
      </c>
      <c r="C73" s="1" t="s">
        <v>46</v>
      </c>
      <c r="D73" s="5">
        <f t="shared" si="15"/>
        <v>45979</v>
      </c>
      <c r="E73" s="30">
        <v>32.471683295369481</v>
      </c>
      <c r="F73" s="14">
        <f>+'Mono SPOT MAT'!M73/'Fisico SPOT MAT'!M73/24</f>
        <v>34.959678845228801</v>
      </c>
      <c r="G73" s="13">
        <f t="shared" si="12"/>
        <v>14.4</v>
      </c>
      <c r="H73" s="12">
        <f>+'Mono ASIG'!AA73</f>
        <v>61.661250918106781</v>
      </c>
      <c r="I73" s="12">
        <f t="shared" si="16"/>
        <v>47.246077050878121</v>
      </c>
      <c r="J73" s="12">
        <f t="shared" si="14"/>
        <v>14.4</v>
      </c>
      <c r="K73" s="115"/>
      <c r="L73" s="86"/>
      <c r="M73" s="86"/>
      <c r="N73" s="107">
        <f>+'Mono SPOT MAT'!S73/'Fisico SPOT MAT'!S73/'Fisico SPOT MAT'!E73</f>
        <v>11.497084726079816</v>
      </c>
      <c r="O73" s="86"/>
      <c r="R73">
        <v>0.9</v>
      </c>
    </row>
    <row r="74" spans="1:18" ht="15" hidden="1" customHeight="1" x14ac:dyDescent="0.3">
      <c r="A74" s="1">
        <f t="shared" si="10"/>
        <v>2025</v>
      </c>
      <c r="B74" s="52">
        <f t="shared" si="11"/>
        <v>45962</v>
      </c>
      <c r="C74" s="1" t="s">
        <v>47</v>
      </c>
      <c r="D74" s="5">
        <f t="shared" si="15"/>
        <v>45980</v>
      </c>
      <c r="E74" s="30">
        <v>34.777098350657205</v>
      </c>
      <c r="F74" s="14">
        <f>+'Mono SPOT MAT'!M74/'Fisico SPOT MAT'!M74/24</f>
        <v>35.060717116919612</v>
      </c>
      <c r="G74" s="13">
        <f t="shared" si="12"/>
        <v>14.4</v>
      </c>
      <c r="H74" s="12">
        <f>+'Mono ASIG'!AA74</f>
        <v>56.857047506854762</v>
      </c>
      <c r="I74" s="12">
        <f t="shared" si="16"/>
        <v>42.441873639626102</v>
      </c>
      <c r="J74" s="12">
        <f t="shared" si="14"/>
        <v>14.4</v>
      </c>
      <c r="K74" s="115"/>
      <c r="L74" s="86"/>
      <c r="M74" s="86"/>
      <c r="N74" s="108">
        <f>+'Mono SPOT MAT'!S74/'Fisico SPOT MAT'!S74/'Fisico SPOT MAT'!E74</f>
        <v>11.498149939427272</v>
      </c>
      <c r="O74" s="86"/>
      <c r="R74">
        <v>0.9</v>
      </c>
    </row>
    <row r="75" spans="1:18" ht="15" hidden="1" customHeight="1" x14ac:dyDescent="0.3">
      <c r="A75" s="1">
        <f t="shared" si="10"/>
        <v>2025</v>
      </c>
      <c r="B75" s="52">
        <f t="shared" si="11"/>
        <v>45962</v>
      </c>
      <c r="C75" s="1" t="s">
        <v>48</v>
      </c>
      <c r="D75" s="5">
        <f t="shared" si="15"/>
        <v>45981</v>
      </c>
      <c r="E75" s="30">
        <v>35.109025683190616</v>
      </c>
      <c r="F75" s="14">
        <f>+'Mono SPOT MAT'!M75/'Fisico SPOT MAT'!M75/24</f>
        <v>35.503686819969978</v>
      </c>
      <c r="G75" s="13">
        <f t="shared" si="12"/>
        <v>14.4</v>
      </c>
      <c r="H75" s="12">
        <f>+'Mono ASIG'!AA75</f>
        <v>59.193086657239604</v>
      </c>
      <c r="I75" s="12">
        <f t="shared" si="16"/>
        <v>44.777912790010944</v>
      </c>
      <c r="J75" s="12">
        <f t="shared" si="14"/>
        <v>14.4</v>
      </c>
      <c r="K75" s="115"/>
      <c r="L75" s="86"/>
      <c r="M75" s="86"/>
      <c r="N75" s="107">
        <f>+'Mono SPOT MAT'!S75/'Fisico SPOT MAT'!S75/'Fisico SPOT MAT'!E75</f>
        <v>11.493630137505326</v>
      </c>
      <c r="O75" s="86"/>
      <c r="R75">
        <v>0.9</v>
      </c>
    </row>
    <row r="76" spans="1:18" ht="15" hidden="1" customHeight="1" x14ac:dyDescent="0.3">
      <c r="A76" s="1">
        <f t="shared" si="10"/>
        <v>2025</v>
      </c>
      <c r="B76" s="52">
        <f t="shared" si="11"/>
        <v>45962</v>
      </c>
      <c r="C76" s="1" t="s">
        <v>49</v>
      </c>
      <c r="D76" s="5">
        <f t="shared" si="15"/>
        <v>45982</v>
      </c>
      <c r="E76" s="30">
        <v>35.905804874543172</v>
      </c>
      <c r="F76" s="14">
        <f>+'Mono SPOT MAT'!M76/'Fisico SPOT MAT'!M76/24</f>
        <v>34.521452971426534</v>
      </c>
      <c r="G76" s="13">
        <f t="shared" si="12"/>
        <v>14.4</v>
      </c>
      <c r="H76" s="12">
        <f>+'Mono ASIG'!AA76</f>
        <v>61.724991375959654</v>
      </c>
      <c r="I76" s="12">
        <f t="shared" si="16"/>
        <v>47.309817508730994</v>
      </c>
      <c r="J76" s="12">
        <f t="shared" si="14"/>
        <v>14.4</v>
      </c>
      <c r="K76" s="115"/>
      <c r="L76" s="86"/>
      <c r="M76" s="86"/>
      <c r="N76" s="108">
        <f>+'Mono SPOT MAT'!S76/'Fisico SPOT MAT'!S76/'Fisico SPOT MAT'!E76</f>
        <v>11.483839421364772</v>
      </c>
      <c r="O76" s="86"/>
      <c r="R76">
        <v>0.9</v>
      </c>
    </row>
    <row r="77" spans="1:18" ht="15" hidden="1" customHeight="1" x14ac:dyDescent="0.3">
      <c r="A77" s="1">
        <f t="shared" si="10"/>
        <v>2025</v>
      </c>
      <c r="B77" s="52">
        <f t="shared" si="11"/>
        <v>45962</v>
      </c>
      <c r="C77" s="1" t="s">
        <v>43</v>
      </c>
      <c r="D77" s="5">
        <f t="shared" si="15"/>
        <v>45983</v>
      </c>
      <c r="E77" s="30">
        <v>35.429349854239042</v>
      </c>
      <c r="F77" s="14">
        <f>+'Mono SPOT MAT'!M77/'Fisico SPOT MAT'!M77/24</f>
        <v>34.536057486639983</v>
      </c>
      <c r="G77" s="13">
        <f t="shared" si="12"/>
        <v>14.4</v>
      </c>
      <c r="H77" s="12">
        <f>+'Mono ASIG'!AA77</f>
        <v>64.647326427222225</v>
      </c>
      <c r="I77" s="12">
        <f t="shared" si="16"/>
        <v>50.232152559993565</v>
      </c>
      <c r="J77" s="12">
        <f t="shared" si="14"/>
        <v>14.4</v>
      </c>
      <c r="K77" s="115"/>
      <c r="L77" s="86"/>
      <c r="M77" s="86"/>
      <c r="N77" s="107">
        <f>+'Mono SPOT MAT'!S77/'Fisico SPOT MAT'!S77/'Fisico SPOT MAT'!E77</f>
        <v>11.48305402568643</v>
      </c>
      <c r="O77" s="86"/>
      <c r="R77">
        <v>0.9</v>
      </c>
    </row>
    <row r="78" spans="1:18" ht="15" hidden="1" customHeight="1" x14ac:dyDescent="0.3">
      <c r="A78" s="1">
        <f t="shared" si="10"/>
        <v>2025</v>
      </c>
      <c r="B78" s="52">
        <f t="shared" si="11"/>
        <v>45962</v>
      </c>
      <c r="C78" s="1" t="s">
        <v>44</v>
      </c>
      <c r="D78" s="5">
        <f t="shared" si="15"/>
        <v>45984</v>
      </c>
      <c r="E78" s="30">
        <v>25.941439276993723</v>
      </c>
      <c r="F78" s="14">
        <f>+'Mono SPOT MAT'!M78/'Fisico SPOT MAT'!M78/24</f>
        <v>34.660101497686767</v>
      </c>
      <c r="G78" s="13">
        <f t="shared" si="12"/>
        <v>14.4</v>
      </c>
      <c r="H78" s="12">
        <f>+'Mono ASIG'!AA78</f>
        <v>70.406290010366718</v>
      </c>
      <c r="I78" s="12">
        <f t="shared" si="16"/>
        <v>55.991116143138058</v>
      </c>
      <c r="J78" s="12">
        <f t="shared" si="14"/>
        <v>14.4</v>
      </c>
      <c r="K78" s="115"/>
      <c r="L78" s="86"/>
      <c r="M78" s="86"/>
      <c r="N78" s="108">
        <f>+'Mono SPOT MAT'!S78/'Fisico SPOT MAT'!S78/'Fisico SPOT MAT'!E78</f>
        <v>11.491194745515921</v>
      </c>
      <c r="O78" s="86"/>
      <c r="R78">
        <v>0.9</v>
      </c>
    </row>
    <row r="79" spans="1:18" ht="15" hidden="1" customHeight="1" x14ac:dyDescent="0.3">
      <c r="A79" s="1">
        <f t="shared" si="10"/>
        <v>2025</v>
      </c>
      <c r="B79" s="52">
        <f t="shared" si="11"/>
        <v>45962</v>
      </c>
      <c r="C79" s="1" t="s">
        <v>45</v>
      </c>
      <c r="D79" s="5">
        <f t="shared" si="15"/>
        <v>45985</v>
      </c>
      <c r="E79" s="30">
        <v>29.672451778405769</v>
      </c>
      <c r="F79" s="14">
        <f>+'Mono SPOT MAT'!M79/'Fisico SPOT MAT'!M79/24</f>
        <v>34.764344308295968</v>
      </c>
      <c r="G79" s="13">
        <f t="shared" si="12"/>
        <v>14.4</v>
      </c>
      <c r="H79" s="12">
        <f>+'Mono ASIG'!AA79</f>
        <v>68.710698135386934</v>
      </c>
      <c r="I79" s="12">
        <f t="shared" si="16"/>
        <v>54.295524268158275</v>
      </c>
      <c r="J79" s="12">
        <f t="shared" si="14"/>
        <v>14.4</v>
      </c>
      <c r="K79" s="115"/>
      <c r="L79" s="86"/>
      <c r="M79" s="86"/>
      <c r="N79" s="107">
        <f>+'Mono SPOT MAT'!S79/'Fisico SPOT MAT'!S79/'Fisico SPOT MAT'!E79</f>
        <v>11.515863729253727</v>
      </c>
      <c r="O79" s="86"/>
      <c r="R79">
        <v>0.9</v>
      </c>
    </row>
    <row r="80" spans="1:18" ht="15" hidden="1" customHeight="1" x14ac:dyDescent="0.3">
      <c r="A80" s="1">
        <f t="shared" si="10"/>
        <v>2025</v>
      </c>
      <c r="B80" s="52">
        <f t="shared" si="11"/>
        <v>45962</v>
      </c>
      <c r="C80" s="1" t="s">
        <v>46</v>
      </c>
      <c r="D80" s="5">
        <f t="shared" si="15"/>
        <v>45986</v>
      </c>
      <c r="E80" s="30">
        <v>39.566094308617728</v>
      </c>
      <c r="F80" s="14">
        <f>+'Mono SPOT MAT'!M80/'Fisico SPOT MAT'!M80/24</f>
        <v>37.110331096403115</v>
      </c>
      <c r="G80" s="13">
        <f t="shared" si="12"/>
        <v>14.4</v>
      </c>
      <c r="H80" s="12">
        <f>+'Mono ASIG'!AA80</f>
        <v>59.502603840170515</v>
      </c>
      <c r="I80" s="12">
        <f t="shared" si="16"/>
        <v>45.087429972941855</v>
      </c>
      <c r="J80" s="12">
        <f t="shared" si="14"/>
        <v>14.4</v>
      </c>
      <c r="K80" s="115"/>
      <c r="L80" s="86"/>
      <c r="M80" s="86"/>
      <c r="N80" s="108">
        <f>+'Mono SPOT MAT'!S80/'Fisico SPOT MAT'!S80/'Fisico SPOT MAT'!E80</f>
        <v>11.531118174998205</v>
      </c>
      <c r="O80" s="86"/>
      <c r="R80">
        <v>0.9</v>
      </c>
    </row>
    <row r="81" spans="1:18" ht="15" hidden="1" customHeight="1" x14ac:dyDescent="0.3">
      <c r="A81" s="1">
        <f t="shared" si="10"/>
        <v>2025</v>
      </c>
      <c r="B81" s="52">
        <f t="shared" si="11"/>
        <v>45962</v>
      </c>
      <c r="C81" s="1" t="s">
        <v>47</v>
      </c>
      <c r="D81" s="5">
        <f t="shared" si="15"/>
        <v>45987</v>
      </c>
      <c r="E81" s="30">
        <v>40.496669327540943</v>
      </c>
      <c r="F81" s="14">
        <f>+'Mono SPOT MAT'!M81/'Fisico SPOT MAT'!M81/24</f>
        <v>37.429719112888428</v>
      </c>
      <c r="G81" s="13">
        <f t="shared" si="12"/>
        <v>14.4</v>
      </c>
      <c r="H81" s="12">
        <f>+'Mono ASIG'!AA81</f>
        <v>59.160031823524058</v>
      </c>
      <c r="I81" s="12">
        <f t="shared" si="16"/>
        <v>44.744857956295398</v>
      </c>
      <c r="J81" s="12">
        <f t="shared" si="14"/>
        <v>14.4</v>
      </c>
      <c r="K81" s="115"/>
      <c r="L81" s="86"/>
      <c r="M81" s="86"/>
      <c r="N81" s="107">
        <f>+'Mono SPOT MAT'!S81/'Fisico SPOT MAT'!S81/'Fisico SPOT MAT'!E81</f>
        <v>11.526373496391987</v>
      </c>
      <c r="O81" s="86"/>
      <c r="R81">
        <v>0.9</v>
      </c>
    </row>
    <row r="82" spans="1:18" ht="15" hidden="1" customHeight="1" x14ac:dyDescent="0.3">
      <c r="A82" s="1">
        <f t="shared" si="10"/>
        <v>2025</v>
      </c>
      <c r="B82" s="52">
        <f t="shared" si="11"/>
        <v>45962</v>
      </c>
      <c r="C82" s="1" t="s">
        <v>48</v>
      </c>
      <c r="D82" s="5">
        <f t="shared" si="15"/>
        <v>45988</v>
      </c>
      <c r="E82" s="30">
        <v>39.856268754407886</v>
      </c>
      <c r="F82" s="14">
        <f>+'Mono SPOT MAT'!M82/'Fisico SPOT MAT'!M82/24</f>
        <v>37.624435953045982</v>
      </c>
      <c r="G82" s="13">
        <f t="shared" si="12"/>
        <v>14.4</v>
      </c>
      <c r="H82" s="12">
        <f>+'Mono ASIG'!AA82</f>
        <v>58.633899214127837</v>
      </c>
      <c r="I82" s="12">
        <f t="shared" si="16"/>
        <v>44.218725346899177</v>
      </c>
      <c r="J82" s="12">
        <f t="shared" si="14"/>
        <v>14.4</v>
      </c>
      <c r="K82" s="115"/>
      <c r="L82" s="86"/>
      <c r="M82" s="86"/>
      <c r="N82" s="108">
        <f>+'Mono SPOT MAT'!S82/'Fisico SPOT MAT'!S82/'Fisico SPOT MAT'!E82</f>
        <v>11.584046260304735</v>
      </c>
      <c r="O82" s="86"/>
      <c r="R82">
        <v>0.9</v>
      </c>
    </row>
    <row r="83" spans="1:18" ht="15" hidden="1" customHeight="1" x14ac:dyDescent="0.3">
      <c r="A83" s="1">
        <f t="shared" si="10"/>
        <v>2025</v>
      </c>
      <c r="B83" s="52">
        <f t="shared" si="11"/>
        <v>45962</v>
      </c>
      <c r="C83" s="1" t="s">
        <v>49</v>
      </c>
      <c r="D83" s="5">
        <f t="shared" si="15"/>
        <v>45989</v>
      </c>
      <c r="E83" s="30">
        <v>44.869096082455634</v>
      </c>
      <c r="F83" s="14">
        <f>+'Mono SPOT MAT'!M83/'Fisico SPOT MAT'!M83/24</f>
        <v>37.986995966888934</v>
      </c>
      <c r="G83" s="13">
        <f t="shared" si="12"/>
        <v>14.4</v>
      </c>
      <c r="H83" s="12">
        <f>+'Mono ASIG'!AA83</f>
        <v>62.0670422942313</v>
      </c>
      <c r="I83" s="12">
        <f t="shared" si="16"/>
        <v>47.65186842700264</v>
      </c>
      <c r="J83" s="12">
        <f t="shared" si="14"/>
        <v>14.4</v>
      </c>
      <c r="K83" s="115"/>
      <c r="L83" s="86"/>
      <c r="M83" s="86"/>
      <c r="N83" s="107">
        <f>+'Mono SPOT MAT'!S83/'Fisico SPOT MAT'!S83/'Fisico SPOT MAT'!E83</f>
        <v>11.590799585219045</v>
      </c>
      <c r="O83" s="86"/>
      <c r="R83">
        <v>0.9</v>
      </c>
    </row>
    <row r="84" spans="1:18" ht="15" hidden="1" customHeight="1" x14ac:dyDescent="0.3">
      <c r="A84" s="1">
        <f t="shared" si="10"/>
        <v>2025</v>
      </c>
      <c r="B84" s="52">
        <f t="shared" si="11"/>
        <v>45962</v>
      </c>
      <c r="C84" s="1" t="s">
        <v>43</v>
      </c>
      <c r="D84" s="5">
        <f t="shared" si="15"/>
        <v>45990</v>
      </c>
      <c r="E84" s="30">
        <v>37.855211743826146</v>
      </c>
      <c r="F84" s="14">
        <f>+'Mono SPOT MAT'!M84/'Fisico SPOT MAT'!M84/24</f>
        <v>36.631745943494245</v>
      </c>
      <c r="G84" s="13">
        <f t="shared" si="12"/>
        <v>14.4</v>
      </c>
      <c r="H84" s="12">
        <f>+'Mono ASIG'!AA84</f>
        <v>70.515989317034027</v>
      </c>
      <c r="I84" s="12">
        <f t="shared" si="16"/>
        <v>56.100815449805367</v>
      </c>
      <c r="J84" s="12">
        <f t="shared" si="14"/>
        <v>14.4</v>
      </c>
      <c r="K84" s="115"/>
      <c r="L84" s="86"/>
      <c r="M84" s="86"/>
      <c r="N84" s="108">
        <f>+'Mono SPOT MAT'!S84/'Fisico SPOT MAT'!S84/'Fisico SPOT MAT'!E84</f>
        <v>11.607455448912305</v>
      </c>
      <c r="O84" s="86"/>
      <c r="R84">
        <v>0.9</v>
      </c>
    </row>
    <row r="85" spans="1:18" ht="15" hidden="1" customHeight="1" x14ac:dyDescent="0.3">
      <c r="A85" s="1">
        <f t="shared" si="10"/>
        <v>2025</v>
      </c>
      <c r="B85" s="52">
        <f t="shared" si="11"/>
        <v>45962</v>
      </c>
      <c r="C85" s="1" t="s">
        <v>44</v>
      </c>
      <c r="D85" s="5">
        <f t="shared" si="15"/>
        <v>45991</v>
      </c>
      <c r="E85" s="30">
        <v>37.418409445375623</v>
      </c>
      <c r="F85" s="14">
        <f>+'Mono SPOT MAT'!M85/'Fisico SPOT MAT'!M85/24</f>
        <v>35.166271873467046</v>
      </c>
      <c r="G85" s="13">
        <f t="shared" si="12"/>
        <v>14.4</v>
      </c>
      <c r="H85" s="12">
        <f>+'Mono ASIG'!AA85</f>
        <v>71.721664124703906</v>
      </c>
      <c r="I85" s="12">
        <f t="shared" si="16"/>
        <v>57.306490257475247</v>
      </c>
      <c r="J85" s="12">
        <f t="shared" si="14"/>
        <v>14.4</v>
      </c>
      <c r="K85" s="115"/>
      <c r="L85" s="86"/>
      <c r="M85" s="86"/>
      <c r="N85" s="107">
        <f>+'Mono SPOT MAT'!S85/'Fisico SPOT MAT'!S85/'Fisico SPOT MAT'!E85</f>
        <v>11.571718763515989</v>
      </c>
      <c r="O85" s="86"/>
      <c r="R85">
        <v>0.9</v>
      </c>
    </row>
    <row r="86" spans="1:18" ht="15" hidden="1" customHeight="1" x14ac:dyDescent="0.3">
      <c r="A86" s="1">
        <f t="shared" si="10"/>
        <v>2025</v>
      </c>
      <c r="B86" s="52">
        <f t="shared" si="11"/>
        <v>45992</v>
      </c>
      <c r="C86" s="1" t="s">
        <v>45</v>
      </c>
      <c r="D86" s="5">
        <f t="shared" si="15"/>
        <v>45992</v>
      </c>
      <c r="E86" s="30">
        <v>47.852747857860201</v>
      </c>
      <c r="F86" s="14">
        <f>+'Mono SPOT MAT'!M86/'Fisico SPOT MAT'!M86/24</f>
        <v>39.212750804979741</v>
      </c>
      <c r="G86" s="13">
        <f t="shared" si="12"/>
        <v>17.600000000000001</v>
      </c>
      <c r="H86" s="12">
        <f>+'Mono ASIG'!AA86</f>
        <v>64.022508150421643</v>
      </c>
      <c r="I86" s="12">
        <f>+H86-J86*384/744/0.52</f>
        <v>46.553525520148696</v>
      </c>
      <c r="J86" s="12">
        <f t="shared" si="14"/>
        <v>17.600000000000001</v>
      </c>
      <c r="K86" s="115"/>
      <c r="L86" s="86"/>
      <c r="M86" s="86"/>
      <c r="N86" s="108">
        <f>+'Mono SPOT MAT'!S86/'Fisico SPOT MAT'!S86/'Fisico SPOT MAT'!E86</f>
        <v>15.791563134142015</v>
      </c>
      <c r="O86" s="86"/>
      <c r="R86">
        <v>1.1000000000000001</v>
      </c>
    </row>
    <row r="87" spans="1:18" ht="15" hidden="1" customHeight="1" x14ac:dyDescent="0.3">
      <c r="A87" s="1">
        <f t="shared" si="10"/>
        <v>2025</v>
      </c>
      <c r="B87" s="52">
        <f t="shared" si="11"/>
        <v>45992</v>
      </c>
      <c r="C87" s="1" t="s">
        <v>46</v>
      </c>
      <c r="D87" s="5">
        <f t="shared" si="15"/>
        <v>45993</v>
      </c>
      <c r="E87" s="30">
        <v>44.491078778116837</v>
      </c>
      <c r="F87" s="14">
        <f>+'Mono SPOT MAT'!M87/'Fisico SPOT MAT'!M87/24</f>
        <v>38.655333050726419</v>
      </c>
      <c r="G87" s="13">
        <f t="shared" si="12"/>
        <v>17.600000000000001</v>
      </c>
      <c r="H87" s="12">
        <f>+'Mono ASIG'!AA87</f>
        <v>65.403461479333814</v>
      </c>
      <c r="I87" s="12">
        <f t="shared" ref="I87:I116" si="17">+H87-J87*384/744/0.52</f>
        <v>47.934478849060866</v>
      </c>
      <c r="J87" s="12">
        <f t="shared" si="14"/>
        <v>17.600000000000001</v>
      </c>
      <c r="K87" s="115"/>
      <c r="L87" s="86"/>
      <c r="M87" s="86"/>
      <c r="N87" s="107">
        <f>+'Mono SPOT MAT'!S87/'Fisico SPOT MAT'!S87/'Fisico SPOT MAT'!E87</f>
        <v>15.717185355511919</v>
      </c>
      <c r="O87" s="86"/>
      <c r="R87">
        <v>1.1000000000000001</v>
      </c>
    </row>
    <row r="88" spans="1:18" ht="15" hidden="1" customHeight="1" x14ac:dyDescent="0.3">
      <c r="A88" s="1">
        <f t="shared" si="10"/>
        <v>2025</v>
      </c>
      <c r="B88" s="52">
        <f t="shared" si="11"/>
        <v>45992</v>
      </c>
      <c r="C88" s="1" t="s">
        <v>47</v>
      </c>
      <c r="D88" s="5">
        <f t="shared" si="15"/>
        <v>45994</v>
      </c>
      <c r="E88" s="30">
        <v>49.450391463645929</v>
      </c>
      <c r="F88" s="14">
        <f>+'Mono SPOT MAT'!M88/'Fisico SPOT MAT'!M88/24</f>
        <v>40.563122782016421</v>
      </c>
      <c r="G88" s="13">
        <f t="shared" si="12"/>
        <v>17.600000000000001</v>
      </c>
      <c r="H88" s="12">
        <f>+'Mono ASIG'!AA88</f>
        <v>60.136069089140086</v>
      </c>
      <c r="I88" s="12">
        <f t="shared" si="17"/>
        <v>42.667086458867132</v>
      </c>
      <c r="J88" s="12">
        <f t="shared" si="14"/>
        <v>17.600000000000001</v>
      </c>
      <c r="K88" s="115"/>
      <c r="L88" s="86"/>
      <c r="M88" s="86"/>
      <c r="N88" s="108">
        <f>+'Mono SPOT MAT'!S88/'Fisico SPOT MAT'!S88/'Fisico SPOT MAT'!E88</f>
        <v>15.603869440283482</v>
      </c>
      <c r="O88" s="86"/>
      <c r="R88">
        <v>1.1000000000000001</v>
      </c>
    </row>
    <row r="89" spans="1:18" ht="15" hidden="1" customHeight="1" x14ac:dyDescent="0.3">
      <c r="A89" s="1">
        <f t="shared" si="10"/>
        <v>2025</v>
      </c>
      <c r="B89" s="52">
        <f t="shared" si="11"/>
        <v>45992</v>
      </c>
      <c r="C89" s="1" t="s">
        <v>48</v>
      </c>
      <c r="D89" s="5">
        <f t="shared" si="15"/>
        <v>45995</v>
      </c>
      <c r="E89" s="30">
        <v>48.991630817056908</v>
      </c>
      <c r="F89" s="14">
        <f>+'Mono SPOT MAT'!M89/'Fisico SPOT MAT'!M89/24</f>
        <v>41.329226264254892</v>
      </c>
      <c r="G89" s="13">
        <f t="shared" si="12"/>
        <v>17.600000000000001</v>
      </c>
      <c r="H89" s="12">
        <f>+'Mono ASIG'!AA89</f>
        <v>58.429943954614167</v>
      </c>
      <c r="I89" s="12">
        <f t="shared" si="17"/>
        <v>40.960961324341213</v>
      </c>
      <c r="J89" s="12">
        <f t="shared" si="14"/>
        <v>17.600000000000001</v>
      </c>
      <c r="K89" s="115"/>
      <c r="L89" s="86"/>
      <c r="M89" s="86"/>
      <c r="N89" s="107">
        <f>+'Mono SPOT MAT'!S89/'Fisico SPOT MAT'!S89/'Fisico SPOT MAT'!E89</f>
        <v>15.598165782800431</v>
      </c>
      <c r="O89" s="86"/>
      <c r="R89">
        <v>1.1000000000000001</v>
      </c>
    </row>
    <row r="90" spans="1:18" ht="15" hidden="1" customHeight="1" x14ac:dyDescent="0.3">
      <c r="A90" s="1">
        <f t="shared" ref="A90:A122" si="18">YEAR(D90)</f>
        <v>2025</v>
      </c>
      <c r="B90" s="52">
        <f t="shared" ref="B90:B153" si="19">DATE(A90,MONTH(D90),1)</f>
        <v>45992</v>
      </c>
      <c r="C90" s="1" t="s">
        <v>49</v>
      </c>
      <c r="D90" s="5">
        <f t="shared" si="15"/>
        <v>45996</v>
      </c>
      <c r="E90" s="30">
        <v>46.557260091777778</v>
      </c>
      <c r="F90" s="14">
        <f>+'Mono SPOT MAT'!M90/'Fisico SPOT MAT'!M90/24</f>
        <v>41.498490297561041</v>
      </c>
      <c r="G90" s="13">
        <f t="shared" ref="G90:G100" si="20">16*R90</f>
        <v>17.600000000000001</v>
      </c>
      <c r="H90" s="12">
        <f>+'Mono ASIG'!AA90</f>
        <v>57.109960298952842</v>
      </c>
      <c r="I90" s="12">
        <f t="shared" si="17"/>
        <v>39.640977668679895</v>
      </c>
      <c r="J90" s="12">
        <f t="shared" ref="J90:J100" si="21">16*R90</f>
        <v>17.600000000000001</v>
      </c>
      <c r="K90" s="115"/>
      <c r="L90" s="86"/>
      <c r="M90" s="86"/>
      <c r="N90" s="108">
        <f>+'Mono SPOT MAT'!S90/'Fisico SPOT MAT'!S90/'Fisico SPOT MAT'!E90</f>
        <v>15.745533024955501</v>
      </c>
      <c r="O90" s="86"/>
      <c r="R90">
        <v>1.1000000000000001</v>
      </c>
    </row>
    <row r="91" spans="1:18" ht="15" hidden="1" customHeight="1" x14ac:dyDescent="0.3">
      <c r="A91" s="1">
        <f t="shared" si="18"/>
        <v>2025</v>
      </c>
      <c r="B91" s="52">
        <f t="shared" si="19"/>
        <v>45992</v>
      </c>
      <c r="C91" s="1" t="s">
        <v>43</v>
      </c>
      <c r="D91" s="5">
        <f t="shared" ref="D91:D106" si="22">+ D90+1</f>
        <v>45997</v>
      </c>
      <c r="E91" s="30">
        <v>59.777719135432385</v>
      </c>
      <c r="F91" s="14">
        <f>+'Mono SPOT MAT'!M91/'Fisico SPOT MAT'!M91/24</f>
        <v>45.074174799035738</v>
      </c>
      <c r="G91" s="13">
        <f t="shared" si="20"/>
        <v>17.600000000000001</v>
      </c>
      <c r="H91" s="12">
        <f>+'Mono ASIG'!AA91</f>
        <v>61.338369257079087</v>
      </c>
      <c r="I91" s="12">
        <f t="shared" si="17"/>
        <v>43.869386626806133</v>
      </c>
      <c r="J91" s="12">
        <f t="shared" si="21"/>
        <v>17.600000000000001</v>
      </c>
      <c r="K91" s="115"/>
      <c r="L91" s="86"/>
      <c r="M91" s="86"/>
      <c r="N91" s="107">
        <f>+'Mono SPOT MAT'!S91/'Fisico SPOT MAT'!S91/'Fisico SPOT MAT'!E91</f>
        <v>15.666098564587935</v>
      </c>
      <c r="O91" s="86"/>
      <c r="R91">
        <v>1.1000000000000001</v>
      </c>
    </row>
    <row r="92" spans="1:18" ht="15" hidden="1" customHeight="1" x14ac:dyDescent="0.3">
      <c r="A92" s="1">
        <f t="shared" si="18"/>
        <v>2025</v>
      </c>
      <c r="B92" s="52">
        <f t="shared" si="19"/>
        <v>45992</v>
      </c>
      <c r="C92" s="1" t="s">
        <v>44</v>
      </c>
      <c r="D92" s="5">
        <f t="shared" si="22"/>
        <v>45998</v>
      </c>
      <c r="E92" s="30">
        <v>59.78868714073861</v>
      </c>
      <c r="F92" s="14">
        <f>+'Mono SPOT MAT'!M92/'Fisico SPOT MAT'!M92/24</f>
        <v>44.279851665499848</v>
      </c>
      <c r="G92" s="13">
        <f t="shared" si="20"/>
        <v>17.600000000000001</v>
      </c>
      <c r="H92" s="12">
        <f>+'Mono ASIG'!AA92</f>
        <v>65.415919407452876</v>
      </c>
      <c r="I92" s="12">
        <f t="shared" si="17"/>
        <v>47.946936777179928</v>
      </c>
      <c r="J92" s="12">
        <f t="shared" si="21"/>
        <v>17.600000000000001</v>
      </c>
      <c r="K92" s="115"/>
      <c r="L92" s="86"/>
      <c r="M92" s="86"/>
      <c r="N92" s="108">
        <f>+'Mono SPOT MAT'!S92/'Fisico SPOT MAT'!S92/'Fisico SPOT MAT'!E92</f>
        <v>15.759381217854768</v>
      </c>
      <c r="O92" s="86"/>
      <c r="R92">
        <v>1.1000000000000001</v>
      </c>
    </row>
    <row r="93" spans="1:18" ht="15" hidden="1" customHeight="1" x14ac:dyDescent="0.3">
      <c r="A93" s="1">
        <f t="shared" si="18"/>
        <v>2025</v>
      </c>
      <c r="B93" s="52">
        <f t="shared" si="19"/>
        <v>45992</v>
      </c>
      <c r="C93" s="1" t="s">
        <v>45</v>
      </c>
      <c r="D93" s="5">
        <f t="shared" si="22"/>
        <v>45999</v>
      </c>
      <c r="E93" s="30">
        <v>33.099054371965885</v>
      </c>
      <c r="F93" s="14">
        <f>+'Mono SPOT MAT'!M93/'Fisico SPOT MAT'!M93/24</f>
        <v>39.032010057155823</v>
      </c>
      <c r="G93" s="13">
        <f t="shared" si="20"/>
        <v>17.600000000000001</v>
      </c>
      <c r="H93" s="12">
        <f>+'Mono ASIG'!AA93</f>
        <v>69.521917010869672</v>
      </c>
      <c r="I93" s="12">
        <f t="shared" si="17"/>
        <v>52.052934380596724</v>
      </c>
      <c r="J93" s="12">
        <f t="shared" si="21"/>
        <v>17.600000000000001</v>
      </c>
      <c r="K93" s="115"/>
      <c r="L93" s="86"/>
      <c r="M93" s="86"/>
      <c r="N93" s="107">
        <f>+'Mono SPOT MAT'!S93/'Fisico SPOT MAT'!S93/'Fisico SPOT MAT'!E93</f>
        <v>15.821781316813608</v>
      </c>
      <c r="O93" s="86"/>
      <c r="R93">
        <v>1.1000000000000001</v>
      </c>
    </row>
    <row r="94" spans="1:18" ht="15" hidden="1" customHeight="1" x14ac:dyDescent="0.3">
      <c r="A94" s="1">
        <f t="shared" si="18"/>
        <v>2025</v>
      </c>
      <c r="B94" s="52">
        <f t="shared" si="19"/>
        <v>45992</v>
      </c>
      <c r="C94" s="1" t="s">
        <v>46</v>
      </c>
      <c r="D94" s="5">
        <f t="shared" si="22"/>
        <v>46000</v>
      </c>
      <c r="E94" s="30">
        <v>44.732648084243522</v>
      </c>
      <c r="F94" s="14">
        <f>+'Mono SPOT MAT'!M94/'Fisico SPOT MAT'!M94/24</f>
        <v>39.734636721118669</v>
      </c>
      <c r="G94" s="13">
        <f t="shared" si="20"/>
        <v>17.600000000000001</v>
      </c>
      <c r="H94" s="12">
        <f>+'Mono ASIG'!AA94</f>
        <v>63.943976625605529</v>
      </c>
      <c r="I94" s="12">
        <f t="shared" si="17"/>
        <v>46.474993995332582</v>
      </c>
      <c r="J94" s="12">
        <f t="shared" si="21"/>
        <v>17.600000000000001</v>
      </c>
      <c r="K94" s="115"/>
      <c r="L94" s="86"/>
      <c r="M94" s="86"/>
      <c r="N94" s="108">
        <f>+'Mono SPOT MAT'!S94/'Fisico SPOT MAT'!S94/'Fisico SPOT MAT'!E94</f>
        <v>15.758849357732403</v>
      </c>
      <c r="O94" s="86"/>
      <c r="R94">
        <v>1.1000000000000001</v>
      </c>
    </row>
    <row r="95" spans="1:18" ht="15" hidden="1" customHeight="1" x14ac:dyDescent="0.3">
      <c r="A95" s="1">
        <f t="shared" si="18"/>
        <v>2025</v>
      </c>
      <c r="B95" s="52">
        <f t="shared" si="19"/>
        <v>45992</v>
      </c>
      <c r="C95" s="1" t="s">
        <v>47</v>
      </c>
      <c r="D95" s="5">
        <f t="shared" si="22"/>
        <v>46001</v>
      </c>
      <c r="E95" s="30">
        <v>42.887196577843731</v>
      </c>
      <c r="F95" s="14">
        <f>+'Mono SPOT MAT'!M95/'Fisico SPOT MAT'!M95/24</f>
        <v>40.253765467332563</v>
      </c>
      <c r="G95" s="13">
        <f t="shared" si="20"/>
        <v>17.600000000000001</v>
      </c>
      <c r="H95" s="12">
        <f>+'Mono ASIG'!AA95</f>
        <v>59.940250584124009</v>
      </c>
      <c r="I95" s="12">
        <f t="shared" si="17"/>
        <v>42.471267953851054</v>
      </c>
      <c r="J95" s="12">
        <f t="shared" si="21"/>
        <v>17.600000000000001</v>
      </c>
      <c r="K95" s="115"/>
      <c r="L95" s="86"/>
      <c r="M95" s="86"/>
      <c r="N95" s="107">
        <f>+'Mono SPOT MAT'!S95/'Fisico SPOT MAT'!S95/'Fisico SPOT MAT'!E95</f>
        <v>15.797692491690901</v>
      </c>
      <c r="O95" s="86"/>
      <c r="R95">
        <v>1.1000000000000001</v>
      </c>
    </row>
    <row r="96" spans="1:18" ht="15" hidden="1" customHeight="1" x14ac:dyDescent="0.3">
      <c r="A96" s="1">
        <f t="shared" si="18"/>
        <v>2025</v>
      </c>
      <c r="B96" s="52">
        <f t="shared" si="19"/>
        <v>45992</v>
      </c>
      <c r="C96" s="1" t="s">
        <v>48</v>
      </c>
      <c r="D96" s="5">
        <f t="shared" si="22"/>
        <v>46002</v>
      </c>
      <c r="E96" s="30">
        <v>40.28707786463621</v>
      </c>
      <c r="F96" s="14">
        <f>+'Mono SPOT MAT'!M96/'Fisico SPOT MAT'!M96/24</f>
        <v>39.644080382055158</v>
      </c>
      <c r="G96" s="13">
        <f t="shared" si="20"/>
        <v>17.600000000000001</v>
      </c>
      <c r="H96" s="12">
        <f>+'Mono ASIG'!AA96</f>
        <v>62.351925362911793</v>
      </c>
      <c r="I96" s="12">
        <f t="shared" si="17"/>
        <v>44.882942732638838</v>
      </c>
      <c r="J96" s="12">
        <f t="shared" si="21"/>
        <v>17.600000000000001</v>
      </c>
      <c r="K96" s="115"/>
      <c r="L96" s="86"/>
      <c r="M96" s="86"/>
      <c r="N96" s="108">
        <f>+'Mono SPOT MAT'!S96/'Fisico SPOT MAT'!S96/'Fisico SPOT MAT'!E96</f>
        <v>15.800859891038023</v>
      </c>
      <c r="O96" s="86"/>
      <c r="R96">
        <v>1.1000000000000001</v>
      </c>
    </row>
    <row r="97" spans="1:18" ht="15" hidden="1" customHeight="1" x14ac:dyDescent="0.3">
      <c r="A97" s="1">
        <f t="shared" si="18"/>
        <v>2025</v>
      </c>
      <c r="B97" s="52">
        <f t="shared" si="19"/>
        <v>45992</v>
      </c>
      <c r="C97" s="1" t="s">
        <v>49</v>
      </c>
      <c r="D97" s="5">
        <f t="shared" si="22"/>
        <v>46003</v>
      </c>
      <c r="E97" s="30">
        <v>42.528427002062379</v>
      </c>
      <c r="F97" s="14">
        <f>+'Mono SPOT MAT'!M97/'Fisico SPOT MAT'!M97/24</f>
        <v>40.594159390189425</v>
      </c>
      <c r="G97" s="13">
        <f t="shared" si="20"/>
        <v>17.600000000000001</v>
      </c>
      <c r="H97" s="12">
        <f>+'Mono ASIG'!AA97</f>
        <v>63.615281189073819</v>
      </c>
      <c r="I97" s="12">
        <f t="shared" si="17"/>
        <v>46.146298558800865</v>
      </c>
      <c r="J97" s="12">
        <f t="shared" si="21"/>
        <v>17.600000000000001</v>
      </c>
      <c r="K97" s="115"/>
      <c r="L97" s="86"/>
      <c r="M97" s="86"/>
      <c r="N97" s="107">
        <f>+'Mono SPOT MAT'!S97/'Fisico SPOT MAT'!S97/'Fisico SPOT MAT'!E97</f>
        <v>15.796272400373828</v>
      </c>
      <c r="O97" s="86"/>
      <c r="R97">
        <v>1.1000000000000001</v>
      </c>
    </row>
    <row r="98" spans="1:18" ht="15" hidden="1" customHeight="1" x14ac:dyDescent="0.3">
      <c r="A98" s="1">
        <f t="shared" si="18"/>
        <v>2025</v>
      </c>
      <c r="B98" s="52">
        <f t="shared" si="19"/>
        <v>45992</v>
      </c>
      <c r="C98" s="1" t="s">
        <v>43</v>
      </c>
      <c r="D98" s="5">
        <f t="shared" si="22"/>
        <v>46004</v>
      </c>
      <c r="E98" s="30">
        <v>41.026703483124294</v>
      </c>
      <c r="F98" s="14">
        <f>+'Mono SPOT MAT'!M98/'Fisico SPOT MAT'!M98/24</f>
        <v>39.194707875900271</v>
      </c>
      <c r="G98" s="13">
        <f t="shared" si="20"/>
        <v>17.600000000000001</v>
      </c>
      <c r="H98" s="12">
        <f>+'Mono ASIG'!AA98</f>
        <v>64.188813252666918</v>
      </c>
      <c r="I98" s="12">
        <f t="shared" si="17"/>
        <v>46.719830622393971</v>
      </c>
      <c r="J98" s="12">
        <f t="shared" si="21"/>
        <v>17.600000000000001</v>
      </c>
      <c r="K98" s="115"/>
      <c r="L98" s="86"/>
      <c r="M98" s="86"/>
      <c r="N98" s="108">
        <f>+'Mono SPOT MAT'!S98/'Fisico SPOT MAT'!S98/'Fisico SPOT MAT'!E98</f>
        <v>15.878278018924297</v>
      </c>
      <c r="O98" s="86"/>
      <c r="R98">
        <v>1.1000000000000001</v>
      </c>
    </row>
    <row r="99" spans="1:18" ht="15" hidden="1" customHeight="1" x14ac:dyDescent="0.3">
      <c r="A99" s="1">
        <f t="shared" si="18"/>
        <v>2025</v>
      </c>
      <c r="B99" s="52">
        <f t="shared" si="19"/>
        <v>45992</v>
      </c>
      <c r="C99" s="1" t="s">
        <v>44</v>
      </c>
      <c r="D99" s="5">
        <f t="shared" si="22"/>
        <v>46005</v>
      </c>
      <c r="E99" s="30">
        <v>28.483416826479566</v>
      </c>
      <c r="F99" s="14">
        <f>+'Mono SPOT MAT'!M99/'Fisico SPOT MAT'!M99/24</f>
        <v>38.813699734297124</v>
      </c>
      <c r="G99" s="13">
        <f t="shared" si="20"/>
        <v>17.600000000000001</v>
      </c>
      <c r="H99" s="12">
        <f>+'Mono ASIG'!AA99</f>
        <v>67.817290905468525</v>
      </c>
      <c r="I99" s="12">
        <f t="shared" si="17"/>
        <v>50.348308275195578</v>
      </c>
      <c r="J99" s="12">
        <f t="shared" si="21"/>
        <v>17.600000000000001</v>
      </c>
      <c r="K99" s="115"/>
      <c r="L99" s="86"/>
      <c r="M99" s="86"/>
      <c r="N99" s="107">
        <f>+'Mono SPOT MAT'!S99/'Fisico SPOT MAT'!S99/'Fisico SPOT MAT'!E99</f>
        <v>15.913821841180175</v>
      </c>
      <c r="O99" s="86"/>
      <c r="R99">
        <v>1.1000000000000001</v>
      </c>
    </row>
    <row r="100" spans="1:18" ht="15" hidden="1" customHeight="1" x14ac:dyDescent="0.3">
      <c r="A100" s="1">
        <f t="shared" si="18"/>
        <v>2025</v>
      </c>
      <c r="B100" s="52">
        <f t="shared" si="19"/>
        <v>45992</v>
      </c>
      <c r="C100" s="1" t="s">
        <v>45</v>
      </c>
      <c r="D100" s="5">
        <f t="shared" si="22"/>
        <v>46006</v>
      </c>
      <c r="E100" s="30">
        <v>32.860506612439771</v>
      </c>
      <c r="F100" s="14">
        <f>+'Mono SPOT MAT'!M100/'Fisico SPOT MAT'!M100/24</f>
        <v>38.285685634306567</v>
      </c>
      <c r="G100" s="13">
        <f t="shared" si="20"/>
        <v>17.600000000000001</v>
      </c>
      <c r="H100" s="12">
        <f>+'Mono ASIG'!AA100</f>
        <v>71.330671799456553</v>
      </c>
      <c r="I100" s="12">
        <f t="shared" si="17"/>
        <v>53.861689169183606</v>
      </c>
      <c r="J100" s="12">
        <f t="shared" si="21"/>
        <v>17.600000000000001</v>
      </c>
      <c r="K100" s="115"/>
      <c r="L100" s="86"/>
      <c r="M100" s="86"/>
      <c r="N100" s="108">
        <f>+'Mono SPOT MAT'!S100/'Fisico SPOT MAT'!S100/'Fisico SPOT MAT'!E100</f>
        <v>15.901014763315393</v>
      </c>
      <c r="O100" s="86"/>
      <c r="R100">
        <v>1.1000000000000001</v>
      </c>
    </row>
    <row r="101" spans="1:18" ht="15" hidden="1" customHeight="1" x14ac:dyDescent="0.3">
      <c r="A101" s="1">
        <f t="shared" si="18"/>
        <v>2025</v>
      </c>
      <c r="B101" s="52">
        <f t="shared" si="19"/>
        <v>45992</v>
      </c>
      <c r="C101" s="1" t="s">
        <v>46</v>
      </c>
      <c r="D101" s="5">
        <f t="shared" si="22"/>
        <v>46007</v>
      </c>
      <c r="E101" s="30">
        <v>29.929055903749582</v>
      </c>
      <c r="F101" s="14">
        <f>+'Mono SPOT MAT'!M101/'Fisico SPOT MAT'!M101/24</f>
        <v>38.486272904569752</v>
      </c>
      <c r="G101" s="13">
        <f t="shared" ref="G101:G106" si="23">16*R101</f>
        <v>17.600000000000001</v>
      </c>
      <c r="H101" s="12">
        <f>+'Mono ASIG'!AA101</f>
        <v>67.453661360204379</v>
      </c>
      <c r="I101" s="12">
        <f t="shared" si="17"/>
        <v>49.984678729931431</v>
      </c>
      <c r="J101" s="12">
        <f t="shared" ref="J101:J106" si="24">16*R101</f>
        <v>17.600000000000001</v>
      </c>
      <c r="K101" s="115"/>
      <c r="L101" s="86"/>
      <c r="M101" s="86"/>
      <c r="N101" s="107">
        <f>+'Mono SPOT MAT'!S101/'Fisico SPOT MAT'!S101/'Fisico SPOT MAT'!E101</f>
        <v>15.899995481233988</v>
      </c>
      <c r="O101" s="86"/>
      <c r="R101">
        <v>1.1000000000000001</v>
      </c>
    </row>
    <row r="102" spans="1:18" ht="15" hidden="1" customHeight="1" x14ac:dyDescent="0.3">
      <c r="A102" s="1">
        <f t="shared" si="18"/>
        <v>2025</v>
      </c>
      <c r="B102" s="52">
        <f t="shared" si="19"/>
        <v>45992</v>
      </c>
      <c r="C102" s="1" t="s">
        <v>47</v>
      </c>
      <c r="D102" s="5">
        <f t="shared" si="22"/>
        <v>46008</v>
      </c>
      <c r="E102" s="30">
        <v>29.416577618046826</v>
      </c>
      <c r="F102" s="14">
        <f>+'Mono SPOT MAT'!M102/'Fisico SPOT MAT'!M102/24</f>
        <v>39.213871746571364</v>
      </c>
      <c r="G102" s="13">
        <f t="shared" si="23"/>
        <v>17.600000000000001</v>
      </c>
      <c r="H102" s="12">
        <f>+'Mono ASIG'!AA102</f>
        <v>67.216178885723124</v>
      </c>
      <c r="I102" s="12">
        <f t="shared" si="17"/>
        <v>49.747196255450177</v>
      </c>
      <c r="J102" s="12">
        <f t="shared" si="24"/>
        <v>17.600000000000001</v>
      </c>
      <c r="K102" s="115"/>
      <c r="L102" s="86"/>
      <c r="M102" s="86"/>
      <c r="N102" s="108">
        <f>+'Mono SPOT MAT'!S102/'Fisico SPOT MAT'!S102/'Fisico SPOT MAT'!E102</f>
        <v>15.838874774355778</v>
      </c>
      <c r="O102" s="86"/>
      <c r="R102">
        <v>1.1000000000000001</v>
      </c>
    </row>
    <row r="103" spans="1:18" ht="15" hidden="1" customHeight="1" x14ac:dyDescent="0.3">
      <c r="A103" s="1">
        <f t="shared" si="18"/>
        <v>2025</v>
      </c>
      <c r="B103" s="52">
        <f t="shared" si="19"/>
        <v>45992</v>
      </c>
      <c r="C103" s="1" t="s">
        <v>48</v>
      </c>
      <c r="D103" s="5">
        <f t="shared" si="22"/>
        <v>46009</v>
      </c>
      <c r="E103" s="30">
        <v>38.432170634316037</v>
      </c>
      <c r="F103" s="14">
        <f>+'Mono SPOT MAT'!M103/'Fisico SPOT MAT'!M103/24</f>
        <v>39.432820377375741</v>
      </c>
      <c r="G103" s="13">
        <f t="shared" si="23"/>
        <v>17.600000000000001</v>
      </c>
      <c r="H103" s="12">
        <f>+'Mono ASIG'!AA103</f>
        <v>61.566008520822656</v>
      </c>
      <c r="I103" s="12">
        <f t="shared" si="17"/>
        <v>44.097025890549702</v>
      </c>
      <c r="J103" s="12">
        <f t="shared" si="24"/>
        <v>17.600000000000001</v>
      </c>
      <c r="K103" s="115"/>
      <c r="L103" s="86"/>
      <c r="M103" s="86"/>
      <c r="N103" s="107">
        <f>+'Mono SPOT MAT'!S103/'Fisico SPOT MAT'!S103/'Fisico SPOT MAT'!E103</f>
        <v>15.789468983403561</v>
      </c>
      <c r="O103" s="86"/>
      <c r="R103">
        <v>1.1000000000000001</v>
      </c>
    </row>
    <row r="104" spans="1:18" ht="15" hidden="1" customHeight="1" x14ac:dyDescent="0.3">
      <c r="A104" s="1">
        <f t="shared" si="18"/>
        <v>2025</v>
      </c>
      <c r="B104" s="52">
        <f t="shared" si="19"/>
        <v>45992</v>
      </c>
      <c r="C104" s="1" t="s">
        <v>49</v>
      </c>
      <c r="D104" s="5">
        <f t="shared" si="22"/>
        <v>46010</v>
      </c>
      <c r="E104" s="30">
        <v>41.955023026257052</v>
      </c>
      <c r="F104" s="14">
        <f>+'Mono SPOT MAT'!M104/'Fisico SPOT MAT'!M104/24</f>
        <v>39.656602671833696</v>
      </c>
      <c r="G104" s="13">
        <f t="shared" si="23"/>
        <v>17.600000000000001</v>
      </c>
      <c r="H104" s="12">
        <f>+'Mono ASIG'!AA104</f>
        <v>59.671615639342413</v>
      </c>
      <c r="I104" s="12">
        <f t="shared" si="17"/>
        <v>42.202633009069459</v>
      </c>
      <c r="J104" s="12">
        <f t="shared" si="24"/>
        <v>17.600000000000001</v>
      </c>
      <c r="K104" s="115"/>
      <c r="L104" s="86"/>
      <c r="M104" s="86"/>
      <c r="N104" s="108">
        <f>+'Mono SPOT MAT'!S104/'Fisico SPOT MAT'!S104/'Fisico SPOT MAT'!E104</f>
        <v>15.793968131310672</v>
      </c>
      <c r="O104" s="86"/>
      <c r="R104">
        <v>1.1000000000000001</v>
      </c>
    </row>
    <row r="105" spans="1:18" ht="15" hidden="1" customHeight="1" x14ac:dyDescent="0.3">
      <c r="A105" s="1">
        <f t="shared" si="18"/>
        <v>2025</v>
      </c>
      <c r="B105" s="52">
        <f t="shared" si="19"/>
        <v>45992</v>
      </c>
      <c r="C105" s="1" t="s">
        <v>43</v>
      </c>
      <c r="D105" s="5">
        <f t="shared" si="22"/>
        <v>46011</v>
      </c>
      <c r="E105" s="30">
        <v>35.723015659338927</v>
      </c>
      <c r="F105" s="14">
        <f>+'Mono SPOT MAT'!M105/'Fisico SPOT MAT'!M105/24</f>
        <v>38.784172606726308</v>
      </c>
      <c r="G105" s="13">
        <f t="shared" si="23"/>
        <v>17.600000000000001</v>
      </c>
      <c r="H105" s="12">
        <f>+'Mono ASIG'!AA105</f>
        <v>66.172988772266862</v>
      </c>
      <c r="I105" s="12">
        <f t="shared" si="17"/>
        <v>48.704006141993915</v>
      </c>
      <c r="J105" s="12">
        <f t="shared" si="24"/>
        <v>17.600000000000001</v>
      </c>
      <c r="K105" s="115"/>
      <c r="L105" s="86"/>
      <c r="M105" s="86"/>
      <c r="N105" s="107">
        <f>+'Mono SPOT MAT'!S105/'Fisico SPOT MAT'!S105/'Fisico SPOT MAT'!E105</f>
        <v>15.732545147389656</v>
      </c>
      <c r="O105" s="86"/>
      <c r="R105">
        <v>1.1000000000000001</v>
      </c>
    </row>
    <row r="106" spans="1:18" ht="15" hidden="1" customHeight="1" x14ac:dyDescent="0.3">
      <c r="A106" s="1">
        <f t="shared" si="18"/>
        <v>2025</v>
      </c>
      <c r="B106" s="52">
        <f t="shared" si="19"/>
        <v>45992</v>
      </c>
      <c r="C106" s="1" t="s">
        <v>44</v>
      </c>
      <c r="D106" s="5">
        <f t="shared" si="22"/>
        <v>46012</v>
      </c>
      <c r="E106" s="30">
        <v>37.462856985829454</v>
      </c>
      <c r="F106" s="14">
        <f>+'Mono SPOT MAT'!M106/'Fisico SPOT MAT'!M106/24</f>
        <v>39.039134345971341</v>
      </c>
      <c r="G106" s="13">
        <f t="shared" si="23"/>
        <v>17.600000000000001</v>
      </c>
      <c r="H106" s="12">
        <f>+'Mono ASIG'!AA106</f>
        <v>69.787774484985249</v>
      </c>
      <c r="I106" s="12">
        <f t="shared" si="17"/>
        <v>52.318791854712302</v>
      </c>
      <c r="J106" s="12">
        <f t="shared" si="24"/>
        <v>17.600000000000001</v>
      </c>
      <c r="K106" s="115"/>
      <c r="L106" s="86"/>
      <c r="M106" s="86"/>
      <c r="N106" s="108">
        <f>+'Mono SPOT MAT'!S106/'Fisico SPOT MAT'!S106/'Fisico SPOT MAT'!E106</f>
        <v>15.755225562370658</v>
      </c>
      <c r="O106" s="86"/>
      <c r="R106">
        <v>1.1000000000000001</v>
      </c>
    </row>
    <row r="107" spans="1:18" ht="15" hidden="1" customHeight="1" x14ac:dyDescent="0.3">
      <c r="A107" s="1">
        <f t="shared" si="18"/>
        <v>2025</v>
      </c>
      <c r="B107" s="52">
        <f t="shared" si="19"/>
        <v>45992</v>
      </c>
      <c r="C107" s="1" t="s">
        <v>45</v>
      </c>
      <c r="D107" s="5">
        <v>46013</v>
      </c>
      <c r="E107" s="30">
        <v>34.908332968094861</v>
      </c>
      <c r="F107" s="14">
        <f>+'Mono SPOT MAT'!M107/'Fisico SPOT MAT'!M107/24</f>
        <v>38.472385555850614</v>
      </c>
      <c r="G107" s="13">
        <f t="shared" ref="G107:G113" si="25">16*R107</f>
        <v>17.600000000000001</v>
      </c>
      <c r="H107" s="12">
        <f>+'Mono ASIG'!AA107</f>
        <v>65.328748923064751</v>
      </c>
      <c r="I107" s="12">
        <f t="shared" si="17"/>
        <v>47.859766292791804</v>
      </c>
      <c r="J107" s="12">
        <f t="shared" ref="J107:J113" si="26">16*R107</f>
        <v>17.600000000000001</v>
      </c>
      <c r="K107" s="115"/>
      <c r="L107" s="86"/>
      <c r="M107" s="86"/>
      <c r="N107" s="107">
        <f>+'Mono SPOT MAT'!S107/'Fisico SPOT MAT'!S107/'Fisico SPOT MAT'!E107</f>
        <v>15.777341075903141</v>
      </c>
      <c r="O107" s="86"/>
      <c r="R107">
        <v>1.1000000000000001</v>
      </c>
    </row>
    <row r="108" spans="1:18" ht="15" hidden="1" customHeight="1" x14ac:dyDescent="0.3">
      <c r="A108" s="1">
        <f t="shared" si="18"/>
        <v>2025</v>
      </c>
      <c r="B108" s="52">
        <f t="shared" si="19"/>
        <v>45992</v>
      </c>
      <c r="C108" s="1" t="s">
        <v>46</v>
      </c>
      <c r="D108" s="5">
        <v>46014</v>
      </c>
      <c r="E108" s="30">
        <v>39.053963347680835</v>
      </c>
      <c r="F108" s="14">
        <f>+'Mono SPOT MAT'!M108/'Fisico SPOT MAT'!M108/24</f>
        <v>39.50347157208801</v>
      </c>
      <c r="G108" s="13">
        <f t="shared" si="25"/>
        <v>17.600000000000001</v>
      </c>
      <c r="H108" s="12">
        <f>+'Mono ASIG'!AA108</f>
        <v>60.802256929706886</v>
      </c>
      <c r="I108" s="12">
        <f t="shared" si="17"/>
        <v>43.333274299433938</v>
      </c>
      <c r="J108" s="12">
        <f t="shared" si="26"/>
        <v>17.600000000000001</v>
      </c>
      <c r="K108" s="115"/>
      <c r="L108" s="86"/>
      <c r="M108" s="86"/>
      <c r="N108" s="108">
        <f>+'Mono SPOT MAT'!S108/'Fisico SPOT MAT'!S108/'Fisico SPOT MAT'!E108</f>
        <v>15.795271124100561</v>
      </c>
      <c r="O108" s="86"/>
      <c r="R108">
        <v>1.1000000000000001</v>
      </c>
    </row>
    <row r="109" spans="1:18" ht="15" hidden="1" customHeight="1" x14ac:dyDescent="0.3">
      <c r="A109" s="1">
        <f t="shared" si="18"/>
        <v>2025</v>
      </c>
      <c r="B109" s="52">
        <f t="shared" si="19"/>
        <v>45992</v>
      </c>
      <c r="C109" s="1" t="s">
        <v>47</v>
      </c>
      <c r="D109" s="5">
        <v>46015</v>
      </c>
      <c r="E109" s="30">
        <v>33.616898111914168</v>
      </c>
      <c r="F109" s="14">
        <f>+'Mono SPOT MAT'!M109/'Fisico SPOT MAT'!M109/24</f>
        <v>39.375750484786728</v>
      </c>
      <c r="G109" s="13">
        <f t="shared" si="25"/>
        <v>17.600000000000001</v>
      </c>
      <c r="H109" s="12">
        <f>+'Mono ASIG'!AA109</f>
        <v>60.369523512698692</v>
      </c>
      <c r="I109" s="12">
        <f t="shared" si="17"/>
        <v>42.900540882425744</v>
      </c>
      <c r="J109" s="12">
        <f t="shared" si="26"/>
        <v>17.600000000000001</v>
      </c>
      <c r="K109" s="115"/>
      <c r="L109" s="86"/>
      <c r="M109" s="86"/>
      <c r="N109" s="107">
        <f>+'Mono SPOT MAT'!S109/'Fisico SPOT MAT'!S109/'Fisico SPOT MAT'!E109</f>
        <v>15.800721434027842</v>
      </c>
      <c r="O109" s="86"/>
      <c r="R109">
        <v>1.1000000000000001</v>
      </c>
    </row>
    <row r="110" spans="1:18" ht="15" hidden="1" customHeight="1" x14ac:dyDescent="0.3">
      <c r="A110" s="1">
        <f t="shared" si="18"/>
        <v>2025</v>
      </c>
      <c r="B110" s="52">
        <f t="shared" si="19"/>
        <v>45992</v>
      </c>
      <c r="C110" s="1" t="s">
        <v>48</v>
      </c>
      <c r="D110" s="5">
        <v>46016</v>
      </c>
      <c r="E110" s="30">
        <v>17.542253164298646</v>
      </c>
      <c r="F110" s="14">
        <f>+'Mono SPOT MAT'!M110/'Fisico SPOT MAT'!M110/24</f>
        <v>39.991515395147594</v>
      </c>
      <c r="G110" s="13">
        <f t="shared" si="25"/>
        <v>17.600000000000001</v>
      </c>
      <c r="H110" s="12">
        <f>+'Mono ASIG'!AA110</f>
        <v>67.776056320703319</v>
      </c>
      <c r="I110" s="12">
        <f t="shared" si="17"/>
        <v>50.307073690430371</v>
      </c>
      <c r="J110" s="12">
        <f t="shared" si="26"/>
        <v>17.600000000000001</v>
      </c>
      <c r="K110" s="115"/>
      <c r="L110" s="86"/>
      <c r="M110" s="86"/>
      <c r="N110" s="108">
        <f>+'Mono SPOT MAT'!S110/'Fisico SPOT MAT'!S110/'Fisico SPOT MAT'!E110</f>
        <v>15.823144757879909</v>
      </c>
      <c r="O110" s="86"/>
      <c r="R110">
        <v>1.1000000000000001</v>
      </c>
    </row>
    <row r="111" spans="1:18" ht="15" hidden="1" customHeight="1" x14ac:dyDescent="0.3">
      <c r="A111" s="1">
        <f t="shared" si="18"/>
        <v>2025</v>
      </c>
      <c r="B111" s="52">
        <f t="shared" si="19"/>
        <v>45992</v>
      </c>
      <c r="C111" s="1" t="s">
        <v>49</v>
      </c>
      <c r="D111" s="5">
        <v>46017</v>
      </c>
      <c r="E111" s="30">
        <v>37.063624659139748</v>
      </c>
      <c r="F111" s="14">
        <f>+'Mono SPOT MAT'!M111/'Fisico SPOT MAT'!M111/24</f>
        <v>38.444240299288076</v>
      </c>
      <c r="G111" s="13">
        <f t="shared" si="25"/>
        <v>17.600000000000001</v>
      </c>
      <c r="H111" s="12">
        <f>+'Mono ASIG'!AA111</f>
        <v>61.16883524211125</v>
      </c>
      <c r="I111" s="12">
        <f t="shared" si="17"/>
        <v>43.699852611838296</v>
      </c>
      <c r="J111" s="12">
        <f t="shared" si="26"/>
        <v>17.600000000000001</v>
      </c>
      <c r="K111" s="115"/>
      <c r="L111" s="86"/>
      <c r="M111" s="86"/>
      <c r="N111" s="107">
        <f>+'Mono SPOT MAT'!S111/'Fisico SPOT MAT'!S111/'Fisico SPOT MAT'!E111</f>
        <v>15.812135491102895</v>
      </c>
      <c r="O111" s="86"/>
      <c r="R111">
        <v>1.1000000000000001</v>
      </c>
    </row>
    <row r="112" spans="1:18" ht="15" hidden="1" customHeight="1" x14ac:dyDescent="0.3">
      <c r="A112" s="1">
        <f t="shared" si="18"/>
        <v>2025</v>
      </c>
      <c r="B112" s="52">
        <f t="shared" si="19"/>
        <v>45992</v>
      </c>
      <c r="C112" s="1" t="s">
        <v>43</v>
      </c>
      <c r="D112" s="5">
        <v>46018</v>
      </c>
      <c r="E112" s="30">
        <v>40.30824156571591</v>
      </c>
      <c r="F112" s="14">
        <f>+'Mono SPOT MAT'!M112/'Fisico SPOT MAT'!M112/24</f>
        <v>38.133046535656796</v>
      </c>
      <c r="G112" s="13">
        <f t="shared" si="25"/>
        <v>17.600000000000001</v>
      </c>
      <c r="H112" s="12">
        <f>+'Mono ASIG'!AA112</f>
        <v>60.679223551247624</v>
      </c>
      <c r="I112" s="12">
        <f t="shared" si="17"/>
        <v>43.21024092097467</v>
      </c>
      <c r="J112" s="12">
        <f t="shared" si="26"/>
        <v>17.600000000000001</v>
      </c>
      <c r="K112" s="115"/>
      <c r="L112" s="86"/>
      <c r="M112" s="86"/>
      <c r="N112" s="108">
        <f>+'Mono SPOT MAT'!S112/'Fisico SPOT MAT'!S112/'Fisico SPOT MAT'!E112</f>
        <v>15.773487215206778</v>
      </c>
      <c r="O112" s="86"/>
      <c r="R112">
        <v>1.1000000000000001</v>
      </c>
    </row>
    <row r="113" spans="1:28" ht="15" hidden="1" customHeight="1" x14ac:dyDescent="0.3">
      <c r="A113" s="1">
        <f t="shared" si="18"/>
        <v>2025</v>
      </c>
      <c r="B113" s="52">
        <f t="shared" si="19"/>
        <v>45992</v>
      </c>
      <c r="C113" s="1" t="s">
        <v>44</v>
      </c>
      <c r="D113" s="5">
        <v>46019</v>
      </c>
      <c r="E113" s="30">
        <v>32.182800235886091</v>
      </c>
      <c r="F113" s="14">
        <f>+'Mono SPOT MAT'!M113/'Fisico SPOT MAT'!M113/24</f>
        <v>41.386755151632009</v>
      </c>
      <c r="G113" s="13">
        <f t="shared" si="25"/>
        <v>17.600000000000001</v>
      </c>
      <c r="H113" s="12">
        <f>+'Mono ASIG'!AA113</f>
        <v>67.390298795308084</v>
      </c>
      <c r="I113" s="12">
        <f t="shared" si="17"/>
        <v>49.921316165035137</v>
      </c>
      <c r="J113" s="12">
        <f t="shared" si="26"/>
        <v>17.600000000000001</v>
      </c>
      <c r="K113" s="115"/>
      <c r="L113" s="86"/>
      <c r="M113" s="86"/>
      <c r="N113" s="107">
        <f>+'Mono SPOT MAT'!S113/'Fisico SPOT MAT'!S113/'Fisico SPOT MAT'!E113</f>
        <v>15.784405449100548</v>
      </c>
      <c r="O113" s="86"/>
      <c r="R113">
        <v>1.1000000000000001</v>
      </c>
    </row>
    <row r="114" spans="1:28" ht="15" hidden="1" customHeight="1" x14ac:dyDescent="0.3">
      <c r="A114" s="1">
        <f t="shared" si="18"/>
        <v>2025</v>
      </c>
      <c r="B114" s="52">
        <f t="shared" si="19"/>
        <v>45992</v>
      </c>
      <c r="C114" s="1" t="s">
        <v>45</v>
      </c>
      <c r="D114" s="5">
        <f t="shared" ref="D114:D177" si="27">+D113+1</f>
        <v>46020</v>
      </c>
      <c r="E114" s="30">
        <v>48.711246202528891</v>
      </c>
      <c r="F114" s="14">
        <f>+'Mono SPOT MAT'!M114/'Fisico SPOT MAT'!M114/24</f>
        <v>43.179977271452508</v>
      </c>
      <c r="G114" s="13">
        <f t="shared" ref="G114:G119" si="28">16*R114</f>
        <v>17.600000000000001</v>
      </c>
      <c r="H114" s="12">
        <f>+'Mono ASIG'!AA114</f>
        <v>66.639510625659724</v>
      </c>
      <c r="I114" s="12">
        <f t="shared" si="17"/>
        <v>49.170527995386777</v>
      </c>
      <c r="J114" s="12">
        <f t="shared" ref="J114:J119" si="29">16*R114</f>
        <v>17.600000000000001</v>
      </c>
      <c r="K114" s="115"/>
      <c r="L114" s="86"/>
      <c r="M114" s="86"/>
      <c r="N114" s="108">
        <f>+'Mono SPOT MAT'!S114/'Fisico SPOT MAT'!S114/'Fisico SPOT MAT'!E114</f>
        <v>15.736548248548008</v>
      </c>
      <c r="O114" s="86"/>
      <c r="R114">
        <v>1.1000000000000001</v>
      </c>
    </row>
    <row r="115" spans="1:28" ht="15" hidden="1" customHeight="1" x14ac:dyDescent="0.3">
      <c r="A115" s="1">
        <f t="shared" si="18"/>
        <v>2025</v>
      </c>
      <c r="B115" s="52">
        <f t="shared" si="19"/>
        <v>45992</v>
      </c>
      <c r="C115" s="1" t="s">
        <v>46</v>
      </c>
      <c r="D115" s="5">
        <f t="shared" si="27"/>
        <v>46021</v>
      </c>
      <c r="E115" s="30">
        <v>55.088440657640746</v>
      </c>
      <c r="F115" s="14">
        <f>+'Mono SPOT MAT'!M115/'Fisico SPOT MAT'!M115/24</f>
        <v>45.833904920222466</v>
      </c>
      <c r="G115" s="13">
        <f t="shared" si="28"/>
        <v>17.600000000000001</v>
      </c>
      <c r="H115" s="12">
        <f>+'Mono ASIG'!AA115</f>
        <v>63.025879327039966</v>
      </c>
      <c r="I115" s="12">
        <f t="shared" si="17"/>
        <v>45.556896696767012</v>
      </c>
      <c r="J115" s="12">
        <f t="shared" si="29"/>
        <v>17.600000000000001</v>
      </c>
      <c r="K115" s="115"/>
      <c r="L115" s="86"/>
      <c r="M115" s="86"/>
      <c r="N115" s="107">
        <f>+'Mono SPOT MAT'!S115/'Fisico SPOT MAT'!S115/'Fisico SPOT MAT'!E115</f>
        <v>15.67719748582258</v>
      </c>
      <c r="O115" s="86"/>
      <c r="R115">
        <v>1.1000000000000001</v>
      </c>
    </row>
    <row r="116" spans="1:28" ht="15" hidden="1" customHeight="1" x14ac:dyDescent="0.3">
      <c r="A116" s="1">
        <f t="shared" si="18"/>
        <v>2025</v>
      </c>
      <c r="B116" s="52">
        <f t="shared" si="19"/>
        <v>45992</v>
      </c>
      <c r="C116" s="1" t="s">
        <v>47</v>
      </c>
      <c r="D116" s="5">
        <f t="shared" si="27"/>
        <v>46022</v>
      </c>
      <c r="E116" s="30">
        <v>42.93804471403741</v>
      </c>
      <c r="F116" s="14">
        <f>+'Mono SPOT MAT'!M116/'Fisico SPOT MAT'!M116/24</f>
        <v>44.087568228994058</v>
      </c>
      <c r="G116" s="13">
        <f t="shared" si="28"/>
        <v>17.600000000000001</v>
      </c>
      <c r="H116" s="12">
        <f>+'Mono ASIG'!AA116</f>
        <v>58.57096029073125</v>
      </c>
      <c r="I116" s="12">
        <f t="shared" si="17"/>
        <v>41.101977660458303</v>
      </c>
      <c r="J116" s="12">
        <f t="shared" si="29"/>
        <v>17.600000000000001</v>
      </c>
      <c r="K116" s="115"/>
      <c r="L116" s="86"/>
      <c r="M116" s="86"/>
      <c r="N116" s="108">
        <f>+'Mono SPOT MAT'!S116/'Fisico SPOT MAT'!S116/'Fisico SPOT MAT'!E116</f>
        <v>15.607928064331464</v>
      </c>
      <c r="O116" s="86"/>
      <c r="R116">
        <v>1.1000000000000001</v>
      </c>
    </row>
    <row r="117" spans="1:28" hidden="1" x14ac:dyDescent="0.3">
      <c r="A117" s="1">
        <f t="shared" si="18"/>
        <v>2026</v>
      </c>
      <c r="B117" s="52">
        <f t="shared" si="19"/>
        <v>46023</v>
      </c>
      <c r="C117" s="1" t="s">
        <v>48</v>
      </c>
      <c r="D117" s="5">
        <f t="shared" si="27"/>
        <v>46023</v>
      </c>
      <c r="E117" s="30">
        <v>34.517232802704335</v>
      </c>
      <c r="F117" s="14">
        <f>+'Mono SPOT MAT'!M117/'Fisico SPOT MAT'!M117/24</f>
        <v>39.606390981700706</v>
      </c>
      <c r="G117" s="13">
        <f t="shared" si="28"/>
        <v>17.600000000000001</v>
      </c>
      <c r="H117" s="12">
        <f>+'Mono ASIG'!AA117</f>
        <v>64.068084811182047</v>
      </c>
      <c r="I117" s="12">
        <f>+H117-J117*386/744/0.52</f>
        <v>46.508117896376419</v>
      </c>
      <c r="J117" s="12">
        <f t="shared" si="29"/>
        <v>17.600000000000001</v>
      </c>
      <c r="K117" s="115"/>
      <c r="L117" s="86"/>
      <c r="M117" s="86"/>
      <c r="N117" s="107">
        <f>+'Mono SPOT MAT'!S117/'Fisico SPOT MAT'!S117/'Fisico SPOT MAT'!E117</f>
        <v>15.779391632187771</v>
      </c>
      <c r="O117" s="86"/>
      <c r="P117" s="64"/>
      <c r="R117">
        <v>1.1000000000000001</v>
      </c>
      <c r="Y117" s="5">
        <f t="shared" ref="Y117:Y180" si="30">$D117</f>
        <v>46023</v>
      </c>
      <c r="Z117" s="87">
        <f t="shared" ref="Z117:Z148" si="31">+E117</f>
        <v>34.517232802704335</v>
      </c>
      <c r="AA117" s="87">
        <f t="shared" ref="AA117:AA148" si="32">+F117-AB117</f>
        <v>38.148459722763441</v>
      </c>
      <c r="AB117" s="86">
        <v>1.4579312589372662</v>
      </c>
    </row>
    <row r="118" spans="1:28" hidden="1" x14ac:dyDescent="0.3">
      <c r="A118" s="1">
        <f t="shared" si="18"/>
        <v>2026</v>
      </c>
      <c r="B118" s="52">
        <f t="shared" si="19"/>
        <v>46023</v>
      </c>
      <c r="C118" s="1" t="s">
        <v>49</v>
      </c>
      <c r="D118" s="5">
        <f t="shared" si="27"/>
        <v>46024</v>
      </c>
      <c r="E118" s="30">
        <v>35.87821783896171</v>
      </c>
      <c r="F118" s="14">
        <f>+'Mono SPOT MAT'!M118/'Fisico SPOT MAT'!M118/24</f>
        <v>39.634231562499764</v>
      </c>
      <c r="G118" s="13">
        <f t="shared" si="28"/>
        <v>17.600000000000001</v>
      </c>
      <c r="H118" s="12">
        <f>+'Mono ASIG'!AA118</f>
        <v>62.876543140628534</v>
      </c>
      <c r="I118" s="12">
        <f t="shared" ref="I118:I147" si="33">+H118-J118*386/744/0.52</f>
        <v>45.316576225822914</v>
      </c>
      <c r="J118" s="12">
        <f t="shared" si="29"/>
        <v>17.600000000000001</v>
      </c>
      <c r="K118" s="115"/>
      <c r="L118" s="86"/>
      <c r="M118" s="86"/>
      <c r="N118" s="108">
        <f>+'Mono SPOT MAT'!S118/'Fisico SPOT MAT'!S118/'Fisico SPOT MAT'!E118</f>
        <v>15.799891363159908</v>
      </c>
      <c r="O118" s="86"/>
      <c r="R118">
        <v>1.1000000000000001</v>
      </c>
      <c r="Y118" s="5">
        <f t="shared" si="30"/>
        <v>46024</v>
      </c>
      <c r="Z118" s="87">
        <f t="shared" si="31"/>
        <v>35.87821783896171</v>
      </c>
      <c r="AA118" s="87">
        <f t="shared" si="32"/>
        <v>38.56569918167169</v>
      </c>
      <c r="AB118" s="86">
        <v>1.0685323808280709</v>
      </c>
    </row>
    <row r="119" spans="1:28" hidden="1" x14ac:dyDescent="0.3">
      <c r="A119" s="1">
        <f t="shared" si="18"/>
        <v>2026</v>
      </c>
      <c r="B119" s="52">
        <f t="shared" si="19"/>
        <v>46023</v>
      </c>
      <c r="C119" s="1" t="s">
        <v>43</v>
      </c>
      <c r="D119" s="5">
        <f t="shared" si="27"/>
        <v>46025</v>
      </c>
      <c r="E119" s="30">
        <v>24.226801096971887</v>
      </c>
      <c r="F119" s="14">
        <f>+'Mono SPOT MAT'!M119/'Fisico SPOT MAT'!M119/24</f>
        <v>38.103483785886461</v>
      </c>
      <c r="G119" s="13">
        <f t="shared" si="28"/>
        <v>17.600000000000001</v>
      </c>
      <c r="H119" s="12">
        <f>+'Mono ASIG'!AA119</f>
        <v>65.956512082168274</v>
      </c>
      <c r="I119" s="12">
        <f t="shared" si="33"/>
        <v>48.396545167362646</v>
      </c>
      <c r="J119" s="12">
        <f t="shared" si="29"/>
        <v>17.600000000000001</v>
      </c>
      <c r="K119" s="115"/>
      <c r="L119" s="86"/>
      <c r="M119" s="86"/>
      <c r="N119" s="107">
        <f>+'Mono SPOT MAT'!S119/'Fisico SPOT MAT'!S119/'Fisico SPOT MAT'!E119</f>
        <v>15.81507632297207</v>
      </c>
      <c r="O119" s="86"/>
      <c r="R119">
        <v>1.1000000000000001</v>
      </c>
      <c r="Y119" s="5">
        <f t="shared" si="30"/>
        <v>46025</v>
      </c>
      <c r="Z119" s="87">
        <f t="shared" si="31"/>
        <v>24.226801096971887</v>
      </c>
      <c r="AA119" s="87">
        <f t="shared" si="32"/>
        <v>36.075474779410044</v>
      </c>
      <c r="AB119" s="86">
        <v>2.028009006476418</v>
      </c>
    </row>
    <row r="120" spans="1:28" hidden="1" x14ac:dyDescent="0.3">
      <c r="A120" s="1">
        <f t="shared" si="18"/>
        <v>2026</v>
      </c>
      <c r="B120" s="52">
        <f t="shared" si="19"/>
        <v>46023</v>
      </c>
      <c r="C120" s="1" t="s">
        <v>44</v>
      </c>
      <c r="D120" s="5">
        <f t="shared" si="27"/>
        <v>46026</v>
      </c>
      <c r="E120" s="30">
        <v>27.778995914048632</v>
      </c>
      <c r="F120" s="14">
        <f>+'Mono SPOT MAT'!M120/'Fisico SPOT MAT'!M120/24</f>
        <v>37.05289400774285</v>
      </c>
      <c r="G120" s="13">
        <f t="shared" ref="G120:G122" si="34">16*R120</f>
        <v>17.600000000000001</v>
      </c>
      <c r="H120" s="12">
        <f>+'Mono ASIG'!AA120</f>
        <v>65.893342075657415</v>
      </c>
      <c r="I120" s="12">
        <f t="shared" si="33"/>
        <v>48.333375160851787</v>
      </c>
      <c r="J120" s="12">
        <f t="shared" ref="J120:J122" si="35">16*R120</f>
        <v>17.600000000000001</v>
      </c>
      <c r="K120" s="115"/>
      <c r="L120" s="86"/>
      <c r="M120" s="86"/>
      <c r="N120" s="108">
        <f>+'Mono SPOT MAT'!S120/'Fisico SPOT MAT'!S120/'Fisico SPOT MAT'!E120</f>
        <v>15.864421156140402</v>
      </c>
      <c r="O120" s="86"/>
      <c r="R120">
        <v>1.1000000000000001</v>
      </c>
      <c r="Y120" s="5">
        <f t="shared" si="30"/>
        <v>46026</v>
      </c>
      <c r="Z120" s="87">
        <f t="shared" si="31"/>
        <v>27.778995914048632</v>
      </c>
      <c r="AA120" s="87">
        <f t="shared" si="32"/>
        <v>35.02642048330911</v>
      </c>
      <c r="AB120" s="86">
        <v>2.0264735244337393</v>
      </c>
    </row>
    <row r="121" spans="1:28" hidden="1" x14ac:dyDescent="0.3">
      <c r="A121" s="1">
        <f t="shared" si="18"/>
        <v>2026</v>
      </c>
      <c r="B121" s="52">
        <f t="shared" si="19"/>
        <v>46023</v>
      </c>
      <c r="C121" s="1" t="s">
        <v>45</v>
      </c>
      <c r="D121" s="5">
        <f t="shared" si="27"/>
        <v>46027</v>
      </c>
      <c r="E121" s="30">
        <v>30.16174141643404</v>
      </c>
      <c r="F121" s="14">
        <f>+'Mono SPOT MAT'!M121/'Fisico SPOT MAT'!M121/24</f>
        <v>37.043200312705743</v>
      </c>
      <c r="G121" s="13">
        <f t="shared" si="34"/>
        <v>17.600000000000001</v>
      </c>
      <c r="H121" s="12">
        <f>+'Mono ASIG'!AA121</f>
        <v>64.231324558644431</v>
      </c>
      <c r="I121" s="12">
        <f t="shared" si="33"/>
        <v>46.671357643838803</v>
      </c>
      <c r="J121" s="12">
        <f t="shared" si="35"/>
        <v>17.600000000000001</v>
      </c>
      <c r="K121" s="115"/>
      <c r="L121" s="86"/>
      <c r="M121" s="86"/>
      <c r="N121" s="107">
        <f>+'Mono SPOT MAT'!S121/'Fisico SPOT MAT'!S121/'Fisico SPOT MAT'!E121</f>
        <v>15.819606438627943</v>
      </c>
      <c r="O121" s="86"/>
      <c r="R121">
        <v>1.1000000000000001</v>
      </c>
      <c r="Y121" s="5">
        <f t="shared" si="30"/>
        <v>46027</v>
      </c>
      <c r="Z121" s="87">
        <f t="shared" si="31"/>
        <v>30.16174141643404</v>
      </c>
      <c r="AA121" s="87">
        <f t="shared" si="32"/>
        <v>35.009909940285382</v>
      </c>
      <c r="AB121" s="86">
        <v>2.0332903724203626</v>
      </c>
    </row>
    <row r="122" spans="1:28" hidden="1" x14ac:dyDescent="0.3">
      <c r="A122" s="1">
        <f t="shared" si="18"/>
        <v>2026</v>
      </c>
      <c r="B122" s="52">
        <f t="shared" si="19"/>
        <v>46023</v>
      </c>
      <c r="C122" s="1" t="s">
        <v>46</v>
      </c>
      <c r="D122" s="5">
        <f t="shared" si="27"/>
        <v>46028</v>
      </c>
      <c r="E122" s="30">
        <v>32.978166221622246</v>
      </c>
      <c r="F122" s="14">
        <f>+'Mono SPOT MAT'!M122/'Fisico SPOT MAT'!M122/24</f>
        <v>37.732776918985699</v>
      </c>
      <c r="G122" s="13">
        <f t="shared" si="34"/>
        <v>17.600000000000001</v>
      </c>
      <c r="H122" s="12">
        <f>+'Mono ASIG'!AA122</f>
        <v>61.637047711544739</v>
      </c>
      <c r="I122" s="12">
        <f t="shared" si="33"/>
        <v>44.077080796739111</v>
      </c>
      <c r="J122" s="12">
        <f t="shared" si="35"/>
        <v>17.600000000000001</v>
      </c>
      <c r="K122" s="115"/>
      <c r="L122" s="86"/>
      <c r="M122" s="86"/>
      <c r="N122" s="108">
        <f>+'Mono SPOT MAT'!S122/'Fisico SPOT MAT'!S122/'Fisico SPOT MAT'!E122</f>
        <v>15.827166648839743</v>
      </c>
      <c r="O122" s="86"/>
      <c r="R122">
        <v>1.1000000000000001</v>
      </c>
      <c r="Y122" s="5">
        <f t="shared" si="30"/>
        <v>46028</v>
      </c>
      <c r="Z122" s="87">
        <f t="shared" si="31"/>
        <v>32.978166221622246</v>
      </c>
      <c r="AA122" s="87">
        <f t="shared" si="32"/>
        <v>35.968903466358888</v>
      </c>
      <c r="AB122" s="86">
        <v>1.7638734526268078</v>
      </c>
    </row>
    <row r="123" spans="1:28" hidden="1" x14ac:dyDescent="0.3">
      <c r="A123" s="1">
        <f t="shared" ref="A123:A124" si="36">YEAR(D123)</f>
        <v>2026</v>
      </c>
      <c r="B123" s="52">
        <f t="shared" si="19"/>
        <v>46023</v>
      </c>
      <c r="C123" s="1" t="s">
        <v>47</v>
      </c>
      <c r="D123" s="5">
        <f t="shared" si="27"/>
        <v>46029</v>
      </c>
      <c r="E123" s="30">
        <v>34.478204946117792</v>
      </c>
      <c r="F123" s="14">
        <f>+'Mono SPOT MAT'!M123/'Fisico SPOT MAT'!M123/24</f>
        <v>37.312837009324319</v>
      </c>
      <c r="G123" s="13">
        <f t="shared" ref="G123:G129" si="37">16*R123</f>
        <v>17.600000000000001</v>
      </c>
      <c r="H123" s="12">
        <f>+'Mono ASIG'!AA123</f>
        <v>62.485193161304842</v>
      </c>
      <c r="I123" s="12">
        <f t="shared" si="33"/>
        <v>44.925226246499221</v>
      </c>
      <c r="J123" s="12">
        <f t="shared" ref="J123:J129" si="38">16*R123</f>
        <v>17.600000000000001</v>
      </c>
      <c r="K123" s="115"/>
      <c r="L123" s="86"/>
      <c r="M123" s="86"/>
      <c r="N123" s="107">
        <f>+'Mono SPOT MAT'!S123/'Fisico SPOT MAT'!S123/'Fisico SPOT MAT'!E123</f>
        <v>15.84661474473649</v>
      </c>
      <c r="O123" s="86"/>
      <c r="R123">
        <v>1.1000000000000001</v>
      </c>
      <c r="Y123" s="5">
        <f t="shared" si="30"/>
        <v>46029</v>
      </c>
      <c r="Z123" s="87">
        <f t="shared" si="31"/>
        <v>34.478204946117792</v>
      </c>
      <c r="AA123" s="87">
        <f t="shared" si="32"/>
        <v>36.277591469597553</v>
      </c>
      <c r="AB123" s="86">
        <v>1.0352455397267653</v>
      </c>
    </row>
    <row r="124" spans="1:28" hidden="1" x14ac:dyDescent="0.3">
      <c r="A124" s="1">
        <f t="shared" si="36"/>
        <v>2026</v>
      </c>
      <c r="B124" s="52">
        <f t="shared" si="19"/>
        <v>46023</v>
      </c>
      <c r="C124" s="1" t="s">
        <v>48</v>
      </c>
      <c r="D124" s="5">
        <f t="shared" si="27"/>
        <v>46030</v>
      </c>
      <c r="E124" s="30">
        <v>32.759908874482299</v>
      </c>
      <c r="F124" s="14">
        <f>+'Mono SPOT MAT'!M124/'Fisico SPOT MAT'!M124/24</f>
        <v>37.25390241791505</v>
      </c>
      <c r="G124" s="13">
        <f t="shared" si="37"/>
        <v>17.600000000000001</v>
      </c>
      <c r="H124" s="12">
        <f>+'Mono ASIG'!AA124</f>
        <v>64.891477302570152</v>
      </c>
      <c r="I124" s="12">
        <f t="shared" si="33"/>
        <v>47.331510387764524</v>
      </c>
      <c r="J124" s="12">
        <f t="shared" si="38"/>
        <v>17.600000000000001</v>
      </c>
      <c r="K124" s="115"/>
      <c r="L124" s="86"/>
      <c r="M124" s="86"/>
      <c r="N124" s="108">
        <f>+'Mono SPOT MAT'!S124/'Fisico SPOT MAT'!S124/'Fisico SPOT MAT'!E124</f>
        <v>15.852105377808165</v>
      </c>
      <c r="O124" s="86"/>
      <c r="R124">
        <v>1.1000000000000001</v>
      </c>
      <c r="Y124" s="5">
        <f t="shared" si="30"/>
        <v>46030</v>
      </c>
      <c r="Z124" s="87">
        <f t="shared" si="31"/>
        <v>32.759908874482299</v>
      </c>
      <c r="AA124" s="87">
        <f t="shared" si="32"/>
        <v>35.630193317988109</v>
      </c>
      <c r="AB124" s="86">
        <v>1.6237090999269421</v>
      </c>
    </row>
    <row r="125" spans="1:28" hidden="1" x14ac:dyDescent="0.3">
      <c r="A125" s="1">
        <f t="shared" ref="A125:A135" si="39">YEAR(D125)</f>
        <v>2026</v>
      </c>
      <c r="B125" s="52">
        <f t="shared" si="19"/>
        <v>46023</v>
      </c>
      <c r="C125" s="1" t="s">
        <v>49</v>
      </c>
      <c r="D125" s="5">
        <f t="shared" si="27"/>
        <v>46031</v>
      </c>
      <c r="E125" s="30">
        <v>34.173236903593931</v>
      </c>
      <c r="F125" s="14">
        <f>+'Mono SPOT MAT'!M125/'Fisico SPOT MAT'!M125/24</f>
        <v>37.210621664130066</v>
      </c>
      <c r="G125" s="13">
        <f t="shared" si="37"/>
        <v>17.600000000000001</v>
      </c>
      <c r="H125" s="12">
        <f>+'Mono ASIG'!AA125</f>
        <v>66.192725858662286</v>
      </c>
      <c r="I125" s="12">
        <f t="shared" si="33"/>
        <v>48.632758943856658</v>
      </c>
      <c r="J125" s="12">
        <f t="shared" si="38"/>
        <v>17.600000000000001</v>
      </c>
      <c r="K125" s="115"/>
      <c r="L125" s="86"/>
      <c r="M125" s="86"/>
      <c r="N125" s="107">
        <f>+'Mono SPOT MAT'!S125/'Fisico SPOT MAT'!S125/'Fisico SPOT MAT'!E125</f>
        <v>15.717304598509434</v>
      </c>
      <c r="O125" s="86"/>
      <c r="R125">
        <v>1.1000000000000001</v>
      </c>
      <c r="Y125" s="5">
        <f t="shared" si="30"/>
        <v>46031</v>
      </c>
      <c r="Z125" s="87">
        <f t="shared" si="31"/>
        <v>34.173236903593931</v>
      </c>
      <c r="AA125" s="87">
        <f t="shared" si="32"/>
        <v>36.173430774024204</v>
      </c>
      <c r="AB125" s="86">
        <v>1.0371908901058584</v>
      </c>
    </row>
    <row r="126" spans="1:28" hidden="1" x14ac:dyDescent="0.3">
      <c r="A126" s="1">
        <f t="shared" si="39"/>
        <v>2026</v>
      </c>
      <c r="B126" s="52">
        <f t="shared" si="19"/>
        <v>46023</v>
      </c>
      <c r="C126" s="1" t="s">
        <v>43</v>
      </c>
      <c r="D126" s="5">
        <f t="shared" si="27"/>
        <v>46032</v>
      </c>
      <c r="E126" s="30">
        <v>31.925391686207025</v>
      </c>
      <c r="F126" s="14">
        <f>+'Mono SPOT MAT'!M126/'Fisico SPOT MAT'!M126/24</f>
        <v>36.358018736735936</v>
      </c>
      <c r="G126" s="13">
        <f t="shared" si="37"/>
        <v>17.600000000000001</v>
      </c>
      <c r="H126" s="12">
        <f>+'Mono ASIG'!AA126</f>
        <v>65.60789832675168</v>
      </c>
      <c r="I126" s="12">
        <f t="shared" si="33"/>
        <v>48.047931411946053</v>
      </c>
      <c r="J126" s="12">
        <f t="shared" si="38"/>
        <v>17.600000000000001</v>
      </c>
      <c r="K126" s="115"/>
      <c r="L126" s="86"/>
      <c r="M126" s="86"/>
      <c r="N126" s="108">
        <f>+'Mono SPOT MAT'!S126/'Fisico SPOT MAT'!S126/'Fisico SPOT MAT'!E126</f>
        <v>15.562574783442811</v>
      </c>
      <c r="O126" s="86"/>
      <c r="R126">
        <v>1.1000000000000001</v>
      </c>
      <c r="Y126" s="5">
        <f t="shared" si="30"/>
        <v>46032</v>
      </c>
      <c r="Z126" s="87">
        <f t="shared" si="31"/>
        <v>31.925391686207025</v>
      </c>
      <c r="AA126" s="87">
        <f t="shared" si="32"/>
        <v>34.365405509332881</v>
      </c>
      <c r="AB126" s="86">
        <v>1.9926132274030577</v>
      </c>
    </row>
    <row r="127" spans="1:28" hidden="1" x14ac:dyDescent="0.3">
      <c r="A127" s="1">
        <f t="shared" si="39"/>
        <v>2026</v>
      </c>
      <c r="B127" s="52">
        <f t="shared" si="19"/>
        <v>46023</v>
      </c>
      <c r="C127" s="1" t="s">
        <v>44</v>
      </c>
      <c r="D127" s="5">
        <f t="shared" si="27"/>
        <v>46033</v>
      </c>
      <c r="E127" s="30">
        <v>34.015781036304283</v>
      </c>
      <c r="F127" s="14">
        <f>+'Mono SPOT MAT'!M127/'Fisico SPOT MAT'!M127/24</f>
        <v>37.391593178057931</v>
      </c>
      <c r="G127" s="13">
        <f t="shared" si="37"/>
        <v>17.600000000000001</v>
      </c>
      <c r="H127" s="12">
        <f>+'Mono ASIG'!AA127</f>
        <v>66.510211647235067</v>
      </c>
      <c r="I127" s="12">
        <f t="shared" si="33"/>
        <v>48.950244732429439</v>
      </c>
      <c r="J127" s="12">
        <f t="shared" si="38"/>
        <v>17.600000000000001</v>
      </c>
      <c r="K127" s="115"/>
      <c r="L127" s="86"/>
      <c r="M127" s="86"/>
      <c r="N127" s="107">
        <f>+'Mono SPOT MAT'!S127/'Fisico SPOT MAT'!S127/'Fisico SPOT MAT'!E127</f>
        <v>15.598204057443724</v>
      </c>
      <c r="O127" s="86"/>
      <c r="R127">
        <v>1.1000000000000001</v>
      </c>
      <c r="Y127" s="5">
        <f t="shared" si="30"/>
        <v>46033</v>
      </c>
      <c r="Z127" s="87">
        <f t="shared" si="31"/>
        <v>34.015781036304283</v>
      </c>
      <c r="AA127" s="87">
        <f t="shared" si="32"/>
        <v>36.15962846918589</v>
      </c>
      <c r="AB127" s="86">
        <v>1.2319647088720427</v>
      </c>
    </row>
    <row r="128" spans="1:28" hidden="1" x14ac:dyDescent="0.3">
      <c r="A128" s="1">
        <f t="shared" si="39"/>
        <v>2026</v>
      </c>
      <c r="B128" s="52">
        <f t="shared" si="19"/>
        <v>46023</v>
      </c>
      <c r="C128" s="1" t="s">
        <v>45</v>
      </c>
      <c r="D128" s="5">
        <f t="shared" si="27"/>
        <v>46034</v>
      </c>
      <c r="E128" s="30">
        <v>43.634911972169704</v>
      </c>
      <c r="F128" s="14">
        <f>+'Mono SPOT MAT'!M128/'Fisico SPOT MAT'!M128/24</f>
        <v>39.319317440857752</v>
      </c>
      <c r="G128" s="13">
        <f t="shared" si="37"/>
        <v>17.600000000000001</v>
      </c>
      <c r="H128" s="12">
        <f>+'Mono ASIG'!AA128</f>
        <v>58.906846936896045</v>
      </c>
      <c r="I128" s="12">
        <f t="shared" si="33"/>
        <v>41.346880022090417</v>
      </c>
      <c r="J128" s="12">
        <f t="shared" si="38"/>
        <v>17.600000000000001</v>
      </c>
      <c r="K128" s="115"/>
      <c r="L128" s="86"/>
      <c r="M128" s="86"/>
      <c r="N128" s="108">
        <f>+'Mono SPOT MAT'!S128/'Fisico SPOT MAT'!S128/'Fisico SPOT MAT'!E128</f>
        <v>15.582214119636809</v>
      </c>
      <c r="O128" s="86"/>
      <c r="R128">
        <v>1.1000000000000001</v>
      </c>
      <c r="Y128" s="5">
        <f t="shared" si="30"/>
        <v>46034</v>
      </c>
      <c r="Z128" s="87">
        <f t="shared" si="31"/>
        <v>43.634911972169704</v>
      </c>
      <c r="AA128" s="87">
        <f t="shared" si="32"/>
        <v>37.873645889085942</v>
      </c>
      <c r="AB128" s="86">
        <v>1.4456715517718082</v>
      </c>
    </row>
    <row r="129" spans="1:30" hidden="1" x14ac:dyDescent="0.3">
      <c r="A129" s="1">
        <f t="shared" si="39"/>
        <v>2026</v>
      </c>
      <c r="B129" s="52">
        <f t="shared" si="19"/>
        <v>46023</v>
      </c>
      <c r="C129" s="1" t="s">
        <v>46</v>
      </c>
      <c r="D129" s="5">
        <f t="shared" si="27"/>
        <v>46035</v>
      </c>
      <c r="E129" s="30">
        <v>43.739653037828724</v>
      </c>
      <c r="F129" s="14">
        <f>+'Mono SPOT MAT'!M129/'Fisico SPOT MAT'!M129/24</f>
        <v>38.01663354668765</v>
      </c>
      <c r="G129" s="13">
        <f t="shared" si="37"/>
        <v>17.600000000000001</v>
      </c>
      <c r="H129" s="12">
        <f>+'Mono ASIG'!AA129</f>
        <v>58.5142322813129</v>
      </c>
      <c r="I129" s="12">
        <f t="shared" si="33"/>
        <v>40.954265366507272</v>
      </c>
      <c r="J129" s="12">
        <f t="shared" si="38"/>
        <v>17.600000000000001</v>
      </c>
      <c r="K129" s="115"/>
      <c r="L129" s="86"/>
      <c r="M129" s="86"/>
      <c r="N129" s="107">
        <f>+'Mono SPOT MAT'!S129/'Fisico SPOT MAT'!S129/'Fisico SPOT MAT'!E129</f>
        <v>15.60519160396689</v>
      </c>
      <c r="O129" s="86"/>
      <c r="R129">
        <v>1.1000000000000001</v>
      </c>
      <c r="Y129" s="5">
        <f t="shared" si="30"/>
        <v>46035</v>
      </c>
      <c r="Z129" s="87">
        <f t="shared" si="31"/>
        <v>43.739653037828724</v>
      </c>
      <c r="AA129" s="87">
        <f t="shared" si="32"/>
        <v>36.320247395256295</v>
      </c>
      <c r="AB129" s="86">
        <v>1.6963861514313583</v>
      </c>
    </row>
    <row r="130" spans="1:30" hidden="1" x14ac:dyDescent="0.3">
      <c r="A130" s="1">
        <f t="shared" si="39"/>
        <v>2026</v>
      </c>
      <c r="B130" s="52">
        <f t="shared" si="19"/>
        <v>46023</v>
      </c>
      <c r="C130" s="1" t="s">
        <v>47</v>
      </c>
      <c r="D130" s="5">
        <f t="shared" si="27"/>
        <v>46036</v>
      </c>
      <c r="E130" s="30">
        <v>56.822108752310051</v>
      </c>
      <c r="F130" s="14">
        <f>+'Mono SPOT MAT'!M130/'Fisico SPOT MAT'!M130/24</f>
        <v>40.385474193639311</v>
      </c>
      <c r="G130" s="13">
        <f t="shared" ref="G130:G136" si="40">16*R130</f>
        <v>17.600000000000001</v>
      </c>
      <c r="H130" s="12">
        <f>+'Mono ASIG'!AA130</f>
        <v>61.559815584924984</v>
      </c>
      <c r="I130" s="12">
        <f t="shared" si="33"/>
        <v>43.999848670119363</v>
      </c>
      <c r="J130" s="12">
        <f t="shared" ref="J130:J141" si="41">16*R130</f>
        <v>17.600000000000001</v>
      </c>
      <c r="K130" s="115"/>
      <c r="L130" s="86"/>
      <c r="M130" s="86"/>
      <c r="N130" s="108">
        <f>+'Mono SPOT MAT'!S130/'Fisico SPOT MAT'!S130/'Fisico SPOT MAT'!E130</f>
        <v>15.586939857909236</v>
      </c>
      <c r="O130" s="86"/>
      <c r="R130">
        <v>1.1000000000000001</v>
      </c>
      <c r="Y130" s="5">
        <f t="shared" si="30"/>
        <v>46036</v>
      </c>
      <c r="Z130" s="87">
        <f t="shared" si="31"/>
        <v>56.822108752310051</v>
      </c>
      <c r="AA130" s="87">
        <f t="shared" si="32"/>
        <v>36.721674579548683</v>
      </c>
      <c r="AB130" s="86">
        <v>3.6637996140906259</v>
      </c>
    </row>
    <row r="131" spans="1:30" hidden="1" x14ac:dyDescent="0.3">
      <c r="A131" s="1">
        <f t="shared" si="39"/>
        <v>2026</v>
      </c>
      <c r="B131" s="52">
        <f t="shared" si="19"/>
        <v>46023</v>
      </c>
      <c r="C131" s="1" t="s">
        <v>48</v>
      </c>
      <c r="D131" s="5">
        <f t="shared" si="27"/>
        <v>46037</v>
      </c>
      <c r="E131" s="30">
        <v>83.951107689661299</v>
      </c>
      <c r="F131" s="14">
        <f>+'Mono SPOT MAT'!M131/'Fisico SPOT MAT'!M131/24</f>
        <v>43.584042976036386</v>
      </c>
      <c r="G131" s="13">
        <f t="shared" si="40"/>
        <v>17.600000000000001</v>
      </c>
      <c r="H131" s="12">
        <f>+'Mono ASIG'!AA131</f>
        <v>63.711514026662236</v>
      </c>
      <c r="I131" s="12">
        <f t="shared" si="33"/>
        <v>46.151547111856615</v>
      </c>
      <c r="J131" s="12">
        <f t="shared" si="41"/>
        <v>17.600000000000001</v>
      </c>
      <c r="K131" s="115"/>
      <c r="L131" s="86"/>
      <c r="M131" s="86"/>
      <c r="N131" s="107">
        <f>+'Mono SPOT MAT'!S131/'Fisico SPOT MAT'!S131/'Fisico SPOT MAT'!E131</f>
        <v>15.495857316328733</v>
      </c>
      <c r="O131" s="86"/>
      <c r="R131">
        <v>1.1000000000000001</v>
      </c>
      <c r="Y131" s="5">
        <f t="shared" si="30"/>
        <v>46037</v>
      </c>
      <c r="Z131" s="87">
        <f t="shared" si="31"/>
        <v>83.951107689661299</v>
      </c>
      <c r="AA131" s="87">
        <f t="shared" si="32"/>
        <v>36.396636430988295</v>
      </c>
      <c r="AB131" s="86">
        <v>7.187406545048094</v>
      </c>
    </row>
    <row r="132" spans="1:30" hidden="1" x14ac:dyDescent="0.3">
      <c r="A132" s="1">
        <f t="shared" si="39"/>
        <v>2026</v>
      </c>
      <c r="B132" s="52">
        <f t="shared" si="19"/>
        <v>46023</v>
      </c>
      <c r="C132" s="1" t="s">
        <v>49</v>
      </c>
      <c r="D132" s="5">
        <f t="shared" si="27"/>
        <v>46038</v>
      </c>
      <c r="E132" s="30">
        <v>52.990876102399064</v>
      </c>
      <c r="F132" s="14">
        <f>+'Mono SPOT MAT'!M132/'Fisico SPOT MAT'!M132/24</f>
        <v>41.530767523678072</v>
      </c>
      <c r="G132" s="13">
        <f t="shared" si="40"/>
        <v>17.600000000000001</v>
      </c>
      <c r="H132" s="12">
        <f>+'Mono ASIG'!AA132</f>
        <v>66.983770333527559</v>
      </c>
      <c r="I132" s="12">
        <f t="shared" si="33"/>
        <v>49.423803418721931</v>
      </c>
      <c r="J132" s="12">
        <f t="shared" si="41"/>
        <v>17.600000000000001</v>
      </c>
      <c r="K132" s="115"/>
      <c r="L132" s="86"/>
      <c r="M132" s="86"/>
      <c r="N132" s="108">
        <f>+'Mono SPOT MAT'!S132/'Fisico SPOT MAT'!S132/'Fisico SPOT MAT'!E132</f>
        <v>15.525818847571131</v>
      </c>
      <c r="O132" s="86"/>
      <c r="R132">
        <v>1.1000000000000001</v>
      </c>
      <c r="Y132" s="5">
        <f t="shared" si="30"/>
        <v>46038</v>
      </c>
      <c r="Z132" s="87">
        <f t="shared" si="31"/>
        <v>52.990876102399064</v>
      </c>
      <c r="AA132" s="87">
        <f t="shared" si="32"/>
        <v>38.532069094489934</v>
      </c>
      <c r="AB132" s="86">
        <v>2.9986984291881371</v>
      </c>
    </row>
    <row r="133" spans="1:30" hidden="1" x14ac:dyDescent="0.3">
      <c r="A133" s="1">
        <f t="shared" si="39"/>
        <v>2026</v>
      </c>
      <c r="B133" s="52">
        <f t="shared" si="19"/>
        <v>46023</v>
      </c>
      <c r="C133" s="1" t="s">
        <v>43</v>
      </c>
      <c r="D133" s="5">
        <f t="shared" si="27"/>
        <v>46039</v>
      </c>
      <c r="E133" s="30">
        <v>46.005274766562451</v>
      </c>
      <c r="F133" s="14">
        <f>+'Mono SPOT MAT'!M133/'Fisico SPOT MAT'!M133/24</f>
        <v>40.269105209027522</v>
      </c>
      <c r="G133" s="13">
        <f t="shared" si="40"/>
        <v>17.600000000000001</v>
      </c>
      <c r="H133" s="12">
        <f>+'Mono ASIG'!AA133</f>
        <v>64.92626574111604</v>
      </c>
      <c r="I133" s="12">
        <f t="shared" si="33"/>
        <v>47.366298826310413</v>
      </c>
      <c r="J133" s="12">
        <f t="shared" si="41"/>
        <v>17.600000000000001</v>
      </c>
      <c r="K133" s="115"/>
      <c r="L133" s="86"/>
      <c r="M133" s="86"/>
      <c r="N133" s="107">
        <f>+'Mono SPOT MAT'!S133/'Fisico SPOT MAT'!S133/'Fisico SPOT MAT'!E133</f>
        <v>15.612728501423119</v>
      </c>
      <c r="O133" s="86"/>
      <c r="R133">
        <v>1.1000000000000001</v>
      </c>
      <c r="Y133" s="5">
        <f t="shared" si="30"/>
        <v>46039</v>
      </c>
      <c r="Z133" s="87">
        <f t="shared" si="31"/>
        <v>46.005274766562451</v>
      </c>
      <c r="AA133" s="87">
        <f t="shared" si="32"/>
        <v>38.457822014423151</v>
      </c>
      <c r="AB133" s="86">
        <v>1.8112831946043713</v>
      </c>
    </row>
    <row r="134" spans="1:30" hidden="1" x14ac:dyDescent="0.3">
      <c r="A134" s="1">
        <f t="shared" si="39"/>
        <v>2026</v>
      </c>
      <c r="B134" s="52">
        <f t="shared" si="19"/>
        <v>46023</v>
      </c>
      <c r="C134" s="1" t="s">
        <v>44</v>
      </c>
      <c r="D134" s="5">
        <f t="shared" si="27"/>
        <v>46040</v>
      </c>
      <c r="E134" s="30">
        <v>36.026128823809678</v>
      </c>
      <c r="F134" s="14">
        <f>+'Mono SPOT MAT'!M134/'Fisico SPOT MAT'!M134/24</f>
        <v>39.013816051667696</v>
      </c>
      <c r="G134" s="13">
        <f t="shared" si="40"/>
        <v>17.600000000000001</v>
      </c>
      <c r="H134" s="12">
        <f>+'Mono ASIG'!AA134</f>
        <v>69.563969015992626</v>
      </c>
      <c r="I134" s="12">
        <f t="shared" si="33"/>
        <v>52.004002101186998</v>
      </c>
      <c r="J134" s="12">
        <f t="shared" si="41"/>
        <v>17.600000000000001</v>
      </c>
      <c r="K134" s="115"/>
      <c r="L134" s="86"/>
      <c r="M134" s="86"/>
      <c r="N134" s="108">
        <f>+'Mono SPOT MAT'!S134/'Fisico SPOT MAT'!S134/'Fisico SPOT MAT'!E134</f>
        <v>15.621680222018252</v>
      </c>
      <c r="O134" s="86"/>
      <c r="R134">
        <v>1.1000000000000001</v>
      </c>
      <c r="Y134" s="5">
        <f t="shared" si="30"/>
        <v>46040</v>
      </c>
      <c r="Z134" s="87">
        <f t="shared" si="31"/>
        <v>36.026128823809678</v>
      </c>
      <c r="AA134" s="87">
        <f t="shared" si="32"/>
        <v>37.813508824137543</v>
      </c>
      <c r="AB134" s="86">
        <v>1.200307227530153</v>
      </c>
    </row>
    <row r="135" spans="1:30" hidden="1" x14ac:dyDescent="0.3">
      <c r="A135" s="1">
        <f t="shared" si="39"/>
        <v>2026</v>
      </c>
      <c r="B135" s="52">
        <f t="shared" si="19"/>
        <v>46023</v>
      </c>
      <c r="C135" s="1" t="s">
        <v>45</v>
      </c>
      <c r="D135" s="5">
        <f t="shared" si="27"/>
        <v>46041</v>
      </c>
      <c r="E135" s="30">
        <v>37.791009301288653</v>
      </c>
      <c r="F135" s="14">
        <f>+'Mono SPOT MAT'!M135/'Fisico SPOT MAT'!M135/24</f>
        <v>39.585130168478891</v>
      </c>
      <c r="G135" s="13">
        <f t="shared" si="40"/>
        <v>17.600000000000001</v>
      </c>
      <c r="H135" s="12">
        <f>+'Mono ASIG'!AA135</f>
        <v>71.846354978032792</v>
      </c>
      <c r="I135" s="12">
        <f t="shared" si="33"/>
        <v>54.286388063227164</v>
      </c>
      <c r="J135" s="12">
        <f t="shared" si="41"/>
        <v>17.600000000000001</v>
      </c>
      <c r="K135" s="115"/>
      <c r="L135" s="86"/>
      <c r="M135" s="86"/>
      <c r="N135" s="107">
        <f>+'Mono SPOT MAT'!S135/'Fisico SPOT MAT'!S135/'Fisico SPOT MAT'!E135</f>
        <v>15.691327092160392</v>
      </c>
      <c r="O135" s="86"/>
      <c r="R135">
        <v>1.1000000000000001</v>
      </c>
      <c r="Y135" s="5">
        <f t="shared" si="30"/>
        <v>46041</v>
      </c>
      <c r="Z135" s="87">
        <f t="shared" si="31"/>
        <v>37.791009301288653</v>
      </c>
      <c r="AA135" s="87">
        <f t="shared" si="32"/>
        <v>38.429278132724178</v>
      </c>
      <c r="AB135" s="86">
        <v>1.1558520357547108</v>
      </c>
    </row>
    <row r="136" spans="1:30" hidden="1" x14ac:dyDescent="0.3">
      <c r="A136" s="1">
        <f t="shared" ref="A136:A142" si="42">YEAR(D136)</f>
        <v>2026</v>
      </c>
      <c r="B136" s="52">
        <f t="shared" si="19"/>
        <v>46023</v>
      </c>
      <c r="C136" s="1" t="s">
        <v>46</v>
      </c>
      <c r="D136" s="5">
        <f t="shared" si="27"/>
        <v>46042</v>
      </c>
      <c r="E136" s="30">
        <v>38.300591812738432</v>
      </c>
      <c r="F136" s="14">
        <f>+'Mono SPOT MAT'!M136/'Fisico SPOT MAT'!M136/24</f>
        <v>39.156124800232909</v>
      </c>
      <c r="G136" s="13">
        <f t="shared" si="40"/>
        <v>17.600000000000001</v>
      </c>
      <c r="H136" s="12">
        <f>+'Mono ASIG'!AA136</f>
        <v>70.539762864367589</v>
      </c>
      <c r="I136" s="12">
        <f t="shared" si="33"/>
        <v>52.979795949561961</v>
      </c>
      <c r="J136" s="12">
        <f t="shared" si="41"/>
        <v>17.600000000000001</v>
      </c>
      <c r="K136" s="115"/>
      <c r="L136" s="86"/>
      <c r="M136" s="86"/>
      <c r="N136" s="108">
        <f>+'Mono SPOT MAT'!S136/'Fisico SPOT MAT'!S136/'Fisico SPOT MAT'!E136</f>
        <v>15.684133509635634</v>
      </c>
      <c r="O136" s="86"/>
      <c r="R136">
        <v>1.1000000000000001</v>
      </c>
      <c r="Y136" s="5">
        <f t="shared" si="30"/>
        <v>46042</v>
      </c>
      <c r="Z136" s="87">
        <f t="shared" si="31"/>
        <v>38.300591812738432</v>
      </c>
      <c r="AA136" s="87">
        <f t="shared" si="32"/>
        <v>38.180003377188612</v>
      </c>
      <c r="AB136" s="86">
        <v>0.97612142304429506</v>
      </c>
    </row>
    <row r="137" spans="1:30" hidden="1" x14ac:dyDescent="0.3">
      <c r="A137" s="1">
        <f t="shared" si="42"/>
        <v>2026</v>
      </c>
      <c r="B137" s="52">
        <f t="shared" si="19"/>
        <v>46023</v>
      </c>
      <c r="C137" s="1" t="s">
        <v>47</v>
      </c>
      <c r="D137" s="5">
        <f t="shared" si="27"/>
        <v>46043</v>
      </c>
      <c r="E137" s="30">
        <v>35.587092495708106</v>
      </c>
      <c r="F137" s="14">
        <f>+'Mono SPOT MAT'!M137/'Fisico SPOT MAT'!M137/24</f>
        <v>39.281287483982055</v>
      </c>
      <c r="G137" s="13">
        <f t="shared" ref="G137:G141" si="43">16*R137</f>
        <v>17.600000000000001</v>
      </c>
      <c r="H137" s="12">
        <f>+'Mono ASIG'!AA137</f>
        <v>71.38828417386577</v>
      </c>
      <c r="I137" s="12">
        <f t="shared" si="33"/>
        <v>53.828317259060142</v>
      </c>
      <c r="J137" s="12">
        <f t="shared" si="41"/>
        <v>17.600000000000001</v>
      </c>
      <c r="K137" s="115"/>
      <c r="L137" s="86"/>
      <c r="M137" s="86"/>
      <c r="N137" s="107">
        <f>+'Mono SPOT MAT'!S137/'Fisico SPOT MAT'!S137/'Fisico SPOT MAT'!E137</f>
        <v>15.653548911961346</v>
      </c>
      <c r="O137" s="86"/>
      <c r="R137">
        <v>1.1000000000000001</v>
      </c>
      <c r="Y137" s="5">
        <f t="shared" si="30"/>
        <v>46043</v>
      </c>
      <c r="Z137" s="87">
        <f t="shared" si="31"/>
        <v>35.587092495708106</v>
      </c>
      <c r="AA137" s="87">
        <f t="shared" si="32"/>
        <v>37.90742094180596</v>
      </c>
      <c r="AB137" s="86">
        <v>1.3738665421760952</v>
      </c>
      <c r="AD137" s="5"/>
    </row>
    <row r="138" spans="1:30" hidden="1" x14ac:dyDescent="0.3">
      <c r="A138" s="1">
        <f t="shared" si="42"/>
        <v>2026</v>
      </c>
      <c r="B138" s="52">
        <f t="shared" si="19"/>
        <v>46023</v>
      </c>
      <c r="C138" s="1" t="s">
        <v>48</v>
      </c>
      <c r="D138" s="5">
        <f t="shared" si="27"/>
        <v>46044</v>
      </c>
      <c r="E138" s="30">
        <v>41.539949764666879</v>
      </c>
      <c r="F138" s="14">
        <f>+'Mono SPOT MAT'!M138/'Fisico SPOT MAT'!M138/24</f>
        <v>38.961893554233107</v>
      </c>
      <c r="G138" s="13">
        <f t="shared" si="43"/>
        <v>17.600000000000001</v>
      </c>
      <c r="H138" s="12">
        <f>+'Mono ASIG'!AA138</f>
        <v>67.604437362036762</v>
      </c>
      <c r="I138" s="12">
        <f t="shared" si="33"/>
        <v>50.044470447231134</v>
      </c>
      <c r="J138" s="12">
        <f t="shared" si="41"/>
        <v>17.600000000000001</v>
      </c>
      <c r="K138" s="115"/>
      <c r="L138" s="86"/>
      <c r="M138" s="86"/>
      <c r="N138" s="108">
        <f>+'Mono SPOT MAT'!S138/'Fisico SPOT MAT'!S138/'Fisico SPOT MAT'!E138</f>
        <v>15.660765951980904</v>
      </c>
      <c r="O138" s="86"/>
      <c r="R138">
        <v>1.1000000000000001</v>
      </c>
      <c r="Y138" s="5">
        <f t="shared" si="30"/>
        <v>46044</v>
      </c>
      <c r="Z138" s="87">
        <f t="shared" si="31"/>
        <v>41.539949764666879</v>
      </c>
      <c r="AA138" s="87">
        <f t="shared" si="32"/>
        <v>37.294566278354566</v>
      </c>
      <c r="AB138" s="86">
        <v>1.6673272758785398</v>
      </c>
      <c r="AD138" s="5"/>
    </row>
    <row r="139" spans="1:30" hidden="1" x14ac:dyDescent="0.3">
      <c r="A139" s="1">
        <f t="shared" si="42"/>
        <v>2026</v>
      </c>
      <c r="B139" s="52">
        <f t="shared" si="19"/>
        <v>46023</v>
      </c>
      <c r="C139" s="1" t="s">
        <v>49</v>
      </c>
      <c r="D139" s="5">
        <f t="shared" si="27"/>
        <v>46045</v>
      </c>
      <c r="E139" s="30">
        <v>49.590790264372067</v>
      </c>
      <c r="F139" s="14">
        <f>+'Mono SPOT MAT'!M139/'Fisico SPOT MAT'!M139/24</f>
        <v>40.159423444420504</v>
      </c>
      <c r="G139" s="13">
        <f t="shared" si="43"/>
        <v>17.600000000000001</v>
      </c>
      <c r="H139" s="12">
        <f>+'Mono ASIG'!AA139</f>
        <v>60.939856299349167</v>
      </c>
      <c r="I139" s="12">
        <f t="shared" si="33"/>
        <v>43.379889384543546</v>
      </c>
      <c r="J139" s="12">
        <f t="shared" si="41"/>
        <v>17.600000000000001</v>
      </c>
      <c r="K139" s="115"/>
      <c r="L139" s="86"/>
      <c r="M139" s="86"/>
      <c r="N139" s="107">
        <f>+'Mono SPOT MAT'!S139/'Fisico SPOT MAT'!S139/'Fisico SPOT MAT'!E139</f>
        <v>15.680032994487323</v>
      </c>
      <c r="O139" s="86"/>
      <c r="R139">
        <v>1.1000000000000001</v>
      </c>
      <c r="Y139" s="5">
        <f t="shared" si="30"/>
        <v>46045</v>
      </c>
      <c r="Z139" s="87">
        <f t="shared" si="31"/>
        <v>49.590790264372067</v>
      </c>
      <c r="AA139" s="87">
        <f t="shared" si="32"/>
        <v>37.508444014675419</v>
      </c>
      <c r="AB139" s="86">
        <v>2.6509794297450853</v>
      </c>
      <c r="AD139" s="5"/>
    </row>
    <row r="140" spans="1:30" hidden="1" x14ac:dyDescent="0.3">
      <c r="A140" s="1">
        <f t="shared" si="42"/>
        <v>2026</v>
      </c>
      <c r="B140" s="52">
        <f t="shared" si="19"/>
        <v>46023</v>
      </c>
      <c r="C140" s="1" t="s">
        <v>43</v>
      </c>
      <c r="D140" s="5">
        <f t="shared" si="27"/>
        <v>46046</v>
      </c>
      <c r="E140" s="30">
        <v>89.84595554076823</v>
      </c>
      <c r="F140" s="14">
        <f>+'Mono SPOT MAT'!M140/'Fisico SPOT MAT'!M140/24</f>
        <v>44.898614390168888</v>
      </c>
      <c r="G140" s="13">
        <f t="shared" si="43"/>
        <v>17.600000000000001</v>
      </c>
      <c r="H140" s="12">
        <f>+'Mono ASIG'!AA140</f>
        <v>66.575430187783439</v>
      </c>
      <c r="I140" s="12">
        <f t="shared" si="33"/>
        <v>49.015463272977811</v>
      </c>
      <c r="J140" s="12">
        <f t="shared" si="41"/>
        <v>17.600000000000001</v>
      </c>
      <c r="K140" s="115"/>
      <c r="L140" s="86"/>
      <c r="M140" s="86"/>
      <c r="N140" s="108">
        <f>+'Mono SPOT MAT'!S140/'Fisico SPOT MAT'!S140/'Fisico SPOT MAT'!E140</f>
        <v>15.684076403275734</v>
      </c>
      <c r="O140" s="86"/>
      <c r="R140">
        <v>1.1000000000000001</v>
      </c>
      <c r="Y140" s="5">
        <f t="shared" si="30"/>
        <v>46046</v>
      </c>
      <c r="Z140" s="87">
        <f t="shared" si="31"/>
        <v>89.84595554076823</v>
      </c>
      <c r="AA140" s="87">
        <f t="shared" si="32"/>
        <v>36.979274770083165</v>
      </c>
      <c r="AB140" s="86">
        <v>7.9193396200857205</v>
      </c>
      <c r="AD140" s="5"/>
    </row>
    <row r="141" spans="1:30" hidden="1" x14ac:dyDescent="0.3">
      <c r="A141" s="1">
        <f t="shared" si="42"/>
        <v>2026</v>
      </c>
      <c r="B141" s="52">
        <f t="shared" si="19"/>
        <v>46023</v>
      </c>
      <c r="C141" s="1" t="s">
        <v>44</v>
      </c>
      <c r="D141" s="5">
        <f t="shared" si="27"/>
        <v>46047</v>
      </c>
      <c r="E141" s="30">
        <v>90.264286627714213</v>
      </c>
      <c r="F141" s="14">
        <f>+'Mono SPOT MAT'!M141/'Fisico SPOT MAT'!M141/24</f>
        <v>47.300048647103779</v>
      </c>
      <c r="G141" s="13">
        <f t="shared" si="43"/>
        <v>17.600000000000001</v>
      </c>
      <c r="H141" s="12">
        <f>+'Mono ASIG'!AA141</f>
        <v>71.325840679159697</v>
      </c>
      <c r="I141" s="12">
        <f t="shared" si="33"/>
        <v>53.765873764354069</v>
      </c>
      <c r="J141" s="12">
        <f t="shared" si="41"/>
        <v>17.600000000000001</v>
      </c>
      <c r="K141" s="115"/>
      <c r="L141" s="86"/>
      <c r="M141" s="86"/>
      <c r="N141" s="107">
        <f>+'Mono SPOT MAT'!S141/'Fisico SPOT MAT'!S141/'Fisico SPOT MAT'!E141</f>
        <v>15.688723234880429</v>
      </c>
      <c r="O141" s="86"/>
      <c r="R141">
        <v>1.1000000000000001</v>
      </c>
      <c r="Y141" s="5">
        <f t="shared" si="30"/>
        <v>46047</v>
      </c>
      <c r="Z141" s="87">
        <f t="shared" si="31"/>
        <v>90.264286627714213</v>
      </c>
      <c r="AA141" s="87">
        <f t="shared" si="32"/>
        <v>39.421312503163563</v>
      </c>
      <c r="AB141" s="86">
        <v>7.8787361439402197</v>
      </c>
      <c r="AD141" s="5"/>
    </row>
    <row r="142" spans="1:30" hidden="1" x14ac:dyDescent="0.3">
      <c r="A142" s="1">
        <f t="shared" si="42"/>
        <v>2026</v>
      </c>
      <c r="B142" s="52">
        <f t="shared" si="19"/>
        <v>46023</v>
      </c>
      <c r="C142" s="1" t="s">
        <v>45</v>
      </c>
      <c r="D142" s="5">
        <f t="shared" si="27"/>
        <v>46048</v>
      </c>
      <c r="E142" s="30">
        <v>103.00980007718067</v>
      </c>
      <c r="F142" s="14">
        <f>+'Mono SPOT MAT'!M142/'Fisico SPOT MAT'!M142/24</f>
        <v>50.724389099748244</v>
      </c>
      <c r="G142" s="13">
        <f t="shared" ref="G142:G146" si="44">16*R142</f>
        <v>17.600000000000001</v>
      </c>
      <c r="H142" s="12">
        <f>+'Mono ASIG'!AA142</f>
        <v>67.650612754443344</v>
      </c>
      <c r="I142" s="12">
        <f t="shared" si="33"/>
        <v>50.090645839637716</v>
      </c>
      <c r="J142" s="12">
        <f t="shared" ref="J142:J146" si="45">16*R142</f>
        <v>17.600000000000001</v>
      </c>
      <c r="K142" s="115"/>
      <c r="L142" s="86"/>
      <c r="M142" s="86"/>
      <c r="N142" s="108">
        <f>+'Mono SPOT MAT'!S142/'Fisico SPOT MAT'!S142/'Fisico SPOT MAT'!E142</f>
        <v>15.554807127644384</v>
      </c>
      <c r="O142" s="86"/>
      <c r="R142">
        <v>1.1000000000000001</v>
      </c>
      <c r="Y142" s="5">
        <f t="shared" si="30"/>
        <v>46048</v>
      </c>
      <c r="Z142" s="87">
        <f t="shared" si="31"/>
        <v>103.00980007718067</v>
      </c>
      <c r="AA142" s="87">
        <f t="shared" si="32"/>
        <v>41.261354985716189</v>
      </c>
      <c r="AB142" s="86">
        <v>9.4630341140320571</v>
      </c>
      <c r="AD142" s="5"/>
    </row>
    <row r="143" spans="1:30" hidden="1" x14ac:dyDescent="0.3">
      <c r="A143" s="1">
        <f t="shared" ref="A143:A146" si="46">YEAR(D143)</f>
        <v>2026</v>
      </c>
      <c r="B143" s="52">
        <f t="shared" si="19"/>
        <v>46023</v>
      </c>
      <c r="C143" s="1" t="s">
        <v>46</v>
      </c>
      <c r="D143" s="5">
        <f t="shared" si="27"/>
        <v>46049</v>
      </c>
      <c r="E143" s="30">
        <v>110.64867915816491</v>
      </c>
      <c r="F143" s="14">
        <f>+'Mono SPOT MAT'!M143/'Fisico SPOT MAT'!M143/24</f>
        <v>52.363522149006549</v>
      </c>
      <c r="G143" s="13">
        <f t="shared" si="44"/>
        <v>17.600000000000001</v>
      </c>
      <c r="H143" s="12">
        <f>+'Mono ASIG'!AA143</f>
        <v>67.696029795420074</v>
      </c>
      <c r="I143" s="12">
        <f t="shared" si="33"/>
        <v>50.136062880614446</v>
      </c>
      <c r="J143" s="12">
        <f t="shared" si="45"/>
        <v>17.600000000000001</v>
      </c>
      <c r="K143" s="115"/>
      <c r="L143" s="86"/>
      <c r="M143" s="86"/>
      <c r="N143" s="107">
        <f>+'Mono SPOT MAT'!S143/'Fisico SPOT MAT'!S143/'Fisico SPOT MAT'!E143</f>
        <v>15.594146533591903</v>
      </c>
      <c r="O143" s="86"/>
      <c r="R143">
        <v>1.1000000000000001</v>
      </c>
      <c r="Y143" s="5">
        <f t="shared" si="30"/>
        <v>46049</v>
      </c>
      <c r="Z143" s="87">
        <f t="shared" si="31"/>
        <v>110.64867915816491</v>
      </c>
      <c r="AA143" s="87">
        <f t="shared" si="32"/>
        <v>41.835022738093016</v>
      </c>
      <c r="AB143" s="86">
        <v>10.528499410913531</v>
      </c>
      <c r="AD143" s="5"/>
    </row>
    <row r="144" spans="1:30" hidden="1" x14ac:dyDescent="0.3">
      <c r="A144" s="1">
        <f t="shared" si="46"/>
        <v>2026</v>
      </c>
      <c r="B144" s="52">
        <f t="shared" si="19"/>
        <v>46023</v>
      </c>
      <c r="C144" s="1" t="s">
        <v>47</v>
      </c>
      <c r="D144" s="5">
        <f t="shared" si="27"/>
        <v>46050</v>
      </c>
      <c r="E144" s="30">
        <v>101.15247867689065</v>
      </c>
      <c r="F144" s="14">
        <f>+'Mono SPOT MAT'!M144/'Fisico SPOT MAT'!M144/24</f>
        <v>50.933569748423736</v>
      </c>
      <c r="G144" s="13">
        <f t="shared" si="44"/>
        <v>17.600000000000001</v>
      </c>
      <c r="H144" s="12">
        <f>+'Mono ASIG'!AA144</f>
        <v>66.441925613715981</v>
      </c>
      <c r="I144" s="12">
        <f t="shared" si="33"/>
        <v>48.881958698910353</v>
      </c>
      <c r="J144" s="12">
        <f t="shared" si="45"/>
        <v>17.600000000000001</v>
      </c>
      <c r="K144" s="115"/>
      <c r="L144" s="86"/>
      <c r="M144" s="86"/>
      <c r="N144" s="108">
        <f>+'Mono SPOT MAT'!S144/'Fisico SPOT MAT'!S144/'Fisico SPOT MAT'!E144</f>
        <v>15.602050760808355</v>
      </c>
      <c r="O144" s="86"/>
      <c r="R144">
        <v>1.1000000000000001</v>
      </c>
      <c r="Y144" s="5">
        <f t="shared" si="30"/>
        <v>46050</v>
      </c>
      <c r="Z144" s="87">
        <f t="shared" si="31"/>
        <v>101.15247867689065</v>
      </c>
      <c r="AA144" s="87">
        <f t="shared" si="32"/>
        <v>41.783553889086917</v>
      </c>
      <c r="AB144" s="86">
        <v>9.1500158593368219</v>
      </c>
      <c r="AD144" s="5"/>
    </row>
    <row r="145" spans="1:36" hidden="1" x14ac:dyDescent="0.3">
      <c r="A145" s="1">
        <f t="shared" si="46"/>
        <v>2026</v>
      </c>
      <c r="B145" s="52">
        <f t="shared" si="19"/>
        <v>46023</v>
      </c>
      <c r="C145" s="1" t="s">
        <v>48</v>
      </c>
      <c r="D145" s="5">
        <f t="shared" si="27"/>
        <v>46051</v>
      </c>
      <c r="E145" s="30">
        <v>99.112412708623623</v>
      </c>
      <c r="F145" s="14">
        <f>+'Mono SPOT MAT'!M145/'Fisico SPOT MAT'!M145/24</f>
        <v>51.295067995164516</v>
      </c>
      <c r="G145" s="13">
        <f t="shared" si="44"/>
        <v>17.600000000000001</v>
      </c>
      <c r="H145" s="12">
        <f>+'Mono ASIG'!AA145</f>
        <v>66.625028288753995</v>
      </c>
      <c r="I145" s="12">
        <f t="shared" si="33"/>
        <v>49.065061373948367</v>
      </c>
      <c r="J145" s="12">
        <f t="shared" si="45"/>
        <v>17.600000000000001</v>
      </c>
      <c r="K145" s="115"/>
      <c r="L145" s="86"/>
      <c r="M145" s="86"/>
      <c r="N145" s="107">
        <f>+'Mono SPOT MAT'!S145/'Fisico SPOT MAT'!S145/'Fisico SPOT MAT'!E145</f>
        <v>15.63027352411769</v>
      </c>
      <c r="O145" s="86"/>
      <c r="R145">
        <v>1.1000000000000001</v>
      </c>
      <c r="Y145" s="5">
        <f t="shared" si="30"/>
        <v>46051</v>
      </c>
      <c r="Z145" s="87">
        <f t="shared" si="31"/>
        <v>99.112412708623623</v>
      </c>
      <c r="AA145" s="87">
        <f t="shared" si="32"/>
        <v>42.524838300001115</v>
      </c>
      <c r="AB145" s="86">
        <v>8.7702296951634011</v>
      </c>
      <c r="AD145" s="5"/>
    </row>
    <row r="146" spans="1:36" hidden="1" x14ac:dyDescent="0.3">
      <c r="A146" s="1">
        <f t="shared" si="46"/>
        <v>2026</v>
      </c>
      <c r="B146" s="52">
        <f t="shared" si="19"/>
        <v>46023</v>
      </c>
      <c r="C146" s="1" t="s">
        <v>49</v>
      </c>
      <c r="D146" s="5">
        <f t="shared" si="27"/>
        <v>46052</v>
      </c>
      <c r="E146" s="30">
        <v>109.98205775875044</v>
      </c>
      <c r="F146" s="14">
        <f>+'Mono SPOT MAT'!M146/'Fisico SPOT MAT'!M146/24</f>
        <v>54.21324461951383</v>
      </c>
      <c r="G146" s="13">
        <f t="shared" si="44"/>
        <v>17.600000000000001</v>
      </c>
      <c r="H146" s="12">
        <f>+'Mono ASIG'!AA146</f>
        <v>68.821862606081226</v>
      </c>
      <c r="I146" s="12">
        <f t="shared" si="33"/>
        <v>51.261895691275598</v>
      </c>
      <c r="J146" s="12">
        <f t="shared" si="45"/>
        <v>17.600000000000001</v>
      </c>
      <c r="K146" s="115"/>
      <c r="L146" s="86"/>
      <c r="M146" s="86"/>
      <c r="N146" s="108">
        <f>+'Mono SPOT MAT'!S146/'Fisico SPOT MAT'!S146/'Fisico SPOT MAT'!E146</f>
        <v>15.638190317554926</v>
      </c>
      <c r="O146" s="86"/>
      <c r="R146">
        <v>1.1000000000000001</v>
      </c>
      <c r="Y146" s="5">
        <f t="shared" si="30"/>
        <v>46052</v>
      </c>
      <c r="Z146" s="87">
        <f t="shared" si="31"/>
        <v>109.98205775875044</v>
      </c>
      <c r="AA146" s="87">
        <f t="shared" si="32"/>
        <v>44.216280119659487</v>
      </c>
      <c r="AB146" s="86">
        <v>9.9969644998543465</v>
      </c>
      <c r="AD146" s="5"/>
    </row>
    <row r="147" spans="1:36" hidden="1" x14ac:dyDescent="0.3">
      <c r="A147" s="1">
        <f t="shared" ref="A147" si="47">YEAR(D147)</f>
        <v>2026</v>
      </c>
      <c r="B147" s="52">
        <f t="shared" si="19"/>
        <v>46023</v>
      </c>
      <c r="C147" s="1" t="s">
        <v>43</v>
      </c>
      <c r="D147" s="5">
        <f t="shared" si="27"/>
        <v>46053</v>
      </c>
      <c r="E147" s="30">
        <v>101.10164955483698</v>
      </c>
      <c r="F147" s="14">
        <f>+'Mono SPOT MAT'!M147/'Fisico SPOT MAT'!M147/24</f>
        <v>53.928608892178381</v>
      </c>
      <c r="G147" s="13">
        <f t="shared" ref="G147" si="48">16*R147</f>
        <v>17.600000000000001</v>
      </c>
      <c r="H147" s="12">
        <f>+'Mono ASIG'!AA147</f>
        <v>73.517560464038411</v>
      </c>
      <c r="I147" s="12">
        <f t="shared" si="33"/>
        <v>55.957593549232783</v>
      </c>
      <c r="J147" s="12">
        <f t="shared" ref="J147" si="49">16*R147</f>
        <v>17.600000000000001</v>
      </c>
      <c r="K147" s="115"/>
      <c r="L147" s="86"/>
      <c r="M147" s="86"/>
      <c r="N147" s="107">
        <f>+'Mono SPOT MAT'!S147/'Fisico SPOT MAT'!S147/'Fisico SPOT MAT'!E147</f>
        <v>15.620163797503153</v>
      </c>
      <c r="O147" s="86"/>
      <c r="R147">
        <v>1.1000000000000001</v>
      </c>
      <c r="Y147" s="5">
        <f t="shared" si="30"/>
        <v>46053</v>
      </c>
      <c r="Z147" s="87">
        <f t="shared" si="31"/>
        <v>101.10164955483698</v>
      </c>
      <c r="AA147" s="87">
        <f t="shared" si="32"/>
        <v>45.257568560476273</v>
      </c>
      <c r="AB147" s="86">
        <v>8.6710403317021107</v>
      </c>
      <c r="AD147" s="5"/>
    </row>
    <row r="148" spans="1:36" hidden="1" x14ac:dyDescent="0.3">
      <c r="A148" s="1">
        <f t="shared" ref="A148:A154" si="50">YEAR(D148)</f>
        <v>2026</v>
      </c>
      <c r="B148" s="52">
        <f t="shared" si="19"/>
        <v>46054</v>
      </c>
      <c r="C148" s="1" t="str">
        <f>+C141</f>
        <v>dom</v>
      </c>
      <c r="D148" s="5">
        <f t="shared" si="27"/>
        <v>46054</v>
      </c>
      <c r="E148" s="30">
        <v>75.550677537597721</v>
      </c>
      <c r="F148" s="14">
        <f>+'Mono SPOT MAT'!M148/'Fisico SPOT MAT'!M148/24</f>
        <v>48.793520470864159</v>
      </c>
      <c r="G148" s="13">
        <f t="shared" ref="G148:G154" si="51">16*R148</f>
        <v>17.600000000000001</v>
      </c>
      <c r="H148" s="12">
        <f>+'Mono ASIG'!AA148</f>
        <v>79.435127742165847</v>
      </c>
      <c r="I148" s="12">
        <f>+H148-J148*336/672/0.52</f>
        <v>62.512050819088927</v>
      </c>
      <c r="J148" s="12">
        <f t="shared" ref="J148:J154" si="52">16*R148</f>
        <v>17.600000000000001</v>
      </c>
      <c r="K148" s="115"/>
      <c r="L148" s="86"/>
      <c r="M148" s="86"/>
      <c r="N148" s="108">
        <f>+'Mono SPOT MAT'!S148/'Fisico SPOT MAT'!S148/'Fisico SPOT MAT'!E148</f>
        <v>15.856571958033058</v>
      </c>
      <c r="O148" s="86"/>
      <c r="R148">
        <v>1.1000000000000001</v>
      </c>
      <c r="Y148" s="5">
        <f t="shared" si="30"/>
        <v>46054</v>
      </c>
      <c r="Z148" s="87">
        <f t="shared" si="31"/>
        <v>75.550677537597721</v>
      </c>
      <c r="AA148" s="87">
        <f t="shared" si="32"/>
        <v>45.312335795126685</v>
      </c>
      <c r="AB148" s="86">
        <v>3.4811846757374774</v>
      </c>
      <c r="AC148" s="93"/>
      <c r="AD148" s="5"/>
      <c r="AE148" s="92"/>
      <c r="AF148" s="92"/>
      <c r="AG148" s="92"/>
      <c r="AH148" s="92"/>
      <c r="AI148" s="93"/>
      <c r="AJ148" s="93"/>
    </row>
    <row r="149" spans="1:36" hidden="1" x14ac:dyDescent="0.3">
      <c r="A149" s="1">
        <f t="shared" si="50"/>
        <v>2026</v>
      </c>
      <c r="B149" s="52">
        <f t="shared" si="19"/>
        <v>46054</v>
      </c>
      <c r="C149" s="1" t="str">
        <f t="shared" ref="C149:C212" si="53">+C142</f>
        <v>lun</v>
      </c>
      <c r="D149" s="5">
        <f t="shared" si="27"/>
        <v>46055</v>
      </c>
      <c r="E149" s="30">
        <v>91.368708549420532</v>
      </c>
      <c r="F149" s="14">
        <f>+'Mono SPOT MAT'!M149/'Fisico SPOT MAT'!M149/24</f>
        <v>47.665600997833643</v>
      </c>
      <c r="G149" s="13">
        <f t="shared" si="51"/>
        <v>17.600000000000001</v>
      </c>
      <c r="H149" s="12">
        <f>+'Mono ASIG'!AA149</f>
        <v>69.644720080201708</v>
      </c>
      <c r="I149" s="12">
        <f t="shared" ref="I149:I175" si="54">+H149-J149*336/672/0.52</f>
        <v>52.721643157124788</v>
      </c>
      <c r="J149" s="12">
        <f t="shared" si="52"/>
        <v>17.600000000000001</v>
      </c>
      <c r="K149" s="115"/>
      <c r="L149" s="86"/>
      <c r="M149" s="86"/>
      <c r="N149" s="107">
        <f>+'Mono SPOT MAT'!S149/'Fisico SPOT MAT'!S149/'Fisico SPOT MAT'!E149</f>
        <v>15.826627495702853</v>
      </c>
      <c r="O149" s="86"/>
      <c r="R149">
        <v>1.1000000000000001</v>
      </c>
      <c r="Y149" s="5">
        <f t="shared" si="30"/>
        <v>46055</v>
      </c>
      <c r="Z149" s="87">
        <f t="shared" ref="Z149:Z180" si="55">+E149</f>
        <v>91.368708549420532</v>
      </c>
      <c r="AA149" s="87">
        <f t="shared" ref="AA149:AA180" si="56">+F149-AB149</f>
        <v>42.237891311719665</v>
      </c>
      <c r="AB149" s="86">
        <v>5.4277096861139817</v>
      </c>
      <c r="AC149" s="93"/>
      <c r="AD149" s="5"/>
      <c r="AE149" s="92"/>
      <c r="AF149" s="92"/>
      <c r="AG149" s="92"/>
      <c r="AH149" s="92"/>
      <c r="AI149" s="93"/>
      <c r="AJ149" s="93"/>
    </row>
    <row r="150" spans="1:36" hidden="1" x14ac:dyDescent="0.3">
      <c r="A150" s="1">
        <f t="shared" si="50"/>
        <v>2026</v>
      </c>
      <c r="B150" s="52">
        <f t="shared" si="19"/>
        <v>46054</v>
      </c>
      <c r="C150" s="1" t="str">
        <f t="shared" si="53"/>
        <v>mar</v>
      </c>
      <c r="D150" s="5">
        <f t="shared" si="27"/>
        <v>46056</v>
      </c>
      <c r="E150" s="30">
        <v>116.15317799359542</v>
      </c>
      <c r="F150" s="14">
        <f>+'Mono SPOT MAT'!M150/'Fisico SPOT MAT'!M150/24</f>
        <v>55.052221435493152</v>
      </c>
      <c r="G150" s="13">
        <f t="shared" si="51"/>
        <v>17.600000000000001</v>
      </c>
      <c r="H150" s="12">
        <f>+'Mono ASIG'!AA150</f>
        <v>66.876127556022041</v>
      </c>
      <c r="I150" s="12">
        <f t="shared" si="54"/>
        <v>49.953050632945121</v>
      </c>
      <c r="J150" s="12">
        <f t="shared" si="52"/>
        <v>17.600000000000001</v>
      </c>
      <c r="K150" s="115"/>
      <c r="L150" s="86"/>
      <c r="M150" s="86"/>
      <c r="N150" s="108">
        <f>+'Mono SPOT MAT'!S150/'Fisico SPOT MAT'!S150/'Fisico SPOT MAT'!E150</f>
        <v>15.755029475316832</v>
      </c>
      <c r="O150" s="86"/>
      <c r="R150">
        <v>1.1000000000000001</v>
      </c>
      <c r="Y150" s="5">
        <f t="shared" si="30"/>
        <v>46056</v>
      </c>
      <c r="Z150" s="87">
        <f t="shared" si="55"/>
        <v>116.15317799359542</v>
      </c>
      <c r="AA150" s="87">
        <f t="shared" si="56"/>
        <v>46.616662921588983</v>
      </c>
      <c r="AB150" s="86">
        <v>8.4355585139041658</v>
      </c>
      <c r="AC150" s="93"/>
      <c r="AD150" s="5"/>
      <c r="AE150" s="92"/>
      <c r="AF150" s="92"/>
      <c r="AG150" s="92"/>
      <c r="AH150" s="92"/>
      <c r="AI150" s="93"/>
      <c r="AJ150" s="93"/>
    </row>
    <row r="151" spans="1:36" hidden="1" x14ac:dyDescent="0.3">
      <c r="A151" s="1">
        <f t="shared" si="50"/>
        <v>2026</v>
      </c>
      <c r="B151" s="52">
        <f t="shared" si="19"/>
        <v>46054</v>
      </c>
      <c r="C151" s="1" t="str">
        <f t="shared" si="53"/>
        <v>mié</v>
      </c>
      <c r="D151" s="5">
        <f t="shared" si="27"/>
        <v>46057</v>
      </c>
      <c r="E151" s="30">
        <v>120.7237795396935</v>
      </c>
      <c r="F151" s="14">
        <f>+'Mono SPOT MAT'!M151/'Fisico SPOT MAT'!M151/24</f>
        <v>54.407781916392111</v>
      </c>
      <c r="G151" s="13">
        <f t="shared" si="51"/>
        <v>17.600000000000001</v>
      </c>
      <c r="H151" s="12">
        <f>+'Mono ASIG'!AA151</f>
        <v>78.487661093185366</v>
      </c>
      <c r="I151" s="12">
        <f t="shared" si="54"/>
        <v>61.564584170108446</v>
      </c>
      <c r="J151" s="12">
        <f t="shared" si="52"/>
        <v>17.600000000000001</v>
      </c>
      <c r="K151" s="115"/>
      <c r="L151" s="86"/>
      <c r="M151" s="86"/>
      <c r="N151" s="107">
        <f>+'Mono SPOT MAT'!S151/'Fisico SPOT MAT'!S151/'Fisico SPOT MAT'!E151</f>
        <v>15.809791543049053</v>
      </c>
      <c r="O151" s="86"/>
      <c r="R151">
        <v>1.1000000000000001</v>
      </c>
      <c r="Y151" s="5">
        <f t="shared" si="30"/>
        <v>46057</v>
      </c>
      <c r="Z151" s="87">
        <f t="shared" si="55"/>
        <v>120.7237795396935</v>
      </c>
      <c r="AA151" s="87">
        <f t="shared" si="56"/>
        <v>45.688141893972492</v>
      </c>
      <c r="AB151" s="86">
        <v>8.7196400224196182</v>
      </c>
      <c r="AC151" s="93"/>
      <c r="AD151" s="5"/>
      <c r="AE151" s="92"/>
      <c r="AF151" s="92"/>
      <c r="AG151" s="92"/>
      <c r="AH151" s="92"/>
      <c r="AI151" s="93"/>
      <c r="AJ151" s="93"/>
    </row>
    <row r="152" spans="1:36" hidden="1" x14ac:dyDescent="0.3">
      <c r="A152" s="1">
        <f t="shared" si="50"/>
        <v>2026</v>
      </c>
      <c r="B152" s="52">
        <f t="shared" si="19"/>
        <v>46054</v>
      </c>
      <c r="C152" s="1" t="str">
        <f t="shared" si="53"/>
        <v>jue</v>
      </c>
      <c r="D152" s="5">
        <f t="shared" si="27"/>
        <v>46058</v>
      </c>
      <c r="E152" s="30">
        <v>60.581576535554547</v>
      </c>
      <c r="F152" s="14">
        <f>+'Mono SPOT MAT'!M152/'Fisico SPOT MAT'!M152/24</f>
        <v>48.861947210320579</v>
      </c>
      <c r="G152" s="13">
        <f t="shared" si="51"/>
        <v>17.600000000000001</v>
      </c>
      <c r="H152" s="12">
        <f>+'Mono ASIG'!AA152</f>
        <v>79.127152855488205</v>
      </c>
      <c r="I152" s="12">
        <f t="shared" si="54"/>
        <v>62.204075932411286</v>
      </c>
      <c r="J152" s="12">
        <f t="shared" si="52"/>
        <v>17.600000000000001</v>
      </c>
      <c r="K152" s="115"/>
      <c r="L152" s="86"/>
      <c r="M152" s="86"/>
      <c r="N152" s="108">
        <f>+'Mono SPOT MAT'!S152/'Fisico SPOT MAT'!S152/'Fisico SPOT MAT'!E152</f>
        <v>15.85780831190071</v>
      </c>
      <c r="O152" s="86"/>
      <c r="R152">
        <v>1.1000000000000001</v>
      </c>
      <c r="Y152" s="5">
        <f t="shared" si="30"/>
        <v>46058</v>
      </c>
      <c r="Z152" s="87">
        <f t="shared" si="55"/>
        <v>60.581576535554547</v>
      </c>
      <c r="AA152" s="87">
        <f t="shared" si="56"/>
        <v>46.807860246243031</v>
      </c>
      <c r="AB152" s="86">
        <v>2.0540869640775488</v>
      </c>
      <c r="AC152" s="93"/>
      <c r="AD152" s="5"/>
      <c r="AE152" s="92"/>
      <c r="AF152" s="92"/>
      <c r="AG152" s="92"/>
      <c r="AH152" s="92"/>
      <c r="AI152" s="93"/>
      <c r="AJ152" s="93"/>
    </row>
    <row r="153" spans="1:36" hidden="1" x14ac:dyDescent="0.3">
      <c r="A153" s="1">
        <f t="shared" si="50"/>
        <v>2026</v>
      </c>
      <c r="B153" s="52">
        <f t="shared" si="19"/>
        <v>46054</v>
      </c>
      <c r="C153" s="1" t="str">
        <f t="shared" si="53"/>
        <v>vie</v>
      </c>
      <c r="D153" s="5">
        <f t="shared" si="27"/>
        <v>46059</v>
      </c>
      <c r="E153" s="30">
        <v>44.886909437871388</v>
      </c>
      <c r="F153" s="14">
        <f>+'Mono SPOT MAT'!M153/'Fisico SPOT MAT'!M153/24</f>
        <v>44.742679120949298</v>
      </c>
      <c r="G153" s="13">
        <f t="shared" si="51"/>
        <v>17.600000000000001</v>
      </c>
      <c r="H153" s="12">
        <f>+'Mono ASIG'!AA153</f>
        <v>80.974167958553878</v>
      </c>
      <c r="I153" s="12">
        <f t="shared" si="54"/>
        <v>64.051091035476958</v>
      </c>
      <c r="J153" s="12">
        <f t="shared" si="52"/>
        <v>17.600000000000001</v>
      </c>
      <c r="K153" s="115"/>
      <c r="L153" s="86"/>
      <c r="M153" s="86"/>
      <c r="N153" s="107">
        <f>+'Mono SPOT MAT'!S153/'Fisico SPOT MAT'!S153/'Fisico SPOT MAT'!E153</f>
        <v>15.870658336365512</v>
      </c>
      <c r="O153" s="86"/>
      <c r="R153">
        <v>1.1000000000000001</v>
      </c>
      <c r="Y153" s="5">
        <f t="shared" si="30"/>
        <v>46059</v>
      </c>
      <c r="Z153" s="87">
        <f t="shared" si="55"/>
        <v>44.886909437871388</v>
      </c>
      <c r="AA153" s="87">
        <f t="shared" si="56"/>
        <v>43.460742743641916</v>
      </c>
      <c r="AB153" s="86">
        <v>1.28193637730738</v>
      </c>
      <c r="AC153" s="93"/>
      <c r="AD153" s="5"/>
      <c r="AE153" s="92"/>
      <c r="AF153" s="92"/>
      <c r="AG153" s="92"/>
      <c r="AH153" s="92"/>
      <c r="AI153" s="93"/>
      <c r="AJ153" s="93"/>
    </row>
    <row r="154" spans="1:36" hidden="1" x14ac:dyDescent="0.3">
      <c r="A154" s="1">
        <f t="shared" si="50"/>
        <v>2026</v>
      </c>
      <c r="B154" s="52">
        <f t="shared" ref="B154:B205" si="57">DATE(A154,MONTH(D154),1)</f>
        <v>46054</v>
      </c>
      <c r="C154" s="1" t="str">
        <f t="shared" si="53"/>
        <v>sáb</v>
      </c>
      <c r="D154" s="5">
        <f t="shared" si="27"/>
        <v>46060</v>
      </c>
      <c r="E154" s="30">
        <v>40.387388538205371</v>
      </c>
      <c r="F154" s="14">
        <f>+'Mono SPOT MAT'!M154/'Fisico SPOT MAT'!M154/24</f>
        <v>43.266406289723307</v>
      </c>
      <c r="G154" s="13">
        <f t="shared" si="51"/>
        <v>17.600000000000001</v>
      </c>
      <c r="H154" s="12">
        <f>+'Mono ASIG'!AA154</f>
        <v>73.957868309316893</v>
      </c>
      <c r="I154" s="12">
        <f t="shared" si="54"/>
        <v>57.034791386239974</v>
      </c>
      <c r="J154" s="12">
        <f t="shared" si="52"/>
        <v>17.600000000000001</v>
      </c>
      <c r="K154" s="115"/>
      <c r="L154" s="86"/>
      <c r="M154" s="86"/>
      <c r="N154" s="108">
        <f>+'Mono SPOT MAT'!S154/'Fisico SPOT MAT'!S154/'Fisico SPOT MAT'!E154</f>
        <v>15.870618292082426</v>
      </c>
      <c r="O154" s="86"/>
      <c r="R154">
        <v>1.1000000000000001</v>
      </c>
      <c r="Y154" s="5">
        <f t="shared" si="30"/>
        <v>46060</v>
      </c>
      <c r="Z154" s="87">
        <f t="shared" si="55"/>
        <v>40.387388538205371</v>
      </c>
      <c r="AA154" s="87">
        <f t="shared" si="56"/>
        <v>41.897371762624353</v>
      </c>
      <c r="AB154" s="86">
        <v>1.3690345270989532</v>
      </c>
      <c r="AC154" s="93"/>
      <c r="AD154" s="5"/>
      <c r="AE154" s="92"/>
      <c r="AF154" s="92"/>
      <c r="AG154" s="92"/>
      <c r="AH154" s="92"/>
      <c r="AI154" s="93"/>
      <c r="AJ154" s="93"/>
    </row>
    <row r="155" spans="1:36" hidden="1" x14ac:dyDescent="0.3">
      <c r="A155" s="1">
        <f t="shared" ref="A155:A159" si="58">YEAR(D155)</f>
        <v>2026</v>
      </c>
      <c r="B155" s="52">
        <f t="shared" si="57"/>
        <v>46054</v>
      </c>
      <c r="C155" s="1" t="str">
        <f t="shared" si="53"/>
        <v>dom</v>
      </c>
      <c r="D155" s="5">
        <f t="shared" si="27"/>
        <v>46061</v>
      </c>
      <c r="E155" s="30">
        <v>39.628151518521946</v>
      </c>
      <c r="F155" s="14">
        <f>+'Mono SPOT MAT'!M155/'Fisico SPOT MAT'!M155/24</f>
        <v>42.714827355953808</v>
      </c>
      <c r="G155" s="13">
        <f t="shared" ref="G155:G159" si="59">16*R155</f>
        <v>17.600000000000001</v>
      </c>
      <c r="H155" s="12">
        <f>+'Mono ASIG'!AA155</f>
        <v>74.987165965051361</v>
      </c>
      <c r="I155" s="12">
        <f t="shared" si="54"/>
        <v>58.064089041974441</v>
      </c>
      <c r="J155" s="12">
        <f t="shared" ref="J155:J159" si="60">16*R155</f>
        <v>17.600000000000001</v>
      </c>
      <c r="K155" s="115"/>
      <c r="L155" s="86"/>
      <c r="M155" s="86"/>
      <c r="N155" s="107">
        <f>+'Mono SPOT MAT'!S155/'Fisico SPOT MAT'!S155/'Fisico SPOT MAT'!E155</f>
        <v>15.827653927842075</v>
      </c>
      <c r="O155" s="86"/>
      <c r="R155">
        <v>1.1000000000000001</v>
      </c>
      <c r="Y155" s="5">
        <f t="shared" si="30"/>
        <v>46061</v>
      </c>
      <c r="Z155" s="87">
        <f t="shared" si="55"/>
        <v>39.628151518521946</v>
      </c>
      <c r="AA155" s="87">
        <f t="shared" si="56"/>
        <v>41.372382099380701</v>
      </c>
      <c r="AB155" s="86">
        <v>1.3424452565731071</v>
      </c>
      <c r="AC155" s="93"/>
      <c r="AD155" s="5"/>
      <c r="AE155" s="92"/>
      <c r="AF155" s="92"/>
      <c r="AG155" s="92"/>
      <c r="AH155" s="92"/>
      <c r="AI155" s="93"/>
      <c r="AJ155" s="93"/>
    </row>
    <row r="156" spans="1:36" hidden="1" x14ac:dyDescent="0.3">
      <c r="A156" s="1">
        <f t="shared" si="58"/>
        <v>2026</v>
      </c>
      <c r="B156" s="52">
        <f t="shared" si="57"/>
        <v>46054</v>
      </c>
      <c r="C156" s="1" t="str">
        <f t="shared" si="53"/>
        <v>lun</v>
      </c>
      <c r="D156" s="5">
        <f t="shared" si="27"/>
        <v>46062</v>
      </c>
      <c r="E156" s="30">
        <v>52.190661077356019</v>
      </c>
      <c r="F156" s="14">
        <f>+'Mono SPOT MAT'!M156/'Fisico SPOT MAT'!M156/24</f>
        <v>43.43660140510962</v>
      </c>
      <c r="G156" s="13">
        <f t="shared" si="59"/>
        <v>17.600000000000001</v>
      </c>
      <c r="H156" s="12">
        <f>+'Mono ASIG'!AA156</f>
        <v>70.944140546185963</v>
      </c>
      <c r="I156" s="12">
        <f t="shared" si="54"/>
        <v>54.021063623109043</v>
      </c>
      <c r="J156" s="12">
        <f t="shared" si="60"/>
        <v>17.600000000000001</v>
      </c>
      <c r="K156" s="115"/>
      <c r="L156" s="86"/>
      <c r="M156" s="86"/>
      <c r="N156" s="108">
        <f>+'Mono SPOT MAT'!S156/'Fisico SPOT MAT'!S156/'Fisico SPOT MAT'!E156</f>
        <v>15.805165886180005</v>
      </c>
      <c r="O156" s="86"/>
      <c r="R156">
        <v>1.1000000000000001</v>
      </c>
      <c r="Y156" s="5">
        <f t="shared" si="30"/>
        <v>46062</v>
      </c>
      <c r="Z156" s="87">
        <f t="shared" si="55"/>
        <v>52.190661077356019</v>
      </c>
      <c r="AA156" s="87">
        <f t="shared" si="56"/>
        <v>41.574004935881014</v>
      </c>
      <c r="AB156" s="86">
        <v>1.8625964692286086</v>
      </c>
      <c r="AC156" s="93"/>
      <c r="AD156" s="5"/>
      <c r="AE156" s="92"/>
      <c r="AF156" s="92"/>
      <c r="AG156" s="92"/>
      <c r="AH156" s="92"/>
      <c r="AI156" s="93"/>
      <c r="AJ156" s="93"/>
    </row>
    <row r="157" spans="1:36" hidden="1" x14ac:dyDescent="0.3">
      <c r="A157" s="1">
        <f t="shared" si="58"/>
        <v>2026</v>
      </c>
      <c r="B157" s="52">
        <f t="shared" si="57"/>
        <v>46054</v>
      </c>
      <c r="C157" s="1" t="str">
        <f t="shared" si="53"/>
        <v>mar</v>
      </c>
      <c r="D157" s="5">
        <f t="shared" si="27"/>
        <v>46063</v>
      </c>
      <c r="E157" s="30">
        <v>123.3121845584857</v>
      </c>
      <c r="F157" s="14">
        <f>+'Mono SPOT MAT'!M157/'Fisico SPOT MAT'!M157/24</f>
        <v>52.226837241661009</v>
      </c>
      <c r="G157" s="13">
        <f t="shared" si="59"/>
        <v>17.600000000000001</v>
      </c>
      <c r="H157" s="12">
        <f>+'Mono ASIG'!AA157</f>
        <v>70.391016983940375</v>
      </c>
      <c r="I157" s="12">
        <f t="shared" si="54"/>
        <v>53.467940060863455</v>
      </c>
      <c r="J157" s="12">
        <f t="shared" si="60"/>
        <v>17.600000000000001</v>
      </c>
      <c r="K157" s="115"/>
      <c r="L157" s="86"/>
      <c r="M157" s="86"/>
      <c r="N157" s="107">
        <f>+'Mono SPOT MAT'!S157/'Fisico SPOT MAT'!S157/'Fisico SPOT MAT'!E157</f>
        <v>15.789900704453403</v>
      </c>
      <c r="O157" s="86"/>
      <c r="R157">
        <v>1.1000000000000001</v>
      </c>
      <c r="Y157" s="5">
        <f t="shared" si="30"/>
        <v>46063</v>
      </c>
      <c r="Z157" s="87">
        <f t="shared" si="55"/>
        <v>123.3121845584857</v>
      </c>
      <c r="AA157" s="87">
        <f t="shared" si="56"/>
        <v>41.839367656250971</v>
      </c>
      <c r="AB157" s="86">
        <v>10.387469585410036</v>
      </c>
      <c r="AC157" s="93"/>
      <c r="AD157" s="5"/>
      <c r="AE157" s="92"/>
      <c r="AF157" s="92"/>
      <c r="AG157" s="92"/>
      <c r="AH157" s="92"/>
      <c r="AI157" s="93"/>
      <c r="AJ157" s="93"/>
    </row>
    <row r="158" spans="1:36" hidden="1" x14ac:dyDescent="0.3">
      <c r="A158" s="1">
        <f t="shared" si="58"/>
        <v>2026</v>
      </c>
      <c r="B158" s="52">
        <f t="shared" si="57"/>
        <v>46054</v>
      </c>
      <c r="C158" s="1" t="str">
        <f t="shared" si="53"/>
        <v>mié</v>
      </c>
      <c r="D158" s="5">
        <f t="shared" si="27"/>
        <v>46064</v>
      </c>
      <c r="E158" s="30">
        <v>37.37316760053556</v>
      </c>
      <c r="F158" s="14">
        <f>+'Mono SPOT MAT'!M158/'Fisico SPOT MAT'!M158/24</f>
        <v>43.470921902714053</v>
      </c>
      <c r="G158" s="13">
        <f t="shared" si="59"/>
        <v>17.600000000000001</v>
      </c>
      <c r="H158" s="12">
        <f>+'Mono ASIG'!AA158</f>
        <v>74.778555980750028</v>
      </c>
      <c r="I158" s="12">
        <f t="shared" si="54"/>
        <v>57.855479057673108</v>
      </c>
      <c r="J158" s="12">
        <f t="shared" si="60"/>
        <v>17.600000000000001</v>
      </c>
      <c r="K158" s="115"/>
      <c r="L158" s="86"/>
      <c r="M158" s="86"/>
      <c r="N158" s="108">
        <f>+'Mono SPOT MAT'!S158/'Fisico SPOT MAT'!S158/'Fisico SPOT MAT'!E158</f>
        <v>15.853506682122932</v>
      </c>
      <c r="O158" s="86"/>
      <c r="R158">
        <v>1.1000000000000001</v>
      </c>
      <c r="Y158" s="5">
        <f t="shared" si="30"/>
        <v>46064</v>
      </c>
      <c r="Z158" s="87">
        <f t="shared" si="55"/>
        <v>37.37316760053556</v>
      </c>
      <c r="AA158" s="87">
        <f t="shared" si="56"/>
        <v>42.349164936187435</v>
      </c>
      <c r="AB158" s="86">
        <v>1.1217569665266185</v>
      </c>
      <c r="AC158" s="93"/>
      <c r="AD158" s="5"/>
      <c r="AE158" s="92"/>
      <c r="AF158" s="92"/>
      <c r="AG158" s="92"/>
      <c r="AH158" s="92"/>
      <c r="AI158" s="93"/>
      <c r="AJ158" s="93"/>
    </row>
    <row r="159" spans="1:36" hidden="1" x14ac:dyDescent="0.3">
      <c r="A159" s="1">
        <f t="shared" si="58"/>
        <v>2026</v>
      </c>
      <c r="B159" s="52">
        <f t="shared" si="57"/>
        <v>46054</v>
      </c>
      <c r="C159" s="1" t="str">
        <f t="shared" si="53"/>
        <v>jue</v>
      </c>
      <c r="D159" s="5">
        <f t="shared" si="27"/>
        <v>46065</v>
      </c>
      <c r="E159" s="30">
        <v>37.984260076748484</v>
      </c>
      <c r="F159" s="14">
        <f>+'Mono SPOT MAT'!M159/'Fisico SPOT MAT'!M159/24</f>
        <v>39.908512699749018</v>
      </c>
      <c r="G159" s="13">
        <f t="shared" si="59"/>
        <v>17.600000000000001</v>
      </c>
      <c r="H159" s="12">
        <f>+'Mono ASIG'!AA159</f>
        <v>72.157891320377942</v>
      </c>
      <c r="I159" s="12">
        <f t="shared" si="54"/>
        <v>55.234814397301022</v>
      </c>
      <c r="J159" s="12">
        <f t="shared" si="60"/>
        <v>17.600000000000001</v>
      </c>
      <c r="K159" s="115"/>
      <c r="L159" s="86"/>
      <c r="M159" s="86"/>
      <c r="N159" s="107">
        <f>+'Mono SPOT MAT'!S159/'Fisico SPOT MAT'!S159/'Fisico SPOT MAT'!E159</f>
        <v>15.874062423900215</v>
      </c>
      <c r="O159" s="86"/>
      <c r="R159">
        <v>1.1000000000000001</v>
      </c>
      <c r="Y159" s="5">
        <f t="shared" si="30"/>
        <v>46065</v>
      </c>
      <c r="Z159" s="87">
        <f t="shared" si="55"/>
        <v>37.984260076748484</v>
      </c>
      <c r="AA159" s="87">
        <f t="shared" si="56"/>
        <v>38.461530049309218</v>
      </c>
      <c r="AB159" s="86">
        <v>1.446982650439802</v>
      </c>
      <c r="AC159" s="93"/>
      <c r="AD159" s="5"/>
      <c r="AE159" s="92"/>
      <c r="AF159" s="92"/>
      <c r="AG159" s="92"/>
      <c r="AH159" s="92"/>
      <c r="AI159" s="93"/>
      <c r="AJ159" s="93"/>
    </row>
    <row r="160" spans="1:36" hidden="1" x14ac:dyDescent="0.3">
      <c r="A160" s="1">
        <f t="shared" ref="A160:A170" si="61">YEAR(D160)</f>
        <v>2026</v>
      </c>
      <c r="B160" s="52">
        <f t="shared" si="57"/>
        <v>46054</v>
      </c>
      <c r="C160" s="1" t="str">
        <f t="shared" si="53"/>
        <v>vie</v>
      </c>
      <c r="D160" s="5">
        <f t="shared" si="27"/>
        <v>46066</v>
      </c>
      <c r="E160" s="30">
        <v>33.991810396766738</v>
      </c>
      <c r="F160" s="14">
        <f>+'Mono SPOT MAT'!M160/'Fisico SPOT MAT'!M160/24</f>
        <v>38.100685563966309</v>
      </c>
      <c r="G160" s="13">
        <f t="shared" ref="G160:G170" si="62">16*R160</f>
        <v>17.600000000000001</v>
      </c>
      <c r="H160" s="12">
        <f>+'Mono ASIG'!AA160</f>
        <v>72.668278086346206</v>
      </c>
      <c r="I160" s="12">
        <f t="shared" si="54"/>
        <v>55.745201163269286</v>
      </c>
      <c r="J160" s="12">
        <f t="shared" ref="J160:J170" si="63">16*R160</f>
        <v>17.600000000000001</v>
      </c>
      <c r="K160" s="115"/>
      <c r="L160" s="86"/>
      <c r="M160" s="86"/>
      <c r="N160" s="108">
        <f>+'Mono SPOT MAT'!S160/'Fisico SPOT MAT'!S160/'Fisico SPOT MAT'!E160</f>
        <v>15.900529068515896</v>
      </c>
      <c r="O160" s="86"/>
      <c r="R160">
        <v>1.1000000000000001</v>
      </c>
      <c r="Y160" s="5">
        <f t="shared" si="30"/>
        <v>46066</v>
      </c>
      <c r="Z160" s="87">
        <f t="shared" si="55"/>
        <v>33.991810396766738</v>
      </c>
      <c r="AA160" s="87">
        <f t="shared" si="56"/>
        <v>37.077558923069013</v>
      </c>
      <c r="AB160" s="86">
        <v>1.0231266408972959</v>
      </c>
      <c r="AC160" s="93"/>
      <c r="AD160" s="5"/>
      <c r="AE160" s="92"/>
      <c r="AF160" s="92"/>
      <c r="AG160" s="92"/>
      <c r="AH160" s="92"/>
      <c r="AI160" s="93"/>
      <c r="AJ160" s="93"/>
    </row>
    <row r="161" spans="1:36" hidden="1" x14ac:dyDescent="0.3">
      <c r="A161" s="1">
        <f t="shared" si="61"/>
        <v>2026</v>
      </c>
      <c r="B161" s="52">
        <f t="shared" si="57"/>
        <v>46054</v>
      </c>
      <c r="C161" s="1" t="str">
        <f t="shared" si="53"/>
        <v>sáb</v>
      </c>
      <c r="D161" s="5">
        <f t="shared" si="27"/>
        <v>46067</v>
      </c>
      <c r="E161" s="30">
        <v>32.293638972697721</v>
      </c>
      <c r="F161" s="14">
        <f>+'Mono SPOT MAT'!M161/'Fisico SPOT MAT'!M161/24</f>
        <v>37.810333013305176</v>
      </c>
      <c r="G161" s="13">
        <f t="shared" si="62"/>
        <v>17.600000000000001</v>
      </c>
      <c r="H161" s="12">
        <f>+'Mono ASIG'!AA161</f>
        <v>75.121832549936315</v>
      </c>
      <c r="I161" s="12">
        <f t="shared" si="54"/>
        <v>58.198755626859395</v>
      </c>
      <c r="J161" s="12">
        <f t="shared" si="63"/>
        <v>17.600000000000001</v>
      </c>
      <c r="K161" s="115"/>
      <c r="L161" s="86"/>
      <c r="M161" s="86"/>
      <c r="N161" s="107">
        <f>+'Mono SPOT MAT'!S161/'Fisico SPOT MAT'!S161/'Fisico SPOT MAT'!E161</f>
        <v>15.915624740471742</v>
      </c>
      <c r="O161" s="86"/>
      <c r="R161">
        <v>1.1000000000000001</v>
      </c>
      <c r="Y161" s="5">
        <f t="shared" si="30"/>
        <v>46067</v>
      </c>
      <c r="Z161" s="87">
        <f t="shared" si="55"/>
        <v>32.293638972697721</v>
      </c>
      <c r="AA161" s="87">
        <f t="shared" si="56"/>
        <v>37.010494477969907</v>
      </c>
      <c r="AB161" s="86">
        <v>0.79983853533526728</v>
      </c>
      <c r="AC161" s="93"/>
      <c r="AD161" s="5"/>
      <c r="AE161" s="92"/>
      <c r="AF161" s="92"/>
      <c r="AG161" s="92"/>
      <c r="AH161" s="92"/>
      <c r="AI161" s="93"/>
      <c r="AJ161" s="93"/>
    </row>
    <row r="162" spans="1:36" hidden="1" x14ac:dyDescent="0.3">
      <c r="A162" s="1">
        <f t="shared" si="61"/>
        <v>2026</v>
      </c>
      <c r="B162" s="52">
        <f t="shared" si="57"/>
        <v>46054</v>
      </c>
      <c r="C162" s="1" t="str">
        <f t="shared" si="53"/>
        <v>dom</v>
      </c>
      <c r="D162" s="5">
        <f t="shared" si="27"/>
        <v>46068</v>
      </c>
      <c r="E162" s="30">
        <v>35.825402108273238</v>
      </c>
      <c r="F162" s="14">
        <f>+'Mono SPOT MAT'!M162/'Fisico SPOT MAT'!M162/24</f>
        <v>37.87692457060826</v>
      </c>
      <c r="G162" s="13">
        <f t="shared" si="62"/>
        <v>17.600000000000001</v>
      </c>
      <c r="H162" s="12">
        <f>+'Mono ASIG'!AA162</f>
        <v>75.754388465206418</v>
      </c>
      <c r="I162" s="12">
        <f t="shared" si="54"/>
        <v>58.831311542129498</v>
      </c>
      <c r="J162" s="12">
        <f t="shared" si="63"/>
        <v>17.600000000000001</v>
      </c>
      <c r="K162" s="115"/>
      <c r="L162" s="86"/>
      <c r="M162" s="86"/>
      <c r="N162" s="108">
        <f>+'Mono SPOT MAT'!S162/'Fisico SPOT MAT'!S162/'Fisico SPOT MAT'!E162</f>
        <v>15.870018284342745</v>
      </c>
      <c r="O162" s="86"/>
      <c r="R162">
        <v>1.1000000000000001</v>
      </c>
      <c r="Y162" s="5">
        <f t="shared" si="30"/>
        <v>46068</v>
      </c>
      <c r="Z162" s="87">
        <f t="shared" si="55"/>
        <v>35.825402108273238</v>
      </c>
      <c r="AA162" s="87">
        <f t="shared" si="56"/>
        <v>36.469560583133543</v>
      </c>
      <c r="AB162" s="86">
        <v>1.4073639874747161</v>
      </c>
      <c r="AC162" s="93"/>
      <c r="AD162" s="5"/>
      <c r="AE162" s="92"/>
      <c r="AF162" s="92"/>
      <c r="AG162" s="92"/>
      <c r="AH162" s="92"/>
      <c r="AI162" s="93"/>
      <c r="AJ162" s="93"/>
    </row>
    <row r="163" spans="1:36" hidden="1" x14ac:dyDescent="0.3">
      <c r="A163" s="1">
        <f t="shared" si="61"/>
        <v>2026</v>
      </c>
      <c r="B163" s="52">
        <f t="shared" si="57"/>
        <v>46054</v>
      </c>
      <c r="C163" s="1" t="str">
        <f t="shared" si="53"/>
        <v>lun</v>
      </c>
      <c r="D163" s="5">
        <f t="shared" si="27"/>
        <v>46069</v>
      </c>
      <c r="E163" s="30">
        <v>36.466009104721991</v>
      </c>
      <c r="F163" s="14">
        <f>+'Mono SPOT MAT'!M163/'Fisico SPOT MAT'!M163/24</f>
        <v>38.639915272538992</v>
      </c>
      <c r="G163" s="13">
        <f t="shared" si="62"/>
        <v>17.600000000000001</v>
      </c>
      <c r="H163" s="12">
        <f>+'Mono ASIG'!AA163</f>
        <v>74.639634680832572</v>
      </c>
      <c r="I163" s="12">
        <f t="shared" si="54"/>
        <v>57.716557757755652</v>
      </c>
      <c r="J163" s="12">
        <f t="shared" si="63"/>
        <v>17.600000000000001</v>
      </c>
      <c r="K163" s="115"/>
      <c r="L163" s="86"/>
      <c r="M163" s="86"/>
      <c r="N163" s="107">
        <f>+'Mono SPOT MAT'!S163/'Fisico SPOT MAT'!S163/'Fisico SPOT MAT'!E163</f>
        <v>15.833208824835049</v>
      </c>
      <c r="O163" s="86"/>
      <c r="R163">
        <v>1.1000000000000001</v>
      </c>
      <c r="Y163" s="5">
        <f t="shared" si="30"/>
        <v>46069</v>
      </c>
      <c r="Z163" s="87">
        <f t="shared" si="55"/>
        <v>36.466009104721991</v>
      </c>
      <c r="AA163" s="87">
        <f t="shared" si="56"/>
        <v>37.416878718133283</v>
      </c>
      <c r="AB163" s="86">
        <v>1.22303655440571</v>
      </c>
      <c r="AC163" s="93"/>
      <c r="AD163" s="5"/>
      <c r="AE163" s="92"/>
      <c r="AF163" s="92"/>
      <c r="AG163" s="92"/>
      <c r="AH163" s="92"/>
      <c r="AI163" s="93"/>
      <c r="AJ163" s="93"/>
    </row>
    <row r="164" spans="1:36" hidden="1" x14ac:dyDescent="0.3">
      <c r="A164" s="1">
        <f t="shared" si="61"/>
        <v>2026</v>
      </c>
      <c r="B164" s="52">
        <f t="shared" si="57"/>
        <v>46054</v>
      </c>
      <c r="C164" s="1" t="str">
        <f t="shared" si="53"/>
        <v>mar</v>
      </c>
      <c r="D164" s="5">
        <f t="shared" si="27"/>
        <v>46070</v>
      </c>
      <c r="E164" s="30">
        <v>45.706234198232771</v>
      </c>
      <c r="F164" s="14">
        <f>+'Mono SPOT MAT'!M164/'Fisico SPOT MAT'!M164/24</f>
        <v>39.437936612057747</v>
      </c>
      <c r="G164" s="13">
        <f t="shared" si="62"/>
        <v>17.600000000000001</v>
      </c>
      <c r="H164" s="12">
        <f>+'Mono ASIG'!AA164</f>
        <v>72.252302154476169</v>
      </c>
      <c r="I164" s="12">
        <f t="shared" si="54"/>
        <v>55.329225231399249</v>
      </c>
      <c r="J164" s="12">
        <f t="shared" si="63"/>
        <v>17.600000000000001</v>
      </c>
      <c r="K164" s="115"/>
      <c r="L164" s="86"/>
      <c r="M164" s="86"/>
      <c r="N164" s="108">
        <f>+'Mono SPOT MAT'!S164/'Fisico SPOT MAT'!S164/'Fisico SPOT MAT'!E164</f>
        <v>15.820013105320914</v>
      </c>
      <c r="O164" s="86"/>
      <c r="R164">
        <v>1.1000000000000001</v>
      </c>
      <c r="Y164" s="5">
        <f t="shared" si="30"/>
        <v>46070</v>
      </c>
      <c r="Z164" s="87">
        <f t="shared" si="55"/>
        <v>45.706234198232771</v>
      </c>
      <c r="AA164" s="87">
        <f t="shared" si="56"/>
        <v>38.025173070047096</v>
      </c>
      <c r="AB164" s="86">
        <v>1.4127635420106528</v>
      </c>
      <c r="AC164" s="93"/>
      <c r="AD164" s="5"/>
      <c r="AE164" s="92"/>
      <c r="AF164" s="92"/>
      <c r="AG164" s="92"/>
      <c r="AH164" s="92"/>
      <c r="AI164" s="93"/>
      <c r="AJ164" s="93"/>
    </row>
    <row r="165" spans="1:36" hidden="1" x14ac:dyDescent="0.3">
      <c r="A165" s="1">
        <f t="shared" si="61"/>
        <v>2026</v>
      </c>
      <c r="B165" s="52">
        <f t="shared" si="57"/>
        <v>46054</v>
      </c>
      <c r="C165" s="1" t="str">
        <f t="shared" si="53"/>
        <v>mié</v>
      </c>
      <c r="D165" s="5">
        <f t="shared" si="27"/>
        <v>46071</v>
      </c>
      <c r="E165" s="30">
        <v>63.014107482929894</v>
      </c>
      <c r="F165" s="14">
        <f>+'Mono SPOT MAT'!M165/'Fisico SPOT MAT'!M165/24</f>
        <v>42.739871152444493</v>
      </c>
      <c r="G165" s="13">
        <f t="shared" si="62"/>
        <v>17.600000000000001</v>
      </c>
      <c r="H165" s="12">
        <f>+'Mono ASIG'!AA165</f>
        <v>64.356515134610348</v>
      </c>
      <c r="I165" s="12">
        <f t="shared" si="54"/>
        <v>47.433438211533428</v>
      </c>
      <c r="J165" s="12">
        <f t="shared" si="63"/>
        <v>17.600000000000001</v>
      </c>
      <c r="K165" s="115"/>
      <c r="L165" s="86"/>
      <c r="M165" s="86"/>
      <c r="N165" s="107">
        <f>+'Mono SPOT MAT'!S165/'Fisico SPOT MAT'!S165/'Fisico SPOT MAT'!E165</f>
        <v>15.852511543299968</v>
      </c>
      <c r="O165" s="86"/>
      <c r="R165">
        <v>1.1000000000000001</v>
      </c>
      <c r="Y165" s="5">
        <f t="shared" si="30"/>
        <v>46071</v>
      </c>
      <c r="Z165" s="87">
        <f t="shared" si="55"/>
        <v>63.014107482929894</v>
      </c>
      <c r="AA165" s="87">
        <f t="shared" si="56"/>
        <v>39.727506020801513</v>
      </c>
      <c r="AB165" s="86">
        <v>3.0123651316429818</v>
      </c>
      <c r="AC165" s="93"/>
      <c r="AD165" s="5"/>
      <c r="AE165" s="92"/>
      <c r="AF165" s="92"/>
      <c r="AG165" s="92"/>
      <c r="AH165" s="92"/>
      <c r="AI165" s="93"/>
      <c r="AJ165" s="93"/>
    </row>
    <row r="166" spans="1:36" hidden="1" x14ac:dyDescent="0.3">
      <c r="A166" s="1">
        <f t="shared" si="61"/>
        <v>2026</v>
      </c>
      <c r="B166" s="52">
        <f t="shared" si="57"/>
        <v>46054</v>
      </c>
      <c r="C166" s="1" t="str">
        <f t="shared" si="53"/>
        <v>jue</v>
      </c>
      <c r="D166" s="5">
        <f t="shared" si="27"/>
        <v>46072</v>
      </c>
      <c r="E166" s="30">
        <v>44.234898803117169</v>
      </c>
      <c r="F166" s="14">
        <f>+'Mono SPOT MAT'!M166/'Fisico SPOT MAT'!M166/24</f>
        <v>40.138144206288118</v>
      </c>
      <c r="G166" s="13">
        <f t="shared" si="62"/>
        <v>17.600000000000001</v>
      </c>
      <c r="H166" s="12">
        <f>+'Mono ASIG'!AA166</f>
        <v>72.429494418406946</v>
      </c>
      <c r="I166" s="12">
        <f t="shared" si="54"/>
        <v>55.506417495330027</v>
      </c>
      <c r="J166" s="12">
        <f t="shared" si="63"/>
        <v>17.600000000000001</v>
      </c>
      <c r="K166" s="115"/>
      <c r="L166" s="86"/>
      <c r="M166" s="86"/>
      <c r="N166" s="108">
        <f>+'Mono SPOT MAT'!S166/'Fisico SPOT MAT'!S166/'Fisico SPOT MAT'!E166</f>
        <v>15.868827123807854</v>
      </c>
      <c r="O166" s="86"/>
      <c r="R166">
        <v>1.1000000000000001</v>
      </c>
      <c r="Y166" s="5">
        <f t="shared" si="30"/>
        <v>46072</v>
      </c>
      <c r="Z166" s="87">
        <f t="shared" si="55"/>
        <v>44.234898803117169</v>
      </c>
      <c r="AA166" s="87">
        <f t="shared" si="56"/>
        <v>38.635946457234859</v>
      </c>
      <c r="AB166" s="86">
        <v>1.5021977490532614</v>
      </c>
      <c r="AC166" s="93"/>
      <c r="AD166" s="5"/>
      <c r="AE166" s="92"/>
      <c r="AF166" s="92"/>
      <c r="AG166" s="92"/>
      <c r="AH166" s="92"/>
      <c r="AI166" s="93"/>
      <c r="AJ166" s="93"/>
    </row>
    <row r="167" spans="1:36" hidden="1" x14ac:dyDescent="0.3">
      <c r="A167" s="1">
        <f t="shared" si="61"/>
        <v>2026</v>
      </c>
      <c r="B167" s="52">
        <f t="shared" si="57"/>
        <v>46054</v>
      </c>
      <c r="C167" s="1" t="str">
        <f t="shared" si="53"/>
        <v>vie</v>
      </c>
      <c r="D167" s="5">
        <f t="shared" si="27"/>
        <v>46073</v>
      </c>
      <c r="E167" s="30">
        <v>36.959130505853089</v>
      </c>
      <c r="F167" s="14">
        <f>+'Mono SPOT MAT'!M167/'Fisico SPOT MAT'!M167/24</f>
        <v>39.162436758660299</v>
      </c>
      <c r="G167" s="13">
        <f t="shared" si="62"/>
        <v>17.600000000000001</v>
      </c>
      <c r="H167" s="12">
        <f>+'Mono ASIG'!AA167</f>
        <v>72.105765951390268</v>
      </c>
      <c r="I167" s="12">
        <f t="shared" si="54"/>
        <v>55.182689028313348</v>
      </c>
      <c r="J167" s="12">
        <f t="shared" si="63"/>
        <v>17.600000000000001</v>
      </c>
      <c r="K167" s="115"/>
      <c r="L167" s="86"/>
      <c r="M167" s="86"/>
      <c r="N167" s="107">
        <f>+'Mono SPOT MAT'!S167/'Fisico SPOT MAT'!S167/'Fisico SPOT MAT'!E167</f>
        <v>15.890322064349524</v>
      </c>
      <c r="O167" s="86"/>
      <c r="R167">
        <v>1.1000000000000001</v>
      </c>
      <c r="Y167" s="5">
        <f t="shared" si="30"/>
        <v>46073</v>
      </c>
      <c r="Z167" s="87">
        <f t="shared" si="55"/>
        <v>36.959130505853089</v>
      </c>
      <c r="AA167" s="87">
        <f t="shared" si="56"/>
        <v>37.80915638839199</v>
      </c>
      <c r="AB167" s="86">
        <v>1.3532803702683094</v>
      </c>
      <c r="AC167" s="93"/>
      <c r="AD167" s="5"/>
      <c r="AE167" s="92"/>
      <c r="AF167" s="92"/>
      <c r="AG167" s="92"/>
      <c r="AH167" s="92"/>
      <c r="AI167" s="93"/>
      <c r="AJ167" s="93"/>
    </row>
    <row r="168" spans="1:36" hidden="1" x14ac:dyDescent="0.3">
      <c r="A168" s="1">
        <f t="shared" si="61"/>
        <v>2026</v>
      </c>
      <c r="B168" s="52">
        <f t="shared" si="57"/>
        <v>46054</v>
      </c>
      <c r="C168" s="1" t="str">
        <f t="shared" si="53"/>
        <v>sáb</v>
      </c>
      <c r="D168" s="5">
        <f t="shared" si="27"/>
        <v>46074</v>
      </c>
      <c r="E168" s="30">
        <v>39.504848783117382</v>
      </c>
      <c r="F168" s="14">
        <f>+'Mono SPOT MAT'!M168/'Fisico SPOT MAT'!M168/24</f>
        <v>38.998203927540878</v>
      </c>
      <c r="G168" s="13">
        <f t="shared" si="62"/>
        <v>17.600000000000001</v>
      </c>
      <c r="H168" s="12">
        <f>+'Mono ASIG'!AA168</f>
        <v>73.853466812287124</v>
      </c>
      <c r="I168" s="12">
        <f t="shared" si="54"/>
        <v>56.930389889210204</v>
      </c>
      <c r="J168" s="12">
        <f t="shared" si="63"/>
        <v>17.600000000000001</v>
      </c>
      <c r="K168" s="115"/>
      <c r="L168" s="86"/>
      <c r="M168" s="86"/>
      <c r="N168" s="108">
        <f>+'Mono SPOT MAT'!S168/'Fisico SPOT MAT'!S168/'Fisico SPOT MAT'!E168</f>
        <v>15.844684100379942</v>
      </c>
      <c r="O168" s="86"/>
      <c r="R168">
        <v>1.1000000000000001</v>
      </c>
      <c r="Y168" s="5">
        <f t="shared" si="30"/>
        <v>46074</v>
      </c>
      <c r="Z168" s="87">
        <f t="shared" si="55"/>
        <v>39.504848783117382</v>
      </c>
      <c r="AA168" s="87">
        <f t="shared" si="56"/>
        <v>37.719421963708683</v>
      </c>
      <c r="AB168" s="86">
        <v>1.2787819638321962</v>
      </c>
      <c r="AC168" s="93"/>
      <c r="AD168" s="5"/>
      <c r="AE168" s="92"/>
      <c r="AF168" s="92"/>
      <c r="AG168" s="92"/>
      <c r="AH168" s="92"/>
      <c r="AI168" s="93"/>
      <c r="AJ168" s="93"/>
    </row>
    <row r="169" spans="1:36" hidden="1" x14ac:dyDescent="0.3">
      <c r="A169" s="1">
        <f t="shared" si="61"/>
        <v>2026</v>
      </c>
      <c r="B169" s="52">
        <f t="shared" si="57"/>
        <v>46054</v>
      </c>
      <c r="C169" s="1" t="str">
        <f t="shared" si="53"/>
        <v>dom</v>
      </c>
      <c r="D169" s="5">
        <f t="shared" si="27"/>
        <v>46075</v>
      </c>
      <c r="E169" s="30">
        <v>37.501771331859189</v>
      </c>
      <c r="F169" s="14">
        <f>+'Mono SPOT MAT'!M169/'Fisico SPOT MAT'!M169/24</f>
        <v>38.883596864165547</v>
      </c>
      <c r="G169" s="13">
        <f t="shared" si="62"/>
        <v>17.600000000000001</v>
      </c>
      <c r="H169" s="12">
        <f>+'Mono ASIG'!AA169</f>
        <v>76.73744391854224</v>
      </c>
      <c r="I169" s="12">
        <f t="shared" si="54"/>
        <v>59.814366995465321</v>
      </c>
      <c r="J169" s="12">
        <f t="shared" si="63"/>
        <v>17.600000000000001</v>
      </c>
      <c r="K169" s="115"/>
      <c r="L169" s="86"/>
      <c r="M169" s="86"/>
      <c r="N169" s="107">
        <f>+'Mono SPOT MAT'!S169/'Fisico SPOT MAT'!S169/'Fisico SPOT MAT'!E169</f>
        <v>15.808911377263204</v>
      </c>
      <c r="O169" s="86"/>
      <c r="R169">
        <v>1.1000000000000001</v>
      </c>
      <c r="Y169" s="5">
        <f t="shared" si="30"/>
        <v>46075</v>
      </c>
      <c r="Z169" s="87">
        <f t="shared" si="55"/>
        <v>37.501771331859189</v>
      </c>
      <c r="AA169" s="87">
        <f t="shared" si="56"/>
        <v>37.634623637370801</v>
      </c>
      <c r="AB169" s="86">
        <v>1.2489732267947453</v>
      </c>
      <c r="AC169" s="93"/>
      <c r="AD169" s="5"/>
      <c r="AE169" s="92"/>
      <c r="AF169" s="92"/>
      <c r="AG169" s="92"/>
      <c r="AH169" s="92"/>
      <c r="AI169" s="93"/>
      <c r="AJ169" s="93"/>
    </row>
    <row r="170" spans="1:36" hidden="1" x14ac:dyDescent="0.3">
      <c r="A170" s="1">
        <f t="shared" si="61"/>
        <v>2026</v>
      </c>
      <c r="B170" s="52">
        <f t="shared" si="57"/>
        <v>46054</v>
      </c>
      <c r="C170" s="1" t="str">
        <f t="shared" si="53"/>
        <v>lun</v>
      </c>
      <c r="D170" s="5">
        <f t="shared" si="27"/>
        <v>46076</v>
      </c>
      <c r="E170" s="30">
        <v>46.254402422711429</v>
      </c>
      <c r="F170" s="14">
        <f>+'Mono SPOT MAT'!M170/'Fisico SPOT MAT'!M170/24</f>
        <v>39.679031317329041</v>
      </c>
      <c r="G170" s="13">
        <f t="shared" si="62"/>
        <v>17.600000000000001</v>
      </c>
      <c r="H170" s="12">
        <f>+'Mono ASIG'!AA170</f>
        <v>66.936350464471602</v>
      </c>
      <c r="I170" s="12">
        <f t="shared" si="54"/>
        <v>50.013273541394682</v>
      </c>
      <c r="J170" s="12">
        <f t="shared" si="63"/>
        <v>17.600000000000001</v>
      </c>
      <c r="K170" s="115"/>
      <c r="L170" s="86"/>
      <c r="M170" s="86"/>
      <c r="N170" s="108">
        <f>+'Mono SPOT MAT'!S170/'Fisico SPOT MAT'!S170/'Fisico SPOT MAT'!E170</f>
        <v>15.831699126518972</v>
      </c>
      <c r="O170" s="86"/>
      <c r="R170">
        <v>1.1000000000000001</v>
      </c>
      <c r="Y170" s="5">
        <f t="shared" si="30"/>
        <v>46076</v>
      </c>
      <c r="Z170" s="87">
        <f t="shared" si="55"/>
        <v>46.254402422711429</v>
      </c>
      <c r="AA170" s="87">
        <f t="shared" si="56"/>
        <v>37.906500401973794</v>
      </c>
      <c r="AB170" s="86">
        <v>1.7725309153552444</v>
      </c>
      <c r="AC170" s="93"/>
      <c r="AD170" s="5"/>
      <c r="AE170" s="92"/>
      <c r="AF170" s="92"/>
      <c r="AG170" s="92"/>
      <c r="AH170" s="92"/>
      <c r="AI170" s="93"/>
      <c r="AJ170" s="93"/>
    </row>
    <row r="171" spans="1:36" hidden="1" x14ac:dyDescent="0.3">
      <c r="A171" s="1">
        <f t="shared" ref="A171:A176" si="64">YEAR(D171)</f>
        <v>2026</v>
      </c>
      <c r="B171" s="52">
        <f t="shared" si="57"/>
        <v>46054</v>
      </c>
      <c r="C171" s="1" t="str">
        <f t="shared" si="53"/>
        <v>mar</v>
      </c>
      <c r="D171" s="5">
        <f t="shared" si="27"/>
        <v>46077</v>
      </c>
      <c r="E171" s="30">
        <v>41.730943384826283</v>
      </c>
      <c r="F171" s="14">
        <f>+'Mono SPOT MAT'!M171/'Fisico SPOT MAT'!M171/24</f>
        <v>39.874651435407337</v>
      </c>
      <c r="G171" s="13">
        <f t="shared" ref="G171:G176" si="65">16*R171</f>
        <v>17.600000000000001</v>
      </c>
      <c r="H171" s="12">
        <f>+'Mono ASIG'!AA171</f>
        <v>70.0360382448103</v>
      </c>
      <c r="I171" s="12">
        <f t="shared" si="54"/>
        <v>53.11296132173338</v>
      </c>
      <c r="J171" s="12">
        <f t="shared" ref="J171:J175" si="66">16*R171</f>
        <v>17.600000000000001</v>
      </c>
      <c r="K171" s="115"/>
      <c r="L171" s="86"/>
      <c r="M171" s="86"/>
      <c r="N171" s="107">
        <f>+'Mono SPOT MAT'!S171/'Fisico SPOT MAT'!S171/'Fisico SPOT MAT'!E171</f>
        <v>15.883775722067925</v>
      </c>
      <c r="O171" s="86"/>
      <c r="R171">
        <v>1.1000000000000001</v>
      </c>
      <c r="Y171" s="5">
        <f t="shared" si="30"/>
        <v>46077</v>
      </c>
      <c r="Z171" s="87">
        <f t="shared" si="55"/>
        <v>41.730943384826283</v>
      </c>
      <c r="AA171" s="87">
        <f t="shared" si="56"/>
        <v>38.627963538148542</v>
      </c>
      <c r="AB171" s="86">
        <v>1.2466878972587965</v>
      </c>
      <c r="AC171" s="93"/>
      <c r="AD171" s="5"/>
      <c r="AE171" s="92"/>
      <c r="AF171" s="92"/>
      <c r="AG171" s="92"/>
      <c r="AH171" s="92"/>
      <c r="AI171" s="93"/>
      <c r="AJ171" s="93"/>
    </row>
    <row r="172" spans="1:36" hidden="1" x14ac:dyDescent="0.3">
      <c r="A172" s="1">
        <f t="shared" si="64"/>
        <v>2026</v>
      </c>
      <c r="B172" s="52">
        <f t="shared" si="57"/>
        <v>46054</v>
      </c>
      <c r="C172" s="1" t="str">
        <f t="shared" si="53"/>
        <v>mié</v>
      </c>
      <c r="D172" s="5">
        <f t="shared" si="27"/>
        <v>46078</v>
      </c>
      <c r="E172" s="30">
        <v>35.978006738496376</v>
      </c>
      <c r="F172" s="14">
        <f>+'Mono SPOT MAT'!M172/'Fisico SPOT MAT'!M172/24</f>
        <v>39.243842260700696</v>
      </c>
      <c r="G172" s="13">
        <f t="shared" si="65"/>
        <v>17.600000000000001</v>
      </c>
      <c r="H172" s="12">
        <f>+'Mono ASIG'!AA172</f>
        <v>73.27835821501462</v>
      </c>
      <c r="I172" s="12">
        <f t="shared" si="54"/>
        <v>56.3552812919377</v>
      </c>
      <c r="J172" s="12">
        <f t="shared" si="66"/>
        <v>17.600000000000001</v>
      </c>
      <c r="K172" s="115"/>
      <c r="L172" s="86"/>
      <c r="M172" s="86"/>
      <c r="N172" s="108">
        <f>+'Mono SPOT MAT'!S172/'Fisico SPOT MAT'!S172/'Fisico SPOT MAT'!E172</f>
        <v>15.907595712399836</v>
      </c>
      <c r="O172" s="86"/>
      <c r="R172">
        <v>1.1000000000000001</v>
      </c>
      <c r="Y172" s="5">
        <f t="shared" si="30"/>
        <v>46078</v>
      </c>
      <c r="Z172" s="87">
        <f t="shared" si="55"/>
        <v>35.978006738496376</v>
      </c>
      <c r="AA172" s="87">
        <f t="shared" si="56"/>
        <v>38.058102886816819</v>
      </c>
      <c r="AB172" s="86">
        <v>1.1857393738838777</v>
      </c>
      <c r="AC172" s="93"/>
      <c r="AD172" s="5"/>
      <c r="AE172" s="92"/>
      <c r="AF172" s="92"/>
      <c r="AG172" s="92"/>
      <c r="AH172" s="92"/>
      <c r="AI172" s="93"/>
      <c r="AJ172" s="93"/>
    </row>
    <row r="173" spans="1:36" hidden="1" x14ac:dyDescent="0.3">
      <c r="A173" s="1">
        <f t="shared" si="64"/>
        <v>2026</v>
      </c>
      <c r="B173" s="52">
        <f t="shared" si="57"/>
        <v>46054</v>
      </c>
      <c r="C173" s="1" t="str">
        <f t="shared" si="53"/>
        <v>jue</v>
      </c>
      <c r="D173" s="5">
        <f t="shared" si="27"/>
        <v>46079</v>
      </c>
      <c r="E173" s="30">
        <v>33.906568347942041</v>
      </c>
      <c r="F173" s="14">
        <f>+'Mono SPOT MAT'!M173/'Fisico SPOT MAT'!M173/24</f>
        <v>39.238654690222255</v>
      </c>
      <c r="G173" s="13">
        <f t="shared" si="65"/>
        <v>17.600000000000001</v>
      </c>
      <c r="H173" s="12">
        <f>+'Mono ASIG'!AA173</f>
        <v>71.713064316363528</v>
      </c>
      <c r="I173" s="12">
        <f t="shared" si="54"/>
        <v>54.789987393286609</v>
      </c>
      <c r="J173" s="12">
        <f t="shared" si="66"/>
        <v>17.600000000000001</v>
      </c>
      <c r="K173" s="115"/>
      <c r="L173" s="86"/>
      <c r="M173" s="86"/>
      <c r="N173" s="107">
        <f>+'Mono SPOT MAT'!S173/'Fisico SPOT MAT'!S173/'Fisico SPOT MAT'!E173</f>
        <v>15.9060248181205</v>
      </c>
      <c r="O173" s="86"/>
      <c r="R173">
        <v>1.1000000000000001</v>
      </c>
      <c r="Y173" s="5">
        <f t="shared" si="30"/>
        <v>46079</v>
      </c>
      <c r="Z173" s="87">
        <f t="shared" si="55"/>
        <v>33.906568347942041</v>
      </c>
      <c r="AA173" s="87">
        <f t="shared" si="56"/>
        <v>38.097191324142855</v>
      </c>
      <c r="AB173" s="86">
        <v>1.1414633660793974</v>
      </c>
      <c r="AC173" s="93"/>
      <c r="AD173" s="5"/>
      <c r="AE173" s="92"/>
      <c r="AF173" s="92"/>
      <c r="AG173" s="92"/>
      <c r="AH173" s="92"/>
      <c r="AI173" s="93"/>
      <c r="AJ173" s="93"/>
    </row>
    <row r="174" spans="1:36" hidden="1" x14ac:dyDescent="0.3">
      <c r="A174" s="1">
        <f t="shared" si="64"/>
        <v>2026</v>
      </c>
      <c r="B174" s="52">
        <f t="shared" si="57"/>
        <v>46054</v>
      </c>
      <c r="C174" s="1" t="str">
        <f t="shared" si="53"/>
        <v>vie</v>
      </c>
      <c r="D174" s="5">
        <f t="shared" si="27"/>
        <v>46080</v>
      </c>
      <c r="E174" s="30">
        <v>33.181569624261087</v>
      </c>
      <c r="F174" s="14">
        <f>+'Mono SPOT MAT'!M174/'Fisico SPOT MAT'!M174/24</f>
        <v>39.190708446275671</v>
      </c>
      <c r="G174" s="13">
        <f t="shared" si="65"/>
        <v>17.600000000000001</v>
      </c>
      <c r="H174" s="12">
        <f>+'Mono ASIG'!AA174</f>
        <v>74.705922972014065</v>
      </c>
      <c r="I174" s="12">
        <f t="shared" si="54"/>
        <v>57.782846048937145</v>
      </c>
      <c r="J174" s="12">
        <f t="shared" si="66"/>
        <v>17.600000000000001</v>
      </c>
      <c r="K174" s="115"/>
      <c r="L174" s="86"/>
      <c r="M174" s="86"/>
      <c r="N174" s="108">
        <f>+'Mono SPOT MAT'!S174/'Fisico SPOT MAT'!S174/'Fisico SPOT MAT'!E174</f>
        <v>15.901656921477588</v>
      </c>
      <c r="O174" s="86"/>
      <c r="R174">
        <v>1.1000000000000001</v>
      </c>
      <c r="Y174" s="5">
        <f t="shared" si="30"/>
        <v>46080</v>
      </c>
      <c r="Z174" s="87">
        <f t="shared" si="55"/>
        <v>33.181569624261087</v>
      </c>
      <c r="AA174" s="87">
        <f t="shared" si="56"/>
        <v>38.121185146978647</v>
      </c>
      <c r="AB174" s="86">
        <v>1.0695232992970245</v>
      </c>
      <c r="AC174" s="93"/>
      <c r="AD174" s="5"/>
      <c r="AE174" s="92"/>
      <c r="AF174" s="92"/>
      <c r="AG174" s="92"/>
      <c r="AH174" s="92"/>
      <c r="AI174" s="93"/>
      <c r="AJ174" s="93"/>
    </row>
    <row r="175" spans="1:36" hidden="1" x14ac:dyDescent="0.3">
      <c r="A175" s="1">
        <f t="shared" si="64"/>
        <v>2026</v>
      </c>
      <c r="B175" s="52">
        <f t="shared" si="57"/>
        <v>46054</v>
      </c>
      <c r="C175" s="1" t="str">
        <f t="shared" si="53"/>
        <v>sáb</v>
      </c>
      <c r="D175" s="5">
        <f t="shared" si="27"/>
        <v>46081</v>
      </c>
      <c r="E175" s="30">
        <v>33.721985966578529</v>
      </c>
      <c r="F175" s="14">
        <f>+'Mono SPOT MAT'!M175/'Fisico SPOT MAT'!M175/24</f>
        <v>38.805707186554379</v>
      </c>
      <c r="G175" s="13">
        <f t="shared" si="65"/>
        <v>17.600000000000001</v>
      </c>
      <c r="H175" s="12">
        <f>+'Mono ASIG'!AA175</f>
        <v>74.7885180282844</v>
      </c>
      <c r="I175" s="12">
        <f t="shared" si="54"/>
        <v>57.865441105207481</v>
      </c>
      <c r="J175" s="12">
        <f t="shared" si="66"/>
        <v>17.600000000000001</v>
      </c>
      <c r="K175" s="115"/>
      <c r="L175" s="86"/>
      <c r="M175" s="86"/>
      <c r="N175" s="107">
        <f>+'Mono SPOT MAT'!S175/'Fisico SPOT MAT'!S175/'Fisico SPOT MAT'!E175</f>
        <v>15.903193134098009</v>
      </c>
      <c r="O175" s="86"/>
      <c r="R175">
        <v>1.1000000000000001</v>
      </c>
      <c r="Y175" s="5">
        <f t="shared" si="30"/>
        <v>46081</v>
      </c>
      <c r="Z175" s="87">
        <f t="shared" si="55"/>
        <v>33.721985966578529</v>
      </c>
      <c r="AA175" s="87">
        <f t="shared" si="56"/>
        <v>37.737442853449309</v>
      </c>
      <c r="AB175" s="86">
        <v>1.0682643331050707</v>
      </c>
      <c r="AC175" s="93"/>
      <c r="AD175" s="5"/>
      <c r="AE175" s="92"/>
      <c r="AF175" s="92"/>
      <c r="AG175" s="92"/>
      <c r="AH175" s="92"/>
      <c r="AI175" s="93"/>
      <c r="AJ175" s="93"/>
    </row>
    <row r="176" spans="1:36" hidden="1" x14ac:dyDescent="0.3">
      <c r="A176" s="1">
        <f t="shared" si="64"/>
        <v>2026</v>
      </c>
      <c r="B176" s="52">
        <f t="shared" si="57"/>
        <v>46082</v>
      </c>
      <c r="C176" s="1" t="str">
        <f t="shared" si="53"/>
        <v>dom</v>
      </c>
      <c r="D176" s="5">
        <f t="shared" si="27"/>
        <v>46082</v>
      </c>
      <c r="E176" s="30">
        <v>31.876019591615353</v>
      </c>
      <c r="F176" s="14">
        <f>+'Mono SPOT MAT'!M176/'Fisico SPOT MAT'!M176/24</f>
        <v>38.685704968203915</v>
      </c>
      <c r="G176" s="13">
        <f t="shared" si="65"/>
        <v>14.4</v>
      </c>
      <c r="H176" s="12">
        <f>+'Mono ASIG'!AA176</f>
        <v>72.571590203555715</v>
      </c>
      <c r="I176" s="12">
        <f t="shared" ref="I176:I191" si="67">+H176-J176*$P$12/$Q$12/$W$12</f>
        <v>60.043553226903953</v>
      </c>
      <c r="J176" s="12">
        <f>16*R176</f>
        <v>14.4</v>
      </c>
      <c r="K176" s="115"/>
      <c r="L176" s="86"/>
      <c r="M176" s="86"/>
      <c r="N176" s="108">
        <f>+'Mono SPOT MAT'!S176/'Fisico SPOT MAT'!S176/'Fisico SPOT MAT'!E176</f>
        <v>15.301430218731763</v>
      </c>
      <c r="O176" s="86"/>
      <c r="R176">
        <v>0.9</v>
      </c>
      <c r="Y176" s="5">
        <f t="shared" si="30"/>
        <v>46082</v>
      </c>
      <c r="Z176" s="87">
        <f t="shared" si="55"/>
        <v>31.876019591615353</v>
      </c>
      <c r="AA176" s="87">
        <f t="shared" si="56"/>
        <v>37.822671685087954</v>
      </c>
      <c r="AB176" s="86">
        <v>0.86303328311595906</v>
      </c>
      <c r="AC176" s="93"/>
      <c r="AD176" s="5"/>
      <c r="AE176" s="92"/>
      <c r="AF176" s="92"/>
      <c r="AG176" s="92"/>
      <c r="AH176" s="92"/>
      <c r="AI176" s="93"/>
      <c r="AJ176" s="93"/>
    </row>
    <row r="177" spans="1:36" hidden="1" x14ac:dyDescent="0.3">
      <c r="A177" s="1">
        <f t="shared" ref="A177:A193" si="68">YEAR(D177)</f>
        <v>2026</v>
      </c>
      <c r="B177" s="52">
        <f t="shared" si="57"/>
        <v>46082</v>
      </c>
      <c r="C177" s="1" t="str">
        <f t="shared" si="53"/>
        <v>lun</v>
      </c>
      <c r="D177" s="5">
        <f t="shared" si="27"/>
        <v>46083</v>
      </c>
      <c r="E177" s="30">
        <v>41.855325574126468</v>
      </c>
      <c r="F177" s="14">
        <f>+'Mono SPOT MAT'!M177/'Fisico SPOT MAT'!M177/24</f>
        <v>44.074983290243544</v>
      </c>
      <c r="G177" s="13">
        <f t="shared" ref="G177:G205" si="69">16*R177</f>
        <v>14.4</v>
      </c>
      <c r="H177" s="12">
        <f>+'Mono ASIG'!AA177</f>
        <v>67.055289972356363</v>
      </c>
      <c r="I177" s="12">
        <f t="shared" si="67"/>
        <v>54.5272529957046</v>
      </c>
      <c r="J177" s="12">
        <f t="shared" ref="J177:J205" si="70">16*R177</f>
        <v>14.4</v>
      </c>
      <c r="K177" s="115"/>
      <c r="L177" s="86"/>
      <c r="M177" s="86"/>
      <c r="N177" s="107">
        <f>+'Mono SPOT MAT'!S177/'Fisico SPOT MAT'!S177/'Fisico SPOT MAT'!E177</f>
        <v>15.300692504308941</v>
      </c>
      <c r="O177" s="86"/>
      <c r="R177">
        <v>0.9</v>
      </c>
      <c r="Y177" s="5">
        <f t="shared" si="30"/>
        <v>46083</v>
      </c>
      <c r="Z177" s="87">
        <f t="shared" si="55"/>
        <v>41.855325574126468</v>
      </c>
      <c r="AA177" s="87">
        <f t="shared" si="56"/>
        <v>42.826094749604763</v>
      </c>
      <c r="AB177" s="86">
        <v>1.2488885406387809</v>
      </c>
      <c r="AC177" s="93"/>
      <c r="AD177" s="5"/>
      <c r="AE177" s="92"/>
      <c r="AF177" s="92"/>
      <c r="AG177" s="92"/>
      <c r="AH177" s="92"/>
      <c r="AI177" s="93"/>
      <c r="AJ177" s="93"/>
    </row>
    <row r="178" spans="1:36" hidden="1" x14ac:dyDescent="0.3">
      <c r="A178" s="1">
        <f t="shared" si="68"/>
        <v>2026</v>
      </c>
      <c r="B178" s="52">
        <f t="shared" si="57"/>
        <v>46082</v>
      </c>
      <c r="C178" s="1" t="str">
        <f t="shared" si="53"/>
        <v>mar</v>
      </c>
      <c r="D178" s="5">
        <f t="shared" ref="D178:D236" si="71">+D177+1</f>
        <v>46084</v>
      </c>
      <c r="E178" s="30">
        <v>36.19588321499225</v>
      </c>
      <c r="F178" s="14">
        <f>+'Mono SPOT MAT'!M178/'Fisico SPOT MAT'!M178/24</f>
        <v>45.083405843599365</v>
      </c>
      <c r="G178" s="13">
        <f t="shared" si="69"/>
        <v>14.4</v>
      </c>
      <c r="H178" s="12">
        <f>+'Mono ASIG'!AA178</f>
        <v>71.997033713704255</v>
      </c>
      <c r="I178" s="12">
        <f t="shared" si="67"/>
        <v>59.468996737052493</v>
      </c>
      <c r="J178" s="12">
        <f t="shared" si="70"/>
        <v>14.4</v>
      </c>
      <c r="K178" s="115"/>
      <c r="L178" s="86"/>
      <c r="M178" s="86"/>
      <c r="N178" s="108">
        <f>+'Mono SPOT MAT'!S178/'Fisico SPOT MAT'!S178/'Fisico SPOT MAT'!E178</f>
        <v>15.295613142208932</v>
      </c>
      <c r="O178" s="86"/>
      <c r="R178">
        <v>0.9</v>
      </c>
      <c r="Y178" s="5">
        <f t="shared" si="30"/>
        <v>46084</v>
      </c>
      <c r="Z178" s="87">
        <f t="shared" si="55"/>
        <v>36.19588321499225</v>
      </c>
      <c r="AA178" s="87">
        <f t="shared" si="56"/>
        <v>44.294403071631983</v>
      </c>
      <c r="AB178" s="86">
        <v>0.78900277196738233</v>
      </c>
      <c r="AC178" s="93"/>
      <c r="AD178" s="5"/>
      <c r="AE178" s="92"/>
      <c r="AF178" s="92"/>
      <c r="AG178" s="92"/>
      <c r="AH178" s="92"/>
      <c r="AI178" s="93"/>
      <c r="AJ178" s="93"/>
    </row>
    <row r="179" spans="1:36" hidden="1" x14ac:dyDescent="0.3">
      <c r="A179" s="1">
        <f t="shared" si="68"/>
        <v>2026</v>
      </c>
      <c r="B179" s="52">
        <f t="shared" si="57"/>
        <v>46082</v>
      </c>
      <c r="C179" s="1" t="str">
        <f t="shared" si="53"/>
        <v>mié</v>
      </c>
      <c r="D179" s="5">
        <f t="shared" si="71"/>
        <v>46085</v>
      </c>
      <c r="E179" s="30">
        <v>36.665699996196508</v>
      </c>
      <c r="F179" s="14">
        <f>+'Mono SPOT MAT'!M179/'Fisico SPOT MAT'!M179/24</f>
        <v>40.569296183933652</v>
      </c>
      <c r="G179" s="13">
        <f t="shared" si="69"/>
        <v>14.4</v>
      </c>
      <c r="H179" s="12">
        <f>+'Mono ASIG'!AA179</f>
        <v>67.302767126160617</v>
      </c>
      <c r="I179" s="12">
        <f t="shared" si="67"/>
        <v>54.774730149508855</v>
      </c>
      <c r="J179" s="12">
        <f t="shared" si="70"/>
        <v>14.4</v>
      </c>
      <c r="K179" s="115"/>
      <c r="L179" s="86"/>
      <c r="M179" s="86"/>
      <c r="N179" s="107">
        <f>+'Mono SPOT MAT'!S179/'Fisico SPOT MAT'!S179/'Fisico SPOT MAT'!E179</f>
        <v>15.296885900572596</v>
      </c>
      <c r="O179" s="86"/>
      <c r="R179">
        <v>0.9</v>
      </c>
      <c r="Y179" s="5">
        <f t="shared" si="30"/>
        <v>46085</v>
      </c>
      <c r="Z179" s="87">
        <f t="shared" si="55"/>
        <v>36.665699996196508</v>
      </c>
      <c r="AA179" s="87">
        <f t="shared" si="56"/>
        <v>39.368225996331006</v>
      </c>
      <c r="AB179" s="86">
        <v>1.2010701876026435</v>
      </c>
      <c r="AC179" s="93"/>
      <c r="AD179" s="5"/>
      <c r="AE179" s="92"/>
      <c r="AF179" s="92"/>
      <c r="AG179" s="92"/>
      <c r="AH179" s="92"/>
      <c r="AI179" s="93"/>
      <c r="AJ179" s="93"/>
    </row>
    <row r="180" spans="1:36" hidden="1" x14ac:dyDescent="0.3">
      <c r="A180" s="1">
        <f t="shared" si="68"/>
        <v>2026</v>
      </c>
      <c r="B180" s="52">
        <f t="shared" si="57"/>
        <v>46082</v>
      </c>
      <c r="C180" s="1" t="str">
        <f t="shared" si="53"/>
        <v>jue</v>
      </c>
      <c r="D180" s="5">
        <f t="shared" si="71"/>
        <v>46086</v>
      </c>
      <c r="E180" s="30">
        <v>40.343758929207446</v>
      </c>
      <c r="F180" s="14">
        <f>+'Mono SPOT MAT'!M180/'Fisico SPOT MAT'!M180/24</f>
        <v>38.953499618526756</v>
      </c>
      <c r="G180" s="13">
        <f t="shared" si="69"/>
        <v>14.4</v>
      </c>
      <c r="H180" s="12">
        <f>+'Mono ASIG'!AA180</f>
        <v>62.463306690030919</v>
      </c>
      <c r="I180" s="12">
        <f t="shared" si="67"/>
        <v>49.935269713379157</v>
      </c>
      <c r="J180" s="12">
        <f t="shared" si="70"/>
        <v>14.4</v>
      </c>
      <c r="K180" s="115"/>
      <c r="L180" s="86"/>
      <c r="M180" s="86"/>
      <c r="N180" s="108">
        <f>+'Mono SPOT MAT'!S180/'Fisico SPOT MAT'!S180/'Fisico SPOT MAT'!E180</f>
        <v>15.305327715884953</v>
      </c>
      <c r="O180" s="86"/>
      <c r="R180">
        <v>0.9</v>
      </c>
      <c r="Y180" s="5">
        <f t="shared" si="30"/>
        <v>46086</v>
      </c>
      <c r="Z180" s="87">
        <f t="shared" si="55"/>
        <v>40.343758929207446</v>
      </c>
      <c r="AA180" s="87">
        <f t="shared" si="56"/>
        <v>37.507492003247982</v>
      </c>
      <c r="AB180" s="86">
        <v>1.446007615278774</v>
      </c>
      <c r="AC180" s="93"/>
      <c r="AD180" s="5"/>
      <c r="AE180" s="92"/>
      <c r="AF180" s="92"/>
      <c r="AG180" s="92"/>
      <c r="AH180" s="92"/>
      <c r="AI180" s="93"/>
      <c r="AJ180" s="93"/>
    </row>
    <row r="181" spans="1:36" hidden="1" x14ac:dyDescent="0.3">
      <c r="A181" s="1">
        <f t="shared" si="68"/>
        <v>2026</v>
      </c>
      <c r="B181" s="52">
        <f t="shared" si="57"/>
        <v>46082</v>
      </c>
      <c r="C181" s="1" t="str">
        <f t="shared" si="53"/>
        <v>vie</v>
      </c>
      <c r="D181" s="5">
        <f t="shared" si="71"/>
        <v>46087</v>
      </c>
      <c r="E181" s="30">
        <v>37.58081511409376</v>
      </c>
      <c r="F181" s="14">
        <f>+'Mono SPOT MAT'!M181/'Fisico SPOT MAT'!M181/24</f>
        <v>38.309149396428488</v>
      </c>
      <c r="G181" s="13">
        <f t="shared" si="69"/>
        <v>14.4</v>
      </c>
      <c r="H181" s="12">
        <f>+'Mono ASIG'!AA181</f>
        <v>68.653185540478333</v>
      </c>
      <c r="I181" s="12">
        <f t="shared" si="67"/>
        <v>56.125148563826571</v>
      </c>
      <c r="J181" s="12">
        <f t="shared" si="70"/>
        <v>14.4</v>
      </c>
      <c r="K181" s="115"/>
      <c r="L181" s="86"/>
      <c r="M181" s="86"/>
      <c r="N181" s="107">
        <f>+'Mono SPOT MAT'!S181/'Fisico SPOT MAT'!S181/'Fisico SPOT MAT'!E181</f>
        <v>15.321113512852419</v>
      </c>
      <c r="O181" s="86"/>
      <c r="R181">
        <v>0.9</v>
      </c>
      <c r="Y181" s="5">
        <f t="shared" ref="Y181:Y329" si="72">$D181</f>
        <v>46087</v>
      </c>
      <c r="Z181" s="87">
        <f t="shared" ref="Z181:Z205" si="73">+E181</f>
        <v>37.58081511409376</v>
      </c>
      <c r="AA181" s="87">
        <f t="shared" ref="AA181:AA205" si="74">+F181-AB181</f>
        <v>36.930478066915406</v>
      </c>
      <c r="AB181" s="86">
        <v>1.378671329513081</v>
      </c>
      <c r="AC181" s="93"/>
      <c r="AD181" s="5"/>
      <c r="AE181" s="92"/>
      <c r="AF181" s="92"/>
      <c r="AG181" s="92"/>
      <c r="AH181" s="92"/>
      <c r="AI181" s="93"/>
      <c r="AJ181" s="93"/>
    </row>
    <row r="182" spans="1:36" hidden="1" x14ac:dyDescent="0.3">
      <c r="A182" s="1">
        <f t="shared" si="68"/>
        <v>2026</v>
      </c>
      <c r="B182" s="52">
        <f t="shared" si="57"/>
        <v>46082</v>
      </c>
      <c r="C182" s="1" t="str">
        <f t="shared" si="53"/>
        <v>sáb</v>
      </c>
      <c r="D182" s="5">
        <f t="shared" si="71"/>
        <v>46088</v>
      </c>
      <c r="E182" s="30">
        <v>33.389054023348393</v>
      </c>
      <c r="F182" s="14">
        <f>+'Mono SPOT MAT'!M182/'Fisico SPOT MAT'!M182/24</f>
        <v>37.928164349662957</v>
      </c>
      <c r="G182" s="13">
        <f t="shared" si="69"/>
        <v>14.4</v>
      </c>
      <c r="H182" s="12">
        <f>+'Mono ASIG'!AA182</f>
        <v>74.006669738460275</v>
      </c>
      <c r="I182" s="12">
        <f t="shared" si="67"/>
        <v>61.478632761808512</v>
      </c>
      <c r="J182" s="12">
        <f t="shared" si="70"/>
        <v>14.4</v>
      </c>
      <c r="K182" s="115"/>
      <c r="L182" s="86"/>
      <c r="M182" s="86"/>
      <c r="N182" s="108">
        <f>+'Mono SPOT MAT'!S182/'Fisico SPOT MAT'!S182/'Fisico SPOT MAT'!E182</f>
        <v>15.256708994512367</v>
      </c>
      <c r="O182" s="86"/>
      <c r="R182">
        <v>0.9</v>
      </c>
      <c r="Y182" s="5">
        <f t="shared" si="72"/>
        <v>46088</v>
      </c>
      <c r="Z182" s="87">
        <f t="shared" si="73"/>
        <v>33.389054023348393</v>
      </c>
      <c r="AA182" s="87">
        <f t="shared" si="74"/>
        <v>36.955351968868399</v>
      </c>
      <c r="AB182" s="86">
        <v>0.97281238079455701</v>
      </c>
      <c r="AC182" s="93"/>
      <c r="AD182" s="5"/>
      <c r="AE182" s="92"/>
      <c r="AF182" s="92"/>
      <c r="AG182" s="92"/>
      <c r="AH182" s="92"/>
      <c r="AI182" s="93"/>
      <c r="AJ182" s="93"/>
    </row>
    <row r="183" spans="1:36" hidden="1" x14ac:dyDescent="0.3">
      <c r="A183" s="1">
        <f t="shared" si="68"/>
        <v>2026</v>
      </c>
      <c r="B183" s="52">
        <f t="shared" si="57"/>
        <v>46082</v>
      </c>
      <c r="C183" s="1" t="str">
        <f t="shared" si="53"/>
        <v>dom</v>
      </c>
      <c r="D183" s="5">
        <f t="shared" si="71"/>
        <v>46089</v>
      </c>
      <c r="E183" s="30">
        <v>30.592163983881672</v>
      </c>
      <c r="F183" s="14">
        <f>+'Mono SPOT MAT'!M183/'Fisico SPOT MAT'!M183/24</f>
        <v>37.601907171207394</v>
      </c>
      <c r="G183" s="13">
        <f t="shared" si="69"/>
        <v>14.4</v>
      </c>
      <c r="H183" s="12">
        <f>+'Mono ASIG'!AA183</f>
        <v>72.865185271100842</v>
      </c>
      <c r="I183" s="12">
        <f t="shared" si="67"/>
        <v>60.337148294449079</v>
      </c>
      <c r="J183" s="12">
        <f t="shared" si="70"/>
        <v>14.4</v>
      </c>
      <c r="K183" s="115"/>
      <c r="L183" s="86"/>
      <c r="M183" s="86"/>
      <c r="N183" s="107">
        <f>+'Mono SPOT MAT'!S183/'Fisico SPOT MAT'!S183/'Fisico SPOT MAT'!E183</f>
        <v>15.272888940476145</v>
      </c>
      <c r="O183" s="86"/>
      <c r="R183">
        <v>0.9</v>
      </c>
      <c r="Y183" s="5">
        <f t="shared" si="72"/>
        <v>46089</v>
      </c>
      <c r="Z183" s="87">
        <f t="shared" si="73"/>
        <v>30.592163983881672</v>
      </c>
      <c r="AA183" s="87">
        <f t="shared" si="74"/>
        <v>36.813317101347046</v>
      </c>
      <c r="AB183" s="86">
        <v>0.78859006986034963</v>
      </c>
      <c r="AC183" s="93"/>
      <c r="AD183" s="5"/>
      <c r="AE183" s="92"/>
      <c r="AF183" s="92"/>
      <c r="AG183" s="92"/>
      <c r="AH183" s="92"/>
      <c r="AI183" s="93"/>
      <c r="AJ183" s="93"/>
    </row>
    <row r="184" spans="1:36" hidden="1" x14ac:dyDescent="0.3">
      <c r="A184" s="1">
        <f t="shared" si="68"/>
        <v>2026</v>
      </c>
      <c r="B184" s="52">
        <f t="shared" si="57"/>
        <v>46082</v>
      </c>
      <c r="C184" s="1" t="str">
        <f t="shared" si="53"/>
        <v>lun</v>
      </c>
      <c r="D184" s="5">
        <f t="shared" si="71"/>
        <v>46090</v>
      </c>
      <c r="E184" s="30">
        <v>33.375228075718603</v>
      </c>
      <c r="F184" s="14">
        <f>+'Mono SPOT MAT'!M184/'Fisico SPOT MAT'!M184/24</f>
        <v>37.423552403000095</v>
      </c>
      <c r="G184" s="13">
        <f t="shared" si="69"/>
        <v>14.4</v>
      </c>
      <c r="H184" s="12">
        <f>+'Mono ASIG'!AA184</f>
        <v>68.466351358420837</v>
      </c>
      <c r="I184" s="12">
        <f t="shared" si="67"/>
        <v>55.938314381769075</v>
      </c>
      <c r="J184" s="12">
        <f t="shared" si="70"/>
        <v>14.4</v>
      </c>
      <c r="K184" s="115"/>
      <c r="L184" s="86"/>
      <c r="M184" s="86"/>
      <c r="N184" s="108">
        <f>+'Mono SPOT MAT'!S184/'Fisico SPOT MAT'!S184/'Fisico SPOT MAT'!E184</f>
        <v>15.253004455400831</v>
      </c>
      <c r="O184" s="86"/>
      <c r="R184">
        <v>0.9</v>
      </c>
      <c r="Y184" s="5">
        <f t="shared" si="72"/>
        <v>46090</v>
      </c>
      <c r="Z184" s="87">
        <f t="shared" si="73"/>
        <v>33.375228075718603</v>
      </c>
      <c r="AA184" s="87">
        <f t="shared" si="74"/>
        <v>36.351954191221779</v>
      </c>
      <c r="AB184" s="86">
        <v>1.0715982117783158</v>
      </c>
      <c r="AC184" s="93"/>
      <c r="AD184" s="5"/>
      <c r="AE184" s="92"/>
      <c r="AF184" s="92"/>
      <c r="AG184" s="92"/>
      <c r="AH184" s="92"/>
      <c r="AI184" s="93"/>
      <c r="AJ184" s="93"/>
    </row>
    <row r="185" spans="1:36" hidden="1" x14ac:dyDescent="0.3">
      <c r="A185" s="1">
        <f t="shared" si="68"/>
        <v>2026</v>
      </c>
      <c r="B185" s="52">
        <f t="shared" si="57"/>
        <v>46082</v>
      </c>
      <c r="C185" s="1" t="str">
        <f t="shared" si="53"/>
        <v>mar</v>
      </c>
      <c r="D185" s="5">
        <f t="shared" si="71"/>
        <v>46091</v>
      </c>
      <c r="E185" s="30">
        <v>38.141885039110598</v>
      </c>
      <c r="F185" s="14">
        <f>+'Mono SPOT MAT'!M185/'Fisico SPOT MAT'!M185/24</f>
        <v>38.577213051148071</v>
      </c>
      <c r="G185" s="13">
        <f t="shared" si="69"/>
        <v>14.4</v>
      </c>
      <c r="H185" s="12">
        <f>+'Mono ASIG'!AA185</f>
        <v>67.263404258177516</v>
      </c>
      <c r="I185" s="12">
        <f t="shared" si="67"/>
        <v>54.735367281525754</v>
      </c>
      <c r="J185" s="12">
        <f t="shared" si="70"/>
        <v>14.4</v>
      </c>
      <c r="K185" s="115"/>
      <c r="L185" s="86"/>
      <c r="M185" s="86"/>
      <c r="N185" s="107">
        <f>+'Mono SPOT MAT'!S185/'Fisico SPOT MAT'!S185/'Fisico SPOT MAT'!E185</f>
        <v>15.250392879249622</v>
      </c>
      <c r="O185" s="86"/>
      <c r="R185">
        <v>0.9</v>
      </c>
      <c r="Y185" s="5">
        <f t="shared" si="72"/>
        <v>46091</v>
      </c>
      <c r="Z185" s="87">
        <f t="shared" si="73"/>
        <v>38.141885039110598</v>
      </c>
      <c r="AA185" s="87">
        <f t="shared" si="74"/>
        <v>37.182307566175695</v>
      </c>
      <c r="AB185" s="86">
        <v>1.3949054849723759</v>
      </c>
      <c r="AC185" s="93"/>
      <c r="AD185" s="5"/>
      <c r="AE185" s="92"/>
      <c r="AF185" s="92"/>
      <c r="AG185" s="92"/>
      <c r="AH185" s="92"/>
      <c r="AI185" s="93"/>
      <c r="AJ185" s="93"/>
    </row>
    <row r="186" spans="1:36" hidden="1" x14ac:dyDescent="0.3">
      <c r="A186" s="1">
        <f t="shared" si="68"/>
        <v>2026</v>
      </c>
      <c r="B186" s="52">
        <f t="shared" si="57"/>
        <v>46082</v>
      </c>
      <c r="C186" s="1" t="str">
        <f t="shared" si="53"/>
        <v>mié</v>
      </c>
      <c r="D186" s="5">
        <f t="shared" si="71"/>
        <v>46092</v>
      </c>
      <c r="E186" s="30">
        <v>36.512985566012922</v>
      </c>
      <c r="F186" s="14">
        <f>+'Mono SPOT MAT'!M186/'Fisico SPOT MAT'!M186/24</f>
        <v>38.15422098067085</v>
      </c>
      <c r="G186" s="13">
        <f t="shared" si="69"/>
        <v>14.4</v>
      </c>
      <c r="H186" s="12">
        <f>+'Mono ASIG'!AA186</f>
        <v>70.529639955612879</v>
      </c>
      <c r="I186" s="12">
        <f t="shared" si="67"/>
        <v>58.001602978961117</v>
      </c>
      <c r="J186" s="12">
        <f t="shared" si="70"/>
        <v>14.4</v>
      </c>
      <c r="K186" s="115"/>
      <c r="L186" s="86"/>
      <c r="M186" s="86"/>
      <c r="N186" s="108">
        <f>+'Mono SPOT MAT'!S186/'Fisico SPOT MAT'!S186/'Fisico SPOT MAT'!E186</f>
        <v>15.250798493879641</v>
      </c>
      <c r="O186" s="86"/>
      <c r="R186">
        <v>0.9</v>
      </c>
      <c r="Y186" s="5">
        <f t="shared" si="72"/>
        <v>46092</v>
      </c>
      <c r="Z186" s="87">
        <f t="shared" si="73"/>
        <v>36.512985566012922</v>
      </c>
      <c r="AA186" s="87">
        <f t="shared" si="74"/>
        <v>36.775774610595704</v>
      </c>
      <c r="AB186" s="86">
        <v>1.3784463700751435</v>
      </c>
      <c r="AC186" s="93"/>
      <c r="AD186" s="5"/>
      <c r="AE186" s="92"/>
      <c r="AF186" s="92"/>
      <c r="AG186" s="92"/>
      <c r="AH186" s="92"/>
      <c r="AI186" s="93"/>
      <c r="AJ186" s="93"/>
    </row>
    <row r="187" spans="1:36" hidden="1" x14ac:dyDescent="0.3">
      <c r="A187" s="1">
        <f t="shared" si="68"/>
        <v>2026</v>
      </c>
      <c r="B187" s="52">
        <f t="shared" si="57"/>
        <v>46082</v>
      </c>
      <c r="C187" s="1" t="str">
        <f t="shared" si="53"/>
        <v>jue</v>
      </c>
      <c r="D187" s="5">
        <f t="shared" si="71"/>
        <v>46093</v>
      </c>
      <c r="E187" s="30">
        <v>40.316808570965897</v>
      </c>
      <c r="F187" s="14">
        <f>+'Mono SPOT MAT'!M187/'Fisico SPOT MAT'!M187/24</f>
        <v>38.265919121925137</v>
      </c>
      <c r="G187" s="13">
        <f t="shared" si="69"/>
        <v>14.4</v>
      </c>
      <c r="H187" s="12">
        <f>+'Mono ASIG'!AA187</f>
        <v>66.869304517470937</v>
      </c>
      <c r="I187" s="12">
        <f t="shared" si="67"/>
        <v>54.341267540819175</v>
      </c>
      <c r="J187" s="12">
        <f t="shared" si="70"/>
        <v>14.4</v>
      </c>
      <c r="K187" s="115"/>
      <c r="L187" s="86"/>
      <c r="M187" s="86"/>
      <c r="N187" s="107">
        <f>+'Mono SPOT MAT'!S187/'Fisico SPOT MAT'!S187/'Fisico SPOT MAT'!E187</f>
        <v>15.269356458228133</v>
      </c>
      <c r="O187" s="86"/>
      <c r="R187">
        <v>0.9</v>
      </c>
      <c r="Y187" s="5">
        <f t="shared" si="72"/>
        <v>46093</v>
      </c>
      <c r="Z187" s="87">
        <f t="shared" si="73"/>
        <v>40.316808570965897</v>
      </c>
      <c r="AA187" s="87">
        <f t="shared" si="74"/>
        <v>36.787941545320813</v>
      </c>
      <c r="AB187" s="86">
        <v>1.4779775766043228</v>
      </c>
      <c r="AC187" s="93"/>
      <c r="AD187" s="5"/>
      <c r="AE187" s="92"/>
      <c r="AF187" s="92"/>
      <c r="AG187" s="92"/>
      <c r="AH187" s="92"/>
      <c r="AI187" s="93"/>
      <c r="AJ187" s="93"/>
    </row>
    <row r="188" spans="1:36" hidden="1" x14ac:dyDescent="0.3">
      <c r="A188" s="1">
        <f t="shared" si="68"/>
        <v>2026</v>
      </c>
      <c r="B188" s="52">
        <f t="shared" si="57"/>
        <v>46082</v>
      </c>
      <c r="C188" s="1" t="str">
        <f t="shared" si="53"/>
        <v>vie</v>
      </c>
      <c r="D188" s="5">
        <f t="shared" si="71"/>
        <v>46094</v>
      </c>
      <c r="E188" s="30">
        <v>40.08117380613124</v>
      </c>
      <c r="F188" s="14">
        <f>+'Mono SPOT MAT'!M188/'Fisico SPOT MAT'!M188/24</f>
        <v>38.293940192154146</v>
      </c>
      <c r="G188" s="13">
        <f t="shared" si="69"/>
        <v>14.4</v>
      </c>
      <c r="H188" s="12">
        <f>+'Mono ASIG'!AA188</f>
        <v>66.206402687189595</v>
      </c>
      <c r="I188" s="12">
        <f t="shared" si="67"/>
        <v>53.678365710537832</v>
      </c>
      <c r="J188" s="12">
        <f t="shared" si="70"/>
        <v>14.4</v>
      </c>
      <c r="K188" s="115"/>
      <c r="L188" s="86"/>
      <c r="M188" s="86"/>
      <c r="N188" s="108">
        <f>+'Mono SPOT MAT'!S188/'Fisico SPOT MAT'!S188/'Fisico SPOT MAT'!E188</f>
        <v>15.258649206622827</v>
      </c>
      <c r="O188" s="86"/>
      <c r="R188">
        <v>0.9</v>
      </c>
      <c r="Y188" s="5">
        <f t="shared" si="72"/>
        <v>46094</v>
      </c>
      <c r="Z188" s="87">
        <f t="shared" si="73"/>
        <v>40.08117380613124</v>
      </c>
      <c r="AA188" s="87">
        <f t="shared" si="74"/>
        <v>36.755890189094195</v>
      </c>
      <c r="AB188" s="86">
        <v>1.5380500030599489</v>
      </c>
      <c r="AC188" s="93"/>
      <c r="AD188" s="5"/>
      <c r="AE188" s="92"/>
      <c r="AF188" s="92"/>
      <c r="AG188" s="92"/>
      <c r="AH188" s="92"/>
      <c r="AI188" s="93"/>
      <c r="AJ188" s="93"/>
    </row>
    <row r="189" spans="1:36" hidden="1" x14ac:dyDescent="0.3">
      <c r="A189" s="1">
        <f t="shared" si="68"/>
        <v>2026</v>
      </c>
      <c r="B189" s="52">
        <f t="shared" si="57"/>
        <v>46082</v>
      </c>
      <c r="C189" s="1" t="str">
        <f t="shared" si="53"/>
        <v>sáb</v>
      </c>
      <c r="D189" s="5">
        <f t="shared" si="71"/>
        <v>46095</v>
      </c>
      <c r="E189" s="30">
        <v>41.099345077709174</v>
      </c>
      <c r="F189" s="14">
        <f>+'Mono SPOT MAT'!M189/'Fisico SPOT MAT'!M189/24</f>
        <v>38.035799379184155</v>
      </c>
      <c r="G189" s="13">
        <f t="shared" si="69"/>
        <v>14.4</v>
      </c>
      <c r="H189" s="12">
        <f>+'Mono ASIG'!AA189</f>
        <v>74.884460158918415</v>
      </c>
      <c r="I189" s="12">
        <f t="shared" si="67"/>
        <v>62.356423182266653</v>
      </c>
      <c r="J189" s="12">
        <f t="shared" si="70"/>
        <v>14.4</v>
      </c>
      <c r="K189" s="115"/>
      <c r="L189" s="86"/>
      <c r="M189" s="86"/>
      <c r="N189" s="107">
        <f>+'Mono SPOT MAT'!S189/'Fisico SPOT MAT'!S189/'Fisico SPOT MAT'!E189</f>
        <v>15.194043899983541</v>
      </c>
      <c r="O189" s="86"/>
      <c r="R189">
        <v>0.9</v>
      </c>
      <c r="Y189" s="5">
        <f t="shared" si="72"/>
        <v>46095</v>
      </c>
      <c r="Z189" s="87">
        <f t="shared" si="73"/>
        <v>41.099345077709174</v>
      </c>
      <c r="AA189" s="87">
        <f t="shared" si="74"/>
        <v>36.289802821977688</v>
      </c>
      <c r="AB189" s="86">
        <v>1.7459965572064675</v>
      </c>
      <c r="AC189" s="93"/>
      <c r="AD189" s="5"/>
      <c r="AE189" s="92"/>
      <c r="AF189" s="92"/>
      <c r="AG189" s="92"/>
      <c r="AH189" s="92"/>
      <c r="AI189" s="93"/>
      <c r="AJ189" s="93"/>
    </row>
    <row r="190" spans="1:36" hidden="1" x14ac:dyDescent="0.3">
      <c r="A190" s="1">
        <f t="shared" si="68"/>
        <v>2026</v>
      </c>
      <c r="B190" s="52">
        <f t="shared" si="57"/>
        <v>46082</v>
      </c>
      <c r="C190" s="1" t="str">
        <f t="shared" si="53"/>
        <v>dom</v>
      </c>
      <c r="D190" s="5">
        <f t="shared" si="71"/>
        <v>46096</v>
      </c>
      <c r="E190" s="30">
        <v>34.18821653077233</v>
      </c>
      <c r="F190" s="14">
        <f>+'Mono SPOT MAT'!M190/'Fisico SPOT MAT'!M190/24</f>
        <v>38.868981254200726</v>
      </c>
      <c r="G190" s="13">
        <f t="shared" si="69"/>
        <v>14.4</v>
      </c>
      <c r="H190" s="12">
        <f>+'Mono ASIG'!AA190</f>
        <v>76.298922838892636</v>
      </c>
      <c r="I190" s="12">
        <f t="shared" si="67"/>
        <v>63.770885862240874</v>
      </c>
      <c r="J190" s="12">
        <f t="shared" si="70"/>
        <v>14.4</v>
      </c>
      <c r="K190" s="115"/>
      <c r="L190" s="86"/>
      <c r="M190" s="86"/>
      <c r="N190" s="108">
        <f>+'Mono SPOT MAT'!S190/'Fisico SPOT MAT'!S190/'Fisico SPOT MAT'!E190</f>
        <v>15.180782081117876</v>
      </c>
      <c r="O190" s="86"/>
      <c r="R190">
        <v>0.9</v>
      </c>
      <c r="Y190" s="5">
        <f t="shared" si="72"/>
        <v>46096</v>
      </c>
      <c r="Z190" s="87">
        <f t="shared" si="73"/>
        <v>34.18821653077233</v>
      </c>
      <c r="AA190" s="87">
        <f t="shared" si="74"/>
        <v>37.656333596041272</v>
      </c>
      <c r="AB190" s="86">
        <v>1.2126476581594532</v>
      </c>
      <c r="AC190" s="93"/>
      <c r="AD190" s="5"/>
      <c r="AE190" s="92"/>
      <c r="AF190" s="92"/>
      <c r="AG190" s="92"/>
      <c r="AH190" s="92"/>
      <c r="AI190" s="93"/>
      <c r="AJ190" s="93"/>
    </row>
    <row r="191" spans="1:36" hidden="1" x14ac:dyDescent="0.3">
      <c r="A191" s="1">
        <f t="shared" si="68"/>
        <v>2026</v>
      </c>
      <c r="B191" s="52">
        <f t="shared" si="57"/>
        <v>46082</v>
      </c>
      <c r="C191" s="1" t="str">
        <f t="shared" si="53"/>
        <v>lun</v>
      </c>
      <c r="D191" s="5">
        <f t="shared" si="71"/>
        <v>46097</v>
      </c>
      <c r="E191" s="30">
        <v>96.755517077751932</v>
      </c>
      <c r="F191" s="14">
        <f>+'Mono SPOT MAT'!M191/'Fisico SPOT MAT'!M191/24</f>
        <v>47.710852136411717</v>
      </c>
      <c r="G191" s="13">
        <f t="shared" si="69"/>
        <v>14.4</v>
      </c>
      <c r="H191" s="12">
        <f>+'Mono ASIG'!AA191</f>
        <v>65.117506141625697</v>
      </c>
      <c r="I191" s="12">
        <f t="shared" si="67"/>
        <v>52.589469164973934</v>
      </c>
      <c r="J191" s="12">
        <f t="shared" si="70"/>
        <v>14.4</v>
      </c>
      <c r="K191" s="115"/>
      <c r="L191" s="86"/>
      <c r="M191" s="86"/>
      <c r="N191" s="107">
        <f>+'Mono SPOT MAT'!S191/'Fisico SPOT MAT'!S191/'Fisico SPOT MAT'!E191</f>
        <v>15.16785542632929</v>
      </c>
      <c r="O191" s="86"/>
      <c r="R191">
        <v>0.9</v>
      </c>
      <c r="Y191" s="5">
        <f t="shared" si="72"/>
        <v>46097</v>
      </c>
      <c r="Z191" s="87">
        <f t="shared" si="73"/>
        <v>96.755517077751932</v>
      </c>
      <c r="AA191" s="87">
        <f t="shared" si="74"/>
        <v>40.872599402603001</v>
      </c>
      <c r="AB191" s="86">
        <v>6.8382527338087167</v>
      </c>
      <c r="AC191" s="93"/>
      <c r="AD191" s="5"/>
      <c r="AE191" s="92"/>
      <c r="AF191" s="92"/>
      <c r="AG191" s="92"/>
      <c r="AH191" s="92"/>
      <c r="AI191" s="93"/>
      <c r="AJ191" s="93"/>
    </row>
    <row r="192" spans="1:36" hidden="1" x14ac:dyDescent="0.3">
      <c r="A192" s="1">
        <f t="shared" si="68"/>
        <v>2026</v>
      </c>
      <c r="B192" s="52">
        <f t="shared" si="57"/>
        <v>46082</v>
      </c>
      <c r="C192" s="1" t="str">
        <f t="shared" si="53"/>
        <v>mar</v>
      </c>
      <c r="D192" s="5">
        <f t="shared" si="71"/>
        <v>46098</v>
      </c>
      <c r="E192" s="30">
        <v>97.406515154293118</v>
      </c>
      <c r="F192" s="14">
        <f>+'Mono SPOT MAT'!M192/'Fisico SPOT MAT'!M192/24</f>
        <v>45.941699189911965</v>
      </c>
      <c r="G192" s="13">
        <f t="shared" si="69"/>
        <v>14.4</v>
      </c>
      <c r="H192" s="12">
        <f>+'Mono ASIG'!AA192</f>
        <v>70.61126114541463</v>
      </c>
      <c r="I192" s="12">
        <f>+H192-J192*$P$12/$Q$12/$W$12</f>
        <v>58.083224168762868</v>
      </c>
      <c r="J192" s="12">
        <f t="shared" si="70"/>
        <v>14.4</v>
      </c>
      <c r="K192" s="115"/>
      <c r="L192" s="86"/>
      <c r="M192" s="86"/>
      <c r="N192" s="108">
        <f>+'Mono SPOT MAT'!S192/'Fisico SPOT MAT'!S192/'Fisico SPOT MAT'!E192</f>
        <v>15.184847712462444</v>
      </c>
      <c r="O192" s="86"/>
      <c r="R192">
        <v>0.9</v>
      </c>
      <c r="Y192" s="5">
        <f t="shared" si="72"/>
        <v>46098</v>
      </c>
      <c r="Z192" s="87">
        <f t="shared" si="73"/>
        <v>97.406515154293118</v>
      </c>
      <c r="AA192" s="87">
        <f t="shared" si="74"/>
        <v>39.29696295382066</v>
      </c>
      <c r="AB192" s="86">
        <v>6.6447362360913074</v>
      </c>
      <c r="AC192" s="93"/>
      <c r="AD192" s="5"/>
      <c r="AE192" s="92"/>
      <c r="AF192" s="92"/>
      <c r="AG192" s="92"/>
      <c r="AH192" s="92"/>
      <c r="AI192" s="93"/>
      <c r="AJ192" s="93"/>
    </row>
    <row r="193" spans="1:36" hidden="1" x14ac:dyDescent="0.3">
      <c r="A193" s="1">
        <f t="shared" si="68"/>
        <v>2026</v>
      </c>
      <c r="B193" s="52">
        <f t="shared" si="57"/>
        <v>46082</v>
      </c>
      <c r="C193" s="1" t="str">
        <f t="shared" si="53"/>
        <v>mié</v>
      </c>
      <c r="D193" s="5">
        <f t="shared" si="71"/>
        <v>46099</v>
      </c>
      <c r="E193" s="30">
        <v>46.71228360495342</v>
      </c>
      <c r="F193" s="14">
        <f>+'Mono SPOT MAT'!M193/'Fisico SPOT MAT'!M193/24</f>
        <v>40.747939092978427</v>
      </c>
      <c r="G193" s="13">
        <f t="shared" si="69"/>
        <v>14.4</v>
      </c>
      <c r="H193" s="12">
        <f>+'Mono ASIG'!AA193</f>
        <v>70.891728343724694</v>
      </c>
      <c r="I193" s="12">
        <f t="shared" ref="I193:I206" si="75">+H193-J193*$P$12/$Q$12/$W$12</f>
        <v>58.363691367072931</v>
      </c>
      <c r="J193" s="12">
        <f t="shared" si="70"/>
        <v>14.4</v>
      </c>
      <c r="K193" s="115"/>
      <c r="L193" s="86"/>
      <c r="M193" s="86"/>
      <c r="N193" s="107">
        <f>+'Mono SPOT MAT'!S193/'Fisico SPOT MAT'!S193/'Fisico SPOT MAT'!E193</f>
        <v>15.169587852063483</v>
      </c>
      <c r="O193" s="86"/>
      <c r="R193">
        <v>0.9</v>
      </c>
      <c r="Y193" s="5">
        <f t="shared" si="72"/>
        <v>46099</v>
      </c>
      <c r="Z193" s="87">
        <f t="shared" si="73"/>
        <v>46.71228360495342</v>
      </c>
      <c r="AA193" s="87">
        <f t="shared" si="74"/>
        <v>39.102839295938615</v>
      </c>
      <c r="AB193" s="86">
        <v>1.6450997970398149</v>
      </c>
      <c r="AC193" s="93"/>
      <c r="AD193" s="5"/>
      <c r="AE193" s="92"/>
      <c r="AF193" s="92"/>
      <c r="AG193" s="92"/>
      <c r="AH193" s="92"/>
      <c r="AI193" s="93"/>
      <c r="AJ193" s="93"/>
    </row>
    <row r="194" spans="1:36" hidden="1" x14ac:dyDescent="0.3">
      <c r="A194" s="1">
        <f t="shared" ref="A194:A201" si="76">YEAR(D194)</f>
        <v>2026</v>
      </c>
      <c r="B194" s="52">
        <f t="shared" si="57"/>
        <v>46082</v>
      </c>
      <c r="C194" s="1" t="str">
        <f t="shared" si="53"/>
        <v>jue</v>
      </c>
      <c r="D194" s="5">
        <f t="shared" si="71"/>
        <v>46100</v>
      </c>
      <c r="E194" s="30">
        <v>46.967972487293117</v>
      </c>
      <c r="F194" s="14">
        <f>+'Mono SPOT MAT'!M194/'Fisico SPOT MAT'!M194/24</f>
        <v>40.546487947956287</v>
      </c>
      <c r="G194" s="13">
        <f t="shared" si="69"/>
        <v>14.4</v>
      </c>
      <c r="H194" s="12">
        <f>+'Mono ASIG'!AA194</f>
        <v>69.970572844870176</v>
      </c>
      <c r="I194" s="12">
        <f>+H194-J194*$P$12/$Q$12/$W$12</f>
        <v>57.442535868218414</v>
      </c>
      <c r="J194" s="12">
        <f t="shared" si="70"/>
        <v>14.4</v>
      </c>
      <c r="K194" s="115"/>
      <c r="L194" s="86"/>
      <c r="M194" s="86"/>
      <c r="N194" s="108">
        <f>+'Mono SPOT MAT'!S194/'Fisico SPOT MAT'!S194/'Fisico SPOT MAT'!E194</f>
        <v>15.234908929325005</v>
      </c>
      <c r="O194" s="86"/>
      <c r="R194">
        <v>0.9</v>
      </c>
      <c r="Y194" s="5">
        <f t="shared" si="72"/>
        <v>46100</v>
      </c>
      <c r="Z194" s="87">
        <f t="shared" si="73"/>
        <v>46.967972487293117</v>
      </c>
      <c r="AA194" s="87">
        <f t="shared" si="74"/>
        <v>39.172046438056164</v>
      </c>
      <c r="AB194" s="86">
        <v>1.3744415099001228</v>
      </c>
      <c r="AC194" s="93"/>
      <c r="AD194" s="5"/>
      <c r="AE194" s="92"/>
      <c r="AF194" s="92"/>
      <c r="AG194" s="92"/>
      <c r="AH194" s="92"/>
      <c r="AI194" s="93"/>
      <c r="AJ194" s="93"/>
    </row>
    <row r="195" spans="1:36" hidden="1" x14ac:dyDescent="0.3">
      <c r="A195" s="1">
        <f t="shared" si="76"/>
        <v>2026</v>
      </c>
      <c r="B195" s="52">
        <f t="shared" si="57"/>
        <v>46082</v>
      </c>
      <c r="C195" s="1" t="str">
        <f t="shared" si="53"/>
        <v>vie</v>
      </c>
      <c r="D195" s="5">
        <f t="shared" si="71"/>
        <v>46101</v>
      </c>
      <c r="E195" s="30">
        <v>86.121977379141512</v>
      </c>
      <c r="F195" s="14">
        <f>+'Mono SPOT MAT'!M195/'Fisico SPOT MAT'!M195/24</f>
        <v>44.505709233195574</v>
      </c>
      <c r="G195" s="13">
        <f t="shared" si="69"/>
        <v>14.4</v>
      </c>
      <c r="H195" s="12">
        <f>+'Mono ASIG'!AA195</f>
        <v>63.035309105945544</v>
      </c>
      <c r="I195" s="12">
        <f t="shared" si="75"/>
        <v>50.507272129293781</v>
      </c>
      <c r="J195" s="12">
        <f t="shared" si="70"/>
        <v>14.4</v>
      </c>
      <c r="K195" s="115"/>
      <c r="L195" s="86"/>
      <c r="M195" s="86"/>
      <c r="N195" s="107">
        <f>+'Mono SPOT MAT'!S195/'Fisico SPOT MAT'!S195/'Fisico SPOT MAT'!E195</f>
        <v>15.276439946193063</v>
      </c>
      <c r="O195" s="86"/>
      <c r="R195">
        <v>0.9</v>
      </c>
      <c r="Y195" s="5">
        <f t="shared" si="72"/>
        <v>46101</v>
      </c>
      <c r="Z195" s="87">
        <f t="shared" si="73"/>
        <v>86.121977379141512</v>
      </c>
      <c r="AA195" s="87">
        <f t="shared" si="74"/>
        <v>39.785447873899734</v>
      </c>
      <c r="AB195" s="86">
        <v>4.7202613592958373</v>
      </c>
      <c r="AC195" s="93"/>
      <c r="AD195" s="5"/>
      <c r="AE195" s="92"/>
      <c r="AF195" s="92"/>
      <c r="AG195" s="92"/>
      <c r="AH195" s="92"/>
      <c r="AI195" s="93"/>
      <c r="AJ195" s="93"/>
    </row>
    <row r="196" spans="1:36" hidden="1" x14ac:dyDescent="0.3">
      <c r="A196" s="1">
        <f t="shared" si="76"/>
        <v>2026</v>
      </c>
      <c r="B196" s="52">
        <f t="shared" si="57"/>
        <v>46082</v>
      </c>
      <c r="C196" s="1" t="str">
        <f t="shared" si="53"/>
        <v>sáb</v>
      </c>
      <c r="D196" s="5">
        <f t="shared" si="71"/>
        <v>46102</v>
      </c>
      <c r="E196" s="30">
        <v>42.068737287987986</v>
      </c>
      <c r="F196" s="14">
        <f>+'Mono SPOT MAT'!M196/'Fisico SPOT MAT'!M196/24</f>
        <v>40.573737994008049</v>
      </c>
      <c r="G196" s="13">
        <f t="shared" si="69"/>
        <v>14.4</v>
      </c>
      <c r="H196" s="12">
        <f>+'Mono ASIG'!AA196</f>
        <v>70.595226387048129</v>
      </c>
      <c r="I196" s="12">
        <f t="shared" si="75"/>
        <v>58.067189410396367</v>
      </c>
      <c r="J196" s="12">
        <f t="shared" si="70"/>
        <v>14.4</v>
      </c>
      <c r="K196" s="115"/>
      <c r="L196" s="86"/>
      <c r="M196" s="86"/>
      <c r="N196" s="108">
        <f>+'Mono SPOT MAT'!S196/'Fisico SPOT MAT'!S196/'Fisico SPOT MAT'!E196</f>
        <v>15.281075205804848</v>
      </c>
      <c r="O196" s="86"/>
      <c r="R196">
        <v>0.9</v>
      </c>
      <c r="Y196" s="5">
        <f t="shared" si="72"/>
        <v>46102</v>
      </c>
      <c r="Z196" s="87">
        <f t="shared" si="73"/>
        <v>42.068737287987986</v>
      </c>
      <c r="AA196" s="87">
        <f t="shared" si="74"/>
        <v>39.191941886151881</v>
      </c>
      <c r="AB196" s="86">
        <v>1.3817961078561709</v>
      </c>
      <c r="AC196" s="93"/>
      <c r="AD196" s="5"/>
      <c r="AE196" s="92"/>
      <c r="AF196" s="92"/>
      <c r="AG196" s="92"/>
      <c r="AH196" s="92"/>
      <c r="AI196" s="93"/>
      <c r="AJ196" s="93"/>
    </row>
    <row r="197" spans="1:36" hidden="1" x14ac:dyDescent="0.3">
      <c r="A197" s="1">
        <f t="shared" si="76"/>
        <v>2026</v>
      </c>
      <c r="B197" s="52">
        <f t="shared" si="57"/>
        <v>46082</v>
      </c>
      <c r="C197" s="1" t="str">
        <f t="shared" si="53"/>
        <v>dom</v>
      </c>
      <c r="D197" s="5">
        <f t="shared" si="71"/>
        <v>46103</v>
      </c>
      <c r="E197" s="30">
        <v>35.97697965420047</v>
      </c>
      <c r="F197" s="14">
        <f>+'Mono SPOT MAT'!M197/'Fisico SPOT MAT'!M197/24</f>
        <v>40.438252844751297</v>
      </c>
      <c r="G197" s="13">
        <f t="shared" si="69"/>
        <v>14.4</v>
      </c>
      <c r="H197" s="12">
        <f>+'Mono ASIG'!AA197</f>
        <v>80.954540923968622</v>
      </c>
      <c r="I197" s="12">
        <f t="shared" si="75"/>
        <v>68.42650394731686</v>
      </c>
      <c r="J197" s="12">
        <f t="shared" si="70"/>
        <v>14.4</v>
      </c>
      <c r="K197" s="115"/>
      <c r="L197" s="86"/>
      <c r="M197" s="86"/>
      <c r="N197" s="107">
        <f>+'Mono SPOT MAT'!S197/'Fisico SPOT MAT'!S197/'Fisico SPOT MAT'!E197</f>
        <v>15.295922923014173</v>
      </c>
      <c r="O197" s="86"/>
      <c r="R197">
        <v>0.9</v>
      </c>
      <c r="Y197" s="5">
        <f t="shared" si="72"/>
        <v>46103</v>
      </c>
      <c r="Z197" s="87">
        <f t="shared" si="73"/>
        <v>35.97697965420047</v>
      </c>
      <c r="AA197" s="87">
        <f t="shared" si="74"/>
        <v>39.448797532507015</v>
      </c>
      <c r="AB197" s="86">
        <v>0.98945531224428096</v>
      </c>
      <c r="AC197" s="93"/>
      <c r="AD197" s="5"/>
      <c r="AE197" s="92"/>
      <c r="AF197" s="92"/>
      <c r="AG197" s="92"/>
      <c r="AH197" s="92"/>
      <c r="AI197" s="93"/>
      <c r="AJ197" s="93"/>
    </row>
    <row r="198" spans="1:36" hidden="1" x14ac:dyDescent="0.3">
      <c r="A198" s="1">
        <f t="shared" si="76"/>
        <v>2026</v>
      </c>
      <c r="B198" s="52">
        <f t="shared" si="57"/>
        <v>46082</v>
      </c>
      <c r="C198" s="1" t="str">
        <f t="shared" si="53"/>
        <v>lun</v>
      </c>
      <c r="D198" s="5">
        <f t="shared" si="71"/>
        <v>46104</v>
      </c>
      <c r="E198" s="30">
        <v>46.08479760902582</v>
      </c>
      <c r="F198" s="14">
        <f>+'Mono SPOT MAT'!M198/'Fisico SPOT MAT'!M198/24</f>
        <v>42.164499956014637</v>
      </c>
      <c r="G198" s="13">
        <f t="shared" si="69"/>
        <v>14.4</v>
      </c>
      <c r="H198" s="12">
        <f>+'Mono ASIG'!AA198</f>
        <v>75.740300353626836</v>
      </c>
      <c r="I198" s="12">
        <f t="shared" si="75"/>
        <v>63.212263376975073</v>
      </c>
      <c r="J198" s="12">
        <f t="shared" si="70"/>
        <v>14.4</v>
      </c>
      <c r="K198" s="115"/>
      <c r="L198" s="86"/>
      <c r="M198" s="86"/>
      <c r="N198" s="108">
        <f>+'Mono SPOT MAT'!S198/'Fisico SPOT MAT'!S198/'Fisico SPOT MAT'!E198</f>
        <v>15.184456796782435</v>
      </c>
      <c r="O198" s="86"/>
      <c r="R198">
        <v>0.9</v>
      </c>
      <c r="Y198" s="5">
        <f t="shared" si="72"/>
        <v>46104</v>
      </c>
      <c r="Z198" s="87">
        <f t="shared" si="73"/>
        <v>46.08479760902582</v>
      </c>
      <c r="AA198" s="87">
        <f t="shared" si="74"/>
        <v>40.891888445283897</v>
      </c>
      <c r="AB198" s="86">
        <v>1.2726115107307394</v>
      </c>
      <c r="AC198" s="93"/>
      <c r="AD198" s="5"/>
      <c r="AE198" s="92"/>
      <c r="AF198" s="92"/>
      <c r="AG198" s="92"/>
      <c r="AH198" s="92"/>
      <c r="AI198" s="93"/>
      <c r="AJ198" s="93"/>
    </row>
    <row r="199" spans="1:36" hidden="1" x14ac:dyDescent="0.3">
      <c r="A199" s="1">
        <f t="shared" si="76"/>
        <v>2026</v>
      </c>
      <c r="B199" s="52">
        <f t="shared" si="57"/>
        <v>46082</v>
      </c>
      <c r="C199" s="1" t="str">
        <f t="shared" si="53"/>
        <v>mar</v>
      </c>
      <c r="D199" s="5">
        <f t="shared" si="71"/>
        <v>46105</v>
      </c>
      <c r="E199" s="30">
        <v>36.7333155653074</v>
      </c>
      <c r="F199" s="14">
        <f>+'Mono SPOT MAT'!M199/'Fisico SPOT MAT'!M199/24</f>
        <v>40.426565088239506</v>
      </c>
      <c r="G199" s="13">
        <f t="shared" si="69"/>
        <v>14.4</v>
      </c>
      <c r="H199" s="12">
        <f>+'Mono ASIG'!AA199</f>
        <v>76.038000956731196</v>
      </c>
      <c r="I199" s="12">
        <f t="shared" si="75"/>
        <v>63.509963980079434</v>
      </c>
      <c r="J199" s="12">
        <f t="shared" si="70"/>
        <v>14.4</v>
      </c>
      <c r="K199" s="115"/>
      <c r="L199" s="86"/>
      <c r="M199" s="86"/>
      <c r="N199" s="107">
        <f>+'Mono SPOT MAT'!S199/'Fisico SPOT MAT'!S199/'Fisico SPOT MAT'!E199</f>
        <v>15.19073761783314</v>
      </c>
      <c r="O199" s="86"/>
      <c r="R199">
        <v>0.9</v>
      </c>
      <c r="Y199" s="5">
        <f t="shared" si="72"/>
        <v>46105</v>
      </c>
      <c r="Z199" s="87">
        <f t="shared" si="73"/>
        <v>36.7333155653074</v>
      </c>
      <c r="AA199" s="87">
        <f t="shared" si="74"/>
        <v>39.468246564781026</v>
      </c>
      <c r="AB199" s="86">
        <v>0.95831852345848234</v>
      </c>
      <c r="AC199" s="93"/>
      <c r="AD199" s="5"/>
      <c r="AE199" s="92"/>
      <c r="AF199" s="92"/>
      <c r="AG199" s="92"/>
      <c r="AH199" s="92"/>
      <c r="AI199" s="93"/>
      <c r="AJ199" s="93"/>
    </row>
    <row r="200" spans="1:36" hidden="1" x14ac:dyDescent="0.3">
      <c r="A200" s="1">
        <f t="shared" si="76"/>
        <v>2026</v>
      </c>
      <c r="B200" s="52">
        <f t="shared" si="57"/>
        <v>46082</v>
      </c>
      <c r="C200" s="1" t="str">
        <f t="shared" si="53"/>
        <v>mié</v>
      </c>
      <c r="D200" s="5">
        <f t="shared" si="71"/>
        <v>46106</v>
      </c>
      <c r="E200" s="30">
        <v>41.02725159195375</v>
      </c>
      <c r="F200" s="14">
        <f>+'Mono SPOT MAT'!M200/'Fisico SPOT MAT'!M200/24</f>
        <v>39.721129950906551</v>
      </c>
      <c r="G200" s="13">
        <f t="shared" si="69"/>
        <v>14.4</v>
      </c>
      <c r="H200" s="12">
        <f>+'Mono ASIG'!AA200</f>
        <v>71.182513994667872</v>
      </c>
      <c r="I200" s="12">
        <f t="shared" si="75"/>
        <v>58.654477018016109</v>
      </c>
      <c r="J200" s="12">
        <f t="shared" si="70"/>
        <v>14.4</v>
      </c>
      <c r="K200" s="115"/>
      <c r="L200" s="86"/>
      <c r="M200" s="86"/>
      <c r="N200" s="108">
        <f>+'Mono SPOT MAT'!S200/'Fisico SPOT MAT'!S200/'Fisico SPOT MAT'!E200</f>
        <v>15.162978558139789</v>
      </c>
      <c r="O200" s="86"/>
      <c r="R200">
        <v>0.9</v>
      </c>
      <c r="Y200" s="5">
        <f t="shared" si="72"/>
        <v>46106</v>
      </c>
      <c r="Z200" s="87">
        <f t="shared" si="73"/>
        <v>41.02725159195375</v>
      </c>
      <c r="AA200" s="87">
        <f t="shared" si="74"/>
        <v>38.281818878810618</v>
      </c>
      <c r="AB200" s="86">
        <v>1.4393110720959343</v>
      </c>
      <c r="AC200" s="93"/>
      <c r="AD200" s="5"/>
      <c r="AE200" s="92"/>
      <c r="AF200" s="92"/>
      <c r="AG200" s="92"/>
      <c r="AH200" s="92"/>
      <c r="AI200" s="93"/>
      <c r="AJ200" s="93"/>
    </row>
    <row r="201" spans="1:36" hidden="1" x14ac:dyDescent="0.3">
      <c r="A201" s="1">
        <f t="shared" si="76"/>
        <v>2026</v>
      </c>
      <c r="B201" s="52">
        <f t="shared" si="57"/>
        <v>46082</v>
      </c>
      <c r="C201" s="1" t="str">
        <f t="shared" si="53"/>
        <v>jue</v>
      </c>
      <c r="D201" s="5">
        <f t="shared" si="71"/>
        <v>46107</v>
      </c>
      <c r="E201" s="30">
        <v>45.984765504365022</v>
      </c>
      <c r="F201" s="14">
        <f>+'Mono SPOT MAT'!M201/'Fisico SPOT MAT'!M201/24</f>
        <v>38.545910991270816</v>
      </c>
      <c r="G201" s="13">
        <f t="shared" si="69"/>
        <v>14.4</v>
      </c>
      <c r="H201" s="12">
        <f>+'Mono ASIG'!AA201</f>
        <v>66.646208655146921</v>
      </c>
      <c r="I201" s="12">
        <f t="shared" si="75"/>
        <v>54.118171678495159</v>
      </c>
      <c r="J201" s="12">
        <f t="shared" si="70"/>
        <v>14.4</v>
      </c>
      <c r="K201" s="115"/>
      <c r="L201" s="86"/>
      <c r="M201" s="86"/>
      <c r="N201" s="107">
        <f>+'Mono SPOT MAT'!S201/'Fisico SPOT MAT'!S201/'Fisico SPOT MAT'!E201</f>
        <v>15.151668194324678</v>
      </c>
      <c r="O201" s="86"/>
      <c r="R201">
        <v>0.9</v>
      </c>
      <c r="Y201" s="5">
        <f t="shared" si="72"/>
        <v>46107</v>
      </c>
      <c r="Z201" s="87">
        <f t="shared" si="73"/>
        <v>45.984765504365022</v>
      </c>
      <c r="AA201" s="87">
        <f t="shared" si="74"/>
        <v>36.804214973863544</v>
      </c>
      <c r="AB201" s="86">
        <v>1.7416960174072682</v>
      </c>
      <c r="AC201" s="93"/>
      <c r="AD201" s="5"/>
      <c r="AE201" s="92"/>
      <c r="AF201" s="92"/>
      <c r="AG201" s="92"/>
      <c r="AH201" s="92"/>
      <c r="AI201" s="93"/>
      <c r="AJ201" s="93"/>
    </row>
    <row r="202" spans="1:36" hidden="1" x14ac:dyDescent="0.3">
      <c r="A202" s="1">
        <f t="shared" ref="A202:A205" si="77">YEAR(D202)</f>
        <v>2026</v>
      </c>
      <c r="B202" s="52">
        <f t="shared" si="57"/>
        <v>46082</v>
      </c>
      <c r="C202" s="1" t="str">
        <f t="shared" si="53"/>
        <v>vie</v>
      </c>
      <c r="D202" s="5">
        <f t="shared" si="71"/>
        <v>46108</v>
      </c>
      <c r="E202" s="30">
        <v>47.939142866678488</v>
      </c>
      <c r="F202" s="14">
        <f>+'Mono SPOT MAT'!M202/'Fisico SPOT MAT'!M202/24</f>
        <v>39.699904331133922</v>
      </c>
      <c r="G202" s="13">
        <f t="shared" si="69"/>
        <v>14.4</v>
      </c>
      <c r="H202" s="12">
        <f>+'Mono ASIG'!AA202</f>
        <v>65.571829258481145</v>
      </c>
      <c r="I202" s="12">
        <f t="shared" si="75"/>
        <v>53.043792281829383</v>
      </c>
      <c r="J202" s="12">
        <f t="shared" si="70"/>
        <v>14.4</v>
      </c>
      <c r="K202" s="115"/>
      <c r="L202" s="86"/>
      <c r="M202" s="86"/>
      <c r="N202" s="108">
        <f>+'Mono SPOT MAT'!S202/'Fisico SPOT MAT'!S202/'Fisico SPOT MAT'!E202</f>
        <v>15.150540883869253</v>
      </c>
      <c r="O202" s="86"/>
      <c r="R202">
        <v>0.9</v>
      </c>
      <c r="Y202" s="5">
        <f t="shared" si="72"/>
        <v>46108</v>
      </c>
      <c r="Z202" s="87">
        <f t="shared" si="73"/>
        <v>47.939142866678488</v>
      </c>
      <c r="AA202" s="87">
        <f t="shared" si="74"/>
        <v>37.949031205717958</v>
      </c>
      <c r="AB202" s="86">
        <v>1.7508731254159648</v>
      </c>
      <c r="AC202" s="93"/>
      <c r="AD202" s="5"/>
      <c r="AE202" s="92"/>
      <c r="AF202" s="92"/>
      <c r="AG202" s="92"/>
      <c r="AH202" s="92"/>
      <c r="AI202" s="93"/>
      <c r="AJ202" s="93"/>
    </row>
    <row r="203" spans="1:36" hidden="1" x14ac:dyDescent="0.3">
      <c r="A203" s="1">
        <f t="shared" si="77"/>
        <v>2026</v>
      </c>
      <c r="B203" s="52">
        <f t="shared" si="57"/>
        <v>46082</v>
      </c>
      <c r="C203" s="1" t="str">
        <f t="shared" si="53"/>
        <v>sáb</v>
      </c>
      <c r="D203" s="5">
        <f t="shared" si="71"/>
        <v>46109</v>
      </c>
      <c r="E203" s="30">
        <v>51.770915739603716</v>
      </c>
      <c r="F203" s="14">
        <f>+'Mono SPOT MAT'!M203/'Fisico SPOT MAT'!M203/24</f>
        <v>40.181832557771621</v>
      </c>
      <c r="G203" s="13">
        <f t="shared" si="69"/>
        <v>14.4</v>
      </c>
      <c r="H203" s="12">
        <f>+'Mono ASIG'!AA203</f>
        <v>65.567261477900772</v>
      </c>
      <c r="I203" s="12">
        <f t="shared" si="75"/>
        <v>53.039224501249009</v>
      </c>
      <c r="J203" s="12">
        <f t="shared" si="70"/>
        <v>14.4</v>
      </c>
      <c r="K203" s="115"/>
      <c r="L203" s="86"/>
      <c r="M203" s="86"/>
      <c r="N203" s="107">
        <f>+'Mono SPOT MAT'!S203/'Fisico SPOT MAT'!S203/'Fisico SPOT MAT'!E203</f>
        <v>15.09751161384475</v>
      </c>
      <c r="O203" s="86"/>
      <c r="R203">
        <v>0.9</v>
      </c>
      <c r="Y203" s="5">
        <f t="shared" si="72"/>
        <v>46109</v>
      </c>
      <c r="Z203" s="87">
        <f t="shared" si="73"/>
        <v>51.770915739603716</v>
      </c>
      <c r="AA203" s="87">
        <f t="shared" si="74"/>
        <v>38.257410673768881</v>
      </c>
      <c r="AB203" s="86">
        <v>1.9244218840027376</v>
      </c>
      <c r="AC203" s="93"/>
      <c r="AD203" s="5"/>
      <c r="AE203" s="92"/>
      <c r="AF203" s="92"/>
      <c r="AG203" s="92"/>
      <c r="AH203" s="92"/>
      <c r="AI203" s="93"/>
      <c r="AJ203" s="93"/>
    </row>
    <row r="204" spans="1:36" hidden="1" x14ac:dyDescent="0.3">
      <c r="A204" s="1">
        <f t="shared" si="77"/>
        <v>2026</v>
      </c>
      <c r="B204" s="52">
        <f t="shared" si="57"/>
        <v>46082</v>
      </c>
      <c r="C204" s="1" t="str">
        <f t="shared" si="53"/>
        <v>dom</v>
      </c>
      <c r="D204" s="5">
        <f t="shared" si="71"/>
        <v>46110</v>
      </c>
      <c r="E204" s="30">
        <v>103.15843403056355</v>
      </c>
      <c r="F204" s="14">
        <f>+'Mono SPOT MAT'!M204/'Fisico SPOT MAT'!M204/24</f>
        <v>45.680457085820755</v>
      </c>
      <c r="G204" s="13">
        <f t="shared" si="69"/>
        <v>14.4</v>
      </c>
      <c r="H204" s="12">
        <f>+'Mono ASIG'!AA204</f>
        <v>67.687320635302072</v>
      </c>
      <c r="I204" s="12">
        <f t="shared" si="75"/>
        <v>55.15928365865031</v>
      </c>
      <c r="J204" s="12">
        <f t="shared" si="70"/>
        <v>14.4</v>
      </c>
      <c r="K204" s="115"/>
      <c r="L204" s="86"/>
      <c r="M204" s="86"/>
      <c r="N204" s="108">
        <f>+'Mono SPOT MAT'!S204/'Fisico SPOT MAT'!S204/'Fisico SPOT MAT'!E204</f>
        <v>15.093986634279519</v>
      </c>
      <c r="O204" s="86"/>
      <c r="R204">
        <v>0.9</v>
      </c>
      <c r="Y204" s="5">
        <f t="shared" si="72"/>
        <v>46110</v>
      </c>
      <c r="Z204" s="87">
        <f t="shared" si="73"/>
        <v>103.15843403056355</v>
      </c>
      <c r="AA204" s="87">
        <f t="shared" si="74"/>
        <v>38.820757395474374</v>
      </c>
      <c r="AB204" s="86">
        <v>6.8596996903463801</v>
      </c>
      <c r="AC204" s="93"/>
      <c r="AD204" s="5"/>
      <c r="AE204" s="92"/>
      <c r="AF204" s="92"/>
      <c r="AG204" s="92"/>
      <c r="AH204" s="92"/>
      <c r="AI204" s="93"/>
      <c r="AJ204" s="93"/>
    </row>
    <row r="205" spans="1:36" hidden="1" x14ac:dyDescent="0.3">
      <c r="A205" s="1">
        <f t="shared" si="77"/>
        <v>2026</v>
      </c>
      <c r="B205" s="52">
        <f t="shared" si="57"/>
        <v>46082</v>
      </c>
      <c r="C205" s="1" t="str">
        <f t="shared" si="53"/>
        <v>lun</v>
      </c>
      <c r="D205" s="5">
        <f t="shared" si="71"/>
        <v>46111</v>
      </c>
      <c r="E205" s="30">
        <v>276.4748370582206</v>
      </c>
      <c r="F205" s="14">
        <f>+'Mono SPOT MAT'!M205/'Fisico SPOT MAT'!M205/24</f>
        <v>85.011014774577816</v>
      </c>
      <c r="G205" s="13">
        <f t="shared" si="69"/>
        <v>14.4</v>
      </c>
      <c r="H205" s="12">
        <f>+'Mono ASIG'!AA205</f>
        <v>83.443886266697277</v>
      </c>
      <c r="I205" s="12">
        <f t="shared" si="75"/>
        <v>70.915849290045514</v>
      </c>
      <c r="J205" s="12">
        <f t="shared" si="70"/>
        <v>14.4</v>
      </c>
      <c r="K205" s="115"/>
      <c r="L205" s="86"/>
      <c r="M205" s="86"/>
      <c r="N205" s="107">
        <f>+'Mono SPOT MAT'!S205/'Fisico SPOT MAT'!S205/'Fisico SPOT MAT'!E205</f>
        <v>15.005379748222099</v>
      </c>
      <c r="O205" s="86"/>
      <c r="R205">
        <v>0.9</v>
      </c>
      <c r="Y205" s="5">
        <f t="shared" si="72"/>
        <v>46111</v>
      </c>
      <c r="Z205" s="87">
        <f t="shared" si="73"/>
        <v>276.4748370582206</v>
      </c>
      <c r="AA205" s="87">
        <f t="shared" si="74"/>
        <v>61.736704343640483</v>
      </c>
      <c r="AB205" s="86">
        <v>23.27431043093733</v>
      </c>
      <c r="AC205" s="93"/>
      <c r="AD205" s="5"/>
      <c r="AE205" s="92"/>
      <c r="AF205" s="92"/>
      <c r="AG205" s="92"/>
      <c r="AH205" s="92"/>
      <c r="AI205" s="93"/>
      <c r="AJ205" s="93"/>
    </row>
    <row r="206" spans="1:36" hidden="1" x14ac:dyDescent="0.3">
      <c r="A206" s="1">
        <f t="shared" ref="A206:A213" si="78">YEAR(D206)</f>
        <v>2026</v>
      </c>
      <c r="B206" s="52">
        <f t="shared" ref="B206:B213" si="79">DATE(A206,MONTH(D206),1)</f>
        <v>46082</v>
      </c>
      <c r="C206" s="1" t="str">
        <f t="shared" si="53"/>
        <v>mar</v>
      </c>
      <c r="D206" s="5">
        <f t="shared" si="71"/>
        <v>46112</v>
      </c>
      <c r="E206" s="30">
        <v>277.474837058221</v>
      </c>
      <c r="F206" s="14">
        <f>+'Mono SPOT MAT'!M206/'Fisico SPOT MAT'!M206/24</f>
        <v>107.59038195288694</v>
      </c>
      <c r="G206" s="13">
        <f t="shared" ref="G206:G231" si="80">16*R206</f>
        <v>14.4</v>
      </c>
      <c r="H206" s="12">
        <f>+'Mono ASIG'!AA206</f>
        <v>95.476746645387735</v>
      </c>
      <c r="I206" s="12">
        <f t="shared" si="75"/>
        <v>82.948709668735972</v>
      </c>
      <c r="J206" s="12">
        <f t="shared" ref="J206:J231" si="81">16*R206</f>
        <v>14.4</v>
      </c>
      <c r="K206" s="115"/>
      <c r="L206" s="86"/>
      <c r="M206" s="86"/>
      <c r="N206" s="108">
        <f>+'Mono SPOT MAT'!S206/'Fisico SPOT MAT'!S206/'Fisico SPOT MAT'!E206</f>
        <v>14.916759701220585</v>
      </c>
      <c r="O206" s="86"/>
      <c r="R206">
        <v>0.9</v>
      </c>
      <c r="Y206" s="5">
        <f t="shared" si="72"/>
        <v>46112</v>
      </c>
      <c r="Z206" s="87">
        <f t="shared" ref="Z206:Z207" si="82">+E206</f>
        <v>277.474837058221</v>
      </c>
      <c r="AA206" s="87">
        <f t="shared" ref="AA206:AA207" si="83">+F206-AB206</f>
        <v>79.313822916049318</v>
      </c>
      <c r="AB206" s="86">
        <v>28.276559036837622</v>
      </c>
      <c r="AC206" s="93"/>
      <c r="AD206" s="5"/>
      <c r="AE206" s="92"/>
      <c r="AF206" s="92"/>
      <c r="AG206" s="92"/>
      <c r="AH206" s="92"/>
      <c r="AI206" s="93"/>
      <c r="AJ206" s="93"/>
    </row>
    <row r="207" spans="1:36" hidden="1" x14ac:dyDescent="0.3">
      <c r="A207" s="1">
        <f t="shared" si="78"/>
        <v>2026</v>
      </c>
      <c r="B207" s="52">
        <f t="shared" si="79"/>
        <v>46113</v>
      </c>
      <c r="C207" s="1" t="str">
        <f t="shared" si="53"/>
        <v>mié</v>
      </c>
      <c r="D207" s="5">
        <f t="shared" si="71"/>
        <v>46113</v>
      </c>
      <c r="E207" s="30">
        <v>209.85886194686029</v>
      </c>
      <c r="F207" s="14">
        <f>+'Mono SPOT MAT'!M207/'Fisico SPOT MAT'!M207/24</f>
        <v>95.547375523899589</v>
      </c>
      <c r="G207" s="13">
        <f t="shared" si="80"/>
        <v>14.4</v>
      </c>
      <c r="H207" s="12">
        <f>+'Mono ASIG'!AA207</f>
        <v>90.828920104855911</v>
      </c>
      <c r="I207" s="12">
        <f t="shared" ref="I207:I231" si="84">+H207-J207*$P$13/$Q$13/$W$13</f>
        <v>77.862098432038977</v>
      </c>
      <c r="J207" s="12">
        <f t="shared" si="81"/>
        <v>14.4</v>
      </c>
      <c r="K207" s="115"/>
      <c r="L207" s="86"/>
      <c r="M207" s="86"/>
      <c r="N207" s="107">
        <f>+'Mono SPOT MAT'!S207/'Fisico SPOT MAT'!S207/'Fisico SPOT MAT'!E207</f>
        <v>14.940473447567204</v>
      </c>
      <c r="O207" s="86"/>
      <c r="R207">
        <v>0.9</v>
      </c>
      <c r="Y207" s="5">
        <f t="shared" si="72"/>
        <v>46113</v>
      </c>
      <c r="Z207" s="87">
        <f t="shared" si="82"/>
        <v>209.85886194686029</v>
      </c>
      <c r="AA207" s="87">
        <f t="shared" si="83"/>
        <v>76.135224497157139</v>
      </c>
      <c r="AB207" s="86">
        <v>19.412151026742457</v>
      </c>
      <c r="AC207" s="93"/>
      <c r="AD207" s="5"/>
      <c r="AE207" s="92"/>
      <c r="AF207" s="92"/>
      <c r="AG207" s="92"/>
      <c r="AH207" s="92"/>
      <c r="AI207" s="93"/>
      <c r="AJ207" s="93"/>
    </row>
    <row r="208" spans="1:36" hidden="1" x14ac:dyDescent="0.3">
      <c r="A208" s="1">
        <f t="shared" si="78"/>
        <v>2026</v>
      </c>
      <c r="B208" s="52">
        <f t="shared" si="79"/>
        <v>46113</v>
      </c>
      <c r="C208" s="1" t="str">
        <f t="shared" si="53"/>
        <v>jue</v>
      </c>
      <c r="D208" s="5">
        <f t="shared" si="71"/>
        <v>46114</v>
      </c>
      <c r="E208" s="30">
        <v>134.99318240656604</v>
      </c>
      <c r="F208" s="14">
        <f>+'Mono SPOT MAT'!M208/'Fisico SPOT MAT'!M208/24</f>
        <v>57.660895301832817</v>
      </c>
      <c r="G208" s="13">
        <f t="shared" si="80"/>
        <v>14.4</v>
      </c>
      <c r="H208" s="12">
        <f>+'Mono ASIG'!AA208</f>
        <v>73.904738280983722</v>
      </c>
      <c r="I208" s="12">
        <f t="shared" si="84"/>
        <v>60.937916608166788</v>
      </c>
      <c r="J208" s="12">
        <f t="shared" si="81"/>
        <v>14.4</v>
      </c>
      <c r="K208" s="115"/>
      <c r="L208" s="86"/>
      <c r="M208" s="86"/>
      <c r="N208" s="108">
        <f>+'Mono SPOT MAT'!S208/'Fisico SPOT MAT'!S208/'Fisico SPOT MAT'!E208</f>
        <v>15.038886699513126</v>
      </c>
      <c r="O208" s="86"/>
      <c r="R208">
        <v>0.9</v>
      </c>
      <c r="Y208" s="5">
        <f t="shared" si="72"/>
        <v>46114</v>
      </c>
      <c r="Z208" s="87">
        <f t="shared" ref="Z208:Z226" si="85">+E208</f>
        <v>134.99318240656604</v>
      </c>
      <c r="AA208" s="87">
        <f t="shared" ref="AA208:AA226" si="86">+F208-AB208</f>
        <v>46.965917337923486</v>
      </c>
      <c r="AB208" s="86">
        <v>10.694977963909329</v>
      </c>
      <c r="AC208" s="93"/>
      <c r="AD208" s="5"/>
      <c r="AE208" s="92"/>
      <c r="AF208" s="92"/>
      <c r="AG208" s="92"/>
      <c r="AH208" s="92"/>
      <c r="AI208" s="93"/>
      <c r="AJ208" s="93"/>
    </row>
    <row r="209" spans="1:36" hidden="1" x14ac:dyDescent="0.3">
      <c r="A209" s="1">
        <f t="shared" si="78"/>
        <v>2026</v>
      </c>
      <c r="B209" s="52">
        <f t="shared" si="79"/>
        <v>46113</v>
      </c>
      <c r="C209" s="1" t="str">
        <f t="shared" si="53"/>
        <v>vie</v>
      </c>
      <c r="D209" s="5">
        <f t="shared" si="71"/>
        <v>46115</v>
      </c>
      <c r="E209" s="30">
        <v>87.252310119613554</v>
      </c>
      <c r="F209" s="14">
        <f>+'Mono SPOT MAT'!M209/'Fisico SPOT MAT'!M209/24</f>
        <v>53.576837385885533</v>
      </c>
      <c r="G209" s="13">
        <f t="shared" si="80"/>
        <v>14.4</v>
      </c>
      <c r="H209" s="12">
        <f>+'Mono ASIG'!AA209</f>
        <v>78.128705202971759</v>
      </c>
      <c r="I209" s="12">
        <f t="shared" si="84"/>
        <v>65.161883530154824</v>
      </c>
      <c r="J209" s="12">
        <f t="shared" si="81"/>
        <v>14.4</v>
      </c>
      <c r="K209" s="115"/>
      <c r="L209" s="86"/>
      <c r="M209" s="86"/>
      <c r="N209" s="107">
        <f>+'Mono SPOT MAT'!S209/'Fisico SPOT MAT'!S209/'Fisico SPOT MAT'!E209</f>
        <v>15.11749360041293</v>
      </c>
      <c r="O209" s="86"/>
      <c r="R209">
        <v>0.9</v>
      </c>
      <c r="Y209" s="5">
        <f t="shared" si="72"/>
        <v>46115</v>
      </c>
      <c r="Z209" s="87">
        <f t="shared" si="85"/>
        <v>87.252310119613554</v>
      </c>
      <c r="AA209" s="87">
        <f t="shared" si="86"/>
        <v>46.467675488673393</v>
      </c>
      <c r="AB209" s="86">
        <v>7.1091618972121431</v>
      </c>
      <c r="AC209" s="93"/>
      <c r="AD209" s="5"/>
      <c r="AE209" s="92"/>
      <c r="AF209" s="92"/>
      <c r="AG209" s="92"/>
      <c r="AH209" s="92"/>
      <c r="AI209" s="93"/>
      <c r="AJ209" s="93"/>
    </row>
    <row r="210" spans="1:36" hidden="1" x14ac:dyDescent="0.3">
      <c r="A210" s="1">
        <f t="shared" si="78"/>
        <v>2026</v>
      </c>
      <c r="B210" s="52">
        <f t="shared" si="79"/>
        <v>46113</v>
      </c>
      <c r="C210" s="1" t="str">
        <f t="shared" si="53"/>
        <v>sáb</v>
      </c>
      <c r="D210" s="5">
        <f t="shared" si="71"/>
        <v>46116</v>
      </c>
      <c r="E210" s="30">
        <v>109.74052988138237</v>
      </c>
      <c r="F210" s="14">
        <f>+'Mono SPOT MAT'!M210/'Fisico SPOT MAT'!M210/24</f>
        <v>57.214619478071064</v>
      </c>
      <c r="G210" s="13">
        <f t="shared" si="80"/>
        <v>14.4</v>
      </c>
      <c r="H210" s="12">
        <f>+'Mono ASIG'!AA210</f>
        <v>76.325843990460996</v>
      </c>
      <c r="I210" s="12">
        <f t="shared" si="84"/>
        <v>63.359022317644062</v>
      </c>
      <c r="J210" s="12">
        <f t="shared" si="81"/>
        <v>14.4</v>
      </c>
      <c r="K210" s="115"/>
      <c r="L210" s="86"/>
      <c r="M210" s="86"/>
      <c r="N210" s="108">
        <f>+'Mono SPOT MAT'!S210/'Fisico SPOT MAT'!S210/'Fisico SPOT MAT'!E210</f>
        <v>15.124252282754931</v>
      </c>
      <c r="O210" s="86"/>
      <c r="R210">
        <v>0.9</v>
      </c>
      <c r="Y210" s="5">
        <f t="shared" si="72"/>
        <v>46116</v>
      </c>
      <c r="Z210" s="87">
        <f t="shared" si="85"/>
        <v>109.74052988138237</v>
      </c>
      <c r="AA210" s="87">
        <f t="shared" si="86"/>
        <v>48.899403504856288</v>
      </c>
      <c r="AB210" s="86">
        <v>8.3152159732147748</v>
      </c>
      <c r="AC210" s="93"/>
      <c r="AD210" s="5"/>
      <c r="AE210" s="92"/>
      <c r="AF210" s="92"/>
      <c r="AG210" s="92"/>
      <c r="AH210" s="92"/>
      <c r="AI210" s="93"/>
      <c r="AJ210" s="93"/>
    </row>
    <row r="211" spans="1:36" hidden="1" x14ac:dyDescent="0.3">
      <c r="A211" s="1">
        <f t="shared" si="78"/>
        <v>2026</v>
      </c>
      <c r="B211" s="52">
        <f t="shared" si="79"/>
        <v>46113</v>
      </c>
      <c r="C211" s="1" t="str">
        <f t="shared" si="53"/>
        <v>dom</v>
      </c>
      <c r="D211" s="5">
        <f t="shared" si="71"/>
        <v>46117</v>
      </c>
      <c r="E211" s="30">
        <v>145.95300637650294</v>
      </c>
      <c r="F211" s="14">
        <f>+'Mono SPOT MAT'!M211/'Fisico SPOT MAT'!M211/24</f>
        <v>62.649611719592592</v>
      </c>
      <c r="G211" s="13">
        <f t="shared" si="80"/>
        <v>14.4</v>
      </c>
      <c r="H211" s="12">
        <f>+'Mono ASIG'!AA211</f>
        <v>75.259330635580994</v>
      </c>
      <c r="I211" s="12">
        <f t="shared" si="84"/>
        <v>62.29250896276406</v>
      </c>
      <c r="J211" s="12">
        <f t="shared" si="81"/>
        <v>14.4</v>
      </c>
      <c r="K211" s="115"/>
      <c r="L211" s="86"/>
      <c r="M211" s="86"/>
      <c r="N211" s="107">
        <f>+'Mono SPOT MAT'!S211/'Fisico SPOT MAT'!S211/'Fisico SPOT MAT'!E211</f>
        <v>15.137243333400237</v>
      </c>
      <c r="O211" s="86"/>
      <c r="R211">
        <v>0.9</v>
      </c>
      <c r="Y211" s="5">
        <f t="shared" si="72"/>
        <v>46117</v>
      </c>
      <c r="Z211" s="87">
        <f t="shared" si="85"/>
        <v>145.95300637650294</v>
      </c>
      <c r="AA211" s="87">
        <f t="shared" si="86"/>
        <v>50.585722843345742</v>
      </c>
      <c r="AB211" s="86">
        <v>12.063888876246851</v>
      </c>
      <c r="AC211" s="93"/>
      <c r="AD211" s="5"/>
      <c r="AE211" s="92"/>
      <c r="AF211" s="92"/>
      <c r="AG211" s="92"/>
      <c r="AH211" s="92"/>
      <c r="AI211" s="93"/>
      <c r="AJ211" s="93"/>
    </row>
    <row r="212" spans="1:36" hidden="1" x14ac:dyDescent="0.3">
      <c r="A212" s="1">
        <f t="shared" si="78"/>
        <v>2026</v>
      </c>
      <c r="B212" s="52">
        <f t="shared" si="79"/>
        <v>46113</v>
      </c>
      <c r="C212" s="1" t="str">
        <f t="shared" si="53"/>
        <v>lun</v>
      </c>
      <c r="D212" s="5">
        <f t="shared" si="71"/>
        <v>46118</v>
      </c>
      <c r="E212" s="30">
        <v>130.82210120991357</v>
      </c>
      <c r="F212" s="14">
        <f>+'Mono SPOT MAT'!M212/'Fisico SPOT MAT'!M212/24</f>
        <v>60.676209784023776</v>
      </c>
      <c r="G212" s="13">
        <f t="shared" si="80"/>
        <v>14.4</v>
      </c>
      <c r="H212" s="12">
        <f>+'Mono ASIG'!AA212</f>
        <v>74.068679961321919</v>
      </c>
      <c r="I212" s="12">
        <f t="shared" si="84"/>
        <v>61.101858288504985</v>
      </c>
      <c r="J212" s="12">
        <f t="shared" si="81"/>
        <v>14.4</v>
      </c>
      <c r="K212" s="115"/>
      <c r="L212" s="86"/>
      <c r="M212" s="86"/>
      <c r="N212" s="107">
        <f>+'Mono SPOT MAT'!S212/'Fisico SPOT MAT'!S212/'Fisico SPOT MAT'!E212</f>
        <v>15.033122050312699</v>
      </c>
      <c r="O212" s="86"/>
      <c r="R212">
        <v>0.9</v>
      </c>
      <c r="Y212" s="5">
        <f t="shared" si="72"/>
        <v>46118</v>
      </c>
      <c r="Z212" s="87">
        <f t="shared" si="85"/>
        <v>130.82210120991357</v>
      </c>
      <c r="AA212" s="87">
        <f t="shared" si="86"/>
        <v>48.813304178168103</v>
      </c>
      <c r="AB212" s="86">
        <v>11.862905605855673</v>
      </c>
      <c r="AC212" s="93"/>
      <c r="AD212" s="5"/>
      <c r="AE212" s="92"/>
      <c r="AF212" s="92"/>
      <c r="AG212" s="92"/>
      <c r="AH212" s="92"/>
      <c r="AI212" s="93"/>
      <c r="AJ212" s="93"/>
    </row>
    <row r="213" spans="1:36" hidden="1" x14ac:dyDescent="0.3">
      <c r="A213" s="1">
        <f t="shared" si="78"/>
        <v>2026</v>
      </c>
      <c r="B213" s="52">
        <f t="shared" si="79"/>
        <v>46113</v>
      </c>
      <c r="C213" s="1" t="str">
        <f t="shared" ref="C213:C236" si="87">+C206</f>
        <v>mar</v>
      </c>
      <c r="D213" s="5">
        <f t="shared" si="71"/>
        <v>46119</v>
      </c>
      <c r="E213" s="30">
        <v>144.87144229976653</v>
      </c>
      <c r="F213" s="14">
        <f>+'Mono SPOT MAT'!M213/'Fisico SPOT MAT'!M213/24</f>
        <v>58.27934540207584</v>
      </c>
      <c r="G213" s="13">
        <f t="shared" si="80"/>
        <v>14.4</v>
      </c>
      <c r="H213" s="12">
        <f>+'Mono ASIG'!AA213</f>
        <v>76.752460508875117</v>
      </c>
      <c r="I213" s="12">
        <f t="shared" si="84"/>
        <v>63.785638836058183</v>
      </c>
      <c r="J213" s="12">
        <f t="shared" si="81"/>
        <v>14.4</v>
      </c>
      <c r="K213" s="115"/>
      <c r="L213" s="86"/>
      <c r="M213" s="86"/>
      <c r="N213" s="107">
        <f>+'Mono SPOT MAT'!S213/'Fisico SPOT MAT'!S213/'Fisico SPOT MAT'!E213</f>
        <v>15.104633839333159</v>
      </c>
      <c r="O213" s="86"/>
      <c r="R213">
        <v>0.9</v>
      </c>
      <c r="Y213" s="5">
        <f t="shared" si="72"/>
        <v>46119</v>
      </c>
      <c r="Z213" s="87">
        <f t="shared" si="85"/>
        <v>144.87144229976653</v>
      </c>
      <c r="AA213" s="87">
        <f t="shared" si="86"/>
        <v>46.04606799576527</v>
      </c>
      <c r="AB213" s="86">
        <v>12.233277406310567</v>
      </c>
      <c r="AC213" s="93"/>
      <c r="AD213" s="5"/>
      <c r="AE213" s="92"/>
      <c r="AF213" s="92"/>
      <c r="AG213" s="92"/>
      <c r="AH213" s="92"/>
      <c r="AI213" s="93"/>
      <c r="AJ213" s="93"/>
    </row>
    <row r="214" spans="1:36" hidden="1" x14ac:dyDescent="0.3">
      <c r="A214" s="1">
        <f t="shared" ref="A214:A215" si="88">YEAR(D214)</f>
        <v>2026</v>
      </c>
      <c r="B214" s="52">
        <f t="shared" ref="B214:B215" si="89">DATE(A214,MONTH(D214),1)</f>
        <v>46113</v>
      </c>
      <c r="C214" s="1" t="str">
        <f t="shared" si="87"/>
        <v>mié</v>
      </c>
      <c r="D214" s="5">
        <f t="shared" si="71"/>
        <v>46120</v>
      </c>
      <c r="E214" s="30">
        <v>38.118939463710447</v>
      </c>
      <c r="F214" s="14">
        <f>+'Mono SPOT MAT'!M214/'Fisico SPOT MAT'!M214/24</f>
        <v>47.834332943199861</v>
      </c>
      <c r="G214" s="13">
        <f t="shared" si="80"/>
        <v>14.4</v>
      </c>
      <c r="H214" s="12">
        <f>+'Mono ASIG'!AA214</f>
        <v>73.021211551767905</v>
      </c>
      <c r="I214" s="12">
        <f t="shared" si="84"/>
        <v>60.054389878950971</v>
      </c>
      <c r="J214" s="12">
        <f t="shared" si="81"/>
        <v>14.4</v>
      </c>
      <c r="K214" s="115"/>
      <c r="L214" s="86"/>
      <c r="M214" s="86"/>
      <c r="N214" s="107">
        <f>+'Mono SPOT MAT'!S214/'Fisico SPOT MAT'!S214/'Fisico SPOT MAT'!E214</f>
        <v>15.096991629195621</v>
      </c>
      <c r="O214" s="86"/>
      <c r="R214">
        <v>0.9</v>
      </c>
      <c r="Y214" s="5">
        <f t="shared" si="72"/>
        <v>46120</v>
      </c>
      <c r="Z214" s="87">
        <f t="shared" si="85"/>
        <v>38.118939463710447</v>
      </c>
      <c r="AA214" s="87">
        <f t="shared" si="86"/>
        <v>46.550898854894349</v>
      </c>
      <c r="AB214" s="86">
        <v>1.2834340883055131</v>
      </c>
      <c r="AC214" s="93"/>
      <c r="AD214" s="5"/>
      <c r="AE214" s="92"/>
      <c r="AF214" s="92"/>
      <c r="AG214" s="92"/>
      <c r="AH214" s="92"/>
      <c r="AI214" s="93"/>
      <c r="AJ214" s="93"/>
    </row>
    <row r="215" spans="1:36" hidden="1" x14ac:dyDescent="0.3">
      <c r="A215" s="1">
        <f t="shared" si="88"/>
        <v>2026</v>
      </c>
      <c r="B215" s="52">
        <f t="shared" si="89"/>
        <v>46113</v>
      </c>
      <c r="C215" s="1" t="str">
        <f t="shared" si="87"/>
        <v>jue</v>
      </c>
      <c r="D215" s="5">
        <f t="shared" si="71"/>
        <v>46121</v>
      </c>
      <c r="E215" s="30">
        <v>35.188984185527978</v>
      </c>
      <c r="F215" s="14">
        <f>+'Mono SPOT MAT'!M215/'Fisico SPOT MAT'!M215/24</f>
        <v>39.873600604372264</v>
      </c>
      <c r="G215" s="13">
        <f t="shared" si="80"/>
        <v>14.4</v>
      </c>
      <c r="H215" s="12">
        <f>+'Mono ASIG'!AA215</f>
        <v>71.781585845743805</v>
      </c>
      <c r="I215" s="12">
        <f t="shared" si="84"/>
        <v>58.814764172926871</v>
      </c>
      <c r="J215" s="12">
        <f t="shared" si="81"/>
        <v>14.4</v>
      </c>
      <c r="K215" s="115"/>
      <c r="L215" s="86"/>
      <c r="M215" s="86"/>
      <c r="N215" s="107">
        <f>+'Mono SPOT MAT'!S215/'Fisico SPOT MAT'!S215/'Fisico SPOT MAT'!E215</f>
        <v>15.145452389877981</v>
      </c>
      <c r="O215" s="86"/>
      <c r="R215">
        <v>0.9</v>
      </c>
      <c r="Y215" s="5">
        <f t="shared" si="72"/>
        <v>46121</v>
      </c>
      <c r="Z215" s="87">
        <f t="shared" si="85"/>
        <v>35.188984185527978</v>
      </c>
      <c r="AA215" s="87">
        <f t="shared" si="86"/>
        <v>38.869189989551636</v>
      </c>
      <c r="AB215" s="86">
        <v>1.0044106148206273</v>
      </c>
      <c r="AC215" s="93"/>
      <c r="AD215" s="5"/>
      <c r="AE215" s="92"/>
      <c r="AF215" s="92"/>
      <c r="AG215" s="92"/>
      <c r="AH215" s="92"/>
      <c r="AI215" s="93"/>
      <c r="AJ215" s="93"/>
    </row>
    <row r="216" spans="1:36" hidden="1" x14ac:dyDescent="0.3">
      <c r="A216" s="1">
        <f t="shared" ref="A216:A226" si="90">YEAR(D216)</f>
        <v>2026</v>
      </c>
      <c r="B216" s="52">
        <f t="shared" ref="B216:B226" si="91">DATE(A216,MONTH(D216),1)</f>
        <v>46113</v>
      </c>
      <c r="C216" s="1" t="str">
        <f t="shared" si="87"/>
        <v>vie</v>
      </c>
      <c r="D216" s="5">
        <f t="shared" si="71"/>
        <v>46122</v>
      </c>
      <c r="E216" s="30">
        <v>28.735413317244014</v>
      </c>
      <c r="F216" s="14">
        <f>+'Mono SPOT MAT'!M216/'Fisico SPOT MAT'!M216/24</f>
        <v>40.353719326285017</v>
      </c>
      <c r="G216" s="13">
        <f t="shared" si="80"/>
        <v>14.4</v>
      </c>
      <c r="H216" s="12">
        <f>+'Mono ASIG'!AA216</f>
        <v>73.233364588637443</v>
      </c>
      <c r="I216" s="12">
        <f t="shared" si="84"/>
        <v>60.266542915820509</v>
      </c>
      <c r="J216" s="12">
        <f t="shared" si="81"/>
        <v>14.4</v>
      </c>
      <c r="K216" s="115"/>
      <c r="L216" s="86"/>
      <c r="M216" s="86"/>
      <c r="N216" s="107">
        <f>+'Mono SPOT MAT'!S216/'Fisico SPOT MAT'!S216/'Fisico SPOT MAT'!E216</f>
        <v>15.136803345831606</v>
      </c>
      <c r="O216" s="86"/>
      <c r="R216">
        <v>0.9</v>
      </c>
      <c r="Y216" s="5">
        <f t="shared" si="72"/>
        <v>46122</v>
      </c>
      <c r="Z216" s="87">
        <f t="shared" si="85"/>
        <v>28.735413317244014</v>
      </c>
      <c r="AA216" s="87">
        <f t="shared" si="86"/>
        <v>40.172372867042149</v>
      </c>
      <c r="AB216" s="86">
        <v>0.18134645924286696</v>
      </c>
      <c r="AC216" s="93"/>
      <c r="AD216" s="5"/>
      <c r="AE216" s="92"/>
      <c r="AF216" s="92"/>
      <c r="AG216" s="92"/>
      <c r="AH216" s="92"/>
      <c r="AI216" s="93"/>
      <c r="AJ216" s="93"/>
    </row>
    <row r="217" spans="1:36" hidden="1" x14ac:dyDescent="0.3">
      <c r="A217" s="1">
        <f t="shared" si="90"/>
        <v>2026</v>
      </c>
      <c r="B217" s="52">
        <f t="shared" si="91"/>
        <v>46113</v>
      </c>
      <c r="C217" s="1" t="str">
        <f t="shared" si="87"/>
        <v>sáb</v>
      </c>
      <c r="D217" s="5">
        <f t="shared" si="71"/>
        <v>46123</v>
      </c>
      <c r="E217" s="30">
        <v>32.614797722066264</v>
      </c>
      <c r="F217" s="14">
        <f>+'Mono SPOT MAT'!M217/'Fisico SPOT MAT'!M217/24</f>
        <v>39.23666433690714</v>
      </c>
      <c r="G217" s="13">
        <f t="shared" si="80"/>
        <v>14.4</v>
      </c>
      <c r="H217" s="12">
        <f>+'Mono ASIG'!AA217</f>
        <v>73.242690067516165</v>
      </c>
      <c r="I217" s="12">
        <f t="shared" si="84"/>
        <v>60.275868394699231</v>
      </c>
      <c r="J217" s="12">
        <f t="shared" si="81"/>
        <v>14.4</v>
      </c>
      <c r="K217" s="115"/>
      <c r="L217" s="86"/>
      <c r="M217" s="86"/>
      <c r="N217" s="107">
        <f>+'Mono SPOT MAT'!S217/'Fisico SPOT MAT'!S217/'Fisico SPOT MAT'!E217</f>
        <v>14.906656074373254</v>
      </c>
      <c r="O217" s="86"/>
      <c r="R217">
        <v>0.9</v>
      </c>
      <c r="Y217" s="5">
        <f t="shared" si="72"/>
        <v>46123</v>
      </c>
      <c r="Z217" s="87">
        <f t="shared" si="85"/>
        <v>32.614797722066264</v>
      </c>
      <c r="AA217" s="87">
        <f t="shared" si="86"/>
        <v>38.302220653570629</v>
      </c>
      <c r="AB217" s="86">
        <v>0.93444368333650929</v>
      </c>
      <c r="AC217" s="93"/>
      <c r="AD217" s="5"/>
      <c r="AE217" s="92"/>
      <c r="AF217" s="92"/>
      <c r="AG217" s="92"/>
      <c r="AH217" s="92"/>
      <c r="AI217" s="93"/>
      <c r="AJ217" s="93"/>
    </row>
    <row r="218" spans="1:36" hidden="1" x14ac:dyDescent="0.3">
      <c r="A218" s="1">
        <f t="shared" si="90"/>
        <v>2026</v>
      </c>
      <c r="B218" s="52">
        <f t="shared" si="91"/>
        <v>46113</v>
      </c>
      <c r="C218" s="1" t="str">
        <f t="shared" si="87"/>
        <v>dom</v>
      </c>
      <c r="D218" s="5">
        <f t="shared" si="71"/>
        <v>46124</v>
      </c>
      <c r="E218" s="30">
        <v>32.558232213100275</v>
      </c>
      <c r="F218" s="14">
        <f>+'Mono SPOT MAT'!M218/'Fisico SPOT MAT'!M218/24</f>
        <v>40.451769860908634</v>
      </c>
      <c r="G218" s="13">
        <f t="shared" si="80"/>
        <v>14.4</v>
      </c>
      <c r="H218" s="12">
        <f>+'Mono ASIG'!AA218</f>
        <v>74.755069830607226</v>
      </c>
      <c r="I218" s="12">
        <f t="shared" si="84"/>
        <v>61.788248157790292</v>
      </c>
      <c r="J218" s="12">
        <f t="shared" si="81"/>
        <v>14.4</v>
      </c>
      <c r="K218" s="115"/>
      <c r="L218" s="86"/>
      <c r="M218" s="86"/>
      <c r="N218" s="107">
        <f>+'Mono SPOT MAT'!S218/'Fisico SPOT MAT'!S218/'Fisico SPOT MAT'!E218</f>
        <v>14.890596081397179</v>
      </c>
      <c r="O218" s="86"/>
      <c r="R218">
        <v>0.9</v>
      </c>
      <c r="Y218" s="5">
        <f t="shared" si="72"/>
        <v>46124</v>
      </c>
      <c r="Z218" s="87">
        <f t="shared" si="85"/>
        <v>32.558232213100275</v>
      </c>
      <c r="AA218" s="87">
        <f t="shared" si="86"/>
        <v>39.439337729361711</v>
      </c>
      <c r="AB218" s="86">
        <v>1.012432131546922</v>
      </c>
      <c r="AC218" s="93"/>
      <c r="AD218" s="5"/>
      <c r="AE218" s="92"/>
      <c r="AF218" s="92"/>
      <c r="AG218" s="92"/>
      <c r="AH218" s="92"/>
      <c r="AI218" s="93"/>
      <c r="AJ218" s="93"/>
    </row>
    <row r="219" spans="1:36" hidden="1" x14ac:dyDescent="0.3">
      <c r="A219" s="1">
        <f t="shared" si="90"/>
        <v>2026</v>
      </c>
      <c r="B219" s="52">
        <f t="shared" si="91"/>
        <v>46113</v>
      </c>
      <c r="C219" s="1" t="str">
        <f t="shared" si="87"/>
        <v>lun</v>
      </c>
      <c r="D219" s="5">
        <f t="shared" si="71"/>
        <v>46125</v>
      </c>
      <c r="E219" s="30">
        <v>37.006520793558529</v>
      </c>
      <c r="F219" s="14">
        <f>+'Mono SPOT MAT'!M219/'Fisico SPOT MAT'!M219/24</f>
        <v>38.630683512493391</v>
      </c>
      <c r="G219" s="13">
        <f t="shared" si="80"/>
        <v>14.4</v>
      </c>
      <c r="H219" s="12">
        <f>+'Mono ASIG'!AA219</f>
        <v>65.923820627607441</v>
      </c>
      <c r="I219" s="12">
        <f t="shared" si="84"/>
        <v>52.956998954790507</v>
      </c>
      <c r="J219" s="12">
        <f t="shared" si="81"/>
        <v>14.4</v>
      </c>
      <c r="K219" s="115"/>
      <c r="L219" s="86"/>
      <c r="M219" s="86"/>
      <c r="N219" s="107">
        <f>+'Mono SPOT MAT'!S219/'Fisico SPOT MAT'!S219/'Fisico SPOT MAT'!E219</f>
        <v>14.931868115508406</v>
      </c>
      <c r="O219" s="86"/>
      <c r="R219">
        <v>0.9</v>
      </c>
      <c r="Y219" s="5">
        <f t="shared" si="72"/>
        <v>46125</v>
      </c>
      <c r="Z219" s="87">
        <f t="shared" si="85"/>
        <v>37.006520793558529</v>
      </c>
      <c r="AA219" s="87">
        <f t="shared" si="86"/>
        <v>37.059150763266956</v>
      </c>
      <c r="AB219" s="86">
        <v>1.5715327492264348</v>
      </c>
      <c r="AC219" s="93"/>
      <c r="AD219" s="5"/>
      <c r="AE219" s="92"/>
      <c r="AF219" s="92"/>
      <c r="AG219" s="92"/>
      <c r="AH219" s="92"/>
      <c r="AI219" s="93"/>
      <c r="AJ219" s="93"/>
    </row>
    <row r="220" spans="1:36" hidden="1" x14ac:dyDescent="0.3">
      <c r="A220" s="1">
        <f t="shared" si="90"/>
        <v>2026</v>
      </c>
      <c r="B220" s="52">
        <f t="shared" si="91"/>
        <v>46113</v>
      </c>
      <c r="C220" s="1" t="str">
        <f t="shared" si="87"/>
        <v>mar</v>
      </c>
      <c r="D220" s="5">
        <f t="shared" si="71"/>
        <v>46126</v>
      </c>
      <c r="E220" s="30">
        <v>39.4077148941562</v>
      </c>
      <c r="F220" s="14">
        <f>+'Mono SPOT MAT'!M220/'Fisico SPOT MAT'!M220/24</f>
        <v>39.884671308119415</v>
      </c>
      <c r="G220" s="13">
        <f t="shared" si="80"/>
        <v>14.4</v>
      </c>
      <c r="H220" s="12">
        <f>+'Mono ASIG'!AA220</f>
        <v>66.933929692539536</v>
      </c>
      <c r="I220" s="12">
        <f t="shared" si="84"/>
        <v>53.967108019722602</v>
      </c>
      <c r="J220" s="12">
        <f t="shared" si="81"/>
        <v>14.4</v>
      </c>
      <c r="K220" s="115"/>
      <c r="L220" s="86"/>
      <c r="M220" s="86"/>
      <c r="N220" s="107">
        <f>+'Mono SPOT MAT'!S220/'Fisico SPOT MAT'!S220/'Fisico SPOT MAT'!E220</f>
        <v>14.963518422563414</v>
      </c>
      <c r="O220" s="86"/>
      <c r="R220">
        <v>0.9</v>
      </c>
      <c r="Y220" s="5">
        <f t="shared" si="72"/>
        <v>46126</v>
      </c>
      <c r="Z220" s="87">
        <f t="shared" si="85"/>
        <v>39.4077148941562</v>
      </c>
      <c r="AA220" s="87">
        <f t="shared" si="86"/>
        <v>38.447414210969853</v>
      </c>
      <c r="AB220" s="86">
        <v>1.4372570971495613</v>
      </c>
      <c r="AC220" s="93"/>
      <c r="AD220" s="5"/>
      <c r="AE220" s="92"/>
      <c r="AF220" s="92"/>
      <c r="AG220" s="92"/>
      <c r="AH220" s="92"/>
      <c r="AI220" s="93"/>
      <c r="AJ220" s="93"/>
    </row>
    <row r="221" spans="1:36" hidden="1" x14ac:dyDescent="0.3">
      <c r="A221" s="1">
        <f t="shared" si="90"/>
        <v>2026</v>
      </c>
      <c r="B221" s="52">
        <f t="shared" si="91"/>
        <v>46113</v>
      </c>
      <c r="C221" s="1" t="str">
        <f t="shared" si="87"/>
        <v>mié</v>
      </c>
      <c r="D221" s="5">
        <f t="shared" si="71"/>
        <v>46127</v>
      </c>
      <c r="E221" s="30">
        <v>38.039758403877116</v>
      </c>
      <c r="F221" s="14">
        <f>+'Mono SPOT MAT'!M221/'Fisico SPOT MAT'!M221/24</f>
        <v>38.76936071010509</v>
      </c>
      <c r="G221" s="13">
        <f t="shared" si="80"/>
        <v>14.4</v>
      </c>
      <c r="H221" s="12">
        <f>+'Mono ASIG'!AA221</f>
        <v>67.166405336432462</v>
      </c>
      <c r="I221" s="12">
        <f t="shared" si="84"/>
        <v>54.199583663615527</v>
      </c>
      <c r="J221" s="12">
        <f t="shared" si="81"/>
        <v>14.4</v>
      </c>
      <c r="K221" s="115"/>
      <c r="L221" s="86"/>
      <c r="M221" s="86"/>
      <c r="N221" s="107">
        <f>+'Mono SPOT MAT'!S221/'Fisico SPOT MAT'!S221/'Fisico SPOT MAT'!E221</f>
        <v>14.9496975862801</v>
      </c>
      <c r="O221" s="86"/>
      <c r="R221">
        <v>0.9</v>
      </c>
      <c r="Y221" s="5">
        <f t="shared" si="72"/>
        <v>46127</v>
      </c>
      <c r="Z221" s="87">
        <f t="shared" si="85"/>
        <v>38.039758403877116</v>
      </c>
      <c r="AA221" s="87">
        <f t="shared" si="86"/>
        <v>37.160244918905683</v>
      </c>
      <c r="AB221" s="86">
        <v>1.6091157911994043</v>
      </c>
      <c r="AC221" s="93"/>
      <c r="AD221" s="5"/>
      <c r="AE221" s="92"/>
      <c r="AF221" s="92"/>
      <c r="AG221" s="92"/>
      <c r="AH221" s="92"/>
      <c r="AI221" s="93"/>
      <c r="AJ221" s="93"/>
    </row>
    <row r="222" spans="1:36" hidden="1" x14ac:dyDescent="0.3">
      <c r="A222" s="1">
        <f t="shared" si="90"/>
        <v>2026</v>
      </c>
      <c r="B222" s="52">
        <f t="shared" si="91"/>
        <v>46113</v>
      </c>
      <c r="C222" s="1" t="str">
        <f t="shared" si="87"/>
        <v>jue</v>
      </c>
      <c r="D222" s="5">
        <f t="shared" si="71"/>
        <v>46128</v>
      </c>
      <c r="E222" s="30">
        <v>40.241149722866709</v>
      </c>
      <c r="F222" s="14">
        <f>+'Mono SPOT MAT'!M222/'Fisico SPOT MAT'!M222/24</f>
        <v>39.01886426598977</v>
      </c>
      <c r="G222" s="13">
        <f t="shared" si="80"/>
        <v>14.4</v>
      </c>
      <c r="H222" s="12">
        <f>+'Mono ASIG'!AA222</f>
        <v>67.391438407832183</v>
      </c>
      <c r="I222" s="12">
        <f t="shared" si="84"/>
        <v>54.424616735015249</v>
      </c>
      <c r="J222" s="12">
        <f t="shared" si="81"/>
        <v>14.4</v>
      </c>
      <c r="K222" s="115"/>
      <c r="L222" s="86"/>
      <c r="M222" s="86"/>
      <c r="N222" s="107">
        <f>+'Mono SPOT MAT'!S222/'Fisico SPOT MAT'!S222/'Fisico SPOT MAT'!E222</f>
        <v>14.951119951541152</v>
      </c>
      <c r="O222" s="86"/>
      <c r="R222">
        <v>0.9</v>
      </c>
      <c r="Y222" s="5">
        <f t="shared" si="72"/>
        <v>46128</v>
      </c>
      <c r="Z222" s="87">
        <f t="shared" si="85"/>
        <v>40.241149722866709</v>
      </c>
      <c r="AA222" s="87">
        <f t="shared" si="86"/>
        <v>37.356237720084962</v>
      </c>
      <c r="AB222" s="86">
        <v>1.6626265459048071</v>
      </c>
      <c r="AC222" s="93"/>
      <c r="AD222" s="5"/>
      <c r="AE222" s="92"/>
      <c r="AF222" s="92"/>
      <c r="AG222" s="92"/>
      <c r="AH222" s="92"/>
      <c r="AI222" s="93"/>
      <c r="AJ222" s="93"/>
    </row>
    <row r="223" spans="1:36" hidden="1" x14ac:dyDescent="0.3">
      <c r="A223" s="1">
        <f t="shared" si="90"/>
        <v>2026</v>
      </c>
      <c r="B223" s="52">
        <f t="shared" si="91"/>
        <v>46113</v>
      </c>
      <c r="C223" s="1" t="str">
        <f t="shared" si="87"/>
        <v>vie</v>
      </c>
      <c r="D223" s="5">
        <f t="shared" si="71"/>
        <v>46129</v>
      </c>
      <c r="E223" s="30">
        <v>42.944655439062409</v>
      </c>
      <c r="F223" s="14">
        <f>+'Mono SPOT MAT'!M223/'Fisico SPOT MAT'!M223/24</f>
        <v>39.41558936572082</v>
      </c>
      <c r="G223" s="13">
        <f t="shared" si="80"/>
        <v>14.4</v>
      </c>
      <c r="H223" s="12">
        <f>+'Mono ASIG'!AA223</f>
        <v>67.281796659860689</v>
      </c>
      <c r="I223" s="12">
        <f t="shared" si="84"/>
        <v>54.314974987043755</v>
      </c>
      <c r="J223" s="12">
        <f t="shared" si="81"/>
        <v>14.4</v>
      </c>
      <c r="K223" s="115"/>
      <c r="L223" s="86"/>
      <c r="M223" s="86"/>
      <c r="N223" s="107">
        <f>+'Mono SPOT MAT'!S223/'Fisico SPOT MAT'!S223/'Fisico SPOT MAT'!E223</f>
        <v>14.860164105471526</v>
      </c>
      <c r="O223" s="86"/>
      <c r="R223">
        <v>0.9</v>
      </c>
      <c r="Y223" s="5">
        <f t="shared" si="72"/>
        <v>46129</v>
      </c>
      <c r="Z223" s="87">
        <f t="shared" si="85"/>
        <v>42.944655439062409</v>
      </c>
      <c r="AA223" s="87">
        <f t="shared" si="86"/>
        <v>37.642957957165272</v>
      </c>
      <c r="AB223" s="86">
        <v>1.7726314085555497</v>
      </c>
      <c r="AC223" s="93"/>
      <c r="AD223" s="5"/>
      <c r="AE223" s="92"/>
      <c r="AF223" s="92"/>
      <c r="AG223" s="92"/>
      <c r="AH223" s="92"/>
      <c r="AI223" s="93"/>
      <c r="AJ223" s="93"/>
    </row>
    <row r="224" spans="1:36" hidden="1" x14ac:dyDescent="0.3">
      <c r="A224" s="1">
        <f t="shared" si="90"/>
        <v>2026</v>
      </c>
      <c r="B224" s="52">
        <f t="shared" si="91"/>
        <v>46113</v>
      </c>
      <c r="C224" s="1" t="str">
        <f t="shared" si="87"/>
        <v>sáb</v>
      </c>
      <c r="D224" s="5">
        <f t="shared" si="71"/>
        <v>46130</v>
      </c>
      <c r="E224" s="30">
        <v>40.544922392862183</v>
      </c>
      <c r="F224" s="14">
        <f>+'Mono SPOT MAT'!M224/'Fisico SPOT MAT'!M224/24</f>
        <v>39.929205839583503</v>
      </c>
      <c r="G224" s="13">
        <f t="shared" si="80"/>
        <v>14.4</v>
      </c>
      <c r="H224" s="12">
        <f>+'Mono ASIG'!AA224</f>
        <v>73.789530725284138</v>
      </c>
      <c r="I224" s="12">
        <f t="shared" si="84"/>
        <v>60.822709052467204</v>
      </c>
      <c r="J224" s="12">
        <f t="shared" si="81"/>
        <v>14.4</v>
      </c>
      <c r="K224" s="115"/>
      <c r="L224" s="86"/>
      <c r="M224" s="86"/>
      <c r="N224" s="107">
        <f>+'Mono SPOT MAT'!S224/'Fisico SPOT MAT'!S224/'Fisico SPOT MAT'!E224</f>
        <v>14.861743447593922</v>
      </c>
      <c r="O224" s="86"/>
      <c r="R224">
        <v>0.9</v>
      </c>
      <c r="Y224" s="5">
        <f t="shared" si="72"/>
        <v>46130</v>
      </c>
      <c r="Z224" s="87">
        <f t="shared" si="85"/>
        <v>40.544922392862183</v>
      </c>
      <c r="AA224" s="87">
        <f t="shared" si="86"/>
        <v>38.197577309378595</v>
      </c>
      <c r="AB224" s="86">
        <v>1.7316285302049068</v>
      </c>
      <c r="AC224" s="93"/>
      <c r="AD224" s="5"/>
      <c r="AE224" s="92"/>
      <c r="AF224" s="92"/>
      <c r="AG224" s="92"/>
      <c r="AH224" s="92"/>
      <c r="AI224" s="93"/>
      <c r="AJ224" s="93"/>
    </row>
    <row r="225" spans="1:36" hidden="1" x14ac:dyDescent="0.3">
      <c r="A225" s="1">
        <f t="shared" si="90"/>
        <v>2026</v>
      </c>
      <c r="B225" s="52">
        <f t="shared" si="91"/>
        <v>46113</v>
      </c>
      <c r="C225" s="1" t="str">
        <f t="shared" si="87"/>
        <v>dom</v>
      </c>
      <c r="D225" s="5">
        <f t="shared" si="71"/>
        <v>46131</v>
      </c>
      <c r="E225" s="30">
        <v>37.250021077506069</v>
      </c>
      <c r="F225" s="14">
        <f>+'Mono SPOT MAT'!M225/'Fisico SPOT MAT'!M225/24</f>
        <v>40.082324461219294</v>
      </c>
      <c r="G225" s="13">
        <f t="shared" si="80"/>
        <v>14.4</v>
      </c>
      <c r="H225" s="12">
        <f>+'Mono ASIG'!AA225</f>
        <v>76.563313854578681</v>
      </c>
      <c r="I225" s="12">
        <f t="shared" si="84"/>
        <v>63.596492181761747</v>
      </c>
      <c r="J225" s="12">
        <f t="shared" si="81"/>
        <v>14.4</v>
      </c>
      <c r="K225" s="115"/>
      <c r="L225" s="86"/>
      <c r="M225" s="86"/>
      <c r="N225" s="107">
        <f>+'Mono SPOT MAT'!S225/'Fisico SPOT MAT'!S225/'Fisico SPOT MAT'!E225</f>
        <v>14.9608142673987</v>
      </c>
      <c r="O225" s="86"/>
      <c r="R225">
        <v>0.9</v>
      </c>
      <c r="Y225" s="5">
        <f t="shared" si="72"/>
        <v>46131</v>
      </c>
      <c r="Z225" s="87">
        <f t="shared" si="85"/>
        <v>37.250021077506069</v>
      </c>
      <c r="AA225" s="87">
        <f t="shared" si="86"/>
        <v>38.670977799069789</v>
      </c>
      <c r="AB225" s="86">
        <v>1.4113466621495052</v>
      </c>
      <c r="AC225" s="93"/>
      <c r="AD225" s="5"/>
      <c r="AE225" s="92"/>
      <c r="AF225" s="92"/>
      <c r="AG225" s="92"/>
      <c r="AH225" s="92"/>
      <c r="AI225" s="93"/>
      <c r="AJ225" s="93"/>
    </row>
    <row r="226" spans="1:36" hidden="1" x14ac:dyDescent="0.3">
      <c r="A226" s="1">
        <f t="shared" si="90"/>
        <v>2026</v>
      </c>
      <c r="B226" s="52">
        <f t="shared" si="91"/>
        <v>46113</v>
      </c>
      <c r="C226" s="1" t="str">
        <f t="shared" si="87"/>
        <v>lun</v>
      </c>
      <c r="D226" s="5">
        <f t="shared" si="71"/>
        <v>46132</v>
      </c>
      <c r="E226" s="30">
        <v>49.417593178744184</v>
      </c>
      <c r="F226" s="14">
        <f>+'Mono SPOT MAT'!M226/'Fisico SPOT MAT'!M226/24</f>
        <v>41.703218576951343</v>
      </c>
      <c r="G226" s="13">
        <f t="shared" si="80"/>
        <v>14.4</v>
      </c>
      <c r="H226" s="12">
        <f>+'Mono ASIG'!AA226</f>
        <v>64.268338077767993</v>
      </c>
      <c r="I226" s="12">
        <f t="shared" si="84"/>
        <v>51.301516404951059</v>
      </c>
      <c r="J226" s="12">
        <f t="shared" si="81"/>
        <v>14.4</v>
      </c>
      <c r="K226" s="115"/>
      <c r="L226" s="86"/>
      <c r="M226" s="86"/>
      <c r="N226" s="107">
        <f>+'Mono SPOT MAT'!S226/'Fisico SPOT MAT'!S226/'Fisico SPOT MAT'!E226</f>
        <v>14.999362426718804</v>
      </c>
      <c r="O226" s="86"/>
      <c r="R226">
        <v>0.9</v>
      </c>
      <c r="Y226" s="5">
        <f t="shared" si="72"/>
        <v>46132</v>
      </c>
      <c r="Z226" s="87">
        <f t="shared" si="85"/>
        <v>49.417593178744184</v>
      </c>
      <c r="AA226" s="87">
        <f t="shared" si="86"/>
        <v>39.558377040797623</v>
      </c>
      <c r="AB226" s="86">
        <v>2.1448415361537227</v>
      </c>
      <c r="AC226" s="93"/>
      <c r="AD226" s="5"/>
      <c r="AE226" s="92"/>
      <c r="AF226" s="92"/>
      <c r="AG226" s="92"/>
      <c r="AH226" s="92"/>
      <c r="AI226" s="93"/>
      <c r="AJ226" s="93"/>
    </row>
    <row r="227" spans="1:36" hidden="1" x14ac:dyDescent="0.3">
      <c r="A227" s="1">
        <f t="shared" ref="A227:A231" si="92">YEAR(D227)</f>
        <v>2026</v>
      </c>
      <c r="B227" s="52">
        <f t="shared" ref="B227:B231" si="93">DATE(A227,MONTH(D227),1)</f>
        <v>46113</v>
      </c>
      <c r="C227" s="1" t="str">
        <f t="shared" si="87"/>
        <v>mar</v>
      </c>
      <c r="D227" s="5">
        <f t="shared" si="71"/>
        <v>46133</v>
      </c>
      <c r="E227" s="30">
        <v>41.274284939618923</v>
      </c>
      <c r="F227" s="14">
        <f>+'Mono SPOT MAT'!M227/'Fisico SPOT MAT'!M227/24</f>
        <v>40.46257832441438</v>
      </c>
      <c r="G227" s="13">
        <f t="shared" si="80"/>
        <v>14.4</v>
      </c>
      <c r="H227" s="12">
        <f>+'Mono ASIG'!AA227</f>
        <v>65.076014059920638</v>
      </c>
      <c r="I227" s="12">
        <f t="shared" si="84"/>
        <v>52.109192387103704</v>
      </c>
      <c r="J227" s="12">
        <f t="shared" si="81"/>
        <v>14.4</v>
      </c>
      <c r="K227" s="115"/>
      <c r="L227" s="86"/>
      <c r="M227" s="86"/>
      <c r="N227" s="107">
        <f>+'Mono SPOT MAT'!S227/'Fisico SPOT MAT'!S227/'Fisico SPOT MAT'!E227</f>
        <v>15.092198013844419</v>
      </c>
      <c r="O227" s="86"/>
      <c r="R227">
        <v>0.9</v>
      </c>
      <c r="Y227" s="5">
        <f t="shared" si="72"/>
        <v>46133</v>
      </c>
      <c r="Z227" s="87">
        <f t="shared" ref="Z227:Z231" si="94">+E227</f>
        <v>41.274284939618923</v>
      </c>
      <c r="AA227" s="87">
        <f t="shared" ref="AA227:AA231" si="95">+F227-AB227</f>
        <v>38.658854358344271</v>
      </c>
      <c r="AB227" s="86">
        <v>1.8037239660701105</v>
      </c>
      <c r="AC227" s="93"/>
      <c r="AD227" s="5"/>
      <c r="AE227" s="92"/>
      <c r="AF227" s="92"/>
      <c r="AG227" s="92"/>
      <c r="AH227" s="92"/>
      <c r="AI227" s="93"/>
      <c r="AJ227" s="93"/>
    </row>
    <row r="228" spans="1:36" hidden="1" x14ac:dyDescent="0.3">
      <c r="A228" s="1">
        <f t="shared" si="92"/>
        <v>2026</v>
      </c>
      <c r="B228" s="52">
        <f t="shared" si="93"/>
        <v>46113</v>
      </c>
      <c r="C228" s="1" t="str">
        <f t="shared" si="87"/>
        <v>mié</v>
      </c>
      <c r="D228" s="5">
        <f t="shared" si="71"/>
        <v>46134</v>
      </c>
      <c r="E228" s="30">
        <v>83.370812671988219</v>
      </c>
      <c r="F228" s="14">
        <f>+'Mono SPOT MAT'!M228/'Fisico SPOT MAT'!M228/24</f>
        <v>44.404847489173427</v>
      </c>
      <c r="G228" s="13">
        <f t="shared" si="80"/>
        <v>14.4</v>
      </c>
      <c r="H228" s="12">
        <f>+'Mono ASIG'!AA228</f>
        <v>75.191070010532783</v>
      </c>
      <c r="I228" s="12">
        <f t="shared" si="84"/>
        <v>62.224248337715849</v>
      </c>
      <c r="J228" s="12">
        <f t="shared" si="81"/>
        <v>14.4</v>
      </c>
      <c r="K228" s="115"/>
      <c r="L228" s="86"/>
      <c r="M228" s="86"/>
      <c r="N228" s="107">
        <f>+'Mono SPOT MAT'!S228/'Fisico SPOT MAT'!S228/'Fisico SPOT MAT'!E228</f>
        <v>15.190015199268721</v>
      </c>
      <c r="O228" s="86"/>
      <c r="R228">
        <v>0.9</v>
      </c>
      <c r="X228"/>
      <c r="Y228" s="5">
        <f t="shared" si="72"/>
        <v>46134</v>
      </c>
      <c r="Z228" s="87">
        <f t="shared" si="94"/>
        <v>83.370812671988219</v>
      </c>
      <c r="AA228" s="87">
        <f t="shared" si="95"/>
        <v>37.973188179108426</v>
      </c>
      <c r="AB228" s="86">
        <v>6.4316593100650019</v>
      </c>
      <c r="AC228" s="93"/>
      <c r="AD228" s="5"/>
      <c r="AE228" s="92"/>
      <c r="AF228" s="92"/>
      <c r="AG228" s="92"/>
      <c r="AH228" s="92"/>
      <c r="AI228" s="93"/>
      <c r="AJ228" s="93"/>
    </row>
    <row r="229" spans="1:36" hidden="1" x14ac:dyDescent="0.3">
      <c r="A229" s="1">
        <f t="shared" si="92"/>
        <v>2026</v>
      </c>
      <c r="B229" s="52">
        <f t="shared" si="93"/>
        <v>46113</v>
      </c>
      <c r="C229" s="1" t="str">
        <f t="shared" si="87"/>
        <v>jue</v>
      </c>
      <c r="D229" s="5">
        <f t="shared" si="71"/>
        <v>46135</v>
      </c>
      <c r="E229" s="30">
        <v>103.45145119826822</v>
      </c>
      <c r="F229" s="14">
        <f>+'Mono SPOT MAT'!M229/'Fisico SPOT MAT'!M229/24</f>
        <v>49.132140750488155</v>
      </c>
      <c r="G229" s="13">
        <f t="shared" si="80"/>
        <v>14.4</v>
      </c>
      <c r="H229" s="12">
        <f>+'Mono ASIG'!AA229</f>
        <v>76.537133856190181</v>
      </c>
      <c r="I229" s="12">
        <f t="shared" si="84"/>
        <v>63.570312183373247</v>
      </c>
      <c r="J229" s="12">
        <f t="shared" si="81"/>
        <v>14.4</v>
      </c>
      <c r="K229" s="115"/>
      <c r="L229" s="86"/>
      <c r="M229" s="86"/>
      <c r="N229" s="107">
        <f>+'Mono SPOT MAT'!S229/'Fisico SPOT MAT'!S229/'Fisico SPOT MAT'!E229</f>
        <v>15.227424400605281</v>
      </c>
      <c r="O229" s="86"/>
      <c r="R229">
        <v>0.9</v>
      </c>
      <c r="Y229" s="5">
        <f t="shared" si="72"/>
        <v>46135</v>
      </c>
      <c r="Z229" s="87">
        <f t="shared" si="94"/>
        <v>103.45145119826822</v>
      </c>
      <c r="AA229" s="87">
        <f t="shared" si="95"/>
        <v>40.006999849655173</v>
      </c>
      <c r="AB229" s="86">
        <v>9.1251409008329833</v>
      </c>
      <c r="AC229" s="93"/>
      <c r="AD229" s="5"/>
      <c r="AE229" s="92"/>
      <c r="AF229" s="92"/>
      <c r="AG229" s="92"/>
      <c r="AH229" s="92"/>
      <c r="AI229" s="93"/>
      <c r="AJ229" s="93"/>
    </row>
    <row r="230" spans="1:36" hidden="1" x14ac:dyDescent="0.3">
      <c r="A230" s="1">
        <f t="shared" si="92"/>
        <v>2026</v>
      </c>
      <c r="B230" s="52">
        <f t="shared" si="93"/>
        <v>46113</v>
      </c>
      <c r="C230" s="1" t="str">
        <f t="shared" si="87"/>
        <v>vie</v>
      </c>
      <c r="D230" s="5">
        <f t="shared" si="71"/>
        <v>46136</v>
      </c>
      <c r="E230" s="30">
        <v>103.52535210812188</v>
      </c>
      <c r="F230" s="14">
        <f>+'Mono SPOT MAT'!M230/'Fisico SPOT MAT'!M230/24</f>
        <v>47.147267552545763</v>
      </c>
      <c r="G230" s="13">
        <f t="shared" si="80"/>
        <v>14.4</v>
      </c>
      <c r="H230" s="12">
        <f>+'Mono ASIG'!AA230</f>
        <v>72.682071219329856</v>
      </c>
      <c r="I230" s="12">
        <f t="shared" si="84"/>
        <v>59.715249546512922</v>
      </c>
      <c r="J230" s="12">
        <f t="shared" si="81"/>
        <v>14.4</v>
      </c>
      <c r="K230" s="115"/>
      <c r="L230" s="86"/>
      <c r="M230" s="86"/>
      <c r="N230" s="107">
        <f>+'Mono SPOT MAT'!S230/'Fisico SPOT MAT'!S230/'Fisico SPOT MAT'!E230</f>
        <v>15.285018463025276</v>
      </c>
      <c r="O230" s="86"/>
      <c r="R230">
        <v>0.9</v>
      </c>
      <c r="Y230" s="5">
        <f t="shared" si="72"/>
        <v>46136</v>
      </c>
      <c r="Z230" s="87">
        <f t="shared" si="94"/>
        <v>103.52535210812188</v>
      </c>
      <c r="AA230" s="87">
        <f t="shared" si="95"/>
        <v>37.590833094103061</v>
      </c>
      <c r="AB230" s="86">
        <v>9.5564344584427019</v>
      </c>
      <c r="AC230" s="93"/>
      <c r="AD230" s="5"/>
      <c r="AE230" s="92"/>
      <c r="AF230" s="92"/>
      <c r="AG230" s="92"/>
      <c r="AH230" s="92"/>
      <c r="AI230" s="93"/>
      <c r="AJ230" s="93"/>
    </row>
    <row r="231" spans="1:36" hidden="1" x14ac:dyDescent="0.3">
      <c r="A231" s="1">
        <f t="shared" si="92"/>
        <v>2026</v>
      </c>
      <c r="B231" s="52">
        <f t="shared" si="93"/>
        <v>46113</v>
      </c>
      <c r="C231" s="1" t="str">
        <f t="shared" si="87"/>
        <v>sáb</v>
      </c>
      <c r="D231" s="5">
        <f t="shared" si="71"/>
        <v>46137</v>
      </c>
      <c r="E231" s="30">
        <v>138.05220880287672</v>
      </c>
      <c r="F231" s="14">
        <f>+'Mono SPOT MAT'!M231/'Fisico SPOT MAT'!M231/24</f>
        <v>52.957865124498134</v>
      </c>
      <c r="G231" s="13">
        <f t="shared" si="80"/>
        <v>14.4</v>
      </c>
      <c r="H231" s="12">
        <f>+'Mono ASIG'!AA231</f>
        <v>73.579401079921652</v>
      </c>
      <c r="I231" s="12">
        <f t="shared" si="84"/>
        <v>60.612579407104718</v>
      </c>
      <c r="J231" s="12">
        <f t="shared" si="81"/>
        <v>14.4</v>
      </c>
      <c r="K231" s="115"/>
      <c r="L231" s="86"/>
      <c r="M231" s="86"/>
      <c r="N231" s="107">
        <f>+'Mono SPOT MAT'!S231/'Fisico SPOT MAT'!S231/'Fisico SPOT MAT'!E231</f>
        <v>15.291723493409053</v>
      </c>
      <c r="O231" s="86"/>
      <c r="R231">
        <v>0.9</v>
      </c>
      <c r="Y231" s="5">
        <f t="shared" si="72"/>
        <v>46137</v>
      </c>
      <c r="Z231" s="87">
        <f t="shared" si="94"/>
        <v>138.05220880287672</v>
      </c>
      <c r="AA231" s="87">
        <f t="shared" si="95"/>
        <v>40.429764873803236</v>
      </c>
      <c r="AB231" s="86">
        <v>12.528100250694894</v>
      </c>
      <c r="AC231" s="93"/>
      <c r="AD231" s="5"/>
      <c r="AE231" s="92"/>
      <c r="AF231" s="92"/>
      <c r="AG231" s="92"/>
      <c r="AH231" s="92"/>
      <c r="AI231" s="93"/>
      <c r="AJ231" s="93"/>
    </row>
    <row r="232" spans="1:36" hidden="1" x14ac:dyDescent="0.3">
      <c r="A232" s="1">
        <f t="shared" ref="A232:A235" si="96">YEAR(D232)</f>
        <v>2026</v>
      </c>
      <c r="B232" s="52">
        <f t="shared" ref="B232:B235" si="97">DATE(A232,MONTH(D232),1)</f>
        <v>46113</v>
      </c>
      <c r="C232" s="1" t="str">
        <f t="shared" si="87"/>
        <v>dom</v>
      </c>
      <c r="D232" s="5">
        <f t="shared" si="71"/>
        <v>46138</v>
      </c>
      <c r="E232" s="30">
        <v>68.490458955508984</v>
      </c>
      <c r="F232" s="14">
        <f>+'Mono SPOT MAT'!M232/'Fisico SPOT MAT'!M232/24</f>
        <v>52.713707758470484</v>
      </c>
      <c r="G232" s="13">
        <f t="shared" ref="G232:G235" si="98">16*R232</f>
        <v>14.4</v>
      </c>
      <c r="H232" s="12">
        <f>+'Mono ASIG'!AA232</f>
        <v>81.876395766165444</v>
      </c>
      <c r="I232" s="12">
        <f t="shared" ref="I232:I235" si="99">+H232-J232*$P$13/$Q$13/$W$13</f>
        <v>68.90957409334851</v>
      </c>
      <c r="J232" s="12">
        <f t="shared" ref="J232:J235" si="100">16*R232</f>
        <v>14.4</v>
      </c>
      <c r="K232" s="115"/>
      <c r="L232" s="86"/>
      <c r="M232" s="86"/>
      <c r="N232" s="107">
        <f>+'Mono SPOT MAT'!S232/'Fisico SPOT MAT'!S232/'Fisico SPOT MAT'!E232</f>
        <v>15.309103017731506</v>
      </c>
      <c r="O232" s="86"/>
      <c r="R232">
        <v>0.9</v>
      </c>
      <c r="Y232" s="5">
        <f t="shared" si="72"/>
        <v>46138</v>
      </c>
      <c r="Z232" s="87">
        <f t="shared" ref="Z232:Z234" si="101">+E232</f>
        <v>68.490458955508984</v>
      </c>
      <c r="AA232" s="87">
        <f t="shared" ref="AA232:AA234" si="102">+F232-AB232</f>
        <v>46.914888872179425</v>
      </c>
      <c r="AB232" s="86">
        <v>5.7988188862910581</v>
      </c>
      <c r="AC232" s="93"/>
      <c r="AD232" s="5"/>
      <c r="AE232" s="92"/>
      <c r="AF232" s="92"/>
      <c r="AG232" s="92"/>
      <c r="AH232" s="92"/>
      <c r="AI232" s="93"/>
      <c r="AJ232" s="93"/>
    </row>
    <row r="233" spans="1:36" hidden="1" x14ac:dyDescent="0.3">
      <c r="A233" s="1">
        <f t="shared" si="96"/>
        <v>2026</v>
      </c>
      <c r="B233" s="52">
        <f t="shared" si="97"/>
        <v>46113</v>
      </c>
      <c r="C233" s="1" t="str">
        <f t="shared" si="87"/>
        <v>lun</v>
      </c>
      <c r="D233" s="5">
        <f t="shared" si="71"/>
        <v>46139</v>
      </c>
      <c r="E233" s="30">
        <v>132.01032462473054</v>
      </c>
      <c r="F233" s="14">
        <f>+'Mono SPOT MAT'!M233/'Fisico SPOT MAT'!M233/24</f>
        <v>55.685781368651334</v>
      </c>
      <c r="G233" s="13">
        <f t="shared" si="98"/>
        <v>14.4</v>
      </c>
      <c r="H233" s="12">
        <f>+'Mono ASIG'!AA233</f>
        <v>68.141270785759787</v>
      </c>
      <c r="I233" s="12">
        <f t="shared" si="99"/>
        <v>55.174449112942852</v>
      </c>
      <c r="J233" s="12">
        <f t="shared" si="100"/>
        <v>14.4</v>
      </c>
      <c r="K233" s="115"/>
      <c r="L233" s="86"/>
      <c r="M233" s="86"/>
      <c r="N233" s="107">
        <f>+'Mono SPOT MAT'!S233/'Fisico SPOT MAT'!S233/'Fisico SPOT MAT'!E233</f>
        <v>15.316759909417421</v>
      </c>
      <c r="O233" s="86"/>
      <c r="R233">
        <v>0.9</v>
      </c>
      <c r="Y233" s="5">
        <f t="shared" si="72"/>
        <v>46139</v>
      </c>
      <c r="Z233" s="87">
        <f t="shared" si="101"/>
        <v>132.01032462473054</v>
      </c>
      <c r="AA233" s="87">
        <f t="shared" si="102"/>
        <v>43.474684088011323</v>
      </c>
      <c r="AB233" s="86">
        <v>12.21109728064001</v>
      </c>
      <c r="AC233" s="93"/>
      <c r="AD233" s="5"/>
      <c r="AE233" s="92"/>
      <c r="AF233" s="92"/>
      <c r="AG233" s="92"/>
      <c r="AH233" s="92"/>
      <c r="AI233" s="93"/>
      <c r="AJ233" s="93"/>
    </row>
    <row r="234" spans="1:36" hidden="1" x14ac:dyDescent="0.3">
      <c r="A234" s="1">
        <f t="shared" si="96"/>
        <v>2026</v>
      </c>
      <c r="B234" s="52">
        <f t="shared" si="97"/>
        <v>46113</v>
      </c>
      <c r="C234" s="1" t="str">
        <f t="shared" si="87"/>
        <v>mar</v>
      </c>
      <c r="D234" s="5">
        <f t="shared" si="71"/>
        <v>46140</v>
      </c>
      <c r="E234" s="30">
        <v>155.60620075079038</v>
      </c>
      <c r="F234" s="14">
        <f>+'Mono SPOT MAT'!M234/'Fisico SPOT MAT'!M234/24</f>
        <v>68.599434115579143</v>
      </c>
      <c r="G234" s="13">
        <f t="shared" si="98"/>
        <v>14.4</v>
      </c>
      <c r="H234" s="12">
        <f>+'Mono ASIG'!AA234</f>
        <v>66.39993638330931</v>
      </c>
      <c r="I234" s="12">
        <f t="shared" si="99"/>
        <v>53.433114710492376</v>
      </c>
      <c r="J234" s="12">
        <f t="shared" si="100"/>
        <v>14.4</v>
      </c>
      <c r="K234" s="115"/>
      <c r="L234" s="86"/>
      <c r="M234" s="86"/>
      <c r="N234" s="107">
        <f>+'Mono SPOT MAT'!S234/'Fisico SPOT MAT'!S234/'Fisico SPOT MAT'!E234</f>
        <v>15.298769349940898</v>
      </c>
      <c r="O234" s="86"/>
      <c r="R234">
        <v>0.9</v>
      </c>
      <c r="Y234" s="5">
        <f t="shared" si="72"/>
        <v>46140</v>
      </c>
      <c r="Z234" s="87">
        <f t="shared" si="101"/>
        <v>155.60620075079038</v>
      </c>
      <c r="AA234" s="87">
        <f t="shared" si="102"/>
        <v>55.066864697060332</v>
      </c>
      <c r="AB234" s="86">
        <v>13.532569418518809</v>
      </c>
      <c r="AC234" s="93"/>
      <c r="AD234" s="5"/>
      <c r="AE234" s="92"/>
      <c r="AF234" s="92"/>
      <c r="AG234" s="92"/>
      <c r="AH234" s="92"/>
      <c r="AI234" s="93"/>
      <c r="AJ234" s="93"/>
    </row>
    <row r="235" spans="1:36" hidden="1" x14ac:dyDescent="0.3">
      <c r="A235" s="1">
        <f t="shared" si="96"/>
        <v>2026</v>
      </c>
      <c r="B235" s="52">
        <f t="shared" si="97"/>
        <v>46113</v>
      </c>
      <c r="C235" s="1" t="str">
        <f t="shared" si="87"/>
        <v>mié</v>
      </c>
      <c r="D235" s="5">
        <f t="shared" si="71"/>
        <v>46141</v>
      </c>
      <c r="E235" s="30">
        <v>138.86196407147474</v>
      </c>
      <c r="F235" s="14">
        <f>+'Mono SPOT MAT'!M235/'Fisico SPOT MAT'!M235/24</f>
        <v>63.78311975533444</v>
      </c>
      <c r="G235" s="13">
        <f t="shared" si="98"/>
        <v>14.4</v>
      </c>
      <c r="H235" s="12">
        <f>+'Mono ASIG'!AA235</f>
        <v>70.3802580151402</v>
      </c>
      <c r="I235" s="12">
        <f t="shared" si="99"/>
        <v>57.413436342323266</v>
      </c>
      <c r="J235" s="12">
        <f t="shared" si="100"/>
        <v>14.4</v>
      </c>
      <c r="K235" s="115"/>
      <c r="L235" s="86"/>
      <c r="M235" s="86"/>
      <c r="N235" s="107">
        <f>+'Mono SPOT MAT'!S235/'Fisico SPOT MAT'!S235/'Fisico SPOT MAT'!E235</f>
        <v>15.320173520356059</v>
      </c>
      <c r="O235" s="86"/>
      <c r="R235">
        <v>0.9</v>
      </c>
      <c r="Y235" s="5">
        <f t="shared" si="72"/>
        <v>46141</v>
      </c>
      <c r="Z235" s="87">
        <f t="shared" ref="Z235:Z236" si="103">+E235</f>
        <v>138.86196407147474</v>
      </c>
      <c r="AA235" s="87">
        <f t="shared" ref="AA235:AA247" si="104">+F235-AB235</f>
        <v>51.998329491031193</v>
      </c>
      <c r="AB235" s="86">
        <v>11.784790264303245</v>
      </c>
      <c r="AC235" s="93"/>
      <c r="AD235" s="5"/>
      <c r="AE235" s="92"/>
      <c r="AF235" s="92"/>
      <c r="AG235" s="92"/>
      <c r="AH235" s="92"/>
      <c r="AI235" s="93"/>
      <c r="AJ235" s="93"/>
    </row>
    <row r="236" spans="1:36" hidden="1" x14ac:dyDescent="0.3">
      <c r="A236" s="1">
        <f t="shared" ref="A236" si="105">YEAR(D236)</f>
        <v>2026</v>
      </c>
      <c r="B236" s="52">
        <f t="shared" ref="B236" si="106">DATE(A236,MONTH(D236),1)</f>
        <v>46113</v>
      </c>
      <c r="C236" s="1" t="str">
        <f t="shared" si="87"/>
        <v>jue</v>
      </c>
      <c r="D236" s="5">
        <f t="shared" si="71"/>
        <v>46142</v>
      </c>
      <c r="E236" s="30">
        <v>164.85348738116059</v>
      </c>
      <c r="F236" s="14">
        <f>+'Mono SPOT MAT'!M236/'Fisico SPOT MAT'!M236/24</f>
        <v>66.612268890640209</v>
      </c>
      <c r="G236" s="13">
        <f t="shared" ref="G236" si="107">16*R236</f>
        <v>14.4</v>
      </c>
      <c r="H236" s="12">
        <f>+'Mono ASIG'!AA236</f>
        <v>75.380871498479124</v>
      </c>
      <c r="I236" s="12">
        <f t="shared" ref="I236" si="108">+H236-J236*$P$13/$Q$13/$W$13</f>
        <v>62.41404982566219</v>
      </c>
      <c r="J236" s="12">
        <f t="shared" ref="J236" si="109">16*R236</f>
        <v>14.4</v>
      </c>
      <c r="K236" s="115"/>
      <c r="L236" s="86"/>
      <c r="M236" s="86"/>
      <c r="N236" s="107">
        <f>+'Mono SPOT MAT'!S236/'Fisico SPOT MAT'!S236/'Fisico SPOT MAT'!E236</f>
        <v>15.336464126020028</v>
      </c>
      <c r="O236" s="86"/>
      <c r="R236">
        <v>0.9</v>
      </c>
      <c r="Y236" s="5">
        <f t="shared" si="72"/>
        <v>46142</v>
      </c>
      <c r="Z236" s="87">
        <f t="shared" si="103"/>
        <v>164.85348738116059</v>
      </c>
      <c r="AA236" s="87">
        <f t="shared" si="104"/>
        <v>51.480646078808867</v>
      </c>
      <c r="AB236" s="86">
        <v>15.13162281183134</v>
      </c>
      <c r="AC236" s="93"/>
      <c r="AD236" s="5"/>
      <c r="AE236" s="92"/>
      <c r="AF236" s="92"/>
      <c r="AG236" s="92"/>
      <c r="AH236" s="92"/>
      <c r="AI236" s="93"/>
      <c r="AJ236" s="93"/>
    </row>
    <row r="237" spans="1:36" hidden="1" x14ac:dyDescent="0.3">
      <c r="A237" s="1">
        <v>2026</v>
      </c>
      <c r="B237" s="52">
        <v>46143</v>
      </c>
      <c r="C237" s="1" t="s">
        <v>49</v>
      </c>
      <c r="D237" s="5">
        <v>46143</v>
      </c>
      <c r="E237" s="30">
        <v>116.86856589277137</v>
      </c>
      <c r="F237" s="14">
        <f>+'Mono SPOT MAT'!M237/'Fisico SPOT MAT'!M237/24</f>
        <v>75.339354385766995</v>
      </c>
      <c r="G237" s="13">
        <f t="shared" ref="G237:G247" si="110">16*R237</f>
        <v>14.4</v>
      </c>
      <c r="H237" s="12">
        <f>+'Mono ASIG'!AA237</f>
        <v>89.522448237676883</v>
      </c>
      <c r="I237" s="12">
        <f t="shared" ref="I237:I266" si="111">+H237-J237*$P$14/$Q$14/$W$14</f>
        <v>78.36506289289099</v>
      </c>
      <c r="J237" s="12">
        <f t="shared" ref="J237:J247" si="112">16*R237</f>
        <v>14.4</v>
      </c>
      <c r="K237" s="115">
        <f>+'Mono SPOT MAT'!T237</f>
        <v>70</v>
      </c>
      <c r="L237" s="115">
        <f>+'Mono SPOT MAT'!U237</f>
        <v>18</v>
      </c>
      <c r="M237" s="86"/>
      <c r="N237" s="107">
        <f>+'Mono SPOT MAT'!S237/'Fisico SPOT MAT'!S237/'Fisico SPOT MAT'!E237</f>
        <v>15.256926341659906</v>
      </c>
      <c r="O237" s="86"/>
      <c r="R237">
        <v>0.9</v>
      </c>
      <c r="Y237" s="5">
        <f t="shared" si="72"/>
        <v>46143</v>
      </c>
      <c r="Z237" s="87">
        <f t="shared" ref="Z237:Z247" si="113">+E237</f>
        <v>116.86856589277137</v>
      </c>
      <c r="AA237" s="87">
        <f t="shared" si="104"/>
        <v>68.130937409760975</v>
      </c>
      <c r="AB237" s="86">
        <v>7.2084169760060206</v>
      </c>
      <c r="AC237" s="93"/>
      <c r="AD237" s="5"/>
      <c r="AE237" s="92"/>
      <c r="AF237" s="92"/>
      <c r="AG237" s="92"/>
      <c r="AH237" s="92"/>
      <c r="AI237" s="93"/>
      <c r="AJ237" s="93"/>
    </row>
    <row r="238" spans="1:36" hidden="1" x14ac:dyDescent="0.3">
      <c r="A238" s="1">
        <v>2026</v>
      </c>
      <c r="B238" s="52">
        <v>46143</v>
      </c>
      <c r="C238" s="1" t="s">
        <v>43</v>
      </c>
      <c r="D238" s="5">
        <v>46144</v>
      </c>
      <c r="E238" s="30">
        <v>114.34444263644012</v>
      </c>
      <c r="F238" s="14">
        <f>+'Mono SPOT MAT'!M238/'Fisico SPOT MAT'!M238/24</f>
        <v>69.205076158022933</v>
      </c>
      <c r="G238" s="13">
        <f t="shared" si="110"/>
        <v>14.4</v>
      </c>
      <c r="H238" s="12">
        <f>+'Mono ASIG'!AA238</f>
        <v>87.987451132341945</v>
      </c>
      <c r="I238" s="12">
        <f t="shared" si="111"/>
        <v>76.830065787556038</v>
      </c>
      <c r="J238" s="12">
        <f t="shared" si="112"/>
        <v>14.4</v>
      </c>
      <c r="K238" s="115">
        <f>+'Mono SPOT MAT'!T238</f>
        <v>70</v>
      </c>
      <c r="L238" s="86"/>
      <c r="M238" s="86"/>
      <c r="N238" s="107">
        <f>+'Mono SPOT MAT'!S238/'Fisico SPOT MAT'!S238/'Fisico SPOT MAT'!E238</f>
        <v>15.281648530754479</v>
      </c>
      <c r="O238" s="86"/>
      <c r="R238">
        <v>0.9</v>
      </c>
      <c r="Y238" s="5">
        <f t="shared" si="72"/>
        <v>46144</v>
      </c>
      <c r="Z238" s="87">
        <f t="shared" si="113"/>
        <v>114.34444263644012</v>
      </c>
      <c r="AA238" s="87">
        <f t="shared" si="104"/>
        <v>61.829978048801223</v>
      </c>
      <c r="AB238" s="86">
        <v>7.3750981092217121</v>
      </c>
      <c r="AC238" s="93"/>
      <c r="AD238" s="5"/>
      <c r="AE238" s="92"/>
      <c r="AF238" s="92"/>
      <c r="AG238" s="92"/>
      <c r="AH238" s="92"/>
      <c r="AI238" s="93"/>
      <c r="AJ238" s="93"/>
    </row>
    <row r="239" spans="1:36" hidden="1" x14ac:dyDescent="0.3">
      <c r="A239" s="1">
        <v>2026</v>
      </c>
      <c r="B239" s="52">
        <v>46143</v>
      </c>
      <c r="C239" s="1" t="s">
        <v>44</v>
      </c>
      <c r="D239" s="5">
        <v>46145</v>
      </c>
      <c r="E239" s="30">
        <v>99.940224169878817</v>
      </c>
      <c r="F239" s="14">
        <f>+'Mono SPOT MAT'!M239/'Fisico SPOT MAT'!M239/24</f>
        <v>63.620798662671518</v>
      </c>
      <c r="G239" s="13">
        <f t="shared" si="110"/>
        <v>14.4</v>
      </c>
      <c r="H239" s="12">
        <f>+'Mono ASIG'!AA239</f>
        <v>92.498456905803948</v>
      </c>
      <c r="I239" s="12">
        <f t="shared" si="111"/>
        <v>81.341071561018055</v>
      </c>
      <c r="J239" s="12">
        <f t="shared" si="112"/>
        <v>14.4</v>
      </c>
      <c r="K239" s="115">
        <f>+'Mono SPOT MAT'!T239</f>
        <v>70</v>
      </c>
      <c r="L239" s="86"/>
      <c r="M239" s="86"/>
      <c r="N239" s="107">
        <f>+'Mono SPOT MAT'!S239/'Fisico SPOT MAT'!S239/'Fisico SPOT MAT'!E239</f>
        <v>15.306241034850947</v>
      </c>
      <c r="O239" s="86"/>
      <c r="R239">
        <v>0.9</v>
      </c>
      <c r="Y239" s="5">
        <f t="shared" si="72"/>
        <v>46145</v>
      </c>
      <c r="Z239" s="87">
        <f t="shared" si="113"/>
        <v>99.940224169878817</v>
      </c>
      <c r="AA239" s="87">
        <f t="shared" si="104"/>
        <v>58.500841963338701</v>
      </c>
      <c r="AB239" s="86">
        <v>5.1199566993328141</v>
      </c>
      <c r="AC239" s="93"/>
      <c r="AD239" s="5"/>
      <c r="AE239" s="92"/>
      <c r="AF239" s="92"/>
      <c r="AG239" s="92"/>
      <c r="AH239" s="92"/>
      <c r="AI239" s="93"/>
      <c r="AJ239" s="93"/>
    </row>
    <row r="240" spans="1:36" hidden="1" x14ac:dyDescent="0.3">
      <c r="A240" s="1">
        <v>2026</v>
      </c>
      <c r="B240" s="52">
        <v>46143</v>
      </c>
      <c r="C240" s="1" t="s">
        <v>45</v>
      </c>
      <c r="D240" s="5">
        <v>46146</v>
      </c>
      <c r="E240" s="30">
        <v>111.31722313557655</v>
      </c>
      <c r="F240" s="14">
        <f>+'Mono SPOT MAT'!M240/'Fisico SPOT MAT'!M240/24</f>
        <v>66.030394552326669</v>
      </c>
      <c r="G240" s="13">
        <f t="shared" si="110"/>
        <v>14.4</v>
      </c>
      <c r="H240" s="12">
        <f>+'Mono ASIG'!AA240</f>
        <v>79.377983548612548</v>
      </c>
      <c r="I240" s="12">
        <f t="shared" si="111"/>
        <v>68.220598203826654</v>
      </c>
      <c r="J240" s="12">
        <f t="shared" si="112"/>
        <v>14.4</v>
      </c>
      <c r="K240" s="115">
        <f>+'Mono SPOT MAT'!T240</f>
        <v>70</v>
      </c>
      <c r="L240" s="86"/>
      <c r="M240" s="86"/>
      <c r="N240" s="107">
        <f>+'Mono SPOT MAT'!S240/'Fisico SPOT MAT'!S240/'Fisico SPOT MAT'!E240</f>
        <v>15.324738795814335</v>
      </c>
      <c r="O240" s="86"/>
      <c r="R240">
        <v>0.9</v>
      </c>
      <c r="Y240" s="5">
        <f t="shared" si="72"/>
        <v>46146</v>
      </c>
      <c r="Z240" s="87">
        <f t="shared" si="113"/>
        <v>111.31722313557655</v>
      </c>
      <c r="AA240" s="87">
        <f t="shared" si="104"/>
        <v>59.301794265746189</v>
      </c>
      <c r="AB240" s="86">
        <v>6.7286002865804804</v>
      </c>
      <c r="AC240" s="93"/>
      <c r="AD240" s="5"/>
      <c r="AE240" s="92"/>
      <c r="AF240" s="92"/>
      <c r="AG240" s="92"/>
      <c r="AH240" s="92"/>
      <c r="AI240" s="93"/>
      <c r="AJ240" s="93"/>
    </row>
    <row r="241" spans="1:36" hidden="1" x14ac:dyDescent="0.3">
      <c r="A241" s="1">
        <v>2026</v>
      </c>
      <c r="B241" s="52">
        <v>46143</v>
      </c>
      <c r="C241" s="1" t="s">
        <v>46</v>
      </c>
      <c r="D241" s="5">
        <v>46147</v>
      </c>
      <c r="E241" s="30">
        <v>135.04494762087256</v>
      </c>
      <c r="F241" s="14">
        <f>+'Mono SPOT MAT'!M241/'Fisico SPOT MAT'!M241/24</f>
        <v>72.175813793902478</v>
      </c>
      <c r="G241" s="13">
        <f t="shared" si="110"/>
        <v>14.4</v>
      </c>
      <c r="H241" s="12">
        <f>+'Mono ASIG'!AA241</f>
        <v>77.057210562728883</v>
      </c>
      <c r="I241" s="12">
        <f t="shared" si="111"/>
        <v>65.899825217942976</v>
      </c>
      <c r="J241" s="12">
        <f t="shared" si="112"/>
        <v>14.4</v>
      </c>
      <c r="K241" s="115">
        <f>+'Mono SPOT MAT'!T241</f>
        <v>70</v>
      </c>
      <c r="L241" s="86"/>
      <c r="M241" s="86"/>
      <c r="N241" s="107">
        <f>+'Mono SPOT MAT'!S241/'Fisico SPOT MAT'!S241/'Fisico SPOT MAT'!E241</f>
        <v>15.329868585384464</v>
      </c>
      <c r="O241" s="86"/>
      <c r="R241">
        <v>0.9</v>
      </c>
      <c r="Y241" s="5">
        <f t="shared" si="72"/>
        <v>46147</v>
      </c>
      <c r="Z241" s="87">
        <f t="shared" si="113"/>
        <v>135.04494762087256</v>
      </c>
      <c r="AA241" s="87">
        <f t="shared" si="104"/>
        <v>63.759125258032874</v>
      </c>
      <c r="AB241" s="86">
        <v>8.4166885358696053</v>
      </c>
      <c r="AC241" s="93"/>
      <c r="AD241" s="5"/>
      <c r="AE241" s="92"/>
      <c r="AF241" s="92"/>
      <c r="AG241" s="92"/>
      <c r="AH241" s="92"/>
      <c r="AI241" s="93"/>
      <c r="AJ241" s="93"/>
    </row>
    <row r="242" spans="1:36" hidden="1" x14ac:dyDescent="0.3">
      <c r="A242" s="1">
        <v>2026</v>
      </c>
      <c r="B242" s="52">
        <v>46143</v>
      </c>
      <c r="C242" s="1" t="s">
        <v>47</v>
      </c>
      <c r="D242" s="5">
        <v>46148</v>
      </c>
      <c r="E242" s="30">
        <v>135.43188295433654</v>
      </c>
      <c r="F242" s="14">
        <f>+'Mono SPOT MAT'!M242/'Fisico SPOT MAT'!M242/24</f>
        <v>77.956676403155811</v>
      </c>
      <c r="G242" s="13">
        <f t="shared" si="110"/>
        <v>14.4</v>
      </c>
      <c r="H242" s="12">
        <f>+'Mono ASIG'!AA242</f>
        <v>79.719466586123474</v>
      </c>
      <c r="I242" s="12">
        <f t="shared" si="111"/>
        <v>68.56208124133758</v>
      </c>
      <c r="J242" s="12">
        <f t="shared" si="112"/>
        <v>14.4</v>
      </c>
      <c r="K242" s="115">
        <f>+'Mono SPOT MAT'!T242</f>
        <v>70</v>
      </c>
      <c r="L242" s="86"/>
      <c r="M242" s="86"/>
      <c r="N242" s="107">
        <f>+'Mono SPOT MAT'!S242/'Fisico SPOT MAT'!S242/'Fisico SPOT MAT'!E242</f>
        <v>15.323625609404502</v>
      </c>
      <c r="O242" s="86"/>
      <c r="R242">
        <v>0.9</v>
      </c>
      <c r="Y242" s="5">
        <f t="shared" si="72"/>
        <v>46148</v>
      </c>
      <c r="Z242" s="87">
        <f t="shared" si="113"/>
        <v>135.43188295433654</v>
      </c>
      <c r="AA242" s="87">
        <f t="shared" si="104"/>
        <v>69.992829265199973</v>
      </c>
      <c r="AB242" s="86">
        <v>7.9638471379558347</v>
      </c>
      <c r="AC242" s="93"/>
      <c r="AD242" s="5"/>
      <c r="AE242" s="92"/>
      <c r="AF242" s="92"/>
      <c r="AG242" s="92"/>
      <c r="AH242" s="92"/>
      <c r="AI242" s="93"/>
      <c r="AJ242" s="93"/>
    </row>
    <row r="243" spans="1:36" hidden="1" x14ac:dyDescent="0.3">
      <c r="A243" s="1">
        <v>2026</v>
      </c>
      <c r="B243" s="52">
        <v>46143</v>
      </c>
      <c r="C243" s="1" t="s">
        <v>48</v>
      </c>
      <c r="D243" s="5">
        <v>46149</v>
      </c>
      <c r="E243" s="30">
        <v>119.88528838228677</v>
      </c>
      <c r="F243" s="14">
        <f>+'Mono SPOT MAT'!M243/'Fisico SPOT MAT'!M243/24</f>
        <v>73.808268821958606</v>
      </c>
      <c r="G243" s="13">
        <f t="shared" si="110"/>
        <v>14.4</v>
      </c>
      <c r="H243" s="12">
        <f>+'Mono ASIG'!AA243</f>
        <v>84.676182533799931</v>
      </c>
      <c r="I243" s="12">
        <f t="shared" si="111"/>
        <v>73.518797189014037</v>
      </c>
      <c r="J243" s="12">
        <f t="shared" si="112"/>
        <v>14.4</v>
      </c>
      <c r="K243" s="115">
        <f>+'Mono SPOT MAT'!T243</f>
        <v>70</v>
      </c>
      <c r="L243" s="86"/>
      <c r="M243" s="86"/>
      <c r="N243" s="107">
        <f>+'Mono SPOT MAT'!S243/'Fisico SPOT MAT'!S243/'Fisico SPOT MAT'!E243</f>
        <v>15.337517782885541</v>
      </c>
      <c r="O243" s="86"/>
      <c r="R243">
        <v>0.9</v>
      </c>
      <c r="Y243" s="5">
        <f t="shared" si="72"/>
        <v>46149</v>
      </c>
      <c r="Z243" s="87">
        <f t="shared" si="113"/>
        <v>119.88528838228677</v>
      </c>
      <c r="AA243" s="87">
        <f t="shared" si="104"/>
        <v>67.621139827568996</v>
      </c>
      <c r="AB243" s="86">
        <v>6.1871289943896057</v>
      </c>
      <c r="AC243" s="93"/>
      <c r="AD243" s="5"/>
      <c r="AE243" s="92"/>
      <c r="AF243" s="92"/>
      <c r="AG243" s="92"/>
      <c r="AH243" s="92"/>
      <c r="AI243" s="93"/>
      <c r="AJ243" s="93"/>
    </row>
    <row r="244" spans="1:36" hidden="1" x14ac:dyDescent="0.3">
      <c r="A244" s="1">
        <v>2026</v>
      </c>
      <c r="B244" s="52">
        <v>46143</v>
      </c>
      <c r="C244" s="1" t="s">
        <v>49</v>
      </c>
      <c r="D244" s="5">
        <v>46150</v>
      </c>
      <c r="E244" s="30">
        <v>119.43078604256154</v>
      </c>
      <c r="F244" s="14">
        <f>+'Mono SPOT MAT'!M244/'Fisico SPOT MAT'!M244/24</f>
        <v>81.139772366677789</v>
      </c>
      <c r="G244" s="13">
        <f t="shared" si="110"/>
        <v>14.4</v>
      </c>
      <c r="H244" s="12">
        <f>+'Mono ASIG'!AA244</f>
        <v>80.071760106562877</v>
      </c>
      <c r="I244" s="12">
        <f t="shared" si="111"/>
        <v>68.914374761776969</v>
      </c>
      <c r="J244" s="12">
        <f t="shared" si="112"/>
        <v>14.4</v>
      </c>
      <c r="K244" s="115">
        <f>+'Mono SPOT MAT'!T244</f>
        <v>70</v>
      </c>
      <c r="L244" s="86"/>
      <c r="M244" s="86"/>
      <c r="N244" s="107">
        <f>+'Mono SPOT MAT'!S244/'Fisico SPOT MAT'!S244/'Fisico SPOT MAT'!E244</f>
        <v>15.353876226149335</v>
      </c>
      <c r="O244" s="86"/>
      <c r="R244">
        <v>0.9</v>
      </c>
      <c r="Y244" s="5">
        <f t="shared" si="72"/>
        <v>46150</v>
      </c>
      <c r="Z244" s="87">
        <f t="shared" si="113"/>
        <v>119.43078604256154</v>
      </c>
      <c r="AA244" s="87">
        <f t="shared" si="104"/>
        <v>75.235046827490393</v>
      </c>
      <c r="AB244" s="86">
        <v>5.9047255391873996</v>
      </c>
      <c r="AC244" s="93"/>
      <c r="AD244" s="5"/>
      <c r="AE244" s="92"/>
      <c r="AF244" s="92"/>
      <c r="AG244" s="92"/>
      <c r="AH244" s="92"/>
      <c r="AI244" s="93"/>
      <c r="AJ244" s="93"/>
    </row>
    <row r="245" spans="1:36" hidden="1" x14ac:dyDescent="0.3">
      <c r="A245" s="1">
        <v>2026</v>
      </c>
      <c r="B245" s="52">
        <v>46143</v>
      </c>
      <c r="C245" s="1" t="s">
        <v>43</v>
      </c>
      <c r="D245" s="5">
        <v>46151</v>
      </c>
      <c r="E245" s="30">
        <v>158.1882757383182</v>
      </c>
      <c r="F245" s="14">
        <f>+'Mono SPOT MAT'!M245/'Fisico SPOT MAT'!M245/24</f>
        <v>90.451298811337509</v>
      </c>
      <c r="G245" s="13">
        <f t="shared" si="110"/>
        <v>14.4</v>
      </c>
      <c r="H245" s="12">
        <f>+'Mono ASIG'!AA245</f>
        <v>77.803514428530676</v>
      </c>
      <c r="I245" s="12">
        <f t="shared" si="111"/>
        <v>66.646129083744768</v>
      </c>
      <c r="J245" s="12">
        <f t="shared" si="112"/>
        <v>14.4</v>
      </c>
      <c r="K245" s="115">
        <f>+'Mono SPOT MAT'!T245</f>
        <v>70</v>
      </c>
      <c r="L245" s="86"/>
      <c r="M245" s="86"/>
      <c r="N245" s="107">
        <f>+'Mono SPOT MAT'!S245/'Fisico SPOT MAT'!S245/'Fisico SPOT MAT'!E245</f>
        <v>15.378903053632301</v>
      </c>
      <c r="O245" s="86"/>
      <c r="R245">
        <v>0.9</v>
      </c>
      <c r="Y245" s="5">
        <f t="shared" si="72"/>
        <v>46151</v>
      </c>
      <c r="Z245" s="87">
        <f t="shared" si="113"/>
        <v>158.1882757383182</v>
      </c>
      <c r="AA245" s="87">
        <f t="shared" si="104"/>
        <v>78.971493684709429</v>
      </c>
      <c r="AB245" s="86">
        <v>11.479805126628085</v>
      </c>
      <c r="AC245" s="93"/>
      <c r="AD245" s="5"/>
      <c r="AE245" s="92"/>
      <c r="AF245" s="92"/>
      <c r="AG245" s="92"/>
      <c r="AH245" s="92"/>
      <c r="AI245" s="93"/>
      <c r="AJ245" s="93"/>
    </row>
    <row r="246" spans="1:36" hidden="1" x14ac:dyDescent="0.3">
      <c r="A246" s="1">
        <v>2026</v>
      </c>
      <c r="B246" s="52">
        <v>46143</v>
      </c>
      <c r="C246" s="1" t="s">
        <v>44</v>
      </c>
      <c r="D246" s="5">
        <v>46152</v>
      </c>
      <c r="E246" s="30">
        <v>131.02865673900854</v>
      </c>
      <c r="F246" s="14">
        <f>+'Mono SPOT MAT'!M246/'Fisico SPOT MAT'!M246/24</f>
        <v>98.337204576430622</v>
      </c>
      <c r="G246" s="13">
        <f t="shared" si="110"/>
        <v>14.4</v>
      </c>
      <c r="H246" s="12">
        <f>+'Mono ASIG'!AA246</f>
        <v>83.244516514882292</v>
      </c>
      <c r="I246" s="12">
        <f t="shared" si="111"/>
        <v>72.087131170096399</v>
      </c>
      <c r="J246" s="12">
        <f t="shared" si="112"/>
        <v>14.4</v>
      </c>
      <c r="K246" s="115">
        <f>+'Mono SPOT MAT'!T246</f>
        <v>70</v>
      </c>
      <c r="L246" s="86"/>
      <c r="M246" s="86"/>
      <c r="N246" s="107">
        <f>+'Mono SPOT MAT'!S246/'Fisico SPOT MAT'!S246/'Fisico SPOT MAT'!E246</f>
        <v>15.370292890604805</v>
      </c>
      <c r="O246" s="86"/>
      <c r="R246">
        <v>0.9</v>
      </c>
      <c r="Y246" s="5">
        <f t="shared" si="72"/>
        <v>46152</v>
      </c>
      <c r="Z246" s="87">
        <f t="shared" si="113"/>
        <v>131.02865673900854</v>
      </c>
      <c r="AA246" s="87">
        <f t="shared" si="104"/>
        <v>91.173695718407899</v>
      </c>
      <c r="AB246" s="86">
        <v>7.1635088580227189</v>
      </c>
      <c r="AC246" s="93"/>
      <c r="AD246" s="5"/>
      <c r="AE246" s="92"/>
      <c r="AF246" s="92"/>
      <c r="AG246" s="92"/>
      <c r="AH246" s="92"/>
      <c r="AI246" s="93"/>
      <c r="AJ246" s="93"/>
    </row>
    <row r="247" spans="1:36" hidden="1" x14ac:dyDescent="0.3">
      <c r="A247" s="1">
        <v>2026</v>
      </c>
      <c r="B247" s="52">
        <v>46143</v>
      </c>
      <c r="C247" s="1" t="s">
        <v>45</v>
      </c>
      <c r="D247" s="5">
        <v>46153</v>
      </c>
      <c r="E247" s="30">
        <v>161.8666529328369</v>
      </c>
      <c r="F247" s="14">
        <f>+'Mono SPOT MAT'!M247/'Fisico SPOT MAT'!M247/24</f>
        <v>108.64652081530966</v>
      </c>
      <c r="G247" s="13">
        <f t="shared" si="110"/>
        <v>14.4</v>
      </c>
      <c r="H247" s="12">
        <f>+'Mono ASIG'!AA247</f>
        <v>76.845446846742604</v>
      </c>
      <c r="I247" s="12">
        <f t="shared" si="111"/>
        <v>65.688061501956696</v>
      </c>
      <c r="J247" s="12">
        <f t="shared" si="112"/>
        <v>14.4</v>
      </c>
      <c r="K247" s="115">
        <f>+'Mono SPOT MAT'!T247</f>
        <v>70</v>
      </c>
      <c r="L247" s="86"/>
      <c r="M247" s="86"/>
      <c r="N247" s="107">
        <f>+'Mono SPOT MAT'!S247/'Fisico SPOT MAT'!S247/'Fisico SPOT MAT'!E247</f>
        <v>15.381100827800225</v>
      </c>
      <c r="O247" s="86"/>
      <c r="R247">
        <v>0.9</v>
      </c>
      <c r="Y247" s="5">
        <f t="shared" si="72"/>
        <v>46153</v>
      </c>
      <c r="Z247" s="87">
        <f t="shared" si="113"/>
        <v>161.8666529328369</v>
      </c>
      <c r="AA247" s="87">
        <f t="shared" si="104"/>
        <v>97.792446651465553</v>
      </c>
      <c r="AB247" s="86">
        <v>10.854074163844096</v>
      </c>
      <c r="AC247" s="93"/>
      <c r="AD247" s="5"/>
      <c r="AE247" s="92"/>
      <c r="AF247" s="92"/>
      <c r="AG247" s="92"/>
      <c r="AH247" s="92"/>
      <c r="AI247" s="93"/>
      <c r="AJ247" s="93"/>
    </row>
    <row r="248" spans="1:36" hidden="1" x14ac:dyDescent="0.3">
      <c r="A248" s="1">
        <v>2026</v>
      </c>
      <c r="B248" s="52">
        <v>46143</v>
      </c>
      <c r="C248" s="1" t="s">
        <v>46</v>
      </c>
      <c r="D248" s="5">
        <v>46154</v>
      </c>
      <c r="E248" s="30">
        <v>180.35853512545427</v>
      </c>
      <c r="F248" s="14">
        <f>+'Mono SPOT MAT'!M248/'Fisico SPOT MAT'!M248/24</f>
        <v>122.5744501464426</v>
      </c>
      <c r="G248" s="13">
        <f t="shared" ref="G248" si="114">16*R248</f>
        <v>14.4</v>
      </c>
      <c r="H248" s="12">
        <f>+'Mono ASIG'!AA248</f>
        <v>76.849113244339335</v>
      </c>
      <c r="I248" s="12">
        <f t="shared" si="111"/>
        <v>65.691727899553428</v>
      </c>
      <c r="J248" s="12">
        <f t="shared" ref="J248" si="115">16*R248</f>
        <v>14.4</v>
      </c>
      <c r="K248" s="115">
        <f>+'Mono SPOT MAT'!T248</f>
        <v>70</v>
      </c>
      <c r="L248" s="86"/>
      <c r="M248" s="86"/>
      <c r="N248" s="107">
        <f>+'Mono SPOT MAT'!S248/'Fisico SPOT MAT'!S248/'Fisico SPOT MAT'!E248</f>
        <v>15.357932559152404</v>
      </c>
      <c r="O248" s="86"/>
      <c r="R248">
        <v>0.9</v>
      </c>
      <c r="Y248" s="5">
        <f t="shared" si="72"/>
        <v>46154</v>
      </c>
      <c r="Z248" s="87">
        <f t="shared" ref="Z248" si="116">+E248</f>
        <v>180.35853512545427</v>
      </c>
      <c r="AA248" s="87">
        <f t="shared" ref="AA248" si="117">+F248-AB248</f>
        <v>109.48808258190692</v>
      </c>
      <c r="AB248" s="86">
        <v>13.086367564535676</v>
      </c>
      <c r="AC248" s="93"/>
      <c r="AD248" s="5"/>
      <c r="AE248" s="92"/>
      <c r="AF248" s="92"/>
      <c r="AG248" s="92"/>
      <c r="AH248" s="92"/>
      <c r="AI248" s="93"/>
      <c r="AJ248" s="93"/>
    </row>
    <row r="249" spans="1:36" hidden="1" x14ac:dyDescent="0.3">
      <c r="A249" s="1">
        <v>2026</v>
      </c>
      <c r="B249" s="52">
        <v>46143</v>
      </c>
      <c r="C249" s="1" t="s">
        <v>47</v>
      </c>
      <c r="D249" s="5">
        <v>46155</v>
      </c>
      <c r="E249" s="30">
        <v>184.32449907401013</v>
      </c>
      <c r="F249" s="14">
        <f>+'Mono SPOT MAT'!M249/'Fisico SPOT MAT'!M249/24</f>
        <v>121.35949474709811</v>
      </c>
      <c r="G249" s="13">
        <f t="shared" ref="G249:G255" si="118">16*R249</f>
        <v>14.4</v>
      </c>
      <c r="H249" s="12">
        <f>+'Mono ASIG'!AA249</f>
        <v>80.06743911581593</v>
      </c>
      <c r="I249" s="12">
        <f t="shared" si="111"/>
        <v>68.910053771030022</v>
      </c>
      <c r="J249" s="12">
        <f t="shared" ref="J249:J255" si="119">16*R249</f>
        <v>14.4</v>
      </c>
      <c r="K249" s="115">
        <f>+'Mono SPOT MAT'!T249</f>
        <v>70</v>
      </c>
      <c r="L249" s="86"/>
      <c r="M249" s="86"/>
      <c r="N249" s="107">
        <f>+'Mono SPOT MAT'!S249/'Fisico SPOT MAT'!S249/'Fisico SPOT MAT'!E249</f>
        <v>15.370468876261118</v>
      </c>
      <c r="O249" s="86"/>
      <c r="R249">
        <v>0.9</v>
      </c>
      <c r="Y249" s="5">
        <f t="shared" si="72"/>
        <v>46155</v>
      </c>
      <c r="Z249" s="87">
        <f t="shared" ref="Z249:Z255" si="120">+E249</f>
        <v>184.32449907401013</v>
      </c>
      <c r="AA249" s="87">
        <f t="shared" ref="AA249:AA255" si="121">+F249-AB249</f>
        <v>107.6993388941319</v>
      </c>
      <c r="AB249" s="86">
        <v>13.660155852966211</v>
      </c>
      <c r="AC249" s="93"/>
      <c r="AD249" s="5"/>
      <c r="AE249" s="92"/>
      <c r="AF249" s="92"/>
      <c r="AG249" s="92"/>
      <c r="AH249" s="92"/>
      <c r="AI249" s="93"/>
      <c r="AJ249" s="93"/>
    </row>
    <row r="250" spans="1:36" hidden="1" x14ac:dyDescent="0.3">
      <c r="A250" s="1">
        <v>2026</v>
      </c>
      <c r="B250" s="52">
        <v>46143</v>
      </c>
      <c r="C250" s="1" t="s">
        <v>48</v>
      </c>
      <c r="D250" s="5">
        <v>46156</v>
      </c>
      <c r="E250" s="30">
        <v>212.86789364680646</v>
      </c>
      <c r="F250" s="14">
        <f>+'Mono SPOT MAT'!M250/'Fisico SPOT MAT'!M250/24</f>
        <v>120.13797960742215</v>
      </c>
      <c r="G250" s="13">
        <f t="shared" si="118"/>
        <v>14.4</v>
      </c>
      <c r="H250" s="12">
        <f>+'Mono ASIG'!AA250</f>
        <v>77.846725482890903</v>
      </c>
      <c r="I250" s="12">
        <f t="shared" si="111"/>
        <v>66.689340138104996</v>
      </c>
      <c r="J250" s="12">
        <f t="shared" si="119"/>
        <v>14.4</v>
      </c>
      <c r="K250" s="115">
        <f>+'Mono SPOT MAT'!T250</f>
        <v>70</v>
      </c>
      <c r="L250" s="86"/>
      <c r="M250" s="86"/>
      <c r="N250" s="107">
        <f>+'Mono SPOT MAT'!S250/'Fisico SPOT MAT'!S250/'Fisico SPOT MAT'!E250</f>
        <v>15.374390758641068</v>
      </c>
      <c r="O250" s="86"/>
      <c r="R250">
        <v>0.9</v>
      </c>
      <c r="Y250" s="5">
        <f t="shared" si="72"/>
        <v>46156</v>
      </c>
      <c r="Z250" s="87">
        <f t="shared" si="120"/>
        <v>212.86789364680646</v>
      </c>
      <c r="AA250" s="87">
        <f t="shared" si="121"/>
        <v>102.49848050427541</v>
      </c>
      <c r="AB250" s="86">
        <v>17.639499103146743</v>
      </c>
      <c r="AC250" s="93"/>
      <c r="AD250" s="5"/>
      <c r="AE250" s="92"/>
      <c r="AF250" s="92"/>
      <c r="AG250" s="92"/>
      <c r="AH250" s="92"/>
      <c r="AI250" s="93"/>
      <c r="AJ250" s="93"/>
    </row>
    <row r="251" spans="1:36" hidden="1" x14ac:dyDescent="0.3">
      <c r="A251" s="1">
        <v>2026</v>
      </c>
      <c r="B251" s="52">
        <v>46143</v>
      </c>
      <c r="C251" s="1" t="s">
        <v>49</v>
      </c>
      <c r="D251" s="5">
        <v>46157</v>
      </c>
      <c r="E251" s="30">
        <v>194.01757231731088</v>
      </c>
      <c r="F251" s="14">
        <f>+'Mono SPOT MAT'!M251/'Fisico SPOT MAT'!M251/24</f>
        <v>117.3457290528108</v>
      </c>
      <c r="G251" s="13">
        <f t="shared" si="118"/>
        <v>14.4</v>
      </c>
      <c r="H251" s="12">
        <f>+'Mono ASIG'!AA251</f>
        <v>75.121184516137774</v>
      </c>
      <c r="I251" s="12">
        <f t="shared" si="111"/>
        <v>63.963799171351873</v>
      </c>
      <c r="J251" s="12">
        <f t="shared" si="119"/>
        <v>14.4</v>
      </c>
      <c r="K251" s="115">
        <f>+'Mono SPOT MAT'!T251</f>
        <v>70</v>
      </c>
      <c r="L251" s="86"/>
      <c r="M251" s="86"/>
      <c r="N251" s="107">
        <f>+'Mono SPOT MAT'!S251/'Fisico SPOT MAT'!S251/'Fisico SPOT MAT'!E251</f>
        <v>15.329418236014373</v>
      </c>
      <c r="O251" s="86"/>
      <c r="R251">
        <v>0.9</v>
      </c>
      <c r="Y251" s="5">
        <f t="shared" si="72"/>
        <v>46157</v>
      </c>
      <c r="Z251" s="87">
        <f t="shared" si="120"/>
        <v>194.01757231731088</v>
      </c>
      <c r="AA251" s="87">
        <f t="shared" si="121"/>
        <v>102.4603655342795</v>
      </c>
      <c r="AB251" s="86">
        <v>14.885363518531298</v>
      </c>
      <c r="AC251" s="93"/>
      <c r="AD251" s="5"/>
      <c r="AE251" s="92"/>
      <c r="AF251" s="92"/>
      <c r="AG251" s="92"/>
      <c r="AH251" s="92"/>
      <c r="AI251" s="93"/>
      <c r="AJ251" s="93"/>
    </row>
    <row r="252" spans="1:36" hidden="1" x14ac:dyDescent="0.3">
      <c r="A252" s="1">
        <v>2026</v>
      </c>
      <c r="B252" s="52">
        <v>46143</v>
      </c>
      <c r="C252" s="1" t="s">
        <v>43</v>
      </c>
      <c r="D252" s="5">
        <v>46158</v>
      </c>
      <c r="E252" s="30">
        <v>204.81501579570224</v>
      </c>
      <c r="F252" s="14">
        <f>+'Mono SPOT MAT'!M252/'Fisico SPOT MAT'!M252/24</f>
        <v>128.78923468432595</v>
      </c>
      <c r="G252" s="13">
        <f t="shared" si="118"/>
        <v>14.4</v>
      </c>
      <c r="H252" s="12">
        <f>+'Mono ASIG'!AA252</f>
        <v>87.526546179792703</v>
      </c>
      <c r="I252" s="12">
        <f t="shared" si="111"/>
        <v>76.369160835006795</v>
      </c>
      <c r="J252" s="12">
        <f t="shared" si="119"/>
        <v>14.4</v>
      </c>
      <c r="K252" s="115">
        <f>+'Mono SPOT MAT'!T252</f>
        <v>70</v>
      </c>
      <c r="L252" s="86"/>
      <c r="M252" s="86"/>
      <c r="N252" s="107">
        <f>+'Mono SPOT MAT'!S252/'Fisico SPOT MAT'!S252/'Fisico SPOT MAT'!E252</f>
        <v>15.332084725023195</v>
      </c>
      <c r="O252" s="86"/>
      <c r="R252">
        <v>0.9</v>
      </c>
      <c r="Y252" s="5">
        <f t="shared" si="72"/>
        <v>46158</v>
      </c>
      <c r="Z252" s="87">
        <f t="shared" si="120"/>
        <v>204.81501579570224</v>
      </c>
      <c r="AA252" s="87">
        <f t="shared" si="121"/>
        <v>114.17351794195227</v>
      </c>
      <c r="AB252" s="86">
        <v>14.615716742373674</v>
      </c>
      <c r="AC252" s="93"/>
      <c r="AD252" s="5"/>
      <c r="AE252" s="92"/>
      <c r="AF252" s="92"/>
      <c r="AG252" s="92"/>
      <c r="AH252" s="92"/>
      <c r="AI252" s="93"/>
      <c r="AJ252" s="93"/>
    </row>
    <row r="253" spans="1:36" hidden="1" x14ac:dyDescent="0.3">
      <c r="A253" s="1">
        <v>2026</v>
      </c>
      <c r="B253" s="52">
        <v>46143</v>
      </c>
      <c r="C253" s="1" t="s">
        <v>44</v>
      </c>
      <c r="D253" s="5">
        <f>+D252+1</f>
        <v>46159</v>
      </c>
      <c r="E253" s="30">
        <v>198.4632287758219</v>
      </c>
      <c r="F253" s="14">
        <f>+'Mono SPOT MAT'!M253/'Fisico SPOT MAT'!M253/24</f>
        <v>134.94134630308258</v>
      </c>
      <c r="G253" s="13">
        <f t="shared" si="118"/>
        <v>14.4</v>
      </c>
      <c r="H253" s="12">
        <f>+'Mono ASIG'!AA253</f>
        <v>90.830684753761844</v>
      </c>
      <c r="I253" s="12">
        <f t="shared" si="111"/>
        <v>79.673299408975936</v>
      </c>
      <c r="J253" s="12">
        <f t="shared" si="119"/>
        <v>14.4</v>
      </c>
      <c r="K253" s="115">
        <f>+'Mono SPOT MAT'!T253</f>
        <v>70</v>
      </c>
      <c r="L253" s="86"/>
      <c r="M253" s="86"/>
      <c r="N253" s="107">
        <f>+'Mono SPOT MAT'!S253/'Fisico SPOT MAT'!S253/'Fisico SPOT MAT'!E253</f>
        <v>15.354688483053986</v>
      </c>
      <c r="O253" s="86"/>
      <c r="R253">
        <v>0.9</v>
      </c>
      <c r="Y253" s="5">
        <f t="shared" si="72"/>
        <v>46159</v>
      </c>
      <c r="Z253" s="87">
        <f t="shared" si="120"/>
        <v>198.4632287758219</v>
      </c>
      <c r="AA253" s="87">
        <f t="shared" si="121"/>
        <v>121.29927962364258</v>
      </c>
      <c r="AB253" s="86">
        <v>13.64206667944001</v>
      </c>
      <c r="AC253" s="93"/>
      <c r="AD253" s="5"/>
      <c r="AE253" s="92"/>
      <c r="AF253" s="92"/>
      <c r="AG253" s="92"/>
      <c r="AH253" s="92"/>
      <c r="AI253" s="93"/>
      <c r="AJ253" s="93"/>
    </row>
    <row r="254" spans="1:36" hidden="1" x14ac:dyDescent="0.3">
      <c r="A254" s="1">
        <v>2026</v>
      </c>
      <c r="B254" s="52">
        <v>46143</v>
      </c>
      <c r="C254" s="1" t="s">
        <v>45</v>
      </c>
      <c r="D254" s="5">
        <f t="shared" ref="D254:D317" si="122">+D253+1</f>
        <v>46160</v>
      </c>
      <c r="E254" s="30">
        <v>217.39420400321092</v>
      </c>
      <c r="F254" s="14">
        <f>+'Mono SPOT MAT'!M254/'Fisico SPOT MAT'!M254/24</f>
        <v>145.57716693170013</v>
      </c>
      <c r="G254" s="13">
        <f t="shared" si="118"/>
        <v>14.4</v>
      </c>
      <c r="H254" s="12">
        <f>+'Mono ASIG'!AA254</f>
        <v>83.284391489451522</v>
      </c>
      <c r="I254" s="12">
        <f t="shared" si="111"/>
        <v>72.127006144665614</v>
      </c>
      <c r="J254" s="12">
        <f t="shared" si="119"/>
        <v>14.4</v>
      </c>
      <c r="K254" s="115">
        <f>+'Mono SPOT MAT'!T254</f>
        <v>70</v>
      </c>
      <c r="L254" s="86"/>
      <c r="M254" s="86"/>
      <c r="N254" s="107">
        <f>+'Mono SPOT MAT'!S254/'Fisico SPOT MAT'!S254/'Fisico SPOT MAT'!E254</f>
        <v>15.390605919496434</v>
      </c>
      <c r="O254" s="86"/>
      <c r="R254">
        <v>0.9</v>
      </c>
      <c r="Y254" s="5">
        <f t="shared" si="72"/>
        <v>46160</v>
      </c>
      <c r="Z254" s="87">
        <f t="shared" si="120"/>
        <v>217.39420400321092</v>
      </c>
      <c r="AA254" s="87">
        <f t="shared" si="121"/>
        <v>130.36308802101573</v>
      </c>
      <c r="AB254" s="86">
        <v>15.2140789106844</v>
      </c>
      <c r="AC254" s="93"/>
      <c r="AD254" s="5"/>
      <c r="AE254" s="92"/>
      <c r="AF254" s="92"/>
      <c r="AG254" s="92"/>
      <c r="AH254" s="92"/>
      <c r="AI254" s="93"/>
      <c r="AJ254" s="93"/>
    </row>
    <row r="255" spans="1:36" hidden="1" x14ac:dyDescent="0.3">
      <c r="A255" s="1">
        <v>2026</v>
      </c>
      <c r="B255" s="52">
        <v>46143</v>
      </c>
      <c r="C255" s="1" t="s">
        <v>46</v>
      </c>
      <c r="D255" s="5">
        <f t="shared" si="122"/>
        <v>46161</v>
      </c>
      <c r="E255" s="30">
        <v>227.79299447312101</v>
      </c>
      <c r="F255" s="14">
        <f>+'Mono SPOT MAT'!M255/'Fisico SPOT MAT'!M255/24</f>
        <v>146.80741938164547</v>
      </c>
      <c r="G255" s="13">
        <f t="shared" si="118"/>
        <v>14.4</v>
      </c>
      <c r="H255" s="12">
        <f>+'Mono ASIG'!AA255</f>
        <v>87.425835362317173</v>
      </c>
      <c r="I255" s="12">
        <f t="shared" si="111"/>
        <v>76.268450017531279</v>
      </c>
      <c r="J255" s="12">
        <f t="shared" si="119"/>
        <v>14.4</v>
      </c>
      <c r="K255" s="115">
        <f>+'Mono SPOT MAT'!T255</f>
        <v>70</v>
      </c>
      <c r="L255" s="86"/>
      <c r="M255" s="86"/>
      <c r="N255" s="107">
        <f>+'Mono SPOT MAT'!S255/'Fisico SPOT MAT'!S255/'Fisico SPOT MAT'!E255</f>
        <v>15.379365541447894</v>
      </c>
      <c r="O255" s="86"/>
      <c r="R255">
        <v>0.9</v>
      </c>
      <c r="Y255" s="5">
        <f t="shared" si="72"/>
        <v>46161</v>
      </c>
      <c r="Z255" s="87">
        <f t="shared" si="120"/>
        <v>227.79299447312101</v>
      </c>
      <c r="AA255" s="87">
        <f t="shared" si="121"/>
        <v>130.23124548609903</v>
      </c>
      <c r="AB255" s="86">
        <v>16.576173895546436</v>
      </c>
      <c r="AC255" s="93"/>
      <c r="AD255" s="5"/>
      <c r="AE255" s="92"/>
      <c r="AF255" s="92"/>
      <c r="AG255" s="92"/>
      <c r="AH255" s="92"/>
      <c r="AI255" s="93"/>
      <c r="AJ255" s="93"/>
    </row>
    <row r="256" spans="1:36" hidden="1" x14ac:dyDescent="0.3">
      <c r="A256" s="1">
        <v>2026</v>
      </c>
      <c r="B256" s="52">
        <v>46143</v>
      </c>
      <c r="C256" s="1" t="s">
        <v>47</v>
      </c>
      <c r="D256" s="5">
        <f t="shared" si="122"/>
        <v>46162</v>
      </c>
      <c r="E256" s="30">
        <v>249.23183043116151</v>
      </c>
      <c r="F256" s="14">
        <f>+'Mono SPOT MAT'!M256/'Fisico SPOT MAT'!M256/24</f>
        <v>148.15954426942236</v>
      </c>
      <c r="G256" s="13">
        <f t="shared" ref="G256:G261" si="123">16*R256</f>
        <v>14.4</v>
      </c>
      <c r="H256" s="12">
        <f>+'Mono ASIG'!AA256</f>
        <v>91.463885387732134</v>
      </c>
      <c r="I256" s="12">
        <f t="shared" si="111"/>
        <v>80.306500042946226</v>
      </c>
      <c r="J256" s="12">
        <f t="shared" ref="J256:J261" si="124">16*R256</f>
        <v>14.4</v>
      </c>
      <c r="K256" s="115">
        <f>+'Mono SPOT MAT'!T256</f>
        <v>70</v>
      </c>
      <c r="L256" s="86"/>
      <c r="M256" s="86"/>
      <c r="N256" s="107">
        <f>+'Mono SPOT MAT'!S256/'Fisico SPOT MAT'!S256/'Fisico SPOT MAT'!E256</f>
        <v>15.385821984224503</v>
      </c>
      <c r="O256" s="86"/>
      <c r="R256">
        <v>0.9</v>
      </c>
      <c r="Y256" s="5">
        <f t="shared" si="72"/>
        <v>46162</v>
      </c>
      <c r="Z256" s="87">
        <f t="shared" ref="Z256:Z261" si="125">+E256</f>
        <v>249.23183043116151</v>
      </c>
      <c r="AA256" s="87">
        <f t="shared" ref="AA256:AA261" si="126">+F256-AB256</f>
        <v>127.8077516633905</v>
      </c>
      <c r="AB256" s="86">
        <v>20.351792606031854</v>
      </c>
      <c r="AC256" s="93"/>
      <c r="AD256" s="5"/>
      <c r="AE256" s="92"/>
      <c r="AF256" s="92"/>
      <c r="AG256" s="92"/>
      <c r="AH256" s="92"/>
      <c r="AI256" s="93"/>
      <c r="AJ256" s="93"/>
    </row>
    <row r="257" spans="1:36" hidden="1" x14ac:dyDescent="0.3">
      <c r="A257" s="1">
        <v>2026</v>
      </c>
      <c r="B257" s="52">
        <v>46143</v>
      </c>
      <c r="C257" s="1" t="s">
        <v>48</v>
      </c>
      <c r="D257" s="5">
        <f t="shared" si="122"/>
        <v>46163</v>
      </c>
      <c r="E257" s="30">
        <v>257.89501103718044</v>
      </c>
      <c r="F257" s="14">
        <f>+'Mono SPOT MAT'!M257/'Fisico SPOT MAT'!M257/24</f>
        <v>151.09624469308434</v>
      </c>
      <c r="G257" s="13">
        <f t="shared" si="123"/>
        <v>14.4</v>
      </c>
      <c r="H257" s="12">
        <f>+'Mono ASIG'!AA257</f>
        <v>89.862332964850324</v>
      </c>
      <c r="I257" s="12">
        <f t="shared" si="111"/>
        <v>78.704947620064416</v>
      </c>
      <c r="J257" s="12">
        <f t="shared" si="124"/>
        <v>14.4</v>
      </c>
      <c r="K257" s="115">
        <f>+'Mono SPOT MAT'!T257</f>
        <v>70</v>
      </c>
      <c r="L257" s="86"/>
      <c r="M257" s="86"/>
      <c r="N257" s="107">
        <f>+'Mono SPOT MAT'!S257/'Fisico SPOT MAT'!S257/'Fisico SPOT MAT'!E257</f>
        <v>15.36737954121029</v>
      </c>
      <c r="O257" s="86"/>
      <c r="R257">
        <v>0.9</v>
      </c>
      <c r="Y257" s="5">
        <f t="shared" si="72"/>
        <v>46163</v>
      </c>
      <c r="Z257" s="87">
        <f t="shared" si="125"/>
        <v>257.89501103718044</v>
      </c>
      <c r="AA257" s="87">
        <f t="shared" si="126"/>
        <v>130.56267731568923</v>
      </c>
      <c r="AB257" s="86">
        <v>20.533567377395126</v>
      </c>
      <c r="AC257" s="93"/>
      <c r="AD257" s="5"/>
      <c r="AE257" s="92"/>
      <c r="AF257" s="92"/>
      <c r="AG257" s="92"/>
      <c r="AH257" s="92"/>
      <c r="AI257" s="93"/>
      <c r="AJ257" s="93"/>
    </row>
    <row r="258" spans="1:36" hidden="1" x14ac:dyDescent="0.3">
      <c r="A258" s="1">
        <v>2026</v>
      </c>
      <c r="B258" s="52">
        <v>46143</v>
      </c>
      <c r="C258" s="1" t="s">
        <v>49</v>
      </c>
      <c r="D258" s="5">
        <f t="shared" si="122"/>
        <v>46164</v>
      </c>
      <c r="E258" s="30">
        <v>253.58276286977423</v>
      </c>
      <c r="F258" s="14">
        <f>+'Mono SPOT MAT'!M258/'Fisico SPOT MAT'!M258/24</f>
        <v>153.94768856803651</v>
      </c>
      <c r="G258" s="13">
        <f t="shared" si="123"/>
        <v>14.4</v>
      </c>
      <c r="H258" s="12">
        <f>+'Mono ASIG'!AA258</f>
        <v>88.37810020132919</v>
      </c>
      <c r="I258" s="12">
        <f t="shared" si="111"/>
        <v>77.220714856543282</v>
      </c>
      <c r="J258" s="12">
        <f t="shared" si="124"/>
        <v>14.4</v>
      </c>
      <c r="K258" s="115">
        <f>+'Mono SPOT MAT'!T258</f>
        <v>70</v>
      </c>
      <c r="L258" s="86"/>
      <c r="M258" s="86"/>
      <c r="N258" s="107">
        <f>+'Mono SPOT MAT'!S258/'Fisico SPOT MAT'!S258/'Fisico SPOT MAT'!E258</f>
        <v>15.371541549740087</v>
      </c>
      <c r="O258" s="86"/>
      <c r="R258">
        <v>0.9</v>
      </c>
      <c r="Y258" s="5">
        <f t="shared" si="72"/>
        <v>46164</v>
      </c>
      <c r="Z258" s="87">
        <f t="shared" si="125"/>
        <v>253.58276286977423</v>
      </c>
      <c r="AA258" s="87">
        <f t="shared" si="126"/>
        <v>134.36661302342932</v>
      </c>
      <c r="AB258" s="86">
        <v>19.581075544607192</v>
      </c>
      <c r="AC258" s="93"/>
      <c r="AD258" s="5"/>
      <c r="AE258" s="92"/>
      <c r="AF258" s="92"/>
      <c r="AG258" s="92"/>
      <c r="AH258" s="92"/>
      <c r="AI258" s="93"/>
      <c r="AJ258" s="93"/>
    </row>
    <row r="259" spans="1:36" hidden="1" x14ac:dyDescent="0.3">
      <c r="A259" s="1">
        <v>2026</v>
      </c>
      <c r="B259" s="52">
        <v>46143</v>
      </c>
      <c r="C259" s="1" t="s">
        <v>43</v>
      </c>
      <c r="D259" s="5">
        <f t="shared" si="122"/>
        <v>46165</v>
      </c>
      <c r="E259" s="30">
        <v>252.31977388191333</v>
      </c>
      <c r="F259" s="14">
        <f>+'Mono SPOT MAT'!M259/'Fisico SPOT MAT'!M259/24</f>
        <v>130.04295728776773</v>
      </c>
      <c r="G259" s="13">
        <f t="shared" si="123"/>
        <v>14.4</v>
      </c>
      <c r="H259" s="12">
        <f>+'Mono ASIG'!AA259</f>
        <v>82.818644657766228</v>
      </c>
      <c r="I259" s="12">
        <f t="shared" si="111"/>
        <v>71.66125931298032</v>
      </c>
      <c r="J259" s="12">
        <f t="shared" si="124"/>
        <v>14.4</v>
      </c>
      <c r="K259" s="115">
        <f>+'Mono SPOT MAT'!T259</f>
        <v>70</v>
      </c>
      <c r="L259" s="86"/>
      <c r="M259" s="86"/>
      <c r="N259" s="107">
        <f>+'Mono SPOT MAT'!S259/'Fisico SPOT MAT'!S259/'Fisico SPOT MAT'!E259</f>
        <v>15.276433433853725</v>
      </c>
      <c r="O259" s="86"/>
      <c r="R259">
        <v>0.9</v>
      </c>
      <c r="Y259" s="5">
        <f t="shared" si="72"/>
        <v>46165</v>
      </c>
      <c r="Z259" s="87">
        <f t="shared" si="125"/>
        <v>252.31977388191333</v>
      </c>
      <c r="AA259" s="87">
        <f t="shared" si="126"/>
        <v>109.03290811780163</v>
      </c>
      <c r="AB259" s="86">
        <v>21.010049169966106</v>
      </c>
      <c r="AC259" s="93"/>
      <c r="AD259" s="5"/>
      <c r="AE259" s="92"/>
      <c r="AF259" s="92"/>
      <c r="AG259" s="92"/>
      <c r="AH259" s="92"/>
      <c r="AI259" s="93"/>
      <c r="AJ259" s="93"/>
    </row>
    <row r="260" spans="1:36" hidden="1" x14ac:dyDescent="0.3">
      <c r="A260" s="1">
        <v>2026</v>
      </c>
      <c r="B260" s="52">
        <v>46143</v>
      </c>
      <c r="C260" s="1" t="s">
        <v>44</v>
      </c>
      <c r="D260" s="5">
        <f t="shared" si="122"/>
        <v>46166</v>
      </c>
      <c r="E260" s="30">
        <v>193.66410290369822</v>
      </c>
      <c r="F260" s="14">
        <f>+'Mono SPOT MAT'!M260/'Fisico SPOT MAT'!M260/24</f>
        <v>113.15855284892392</v>
      </c>
      <c r="G260" s="13">
        <f t="shared" si="123"/>
        <v>14.4</v>
      </c>
      <c r="H260" s="12">
        <f>+'Mono ASIG'!AA260</f>
        <v>88.154391982374136</v>
      </c>
      <c r="I260" s="12">
        <f t="shared" si="111"/>
        <v>76.997006637588242</v>
      </c>
      <c r="J260" s="12">
        <f t="shared" si="124"/>
        <v>14.4</v>
      </c>
      <c r="K260" s="115">
        <f>+'Mono SPOT MAT'!T260</f>
        <v>70</v>
      </c>
      <c r="L260" s="86"/>
      <c r="M260" s="86"/>
      <c r="N260" s="107">
        <f>+'Mono SPOT MAT'!S260/'Fisico SPOT MAT'!S260/'Fisico SPOT MAT'!E260</f>
        <v>15.256086438334613</v>
      </c>
      <c r="O260" s="86"/>
      <c r="R260">
        <v>0.9</v>
      </c>
      <c r="Y260" s="5">
        <f t="shared" si="72"/>
        <v>46166</v>
      </c>
      <c r="Z260" s="87">
        <f t="shared" si="125"/>
        <v>193.66410290369822</v>
      </c>
      <c r="AA260" s="87">
        <f t="shared" si="126"/>
        <v>99.109136789689686</v>
      </c>
      <c r="AB260" s="86">
        <v>14.049416059234229</v>
      </c>
      <c r="AC260" s="93"/>
      <c r="AD260" s="5"/>
      <c r="AE260" s="92"/>
      <c r="AF260" s="92"/>
      <c r="AG260" s="92"/>
      <c r="AH260" s="92"/>
      <c r="AI260" s="93"/>
      <c r="AJ260" s="93"/>
    </row>
    <row r="261" spans="1:36" hidden="1" x14ac:dyDescent="0.3">
      <c r="A261" s="1">
        <v>2026</v>
      </c>
      <c r="B261" s="52">
        <v>46143</v>
      </c>
      <c r="C261" s="1" t="str">
        <f>+C254</f>
        <v>lun</v>
      </c>
      <c r="D261" s="5">
        <f t="shared" si="122"/>
        <v>46167</v>
      </c>
      <c r="E261" s="30">
        <v>204.0185095663123</v>
      </c>
      <c r="F261" s="14">
        <f>+'Mono SPOT MAT'!M261/'Fisico SPOT MAT'!M261/24</f>
        <v>111.16109234640278</v>
      </c>
      <c r="G261" s="13">
        <f t="shared" si="123"/>
        <v>14.4</v>
      </c>
      <c r="H261" s="12">
        <f>+'Mono ASIG'!AA261</f>
        <v>84.430552194823548</v>
      </c>
      <c r="I261" s="12">
        <f t="shared" si="111"/>
        <v>73.273166850037654</v>
      </c>
      <c r="J261" s="12">
        <f t="shared" si="124"/>
        <v>14.4</v>
      </c>
      <c r="K261" s="115">
        <f>+'Mono SPOT MAT'!T261</f>
        <v>70</v>
      </c>
      <c r="L261" s="86"/>
      <c r="M261" s="86"/>
      <c r="N261" s="107">
        <f>+'Mono SPOT MAT'!S261/'Fisico SPOT MAT'!S261/'Fisico SPOT MAT'!E261</f>
        <v>15.232737826331164</v>
      </c>
      <c r="O261" s="86"/>
      <c r="R261">
        <v>0.9</v>
      </c>
      <c r="Y261" s="5">
        <f t="shared" si="72"/>
        <v>46167</v>
      </c>
      <c r="Z261" s="87">
        <f t="shared" si="125"/>
        <v>204.0185095663123</v>
      </c>
      <c r="AA261" s="87">
        <f t="shared" si="126"/>
        <v>96.286388838767934</v>
      </c>
      <c r="AB261" s="86">
        <v>14.874703507634843</v>
      </c>
      <c r="AC261" s="93"/>
      <c r="AD261" s="5"/>
      <c r="AE261" s="92"/>
      <c r="AF261" s="92"/>
      <c r="AG261" s="92"/>
      <c r="AH261" s="92"/>
      <c r="AI261" s="93"/>
      <c r="AJ261" s="93"/>
    </row>
    <row r="262" spans="1:36" hidden="1" x14ac:dyDescent="0.3">
      <c r="A262" s="1">
        <v>2026</v>
      </c>
      <c r="B262" s="52">
        <v>46143</v>
      </c>
      <c r="C262" s="1" t="str">
        <f t="shared" ref="C262:C325" si="127">+C255</f>
        <v>mar</v>
      </c>
      <c r="D262" s="5">
        <f t="shared" si="122"/>
        <v>46168</v>
      </c>
      <c r="E262" s="30">
        <v>217.90915379942672</v>
      </c>
      <c r="F262" s="14">
        <f>+'Mono SPOT MAT'!M262/'Fisico SPOT MAT'!M262/24</f>
        <v>123.69099603205005</v>
      </c>
      <c r="G262" s="13">
        <f t="shared" ref="G262:G267" si="128">16*R262</f>
        <v>14.4</v>
      </c>
      <c r="H262" s="12">
        <f>+'Mono ASIG'!AA262</f>
        <v>88.82098908793192</v>
      </c>
      <c r="I262" s="12">
        <f t="shared" si="111"/>
        <v>77.663603743146012</v>
      </c>
      <c r="J262" s="12">
        <f t="shared" ref="J262:J267" si="129">16*R262</f>
        <v>14.4</v>
      </c>
      <c r="K262" s="115">
        <f>+'Mono SPOT MAT'!T262</f>
        <v>70</v>
      </c>
      <c r="L262" s="86"/>
      <c r="M262" s="86"/>
      <c r="N262" s="107">
        <f>+'Mono SPOT MAT'!S262/'Fisico SPOT MAT'!S262/'Fisico SPOT MAT'!E262</f>
        <v>15.300537679376196</v>
      </c>
      <c r="O262" s="86"/>
      <c r="R262">
        <v>0.9</v>
      </c>
      <c r="Y262" s="5">
        <f t="shared" si="72"/>
        <v>46168</v>
      </c>
      <c r="Z262" s="87">
        <f t="shared" ref="Z262:Z266" si="130">+E262</f>
        <v>217.90915379942672</v>
      </c>
      <c r="AA262" s="87">
        <f t="shared" ref="AA262:AA267" si="131">+F262-AB262</f>
        <v>106.99439025138061</v>
      </c>
      <c r="AB262" s="86">
        <v>16.69660578066944</v>
      </c>
      <c r="AC262" s="93"/>
      <c r="AD262" s="5"/>
      <c r="AE262" s="92"/>
      <c r="AF262" s="92"/>
      <c r="AG262" s="92"/>
      <c r="AH262" s="92"/>
      <c r="AI262" s="93"/>
      <c r="AJ262" s="93"/>
    </row>
    <row r="263" spans="1:36" hidden="1" x14ac:dyDescent="0.3">
      <c r="A263" s="1">
        <v>2026</v>
      </c>
      <c r="B263" s="52">
        <v>46143</v>
      </c>
      <c r="C263" s="1" t="str">
        <f t="shared" si="127"/>
        <v>mié</v>
      </c>
      <c r="D263" s="5">
        <f t="shared" si="122"/>
        <v>46169</v>
      </c>
      <c r="E263" s="30">
        <v>242.3112413912838</v>
      </c>
      <c r="F263" s="14">
        <f>+'Mono SPOT MAT'!M263/'Fisico SPOT MAT'!M263/24</f>
        <v>154.60332813436347</v>
      </c>
      <c r="G263" s="13">
        <f t="shared" si="128"/>
        <v>14.4</v>
      </c>
      <c r="H263" s="12">
        <f>+'Mono ASIG'!AA263</f>
        <v>92.004024150667476</v>
      </c>
      <c r="I263" s="12">
        <f t="shared" si="111"/>
        <v>80.846638805881582</v>
      </c>
      <c r="J263" s="12">
        <f t="shared" si="129"/>
        <v>14.4</v>
      </c>
      <c r="K263" s="115">
        <f>+'Mono SPOT MAT'!T263</f>
        <v>70</v>
      </c>
      <c r="L263" s="86"/>
      <c r="M263" s="86"/>
      <c r="N263" s="107">
        <f>+'Mono SPOT MAT'!S263/'Fisico SPOT MAT'!S263/'Fisico SPOT MAT'!E263</f>
        <v>15.29037407040145</v>
      </c>
      <c r="O263" s="86"/>
      <c r="R263">
        <v>0.9</v>
      </c>
      <c r="Y263" s="5">
        <f t="shared" si="72"/>
        <v>46169</v>
      </c>
      <c r="Z263" s="87">
        <f t="shared" si="130"/>
        <v>242.3112413912838</v>
      </c>
      <c r="AA263" s="87">
        <f t="shared" si="131"/>
        <v>135.52294184373724</v>
      </c>
      <c r="AB263" s="86">
        <v>19.080386290626226</v>
      </c>
      <c r="AC263" s="93"/>
      <c r="AD263" s="5"/>
      <c r="AE263" s="92"/>
      <c r="AF263" s="92"/>
      <c r="AG263" s="92"/>
      <c r="AH263" s="92"/>
      <c r="AI263" s="93"/>
      <c r="AJ263" s="93"/>
    </row>
    <row r="264" spans="1:36" hidden="1" x14ac:dyDescent="0.3">
      <c r="A264" s="1">
        <v>2026</v>
      </c>
      <c r="B264" s="52">
        <v>46143</v>
      </c>
      <c r="C264" s="1" t="str">
        <f t="shared" si="127"/>
        <v>jue</v>
      </c>
      <c r="D264" s="5">
        <f t="shared" si="122"/>
        <v>46170</v>
      </c>
      <c r="E264" s="30">
        <v>239.26472004582598</v>
      </c>
      <c r="F264" s="14">
        <f>+'Mono SPOT MAT'!M264/'Fisico SPOT MAT'!M264/24</f>
        <v>161.73172689071637</v>
      </c>
      <c r="G264" s="13">
        <f t="shared" si="128"/>
        <v>14.4</v>
      </c>
      <c r="H264" s="12">
        <f>+'Mono ASIG'!AA264</f>
        <v>95.791095297735168</v>
      </c>
      <c r="I264" s="12">
        <f t="shared" si="111"/>
        <v>84.63370995294926</v>
      </c>
      <c r="J264" s="12">
        <f t="shared" si="129"/>
        <v>14.4</v>
      </c>
      <c r="K264" s="115">
        <f>+'Mono SPOT MAT'!T264</f>
        <v>70</v>
      </c>
      <c r="L264" s="86"/>
      <c r="M264" s="86"/>
      <c r="N264" s="107">
        <f>+'Mono SPOT MAT'!S264/'Fisico SPOT MAT'!S264/'Fisico SPOT MAT'!E264</f>
        <v>15.235825318215547</v>
      </c>
      <c r="O264" s="86"/>
      <c r="R264">
        <v>0.9</v>
      </c>
      <c r="Y264" s="5">
        <f t="shared" si="72"/>
        <v>46170</v>
      </c>
      <c r="Z264" s="87">
        <f t="shared" si="130"/>
        <v>239.26472004582598</v>
      </c>
      <c r="AA264" s="87">
        <f t="shared" si="131"/>
        <v>143.93793120442879</v>
      </c>
      <c r="AB264" s="86">
        <v>17.793795686287577</v>
      </c>
      <c r="AC264" s="93"/>
      <c r="AD264" s="5"/>
      <c r="AE264" s="92"/>
      <c r="AF264" s="92"/>
      <c r="AG264" s="92"/>
      <c r="AH264" s="92"/>
      <c r="AI264" s="93"/>
      <c r="AJ264" s="93"/>
    </row>
    <row r="265" spans="1:36" hidden="1" x14ac:dyDescent="0.3">
      <c r="A265" s="1">
        <v>2026</v>
      </c>
      <c r="B265" s="52">
        <v>46143</v>
      </c>
      <c r="C265" s="1" t="str">
        <f t="shared" si="127"/>
        <v>vie</v>
      </c>
      <c r="D265" s="5">
        <f t="shared" si="122"/>
        <v>46171</v>
      </c>
      <c r="E265" s="30">
        <v>235.83050381726335</v>
      </c>
      <c r="F265" s="14">
        <f>+'Mono SPOT MAT'!M265/'Fisico SPOT MAT'!M265/24</f>
        <v>158.25915772119944</v>
      </c>
      <c r="G265" s="13">
        <f t="shared" si="128"/>
        <v>14.4</v>
      </c>
      <c r="H265" s="12">
        <f>+'Mono ASIG'!AA265</f>
        <v>91.600441231325192</v>
      </c>
      <c r="I265" s="12">
        <f t="shared" si="111"/>
        <v>80.443055886539298</v>
      </c>
      <c r="J265" s="12">
        <f t="shared" si="129"/>
        <v>14.4</v>
      </c>
      <c r="K265" s="115">
        <f>+'Mono SPOT MAT'!T265</f>
        <v>70</v>
      </c>
      <c r="L265" s="86"/>
      <c r="M265" s="86"/>
      <c r="N265" s="107">
        <f>+'Mono SPOT MAT'!S265/'Fisico SPOT MAT'!S265/'Fisico SPOT MAT'!E265</f>
        <v>15.248014571061804</v>
      </c>
      <c r="O265" s="86"/>
      <c r="R265">
        <v>0.9</v>
      </c>
      <c r="Y265" s="5">
        <f t="shared" si="72"/>
        <v>46171</v>
      </c>
      <c r="Z265" s="87">
        <f t="shared" si="130"/>
        <v>235.83050381726335</v>
      </c>
      <c r="AA265" s="87">
        <f t="shared" si="131"/>
        <v>140.70481653438779</v>
      </c>
      <c r="AB265" s="86">
        <v>17.554341186811648</v>
      </c>
      <c r="AC265" s="93"/>
      <c r="AD265" s="5"/>
      <c r="AE265" s="92"/>
      <c r="AF265" s="92"/>
      <c r="AG265" s="92"/>
      <c r="AH265" s="92"/>
      <c r="AI265" s="93"/>
      <c r="AJ265" s="93"/>
    </row>
    <row r="266" spans="1:36" hidden="1" x14ac:dyDescent="0.3">
      <c r="A266" s="1">
        <v>2026</v>
      </c>
      <c r="B266" s="52">
        <v>46143</v>
      </c>
      <c r="C266" s="1" t="str">
        <f t="shared" si="127"/>
        <v>sáb</v>
      </c>
      <c r="D266" s="5">
        <f t="shared" si="122"/>
        <v>46172</v>
      </c>
      <c r="E266" s="30">
        <v>236.42740539878119</v>
      </c>
      <c r="F266" s="14">
        <f>+'Mono SPOT MAT'!M266/'Fisico SPOT MAT'!M266/24</f>
        <v>146.41213631248203</v>
      </c>
      <c r="G266" s="13">
        <f t="shared" si="128"/>
        <v>14.4</v>
      </c>
      <c r="H266" s="12">
        <f>+'Mono ASIG'!AA266</f>
        <v>92.993491700308809</v>
      </c>
      <c r="I266" s="12">
        <f t="shared" si="111"/>
        <v>81.836106355522901</v>
      </c>
      <c r="J266" s="12">
        <f t="shared" si="129"/>
        <v>14.4</v>
      </c>
      <c r="K266" s="115">
        <f>+'Mono SPOT MAT'!T266</f>
        <v>70</v>
      </c>
      <c r="L266" s="86"/>
      <c r="M266" s="86"/>
      <c r="N266" s="107">
        <f>+'Mono SPOT MAT'!S266/'Fisico SPOT MAT'!S266/'Fisico SPOT MAT'!E266</f>
        <v>15.271610668303355</v>
      </c>
      <c r="O266" s="86"/>
      <c r="R266">
        <v>0.9</v>
      </c>
      <c r="Y266" s="5">
        <f t="shared" si="72"/>
        <v>46172</v>
      </c>
      <c r="Z266" s="87">
        <f t="shared" si="130"/>
        <v>236.42740539878119</v>
      </c>
      <c r="AA266" s="87">
        <f t="shared" si="131"/>
        <v>127.91528601127072</v>
      </c>
      <c r="AB266" s="86">
        <v>18.496850301211314</v>
      </c>
      <c r="AC266" s="93"/>
      <c r="AD266" s="5"/>
      <c r="AE266" s="92"/>
      <c r="AF266" s="92"/>
      <c r="AG266" s="92"/>
      <c r="AH266" s="92"/>
      <c r="AI266" s="93"/>
      <c r="AJ266" s="93"/>
    </row>
    <row r="267" spans="1:36" hidden="1" x14ac:dyDescent="0.3">
      <c r="A267" s="1">
        <v>2026</v>
      </c>
      <c r="B267" s="52">
        <v>46143</v>
      </c>
      <c r="C267" s="1" t="str">
        <f t="shared" si="127"/>
        <v>dom</v>
      </c>
      <c r="D267" s="5">
        <f t="shared" si="122"/>
        <v>46173</v>
      </c>
      <c r="E267" s="30">
        <v>232.16518242463846</v>
      </c>
      <c r="F267" s="14">
        <f>+'Mono SPOT MAT'!M267/'Fisico SPOT MAT'!M267/24</f>
        <v>138.24027626974825</v>
      </c>
      <c r="G267" s="13">
        <f t="shared" si="128"/>
        <v>14.4</v>
      </c>
      <c r="H267" s="12">
        <f>+'Mono ASIG'!AA267</f>
        <v>98.316341583976865</v>
      </c>
      <c r="I267" s="12">
        <f>+H267-J267*$P$14/$Q$14/$W$14</f>
        <v>87.158956239190957</v>
      </c>
      <c r="J267" s="12">
        <f t="shared" si="129"/>
        <v>14.4</v>
      </c>
      <c r="K267" s="115">
        <f>+'Mono SPOT MAT'!T267</f>
        <v>70</v>
      </c>
      <c r="L267" s="86"/>
      <c r="M267" s="86"/>
      <c r="N267" s="107">
        <f>+'Mono SPOT MAT'!S267/'Fisico SPOT MAT'!S267/'Fisico SPOT MAT'!E267</f>
        <v>15.287534627124428</v>
      </c>
      <c r="O267" s="86"/>
      <c r="R267">
        <v>0.9</v>
      </c>
      <c r="Y267" s="5">
        <f t="shared" si="72"/>
        <v>46173</v>
      </c>
      <c r="Z267" s="87">
        <f t="shared" ref="Z267" si="132">+E267</f>
        <v>232.16518242463846</v>
      </c>
      <c r="AA267" s="87">
        <f t="shared" si="131"/>
        <v>119.48604830556718</v>
      </c>
      <c r="AB267" s="86">
        <v>18.754227964181062</v>
      </c>
      <c r="AC267" s="93"/>
      <c r="AD267" s="5"/>
      <c r="AE267" s="92"/>
      <c r="AF267" s="92"/>
      <c r="AG267" s="92"/>
      <c r="AH267" s="92"/>
      <c r="AI267" s="93"/>
      <c r="AJ267" s="93"/>
    </row>
    <row r="268" spans="1:36" hidden="1" x14ac:dyDescent="0.3">
      <c r="A268" s="1">
        <v>2026</v>
      </c>
      <c r="B268" s="52">
        <v>46174</v>
      </c>
      <c r="C268" s="1" t="str">
        <f t="shared" si="127"/>
        <v>lun</v>
      </c>
      <c r="D268" s="5">
        <f t="shared" si="122"/>
        <v>46174</v>
      </c>
      <c r="E268" s="30">
        <v>231.53314403465808</v>
      </c>
      <c r="F268" s="14">
        <f>+'Mono SPOT MAT'!M268/'Fisico SPOT MAT'!M268/24</f>
        <v>165.93475436920491</v>
      </c>
      <c r="G268" s="13">
        <f t="shared" ref="G268:G274" si="133">16*R268</f>
        <v>17.600000000000001</v>
      </c>
      <c r="H268" s="12">
        <f>+'Mono ASIG'!AA268</f>
        <v>96.105461341191798</v>
      </c>
      <c r="I268" s="12">
        <f t="shared" ref="I268:I296" si="134">+H268-J268*$P$15/$Q$15/$W$15</f>
        <v>82.318609041176217</v>
      </c>
      <c r="J268" s="12">
        <f t="shared" ref="J268:J274" si="135">16*R268</f>
        <v>17.600000000000001</v>
      </c>
      <c r="K268" s="115">
        <f>+'Mono SPOT MAT'!T268</f>
        <v>70</v>
      </c>
      <c r="L268" s="86"/>
      <c r="M268" s="86"/>
      <c r="N268" s="107">
        <f>+'Mono SPOT MAT'!S268/'Fisico SPOT MAT'!S268/'Fisico SPOT MAT'!E268</f>
        <v>16.407447256560886</v>
      </c>
      <c r="O268" s="86"/>
      <c r="R268">
        <v>1.1000000000000001</v>
      </c>
      <c r="Y268" s="5">
        <f t="shared" si="72"/>
        <v>46174</v>
      </c>
      <c r="Z268" s="87">
        <f t="shared" ref="Z268:Z274" si="136">+E268</f>
        <v>231.53314403465808</v>
      </c>
      <c r="AA268" s="87">
        <f t="shared" ref="AA268:AA288" si="137">+F268-AB268</f>
        <v>151.71196515459718</v>
      </c>
      <c r="AB268" s="118">
        <v>14.222789214607733</v>
      </c>
      <c r="AC268" s="93"/>
      <c r="AD268" s="5"/>
      <c r="AE268" s="92"/>
      <c r="AF268" s="92"/>
      <c r="AG268" s="92"/>
      <c r="AH268" s="92"/>
      <c r="AI268" s="93"/>
      <c r="AJ268" s="93"/>
    </row>
    <row r="269" spans="1:36" hidden="1" x14ac:dyDescent="0.3">
      <c r="A269" s="1">
        <v>2026</v>
      </c>
      <c r="B269" s="52">
        <v>46174</v>
      </c>
      <c r="C269" s="1" t="str">
        <f t="shared" si="127"/>
        <v>mar</v>
      </c>
      <c r="D269" s="5">
        <f t="shared" si="122"/>
        <v>46175</v>
      </c>
      <c r="E269" s="30">
        <v>206.43680448265533</v>
      </c>
      <c r="F269" s="14">
        <f>+'Mono SPOT MAT'!M269/'Fisico SPOT MAT'!M269/24</f>
        <v>163.95896107552622</v>
      </c>
      <c r="G269" s="13">
        <f t="shared" si="133"/>
        <v>17.600000000000001</v>
      </c>
      <c r="H269" s="12">
        <f>+'Mono ASIG'!AA269</f>
        <v>98.122447087932684</v>
      </c>
      <c r="I269" s="12">
        <f t="shared" si="134"/>
        <v>84.335594787917103</v>
      </c>
      <c r="J269" s="12">
        <f t="shared" si="135"/>
        <v>17.600000000000001</v>
      </c>
      <c r="K269" s="115">
        <f>+'Mono SPOT MAT'!T269</f>
        <v>70</v>
      </c>
      <c r="L269" s="86"/>
      <c r="M269" s="86"/>
      <c r="N269" s="107">
        <f>+'Mono SPOT MAT'!S269/'Fisico SPOT MAT'!S269/'Fisico SPOT MAT'!E269</f>
        <v>16.42914036006788</v>
      </c>
      <c r="O269" s="86"/>
      <c r="R269">
        <v>1.1000000000000001</v>
      </c>
      <c r="Y269" s="5">
        <f t="shared" si="72"/>
        <v>46175</v>
      </c>
      <c r="Z269" s="87">
        <f t="shared" si="136"/>
        <v>206.43680448265533</v>
      </c>
      <c r="AA269" s="87">
        <f t="shared" si="137"/>
        <v>152.14694262582529</v>
      </c>
      <c r="AB269" s="118">
        <v>11.812018449700922</v>
      </c>
      <c r="AC269" s="93"/>
      <c r="AD269" s="5"/>
      <c r="AE269" s="92"/>
      <c r="AF269" s="92"/>
      <c r="AG269" s="92"/>
      <c r="AH269" s="92"/>
      <c r="AI269" s="93"/>
      <c r="AJ269" s="93"/>
    </row>
    <row r="270" spans="1:36" hidden="1" x14ac:dyDescent="0.3">
      <c r="A270" s="1">
        <v>2026</v>
      </c>
      <c r="B270" s="52">
        <v>46174</v>
      </c>
      <c r="C270" s="1" t="str">
        <f t="shared" si="127"/>
        <v>mié</v>
      </c>
      <c r="D270" s="5">
        <f t="shared" si="122"/>
        <v>46176</v>
      </c>
      <c r="E270" s="30">
        <v>186.19028124953144</v>
      </c>
      <c r="F270" s="14">
        <f>+'Mono SPOT MAT'!M270/'Fisico SPOT MAT'!M270/24</f>
        <v>166.32209642714349</v>
      </c>
      <c r="G270" s="13">
        <f t="shared" si="133"/>
        <v>17.600000000000001</v>
      </c>
      <c r="H270" s="12">
        <f>+'Mono ASIG'!AA270</f>
        <v>92.661372302459597</v>
      </c>
      <c r="I270" s="12">
        <f t="shared" si="134"/>
        <v>78.874520002444015</v>
      </c>
      <c r="J270" s="12">
        <f t="shared" si="135"/>
        <v>17.600000000000001</v>
      </c>
      <c r="K270" s="115">
        <f>+'Mono SPOT MAT'!T270</f>
        <v>70</v>
      </c>
      <c r="L270" s="86"/>
      <c r="M270" s="86"/>
      <c r="N270" s="107">
        <f>+'Mono SPOT MAT'!S270/'Fisico SPOT MAT'!S270/'Fisico SPOT MAT'!E270</f>
        <v>16.434635066757298</v>
      </c>
      <c r="O270" s="86"/>
      <c r="R270">
        <v>1.1000000000000001</v>
      </c>
      <c r="Y270" s="5">
        <f t="shared" si="72"/>
        <v>46176</v>
      </c>
      <c r="Z270" s="87">
        <f t="shared" si="136"/>
        <v>186.19028124953144</v>
      </c>
      <c r="AA270" s="87">
        <f t="shared" si="137"/>
        <v>156.24402100280722</v>
      </c>
      <c r="AB270" s="118">
        <v>10.078075424336273</v>
      </c>
      <c r="AC270" s="93"/>
      <c r="AD270" s="5"/>
      <c r="AE270" s="92"/>
      <c r="AF270" s="92"/>
      <c r="AG270" s="92"/>
      <c r="AH270" s="92"/>
      <c r="AI270" s="93"/>
      <c r="AJ270" s="93"/>
    </row>
    <row r="271" spans="1:36" hidden="1" x14ac:dyDescent="0.3">
      <c r="A271" s="1">
        <v>2026</v>
      </c>
      <c r="B271" s="52">
        <v>46174</v>
      </c>
      <c r="C271" s="1" t="str">
        <f t="shared" si="127"/>
        <v>jue</v>
      </c>
      <c r="D271" s="5">
        <f t="shared" si="122"/>
        <v>46177</v>
      </c>
      <c r="E271" s="30">
        <v>229.65020306570639</v>
      </c>
      <c r="F271" s="14">
        <f>+'Mono SPOT MAT'!M271/'Fisico SPOT MAT'!M271/24</f>
        <v>168.05223479476101</v>
      </c>
      <c r="G271" s="13">
        <f t="shared" si="133"/>
        <v>17.600000000000001</v>
      </c>
      <c r="H271" s="12">
        <f>+'Mono ASIG'!AA271</f>
        <v>97.10191790848836</v>
      </c>
      <c r="I271" s="12">
        <f t="shared" si="134"/>
        <v>83.315065608472779</v>
      </c>
      <c r="J271" s="12">
        <f t="shared" si="135"/>
        <v>17.600000000000001</v>
      </c>
      <c r="K271" s="115">
        <f>+'Mono SPOT MAT'!T271</f>
        <v>70</v>
      </c>
      <c r="L271" s="86"/>
      <c r="M271" s="86"/>
      <c r="N271" s="107">
        <f>+'Mono SPOT MAT'!S271/'Fisico SPOT MAT'!S271/'Fisico SPOT MAT'!E271</f>
        <v>16.440492075434733</v>
      </c>
      <c r="O271" s="86"/>
      <c r="R271">
        <v>1.1000000000000001</v>
      </c>
      <c r="Y271" s="5">
        <f t="shared" si="72"/>
        <v>46177</v>
      </c>
      <c r="Z271" s="87">
        <f t="shared" si="136"/>
        <v>229.65020306570639</v>
      </c>
      <c r="AA271" s="87">
        <f t="shared" si="137"/>
        <v>153.99107444824978</v>
      </c>
      <c r="AB271" s="118">
        <v>14.061160346511242</v>
      </c>
      <c r="AC271" s="93"/>
      <c r="AD271" s="5"/>
      <c r="AE271" s="92"/>
      <c r="AF271" s="92"/>
      <c r="AG271" s="92"/>
      <c r="AH271" s="92"/>
      <c r="AI271" s="93"/>
      <c r="AJ271" s="93"/>
    </row>
    <row r="272" spans="1:36" hidden="1" x14ac:dyDescent="0.3">
      <c r="A272" s="1">
        <v>2026</v>
      </c>
      <c r="B272" s="52">
        <v>46174</v>
      </c>
      <c r="C272" s="1" t="str">
        <f t="shared" si="127"/>
        <v>vie</v>
      </c>
      <c r="D272" s="5">
        <f t="shared" si="122"/>
        <v>46178</v>
      </c>
      <c r="E272" s="30">
        <v>225.99750876633465</v>
      </c>
      <c r="F272" s="14">
        <f>+'Mono SPOT MAT'!M272/'Fisico SPOT MAT'!M272/24</f>
        <v>161.62228098036385</v>
      </c>
      <c r="G272" s="13">
        <f t="shared" si="133"/>
        <v>17.600000000000001</v>
      </c>
      <c r="H272" s="12">
        <f>+'Mono ASIG'!AA272</f>
        <v>102.0239766855842</v>
      </c>
      <c r="I272" s="12">
        <f t="shared" si="134"/>
        <v>88.23712438556862</v>
      </c>
      <c r="J272" s="12">
        <f t="shared" si="135"/>
        <v>17.600000000000001</v>
      </c>
      <c r="K272" s="115">
        <f>+'Mono SPOT MAT'!T272</f>
        <v>70</v>
      </c>
      <c r="L272" s="86"/>
      <c r="M272" s="86"/>
      <c r="N272" s="107">
        <f>+'Mono SPOT MAT'!S272/'Fisico SPOT MAT'!S272/'Fisico SPOT MAT'!E272</f>
        <v>16.441754940835313</v>
      </c>
      <c r="O272" s="86"/>
      <c r="R272">
        <v>1.1000000000000001</v>
      </c>
      <c r="Y272" s="5">
        <f t="shared" si="72"/>
        <v>46178</v>
      </c>
      <c r="Z272" s="87">
        <f t="shared" si="136"/>
        <v>225.99750876633465</v>
      </c>
      <c r="AA272" s="87">
        <f t="shared" si="137"/>
        <v>147.82042241177783</v>
      </c>
      <c r="AB272" s="118">
        <v>13.80185856858602</v>
      </c>
      <c r="AC272" s="93"/>
      <c r="AD272" s="5"/>
      <c r="AE272" s="92"/>
      <c r="AF272" s="92"/>
      <c r="AG272" s="92"/>
      <c r="AH272" s="92"/>
      <c r="AI272" s="93"/>
      <c r="AJ272" s="93"/>
    </row>
    <row r="273" spans="1:36" hidden="1" x14ac:dyDescent="0.3">
      <c r="A273" s="1">
        <v>2026</v>
      </c>
      <c r="B273" s="52">
        <v>46174</v>
      </c>
      <c r="C273" s="1" t="str">
        <f t="shared" si="127"/>
        <v>sáb</v>
      </c>
      <c r="D273" s="5">
        <f t="shared" si="122"/>
        <v>46179</v>
      </c>
      <c r="E273" s="30">
        <v>217.43017609198685</v>
      </c>
      <c r="F273" s="14">
        <f>+'Mono SPOT MAT'!M273/'Fisico SPOT MAT'!M273/24</f>
        <v>163.51884665434338</v>
      </c>
      <c r="G273" s="13">
        <f t="shared" si="133"/>
        <v>17.600000000000001</v>
      </c>
      <c r="H273" s="12">
        <f>+'Mono ASIG'!AA273</f>
        <v>102.27361963103783</v>
      </c>
      <c r="I273" s="12">
        <f t="shared" si="134"/>
        <v>88.48676733102225</v>
      </c>
      <c r="J273" s="12">
        <f t="shared" si="135"/>
        <v>17.600000000000001</v>
      </c>
      <c r="K273" s="115">
        <f>+'Mono SPOT MAT'!T273</f>
        <v>70</v>
      </c>
      <c r="L273" s="86"/>
      <c r="M273" s="86"/>
      <c r="N273" s="107">
        <f>+'Mono SPOT MAT'!S273/'Fisico SPOT MAT'!S273/'Fisico SPOT MAT'!E273</f>
        <v>16.439132989177864</v>
      </c>
      <c r="O273" s="86"/>
      <c r="R273">
        <v>1.1000000000000001</v>
      </c>
      <c r="Y273" s="5">
        <f t="shared" si="72"/>
        <v>46179</v>
      </c>
      <c r="Z273" s="87">
        <f t="shared" si="136"/>
        <v>217.43017609198685</v>
      </c>
      <c r="AA273" s="87">
        <f t="shared" si="137"/>
        <v>150.80415904474935</v>
      </c>
      <c r="AB273" s="118">
        <v>12.714687609594021</v>
      </c>
      <c r="AC273" s="93"/>
      <c r="AD273" s="5"/>
      <c r="AE273" s="92"/>
      <c r="AF273" s="92"/>
      <c r="AG273" s="92"/>
      <c r="AH273" s="92"/>
      <c r="AI273" s="93"/>
      <c r="AJ273" s="93"/>
    </row>
    <row r="274" spans="1:36" hidden="1" x14ac:dyDescent="0.3">
      <c r="A274" s="1">
        <v>2026</v>
      </c>
      <c r="B274" s="52">
        <v>46174</v>
      </c>
      <c r="C274" s="1" t="str">
        <f t="shared" si="127"/>
        <v>dom</v>
      </c>
      <c r="D274" s="5">
        <f t="shared" si="122"/>
        <v>46180</v>
      </c>
      <c r="E274" s="30">
        <v>166.5091404096159</v>
      </c>
      <c r="F274" s="14">
        <f>+'Mono SPOT MAT'!M274/'Fisico SPOT MAT'!M274/24</f>
        <v>155.34111629954347</v>
      </c>
      <c r="G274" s="13">
        <f t="shared" si="133"/>
        <v>17.600000000000001</v>
      </c>
      <c r="H274" s="12">
        <f>+'Mono ASIG'!AA274</f>
        <v>97.830812628672106</v>
      </c>
      <c r="I274" s="12">
        <f t="shared" si="134"/>
        <v>84.043960328656524</v>
      </c>
      <c r="J274" s="12">
        <f t="shared" si="135"/>
        <v>17.600000000000001</v>
      </c>
      <c r="K274" s="115">
        <f>+'Mono SPOT MAT'!T274</f>
        <v>70</v>
      </c>
      <c r="L274" s="86"/>
      <c r="M274" s="86"/>
      <c r="N274" s="107">
        <f>+'Mono SPOT MAT'!S274/'Fisico SPOT MAT'!S274/'Fisico SPOT MAT'!E274</f>
        <v>16.429681296121522</v>
      </c>
      <c r="O274" s="86"/>
      <c r="R274">
        <v>1.1000000000000001</v>
      </c>
      <c r="Y274" s="5">
        <f t="shared" si="72"/>
        <v>46180</v>
      </c>
      <c r="Z274" s="87">
        <f t="shared" si="136"/>
        <v>166.5091404096159</v>
      </c>
      <c r="AA274" s="87">
        <f t="shared" si="137"/>
        <v>147.15299278542605</v>
      </c>
      <c r="AB274" s="118">
        <v>8.1881235141174162</v>
      </c>
      <c r="AC274" s="93"/>
      <c r="AD274" s="5"/>
      <c r="AE274" s="92"/>
      <c r="AF274" s="92"/>
      <c r="AG274" s="92"/>
      <c r="AH274" s="92"/>
      <c r="AI274" s="93"/>
      <c r="AJ274" s="93"/>
    </row>
    <row r="275" spans="1:36" hidden="1" x14ac:dyDescent="0.3">
      <c r="A275" s="1">
        <v>2026</v>
      </c>
      <c r="B275" s="52">
        <v>46174</v>
      </c>
      <c r="C275" s="1" t="str">
        <f t="shared" si="127"/>
        <v>lun</v>
      </c>
      <c r="D275" s="5">
        <f t="shared" si="122"/>
        <v>46181</v>
      </c>
      <c r="E275" s="30">
        <v>218.46703407664268</v>
      </c>
      <c r="F275" s="14">
        <f>+'Mono SPOT MAT'!M275/'Fisico SPOT MAT'!M275/24</f>
        <v>161.63943402774677</v>
      </c>
      <c r="G275" s="13">
        <f t="shared" ref="G275:G276" si="138">16*R275</f>
        <v>17.600000000000001</v>
      </c>
      <c r="H275" s="12">
        <f>+'Mono ASIG'!AA275</f>
        <v>98.189442331227369</v>
      </c>
      <c r="I275" s="12">
        <f t="shared" si="134"/>
        <v>84.402590031211787</v>
      </c>
      <c r="J275" s="12">
        <f t="shared" ref="J275:J276" si="139">16*R275</f>
        <v>17.600000000000001</v>
      </c>
      <c r="K275" s="115">
        <f>+'Mono SPOT MAT'!T275</f>
        <v>70</v>
      </c>
      <c r="L275" s="86"/>
      <c r="M275" s="86"/>
      <c r="N275" s="107">
        <f>+'Mono SPOT MAT'!S275/'Fisico SPOT MAT'!S275/'Fisico SPOT MAT'!E275</f>
        <v>16.438411701517207</v>
      </c>
      <c r="O275" s="86"/>
      <c r="R275">
        <v>1.1000000000000001</v>
      </c>
      <c r="Y275" s="5">
        <f t="shared" si="72"/>
        <v>46181</v>
      </c>
      <c r="Z275" s="87">
        <f t="shared" ref="Z275:Z276" si="140">+E275</f>
        <v>218.46703407664268</v>
      </c>
      <c r="AA275" s="87">
        <f t="shared" si="137"/>
        <v>147.87360689507966</v>
      </c>
      <c r="AB275" s="118">
        <v>13.765827132667125</v>
      </c>
      <c r="AC275" s="93"/>
      <c r="AD275" s="5"/>
      <c r="AE275" s="92"/>
      <c r="AF275" s="92"/>
      <c r="AG275" s="92"/>
      <c r="AH275" s="92"/>
      <c r="AI275" s="93"/>
      <c r="AJ275" s="93"/>
    </row>
    <row r="276" spans="1:36" hidden="1" x14ac:dyDescent="0.3">
      <c r="A276" s="1">
        <v>2026</v>
      </c>
      <c r="B276" s="52">
        <v>46174</v>
      </c>
      <c r="C276" s="1" t="str">
        <f t="shared" si="127"/>
        <v>mar</v>
      </c>
      <c r="D276" s="5">
        <f t="shared" si="122"/>
        <v>46182</v>
      </c>
      <c r="E276" s="30">
        <v>226.17379752553924</v>
      </c>
      <c r="F276" s="14">
        <f>+'Mono SPOT MAT'!M276/'Fisico SPOT MAT'!M276/24</f>
        <v>166.18479522706571</v>
      </c>
      <c r="G276" s="13">
        <f t="shared" si="138"/>
        <v>17.600000000000001</v>
      </c>
      <c r="H276" s="12">
        <f>+'Mono ASIG'!AA276</f>
        <v>97.332934523708573</v>
      </c>
      <c r="I276" s="12">
        <f t="shared" si="134"/>
        <v>83.546082223692991</v>
      </c>
      <c r="J276" s="12">
        <f t="shared" si="139"/>
        <v>17.600000000000001</v>
      </c>
      <c r="K276" s="115">
        <f>+'Mono SPOT MAT'!T276</f>
        <v>70</v>
      </c>
      <c r="L276" s="86"/>
      <c r="M276" s="86"/>
      <c r="N276" s="107">
        <f>+'Mono SPOT MAT'!S276/'Fisico SPOT MAT'!S276/'Fisico SPOT MAT'!E276</f>
        <v>16.451586026205973</v>
      </c>
      <c r="O276" s="86"/>
      <c r="R276">
        <v>1.1000000000000001</v>
      </c>
      <c r="Y276" s="5">
        <f t="shared" si="72"/>
        <v>46182</v>
      </c>
      <c r="Z276" s="87">
        <f t="shared" si="140"/>
        <v>226.17379752553924</v>
      </c>
      <c r="AA276" s="87">
        <f t="shared" si="137"/>
        <v>152.09204921386649</v>
      </c>
      <c r="AB276" s="118">
        <v>14.092746013199205</v>
      </c>
      <c r="AC276" s="93"/>
      <c r="AD276" s="5"/>
      <c r="AE276" s="92"/>
      <c r="AF276" s="92"/>
      <c r="AG276" s="92"/>
      <c r="AH276" s="92"/>
      <c r="AI276" s="93"/>
      <c r="AJ276" s="93"/>
    </row>
    <row r="277" spans="1:36" hidden="1" x14ac:dyDescent="0.3">
      <c r="A277" s="1">
        <v>2026</v>
      </c>
      <c r="B277" s="52">
        <v>46174</v>
      </c>
      <c r="C277" s="1" t="str">
        <f t="shared" si="127"/>
        <v>mié</v>
      </c>
      <c r="D277" s="5">
        <f t="shared" si="122"/>
        <v>46183</v>
      </c>
      <c r="E277" s="30">
        <v>216.05093841974181</v>
      </c>
      <c r="F277" s="14">
        <f>+'Mono SPOT MAT'!M277/'Fisico SPOT MAT'!M277/24</f>
        <v>173.72216271781588</v>
      </c>
      <c r="G277" s="13">
        <f t="shared" ref="G277:G288" si="141">16*R277</f>
        <v>17.600000000000001</v>
      </c>
      <c r="H277" s="12">
        <f>+'Mono ASIG'!AA277</f>
        <v>89.168654852696974</v>
      </c>
      <c r="I277" s="12">
        <f t="shared" si="134"/>
        <v>75.381802552681393</v>
      </c>
      <c r="J277" s="12">
        <f t="shared" ref="J277:J288" si="142">16*R277</f>
        <v>17.600000000000001</v>
      </c>
      <c r="K277" s="115">
        <f>+'Mono SPOT MAT'!T277</f>
        <v>70</v>
      </c>
      <c r="L277" s="86"/>
      <c r="M277" s="86"/>
      <c r="N277" s="107">
        <f>+'Mono SPOT MAT'!S277/'Fisico SPOT MAT'!S277/'Fisico SPOT MAT'!E277</f>
        <v>16.454568734360961</v>
      </c>
      <c r="O277" s="86"/>
      <c r="R277">
        <v>1.1000000000000001</v>
      </c>
      <c r="Y277" s="5">
        <f t="shared" si="72"/>
        <v>46183</v>
      </c>
      <c r="Z277" s="87">
        <f t="shared" ref="Z277:Z288" si="143">+E277</f>
        <v>216.05093841974181</v>
      </c>
      <c r="AA277" s="87">
        <f t="shared" si="137"/>
        <v>160.74454292500823</v>
      </c>
      <c r="AB277" s="118">
        <v>12.977619792807634</v>
      </c>
      <c r="AC277" s="93"/>
      <c r="AD277" s="5"/>
      <c r="AE277" s="92"/>
      <c r="AF277" s="92"/>
      <c r="AG277" s="92"/>
      <c r="AH277" s="92"/>
      <c r="AI277" s="93"/>
      <c r="AJ277" s="93"/>
    </row>
    <row r="278" spans="1:36" hidden="1" x14ac:dyDescent="0.3">
      <c r="A278" s="1">
        <v>2026</v>
      </c>
      <c r="B278" s="52">
        <v>46174</v>
      </c>
      <c r="C278" s="1" t="str">
        <f t="shared" si="127"/>
        <v>jue</v>
      </c>
      <c r="D278" s="5">
        <f t="shared" si="122"/>
        <v>46184</v>
      </c>
      <c r="E278" s="30">
        <v>228.2856181312581</v>
      </c>
      <c r="F278" s="14">
        <f>+'Mono SPOT MAT'!M278/'Fisico SPOT MAT'!M278/24</f>
        <v>178.92062021925821</v>
      </c>
      <c r="G278" s="13">
        <f t="shared" si="141"/>
        <v>17.600000000000001</v>
      </c>
      <c r="H278" s="12">
        <f>+'Mono ASIG'!AA278</f>
        <v>91.015579604704158</v>
      </c>
      <c r="I278" s="12">
        <f t="shared" si="134"/>
        <v>77.228727304688576</v>
      </c>
      <c r="J278" s="12">
        <f t="shared" si="142"/>
        <v>17.600000000000001</v>
      </c>
      <c r="K278" s="115">
        <f>+'Mono SPOT MAT'!T278</f>
        <v>70</v>
      </c>
      <c r="L278" s="86"/>
      <c r="M278" s="86"/>
      <c r="N278" s="107">
        <f>+'Mono SPOT MAT'!S278/'Fisico SPOT MAT'!S278/'Fisico SPOT MAT'!E278</f>
        <v>16.465727672458225</v>
      </c>
      <c r="O278" s="86"/>
      <c r="R278">
        <v>1.1000000000000001</v>
      </c>
      <c r="Y278" s="5">
        <f t="shared" si="72"/>
        <v>46184</v>
      </c>
      <c r="Z278" s="87">
        <f t="shared" si="143"/>
        <v>228.2856181312581</v>
      </c>
      <c r="AA278" s="87">
        <f t="shared" si="137"/>
        <v>166.08405923242327</v>
      </c>
      <c r="AB278" s="118">
        <v>12.836560986834945</v>
      </c>
      <c r="AC278" s="93"/>
      <c r="AD278" s="5"/>
      <c r="AE278" s="92"/>
      <c r="AF278" s="92"/>
      <c r="AG278" s="92"/>
      <c r="AH278" s="92"/>
      <c r="AI278" s="93"/>
      <c r="AJ278" s="93"/>
    </row>
    <row r="279" spans="1:36" hidden="1" x14ac:dyDescent="0.3">
      <c r="A279" s="1">
        <v>2026</v>
      </c>
      <c r="B279" s="52">
        <v>46174</v>
      </c>
      <c r="C279" s="1" t="str">
        <f t="shared" si="127"/>
        <v>vie</v>
      </c>
      <c r="D279" s="5">
        <f t="shared" si="122"/>
        <v>46185</v>
      </c>
      <c r="E279" s="30">
        <v>173.15126699961576</v>
      </c>
      <c r="F279" s="14">
        <f>+'Mono SPOT MAT'!M279/'Fisico SPOT MAT'!M279/24</f>
        <v>172.960673653339</v>
      </c>
      <c r="G279" s="13">
        <f t="shared" si="141"/>
        <v>17.600000000000001</v>
      </c>
      <c r="H279" s="12">
        <f>+'Mono ASIG'!AA279</f>
        <v>95.177485072766899</v>
      </c>
      <c r="I279" s="12">
        <f t="shared" si="134"/>
        <v>81.390632772751317</v>
      </c>
      <c r="J279" s="12">
        <f t="shared" si="142"/>
        <v>17.600000000000001</v>
      </c>
      <c r="K279" s="115">
        <f>+'Mono SPOT MAT'!T279</f>
        <v>70</v>
      </c>
      <c r="L279" s="86"/>
      <c r="M279" s="86"/>
      <c r="N279" s="107">
        <f>+'Mono SPOT MAT'!S279/'Fisico SPOT MAT'!S279/'Fisico SPOT MAT'!E279</f>
        <v>16.465727339946291</v>
      </c>
      <c r="O279" s="86"/>
      <c r="R279">
        <v>1.1000000000000001</v>
      </c>
      <c r="Y279" s="5">
        <f t="shared" si="72"/>
        <v>46185</v>
      </c>
      <c r="Z279" s="87">
        <f t="shared" si="143"/>
        <v>173.15126699961576</v>
      </c>
      <c r="AA279" s="87">
        <f t="shared" si="137"/>
        <v>164.89809667528118</v>
      </c>
      <c r="AB279" s="118">
        <v>8.0625769780578054</v>
      </c>
      <c r="AC279" s="93"/>
      <c r="AD279" s="5"/>
      <c r="AE279" s="92"/>
      <c r="AF279" s="92"/>
      <c r="AG279" s="92"/>
      <c r="AH279" s="92"/>
      <c r="AI279" s="93"/>
      <c r="AJ279" s="93"/>
    </row>
    <row r="280" spans="1:36" hidden="1" x14ac:dyDescent="0.3">
      <c r="A280" s="1">
        <v>2026</v>
      </c>
      <c r="B280" s="52">
        <v>46174</v>
      </c>
      <c r="C280" s="1" t="str">
        <f t="shared" si="127"/>
        <v>sáb</v>
      </c>
      <c r="D280" s="5">
        <f t="shared" si="122"/>
        <v>46186</v>
      </c>
      <c r="E280" s="30">
        <v>207.7877575589564</v>
      </c>
      <c r="F280" s="14">
        <f>+'Mono SPOT MAT'!M280/'Fisico SPOT MAT'!M280/24</f>
        <v>167.04837336369607</v>
      </c>
      <c r="G280" s="13">
        <f t="shared" si="141"/>
        <v>17.600000000000001</v>
      </c>
      <c r="H280" s="12">
        <f>+'Mono ASIG'!AA280</f>
        <v>94.240298831702304</v>
      </c>
      <c r="I280" s="12">
        <f t="shared" si="134"/>
        <v>80.453446531686723</v>
      </c>
      <c r="J280" s="12">
        <f t="shared" si="142"/>
        <v>17.600000000000001</v>
      </c>
      <c r="K280" s="115">
        <f>+'Mono SPOT MAT'!T280</f>
        <v>70</v>
      </c>
      <c r="L280" s="86"/>
      <c r="M280" s="86"/>
      <c r="N280" s="107">
        <f>+'Mono SPOT MAT'!S280/'Fisico SPOT MAT'!S280/'Fisico SPOT MAT'!E280</f>
        <v>16.429165591401034</v>
      </c>
      <c r="O280" s="86"/>
      <c r="R280">
        <v>1.1000000000000001</v>
      </c>
      <c r="Y280" s="5">
        <f t="shared" si="72"/>
        <v>46186</v>
      </c>
      <c r="Z280" s="87">
        <f t="shared" si="143"/>
        <v>207.7877575589564</v>
      </c>
      <c r="AA280" s="87">
        <f t="shared" si="137"/>
        <v>156.00711036046764</v>
      </c>
      <c r="AB280" s="118">
        <v>11.041263003228424</v>
      </c>
      <c r="AC280" s="93"/>
      <c r="AD280" s="5"/>
      <c r="AE280" s="92"/>
      <c r="AF280" s="92"/>
      <c r="AG280" s="92"/>
      <c r="AH280" s="92"/>
      <c r="AI280" s="93"/>
      <c r="AJ280" s="93"/>
    </row>
    <row r="281" spans="1:36" hidden="1" x14ac:dyDescent="0.3">
      <c r="A281" s="1">
        <v>2026</v>
      </c>
      <c r="B281" s="52">
        <v>46174</v>
      </c>
      <c r="C281" s="1" t="str">
        <f t="shared" si="127"/>
        <v>dom</v>
      </c>
      <c r="D281" s="5">
        <f t="shared" si="122"/>
        <v>46187</v>
      </c>
      <c r="E281" s="30">
        <v>186.76638714703878</v>
      </c>
      <c r="F281" s="14">
        <f>+'Mono SPOT MAT'!M281/'Fisico SPOT MAT'!M281/24</f>
        <v>167.65529083990381</v>
      </c>
      <c r="G281" s="13">
        <f t="shared" si="141"/>
        <v>17.600000000000001</v>
      </c>
      <c r="H281" s="12">
        <f>+'Mono ASIG'!AA281</f>
        <v>96.933628943791916</v>
      </c>
      <c r="I281" s="12">
        <f t="shared" si="134"/>
        <v>83.146776643776334</v>
      </c>
      <c r="J281" s="12">
        <f t="shared" si="142"/>
        <v>17.600000000000001</v>
      </c>
      <c r="K281" s="115">
        <f>+'Mono SPOT MAT'!T281</f>
        <v>70</v>
      </c>
      <c r="L281" s="86"/>
      <c r="M281" s="86"/>
      <c r="N281" s="107">
        <f>+'Mono SPOT MAT'!S281/'Fisico SPOT MAT'!S281/'Fisico SPOT MAT'!E281</f>
        <v>16.423880504148784</v>
      </c>
      <c r="O281" s="86"/>
      <c r="R281">
        <v>1.1000000000000001</v>
      </c>
      <c r="Y281" s="5">
        <f t="shared" si="72"/>
        <v>46187</v>
      </c>
      <c r="Z281" s="87">
        <f t="shared" si="143"/>
        <v>186.76638714703878</v>
      </c>
      <c r="AA281" s="87">
        <f t="shared" si="137"/>
        <v>157.51907528344751</v>
      </c>
      <c r="AB281" s="118">
        <v>10.136215556456317</v>
      </c>
      <c r="AC281" s="93"/>
      <c r="AD281" s="5"/>
      <c r="AE281" s="92"/>
      <c r="AF281" s="92"/>
      <c r="AG281" s="92"/>
      <c r="AH281" s="92"/>
      <c r="AI281" s="93"/>
      <c r="AJ281" s="93"/>
    </row>
    <row r="282" spans="1:36" hidden="1" x14ac:dyDescent="0.3">
      <c r="A282" s="1">
        <v>2026</v>
      </c>
      <c r="B282" s="52">
        <v>46174</v>
      </c>
      <c r="C282" s="1" t="str">
        <f t="shared" si="127"/>
        <v>lun</v>
      </c>
      <c r="D282" s="5">
        <f t="shared" si="122"/>
        <v>46188</v>
      </c>
      <c r="E282" s="30">
        <v>209.94717160679798</v>
      </c>
      <c r="F282" s="14">
        <f>+'Mono SPOT MAT'!M282/'Fisico SPOT MAT'!M282/24</f>
        <v>161.50515557386649</v>
      </c>
      <c r="G282" s="13">
        <f t="shared" si="141"/>
        <v>17.600000000000001</v>
      </c>
      <c r="H282" s="12">
        <f>+'Mono ASIG'!AA282</f>
        <v>93.684087616655901</v>
      </c>
      <c r="I282" s="12">
        <f t="shared" si="134"/>
        <v>79.89723531664032</v>
      </c>
      <c r="J282" s="12">
        <f t="shared" si="142"/>
        <v>17.600000000000001</v>
      </c>
      <c r="K282" s="115">
        <f>+'Mono SPOT MAT'!T282</f>
        <v>70</v>
      </c>
      <c r="L282" s="86"/>
      <c r="M282" s="86"/>
      <c r="N282" s="107">
        <f>+'Mono SPOT MAT'!S282/'Fisico SPOT MAT'!S282/'Fisico SPOT MAT'!E282</f>
        <v>16.445100508407684</v>
      </c>
      <c r="O282" s="86"/>
      <c r="R282">
        <v>1.1000000000000001</v>
      </c>
      <c r="Y282" s="5">
        <f t="shared" si="72"/>
        <v>46188</v>
      </c>
      <c r="Z282" s="87">
        <f t="shared" si="143"/>
        <v>209.94717160679798</v>
      </c>
      <c r="AA282" s="87">
        <f t="shared" si="137"/>
        <v>149.41285374562798</v>
      </c>
      <c r="AB282" s="118">
        <v>12.092301828238512</v>
      </c>
      <c r="AC282" s="93"/>
      <c r="AD282" s="5"/>
      <c r="AE282" s="92"/>
      <c r="AF282" s="92"/>
      <c r="AG282" s="92"/>
      <c r="AH282" s="92"/>
      <c r="AI282" s="93"/>
      <c r="AJ282" s="93"/>
    </row>
    <row r="283" spans="1:36" hidden="1" x14ac:dyDescent="0.3">
      <c r="A283" s="1">
        <v>2026</v>
      </c>
      <c r="B283" s="52">
        <v>46174</v>
      </c>
      <c r="C283" s="1" t="str">
        <f t="shared" si="127"/>
        <v>mar</v>
      </c>
      <c r="D283" s="5">
        <f t="shared" si="122"/>
        <v>46189</v>
      </c>
      <c r="E283" s="30">
        <v>188.85121850792311</v>
      </c>
      <c r="F283" s="14">
        <f>+'Mono SPOT MAT'!M283/'Fisico SPOT MAT'!M283/24</f>
        <v>172.60578184317083</v>
      </c>
      <c r="G283" s="13">
        <f t="shared" si="141"/>
        <v>17.600000000000001</v>
      </c>
      <c r="H283" s="12">
        <f>+'Mono ASIG'!AA283</f>
        <v>97.599898339353032</v>
      </c>
      <c r="I283" s="12">
        <f t="shared" si="134"/>
        <v>83.813046039337451</v>
      </c>
      <c r="J283" s="12">
        <f t="shared" si="142"/>
        <v>17.600000000000001</v>
      </c>
      <c r="K283" s="115">
        <f>+'Mono SPOT MAT'!T283</f>
        <v>70</v>
      </c>
      <c r="L283" s="86"/>
      <c r="M283" s="86"/>
      <c r="N283" s="107">
        <f>+'Mono SPOT MAT'!S283/'Fisico SPOT MAT'!S283/'Fisico SPOT MAT'!E283</f>
        <v>16.472807138188923</v>
      </c>
      <c r="O283" s="86"/>
      <c r="R283">
        <v>1.1000000000000001</v>
      </c>
      <c r="Y283" s="5">
        <f t="shared" si="72"/>
        <v>46189</v>
      </c>
      <c r="Z283" s="87">
        <f t="shared" si="143"/>
        <v>188.85121850792311</v>
      </c>
      <c r="AA283" s="87">
        <f t="shared" si="137"/>
        <v>162.91333312437916</v>
      </c>
      <c r="AB283" s="118">
        <v>9.6924487187916526</v>
      </c>
      <c r="AC283" s="93"/>
      <c r="AD283" s="5"/>
      <c r="AE283" s="92"/>
      <c r="AF283" s="92"/>
      <c r="AG283" s="92"/>
      <c r="AH283" s="92"/>
      <c r="AI283" s="93"/>
      <c r="AJ283" s="93"/>
    </row>
    <row r="284" spans="1:36" hidden="1" x14ac:dyDescent="0.3">
      <c r="A284" s="1">
        <v>2026</v>
      </c>
      <c r="B284" s="52">
        <v>46174</v>
      </c>
      <c r="C284" s="1" t="str">
        <f t="shared" si="127"/>
        <v>mié</v>
      </c>
      <c r="D284" s="5">
        <f t="shared" si="122"/>
        <v>46190</v>
      </c>
      <c r="E284" s="30">
        <v>219.27160971397419</v>
      </c>
      <c r="F284" s="14">
        <f>+'Mono SPOT MAT'!M284/'Fisico SPOT MAT'!M284/24</f>
        <v>175.03288182090009</v>
      </c>
      <c r="G284" s="13">
        <f t="shared" si="141"/>
        <v>17.600000000000001</v>
      </c>
      <c r="H284" s="12">
        <f>+'Mono ASIG'!AA284</f>
        <v>92.620178762181808</v>
      </c>
      <c r="I284" s="12">
        <f t="shared" si="134"/>
        <v>78.833326462166227</v>
      </c>
      <c r="J284" s="12">
        <f t="shared" si="142"/>
        <v>17.600000000000001</v>
      </c>
      <c r="K284" s="115">
        <f>+'Mono SPOT MAT'!T284</f>
        <v>70</v>
      </c>
      <c r="L284" s="86"/>
      <c r="M284" s="86"/>
      <c r="N284" s="107">
        <f>+'Mono SPOT MAT'!S284/'Fisico SPOT MAT'!S284/'Fisico SPOT MAT'!E284</f>
        <v>16.46781633887942</v>
      </c>
      <c r="O284" s="86"/>
      <c r="R284">
        <v>1.1000000000000001</v>
      </c>
      <c r="Y284" s="5">
        <f t="shared" si="72"/>
        <v>46190</v>
      </c>
      <c r="Z284" s="87">
        <f t="shared" si="143"/>
        <v>219.27160971397419</v>
      </c>
      <c r="AA284" s="87">
        <f t="shared" si="137"/>
        <v>163.21920238566577</v>
      </c>
      <c r="AB284" s="118">
        <v>11.813679435234334</v>
      </c>
      <c r="AC284" s="93"/>
      <c r="AD284" s="5"/>
      <c r="AE284" s="92"/>
      <c r="AF284" s="92"/>
      <c r="AG284" s="92"/>
      <c r="AH284" s="92"/>
      <c r="AI284" s="93"/>
      <c r="AJ284" s="93"/>
    </row>
    <row r="285" spans="1:36" hidden="1" x14ac:dyDescent="0.3">
      <c r="A285" s="1">
        <v>2026</v>
      </c>
      <c r="B285" s="52">
        <v>46174</v>
      </c>
      <c r="C285" s="1" t="str">
        <f t="shared" si="127"/>
        <v>jue</v>
      </c>
      <c r="D285" s="5">
        <f t="shared" si="122"/>
        <v>46191</v>
      </c>
      <c r="E285" s="30">
        <v>206.99625996418919</v>
      </c>
      <c r="F285" s="14">
        <f>+'Mono SPOT MAT'!M285/'Fisico SPOT MAT'!M285/24</f>
        <v>176.24352676638216</v>
      </c>
      <c r="G285" s="13">
        <f t="shared" si="141"/>
        <v>17.600000000000001</v>
      </c>
      <c r="H285" s="12">
        <f>+'Mono ASIG'!AA285</f>
        <v>92.656704167957912</v>
      </c>
      <c r="I285" s="12">
        <f t="shared" si="134"/>
        <v>78.86985186794233</v>
      </c>
      <c r="J285" s="12">
        <f t="shared" si="142"/>
        <v>17.600000000000001</v>
      </c>
      <c r="K285" s="115">
        <f>+'Mono SPOT MAT'!T285</f>
        <v>70</v>
      </c>
      <c r="L285" s="86"/>
      <c r="M285" s="86"/>
      <c r="N285" s="107">
        <f>+'Mono SPOT MAT'!S285/'Fisico SPOT MAT'!S285/'Fisico SPOT MAT'!E285</f>
        <v>16.435872763977038</v>
      </c>
      <c r="O285" s="86"/>
      <c r="R285">
        <v>1.1000000000000001</v>
      </c>
      <c r="Y285" s="5">
        <f t="shared" si="72"/>
        <v>46191</v>
      </c>
      <c r="Z285" s="87">
        <f t="shared" si="143"/>
        <v>206.99625996418919</v>
      </c>
      <c r="AA285" s="87">
        <f t="shared" si="137"/>
        <v>164.23004938859</v>
      </c>
      <c r="AB285" s="118">
        <v>12.013477377792151</v>
      </c>
      <c r="AC285" s="93"/>
      <c r="AD285" s="5"/>
      <c r="AE285" s="92"/>
      <c r="AF285" s="92"/>
      <c r="AG285" s="92"/>
      <c r="AH285" s="92"/>
      <c r="AI285" s="93"/>
      <c r="AJ285" s="93"/>
    </row>
    <row r="286" spans="1:36" hidden="1" x14ac:dyDescent="0.3">
      <c r="A286" s="1">
        <v>2026</v>
      </c>
      <c r="B286" s="52">
        <v>46174</v>
      </c>
      <c r="C286" s="1" t="str">
        <f t="shared" si="127"/>
        <v>vie</v>
      </c>
      <c r="D286" s="5">
        <f t="shared" si="122"/>
        <v>46192</v>
      </c>
      <c r="E286" s="30">
        <v>235.58796521788892</v>
      </c>
      <c r="F286" s="14">
        <f>+'Mono SPOT MAT'!M286/'Fisico SPOT MAT'!M286/24</f>
        <v>192.07313392010948</v>
      </c>
      <c r="G286" s="13">
        <f t="shared" si="141"/>
        <v>17.600000000000001</v>
      </c>
      <c r="H286" s="12">
        <f>+'Mono ASIG'!AA286</f>
        <v>90.21116425844798</v>
      </c>
      <c r="I286" s="12">
        <f t="shared" si="134"/>
        <v>76.424311958432398</v>
      </c>
      <c r="J286" s="12">
        <f t="shared" si="142"/>
        <v>17.600000000000001</v>
      </c>
      <c r="K286" s="115">
        <f>+'Mono SPOT MAT'!T286</f>
        <v>70</v>
      </c>
      <c r="L286" s="86"/>
      <c r="M286" s="86"/>
      <c r="N286" s="107">
        <f>+'Mono SPOT MAT'!S286/'Fisico SPOT MAT'!S286/'Fisico SPOT MAT'!E286</f>
        <v>16.424459737640287</v>
      </c>
      <c r="O286" s="86"/>
      <c r="R286">
        <v>1.1000000000000001</v>
      </c>
      <c r="Y286" s="5">
        <f t="shared" si="72"/>
        <v>46192</v>
      </c>
      <c r="Z286" s="87">
        <f t="shared" si="143"/>
        <v>235.58796521788892</v>
      </c>
      <c r="AA286" s="87">
        <f t="shared" si="137"/>
        <v>178.36720316005417</v>
      </c>
      <c r="AB286" s="118">
        <v>13.705930760055303</v>
      </c>
      <c r="AC286" s="93"/>
      <c r="AD286" s="5"/>
      <c r="AE286" s="92"/>
      <c r="AF286" s="92"/>
      <c r="AG286" s="92"/>
      <c r="AH286" s="92"/>
      <c r="AI286" s="93"/>
      <c r="AJ286" s="93"/>
    </row>
    <row r="287" spans="1:36" hidden="1" x14ac:dyDescent="0.3">
      <c r="A287" s="1">
        <v>2026</v>
      </c>
      <c r="B287" s="52">
        <v>46174</v>
      </c>
      <c r="C287" s="1" t="str">
        <f t="shared" si="127"/>
        <v>sáb</v>
      </c>
      <c r="D287" s="5">
        <f t="shared" si="122"/>
        <v>46193</v>
      </c>
      <c r="E287" s="30">
        <v>155.19292205943762</v>
      </c>
      <c r="F287" s="14">
        <f>+'Mono SPOT MAT'!M287/'Fisico SPOT MAT'!M287/24</f>
        <v>180.36492577048435</v>
      </c>
      <c r="G287" s="13">
        <f t="shared" si="141"/>
        <v>17.600000000000001</v>
      </c>
      <c r="H287" s="12">
        <f>+'Mono ASIG'!AA287</f>
        <v>105.44367038436546</v>
      </c>
      <c r="I287" s="12">
        <f t="shared" si="134"/>
        <v>91.656818084349879</v>
      </c>
      <c r="J287" s="12">
        <f t="shared" si="142"/>
        <v>17.600000000000001</v>
      </c>
      <c r="K287" s="115">
        <f>+'Mono SPOT MAT'!T287</f>
        <v>70</v>
      </c>
      <c r="L287" s="86"/>
      <c r="M287" s="86"/>
      <c r="N287" s="107">
        <f>+'Mono SPOT MAT'!S287/'Fisico SPOT MAT'!S287/'Fisico SPOT MAT'!E287</f>
        <v>16.394559372544055</v>
      </c>
      <c r="O287" s="86"/>
      <c r="R287">
        <v>1.1000000000000001</v>
      </c>
      <c r="Y287" s="5">
        <f t="shared" si="72"/>
        <v>46193</v>
      </c>
      <c r="Z287" s="87">
        <f t="shared" si="143"/>
        <v>155.19292205943762</v>
      </c>
      <c r="AA287" s="87">
        <f t="shared" si="137"/>
        <v>173.91180507328147</v>
      </c>
      <c r="AB287" s="118">
        <v>6.4531206972028752</v>
      </c>
      <c r="AC287" s="93"/>
      <c r="AD287" s="5"/>
      <c r="AE287" s="92"/>
      <c r="AF287" s="92"/>
      <c r="AG287" s="92"/>
      <c r="AH287" s="92"/>
      <c r="AI287" s="93"/>
      <c r="AJ287" s="93"/>
    </row>
    <row r="288" spans="1:36" hidden="1" x14ac:dyDescent="0.3">
      <c r="A288" s="1">
        <v>2026</v>
      </c>
      <c r="B288" s="52">
        <v>46174</v>
      </c>
      <c r="C288" s="1" t="str">
        <f t="shared" si="127"/>
        <v>dom</v>
      </c>
      <c r="D288" s="5">
        <f t="shared" si="122"/>
        <v>46194</v>
      </c>
      <c r="E288" s="30">
        <v>136.12769754778753</v>
      </c>
      <c r="F288" s="14">
        <f>+'Mono SPOT MAT'!M288/'Fisico SPOT MAT'!M288/24</f>
        <v>179.60010889706385</v>
      </c>
      <c r="G288" s="13">
        <f t="shared" si="141"/>
        <v>17.600000000000001</v>
      </c>
      <c r="H288" s="12">
        <f>+'Mono ASIG'!AA288</f>
        <v>106.04148305699606</v>
      </c>
      <c r="I288" s="12">
        <f t="shared" si="134"/>
        <v>92.254630756980475</v>
      </c>
      <c r="J288" s="12">
        <f t="shared" si="142"/>
        <v>17.600000000000001</v>
      </c>
      <c r="K288" s="115">
        <f>+'Mono SPOT MAT'!T288</f>
        <v>70</v>
      </c>
      <c r="L288" s="86"/>
      <c r="M288" s="86"/>
      <c r="N288" s="107">
        <f>+'Mono SPOT MAT'!S288/'Fisico SPOT MAT'!S288/'Fisico SPOT MAT'!E288</f>
        <v>16.381588898492783</v>
      </c>
      <c r="O288" s="86"/>
      <c r="R288">
        <v>1.1000000000000001</v>
      </c>
      <c r="Y288" s="5">
        <f t="shared" si="72"/>
        <v>46194</v>
      </c>
      <c r="Z288" s="87">
        <f t="shared" si="143"/>
        <v>136.12769754778753</v>
      </c>
      <c r="AA288" s="87">
        <f t="shared" si="137"/>
        <v>174.08518285025852</v>
      </c>
      <c r="AB288" s="118">
        <v>5.5149260468053303</v>
      </c>
      <c r="AC288" s="93"/>
      <c r="AD288" s="5"/>
      <c r="AE288" s="92"/>
      <c r="AF288" s="92"/>
      <c r="AG288" s="92"/>
      <c r="AH288" s="92"/>
      <c r="AI288" s="93"/>
      <c r="AJ288" s="93"/>
    </row>
    <row r="289" spans="1:36" hidden="1" x14ac:dyDescent="0.3">
      <c r="A289" s="1">
        <v>2026</v>
      </c>
      <c r="B289" s="52">
        <v>46174</v>
      </c>
      <c r="C289" s="1" t="str">
        <f t="shared" si="127"/>
        <v>lun</v>
      </c>
      <c r="D289" s="5">
        <f t="shared" si="122"/>
        <v>46195</v>
      </c>
      <c r="E289" s="30">
        <v>222.120259129473</v>
      </c>
      <c r="F289" s="14">
        <f>+'Mono SPOT MAT'!M289/'Fisico SPOT MAT'!M289/24</f>
        <v>180.44233110026752</v>
      </c>
      <c r="G289" s="13">
        <f t="shared" ref="G289:G294" si="144">16*R289</f>
        <v>17.600000000000001</v>
      </c>
      <c r="H289" s="12">
        <f>+'Mono ASIG'!AA289</f>
        <v>101.79555525767888</v>
      </c>
      <c r="I289" s="12">
        <f t="shared" si="134"/>
        <v>88.008702957663303</v>
      </c>
      <c r="J289" s="12">
        <f t="shared" ref="J289:J294" si="145">16*R289</f>
        <v>17.600000000000001</v>
      </c>
      <c r="K289" s="115">
        <f>+'Mono SPOT MAT'!T289</f>
        <v>70</v>
      </c>
      <c r="L289" s="86"/>
      <c r="M289" s="86"/>
      <c r="N289" s="107">
        <f>+'Mono SPOT MAT'!S289/'Fisico SPOT MAT'!S289/'Fisico SPOT MAT'!E289</f>
        <v>16.400951054478703</v>
      </c>
      <c r="O289" s="86"/>
      <c r="R289">
        <v>1.1000000000000001</v>
      </c>
      <c r="Y289" s="5">
        <f t="shared" si="72"/>
        <v>46195</v>
      </c>
      <c r="Z289" s="87">
        <f t="shared" ref="Z289:Z294" si="146">+E289</f>
        <v>222.120259129473</v>
      </c>
      <c r="AA289" s="87">
        <f t="shared" ref="AA289:AA294" si="147">+F289-AB289</f>
        <v>166.92448123243508</v>
      </c>
      <c r="AB289" s="118">
        <v>13.517849867832435</v>
      </c>
      <c r="AC289" s="93"/>
      <c r="AD289" s="5"/>
      <c r="AE289" s="92"/>
      <c r="AF289" s="92"/>
      <c r="AG289" s="92"/>
      <c r="AH289" s="92"/>
      <c r="AI289" s="93"/>
      <c r="AJ289" s="93"/>
    </row>
    <row r="290" spans="1:36" hidden="1" x14ac:dyDescent="0.3">
      <c r="A290" s="1">
        <v>2026</v>
      </c>
      <c r="B290" s="52">
        <v>46174</v>
      </c>
      <c r="C290" s="1" t="str">
        <f t="shared" si="127"/>
        <v>mar</v>
      </c>
      <c r="D290" s="5">
        <f t="shared" si="122"/>
        <v>46196</v>
      </c>
      <c r="E290" s="30">
        <v>228.96222855567362</v>
      </c>
      <c r="F290" s="14">
        <f>+'Mono SPOT MAT'!M290/'Fisico SPOT MAT'!M290/24</f>
        <v>190.90018128857028</v>
      </c>
      <c r="G290" s="13">
        <f t="shared" si="144"/>
        <v>17.600000000000001</v>
      </c>
      <c r="H290" s="12">
        <f>+'Mono ASIG'!AA290</f>
        <v>108.27351795108201</v>
      </c>
      <c r="I290" s="12">
        <f t="shared" si="134"/>
        <v>94.486665651066431</v>
      </c>
      <c r="J290" s="12">
        <f t="shared" si="145"/>
        <v>17.600000000000001</v>
      </c>
      <c r="K290" s="115">
        <f>+'Mono SPOT MAT'!T290</f>
        <v>70</v>
      </c>
      <c r="L290" s="86"/>
      <c r="M290" s="86"/>
      <c r="N290" s="107">
        <f>+'Mono SPOT MAT'!S290/'Fisico SPOT MAT'!S290/'Fisico SPOT MAT'!E290</f>
        <v>16.442500455542049</v>
      </c>
      <c r="O290" s="86"/>
      <c r="R290">
        <v>1.1000000000000001</v>
      </c>
      <c r="Y290" s="5">
        <f t="shared" si="72"/>
        <v>46196</v>
      </c>
      <c r="Z290" s="87">
        <f t="shared" si="146"/>
        <v>228.96222855567362</v>
      </c>
      <c r="AA290" s="87">
        <f t="shared" si="147"/>
        <v>176.55277562097388</v>
      </c>
      <c r="AB290" s="118">
        <v>14.347405667596419</v>
      </c>
      <c r="AC290" s="93"/>
      <c r="AD290" s="5"/>
      <c r="AE290" s="92"/>
      <c r="AF290" s="92"/>
      <c r="AG290" s="92"/>
      <c r="AH290" s="92"/>
      <c r="AI290" s="93"/>
      <c r="AJ290" s="93"/>
    </row>
    <row r="291" spans="1:36" hidden="1" x14ac:dyDescent="0.3">
      <c r="A291" s="1">
        <v>2026</v>
      </c>
      <c r="B291" s="52">
        <v>46174</v>
      </c>
      <c r="C291" s="1" t="str">
        <f t="shared" si="127"/>
        <v>mié</v>
      </c>
      <c r="D291" s="5">
        <f t="shared" si="122"/>
        <v>46197</v>
      </c>
      <c r="E291" s="30">
        <v>251.70282107624067</v>
      </c>
      <c r="F291" s="14">
        <f>+'Mono SPOT MAT'!M291/'Fisico SPOT MAT'!M291/24</f>
        <v>190.66982986314065</v>
      </c>
      <c r="G291" s="13">
        <f t="shared" si="144"/>
        <v>17.600000000000001</v>
      </c>
      <c r="H291" s="12">
        <f>+'Mono ASIG'!AA291</f>
        <v>100.94025489290196</v>
      </c>
      <c r="I291" s="12">
        <f t="shared" si="134"/>
        <v>87.15340259288638</v>
      </c>
      <c r="J291" s="12">
        <f t="shared" si="145"/>
        <v>17.600000000000001</v>
      </c>
      <c r="K291" s="115">
        <f>+'Mono SPOT MAT'!T291</f>
        <v>70</v>
      </c>
      <c r="L291" s="86"/>
      <c r="M291" s="86"/>
      <c r="N291" s="107">
        <f>+'Mono SPOT MAT'!S291/'Fisico SPOT MAT'!S291/'Fisico SPOT MAT'!E291</f>
        <v>16.417380310616153</v>
      </c>
      <c r="O291" s="86"/>
      <c r="R291">
        <v>1.1000000000000001</v>
      </c>
      <c r="Y291" s="5">
        <f t="shared" si="72"/>
        <v>46197</v>
      </c>
      <c r="Z291" s="87">
        <f t="shared" si="146"/>
        <v>251.70282107624067</v>
      </c>
      <c r="AA291" s="87">
        <f t="shared" si="147"/>
        <v>175.48403547931093</v>
      </c>
      <c r="AB291" s="118">
        <v>15.185794383829723</v>
      </c>
      <c r="AC291" s="93"/>
      <c r="AD291" s="5"/>
      <c r="AE291" s="92"/>
      <c r="AF291" s="92"/>
      <c r="AG291" s="92"/>
      <c r="AH291" s="92"/>
      <c r="AI291" s="93"/>
      <c r="AJ291" s="93"/>
    </row>
    <row r="292" spans="1:36" hidden="1" x14ac:dyDescent="0.3">
      <c r="A292" s="1">
        <v>2026</v>
      </c>
      <c r="B292" s="52">
        <v>46174</v>
      </c>
      <c r="C292" s="1" t="str">
        <f t="shared" si="127"/>
        <v>jue</v>
      </c>
      <c r="D292" s="5">
        <f t="shared" si="122"/>
        <v>46198</v>
      </c>
      <c r="E292" s="30">
        <v>238.05889934954621</v>
      </c>
      <c r="F292" s="14">
        <f>+'Mono SPOT MAT'!M292/'Fisico SPOT MAT'!M292/24</f>
        <v>179.87772215179245</v>
      </c>
      <c r="G292" s="13">
        <f t="shared" si="144"/>
        <v>17.600000000000001</v>
      </c>
      <c r="H292" s="12">
        <f>+'Mono ASIG'!AA292</f>
        <v>104.43192528324778</v>
      </c>
      <c r="I292" s="12">
        <f t="shared" si="134"/>
        <v>90.645072983232197</v>
      </c>
      <c r="J292" s="12">
        <f t="shared" si="145"/>
        <v>17.600000000000001</v>
      </c>
      <c r="K292" s="115">
        <f>+'Mono SPOT MAT'!T292</f>
        <v>70</v>
      </c>
      <c r="L292" s="86"/>
      <c r="M292" s="86"/>
      <c r="N292" s="107">
        <f>+'Mono SPOT MAT'!S292/'Fisico SPOT MAT'!S292/'Fisico SPOT MAT'!E292</f>
        <v>16.435837461048653</v>
      </c>
      <c r="O292" s="86"/>
      <c r="R292">
        <v>1.1000000000000001</v>
      </c>
      <c r="Y292" s="5">
        <f t="shared" si="72"/>
        <v>46198</v>
      </c>
      <c r="Z292" s="87">
        <f t="shared" si="146"/>
        <v>238.05889934954621</v>
      </c>
      <c r="AA292" s="87">
        <f t="shared" si="147"/>
        <v>165.54973232330622</v>
      </c>
      <c r="AB292" s="118">
        <v>14.327989828486245</v>
      </c>
      <c r="AC292" s="93"/>
      <c r="AD292" s="5"/>
      <c r="AE292" s="92"/>
      <c r="AF292" s="92"/>
      <c r="AG292" s="92"/>
      <c r="AH292" s="92"/>
      <c r="AI292" s="93"/>
      <c r="AJ292" s="93"/>
    </row>
    <row r="293" spans="1:36" hidden="1" x14ac:dyDescent="0.3">
      <c r="A293" s="1">
        <v>2026</v>
      </c>
      <c r="B293" s="52">
        <v>46174</v>
      </c>
      <c r="C293" s="1" t="str">
        <f t="shared" si="127"/>
        <v>vie</v>
      </c>
      <c r="D293" s="5">
        <f t="shared" si="122"/>
        <v>46199</v>
      </c>
      <c r="E293" s="30">
        <v>224.95640958897232</v>
      </c>
      <c r="F293" s="14">
        <f>+'Mono SPOT MAT'!M293/'Fisico SPOT MAT'!M293/24</f>
        <v>184.87708430343449</v>
      </c>
      <c r="G293" s="13">
        <f t="shared" si="144"/>
        <v>17.600000000000001</v>
      </c>
      <c r="H293" s="12">
        <f>+'Mono ASIG'!AA293</f>
        <v>102.19720964114003</v>
      </c>
      <c r="I293" s="12">
        <f t="shared" si="134"/>
        <v>88.410357341124453</v>
      </c>
      <c r="J293" s="12">
        <f t="shared" si="145"/>
        <v>17.600000000000001</v>
      </c>
      <c r="K293" s="115">
        <f>+'Mono SPOT MAT'!T293</f>
        <v>70</v>
      </c>
      <c r="L293" s="86"/>
      <c r="M293" s="86"/>
      <c r="N293" s="107">
        <f>+'Mono SPOT MAT'!S293/'Fisico SPOT MAT'!S293/'Fisico SPOT MAT'!E293</f>
        <v>16.434941357647563</v>
      </c>
      <c r="O293" s="86"/>
      <c r="R293">
        <v>1.1000000000000001</v>
      </c>
      <c r="Y293" s="5">
        <f t="shared" si="72"/>
        <v>46199</v>
      </c>
      <c r="Z293" s="87">
        <f t="shared" si="146"/>
        <v>224.95640958897232</v>
      </c>
      <c r="AA293" s="87">
        <f t="shared" si="147"/>
        <v>172.4805376238385</v>
      </c>
      <c r="AB293" s="118">
        <v>12.396546679595998</v>
      </c>
      <c r="AC293" s="93"/>
      <c r="AD293" s="5"/>
      <c r="AE293" s="92"/>
      <c r="AF293" s="92"/>
      <c r="AG293" s="92"/>
      <c r="AH293" s="92"/>
      <c r="AI293" s="93"/>
      <c r="AJ293" s="93"/>
    </row>
    <row r="294" spans="1:36" hidden="1" x14ac:dyDescent="0.3">
      <c r="A294" s="1">
        <v>2026</v>
      </c>
      <c r="B294" s="52">
        <v>46174</v>
      </c>
      <c r="C294" s="1" t="str">
        <f t="shared" si="127"/>
        <v>sáb</v>
      </c>
      <c r="D294" s="5">
        <f t="shared" si="122"/>
        <v>46200</v>
      </c>
      <c r="E294" s="30">
        <v>194.53311917106453</v>
      </c>
      <c r="F294" s="14">
        <f>+'Mono SPOT MAT'!M294/'Fisico SPOT MAT'!M294/24</f>
        <v>181.16363584671365</v>
      </c>
      <c r="G294" s="13">
        <f t="shared" si="144"/>
        <v>17.600000000000001</v>
      </c>
      <c r="H294" s="12">
        <f>+'Mono ASIG'!AA294</f>
        <v>97.575015531209999</v>
      </c>
      <c r="I294" s="12">
        <f t="shared" si="134"/>
        <v>83.788163231194417</v>
      </c>
      <c r="J294" s="12">
        <f t="shared" si="145"/>
        <v>17.600000000000001</v>
      </c>
      <c r="K294" s="115">
        <f>+'Mono SPOT MAT'!T294</f>
        <v>70</v>
      </c>
      <c r="L294" s="86"/>
      <c r="M294" s="86"/>
      <c r="N294" s="107">
        <f>+'Mono SPOT MAT'!S294/'Fisico SPOT MAT'!S294/'Fisico SPOT MAT'!E294</f>
        <v>16.439035634925563</v>
      </c>
      <c r="O294" s="86"/>
      <c r="R294">
        <v>1.1000000000000001</v>
      </c>
      <c r="Y294" s="5">
        <f t="shared" si="72"/>
        <v>46200</v>
      </c>
      <c r="Z294" s="87">
        <f t="shared" si="146"/>
        <v>194.53311917106453</v>
      </c>
      <c r="AA294" s="87">
        <f t="shared" si="147"/>
        <v>172.48526429737231</v>
      </c>
      <c r="AB294" s="118">
        <v>8.6783715493413442</v>
      </c>
      <c r="AC294" s="93"/>
      <c r="AD294" s="5"/>
      <c r="AE294" s="92"/>
      <c r="AF294" s="92"/>
      <c r="AG294" s="92"/>
      <c r="AH294" s="92"/>
      <c r="AI294" s="93"/>
      <c r="AJ294" s="93"/>
    </row>
    <row r="295" spans="1:36" hidden="1" x14ac:dyDescent="0.3">
      <c r="A295" s="1">
        <v>2026</v>
      </c>
      <c r="B295" s="52">
        <v>46174</v>
      </c>
      <c r="C295" s="1" t="str">
        <f t="shared" si="127"/>
        <v>dom</v>
      </c>
      <c r="D295" s="5">
        <f t="shared" si="122"/>
        <v>46201</v>
      </c>
      <c r="E295" s="30">
        <v>129.8859804996587</v>
      </c>
      <c r="F295" s="14">
        <f>+'Mono SPOT MAT'!M295/'Fisico SPOT MAT'!M295/24</f>
        <v>171.53002711938447</v>
      </c>
      <c r="G295" s="13">
        <f t="shared" ref="G295:G296" si="148">16*R295</f>
        <v>17.600000000000001</v>
      </c>
      <c r="H295" s="12">
        <f>+'Mono ASIG'!AA295</f>
        <v>94.292750993925139</v>
      </c>
      <c r="I295" s="12">
        <f t="shared" si="134"/>
        <v>80.505898693909558</v>
      </c>
      <c r="J295" s="12">
        <f t="shared" ref="J295:J296" si="149">16*R295</f>
        <v>17.600000000000001</v>
      </c>
      <c r="K295" s="115">
        <f>+'Mono SPOT MAT'!T295</f>
        <v>70</v>
      </c>
      <c r="L295" s="86"/>
      <c r="M295" s="86"/>
      <c r="N295" s="107">
        <f>+'Mono SPOT MAT'!S295/'Fisico SPOT MAT'!S295/'Fisico SPOT MAT'!E295</f>
        <v>16.383840753447256</v>
      </c>
      <c r="O295" s="86"/>
      <c r="R295">
        <v>1.1000000000000001</v>
      </c>
      <c r="Y295" s="5">
        <f t="shared" si="72"/>
        <v>46201</v>
      </c>
      <c r="Z295" s="87">
        <f t="shared" ref="Z295:Z296" si="150">+E295</f>
        <v>129.8859804996587</v>
      </c>
      <c r="AA295" s="87">
        <f t="shared" ref="AA295:AA296" si="151">+F295-AB295</f>
        <v>167.11350241057232</v>
      </c>
      <c r="AB295" s="118">
        <v>4.4165247088121413</v>
      </c>
      <c r="AC295" s="93"/>
      <c r="AD295" s="5"/>
      <c r="AE295" s="92"/>
      <c r="AF295" s="92"/>
      <c r="AG295" s="92"/>
      <c r="AH295" s="92"/>
      <c r="AI295" s="93"/>
      <c r="AJ295" s="93"/>
    </row>
    <row r="296" spans="1:36" hidden="1" x14ac:dyDescent="0.3">
      <c r="A296" s="1">
        <v>2026</v>
      </c>
      <c r="B296" s="52">
        <v>46174</v>
      </c>
      <c r="C296" s="1" t="str">
        <f t="shared" si="127"/>
        <v>lun</v>
      </c>
      <c r="D296" s="5">
        <f t="shared" si="122"/>
        <v>46202</v>
      </c>
      <c r="E296" s="30">
        <v>172.19880537751607</v>
      </c>
      <c r="F296" s="14">
        <f>+'Mono SPOT MAT'!M296/'Fisico SPOT MAT'!M296/24</f>
        <v>158.87885049100686</v>
      </c>
      <c r="G296" s="13">
        <f t="shared" si="148"/>
        <v>17.600000000000001</v>
      </c>
      <c r="H296" s="12">
        <f>+'Mono ASIG'!AA296</f>
        <v>89.884954188651179</v>
      </c>
      <c r="I296" s="12">
        <f t="shared" si="134"/>
        <v>76.098101888635597</v>
      </c>
      <c r="J296" s="12">
        <f t="shared" si="149"/>
        <v>17.600000000000001</v>
      </c>
      <c r="K296" s="115">
        <f>+'Mono SPOT MAT'!T296</f>
        <v>70</v>
      </c>
      <c r="L296" s="86"/>
      <c r="M296" s="86"/>
      <c r="N296" s="107">
        <f>+'Mono SPOT MAT'!S296/'Fisico SPOT MAT'!S296/'Fisico SPOT MAT'!E296</f>
        <v>16.462662820111849</v>
      </c>
      <c r="O296" s="86"/>
      <c r="R296">
        <v>1.1000000000000001</v>
      </c>
      <c r="Y296" s="5">
        <f t="shared" si="72"/>
        <v>46202</v>
      </c>
      <c r="Z296" s="87">
        <f t="shared" si="150"/>
        <v>172.19880537751607</v>
      </c>
      <c r="AA296" s="87">
        <f t="shared" si="151"/>
        <v>149.57517274436321</v>
      </c>
      <c r="AB296" s="118">
        <v>9.3036777466436433</v>
      </c>
      <c r="AC296" s="93"/>
      <c r="AD296" s="5"/>
      <c r="AE296" s="92"/>
      <c r="AF296" s="92"/>
      <c r="AG296" s="92"/>
      <c r="AH296" s="92"/>
      <c r="AI296" s="93"/>
      <c r="AJ296" s="93"/>
    </row>
    <row r="297" spans="1:36" hidden="1" x14ac:dyDescent="0.3">
      <c r="A297" s="1">
        <v>2026</v>
      </c>
      <c r="B297" s="52">
        <v>46174</v>
      </c>
      <c r="C297" s="1" t="str">
        <f t="shared" si="127"/>
        <v>mar</v>
      </c>
      <c r="D297" s="5">
        <f t="shared" si="122"/>
        <v>46203</v>
      </c>
      <c r="E297" s="30">
        <v>141.89471375005496</v>
      </c>
      <c r="F297" s="14">
        <f>+'Mono SPOT MAT'!M297/'Fisico SPOT MAT'!M297/24</f>
        <v>144.29918804228006</v>
      </c>
      <c r="G297" s="13">
        <f t="shared" ref="G297" si="152">16*R297</f>
        <v>17.600000000000001</v>
      </c>
      <c r="H297" s="12">
        <f>+'Mono ASIG'!AA297</f>
        <v>90.030049134778167</v>
      </c>
      <c r="I297" s="12">
        <f>+H297-J297*$P$15/$Q$15/$W$15</f>
        <v>76.243196834762585</v>
      </c>
      <c r="J297" s="12">
        <f t="shared" ref="J297" si="153">16*R297</f>
        <v>17.600000000000001</v>
      </c>
      <c r="K297" s="115">
        <f>+'Mono SPOT MAT'!T297</f>
        <v>70</v>
      </c>
      <c r="L297" s="86"/>
      <c r="M297" s="86"/>
      <c r="N297" s="107">
        <f>+'Mono SPOT MAT'!S297/'Fisico SPOT MAT'!S297/'Fisico SPOT MAT'!E297</f>
        <v>16.453909836881351</v>
      </c>
      <c r="O297" s="86"/>
      <c r="R297">
        <v>1.1000000000000001</v>
      </c>
      <c r="Y297" s="5">
        <f t="shared" si="72"/>
        <v>46203</v>
      </c>
      <c r="Z297" s="87">
        <f t="shared" ref="Z297:Z301" si="154">+E297</f>
        <v>141.89471375005496</v>
      </c>
      <c r="AA297" s="87">
        <f t="shared" ref="AA297:AA301" si="155">+F297-AB297</f>
        <v>138.55680843111148</v>
      </c>
      <c r="AB297" s="118">
        <v>5.7423796111685856</v>
      </c>
      <c r="AC297" s="93"/>
      <c r="AD297" s="5"/>
      <c r="AE297" s="92"/>
      <c r="AF297" s="92"/>
      <c r="AG297" s="92"/>
      <c r="AH297" s="92"/>
      <c r="AI297" s="93"/>
      <c r="AJ297" s="93"/>
    </row>
    <row r="298" spans="1:36" hidden="1" x14ac:dyDescent="0.3">
      <c r="A298" s="1">
        <v>2026</v>
      </c>
      <c r="B298" s="52">
        <v>46204</v>
      </c>
      <c r="C298" s="1" t="str">
        <f t="shared" si="127"/>
        <v>mié</v>
      </c>
      <c r="D298" s="5">
        <f t="shared" si="122"/>
        <v>46204</v>
      </c>
      <c r="E298" s="30">
        <v>190.35113479920832</v>
      </c>
      <c r="F298" s="14">
        <f>+'Mono SPOT MAT'!M298/'Fisico SPOT MAT'!M298/24</f>
        <v>164.02617143588552</v>
      </c>
      <c r="G298" s="13">
        <f t="shared" ref="G298:G301" si="156">16*R298</f>
        <v>17.600000000000001</v>
      </c>
      <c r="H298" s="12">
        <f>+'Mono ASIG'!AA298</f>
        <v>97.15498218050088</v>
      </c>
      <c r="I298" s="12">
        <f>+H298-J298*$P$16/$Q$16/$W$16</f>
        <v>83.017468988304927</v>
      </c>
      <c r="J298" s="12">
        <f t="shared" ref="J298:J301" si="157">16*R298</f>
        <v>17.600000000000001</v>
      </c>
      <c r="K298" s="115">
        <f>+'Mono SPOT MAT'!T298</f>
        <v>80</v>
      </c>
      <c r="L298" s="86"/>
      <c r="M298" s="86"/>
      <c r="N298" s="107">
        <f>+'Mono SPOT MAT'!S298/'Fisico SPOT MAT'!S298/'Fisico SPOT MAT'!E298</f>
        <v>16.283054435168026</v>
      </c>
      <c r="O298" s="86"/>
      <c r="R298">
        <v>1.1000000000000001</v>
      </c>
      <c r="Y298" s="5">
        <f t="shared" si="72"/>
        <v>46204</v>
      </c>
      <c r="Z298" s="87">
        <f t="shared" si="154"/>
        <v>190.35113479920832</v>
      </c>
      <c r="AA298" s="87">
        <f t="shared" si="155"/>
        <v>153.0048346837122</v>
      </c>
      <c r="AB298" s="118">
        <v>11.021336752173305</v>
      </c>
      <c r="AD298" s="5"/>
      <c r="AE298" s="92"/>
      <c r="AF298" s="92"/>
      <c r="AG298" s="92"/>
      <c r="AH298" s="92"/>
      <c r="AI298" s="93"/>
      <c r="AJ298" s="93"/>
    </row>
    <row r="299" spans="1:36" hidden="1" x14ac:dyDescent="0.3">
      <c r="A299" s="1">
        <v>2026</v>
      </c>
      <c r="B299" s="52">
        <v>46204</v>
      </c>
      <c r="C299" s="1" t="str">
        <f t="shared" si="127"/>
        <v>jue</v>
      </c>
      <c r="D299" s="5">
        <f t="shared" si="122"/>
        <v>46205</v>
      </c>
      <c r="E299" s="30">
        <v>207.66341546865442</v>
      </c>
      <c r="F299" s="14">
        <f>+'Mono SPOT MAT'!M299/'Fisico SPOT MAT'!M299/24</f>
        <v>176.14326871013006</v>
      </c>
      <c r="G299" s="13">
        <f t="shared" si="156"/>
        <v>17.600000000000001</v>
      </c>
      <c r="H299" s="12">
        <f>+'Mono ASIG'!AA299</f>
        <v>90.917739147020981</v>
      </c>
      <c r="I299" s="12">
        <f t="shared" ref="I299:I328" si="158">+H299-J299*$P$16/$Q$16/$W$16</f>
        <v>76.780225954825028</v>
      </c>
      <c r="J299" s="12">
        <f t="shared" si="157"/>
        <v>17.600000000000001</v>
      </c>
      <c r="K299" s="115">
        <f>+'Mono SPOT MAT'!T299</f>
        <v>80</v>
      </c>
      <c r="L299" s="86"/>
      <c r="M299" s="86"/>
      <c r="N299" s="107">
        <f>+'Mono SPOT MAT'!S299/'Fisico SPOT MAT'!S299/'Fisico SPOT MAT'!E299</f>
        <v>16.30833612683708</v>
      </c>
      <c r="O299" s="86"/>
      <c r="R299">
        <v>1.1000000000000001</v>
      </c>
      <c r="Y299" s="5">
        <f t="shared" si="72"/>
        <v>46205</v>
      </c>
      <c r="Z299" s="87">
        <f t="shared" si="154"/>
        <v>207.66341546865442</v>
      </c>
      <c r="AA299" s="87">
        <f t="shared" si="155"/>
        <v>161.76494583346513</v>
      </c>
      <c r="AB299" s="118">
        <v>14.378322876664928</v>
      </c>
      <c r="AD299" s="5"/>
      <c r="AE299" s="92"/>
      <c r="AF299" s="92"/>
      <c r="AG299" s="92"/>
      <c r="AH299" s="92"/>
      <c r="AI299" s="93"/>
      <c r="AJ299" s="93"/>
    </row>
    <row r="300" spans="1:36" hidden="1" x14ac:dyDescent="0.3">
      <c r="A300" s="1">
        <v>2026</v>
      </c>
      <c r="B300" s="52">
        <v>46204</v>
      </c>
      <c r="C300" s="1" t="str">
        <f t="shared" si="127"/>
        <v>vie</v>
      </c>
      <c r="D300" s="5">
        <f t="shared" si="122"/>
        <v>46206</v>
      </c>
      <c r="E300" s="30">
        <v>225.4028253638152</v>
      </c>
      <c r="F300" s="14">
        <f>+'Mono SPOT MAT'!M300/'Fisico SPOT MAT'!M300/24</f>
        <v>175.07949793160137</v>
      </c>
      <c r="G300" s="13">
        <f t="shared" si="156"/>
        <v>17.600000000000001</v>
      </c>
      <c r="H300" s="12">
        <f>+'Mono ASIG'!AA300</f>
        <v>95.01219100513886</v>
      </c>
      <c r="I300" s="12">
        <f t="shared" si="158"/>
        <v>80.874677812942906</v>
      </c>
      <c r="J300" s="12">
        <f t="shared" si="157"/>
        <v>17.600000000000001</v>
      </c>
      <c r="K300" s="115">
        <f>+'Mono SPOT MAT'!T300</f>
        <v>80</v>
      </c>
      <c r="L300" s="86"/>
      <c r="M300" s="86"/>
      <c r="N300" s="107">
        <f>+'Mono SPOT MAT'!S300/'Fisico SPOT MAT'!S300/'Fisico SPOT MAT'!E300</f>
        <v>16.312897396327994</v>
      </c>
      <c r="O300" s="86"/>
      <c r="R300">
        <v>1.1000000000000001</v>
      </c>
      <c r="Y300" s="5">
        <f t="shared" si="72"/>
        <v>46206</v>
      </c>
      <c r="Z300" s="87">
        <f t="shared" si="154"/>
        <v>225.4028253638152</v>
      </c>
      <c r="AA300" s="87">
        <f t="shared" si="155"/>
        <v>160.18620782761226</v>
      </c>
      <c r="AB300" s="118">
        <v>14.893290103989111</v>
      </c>
      <c r="AD300" s="5"/>
      <c r="AE300" s="92"/>
      <c r="AF300" s="92"/>
      <c r="AG300" s="92"/>
      <c r="AH300" s="92"/>
      <c r="AI300" s="93"/>
      <c r="AJ300" s="93"/>
    </row>
    <row r="301" spans="1:36" hidden="1" x14ac:dyDescent="0.3">
      <c r="A301" s="1">
        <v>2026</v>
      </c>
      <c r="B301" s="52">
        <v>46204</v>
      </c>
      <c r="C301" s="1" t="str">
        <f t="shared" si="127"/>
        <v>sáb</v>
      </c>
      <c r="D301" s="5">
        <f t="shared" si="122"/>
        <v>46207</v>
      </c>
      <c r="E301" s="30">
        <v>197.32038713860203</v>
      </c>
      <c r="F301" s="14">
        <f>+'Mono SPOT MAT'!M301/'Fisico SPOT MAT'!M301/24</f>
        <v>177.85687572764019</v>
      </c>
      <c r="G301" s="13">
        <f t="shared" si="156"/>
        <v>17.600000000000001</v>
      </c>
      <c r="H301" s="12">
        <f>+'Mono ASIG'!AA301</f>
        <v>89.098171903468042</v>
      </c>
      <c r="I301" s="12">
        <f t="shared" si="158"/>
        <v>74.960658711272089</v>
      </c>
      <c r="J301" s="12">
        <f t="shared" si="157"/>
        <v>17.600000000000001</v>
      </c>
      <c r="K301" s="115">
        <f>+'Mono SPOT MAT'!T301</f>
        <v>80</v>
      </c>
      <c r="L301" s="86"/>
      <c r="M301" s="86"/>
      <c r="N301" s="107">
        <f>+'Mono SPOT MAT'!S301/'Fisico SPOT MAT'!S301/'Fisico SPOT MAT'!E301</f>
        <v>16.284931041767027</v>
      </c>
      <c r="O301" s="86"/>
      <c r="R301">
        <v>1.1000000000000001</v>
      </c>
      <c r="Y301" s="5">
        <f t="shared" si="72"/>
        <v>46207</v>
      </c>
      <c r="Z301" s="87">
        <f t="shared" si="154"/>
        <v>197.32038713860203</v>
      </c>
      <c r="AA301" s="87">
        <f t="shared" si="155"/>
        <v>166.25919765268657</v>
      </c>
      <c r="AB301" s="118">
        <v>11.597678074953606</v>
      </c>
      <c r="AD301" s="5"/>
      <c r="AE301" s="92"/>
      <c r="AF301" s="92"/>
      <c r="AG301" s="92"/>
      <c r="AH301" s="92"/>
      <c r="AI301" s="93"/>
      <c r="AJ301" s="93"/>
    </row>
    <row r="302" spans="1:36" hidden="1" x14ac:dyDescent="0.3">
      <c r="A302" s="1">
        <v>2026</v>
      </c>
      <c r="B302" s="52">
        <v>46204</v>
      </c>
      <c r="C302" s="1" t="str">
        <f t="shared" si="127"/>
        <v>dom</v>
      </c>
      <c r="D302" s="5">
        <f t="shared" si="122"/>
        <v>46208</v>
      </c>
      <c r="E302" s="30">
        <v>200.96805299754763</v>
      </c>
      <c r="F302" s="14">
        <f>+'Mono SPOT MAT'!M302/'Fisico SPOT MAT'!M302/24</f>
        <v>175.79316306996978</v>
      </c>
      <c r="G302" s="13">
        <f t="shared" ref="G302:G308" si="159">16*R302</f>
        <v>17.600000000000001</v>
      </c>
      <c r="H302" s="12">
        <f>+'Mono ASIG'!AA302</f>
        <v>88.258026686862237</v>
      </c>
      <c r="I302" s="12">
        <f t="shared" si="158"/>
        <v>74.120513494666284</v>
      </c>
      <c r="J302" s="12">
        <f t="shared" ref="J302:J308" si="160">16*R302</f>
        <v>17.600000000000001</v>
      </c>
      <c r="K302" s="115">
        <f>+'Mono SPOT MAT'!T302</f>
        <v>80</v>
      </c>
      <c r="L302" s="86"/>
      <c r="M302" s="86"/>
      <c r="N302" s="107">
        <f>+'Mono SPOT MAT'!S302/'Fisico SPOT MAT'!S302/'Fisico SPOT MAT'!E302</f>
        <v>16.288088309585035</v>
      </c>
      <c r="O302" s="86"/>
      <c r="R302">
        <v>1.1000000000000001</v>
      </c>
      <c r="Y302" s="5">
        <f t="shared" si="72"/>
        <v>46208</v>
      </c>
      <c r="Z302" s="87">
        <f t="shared" ref="Z302:Z308" si="161">+E302</f>
        <v>200.96805299754763</v>
      </c>
      <c r="AA302" s="87">
        <f t="shared" ref="AA302:AA308" si="162">+F302-AB302</f>
        <v>164.05023198420142</v>
      </c>
      <c r="AB302" s="118">
        <v>11.742931085768372</v>
      </c>
      <c r="AD302" s="5"/>
      <c r="AE302" s="92"/>
      <c r="AF302" s="92"/>
      <c r="AG302" s="92"/>
      <c r="AH302" s="92"/>
      <c r="AI302" s="93"/>
      <c r="AJ302" s="93"/>
    </row>
    <row r="303" spans="1:36" hidden="1" x14ac:dyDescent="0.3">
      <c r="A303" s="1">
        <v>2026</v>
      </c>
      <c r="B303" s="52">
        <v>46204</v>
      </c>
      <c r="C303" s="1" t="str">
        <f t="shared" si="127"/>
        <v>lun</v>
      </c>
      <c r="D303" s="5">
        <f t="shared" si="122"/>
        <v>46209</v>
      </c>
      <c r="E303" s="30">
        <v>190.08877106234726</v>
      </c>
      <c r="F303" s="14">
        <f>+'Mono SPOT MAT'!M303/'Fisico SPOT MAT'!M303/24</f>
        <v>174.66811267919402</v>
      </c>
      <c r="G303" s="13">
        <f t="shared" si="159"/>
        <v>17.600000000000001</v>
      </c>
      <c r="H303" s="12">
        <f>+'Mono ASIG'!AA303</f>
        <v>92.396805501948904</v>
      </c>
      <c r="I303" s="12">
        <f t="shared" si="158"/>
        <v>78.259292309752965</v>
      </c>
      <c r="J303" s="12">
        <f t="shared" si="160"/>
        <v>17.600000000000001</v>
      </c>
      <c r="K303" s="115">
        <f>+'Mono SPOT MAT'!T303</f>
        <v>80</v>
      </c>
      <c r="L303" s="86"/>
      <c r="M303" s="86"/>
      <c r="N303" s="107">
        <f>+'Mono SPOT MAT'!S303/'Fisico SPOT MAT'!S303/'Fisico SPOT MAT'!E303</f>
        <v>16.312822102681029</v>
      </c>
      <c r="O303" s="86"/>
      <c r="R303">
        <v>1.1000000000000001</v>
      </c>
      <c r="Y303" s="5">
        <f t="shared" si="72"/>
        <v>46209</v>
      </c>
      <c r="Z303" s="87">
        <f t="shared" si="161"/>
        <v>190.08877106234726</v>
      </c>
      <c r="AA303" s="87">
        <f t="shared" si="162"/>
        <v>163.96397524407857</v>
      </c>
      <c r="AB303" s="118">
        <v>10.704137435115463</v>
      </c>
      <c r="AD303" s="5"/>
      <c r="AE303" s="92"/>
      <c r="AF303" s="92"/>
      <c r="AG303" s="92"/>
      <c r="AH303" s="92"/>
      <c r="AI303" s="93"/>
      <c r="AJ303" s="93"/>
    </row>
    <row r="304" spans="1:36" hidden="1" x14ac:dyDescent="0.3">
      <c r="A304" s="1">
        <v>2026</v>
      </c>
      <c r="B304" s="52">
        <v>46204</v>
      </c>
      <c r="C304" s="1" t="str">
        <f t="shared" si="127"/>
        <v>mar</v>
      </c>
      <c r="D304" s="5">
        <f t="shared" si="122"/>
        <v>46210</v>
      </c>
      <c r="E304" s="30">
        <v>141.38239440653808</v>
      </c>
      <c r="F304" s="14">
        <f>+'Mono SPOT MAT'!M304/'Fisico SPOT MAT'!M304/24</f>
        <v>175.01621799992594</v>
      </c>
      <c r="G304" s="13">
        <f t="shared" si="159"/>
        <v>17.600000000000001</v>
      </c>
      <c r="H304" s="12">
        <f>+'Mono ASIG'!AA304</f>
        <v>86.79436323206302</v>
      </c>
      <c r="I304" s="12">
        <f t="shared" si="158"/>
        <v>72.656850039867066</v>
      </c>
      <c r="J304" s="12">
        <f t="shared" si="160"/>
        <v>17.600000000000001</v>
      </c>
      <c r="K304" s="115">
        <f>+'Mono SPOT MAT'!T304</f>
        <v>80</v>
      </c>
      <c r="L304" s="86"/>
      <c r="M304" s="86"/>
      <c r="N304" s="107">
        <f>+'Mono SPOT MAT'!S304/'Fisico SPOT MAT'!S304/'Fisico SPOT MAT'!E304</f>
        <v>16.303798100009917</v>
      </c>
      <c r="O304" s="86"/>
      <c r="R304">
        <v>1.1000000000000001</v>
      </c>
      <c r="Y304" s="5">
        <f t="shared" si="72"/>
        <v>46210</v>
      </c>
      <c r="Z304" s="87">
        <f t="shared" si="161"/>
        <v>141.38239440653808</v>
      </c>
      <c r="AA304" s="87">
        <f t="shared" si="162"/>
        <v>168.11479725319191</v>
      </c>
      <c r="AB304" s="118">
        <v>6.9014207467340283</v>
      </c>
      <c r="AD304" s="5"/>
      <c r="AE304" s="92"/>
      <c r="AF304" s="92"/>
      <c r="AG304" s="92"/>
      <c r="AH304" s="92"/>
      <c r="AI304" s="93"/>
      <c r="AJ304" s="93"/>
    </row>
    <row r="305" spans="1:36" hidden="1" x14ac:dyDescent="0.3">
      <c r="A305" s="1">
        <v>2026</v>
      </c>
      <c r="B305" s="52">
        <v>46204</v>
      </c>
      <c r="C305" s="1" t="str">
        <f t="shared" si="127"/>
        <v>mié</v>
      </c>
      <c r="D305" s="5">
        <f t="shared" si="122"/>
        <v>46211</v>
      </c>
      <c r="E305" s="30">
        <v>172.46489381738056</v>
      </c>
      <c r="F305" s="14">
        <f>+'Mono SPOT MAT'!M305/'Fisico SPOT MAT'!M305/24</f>
        <v>172.05898487549928</v>
      </c>
      <c r="G305" s="13">
        <f t="shared" si="159"/>
        <v>17.600000000000001</v>
      </c>
      <c r="H305" s="12">
        <f>+'Mono ASIG'!AA305</f>
        <v>84.216662853378153</v>
      </c>
      <c r="I305" s="12">
        <f t="shared" si="158"/>
        <v>70.079149661182214</v>
      </c>
      <c r="J305" s="12">
        <f t="shared" si="160"/>
        <v>17.600000000000001</v>
      </c>
      <c r="K305" s="115">
        <f>+'Mono SPOT MAT'!T305</f>
        <v>80</v>
      </c>
      <c r="L305" s="86"/>
      <c r="M305" s="86"/>
      <c r="N305" s="107">
        <f>+'Mono SPOT MAT'!S305/'Fisico SPOT MAT'!S305/'Fisico SPOT MAT'!E305</f>
        <v>16.307272446665767</v>
      </c>
      <c r="O305" s="86"/>
      <c r="R305">
        <v>1.1000000000000001</v>
      </c>
      <c r="Y305" s="5">
        <f t="shared" si="72"/>
        <v>46211</v>
      </c>
      <c r="Z305" s="87">
        <f t="shared" si="161"/>
        <v>172.46489381738056</v>
      </c>
      <c r="AA305" s="87">
        <f t="shared" si="162"/>
        <v>162.46469707176036</v>
      </c>
      <c r="AB305" s="118">
        <v>9.5942878037389256</v>
      </c>
      <c r="AD305" s="5"/>
      <c r="AE305" s="92"/>
      <c r="AF305" s="92"/>
      <c r="AG305" s="92"/>
      <c r="AH305" s="92"/>
      <c r="AI305" s="93"/>
      <c r="AJ305" s="93"/>
    </row>
    <row r="306" spans="1:36" hidden="1" x14ac:dyDescent="0.3">
      <c r="A306" s="1">
        <v>2026</v>
      </c>
      <c r="B306" s="52">
        <v>46204</v>
      </c>
      <c r="C306" s="1" t="str">
        <f t="shared" si="127"/>
        <v>jue</v>
      </c>
      <c r="D306" s="5">
        <f t="shared" si="122"/>
        <v>46212</v>
      </c>
      <c r="E306" s="30">
        <v>146.14778487957167</v>
      </c>
      <c r="F306" s="14">
        <f>+'Mono SPOT MAT'!M306/'Fisico SPOT MAT'!M306/24</f>
        <v>143.37030535337331</v>
      </c>
      <c r="G306" s="13">
        <f t="shared" si="159"/>
        <v>17.600000000000001</v>
      </c>
      <c r="H306" s="12">
        <f>+'Mono ASIG'!AA306</f>
        <v>72.580371277538191</v>
      </c>
      <c r="I306" s="12">
        <f t="shared" si="158"/>
        <v>58.442858085342245</v>
      </c>
      <c r="J306" s="12">
        <f t="shared" si="160"/>
        <v>17.600000000000001</v>
      </c>
      <c r="K306" s="115">
        <f>+'Mono SPOT MAT'!T306</f>
        <v>80</v>
      </c>
      <c r="L306" s="86"/>
      <c r="M306" s="86"/>
      <c r="N306" s="107">
        <f>+'Mono SPOT MAT'!S306/'Fisico SPOT MAT'!S306/'Fisico SPOT MAT'!E306</f>
        <v>16.302921553206289</v>
      </c>
      <c r="O306" s="86"/>
      <c r="R306">
        <v>1.1000000000000001</v>
      </c>
      <c r="Y306" s="5">
        <f t="shared" si="72"/>
        <v>46212</v>
      </c>
      <c r="Z306" s="87">
        <f t="shared" si="161"/>
        <v>146.14778487957167</v>
      </c>
      <c r="AA306" s="87">
        <f t="shared" si="162"/>
        <v>136.24287126415916</v>
      </c>
      <c r="AB306" s="118">
        <v>7.1274340892141552</v>
      </c>
      <c r="AD306" s="5"/>
      <c r="AE306" s="92"/>
      <c r="AF306" s="92"/>
      <c r="AG306" s="92"/>
      <c r="AH306" s="92"/>
      <c r="AI306" s="93"/>
      <c r="AJ306" s="93"/>
    </row>
    <row r="307" spans="1:36" hidden="1" x14ac:dyDescent="0.3">
      <c r="A307" s="1">
        <v>2026</v>
      </c>
      <c r="B307" s="52">
        <v>46204</v>
      </c>
      <c r="C307" s="1" t="str">
        <f t="shared" si="127"/>
        <v>vie</v>
      </c>
      <c r="D307" s="5">
        <f t="shared" si="122"/>
        <v>46213</v>
      </c>
      <c r="E307" s="30">
        <v>153.49193035882024</v>
      </c>
      <c r="F307" s="14">
        <f>+'Mono SPOT MAT'!M307/'Fisico SPOT MAT'!M307/24</f>
        <v>137.34737792480274</v>
      </c>
      <c r="G307" s="13">
        <f t="shared" si="159"/>
        <v>17.600000000000001</v>
      </c>
      <c r="H307" s="12">
        <f>+'Mono ASIG'!AA307</f>
        <v>72.956966697203015</v>
      </c>
      <c r="I307" s="12">
        <f t="shared" si="158"/>
        <v>58.819453505007068</v>
      </c>
      <c r="J307" s="12">
        <f t="shared" si="160"/>
        <v>17.600000000000001</v>
      </c>
      <c r="K307" s="115">
        <f>+'Mono SPOT MAT'!T307</f>
        <v>80</v>
      </c>
      <c r="L307" s="86"/>
      <c r="M307" s="86"/>
      <c r="N307" s="107">
        <f>+'Mono SPOT MAT'!S307/'Fisico SPOT MAT'!S307/'Fisico SPOT MAT'!E307</f>
        <v>16.320229014243928</v>
      </c>
      <c r="O307" s="86"/>
      <c r="R307">
        <v>1.1000000000000001</v>
      </c>
      <c r="Y307" s="5">
        <f t="shared" si="72"/>
        <v>46213</v>
      </c>
      <c r="Z307" s="87">
        <f t="shared" si="161"/>
        <v>153.49193035882024</v>
      </c>
      <c r="AA307" s="87">
        <f t="shared" si="162"/>
        <v>128.71862008113226</v>
      </c>
      <c r="AB307" s="118">
        <v>8.6287578436704759</v>
      </c>
      <c r="AD307" s="5"/>
      <c r="AE307" s="92"/>
      <c r="AF307" s="92"/>
      <c r="AG307" s="92"/>
      <c r="AH307" s="92"/>
      <c r="AI307" s="93"/>
      <c r="AJ307" s="93"/>
    </row>
    <row r="308" spans="1:36" hidden="1" x14ac:dyDescent="0.3">
      <c r="A308" s="1">
        <v>2026</v>
      </c>
      <c r="B308" s="52">
        <v>46204</v>
      </c>
      <c r="C308" s="1" t="str">
        <f t="shared" si="127"/>
        <v>sáb</v>
      </c>
      <c r="D308" s="5">
        <f t="shared" si="122"/>
        <v>46214</v>
      </c>
      <c r="E308" s="30">
        <v>182.61836620409704</v>
      </c>
      <c r="F308" s="14">
        <f>+'Mono SPOT MAT'!M308/'Fisico SPOT MAT'!M308/24</f>
        <v>142.56946348999284</v>
      </c>
      <c r="G308" s="13">
        <f t="shared" si="159"/>
        <v>17.600000000000001</v>
      </c>
      <c r="H308" s="12">
        <f>+'Mono ASIG'!AA308</f>
        <v>74.602882922595086</v>
      </c>
      <c r="I308" s="12">
        <f t="shared" si="158"/>
        <v>60.465369730399139</v>
      </c>
      <c r="J308" s="12">
        <f t="shared" si="160"/>
        <v>17.600000000000001</v>
      </c>
      <c r="K308" s="115">
        <f>+'Mono SPOT MAT'!T308</f>
        <v>80</v>
      </c>
      <c r="L308" s="86"/>
      <c r="M308" s="86"/>
      <c r="N308" s="107">
        <f>+'Mono SPOT MAT'!S308/'Fisico SPOT MAT'!S308/'Fisico SPOT MAT'!E308</f>
        <v>16.310919307973858</v>
      </c>
      <c r="O308" s="86"/>
      <c r="R308">
        <v>1.1000000000000001</v>
      </c>
      <c r="Y308" s="5">
        <f t="shared" si="72"/>
        <v>46214</v>
      </c>
      <c r="Z308" s="87">
        <f t="shared" si="161"/>
        <v>182.61836620409704</v>
      </c>
      <c r="AA308" s="87">
        <f t="shared" si="162"/>
        <v>132.34004813839735</v>
      </c>
      <c r="AB308" s="118">
        <v>10.229415351595481</v>
      </c>
      <c r="AD308" s="5"/>
      <c r="AE308" s="92"/>
      <c r="AF308" s="92"/>
      <c r="AG308" s="92"/>
      <c r="AH308" s="92"/>
      <c r="AI308" s="93"/>
      <c r="AJ308" s="93"/>
    </row>
    <row r="309" spans="1:36" hidden="1" x14ac:dyDescent="0.3">
      <c r="A309" s="1">
        <v>2026</v>
      </c>
      <c r="B309" s="52">
        <v>46204</v>
      </c>
      <c r="C309" s="1" t="str">
        <f t="shared" si="127"/>
        <v>dom</v>
      </c>
      <c r="D309" s="5">
        <f t="shared" si="122"/>
        <v>46215</v>
      </c>
      <c r="E309" s="30">
        <v>170.97128023723025</v>
      </c>
      <c r="F309" s="14">
        <f>+'Mono SPOT MAT'!M309/'Fisico SPOT MAT'!M309/24</f>
        <v>147.58421851994888</v>
      </c>
      <c r="G309" s="13">
        <f t="shared" ref="G309:G315" si="163">16*R309</f>
        <v>17.600000000000001</v>
      </c>
      <c r="H309" s="12">
        <f>+'Mono ASIG'!AA309</f>
        <v>86.316243220249248</v>
      </c>
      <c r="I309" s="12">
        <f t="shared" si="158"/>
        <v>72.178730028053309</v>
      </c>
      <c r="J309" s="12">
        <f t="shared" ref="J309:J315" si="164">16*R309</f>
        <v>17.600000000000001</v>
      </c>
      <c r="K309" s="115">
        <f>+'Mono SPOT MAT'!T309</f>
        <v>80</v>
      </c>
      <c r="L309" s="86"/>
      <c r="M309" s="86"/>
      <c r="N309" s="107">
        <f>+'Mono SPOT MAT'!S309/'Fisico SPOT MAT'!S309/'Fisico SPOT MAT'!E309</f>
        <v>16.3038192520882</v>
      </c>
      <c r="O309" s="86"/>
      <c r="R309">
        <v>1.1000000000000001</v>
      </c>
      <c r="Y309" s="5">
        <f t="shared" si="72"/>
        <v>46215</v>
      </c>
      <c r="Z309" s="87">
        <f t="shared" ref="Z309:Z315" si="165">+E309</f>
        <v>170.97128023723025</v>
      </c>
      <c r="AA309" s="87">
        <f t="shared" ref="AA309:AA315" si="166">+F309-AB309</f>
        <v>138.55072708322973</v>
      </c>
      <c r="AB309" s="118">
        <v>9.0334914367191512</v>
      </c>
      <c r="AD309" s="5"/>
      <c r="AE309" s="92"/>
      <c r="AF309" s="92"/>
      <c r="AG309" s="92"/>
      <c r="AH309" s="92"/>
      <c r="AI309" s="93"/>
      <c r="AJ309" s="93"/>
    </row>
    <row r="310" spans="1:36" hidden="1" x14ac:dyDescent="0.3">
      <c r="A310" s="1">
        <v>2026</v>
      </c>
      <c r="B310" s="52">
        <v>46204</v>
      </c>
      <c r="C310" s="1" t="str">
        <f t="shared" si="127"/>
        <v>lun</v>
      </c>
      <c r="D310" s="5">
        <f t="shared" si="122"/>
        <v>46216</v>
      </c>
      <c r="E310" s="30">
        <v>202.63899315000174</v>
      </c>
      <c r="F310" s="14">
        <f>+'Mono SPOT MAT'!M310/'Fisico SPOT MAT'!M310/24</f>
        <v>155.65805272328805</v>
      </c>
      <c r="G310" s="13">
        <f t="shared" si="163"/>
        <v>17.600000000000001</v>
      </c>
      <c r="H310" s="12">
        <f>+'Mono ASIG'!AA310</f>
        <v>82.56591622283652</v>
      </c>
      <c r="I310" s="12">
        <f t="shared" si="158"/>
        <v>68.428403030640567</v>
      </c>
      <c r="J310" s="12">
        <f t="shared" si="164"/>
        <v>17.600000000000001</v>
      </c>
      <c r="K310" s="115">
        <f>+'Mono SPOT MAT'!T310</f>
        <v>80</v>
      </c>
      <c r="L310" s="86"/>
      <c r="M310" s="86"/>
      <c r="N310" s="107">
        <f>+'Mono SPOT MAT'!S310/'Fisico SPOT MAT'!S310/'Fisico SPOT MAT'!E310</f>
        <v>16.310670412038704</v>
      </c>
      <c r="O310" s="86"/>
      <c r="R310">
        <v>1.1000000000000001</v>
      </c>
      <c r="Y310" s="5">
        <f t="shared" si="72"/>
        <v>46216</v>
      </c>
      <c r="Z310" s="87">
        <f t="shared" si="165"/>
        <v>202.63899315000174</v>
      </c>
      <c r="AA310" s="87">
        <f t="shared" si="166"/>
        <v>142.86408245852223</v>
      </c>
      <c r="AB310" s="118">
        <v>12.793970264765822</v>
      </c>
      <c r="AD310" s="5"/>
      <c r="AE310" s="92"/>
      <c r="AF310" s="92"/>
      <c r="AG310" s="92"/>
      <c r="AH310" s="92"/>
      <c r="AI310" s="93"/>
      <c r="AJ310" s="93"/>
    </row>
    <row r="311" spans="1:36" hidden="1" x14ac:dyDescent="0.3">
      <c r="A311" s="1">
        <v>2026</v>
      </c>
      <c r="B311" s="52">
        <v>46204</v>
      </c>
      <c r="C311" s="1" t="str">
        <f t="shared" si="127"/>
        <v>mar</v>
      </c>
      <c r="D311" s="5">
        <f t="shared" si="122"/>
        <v>46217</v>
      </c>
      <c r="E311" s="30">
        <v>178.40911878321714</v>
      </c>
      <c r="F311" s="14">
        <f>+'Mono SPOT MAT'!M311/'Fisico SPOT MAT'!M311/24</f>
        <v>161.26625212995557</v>
      </c>
      <c r="G311" s="13">
        <f t="shared" si="163"/>
        <v>17.600000000000001</v>
      </c>
      <c r="H311" s="12">
        <f>+'Mono ASIG'!AA311</f>
        <v>79.44539078505386</v>
      </c>
      <c r="I311" s="12">
        <f t="shared" si="158"/>
        <v>65.30787759285792</v>
      </c>
      <c r="J311" s="12">
        <f t="shared" si="164"/>
        <v>17.600000000000001</v>
      </c>
      <c r="K311" s="115">
        <f>+'Mono SPOT MAT'!T311</f>
        <v>80</v>
      </c>
      <c r="L311" s="86"/>
      <c r="M311" s="86"/>
      <c r="N311" s="107">
        <f>+'Mono SPOT MAT'!S311/'Fisico SPOT MAT'!S311/'Fisico SPOT MAT'!E311</f>
        <v>16.306590144332944</v>
      </c>
      <c r="O311" s="86"/>
      <c r="R311">
        <v>1.1000000000000001</v>
      </c>
      <c r="Y311" s="5">
        <f t="shared" si="72"/>
        <v>46217</v>
      </c>
      <c r="Z311" s="87">
        <f t="shared" si="165"/>
        <v>178.40911878321714</v>
      </c>
      <c r="AA311" s="87">
        <f t="shared" si="166"/>
        <v>152.25790072167268</v>
      </c>
      <c r="AB311" s="118">
        <v>9.0083514082828984</v>
      </c>
      <c r="AD311" s="5"/>
      <c r="AE311" s="92"/>
      <c r="AF311" s="92"/>
      <c r="AG311" s="92"/>
      <c r="AH311" s="92"/>
      <c r="AI311" s="93"/>
      <c r="AJ311" s="93"/>
    </row>
    <row r="312" spans="1:36" hidden="1" x14ac:dyDescent="0.3">
      <c r="A312" s="1">
        <v>2026</v>
      </c>
      <c r="B312" s="52">
        <v>46204</v>
      </c>
      <c r="C312" s="1" t="str">
        <f t="shared" si="127"/>
        <v>mié</v>
      </c>
      <c r="D312" s="5">
        <f t="shared" si="122"/>
        <v>46218</v>
      </c>
      <c r="E312" s="30">
        <v>136.68860679554115</v>
      </c>
      <c r="F312" s="14">
        <f>+'Mono SPOT MAT'!M312/'Fisico SPOT MAT'!M312/24</f>
        <v>140.93996139005148</v>
      </c>
      <c r="G312" s="13">
        <f t="shared" si="163"/>
        <v>17.600000000000001</v>
      </c>
      <c r="H312" s="12">
        <f>+'Mono ASIG'!AA312</f>
        <v>79.863888220997552</v>
      </c>
      <c r="I312" s="12">
        <f t="shared" si="158"/>
        <v>65.726375028801613</v>
      </c>
      <c r="J312" s="12">
        <f t="shared" si="164"/>
        <v>17.600000000000001</v>
      </c>
      <c r="K312" s="115">
        <f>+'Mono SPOT MAT'!T312</f>
        <v>80</v>
      </c>
      <c r="L312" s="86"/>
      <c r="M312" s="86"/>
      <c r="N312" s="107">
        <f>+'Mono SPOT MAT'!S312/'Fisico SPOT MAT'!S312/'Fisico SPOT MAT'!E312</f>
        <v>16.306362193147582</v>
      </c>
      <c r="O312" s="86"/>
      <c r="R312">
        <v>1.1000000000000001</v>
      </c>
      <c r="Y312" s="5">
        <f t="shared" si="72"/>
        <v>46218</v>
      </c>
      <c r="Z312" s="87">
        <f t="shared" si="165"/>
        <v>136.68860679554115</v>
      </c>
      <c r="AA312" s="87">
        <f t="shared" si="166"/>
        <v>134.63125154709815</v>
      </c>
      <c r="AB312" s="118">
        <v>6.3087098429533413</v>
      </c>
      <c r="AD312" s="5"/>
      <c r="AE312" s="92"/>
      <c r="AF312" s="92"/>
      <c r="AG312" s="92"/>
      <c r="AH312" s="92"/>
      <c r="AI312" s="93"/>
      <c r="AJ312" s="93"/>
    </row>
    <row r="313" spans="1:36" hidden="1" x14ac:dyDescent="0.3">
      <c r="A313" s="1">
        <v>2026</v>
      </c>
      <c r="B313" s="52">
        <v>46204</v>
      </c>
      <c r="C313" s="1" t="str">
        <f t="shared" si="127"/>
        <v>jue</v>
      </c>
      <c r="D313" s="5">
        <f t="shared" si="122"/>
        <v>46219</v>
      </c>
      <c r="E313" s="30">
        <v>129.32231535759863</v>
      </c>
      <c r="F313" s="14">
        <f>+'Mono SPOT MAT'!M313/'Fisico SPOT MAT'!M313/24</f>
        <v>135.19446142187994</v>
      </c>
      <c r="G313" s="13">
        <f t="shared" si="163"/>
        <v>17.600000000000001</v>
      </c>
      <c r="H313" s="12">
        <f>+'Mono ASIG'!AA313</f>
        <v>80.297080093720083</v>
      </c>
      <c r="I313" s="12">
        <f t="shared" si="158"/>
        <v>66.15956690152413</v>
      </c>
      <c r="J313" s="12">
        <f t="shared" si="164"/>
        <v>17.600000000000001</v>
      </c>
      <c r="K313" s="115">
        <f>+'Mono SPOT MAT'!T313</f>
        <v>80</v>
      </c>
      <c r="L313" s="86"/>
      <c r="M313" s="86"/>
      <c r="N313" s="107">
        <f>+'Mono SPOT MAT'!S313/'Fisico SPOT MAT'!S313/'Fisico SPOT MAT'!E313</f>
        <v>16.247885020231038</v>
      </c>
      <c r="O313" s="86"/>
      <c r="R313">
        <v>1.1000000000000001</v>
      </c>
      <c r="Y313" s="5">
        <f t="shared" si="72"/>
        <v>46219</v>
      </c>
      <c r="Z313" s="87">
        <f t="shared" si="165"/>
        <v>129.32231535759863</v>
      </c>
      <c r="AA313" s="87">
        <f t="shared" si="166"/>
        <v>129.02347497769537</v>
      </c>
      <c r="AB313" s="118">
        <v>6.1709864441845754</v>
      </c>
      <c r="AD313" s="5"/>
      <c r="AE313" s="92"/>
      <c r="AF313" s="92"/>
      <c r="AG313" s="92"/>
      <c r="AH313" s="92"/>
      <c r="AI313" s="93"/>
      <c r="AJ313" s="93"/>
    </row>
    <row r="314" spans="1:36" hidden="1" x14ac:dyDescent="0.3">
      <c r="A314" s="1">
        <v>2026</v>
      </c>
      <c r="B314" s="52">
        <v>46204</v>
      </c>
      <c r="C314" s="1" t="str">
        <f t="shared" si="127"/>
        <v>vie</v>
      </c>
      <c r="D314" s="5">
        <f t="shared" si="122"/>
        <v>46220</v>
      </c>
      <c r="E314" s="30">
        <v>113.0067360095383</v>
      </c>
      <c r="F314" s="14">
        <f>+'Mono SPOT MAT'!M314/'Fisico SPOT MAT'!M314/24</f>
        <v>103.51713268905924</v>
      </c>
      <c r="G314" s="13">
        <f t="shared" si="163"/>
        <v>17.600000000000001</v>
      </c>
      <c r="H314" s="12">
        <f>+'Mono ASIG'!AA314</f>
        <v>75.90679059852512</v>
      </c>
      <c r="I314" s="12">
        <f t="shared" si="158"/>
        <v>61.769277406329174</v>
      </c>
      <c r="J314" s="12">
        <f t="shared" si="164"/>
        <v>17.600000000000001</v>
      </c>
      <c r="K314" s="115">
        <f>+'Mono SPOT MAT'!T314</f>
        <v>80</v>
      </c>
      <c r="L314" s="86"/>
      <c r="M314" s="86"/>
      <c r="N314" s="107">
        <f>+'Mono SPOT MAT'!S314/'Fisico SPOT MAT'!S314/'Fisico SPOT MAT'!E314</f>
        <v>16.240987853673463</v>
      </c>
      <c r="O314" s="86"/>
      <c r="R314">
        <v>1.1000000000000001</v>
      </c>
      <c r="Y314" s="5">
        <f t="shared" si="72"/>
        <v>46220</v>
      </c>
      <c r="Z314" s="87">
        <f t="shared" si="165"/>
        <v>113.0067360095383</v>
      </c>
      <c r="AA314" s="87">
        <f t="shared" si="166"/>
        <v>97.181621652625211</v>
      </c>
      <c r="AB314" s="118">
        <v>6.3355110364340277</v>
      </c>
      <c r="AD314" s="5"/>
      <c r="AE314" s="92"/>
      <c r="AF314" s="92"/>
      <c r="AG314" s="92"/>
      <c r="AH314" s="92"/>
      <c r="AI314" s="93"/>
      <c r="AJ314" s="93"/>
    </row>
    <row r="315" spans="1:36" hidden="1" x14ac:dyDescent="0.3">
      <c r="A315" s="1">
        <v>2026</v>
      </c>
      <c r="B315" s="52">
        <v>46204</v>
      </c>
      <c r="C315" s="1" t="str">
        <f t="shared" si="127"/>
        <v>sáb</v>
      </c>
      <c r="D315" s="5">
        <f t="shared" si="122"/>
        <v>46221</v>
      </c>
      <c r="E315" s="30">
        <v>76.235341316603098</v>
      </c>
      <c r="F315" s="14">
        <f>+'Mono SPOT MAT'!M315/'Fisico SPOT MAT'!M315/24</f>
        <v>84.490246501538991</v>
      </c>
      <c r="G315" s="13">
        <f t="shared" si="163"/>
        <v>17.600000000000001</v>
      </c>
      <c r="H315" s="12">
        <f>+'Mono ASIG'!AA315</f>
        <v>69.152778853483753</v>
      </c>
      <c r="I315" s="12">
        <f t="shared" si="158"/>
        <v>55.015265661287806</v>
      </c>
      <c r="J315" s="12">
        <f t="shared" si="164"/>
        <v>17.600000000000001</v>
      </c>
      <c r="K315" s="115">
        <f>+'Mono SPOT MAT'!T315</f>
        <v>80</v>
      </c>
      <c r="L315" s="86"/>
      <c r="M315" s="86"/>
      <c r="N315" s="107">
        <f>+'Mono SPOT MAT'!S315/'Fisico SPOT MAT'!S315/'Fisico SPOT MAT'!E315</f>
        <v>16.25082980963311</v>
      </c>
      <c r="O315" s="86"/>
      <c r="R315">
        <v>1.1000000000000001</v>
      </c>
      <c r="Y315" s="5">
        <f t="shared" si="72"/>
        <v>46221</v>
      </c>
      <c r="Z315" s="87">
        <f t="shared" si="165"/>
        <v>76.235341316603098</v>
      </c>
      <c r="AA315" s="87">
        <f t="shared" si="166"/>
        <v>80.899713042320073</v>
      </c>
      <c r="AB315" s="118">
        <v>3.5905334592189178</v>
      </c>
      <c r="AD315" s="5"/>
      <c r="AE315" s="92"/>
      <c r="AF315" s="92"/>
      <c r="AG315" s="92"/>
      <c r="AH315" s="92"/>
      <c r="AI315" s="93"/>
      <c r="AJ315" s="93"/>
    </row>
    <row r="316" spans="1:36" hidden="1" x14ac:dyDescent="0.3">
      <c r="A316" s="1">
        <v>2026</v>
      </c>
      <c r="B316" s="52">
        <v>46204</v>
      </c>
      <c r="C316" s="1" t="str">
        <f t="shared" si="127"/>
        <v>dom</v>
      </c>
      <c r="D316" s="5">
        <f t="shared" si="122"/>
        <v>46222</v>
      </c>
      <c r="E316" s="30">
        <v>119.76964036569269</v>
      </c>
      <c r="F316" s="14">
        <f>+'Mono SPOT MAT'!M316/'Fisico SPOT MAT'!M316/24</f>
        <v>97.360586396911359</v>
      </c>
      <c r="G316" s="13">
        <f t="shared" ref="G316:G322" si="167">16*R316</f>
        <v>17.600000000000001</v>
      </c>
      <c r="H316" s="12">
        <f>+'Mono ASIG'!AA316</f>
        <v>70.989654288586664</v>
      </c>
      <c r="I316" s="12">
        <f t="shared" si="158"/>
        <v>56.852141096390717</v>
      </c>
      <c r="J316" s="12">
        <f t="shared" ref="J316:J322" si="168">16*R316</f>
        <v>17.600000000000001</v>
      </c>
      <c r="K316" s="115">
        <f>+'Mono SPOT MAT'!T316</f>
        <v>80</v>
      </c>
      <c r="L316" s="86"/>
      <c r="M316" s="86"/>
      <c r="N316" s="107">
        <f>+'Mono SPOT MAT'!S316/'Fisico SPOT MAT'!S316/'Fisico SPOT MAT'!E316</f>
        <v>16.26119233721781</v>
      </c>
      <c r="O316" s="86"/>
      <c r="R316">
        <v>1.1000000000000001</v>
      </c>
      <c r="Y316" s="5">
        <f t="shared" si="72"/>
        <v>46222</v>
      </c>
      <c r="Z316" s="87">
        <f t="shared" ref="Z316:Z322" si="169">+E316</f>
        <v>119.76964036569269</v>
      </c>
      <c r="AA316" s="87">
        <f t="shared" ref="AA316:AA322" si="170">+F316-AB316</f>
        <v>91.104422334932963</v>
      </c>
      <c r="AB316" s="118">
        <v>6.2561640619783887</v>
      </c>
      <c r="AD316" s="5"/>
      <c r="AE316" s="92"/>
      <c r="AF316" s="92"/>
      <c r="AG316" s="92"/>
      <c r="AH316" s="92"/>
      <c r="AI316" s="93"/>
      <c r="AJ316" s="93"/>
    </row>
    <row r="317" spans="1:36" hidden="1" x14ac:dyDescent="0.3">
      <c r="A317" s="1">
        <v>2026</v>
      </c>
      <c r="B317" s="52">
        <v>46204</v>
      </c>
      <c r="C317" s="1" t="str">
        <f t="shared" si="127"/>
        <v>lun</v>
      </c>
      <c r="D317" s="5">
        <f t="shared" si="122"/>
        <v>46223</v>
      </c>
      <c r="E317" s="30">
        <v>187.32829498083558</v>
      </c>
      <c r="F317" s="14">
        <f>+'Mono SPOT MAT'!M317/'Fisico SPOT MAT'!M317/24</f>
        <v>133.85576575425827</v>
      </c>
      <c r="G317" s="13">
        <f t="shared" si="167"/>
        <v>17.600000000000001</v>
      </c>
      <c r="H317" s="12">
        <f>+'Mono ASIG'!AA317</f>
        <v>74.258996900855706</v>
      </c>
      <c r="I317" s="12">
        <f t="shared" si="158"/>
        <v>60.12148370865976</v>
      </c>
      <c r="J317" s="12">
        <f t="shared" si="168"/>
        <v>17.600000000000001</v>
      </c>
      <c r="K317" s="115">
        <f>+'Mono SPOT MAT'!T317</f>
        <v>80</v>
      </c>
      <c r="L317" s="86"/>
      <c r="M317" s="86"/>
      <c r="N317" s="107">
        <f>+'Mono SPOT MAT'!S317/'Fisico SPOT MAT'!S317/'Fisico SPOT MAT'!E317</f>
        <v>16.272897107707362</v>
      </c>
      <c r="O317" s="86"/>
      <c r="R317">
        <v>1.1000000000000001</v>
      </c>
      <c r="Y317" s="5">
        <f t="shared" si="72"/>
        <v>46223</v>
      </c>
      <c r="Z317" s="87">
        <f t="shared" si="169"/>
        <v>187.32829498083558</v>
      </c>
      <c r="AA317" s="87">
        <f t="shared" si="170"/>
        <v>121.89651431797284</v>
      </c>
      <c r="AB317" s="118">
        <v>11.959251436285426</v>
      </c>
      <c r="AD317" s="5"/>
      <c r="AE317" s="92"/>
      <c r="AF317" s="92"/>
      <c r="AG317" s="92"/>
      <c r="AH317" s="92"/>
      <c r="AI317" s="93"/>
      <c r="AJ317" s="93"/>
    </row>
    <row r="318" spans="1:36" hidden="1" x14ac:dyDescent="0.3">
      <c r="A318" s="1">
        <v>2026</v>
      </c>
      <c r="B318" s="52">
        <v>46204</v>
      </c>
      <c r="C318" s="1" t="str">
        <f t="shared" si="127"/>
        <v>mar</v>
      </c>
      <c r="D318" s="5">
        <f t="shared" ref="D318:D381" si="171">+D317+1</f>
        <v>46224</v>
      </c>
      <c r="E318" s="30">
        <v>208.54127088102712</v>
      </c>
      <c r="F318" s="14">
        <f>+'Mono SPOT MAT'!M318/'Fisico SPOT MAT'!M318/24</f>
        <v>153.66956410116873</v>
      </c>
      <c r="G318" s="13">
        <f t="shared" si="167"/>
        <v>17.600000000000001</v>
      </c>
      <c r="H318" s="12">
        <f>+'Mono ASIG'!AA318</f>
        <v>72.58442236217185</v>
      </c>
      <c r="I318" s="12">
        <f t="shared" si="158"/>
        <v>58.446909169975903</v>
      </c>
      <c r="J318" s="12">
        <f t="shared" si="168"/>
        <v>17.600000000000001</v>
      </c>
      <c r="K318" s="115">
        <f>+'Mono SPOT MAT'!T318</f>
        <v>80</v>
      </c>
      <c r="L318" s="86"/>
      <c r="M318" s="86"/>
      <c r="N318" s="107">
        <f>+'Mono SPOT MAT'!S318/'Fisico SPOT MAT'!S318/'Fisico SPOT MAT'!E318</f>
        <v>16.308490557130714</v>
      </c>
      <c r="O318" s="86"/>
      <c r="R318">
        <v>1.1000000000000001</v>
      </c>
      <c r="Y318" s="5">
        <f t="shared" si="72"/>
        <v>46224</v>
      </c>
      <c r="Z318" s="87">
        <f t="shared" si="169"/>
        <v>208.54127088102712</v>
      </c>
      <c r="AA318" s="87">
        <f t="shared" si="170"/>
        <v>140.50178203585961</v>
      </c>
      <c r="AB318" s="118">
        <v>13.167782065309137</v>
      </c>
      <c r="AD318" s="5"/>
      <c r="AE318" s="92"/>
      <c r="AF318" s="92"/>
      <c r="AG318" s="92"/>
      <c r="AH318" s="92"/>
      <c r="AI318" s="93"/>
      <c r="AJ318" s="93"/>
    </row>
    <row r="319" spans="1:36" hidden="1" x14ac:dyDescent="0.3">
      <c r="A319" s="1">
        <v>2026</v>
      </c>
      <c r="B319" s="52">
        <v>46204</v>
      </c>
      <c r="C319" s="1" t="str">
        <f t="shared" si="127"/>
        <v>mié</v>
      </c>
      <c r="D319" s="5">
        <f t="shared" si="171"/>
        <v>46225</v>
      </c>
      <c r="E319" s="30">
        <v>184.52904482791351</v>
      </c>
      <c r="F319" s="14">
        <f>+'Mono SPOT MAT'!M319/'Fisico SPOT MAT'!M319/24</f>
        <v>157.93907277794861</v>
      </c>
      <c r="G319" s="13">
        <f t="shared" si="167"/>
        <v>17.600000000000001</v>
      </c>
      <c r="H319" s="12">
        <f>+'Mono ASIG'!AA319</f>
        <v>74.205838214076422</v>
      </c>
      <c r="I319" s="12">
        <f t="shared" si="158"/>
        <v>60.068325021880476</v>
      </c>
      <c r="J319" s="12">
        <f t="shared" si="168"/>
        <v>17.600000000000001</v>
      </c>
      <c r="K319" s="115">
        <f>+'Mono SPOT MAT'!T319</f>
        <v>80</v>
      </c>
      <c r="L319" s="86"/>
      <c r="M319" s="86"/>
      <c r="N319" s="107">
        <f>+'Mono SPOT MAT'!S319/'Fisico SPOT MAT'!S319/'Fisico SPOT MAT'!E319</f>
        <v>16.326245055385925</v>
      </c>
      <c r="O319" s="86"/>
      <c r="R319">
        <v>1.1000000000000001</v>
      </c>
      <c r="Y319" s="5">
        <f t="shared" si="72"/>
        <v>46225</v>
      </c>
      <c r="Z319" s="87">
        <f t="shared" si="169"/>
        <v>184.52904482791351</v>
      </c>
      <c r="AA319" s="87">
        <f t="shared" si="170"/>
        <v>148.23632783721987</v>
      </c>
      <c r="AB319" s="118">
        <v>9.7027449407287438</v>
      </c>
      <c r="AD319" s="5"/>
      <c r="AE319" s="92"/>
      <c r="AF319" s="92"/>
      <c r="AG319" s="92"/>
      <c r="AH319" s="92"/>
      <c r="AI319" s="93"/>
      <c r="AJ319" s="93"/>
    </row>
    <row r="320" spans="1:36" hidden="1" x14ac:dyDescent="0.3">
      <c r="A320" s="1">
        <v>2026</v>
      </c>
      <c r="B320" s="52">
        <v>46204</v>
      </c>
      <c r="C320" s="1" t="str">
        <f t="shared" si="127"/>
        <v>jue</v>
      </c>
      <c r="D320" s="5">
        <f t="shared" si="171"/>
        <v>46226</v>
      </c>
      <c r="E320" s="30">
        <v>162.4984540073863</v>
      </c>
      <c r="F320" s="14">
        <f>+'Mono SPOT MAT'!M320/'Fisico SPOT MAT'!M320/24</f>
        <v>153.26908962988145</v>
      </c>
      <c r="G320" s="13">
        <f t="shared" si="167"/>
        <v>17.600000000000001</v>
      </c>
      <c r="H320" s="12">
        <f>+'Mono ASIG'!AA320</f>
        <v>80.162296545934652</v>
      </c>
      <c r="I320" s="12">
        <f t="shared" si="158"/>
        <v>66.024783353738712</v>
      </c>
      <c r="J320" s="12">
        <f t="shared" si="168"/>
        <v>17.600000000000001</v>
      </c>
      <c r="K320" s="115">
        <f>+'Mono SPOT MAT'!T320</f>
        <v>80</v>
      </c>
      <c r="L320" s="86"/>
      <c r="M320" s="86"/>
      <c r="N320" s="107">
        <f>+'Mono SPOT MAT'!S320/'Fisico SPOT MAT'!S320/'Fisico SPOT MAT'!E320</f>
        <v>16.337922200525643</v>
      </c>
      <c r="O320" s="86"/>
      <c r="R320">
        <v>1.1000000000000001</v>
      </c>
      <c r="Y320" s="5">
        <f t="shared" si="72"/>
        <v>46226</v>
      </c>
      <c r="Z320" s="87">
        <f t="shared" si="169"/>
        <v>162.4984540073863</v>
      </c>
      <c r="AA320" s="87">
        <f t="shared" si="170"/>
        <v>145.24143609634817</v>
      </c>
      <c r="AB320" s="118">
        <v>8.0276535335332859</v>
      </c>
      <c r="AD320" s="5"/>
      <c r="AE320" s="92"/>
      <c r="AF320" s="92"/>
      <c r="AG320" s="92"/>
      <c r="AH320" s="92"/>
      <c r="AI320" s="93"/>
      <c r="AJ320" s="93"/>
    </row>
    <row r="321" spans="1:36" hidden="1" x14ac:dyDescent="0.3">
      <c r="A321" s="1">
        <v>2026</v>
      </c>
      <c r="B321" s="52">
        <v>46204</v>
      </c>
      <c r="C321" s="1" t="str">
        <f t="shared" si="127"/>
        <v>vie</v>
      </c>
      <c r="D321" s="5">
        <f t="shared" si="171"/>
        <v>46227</v>
      </c>
      <c r="E321" s="30">
        <v>150.87771839995278</v>
      </c>
      <c r="F321" s="14">
        <f>+'Mono SPOT MAT'!M321/'Fisico SPOT MAT'!M321/24</f>
        <v>152.3575593488394</v>
      </c>
      <c r="G321" s="13">
        <f t="shared" si="167"/>
        <v>17.600000000000001</v>
      </c>
      <c r="H321" s="12">
        <f>+'Mono ASIG'!AA321</f>
        <v>80.184027436010638</v>
      </c>
      <c r="I321" s="12">
        <f t="shared" si="158"/>
        <v>66.046514243814698</v>
      </c>
      <c r="J321" s="12">
        <f t="shared" si="168"/>
        <v>17.600000000000001</v>
      </c>
      <c r="K321" s="115">
        <f>+'Mono SPOT MAT'!T321</f>
        <v>80</v>
      </c>
      <c r="L321" s="86"/>
      <c r="M321" s="86"/>
      <c r="N321" s="107">
        <f>+'Mono SPOT MAT'!S321/'Fisico SPOT MAT'!S321/'Fisico SPOT MAT'!E321</f>
        <v>16.342969580236257</v>
      </c>
      <c r="O321" s="86"/>
      <c r="R321">
        <v>1.1000000000000001</v>
      </c>
      <c r="Y321" s="5">
        <f t="shared" si="72"/>
        <v>46227</v>
      </c>
      <c r="Z321" s="87">
        <f t="shared" si="169"/>
        <v>150.87771839995278</v>
      </c>
      <c r="AA321" s="87">
        <f t="shared" si="170"/>
        <v>145.4374880385455</v>
      </c>
      <c r="AB321" s="118">
        <v>6.9200713102939</v>
      </c>
      <c r="AD321" s="5"/>
      <c r="AE321" s="92"/>
      <c r="AF321" s="92"/>
      <c r="AG321" s="92"/>
      <c r="AH321" s="92"/>
      <c r="AI321" s="93"/>
      <c r="AJ321" s="93"/>
    </row>
    <row r="322" spans="1:36" hidden="1" x14ac:dyDescent="0.3">
      <c r="A322" s="1">
        <v>2026</v>
      </c>
      <c r="B322" s="52">
        <v>46204</v>
      </c>
      <c r="C322" s="1" t="str">
        <f t="shared" si="127"/>
        <v>sáb</v>
      </c>
      <c r="D322" s="5">
        <f t="shared" si="171"/>
        <v>46228</v>
      </c>
      <c r="E322" s="30">
        <v>106.09301199262329</v>
      </c>
      <c r="F322" s="14">
        <f>+'Mono SPOT MAT'!M322/'Fisico SPOT MAT'!M322/24</f>
        <v>118.26121133323572</v>
      </c>
      <c r="G322" s="13">
        <f t="shared" si="167"/>
        <v>17.600000000000001</v>
      </c>
      <c r="H322" s="12">
        <f>+'Mono ASIG'!AA322</f>
        <v>76.872808019612179</v>
      </c>
      <c r="I322" s="12">
        <f t="shared" si="158"/>
        <v>62.735294827416233</v>
      </c>
      <c r="J322" s="12">
        <f t="shared" si="168"/>
        <v>17.600000000000001</v>
      </c>
      <c r="K322" s="115">
        <f>+'Mono SPOT MAT'!T322</f>
        <v>80</v>
      </c>
      <c r="L322" s="86"/>
      <c r="M322" s="86"/>
      <c r="N322" s="107">
        <f>+'Mono SPOT MAT'!S322/'Fisico SPOT MAT'!S322/'Fisico SPOT MAT'!E322</f>
        <v>16.347608716824752</v>
      </c>
      <c r="O322" s="86"/>
      <c r="R322">
        <v>1.1000000000000001</v>
      </c>
      <c r="Y322" s="5">
        <f t="shared" si="72"/>
        <v>46228</v>
      </c>
      <c r="Z322" s="87">
        <f t="shared" si="169"/>
        <v>106.09301199262329</v>
      </c>
      <c r="AA322" s="87">
        <f t="shared" si="170"/>
        <v>112.80975956174163</v>
      </c>
      <c r="AB322" s="118">
        <v>5.4514517714940869</v>
      </c>
      <c r="AD322" s="5"/>
      <c r="AE322" s="92"/>
      <c r="AF322" s="92"/>
      <c r="AG322" s="92"/>
      <c r="AH322" s="92"/>
      <c r="AI322" s="93"/>
      <c r="AJ322" s="93"/>
    </row>
    <row r="323" spans="1:36" hidden="1" x14ac:dyDescent="0.3">
      <c r="A323" s="1">
        <v>2026</v>
      </c>
      <c r="B323" s="52">
        <v>46204</v>
      </c>
      <c r="C323" s="1" t="str">
        <f t="shared" si="127"/>
        <v>dom</v>
      </c>
      <c r="D323" s="5">
        <f t="shared" si="171"/>
        <v>46229</v>
      </c>
      <c r="E323" s="30">
        <v>76.311866961326984</v>
      </c>
      <c r="F323" s="14">
        <f>+'Mono SPOT MAT'!M323/'Fisico SPOT MAT'!M323/24</f>
        <v>110.42519547134474</v>
      </c>
      <c r="G323" s="13">
        <f t="shared" ref="G323:G328" si="172">16*R323</f>
        <v>17.600000000000001</v>
      </c>
      <c r="H323" s="12">
        <f>+'Mono ASIG'!AA323</f>
        <v>74.563017358659451</v>
      </c>
      <c r="I323" s="12">
        <f t="shared" si="158"/>
        <v>60.425504166463504</v>
      </c>
      <c r="J323" s="12">
        <f t="shared" ref="J323:J328" si="173">16*R323</f>
        <v>17.600000000000001</v>
      </c>
      <c r="K323" s="115">
        <f>+'Mono SPOT MAT'!T323</f>
        <v>80</v>
      </c>
      <c r="L323" s="86"/>
      <c r="M323" s="86"/>
      <c r="N323" s="107">
        <f>+'Mono SPOT MAT'!S323/'Fisico SPOT MAT'!S323/'Fisico SPOT MAT'!E323</f>
        <v>16.342541472349573</v>
      </c>
      <c r="O323" s="86"/>
      <c r="R323">
        <v>1.1000000000000001</v>
      </c>
      <c r="Y323" s="5">
        <f t="shared" si="72"/>
        <v>46229</v>
      </c>
      <c r="Z323" s="87">
        <f t="shared" ref="Z323:Z328" si="174">+E323</f>
        <v>76.311866961326984</v>
      </c>
      <c r="AA323" s="87">
        <f t="shared" ref="AA323:AA328" si="175">+F323-AB323</f>
        <v>106.86199707821199</v>
      </c>
      <c r="AB323" s="118">
        <v>3.5631983931327511</v>
      </c>
      <c r="AD323" s="5"/>
      <c r="AE323" s="92"/>
      <c r="AF323" s="92"/>
      <c r="AG323" s="92"/>
      <c r="AH323" s="92"/>
      <c r="AI323" s="93"/>
      <c r="AJ323" s="93"/>
    </row>
    <row r="324" spans="1:36" hidden="1" x14ac:dyDescent="0.3">
      <c r="A324" s="1">
        <v>2026</v>
      </c>
      <c r="B324" s="52">
        <v>46204</v>
      </c>
      <c r="C324" s="1" t="str">
        <f t="shared" si="127"/>
        <v>lun</v>
      </c>
      <c r="D324" s="5">
        <f t="shared" si="171"/>
        <v>46230</v>
      </c>
      <c r="E324" s="30">
        <v>130.03579388383753</v>
      </c>
      <c r="F324" s="14">
        <f>+'Mono SPOT MAT'!M324/'Fisico SPOT MAT'!M324/24</f>
        <v>100.26555653635636</v>
      </c>
      <c r="G324" s="13">
        <f t="shared" si="172"/>
        <v>17.600000000000001</v>
      </c>
      <c r="H324" s="12">
        <f>+'Mono ASIG'!AA324</f>
        <v>72.983255173239527</v>
      </c>
      <c r="I324" s="12">
        <f t="shared" si="158"/>
        <v>58.845741981043581</v>
      </c>
      <c r="J324" s="12">
        <f t="shared" si="173"/>
        <v>17.600000000000001</v>
      </c>
      <c r="K324" s="115">
        <f>+'Mono SPOT MAT'!T324</f>
        <v>80</v>
      </c>
      <c r="L324" s="86"/>
      <c r="M324" s="86"/>
      <c r="N324" s="107">
        <f>+'Mono SPOT MAT'!S324/'Fisico SPOT MAT'!S324/'Fisico SPOT MAT'!E324</f>
        <v>16.308768108091265</v>
      </c>
      <c r="O324" s="86"/>
      <c r="R324">
        <v>1.1000000000000001</v>
      </c>
      <c r="Y324" s="5">
        <f t="shared" si="72"/>
        <v>46230</v>
      </c>
      <c r="Z324" s="87">
        <f t="shared" si="174"/>
        <v>130.03579388383753</v>
      </c>
      <c r="AA324" s="87">
        <f t="shared" si="175"/>
        <v>91.556580431383608</v>
      </c>
      <c r="AB324" s="118">
        <v>8.7089761049727521</v>
      </c>
      <c r="AD324" s="5"/>
      <c r="AE324" s="92"/>
      <c r="AF324" s="92"/>
      <c r="AG324" s="92"/>
      <c r="AH324" s="92"/>
      <c r="AI324" s="93"/>
      <c r="AJ324" s="93"/>
    </row>
    <row r="325" spans="1:36" hidden="1" x14ac:dyDescent="0.3">
      <c r="A325" s="1">
        <v>2026</v>
      </c>
      <c r="B325" s="52">
        <v>46204</v>
      </c>
      <c r="C325" s="1" t="str">
        <f t="shared" si="127"/>
        <v>mar</v>
      </c>
      <c r="D325" s="5">
        <f t="shared" si="171"/>
        <v>46231</v>
      </c>
      <c r="E325" s="30">
        <v>133.17817450635008</v>
      </c>
      <c r="F325" s="14">
        <f>+'Mono SPOT MAT'!M325/'Fisico SPOT MAT'!M325/24</f>
        <v>101.22664485332916</v>
      </c>
      <c r="G325" s="13">
        <f t="shared" si="172"/>
        <v>17.600000000000001</v>
      </c>
      <c r="H325" s="12">
        <f>+'Mono ASIG'!AA325</f>
        <v>73.057594275163552</v>
      </c>
      <c r="I325" s="12">
        <f t="shared" si="158"/>
        <v>58.920081082967606</v>
      </c>
      <c r="J325" s="12">
        <f t="shared" si="173"/>
        <v>17.600000000000001</v>
      </c>
      <c r="K325" s="115">
        <f>+'Mono SPOT MAT'!T325</f>
        <v>80</v>
      </c>
      <c r="L325" s="86"/>
      <c r="M325" s="86"/>
      <c r="N325" s="107">
        <f>+'Mono SPOT MAT'!S325/'Fisico SPOT MAT'!S325/'Fisico SPOT MAT'!E325</f>
        <v>16.207804276075422</v>
      </c>
      <c r="O325" s="86"/>
      <c r="R325">
        <v>1.1000000000000001</v>
      </c>
      <c r="Y325" s="5">
        <f t="shared" si="72"/>
        <v>46231</v>
      </c>
      <c r="Z325" s="87">
        <f t="shared" si="174"/>
        <v>133.17817450635008</v>
      </c>
      <c r="AA325" s="87">
        <f t="shared" si="175"/>
        <v>92.769194044358315</v>
      </c>
      <c r="AB325" s="118">
        <v>8.4574508089708491</v>
      </c>
      <c r="AD325" s="5"/>
      <c r="AE325" s="92"/>
      <c r="AF325" s="92"/>
      <c r="AG325" s="92"/>
      <c r="AH325" s="92"/>
      <c r="AI325" s="93"/>
      <c r="AJ325" s="93"/>
    </row>
    <row r="326" spans="1:36" hidden="1" x14ac:dyDescent="0.3">
      <c r="A326" s="1">
        <v>2026</v>
      </c>
      <c r="B326" s="52">
        <v>46204</v>
      </c>
      <c r="C326" s="1" t="str">
        <f t="shared" ref="C326:C390" si="176">+C319</f>
        <v>mié</v>
      </c>
      <c r="D326" s="5">
        <f t="shared" si="171"/>
        <v>46232</v>
      </c>
      <c r="E326" s="30">
        <v>127.19283905406861</v>
      </c>
      <c r="F326" s="14">
        <f>+'Mono SPOT MAT'!M326/'Fisico SPOT MAT'!M326/24</f>
        <v>109.70757325683478</v>
      </c>
      <c r="G326" s="13">
        <f t="shared" si="172"/>
        <v>17.600000000000001</v>
      </c>
      <c r="H326" s="12">
        <f>+'Mono ASIG'!AA326</f>
        <v>70.92890466559696</v>
      </c>
      <c r="I326" s="12">
        <f t="shared" si="158"/>
        <v>56.791391473401013</v>
      </c>
      <c r="J326" s="12">
        <f t="shared" si="173"/>
        <v>17.600000000000001</v>
      </c>
      <c r="K326" s="115">
        <f>+'Mono SPOT MAT'!T326</f>
        <v>80</v>
      </c>
      <c r="L326" s="86"/>
      <c r="M326" s="86"/>
      <c r="N326" s="107">
        <f>+'Mono SPOT MAT'!S326/'Fisico SPOT MAT'!S326/'Fisico SPOT MAT'!E326</f>
        <v>16.222488239288957</v>
      </c>
      <c r="O326" s="86"/>
      <c r="R326">
        <v>1.1000000000000001</v>
      </c>
      <c r="Y326" s="5">
        <f t="shared" si="72"/>
        <v>46232</v>
      </c>
      <c r="Z326" s="87">
        <f t="shared" si="174"/>
        <v>127.19283905406861</v>
      </c>
      <c r="AA326" s="87">
        <f t="shared" si="175"/>
        <v>102.54447053068742</v>
      </c>
      <c r="AB326" s="118">
        <v>7.1631027261473585</v>
      </c>
      <c r="AD326" s="5"/>
      <c r="AE326" s="92"/>
      <c r="AF326" s="92"/>
      <c r="AG326" s="92"/>
      <c r="AH326" s="92"/>
      <c r="AI326" s="93"/>
      <c r="AJ326" s="93"/>
    </row>
    <row r="327" spans="1:36" hidden="1" x14ac:dyDescent="0.3">
      <c r="A327" s="1">
        <v>2026</v>
      </c>
      <c r="B327" s="52">
        <v>46204</v>
      </c>
      <c r="C327" s="1" t="str">
        <f t="shared" si="176"/>
        <v>jue</v>
      </c>
      <c r="D327" s="5">
        <f t="shared" si="171"/>
        <v>46233</v>
      </c>
      <c r="E327" s="30">
        <v>85.929456345972525</v>
      </c>
      <c r="F327" s="14">
        <f>+'Mono SPOT MAT'!M327/'Fisico SPOT MAT'!M327/24</f>
        <v>88.835539769781988</v>
      </c>
      <c r="G327" s="13">
        <f t="shared" si="172"/>
        <v>17.600000000000001</v>
      </c>
      <c r="H327" s="12">
        <f>+'Mono ASIG'!AA327</f>
        <v>69.860376095154876</v>
      </c>
      <c r="I327" s="12">
        <f t="shared" si="158"/>
        <v>55.72286290295893</v>
      </c>
      <c r="J327" s="12">
        <f t="shared" si="173"/>
        <v>17.600000000000001</v>
      </c>
      <c r="K327" s="115">
        <f>+'Mono SPOT MAT'!T327</f>
        <v>80</v>
      </c>
      <c r="L327" s="86"/>
      <c r="M327" s="86"/>
      <c r="N327" s="107">
        <f>+'Mono SPOT MAT'!S327/'Fisico SPOT MAT'!S327/'Fisico SPOT MAT'!E327</f>
        <v>16.24536591331551</v>
      </c>
      <c r="O327" s="86"/>
      <c r="R327">
        <v>1.1000000000000001</v>
      </c>
      <c r="Y327" s="5">
        <f t="shared" si="72"/>
        <v>46233</v>
      </c>
      <c r="Z327" s="87">
        <f t="shared" si="174"/>
        <v>85.929456345972525</v>
      </c>
      <c r="AA327" s="87">
        <f t="shared" si="175"/>
        <v>84.69826341968178</v>
      </c>
      <c r="AB327" s="118">
        <v>4.1372763501002137</v>
      </c>
      <c r="AD327" s="5"/>
      <c r="AE327" s="92"/>
      <c r="AF327" s="92"/>
      <c r="AG327" s="92"/>
      <c r="AH327" s="92"/>
      <c r="AI327" s="93"/>
      <c r="AJ327" s="93"/>
    </row>
    <row r="328" spans="1:36" hidden="1" x14ac:dyDescent="0.3">
      <c r="A328" s="1">
        <v>2026</v>
      </c>
      <c r="B328" s="52">
        <v>46204</v>
      </c>
      <c r="C328" s="1" t="str">
        <f t="shared" si="176"/>
        <v>vie</v>
      </c>
      <c r="D328" s="5">
        <f t="shared" si="171"/>
        <v>46234</v>
      </c>
      <c r="E328" s="30">
        <v>93.052879703666207</v>
      </c>
      <c r="F328" s="14">
        <f>+'Mono SPOT MAT'!M328/'Fisico SPOT MAT'!M328/24</f>
        <v>90.568444753374152</v>
      </c>
      <c r="G328" s="13">
        <f t="shared" si="172"/>
        <v>17.600000000000001</v>
      </c>
      <c r="H328" s="12">
        <f>+'Mono ASIG'!AA328</f>
        <v>58.863337680606399</v>
      </c>
      <c r="I328" s="12">
        <f t="shared" si="158"/>
        <v>44.725824488410453</v>
      </c>
      <c r="J328" s="12">
        <f t="shared" si="173"/>
        <v>17.600000000000001</v>
      </c>
      <c r="K328" s="115">
        <f>+'Mono SPOT MAT'!T328</f>
        <v>80</v>
      </c>
      <c r="L328" s="86"/>
      <c r="M328" s="86"/>
      <c r="N328" s="107">
        <f>+'Mono SPOT MAT'!S328/'Fisico SPOT MAT'!S328/'Fisico SPOT MAT'!E328</f>
        <v>16.266145057502214</v>
      </c>
      <c r="O328" s="86"/>
      <c r="R328">
        <v>1.1000000000000001</v>
      </c>
      <c r="Y328" s="5">
        <f t="shared" si="72"/>
        <v>46234</v>
      </c>
      <c r="Z328" s="87">
        <f t="shared" si="174"/>
        <v>93.052879703666207</v>
      </c>
      <c r="AA328" s="87">
        <f t="shared" si="175"/>
        <v>86.431168403273944</v>
      </c>
      <c r="AB328" s="118">
        <v>4.1372763501002137</v>
      </c>
      <c r="AD328" s="5"/>
      <c r="AE328" s="92"/>
      <c r="AF328" s="92"/>
      <c r="AG328" s="92"/>
      <c r="AH328" s="92"/>
      <c r="AI328" s="93"/>
      <c r="AJ328" s="93"/>
    </row>
    <row r="329" spans="1:36" x14ac:dyDescent="0.3">
      <c r="A329" s="1">
        <v>2026</v>
      </c>
      <c r="B329" s="52">
        <v>46235</v>
      </c>
      <c r="C329" s="1" t="str">
        <f t="shared" si="176"/>
        <v>sáb</v>
      </c>
      <c r="D329" s="5">
        <f t="shared" si="171"/>
        <v>46235</v>
      </c>
      <c r="E329" s="30">
        <v>59.552946718179548</v>
      </c>
      <c r="F329" s="14">
        <f>+'Mono SPOT MAT'!M329/'Fisico SPOT MAT'!M329/24</f>
        <v>86.934611411629177</v>
      </c>
      <c r="G329" s="13">
        <f t="shared" ref="G329:G335" si="177">16*R329</f>
        <v>17.600000000000001</v>
      </c>
      <c r="H329" s="12">
        <f>+'Mono ASIG'!AA329</f>
        <v>73.823378379412475</v>
      </c>
      <c r="I329" s="12">
        <f>+H329-J329*$P$17/$Q$17/$W$17</f>
        <v>59.924988391133027</v>
      </c>
      <c r="J329" s="12">
        <f t="shared" ref="J329:J335" si="178">16*R329</f>
        <v>17.600000000000001</v>
      </c>
      <c r="K329" s="115">
        <f>+'Mono SPOT MAT'!T329</f>
        <v>80</v>
      </c>
      <c r="L329" s="86"/>
      <c r="M329" s="86"/>
      <c r="N329" s="107">
        <f>+'Mono SPOT MAT'!S329/'Fisico SPOT MAT'!S329/'Fisico SPOT MAT'!E329</f>
        <v>16.32567083861441</v>
      </c>
      <c r="O329" s="86"/>
      <c r="R329">
        <v>1.1000000000000001</v>
      </c>
      <c r="Y329" s="5">
        <f t="shared" si="72"/>
        <v>46235</v>
      </c>
      <c r="Z329" s="87">
        <f t="shared" ref="Z329:Z336" si="179">+E329</f>
        <v>59.552946718179548</v>
      </c>
      <c r="AA329" s="87">
        <f t="shared" ref="AA329:AA336" si="180">+F329-AB329</f>
        <v>85.358134380891499</v>
      </c>
      <c r="AB329" s="118">
        <v>1.5764770307376772</v>
      </c>
      <c r="AD329" s="5"/>
      <c r="AE329" s="92"/>
      <c r="AF329" s="92"/>
      <c r="AG329" s="92"/>
      <c r="AH329" s="92"/>
      <c r="AI329" s="93"/>
      <c r="AJ329" s="93"/>
    </row>
    <row r="330" spans="1:36" x14ac:dyDescent="0.3">
      <c r="A330" s="1">
        <v>2026</v>
      </c>
      <c r="B330" s="52">
        <v>46235</v>
      </c>
      <c r="C330" s="1" t="str">
        <f t="shared" si="176"/>
        <v>dom</v>
      </c>
      <c r="D330" s="5">
        <f t="shared" si="171"/>
        <v>46236</v>
      </c>
      <c r="E330" s="30">
        <v>50.684735336338633</v>
      </c>
      <c r="F330" s="14">
        <f>+'Mono SPOT MAT'!M330/'Fisico SPOT MAT'!M330/24</f>
        <v>80.898291020599018</v>
      </c>
      <c r="G330" s="13">
        <f t="shared" si="177"/>
        <v>17.600000000000001</v>
      </c>
      <c r="H330" s="12">
        <f>+'Mono ASIG'!AA330</f>
        <v>74.433627136599696</v>
      </c>
      <c r="I330" s="12">
        <f t="shared" ref="I330:I359" si="181">+H330-J330*$P$17/$Q$17/$W$17</f>
        <v>60.535237148320249</v>
      </c>
      <c r="J330" s="12">
        <f t="shared" si="178"/>
        <v>17.600000000000001</v>
      </c>
      <c r="K330" s="115">
        <f>+'Mono SPOT MAT'!T330</f>
        <v>80</v>
      </c>
      <c r="L330" s="86"/>
      <c r="M330" s="86"/>
      <c r="N330" s="107">
        <f>+'Mono SPOT MAT'!S330/'Fisico SPOT MAT'!S330/'Fisico SPOT MAT'!E330</f>
        <v>16.355370939525837</v>
      </c>
      <c r="O330" s="86"/>
      <c r="R330">
        <v>1.1000000000000001</v>
      </c>
      <c r="Y330" s="5">
        <f t="shared" ref="Y330:Y393" si="182">$D330</f>
        <v>46236</v>
      </c>
      <c r="Z330" s="87">
        <f t="shared" si="179"/>
        <v>50.684735336338633</v>
      </c>
      <c r="AA330" s="87">
        <f t="shared" si="180"/>
        <v>80.373393458422427</v>
      </c>
      <c r="AB330" s="118">
        <v>0.52489756217658423</v>
      </c>
      <c r="AD330" s="5"/>
      <c r="AE330" s="92"/>
      <c r="AF330" s="92"/>
      <c r="AG330" s="92"/>
      <c r="AH330" s="92"/>
      <c r="AI330" s="93"/>
      <c r="AJ330" s="93"/>
    </row>
    <row r="331" spans="1:36" x14ac:dyDescent="0.3">
      <c r="A331" s="1">
        <v>2026</v>
      </c>
      <c r="B331" s="52">
        <v>46235</v>
      </c>
      <c r="C331" s="1" t="str">
        <f t="shared" si="176"/>
        <v>lun</v>
      </c>
      <c r="D331" s="5">
        <f t="shared" si="171"/>
        <v>46237</v>
      </c>
      <c r="E331" s="30">
        <v>120.22470957856862</v>
      </c>
      <c r="F331" s="14">
        <f>+'Mono SPOT MAT'!M331/'Fisico SPOT MAT'!M331/24</f>
        <v>108.61121412809196</v>
      </c>
      <c r="G331" s="13">
        <f t="shared" si="177"/>
        <v>17.600000000000001</v>
      </c>
      <c r="H331" s="12">
        <f>+'Mono ASIG'!AA331</f>
        <v>69.599818923754029</v>
      </c>
      <c r="I331" s="12">
        <f t="shared" si="181"/>
        <v>55.701428935474581</v>
      </c>
      <c r="J331" s="12">
        <f t="shared" si="178"/>
        <v>17.600000000000001</v>
      </c>
      <c r="K331" s="115">
        <f>+'Mono SPOT MAT'!T331</f>
        <v>80</v>
      </c>
      <c r="L331" s="86"/>
      <c r="M331" s="86"/>
      <c r="N331" s="107">
        <f>+'Mono SPOT MAT'!S331/'Fisico SPOT MAT'!S331/'Fisico SPOT MAT'!E331</f>
        <v>16.360158797507761</v>
      </c>
      <c r="O331" s="86"/>
      <c r="R331">
        <v>1.1000000000000001</v>
      </c>
      <c r="Y331" s="5">
        <f t="shared" si="182"/>
        <v>46237</v>
      </c>
      <c r="Z331" s="87">
        <f t="shared" si="179"/>
        <v>120.22470957856862</v>
      </c>
      <c r="AA331" s="87">
        <f t="shared" si="180"/>
        <v>103.00035337302978</v>
      </c>
      <c r="AB331" s="118">
        <v>5.6108607550621707</v>
      </c>
      <c r="AD331" s="5"/>
      <c r="AE331" s="92"/>
      <c r="AF331" s="92"/>
      <c r="AG331" s="92"/>
      <c r="AH331" s="92"/>
      <c r="AI331" s="93"/>
      <c r="AJ331" s="93"/>
    </row>
    <row r="332" spans="1:36" x14ac:dyDescent="0.3">
      <c r="A332" s="1">
        <v>2026</v>
      </c>
      <c r="B332" s="52">
        <v>46235</v>
      </c>
      <c r="C332" s="1" t="str">
        <f t="shared" si="176"/>
        <v>mar</v>
      </c>
      <c r="D332" s="5">
        <f t="shared" si="171"/>
        <v>46238</v>
      </c>
      <c r="E332" s="30">
        <v>120.14231033852245</v>
      </c>
      <c r="F332" s="14">
        <f>+'Mono SPOT MAT'!M332/'Fisico SPOT MAT'!M332/24</f>
        <v>103.97526013041089</v>
      </c>
      <c r="G332" s="13">
        <f t="shared" si="177"/>
        <v>17.600000000000001</v>
      </c>
      <c r="H332" s="12">
        <f>+'Mono ASIG'!AA332</f>
        <v>74.558318071853407</v>
      </c>
      <c r="I332" s="12">
        <f t="shared" si="181"/>
        <v>60.659928083573959</v>
      </c>
      <c r="J332" s="12">
        <f t="shared" si="178"/>
        <v>17.600000000000001</v>
      </c>
      <c r="K332" s="115">
        <f>+'Mono SPOT MAT'!T332</f>
        <v>80</v>
      </c>
      <c r="L332" s="86"/>
      <c r="M332" s="86"/>
      <c r="N332" s="107">
        <f>+'Mono SPOT MAT'!S332/'Fisico SPOT MAT'!S332/'Fisico SPOT MAT'!E332</f>
        <v>16.350883011175448</v>
      </c>
      <c r="O332" s="86"/>
      <c r="R332">
        <v>1.1000000000000001</v>
      </c>
      <c r="Y332" s="5">
        <f t="shared" si="182"/>
        <v>46238</v>
      </c>
      <c r="Z332" s="87">
        <f t="shared" si="179"/>
        <v>120.14231033852245</v>
      </c>
      <c r="AA332" s="87">
        <f t="shared" si="180"/>
        <v>98.439275708262414</v>
      </c>
      <c r="AB332" s="118">
        <v>5.53598442214847</v>
      </c>
      <c r="AD332" s="5"/>
      <c r="AE332" s="92"/>
      <c r="AF332" s="92"/>
      <c r="AG332" s="92"/>
      <c r="AH332" s="92"/>
      <c r="AI332" s="93"/>
      <c r="AJ332" s="93"/>
    </row>
    <row r="333" spans="1:36" x14ac:dyDescent="0.3">
      <c r="A333" s="1">
        <v>2026</v>
      </c>
      <c r="B333" s="52">
        <v>46235</v>
      </c>
      <c r="C333" s="1" t="str">
        <f t="shared" si="176"/>
        <v>mié</v>
      </c>
      <c r="D333" s="5">
        <f t="shared" si="171"/>
        <v>46239</v>
      </c>
      <c r="E333" s="30">
        <v>141.4575300364628</v>
      </c>
      <c r="F333" s="14">
        <f>+'Mono SPOT MAT'!M333/'Fisico SPOT MAT'!M333/24</f>
        <v>107.91439342812431</v>
      </c>
      <c r="G333" s="13">
        <f t="shared" si="177"/>
        <v>17.600000000000001</v>
      </c>
      <c r="H333" s="12">
        <f>+'Mono ASIG'!AA333</f>
        <v>74.721289390913043</v>
      </c>
      <c r="I333" s="12">
        <f t="shared" si="181"/>
        <v>60.822899402633595</v>
      </c>
      <c r="J333" s="12">
        <f t="shared" si="178"/>
        <v>17.600000000000001</v>
      </c>
      <c r="K333" s="115">
        <f>+'Mono SPOT MAT'!T333</f>
        <v>80</v>
      </c>
      <c r="L333" s="86"/>
      <c r="M333" s="86"/>
      <c r="N333" s="107">
        <f>+'Mono SPOT MAT'!S333/'Fisico SPOT MAT'!S333/'Fisico SPOT MAT'!E333</f>
        <v>16.352228402536049</v>
      </c>
      <c r="O333" s="86"/>
      <c r="R333">
        <v>1.1000000000000001</v>
      </c>
      <c r="Y333" s="5">
        <f t="shared" si="182"/>
        <v>46239</v>
      </c>
      <c r="Z333" s="87">
        <f t="shared" si="179"/>
        <v>141.4575300364628</v>
      </c>
      <c r="AA333" s="87">
        <f t="shared" si="180"/>
        <v>98.527706037526741</v>
      </c>
      <c r="AB333" s="118">
        <v>9.3866873905975687</v>
      </c>
      <c r="AD333" s="5"/>
      <c r="AE333" s="92"/>
      <c r="AF333" s="92"/>
      <c r="AG333" s="92"/>
      <c r="AH333" s="92"/>
      <c r="AI333" s="93"/>
      <c r="AJ333" s="93"/>
    </row>
    <row r="334" spans="1:36" x14ac:dyDescent="0.3">
      <c r="A334" s="1">
        <v>2026</v>
      </c>
      <c r="B334" s="52">
        <v>46235</v>
      </c>
      <c r="C334" s="1" t="str">
        <f t="shared" si="176"/>
        <v>jue</v>
      </c>
      <c r="D334" s="5">
        <f t="shared" si="171"/>
        <v>46240</v>
      </c>
      <c r="E334" s="30">
        <v>173.82654398719086</v>
      </c>
      <c r="F334" s="14">
        <f>+'Mono SPOT MAT'!M334/'Fisico SPOT MAT'!M334/24</f>
        <v>129.90060113273137</v>
      </c>
      <c r="G334" s="13">
        <f t="shared" si="177"/>
        <v>17.600000000000001</v>
      </c>
      <c r="H334" s="12">
        <f>+'Mono ASIG'!AA334</f>
        <v>81.438169207846229</v>
      </c>
      <c r="I334" s="12">
        <f t="shared" si="181"/>
        <v>67.539779219566782</v>
      </c>
      <c r="J334" s="12">
        <f t="shared" si="178"/>
        <v>17.600000000000001</v>
      </c>
      <c r="K334" s="115">
        <f>+'Mono SPOT MAT'!T334</f>
        <v>80</v>
      </c>
      <c r="L334" s="86"/>
      <c r="M334" s="86"/>
      <c r="N334" s="107">
        <f>+'Mono SPOT MAT'!S334/'Fisico SPOT MAT'!S334/'Fisico SPOT MAT'!E334</f>
        <v>16.357357254056208</v>
      </c>
      <c r="O334" s="86"/>
      <c r="R334">
        <v>1.1000000000000001</v>
      </c>
      <c r="Y334" s="5">
        <f t="shared" si="182"/>
        <v>46240</v>
      </c>
      <c r="Z334" s="87">
        <f t="shared" si="179"/>
        <v>173.82654398719086</v>
      </c>
      <c r="AA334" s="87">
        <f t="shared" si="180"/>
        <v>120.44367097582608</v>
      </c>
      <c r="AB334" s="118">
        <v>9.4569301569052922</v>
      </c>
      <c r="AD334" s="5"/>
      <c r="AE334" s="92"/>
      <c r="AF334" s="92"/>
      <c r="AG334" s="92"/>
      <c r="AH334" s="92"/>
      <c r="AI334" s="93"/>
      <c r="AJ334" s="93"/>
    </row>
    <row r="335" spans="1:36" x14ac:dyDescent="0.3">
      <c r="A335" s="1">
        <v>2026</v>
      </c>
      <c r="B335" s="52">
        <v>46235</v>
      </c>
      <c r="C335" s="1" t="str">
        <f t="shared" si="176"/>
        <v>vie</v>
      </c>
      <c r="D335" s="5">
        <f t="shared" si="171"/>
        <v>46241</v>
      </c>
      <c r="E335" s="30">
        <v>162.40182844715292</v>
      </c>
      <c r="F335" s="14">
        <f>+'Mono SPOT MAT'!M335/'Fisico SPOT MAT'!M335/24</f>
        <v>137.1855553014536</v>
      </c>
      <c r="G335" s="13">
        <f t="shared" si="177"/>
        <v>17.600000000000001</v>
      </c>
      <c r="H335" s="12">
        <f>+'Mono ASIG'!AA335</f>
        <v>84.311306424114235</v>
      </c>
      <c r="I335" s="12">
        <f t="shared" si="181"/>
        <v>70.412916435834788</v>
      </c>
      <c r="J335" s="12">
        <f t="shared" si="178"/>
        <v>17.600000000000001</v>
      </c>
      <c r="K335" s="115">
        <f>+'Mono SPOT MAT'!T335</f>
        <v>80</v>
      </c>
      <c r="L335" s="86"/>
      <c r="M335" s="86"/>
      <c r="N335" s="107">
        <f>+'Mono SPOT MAT'!S335/'Fisico SPOT MAT'!S335/'Fisico SPOT MAT'!E335</f>
        <v>16.358632603607013</v>
      </c>
      <c r="O335" s="86"/>
      <c r="R335">
        <v>1.1000000000000001</v>
      </c>
      <c r="Y335" s="5">
        <f t="shared" si="182"/>
        <v>46241</v>
      </c>
      <c r="Z335" s="87">
        <f t="shared" si="179"/>
        <v>162.40182844715292</v>
      </c>
      <c r="AA335" s="87">
        <f t="shared" si="180"/>
        <v>128.60558067599001</v>
      </c>
      <c r="AB335" s="118">
        <v>8.579974625463592</v>
      </c>
      <c r="AD335" s="5"/>
      <c r="AE335" s="92"/>
      <c r="AF335" s="92"/>
      <c r="AG335" s="92"/>
      <c r="AH335" s="92"/>
      <c r="AI335" s="93"/>
      <c r="AJ335" s="93"/>
    </row>
    <row r="336" spans="1:36" x14ac:dyDescent="0.3">
      <c r="A336" s="1">
        <v>2026</v>
      </c>
      <c r="B336" s="52">
        <v>46235</v>
      </c>
      <c r="C336" s="1" t="str">
        <f t="shared" si="176"/>
        <v>sáb</v>
      </c>
      <c r="D336" s="5">
        <f t="shared" si="171"/>
        <v>46242</v>
      </c>
      <c r="E336" s="30">
        <v>145.58697867173126</v>
      </c>
      <c r="F336" s="14">
        <f>+'Mono SPOT MAT'!M336/'Fisico SPOT MAT'!M336/24</f>
        <v>143.494366116961</v>
      </c>
      <c r="G336" s="13">
        <f t="shared" ref="G336:G344" si="183">16*R336</f>
        <v>17.600000000000001</v>
      </c>
      <c r="H336" s="12">
        <f>+'Mono ASIG'!AA336</f>
        <v>77.749882187697636</v>
      </c>
      <c r="I336" s="12">
        <f t="shared" si="181"/>
        <v>63.851492199418189</v>
      </c>
      <c r="J336" s="12">
        <f t="shared" ref="J336:J344" si="184">16*R336</f>
        <v>17.600000000000001</v>
      </c>
      <c r="K336" s="115">
        <f>+'Mono SPOT MAT'!T336</f>
        <v>80</v>
      </c>
      <c r="L336" s="86"/>
      <c r="M336" s="86"/>
      <c r="N336" s="107">
        <f>+'Mono SPOT MAT'!S336/'Fisico SPOT MAT'!S336/'Fisico SPOT MAT'!E336</f>
        <v>16.356976365844559</v>
      </c>
      <c r="O336" s="86"/>
      <c r="R336">
        <v>1.1000000000000001</v>
      </c>
      <c r="Y336" s="5">
        <f t="shared" si="182"/>
        <v>46242</v>
      </c>
      <c r="Z336" s="87">
        <f t="shared" si="179"/>
        <v>145.58697867173126</v>
      </c>
      <c r="AA336" s="87">
        <f t="shared" si="180"/>
        <v>136.68873514577774</v>
      </c>
      <c r="AB336" s="118">
        <v>6.8056309711832554</v>
      </c>
      <c r="AD336" s="5"/>
      <c r="AE336" s="92"/>
      <c r="AF336" s="92"/>
      <c r="AG336" s="92"/>
      <c r="AH336" s="92"/>
      <c r="AI336" s="93"/>
      <c r="AJ336" s="93"/>
    </row>
    <row r="337" spans="1:36" x14ac:dyDescent="0.3">
      <c r="A337" s="1">
        <v>2026</v>
      </c>
      <c r="B337" s="52">
        <v>46235</v>
      </c>
      <c r="C337" s="1" t="str">
        <f t="shared" si="176"/>
        <v>dom</v>
      </c>
      <c r="D337" s="5">
        <f t="shared" si="171"/>
        <v>46243</v>
      </c>
      <c r="E337" s="30">
        <v>104.60210834703581</v>
      </c>
      <c r="F337" s="14">
        <f>+'Mono SPOT MAT'!M337/'Fisico SPOT MAT'!M337/24</f>
        <v>150.52971396144983</v>
      </c>
      <c r="G337" s="13">
        <f t="shared" si="183"/>
        <v>17.600000000000001</v>
      </c>
      <c r="H337" s="12">
        <f>+'Mono ASIG'!AA337</f>
        <v>77.240558973016974</v>
      </c>
      <c r="I337" s="12">
        <f t="shared" si="181"/>
        <v>63.342168984737526</v>
      </c>
      <c r="J337" s="12">
        <f t="shared" si="184"/>
        <v>17.600000000000001</v>
      </c>
      <c r="K337" s="115">
        <f>+'Mono SPOT MAT'!T337</f>
        <v>80</v>
      </c>
      <c r="L337" s="86"/>
      <c r="M337" s="86"/>
      <c r="N337" s="107">
        <f>+'Mono SPOT MAT'!S337/'Fisico SPOT MAT'!S337/'Fisico SPOT MAT'!E337</f>
        <v>16.36094548548817</v>
      </c>
      <c r="O337" s="86"/>
      <c r="R337">
        <v>1.1000000000000001</v>
      </c>
      <c r="Y337" s="5">
        <f t="shared" si="182"/>
        <v>46243</v>
      </c>
      <c r="Z337" s="87">
        <f t="shared" ref="Z337:Z344" si="185">+E337</f>
        <v>104.60210834703581</v>
      </c>
      <c r="AA337" s="87">
        <f t="shared" ref="AA337:AA344" si="186">+F337-AB337</f>
        <v>146.39771362936131</v>
      </c>
      <c r="AB337" s="118">
        <v>4.1320003320885217</v>
      </c>
      <c r="AD337" s="5"/>
      <c r="AE337" s="92"/>
      <c r="AF337" s="92"/>
      <c r="AG337" s="92"/>
      <c r="AH337" s="92"/>
      <c r="AI337" s="93"/>
      <c r="AJ337" s="93"/>
    </row>
    <row r="338" spans="1:36" x14ac:dyDescent="0.3">
      <c r="A338" s="1">
        <v>2026</v>
      </c>
      <c r="B338" s="52">
        <v>46235</v>
      </c>
      <c r="C338" s="1" t="str">
        <f t="shared" si="176"/>
        <v>lun</v>
      </c>
      <c r="D338" s="5">
        <f t="shared" si="171"/>
        <v>46244</v>
      </c>
      <c r="E338" s="30">
        <v>196.91493739567429</v>
      </c>
      <c r="F338" s="14">
        <f>+'Mono SPOT MAT'!M338/'Fisico SPOT MAT'!M338/24</f>
        <v>168.59108442215469</v>
      </c>
      <c r="G338" s="13">
        <f t="shared" si="183"/>
        <v>17.600000000000001</v>
      </c>
      <c r="H338" s="12">
        <f>+'Mono ASIG'!AA338</f>
        <v>87.076269760316663</v>
      </c>
      <c r="I338" s="12">
        <f t="shared" si="181"/>
        <v>73.177879772037215</v>
      </c>
      <c r="J338" s="12">
        <f t="shared" si="184"/>
        <v>17.600000000000001</v>
      </c>
      <c r="K338" s="115">
        <f>+'Mono SPOT MAT'!T338</f>
        <v>80</v>
      </c>
      <c r="L338" s="86"/>
      <c r="M338" s="86"/>
      <c r="N338" s="107">
        <f>+'Mono SPOT MAT'!S338/'Fisico SPOT MAT'!S338/'Fisico SPOT MAT'!E338</f>
        <v>16.33656126916598</v>
      </c>
      <c r="O338" s="86"/>
      <c r="R338">
        <v>1.1000000000000001</v>
      </c>
      <c r="Y338" s="5">
        <f t="shared" si="182"/>
        <v>46244</v>
      </c>
      <c r="Z338" s="87">
        <f t="shared" si="185"/>
        <v>196.91493739567429</v>
      </c>
      <c r="AA338" s="87">
        <f t="shared" si="186"/>
        <v>159.58553074370769</v>
      </c>
      <c r="AB338" s="118">
        <v>9.0055536784469972</v>
      </c>
      <c r="AD338" s="5"/>
      <c r="AE338" s="92"/>
      <c r="AF338" s="92"/>
      <c r="AG338" s="92"/>
      <c r="AH338" s="92"/>
      <c r="AI338" s="93"/>
      <c r="AJ338" s="93"/>
    </row>
    <row r="339" spans="1:36" x14ac:dyDescent="0.3">
      <c r="A339" s="1">
        <v>2026</v>
      </c>
      <c r="B339" s="52">
        <v>46235</v>
      </c>
      <c r="C339" s="1" t="str">
        <f t="shared" si="176"/>
        <v>mar</v>
      </c>
      <c r="D339" s="5">
        <f t="shared" si="171"/>
        <v>46245</v>
      </c>
      <c r="E339" s="30">
        <v>206.90159276891563</v>
      </c>
      <c r="F339" s="14">
        <f>+'Mono SPOT MAT'!M339/'Fisico SPOT MAT'!M339/24</f>
        <v>182.34706996618863</v>
      </c>
      <c r="G339" s="13">
        <f t="shared" si="183"/>
        <v>17.600000000000001</v>
      </c>
      <c r="H339" s="12">
        <f>+'Mono ASIG'!AA339</f>
        <v>91.03359961464507</v>
      </c>
      <c r="I339" s="12">
        <f t="shared" si="181"/>
        <v>77.135209626365622</v>
      </c>
      <c r="J339" s="12">
        <f t="shared" si="184"/>
        <v>17.600000000000001</v>
      </c>
      <c r="K339" s="115">
        <f>+'Mono SPOT MAT'!T339</f>
        <v>80</v>
      </c>
      <c r="L339" s="86"/>
      <c r="M339" s="86"/>
      <c r="N339" s="107">
        <f>+'Mono SPOT MAT'!S339/'Fisico SPOT MAT'!S339/'Fisico SPOT MAT'!E339</f>
        <v>16.327380237319431</v>
      </c>
      <c r="O339" s="86"/>
      <c r="R339">
        <v>1.1000000000000001</v>
      </c>
      <c r="Y339" s="5">
        <f t="shared" si="182"/>
        <v>46245</v>
      </c>
      <c r="Z339" s="87">
        <f t="shared" si="185"/>
        <v>206.90159276891563</v>
      </c>
      <c r="AA339" s="87">
        <f t="shared" si="186"/>
        <v>172.64656789019435</v>
      </c>
      <c r="AB339" s="118">
        <v>9.7005020759942706</v>
      </c>
      <c r="AD339" s="5"/>
      <c r="AE339" s="92"/>
      <c r="AF339" s="92"/>
      <c r="AG339" s="92"/>
      <c r="AH339" s="92"/>
      <c r="AI339" s="93"/>
      <c r="AJ339" s="93"/>
    </row>
    <row r="340" spans="1:36" x14ac:dyDescent="0.3">
      <c r="A340" s="1">
        <v>2026</v>
      </c>
      <c r="B340" s="52">
        <v>46235</v>
      </c>
      <c r="C340" s="1" t="str">
        <f t="shared" si="176"/>
        <v>mié</v>
      </c>
      <c r="D340" s="5">
        <f t="shared" si="171"/>
        <v>46246</v>
      </c>
      <c r="E340" s="30">
        <v>249.19771830322347</v>
      </c>
      <c r="F340" s="14">
        <f>+'Mono SPOT MAT'!M340/'Fisico SPOT MAT'!M340/24</f>
        <v>188.03778539742777</v>
      </c>
      <c r="G340" s="13">
        <f t="shared" si="183"/>
        <v>17.600000000000001</v>
      </c>
      <c r="H340" s="12">
        <f>+'Mono ASIG'!AA340</f>
        <v>100.29980782969265</v>
      </c>
      <c r="I340" s="12">
        <f t="shared" si="181"/>
        <v>86.401417841413206</v>
      </c>
      <c r="J340" s="12">
        <f t="shared" si="184"/>
        <v>17.600000000000001</v>
      </c>
      <c r="K340" s="115">
        <f>+'Mono SPOT MAT'!T340</f>
        <v>80</v>
      </c>
      <c r="L340" s="86"/>
      <c r="M340" s="86"/>
      <c r="N340" s="107">
        <f>+'Mono SPOT MAT'!S340/'Fisico SPOT MAT'!S340/'Fisico SPOT MAT'!E340</f>
        <v>16.246298650918419</v>
      </c>
      <c r="O340" s="86"/>
      <c r="R340">
        <v>1.1000000000000001</v>
      </c>
      <c r="Y340" s="5">
        <f t="shared" si="182"/>
        <v>46246</v>
      </c>
      <c r="Z340" s="87">
        <f t="shared" si="185"/>
        <v>249.19771830322347</v>
      </c>
      <c r="AA340" s="87">
        <f t="shared" si="186"/>
        <v>172.79849800663109</v>
      </c>
      <c r="AB340" s="118">
        <v>15.239287390796667</v>
      </c>
      <c r="AD340" s="5"/>
      <c r="AE340" s="92"/>
      <c r="AF340" s="92"/>
      <c r="AG340" s="92"/>
      <c r="AH340" s="92"/>
      <c r="AI340" s="93"/>
      <c r="AJ340" s="93"/>
    </row>
    <row r="341" spans="1:36" x14ac:dyDescent="0.3">
      <c r="A341" s="1">
        <v>2026</v>
      </c>
      <c r="B341" s="52">
        <v>46235</v>
      </c>
      <c r="C341" s="1" t="str">
        <f t="shared" si="176"/>
        <v>jue</v>
      </c>
      <c r="D341" s="5">
        <f t="shared" si="171"/>
        <v>46247</v>
      </c>
      <c r="E341" s="30">
        <v>200.53736556664208</v>
      </c>
      <c r="F341" s="14">
        <f>+'Mono SPOT MAT'!M341/'Fisico SPOT MAT'!M341/24</f>
        <v>180.92394812740292</v>
      </c>
      <c r="G341" s="13">
        <f t="shared" si="183"/>
        <v>17.600000000000001</v>
      </c>
      <c r="H341" s="12">
        <f>+'Mono ASIG'!AA341</f>
        <v>87.851542435110034</v>
      </c>
      <c r="I341" s="12">
        <f t="shared" si="181"/>
        <v>73.953152446830586</v>
      </c>
      <c r="J341" s="12">
        <f t="shared" si="184"/>
        <v>17.600000000000001</v>
      </c>
      <c r="K341" s="115">
        <f>+'Mono SPOT MAT'!T341</f>
        <v>80</v>
      </c>
      <c r="L341" s="86"/>
      <c r="M341" s="86"/>
      <c r="N341" s="107">
        <f>+'Mono SPOT MAT'!S341/'Fisico SPOT MAT'!S341/'Fisico SPOT MAT'!E341</f>
        <v>16.345558494685722</v>
      </c>
      <c r="O341" s="86"/>
      <c r="R341">
        <v>1.1000000000000001</v>
      </c>
      <c r="Y341" s="5">
        <f t="shared" si="182"/>
        <v>46247</v>
      </c>
      <c r="Z341" s="87">
        <f t="shared" si="185"/>
        <v>200.53736556664208</v>
      </c>
      <c r="AA341" s="87">
        <f t="shared" si="186"/>
        <v>171.99502414943839</v>
      </c>
      <c r="AB341" s="118">
        <v>8.9289239779645353</v>
      </c>
      <c r="AD341" s="5"/>
      <c r="AE341" s="92"/>
      <c r="AF341" s="92"/>
      <c r="AG341" s="92"/>
      <c r="AH341" s="92"/>
      <c r="AI341" s="93"/>
      <c r="AJ341" s="93"/>
    </row>
    <row r="342" spans="1:36" x14ac:dyDescent="0.3">
      <c r="A342" s="1">
        <v>2026</v>
      </c>
      <c r="B342" s="52">
        <v>46235</v>
      </c>
      <c r="C342" s="1" t="str">
        <f t="shared" si="176"/>
        <v>vie</v>
      </c>
      <c r="D342" s="5">
        <f t="shared" si="171"/>
        <v>46248</v>
      </c>
      <c r="E342" s="30">
        <v>170.41948223749071</v>
      </c>
      <c r="F342" s="14">
        <f>+'Mono SPOT MAT'!M342/'Fisico SPOT MAT'!M342/24</f>
        <v>183.24294806011153</v>
      </c>
      <c r="G342" s="13">
        <f t="shared" si="183"/>
        <v>17.600000000000001</v>
      </c>
      <c r="H342" s="12">
        <f>+'Mono ASIG'!AA342</f>
        <v>94.680866500221327</v>
      </c>
      <c r="I342" s="12">
        <f t="shared" si="181"/>
        <v>80.78247651194188</v>
      </c>
      <c r="J342" s="12">
        <f t="shared" si="184"/>
        <v>17.600000000000001</v>
      </c>
      <c r="K342" s="115">
        <f>+'Mono SPOT MAT'!T342</f>
        <v>80</v>
      </c>
      <c r="L342" s="86"/>
      <c r="M342" s="86"/>
      <c r="N342" s="107">
        <f>+'Mono SPOT MAT'!S342/'Fisico SPOT MAT'!S342/'Fisico SPOT MAT'!E342</f>
        <v>16.285800241670923</v>
      </c>
      <c r="O342" s="86"/>
      <c r="R342">
        <v>1.1000000000000001</v>
      </c>
      <c r="Y342" s="5">
        <f t="shared" si="182"/>
        <v>46248</v>
      </c>
      <c r="Z342" s="87">
        <f t="shared" si="185"/>
        <v>170.41948223749071</v>
      </c>
      <c r="AA342" s="87">
        <f t="shared" si="186"/>
        <v>176.55559558785191</v>
      </c>
      <c r="AB342" s="118">
        <v>6.6873524722596107</v>
      </c>
      <c r="AD342" s="5"/>
      <c r="AE342" s="92"/>
      <c r="AF342" s="92"/>
      <c r="AG342" s="92"/>
      <c r="AH342" s="92"/>
      <c r="AI342" s="93"/>
      <c r="AJ342" s="93"/>
    </row>
    <row r="343" spans="1:36" x14ac:dyDescent="0.3">
      <c r="A343" s="1">
        <v>2026</v>
      </c>
      <c r="B343" s="52">
        <v>46235</v>
      </c>
      <c r="C343" s="1" t="str">
        <f t="shared" si="176"/>
        <v>sáb</v>
      </c>
      <c r="D343" s="5">
        <f t="shared" si="171"/>
        <v>46249</v>
      </c>
      <c r="E343" s="30">
        <v>124.56049095146834</v>
      </c>
      <c r="F343" s="14">
        <f>+'Mono SPOT MAT'!M343/'Fisico SPOT MAT'!M343/24</f>
        <v>148.14038380700885</v>
      </c>
      <c r="G343" s="13">
        <f t="shared" si="183"/>
        <v>17.600000000000001</v>
      </c>
      <c r="H343" s="12">
        <f>+'Mono ASIG'!AA343</f>
        <v>83.730689170675404</v>
      </c>
      <c r="I343" s="12">
        <f t="shared" si="181"/>
        <v>69.832299182395957</v>
      </c>
      <c r="J343" s="12">
        <f t="shared" si="184"/>
        <v>17.600000000000001</v>
      </c>
      <c r="K343" s="115">
        <f>+'Mono SPOT MAT'!T343</f>
        <v>80</v>
      </c>
      <c r="L343" s="86"/>
      <c r="M343" s="86"/>
      <c r="N343" s="107">
        <f>+'Mono SPOT MAT'!S343/'Fisico SPOT MAT'!S343/'Fisico SPOT MAT'!E343</f>
        <v>16.259393173013908</v>
      </c>
      <c r="O343" s="86"/>
      <c r="R343">
        <v>1.1000000000000001</v>
      </c>
      <c r="Y343" s="5">
        <f t="shared" si="182"/>
        <v>46249</v>
      </c>
      <c r="Z343" s="87">
        <f t="shared" si="185"/>
        <v>124.56049095146834</v>
      </c>
      <c r="AA343" s="87">
        <f t="shared" si="186"/>
        <v>143.99047495353005</v>
      </c>
      <c r="AB343" s="118">
        <v>4.1499088534787827</v>
      </c>
      <c r="AD343" s="5"/>
      <c r="AE343" s="92"/>
      <c r="AF343" s="92"/>
      <c r="AG343" s="92"/>
      <c r="AH343" s="92"/>
      <c r="AI343" s="93"/>
      <c r="AJ343" s="93"/>
    </row>
    <row r="344" spans="1:36" x14ac:dyDescent="0.3">
      <c r="A344" s="1">
        <v>2026</v>
      </c>
      <c r="B344" s="52">
        <v>46235</v>
      </c>
      <c r="C344" s="1" t="str">
        <f t="shared" si="176"/>
        <v>dom</v>
      </c>
      <c r="D344" s="5">
        <f t="shared" si="171"/>
        <v>46250</v>
      </c>
      <c r="E344" s="30">
        <v>136.97928178085999</v>
      </c>
      <c r="F344" s="14">
        <f>+'Mono SPOT MAT'!M344/'Fisico SPOT MAT'!M344/24</f>
        <v>108.40111685375048</v>
      </c>
      <c r="G344" s="13">
        <f t="shared" si="183"/>
        <v>17.600000000000001</v>
      </c>
      <c r="H344" s="12">
        <f>+'Mono ASIG'!AA344</f>
        <v>80.882926002293132</v>
      </c>
      <c r="I344" s="12">
        <f t="shared" si="181"/>
        <v>66.984536014013685</v>
      </c>
      <c r="J344" s="12">
        <f t="shared" si="184"/>
        <v>17.600000000000001</v>
      </c>
      <c r="K344" s="115">
        <f>+'Mono SPOT MAT'!T344</f>
        <v>80</v>
      </c>
      <c r="L344" s="86"/>
      <c r="M344" s="86"/>
      <c r="N344" s="107">
        <f>+'Mono SPOT MAT'!S344/'Fisico SPOT MAT'!S344/'Fisico SPOT MAT'!E344</f>
        <v>16.224015440738633</v>
      </c>
      <c r="O344" s="86"/>
      <c r="R344">
        <v>1.1000000000000001</v>
      </c>
      <c r="Y344" s="5">
        <f t="shared" si="182"/>
        <v>46250</v>
      </c>
      <c r="Z344" s="87">
        <f t="shared" si="185"/>
        <v>136.97928178085999</v>
      </c>
      <c r="AA344" s="87">
        <f t="shared" si="186"/>
        <v>101.75164381260737</v>
      </c>
      <c r="AB344" s="118">
        <v>6.6494730411431044</v>
      </c>
      <c r="AD344" s="5"/>
      <c r="AE344" s="92"/>
      <c r="AF344" s="92"/>
      <c r="AG344" s="92"/>
      <c r="AH344" s="92"/>
      <c r="AI344" s="93"/>
      <c r="AJ344" s="93"/>
    </row>
    <row r="345" spans="1:36" x14ac:dyDescent="0.3">
      <c r="A345" s="1">
        <v>2026</v>
      </c>
      <c r="B345" s="52">
        <v>46235</v>
      </c>
      <c r="C345" s="1" t="str">
        <f t="shared" si="176"/>
        <v>lun</v>
      </c>
      <c r="D345" s="5">
        <f t="shared" si="171"/>
        <v>46251</v>
      </c>
      <c r="E345" s="30">
        <v>142.99282844289698</v>
      </c>
      <c r="F345" s="14">
        <f>+'Mono SPOT MAT'!M345/'Fisico SPOT MAT'!M345/24</f>
        <v>101.50969860639185</v>
      </c>
      <c r="G345" s="13">
        <f t="shared" ref="G345:G350" si="187">16*R345</f>
        <v>17.600000000000001</v>
      </c>
      <c r="H345" s="12">
        <f>+'Mono ASIG'!AA345</f>
        <v>81.046107993536225</v>
      </c>
      <c r="I345" s="12">
        <f t="shared" si="181"/>
        <v>67.147718005256777</v>
      </c>
      <c r="J345" s="12">
        <f t="shared" ref="J345:J350" si="188">16*R345</f>
        <v>17.600000000000001</v>
      </c>
      <c r="K345" s="115">
        <f>+'Mono SPOT MAT'!T345</f>
        <v>80</v>
      </c>
      <c r="L345" s="86"/>
      <c r="M345" s="86"/>
      <c r="N345" s="107">
        <f>+'Mono SPOT MAT'!S345/'Fisico SPOT MAT'!S345/'Fisico SPOT MAT'!E345</f>
        <v>16.242042443812078</v>
      </c>
      <c r="O345" s="86"/>
      <c r="R345">
        <v>1.1000000000000001</v>
      </c>
      <c r="Y345" s="5">
        <f t="shared" si="182"/>
        <v>46251</v>
      </c>
      <c r="Z345" s="87">
        <f t="shared" ref="Z345:Z350" si="189">+E345</f>
        <v>142.99282844289698</v>
      </c>
      <c r="AA345" s="87">
        <f t="shared" ref="AA345:AA350" si="190">+F345-AB345</f>
        <v>91.999372094528226</v>
      </c>
      <c r="AB345" s="118">
        <v>9.5103265118636262</v>
      </c>
      <c r="AD345" s="5"/>
      <c r="AE345" s="92"/>
      <c r="AF345" s="92"/>
      <c r="AG345" s="92"/>
      <c r="AH345" s="92"/>
      <c r="AI345" s="93"/>
      <c r="AJ345" s="93"/>
    </row>
    <row r="346" spans="1:36" x14ac:dyDescent="0.3">
      <c r="A346" s="1">
        <v>2026</v>
      </c>
      <c r="B346" s="52">
        <v>46235</v>
      </c>
      <c r="C346" s="1" t="str">
        <f t="shared" si="176"/>
        <v>mar</v>
      </c>
      <c r="D346" s="5">
        <f t="shared" si="171"/>
        <v>46252</v>
      </c>
      <c r="E346" s="30">
        <v>239.87727210931578</v>
      </c>
      <c r="F346" s="14">
        <f>+'Mono SPOT MAT'!M346/'Fisico SPOT MAT'!M346/24</f>
        <v>143.31834720382088</v>
      </c>
      <c r="G346" s="13">
        <f t="shared" si="187"/>
        <v>17.600000000000001</v>
      </c>
      <c r="H346" s="12">
        <f>+'Mono ASIG'!AA346</f>
        <v>86.58136041281476</v>
      </c>
      <c r="I346" s="12">
        <f t="shared" si="181"/>
        <v>72.682970424535313</v>
      </c>
      <c r="J346" s="12">
        <f t="shared" si="188"/>
        <v>17.600000000000001</v>
      </c>
      <c r="K346" s="115">
        <f>+'Mono SPOT MAT'!T346</f>
        <v>80</v>
      </c>
      <c r="L346" s="86"/>
      <c r="M346" s="86"/>
      <c r="N346" s="107">
        <f>+'Mono SPOT MAT'!S346/'Fisico SPOT MAT'!S346/'Fisico SPOT MAT'!E346</f>
        <v>16.363990835988318</v>
      </c>
      <c r="O346" s="86"/>
      <c r="R346">
        <v>1.1000000000000001</v>
      </c>
      <c r="Y346" s="5">
        <f t="shared" si="182"/>
        <v>46252</v>
      </c>
      <c r="Z346" s="87">
        <f t="shared" si="189"/>
        <v>239.87727210931578</v>
      </c>
      <c r="AA346" s="87">
        <f t="shared" si="190"/>
        <v>123.38116411241518</v>
      </c>
      <c r="AB346" s="118">
        <v>19.937183091405704</v>
      </c>
      <c r="AD346" s="5"/>
      <c r="AE346" s="92"/>
      <c r="AF346" s="92"/>
      <c r="AG346" s="92"/>
      <c r="AH346" s="92"/>
      <c r="AI346" s="93"/>
      <c r="AJ346" s="93"/>
    </row>
    <row r="347" spans="1:36" x14ac:dyDescent="0.3">
      <c r="A347" s="1">
        <v>2026</v>
      </c>
      <c r="B347" s="52">
        <v>46235</v>
      </c>
      <c r="C347" s="1" t="str">
        <f t="shared" si="176"/>
        <v>mié</v>
      </c>
      <c r="D347" s="5">
        <f t="shared" si="171"/>
        <v>46253</v>
      </c>
      <c r="E347" s="30">
        <v>163.78279333606571</v>
      </c>
      <c r="F347" s="14">
        <f>+'Mono SPOT MAT'!M347/'Fisico SPOT MAT'!M347/24</f>
        <v>148.48051847682459</v>
      </c>
      <c r="G347" s="13">
        <f t="shared" si="187"/>
        <v>17.600000000000001</v>
      </c>
      <c r="H347" s="12">
        <f>+'Mono ASIG'!AA347</f>
        <v>82.941344969979966</v>
      </c>
      <c r="I347" s="12">
        <f t="shared" si="181"/>
        <v>69.042954981700518</v>
      </c>
      <c r="J347" s="12">
        <f t="shared" si="188"/>
        <v>17.600000000000001</v>
      </c>
      <c r="K347" s="115">
        <f>+'Mono SPOT MAT'!T347</f>
        <v>80</v>
      </c>
      <c r="L347" s="86"/>
      <c r="M347" s="86"/>
      <c r="N347" s="107">
        <f>+'Mono SPOT MAT'!S347/'Fisico SPOT MAT'!S347/'Fisico SPOT MAT'!E347</f>
        <v>16.405672146884413</v>
      </c>
      <c r="O347" s="86"/>
      <c r="R347">
        <v>1.1000000000000001</v>
      </c>
      <c r="Y347" s="5">
        <f t="shared" si="182"/>
        <v>46253</v>
      </c>
      <c r="Z347" s="87">
        <f t="shared" si="189"/>
        <v>163.78279333606571</v>
      </c>
      <c r="AA347" s="87">
        <f t="shared" si="190"/>
        <v>138.3384610589718</v>
      </c>
      <c r="AB347" s="118">
        <v>10.142057417852769</v>
      </c>
      <c r="AD347" s="5"/>
      <c r="AE347" s="92"/>
      <c r="AF347" s="92"/>
      <c r="AG347" s="92"/>
      <c r="AH347" s="92"/>
      <c r="AI347" s="93"/>
      <c r="AJ347" s="93"/>
    </row>
    <row r="348" spans="1:36" x14ac:dyDescent="0.3">
      <c r="A348" s="1">
        <v>2026</v>
      </c>
      <c r="B348" s="52">
        <v>46235</v>
      </c>
      <c r="C348" s="1" t="str">
        <f t="shared" si="176"/>
        <v>jue</v>
      </c>
      <c r="D348" s="5">
        <f t="shared" si="171"/>
        <v>46254</v>
      </c>
      <c r="E348" s="30">
        <v>112.57126027027232</v>
      </c>
      <c r="F348" s="14">
        <f>+'Mono SPOT MAT'!M348/'Fisico SPOT MAT'!M348/24</f>
        <v>136.76650912511676</v>
      </c>
      <c r="G348" s="13">
        <f t="shared" si="187"/>
        <v>17.600000000000001</v>
      </c>
      <c r="H348" s="12">
        <f>+'Mono ASIG'!AA348</f>
        <v>81.868127457556611</v>
      </c>
      <c r="I348" s="12">
        <f t="shared" si="181"/>
        <v>67.969737469277163</v>
      </c>
      <c r="J348" s="12">
        <f t="shared" si="188"/>
        <v>17.600000000000001</v>
      </c>
      <c r="K348" s="115">
        <f>+'Mono SPOT MAT'!T348</f>
        <v>80</v>
      </c>
      <c r="L348" s="86"/>
      <c r="M348" s="86"/>
      <c r="N348" s="107">
        <f>+'Mono SPOT MAT'!S348/'Fisico SPOT MAT'!S348/'Fisico SPOT MAT'!E348</f>
        <v>16.402883408624685</v>
      </c>
      <c r="O348" s="86"/>
      <c r="R348">
        <v>1.1000000000000001</v>
      </c>
      <c r="Y348" s="5">
        <f t="shared" si="182"/>
        <v>46254</v>
      </c>
      <c r="Z348" s="87">
        <f t="shared" si="189"/>
        <v>112.57126027027232</v>
      </c>
      <c r="AA348" s="87">
        <f t="shared" si="190"/>
        <v>132.9021242723768</v>
      </c>
      <c r="AB348" s="118">
        <v>3.8643848527399518</v>
      </c>
      <c r="AD348" s="5"/>
      <c r="AE348" s="92"/>
      <c r="AF348" s="92"/>
      <c r="AG348" s="92"/>
      <c r="AH348" s="92"/>
      <c r="AI348" s="93"/>
      <c r="AJ348" s="93"/>
    </row>
    <row r="349" spans="1:36" x14ac:dyDescent="0.3">
      <c r="A349" s="1">
        <v>2026</v>
      </c>
      <c r="B349" s="52">
        <v>46235</v>
      </c>
      <c r="C349" s="1" t="str">
        <f t="shared" si="176"/>
        <v>vie</v>
      </c>
      <c r="D349" s="5">
        <f t="shared" si="171"/>
        <v>46255</v>
      </c>
      <c r="E349" s="30">
        <v>130.1169168957355</v>
      </c>
      <c r="F349" s="14">
        <f>+'Mono SPOT MAT'!M349/'Fisico SPOT MAT'!M349/24</f>
        <v>145.18146038459983</v>
      </c>
      <c r="G349" s="13">
        <f t="shared" si="187"/>
        <v>17.600000000000001</v>
      </c>
      <c r="H349" s="12">
        <f>+'Mono ASIG'!AA349</f>
        <v>83.2515081492799</v>
      </c>
      <c r="I349" s="12">
        <f t="shared" si="181"/>
        <v>69.353118161000452</v>
      </c>
      <c r="J349" s="12">
        <f t="shared" si="188"/>
        <v>17.600000000000001</v>
      </c>
      <c r="K349" s="115">
        <f>+'Mono SPOT MAT'!T349</f>
        <v>80</v>
      </c>
      <c r="L349" s="86"/>
      <c r="M349" s="86"/>
      <c r="N349" s="107">
        <f>+'Mono SPOT MAT'!S349/'Fisico SPOT MAT'!S349/'Fisico SPOT MAT'!E349</f>
        <v>16.419390228965959</v>
      </c>
      <c r="O349" s="86"/>
      <c r="R349">
        <v>1.1000000000000001</v>
      </c>
      <c r="Y349" s="5">
        <f t="shared" si="182"/>
        <v>46255</v>
      </c>
      <c r="Z349" s="87">
        <f t="shared" si="189"/>
        <v>130.1169168957355</v>
      </c>
      <c r="AA349" s="87">
        <f t="shared" si="190"/>
        <v>139.91696754694144</v>
      </c>
      <c r="AB349" s="118">
        <v>5.2644928376583859</v>
      </c>
      <c r="AD349" s="5"/>
      <c r="AE349" s="92"/>
      <c r="AF349" s="92"/>
      <c r="AG349" s="92"/>
      <c r="AH349" s="92"/>
      <c r="AI349" s="93"/>
      <c r="AJ349" s="93"/>
    </row>
    <row r="350" spans="1:36" x14ac:dyDescent="0.3">
      <c r="A350" s="1">
        <v>2026</v>
      </c>
      <c r="B350" s="52">
        <v>46235</v>
      </c>
      <c r="C350" s="1" t="str">
        <f t="shared" si="176"/>
        <v>sáb</v>
      </c>
      <c r="D350" s="5">
        <f t="shared" si="171"/>
        <v>46256</v>
      </c>
      <c r="E350" s="30">
        <v>122.70040993199804</v>
      </c>
      <c r="F350" s="14">
        <f>+'Mono SPOT MAT'!M350/'Fisico SPOT MAT'!M350/24</f>
        <v>141.3902759043045</v>
      </c>
      <c r="G350" s="13">
        <f t="shared" si="187"/>
        <v>17.600000000000001</v>
      </c>
      <c r="H350" s="12">
        <f>+'Mono ASIG'!AA350</f>
        <v>78.885458063814397</v>
      </c>
      <c r="I350" s="12">
        <f t="shared" si="181"/>
        <v>64.98706807553495</v>
      </c>
      <c r="J350" s="12">
        <f t="shared" si="188"/>
        <v>17.600000000000001</v>
      </c>
      <c r="K350" s="115">
        <f>+'Mono SPOT MAT'!T350</f>
        <v>80</v>
      </c>
      <c r="L350" s="86"/>
      <c r="M350" s="86"/>
      <c r="N350" s="107">
        <f>+'Mono SPOT MAT'!S350/'Fisico SPOT MAT'!S350/'Fisico SPOT MAT'!E350</f>
        <v>16.409869201588371</v>
      </c>
      <c r="O350" s="86"/>
      <c r="R350">
        <v>1.1000000000000001</v>
      </c>
      <c r="Y350" s="5">
        <f t="shared" si="182"/>
        <v>46256</v>
      </c>
      <c r="Z350" s="87">
        <f t="shared" si="189"/>
        <v>122.70040993199804</v>
      </c>
      <c r="AA350" s="87">
        <f t="shared" si="190"/>
        <v>137.34197312676957</v>
      </c>
      <c r="AB350" s="118">
        <v>4.0483027775349196</v>
      </c>
      <c r="AD350" s="5"/>
      <c r="AE350" s="92"/>
      <c r="AF350" s="92"/>
      <c r="AG350" s="92"/>
      <c r="AH350" s="92"/>
      <c r="AI350" s="93"/>
      <c r="AJ350" s="93"/>
    </row>
    <row r="351" spans="1:36" x14ac:dyDescent="0.3">
      <c r="A351" s="1">
        <v>2026</v>
      </c>
      <c r="B351" s="52">
        <v>46235</v>
      </c>
      <c r="C351" s="1" t="str">
        <f t="shared" si="176"/>
        <v>dom</v>
      </c>
      <c r="D351" s="5">
        <f t="shared" si="171"/>
        <v>46257</v>
      </c>
      <c r="E351" s="30">
        <v>121.73483439623946</v>
      </c>
      <c r="F351" s="14">
        <f>+'Mono SPOT MAT'!M351/'Fisico SPOT MAT'!M351/24</f>
        <v>131.82161784894041</v>
      </c>
      <c r="G351" s="13">
        <f t="shared" ref="G351:G357" si="191">16*R351</f>
        <v>17.600000000000001</v>
      </c>
      <c r="H351" s="12">
        <f>+'Mono ASIG'!AA351</f>
        <v>76.86855994959781</v>
      </c>
      <c r="I351" s="12">
        <f t="shared" si="181"/>
        <v>62.970169961318362</v>
      </c>
      <c r="J351" s="12">
        <f t="shared" ref="J351:J357" si="192">16*R351</f>
        <v>17.600000000000001</v>
      </c>
      <c r="K351" s="115">
        <f>+'Mono SPOT MAT'!T351</f>
        <v>80</v>
      </c>
      <c r="L351" s="86"/>
      <c r="M351" s="86"/>
      <c r="N351" s="107">
        <f>+'Mono SPOT MAT'!S351/'Fisico SPOT MAT'!S351/'Fisico SPOT MAT'!E351</f>
        <v>16.425686823163588</v>
      </c>
      <c r="O351" s="86"/>
      <c r="R351">
        <v>1.1000000000000001</v>
      </c>
      <c r="Y351" s="5">
        <f t="shared" si="182"/>
        <v>46257</v>
      </c>
      <c r="Z351" s="87">
        <f t="shared" ref="Z351:Z357" si="193">+E351</f>
        <v>121.73483439623946</v>
      </c>
      <c r="AA351" s="87">
        <f t="shared" ref="AA351:AA357" si="194">+F351-AB351</f>
        <v>127.3359734856173</v>
      </c>
      <c r="AB351" s="118">
        <v>4.4856443633231082</v>
      </c>
      <c r="AD351" s="5"/>
      <c r="AE351" s="92"/>
      <c r="AF351" s="92"/>
      <c r="AG351" s="92"/>
      <c r="AH351" s="92"/>
      <c r="AI351" s="93"/>
      <c r="AJ351" s="93"/>
    </row>
    <row r="352" spans="1:36" x14ac:dyDescent="0.3">
      <c r="A352" s="1">
        <v>2026</v>
      </c>
      <c r="B352" s="52">
        <v>46235</v>
      </c>
      <c r="C352" s="1" t="str">
        <f t="shared" si="176"/>
        <v>lun</v>
      </c>
      <c r="D352" s="5">
        <f t="shared" si="171"/>
        <v>46258</v>
      </c>
      <c r="E352" s="30">
        <v>133.98061664799849</v>
      </c>
      <c r="F352" s="14">
        <f>+'Mono SPOT MAT'!M352/'Fisico SPOT MAT'!M352/24</f>
        <v>129.14591695727592</v>
      </c>
      <c r="G352" s="13">
        <f t="shared" si="191"/>
        <v>17.600000000000001</v>
      </c>
      <c r="H352" s="12">
        <f>+'Mono ASIG'!AA352</f>
        <v>79.491743173780733</v>
      </c>
      <c r="I352" s="12">
        <f t="shared" si="181"/>
        <v>65.593353185501286</v>
      </c>
      <c r="J352" s="12">
        <f t="shared" si="192"/>
        <v>17.600000000000001</v>
      </c>
      <c r="K352" s="115">
        <f>+'Mono SPOT MAT'!T352</f>
        <v>80</v>
      </c>
      <c r="L352" s="86"/>
      <c r="M352" s="86"/>
      <c r="N352" s="107">
        <f>+'Mono SPOT MAT'!S352/'Fisico SPOT MAT'!S352/'Fisico SPOT MAT'!E352</f>
        <v>16.376362293055582</v>
      </c>
      <c r="O352" s="86"/>
      <c r="R352">
        <v>1.1000000000000001</v>
      </c>
      <c r="Y352" s="5">
        <f t="shared" si="182"/>
        <v>46258</v>
      </c>
      <c r="Z352" s="87">
        <f t="shared" si="193"/>
        <v>133.98061664799849</v>
      </c>
      <c r="AA352" s="87">
        <f t="shared" si="194"/>
        <v>123.23783688296204</v>
      </c>
      <c r="AB352" s="118">
        <v>5.9080800743138759</v>
      </c>
      <c r="AD352" s="5"/>
      <c r="AE352" s="92"/>
      <c r="AF352" s="92"/>
      <c r="AG352" s="92"/>
      <c r="AH352" s="92"/>
      <c r="AI352" s="93"/>
      <c r="AJ352" s="93"/>
    </row>
    <row r="353" spans="1:36" x14ac:dyDescent="0.3">
      <c r="A353" s="1">
        <v>2026</v>
      </c>
      <c r="B353" s="52">
        <v>46235</v>
      </c>
      <c r="C353" s="1" t="str">
        <f t="shared" si="176"/>
        <v>mar</v>
      </c>
      <c r="D353" s="5">
        <f t="shared" si="171"/>
        <v>46259</v>
      </c>
      <c r="E353" s="30">
        <v>152.6502806788715</v>
      </c>
      <c r="F353" s="14">
        <f>+'Mono SPOT MAT'!M353/'Fisico SPOT MAT'!M353/24</f>
        <v>127.48663623517633</v>
      </c>
      <c r="G353" s="13">
        <f t="shared" si="191"/>
        <v>17.600000000000001</v>
      </c>
      <c r="H353" s="12">
        <f>+'Mono ASIG'!AA353</f>
        <v>78.217240897075669</v>
      </c>
      <c r="I353" s="12">
        <f t="shared" si="181"/>
        <v>64.318850908796222</v>
      </c>
      <c r="J353" s="12">
        <f t="shared" si="192"/>
        <v>17.600000000000001</v>
      </c>
      <c r="K353" s="115">
        <f>+'Mono SPOT MAT'!T353</f>
        <v>80</v>
      </c>
      <c r="L353" s="86"/>
      <c r="M353" s="86"/>
      <c r="N353" s="107">
        <f>+'Mono SPOT MAT'!S353/'Fisico SPOT MAT'!S353/'Fisico SPOT MAT'!E353</f>
        <v>16.405865232090569</v>
      </c>
      <c r="O353" s="86"/>
      <c r="R353">
        <v>1.1000000000000001</v>
      </c>
      <c r="Y353" s="5">
        <f t="shared" si="182"/>
        <v>46259</v>
      </c>
      <c r="Z353" s="87">
        <f t="shared" si="193"/>
        <v>152.6502806788715</v>
      </c>
      <c r="AA353" s="87">
        <f t="shared" si="194"/>
        <v>119.75966024584775</v>
      </c>
      <c r="AB353" s="118">
        <v>7.7269759893285794</v>
      </c>
      <c r="AD353" s="5"/>
      <c r="AE353" s="92"/>
      <c r="AF353" s="92"/>
      <c r="AG353" s="92"/>
      <c r="AH353" s="92"/>
      <c r="AI353" s="93"/>
      <c r="AJ353" s="93"/>
    </row>
    <row r="354" spans="1:36" x14ac:dyDescent="0.3">
      <c r="A354" s="1">
        <v>2026</v>
      </c>
      <c r="B354" s="52">
        <v>46235</v>
      </c>
      <c r="C354" s="1" t="str">
        <f t="shared" si="176"/>
        <v>mié</v>
      </c>
      <c r="D354" s="5">
        <f t="shared" si="171"/>
        <v>46260</v>
      </c>
      <c r="E354" s="30">
        <v>125.87948614483913</v>
      </c>
      <c r="F354" s="14">
        <f>+'Mono SPOT MAT'!M354/'Fisico SPOT MAT'!M354/24</f>
        <v>110.51896379657148</v>
      </c>
      <c r="G354" s="13">
        <f t="shared" si="191"/>
        <v>17.600000000000001</v>
      </c>
      <c r="H354" s="12">
        <f>+'Mono ASIG'!AA354</f>
        <v>75.920876001786084</v>
      </c>
      <c r="I354" s="12">
        <f t="shared" si="181"/>
        <v>62.022486013506636</v>
      </c>
      <c r="J354" s="12">
        <f t="shared" si="192"/>
        <v>17.600000000000001</v>
      </c>
      <c r="K354" s="115">
        <f>+'Mono SPOT MAT'!T354</f>
        <v>80</v>
      </c>
      <c r="L354" s="86"/>
      <c r="M354" s="86"/>
      <c r="N354" s="107">
        <f>+'Mono SPOT MAT'!S354/'Fisico SPOT MAT'!S354/'Fisico SPOT MAT'!E354</f>
        <v>16.428829541838702</v>
      </c>
      <c r="O354" s="86"/>
      <c r="R354">
        <v>1.1000000000000001</v>
      </c>
      <c r="Y354" s="5">
        <f t="shared" si="182"/>
        <v>46260</v>
      </c>
      <c r="Z354" s="87">
        <f t="shared" si="193"/>
        <v>125.87948614483913</v>
      </c>
      <c r="AA354" s="87">
        <f t="shared" si="194"/>
        <v>105.07722183162797</v>
      </c>
      <c r="AB354" s="118">
        <v>5.4417419649435139</v>
      </c>
      <c r="AD354" s="5"/>
      <c r="AE354" s="92"/>
      <c r="AF354" s="92"/>
      <c r="AG354" s="92"/>
      <c r="AH354" s="92"/>
      <c r="AI354" s="93"/>
      <c r="AJ354" s="93"/>
    </row>
    <row r="355" spans="1:36" x14ac:dyDescent="0.3">
      <c r="A355" s="1">
        <v>2026</v>
      </c>
      <c r="B355" s="52">
        <v>46235</v>
      </c>
      <c r="C355" s="1" t="str">
        <f t="shared" si="176"/>
        <v>jue</v>
      </c>
      <c r="D355" s="5">
        <f t="shared" si="171"/>
        <v>46261</v>
      </c>
      <c r="E355" s="30">
        <v>141.62530383051171</v>
      </c>
      <c r="F355" s="14">
        <f>+'Mono SPOT MAT'!M355/'Fisico SPOT MAT'!M355/24</f>
        <v>110.40473846625457</v>
      </c>
      <c r="G355" s="13">
        <f t="shared" si="191"/>
        <v>17.600000000000001</v>
      </c>
      <c r="H355" s="12">
        <f>+'Mono ASIG'!AA355</f>
        <v>72.210176776330925</v>
      </c>
      <c r="I355" s="12">
        <f t="shared" si="181"/>
        <v>58.311786788051478</v>
      </c>
      <c r="J355" s="12">
        <f t="shared" si="192"/>
        <v>17.600000000000001</v>
      </c>
      <c r="K355" s="115">
        <f>+'Mono SPOT MAT'!T355</f>
        <v>80</v>
      </c>
      <c r="L355" s="86"/>
      <c r="M355" s="86"/>
      <c r="N355" s="107">
        <f>+'Mono SPOT MAT'!S355/'Fisico SPOT MAT'!S355/'Fisico SPOT MAT'!E355</f>
        <v>16.45003053553107</v>
      </c>
      <c r="O355" s="86"/>
      <c r="R355">
        <v>1.1000000000000001</v>
      </c>
      <c r="Y355" s="5">
        <f t="shared" si="182"/>
        <v>46261</v>
      </c>
      <c r="Z355" s="87">
        <f t="shared" si="193"/>
        <v>141.62530383051171</v>
      </c>
      <c r="AA355" s="87">
        <f t="shared" si="194"/>
        <v>103.65353487747534</v>
      </c>
      <c r="AB355" s="118">
        <v>6.7512035887792328</v>
      </c>
      <c r="AD355" s="5"/>
      <c r="AE355" s="92"/>
      <c r="AF355" s="92"/>
      <c r="AG355" s="92"/>
      <c r="AH355" s="92"/>
      <c r="AI355" s="93"/>
      <c r="AJ355" s="93"/>
    </row>
    <row r="356" spans="1:36" x14ac:dyDescent="0.3">
      <c r="A356" s="1">
        <v>2026</v>
      </c>
      <c r="B356" s="52">
        <v>46235</v>
      </c>
      <c r="C356" s="1" t="str">
        <f t="shared" si="176"/>
        <v>vie</v>
      </c>
      <c r="D356" s="5">
        <f t="shared" si="171"/>
        <v>46262</v>
      </c>
      <c r="E356" s="30">
        <v>133.13550028680891</v>
      </c>
      <c r="F356" s="14">
        <f>+'Mono SPOT MAT'!M356/'Fisico SPOT MAT'!M356/24</f>
        <v>108.30353643160014</v>
      </c>
      <c r="G356" s="13">
        <f t="shared" si="191"/>
        <v>17.600000000000001</v>
      </c>
      <c r="H356" s="12">
        <f>+'Mono ASIG'!AA356</f>
        <v>75.323801319247735</v>
      </c>
      <c r="I356" s="12">
        <f t="shared" si="181"/>
        <v>61.425411330968288</v>
      </c>
      <c r="J356" s="12">
        <f t="shared" si="192"/>
        <v>17.600000000000001</v>
      </c>
      <c r="K356" s="115">
        <f>+'Mono SPOT MAT'!T356</f>
        <v>80</v>
      </c>
      <c r="L356" s="86"/>
      <c r="M356" s="86"/>
      <c r="N356" s="107">
        <f>+'Mono SPOT MAT'!S356/'Fisico SPOT MAT'!S356/'Fisico SPOT MAT'!E356</f>
        <v>16.461298339851876</v>
      </c>
      <c r="O356" s="86"/>
      <c r="R356">
        <v>1.1000000000000001</v>
      </c>
      <c r="Y356" s="5">
        <f t="shared" si="182"/>
        <v>46262</v>
      </c>
      <c r="Z356" s="87">
        <f t="shared" si="193"/>
        <v>133.13550028680891</v>
      </c>
      <c r="AA356" s="87">
        <f t="shared" si="194"/>
        <v>102.27747859482773</v>
      </c>
      <c r="AB356" s="118">
        <v>6.0260578367724102</v>
      </c>
      <c r="AD356" s="5"/>
      <c r="AE356" s="92"/>
      <c r="AF356" s="92"/>
      <c r="AG356" s="92"/>
      <c r="AH356" s="92"/>
      <c r="AI356" s="93"/>
      <c r="AJ356" s="93"/>
    </row>
    <row r="357" spans="1:36" x14ac:dyDescent="0.3">
      <c r="A357" s="1">
        <v>2026</v>
      </c>
      <c r="B357" s="52">
        <v>46235</v>
      </c>
      <c r="C357" s="1" t="str">
        <f t="shared" si="176"/>
        <v>sáb</v>
      </c>
      <c r="D357" s="5">
        <f t="shared" si="171"/>
        <v>46263</v>
      </c>
      <c r="E357" s="30">
        <v>117.26596734472827</v>
      </c>
      <c r="F357" s="14">
        <f>+'Mono SPOT MAT'!M357/'Fisico SPOT MAT'!M357/24</f>
        <v>90.915122348022564</v>
      </c>
      <c r="G357" s="13">
        <f t="shared" si="191"/>
        <v>17.600000000000001</v>
      </c>
      <c r="H357" s="12">
        <f>+'Mono ASIG'!AA357</f>
        <v>76.101092442553139</v>
      </c>
      <c r="I357" s="12">
        <f t="shared" si="181"/>
        <v>62.202702454273691</v>
      </c>
      <c r="J357" s="12">
        <f t="shared" si="192"/>
        <v>17.600000000000001</v>
      </c>
      <c r="K357" s="115">
        <f>+'Mono SPOT MAT'!T357</f>
        <v>80</v>
      </c>
      <c r="L357" s="86"/>
      <c r="M357" s="86"/>
      <c r="N357" s="107">
        <f>+'Mono SPOT MAT'!S357/'Fisico SPOT MAT'!S357/'Fisico SPOT MAT'!E357</f>
        <v>16.461153089508873</v>
      </c>
      <c r="O357" s="86"/>
      <c r="R357">
        <v>1.1000000000000001</v>
      </c>
      <c r="Y357" s="5">
        <f t="shared" si="182"/>
        <v>46263</v>
      </c>
      <c r="Z357" s="87">
        <f t="shared" si="193"/>
        <v>117.26596734472827</v>
      </c>
      <c r="AA357" s="87">
        <f t="shared" si="194"/>
        <v>85.410928958071878</v>
      </c>
      <c r="AB357" s="118">
        <v>5.5041933899506876</v>
      </c>
      <c r="AD357" s="5"/>
      <c r="AE357" s="92"/>
      <c r="AF357" s="92"/>
      <c r="AG357" s="92"/>
      <c r="AH357" s="92"/>
      <c r="AI357" s="93"/>
      <c r="AJ357" s="93"/>
    </row>
    <row r="358" spans="1:36" x14ac:dyDescent="0.3">
      <c r="A358" s="1">
        <v>2026</v>
      </c>
      <c r="B358" s="52">
        <v>46235</v>
      </c>
      <c r="C358" s="1" t="str">
        <f t="shared" si="176"/>
        <v>dom</v>
      </c>
      <c r="D358" s="5">
        <f t="shared" si="171"/>
        <v>46264</v>
      </c>
      <c r="E358" s="30">
        <v>91.63189720849735</v>
      </c>
      <c r="F358" s="14">
        <f>+'Mono SPOT MAT'!M358/'Fisico SPOT MAT'!M358/24</f>
        <v>95.786200872262967</v>
      </c>
      <c r="G358" s="13">
        <f t="shared" ref="G358:G359" si="195">16*R358</f>
        <v>17.600000000000001</v>
      </c>
      <c r="H358" s="12">
        <f>+'Mono ASIG'!AA358</f>
        <v>77.679054442737367</v>
      </c>
      <c r="I358" s="12">
        <f t="shared" si="181"/>
        <v>63.78066445445792</v>
      </c>
      <c r="J358" s="12">
        <f t="shared" ref="J358:J359" si="196">16*R358</f>
        <v>17.600000000000001</v>
      </c>
      <c r="K358" s="115">
        <f>+'Mono SPOT MAT'!T358</f>
        <v>80</v>
      </c>
      <c r="L358" s="86"/>
      <c r="M358" s="86"/>
      <c r="N358" s="107">
        <f>+'Mono SPOT MAT'!S358/'Fisico SPOT MAT'!S358/'Fisico SPOT MAT'!E358</f>
        <v>16.387339450771126</v>
      </c>
      <c r="O358" s="86"/>
      <c r="R358">
        <v>1.1000000000000001</v>
      </c>
      <c r="Y358" s="5">
        <f t="shared" si="182"/>
        <v>46264</v>
      </c>
      <c r="Z358" s="87">
        <f t="shared" ref="Z358:Z359" si="197">+E358</f>
        <v>91.63189720849735</v>
      </c>
      <c r="AA358" s="87">
        <f t="shared" ref="AA358:AA359" si="198">+F358-AB358</f>
        <v>94.082298662048771</v>
      </c>
      <c r="AB358" s="118">
        <v>1.7039022102142014</v>
      </c>
      <c r="AD358" s="5"/>
      <c r="AE358" s="92"/>
      <c r="AF358" s="92"/>
      <c r="AG358" s="92"/>
      <c r="AH358" s="92"/>
      <c r="AI358" s="93"/>
      <c r="AJ358" s="93"/>
    </row>
    <row r="359" spans="1:36" x14ac:dyDescent="0.3">
      <c r="A359" s="1">
        <v>2026</v>
      </c>
      <c r="B359" s="52">
        <v>46235</v>
      </c>
      <c r="C359" s="1" t="str">
        <f t="shared" si="176"/>
        <v>lun</v>
      </c>
      <c r="D359" s="5">
        <f t="shared" si="171"/>
        <v>46265</v>
      </c>
      <c r="E359" s="30">
        <v>88.587141648417273</v>
      </c>
      <c r="F359" s="14">
        <f>+'Mono SPOT MAT'!M359/'Fisico SPOT MAT'!M359/24</f>
        <v>77.582104088232072</v>
      </c>
      <c r="G359" s="13">
        <f t="shared" si="195"/>
        <v>17.600000000000001</v>
      </c>
      <c r="H359" s="12">
        <f>+'Mono ASIG'!AA359</f>
        <v>71.160594963985758</v>
      </c>
      <c r="I359" s="12">
        <f t="shared" si="181"/>
        <v>57.262204975706311</v>
      </c>
      <c r="J359" s="12">
        <f t="shared" si="196"/>
        <v>17.600000000000001</v>
      </c>
      <c r="K359" s="115">
        <f>+'Mono SPOT MAT'!T359</f>
        <v>80</v>
      </c>
      <c r="L359" s="86"/>
      <c r="M359" s="86"/>
      <c r="N359" s="107">
        <f>+'Mono SPOT MAT'!S359/'Fisico SPOT MAT'!S359/'Fisico SPOT MAT'!E359</f>
        <v>16.436948153229132</v>
      </c>
      <c r="O359" s="86"/>
      <c r="R359">
        <v>1.1000000000000001</v>
      </c>
      <c r="Y359" s="5">
        <f t="shared" si="182"/>
        <v>46265</v>
      </c>
      <c r="Z359" s="87">
        <f t="shared" si="197"/>
        <v>88.587141648417273</v>
      </c>
      <c r="AA359" s="87">
        <f t="shared" si="198"/>
        <v>75.229125704397873</v>
      </c>
      <c r="AB359" s="118">
        <v>2.3529783838342007</v>
      </c>
      <c r="AD359" s="5"/>
      <c r="AE359" s="92"/>
      <c r="AF359" s="92"/>
      <c r="AG359" s="92"/>
      <c r="AH359" s="92"/>
      <c r="AI359" s="93"/>
      <c r="AJ359" s="93"/>
    </row>
    <row r="360" spans="1:36" x14ac:dyDescent="0.3">
      <c r="A360" s="1">
        <v>2026</v>
      </c>
      <c r="B360" s="52">
        <v>46266</v>
      </c>
      <c r="C360" s="1" t="str">
        <f t="shared" si="176"/>
        <v>mar</v>
      </c>
      <c r="D360" s="5">
        <f t="shared" si="171"/>
        <v>46266</v>
      </c>
      <c r="E360" s="30">
        <v>60.899121177632679</v>
      </c>
      <c r="F360" s="14">
        <f>+'Mono SPOT MAT'!M360/'Fisico SPOT MAT'!M360/24</f>
        <v>62.059709347722865</v>
      </c>
      <c r="G360" s="13">
        <f t="shared" ref="G360:G366" si="199">16*R360</f>
        <v>14.4</v>
      </c>
      <c r="H360" s="12">
        <f>+'Mono ASIG'!AA360</f>
        <v>63.08189970689633</v>
      </c>
      <c r="I360" s="12">
        <f>+H360-J360*$P$18/$Q$18/$W$18</f>
        <v>50.765912701239657</v>
      </c>
      <c r="J360" s="12">
        <f t="shared" ref="J360:J366" si="200">16*R360</f>
        <v>14.4</v>
      </c>
      <c r="K360" s="115">
        <f>+'Mono SPOT MAT'!T360</f>
        <v>80</v>
      </c>
      <c r="L360" s="86"/>
      <c r="M360" s="86"/>
      <c r="N360" s="107">
        <f>+'Mono SPOT MAT'!S360/'Fisico SPOT MAT'!S360/'Fisico SPOT MAT'!E360</f>
        <v>15.953129500790393</v>
      </c>
      <c r="O360" s="86"/>
      <c r="R360">
        <v>0.9</v>
      </c>
      <c r="Y360" s="5">
        <f t="shared" si="182"/>
        <v>46266</v>
      </c>
      <c r="Z360" s="87">
        <f t="shared" ref="Z360:Z366" si="201">+E360</f>
        <v>60.899121177632679</v>
      </c>
      <c r="AA360" s="87">
        <f t="shared" ref="AA360:AA366" si="202">+F360-AB360</f>
        <v>60.085990736780978</v>
      </c>
      <c r="AB360" s="118">
        <v>1.9737186109418854</v>
      </c>
      <c r="AD360" s="5"/>
      <c r="AE360" s="92"/>
      <c r="AF360" s="92"/>
      <c r="AG360" s="92"/>
      <c r="AH360" s="92"/>
      <c r="AI360" s="93"/>
      <c r="AJ360" s="93"/>
    </row>
    <row r="361" spans="1:36" x14ac:dyDescent="0.3">
      <c r="A361" s="1">
        <v>2026</v>
      </c>
      <c r="B361" s="52">
        <v>46266</v>
      </c>
      <c r="C361" s="1" t="str">
        <f t="shared" si="176"/>
        <v>mié</v>
      </c>
      <c r="D361" s="5">
        <f t="shared" si="171"/>
        <v>46267</v>
      </c>
      <c r="E361" s="30">
        <v>48.249708973818841</v>
      </c>
      <c r="F361" s="14">
        <f>+'Mono SPOT MAT'!M361/'Fisico SPOT MAT'!M361/24</f>
        <v>57.011872151965072</v>
      </c>
      <c r="G361" s="13">
        <f t="shared" si="199"/>
        <v>14.4</v>
      </c>
      <c r="H361" s="12">
        <f>+'Mono ASIG'!AA361</f>
        <v>64.136437141856774</v>
      </c>
      <c r="I361" s="12">
        <f t="shared" ref="I361:I372" si="203">+H361-J361*$P$18/$Q$18/$W$18</f>
        <v>51.820450136200108</v>
      </c>
      <c r="J361" s="12">
        <f t="shared" si="200"/>
        <v>14.4</v>
      </c>
      <c r="K361" s="115">
        <f>+'Mono SPOT MAT'!T361</f>
        <v>80</v>
      </c>
      <c r="L361" s="86"/>
      <c r="M361" s="86"/>
      <c r="N361" s="107">
        <f>+'Mono SPOT MAT'!S361/'Fisico SPOT MAT'!S361/'Fisico SPOT MAT'!E361</f>
        <v>15.974553920239188</v>
      </c>
      <c r="O361" s="86"/>
      <c r="R361">
        <v>0.9</v>
      </c>
      <c r="Y361" s="5">
        <f t="shared" si="182"/>
        <v>46267</v>
      </c>
      <c r="Z361" s="87">
        <f t="shared" si="201"/>
        <v>48.249708973818841</v>
      </c>
      <c r="AA361" s="87">
        <f t="shared" si="202"/>
        <v>56.142786353057069</v>
      </c>
      <c r="AB361" s="118">
        <v>0.86908579890800308</v>
      </c>
      <c r="AD361" s="5"/>
      <c r="AE361" s="92"/>
      <c r="AF361" s="92"/>
      <c r="AG361" s="92"/>
      <c r="AH361" s="92"/>
      <c r="AI361" s="93"/>
      <c r="AJ361" s="93"/>
    </row>
    <row r="362" spans="1:36" x14ac:dyDescent="0.3">
      <c r="A362" s="1">
        <v>2026</v>
      </c>
      <c r="B362" s="52">
        <v>46266</v>
      </c>
      <c r="C362" s="1" t="str">
        <f t="shared" si="176"/>
        <v>jue</v>
      </c>
      <c r="D362" s="5">
        <f t="shared" si="171"/>
        <v>46268</v>
      </c>
      <c r="E362" s="30">
        <v>43.687637617131998</v>
      </c>
      <c r="F362" s="14">
        <f>+'Mono SPOT MAT'!M362/'Fisico SPOT MAT'!M362/24</f>
        <v>56.640877051149062</v>
      </c>
      <c r="G362" s="13">
        <f t="shared" si="199"/>
        <v>14.4</v>
      </c>
      <c r="H362" s="12">
        <f>+'Mono ASIG'!AA362</f>
        <v>65.818051624653066</v>
      </c>
      <c r="I362" s="12">
        <f t="shared" si="203"/>
        <v>53.5020646189964</v>
      </c>
      <c r="J362" s="12">
        <f t="shared" si="200"/>
        <v>14.4</v>
      </c>
      <c r="K362" s="115">
        <f>+'Mono SPOT MAT'!T362</f>
        <v>80</v>
      </c>
      <c r="L362" s="86"/>
      <c r="M362" s="86"/>
      <c r="N362" s="107">
        <f>+'Mono SPOT MAT'!S362/'Fisico SPOT MAT'!S362/'Fisico SPOT MAT'!E362</f>
        <v>15.978122646153052</v>
      </c>
      <c r="O362" s="86"/>
      <c r="R362">
        <v>0.9</v>
      </c>
      <c r="Y362" s="5">
        <f t="shared" si="182"/>
        <v>46268</v>
      </c>
      <c r="Z362" s="87">
        <f t="shared" si="201"/>
        <v>43.687637617131998</v>
      </c>
      <c r="AA362" s="87">
        <f t="shared" si="202"/>
        <v>55.447169906065028</v>
      </c>
      <c r="AB362" s="118">
        <v>1.1937071450840353</v>
      </c>
      <c r="AD362" s="5"/>
      <c r="AE362" s="92"/>
      <c r="AF362" s="92"/>
      <c r="AG362" s="92"/>
      <c r="AH362" s="92"/>
      <c r="AI362" s="93"/>
      <c r="AJ362" s="93"/>
    </row>
    <row r="363" spans="1:36" x14ac:dyDescent="0.3">
      <c r="A363" s="1">
        <v>2026</v>
      </c>
      <c r="B363" s="52">
        <v>46266</v>
      </c>
      <c r="C363" s="1" t="str">
        <f t="shared" si="176"/>
        <v>vie</v>
      </c>
      <c r="D363" s="5">
        <f t="shared" si="171"/>
        <v>46269</v>
      </c>
      <c r="E363" s="30">
        <v>51.717701921483034</v>
      </c>
      <c r="F363" s="14">
        <f>+'Mono SPOT MAT'!M363/'Fisico SPOT MAT'!M363/24</f>
        <v>57.129723809754871</v>
      </c>
      <c r="G363" s="13">
        <f t="shared" si="199"/>
        <v>14.4</v>
      </c>
      <c r="H363" s="12">
        <f>+'Mono ASIG'!AA363</f>
        <v>65.263166084497541</v>
      </c>
      <c r="I363" s="12">
        <f t="shared" si="203"/>
        <v>52.947179078840875</v>
      </c>
      <c r="J363" s="12">
        <f t="shared" si="200"/>
        <v>14.4</v>
      </c>
      <c r="K363" s="115">
        <f>+'Mono SPOT MAT'!T363</f>
        <v>80</v>
      </c>
      <c r="L363" s="86"/>
      <c r="M363" s="86"/>
      <c r="N363" s="107">
        <f>+'Mono SPOT MAT'!S363/'Fisico SPOT MAT'!S363/'Fisico SPOT MAT'!E363</f>
        <v>15.919195306878597</v>
      </c>
      <c r="O363" s="86"/>
      <c r="R363">
        <v>0.9</v>
      </c>
      <c r="Y363" s="5">
        <f t="shared" si="182"/>
        <v>46269</v>
      </c>
      <c r="Z363" s="87">
        <f t="shared" si="201"/>
        <v>51.717701921483034</v>
      </c>
      <c r="AA363" s="87">
        <f t="shared" si="202"/>
        <v>56.092196742258324</v>
      </c>
      <c r="AB363" s="118">
        <v>1.0375270674965453</v>
      </c>
      <c r="AD363" s="5"/>
      <c r="AE363" s="92"/>
      <c r="AF363" s="92"/>
      <c r="AG363" s="92"/>
      <c r="AH363" s="92"/>
      <c r="AI363" s="93"/>
      <c r="AJ363" s="93"/>
    </row>
    <row r="364" spans="1:36" x14ac:dyDescent="0.3">
      <c r="A364" s="1">
        <v>2026</v>
      </c>
      <c r="B364" s="52">
        <v>46266</v>
      </c>
      <c r="C364" s="1" t="str">
        <f t="shared" si="176"/>
        <v>sáb</v>
      </c>
      <c r="D364" s="5">
        <f t="shared" si="171"/>
        <v>46270</v>
      </c>
      <c r="E364" s="30">
        <v>48.213520410174638</v>
      </c>
      <c r="F364" s="14">
        <f>+'Mono SPOT MAT'!M364/'Fisico SPOT MAT'!M364/24</f>
        <v>69.918249241218803</v>
      </c>
      <c r="G364" s="13">
        <f t="shared" si="199"/>
        <v>14.4</v>
      </c>
      <c r="H364" s="12">
        <f>+'Mono ASIG'!AA364</f>
        <v>65.162502965113291</v>
      </c>
      <c r="I364" s="12">
        <f t="shared" si="203"/>
        <v>52.846515959456625</v>
      </c>
      <c r="J364" s="12">
        <f t="shared" si="200"/>
        <v>14.4</v>
      </c>
      <c r="K364" s="115">
        <f>+'Mono SPOT MAT'!T364</f>
        <v>80</v>
      </c>
      <c r="L364" s="86"/>
      <c r="M364" s="86"/>
      <c r="N364" s="107">
        <f>+'Mono SPOT MAT'!S364/'Fisico SPOT MAT'!S364/'Fisico SPOT MAT'!E364</f>
        <v>15.853089692471769</v>
      </c>
      <c r="O364" s="86"/>
      <c r="R364">
        <v>0.9</v>
      </c>
      <c r="Y364" s="5">
        <f t="shared" si="182"/>
        <v>46270</v>
      </c>
      <c r="Z364" s="87">
        <f t="shared" si="201"/>
        <v>48.213520410174638</v>
      </c>
      <c r="AA364" s="87">
        <f t="shared" si="202"/>
        <v>68.83226719467909</v>
      </c>
      <c r="AB364" s="118">
        <v>1.0859820465397085</v>
      </c>
      <c r="AD364" s="5"/>
      <c r="AE364" s="92"/>
      <c r="AF364" s="92"/>
      <c r="AG364" s="92"/>
      <c r="AH364" s="92"/>
      <c r="AI364" s="93"/>
      <c r="AJ364" s="93"/>
    </row>
    <row r="365" spans="1:36" x14ac:dyDescent="0.3">
      <c r="A365" s="1">
        <v>2026</v>
      </c>
      <c r="B365" s="52">
        <v>46266</v>
      </c>
      <c r="C365" s="1" t="str">
        <f t="shared" si="176"/>
        <v>dom</v>
      </c>
      <c r="D365" s="5">
        <f t="shared" si="171"/>
        <v>46271</v>
      </c>
      <c r="E365" s="30">
        <v>105.7109568311265</v>
      </c>
      <c r="F365" s="14">
        <f>+'Mono SPOT MAT'!M365/'Fisico SPOT MAT'!M365/24</f>
        <v>84.689991257407613</v>
      </c>
      <c r="G365" s="13">
        <f t="shared" si="199"/>
        <v>14.4</v>
      </c>
      <c r="H365" s="12">
        <f>+'Mono ASIG'!AA365</f>
        <v>61.951994324345947</v>
      </c>
      <c r="I365" s="12">
        <f t="shared" si="203"/>
        <v>49.636007318689281</v>
      </c>
      <c r="J365" s="12">
        <f t="shared" si="200"/>
        <v>14.4</v>
      </c>
      <c r="K365" s="115">
        <f>+'Mono SPOT MAT'!T365</f>
        <v>80</v>
      </c>
      <c r="L365" s="86"/>
      <c r="M365" s="86"/>
      <c r="N365" s="107">
        <f>+'Mono SPOT MAT'!S365/'Fisico SPOT MAT'!S365/'Fisico SPOT MAT'!E365</f>
        <v>15.819829161456301</v>
      </c>
      <c r="O365" s="86"/>
      <c r="R365">
        <v>0.9</v>
      </c>
      <c r="Y365" s="5">
        <f t="shared" si="182"/>
        <v>46271</v>
      </c>
      <c r="Z365" s="87">
        <f t="shared" si="201"/>
        <v>105.7109568311265</v>
      </c>
      <c r="AA365" s="87">
        <f t="shared" si="202"/>
        <v>77.458022976078624</v>
      </c>
      <c r="AB365" s="118">
        <v>7.2319682813289941</v>
      </c>
      <c r="AD365" s="5"/>
      <c r="AE365" s="92"/>
      <c r="AF365" s="92"/>
      <c r="AG365" s="92"/>
      <c r="AH365" s="92"/>
      <c r="AI365" s="93"/>
      <c r="AJ365" s="93"/>
    </row>
    <row r="366" spans="1:36" x14ac:dyDescent="0.3">
      <c r="A366" s="1">
        <v>2026</v>
      </c>
      <c r="B366" s="52">
        <v>46266</v>
      </c>
      <c r="C366" s="1" t="str">
        <f t="shared" si="176"/>
        <v>lun</v>
      </c>
      <c r="D366" s="5">
        <f t="shared" si="171"/>
        <v>46272</v>
      </c>
      <c r="E366" s="30">
        <v>104.38864514324284</v>
      </c>
      <c r="F366" s="14">
        <f>+'Mono SPOT MAT'!M366/'Fisico SPOT MAT'!M366/24</f>
        <v>87.201458929391208</v>
      </c>
      <c r="G366" s="13">
        <f t="shared" si="199"/>
        <v>14.4</v>
      </c>
      <c r="H366" s="12">
        <f>+'Mono ASIG'!AA366</f>
        <v>67.988661813587257</v>
      </c>
      <c r="I366" s="12">
        <f t="shared" si="203"/>
        <v>55.672674807930591</v>
      </c>
      <c r="J366" s="12">
        <f t="shared" si="200"/>
        <v>14.4</v>
      </c>
      <c r="K366" s="115">
        <f>+'Mono SPOT MAT'!T366</f>
        <v>80</v>
      </c>
      <c r="L366" s="86"/>
      <c r="M366" s="86"/>
      <c r="N366" s="107">
        <f>+'Mono SPOT MAT'!S366/'Fisico SPOT MAT'!S366/'Fisico SPOT MAT'!E366</f>
        <v>15.798834012065713</v>
      </c>
      <c r="O366" s="86"/>
      <c r="R366">
        <v>0.9</v>
      </c>
      <c r="Y366" s="5">
        <f t="shared" si="182"/>
        <v>46272</v>
      </c>
      <c r="Z366" s="87">
        <f t="shared" si="201"/>
        <v>104.38864514324284</v>
      </c>
      <c r="AA366" s="87">
        <f t="shared" si="202"/>
        <v>80.544877949095493</v>
      </c>
      <c r="AB366" s="118">
        <v>6.6565809802957157</v>
      </c>
      <c r="AD366" s="5"/>
      <c r="AE366" s="92"/>
      <c r="AF366" s="92"/>
      <c r="AG366" s="92"/>
      <c r="AH366" s="92"/>
      <c r="AI366" s="93"/>
      <c r="AJ366" s="93"/>
    </row>
    <row r="367" spans="1:36" x14ac:dyDescent="0.3">
      <c r="A367" s="1">
        <v>2026</v>
      </c>
      <c r="B367" s="52">
        <v>46266</v>
      </c>
      <c r="C367" s="1" t="str">
        <f t="shared" si="176"/>
        <v>mar</v>
      </c>
      <c r="D367" s="5">
        <f t="shared" si="171"/>
        <v>46273</v>
      </c>
      <c r="E367" s="30">
        <v>81.799631414661604</v>
      </c>
      <c r="F367" s="14">
        <f>+'Mono SPOT MAT'!M367/'Fisico SPOT MAT'!M367/24</f>
        <v>94.924022194597285</v>
      </c>
      <c r="G367" s="13">
        <f t="shared" ref="G367:G372" si="204">16*R367</f>
        <v>14.4</v>
      </c>
      <c r="H367" s="12">
        <f>+'Mono ASIG'!AA367</f>
        <v>71.414901936629931</v>
      </c>
      <c r="I367" s="12">
        <f t="shared" si="203"/>
        <v>59.098914930973265</v>
      </c>
      <c r="J367" s="12">
        <f t="shared" ref="J367:J372" si="205">16*R367</f>
        <v>14.4</v>
      </c>
      <c r="K367" s="115">
        <f>+'Mono SPOT MAT'!T367</f>
        <v>80</v>
      </c>
      <c r="L367" s="86"/>
      <c r="M367" s="86"/>
      <c r="N367" s="107">
        <f>+'Mono SPOT MAT'!S367/'Fisico SPOT MAT'!S367/'Fisico SPOT MAT'!E367</f>
        <v>15.779485170266197</v>
      </c>
      <c r="O367" s="86"/>
      <c r="R367">
        <v>0.9</v>
      </c>
      <c r="Y367" s="5">
        <f t="shared" si="182"/>
        <v>46273</v>
      </c>
      <c r="Z367" s="87">
        <f t="shared" ref="Z367:Z372" si="206">+E367</f>
        <v>81.799631414661604</v>
      </c>
      <c r="AA367" s="87">
        <f t="shared" ref="AA367:AA372" si="207">+F367-AB367</f>
        <v>91.506584295853671</v>
      </c>
      <c r="AB367" s="118">
        <v>3.4174378987436103</v>
      </c>
      <c r="AD367" s="5"/>
      <c r="AE367" s="92"/>
      <c r="AF367" s="92"/>
      <c r="AG367" s="92"/>
      <c r="AH367" s="92"/>
      <c r="AI367" s="93"/>
      <c r="AJ367" s="93"/>
    </row>
    <row r="368" spans="1:36" x14ac:dyDescent="0.3">
      <c r="A368" s="1">
        <v>2026</v>
      </c>
      <c r="B368" s="52">
        <v>46266</v>
      </c>
      <c r="C368" s="1" t="str">
        <f t="shared" si="176"/>
        <v>mié</v>
      </c>
      <c r="D368" s="5">
        <f t="shared" si="171"/>
        <v>46274</v>
      </c>
      <c r="E368" s="30">
        <v>84.727072766095347</v>
      </c>
      <c r="F368" s="14">
        <f>+'Mono SPOT MAT'!M368/'Fisico SPOT MAT'!M368/24</f>
        <v>99.841417012295665</v>
      </c>
      <c r="G368" s="13">
        <f t="shared" si="204"/>
        <v>14.4</v>
      </c>
      <c r="H368" s="12">
        <f>+'Mono ASIG'!AA368</f>
        <v>71.481358201197665</v>
      </c>
      <c r="I368" s="12">
        <f t="shared" si="203"/>
        <v>59.165371195540999</v>
      </c>
      <c r="J368" s="12">
        <f t="shared" si="205"/>
        <v>14.4</v>
      </c>
      <c r="K368" s="115">
        <f>+'Mono SPOT MAT'!T368</f>
        <v>80</v>
      </c>
      <c r="L368" s="86"/>
      <c r="M368" s="86"/>
      <c r="N368" s="107">
        <f>+'Mono SPOT MAT'!S368/'Fisico SPOT MAT'!S368/'Fisico SPOT MAT'!E368</f>
        <v>15.789931683596159</v>
      </c>
      <c r="O368" s="86"/>
      <c r="R368">
        <v>0.9</v>
      </c>
      <c r="Y368" s="5">
        <f t="shared" si="182"/>
        <v>46274</v>
      </c>
      <c r="Z368" s="87">
        <f t="shared" si="206"/>
        <v>84.727072766095347</v>
      </c>
      <c r="AA368" s="87">
        <f t="shared" si="207"/>
        <v>96.151634281607386</v>
      </c>
      <c r="AB368" s="118">
        <v>3.6897827306882838</v>
      </c>
      <c r="AD368" s="5"/>
      <c r="AE368" s="92"/>
      <c r="AF368" s="92"/>
      <c r="AG368" s="92"/>
      <c r="AH368" s="92"/>
      <c r="AI368" s="93"/>
      <c r="AJ368" s="93"/>
    </row>
    <row r="369" spans="1:36" x14ac:dyDescent="0.3">
      <c r="A369" s="1">
        <v>2026</v>
      </c>
      <c r="B369" s="52">
        <v>46266</v>
      </c>
      <c r="C369" s="1" t="str">
        <f t="shared" si="176"/>
        <v>jue</v>
      </c>
      <c r="D369" s="5">
        <f t="shared" si="171"/>
        <v>46275</v>
      </c>
      <c r="E369" s="30">
        <v>115.43855337812782</v>
      </c>
      <c r="F369" s="14">
        <f>+'Mono SPOT MAT'!M369/'Fisico SPOT MAT'!M369/24</f>
        <v>95.094778526876539</v>
      </c>
      <c r="G369" s="13">
        <f t="shared" si="204"/>
        <v>14.4</v>
      </c>
      <c r="H369" s="12">
        <f>+'Mono ASIG'!AA369</f>
        <v>68.960832306043372</v>
      </c>
      <c r="I369" s="12">
        <f t="shared" si="203"/>
        <v>56.644845300386706</v>
      </c>
      <c r="J369" s="12">
        <f t="shared" si="205"/>
        <v>14.4</v>
      </c>
      <c r="K369" s="115">
        <f>+'Mono SPOT MAT'!T369</f>
        <v>80</v>
      </c>
      <c r="L369" s="86"/>
      <c r="M369" s="86"/>
      <c r="N369" s="107">
        <f>+'Mono SPOT MAT'!S369/'Fisico SPOT MAT'!S369/'Fisico SPOT MAT'!E369</f>
        <v>15.787234735934994</v>
      </c>
      <c r="O369" s="86"/>
      <c r="R369">
        <v>0.9</v>
      </c>
      <c r="Y369" s="5">
        <f t="shared" si="182"/>
        <v>46275</v>
      </c>
      <c r="Z369" s="87">
        <f t="shared" si="206"/>
        <v>115.43855337812782</v>
      </c>
      <c r="AA369" s="87">
        <f t="shared" si="207"/>
        <v>89.294262394180905</v>
      </c>
      <c r="AB369" s="118">
        <v>5.8005161326956305</v>
      </c>
      <c r="AD369" s="5"/>
      <c r="AE369" s="92"/>
      <c r="AF369" s="92"/>
      <c r="AG369" s="92"/>
      <c r="AH369" s="92"/>
      <c r="AI369" s="93"/>
      <c r="AJ369" s="93"/>
    </row>
    <row r="370" spans="1:36" x14ac:dyDescent="0.3">
      <c r="A370" s="1">
        <v>2026</v>
      </c>
      <c r="B370" s="52">
        <v>46266</v>
      </c>
      <c r="C370" s="1" t="str">
        <f t="shared" si="176"/>
        <v>vie</v>
      </c>
      <c r="D370" s="5">
        <f t="shared" si="171"/>
        <v>46276</v>
      </c>
      <c r="E370" s="30">
        <v>59.399665609291397</v>
      </c>
      <c r="F370" s="14">
        <f>+'Mono SPOT MAT'!M370/'Fisico SPOT MAT'!M370/24</f>
        <v>79.096563769420769</v>
      </c>
      <c r="G370" s="13">
        <f t="shared" si="204"/>
        <v>14.4</v>
      </c>
      <c r="H370" s="12">
        <f>+'Mono ASIG'!AA370</f>
        <v>73.811416516552924</v>
      </c>
      <c r="I370" s="12">
        <f t="shared" si="203"/>
        <v>61.495429510896258</v>
      </c>
      <c r="J370" s="12">
        <f t="shared" si="205"/>
        <v>14.4</v>
      </c>
      <c r="K370" s="115">
        <f>+'Mono SPOT MAT'!T370</f>
        <v>80</v>
      </c>
      <c r="L370" s="86"/>
      <c r="M370" s="86"/>
      <c r="N370" s="107">
        <f>+'Mono SPOT MAT'!S370/'Fisico SPOT MAT'!S370/'Fisico SPOT MAT'!E370</f>
        <v>15.771406113542648</v>
      </c>
      <c r="O370" s="86"/>
      <c r="R370">
        <v>0.9</v>
      </c>
      <c r="Y370" s="5">
        <f t="shared" si="182"/>
        <v>46276</v>
      </c>
      <c r="Z370" s="87">
        <f t="shared" si="206"/>
        <v>59.399665609291397</v>
      </c>
      <c r="AA370" s="87">
        <f t="shared" si="207"/>
        <v>77.655335414283925</v>
      </c>
      <c r="AB370" s="118">
        <v>1.4412283551368479</v>
      </c>
      <c r="AD370" s="5"/>
      <c r="AE370" s="92"/>
      <c r="AF370" s="92"/>
      <c r="AG370" s="92"/>
      <c r="AH370" s="92"/>
      <c r="AI370" s="93"/>
      <c r="AJ370" s="93"/>
    </row>
    <row r="371" spans="1:36" x14ac:dyDescent="0.3">
      <c r="A371" s="1">
        <v>2026</v>
      </c>
      <c r="B371" s="52">
        <v>46266</v>
      </c>
      <c r="C371" s="1" t="str">
        <f t="shared" si="176"/>
        <v>sáb</v>
      </c>
      <c r="D371" s="5">
        <f t="shared" si="171"/>
        <v>46277</v>
      </c>
      <c r="E371" s="30">
        <v>78.852023207510072</v>
      </c>
      <c r="F371" s="14">
        <f>+'Mono SPOT MAT'!M371/'Fisico SPOT MAT'!M371/24</f>
        <v>83.233994041122841</v>
      </c>
      <c r="G371" s="13">
        <f t="shared" si="204"/>
        <v>14.4</v>
      </c>
      <c r="H371" s="12">
        <f>+'Mono ASIG'!AA371</f>
        <v>66.84788929588143</v>
      </c>
      <c r="I371" s="12">
        <f t="shared" si="203"/>
        <v>54.531902290224764</v>
      </c>
      <c r="J371" s="12">
        <f t="shared" si="205"/>
        <v>14.4</v>
      </c>
      <c r="K371" s="115">
        <f>+'Mono SPOT MAT'!T371</f>
        <v>80</v>
      </c>
      <c r="L371" s="86"/>
      <c r="M371" s="86"/>
      <c r="N371" s="107">
        <f>+'Mono SPOT MAT'!S371/'Fisico SPOT MAT'!S371/'Fisico SPOT MAT'!E371</f>
        <v>15.664697249905487</v>
      </c>
      <c r="O371" s="86"/>
      <c r="R371">
        <v>0.9</v>
      </c>
      <c r="Y371" s="5">
        <f t="shared" si="182"/>
        <v>46277</v>
      </c>
      <c r="Z371" s="87">
        <f t="shared" si="206"/>
        <v>78.852023207510072</v>
      </c>
      <c r="AA371" s="87">
        <f t="shared" si="207"/>
        <v>79.447312440066781</v>
      </c>
      <c r="AB371" s="118">
        <v>3.7866816010560647</v>
      </c>
      <c r="AD371" s="5"/>
      <c r="AE371" s="92"/>
      <c r="AF371" s="92"/>
      <c r="AG371" s="92"/>
      <c r="AH371" s="92"/>
      <c r="AI371" s="93"/>
      <c r="AJ371" s="93"/>
    </row>
    <row r="372" spans="1:36" x14ac:dyDescent="0.3">
      <c r="A372" s="1">
        <v>2026</v>
      </c>
      <c r="B372" s="52">
        <v>46266</v>
      </c>
      <c r="C372" s="1" t="str">
        <f t="shared" si="176"/>
        <v>dom</v>
      </c>
      <c r="D372" s="5">
        <f t="shared" si="171"/>
        <v>46278</v>
      </c>
      <c r="E372" s="30">
        <v>72.601587492674355</v>
      </c>
      <c r="F372" s="14">
        <f>+'Mono SPOT MAT'!M372/'Fisico SPOT MAT'!M372/24</f>
        <v>85.610004457745404</v>
      </c>
      <c r="G372" s="13">
        <f t="shared" si="204"/>
        <v>14.4</v>
      </c>
      <c r="H372" s="12">
        <f>+'Mono ASIG'!AA372</f>
        <v>68.66065437269998</v>
      </c>
      <c r="I372" s="12">
        <f t="shared" si="203"/>
        <v>56.344667367043314</v>
      </c>
      <c r="J372" s="12">
        <f t="shared" si="205"/>
        <v>14.4</v>
      </c>
      <c r="K372" s="115">
        <f>+'Mono SPOT MAT'!T372</f>
        <v>80</v>
      </c>
      <c r="L372" s="86"/>
      <c r="M372" s="86"/>
      <c r="N372" s="107">
        <f>+'Mono SPOT MAT'!S372/'Fisico SPOT MAT'!S372/'Fisico SPOT MAT'!E372</f>
        <v>15.650345402633002</v>
      </c>
      <c r="O372" s="86"/>
      <c r="R372">
        <v>0.9</v>
      </c>
      <c r="Y372" s="5">
        <f t="shared" si="182"/>
        <v>46278</v>
      </c>
      <c r="Z372" s="87">
        <f t="shared" si="206"/>
        <v>72.601587492674355</v>
      </c>
      <c r="AA372" s="87">
        <f t="shared" si="207"/>
        <v>82.083816581711559</v>
      </c>
      <c r="AB372" s="118">
        <v>3.5261878760338425</v>
      </c>
      <c r="AD372" s="5"/>
      <c r="AE372" s="92"/>
      <c r="AF372" s="92"/>
      <c r="AG372" s="92"/>
      <c r="AH372" s="92"/>
      <c r="AI372" s="93"/>
      <c r="AJ372" s="93"/>
    </row>
    <row r="373" spans="1:36" x14ac:dyDescent="0.3">
      <c r="A373" s="1">
        <v>2026</v>
      </c>
      <c r="B373" s="52">
        <v>46266</v>
      </c>
      <c r="C373" s="1" t="str">
        <f t="shared" si="176"/>
        <v>lun</v>
      </c>
      <c r="D373" s="5">
        <f t="shared" si="171"/>
        <v>46279</v>
      </c>
      <c r="E373" s="30">
        <v>82.715804720540376</v>
      </c>
      <c r="F373" s="14">
        <f>+'Mono SPOT MAT'!M373/'Fisico SPOT MAT'!M373/24</f>
        <v>85.548561382388058</v>
      </c>
      <c r="G373" s="13">
        <f t="shared" ref="G373:G378" si="208">16*R373</f>
        <v>14.4</v>
      </c>
      <c r="H373" s="12">
        <f>+'Mono ASIG'!AA373</f>
        <v>75.517097318715656</v>
      </c>
      <c r="I373" s="12">
        <f t="shared" ref="I373:I378" si="209">+H373-J373*$P$18/$Q$18/$W$18</f>
        <v>63.20111031305899</v>
      </c>
      <c r="J373" s="12">
        <f t="shared" ref="J373:J378" si="210">16*R373</f>
        <v>14.4</v>
      </c>
      <c r="K373" s="115">
        <f>+'Mono SPOT MAT'!T373</f>
        <v>80</v>
      </c>
      <c r="L373" s="86"/>
      <c r="M373" s="86"/>
      <c r="N373" s="107">
        <f>+'Mono SPOT MAT'!S373/'Fisico SPOT MAT'!S373/'Fisico SPOT MAT'!E373</f>
        <v>15.723104864945329</v>
      </c>
      <c r="O373" s="86"/>
      <c r="R373">
        <v>0.9</v>
      </c>
      <c r="Y373" s="5">
        <f t="shared" si="182"/>
        <v>46279</v>
      </c>
      <c r="Z373" s="87">
        <f t="shared" ref="Z373:Z378" si="211">+E373</f>
        <v>82.715804720540376</v>
      </c>
      <c r="AA373" s="87">
        <f t="shared" ref="AA373:AA378" si="212">+F373-AB373</f>
        <v>80.786619963118326</v>
      </c>
      <c r="AB373" s="118">
        <v>4.7619414192697258</v>
      </c>
      <c r="AD373" s="5"/>
      <c r="AE373" s="92"/>
      <c r="AF373" s="92"/>
      <c r="AG373" s="92"/>
      <c r="AH373" s="92"/>
      <c r="AI373" s="93"/>
      <c r="AJ373" s="93"/>
    </row>
    <row r="374" spans="1:36" x14ac:dyDescent="0.3">
      <c r="A374" s="1">
        <v>2026</v>
      </c>
      <c r="B374" s="52">
        <v>46266</v>
      </c>
      <c r="C374" s="1" t="str">
        <f t="shared" si="176"/>
        <v>mar</v>
      </c>
      <c r="D374" s="5">
        <f t="shared" si="171"/>
        <v>46280</v>
      </c>
      <c r="E374" s="30">
        <v>143.74149033303081</v>
      </c>
      <c r="F374" s="14">
        <f>+'Mono SPOT MAT'!M374/'Fisico SPOT MAT'!M374/24</f>
        <v>96.405094476921803</v>
      </c>
      <c r="G374" s="13">
        <f t="shared" si="208"/>
        <v>14.4</v>
      </c>
      <c r="H374" s="12">
        <f>+'Mono ASIG'!AA374</f>
        <v>66.042582480989651</v>
      </c>
      <c r="I374" s="12">
        <f t="shared" si="209"/>
        <v>53.726595475332985</v>
      </c>
      <c r="J374" s="12">
        <f t="shared" si="210"/>
        <v>14.4</v>
      </c>
      <c r="K374" s="115">
        <f>+'Mono SPOT MAT'!T374</f>
        <v>80</v>
      </c>
      <c r="L374" s="86"/>
      <c r="M374" s="86"/>
      <c r="N374" s="107">
        <f>+'Mono SPOT MAT'!S374/'Fisico SPOT MAT'!S374/'Fisico SPOT MAT'!E374</f>
        <v>15.651442588173945</v>
      </c>
      <c r="O374" s="86"/>
      <c r="R374">
        <v>0.9</v>
      </c>
      <c r="Y374" s="5">
        <f t="shared" si="182"/>
        <v>46280</v>
      </c>
      <c r="Z374" s="87">
        <f t="shared" si="211"/>
        <v>143.74149033303081</v>
      </c>
      <c r="AA374" s="87">
        <f t="shared" si="212"/>
        <v>86.982831880203889</v>
      </c>
      <c r="AB374" s="118">
        <v>9.4222625967179123</v>
      </c>
      <c r="AD374" s="5"/>
      <c r="AE374" s="92"/>
      <c r="AF374" s="92"/>
      <c r="AG374" s="92"/>
      <c r="AH374" s="92"/>
      <c r="AI374" s="93"/>
      <c r="AJ374" s="93"/>
    </row>
    <row r="375" spans="1:36" x14ac:dyDescent="0.3">
      <c r="A375" s="1">
        <v>2026</v>
      </c>
      <c r="B375" s="52">
        <v>46266</v>
      </c>
      <c r="C375" s="1" t="str">
        <f t="shared" si="176"/>
        <v>mié</v>
      </c>
      <c r="D375" s="5">
        <f t="shared" si="171"/>
        <v>46281</v>
      </c>
      <c r="E375" s="30">
        <v>102.22329789184194</v>
      </c>
      <c r="F375" s="14">
        <f>+'Mono SPOT MAT'!M375/'Fisico SPOT MAT'!M375/24</f>
        <v>86.864774660415833</v>
      </c>
      <c r="G375" s="13">
        <f t="shared" si="208"/>
        <v>14.4</v>
      </c>
      <c r="H375" s="12">
        <f>+'Mono ASIG'!AA375</f>
        <v>68.77706815496235</v>
      </c>
      <c r="I375" s="12">
        <f t="shared" si="209"/>
        <v>56.461081149305684</v>
      </c>
      <c r="J375" s="12">
        <f t="shared" si="210"/>
        <v>14.4</v>
      </c>
      <c r="K375" s="115">
        <f>+'Mono SPOT MAT'!T375</f>
        <v>80</v>
      </c>
      <c r="L375" s="86"/>
      <c r="M375" s="86"/>
      <c r="N375" s="107">
        <f>+'Mono SPOT MAT'!S375/'Fisico SPOT MAT'!S375/'Fisico SPOT MAT'!E375</f>
        <v>15.654232071490474</v>
      </c>
      <c r="O375" s="86"/>
      <c r="R375">
        <v>0.9</v>
      </c>
      <c r="Y375" s="5">
        <f t="shared" si="182"/>
        <v>46281</v>
      </c>
      <c r="Z375" s="87">
        <f t="shared" si="211"/>
        <v>102.22329789184194</v>
      </c>
      <c r="AA375" s="87">
        <f t="shared" si="212"/>
        <v>80.967239611000593</v>
      </c>
      <c r="AB375" s="118">
        <v>5.8975350494152385</v>
      </c>
      <c r="AD375" s="5"/>
      <c r="AE375" s="92"/>
      <c r="AF375" s="92"/>
      <c r="AG375" s="92"/>
      <c r="AH375" s="92"/>
      <c r="AI375" s="93"/>
      <c r="AJ375" s="93"/>
    </row>
    <row r="376" spans="1:36" x14ac:dyDescent="0.3">
      <c r="A376" s="1">
        <v>2026</v>
      </c>
      <c r="B376" s="52">
        <v>46266</v>
      </c>
      <c r="C376" s="1" t="str">
        <f t="shared" si="176"/>
        <v>jue</v>
      </c>
      <c r="D376" s="5">
        <f t="shared" si="171"/>
        <v>46282</v>
      </c>
      <c r="E376" s="30">
        <v>60.652552894457124</v>
      </c>
      <c r="F376" s="14">
        <f>+'Mono SPOT MAT'!M376/'Fisico SPOT MAT'!M376/24</f>
        <v>70.390210714990516</v>
      </c>
      <c r="G376" s="13">
        <f t="shared" si="208"/>
        <v>14.4</v>
      </c>
      <c r="H376" s="12">
        <f>+'Mono ASIG'!AA376</f>
        <v>63.782849184900975</v>
      </c>
      <c r="I376" s="12">
        <f t="shared" si="209"/>
        <v>51.466862179244302</v>
      </c>
      <c r="J376" s="12">
        <f t="shared" si="210"/>
        <v>14.4</v>
      </c>
      <c r="K376" s="115">
        <f>+'Mono SPOT MAT'!T376</f>
        <v>80</v>
      </c>
      <c r="L376" s="86"/>
      <c r="M376" s="86"/>
      <c r="N376" s="107">
        <f>+'Mono SPOT MAT'!S376/'Fisico SPOT MAT'!S376/'Fisico SPOT MAT'!E376</f>
        <v>15.67419158220827</v>
      </c>
      <c r="O376" s="86"/>
      <c r="R376">
        <v>0.9</v>
      </c>
      <c r="Y376" s="5">
        <f t="shared" si="182"/>
        <v>46282</v>
      </c>
      <c r="Z376" s="87">
        <f t="shared" si="211"/>
        <v>60.652552894457124</v>
      </c>
      <c r="AA376" s="87">
        <f t="shared" si="212"/>
        <v>68.874833045208973</v>
      </c>
      <c r="AB376" s="118">
        <v>1.5153776697815393</v>
      </c>
      <c r="AD376" s="5"/>
      <c r="AE376" s="92"/>
      <c r="AF376" s="92"/>
      <c r="AG376" s="92"/>
      <c r="AH376" s="92"/>
      <c r="AI376" s="93"/>
      <c r="AJ376" s="93"/>
    </row>
    <row r="377" spans="1:36" x14ac:dyDescent="0.3">
      <c r="A377" s="1">
        <v>2026</v>
      </c>
      <c r="B377" s="52">
        <v>46266</v>
      </c>
      <c r="C377" s="1" t="str">
        <f t="shared" si="176"/>
        <v>vie</v>
      </c>
      <c r="D377" s="5">
        <f t="shared" si="171"/>
        <v>46283</v>
      </c>
      <c r="E377" s="30">
        <v>42.384984759246976</v>
      </c>
      <c r="F377" s="14">
        <f>+'Mono SPOT MAT'!M377/'Fisico SPOT MAT'!M377/24</f>
        <v>61.50052666033983</v>
      </c>
      <c r="G377" s="13">
        <f t="shared" si="208"/>
        <v>14.4</v>
      </c>
      <c r="H377" s="12">
        <f>+'Mono ASIG'!AA377</f>
        <v>64.074414366561129</v>
      </c>
      <c r="I377" s="12">
        <f t="shared" si="209"/>
        <v>51.758427360904463</v>
      </c>
      <c r="J377" s="12">
        <f t="shared" si="210"/>
        <v>14.4</v>
      </c>
      <c r="K377" s="115">
        <f>+'Mono SPOT MAT'!T377</f>
        <v>80</v>
      </c>
      <c r="L377" s="86"/>
      <c r="M377" s="86"/>
      <c r="N377" s="107">
        <f>+'Mono SPOT MAT'!S377/'Fisico SPOT MAT'!S377/'Fisico SPOT MAT'!E377</f>
        <v>15.66347645647002</v>
      </c>
      <c r="O377" s="86"/>
      <c r="R377">
        <v>0.9</v>
      </c>
      <c r="Y377" s="5">
        <f t="shared" si="182"/>
        <v>46283</v>
      </c>
      <c r="Z377" s="87">
        <f t="shared" si="211"/>
        <v>42.384984759246976</v>
      </c>
      <c r="AA377" s="87">
        <f t="shared" si="212"/>
        <v>60.776965379388621</v>
      </c>
      <c r="AB377" s="118">
        <v>0.72356128095120942</v>
      </c>
      <c r="AD377" s="5"/>
      <c r="AE377" s="92"/>
      <c r="AF377" s="92"/>
      <c r="AG377" s="92"/>
      <c r="AH377" s="92"/>
      <c r="AI377" s="93"/>
      <c r="AJ377" s="93"/>
    </row>
    <row r="378" spans="1:36" x14ac:dyDescent="0.3">
      <c r="A378" s="1">
        <v>2026</v>
      </c>
      <c r="B378" s="52">
        <v>46266</v>
      </c>
      <c r="C378" s="1" t="str">
        <f t="shared" si="176"/>
        <v>sáb</v>
      </c>
      <c r="D378" s="5">
        <f t="shared" si="171"/>
        <v>46284</v>
      </c>
      <c r="E378" s="30">
        <v>36.586419964339612</v>
      </c>
      <c r="F378" s="14">
        <f>+'Mono SPOT MAT'!M378/'Fisico SPOT MAT'!M378/24</f>
        <v>54.763697632739934</v>
      </c>
      <c r="G378" s="13">
        <f t="shared" si="208"/>
        <v>14.4</v>
      </c>
      <c r="H378" s="12">
        <f>+'Mono ASIG'!AA378</f>
        <v>63.909418246026512</v>
      </c>
      <c r="I378" s="12">
        <f t="shared" si="209"/>
        <v>51.593431240369839</v>
      </c>
      <c r="J378" s="12">
        <f t="shared" si="210"/>
        <v>14.4</v>
      </c>
      <c r="K378" s="115">
        <f>+'Mono SPOT MAT'!T378</f>
        <v>80</v>
      </c>
      <c r="L378" s="86"/>
      <c r="M378" s="86"/>
      <c r="N378" s="107">
        <f>+'Mono SPOT MAT'!S378/'Fisico SPOT MAT'!S378/'Fisico SPOT MAT'!E378</f>
        <v>15.62215307693292</v>
      </c>
      <c r="O378" s="86"/>
      <c r="R378">
        <v>0.9</v>
      </c>
      <c r="Y378" s="5">
        <f t="shared" si="182"/>
        <v>46284</v>
      </c>
      <c r="Z378" s="87">
        <f t="shared" si="211"/>
        <v>36.586419964339612</v>
      </c>
      <c r="AA378" s="87">
        <f t="shared" si="212"/>
        <v>54.264745261836879</v>
      </c>
      <c r="AB378" s="118">
        <v>0.49895237090305483</v>
      </c>
      <c r="AD378" s="5"/>
      <c r="AE378" s="92"/>
      <c r="AF378" s="92"/>
      <c r="AG378" s="92"/>
      <c r="AH378" s="92"/>
      <c r="AI378" s="93"/>
      <c r="AJ378" s="93"/>
    </row>
    <row r="379" spans="1:36" x14ac:dyDescent="0.3">
      <c r="A379" s="1">
        <v>2026</v>
      </c>
      <c r="B379" s="52">
        <v>46266</v>
      </c>
      <c r="C379" s="1" t="str">
        <f t="shared" si="176"/>
        <v>dom</v>
      </c>
      <c r="D379" s="5">
        <f t="shared" si="171"/>
        <v>46285</v>
      </c>
      <c r="E379" s="30">
        <v>26.915606935713896</v>
      </c>
      <c r="F379" s="14">
        <f>+'Mono SPOT MAT'!M379/'Fisico SPOT MAT'!M379/24</f>
        <v>59.704933089096187</v>
      </c>
      <c r="G379" s="13">
        <f t="shared" ref="G379:G385" si="213">16*R379</f>
        <v>14.4</v>
      </c>
      <c r="H379" s="12">
        <f>+'Mono ASIG'!AA379</f>
        <v>65.622720321046131</v>
      </c>
      <c r="I379" s="12">
        <f t="shared" ref="I379:I385" si="214">+H379-J379*$P$18/$Q$18/$W$18</f>
        <v>53.306733315389465</v>
      </c>
      <c r="J379" s="12">
        <f t="shared" ref="J379:J385" si="215">16*R379</f>
        <v>14.4</v>
      </c>
      <c r="K379" s="115">
        <f>+'Mono SPOT MAT'!T379</f>
        <v>80</v>
      </c>
      <c r="L379" s="86"/>
      <c r="M379" s="86"/>
      <c r="N379" s="107">
        <f>+'Mono SPOT MAT'!S379/'Fisico SPOT MAT'!S379/'Fisico SPOT MAT'!E379</f>
        <v>15.50467182613772</v>
      </c>
      <c r="O379" s="86"/>
      <c r="R379">
        <v>0.9</v>
      </c>
      <c r="Y379" s="5">
        <f t="shared" si="182"/>
        <v>46285</v>
      </c>
      <c r="Z379" s="87">
        <f t="shared" ref="Z379:Z385" si="216">+E379</f>
        <v>26.915606935713896</v>
      </c>
      <c r="AA379" s="87">
        <f t="shared" ref="AA379:AA385" si="217">+F379-AB379</f>
        <v>59.255012756706861</v>
      </c>
      <c r="AB379" s="118">
        <v>0.44992033238932372</v>
      </c>
      <c r="AD379" s="5"/>
      <c r="AE379" s="92"/>
      <c r="AF379" s="92"/>
      <c r="AG379" s="92"/>
      <c r="AH379" s="92"/>
      <c r="AI379" s="93"/>
      <c r="AJ379" s="93"/>
    </row>
    <row r="380" spans="1:36" x14ac:dyDescent="0.3">
      <c r="A380" s="1">
        <v>2026</v>
      </c>
      <c r="B380" s="52">
        <v>46266</v>
      </c>
      <c r="C380" s="1" t="str">
        <f t="shared" si="176"/>
        <v>lun</v>
      </c>
      <c r="D380" s="5">
        <f t="shared" si="171"/>
        <v>46286</v>
      </c>
      <c r="E380" s="30">
        <v>42.871366949901621</v>
      </c>
      <c r="F380" s="14">
        <f>+'Mono SPOT MAT'!M380/'Fisico SPOT MAT'!M380/24</f>
        <v>56.603475204542967</v>
      </c>
      <c r="G380" s="13">
        <f t="shared" si="213"/>
        <v>14.4</v>
      </c>
      <c r="H380" s="12">
        <f>+'Mono ASIG'!AA380</f>
        <v>63.914749040089525</v>
      </c>
      <c r="I380" s="12">
        <f t="shared" si="214"/>
        <v>51.598762034432852</v>
      </c>
      <c r="J380" s="12">
        <f t="shared" si="215"/>
        <v>14.4</v>
      </c>
      <c r="K380" s="115">
        <f>+'Mono SPOT MAT'!T380</f>
        <v>80</v>
      </c>
      <c r="L380" s="86"/>
      <c r="M380" s="86"/>
      <c r="N380" s="107">
        <f>+'Mono SPOT MAT'!S380/'Fisico SPOT MAT'!S380/'Fisico SPOT MAT'!E380</f>
        <v>15.644067564657115</v>
      </c>
      <c r="O380" s="86"/>
      <c r="R380">
        <v>0.9</v>
      </c>
      <c r="Y380" s="5">
        <f t="shared" si="182"/>
        <v>46286</v>
      </c>
      <c r="Z380" s="87">
        <f t="shared" si="216"/>
        <v>42.871366949901621</v>
      </c>
      <c r="AA380" s="87">
        <f t="shared" si="217"/>
        <v>55.585686193131238</v>
      </c>
      <c r="AB380" s="118">
        <v>1.0177890114117323</v>
      </c>
      <c r="AD380" s="5"/>
      <c r="AE380" s="92"/>
      <c r="AF380" s="92"/>
      <c r="AG380" s="92"/>
      <c r="AH380" s="92"/>
      <c r="AI380" s="93"/>
      <c r="AJ380" s="93"/>
    </row>
    <row r="381" spans="1:36" x14ac:dyDescent="0.3">
      <c r="A381" s="1">
        <v>2026</v>
      </c>
      <c r="B381" s="52">
        <v>46266</v>
      </c>
      <c r="C381" s="1" t="str">
        <f t="shared" si="176"/>
        <v>mar</v>
      </c>
      <c r="D381" s="5">
        <f t="shared" si="171"/>
        <v>46287</v>
      </c>
      <c r="E381" s="30">
        <v>51.644673389811466</v>
      </c>
      <c r="F381" s="14">
        <f>+'Mono SPOT MAT'!M381/'Fisico SPOT MAT'!M381/24</f>
        <v>57.447169525400874</v>
      </c>
      <c r="G381" s="13">
        <f t="shared" si="213"/>
        <v>14.4</v>
      </c>
      <c r="H381" s="12">
        <f>+'Mono ASIG'!AA381</f>
        <v>55.074386062667109</v>
      </c>
      <c r="I381" s="12">
        <f t="shared" si="214"/>
        <v>42.758399057010436</v>
      </c>
      <c r="J381" s="12">
        <f t="shared" si="215"/>
        <v>14.4</v>
      </c>
      <c r="K381" s="115">
        <f>+'Mono SPOT MAT'!T381</f>
        <v>80</v>
      </c>
      <c r="L381" s="86"/>
      <c r="M381" s="86"/>
      <c r="N381" s="107">
        <f>+'Mono SPOT MAT'!S381/'Fisico SPOT MAT'!S381/'Fisico SPOT MAT'!E381</f>
        <v>15.732469036050055</v>
      </c>
      <c r="O381" s="86"/>
      <c r="R381">
        <v>0.9</v>
      </c>
      <c r="Y381" s="5">
        <f t="shared" si="182"/>
        <v>46287</v>
      </c>
      <c r="Z381" s="87">
        <f t="shared" si="216"/>
        <v>51.644673389811466</v>
      </c>
      <c r="AA381" s="87">
        <f t="shared" si="217"/>
        <v>56.304707642768633</v>
      </c>
      <c r="AB381" s="118">
        <v>1.1424618826322412</v>
      </c>
      <c r="AD381" s="5"/>
      <c r="AE381" s="92"/>
      <c r="AF381" s="92"/>
      <c r="AG381" s="92"/>
      <c r="AH381" s="92"/>
      <c r="AI381" s="93"/>
      <c r="AJ381" s="93"/>
    </row>
    <row r="382" spans="1:36" x14ac:dyDescent="0.3">
      <c r="A382" s="1">
        <v>2026</v>
      </c>
      <c r="B382" s="52">
        <v>46266</v>
      </c>
      <c r="C382" s="1" t="str">
        <f t="shared" si="176"/>
        <v>mié</v>
      </c>
      <c r="D382" s="5">
        <f t="shared" ref="D382:D414" si="218">+D381+1</f>
        <v>46288</v>
      </c>
      <c r="E382" s="30">
        <v>48.345983433850201</v>
      </c>
      <c r="F382" s="14">
        <f>+'Mono SPOT MAT'!M382/'Fisico SPOT MAT'!M382/24</f>
        <v>55.964802115130226</v>
      </c>
      <c r="G382" s="13">
        <f t="shared" si="213"/>
        <v>14.4</v>
      </c>
      <c r="H382" s="12">
        <f>+'Mono ASIG'!AA382</f>
        <v>60.508033093558389</v>
      </c>
      <c r="I382" s="12">
        <f t="shared" si="214"/>
        <v>48.192046087901716</v>
      </c>
      <c r="J382" s="12">
        <f t="shared" si="215"/>
        <v>14.4</v>
      </c>
      <c r="K382" s="115">
        <f>+'Mono SPOT MAT'!T382</f>
        <v>80</v>
      </c>
      <c r="L382" s="86"/>
      <c r="M382" s="86"/>
      <c r="N382" s="107">
        <f>+'Mono SPOT MAT'!S382/'Fisico SPOT MAT'!S382/'Fisico SPOT MAT'!E382</f>
        <v>15.746717875102124</v>
      </c>
      <c r="O382" s="86"/>
      <c r="R382">
        <v>0.9</v>
      </c>
      <c r="Y382" s="5">
        <f t="shared" si="182"/>
        <v>46288</v>
      </c>
      <c r="Z382" s="87">
        <f t="shared" si="216"/>
        <v>48.345983433850201</v>
      </c>
      <c r="AA382" s="87">
        <f t="shared" si="217"/>
        <v>55.096729634080233</v>
      </c>
      <c r="AB382" s="118">
        <v>0.86807248104999601</v>
      </c>
      <c r="AD382" s="5"/>
      <c r="AE382" s="92"/>
      <c r="AF382" s="92"/>
      <c r="AG382" s="92"/>
      <c r="AH382" s="92"/>
      <c r="AI382" s="93"/>
      <c r="AJ382" s="93"/>
    </row>
    <row r="383" spans="1:36" x14ac:dyDescent="0.3">
      <c r="A383" s="1">
        <v>2026</v>
      </c>
      <c r="B383" s="52">
        <v>46266</v>
      </c>
      <c r="C383" s="1" t="str">
        <f t="shared" si="176"/>
        <v>jue</v>
      </c>
      <c r="D383" s="5">
        <f t="shared" si="218"/>
        <v>46289</v>
      </c>
      <c r="E383" s="30">
        <v>47.069119580055911</v>
      </c>
      <c r="F383" s="14">
        <f>+'Mono SPOT MAT'!M383/'Fisico SPOT MAT'!M383/24</f>
        <v>56.023642459983954</v>
      </c>
      <c r="G383" s="13">
        <f t="shared" si="213"/>
        <v>14.4</v>
      </c>
      <c r="H383" s="12">
        <f>+'Mono ASIG'!AA383</f>
        <v>57.426593923697347</v>
      </c>
      <c r="I383" s="12">
        <f t="shared" si="214"/>
        <v>45.110606918040673</v>
      </c>
      <c r="J383" s="12">
        <f t="shared" si="215"/>
        <v>14.4</v>
      </c>
      <c r="K383" s="115">
        <f>+'Mono SPOT MAT'!T383</f>
        <v>80</v>
      </c>
      <c r="L383" s="86"/>
      <c r="M383" s="86"/>
      <c r="N383" s="107">
        <f>+'Mono SPOT MAT'!S383/'Fisico SPOT MAT'!S383/'Fisico SPOT MAT'!E383</f>
        <v>15.72348677056727</v>
      </c>
      <c r="O383" s="86"/>
      <c r="R383">
        <v>0.9</v>
      </c>
      <c r="Y383" s="5">
        <f t="shared" si="182"/>
        <v>46289</v>
      </c>
      <c r="Z383" s="87">
        <f t="shared" si="216"/>
        <v>47.069119580055911</v>
      </c>
      <c r="AA383" s="87">
        <f t="shared" si="217"/>
        <v>54.917892457635901</v>
      </c>
      <c r="AB383" s="118">
        <v>1.1057500023480551</v>
      </c>
      <c r="AD383" s="5"/>
      <c r="AE383" s="92"/>
      <c r="AF383" s="92"/>
      <c r="AG383" s="92"/>
      <c r="AH383" s="92"/>
      <c r="AI383" s="93"/>
      <c r="AJ383" s="93"/>
    </row>
    <row r="384" spans="1:36" x14ac:dyDescent="0.3">
      <c r="A384" s="1">
        <v>2026</v>
      </c>
      <c r="B384" s="52">
        <v>46266</v>
      </c>
      <c r="C384" s="1" t="str">
        <f t="shared" si="176"/>
        <v>vie</v>
      </c>
      <c r="D384" s="5">
        <f t="shared" si="218"/>
        <v>46290</v>
      </c>
      <c r="E384" s="30">
        <v>36.153176645129435</v>
      </c>
      <c r="F384" s="14">
        <f>+'Mono SPOT MAT'!M384/'Fisico SPOT MAT'!M384/24</f>
        <v>58.336408713064515</v>
      </c>
      <c r="G384" s="13">
        <f t="shared" si="213"/>
        <v>14.4</v>
      </c>
      <c r="H384" s="12">
        <f>+'Mono ASIG'!AA384</f>
        <v>60.299698807949063</v>
      </c>
      <c r="I384" s="12">
        <f t="shared" si="214"/>
        <v>47.98371180229239</v>
      </c>
      <c r="J384" s="12">
        <f t="shared" si="215"/>
        <v>14.4</v>
      </c>
      <c r="K384" s="115">
        <f>+'Mono SPOT MAT'!T384</f>
        <v>80</v>
      </c>
      <c r="L384" s="86"/>
      <c r="M384" s="86"/>
      <c r="N384" s="107">
        <f>+'Mono SPOT MAT'!S384/'Fisico SPOT MAT'!S384/'Fisico SPOT MAT'!E384</f>
        <v>15.777448866444121</v>
      </c>
      <c r="O384" s="86"/>
      <c r="R384">
        <v>0.9</v>
      </c>
      <c r="Y384" s="5">
        <f t="shared" si="182"/>
        <v>46290</v>
      </c>
      <c r="Z384" s="87">
        <f t="shared" si="216"/>
        <v>36.153176645129435</v>
      </c>
      <c r="AA384" s="87">
        <f t="shared" si="217"/>
        <v>57.615805464323827</v>
      </c>
      <c r="AB384" s="118">
        <v>0.72060324874068404</v>
      </c>
      <c r="AD384" s="5"/>
      <c r="AE384" s="92"/>
      <c r="AF384" s="92"/>
      <c r="AG384" s="92"/>
      <c r="AH384" s="92"/>
      <c r="AI384" s="93"/>
      <c r="AJ384" s="93"/>
    </row>
    <row r="385" spans="1:36" x14ac:dyDescent="0.3">
      <c r="A385" s="1">
        <v>2026</v>
      </c>
      <c r="B385" s="52">
        <v>46266</v>
      </c>
      <c r="C385" s="1" t="str">
        <f t="shared" si="176"/>
        <v>sáb</v>
      </c>
      <c r="D385" s="5">
        <f t="shared" si="218"/>
        <v>46291</v>
      </c>
      <c r="E385" s="30">
        <v>25.894328109509441</v>
      </c>
      <c r="F385" s="14">
        <f>+'Mono SPOT MAT'!M385/'Fisico SPOT MAT'!M385/24</f>
        <v>54.687558134233178</v>
      </c>
      <c r="G385" s="13">
        <f t="shared" si="213"/>
        <v>14.4</v>
      </c>
      <c r="H385" s="12">
        <f>+'Mono ASIG'!AA385</f>
        <v>55.758071981969579</v>
      </c>
      <c r="I385" s="12">
        <f t="shared" si="214"/>
        <v>43.442084976312913</v>
      </c>
      <c r="J385" s="12">
        <f t="shared" si="215"/>
        <v>14.4</v>
      </c>
      <c r="K385" s="115">
        <f>+'Mono SPOT MAT'!T385</f>
        <v>80</v>
      </c>
      <c r="L385" s="86"/>
      <c r="M385" s="86"/>
      <c r="N385" s="107">
        <f>+'Mono SPOT MAT'!S385/'Fisico SPOT MAT'!S385/'Fisico SPOT MAT'!E385</f>
        <v>15.78108449259814</v>
      </c>
      <c r="O385" s="86"/>
      <c r="R385">
        <v>0.9</v>
      </c>
      <c r="Y385" s="5">
        <f t="shared" si="182"/>
        <v>46291</v>
      </c>
      <c r="Z385" s="87">
        <f t="shared" si="216"/>
        <v>25.894328109509441</v>
      </c>
      <c r="AA385" s="87">
        <f t="shared" si="217"/>
        <v>54.334916732103189</v>
      </c>
      <c r="AB385" s="118">
        <v>0.35264140212998757</v>
      </c>
      <c r="AD385" s="5"/>
      <c r="AE385" s="92"/>
      <c r="AF385" s="92"/>
      <c r="AG385" s="92"/>
      <c r="AH385" s="92"/>
      <c r="AI385" s="93"/>
      <c r="AJ385" s="93"/>
    </row>
    <row r="386" spans="1:36" x14ac:dyDescent="0.3">
      <c r="A386" s="1">
        <v>2026</v>
      </c>
      <c r="B386" s="52">
        <v>46266</v>
      </c>
      <c r="C386" s="1" t="str">
        <f t="shared" si="176"/>
        <v>dom</v>
      </c>
      <c r="D386" s="5">
        <f t="shared" si="218"/>
        <v>46292</v>
      </c>
      <c r="E386" s="30">
        <v>33.340610884138542</v>
      </c>
      <c r="F386" s="14">
        <f>+'Mono SPOT MAT'!M386/'Fisico SPOT MAT'!M386/24</f>
        <v>58.320056066528764</v>
      </c>
      <c r="G386" s="13">
        <f t="shared" ref="G386:G389" si="219">16*R386</f>
        <v>14.4</v>
      </c>
      <c r="H386" s="12">
        <f>+'Mono ASIG'!AA386</f>
        <v>58.52739745961393</v>
      </c>
      <c r="I386" s="12">
        <f t="shared" ref="I386:I389" si="220">+H386-J386*$P$18/$Q$18/$W$18</f>
        <v>46.211410453957257</v>
      </c>
      <c r="J386" s="12">
        <f t="shared" ref="J386:J389" si="221">16*R386</f>
        <v>14.4</v>
      </c>
      <c r="K386" s="115">
        <f>+'Mono SPOT MAT'!T386</f>
        <v>80</v>
      </c>
      <c r="L386" s="86"/>
      <c r="M386" s="86"/>
      <c r="N386" s="107">
        <f>+'Mono SPOT MAT'!S386/'Fisico SPOT MAT'!S386/'Fisico SPOT MAT'!E386</f>
        <v>15.784531643307545</v>
      </c>
      <c r="O386" s="86"/>
      <c r="R386">
        <v>0.9</v>
      </c>
      <c r="Y386" s="5">
        <f t="shared" si="182"/>
        <v>46292</v>
      </c>
      <c r="Z386" s="87">
        <f t="shared" ref="Z386:Z389" si="222">+E386</f>
        <v>33.340610884138542</v>
      </c>
      <c r="AA386" s="87">
        <f t="shared" ref="AA386:AA389" si="223">+F386-AB386</f>
        <v>57.630225638265628</v>
      </c>
      <c r="AB386" s="118">
        <v>0.68983042826313667</v>
      </c>
      <c r="AD386" s="5"/>
      <c r="AE386" s="92"/>
      <c r="AF386" s="92"/>
      <c r="AG386" s="92"/>
      <c r="AH386" s="92"/>
      <c r="AI386" s="93"/>
      <c r="AJ386" s="93"/>
    </row>
    <row r="387" spans="1:36" x14ac:dyDescent="0.3">
      <c r="A387" s="1">
        <v>2026</v>
      </c>
      <c r="B387" s="52">
        <v>46266</v>
      </c>
      <c r="C387" s="1" t="str">
        <f t="shared" si="176"/>
        <v>lun</v>
      </c>
      <c r="D387" s="5">
        <f t="shared" si="218"/>
        <v>46293</v>
      </c>
      <c r="E387" s="30">
        <v>56.684158014340632</v>
      </c>
      <c r="F387" s="14">
        <f>+'Mono SPOT MAT'!M387/'Fisico SPOT MAT'!M387/24</f>
        <v>57.851159146022802</v>
      </c>
      <c r="G387" s="13">
        <f t="shared" si="219"/>
        <v>14.4</v>
      </c>
      <c r="H387" s="12">
        <f>+'Mono ASIG'!AA387</f>
        <v>49.745856407836548</v>
      </c>
      <c r="I387" s="12">
        <f t="shared" si="220"/>
        <v>37.429869402179875</v>
      </c>
      <c r="J387" s="12">
        <f t="shared" si="221"/>
        <v>14.4</v>
      </c>
      <c r="K387" s="115">
        <f>+'Mono SPOT MAT'!T387</f>
        <v>80</v>
      </c>
      <c r="L387" s="86"/>
      <c r="M387" s="86"/>
      <c r="N387" s="107">
        <f>+'Mono SPOT MAT'!S387/'Fisico SPOT MAT'!S387/'Fisico SPOT MAT'!E387</f>
        <v>15.768133352449246</v>
      </c>
      <c r="O387" s="86"/>
      <c r="R387">
        <v>0.9</v>
      </c>
      <c r="Y387" s="5">
        <f t="shared" si="182"/>
        <v>46293</v>
      </c>
      <c r="Z387" s="87">
        <f t="shared" si="222"/>
        <v>56.684158014340632</v>
      </c>
      <c r="AA387" s="87">
        <f t="shared" si="223"/>
        <v>56.150269224961207</v>
      </c>
      <c r="AB387" s="118">
        <v>1.7008899210615964</v>
      </c>
      <c r="AD387" s="5"/>
      <c r="AE387" s="92"/>
      <c r="AF387" s="92"/>
      <c r="AG387" s="92"/>
      <c r="AH387" s="92"/>
      <c r="AI387" s="93"/>
      <c r="AJ387" s="93"/>
    </row>
    <row r="388" spans="1:36" x14ac:dyDescent="0.3">
      <c r="A388" s="1">
        <v>2026</v>
      </c>
      <c r="B388" s="52">
        <v>46266</v>
      </c>
      <c r="C388" s="1" t="str">
        <f t="shared" si="176"/>
        <v>mar</v>
      </c>
      <c r="D388" s="5">
        <f t="shared" si="218"/>
        <v>46294</v>
      </c>
      <c r="E388" s="30">
        <v>41.193901338674081</v>
      </c>
      <c r="F388" s="14">
        <f>+'Mono SPOT MAT'!M388/'Fisico SPOT MAT'!M388/24</f>
        <v>56.09748569741712</v>
      </c>
      <c r="G388" s="13">
        <f t="shared" si="219"/>
        <v>14.4</v>
      </c>
      <c r="H388" s="12">
        <f>+'Mono ASIG'!AA388</f>
        <v>52.613785336694519</v>
      </c>
      <c r="I388" s="12">
        <f t="shared" si="220"/>
        <v>40.297798331037853</v>
      </c>
      <c r="J388" s="12">
        <f t="shared" si="221"/>
        <v>14.4</v>
      </c>
      <c r="K388" s="115">
        <f>+'Mono SPOT MAT'!T388</f>
        <v>80</v>
      </c>
      <c r="L388" s="86"/>
      <c r="M388" s="86"/>
      <c r="N388" s="107">
        <f>+'Mono SPOT MAT'!S388/'Fisico SPOT MAT'!S388/'Fisico SPOT MAT'!E388</f>
        <v>15.753553190122675</v>
      </c>
      <c r="O388" s="86"/>
      <c r="R388">
        <v>0.9</v>
      </c>
      <c r="Y388" s="5">
        <f t="shared" si="182"/>
        <v>46294</v>
      </c>
      <c r="Z388" s="87">
        <f t="shared" si="222"/>
        <v>41.193901338674081</v>
      </c>
      <c r="AA388" s="87">
        <f t="shared" si="223"/>
        <v>55.41183249070734</v>
      </c>
      <c r="AB388" s="118">
        <v>0.68565320670978314</v>
      </c>
      <c r="AD388" s="5"/>
      <c r="AE388" s="92"/>
      <c r="AF388" s="92"/>
      <c r="AG388" s="92"/>
      <c r="AH388" s="92"/>
      <c r="AI388" s="93"/>
      <c r="AJ388" s="93"/>
    </row>
    <row r="389" spans="1:36" x14ac:dyDescent="0.3">
      <c r="A389" s="1">
        <v>2026</v>
      </c>
      <c r="B389" s="52">
        <v>46266</v>
      </c>
      <c r="C389" s="1" t="str">
        <f t="shared" si="176"/>
        <v>mié</v>
      </c>
      <c r="D389" s="5">
        <f t="shared" si="218"/>
        <v>46295</v>
      </c>
      <c r="E389" s="30">
        <v>33.995463666717093</v>
      </c>
      <c r="F389" s="14">
        <f>+'Mono SPOT MAT'!M389/'Fisico SPOT MAT'!M389/24</f>
        <v>59.38391385366333</v>
      </c>
      <c r="G389" s="13">
        <f t="shared" si="219"/>
        <v>14.4</v>
      </c>
      <c r="H389" s="12">
        <f>+'Mono ASIG'!AA389</f>
        <v>52.777204313817123</v>
      </c>
      <c r="I389" s="12">
        <f t="shared" si="220"/>
        <v>40.461217308160457</v>
      </c>
      <c r="J389" s="12">
        <f t="shared" si="221"/>
        <v>14.4</v>
      </c>
      <c r="K389" s="115">
        <f>+'Mono SPOT MAT'!T389</f>
        <v>80</v>
      </c>
      <c r="L389" s="86"/>
      <c r="M389" s="86"/>
      <c r="N389" s="107">
        <f>+'Mono SPOT MAT'!S389/'Fisico SPOT MAT'!S389/'Fisico SPOT MAT'!E389</f>
        <v>15.797644960352793</v>
      </c>
      <c r="O389" s="86"/>
      <c r="R389">
        <v>0.9</v>
      </c>
      <c r="Y389" s="5">
        <f t="shared" si="182"/>
        <v>46295</v>
      </c>
      <c r="Z389" s="87">
        <f t="shared" si="222"/>
        <v>33.995463666717093</v>
      </c>
      <c r="AA389" s="87">
        <f t="shared" si="223"/>
        <v>58.670121991555234</v>
      </c>
      <c r="AB389" s="118">
        <v>0.71379186210809342</v>
      </c>
      <c r="AD389" s="5"/>
      <c r="AE389" s="92"/>
      <c r="AF389" s="92"/>
      <c r="AG389" s="92"/>
      <c r="AH389" s="92"/>
      <c r="AI389" s="93"/>
      <c r="AJ389" s="93"/>
    </row>
    <row r="390" spans="1:36" x14ac:dyDescent="0.3">
      <c r="A390" s="1">
        <v>2026</v>
      </c>
      <c r="B390" s="52">
        <v>46296</v>
      </c>
      <c r="C390" s="1" t="str">
        <f t="shared" si="176"/>
        <v>jue</v>
      </c>
      <c r="D390" s="5">
        <f t="shared" si="218"/>
        <v>46296</v>
      </c>
      <c r="E390" s="30">
        <v>34.5</v>
      </c>
      <c r="F390" s="14">
        <f>+'Mono SPOT MAT'!M390/'Fisico SPOT MAT'!M390/24</f>
        <v>45.103933394938871</v>
      </c>
      <c r="G390" s="13">
        <f t="shared" ref="G390:G394" si="224">16*R390</f>
        <v>14.4</v>
      </c>
      <c r="H390" s="12">
        <f>+'Mono ASIG'!AA390</f>
        <v>51.393257309040202</v>
      </c>
      <c r="I390" s="12">
        <f t="shared" ref="I390:I400" si="225">+H390-J390*$P$18/$Q$18/$W$18</f>
        <v>39.077270303383528</v>
      </c>
      <c r="J390" s="12">
        <f t="shared" ref="J390:J400" si="226">16*R390</f>
        <v>14.4</v>
      </c>
      <c r="K390" s="115">
        <f>+'Mono SPOT MAT'!T390</f>
        <v>80</v>
      </c>
      <c r="L390" s="86"/>
      <c r="M390" s="86"/>
      <c r="N390" s="107">
        <f>+'Mono SPOT MAT'!S390/'Fisico SPOT MAT'!S390/'Fisico SPOT MAT'!E390</f>
        <v>15.712459362482914</v>
      </c>
      <c r="O390" s="86"/>
      <c r="R390">
        <v>0.9</v>
      </c>
      <c r="Y390" s="5">
        <f t="shared" si="182"/>
        <v>46296</v>
      </c>
      <c r="Z390" s="87">
        <f t="shared" ref="Z390:Z394" si="227">+E390</f>
        <v>34.5</v>
      </c>
      <c r="AA390" s="87">
        <f t="shared" ref="AA390:AA394" si="228">+F390-AB390</f>
        <v>44.303933394938873</v>
      </c>
      <c r="AB390" s="118">
        <v>0.8</v>
      </c>
      <c r="AD390" s="5"/>
      <c r="AE390" s="92"/>
      <c r="AF390" s="92"/>
      <c r="AG390" s="92"/>
      <c r="AH390" s="92"/>
      <c r="AI390" s="93"/>
      <c r="AJ390" s="93"/>
    </row>
    <row r="391" spans="1:36" x14ac:dyDescent="0.3">
      <c r="A391" s="1">
        <v>2026</v>
      </c>
      <c r="B391" s="52">
        <v>46296</v>
      </c>
      <c r="C391" s="1" t="str">
        <f t="shared" ref="C391:C414" si="229">+C384</f>
        <v>vie</v>
      </c>
      <c r="D391" s="5">
        <f t="shared" si="218"/>
        <v>46297</v>
      </c>
      <c r="E391" s="30">
        <v>29.5</v>
      </c>
      <c r="F391" s="14">
        <f>+'Mono SPOT MAT'!M391/'Fisico SPOT MAT'!M391/24</f>
        <v>35.351223684210531</v>
      </c>
      <c r="G391" s="13">
        <f t="shared" si="224"/>
        <v>14.4</v>
      </c>
      <c r="H391" s="12">
        <f>+'Mono ASIG'!AA391</f>
        <v>55.16507762211473</v>
      </c>
      <c r="I391" s="12">
        <f t="shared" si="225"/>
        <v>42.849090616458057</v>
      </c>
      <c r="J391" s="12">
        <f t="shared" si="226"/>
        <v>14.4</v>
      </c>
      <c r="K391" s="115">
        <f>+'Mono SPOT MAT'!T391</f>
        <v>80</v>
      </c>
      <c r="L391" s="86"/>
      <c r="M391" s="86"/>
      <c r="N391" s="107">
        <f>+'Mono SPOT MAT'!S391/'Fisico SPOT MAT'!S391/'Fisico SPOT MAT'!E391</f>
        <v>15.660054359860062</v>
      </c>
      <c r="O391" s="86"/>
      <c r="R391">
        <v>0.9</v>
      </c>
      <c r="Y391" s="5">
        <f t="shared" si="182"/>
        <v>46297</v>
      </c>
      <c r="Z391" s="87">
        <f t="shared" si="227"/>
        <v>29.5</v>
      </c>
      <c r="AA391" s="87">
        <f t="shared" si="228"/>
        <v>34.551223684210534</v>
      </c>
      <c r="AB391" s="118">
        <v>0.8</v>
      </c>
      <c r="AD391" s="5"/>
      <c r="AE391" s="92"/>
      <c r="AF391" s="92"/>
      <c r="AG391" s="92"/>
      <c r="AH391" s="92"/>
      <c r="AI391" s="93"/>
      <c r="AJ391" s="93"/>
    </row>
    <row r="392" spans="1:36" x14ac:dyDescent="0.3">
      <c r="A392" s="1">
        <v>2026</v>
      </c>
      <c r="B392" s="52">
        <v>46296</v>
      </c>
      <c r="C392" s="1" t="str">
        <f t="shared" si="229"/>
        <v>sáb</v>
      </c>
      <c r="D392" s="5">
        <f t="shared" si="218"/>
        <v>46298</v>
      </c>
      <c r="E392" s="30">
        <v>28.4</v>
      </c>
      <c r="F392" s="14">
        <f>+'Mono SPOT MAT'!M392/'Fisico SPOT MAT'!M392/24</f>
        <v>36.382771816372944</v>
      </c>
      <c r="G392" s="13">
        <f t="shared" si="224"/>
        <v>14.4</v>
      </c>
      <c r="H392" s="12">
        <f>+'Mono ASIG'!AA392</f>
        <v>59.475134667972448</v>
      </c>
      <c r="I392" s="12">
        <f t="shared" si="225"/>
        <v>47.159147662315775</v>
      </c>
      <c r="J392" s="12">
        <f t="shared" si="226"/>
        <v>14.4</v>
      </c>
      <c r="K392" s="115">
        <f>+'Mono SPOT MAT'!T392</f>
        <v>80</v>
      </c>
      <c r="L392" s="86"/>
      <c r="M392" s="86"/>
      <c r="N392" s="107">
        <f>+'Mono SPOT MAT'!S392/'Fisico SPOT MAT'!S392/'Fisico SPOT MAT'!E392</f>
        <v>15.530927070239988</v>
      </c>
      <c r="O392" s="86"/>
      <c r="R392">
        <v>0.9</v>
      </c>
      <c r="Y392" s="5">
        <f t="shared" si="182"/>
        <v>46298</v>
      </c>
      <c r="Z392" s="87">
        <f t="shared" si="227"/>
        <v>28.4</v>
      </c>
      <c r="AA392" s="87">
        <f t="shared" si="228"/>
        <v>35.582771816372947</v>
      </c>
      <c r="AB392" s="118">
        <v>0.8</v>
      </c>
      <c r="AD392" s="5"/>
      <c r="AE392" s="92"/>
      <c r="AF392" s="92"/>
      <c r="AG392" s="92"/>
      <c r="AH392" s="92"/>
      <c r="AI392" s="93"/>
      <c r="AJ392" s="93"/>
    </row>
    <row r="393" spans="1:36" x14ac:dyDescent="0.3">
      <c r="A393" s="1">
        <v>2026</v>
      </c>
      <c r="B393" s="52">
        <v>46296</v>
      </c>
      <c r="C393" s="1" t="str">
        <f t="shared" si="229"/>
        <v>dom</v>
      </c>
      <c r="D393" s="5">
        <f t="shared" si="218"/>
        <v>46299</v>
      </c>
      <c r="E393" s="30">
        <v>17</v>
      </c>
      <c r="F393" s="14">
        <f>+'Mono SPOT MAT'!M393/'Fisico SPOT MAT'!M393/24</f>
        <v>35.623527498063524</v>
      </c>
      <c r="G393" s="13">
        <f t="shared" si="224"/>
        <v>14.4</v>
      </c>
      <c r="H393" s="12">
        <f>+'Mono ASIG'!AA393</f>
        <v>62.984980203416036</v>
      </c>
      <c r="I393" s="12">
        <f t="shared" si="225"/>
        <v>50.668993197759363</v>
      </c>
      <c r="J393" s="12">
        <f t="shared" si="226"/>
        <v>14.4</v>
      </c>
      <c r="K393" s="115">
        <f>+'Mono SPOT MAT'!T393</f>
        <v>80</v>
      </c>
      <c r="L393" s="86"/>
      <c r="M393" s="86"/>
      <c r="N393" s="107">
        <f>+'Mono SPOT MAT'!S393/'Fisico SPOT MAT'!S393/'Fisico SPOT MAT'!E393</f>
        <v>15.502814691733953</v>
      </c>
      <c r="O393" s="86"/>
      <c r="R393">
        <v>0.9</v>
      </c>
      <c r="Y393" s="5">
        <f t="shared" si="182"/>
        <v>46299</v>
      </c>
      <c r="Z393" s="87">
        <f t="shared" si="227"/>
        <v>17</v>
      </c>
      <c r="AA393" s="87">
        <f t="shared" si="228"/>
        <v>35.123527498063524</v>
      </c>
      <c r="AB393" s="118">
        <v>0.5</v>
      </c>
      <c r="AD393" s="5"/>
      <c r="AE393" s="92"/>
      <c r="AF393" s="92"/>
      <c r="AG393" s="92"/>
      <c r="AH393" s="92"/>
      <c r="AI393" s="93"/>
      <c r="AJ393" s="93"/>
    </row>
    <row r="394" spans="1:36" x14ac:dyDescent="0.3">
      <c r="A394" s="1">
        <v>2026</v>
      </c>
      <c r="B394" s="52">
        <v>46296</v>
      </c>
      <c r="C394" s="1" t="str">
        <f t="shared" si="229"/>
        <v>lun</v>
      </c>
      <c r="D394" s="5">
        <f t="shared" si="218"/>
        <v>46300</v>
      </c>
      <c r="E394" s="30">
        <v>33.200000000000003</v>
      </c>
      <c r="F394" s="14">
        <f>+'Mono SPOT MAT'!M394/'Fisico SPOT MAT'!M394/24</f>
        <v>36.62552449641516</v>
      </c>
      <c r="G394" s="13">
        <f t="shared" si="224"/>
        <v>14.4</v>
      </c>
      <c r="H394" s="12">
        <f>+'Mono ASIG'!AA394</f>
        <v>56.779452947225842</v>
      </c>
      <c r="I394" s="12">
        <f t="shared" si="225"/>
        <v>44.463465941569169</v>
      </c>
      <c r="J394" s="12">
        <f t="shared" si="226"/>
        <v>14.4</v>
      </c>
      <c r="K394" s="115">
        <f>+'Mono SPOT MAT'!T394</f>
        <v>80</v>
      </c>
      <c r="L394" s="86"/>
      <c r="M394" s="86"/>
      <c r="N394" s="107">
        <f>+'Mono SPOT MAT'!S394/'Fisico SPOT MAT'!S394/'Fisico SPOT MAT'!E394</f>
        <v>15.397993951287303</v>
      </c>
      <c r="O394" s="86"/>
      <c r="R394">
        <v>0.9</v>
      </c>
      <c r="Y394" s="5">
        <f t="shared" ref="Y394:Y414" si="230">$D394</f>
        <v>46300</v>
      </c>
      <c r="Z394" s="87">
        <f t="shared" si="227"/>
        <v>33.200000000000003</v>
      </c>
      <c r="AA394" s="87">
        <f t="shared" si="228"/>
        <v>35.62552449641516</v>
      </c>
      <c r="AB394" s="118">
        <v>1</v>
      </c>
      <c r="AD394" s="5"/>
      <c r="AE394" s="92"/>
      <c r="AF394" s="92"/>
      <c r="AG394" s="92"/>
      <c r="AH394" s="92"/>
      <c r="AI394" s="93"/>
      <c r="AJ394" s="93"/>
    </row>
    <row r="395" spans="1:36" x14ac:dyDescent="0.3">
      <c r="A395" s="1">
        <v>2026</v>
      </c>
      <c r="B395" s="52">
        <v>46296</v>
      </c>
      <c r="C395" s="1" t="str">
        <f t="shared" si="229"/>
        <v>mar</v>
      </c>
      <c r="D395" s="5">
        <f t="shared" si="218"/>
        <v>46301</v>
      </c>
      <c r="E395" s="30">
        <v>35.6</v>
      </c>
      <c r="F395" s="14">
        <f>+'Mono SPOT MAT'!M395/'Fisico SPOT MAT'!M395/24</f>
        <v>37.527074190097814</v>
      </c>
      <c r="G395" s="13">
        <f t="shared" ref="G395:G400" si="231">16*R395</f>
        <v>14.4</v>
      </c>
      <c r="H395" s="12">
        <f>+'Mono ASIG'!AA395</f>
        <v>51.23172267721241</v>
      </c>
      <c r="I395" s="12">
        <f t="shared" si="225"/>
        <v>38.915735671555737</v>
      </c>
      <c r="J395" s="12">
        <f t="shared" si="226"/>
        <v>14.4</v>
      </c>
      <c r="K395" s="115">
        <f>+'Mono SPOT MAT'!T395</f>
        <v>80</v>
      </c>
      <c r="L395" s="86"/>
      <c r="M395" s="86"/>
      <c r="N395" s="107">
        <f>+'Mono SPOT MAT'!S395/'Fisico SPOT MAT'!S395/'Fisico SPOT MAT'!E395</f>
        <v>15.44743994710938</v>
      </c>
      <c r="O395" s="86"/>
      <c r="R395">
        <v>0.9</v>
      </c>
      <c r="Y395" s="5">
        <f t="shared" si="230"/>
        <v>46301</v>
      </c>
      <c r="Z395" s="87">
        <f t="shared" ref="Z395:Z400" si="232">+E395</f>
        <v>35.6</v>
      </c>
      <c r="AA395" s="87">
        <f t="shared" ref="AA395:AA400" si="233">+F395-AB395</f>
        <v>36.427074190097812</v>
      </c>
      <c r="AB395" s="118">
        <v>1.1000000000000001</v>
      </c>
      <c r="AD395" s="5"/>
      <c r="AE395" s="92"/>
      <c r="AF395" s="92"/>
      <c r="AG395" s="92"/>
      <c r="AH395" s="92"/>
      <c r="AI395" s="93"/>
      <c r="AJ395" s="93"/>
    </row>
    <row r="396" spans="1:36" x14ac:dyDescent="0.3">
      <c r="A396" s="1">
        <v>2026</v>
      </c>
      <c r="B396" s="52">
        <v>46296</v>
      </c>
      <c r="C396" s="1" t="str">
        <f t="shared" si="229"/>
        <v>mié</v>
      </c>
      <c r="D396" s="5">
        <f t="shared" si="218"/>
        <v>46302</v>
      </c>
      <c r="E396" s="30">
        <v>29.4</v>
      </c>
      <c r="F396" s="14">
        <f>+'Mono SPOT MAT'!M396/'Fisico SPOT MAT'!M396/24</f>
        <v>37.353472054835798</v>
      </c>
      <c r="G396" s="13">
        <f t="shared" si="231"/>
        <v>14.4</v>
      </c>
      <c r="H396" s="12">
        <f>+'Mono ASIG'!AA396</f>
        <v>57.77596879109106</v>
      </c>
      <c r="I396" s="12">
        <f t="shared" si="225"/>
        <v>45.459981785434394</v>
      </c>
      <c r="J396" s="12">
        <f t="shared" si="226"/>
        <v>14.4</v>
      </c>
      <c r="K396" s="115">
        <f>+'Mono SPOT MAT'!T396</f>
        <v>80</v>
      </c>
      <c r="L396" s="86"/>
      <c r="M396" s="86"/>
      <c r="N396" s="107">
        <f>+'Mono SPOT MAT'!S396/'Fisico SPOT MAT'!S396/'Fisico SPOT MAT'!E396</f>
        <v>15.466271771476912</v>
      </c>
      <c r="O396" s="86"/>
      <c r="R396">
        <v>0.9</v>
      </c>
      <c r="Y396" s="5">
        <f t="shared" si="230"/>
        <v>46302</v>
      </c>
      <c r="Z396" s="87">
        <f t="shared" si="232"/>
        <v>29.4</v>
      </c>
      <c r="AA396" s="87">
        <f t="shared" si="233"/>
        <v>36.653472054835795</v>
      </c>
      <c r="AB396" s="118">
        <v>0.7</v>
      </c>
      <c r="AD396" s="5"/>
      <c r="AE396" s="92"/>
      <c r="AF396" s="92"/>
      <c r="AG396" s="92"/>
      <c r="AH396" s="92"/>
      <c r="AI396" s="93"/>
      <c r="AJ396" s="93"/>
    </row>
    <row r="397" spans="1:36" x14ac:dyDescent="0.3">
      <c r="A397" s="1">
        <v>2026</v>
      </c>
      <c r="B397" s="52">
        <v>46296</v>
      </c>
      <c r="C397" s="1" t="str">
        <f t="shared" si="229"/>
        <v>jue</v>
      </c>
      <c r="D397" s="5">
        <f t="shared" si="218"/>
        <v>46303</v>
      </c>
      <c r="E397" s="30">
        <v>33.4</v>
      </c>
      <c r="F397" s="14">
        <f>+'Mono SPOT MAT'!M397/'Fisico SPOT MAT'!M397/24</f>
        <v>36.123058390022685</v>
      </c>
      <c r="G397" s="13">
        <f t="shared" si="231"/>
        <v>14.4</v>
      </c>
      <c r="H397" s="12">
        <f>+'Mono ASIG'!AA397</f>
        <v>55.756701368418362</v>
      </c>
      <c r="I397" s="12">
        <f t="shared" si="225"/>
        <v>43.440714362761696</v>
      </c>
      <c r="J397" s="12">
        <f t="shared" si="226"/>
        <v>14.4</v>
      </c>
      <c r="K397" s="115">
        <f>+'Mono SPOT MAT'!T397</f>
        <v>80</v>
      </c>
      <c r="L397" s="86"/>
      <c r="M397" s="86"/>
      <c r="N397" s="107">
        <f>+'Mono SPOT MAT'!S397/'Fisico SPOT MAT'!S397/'Fisico SPOT MAT'!E397</f>
        <v>15.521502124892637</v>
      </c>
      <c r="O397" s="86"/>
      <c r="R397">
        <v>0.9</v>
      </c>
      <c r="Y397" s="5">
        <f t="shared" si="230"/>
        <v>46303</v>
      </c>
      <c r="Z397" s="87">
        <f t="shared" si="232"/>
        <v>33.4</v>
      </c>
      <c r="AA397" s="87">
        <f t="shared" si="233"/>
        <v>35.223058390022686</v>
      </c>
      <c r="AB397" s="118">
        <v>0.9</v>
      </c>
      <c r="AD397" s="5"/>
      <c r="AE397" s="92"/>
      <c r="AF397" s="92"/>
      <c r="AG397" s="92"/>
      <c r="AH397" s="92"/>
      <c r="AI397" s="93"/>
      <c r="AJ397" s="93"/>
    </row>
    <row r="398" spans="1:36" x14ac:dyDescent="0.3">
      <c r="A398" s="1">
        <v>2026</v>
      </c>
      <c r="B398" s="52">
        <v>46296</v>
      </c>
      <c r="C398" s="1" t="str">
        <f t="shared" si="229"/>
        <v>vie</v>
      </c>
      <c r="D398" s="5">
        <f t="shared" si="218"/>
        <v>46304</v>
      </c>
      <c r="E398" s="30">
        <v>36.200000000000003</v>
      </c>
      <c r="F398" s="14">
        <f>+'Mono SPOT MAT'!M398/'Fisico SPOT MAT'!M398/24</f>
        <v>36.08753985306349</v>
      </c>
      <c r="G398" s="13">
        <f t="shared" si="231"/>
        <v>14.4</v>
      </c>
      <c r="H398" s="12">
        <f>+'Mono ASIG'!AA398</f>
        <v>50.430070463245507</v>
      </c>
      <c r="I398" s="12">
        <f t="shared" si="225"/>
        <v>38.114083457588833</v>
      </c>
      <c r="J398" s="12">
        <f t="shared" si="226"/>
        <v>14.4</v>
      </c>
      <c r="K398" s="115">
        <f>+'Mono SPOT MAT'!T398</f>
        <v>80</v>
      </c>
      <c r="L398" s="86"/>
      <c r="M398" s="86"/>
      <c r="N398" s="107">
        <f>+'Mono SPOT MAT'!S398/'Fisico SPOT MAT'!S398/'Fisico SPOT MAT'!E398</f>
        <v>15.53315784159798</v>
      </c>
      <c r="O398" s="86"/>
      <c r="R398">
        <v>0.9</v>
      </c>
      <c r="Y398" s="5">
        <f t="shared" si="230"/>
        <v>46304</v>
      </c>
      <c r="Z398" s="87">
        <f t="shared" si="232"/>
        <v>36.200000000000003</v>
      </c>
      <c r="AA398" s="87">
        <f t="shared" si="233"/>
        <v>35.08753985306349</v>
      </c>
      <c r="AB398" s="118">
        <v>1</v>
      </c>
      <c r="AD398" s="5"/>
      <c r="AE398" s="92"/>
      <c r="AF398" s="92"/>
      <c r="AG398" s="92"/>
      <c r="AH398" s="92"/>
      <c r="AI398" s="93"/>
      <c r="AJ398" s="93"/>
    </row>
    <row r="399" spans="1:36" x14ac:dyDescent="0.3">
      <c r="A399" s="1">
        <v>2026</v>
      </c>
      <c r="B399" s="52">
        <v>46296</v>
      </c>
      <c r="C399" s="1" t="str">
        <f t="shared" si="229"/>
        <v>sáb</v>
      </c>
      <c r="D399" s="5">
        <f t="shared" si="218"/>
        <v>46305</v>
      </c>
      <c r="E399" s="30">
        <v>33.700000000000003</v>
      </c>
      <c r="F399" s="14">
        <f>+'Mono SPOT MAT'!M399/'Fisico SPOT MAT'!M399/24</f>
        <v>35.564149669421489</v>
      </c>
      <c r="G399" s="13">
        <f t="shared" si="231"/>
        <v>14.4</v>
      </c>
      <c r="H399" s="12">
        <f>+'Mono ASIG'!AA399</f>
        <v>51.705669976790169</v>
      </c>
      <c r="I399" s="12">
        <f t="shared" si="225"/>
        <v>39.389682971133496</v>
      </c>
      <c r="J399" s="12">
        <f t="shared" si="226"/>
        <v>14.4</v>
      </c>
      <c r="K399" s="115">
        <f>+'Mono SPOT MAT'!T399</f>
        <v>80</v>
      </c>
      <c r="L399" s="86"/>
      <c r="M399" s="86"/>
      <c r="N399" s="107">
        <f>+'Mono SPOT MAT'!S399/'Fisico SPOT MAT'!S399/'Fisico SPOT MAT'!E399</f>
        <v>15.613813998419252</v>
      </c>
      <c r="O399" s="86"/>
      <c r="R399">
        <v>0.9</v>
      </c>
      <c r="Y399" s="5">
        <f t="shared" si="230"/>
        <v>46305</v>
      </c>
      <c r="Z399" s="87">
        <f t="shared" si="232"/>
        <v>33.700000000000003</v>
      </c>
      <c r="AA399" s="87">
        <f t="shared" si="233"/>
        <v>34.364149669421487</v>
      </c>
      <c r="AB399" s="118">
        <v>1.2</v>
      </c>
      <c r="AD399" s="5"/>
      <c r="AE399" s="92"/>
      <c r="AF399" s="92"/>
      <c r="AG399" s="92"/>
      <c r="AH399" s="92"/>
      <c r="AI399" s="93"/>
      <c r="AJ399" s="93"/>
    </row>
    <row r="400" spans="1:36" x14ac:dyDescent="0.3">
      <c r="A400" s="1">
        <v>2026</v>
      </c>
      <c r="B400" s="52">
        <v>46296</v>
      </c>
      <c r="C400" s="1" t="str">
        <f t="shared" si="229"/>
        <v>dom</v>
      </c>
      <c r="D400" s="5">
        <f t="shared" si="218"/>
        <v>46306</v>
      </c>
      <c r="E400" s="30">
        <v>24.5</v>
      </c>
      <c r="F400" s="14">
        <f>+'Mono SPOT MAT'!M400/'Fisico SPOT MAT'!M400/24</f>
        <v>34.678316395919914</v>
      </c>
      <c r="G400" s="13">
        <f t="shared" si="231"/>
        <v>14.4</v>
      </c>
      <c r="H400" s="12">
        <f>+'Mono ASIG'!AA400</f>
        <v>54.027750169088847</v>
      </c>
      <c r="I400" s="12">
        <f t="shared" si="225"/>
        <v>41.711763163432181</v>
      </c>
      <c r="J400" s="12">
        <f t="shared" si="226"/>
        <v>14.4</v>
      </c>
      <c r="K400" s="115">
        <f>+'Mono SPOT MAT'!T400</f>
        <v>80</v>
      </c>
      <c r="L400" s="86"/>
      <c r="M400" s="86"/>
      <c r="N400" s="107">
        <f>+'Mono SPOT MAT'!S400/'Fisico SPOT MAT'!S400/'Fisico SPOT MAT'!E400</f>
        <v>15.586730641729101</v>
      </c>
      <c r="O400" s="86"/>
      <c r="R400">
        <v>0.9</v>
      </c>
      <c r="Y400" s="5">
        <f t="shared" si="230"/>
        <v>46306</v>
      </c>
      <c r="Z400" s="87">
        <f t="shared" si="232"/>
        <v>24.5</v>
      </c>
      <c r="AA400" s="87">
        <f t="shared" si="233"/>
        <v>34.078316395919913</v>
      </c>
      <c r="AB400" s="118">
        <v>0.6</v>
      </c>
      <c r="AD400" s="5"/>
      <c r="AE400" s="92"/>
      <c r="AF400" s="92"/>
      <c r="AG400" s="92"/>
      <c r="AH400" s="92"/>
      <c r="AI400" s="93"/>
      <c r="AJ400" s="93"/>
    </row>
    <row r="401" spans="1:36" x14ac:dyDescent="0.3">
      <c r="A401" s="1">
        <v>2026</v>
      </c>
      <c r="B401" s="52">
        <v>46296</v>
      </c>
      <c r="C401" s="1" t="str">
        <f t="shared" si="229"/>
        <v>lun</v>
      </c>
      <c r="D401" s="5">
        <f t="shared" si="218"/>
        <v>46307</v>
      </c>
      <c r="E401" s="30">
        <v>29.9</v>
      </c>
      <c r="F401" s="14">
        <f>+'Mono SPOT MAT'!M401/'Fisico SPOT MAT'!M401/24</f>
        <v>34.690395412529959</v>
      </c>
      <c r="G401" s="13">
        <f t="shared" ref="G401:G414" si="234">16*R401</f>
        <v>14.4</v>
      </c>
      <c r="H401" s="12">
        <f>+'Mono ASIG'!AA401</f>
        <v>53.582771776552384</v>
      </c>
      <c r="I401" s="12">
        <f t="shared" ref="I401:I414" si="235">+H401-J401*$P$18/$Q$18/$W$18</f>
        <v>41.266784770895711</v>
      </c>
      <c r="J401" s="12">
        <f t="shared" ref="J401:J414" si="236">16*R401</f>
        <v>14.4</v>
      </c>
      <c r="K401" s="115">
        <f>+'Mono SPOT MAT'!T401</f>
        <v>80</v>
      </c>
      <c r="L401" s="86"/>
      <c r="M401" s="86"/>
      <c r="N401" s="107">
        <f>+'Mono SPOT MAT'!S401/'Fisico SPOT MAT'!S401/'Fisico SPOT MAT'!E401</f>
        <v>15.676505311556882</v>
      </c>
      <c r="O401" s="86"/>
      <c r="R401">
        <v>0.9</v>
      </c>
      <c r="Y401" s="5">
        <f t="shared" si="230"/>
        <v>46307</v>
      </c>
      <c r="Z401" s="87">
        <f t="shared" ref="Z401:Z414" si="237">+E401</f>
        <v>29.9</v>
      </c>
      <c r="AA401" s="87">
        <f t="shared" ref="AA401:AA414" si="238">+F401-AB401</f>
        <v>33.790395412529961</v>
      </c>
      <c r="AB401" s="118">
        <v>0.9</v>
      </c>
      <c r="AD401" s="5"/>
      <c r="AE401" s="92"/>
      <c r="AF401" s="92"/>
      <c r="AG401" s="92"/>
      <c r="AH401" s="92"/>
      <c r="AI401" s="93"/>
      <c r="AJ401" s="93"/>
    </row>
    <row r="402" spans="1:36" x14ac:dyDescent="0.3">
      <c r="A402" s="1">
        <v>2026</v>
      </c>
      <c r="B402" s="52">
        <v>46296</v>
      </c>
      <c r="C402" s="1" t="str">
        <f t="shared" si="229"/>
        <v>mar</v>
      </c>
      <c r="D402" s="5">
        <f t="shared" si="218"/>
        <v>46308</v>
      </c>
      <c r="E402" s="30">
        <v>35</v>
      </c>
      <c r="F402" s="14">
        <f>+'Mono SPOT MAT'!M402/'Fisico SPOT MAT'!M402/24</f>
        <v>36.554799237265051</v>
      </c>
      <c r="G402" s="13">
        <f t="shared" si="234"/>
        <v>14.4</v>
      </c>
      <c r="H402" s="12">
        <f>+'Mono ASIG'!AA402</f>
        <v>52.035958545250814</v>
      </c>
      <c r="I402" s="12">
        <f t="shared" si="235"/>
        <v>39.719971539594141</v>
      </c>
      <c r="J402" s="12">
        <f t="shared" si="236"/>
        <v>14.4</v>
      </c>
      <c r="K402" s="115">
        <f>+'Mono SPOT MAT'!T402</f>
        <v>80</v>
      </c>
      <c r="L402" s="86"/>
      <c r="M402" s="86"/>
      <c r="N402" s="107">
        <f>+'Mono SPOT MAT'!S402/'Fisico SPOT MAT'!S402/'Fisico SPOT MAT'!E402</f>
        <v>15.630133378680778</v>
      </c>
      <c r="O402" s="86"/>
      <c r="R402">
        <v>0.9</v>
      </c>
      <c r="Y402" s="5">
        <f t="shared" si="230"/>
        <v>46308</v>
      </c>
      <c r="Z402" s="87">
        <f t="shared" si="237"/>
        <v>35</v>
      </c>
      <c r="AA402" s="87">
        <f t="shared" si="238"/>
        <v>35.354799237265048</v>
      </c>
      <c r="AB402" s="118">
        <v>1.2</v>
      </c>
      <c r="AD402" s="5"/>
      <c r="AE402" s="92"/>
      <c r="AF402" s="92"/>
      <c r="AG402" s="92"/>
      <c r="AH402" s="92"/>
      <c r="AI402" s="93"/>
      <c r="AJ402" s="93"/>
    </row>
    <row r="403" spans="1:36" x14ac:dyDescent="0.3">
      <c r="A403" s="1">
        <v>2026</v>
      </c>
      <c r="B403" s="52">
        <v>46296</v>
      </c>
      <c r="C403" s="1" t="str">
        <f t="shared" si="229"/>
        <v>mié</v>
      </c>
      <c r="D403" s="5">
        <f t="shared" si="218"/>
        <v>46309</v>
      </c>
      <c r="E403" s="30">
        <v>39.9</v>
      </c>
      <c r="F403" s="14">
        <f>+'Mono SPOT MAT'!M403/'Fisico SPOT MAT'!M403/24</f>
        <v>37.435321505763696</v>
      </c>
      <c r="G403" s="13">
        <f t="shared" si="234"/>
        <v>14.4</v>
      </c>
      <c r="H403" s="12">
        <f>+'Mono ASIG'!AA403</f>
        <v>52.35733803037121</v>
      </c>
      <c r="I403" s="12">
        <f t="shared" si="235"/>
        <v>40.041351024714544</v>
      </c>
      <c r="J403" s="12">
        <f t="shared" si="236"/>
        <v>14.4</v>
      </c>
      <c r="K403" s="115">
        <f>+'Mono SPOT MAT'!T403</f>
        <v>80</v>
      </c>
      <c r="L403" s="86"/>
      <c r="M403" s="86"/>
      <c r="N403" s="107">
        <f>+'Mono SPOT MAT'!S403/'Fisico SPOT MAT'!S403/'Fisico SPOT MAT'!E403</f>
        <v>15.671655752341321</v>
      </c>
      <c r="O403" s="86"/>
      <c r="R403">
        <v>0.9</v>
      </c>
      <c r="Y403" s="5">
        <f t="shared" si="230"/>
        <v>46309</v>
      </c>
      <c r="Z403" s="87">
        <f t="shared" si="237"/>
        <v>39.9</v>
      </c>
      <c r="AA403" s="87">
        <f t="shared" si="238"/>
        <v>35.835321505763694</v>
      </c>
      <c r="AB403" s="118">
        <v>1.6</v>
      </c>
      <c r="AD403" s="5"/>
      <c r="AE403" s="92"/>
      <c r="AF403" s="92"/>
      <c r="AG403" s="92"/>
      <c r="AH403" s="92"/>
      <c r="AI403" s="93"/>
      <c r="AJ403" s="93"/>
    </row>
    <row r="404" spans="1:36" x14ac:dyDescent="0.3">
      <c r="A404" s="1">
        <v>2026</v>
      </c>
      <c r="B404" s="52">
        <v>46296</v>
      </c>
      <c r="C404" s="1" t="str">
        <f t="shared" si="229"/>
        <v>jue</v>
      </c>
      <c r="D404" s="5">
        <f t="shared" si="218"/>
        <v>46310</v>
      </c>
      <c r="E404" s="30">
        <v>38.6</v>
      </c>
      <c r="F404" s="14">
        <f>+'Mono SPOT MAT'!M404/'Fisico SPOT MAT'!M404/24</f>
        <v>37.060688760806919</v>
      </c>
      <c r="G404" s="13">
        <f t="shared" si="234"/>
        <v>14.4</v>
      </c>
      <c r="H404" s="12">
        <f>+'Mono ASIG'!AA404</f>
        <v>53.273823299092122</v>
      </c>
      <c r="I404" s="12">
        <f t="shared" si="235"/>
        <v>40.957836293435449</v>
      </c>
      <c r="J404" s="12">
        <f t="shared" si="236"/>
        <v>14.4</v>
      </c>
      <c r="K404" s="115">
        <f>+'Mono SPOT MAT'!T404</f>
        <v>80</v>
      </c>
      <c r="L404" s="86"/>
      <c r="M404" s="86"/>
      <c r="N404" s="107">
        <f>+'Mono SPOT MAT'!S404/'Fisico SPOT MAT'!S404/'Fisico SPOT MAT'!E404</f>
        <v>15.660067543567857</v>
      </c>
      <c r="O404" s="86"/>
      <c r="R404">
        <v>0.9</v>
      </c>
      <c r="Y404" s="5">
        <f t="shared" si="230"/>
        <v>46310</v>
      </c>
      <c r="Z404" s="87">
        <f t="shared" si="237"/>
        <v>38.6</v>
      </c>
      <c r="AA404" s="87">
        <f t="shared" si="238"/>
        <v>35.960688760806917</v>
      </c>
      <c r="AB404" s="118">
        <v>1.1000000000000001</v>
      </c>
      <c r="AD404" s="5"/>
      <c r="AE404" s="92"/>
      <c r="AF404" s="92"/>
      <c r="AG404" s="92"/>
      <c r="AH404" s="92"/>
      <c r="AI404" s="93"/>
      <c r="AJ404" s="93"/>
    </row>
    <row r="405" spans="1:36" x14ac:dyDescent="0.3">
      <c r="A405" s="1">
        <v>2026</v>
      </c>
      <c r="B405" s="52">
        <v>46296</v>
      </c>
      <c r="C405" s="1" t="str">
        <f t="shared" si="229"/>
        <v>vie</v>
      </c>
      <c r="D405" s="5">
        <f t="shared" si="218"/>
        <v>46311</v>
      </c>
      <c r="E405" s="30">
        <v>39.6</v>
      </c>
      <c r="F405" s="14">
        <f>+'Mono SPOT MAT'!M405/'Fisico SPOT MAT'!M405/24</f>
        <v>36.940554878048786</v>
      </c>
      <c r="G405" s="13">
        <f t="shared" si="234"/>
        <v>14.4</v>
      </c>
      <c r="H405" s="12">
        <f>+'Mono ASIG'!AA405</f>
        <v>54.480865140647012</v>
      </c>
      <c r="I405" s="12">
        <f t="shared" si="235"/>
        <v>42.164878134990346</v>
      </c>
      <c r="J405" s="12">
        <f t="shared" si="236"/>
        <v>14.4</v>
      </c>
      <c r="K405" s="115">
        <f>+'Mono SPOT MAT'!T405</f>
        <v>80</v>
      </c>
      <c r="L405" s="86"/>
      <c r="M405" s="86"/>
      <c r="N405" s="107">
        <f>+'Mono SPOT MAT'!S405/'Fisico SPOT MAT'!S405/'Fisico SPOT MAT'!E405</f>
        <v>15.681014707163422</v>
      </c>
      <c r="O405" s="86"/>
      <c r="R405">
        <v>0.9</v>
      </c>
      <c r="Y405" s="5">
        <f t="shared" si="230"/>
        <v>46311</v>
      </c>
      <c r="Z405" s="87">
        <f t="shared" si="237"/>
        <v>39.6</v>
      </c>
      <c r="AA405" s="87">
        <f t="shared" si="238"/>
        <v>35.640554878048789</v>
      </c>
      <c r="AB405" s="118">
        <v>1.3</v>
      </c>
      <c r="AD405" s="5"/>
      <c r="AE405" s="92"/>
      <c r="AF405" s="92"/>
      <c r="AG405" s="92"/>
      <c r="AH405" s="92"/>
      <c r="AI405" s="93"/>
      <c r="AJ405" s="93"/>
    </row>
    <row r="406" spans="1:36" x14ac:dyDescent="0.3">
      <c r="A406" s="1">
        <v>2026</v>
      </c>
      <c r="B406" s="52">
        <v>46296</v>
      </c>
      <c r="C406" s="1" t="str">
        <f t="shared" si="229"/>
        <v>sáb</v>
      </c>
      <c r="D406" s="5">
        <f t="shared" si="218"/>
        <v>46312</v>
      </c>
      <c r="E406" s="30">
        <v>79.099999999999994</v>
      </c>
      <c r="F406" s="14">
        <f>+'Mono SPOT MAT'!M406/'Fisico SPOT MAT'!M406/24</f>
        <v>42.742282701880534</v>
      </c>
      <c r="G406" s="13">
        <f t="shared" si="234"/>
        <v>14.4</v>
      </c>
      <c r="H406" s="12">
        <f>+'Mono ASIG'!AA406</f>
        <v>56.692485993775428</v>
      </c>
      <c r="I406" s="12">
        <f t="shared" si="235"/>
        <v>44.376498988118755</v>
      </c>
      <c r="J406" s="12">
        <f t="shared" si="236"/>
        <v>14.4</v>
      </c>
      <c r="K406" s="115">
        <f>+'Mono SPOT MAT'!T406</f>
        <v>80</v>
      </c>
      <c r="L406" s="86"/>
      <c r="M406" s="86"/>
      <c r="N406" s="107">
        <f>+'Mono SPOT MAT'!S406/'Fisico SPOT MAT'!S406/'Fisico SPOT MAT'!E406</f>
        <v>15.659380714790304</v>
      </c>
      <c r="O406" s="86"/>
      <c r="R406">
        <v>0.9</v>
      </c>
      <c r="Y406" s="5">
        <f t="shared" si="230"/>
        <v>46312</v>
      </c>
      <c r="Z406" s="87">
        <f t="shared" si="237"/>
        <v>79.099999999999994</v>
      </c>
      <c r="AA406" s="87">
        <f t="shared" si="238"/>
        <v>36.742282701880534</v>
      </c>
      <c r="AB406" s="118">
        <v>6</v>
      </c>
      <c r="AD406" s="5"/>
      <c r="AE406" s="92"/>
      <c r="AF406" s="92"/>
      <c r="AG406" s="92"/>
      <c r="AH406" s="92"/>
      <c r="AI406" s="93"/>
      <c r="AJ406" s="93"/>
    </row>
    <row r="407" spans="1:36" x14ac:dyDescent="0.3">
      <c r="A407" s="1">
        <v>2026</v>
      </c>
      <c r="B407" s="52">
        <v>46296</v>
      </c>
      <c r="C407" s="1" t="str">
        <f t="shared" si="229"/>
        <v>dom</v>
      </c>
      <c r="D407" s="5">
        <f t="shared" si="218"/>
        <v>46313</v>
      </c>
      <c r="E407" s="30">
        <v>54.9</v>
      </c>
      <c r="F407" s="14">
        <f>+'Mono SPOT MAT'!M407/'Fisico SPOT MAT'!M407/24</f>
        <v>38.157212270133165</v>
      </c>
      <c r="G407" s="13">
        <f t="shared" ref="G407:G414" si="239">16*R407</f>
        <v>14.4</v>
      </c>
      <c r="H407" s="12">
        <f>+'Mono ASIG'!AA407</f>
        <v>57.640489090017951</v>
      </c>
      <c r="I407" s="12">
        <f t="shared" ref="I407:I414" si="240">+H407-J407*$P$18/$Q$18/$W$18</f>
        <v>45.324502084361285</v>
      </c>
      <c r="J407" s="12">
        <f t="shared" ref="J407:J414" si="241">16*R407</f>
        <v>14.4</v>
      </c>
      <c r="K407" s="115">
        <f>+'Mono SPOT MAT'!T407</f>
        <v>80</v>
      </c>
      <c r="L407" s="86"/>
      <c r="M407" s="86"/>
      <c r="N407" s="107">
        <f>+'Mono SPOT MAT'!S407/'Fisico SPOT MAT'!S407/'Fisico SPOT MAT'!E407</f>
        <v>15.639015240595057</v>
      </c>
      <c r="O407" s="86"/>
      <c r="R407">
        <v>0.9</v>
      </c>
      <c r="Y407" s="5">
        <f t="shared" si="230"/>
        <v>46313</v>
      </c>
      <c r="Z407" s="87">
        <f t="shared" ref="Z407:Z414" si="242">+E407</f>
        <v>54.9</v>
      </c>
      <c r="AA407" s="87">
        <f t="shared" ref="AA407:AA414" si="243">+F407-AB407</f>
        <v>34.557212270133164</v>
      </c>
      <c r="AB407" s="118">
        <v>3.6</v>
      </c>
      <c r="AD407" s="5"/>
      <c r="AE407" s="92"/>
      <c r="AF407" s="92"/>
      <c r="AG407" s="92"/>
      <c r="AH407" s="92"/>
      <c r="AI407" s="93"/>
      <c r="AJ407" s="93"/>
    </row>
    <row r="408" spans="1:36" x14ac:dyDescent="0.3">
      <c r="A408" s="1">
        <v>2026</v>
      </c>
      <c r="B408" s="52">
        <v>46296</v>
      </c>
      <c r="C408" s="1" t="str">
        <f t="shared" si="229"/>
        <v>lun</v>
      </c>
      <c r="D408" s="5">
        <f t="shared" si="218"/>
        <v>46314</v>
      </c>
      <c r="E408" s="30">
        <v>37.6</v>
      </c>
      <c r="F408" s="14">
        <f>+'Mono SPOT MAT'!M408/'Fisico SPOT MAT'!M408/24</f>
        <v>42.769090722706302</v>
      </c>
      <c r="G408" s="13">
        <f t="shared" si="239"/>
        <v>14.4</v>
      </c>
      <c r="H408" s="12">
        <f>+'Mono ASIG'!AA408</f>
        <v>57.220084008748877</v>
      </c>
      <c r="I408" s="12">
        <f t="shared" si="240"/>
        <v>44.904097003092204</v>
      </c>
      <c r="J408" s="12">
        <f t="shared" si="241"/>
        <v>14.4</v>
      </c>
      <c r="K408" s="115">
        <f>+'Mono SPOT MAT'!T408</f>
        <v>80</v>
      </c>
      <c r="L408" s="86"/>
      <c r="M408" s="86"/>
      <c r="N408" s="107">
        <f>+'Mono SPOT MAT'!S408/'Fisico SPOT MAT'!S408/'Fisico SPOT MAT'!E408</f>
        <v>15.649720486338476</v>
      </c>
      <c r="O408" s="86"/>
      <c r="R408">
        <v>0.9</v>
      </c>
      <c r="Y408" s="5">
        <f t="shared" si="230"/>
        <v>46314</v>
      </c>
      <c r="Z408" s="87">
        <f t="shared" si="242"/>
        <v>37.6</v>
      </c>
      <c r="AA408" s="87">
        <f t="shared" si="243"/>
        <v>41.469090722706305</v>
      </c>
      <c r="AB408" s="118">
        <v>1.3</v>
      </c>
      <c r="AD408" s="5"/>
      <c r="AE408" s="92"/>
      <c r="AF408" s="92"/>
      <c r="AG408" s="92"/>
      <c r="AH408" s="92"/>
      <c r="AI408" s="93"/>
      <c r="AJ408" s="93"/>
    </row>
    <row r="409" spans="1:36" x14ac:dyDescent="0.3">
      <c r="A409" s="1">
        <v>2026</v>
      </c>
      <c r="B409" s="52">
        <v>46296</v>
      </c>
      <c r="C409" s="1" t="str">
        <f t="shared" si="229"/>
        <v>mar</v>
      </c>
      <c r="D409" s="5">
        <f t="shared" si="218"/>
        <v>46315</v>
      </c>
      <c r="E409" s="30">
        <v>29</v>
      </c>
      <c r="F409" s="14">
        <f>+'Mono SPOT MAT'!M409/'Fisico SPOT MAT'!M409/24</f>
        <v>40.778124924379917</v>
      </c>
      <c r="G409" s="13">
        <f t="shared" si="239"/>
        <v>14.4</v>
      </c>
      <c r="H409" s="12">
        <f>+'Mono ASIG'!AA409</f>
        <v>59.458112498862477</v>
      </c>
      <c r="I409" s="12">
        <f t="shared" si="240"/>
        <v>47.14212549320581</v>
      </c>
      <c r="J409" s="12">
        <f t="shared" si="241"/>
        <v>14.4</v>
      </c>
      <c r="K409" s="115">
        <f>+'Mono SPOT MAT'!T409</f>
        <v>80</v>
      </c>
      <c r="L409" s="86"/>
      <c r="M409" s="86"/>
      <c r="N409" s="107">
        <f>+'Mono SPOT MAT'!S409/'Fisico SPOT MAT'!S409/'Fisico SPOT MAT'!E409</f>
        <v>15.719746486049583</v>
      </c>
      <c r="O409" s="86"/>
      <c r="R409">
        <v>0.9</v>
      </c>
      <c r="Y409" s="5">
        <f t="shared" si="230"/>
        <v>46315</v>
      </c>
      <c r="Z409" s="87">
        <f t="shared" si="242"/>
        <v>29</v>
      </c>
      <c r="AA409" s="87">
        <f t="shared" si="243"/>
        <v>40.278124924379917</v>
      </c>
      <c r="AB409" s="118">
        <v>0.5</v>
      </c>
      <c r="AD409" s="5"/>
      <c r="AE409" s="92"/>
      <c r="AF409" s="92"/>
      <c r="AG409" s="92"/>
      <c r="AH409" s="92"/>
      <c r="AI409" s="93"/>
      <c r="AJ409" s="93"/>
    </row>
    <row r="410" spans="1:36" x14ac:dyDescent="0.3">
      <c r="A410" s="1">
        <v>2026</v>
      </c>
      <c r="B410" s="52">
        <v>46296</v>
      </c>
      <c r="C410" s="1" t="str">
        <f t="shared" si="229"/>
        <v>mié</v>
      </c>
      <c r="D410" s="5">
        <f t="shared" si="218"/>
        <v>46316</v>
      </c>
      <c r="E410" s="30">
        <v>23.2</v>
      </c>
      <c r="F410" s="14">
        <f>+'Mono SPOT MAT'!M410/'Fisico SPOT MAT'!M410/24</f>
        <v>42.681334141610087</v>
      </c>
      <c r="G410" s="13">
        <f t="shared" si="239"/>
        <v>14.4</v>
      </c>
      <c r="H410" s="12">
        <f>+'Mono ASIG'!AA410</f>
        <v>57.444790381181981</v>
      </c>
      <c r="I410" s="12">
        <f t="shared" si="240"/>
        <v>45.128803375525308</v>
      </c>
      <c r="J410" s="12">
        <f t="shared" si="241"/>
        <v>14.4</v>
      </c>
      <c r="K410" s="115">
        <f>+'Mono SPOT MAT'!T410</f>
        <v>80</v>
      </c>
      <c r="L410" s="86"/>
      <c r="M410" s="86"/>
      <c r="N410" s="107">
        <f>+'Mono SPOT MAT'!S410/'Fisico SPOT MAT'!S410/'Fisico SPOT MAT'!E410</f>
        <v>15.596243789143021</v>
      </c>
      <c r="O410" s="86"/>
      <c r="R410">
        <v>0.9</v>
      </c>
      <c r="Y410" s="5">
        <f t="shared" si="230"/>
        <v>46316</v>
      </c>
      <c r="Z410" s="87">
        <f t="shared" si="242"/>
        <v>23.2</v>
      </c>
      <c r="AA410" s="87">
        <f t="shared" si="243"/>
        <v>42.181334141610087</v>
      </c>
      <c r="AB410" s="118">
        <v>0.5</v>
      </c>
      <c r="AD410" s="5"/>
      <c r="AE410" s="92"/>
      <c r="AF410" s="92"/>
      <c r="AG410" s="92"/>
      <c r="AH410" s="92"/>
      <c r="AI410" s="93"/>
      <c r="AJ410" s="93"/>
    </row>
    <row r="411" spans="1:36" x14ac:dyDescent="0.3">
      <c r="A411" s="1">
        <v>2026</v>
      </c>
      <c r="B411" s="52">
        <v>46296</v>
      </c>
      <c r="C411" s="1" t="str">
        <f t="shared" si="229"/>
        <v>jue</v>
      </c>
      <c r="D411" s="5">
        <f t="shared" si="218"/>
        <v>46317</v>
      </c>
      <c r="E411" s="30">
        <v>38.299999999999997</v>
      </c>
      <c r="F411" s="14">
        <f>+'Mono SPOT MAT'!M411/'Fisico SPOT MAT'!M411/24</f>
        <v>43.179601720647774</v>
      </c>
      <c r="G411" s="13">
        <f t="shared" si="239"/>
        <v>14.4</v>
      </c>
      <c r="H411" s="12">
        <f>+'Mono ASIG'!AA411</f>
        <v>53.913098122891178</v>
      </c>
      <c r="I411" s="12">
        <f t="shared" si="240"/>
        <v>41.597111117234505</v>
      </c>
      <c r="J411" s="12">
        <f t="shared" si="241"/>
        <v>14.4</v>
      </c>
      <c r="K411" s="115">
        <f>+'Mono SPOT MAT'!T411</f>
        <v>80</v>
      </c>
      <c r="L411" s="86"/>
      <c r="M411" s="86"/>
      <c r="N411" s="107">
        <f>+'Mono SPOT MAT'!S411/'Fisico SPOT MAT'!S411/'Fisico SPOT MAT'!E411</f>
        <v>15.541649999980564</v>
      </c>
      <c r="O411" s="86"/>
      <c r="R411">
        <v>0.9</v>
      </c>
      <c r="Y411" s="5">
        <f t="shared" si="230"/>
        <v>46317</v>
      </c>
      <c r="Z411" s="87">
        <f t="shared" si="242"/>
        <v>38.299999999999997</v>
      </c>
      <c r="AA411" s="87">
        <f t="shared" si="243"/>
        <v>42.079601720647773</v>
      </c>
      <c r="AB411" s="118">
        <v>1.1000000000000001</v>
      </c>
      <c r="AD411" s="5"/>
      <c r="AE411" s="92"/>
      <c r="AF411" s="92"/>
      <c r="AG411" s="92"/>
      <c r="AH411" s="92"/>
      <c r="AI411" s="93"/>
      <c r="AJ411" s="93"/>
    </row>
    <row r="412" spans="1:36" x14ac:dyDescent="0.3">
      <c r="A412" s="1">
        <v>2026</v>
      </c>
      <c r="B412" s="52">
        <v>46296</v>
      </c>
      <c r="C412" s="1" t="str">
        <f t="shared" si="229"/>
        <v>vie</v>
      </c>
      <c r="D412" s="5">
        <f t="shared" si="218"/>
        <v>46318</v>
      </c>
      <c r="E412" s="30">
        <v>39.4</v>
      </c>
      <c r="F412" s="14">
        <f>+'Mono SPOT MAT'!M412/'Fisico SPOT MAT'!M412/24</f>
        <v>42.738984549776291</v>
      </c>
      <c r="G412" s="13">
        <f t="shared" si="239"/>
        <v>14.4</v>
      </c>
      <c r="H412" s="12">
        <f>+'Mono ASIG'!AA412</f>
        <v>54.224869698888988</v>
      </c>
      <c r="I412" s="12">
        <f t="shared" si="240"/>
        <v>41.908882693232314</v>
      </c>
      <c r="J412" s="12">
        <f t="shared" si="241"/>
        <v>14.4</v>
      </c>
      <c r="K412" s="115">
        <f>+'Mono SPOT MAT'!T412</f>
        <v>80</v>
      </c>
      <c r="L412" s="86"/>
      <c r="M412" s="86"/>
      <c r="N412" s="107">
        <f>+'Mono SPOT MAT'!S412/'Fisico SPOT MAT'!S412/'Fisico SPOT MAT'!E412</f>
        <v>15.607352360481061</v>
      </c>
      <c r="O412" s="86"/>
      <c r="R412">
        <v>0.9</v>
      </c>
      <c r="Y412" s="5">
        <f t="shared" si="230"/>
        <v>46318</v>
      </c>
      <c r="Z412" s="87">
        <f t="shared" si="242"/>
        <v>39.4</v>
      </c>
      <c r="AA412" s="87">
        <f t="shared" si="243"/>
        <v>41.238984549776291</v>
      </c>
      <c r="AB412" s="118">
        <v>1.5</v>
      </c>
      <c r="AD412" s="5"/>
      <c r="AE412" s="92"/>
      <c r="AF412" s="92"/>
      <c r="AG412" s="92"/>
      <c r="AH412" s="92"/>
      <c r="AI412" s="93"/>
      <c r="AJ412" s="93"/>
    </row>
    <row r="413" spans="1:36" x14ac:dyDescent="0.3">
      <c r="A413" s="1">
        <v>2026</v>
      </c>
      <c r="B413" s="52">
        <v>46296</v>
      </c>
      <c r="C413" s="1" t="str">
        <f t="shared" si="229"/>
        <v>sáb</v>
      </c>
      <c r="D413" s="5">
        <f t="shared" si="218"/>
        <v>46319</v>
      </c>
      <c r="E413" s="30">
        <v>31.6</v>
      </c>
      <c r="F413" s="14">
        <f>+'Mono SPOT MAT'!M413/'Fisico SPOT MAT'!M413/24</f>
        <v>43.213178327645046</v>
      </c>
      <c r="G413" s="13">
        <f t="shared" si="239"/>
        <v>14.4</v>
      </c>
      <c r="H413" s="12">
        <f>+'Mono ASIG'!AA413</f>
        <v>52.522476234202259</v>
      </c>
      <c r="I413" s="12">
        <f t="shared" si="240"/>
        <v>40.206489228545593</v>
      </c>
      <c r="J413" s="12">
        <f t="shared" si="241"/>
        <v>14.4</v>
      </c>
      <c r="K413" s="115">
        <f>+'Mono SPOT MAT'!T413</f>
        <v>80</v>
      </c>
      <c r="L413" s="86"/>
      <c r="M413" s="86"/>
      <c r="N413" s="107">
        <f>+'Mono SPOT MAT'!S413/'Fisico SPOT MAT'!S413/'Fisico SPOT MAT'!E413</f>
        <v>15.630783828293666</v>
      </c>
      <c r="O413" s="86"/>
      <c r="R413">
        <v>0.9</v>
      </c>
      <c r="Y413" s="5">
        <f t="shared" si="230"/>
        <v>46319</v>
      </c>
      <c r="Z413" s="87">
        <f t="shared" si="242"/>
        <v>31.6</v>
      </c>
      <c r="AA413" s="87">
        <f t="shared" si="243"/>
        <v>42.613178327645045</v>
      </c>
      <c r="AB413" s="118">
        <v>0.6</v>
      </c>
      <c r="AD413" s="5"/>
      <c r="AE413" s="92"/>
      <c r="AF413" s="92"/>
      <c r="AG413" s="92"/>
      <c r="AH413" s="92"/>
      <c r="AI413" s="93"/>
      <c r="AJ413" s="93"/>
    </row>
    <row r="414" spans="1:36" x14ac:dyDescent="0.3">
      <c r="A414" s="1">
        <v>2026</v>
      </c>
      <c r="B414" s="52">
        <v>46296</v>
      </c>
      <c r="C414" s="1" t="str">
        <f t="shared" si="229"/>
        <v>dom</v>
      </c>
      <c r="D414" s="5">
        <f t="shared" si="218"/>
        <v>46320</v>
      </c>
      <c r="E414" s="30">
        <v>36.4</v>
      </c>
      <c r="F414" s="14">
        <f>+'Mono SPOT MAT'!M414/'Fisico SPOT MAT'!M414/24</f>
        <v>42.516748201438858</v>
      </c>
      <c r="G414" s="13">
        <f t="shared" si="239"/>
        <v>14.4</v>
      </c>
      <c r="H414" s="12">
        <f>+'Mono ASIG'!AA414</f>
        <v>52.772266480151387</v>
      </c>
      <c r="I414" s="12">
        <f t="shared" si="240"/>
        <v>40.456279474494721</v>
      </c>
      <c r="J414" s="12">
        <f t="shared" si="241"/>
        <v>14.4</v>
      </c>
      <c r="K414" s="115">
        <f>+'Mono SPOT MAT'!T414</f>
        <v>80</v>
      </c>
      <c r="L414" s="86"/>
      <c r="M414" s="86"/>
      <c r="N414" s="107">
        <f>+'Mono SPOT MAT'!S414/'Fisico SPOT MAT'!S414/'Fisico SPOT MAT'!E414</f>
        <v>15.547352294330338</v>
      </c>
      <c r="O414" s="86"/>
      <c r="R414">
        <v>0.9</v>
      </c>
      <c r="Y414" s="5">
        <f t="shared" si="230"/>
        <v>46320</v>
      </c>
      <c r="Z414" s="87">
        <f t="shared" si="242"/>
        <v>36.4</v>
      </c>
      <c r="AA414" s="87">
        <f t="shared" si="243"/>
        <v>41.316748201438855</v>
      </c>
      <c r="AB414" s="118">
        <v>1.2</v>
      </c>
      <c r="AD414" s="5"/>
      <c r="AE414" s="92"/>
      <c r="AF414" s="92"/>
      <c r="AG414" s="92"/>
      <c r="AH414" s="92"/>
      <c r="AI414" s="93"/>
      <c r="AJ414" s="93"/>
    </row>
    <row r="415" spans="1:36" x14ac:dyDescent="0.3">
      <c r="A415" s="1"/>
      <c r="B415" s="1"/>
      <c r="C415" s="1"/>
      <c r="D415" s="5"/>
      <c r="Q415" s="5"/>
      <c r="S415" s="5"/>
      <c r="T415" s="87"/>
      <c r="U415" s="87"/>
      <c r="V415" s="86"/>
      <c r="W415" s="86"/>
      <c r="AD415" s="5"/>
    </row>
    <row r="416" spans="1:36" x14ac:dyDescent="0.3">
      <c r="A416" s="1"/>
      <c r="B416" s="1"/>
      <c r="C416" s="1"/>
      <c r="D416" s="5"/>
      <c r="Q416" s="5"/>
      <c r="S416" s="5"/>
      <c r="T416" s="87"/>
      <c r="U416" s="87"/>
      <c r="V416" s="86"/>
      <c r="W416" s="86"/>
      <c r="AD416" s="5"/>
    </row>
    <row r="417" spans="1:30" x14ac:dyDescent="0.3">
      <c r="AD417" s="5"/>
    </row>
    <row r="418" spans="1:30" x14ac:dyDescent="0.3">
      <c r="U418" s="39"/>
      <c r="V418" s="39"/>
      <c r="W418" s="39"/>
      <c r="AD418" s="5"/>
    </row>
    <row r="419" spans="1:30" x14ac:dyDescent="0.3">
      <c r="A419" s="65" t="s">
        <v>5</v>
      </c>
      <c r="U419" s="42"/>
      <c r="V419" s="42"/>
      <c r="W419" s="42"/>
      <c r="Y419" s="90"/>
      <c r="AD419" s="5"/>
    </row>
  </sheetData>
  <autoFilter ref="A24:P414" xr:uid="{329FE711-3039-401B-9725-A569DD4C7B71}">
    <filterColumn colId="1">
      <filters>
        <dateGroupItem year="2026" month="8" dateTimeGrouping="month"/>
        <dateGroupItem year="2026" month="9" dateTimeGrouping="month"/>
        <dateGroupItem year="2026" month="10" dateTimeGrouping="month"/>
      </filters>
    </filterColumn>
  </autoFilter>
  <phoneticPr fontId="2" type="noConversion"/>
  <pageMargins left="0.7" right="0.7" top="0.75" bottom="0.75" header="0.3" footer="0.3"/>
  <ignoredErrors>
    <ignoredError sqref="K16 K15 K18 I17 K17" formulaRange="1"/>
    <ignoredError sqref="Q14:Q15 Q1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C9B9E-7290-4019-A18C-135B6D155DEE}">
  <sheetPr filterMode="1"/>
  <dimension ref="A1:X419"/>
  <sheetViews>
    <sheetView topLeftCell="A389" zoomScaleNormal="100" workbookViewId="0">
      <selection activeCell="D407" sqref="D407"/>
    </sheetView>
  </sheetViews>
  <sheetFormatPr baseColWidth="10" defaultColWidth="11" defaultRowHeight="14.4" x14ac:dyDescent="0.3"/>
  <cols>
    <col min="1" max="1" width="5.08984375" customWidth="1"/>
    <col min="2" max="2" width="8" bestFit="1" customWidth="1"/>
    <col min="3" max="3" width="3.453125" customWidth="1"/>
    <col min="4" max="4" width="10.90625" style="1" bestFit="1" customWidth="1"/>
    <col min="5" max="5" width="14" style="1" bestFit="1" customWidth="1"/>
    <col min="6" max="14" width="16.1796875" customWidth="1"/>
    <col min="17" max="17" width="15.54296875" customWidth="1"/>
    <col min="18" max="18" width="20.36328125" bestFit="1" customWidth="1"/>
  </cols>
  <sheetData>
    <row r="1" spans="2:23" ht="31.8" x14ac:dyDescent="0.65">
      <c r="B1" s="101" t="s">
        <v>133</v>
      </c>
      <c r="F1" s="27"/>
      <c r="O1" s="27" t="s">
        <v>50</v>
      </c>
    </row>
    <row r="2" spans="2:23" ht="31.8" x14ac:dyDescent="0.65">
      <c r="B2" s="60" t="s">
        <v>135</v>
      </c>
      <c r="F2" s="27"/>
      <c r="O2" s="27"/>
    </row>
    <row r="3" spans="2:23" ht="31.8" x14ac:dyDescent="0.65">
      <c r="B3" s="60" t="s">
        <v>134</v>
      </c>
      <c r="F3" s="27"/>
      <c r="G3" s="27"/>
      <c r="H3" s="27"/>
      <c r="I3" s="27"/>
      <c r="J3" s="27"/>
      <c r="K3" s="27"/>
      <c r="L3" s="27"/>
      <c r="M3" s="27"/>
      <c r="O3" s="27"/>
    </row>
    <row r="4" spans="2:23" x14ac:dyDescent="0.3">
      <c r="D4"/>
    </row>
    <row r="5" spans="2:23" x14ac:dyDescent="0.3">
      <c r="D5"/>
      <c r="F5" s="74" t="s">
        <v>17</v>
      </c>
      <c r="G5" s="74" t="s">
        <v>17</v>
      </c>
      <c r="H5" s="74" t="s">
        <v>17</v>
      </c>
      <c r="I5" s="74" t="s">
        <v>17</v>
      </c>
      <c r="J5" s="74" t="s">
        <v>17</v>
      </c>
      <c r="K5" s="74" t="s">
        <v>17</v>
      </c>
      <c r="L5" s="74" t="s">
        <v>17</v>
      </c>
      <c r="M5" s="74" t="s">
        <v>17</v>
      </c>
      <c r="N5" s="74" t="s">
        <v>17</v>
      </c>
      <c r="O5" s="16" t="s">
        <v>18</v>
      </c>
      <c r="P5" s="16" t="s">
        <v>18</v>
      </c>
      <c r="Q5" s="16" t="s">
        <v>18</v>
      </c>
      <c r="R5" s="16" t="s">
        <v>18</v>
      </c>
      <c r="S5" s="16" t="s">
        <v>18</v>
      </c>
      <c r="T5" s="16" t="s">
        <v>18</v>
      </c>
      <c r="U5" s="16" t="s">
        <v>18</v>
      </c>
      <c r="V5" s="16" t="s">
        <v>18</v>
      </c>
      <c r="W5" s="16" t="s">
        <v>18</v>
      </c>
    </row>
    <row r="6" spans="2:23" x14ac:dyDescent="0.3">
      <c r="C6" t="s">
        <v>51</v>
      </c>
      <c r="D6"/>
      <c r="F6" s="75" t="s">
        <v>13</v>
      </c>
      <c r="G6" s="75" t="s">
        <v>13</v>
      </c>
      <c r="H6" s="75" t="s">
        <v>13</v>
      </c>
      <c r="I6" s="75" t="s">
        <v>13</v>
      </c>
      <c r="J6" s="75" t="s">
        <v>13</v>
      </c>
      <c r="K6" s="75" t="s">
        <v>13</v>
      </c>
      <c r="L6" s="75" t="s">
        <v>13</v>
      </c>
      <c r="M6" s="75" t="s">
        <v>13</v>
      </c>
      <c r="N6" s="75" t="s">
        <v>13</v>
      </c>
      <c r="O6" s="15" t="s">
        <v>139</v>
      </c>
      <c r="P6" s="15" t="s">
        <v>139</v>
      </c>
      <c r="Q6" s="15" t="s">
        <v>139</v>
      </c>
      <c r="R6" s="15" t="s">
        <v>139</v>
      </c>
      <c r="S6" s="15" t="s">
        <v>139</v>
      </c>
      <c r="T6" s="15" t="s">
        <v>139</v>
      </c>
      <c r="U6" s="15" t="s">
        <v>139</v>
      </c>
      <c r="V6" s="15" t="s">
        <v>139</v>
      </c>
      <c r="W6" s="15" t="s">
        <v>139</v>
      </c>
    </row>
    <row r="7" spans="2:23" x14ac:dyDescent="0.3">
      <c r="D7" s="1" t="s">
        <v>60</v>
      </c>
      <c r="E7" s="1" t="s">
        <v>25</v>
      </c>
      <c r="F7" s="76" t="s">
        <v>53</v>
      </c>
      <c r="G7" s="76" t="s">
        <v>54</v>
      </c>
      <c r="H7" s="76" t="s">
        <v>113</v>
      </c>
      <c r="I7" s="76" t="s">
        <v>114</v>
      </c>
      <c r="J7" s="76" t="s">
        <v>56</v>
      </c>
      <c r="K7" s="76" t="s">
        <v>57</v>
      </c>
      <c r="L7" s="76" t="s">
        <v>58</v>
      </c>
      <c r="M7" s="76" t="s">
        <v>59</v>
      </c>
      <c r="N7" s="76" t="s">
        <v>28</v>
      </c>
      <c r="O7" s="16" t="s">
        <v>53</v>
      </c>
      <c r="P7" s="16" t="s">
        <v>54</v>
      </c>
      <c r="Q7" s="16" t="s">
        <v>113</v>
      </c>
      <c r="R7" s="16" t="s">
        <v>114</v>
      </c>
      <c r="S7" s="16" t="s">
        <v>56</v>
      </c>
      <c r="T7" s="16" t="s">
        <v>57</v>
      </c>
      <c r="U7" s="16" t="s">
        <v>58</v>
      </c>
      <c r="V7" s="16" t="s">
        <v>59</v>
      </c>
      <c r="W7" s="16" t="s">
        <v>29</v>
      </c>
    </row>
    <row r="8" spans="2:23" x14ac:dyDescent="0.3">
      <c r="D8" s="119"/>
      <c r="E8" s="52">
        <f>+Precios!D8</f>
        <v>45962</v>
      </c>
      <c r="F8" s="77">
        <f>AVERAGEIFS(F$25:F$1048576,$B$25:$B$1048576,$E8)</f>
        <v>2017.595466666666</v>
      </c>
      <c r="G8" s="77">
        <f>AVERAGEIFS(G$25:G$1048576,$B$25:$B$1048576,$E8)</f>
        <v>555.64954444444447</v>
      </c>
      <c r="H8" s="77">
        <f>AVERAGEIFS(H$25:H$1048576,$B$25:$B$1048576,$E8)</f>
        <v>887.62169583333332</v>
      </c>
      <c r="I8" s="77" t="str">
        <f>IFERROR(AVERAGEIFS(I$25:I$1048576,$B$25:$B$1048576,$E8),"-")</f>
        <v>-</v>
      </c>
      <c r="J8" s="77">
        <f>AVERAGEIFS(J$25:J$1048576,$B$25:$B$1048576,$E8)</f>
        <v>1259.5973250000002</v>
      </c>
      <c r="K8" s="77">
        <f>AVERAGEIFS(K$25:K$1048576,$B$25:$B$1048576,$E8)</f>
        <v>1752.0801666666666</v>
      </c>
      <c r="L8" s="77">
        <f>AVERAGEIFS(L$25:L$1048576,$B$25:$B$1048576,$E8)</f>
        <v>1973.3486527777779</v>
      </c>
      <c r="M8" s="77">
        <f>AVERAGEIFS(M$25:M$1048576,$B$25:$B$1048576,$E8)</f>
        <v>24.522649999999999</v>
      </c>
      <c r="N8" s="78">
        <f t="shared" ref="N8:N11" si="0">+SUM(F8:M8)</f>
        <v>8470.4155013888903</v>
      </c>
      <c r="O8" s="77">
        <f>AVERAGEIFS(O$25:O$1048576,$B$25:$B$1048576,$E8)</f>
        <v>1500</v>
      </c>
      <c r="P8" s="77">
        <f>AVERAGEIFS(P$25:P$1048576,$B$25:$B$1048576,$E8)</f>
        <v>842.66660624999997</v>
      </c>
      <c r="Q8" s="77">
        <f>AVERAGEIFS(Q$25:Q$1048576,$B$25:$B$1048576,$E8)</f>
        <v>5079.0933739583324</v>
      </c>
      <c r="R8" s="77"/>
      <c r="S8" s="77">
        <f>AVERAGEIFS(S$25:S$1048576,$B$25:$B$1048576,$E8)</f>
        <v>1755</v>
      </c>
      <c r="T8" s="77">
        <f>AVERAGEIFS(T$25:T$1048576,$B$25:$B$1048576,$E8)</f>
        <v>0</v>
      </c>
      <c r="U8" s="77">
        <f>AVERAGEIFS(U$25:U$1048576,$B$25:$B$1048576,$E8)</f>
        <v>5296.6353513888862</v>
      </c>
      <c r="V8" s="77">
        <f>AVERAGEIFS(V$25:V$1048576,$B$25:$B$1048576,$E8)</f>
        <v>0</v>
      </c>
      <c r="W8" s="79">
        <f t="shared" ref="W8:W11" si="1">+SUM(O8:V8)</f>
        <v>14473.395331597218</v>
      </c>
    </row>
    <row r="9" spans="2:23" x14ac:dyDescent="0.3">
      <c r="D9" s="119"/>
      <c r="E9" s="52">
        <f>+Precios!D9</f>
        <v>45992</v>
      </c>
      <c r="F9" s="77">
        <f>AVERAGEIFS(F$25:F$1048576,$B$25:$B$1048576,$E9)</f>
        <v>1809.1539018817207</v>
      </c>
      <c r="G9" s="77">
        <f>AVERAGEIFS(G$25:G$1048576,$B$25:$B$1048576,$E9)</f>
        <v>386.73617069892487</v>
      </c>
      <c r="H9" s="77">
        <f>AVERAGEIFS(H$25:H$1048576,$B$25:$B$1048576,$E9)</f>
        <v>814.48058198924753</v>
      </c>
      <c r="I9" s="77" t="str">
        <f>IFERROR(AVERAGEIFS(I$25:I$1048576,$B$25:$B$1048576,$E9),"-")</f>
        <v>-</v>
      </c>
      <c r="J9" s="77">
        <f>AVERAGEIFS(J$25:J$1048576,$B$25:$B$1048576,$E9)</f>
        <v>1243.1001384408601</v>
      </c>
      <c r="K9" s="77">
        <f>AVERAGEIFS(K$25:K$1048576,$B$25:$B$1048576,$E9)</f>
        <v>1850.2249663978496</v>
      </c>
      <c r="L9" s="77">
        <f>AVERAGEIFS(L$25:L$1048576,$B$25:$B$1048576,$E9)</f>
        <v>2942.6650873655913</v>
      </c>
      <c r="M9" s="77">
        <f>AVERAGEIFS(M$25:M$1048576,$B$25:$B$1048576,$E9)</f>
        <v>75.102478494623639</v>
      </c>
      <c r="N9" s="78">
        <f t="shared" si="0"/>
        <v>9121.4633252688182</v>
      </c>
      <c r="O9" s="77">
        <f>AVERAGEIFS(O$25:O$1048576,$B$25:$B$1048576,$E9)</f>
        <v>1500</v>
      </c>
      <c r="P9" s="77">
        <f>AVERAGEIFS(P$25:P$1048576,$B$25:$B$1048576,$E9)</f>
        <v>892.71694354838701</v>
      </c>
      <c r="Q9" s="77">
        <f>AVERAGEIFS(Q$25:Q$1048576,$B$25:$B$1048576,$E9)</f>
        <v>5261.94607157258</v>
      </c>
      <c r="R9" s="77"/>
      <c r="S9" s="77">
        <f>AVERAGEIFS(S$25:S$1048576,$B$25:$B$1048576,$E9)</f>
        <v>1755</v>
      </c>
      <c r="T9" s="77">
        <f>AVERAGEIFS(T$25:T$1048576,$B$25:$B$1048576,$E9)</f>
        <v>0</v>
      </c>
      <c r="U9" s="77">
        <f>AVERAGEIFS(U$25:U$1048576,$B$25:$B$1048576,$E9)</f>
        <v>5727.8808830645157</v>
      </c>
      <c r="V9" s="77">
        <f>AVERAGEIFS(V$25:V$1048576,$B$25:$B$1048576,$E9)</f>
        <v>0</v>
      </c>
      <c r="W9" s="79">
        <f t="shared" si="1"/>
        <v>15137.543898185482</v>
      </c>
    </row>
    <row r="10" spans="2:23" x14ac:dyDescent="0.3">
      <c r="D10" s="119"/>
      <c r="E10" s="52">
        <f>+Precios!D10</f>
        <v>46023</v>
      </c>
      <c r="F10" s="77">
        <f>AVERAGEIFS(F$25:F$1048576,$B$25:$B$1048576,$E10)</f>
        <v>1269.4976572580649</v>
      </c>
      <c r="G10" s="77">
        <f>AVERAGEIFS(G$25:G$1048576,$B$25:$B$1048576,$E10)</f>
        <v>548.6777956989248</v>
      </c>
      <c r="H10" s="77">
        <f>AVERAGEIFS(H$25:H$1048576,$B$25:$B$1048576,$E10)</f>
        <v>353.46749999999997</v>
      </c>
      <c r="I10" s="77">
        <f>AVERAGEIFS(I$25:I$1048576,$B$25:$B$1048576,$E10)</f>
        <v>678.96588872282609</v>
      </c>
      <c r="J10" s="77">
        <f>AVERAGEIFS(J$25:J$1048576,$B$25:$B$1048576,$E10)</f>
        <v>1253.5949959677423</v>
      </c>
      <c r="K10" s="77">
        <f>AVERAGEIFS(K$25:K$1048576,$B$25:$B$1048576,$E10)</f>
        <v>1731.0907083333334</v>
      </c>
      <c r="L10" s="77">
        <f>AVERAGEIFS(L$25:L$1048576,$B$25:$B$1048576,$E10)</f>
        <v>3019.2708413978494</v>
      </c>
      <c r="M10" s="77">
        <f>AVERAGEIFS(M$25:M$1048576,$B$25:$B$1048576,$E10)</f>
        <v>203.58483064516128</v>
      </c>
      <c r="N10" s="78">
        <f t="shared" si="0"/>
        <v>9058.1502180239004</v>
      </c>
      <c r="O10" s="77">
        <f>AVERAGEIFS(O$25:O$1048576,$B$25:$B$1048576,$E10)</f>
        <v>1500</v>
      </c>
      <c r="P10" s="77">
        <f>AVERAGEIFS(P$25:P$1048576,$B$25:$B$1048576,$E10)</f>
        <v>922.52379032258057</v>
      </c>
      <c r="Q10" s="77">
        <f>AVERAGEIFS(Q$25:Q$1048576,$B$25:$B$1048576,$E10)</f>
        <v>2204.7346802419356</v>
      </c>
      <c r="R10" s="77">
        <f>AVERAGEIFS(R$25:R$1048576,$B$25:$B$1048576,$E10)</f>
        <v>3896.0358278985486</v>
      </c>
      <c r="S10" s="77">
        <f>AVERAGEIFS(S$25:S$1048576,$B$25:$B$1048576,$E10)</f>
        <v>1755</v>
      </c>
      <c r="T10" s="77">
        <f>AVERAGEIFS(T$25:T$1048576,$B$25:$B$1048576,$E10)</f>
        <v>0</v>
      </c>
      <c r="U10" s="77">
        <f>AVERAGEIFS(U$25:U$1048576,$B$25:$B$1048576,$E10)</f>
        <v>5820.8805255376328</v>
      </c>
      <c r="V10" s="77">
        <f>AVERAGEIFS(V$25:V$1048576,$B$25:$B$1048576,$E10)</f>
        <v>0</v>
      </c>
      <c r="W10" s="79">
        <f t="shared" si="1"/>
        <v>16099.174824000696</v>
      </c>
    </row>
    <row r="11" spans="2:23" x14ac:dyDescent="0.3">
      <c r="D11" s="119"/>
      <c r="E11" s="52">
        <f>+Precios!D11</f>
        <v>46054</v>
      </c>
      <c r="F11" s="77">
        <f>AVERAGEIFS(F$25:F$1048576,$B$25:$B$1048576,$E11)</f>
        <v>985.05708779761915</v>
      </c>
      <c r="G11" s="77">
        <f>AVERAGEIFS(G$25:G$1048576,$B$25:$B$1048576,$E11)</f>
        <v>245.57043303571422</v>
      </c>
      <c r="H11" s="77">
        <f>AVERAGEIFS(H$25:H$1048576,$B$25:$B$1048576,$E11)</f>
        <v>243.47858928571424</v>
      </c>
      <c r="I11" s="77">
        <f>AVERAGEIFS(I$25:I$1048576,$B$25:$B$1048576,$E11)</f>
        <v>481.37718742559537</v>
      </c>
      <c r="J11" s="77">
        <f>AVERAGEIFS(J$25:J$1048576,$B$25:$B$1048576,$E11)</f>
        <v>1234.5674702380952</v>
      </c>
      <c r="K11" s="77">
        <f>AVERAGEIFS(K$25:K$1048576,$B$25:$B$1048576,$E11)</f>
        <v>1782.9665610119043</v>
      </c>
      <c r="L11" s="77">
        <f>AVERAGEIFS(L$25:L$1048576,$B$25:$B$1048576,$E11)</f>
        <v>3090.1064761904768</v>
      </c>
      <c r="M11" s="77">
        <f>AVERAGEIFS(M$25:M$1048576,$B$25:$B$1048576,$E11)</f>
        <v>195.57906101190474</v>
      </c>
      <c r="N11" s="78">
        <f t="shared" si="0"/>
        <v>8258.7028659970238</v>
      </c>
      <c r="O11" s="77">
        <f>AVERAGEIFS(O$25:O$1048576,$B$25:$B$1048576,$E11)</f>
        <v>1500</v>
      </c>
      <c r="P11" s="77">
        <f>AVERAGEIFS(P$25:P$1048576,$B$25:$B$1048576,$E11)</f>
        <v>899.34880468749998</v>
      </c>
      <c r="Q11" s="77">
        <f>AVERAGEIFS(Q$25:Q$1048576,$B$25:$B$1048576,$E11)</f>
        <v>1026.3622812500003</v>
      </c>
      <c r="R11" s="77">
        <f>AVERAGEIFS(R$25:R$1048576,$B$25:$B$1048576,$E11)</f>
        <v>3856.4639285714293</v>
      </c>
      <c r="S11" s="77">
        <f>AVERAGEIFS(S$25:S$1048576,$B$25:$B$1048576,$E11)</f>
        <v>1755</v>
      </c>
      <c r="T11" s="77">
        <f>AVERAGEIFS(T$25:T$1048576,$B$25:$B$1048576,$E11)</f>
        <v>0</v>
      </c>
      <c r="U11" s="77">
        <f>AVERAGEIFS(U$25:U$1048576,$B$25:$B$1048576,$E11)</f>
        <v>5825.407337797621</v>
      </c>
      <c r="V11" s="77">
        <f>AVERAGEIFS(V$25:V$1048576,$B$25:$B$1048576,$E11)</f>
        <v>0</v>
      </c>
      <c r="W11" s="79">
        <f t="shared" si="1"/>
        <v>14862.582352306552</v>
      </c>
    </row>
    <row r="12" spans="2:23" x14ac:dyDescent="0.3">
      <c r="D12" s="119"/>
      <c r="E12" s="52">
        <f>+Precios!D12</f>
        <v>46082</v>
      </c>
      <c r="F12" s="77">
        <f>AVERAGEIFS(F$25:F$1048576,$B$25:$B$1048576,$E12)</f>
        <v>1031.0640806451611</v>
      </c>
      <c r="G12" s="77">
        <f>AVERAGEIFS(G$25:G$1048576,$B$25:$B$1048576,$E12)</f>
        <v>237.71785483870968</v>
      </c>
      <c r="H12" s="77">
        <f>AVERAGEIFS(H$25:H$1048576,$B$25:$B$1048576,$E12)</f>
        <v>247.88230241935486</v>
      </c>
      <c r="I12" s="77">
        <f>AVERAGEIFS(I$25:I$1048576,$B$25:$B$1048576,$E12)</f>
        <v>595.96721061827964</v>
      </c>
      <c r="J12" s="77">
        <f>AVERAGEIFS(J$25:J$1048576,$B$25:$B$1048576,$E12)</f>
        <v>792.34465994623656</v>
      </c>
      <c r="K12" s="77">
        <f>AVERAGEIFS(K$25:K$1048576,$B$25:$B$1048576,$E12)</f>
        <v>1740.1370282258065</v>
      </c>
      <c r="L12" s="77">
        <f>AVERAGEIFS(L$25:L$1048576,$B$25:$B$1048576,$E12)</f>
        <v>3012.0060833333332</v>
      </c>
      <c r="M12" s="77">
        <f>AVERAGEIFS(M$25:M$1048576,$B$25:$B$1048576,$E12)</f>
        <v>109.9397190860215</v>
      </c>
      <c r="N12" s="78">
        <f>+SUM(F12:M12)</f>
        <v>7767.0589391129033</v>
      </c>
      <c r="O12" s="77">
        <f>AVERAGEIFS(O$25:O$1048576,$B$25:$B$1048576,$E12)</f>
        <v>1500</v>
      </c>
      <c r="P12" s="77">
        <f>AVERAGEIFS(P$25:P$1048576,$B$25:$B$1048576,$E12)</f>
        <v>804.5187006048385</v>
      </c>
      <c r="Q12" s="77">
        <f>AVERAGEIFS(Q$25:Q$1048576,$B$25:$B$1048576,$E12)</f>
        <v>1006.4948743951613</v>
      </c>
      <c r="R12" s="77">
        <f>AVERAGEIFS(R$25:R$1048576,$B$25:$B$1048576,$E12)</f>
        <v>3800.6759684139784</v>
      </c>
      <c r="S12" s="77">
        <f>AVERAGEIFS(S$25:S$1048576,$B$25:$B$1048576,$E12)</f>
        <v>1755</v>
      </c>
      <c r="T12" s="77">
        <f>AVERAGEIFS(T$25:T$1048576,$B$25:$B$1048576,$E12)</f>
        <v>0</v>
      </c>
      <c r="U12" s="77">
        <f>AVERAGEIFS(U$25:U$1048576,$B$25:$B$1048576,$E12)</f>
        <v>5369.8895268817205</v>
      </c>
      <c r="V12" s="77">
        <f>AVERAGEIFS(V$25:V$1048576,$B$25:$B$1048576,$E12)</f>
        <v>0</v>
      </c>
      <c r="W12" s="79">
        <f t="shared" ref="W12:W17" si="2">+SUM(O12:V12)</f>
        <v>14236.579070295698</v>
      </c>
    </row>
    <row r="13" spans="2:23" x14ac:dyDescent="0.3">
      <c r="D13" s="119"/>
      <c r="E13" s="52">
        <f>+Precios!D13</f>
        <v>46113</v>
      </c>
      <c r="F13" s="77">
        <f>AVERAGEIFS(F$25:F$1048576,$B$25:$B$1048576,$E13)</f>
        <v>1375.4280680555557</v>
      </c>
      <c r="G13" s="77">
        <f>AVERAGEIFS(G$25:G$1048576,$B$25:$B$1048576,$E13)</f>
        <v>333.06879444444445</v>
      </c>
      <c r="H13" s="77">
        <f>AVERAGEIFS(H$25:H$1048576,$B$25:$B$1048576,$E13)</f>
        <v>250.78596527777776</v>
      </c>
      <c r="I13" s="77">
        <f>AVERAGEIFS(I$25:I$1048576,$B$25:$B$1048576,$E13)</f>
        <v>583.99947444444433</v>
      </c>
      <c r="J13" s="77">
        <f>AVERAGEIFS(J$25:J$1048576,$B$25:$B$1048576,$E13)</f>
        <v>599.63981111111104</v>
      </c>
      <c r="K13" s="77">
        <f>AVERAGEIFS(K$25:K$1048576,$B$25:$B$1048576,$E13)</f>
        <v>1634.2925208333331</v>
      </c>
      <c r="L13" s="77">
        <f>AVERAGEIFS(L$25:L$1048576,$B$25:$B$1048576,$E13)</f>
        <v>2396.1315194444446</v>
      </c>
      <c r="M13" s="77">
        <f>AVERAGEIFS(M$25:M$1048576,$B$25:$B$1048576,$E13)</f>
        <v>251.91863194444437</v>
      </c>
      <c r="N13" s="78">
        <f>+SUM(F13:M13)</f>
        <v>7425.264785555556</v>
      </c>
      <c r="O13" s="77">
        <f>AVERAGEIFS(O$25:O$1048576,$B$25:$B$1048576,$E13)</f>
        <v>1500</v>
      </c>
      <c r="P13" s="77">
        <f>AVERAGEIFS(P$25:P$1048576,$B$25:$B$1048576,$E13)</f>
        <v>827.57642187500028</v>
      </c>
      <c r="Q13" s="77">
        <f>AVERAGEIFS(Q$25:Q$1048576,$B$25:$B$1048576,$E13)</f>
        <v>969.32117770833304</v>
      </c>
      <c r="R13" s="77">
        <f>AVERAGEIFS(R$25:R$1048576,$B$25:$B$1048576,$E13)</f>
        <v>3717.757524930556</v>
      </c>
      <c r="S13" s="77">
        <f>AVERAGEIFS(S$25:S$1048576,$B$25:$B$1048576,$E13)</f>
        <v>1755</v>
      </c>
      <c r="T13" s="77">
        <f>AVERAGEIFS(T$25:T$1048576,$B$25:$B$1048576,$E13)</f>
        <v>0</v>
      </c>
      <c r="U13" s="77">
        <f>AVERAGEIFS(U$25:U$1048576,$B$25:$B$1048576,$E13)</f>
        <v>5122.7088555555556</v>
      </c>
      <c r="V13" s="77">
        <f>AVERAGEIFS(V$25:V$1048576,$B$25:$B$1048576,$E13)</f>
        <v>0</v>
      </c>
      <c r="W13" s="79">
        <f t="shared" si="2"/>
        <v>13892.363980069444</v>
      </c>
    </row>
    <row r="14" spans="2:23" x14ac:dyDescent="0.3">
      <c r="D14" s="119"/>
      <c r="E14" s="52">
        <f>+Precios!D14</f>
        <v>46143</v>
      </c>
      <c r="F14" s="77">
        <f>AVERAGEIFS(F$25:F$1048576,$B$25:$B$1048576,$E14)</f>
        <v>1564.0243682795697</v>
      </c>
      <c r="G14" s="77">
        <f>AVERAGEIFS(G$25:G$1048576,$B$25:$B$1048576,$E14)</f>
        <v>451.7227419354839</v>
      </c>
      <c r="H14" s="77">
        <f>AVERAGEIFS(H$25:H$1048576,$B$25:$B$1048576,$E14)</f>
        <v>297.85809139784942</v>
      </c>
      <c r="I14" s="77">
        <f>AVERAGEIFS(I$25:I$1048576,$B$25:$B$1048576,$E14)</f>
        <v>1073.544524865591</v>
      </c>
      <c r="J14" s="77">
        <f>AVERAGEIFS(J$25:J$1048576,$B$25:$B$1048576,$E14)</f>
        <v>1046.1917607526882</v>
      </c>
      <c r="K14" s="77">
        <f>AVERAGEIFS(K$25:K$1048576,$B$25:$B$1048576,$E14)</f>
        <v>1429.5536827956978</v>
      </c>
      <c r="L14" s="77">
        <f>AVERAGEIFS(L$25:L$1048576,$B$25:$B$1048576,$E14)</f>
        <v>2289.6579838709654</v>
      </c>
      <c r="M14" s="77">
        <f>AVERAGEIFS(M$25:M$1048576,$B$25:$B$1048576,$E14)</f>
        <v>1020.0107930107528</v>
      </c>
      <c r="N14" s="78">
        <f t="shared" ref="N14:N16" si="3">+SUM(F14:M14)</f>
        <v>9172.5639469085982</v>
      </c>
      <c r="O14" s="77">
        <f>AVERAGEIFS(O$25:O$1048576,$B$25:$B$1048576,$E14)</f>
        <v>1500</v>
      </c>
      <c r="P14" s="77">
        <f>AVERAGEIFS(P$25:P$1048576,$B$25:$B$1048576,$E14)</f>
        <v>886.00852318548391</v>
      </c>
      <c r="Q14" s="77">
        <f>AVERAGEIFS(Q$25:Q$1048576,$B$25:$B$1048576,$E14)</f>
        <v>998.39305040322563</v>
      </c>
      <c r="R14" s="77">
        <f>AVERAGEIFS(R$25:R$1048576,$B$25:$B$1048576,$E14)</f>
        <v>3579.6586088709669</v>
      </c>
      <c r="S14" s="77">
        <f>AVERAGEIFS(S$25:S$1048576,$B$25:$B$1048576,$E14)</f>
        <v>1755</v>
      </c>
      <c r="T14" s="77">
        <f>AVERAGEIFS(T$25:T$1048576,$B$25:$B$1048576,$E14)</f>
        <v>0</v>
      </c>
      <c r="U14" s="77">
        <f>AVERAGEIFS(U$25:U$1048576,$B$25:$B$1048576,$E14)</f>
        <v>5148.9696774193553</v>
      </c>
      <c r="V14" s="77">
        <f>AVERAGEIFS(V$25:V$1048576,$B$25:$B$1048576,$E14)</f>
        <v>0</v>
      </c>
      <c r="W14" s="79">
        <f t="shared" si="2"/>
        <v>13868.029859879032</v>
      </c>
    </row>
    <row r="15" spans="2:23" x14ac:dyDescent="0.3">
      <c r="D15" s="119"/>
      <c r="E15" s="52">
        <f>+Precios!D15</f>
        <v>46174</v>
      </c>
      <c r="F15" s="77">
        <f>AVERAGEIFS(F$25:F$1048576,$B$25:$B$1048576,$E15)</f>
        <v>1686.7725416666667</v>
      </c>
      <c r="G15" s="77">
        <f>AVERAGEIFS(G$25:G$1048576,$B$25:$B$1048576,$E15)</f>
        <v>348.26269444444443</v>
      </c>
      <c r="H15" s="77">
        <f>AVERAGEIFS(H$25:H$1048576,$B$25:$B$1048576,$E15)</f>
        <v>260.21876388888893</v>
      </c>
      <c r="I15" s="77">
        <f>AVERAGEIFS(I$25:I$1048576,$B$25:$B$1048576,$E15)</f>
        <v>758.34585208333328</v>
      </c>
      <c r="J15" s="77">
        <f>AVERAGEIFS(J$25:J$1048576,$B$25:$B$1048576,$E15)</f>
        <v>1233.9479305555558</v>
      </c>
      <c r="K15" s="77">
        <f>AVERAGEIFS(K$25:K$1048576,$B$25:$B$1048576,$E15)</f>
        <v>1533.7653888888881</v>
      </c>
      <c r="L15" s="77">
        <f>AVERAGEIFS(L$25:L$1048576,$B$25:$B$1048576,$E15)</f>
        <v>2446.5201666666621</v>
      </c>
      <c r="M15" s="77">
        <f>AVERAGEIFS(M$25:M$1048576,$B$25:$B$1048576,$E15)</f>
        <v>1171.8152916666666</v>
      </c>
      <c r="N15" s="78">
        <f t="shared" si="3"/>
        <v>9439.6486298611053</v>
      </c>
      <c r="O15" s="77">
        <f>AVERAGEIFS(O$25:O$1048576,$B$25:$B$1048576,$E15)</f>
        <v>1500</v>
      </c>
      <c r="P15" s="77">
        <f>AVERAGEIFS(P$25:P$1048576,$B$25:$B$1048576,$E15)</f>
        <v>872.24784062499975</v>
      </c>
      <c r="Q15" s="77">
        <f>AVERAGEIFS(Q$25:Q$1048576,$B$25:$B$1048576,$E15)</f>
        <v>964.06059312499997</v>
      </c>
      <c r="R15" s="77">
        <f>AVERAGEIFS(R$25:R$1048576,$B$25:$B$1048576,$E15)</f>
        <v>3616.2859784722195</v>
      </c>
      <c r="S15" s="77">
        <f>AVERAGEIFS(S$25:S$1048576,$B$25:$B$1048576,$E15)</f>
        <v>1755</v>
      </c>
      <c r="T15" s="77">
        <f>AVERAGEIFS(T$25:T$1048576,$B$25:$B$1048576,$E15)</f>
        <v>0</v>
      </c>
      <c r="U15" s="77">
        <f>AVERAGEIFS(U$25:U$1048576,$B$25:$B$1048576,$E15)</f>
        <v>5768.4510486111121</v>
      </c>
      <c r="V15" s="77">
        <f>AVERAGEIFS(V$25:V$1048576,$B$25:$B$1048576,$E15)</f>
        <v>0</v>
      </c>
      <c r="W15" s="79">
        <f t="shared" si="2"/>
        <v>14476.045460833331</v>
      </c>
    </row>
    <row r="16" spans="2:23" x14ac:dyDescent="0.3">
      <c r="D16" s="119"/>
      <c r="E16" s="52">
        <f>+Precios!D16</f>
        <v>46204</v>
      </c>
      <c r="F16" s="77">
        <f>AVERAGEIFS(F$25:F$1048576,$B$25:$B$1048576,$E16)</f>
        <v>2132.8486424731186</v>
      </c>
      <c r="G16" s="77">
        <f>AVERAGEIFS(G$25:G$1048576,$B$25:$B$1048576,$E16)</f>
        <v>840.2540322580644</v>
      </c>
      <c r="H16" s="77">
        <f>AVERAGEIFS(H$25:H$1048576,$B$25:$B$1048576,$E16)</f>
        <v>253.64798387096778</v>
      </c>
      <c r="I16" s="77">
        <f>AVERAGEIFS(I$25:I$1048576,$B$25:$B$1048576,$E16)</f>
        <v>778.45040456989227</v>
      </c>
      <c r="J16" s="77">
        <f>AVERAGEIFS(J$25:J$1048576,$B$25:$B$1048576,$E16)</f>
        <v>1306.2581317204301</v>
      </c>
      <c r="K16" s="77">
        <f>AVERAGEIFS(K$25:K$1048576,$B$25:$B$1048576,$E16)</f>
        <v>1253.1789516129031</v>
      </c>
      <c r="L16" s="77">
        <f>AVERAGEIFS(L$25:L$1048576,$B$25:$B$1048576,$E16)</f>
        <v>1925.6331720430082</v>
      </c>
      <c r="M16" s="77">
        <f>AVERAGEIFS(M$25:M$1048576,$B$25:$B$1048576,$E16)</f>
        <v>1159.3604569892475</v>
      </c>
      <c r="N16" s="78">
        <f t="shared" si="3"/>
        <v>9649.6317755376313</v>
      </c>
      <c r="O16" s="77">
        <f>AVERAGEIFS(O$25:O$1048576,$B$25:$B$1048576,$E16)</f>
        <v>1500</v>
      </c>
      <c r="P16" s="77">
        <f>AVERAGEIFS(P$25:P$1048576,$B$25:$B$1048576,$E16)</f>
        <v>875.50121270161299</v>
      </c>
      <c r="Q16" s="77">
        <f>AVERAGEIFS(Q$25:Q$1048576,$B$25:$B$1048576,$E16)</f>
        <v>997.64124193548389</v>
      </c>
      <c r="R16" s="77">
        <f>AVERAGEIFS(R$25:R$1048576,$B$25:$B$1048576,$E16)</f>
        <v>3603.5240772849461</v>
      </c>
      <c r="S16" s="77">
        <f>AVERAGEIFS(S$25:S$1048576,$B$25:$B$1048576,$E16)</f>
        <v>1755</v>
      </c>
      <c r="T16" s="77">
        <f>AVERAGEIFS(T$25:T$1048576,$B$25:$B$1048576,$E16)</f>
        <v>0</v>
      </c>
      <c r="U16" s="77">
        <f>AVERAGEIFS(U$25:U$1048576,$B$25:$B$1048576,$E16)</f>
        <v>5952.6802204301075</v>
      </c>
      <c r="V16" s="77">
        <f>AVERAGEIFS(V$25:V$1048576,$B$25:$B$1048576,$E16)</f>
        <v>0</v>
      </c>
      <c r="W16" s="79">
        <f t="shared" si="2"/>
        <v>14684.34675235215</v>
      </c>
    </row>
    <row r="17" spans="1:23" x14ac:dyDescent="0.3">
      <c r="D17" s="119"/>
      <c r="E17" s="52">
        <f>+Precios!D17</f>
        <v>46235</v>
      </c>
      <c r="F17" s="77">
        <f>AVERAGEIFS(F$25:F$1048576,$B$25:$B$1048576,$E17)</f>
        <v>2017.17436827957</v>
      </c>
      <c r="G17" s="77">
        <f>AVERAGEIFS(G$25:G$1048576,$B$25:$B$1048576,$E17)</f>
        <v>776.28159946236565</v>
      </c>
      <c r="H17" s="77">
        <f>AVERAGEIFS(H$25:H$1048576,$B$25:$B$1048576,$E17)</f>
        <v>301.20811827956993</v>
      </c>
      <c r="I17" s="77">
        <f>AVERAGEIFS(I$25:I$1048576,$B$25:$B$1048576,$E17)</f>
        <v>1063.0158051075271</v>
      </c>
      <c r="J17" s="77">
        <f>AVERAGEIFS(J$25:J$1048576,$B$25:$B$1048576,$E17)</f>
        <v>1305.9753225806451</v>
      </c>
      <c r="K17" s="77">
        <f>AVERAGEIFS(K$25:K$1048576,$B$25:$B$1048576,$E17)</f>
        <v>1584.9492069892469</v>
      </c>
      <c r="L17" s="77">
        <f>AVERAGEIFS(L$25:L$1048576,$B$25:$B$1048576,$E17)</f>
        <v>2015.9005913978478</v>
      </c>
      <c r="M17" s="77">
        <f>AVERAGEIFS(M$25:M$1048576,$B$25:$B$1048576,$E17)</f>
        <v>1223.0405913978493</v>
      </c>
      <c r="N17" s="78">
        <f t="shared" ref="N17" si="4">+SUM(F17:M17)</f>
        <v>10287.545603494622</v>
      </c>
      <c r="O17" s="77">
        <f>AVERAGEIFS(O$25:O$1048576,$B$25:$B$1048576,$E17)</f>
        <v>1500</v>
      </c>
      <c r="P17" s="77">
        <f>AVERAGEIFS(P$25:P$1048576,$B$25:$B$1048576,$E17)</f>
        <v>841.13131854838696</v>
      </c>
      <c r="Q17" s="77">
        <f>AVERAGEIFS(Q$25:Q$1048576,$B$25:$B$1048576,$E17)</f>
        <v>994.39424395161291</v>
      </c>
      <c r="R17" s="77">
        <f>AVERAGEIFS(R$25:R$1048576,$B$25:$B$1048576,$E17)</f>
        <v>3738.7223057795677</v>
      </c>
      <c r="S17" s="77">
        <f>AVERAGEIFS(S$25:S$1048576,$B$25:$B$1048576,$E17)</f>
        <v>1755</v>
      </c>
      <c r="T17" s="77">
        <f>AVERAGEIFS(T$25:T$1048576,$B$25:$B$1048576,$E17)</f>
        <v>0</v>
      </c>
      <c r="U17" s="77">
        <f>AVERAGEIFS(U$25:U$1048576,$B$25:$B$1048576,$E17)</f>
        <v>5996.1898279569896</v>
      </c>
      <c r="V17" s="77">
        <f>AVERAGEIFS(V$25:V$1048576,$B$25:$B$1048576,$E17)</f>
        <v>0</v>
      </c>
      <c r="W17" s="79">
        <f t="shared" si="2"/>
        <v>14825.437696236557</v>
      </c>
    </row>
    <row r="18" spans="1:23" x14ac:dyDescent="0.3">
      <c r="D18" s="119"/>
      <c r="E18" s="52">
        <f>+Precios!D18</f>
        <v>46266</v>
      </c>
      <c r="F18" s="77">
        <f>AVERAGEIFS(F$25:F$1048576,$B$25:$B$1048576,$E18)</f>
        <v>2256.4591527777779</v>
      </c>
      <c r="G18" s="77">
        <f>AVERAGEIFS(G$25:G$1048576,$B$25:$B$1048576,$E18)</f>
        <v>789.69388888888909</v>
      </c>
      <c r="H18" s="77">
        <f>AVERAGEIFS(H$25:H$1048576,$B$25:$B$1048576,$E18)</f>
        <v>276.3743472222223</v>
      </c>
      <c r="I18" s="77">
        <f>AVERAGEIFS(I$25:I$1048576,$B$25:$B$1048576,$E18)</f>
        <v>1062.7791048611111</v>
      </c>
      <c r="J18" s="77">
        <f>AVERAGEIFS(J$25:J$1048576,$B$25:$B$1048576,$E18)</f>
        <v>1308.8004583333334</v>
      </c>
      <c r="K18" s="77">
        <f>AVERAGEIFS(K$25:K$1048576,$B$25:$B$1048576,$E18)</f>
        <v>1756.6042499999996</v>
      </c>
      <c r="L18" s="77">
        <f>AVERAGEIFS(L$25:L$1048576,$B$25:$B$1048576,$E18)</f>
        <v>1787.6781249999992</v>
      </c>
      <c r="M18" s="77">
        <f>AVERAGEIFS(M$25:M$1048576,$B$25:$B$1048576,$E18)</f>
        <v>651.22399999999993</v>
      </c>
      <c r="N18" s="78">
        <f t="shared" ref="N18" si="5">+SUM(F18:M18)</f>
        <v>9889.6133270833325</v>
      </c>
      <c r="O18" s="77">
        <f>AVERAGEIFS(O$25:O$1048576,$B$25:$B$1048576,$E18)</f>
        <v>1500</v>
      </c>
      <c r="P18" s="77">
        <f>AVERAGEIFS(P$25:P$1048576,$B$25:$B$1048576,$E18)</f>
        <v>873.63499999999999</v>
      </c>
      <c r="Q18" s="77">
        <f>AVERAGEIFS(Q$25:Q$1048576,$B$25:$B$1048576,$E18)</f>
        <v>1029.9629302083331</v>
      </c>
      <c r="R18" s="77">
        <f>AVERAGEIFS(R$25:R$1048576,$B$25:$B$1048576,$E18)</f>
        <v>3787.7660979166644</v>
      </c>
      <c r="S18" s="77">
        <f>AVERAGEIFS(S$25:S$1048576,$B$25:$B$1048576,$E18)</f>
        <v>1755</v>
      </c>
      <c r="T18" s="77">
        <f>AVERAGEIFS(T$25:T$1048576,$B$25:$B$1048576,$E18)</f>
        <v>0</v>
      </c>
      <c r="U18" s="77">
        <f>AVERAGEIFS(U$25:U$1048576,$B$25:$B$1048576,$E18)</f>
        <v>5616.1773513888902</v>
      </c>
      <c r="V18" s="77">
        <f>AVERAGEIFS(V$25:V$1048576,$B$25:$B$1048576,$E18)</f>
        <v>0</v>
      </c>
      <c r="W18" s="79">
        <f t="shared" ref="W18" si="6">+SUM(O18:V18)</f>
        <v>14562.541379513888</v>
      </c>
    </row>
    <row r="19" spans="1:23" x14ac:dyDescent="0.3">
      <c r="D19" s="119"/>
      <c r="E19" s="52">
        <f>+Precios!D19</f>
        <v>46296</v>
      </c>
      <c r="F19" s="77">
        <f>AVERAGEIFS(F$25:F$1048576,$B$25:$B$1048576,$E19)</f>
        <v>2329.52</v>
      </c>
      <c r="G19" s="77">
        <f>AVERAGEIFS(G$25:G$1048576,$B$25:$B$1048576,$E19)</f>
        <v>630.91999999999996</v>
      </c>
      <c r="H19" s="77">
        <f>AVERAGEIFS(H$25:H$1048576,$B$25:$B$1048576,$E19)</f>
        <v>404.28</v>
      </c>
      <c r="I19" s="77">
        <f>AVERAGEIFS(I$25:I$1048576,$B$25:$B$1048576,$E19)</f>
        <v>1781.72</v>
      </c>
      <c r="J19" s="77">
        <f>AVERAGEIFS(J$25:J$1048576,$B$25:$B$1048576,$E19)</f>
        <v>734.36</v>
      </c>
      <c r="K19" s="77">
        <f>AVERAGEIFS(K$25:K$1048576,$B$25:$B$1048576,$E19)</f>
        <v>1572.92</v>
      </c>
      <c r="L19" s="77">
        <f>AVERAGEIFS(L$25:L$1048576,$B$25:$B$1048576,$E19)</f>
        <v>1605.2</v>
      </c>
      <c r="M19" s="77">
        <f>AVERAGEIFS(M$25:M$1048576,$B$25:$B$1048576,$E19)</f>
        <v>313.24</v>
      </c>
      <c r="N19" s="78">
        <f>+SUM(F19:M19)</f>
        <v>9372.16</v>
      </c>
      <c r="O19" s="77">
        <f>AVERAGEIFS(O$25:O$1048576,$B$25:$B$1048576,$E19)</f>
        <v>1500</v>
      </c>
      <c r="P19" s="77">
        <f>AVERAGEIFS(P$25:P$1048576,$B$25:$B$1048576,$E19)</f>
        <v>687.84</v>
      </c>
      <c r="Q19" s="77">
        <f>AVERAGEIFS(Q$25:Q$1048576,$B$25:$B$1048576,$E19)</f>
        <v>1012.64</v>
      </c>
      <c r="R19" s="77">
        <f>AVERAGEIFS(R$25:R$1048576,$B$25:$B$1048576,$E19)</f>
        <v>3923.44</v>
      </c>
      <c r="S19" s="77">
        <f>AVERAGEIFS(S$25:S$1048576,$B$25:$B$1048576,$E19)</f>
        <v>1755</v>
      </c>
      <c r="T19" s="77">
        <f>AVERAGEIFS(T$25:T$1048576,$B$25:$B$1048576,$E19)</f>
        <v>0</v>
      </c>
      <c r="U19" s="77">
        <f>AVERAGEIFS(U$25:U$1048576,$B$25:$B$1048576,$E19)</f>
        <v>5053.08</v>
      </c>
      <c r="V19" s="77">
        <f>AVERAGEIFS(V$25:V$1048576,$B$25:$B$1048576,$E19)</f>
        <v>0</v>
      </c>
      <c r="W19" s="79">
        <f t="shared" ref="W19" si="7">+SUM(O19:V19)</f>
        <v>13932</v>
      </c>
    </row>
    <row r="20" spans="1:23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23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23" x14ac:dyDescent="0.3">
      <c r="C22" t="s">
        <v>31</v>
      </c>
      <c r="F22" s="74" t="s">
        <v>17</v>
      </c>
      <c r="G22" s="74" t="s">
        <v>17</v>
      </c>
      <c r="H22" s="74" t="s">
        <v>17</v>
      </c>
      <c r="I22" s="74" t="s">
        <v>17</v>
      </c>
      <c r="J22" s="74" t="s">
        <v>17</v>
      </c>
      <c r="K22" s="74" t="s">
        <v>17</v>
      </c>
      <c r="L22" s="74" t="s">
        <v>17</v>
      </c>
      <c r="M22" s="74" t="s">
        <v>17</v>
      </c>
      <c r="N22" s="74" t="s">
        <v>17</v>
      </c>
      <c r="O22" s="16" t="s">
        <v>18</v>
      </c>
      <c r="P22" s="16" t="s">
        <v>18</v>
      </c>
      <c r="Q22" s="16" t="s">
        <v>18</v>
      </c>
      <c r="R22" s="16" t="s">
        <v>18</v>
      </c>
      <c r="S22" s="16" t="s">
        <v>18</v>
      </c>
      <c r="T22" s="16" t="s">
        <v>18</v>
      </c>
      <c r="U22" s="16" t="s">
        <v>18</v>
      </c>
      <c r="V22" s="16" t="s">
        <v>18</v>
      </c>
      <c r="W22" s="16" t="s">
        <v>18</v>
      </c>
    </row>
    <row r="23" spans="1:23" x14ac:dyDescent="0.3">
      <c r="F23" s="75" t="s">
        <v>13</v>
      </c>
      <c r="G23" s="75" t="s">
        <v>13</v>
      </c>
      <c r="H23" s="75" t="s">
        <v>13</v>
      </c>
      <c r="I23" s="75" t="s">
        <v>13</v>
      </c>
      <c r="J23" s="75" t="s">
        <v>13</v>
      </c>
      <c r="K23" s="75" t="s">
        <v>13</v>
      </c>
      <c r="L23" s="75" t="s">
        <v>13</v>
      </c>
      <c r="M23" s="75" t="s">
        <v>13</v>
      </c>
      <c r="N23" s="75" t="s">
        <v>13</v>
      </c>
      <c r="O23" s="15" t="s">
        <v>139</v>
      </c>
      <c r="P23" s="15" t="s">
        <v>139</v>
      </c>
      <c r="Q23" s="15" t="s">
        <v>139</v>
      </c>
      <c r="R23" s="15" t="s">
        <v>139</v>
      </c>
      <c r="S23" s="15" t="s">
        <v>139</v>
      </c>
      <c r="T23" s="15" t="s">
        <v>139</v>
      </c>
      <c r="U23" s="15" t="s">
        <v>139</v>
      </c>
      <c r="V23" s="15" t="s">
        <v>139</v>
      </c>
      <c r="W23" s="15" t="s">
        <v>139</v>
      </c>
    </row>
    <row r="24" spans="1:23" x14ac:dyDescent="0.3">
      <c r="A24" s="1" t="s">
        <v>32</v>
      </c>
      <c r="B24" s="1" t="s">
        <v>25</v>
      </c>
      <c r="C24" t="s">
        <v>61</v>
      </c>
      <c r="D24" s="1" t="s">
        <v>33</v>
      </c>
      <c r="E24" s="1" t="s">
        <v>34</v>
      </c>
      <c r="F24" s="76" t="s">
        <v>53</v>
      </c>
      <c r="G24" s="76" t="s">
        <v>54</v>
      </c>
      <c r="H24" s="76" t="s">
        <v>113</v>
      </c>
      <c r="I24" s="76" t="s">
        <v>114</v>
      </c>
      <c r="J24" s="76" t="s">
        <v>56</v>
      </c>
      <c r="K24" s="76" t="s">
        <v>57</v>
      </c>
      <c r="L24" s="76" t="s">
        <v>58</v>
      </c>
      <c r="M24" s="76" t="s">
        <v>59</v>
      </c>
      <c r="N24" s="76" t="s">
        <v>28</v>
      </c>
      <c r="O24" s="16" t="s">
        <v>53</v>
      </c>
      <c r="P24" s="16" t="s">
        <v>54</v>
      </c>
      <c r="Q24" s="16" t="s">
        <v>113</v>
      </c>
      <c r="R24" s="16" t="s">
        <v>114</v>
      </c>
      <c r="S24" s="16" t="s">
        <v>56</v>
      </c>
      <c r="T24" s="16" t="s">
        <v>57</v>
      </c>
      <c r="U24" s="16" t="s">
        <v>58</v>
      </c>
      <c r="V24" s="16" t="s">
        <v>59</v>
      </c>
      <c r="W24" s="16" t="s">
        <v>29</v>
      </c>
    </row>
    <row r="25" spans="1:23" hidden="1" x14ac:dyDescent="0.3">
      <c r="A25" s="1">
        <f>YEAR(E25)</f>
        <v>2025</v>
      </c>
      <c r="B25" s="52">
        <f>DATE(A25,MONTH(E25),1)</f>
        <v>45931</v>
      </c>
      <c r="C25" s="1">
        <v>31</v>
      </c>
      <c r="D25" s="1" t="s">
        <v>36</v>
      </c>
      <c r="E25" s="56">
        <v>45931</v>
      </c>
      <c r="F25" s="2">
        <v>1815.82475</v>
      </c>
      <c r="G25" s="2">
        <v>733.32700000000011</v>
      </c>
      <c r="H25" s="2">
        <v>754.56899999999996</v>
      </c>
      <c r="I25" s="2"/>
      <c r="J25" s="2">
        <v>915.93337500000007</v>
      </c>
      <c r="K25" s="2">
        <v>2226.5328333333327</v>
      </c>
      <c r="L25" s="2">
        <v>1431.3533750000001</v>
      </c>
      <c r="M25" s="2">
        <v>237.28670833333331</v>
      </c>
      <c r="N25" s="31">
        <f>SUM(F25:M25)</f>
        <v>8114.8270416666655</v>
      </c>
      <c r="O25" s="1">
        <v>1500</v>
      </c>
      <c r="P25" s="2">
        <v>791.63437499999998</v>
      </c>
      <c r="Q25" s="2">
        <v>5516.6737500000008</v>
      </c>
      <c r="R25" s="2"/>
      <c r="S25" s="1">
        <v>1755</v>
      </c>
      <c r="T25" s="1">
        <v>0</v>
      </c>
      <c r="U25" s="2">
        <v>4819.1508750000021</v>
      </c>
      <c r="V25" s="1">
        <v>0</v>
      </c>
      <c r="W25" s="36">
        <f>SUM(O25:V25)</f>
        <v>14382.459000000003</v>
      </c>
    </row>
    <row r="26" spans="1:23" hidden="1" x14ac:dyDescent="0.3">
      <c r="A26" s="1">
        <f t="shared" ref="A26:A89" si="8">YEAR(E26)</f>
        <v>2025</v>
      </c>
      <c r="B26" s="52">
        <f t="shared" ref="B26:B89" si="9">DATE(A26,MONTH(E26),1)</f>
        <v>45931</v>
      </c>
      <c r="C26" s="1">
        <v>31</v>
      </c>
      <c r="D26" s="1" t="s">
        <v>37</v>
      </c>
      <c r="E26" s="56">
        <f>+ E25+1</f>
        <v>45932</v>
      </c>
      <c r="F26" s="2">
        <v>1949.3443333333328</v>
      </c>
      <c r="G26" s="2">
        <v>745.48845833333337</v>
      </c>
      <c r="H26" s="2">
        <v>703.3764166666665</v>
      </c>
      <c r="I26" s="2"/>
      <c r="J26" s="2">
        <v>1258.4155833333334</v>
      </c>
      <c r="K26" s="2">
        <v>2009.3686666666672</v>
      </c>
      <c r="L26" s="2">
        <v>1408.0381666666665</v>
      </c>
      <c r="M26" s="2">
        <v>277.71912499999996</v>
      </c>
      <c r="N26" s="31">
        <f t="shared" ref="N26:N89" si="10">SUM(F26:M26)</f>
        <v>8351.7507499999992</v>
      </c>
      <c r="O26" s="1">
        <v>1500</v>
      </c>
      <c r="P26" s="2">
        <v>808.47812499999998</v>
      </c>
      <c r="Q26" s="2">
        <v>5504.2050000000008</v>
      </c>
      <c r="R26" s="2"/>
      <c r="S26" s="1">
        <v>1755</v>
      </c>
      <c r="T26" s="1">
        <v>0</v>
      </c>
      <c r="U26" s="2">
        <v>4860.7804166666683</v>
      </c>
      <c r="V26" s="1">
        <v>0</v>
      </c>
      <c r="W26" s="36">
        <f t="shared" ref="W26:W55" si="11">SUM(O26:V26)</f>
        <v>14428.46354166667</v>
      </c>
    </row>
    <row r="27" spans="1:23" hidden="1" x14ac:dyDescent="0.3">
      <c r="A27" s="1">
        <f t="shared" si="8"/>
        <v>2025</v>
      </c>
      <c r="B27" s="52">
        <f t="shared" si="9"/>
        <v>45931</v>
      </c>
      <c r="C27" s="1">
        <v>31</v>
      </c>
      <c r="D27" s="1" t="s">
        <v>38</v>
      </c>
      <c r="E27" s="56">
        <f t="shared" ref="E27:E55" si="12">+ E26+1</f>
        <v>45933</v>
      </c>
      <c r="F27" s="2">
        <v>1939.6474583333331</v>
      </c>
      <c r="G27" s="2">
        <v>749.67129166666666</v>
      </c>
      <c r="H27" s="2">
        <v>961.37012500000003</v>
      </c>
      <c r="I27" s="2"/>
      <c r="J27" s="2">
        <v>1264.0864583333332</v>
      </c>
      <c r="K27" s="2">
        <v>1946.2811250000007</v>
      </c>
      <c r="L27" s="2">
        <v>1451.4409583333334</v>
      </c>
      <c r="M27" s="2">
        <v>243.12</v>
      </c>
      <c r="N27" s="31">
        <f t="shared" si="10"/>
        <v>8555.6174166666679</v>
      </c>
      <c r="O27" s="1">
        <v>1500</v>
      </c>
      <c r="P27" s="2">
        <v>823.2</v>
      </c>
      <c r="Q27" s="2">
        <v>5506.8017375000009</v>
      </c>
      <c r="R27" s="2"/>
      <c r="S27" s="1">
        <v>1755</v>
      </c>
      <c r="T27" s="1">
        <v>0</v>
      </c>
      <c r="U27" s="2">
        <v>4945.3648750000011</v>
      </c>
      <c r="V27" s="1">
        <v>0</v>
      </c>
      <c r="W27" s="36">
        <f t="shared" si="11"/>
        <v>14530.366612500002</v>
      </c>
    </row>
    <row r="28" spans="1:23" hidden="1" x14ac:dyDescent="0.3">
      <c r="A28" s="1">
        <f t="shared" si="8"/>
        <v>2025</v>
      </c>
      <c r="B28" s="52">
        <f t="shared" si="9"/>
        <v>45931</v>
      </c>
      <c r="C28" s="1">
        <v>31</v>
      </c>
      <c r="D28" s="1" t="s">
        <v>39</v>
      </c>
      <c r="E28" s="56">
        <f t="shared" si="12"/>
        <v>45934</v>
      </c>
      <c r="F28" s="2">
        <v>1438.7366249999998</v>
      </c>
      <c r="G28" s="2">
        <v>724.03604166666662</v>
      </c>
      <c r="H28" s="2">
        <v>941.07954166666661</v>
      </c>
      <c r="I28" s="2"/>
      <c r="J28" s="2">
        <v>1263.14975</v>
      </c>
      <c r="K28" s="2">
        <v>1780.7510833333342</v>
      </c>
      <c r="L28" s="2">
        <v>1782.230291666667</v>
      </c>
      <c r="M28" s="2">
        <v>390.35291666666672</v>
      </c>
      <c r="N28" s="31">
        <f t="shared" si="10"/>
        <v>8320.3362500000003</v>
      </c>
      <c r="O28" s="1">
        <v>1500</v>
      </c>
      <c r="P28" s="2">
        <v>773.85</v>
      </c>
      <c r="Q28" s="2">
        <v>5526.5393750000003</v>
      </c>
      <c r="R28" s="2"/>
      <c r="S28" s="1">
        <v>1755</v>
      </c>
      <c r="T28" s="1">
        <v>0</v>
      </c>
      <c r="U28" s="2">
        <v>5447.4901666666674</v>
      </c>
      <c r="V28" s="1">
        <v>0</v>
      </c>
      <c r="W28" s="36">
        <f t="shared" si="11"/>
        <v>15002.879541666669</v>
      </c>
    </row>
    <row r="29" spans="1:23" hidden="1" x14ac:dyDescent="0.3">
      <c r="A29" s="1">
        <f t="shared" si="8"/>
        <v>2025</v>
      </c>
      <c r="B29" s="52">
        <f t="shared" si="9"/>
        <v>45931</v>
      </c>
      <c r="C29" s="1">
        <v>31</v>
      </c>
      <c r="D29" s="1" t="s">
        <v>40</v>
      </c>
      <c r="E29" s="56">
        <f t="shared" si="12"/>
        <v>45935</v>
      </c>
      <c r="F29" s="2">
        <v>1269.1058333333331</v>
      </c>
      <c r="G29" s="2">
        <v>744.7692916666665</v>
      </c>
      <c r="H29" s="2">
        <v>785.9197916666667</v>
      </c>
      <c r="I29" s="2"/>
      <c r="J29" s="2">
        <v>1262.7215416666668</v>
      </c>
      <c r="K29" s="2">
        <v>1435.3352083333343</v>
      </c>
      <c r="L29" s="2">
        <v>1583.3180416666664</v>
      </c>
      <c r="M29" s="2">
        <v>388.39270833333336</v>
      </c>
      <c r="N29" s="31">
        <f t="shared" si="10"/>
        <v>7469.5624166666676</v>
      </c>
      <c r="O29" s="1">
        <v>1500</v>
      </c>
      <c r="P29" s="2">
        <v>806.40000000000009</v>
      </c>
      <c r="Q29" s="2">
        <v>5529.8206250000003</v>
      </c>
      <c r="R29" s="2"/>
      <c r="S29" s="1">
        <v>1755</v>
      </c>
      <c r="T29" s="1">
        <v>0</v>
      </c>
      <c r="U29" s="2">
        <v>5519.713583333335</v>
      </c>
      <c r="V29" s="1">
        <v>0</v>
      </c>
      <c r="W29" s="36">
        <f t="shared" si="11"/>
        <v>15110.934208333336</v>
      </c>
    </row>
    <row r="30" spans="1:23" hidden="1" x14ac:dyDescent="0.3">
      <c r="A30" s="1">
        <f t="shared" si="8"/>
        <v>2025</v>
      </c>
      <c r="B30" s="52">
        <f t="shared" si="9"/>
        <v>45931</v>
      </c>
      <c r="C30" s="1">
        <v>31</v>
      </c>
      <c r="D30" s="1" t="s">
        <v>41</v>
      </c>
      <c r="E30" s="56">
        <f t="shared" si="12"/>
        <v>45936</v>
      </c>
      <c r="F30" s="2">
        <v>1395.5034583333334</v>
      </c>
      <c r="G30" s="2">
        <v>808.06504166666639</v>
      </c>
      <c r="H30" s="2">
        <v>995.72300000000018</v>
      </c>
      <c r="I30" s="2"/>
      <c r="J30" s="2">
        <v>1265.3227916666667</v>
      </c>
      <c r="K30" s="2">
        <v>1864.6459999999997</v>
      </c>
      <c r="L30" s="2">
        <v>1753.299791666667</v>
      </c>
      <c r="M30" s="2">
        <v>454.37787500000002</v>
      </c>
      <c r="N30" s="31">
        <f t="shared" si="10"/>
        <v>8536.9379583333339</v>
      </c>
      <c r="O30" s="1">
        <v>1500</v>
      </c>
      <c r="P30" s="2">
        <v>866.77500000000009</v>
      </c>
      <c r="Q30" s="2">
        <v>5426.6388750000006</v>
      </c>
      <c r="R30" s="2"/>
      <c r="S30" s="1">
        <v>1755</v>
      </c>
      <c r="T30" s="1">
        <v>0</v>
      </c>
      <c r="U30" s="2">
        <v>5682.5242916666693</v>
      </c>
      <c r="V30" s="1">
        <v>0</v>
      </c>
      <c r="W30" s="36">
        <f t="shared" si="11"/>
        <v>15230.93816666667</v>
      </c>
    </row>
    <row r="31" spans="1:23" hidden="1" x14ac:dyDescent="0.3">
      <c r="A31" s="1">
        <f t="shared" si="8"/>
        <v>2025</v>
      </c>
      <c r="B31" s="52">
        <f t="shared" si="9"/>
        <v>45931</v>
      </c>
      <c r="C31" s="1">
        <v>31</v>
      </c>
      <c r="D31" s="1" t="s">
        <v>42</v>
      </c>
      <c r="E31" s="56">
        <f t="shared" si="12"/>
        <v>45937</v>
      </c>
      <c r="F31" s="2">
        <v>1526.2629166666663</v>
      </c>
      <c r="G31" s="2">
        <v>806.14720833333331</v>
      </c>
      <c r="H31" s="2">
        <v>730.13079166666682</v>
      </c>
      <c r="I31" s="2"/>
      <c r="J31" s="2">
        <v>1262.5886250000003</v>
      </c>
      <c r="K31" s="2">
        <v>1904.3338333333334</v>
      </c>
      <c r="L31" s="2">
        <v>1640.3767916666668</v>
      </c>
      <c r="M31" s="2">
        <v>392.88387499999999</v>
      </c>
      <c r="N31" s="31">
        <f t="shared" si="10"/>
        <v>8262.7240416666664</v>
      </c>
      <c r="O31" s="1">
        <v>1500</v>
      </c>
      <c r="P31" s="2">
        <v>866.77500000000009</v>
      </c>
      <c r="Q31" s="2">
        <v>5416.7981874999996</v>
      </c>
      <c r="R31" s="2"/>
      <c r="S31" s="1">
        <v>1755</v>
      </c>
      <c r="T31" s="1">
        <v>0</v>
      </c>
      <c r="U31" s="2">
        <v>5766.557333333335</v>
      </c>
      <c r="V31" s="1">
        <v>0</v>
      </c>
      <c r="W31" s="36">
        <f t="shared" si="11"/>
        <v>15305.130520833336</v>
      </c>
    </row>
    <row r="32" spans="1:23" hidden="1" x14ac:dyDescent="0.3">
      <c r="A32" s="1">
        <f t="shared" si="8"/>
        <v>2025</v>
      </c>
      <c r="B32" s="52">
        <f t="shared" si="9"/>
        <v>45931</v>
      </c>
      <c r="C32" s="1">
        <v>31</v>
      </c>
      <c r="D32" s="1" t="s">
        <v>36</v>
      </c>
      <c r="E32" s="56">
        <f t="shared" si="12"/>
        <v>45938</v>
      </c>
      <c r="F32" s="2">
        <v>1752.8770416666666</v>
      </c>
      <c r="G32" s="2">
        <v>789.48824999999988</v>
      </c>
      <c r="H32" s="2">
        <v>513.77558333333332</v>
      </c>
      <c r="I32" s="2"/>
      <c r="J32" s="2">
        <v>1261.1209583333334</v>
      </c>
      <c r="K32" s="2">
        <v>2365.9218333333329</v>
      </c>
      <c r="L32" s="2">
        <v>1484.0511249999997</v>
      </c>
      <c r="M32" s="2">
        <v>231.80233333333334</v>
      </c>
      <c r="N32" s="31">
        <f t="shared" si="10"/>
        <v>8399.0371250000007</v>
      </c>
      <c r="O32" s="1">
        <v>1500</v>
      </c>
      <c r="P32" s="2">
        <v>921.375</v>
      </c>
      <c r="Q32" s="2">
        <v>5403.7869375</v>
      </c>
      <c r="R32" s="2"/>
      <c r="S32" s="1">
        <v>1755</v>
      </c>
      <c r="T32" s="1">
        <v>0</v>
      </c>
      <c r="U32" s="2">
        <v>5766.492208333334</v>
      </c>
      <c r="V32" s="1">
        <v>0</v>
      </c>
      <c r="W32" s="36">
        <f t="shared" si="11"/>
        <v>15346.654145833334</v>
      </c>
    </row>
    <row r="33" spans="1:23" hidden="1" x14ac:dyDescent="0.3">
      <c r="A33" s="1">
        <f t="shared" si="8"/>
        <v>2025</v>
      </c>
      <c r="B33" s="52">
        <f t="shared" si="9"/>
        <v>45931</v>
      </c>
      <c r="C33" s="1">
        <v>31</v>
      </c>
      <c r="D33" s="1" t="s">
        <v>37</v>
      </c>
      <c r="E33" s="56">
        <f t="shared" si="12"/>
        <v>45939</v>
      </c>
      <c r="F33" s="2">
        <v>1707.2011666666674</v>
      </c>
      <c r="G33" s="2">
        <v>786.09620833333372</v>
      </c>
      <c r="H33" s="2">
        <v>696.89166666666654</v>
      </c>
      <c r="I33" s="2"/>
      <c r="J33" s="2">
        <v>1263.1177916666668</v>
      </c>
      <c r="K33" s="2">
        <v>2157.2766666666685</v>
      </c>
      <c r="L33" s="2">
        <v>1449.6965833333334</v>
      </c>
      <c r="M33" s="2">
        <v>333.56487499999997</v>
      </c>
      <c r="N33" s="31">
        <f t="shared" si="10"/>
        <v>8393.8449583333349</v>
      </c>
      <c r="O33" s="1">
        <v>1500</v>
      </c>
      <c r="P33" s="2">
        <v>845.25</v>
      </c>
      <c r="Q33" s="2">
        <v>5417.7331250000007</v>
      </c>
      <c r="R33" s="2"/>
      <c r="S33" s="1">
        <v>1755</v>
      </c>
      <c r="T33" s="1">
        <v>0</v>
      </c>
      <c r="U33" s="2">
        <v>5662.255708333335</v>
      </c>
      <c r="V33" s="1">
        <v>0</v>
      </c>
      <c r="W33" s="36">
        <f t="shared" si="11"/>
        <v>15180.238833333337</v>
      </c>
    </row>
    <row r="34" spans="1:23" hidden="1" x14ac:dyDescent="0.3">
      <c r="A34" s="1">
        <f t="shared" si="8"/>
        <v>2025</v>
      </c>
      <c r="B34" s="52">
        <f t="shared" si="9"/>
        <v>45931</v>
      </c>
      <c r="C34" s="1">
        <v>31</v>
      </c>
      <c r="D34" s="1" t="s">
        <v>38</v>
      </c>
      <c r="E34" s="56">
        <f t="shared" si="12"/>
        <v>45940</v>
      </c>
      <c r="F34" s="2">
        <v>1531.6256249999997</v>
      </c>
      <c r="G34" s="2">
        <v>797.36900000000003</v>
      </c>
      <c r="H34" s="2">
        <v>752.35716666666679</v>
      </c>
      <c r="I34" s="2"/>
      <c r="J34" s="2">
        <v>1261.3802916666666</v>
      </c>
      <c r="K34" s="2">
        <v>1617.7094583333335</v>
      </c>
      <c r="L34" s="2">
        <v>1350.1885833333336</v>
      </c>
      <c r="M34" s="2">
        <v>392.89850000000001</v>
      </c>
      <c r="N34" s="31">
        <f t="shared" si="10"/>
        <v>7703.5286250000008</v>
      </c>
      <c r="O34" s="1">
        <v>1500</v>
      </c>
      <c r="P34" s="2">
        <v>863.1</v>
      </c>
      <c r="Q34" s="2">
        <v>5410.6674999999996</v>
      </c>
      <c r="R34" s="2"/>
      <c r="S34" s="1">
        <v>1755</v>
      </c>
      <c r="T34" s="1">
        <v>0</v>
      </c>
      <c r="U34" s="2">
        <v>5621.8471249999993</v>
      </c>
      <c r="V34" s="1">
        <v>0</v>
      </c>
      <c r="W34" s="36">
        <f t="shared" si="11"/>
        <v>15150.614624999998</v>
      </c>
    </row>
    <row r="35" spans="1:23" hidden="1" x14ac:dyDescent="0.3">
      <c r="A35" s="1">
        <f t="shared" si="8"/>
        <v>2025</v>
      </c>
      <c r="B35" s="52">
        <f t="shared" si="9"/>
        <v>45931</v>
      </c>
      <c r="C35" s="1">
        <v>31</v>
      </c>
      <c r="D35" s="1" t="s">
        <v>39</v>
      </c>
      <c r="E35" s="56">
        <f t="shared" si="12"/>
        <v>45941</v>
      </c>
      <c r="F35" s="2">
        <v>1190.0365416666668</v>
      </c>
      <c r="G35" s="2">
        <v>803.90587500000004</v>
      </c>
      <c r="H35" s="2">
        <v>989.83675000000017</v>
      </c>
      <c r="I35" s="2"/>
      <c r="J35" s="2">
        <v>1261.7598749999997</v>
      </c>
      <c r="K35" s="2">
        <v>1695.1418750000005</v>
      </c>
      <c r="L35" s="2">
        <v>1465.5125416666669</v>
      </c>
      <c r="M35" s="2">
        <v>459.20974999999999</v>
      </c>
      <c r="N35" s="31">
        <f t="shared" si="10"/>
        <v>7865.4032083333341</v>
      </c>
      <c r="O35" s="1">
        <v>1500</v>
      </c>
      <c r="P35" s="2">
        <v>863.1</v>
      </c>
      <c r="Q35" s="2">
        <v>5421.1093125000007</v>
      </c>
      <c r="R35" s="2"/>
      <c r="S35" s="1">
        <v>1755</v>
      </c>
      <c r="T35" s="1">
        <v>0</v>
      </c>
      <c r="U35" s="2">
        <v>5674.1109166666674</v>
      </c>
      <c r="V35" s="1">
        <v>0</v>
      </c>
      <c r="W35" s="36">
        <f t="shared" si="11"/>
        <v>15213.320229166668</v>
      </c>
    </row>
    <row r="36" spans="1:23" hidden="1" x14ac:dyDescent="0.3">
      <c r="A36" s="1">
        <f t="shared" si="8"/>
        <v>2025</v>
      </c>
      <c r="B36" s="52">
        <f t="shared" si="9"/>
        <v>45931</v>
      </c>
      <c r="C36" s="1">
        <v>31</v>
      </c>
      <c r="D36" s="1" t="s">
        <v>40</v>
      </c>
      <c r="E36" s="56">
        <f t="shared" si="12"/>
        <v>45942</v>
      </c>
      <c r="F36" s="2">
        <v>1351.1909583333334</v>
      </c>
      <c r="G36" s="2">
        <v>738.99133333333339</v>
      </c>
      <c r="H36" s="2">
        <v>346.50833333333327</v>
      </c>
      <c r="I36" s="2"/>
      <c r="J36" s="2">
        <v>1263.5628333333334</v>
      </c>
      <c r="K36" s="2">
        <v>2058.5199583333338</v>
      </c>
      <c r="L36" s="2">
        <v>1599.3692916666671</v>
      </c>
      <c r="M36" s="2">
        <v>149.024</v>
      </c>
      <c r="N36" s="31">
        <f t="shared" si="10"/>
        <v>7507.1667083333341</v>
      </c>
      <c r="O36" s="1">
        <v>1500</v>
      </c>
      <c r="P36" s="2">
        <v>793.27499999999998</v>
      </c>
      <c r="Q36" s="2">
        <v>5454.68</v>
      </c>
      <c r="R36" s="2"/>
      <c r="S36" s="1">
        <v>1755</v>
      </c>
      <c r="T36" s="1">
        <v>0</v>
      </c>
      <c r="U36" s="2">
        <v>5743.3810833333318</v>
      </c>
      <c r="V36" s="1">
        <v>0</v>
      </c>
      <c r="W36" s="36">
        <f t="shared" si="11"/>
        <v>15246.336083333332</v>
      </c>
    </row>
    <row r="37" spans="1:23" hidden="1" x14ac:dyDescent="0.3">
      <c r="A37" s="1">
        <f t="shared" si="8"/>
        <v>2025</v>
      </c>
      <c r="B37" s="52">
        <f t="shared" si="9"/>
        <v>45931</v>
      </c>
      <c r="C37" s="1">
        <v>31</v>
      </c>
      <c r="D37" s="1" t="s">
        <v>41</v>
      </c>
      <c r="E37" s="56">
        <f t="shared" si="12"/>
        <v>45943</v>
      </c>
      <c r="F37" s="2">
        <v>2007.1347500000004</v>
      </c>
      <c r="G37" s="2">
        <v>791.20429166666679</v>
      </c>
      <c r="H37" s="2">
        <v>704.90516666666656</v>
      </c>
      <c r="I37" s="2"/>
      <c r="J37" s="2">
        <v>1262.6753333333336</v>
      </c>
      <c r="K37" s="2">
        <v>2101.7496250000008</v>
      </c>
      <c r="L37" s="2">
        <v>1450.4282083333335</v>
      </c>
      <c r="M37" s="2">
        <v>391.76054166666665</v>
      </c>
      <c r="N37" s="31">
        <f t="shared" si="10"/>
        <v>8709.8579166666677</v>
      </c>
      <c r="O37" s="1">
        <v>1500</v>
      </c>
      <c r="P37" s="2">
        <v>849.45</v>
      </c>
      <c r="Q37" s="2">
        <v>5243.6317500000005</v>
      </c>
      <c r="R37" s="2"/>
      <c r="S37" s="1">
        <v>1755</v>
      </c>
      <c r="T37" s="1">
        <v>0</v>
      </c>
      <c r="U37" s="2">
        <v>5646.3010416666666</v>
      </c>
      <c r="V37" s="1">
        <v>0</v>
      </c>
      <c r="W37" s="36">
        <f t="shared" si="11"/>
        <v>14994.382791666667</v>
      </c>
    </row>
    <row r="38" spans="1:23" hidden="1" x14ac:dyDescent="0.3">
      <c r="A38" s="1">
        <f t="shared" si="8"/>
        <v>2025</v>
      </c>
      <c r="B38" s="52">
        <f t="shared" si="9"/>
        <v>45931</v>
      </c>
      <c r="C38" s="1">
        <v>31</v>
      </c>
      <c r="D38" s="1" t="s">
        <v>42</v>
      </c>
      <c r="E38" s="56">
        <f t="shared" si="12"/>
        <v>45944</v>
      </c>
      <c r="F38" s="2">
        <v>2361.9045833333339</v>
      </c>
      <c r="G38" s="2">
        <v>805.98858333333317</v>
      </c>
      <c r="H38" s="2">
        <v>888.909541666667</v>
      </c>
      <c r="I38" s="2"/>
      <c r="J38" s="2">
        <v>1263.3202500000002</v>
      </c>
      <c r="K38" s="2">
        <v>1749.3478750000004</v>
      </c>
      <c r="L38" s="2">
        <v>1481.4700833333329</v>
      </c>
      <c r="M38" s="2">
        <v>82.599874999999997</v>
      </c>
      <c r="N38" s="31">
        <f t="shared" si="10"/>
        <v>8633.5407916666682</v>
      </c>
      <c r="O38" s="1">
        <v>1500</v>
      </c>
      <c r="P38" s="2">
        <v>849.45</v>
      </c>
      <c r="Q38" s="2">
        <v>5136.0706250000003</v>
      </c>
      <c r="R38" s="2"/>
      <c r="S38" s="1">
        <v>1755</v>
      </c>
      <c r="T38" s="1">
        <v>0</v>
      </c>
      <c r="U38" s="2">
        <v>5612.3215833333306</v>
      </c>
      <c r="V38" s="1">
        <v>0</v>
      </c>
      <c r="W38" s="36">
        <f t="shared" si="11"/>
        <v>14852.842208333332</v>
      </c>
    </row>
    <row r="39" spans="1:23" hidden="1" x14ac:dyDescent="0.3">
      <c r="A39" s="1">
        <f t="shared" si="8"/>
        <v>2025</v>
      </c>
      <c r="B39" s="52">
        <f t="shared" si="9"/>
        <v>45931</v>
      </c>
      <c r="C39" s="1">
        <v>31</v>
      </c>
      <c r="D39" s="1" t="s">
        <v>36</v>
      </c>
      <c r="E39" s="56">
        <f t="shared" si="12"/>
        <v>45945</v>
      </c>
      <c r="F39" s="2">
        <v>2253.4725416666665</v>
      </c>
      <c r="G39" s="2">
        <v>718.81970833333344</v>
      </c>
      <c r="H39" s="2">
        <v>928.89825000000019</v>
      </c>
      <c r="I39" s="2"/>
      <c r="J39" s="2">
        <v>1261.2288333333336</v>
      </c>
      <c r="K39" s="2">
        <v>2006.3517499999991</v>
      </c>
      <c r="L39" s="2">
        <v>1662.6642499999998</v>
      </c>
      <c r="M39" s="2">
        <v>80.504625000000004</v>
      </c>
      <c r="N39" s="31">
        <f t="shared" si="10"/>
        <v>8911.9399583333307</v>
      </c>
      <c r="O39" s="1">
        <v>1500</v>
      </c>
      <c r="P39" s="2">
        <v>834.22500000000002</v>
      </c>
      <c r="Q39" s="2">
        <v>5138.3675000000003</v>
      </c>
      <c r="R39" s="2"/>
      <c r="S39" s="1">
        <v>1755</v>
      </c>
      <c r="T39" s="1">
        <v>0</v>
      </c>
      <c r="U39" s="2">
        <v>5537.8944999999958</v>
      </c>
      <c r="V39" s="1">
        <v>0</v>
      </c>
      <c r="W39" s="36">
        <f t="shared" si="11"/>
        <v>14765.486999999997</v>
      </c>
    </row>
    <row r="40" spans="1:23" hidden="1" x14ac:dyDescent="0.3">
      <c r="A40" s="1">
        <f t="shared" si="8"/>
        <v>2025</v>
      </c>
      <c r="B40" s="52">
        <f t="shared" si="9"/>
        <v>45931</v>
      </c>
      <c r="C40" s="1">
        <v>31</v>
      </c>
      <c r="D40" s="1" t="s">
        <v>37</v>
      </c>
      <c r="E40" s="56">
        <f t="shared" si="12"/>
        <v>45946</v>
      </c>
      <c r="F40" s="2">
        <v>2461.3228750000003</v>
      </c>
      <c r="G40" s="2">
        <v>763.90716666666651</v>
      </c>
      <c r="H40" s="2">
        <v>1124.953833333333</v>
      </c>
      <c r="I40" s="2"/>
      <c r="J40" s="2">
        <v>1260.4540416666669</v>
      </c>
      <c r="K40" s="2">
        <v>1698.1712083333339</v>
      </c>
      <c r="L40" s="2">
        <v>1807.7605416666663</v>
      </c>
      <c r="M40" s="2">
        <v>24.535666666666664</v>
      </c>
      <c r="N40" s="31">
        <f t="shared" si="10"/>
        <v>9141.105333333333</v>
      </c>
      <c r="O40" s="1">
        <v>1500</v>
      </c>
      <c r="P40" s="2">
        <v>884.625</v>
      </c>
      <c r="Q40" s="2">
        <v>5128.2174999999997</v>
      </c>
      <c r="R40" s="2"/>
      <c r="S40" s="1">
        <v>1755</v>
      </c>
      <c r="T40" s="1">
        <v>0</v>
      </c>
      <c r="U40" s="2">
        <v>5401.581166666665</v>
      </c>
      <c r="V40" s="1">
        <v>0</v>
      </c>
      <c r="W40" s="36">
        <f t="shared" si="11"/>
        <v>14669.423666666664</v>
      </c>
    </row>
    <row r="41" spans="1:23" hidden="1" x14ac:dyDescent="0.3">
      <c r="A41" s="1">
        <f t="shared" si="8"/>
        <v>2025</v>
      </c>
      <c r="B41" s="52">
        <f t="shared" si="9"/>
        <v>45931</v>
      </c>
      <c r="C41" s="1">
        <v>31</v>
      </c>
      <c r="D41" s="1" t="s">
        <v>38</v>
      </c>
      <c r="E41" s="56">
        <f t="shared" si="12"/>
        <v>45947</v>
      </c>
      <c r="F41" s="2">
        <v>2680.6650416666675</v>
      </c>
      <c r="G41" s="2">
        <v>762.05866666666668</v>
      </c>
      <c r="H41" s="2">
        <v>845.61154166666665</v>
      </c>
      <c r="I41" s="2"/>
      <c r="J41" s="2">
        <v>1257.972</v>
      </c>
      <c r="K41" s="2">
        <v>1448.6693333333328</v>
      </c>
      <c r="L41" s="2">
        <v>1683.5463333333335</v>
      </c>
      <c r="M41" s="2">
        <v>46.213749999999997</v>
      </c>
      <c r="N41" s="31">
        <f t="shared" si="10"/>
        <v>8724.7366666666676</v>
      </c>
      <c r="O41" s="1">
        <v>1500</v>
      </c>
      <c r="P41" s="2">
        <v>860.47500000000002</v>
      </c>
      <c r="Q41" s="2">
        <v>5138.2988125000002</v>
      </c>
      <c r="R41" s="2"/>
      <c r="S41" s="1">
        <v>1755</v>
      </c>
      <c r="T41" s="1">
        <v>0</v>
      </c>
      <c r="U41" s="2">
        <v>5441.3457083333287</v>
      </c>
      <c r="V41" s="1">
        <v>0</v>
      </c>
      <c r="W41" s="36">
        <f t="shared" si="11"/>
        <v>14695.119520833328</v>
      </c>
    </row>
    <row r="42" spans="1:23" hidden="1" x14ac:dyDescent="0.3">
      <c r="A42" s="1">
        <f t="shared" si="8"/>
        <v>2025</v>
      </c>
      <c r="B42" s="52">
        <f t="shared" si="9"/>
        <v>45931</v>
      </c>
      <c r="C42" s="1">
        <v>31</v>
      </c>
      <c r="D42" s="1" t="s">
        <v>39</v>
      </c>
      <c r="E42" s="56">
        <f t="shared" si="12"/>
        <v>45948</v>
      </c>
      <c r="F42" s="2">
        <v>2340.1121250000001</v>
      </c>
      <c r="G42" s="2">
        <v>624.49987500000009</v>
      </c>
      <c r="H42" s="2">
        <v>531.87145833333341</v>
      </c>
      <c r="I42" s="2"/>
      <c r="J42" s="2">
        <v>1269.8439166666667</v>
      </c>
      <c r="K42" s="2">
        <v>1547.7364166666657</v>
      </c>
      <c r="L42" s="2">
        <v>1502.0108333333335</v>
      </c>
      <c r="M42" s="2">
        <v>74.334166666666675</v>
      </c>
      <c r="N42" s="31">
        <f t="shared" si="10"/>
        <v>7890.4087916666667</v>
      </c>
      <c r="O42" s="1">
        <v>1500</v>
      </c>
      <c r="P42" s="2">
        <v>682.38340625000001</v>
      </c>
      <c r="Q42" s="2">
        <v>5109.7335625000005</v>
      </c>
      <c r="R42" s="2"/>
      <c r="S42" s="1">
        <v>1755</v>
      </c>
      <c r="T42" s="1">
        <v>0</v>
      </c>
      <c r="U42" s="2">
        <v>5493.6549999999952</v>
      </c>
      <c r="V42" s="1">
        <v>0</v>
      </c>
      <c r="W42" s="36">
        <f t="shared" si="11"/>
        <v>14540.771968749996</v>
      </c>
    </row>
    <row r="43" spans="1:23" hidden="1" x14ac:dyDescent="0.3">
      <c r="A43" s="1">
        <f t="shared" si="8"/>
        <v>2025</v>
      </c>
      <c r="B43" s="52">
        <f t="shared" si="9"/>
        <v>45931</v>
      </c>
      <c r="C43" s="1">
        <v>31</v>
      </c>
      <c r="D43" s="1" t="s">
        <v>40</v>
      </c>
      <c r="E43" s="56">
        <f t="shared" si="12"/>
        <v>45949</v>
      </c>
      <c r="F43" s="2">
        <v>1712.9017500000002</v>
      </c>
      <c r="G43" s="2">
        <v>576.46795833333329</v>
      </c>
      <c r="H43" s="2">
        <v>418.65666666666669</v>
      </c>
      <c r="I43" s="2"/>
      <c r="J43" s="2">
        <v>1275.6955416666665</v>
      </c>
      <c r="K43" s="2">
        <v>2237.8214999999996</v>
      </c>
      <c r="L43" s="2">
        <v>1245.270125</v>
      </c>
      <c r="M43" s="2">
        <v>33.850208333333335</v>
      </c>
      <c r="N43" s="31">
        <f t="shared" si="10"/>
        <v>7500.6637499999997</v>
      </c>
      <c r="O43" s="1">
        <v>1500</v>
      </c>
      <c r="P43" s="2">
        <v>680.4</v>
      </c>
      <c r="Q43" s="2">
        <v>5126.38</v>
      </c>
      <c r="R43" s="2"/>
      <c r="S43" s="1">
        <v>1755</v>
      </c>
      <c r="T43" s="1">
        <v>0</v>
      </c>
      <c r="U43" s="2">
        <v>5438.9721666666646</v>
      </c>
      <c r="V43" s="1">
        <v>0</v>
      </c>
      <c r="W43" s="36">
        <f t="shared" si="11"/>
        <v>14500.752166666665</v>
      </c>
    </row>
    <row r="44" spans="1:23" hidden="1" x14ac:dyDescent="0.3">
      <c r="A44" s="1">
        <f t="shared" si="8"/>
        <v>2025</v>
      </c>
      <c r="B44" s="52">
        <f t="shared" si="9"/>
        <v>45931</v>
      </c>
      <c r="C44" s="1">
        <v>31</v>
      </c>
      <c r="D44" s="1" t="s">
        <v>41</v>
      </c>
      <c r="E44" s="56">
        <f t="shared" si="12"/>
        <v>45950</v>
      </c>
      <c r="F44" s="2">
        <v>1968.7020833333338</v>
      </c>
      <c r="G44" s="2">
        <v>597.13304166666671</v>
      </c>
      <c r="H44" s="2">
        <v>635.56966666666654</v>
      </c>
      <c r="I44" s="2"/>
      <c r="J44" s="2">
        <v>1270.6835000000001</v>
      </c>
      <c r="K44" s="2">
        <v>2303.3863333333325</v>
      </c>
      <c r="L44" s="2">
        <v>1320.9625833333332</v>
      </c>
      <c r="M44" s="2">
        <v>40.875499999999995</v>
      </c>
      <c r="N44" s="31">
        <f t="shared" si="10"/>
        <v>8137.312708333332</v>
      </c>
      <c r="O44" s="1">
        <v>1500</v>
      </c>
      <c r="P44" s="2">
        <v>692.47500000000002</v>
      </c>
      <c r="Q44" s="2">
        <v>5146.9162500000011</v>
      </c>
      <c r="R44" s="2"/>
      <c r="S44" s="1">
        <v>1755</v>
      </c>
      <c r="T44" s="1">
        <v>0</v>
      </c>
      <c r="U44" s="2">
        <v>5432.1686666666656</v>
      </c>
      <c r="V44" s="1">
        <v>0</v>
      </c>
      <c r="W44" s="36">
        <f t="shared" si="11"/>
        <v>14526.559916666665</v>
      </c>
    </row>
    <row r="45" spans="1:23" hidden="1" x14ac:dyDescent="0.3">
      <c r="A45" s="1">
        <f t="shared" si="8"/>
        <v>2025</v>
      </c>
      <c r="B45" s="52">
        <f t="shared" si="9"/>
        <v>45931</v>
      </c>
      <c r="C45" s="1">
        <v>31</v>
      </c>
      <c r="D45" s="1" t="s">
        <v>42</v>
      </c>
      <c r="E45" s="56">
        <f t="shared" si="12"/>
        <v>45951</v>
      </c>
      <c r="F45" s="2">
        <v>2541.2907083333334</v>
      </c>
      <c r="G45" s="2">
        <v>600.98558333333335</v>
      </c>
      <c r="H45" s="2">
        <v>1013.1574166666664</v>
      </c>
      <c r="I45" s="2"/>
      <c r="J45" s="2">
        <v>1264.3152083333332</v>
      </c>
      <c r="K45" s="2">
        <v>1898.4507083333333</v>
      </c>
      <c r="L45" s="2">
        <v>1718.4780000000003</v>
      </c>
      <c r="M45" s="2">
        <v>43.59258333333333</v>
      </c>
      <c r="N45" s="31">
        <f t="shared" si="10"/>
        <v>9080.2702083333352</v>
      </c>
      <c r="O45" s="1">
        <v>1500</v>
      </c>
      <c r="P45" s="2">
        <v>685.125</v>
      </c>
      <c r="Q45" s="2">
        <v>5177.3487500000001</v>
      </c>
      <c r="R45" s="2"/>
      <c r="S45" s="1">
        <v>1755</v>
      </c>
      <c r="T45" s="1">
        <v>0</v>
      </c>
      <c r="U45" s="2">
        <v>5351.3948749999972</v>
      </c>
      <c r="V45" s="1">
        <v>0</v>
      </c>
      <c r="W45" s="36">
        <f t="shared" si="11"/>
        <v>14468.868624999999</v>
      </c>
    </row>
    <row r="46" spans="1:23" hidden="1" x14ac:dyDescent="0.3">
      <c r="A46" s="1">
        <f t="shared" si="8"/>
        <v>2025</v>
      </c>
      <c r="B46" s="52">
        <f t="shared" si="9"/>
        <v>45931</v>
      </c>
      <c r="C46" s="1">
        <v>31</v>
      </c>
      <c r="D46" s="1" t="s">
        <v>36</v>
      </c>
      <c r="E46" s="56">
        <f t="shared" si="12"/>
        <v>45952</v>
      </c>
      <c r="F46" s="2">
        <v>2523.0622083333333</v>
      </c>
      <c r="G46" s="2">
        <v>589.90679166666666</v>
      </c>
      <c r="H46" s="2">
        <v>825.74662499999999</v>
      </c>
      <c r="I46" s="2"/>
      <c r="J46" s="2">
        <v>1265.0495416666668</v>
      </c>
      <c r="K46" s="2">
        <v>1942.6127916666665</v>
      </c>
      <c r="L46" s="2">
        <v>2135.9422916666663</v>
      </c>
      <c r="M46" s="2">
        <v>31.373208333333334</v>
      </c>
      <c r="N46" s="31">
        <f t="shared" si="10"/>
        <v>9313.6934583333314</v>
      </c>
      <c r="O46" s="1">
        <v>1500</v>
      </c>
      <c r="P46" s="2">
        <v>685.125</v>
      </c>
      <c r="Q46" s="2">
        <v>5160.5050000000001</v>
      </c>
      <c r="R46" s="2"/>
      <c r="S46" s="1">
        <v>1755</v>
      </c>
      <c r="T46" s="1">
        <v>0</v>
      </c>
      <c r="U46" s="2">
        <v>5526.4818750000004</v>
      </c>
      <c r="V46" s="1">
        <v>0</v>
      </c>
      <c r="W46" s="36">
        <f t="shared" si="11"/>
        <v>14627.111875000002</v>
      </c>
    </row>
    <row r="47" spans="1:23" hidden="1" x14ac:dyDescent="0.3">
      <c r="A47" s="1">
        <f t="shared" si="8"/>
        <v>2025</v>
      </c>
      <c r="B47" s="52">
        <f t="shared" si="9"/>
        <v>45931</v>
      </c>
      <c r="C47" s="1">
        <v>31</v>
      </c>
      <c r="D47" s="1" t="s">
        <v>37</v>
      </c>
      <c r="E47" s="56">
        <f t="shared" si="12"/>
        <v>45953</v>
      </c>
      <c r="F47" s="2">
        <v>2414.4392499999999</v>
      </c>
      <c r="G47" s="2">
        <v>619.51108333333343</v>
      </c>
      <c r="H47" s="2">
        <v>1421.6879583333332</v>
      </c>
      <c r="I47" s="2"/>
      <c r="J47" s="2">
        <v>1262.5529166666668</v>
      </c>
      <c r="K47" s="2">
        <v>1527.1792083333335</v>
      </c>
      <c r="L47" s="2">
        <v>2490.3986666666679</v>
      </c>
      <c r="M47" s="2">
        <v>116.3305</v>
      </c>
      <c r="N47" s="31">
        <f t="shared" si="10"/>
        <v>9852.0995833333345</v>
      </c>
      <c r="O47" s="1">
        <v>1500</v>
      </c>
      <c r="P47" s="2">
        <v>659.17796874999999</v>
      </c>
      <c r="Q47" s="2">
        <v>5159.63</v>
      </c>
      <c r="R47" s="2"/>
      <c r="S47" s="1">
        <v>1755</v>
      </c>
      <c r="T47" s="1">
        <v>0</v>
      </c>
      <c r="U47" s="2">
        <v>5419.2482083333289</v>
      </c>
      <c r="V47" s="1">
        <v>0</v>
      </c>
      <c r="W47" s="36">
        <f t="shared" si="11"/>
        <v>14493.056177083328</v>
      </c>
    </row>
    <row r="48" spans="1:23" hidden="1" x14ac:dyDescent="0.3">
      <c r="A48" s="1">
        <f t="shared" si="8"/>
        <v>2025</v>
      </c>
      <c r="B48" s="52">
        <f t="shared" si="9"/>
        <v>45931</v>
      </c>
      <c r="C48" s="1">
        <v>31</v>
      </c>
      <c r="D48" s="1" t="s">
        <v>38</v>
      </c>
      <c r="E48" s="56">
        <f t="shared" si="12"/>
        <v>45954</v>
      </c>
      <c r="F48" s="2">
        <v>1876.8876666666667</v>
      </c>
      <c r="G48" s="2">
        <v>702.73062500000003</v>
      </c>
      <c r="H48" s="2">
        <v>1165.56025</v>
      </c>
      <c r="I48" s="2"/>
      <c r="J48" s="2">
        <v>1262.8144166666668</v>
      </c>
      <c r="K48" s="2">
        <v>1980.2460833333337</v>
      </c>
      <c r="L48" s="2">
        <v>2283.1088333333337</v>
      </c>
      <c r="M48" s="2">
        <v>44.822833333333328</v>
      </c>
      <c r="N48" s="31">
        <f t="shared" si="10"/>
        <v>9316.1707083333331</v>
      </c>
      <c r="O48" s="1">
        <v>1500</v>
      </c>
      <c r="P48" s="2">
        <v>780.15</v>
      </c>
      <c r="Q48" s="2">
        <v>5160.8550000000005</v>
      </c>
      <c r="R48" s="2"/>
      <c r="S48" s="1">
        <v>1755</v>
      </c>
      <c r="T48" s="1">
        <v>0</v>
      </c>
      <c r="U48" s="2">
        <v>5405.713874999994</v>
      </c>
      <c r="V48" s="1">
        <v>0</v>
      </c>
      <c r="W48" s="36">
        <f t="shared" si="11"/>
        <v>14601.718874999995</v>
      </c>
    </row>
    <row r="49" spans="1:23" hidden="1" x14ac:dyDescent="0.3">
      <c r="A49" s="1">
        <f t="shared" si="8"/>
        <v>2025</v>
      </c>
      <c r="B49" s="52">
        <f t="shared" si="9"/>
        <v>45931</v>
      </c>
      <c r="C49" s="1">
        <v>31</v>
      </c>
      <c r="D49" s="1" t="s">
        <v>39</v>
      </c>
      <c r="E49" s="56">
        <f t="shared" si="12"/>
        <v>45955</v>
      </c>
      <c r="F49" s="2">
        <v>1744.5016249999999</v>
      </c>
      <c r="G49" s="2">
        <v>695.61216666666678</v>
      </c>
      <c r="H49" s="2">
        <v>656.62429166666675</v>
      </c>
      <c r="I49" s="2"/>
      <c r="J49" s="2">
        <v>1263.8226666666665</v>
      </c>
      <c r="K49" s="2">
        <v>2043.4186666666671</v>
      </c>
      <c r="L49" s="2">
        <v>1650.0680833333331</v>
      </c>
      <c r="M49" s="2">
        <v>53.513333333333335</v>
      </c>
      <c r="N49" s="31">
        <f t="shared" si="10"/>
        <v>8107.5608333333339</v>
      </c>
      <c r="O49" s="1">
        <v>1500</v>
      </c>
      <c r="P49" s="2">
        <v>799.05000000000007</v>
      </c>
      <c r="Q49" s="2">
        <v>5162.9550000000008</v>
      </c>
      <c r="R49" s="2"/>
      <c r="S49" s="1">
        <v>1755</v>
      </c>
      <c r="T49" s="1">
        <v>0</v>
      </c>
      <c r="U49" s="2">
        <v>5307.8616249999968</v>
      </c>
      <c r="V49" s="1">
        <v>0</v>
      </c>
      <c r="W49" s="36">
        <f t="shared" si="11"/>
        <v>14524.866624999999</v>
      </c>
    </row>
    <row r="50" spans="1:23" hidden="1" x14ac:dyDescent="0.3">
      <c r="A50" s="1">
        <f t="shared" si="8"/>
        <v>2025</v>
      </c>
      <c r="B50" s="52">
        <f t="shared" si="9"/>
        <v>45931</v>
      </c>
      <c r="C50" s="1">
        <v>31</v>
      </c>
      <c r="D50" s="1" t="s">
        <v>40</v>
      </c>
      <c r="E50" s="56">
        <f t="shared" si="12"/>
        <v>45956</v>
      </c>
      <c r="F50" s="2">
        <v>1473.0951666666667</v>
      </c>
      <c r="G50" s="2">
        <v>718.37075000000004</v>
      </c>
      <c r="H50" s="2">
        <v>588.59608333333347</v>
      </c>
      <c r="I50" s="2"/>
      <c r="J50" s="2">
        <v>1264.2735416666665</v>
      </c>
      <c r="K50" s="2">
        <v>2153.6209999999987</v>
      </c>
      <c r="L50" s="2">
        <v>1525.2332916666667</v>
      </c>
      <c r="M50" s="2">
        <v>26.573374999999999</v>
      </c>
      <c r="N50" s="31">
        <f t="shared" si="10"/>
        <v>7749.7632083333319</v>
      </c>
      <c r="O50" s="1">
        <v>1500</v>
      </c>
      <c r="P50" s="2">
        <v>885.15000000000009</v>
      </c>
      <c r="Q50" s="2">
        <v>5166.2800000000007</v>
      </c>
      <c r="R50" s="2"/>
      <c r="S50" s="1">
        <v>1755</v>
      </c>
      <c r="T50" s="1">
        <v>0</v>
      </c>
      <c r="U50" s="2">
        <v>5449.886958333328</v>
      </c>
      <c r="V50" s="1">
        <v>0</v>
      </c>
      <c r="W50" s="36">
        <f t="shared" si="11"/>
        <v>14756.316958333329</v>
      </c>
    </row>
    <row r="51" spans="1:23" hidden="1" x14ac:dyDescent="0.3">
      <c r="A51" s="1">
        <f t="shared" si="8"/>
        <v>2025</v>
      </c>
      <c r="B51" s="52">
        <f t="shared" si="9"/>
        <v>45931</v>
      </c>
      <c r="C51" s="1">
        <v>31</v>
      </c>
      <c r="D51" s="1" t="s">
        <v>41</v>
      </c>
      <c r="E51" s="56">
        <f t="shared" si="12"/>
        <v>45957</v>
      </c>
      <c r="F51" s="2">
        <v>1735.6575833333334</v>
      </c>
      <c r="G51" s="2">
        <v>773.94029166666667</v>
      </c>
      <c r="H51" s="2">
        <v>1071.6371249999997</v>
      </c>
      <c r="I51" s="2"/>
      <c r="J51" s="2">
        <v>1267.0185833333335</v>
      </c>
      <c r="K51" s="2">
        <v>1583.8024999999993</v>
      </c>
      <c r="L51" s="2">
        <v>2137.3617916666658</v>
      </c>
      <c r="M51" s="2">
        <v>57.225666666666669</v>
      </c>
      <c r="N51" s="31">
        <f t="shared" si="10"/>
        <v>8626.6435416666664</v>
      </c>
      <c r="O51" s="1">
        <v>1500</v>
      </c>
      <c r="P51" s="2">
        <v>855.01281250000011</v>
      </c>
      <c r="Q51" s="2">
        <v>4850.317500000001</v>
      </c>
      <c r="R51" s="2"/>
      <c r="S51" s="1">
        <v>1755</v>
      </c>
      <c r="T51" s="1">
        <v>0</v>
      </c>
      <c r="U51" s="2">
        <v>5044.1729583333299</v>
      </c>
      <c r="V51" s="1">
        <v>0</v>
      </c>
      <c r="W51" s="36">
        <f t="shared" si="11"/>
        <v>14004.503270833331</v>
      </c>
    </row>
    <row r="52" spans="1:23" hidden="1" x14ac:dyDescent="0.3">
      <c r="A52" s="1">
        <f t="shared" si="8"/>
        <v>2025</v>
      </c>
      <c r="B52" s="52">
        <f t="shared" si="9"/>
        <v>45931</v>
      </c>
      <c r="C52" s="1">
        <v>31</v>
      </c>
      <c r="D52" s="1" t="s">
        <v>42</v>
      </c>
      <c r="E52" s="56">
        <f t="shared" si="12"/>
        <v>45958</v>
      </c>
      <c r="F52" s="2">
        <v>2050.6737083333333</v>
      </c>
      <c r="G52" s="2">
        <v>806.56899999999996</v>
      </c>
      <c r="H52" s="2">
        <v>1010.1274166666669</v>
      </c>
      <c r="I52" s="2"/>
      <c r="J52" s="2">
        <v>1269.3744999999999</v>
      </c>
      <c r="K52" s="2">
        <v>1645.4473333333331</v>
      </c>
      <c r="L52" s="2">
        <v>2314.214833333333</v>
      </c>
      <c r="M52" s="2">
        <v>39.443541666666668</v>
      </c>
      <c r="N52" s="31">
        <f t="shared" si="10"/>
        <v>9135.8503333333338</v>
      </c>
      <c r="O52" s="1">
        <v>1500</v>
      </c>
      <c r="P52" s="2">
        <v>882.52500000000009</v>
      </c>
      <c r="Q52" s="2">
        <v>4715.7416249999997</v>
      </c>
      <c r="R52" s="2"/>
      <c r="S52" s="1">
        <v>1755</v>
      </c>
      <c r="T52" s="1">
        <v>0</v>
      </c>
      <c r="U52" s="2">
        <v>4911.6970833333289</v>
      </c>
      <c r="V52" s="1">
        <v>0</v>
      </c>
      <c r="W52" s="36">
        <f t="shared" si="11"/>
        <v>13764.963708333329</v>
      </c>
    </row>
    <row r="53" spans="1:23" hidden="1" x14ac:dyDescent="0.3">
      <c r="A53" s="1">
        <f t="shared" si="8"/>
        <v>2025</v>
      </c>
      <c r="B53" s="52">
        <f t="shared" si="9"/>
        <v>45931</v>
      </c>
      <c r="C53" s="1">
        <v>31</v>
      </c>
      <c r="D53" s="1" t="s">
        <v>36</v>
      </c>
      <c r="E53" s="56">
        <f t="shared" si="12"/>
        <v>45959</v>
      </c>
      <c r="F53" s="2">
        <v>2058.9445000000001</v>
      </c>
      <c r="G53" s="2">
        <v>782.96337499999993</v>
      </c>
      <c r="H53" s="2">
        <v>948.09316666666689</v>
      </c>
      <c r="I53" s="2"/>
      <c r="J53" s="2">
        <v>1267.3796666666667</v>
      </c>
      <c r="K53" s="2">
        <v>1989.7935833333336</v>
      </c>
      <c r="L53" s="2">
        <v>1976.7209583333336</v>
      </c>
      <c r="M53" s="2">
        <v>29.526499999999999</v>
      </c>
      <c r="N53" s="31">
        <f t="shared" si="10"/>
        <v>9053.4217500000013</v>
      </c>
      <c r="O53" s="1">
        <v>1500</v>
      </c>
      <c r="P53" s="2">
        <v>868.72734375000005</v>
      </c>
      <c r="Q53" s="2">
        <v>4691.96</v>
      </c>
      <c r="R53" s="2"/>
      <c r="S53" s="1">
        <v>1755</v>
      </c>
      <c r="T53" s="1">
        <v>0</v>
      </c>
      <c r="U53" s="2">
        <v>4573.7434166666671</v>
      </c>
      <c r="V53" s="1">
        <v>0</v>
      </c>
      <c r="W53" s="36">
        <f t="shared" si="11"/>
        <v>13389.430760416668</v>
      </c>
    </row>
    <row r="54" spans="1:23" hidden="1" x14ac:dyDescent="0.3">
      <c r="A54" s="1">
        <f t="shared" si="8"/>
        <v>2025</v>
      </c>
      <c r="B54" s="52">
        <f t="shared" si="9"/>
        <v>45931</v>
      </c>
      <c r="C54" s="1">
        <v>31</v>
      </c>
      <c r="D54" s="1" t="s">
        <v>37</v>
      </c>
      <c r="E54" s="56">
        <f t="shared" si="12"/>
        <v>45960</v>
      </c>
      <c r="F54" s="2">
        <v>2046.6908333333333</v>
      </c>
      <c r="G54" s="2">
        <v>595.74250000000006</v>
      </c>
      <c r="H54" s="2">
        <v>522.47512499999993</v>
      </c>
      <c r="I54" s="2"/>
      <c r="J54" s="2">
        <v>1268.0439583333332</v>
      </c>
      <c r="K54" s="2">
        <v>2237.1657499999992</v>
      </c>
      <c r="L54" s="2">
        <v>1856.9994999999999</v>
      </c>
      <c r="M54" s="2">
        <v>19.277791666666666</v>
      </c>
      <c r="N54" s="31">
        <f t="shared" si="10"/>
        <v>8546.3954583333325</v>
      </c>
      <c r="O54" s="1">
        <v>1500</v>
      </c>
      <c r="P54" s="2">
        <v>844.2</v>
      </c>
      <c r="Q54" s="2">
        <v>4699.0999999999995</v>
      </c>
      <c r="R54" s="2"/>
      <c r="S54" s="1">
        <v>1755</v>
      </c>
      <c r="T54" s="1">
        <v>0</v>
      </c>
      <c r="U54" s="2">
        <v>4722.4447083333307</v>
      </c>
      <c r="V54" s="1">
        <v>0</v>
      </c>
      <c r="W54" s="36">
        <f t="shared" si="11"/>
        <v>13520.74470833333</v>
      </c>
    </row>
    <row r="55" spans="1:23" hidden="1" x14ac:dyDescent="0.3">
      <c r="A55" s="1">
        <f t="shared" si="8"/>
        <v>2025</v>
      </c>
      <c r="B55" s="52">
        <f t="shared" si="9"/>
        <v>45931</v>
      </c>
      <c r="C55" s="1">
        <v>31</v>
      </c>
      <c r="D55" s="1" t="s">
        <v>38</v>
      </c>
      <c r="E55" s="56">
        <f t="shared" si="12"/>
        <v>45961</v>
      </c>
      <c r="F55" s="2">
        <v>2095.6782500000004</v>
      </c>
      <c r="G55" s="2">
        <v>657.10520833333351</v>
      </c>
      <c r="H55" s="2">
        <v>516.52708333333328</v>
      </c>
      <c r="I55" s="2"/>
      <c r="J55" s="2">
        <v>1267.4594583333335</v>
      </c>
      <c r="K55" s="2">
        <v>2283.1108333333341</v>
      </c>
      <c r="L55" s="2">
        <v>1707.1943750000003</v>
      </c>
      <c r="M55" s="2">
        <v>17.609166666666667</v>
      </c>
      <c r="N55" s="31">
        <f t="shared" si="10"/>
        <v>8544.6843750000025</v>
      </c>
      <c r="O55" s="1">
        <v>1500</v>
      </c>
      <c r="P55" s="2">
        <v>850.5</v>
      </c>
      <c r="Q55" s="2">
        <v>4727.6425000000008</v>
      </c>
      <c r="R55" s="2"/>
      <c r="S55" s="1">
        <v>1755</v>
      </c>
      <c r="T55" s="1">
        <v>0</v>
      </c>
      <c r="U55" s="2">
        <v>5142.6631249999982</v>
      </c>
      <c r="V55" s="1">
        <v>0</v>
      </c>
      <c r="W55" s="36">
        <f t="shared" si="11"/>
        <v>13975.805625000001</v>
      </c>
    </row>
    <row r="56" spans="1:23" hidden="1" x14ac:dyDescent="0.3">
      <c r="A56" s="1">
        <f t="shared" si="8"/>
        <v>2025</v>
      </c>
      <c r="B56" s="52">
        <f t="shared" si="9"/>
        <v>45962</v>
      </c>
      <c r="C56" s="1">
        <v>30</v>
      </c>
      <c r="D56" s="1" t="s">
        <v>39</v>
      </c>
      <c r="E56" s="56">
        <v>45962</v>
      </c>
      <c r="F56" s="2">
        <v>2209.0850416666667</v>
      </c>
      <c r="G56" s="2">
        <v>321.88920833333333</v>
      </c>
      <c r="H56" s="2">
        <v>697.51737500000002</v>
      </c>
      <c r="I56" s="2"/>
      <c r="J56" s="2">
        <v>1266.7246666666667</v>
      </c>
      <c r="K56" s="2">
        <v>2017.0350833333334</v>
      </c>
      <c r="L56" s="2">
        <v>1499.8579166666671</v>
      </c>
      <c r="M56" s="2">
        <v>13.44754166666667</v>
      </c>
      <c r="N56" s="31">
        <f t="shared" si="10"/>
        <v>8025.5568333333331</v>
      </c>
      <c r="O56" s="1">
        <v>1500</v>
      </c>
      <c r="P56" s="2">
        <v>831.07500000000005</v>
      </c>
      <c r="Q56" s="2">
        <v>4763.8893750000007</v>
      </c>
      <c r="R56" s="2"/>
      <c r="S56" s="2">
        <v>1755</v>
      </c>
      <c r="T56" s="2">
        <v>0</v>
      </c>
      <c r="U56" s="2">
        <v>5101.2880833333311</v>
      </c>
      <c r="V56" s="2">
        <v>0</v>
      </c>
      <c r="W56" s="36">
        <f>+SUM(O56:V56)</f>
        <v>13951.252458333331</v>
      </c>
    </row>
    <row r="57" spans="1:23" hidden="1" x14ac:dyDescent="0.3">
      <c r="A57" s="1">
        <f t="shared" si="8"/>
        <v>2025</v>
      </c>
      <c r="B57" s="52">
        <f t="shared" si="9"/>
        <v>45962</v>
      </c>
      <c r="C57" s="1">
        <v>30</v>
      </c>
      <c r="D57" s="1" t="s">
        <v>40</v>
      </c>
      <c r="E57" s="56">
        <v>45963</v>
      </c>
      <c r="F57" s="2">
        <v>1940.7099166666665</v>
      </c>
      <c r="G57" s="2">
        <v>181.67550000000006</v>
      </c>
      <c r="H57" s="2">
        <v>685.36641666666674</v>
      </c>
      <c r="I57" s="2"/>
      <c r="J57" s="2">
        <v>1268.5178333333336</v>
      </c>
      <c r="K57" s="2">
        <v>1604.6535416666675</v>
      </c>
      <c r="L57" s="2">
        <v>1644.6367083333334</v>
      </c>
      <c r="M57" s="2">
        <v>12.637541666666667</v>
      </c>
      <c r="N57" s="31">
        <f t="shared" si="10"/>
        <v>7338.1974583333349</v>
      </c>
      <c r="O57" s="1">
        <v>1500</v>
      </c>
      <c r="P57" s="2">
        <v>799.57500000000005</v>
      </c>
      <c r="Q57" s="2">
        <v>4958.6862500000007</v>
      </c>
      <c r="R57" s="2"/>
      <c r="S57" s="2">
        <v>1755</v>
      </c>
      <c r="T57" s="2">
        <v>0</v>
      </c>
      <c r="U57" s="2">
        <v>5145.2361666666684</v>
      </c>
      <c r="V57" s="2">
        <v>0</v>
      </c>
      <c r="W57" s="36">
        <f t="shared" ref="W57:W120" si="13">+SUM(O57:V57)</f>
        <v>14158.497416666669</v>
      </c>
    </row>
    <row r="58" spans="1:23" hidden="1" x14ac:dyDescent="0.3">
      <c r="A58" s="1">
        <f t="shared" si="8"/>
        <v>2025</v>
      </c>
      <c r="B58" s="52">
        <f t="shared" si="9"/>
        <v>45962</v>
      </c>
      <c r="C58" s="1">
        <v>30</v>
      </c>
      <c r="D58" s="1" t="s">
        <v>41</v>
      </c>
      <c r="E58" s="56">
        <v>45964</v>
      </c>
      <c r="F58" s="2">
        <v>2566.9222916666672</v>
      </c>
      <c r="G58" s="2">
        <v>742.09762499999988</v>
      </c>
      <c r="H58" s="2">
        <v>1171.6897916666667</v>
      </c>
      <c r="I58" s="2"/>
      <c r="J58" s="2">
        <v>1263.4837499999999</v>
      </c>
      <c r="K58" s="2">
        <v>1371.3671249999993</v>
      </c>
      <c r="L58" s="2">
        <v>2205.5945416666659</v>
      </c>
      <c r="M58" s="2">
        <v>19.22045833333333</v>
      </c>
      <c r="N58" s="31">
        <f t="shared" si="10"/>
        <v>9340.3755833333307</v>
      </c>
      <c r="O58" s="1">
        <v>1500</v>
      </c>
      <c r="P58" s="2">
        <v>862.21843749999994</v>
      </c>
      <c r="Q58" s="2">
        <v>5174.4612500000003</v>
      </c>
      <c r="R58" s="2"/>
      <c r="S58" s="2">
        <v>1755</v>
      </c>
      <c r="T58" s="2">
        <v>0</v>
      </c>
      <c r="U58" s="2">
        <v>5164.9814583333291</v>
      </c>
      <c r="V58" s="2">
        <v>0</v>
      </c>
      <c r="W58" s="36">
        <f t="shared" si="13"/>
        <v>14456.661145833328</v>
      </c>
    </row>
    <row r="59" spans="1:23" hidden="1" x14ac:dyDescent="0.3">
      <c r="A59" s="1">
        <f t="shared" si="8"/>
        <v>2025</v>
      </c>
      <c r="B59" s="52">
        <f t="shared" si="9"/>
        <v>45962</v>
      </c>
      <c r="C59" s="1">
        <v>30</v>
      </c>
      <c r="D59" s="1" t="s">
        <v>42</v>
      </c>
      <c r="E59" s="56">
        <v>45965</v>
      </c>
      <c r="F59" s="2">
        <v>2120.2240416666668</v>
      </c>
      <c r="G59" s="2">
        <v>804.13141666666661</v>
      </c>
      <c r="H59" s="2">
        <v>1297.0475416666666</v>
      </c>
      <c r="I59" s="2"/>
      <c r="J59" s="2">
        <v>1266.0334166666669</v>
      </c>
      <c r="K59" s="2">
        <v>1669.3403333333338</v>
      </c>
      <c r="L59" s="2">
        <v>2117.4936250000001</v>
      </c>
      <c r="M59" s="2">
        <v>47.099333333333334</v>
      </c>
      <c r="N59" s="31">
        <f t="shared" si="10"/>
        <v>9321.3697083333336</v>
      </c>
      <c r="O59" s="1">
        <v>1500</v>
      </c>
      <c r="P59" s="2">
        <v>884.10831250000012</v>
      </c>
      <c r="Q59" s="2">
        <v>5172.0331249999999</v>
      </c>
      <c r="R59" s="2"/>
      <c r="S59" s="2">
        <v>1755</v>
      </c>
      <c r="T59" s="2">
        <v>0</v>
      </c>
      <c r="U59" s="2">
        <v>5235.2733333333299</v>
      </c>
      <c r="V59" s="2">
        <v>0</v>
      </c>
      <c r="W59" s="36">
        <f t="shared" si="13"/>
        <v>14546.414770833329</v>
      </c>
    </row>
    <row r="60" spans="1:23" hidden="1" x14ac:dyDescent="0.3">
      <c r="A60" s="1">
        <f t="shared" si="8"/>
        <v>2025</v>
      </c>
      <c r="B60" s="52">
        <f t="shared" si="9"/>
        <v>45962</v>
      </c>
      <c r="C60" s="1">
        <v>30</v>
      </c>
      <c r="D60" s="1" t="s">
        <v>36</v>
      </c>
      <c r="E60" s="56">
        <v>45966</v>
      </c>
      <c r="F60" s="2">
        <v>2221.3129166666663</v>
      </c>
      <c r="G60" s="2">
        <v>799.91750000000013</v>
      </c>
      <c r="H60" s="2">
        <v>990.32899999999995</v>
      </c>
      <c r="I60" s="2"/>
      <c r="J60" s="2">
        <v>1265.6610000000001</v>
      </c>
      <c r="K60" s="2">
        <v>1646.7939583333336</v>
      </c>
      <c r="L60" s="2">
        <v>1572.1316250000002</v>
      </c>
      <c r="M60" s="2">
        <v>57.503583333333324</v>
      </c>
      <c r="N60" s="31">
        <f t="shared" si="10"/>
        <v>8553.6495833333338</v>
      </c>
      <c r="O60" s="1">
        <v>1500</v>
      </c>
      <c r="P60" s="2">
        <v>866.55690625</v>
      </c>
      <c r="Q60" s="2">
        <v>5047.6194999999998</v>
      </c>
      <c r="R60" s="2"/>
      <c r="S60" s="2">
        <v>1755</v>
      </c>
      <c r="T60" s="2">
        <v>0</v>
      </c>
      <c r="U60" s="2">
        <v>5238.7988333333296</v>
      </c>
      <c r="V60" s="2">
        <v>0</v>
      </c>
      <c r="W60" s="36">
        <f t="shared" si="13"/>
        <v>14407.975239583331</v>
      </c>
    </row>
    <row r="61" spans="1:23" hidden="1" x14ac:dyDescent="0.3">
      <c r="A61" s="1">
        <f t="shared" si="8"/>
        <v>2025</v>
      </c>
      <c r="B61" s="52">
        <f t="shared" si="9"/>
        <v>45962</v>
      </c>
      <c r="C61" s="1">
        <v>30</v>
      </c>
      <c r="D61" s="1" t="s">
        <v>37</v>
      </c>
      <c r="E61" s="56">
        <v>45967</v>
      </c>
      <c r="F61" s="2">
        <v>2147.821375</v>
      </c>
      <c r="G61" s="2">
        <v>787.64300000000014</v>
      </c>
      <c r="H61" s="2">
        <v>837.57120833333329</v>
      </c>
      <c r="I61" s="2"/>
      <c r="J61" s="2">
        <v>1265.941875</v>
      </c>
      <c r="K61" s="2">
        <v>1514.5848333333327</v>
      </c>
      <c r="L61" s="2">
        <v>1761.9134583333334</v>
      </c>
      <c r="M61" s="2">
        <v>38.018708333333336</v>
      </c>
      <c r="N61" s="31">
        <f t="shared" si="10"/>
        <v>8353.4944583333308</v>
      </c>
      <c r="O61" s="1">
        <v>1500</v>
      </c>
      <c r="P61" s="2">
        <v>895.125</v>
      </c>
      <c r="Q61" s="2">
        <v>4908.7937500000007</v>
      </c>
      <c r="R61" s="2"/>
      <c r="S61" s="2">
        <v>1755</v>
      </c>
      <c r="T61" s="2">
        <v>0</v>
      </c>
      <c r="U61" s="2">
        <v>5394.4888749999964</v>
      </c>
      <c r="V61" s="2">
        <v>0</v>
      </c>
      <c r="W61" s="36">
        <f t="shared" si="13"/>
        <v>14453.407624999996</v>
      </c>
    </row>
    <row r="62" spans="1:23" hidden="1" x14ac:dyDescent="0.3">
      <c r="A62" s="1">
        <f t="shared" si="8"/>
        <v>2025</v>
      </c>
      <c r="B62" s="52">
        <f t="shared" si="9"/>
        <v>45962</v>
      </c>
      <c r="C62" s="1">
        <v>30</v>
      </c>
      <c r="D62" s="1" t="s">
        <v>49</v>
      </c>
      <c r="E62" s="56">
        <v>45968</v>
      </c>
      <c r="F62" s="2">
        <v>2202.98</v>
      </c>
      <c r="G62" s="2">
        <v>769.01133333333348</v>
      </c>
      <c r="H62" s="2">
        <v>822.90487499999995</v>
      </c>
      <c r="I62" s="2"/>
      <c r="J62" s="2">
        <v>1261.0497500000001</v>
      </c>
      <c r="K62" s="2">
        <v>1312.7663333333335</v>
      </c>
      <c r="L62" s="2">
        <v>2052.2767500000004</v>
      </c>
      <c r="M62" s="2">
        <v>45.161875000000002</v>
      </c>
      <c r="N62" s="31">
        <f t="shared" si="10"/>
        <v>8466.1509166666674</v>
      </c>
      <c r="O62" s="1">
        <v>1500</v>
      </c>
      <c r="P62" s="2">
        <v>883.2131875</v>
      </c>
      <c r="Q62" s="2">
        <v>5105.8175000000001</v>
      </c>
      <c r="R62" s="2"/>
      <c r="S62" s="2">
        <v>1755</v>
      </c>
      <c r="T62" s="2">
        <v>0</v>
      </c>
      <c r="U62" s="2">
        <v>5449.7765833333297</v>
      </c>
      <c r="V62" s="2">
        <v>0</v>
      </c>
      <c r="W62" s="36">
        <f t="shared" si="13"/>
        <v>14693.807270833331</v>
      </c>
    </row>
    <row r="63" spans="1:23" hidden="1" x14ac:dyDescent="0.3">
      <c r="A63" s="1">
        <f t="shared" si="8"/>
        <v>2025</v>
      </c>
      <c r="B63" s="52">
        <f t="shared" si="9"/>
        <v>45962</v>
      </c>
      <c r="C63" s="1">
        <v>30</v>
      </c>
      <c r="D63" s="1" t="s">
        <v>43</v>
      </c>
      <c r="E63" s="56">
        <v>45969</v>
      </c>
      <c r="F63" s="2">
        <v>2482.1983750000004</v>
      </c>
      <c r="G63" s="2">
        <v>736.43033333333324</v>
      </c>
      <c r="H63" s="2">
        <v>711.33679166666673</v>
      </c>
      <c r="I63" s="2"/>
      <c r="J63" s="2">
        <v>1266.0702916666667</v>
      </c>
      <c r="K63" s="2">
        <v>1080.0503749999996</v>
      </c>
      <c r="L63" s="2">
        <v>1843.7426250000003</v>
      </c>
      <c r="M63" s="2">
        <v>35.545166666666667</v>
      </c>
      <c r="N63" s="31">
        <f t="shared" si="10"/>
        <v>8155.3739583333336</v>
      </c>
      <c r="O63" s="1">
        <v>1500</v>
      </c>
      <c r="P63" s="2">
        <v>884.70375000000001</v>
      </c>
      <c r="Q63" s="2">
        <v>5093.130000000001</v>
      </c>
      <c r="R63" s="2"/>
      <c r="S63" s="2">
        <v>1755</v>
      </c>
      <c r="T63" s="2">
        <v>0</v>
      </c>
      <c r="U63" s="2">
        <v>5468.7401666666628</v>
      </c>
      <c r="V63" s="2">
        <v>0</v>
      </c>
      <c r="W63" s="36">
        <f t="shared" si="13"/>
        <v>14701.573916666664</v>
      </c>
    </row>
    <row r="64" spans="1:23" hidden="1" x14ac:dyDescent="0.3">
      <c r="A64" s="1">
        <f t="shared" si="8"/>
        <v>2025</v>
      </c>
      <c r="B64" s="52">
        <f t="shared" si="9"/>
        <v>45962</v>
      </c>
      <c r="C64" s="1">
        <v>30</v>
      </c>
      <c r="D64" s="1" t="s">
        <v>44</v>
      </c>
      <c r="E64" s="56">
        <v>45970</v>
      </c>
      <c r="F64" s="2">
        <v>2482.1747083333335</v>
      </c>
      <c r="G64" s="2">
        <v>697.45429166666679</v>
      </c>
      <c r="H64" s="2">
        <v>667.476</v>
      </c>
      <c r="I64" s="2"/>
      <c r="J64" s="2">
        <v>1264.5536666666667</v>
      </c>
      <c r="K64" s="2">
        <v>1179.0225833333336</v>
      </c>
      <c r="L64" s="2">
        <v>1497.2532916666664</v>
      </c>
      <c r="M64" s="2">
        <v>17.823583333333332</v>
      </c>
      <c r="N64" s="31">
        <f t="shared" si="10"/>
        <v>7805.7581250000012</v>
      </c>
      <c r="O64" s="1">
        <v>1500</v>
      </c>
      <c r="P64" s="2">
        <v>896.7</v>
      </c>
      <c r="Q64" s="2">
        <v>5097.505000000001</v>
      </c>
      <c r="R64" s="2"/>
      <c r="S64" s="2">
        <v>1755</v>
      </c>
      <c r="T64" s="2">
        <v>0</v>
      </c>
      <c r="U64" s="2">
        <v>5364.1028749999959</v>
      </c>
      <c r="V64" s="2">
        <v>0</v>
      </c>
      <c r="W64" s="36">
        <f t="shared" si="13"/>
        <v>14613.307874999999</v>
      </c>
    </row>
    <row r="65" spans="1:23" hidden="1" x14ac:dyDescent="0.3">
      <c r="A65" s="1">
        <f t="shared" si="8"/>
        <v>2025</v>
      </c>
      <c r="B65" s="52">
        <f t="shared" si="9"/>
        <v>45962</v>
      </c>
      <c r="C65" s="1">
        <v>30</v>
      </c>
      <c r="D65" s="1" t="s">
        <v>45</v>
      </c>
      <c r="E65" s="56">
        <v>45971</v>
      </c>
      <c r="F65" s="2">
        <v>2279.4451666666669</v>
      </c>
      <c r="G65" s="2">
        <v>528.70633333333342</v>
      </c>
      <c r="H65" s="2">
        <v>1030.4401250000001</v>
      </c>
      <c r="I65" s="2"/>
      <c r="J65" s="2">
        <v>1265.5862500000001</v>
      </c>
      <c r="K65" s="2">
        <v>1565.40175</v>
      </c>
      <c r="L65" s="2">
        <v>2054.1979583333332</v>
      </c>
      <c r="M65" s="2">
        <v>16.77825</v>
      </c>
      <c r="N65" s="31">
        <f t="shared" si="10"/>
        <v>8740.555833333332</v>
      </c>
      <c r="O65" s="1">
        <v>1500</v>
      </c>
      <c r="P65" s="2">
        <v>824.43943750000005</v>
      </c>
      <c r="Q65" s="2">
        <v>5202.3794374999998</v>
      </c>
      <c r="R65" s="2"/>
      <c r="S65" s="2">
        <v>1755</v>
      </c>
      <c r="T65" s="2">
        <v>0</v>
      </c>
      <c r="U65" s="2">
        <v>5500.234249999995</v>
      </c>
      <c r="V65" s="2">
        <v>0</v>
      </c>
      <c r="W65" s="36">
        <f t="shared" si="13"/>
        <v>14782.053124999995</v>
      </c>
    </row>
    <row r="66" spans="1:23" hidden="1" x14ac:dyDescent="0.3">
      <c r="A66" s="1">
        <f t="shared" si="8"/>
        <v>2025</v>
      </c>
      <c r="B66" s="52">
        <f t="shared" si="9"/>
        <v>45962</v>
      </c>
      <c r="C66" s="1">
        <v>30</v>
      </c>
      <c r="D66" s="1" t="s">
        <v>46</v>
      </c>
      <c r="E66" s="56">
        <v>45972</v>
      </c>
      <c r="F66" s="2">
        <v>2052.6205416666667</v>
      </c>
      <c r="G66" s="2">
        <v>545.69870833333357</v>
      </c>
      <c r="H66" s="2">
        <v>903.86729166666669</v>
      </c>
      <c r="I66" s="2"/>
      <c r="J66" s="2">
        <v>1264.9766666666669</v>
      </c>
      <c r="K66" s="2">
        <v>2078.4276666666683</v>
      </c>
      <c r="L66" s="2">
        <v>2387.0550833333332</v>
      </c>
      <c r="M66" s="2">
        <v>34.465125</v>
      </c>
      <c r="N66" s="31">
        <f t="shared" si="10"/>
        <v>9267.111083333335</v>
      </c>
      <c r="O66" s="1">
        <v>1500</v>
      </c>
      <c r="P66" s="2">
        <v>759.67500000000007</v>
      </c>
      <c r="Q66" s="2">
        <v>5377.0710000000008</v>
      </c>
      <c r="R66" s="2"/>
      <c r="S66" s="2">
        <v>1755</v>
      </c>
      <c r="T66" s="2">
        <v>0</v>
      </c>
      <c r="U66" s="2">
        <v>5695.0132499999945</v>
      </c>
      <c r="V66" s="2">
        <v>0</v>
      </c>
      <c r="W66" s="36">
        <f t="shared" si="13"/>
        <v>15086.759249999996</v>
      </c>
    </row>
    <row r="67" spans="1:23" hidden="1" x14ac:dyDescent="0.3">
      <c r="A67" s="1">
        <f t="shared" si="8"/>
        <v>2025</v>
      </c>
      <c r="B67" s="52">
        <f t="shared" si="9"/>
        <v>45962</v>
      </c>
      <c r="C67" s="1">
        <v>30</v>
      </c>
      <c r="D67" s="1" t="s">
        <v>47</v>
      </c>
      <c r="E67" s="56">
        <v>45973</v>
      </c>
      <c r="F67" s="2">
        <v>2323.6917500000004</v>
      </c>
      <c r="G67" s="2">
        <v>578.19604166666659</v>
      </c>
      <c r="H67" s="2">
        <v>738.87899999999991</v>
      </c>
      <c r="I67" s="2"/>
      <c r="J67" s="2">
        <v>1264.8065833333335</v>
      </c>
      <c r="K67" s="2">
        <v>2181.3360000000021</v>
      </c>
      <c r="L67" s="2">
        <v>2099.260291666666</v>
      </c>
      <c r="M67" s="2">
        <v>33.297874999999998</v>
      </c>
      <c r="N67" s="31">
        <f t="shared" si="10"/>
        <v>9219.4675416666687</v>
      </c>
      <c r="O67" s="1">
        <v>1500</v>
      </c>
      <c r="P67" s="2">
        <v>790.04909375</v>
      </c>
      <c r="Q67" s="2">
        <v>5367.8913750000002</v>
      </c>
      <c r="R67" s="2"/>
      <c r="S67" s="2">
        <v>1755</v>
      </c>
      <c r="T67" s="2">
        <v>0</v>
      </c>
      <c r="U67" s="2">
        <v>5698.4673749999974</v>
      </c>
      <c r="V67" s="2">
        <v>0</v>
      </c>
      <c r="W67" s="36">
        <f t="shared" si="13"/>
        <v>15111.407843749996</v>
      </c>
    </row>
    <row r="68" spans="1:23" hidden="1" x14ac:dyDescent="0.3">
      <c r="A68" s="1">
        <f t="shared" si="8"/>
        <v>2025</v>
      </c>
      <c r="B68" s="52">
        <f t="shared" si="9"/>
        <v>45962</v>
      </c>
      <c r="C68" s="1">
        <v>30</v>
      </c>
      <c r="D68" s="1" t="s">
        <v>48</v>
      </c>
      <c r="E68" s="56">
        <v>45974</v>
      </c>
      <c r="F68" s="2">
        <v>2158.3892083333335</v>
      </c>
      <c r="G68" s="2">
        <v>725.56462500000009</v>
      </c>
      <c r="H68" s="2">
        <v>1107.8097916666668</v>
      </c>
      <c r="I68" s="2"/>
      <c r="J68" s="2">
        <v>1262.6969583333334</v>
      </c>
      <c r="K68" s="2">
        <v>1956.3047500000002</v>
      </c>
      <c r="L68" s="2">
        <v>2029.1976666666665</v>
      </c>
      <c r="M68" s="2">
        <v>16.803875000000001</v>
      </c>
      <c r="N68" s="31">
        <f t="shared" si="10"/>
        <v>9256.7668749999993</v>
      </c>
      <c r="O68" s="1">
        <v>1500</v>
      </c>
      <c r="P68" s="2">
        <v>847.35</v>
      </c>
      <c r="Q68" s="2">
        <v>5375.4050000000007</v>
      </c>
      <c r="R68" s="2"/>
      <c r="S68" s="2">
        <v>1755</v>
      </c>
      <c r="T68" s="2">
        <v>0</v>
      </c>
      <c r="U68" s="2">
        <v>5783.5693333333284</v>
      </c>
      <c r="V68" s="2">
        <v>0</v>
      </c>
      <c r="W68" s="36">
        <f t="shared" si="13"/>
        <v>15261.32433333333</v>
      </c>
    </row>
    <row r="69" spans="1:23" hidden="1" x14ac:dyDescent="0.3">
      <c r="A69" s="1">
        <f t="shared" si="8"/>
        <v>2025</v>
      </c>
      <c r="B69" s="52">
        <f t="shared" si="9"/>
        <v>45962</v>
      </c>
      <c r="C69" s="1">
        <v>30</v>
      </c>
      <c r="D69" s="1" t="s">
        <v>49</v>
      </c>
      <c r="E69" s="56">
        <v>45975</v>
      </c>
      <c r="F69" s="2">
        <v>1988.4159166666668</v>
      </c>
      <c r="G69" s="2">
        <v>771.82733333333329</v>
      </c>
      <c r="H69" s="2">
        <v>1233.4422500000001</v>
      </c>
      <c r="I69" s="2"/>
      <c r="J69" s="2">
        <v>1262.3854583333332</v>
      </c>
      <c r="K69" s="2">
        <v>2417.9016249999977</v>
      </c>
      <c r="L69" s="2">
        <v>2044.3482083333333</v>
      </c>
      <c r="M69" s="2">
        <v>22.129666666666665</v>
      </c>
      <c r="N69" s="31">
        <f t="shared" si="10"/>
        <v>9740.450458333331</v>
      </c>
      <c r="O69" s="1">
        <v>1500</v>
      </c>
      <c r="P69" s="2">
        <v>848.92500000000007</v>
      </c>
      <c r="Q69" s="2">
        <v>5281.6400000000012</v>
      </c>
      <c r="R69" s="2"/>
      <c r="S69" s="2">
        <v>1755</v>
      </c>
      <c r="T69" s="2">
        <v>0</v>
      </c>
      <c r="U69" s="2">
        <v>5715.0750833333277</v>
      </c>
      <c r="V69" s="2">
        <v>0</v>
      </c>
      <c r="W69" s="36">
        <f t="shared" si="13"/>
        <v>15100.64008333333</v>
      </c>
    </row>
    <row r="70" spans="1:23" hidden="1" x14ac:dyDescent="0.3">
      <c r="A70" s="1">
        <f t="shared" si="8"/>
        <v>2025</v>
      </c>
      <c r="B70" s="52">
        <f t="shared" si="9"/>
        <v>45962</v>
      </c>
      <c r="C70" s="1">
        <v>30</v>
      </c>
      <c r="D70" s="1" t="s">
        <v>43</v>
      </c>
      <c r="E70" s="56">
        <v>45976</v>
      </c>
      <c r="F70" s="2">
        <v>1949.4920416666662</v>
      </c>
      <c r="G70" s="2">
        <v>767.2340416666666</v>
      </c>
      <c r="H70" s="2">
        <v>1203.1046666666668</v>
      </c>
      <c r="I70" s="2"/>
      <c r="J70" s="2">
        <v>1258.01475</v>
      </c>
      <c r="K70" s="2">
        <v>2227.3439999999991</v>
      </c>
      <c r="L70" s="2">
        <v>2084.8142916666652</v>
      </c>
      <c r="M70" s="2">
        <v>56.650625000000005</v>
      </c>
      <c r="N70" s="31">
        <f t="shared" si="10"/>
        <v>9546.6544166666645</v>
      </c>
      <c r="O70" s="1">
        <v>1500</v>
      </c>
      <c r="P70" s="2">
        <v>845.77500000000009</v>
      </c>
      <c r="Q70" s="2">
        <v>5210.2465624999995</v>
      </c>
      <c r="R70" s="2"/>
      <c r="S70" s="2">
        <v>1755</v>
      </c>
      <c r="T70" s="2">
        <v>0</v>
      </c>
      <c r="U70" s="2">
        <v>5438.3696249999948</v>
      </c>
      <c r="V70" s="2">
        <v>0</v>
      </c>
      <c r="W70" s="36">
        <f t="shared" si="13"/>
        <v>14749.391187499994</v>
      </c>
    </row>
    <row r="71" spans="1:23" hidden="1" x14ac:dyDescent="0.3">
      <c r="A71" s="1">
        <f t="shared" si="8"/>
        <v>2025</v>
      </c>
      <c r="B71" s="52">
        <f t="shared" si="9"/>
        <v>45962</v>
      </c>
      <c r="C71" s="1">
        <v>30</v>
      </c>
      <c r="D71" s="1" t="s">
        <v>44</v>
      </c>
      <c r="E71" s="56">
        <v>45977</v>
      </c>
      <c r="F71" s="2">
        <v>1721.5994166666667</v>
      </c>
      <c r="G71" s="2">
        <v>684.37450000000001</v>
      </c>
      <c r="H71" s="2">
        <v>508.12170833333334</v>
      </c>
      <c r="I71" s="2"/>
      <c r="J71" s="2">
        <v>1258.5287916666666</v>
      </c>
      <c r="K71" s="2">
        <v>2192.5527916666665</v>
      </c>
      <c r="L71" s="2">
        <v>1381.0637500000005</v>
      </c>
      <c r="M71" s="2">
        <v>38.266958333333335</v>
      </c>
      <c r="N71" s="31">
        <f t="shared" si="10"/>
        <v>7784.5079166666665</v>
      </c>
      <c r="O71" s="1">
        <v>1500</v>
      </c>
      <c r="P71" s="2">
        <v>813.75</v>
      </c>
      <c r="Q71" s="2">
        <v>5305.3695625</v>
      </c>
      <c r="R71" s="2"/>
      <c r="S71" s="2">
        <v>1755</v>
      </c>
      <c r="T71" s="2">
        <v>0</v>
      </c>
      <c r="U71" s="2">
        <v>5446.4491666666645</v>
      </c>
      <c r="V71" s="2">
        <v>0</v>
      </c>
      <c r="W71" s="36">
        <f t="shared" si="13"/>
        <v>14820.568729166665</v>
      </c>
    </row>
    <row r="72" spans="1:23" hidden="1" x14ac:dyDescent="0.3">
      <c r="A72" s="1">
        <f t="shared" si="8"/>
        <v>2025</v>
      </c>
      <c r="B72" s="52">
        <f t="shared" si="9"/>
        <v>45962</v>
      </c>
      <c r="C72" s="1">
        <v>30</v>
      </c>
      <c r="D72" s="1" t="s">
        <v>45</v>
      </c>
      <c r="E72" s="56">
        <v>45978</v>
      </c>
      <c r="F72" s="2">
        <v>2120.4942916666664</v>
      </c>
      <c r="G72" s="2">
        <v>596.74875000000009</v>
      </c>
      <c r="H72" s="2">
        <v>590.3092916666667</v>
      </c>
      <c r="I72" s="2"/>
      <c r="J72" s="2">
        <v>1259.9156666666668</v>
      </c>
      <c r="K72" s="2">
        <v>2117.2602500000012</v>
      </c>
      <c r="L72" s="2">
        <v>1617.41875</v>
      </c>
      <c r="M72" s="2">
        <v>8.5424999999999986</v>
      </c>
      <c r="N72" s="31">
        <f t="shared" si="10"/>
        <v>8310.6895000000004</v>
      </c>
      <c r="O72" s="1">
        <v>1500</v>
      </c>
      <c r="P72" s="2">
        <v>833.17500000000007</v>
      </c>
      <c r="Q72" s="2">
        <v>5111.7237500000001</v>
      </c>
      <c r="R72" s="2"/>
      <c r="S72" s="2">
        <v>1755</v>
      </c>
      <c r="T72" s="2">
        <v>0</v>
      </c>
      <c r="U72" s="2">
        <v>5547.189791666663</v>
      </c>
      <c r="V72" s="2">
        <v>0</v>
      </c>
      <c r="W72" s="36">
        <f t="shared" si="13"/>
        <v>14747.088541666664</v>
      </c>
    </row>
    <row r="73" spans="1:23" hidden="1" x14ac:dyDescent="0.3">
      <c r="A73" s="1">
        <f t="shared" si="8"/>
        <v>2025</v>
      </c>
      <c r="B73" s="52">
        <f t="shared" si="9"/>
        <v>45962</v>
      </c>
      <c r="C73" s="1">
        <v>30</v>
      </c>
      <c r="D73" s="1" t="s">
        <v>46</v>
      </c>
      <c r="E73" s="56">
        <v>45979</v>
      </c>
      <c r="F73" s="2">
        <v>2311.4835833333336</v>
      </c>
      <c r="G73" s="2">
        <v>599.93299999999988</v>
      </c>
      <c r="H73" s="2">
        <v>695.57766666666669</v>
      </c>
      <c r="I73" s="2"/>
      <c r="J73" s="2">
        <v>1258.3630416666665</v>
      </c>
      <c r="K73" s="2">
        <v>1821.3189999999986</v>
      </c>
      <c r="L73" s="2">
        <v>2121.5340000000006</v>
      </c>
      <c r="M73" s="2">
        <v>10.199625000000001</v>
      </c>
      <c r="N73" s="31">
        <f t="shared" si="10"/>
        <v>8818.4099166666656</v>
      </c>
      <c r="O73" s="1">
        <v>1500</v>
      </c>
      <c r="P73" s="2">
        <v>810.20668750000004</v>
      </c>
      <c r="Q73" s="2">
        <v>4890.1308749999998</v>
      </c>
      <c r="R73" s="2"/>
      <c r="S73" s="2">
        <v>1755</v>
      </c>
      <c r="T73" s="2">
        <v>0</v>
      </c>
      <c r="U73" s="2">
        <v>5499.3093749999971</v>
      </c>
      <c r="V73" s="2">
        <v>0</v>
      </c>
      <c r="W73" s="36">
        <f t="shared" si="13"/>
        <v>14454.646937499998</v>
      </c>
    </row>
    <row r="74" spans="1:23" hidden="1" x14ac:dyDescent="0.3">
      <c r="A74" s="1">
        <f t="shared" si="8"/>
        <v>2025</v>
      </c>
      <c r="B74" s="52">
        <f t="shared" si="9"/>
        <v>45962</v>
      </c>
      <c r="C74" s="1">
        <v>30</v>
      </c>
      <c r="D74" s="1" t="s">
        <v>47</v>
      </c>
      <c r="E74" s="56">
        <v>45980</v>
      </c>
      <c r="F74" s="2">
        <v>2231.1785833333329</v>
      </c>
      <c r="G74" s="2">
        <v>632.61279166666668</v>
      </c>
      <c r="H74" s="2">
        <v>1202.1576249999998</v>
      </c>
      <c r="I74" s="2"/>
      <c r="J74" s="2">
        <v>1257.1425833333333</v>
      </c>
      <c r="K74" s="2">
        <v>1095.0160833333337</v>
      </c>
      <c r="L74" s="2">
        <v>2420.490416666667</v>
      </c>
      <c r="M74" s="2">
        <v>0.54266666666666674</v>
      </c>
      <c r="N74" s="31">
        <f t="shared" si="10"/>
        <v>8839.1407500000005</v>
      </c>
      <c r="O74" s="1">
        <v>1500</v>
      </c>
      <c r="P74" s="2">
        <v>803.98959374999993</v>
      </c>
      <c r="Q74" s="2">
        <v>4992.2643750000007</v>
      </c>
      <c r="R74" s="2"/>
      <c r="S74" s="2">
        <v>1755</v>
      </c>
      <c r="T74" s="2">
        <v>0</v>
      </c>
      <c r="U74" s="2">
        <v>5381.7205833333301</v>
      </c>
      <c r="V74" s="2">
        <v>0</v>
      </c>
      <c r="W74" s="36">
        <f t="shared" si="13"/>
        <v>14432.974552083331</v>
      </c>
    </row>
    <row r="75" spans="1:23" hidden="1" x14ac:dyDescent="0.3">
      <c r="A75" s="1">
        <f t="shared" si="8"/>
        <v>2025</v>
      </c>
      <c r="B75" s="52">
        <f t="shared" si="9"/>
        <v>45962</v>
      </c>
      <c r="C75" s="1">
        <v>30</v>
      </c>
      <c r="D75" s="1" t="s">
        <v>48</v>
      </c>
      <c r="E75" s="56">
        <v>45981</v>
      </c>
      <c r="F75" s="2">
        <v>1919.8250000000005</v>
      </c>
      <c r="G75" s="2">
        <v>597.42370833333348</v>
      </c>
      <c r="H75" s="2">
        <v>1191.2190833333334</v>
      </c>
      <c r="I75" s="2"/>
      <c r="J75" s="2">
        <v>1257.5585000000001</v>
      </c>
      <c r="K75" s="2">
        <v>1553.9288750000003</v>
      </c>
      <c r="L75" s="2">
        <v>1848.8911250000001</v>
      </c>
      <c r="M75" s="2">
        <v>19.841666666666665</v>
      </c>
      <c r="N75" s="31">
        <f t="shared" si="10"/>
        <v>8388.6879583333357</v>
      </c>
      <c r="O75" s="1">
        <v>1500</v>
      </c>
      <c r="P75" s="2">
        <v>834.88343750000001</v>
      </c>
      <c r="Q75" s="2">
        <v>4993.7300000000005</v>
      </c>
      <c r="R75" s="2"/>
      <c r="S75" s="2">
        <v>1755</v>
      </c>
      <c r="T75" s="2">
        <v>0</v>
      </c>
      <c r="U75" s="2">
        <v>4975.9231666666647</v>
      </c>
      <c r="V75" s="2">
        <v>0</v>
      </c>
      <c r="W75" s="36">
        <f t="shared" si="13"/>
        <v>14059.536604166664</v>
      </c>
    </row>
    <row r="76" spans="1:23" hidden="1" x14ac:dyDescent="0.3">
      <c r="A76" s="1">
        <f t="shared" si="8"/>
        <v>2025</v>
      </c>
      <c r="B76" s="52">
        <f t="shared" si="9"/>
        <v>45962</v>
      </c>
      <c r="C76" s="1">
        <v>30</v>
      </c>
      <c r="D76" s="1" t="s">
        <v>49</v>
      </c>
      <c r="E76" s="56">
        <v>45982</v>
      </c>
      <c r="F76" s="2">
        <v>1887.8212499999997</v>
      </c>
      <c r="G76" s="2">
        <v>497.87995833333343</v>
      </c>
      <c r="H76" s="2">
        <v>975.68650000000014</v>
      </c>
      <c r="I76" s="2"/>
      <c r="J76" s="2">
        <v>1259.0950000000003</v>
      </c>
      <c r="K76" s="2">
        <v>1397.7597916666675</v>
      </c>
      <c r="L76" s="2">
        <v>1708.0305833333337</v>
      </c>
      <c r="M76" s="2">
        <v>23.572875000000003</v>
      </c>
      <c r="N76" s="31">
        <f t="shared" si="10"/>
        <v>7749.8459583333333</v>
      </c>
      <c r="O76" s="1">
        <v>1500</v>
      </c>
      <c r="P76" s="2">
        <v>824.39481249999994</v>
      </c>
      <c r="Q76" s="2">
        <v>4995.6178124999997</v>
      </c>
      <c r="R76" s="2"/>
      <c r="S76" s="2">
        <v>1755</v>
      </c>
      <c r="T76" s="2">
        <v>0</v>
      </c>
      <c r="U76" s="2">
        <v>5012.0567499999934</v>
      </c>
      <c r="V76" s="2">
        <v>0</v>
      </c>
      <c r="W76" s="36">
        <f t="shared" si="13"/>
        <v>14087.069374999992</v>
      </c>
    </row>
    <row r="77" spans="1:23" hidden="1" x14ac:dyDescent="0.3">
      <c r="A77" s="1">
        <f t="shared" si="8"/>
        <v>2025</v>
      </c>
      <c r="B77" s="52">
        <f t="shared" si="9"/>
        <v>45962</v>
      </c>
      <c r="C77" s="1">
        <v>30</v>
      </c>
      <c r="D77" s="1" t="s">
        <v>43</v>
      </c>
      <c r="E77" s="56">
        <v>45983</v>
      </c>
      <c r="F77" s="2">
        <v>2106.2000000000003</v>
      </c>
      <c r="G77" s="2">
        <v>388.1242083333334</v>
      </c>
      <c r="H77" s="2">
        <v>629.06595833333324</v>
      </c>
      <c r="I77" s="2"/>
      <c r="J77" s="2">
        <v>1257.3582083333336</v>
      </c>
      <c r="K77" s="2">
        <v>1622.5755833333349</v>
      </c>
      <c r="L77" s="2">
        <v>1618.4176250000003</v>
      </c>
      <c r="M77" s="2">
        <v>19.06441666666667</v>
      </c>
      <c r="N77" s="31">
        <f t="shared" si="10"/>
        <v>7640.8060000000023</v>
      </c>
      <c r="O77" s="1">
        <v>1500</v>
      </c>
      <c r="P77" s="2">
        <v>835.80000000000007</v>
      </c>
      <c r="Q77" s="2">
        <v>5001.3425000000007</v>
      </c>
      <c r="R77" s="2"/>
      <c r="S77" s="2">
        <v>1755</v>
      </c>
      <c r="T77" s="2">
        <v>0</v>
      </c>
      <c r="U77" s="2">
        <v>4981.2100416666608</v>
      </c>
      <c r="V77" s="2">
        <v>0</v>
      </c>
      <c r="W77" s="36">
        <f t="shared" si="13"/>
        <v>14073.352541666663</v>
      </c>
    </row>
    <row r="78" spans="1:23" hidden="1" x14ac:dyDescent="0.3">
      <c r="A78" s="1">
        <f t="shared" si="8"/>
        <v>2025</v>
      </c>
      <c r="B78" s="52">
        <f t="shared" si="9"/>
        <v>45962</v>
      </c>
      <c r="C78" s="1">
        <v>30</v>
      </c>
      <c r="D78" s="1" t="s">
        <v>44</v>
      </c>
      <c r="E78" s="56">
        <v>45984</v>
      </c>
      <c r="F78" s="2">
        <v>1861.3657499999999</v>
      </c>
      <c r="G78" s="2">
        <v>231.52320833333329</v>
      </c>
      <c r="H78" s="2">
        <v>471.64075000000003</v>
      </c>
      <c r="I78" s="2"/>
      <c r="J78" s="2">
        <v>1255.9910000000004</v>
      </c>
      <c r="K78" s="2">
        <v>2232.7720833333337</v>
      </c>
      <c r="L78" s="2">
        <v>1251.5057083333336</v>
      </c>
      <c r="M78" s="2">
        <v>15.076250000000003</v>
      </c>
      <c r="N78" s="31">
        <f t="shared" si="10"/>
        <v>7319.8747500000009</v>
      </c>
      <c r="O78" s="1">
        <v>1500</v>
      </c>
      <c r="P78" s="2">
        <v>801.15</v>
      </c>
      <c r="Q78" s="2">
        <v>4993.0300000000007</v>
      </c>
      <c r="R78" s="2"/>
      <c r="S78" s="2">
        <v>1755</v>
      </c>
      <c r="T78" s="2">
        <v>0</v>
      </c>
      <c r="U78" s="2">
        <v>4970.9318333333276</v>
      </c>
      <c r="V78" s="2">
        <v>0</v>
      </c>
      <c r="W78" s="36">
        <f t="shared" si="13"/>
        <v>14020.111833333329</v>
      </c>
    </row>
    <row r="79" spans="1:23" hidden="1" x14ac:dyDescent="0.3">
      <c r="A79" s="1">
        <f t="shared" si="8"/>
        <v>2025</v>
      </c>
      <c r="B79" s="52">
        <f t="shared" si="9"/>
        <v>45962</v>
      </c>
      <c r="C79" s="1">
        <v>30</v>
      </c>
      <c r="D79" s="1" t="s">
        <v>45</v>
      </c>
      <c r="E79" s="56">
        <v>45985</v>
      </c>
      <c r="F79" s="2">
        <v>1865.7597916666666</v>
      </c>
      <c r="G79" s="2">
        <v>177.01029166666669</v>
      </c>
      <c r="H79" s="2">
        <v>563.92512500000009</v>
      </c>
      <c r="I79" s="2"/>
      <c r="J79" s="2">
        <v>1254.2766666666666</v>
      </c>
      <c r="K79" s="2">
        <v>2094.6382916666671</v>
      </c>
      <c r="L79" s="2">
        <v>1337.3764583333339</v>
      </c>
      <c r="M79" s="2">
        <v>14.909458333333335</v>
      </c>
      <c r="N79" s="31">
        <f t="shared" si="10"/>
        <v>7307.8960833333349</v>
      </c>
      <c r="O79" s="1">
        <v>1500</v>
      </c>
      <c r="P79" s="2">
        <v>801.15</v>
      </c>
      <c r="Q79" s="2">
        <v>4992.8112500000007</v>
      </c>
      <c r="R79" s="2"/>
      <c r="S79" s="2">
        <v>1755</v>
      </c>
      <c r="T79" s="2">
        <v>0</v>
      </c>
      <c r="U79" s="2">
        <v>4780.8605833333277</v>
      </c>
      <c r="V79" s="2">
        <v>0</v>
      </c>
      <c r="W79" s="36">
        <f t="shared" si="13"/>
        <v>13829.821833333328</v>
      </c>
    </row>
    <row r="80" spans="1:23" hidden="1" x14ac:dyDescent="0.3">
      <c r="A80" s="1">
        <f t="shared" si="8"/>
        <v>2025</v>
      </c>
      <c r="B80" s="52">
        <f t="shared" si="9"/>
        <v>45962</v>
      </c>
      <c r="C80" s="1">
        <v>30</v>
      </c>
      <c r="D80" s="1" t="s">
        <v>46</v>
      </c>
      <c r="E80" s="56">
        <v>45986</v>
      </c>
      <c r="F80" s="2">
        <v>1763.6230833333336</v>
      </c>
      <c r="G80" s="2">
        <v>439.47079166666668</v>
      </c>
      <c r="H80" s="2">
        <v>1240.8637500000002</v>
      </c>
      <c r="I80" s="2"/>
      <c r="J80" s="2">
        <v>1253.4565416666669</v>
      </c>
      <c r="K80" s="2">
        <v>1661.2287916666671</v>
      </c>
      <c r="L80" s="2">
        <v>2013.3568750000004</v>
      </c>
      <c r="M80" s="2">
        <v>18.088750000000001</v>
      </c>
      <c r="N80" s="31">
        <f t="shared" si="10"/>
        <v>8390.0885833333359</v>
      </c>
      <c r="O80" s="1">
        <v>1500</v>
      </c>
      <c r="P80" s="2">
        <v>831.96312499999999</v>
      </c>
      <c r="Q80" s="2">
        <v>4963.0745937499996</v>
      </c>
      <c r="R80" s="2"/>
      <c r="S80" s="2">
        <v>1755</v>
      </c>
      <c r="T80" s="2">
        <v>0</v>
      </c>
      <c r="U80" s="2">
        <v>4703.1864166666655</v>
      </c>
      <c r="V80" s="2">
        <v>0</v>
      </c>
      <c r="W80" s="36">
        <f t="shared" si="13"/>
        <v>13753.224135416665</v>
      </c>
    </row>
    <row r="81" spans="1:23" hidden="1" x14ac:dyDescent="0.3">
      <c r="A81" s="1">
        <f t="shared" si="8"/>
        <v>2025</v>
      </c>
      <c r="B81" s="52">
        <f t="shared" si="9"/>
        <v>45962</v>
      </c>
      <c r="C81" s="1">
        <v>30</v>
      </c>
      <c r="D81" s="1" t="s">
        <v>47</v>
      </c>
      <c r="E81" s="56">
        <v>45987</v>
      </c>
      <c r="F81" s="2">
        <v>1783.2406666666666</v>
      </c>
      <c r="G81" s="2">
        <v>522.96754166666676</v>
      </c>
      <c r="H81" s="2">
        <v>1290.8400833333335</v>
      </c>
      <c r="I81" s="2"/>
      <c r="J81" s="2">
        <v>1249.6344166666668</v>
      </c>
      <c r="K81" s="2">
        <v>1956.3344583333333</v>
      </c>
      <c r="L81" s="2">
        <v>2797.3547916666662</v>
      </c>
      <c r="M81" s="2">
        <v>27.659374999999997</v>
      </c>
      <c r="N81" s="31">
        <f t="shared" si="10"/>
        <v>9628.0313333333324</v>
      </c>
      <c r="O81" s="1">
        <v>1500</v>
      </c>
      <c r="P81" s="2">
        <v>842.1</v>
      </c>
      <c r="Q81" s="2">
        <v>4998.7835625000007</v>
      </c>
      <c r="R81" s="2"/>
      <c r="S81" s="2">
        <v>1755</v>
      </c>
      <c r="T81" s="2">
        <v>0</v>
      </c>
      <c r="U81" s="2">
        <v>5202.9245416666627</v>
      </c>
      <c r="V81" s="2">
        <v>0</v>
      </c>
      <c r="W81" s="36">
        <f t="shared" si="13"/>
        <v>14298.808104166663</v>
      </c>
    </row>
    <row r="82" spans="1:23" hidden="1" x14ac:dyDescent="0.3">
      <c r="A82" s="1">
        <f t="shared" si="8"/>
        <v>2025</v>
      </c>
      <c r="B82" s="52">
        <f t="shared" si="9"/>
        <v>45962</v>
      </c>
      <c r="C82" s="1">
        <v>30</v>
      </c>
      <c r="D82" s="1" t="s">
        <v>48</v>
      </c>
      <c r="E82" s="56">
        <v>45988</v>
      </c>
      <c r="F82" s="2">
        <v>1686.4915000000001</v>
      </c>
      <c r="G82" s="2">
        <v>532.96116666666671</v>
      </c>
      <c r="H82" s="2">
        <v>1404.358541666667</v>
      </c>
      <c r="I82" s="2"/>
      <c r="J82" s="2">
        <v>1250.0007083333333</v>
      </c>
      <c r="K82" s="2">
        <v>2082.757791666666</v>
      </c>
      <c r="L82" s="2">
        <v>2956.5331666666671</v>
      </c>
      <c r="M82" s="2">
        <v>19.913083333333336</v>
      </c>
      <c r="N82" s="31">
        <f t="shared" si="10"/>
        <v>9933.0159583333334</v>
      </c>
      <c r="O82" s="1">
        <v>1500</v>
      </c>
      <c r="P82" s="2">
        <v>853.67953124999997</v>
      </c>
      <c r="Q82" s="2">
        <v>4990.3669375000009</v>
      </c>
      <c r="R82" s="2"/>
      <c r="S82" s="2">
        <v>1755</v>
      </c>
      <c r="T82" s="2">
        <v>0</v>
      </c>
      <c r="U82" s="2">
        <v>5231.0524166666628</v>
      </c>
      <c r="V82" s="2">
        <v>0</v>
      </c>
      <c r="W82" s="36">
        <f t="shared" si="13"/>
        <v>14330.098885416664</v>
      </c>
    </row>
    <row r="83" spans="1:23" hidden="1" x14ac:dyDescent="0.3">
      <c r="A83" s="1">
        <f t="shared" si="8"/>
        <v>2025</v>
      </c>
      <c r="B83" s="52">
        <f t="shared" si="9"/>
        <v>45962</v>
      </c>
      <c r="C83" s="1">
        <v>30</v>
      </c>
      <c r="D83" s="1" t="s">
        <v>49</v>
      </c>
      <c r="E83" s="56">
        <v>45989</v>
      </c>
      <c r="F83" s="2">
        <v>1597.718041666667</v>
      </c>
      <c r="G83" s="2">
        <v>514.36800000000005</v>
      </c>
      <c r="H83" s="2">
        <v>834.60599999999999</v>
      </c>
      <c r="I83" s="2"/>
      <c r="J83" s="2">
        <v>1250.0942500000001</v>
      </c>
      <c r="K83" s="2">
        <v>1822.517333333333</v>
      </c>
      <c r="L83" s="2">
        <v>2955.341041666667</v>
      </c>
      <c r="M83" s="2">
        <v>24.974208333333337</v>
      </c>
      <c r="N83" s="31">
        <f t="shared" si="10"/>
        <v>8999.6188750000001</v>
      </c>
      <c r="O83" s="1">
        <v>1500</v>
      </c>
      <c r="P83" s="2">
        <v>863.46531249999998</v>
      </c>
      <c r="Q83" s="2">
        <v>4994.1675000000005</v>
      </c>
      <c r="R83" s="2"/>
      <c r="S83" s="2">
        <v>1755</v>
      </c>
      <c r="T83" s="2">
        <v>0</v>
      </c>
      <c r="U83" s="2">
        <v>5235.3649999999971</v>
      </c>
      <c r="V83" s="2">
        <v>0</v>
      </c>
      <c r="W83" s="36">
        <f t="shared" si="13"/>
        <v>14347.997812499998</v>
      </c>
    </row>
    <row r="84" spans="1:23" hidden="1" x14ac:dyDescent="0.3">
      <c r="A84" s="1">
        <f t="shared" si="8"/>
        <v>2025</v>
      </c>
      <c r="B84" s="52">
        <f t="shared" si="9"/>
        <v>45962</v>
      </c>
      <c r="C84" s="1">
        <v>30</v>
      </c>
      <c r="D84" s="1" t="s">
        <v>43</v>
      </c>
      <c r="E84" s="56">
        <v>45990</v>
      </c>
      <c r="F84" s="2">
        <v>1234.0512083333335</v>
      </c>
      <c r="G84" s="2">
        <v>237.69041666666666</v>
      </c>
      <c r="H84" s="2">
        <v>466.438875</v>
      </c>
      <c r="I84" s="2"/>
      <c r="J84" s="2">
        <v>1248.1311666666666</v>
      </c>
      <c r="K84" s="2">
        <v>1586.6337083333335</v>
      </c>
      <c r="L84" s="2">
        <v>2351.8631666666665</v>
      </c>
      <c r="M84" s="2">
        <v>14.863958333333334</v>
      </c>
      <c r="N84" s="31">
        <f t="shared" si="10"/>
        <v>7139.6725000000006</v>
      </c>
      <c r="O84" s="1">
        <v>1500</v>
      </c>
      <c r="P84" s="2">
        <v>891.52656249999995</v>
      </c>
      <c r="Q84" s="2">
        <v>5008.9987500000007</v>
      </c>
      <c r="R84" s="2"/>
      <c r="S84" s="2">
        <v>1755</v>
      </c>
      <c r="T84" s="2">
        <v>0</v>
      </c>
      <c r="U84" s="2">
        <v>5243.8156666666628</v>
      </c>
      <c r="V84" s="2">
        <v>0</v>
      </c>
      <c r="W84" s="36">
        <f t="shared" si="13"/>
        <v>14399.340979166664</v>
      </c>
    </row>
    <row r="85" spans="1:23" hidden="1" x14ac:dyDescent="0.3">
      <c r="A85" s="1">
        <f t="shared" si="8"/>
        <v>2025</v>
      </c>
      <c r="B85" s="52">
        <f t="shared" si="9"/>
        <v>45962</v>
      </c>
      <c r="C85" s="1">
        <v>30</v>
      </c>
      <c r="D85" s="1" t="s">
        <v>44</v>
      </c>
      <c r="E85" s="56">
        <v>45991</v>
      </c>
      <c r="F85" s="2">
        <v>1311.5285416666668</v>
      </c>
      <c r="G85" s="2">
        <v>258.92070833333327</v>
      </c>
      <c r="H85" s="2">
        <v>465.05779166666667</v>
      </c>
      <c r="I85" s="2"/>
      <c r="J85" s="2">
        <v>1251.8702916666666</v>
      </c>
      <c r="K85" s="2">
        <v>1502.7802083333329</v>
      </c>
      <c r="L85" s="2">
        <v>1927.5080833333334</v>
      </c>
      <c r="M85" s="2">
        <v>13.580499999999999</v>
      </c>
      <c r="N85" s="31">
        <f t="shared" si="10"/>
        <v>6731.2461249999997</v>
      </c>
      <c r="O85" s="1">
        <v>1500</v>
      </c>
      <c r="P85" s="2">
        <v>919.27500000000009</v>
      </c>
      <c r="Q85" s="2">
        <v>5004.8206250000003</v>
      </c>
      <c r="R85" s="2"/>
      <c r="S85" s="2">
        <v>1755</v>
      </c>
      <c r="T85" s="2">
        <v>0</v>
      </c>
      <c r="U85" s="2">
        <v>5293.6499166666645</v>
      </c>
      <c r="V85" s="2">
        <v>0</v>
      </c>
      <c r="W85" s="36">
        <f t="shared" si="13"/>
        <v>14472.745541666663</v>
      </c>
    </row>
    <row r="86" spans="1:23" hidden="1" x14ac:dyDescent="0.3">
      <c r="A86" s="1">
        <f t="shared" si="8"/>
        <v>2025</v>
      </c>
      <c r="B86" s="52">
        <f t="shared" si="9"/>
        <v>45992</v>
      </c>
      <c r="C86" s="1">
        <v>31</v>
      </c>
      <c r="D86" s="1" t="s">
        <v>45</v>
      </c>
      <c r="E86" s="56">
        <v>45992</v>
      </c>
      <c r="F86" s="2">
        <v>1543.1345416666666</v>
      </c>
      <c r="G86" s="2">
        <v>297.02175000000005</v>
      </c>
      <c r="H86" s="2">
        <v>710.35729166666681</v>
      </c>
      <c r="I86" s="2"/>
      <c r="J86" s="2">
        <v>1254.3685</v>
      </c>
      <c r="K86" s="2">
        <v>1445.6410000000001</v>
      </c>
      <c r="L86" s="2">
        <v>2896.0006250000001</v>
      </c>
      <c r="M86" s="2">
        <v>14.364291666666665</v>
      </c>
      <c r="N86" s="31">
        <f t="shared" si="10"/>
        <v>8160.8880000000008</v>
      </c>
      <c r="O86" s="1">
        <v>1500</v>
      </c>
      <c r="P86" s="2">
        <v>910.875</v>
      </c>
      <c r="Q86" s="2">
        <v>5009.2831249999999</v>
      </c>
      <c r="R86" s="2"/>
      <c r="S86" s="2">
        <v>1755</v>
      </c>
      <c r="T86" s="2">
        <v>0</v>
      </c>
      <c r="U86" s="2">
        <v>5397.7739583333314</v>
      </c>
      <c r="V86" s="2">
        <v>0</v>
      </c>
      <c r="W86" s="36">
        <f t="shared" si="13"/>
        <v>14572.932083333331</v>
      </c>
    </row>
    <row r="87" spans="1:23" hidden="1" x14ac:dyDescent="0.3">
      <c r="A87" s="1">
        <f t="shared" si="8"/>
        <v>2025</v>
      </c>
      <c r="B87" s="52">
        <f t="shared" si="9"/>
        <v>45992</v>
      </c>
      <c r="C87" s="1">
        <v>31</v>
      </c>
      <c r="D87" s="1" t="s">
        <v>46</v>
      </c>
      <c r="E87" s="56">
        <v>45993</v>
      </c>
      <c r="F87" s="2">
        <v>1419.7370416666665</v>
      </c>
      <c r="G87" s="2">
        <v>265.26954166666661</v>
      </c>
      <c r="H87" s="2">
        <v>752.80133333333333</v>
      </c>
      <c r="I87" s="2"/>
      <c r="J87" s="2">
        <v>1253.2167083333334</v>
      </c>
      <c r="K87" s="2">
        <v>1792.8763333333338</v>
      </c>
      <c r="L87" s="2">
        <v>2960.3070416666669</v>
      </c>
      <c r="M87" s="2">
        <v>14.986500000000005</v>
      </c>
      <c r="N87" s="31">
        <f t="shared" si="10"/>
        <v>8459.1945000000014</v>
      </c>
      <c r="O87" s="1">
        <v>1500</v>
      </c>
      <c r="P87" s="2">
        <v>872.39753125000004</v>
      </c>
      <c r="Q87" s="2">
        <v>5007.9487500000005</v>
      </c>
      <c r="R87" s="2"/>
      <c r="S87" s="2">
        <v>1755</v>
      </c>
      <c r="T87" s="2">
        <v>0</v>
      </c>
      <c r="U87" s="2">
        <v>5677.3253749999958</v>
      </c>
      <c r="V87" s="2">
        <v>0</v>
      </c>
      <c r="W87" s="36">
        <f t="shared" si="13"/>
        <v>14812.671656249997</v>
      </c>
    </row>
    <row r="88" spans="1:23" hidden="1" x14ac:dyDescent="0.3">
      <c r="A88" s="1">
        <f t="shared" si="8"/>
        <v>2025</v>
      </c>
      <c r="B88" s="52">
        <f t="shared" si="9"/>
        <v>45992</v>
      </c>
      <c r="C88" s="1">
        <v>31</v>
      </c>
      <c r="D88" s="1" t="s">
        <v>47</v>
      </c>
      <c r="E88" s="56">
        <v>45994</v>
      </c>
      <c r="F88" s="2">
        <v>1462.6519583333336</v>
      </c>
      <c r="G88" s="2">
        <v>420.65945833333336</v>
      </c>
      <c r="H88" s="2">
        <v>1269.5496666666666</v>
      </c>
      <c r="I88" s="2"/>
      <c r="J88" s="2">
        <v>1246.5375833333335</v>
      </c>
      <c r="K88" s="2">
        <v>1610.4666249999993</v>
      </c>
      <c r="L88" s="2">
        <v>3220.3435000000013</v>
      </c>
      <c r="M88" s="2">
        <v>14.402541666666668</v>
      </c>
      <c r="N88" s="31">
        <f t="shared" si="10"/>
        <v>9244.6113333333342</v>
      </c>
      <c r="O88" s="1">
        <v>1500</v>
      </c>
      <c r="P88" s="2">
        <v>951.3984375</v>
      </c>
      <c r="Q88" s="2">
        <v>5007.161250000001</v>
      </c>
      <c r="R88" s="2"/>
      <c r="S88" s="2">
        <v>1755</v>
      </c>
      <c r="T88" s="2">
        <v>0</v>
      </c>
      <c r="U88" s="2">
        <v>5633.0941666666658</v>
      </c>
      <c r="V88" s="2">
        <v>0</v>
      </c>
      <c r="W88" s="36">
        <f t="shared" si="13"/>
        <v>14846.653854166667</v>
      </c>
    </row>
    <row r="89" spans="1:23" hidden="1" x14ac:dyDescent="0.3">
      <c r="A89" s="1">
        <f t="shared" si="8"/>
        <v>2025</v>
      </c>
      <c r="B89" s="52">
        <f t="shared" si="9"/>
        <v>45992</v>
      </c>
      <c r="C89" s="1">
        <v>31</v>
      </c>
      <c r="D89" s="1" t="s">
        <v>48</v>
      </c>
      <c r="E89" s="56">
        <v>45995</v>
      </c>
      <c r="F89" s="2">
        <v>1655.323875</v>
      </c>
      <c r="G89" s="2">
        <v>441.41066666666666</v>
      </c>
      <c r="H89" s="2">
        <v>1437.6097083333334</v>
      </c>
      <c r="I89" s="2"/>
      <c r="J89" s="2">
        <v>1244.6152916666665</v>
      </c>
      <c r="K89" s="2">
        <v>1682.1512083333346</v>
      </c>
      <c r="L89" s="2">
        <v>3538.275833333334</v>
      </c>
      <c r="M89" s="2">
        <v>14.220000000000004</v>
      </c>
      <c r="N89" s="31">
        <f t="shared" si="10"/>
        <v>10013.606583333336</v>
      </c>
      <c r="O89" s="1">
        <v>1500</v>
      </c>
      <c r="P89" s="2">
        <v>874.65000000000009</v>
      </c>
      <c r="Q89" s="2">
        <v>4984.4226250000011</v>
      </c>
      <c r="R89" s="2"/>
      <c r="S89" s="2">
        <v>1755</v>
      </c>
      <c r="T89" s="2">
        <v>0</v>
      </c>
      <c r="U89" s="2">
        <v>5651.4711666666672</v>
      </c>
      <c r="V89" s="2">
        <v>0</v>
      </c>
      <c r="W89" s="36">
        <f t="shared" si="13"/>
        <v>14765.543791666667</v>
      </c>
    </row>
    <row r="90" spans="1:23" hidden="1" x14ac:dyDescent="0.3">
      <c r="A90" s="1">
        <f t="shared" ref="A90:A116" si="14">YEAR(E90)</f>
        <v>2025</v>
      </c>
      <c r="B90" s="52">
        <f t="shared" ref="B90:B153" si="15">DATE(A90,MONTH(E90),1)</f>
        <v>45992</v>
      </c>
      <c r="C90" s="1">
        <v>31</v>
      </c>
      <c r="D90" s="1" t="s">
        <v>49</v>
      </c>
      <c r="E90" s="56">
        <v>45996</v>
      </c>
      <c r="F90" s="2">
        <v>1527.5263333333335</v>
      </c>
      <c r="G90" s="2">
        <v>487.70404166666668</v>
      </c>
      <c r="H90" s="2">
        <v>1667.521666666667</v>
      </c>
      <c r="I90" s="2"/>
      <c r="J90" s="2">
        <v>1242.5968333333333</v>
      </c>
      <c r="K90" s="2">
        <v>1764.6657916666663</v>
      </c>
      <c r="L90" s="2">
        <v>3727.0980833333338</v>
      </c>
      <c r="M90" s="2">
        <v>14.827041666666666</v>
      </c>
      <c r="N90" s="31">
        <f t="shared" ref="N90:N116" si="16">SUM(F90:M90)</f>
        <v>10431.939791666668</v>
      </c>
      <c r="O90" s="1">
        <v>1500</v>
      </c>
      <c r="P90" s="2">
        <v>876.22500000000002</v>
      </c>
      <c r="Q90" s="2">
        <v>5005.4112500000001</v>
      </c>
      <c r="R90" s="2"/>
      <c r="S90" s="2">
        <v>1755</v>
      </c>
      <c r="T90" s="2">
        <v>0</v>
      </c>
      <c r="U90" s="2">
        <v>5674.0604583333316</v>
      </c>
      <c r="V90" s="2">
        <v>0</v>
      </c>
      <c r="W90" s="36">
        <f t="shared" si="13"/>
        <v>14810.696708333331</v>
      </c>
    </row>
    <row r="91" spans="1:23" hidden="1" x14ac:dyDescent="0.3">
      <c r="A91" s="1">
        <f t="shared" si="14"/>
        <v>2025</v>
      </c>
      <c r="B91" s="52">
        <f t="shared" si="15"/>
        <v>45992</v>
      </c>
      <c r="C91" s="1">
        <v>31</v>
      </c>
      <c r="D91" s="1" t="s">
        <v>43</v>
      </c>
      <c r="E91" s="56">
        <v>45997</v>
      </c>
      <c r="F91" s="2">
        <v>1291.3694583333333</v>
      </c>
      <c r="G91" s="2">
        <v>325.41604166666667</v>
      </c>
      <c r="H91" s="2">
        <v>1252.2385833333335</v>
      </c>
      <c r="I91" s="2"/>
      <c r="J91" s="2">
        <v>1245.6211250000001</v>
      </c>
      <c r="K91" s="2">
        <v>1470.1383333333331</v>
      </c>
      <c r="L91" s="2">
        <v>4012.2507083333335</v>
      </c>
      <c r="M91" s="2">
        <v>14.825416666666666</v>
      </c>
      <c r="N91" s="31">
        <f t="shared" si="16"/>
        <v>9611.8596666666672</v>
      </c>
      <c r="O91" s="1">
        <v>1500</v>
      </c>
      <c r="P91" s="2">
        <v>865.2</v>
      </c>
      <c r="Q91" s="2">
        <v>4991.1050000000005</v>
      </c>
      <c r="R91" s="2"/>
      <c r="S91" s="2">
        <v>1755</v>
      </c>
      <c r="T91" s="2">
        <v>0</v>
      </c>
      <c r="U91" s="2">
        <v>5665.4701249999989</v>
      </c>
      <c r="V91" s="2">
        <v>0</v>
      </c>
      <c r="W91" s="36">
        <f t="shared" si="13"/>
        <v>14776.775125</v>
      </c>
    </row>
    <row r="92" spans="1:23" hidden="1" x14ac:dyDescent="0.3">
      <c r="A92" s="1">
        <f t="shared" si="14"/>
        <v>2025</v>
      </c>
      <c r="B92" s="52">
        <f t="shared" si="15"/>
        <v>45992</v>
      </c>
      <c r="C92" s="1">
        <v>31</v>
      </c>
      <c r="D92" s="1" t="s">
        <v>44</v>
      </c>
      <c r="E92" s="56">
        <v>45998</v>
      </c>
      <c r="F92" s="2">
        <v>1149.9842916666669</v>
      </c>
      <c r="G92" s="2">
        <v>181.58358333333339</v>
      </c>
      <c r="H92" s="2">
        <v>1067.1332083333334</v>
      </c>
      <c r="I92" s="2"/>
      <c r="J92" s="2">
        <v>1243.6445000000001</v>
      </c>
      <c r="K92" s="2">
        <v>1519.2406666666659</v>
      </c>
      <c r="L92" s="2">
        <v>3100.4873749999997</v>
      </c>
      <c r="M92" s="2">
        <v>6.55</v>
      </c>
      <c r="N92" s="31">
        <f t="shared" si="16"/>
        <v>8268.6236249999984</v>
      </c>
      <c r="O92" s="1">
        <v>1500</v>
      </c>
      <c r="P92" s="2">
        <v>865.2</v>
      </c>
      <c r="Q92" s="2">
        <v>4940.3388125000001</v>
      </c>
      <c r="R92" s="2"/>
      <c r="S92" s="2">
        <v>1755</v>
      </c>
      <c r="T92" s="2">
        <v>0</v>
      </c>
      <c r="U92" s="2">
        <v>5674.1582500000013</v>
      </c>
      <c r="V92" s="2">
        <v>0</v>
      </c>
      <c r="W92" s="36">
        <f t="shared" si="13"/>
        <v>14734.697062499999</v>
      </c>
    </row>
    <row r="93" spans="1:23" hidden="1" x14ac:dyDescent="0.3">
      <c r="A93" s="1">
        <f t="shared" si="14"/>
        <v>2025</v>
      </c>
      <c r="B93" s="52">
        <f t="shared" si="15"/>
        <v>45992</v>
      </c>
      <c r="C93" s="1">
        <v>31</v>
      </c>
      <c r="D93" s="1" t="s">
        <v>45</v>
      </c>
      <c r="E93" s="56">
        <v>45999</v>
      </c>
      <c r="F93" s="2">
        <v>1700.2416666666666</v>
      </c>
      <c r="G93" s="2">
        <v>182.07245833333332</v>
      </c>
      <c r="H93" s="2">
        <v>486.57441666666665</v>
      </c>
      <c r="I93" s="2"/>
      <c r="J93" s="2">
        <v>1246.5303749999998</v>
      </c>
      <c r="K93" s="2">
        <v>1600.2140416666664</v>
      </c>
      <c r="L93" s="2">
        <v>2106.2950416666667</v>
      </c>
      <c r="M93" s="2">
        <v>5.346916666666667</v>
      </c>
      <c r="N93" s="31">
        <f t="shared" si="16"/>
        <v>7327.2749166666663</v>
      </c>
      <c r="O93" s="1">
        <v>1500</v>
      </c>
      <c r="P93" s="2">
        <v>874.65000000000009</v>
      </c>
      <c r="Q93" s="2">
        <v>5024.8581250000007</v>
      </c>
      <c r="R93" s="2"/>
      <c r="S93" s="2">
        <v>1755</v>
      </c>
      <c r="T93" s="2">
        <v>0</v>
      </c>
      <c r="U93" s="2">
        <v>5695.1408749999982</v>
      </c>
      <c r="V93" s="2">
        <v>0</v>
      </c>
      <c r="W93" s="36">
        <f t="shared" si="13"/>
        <v>14849.648999999998</v>
      </c>
    </row>
    <row r="94" spans="1:23" hidden="1" x14ac:dyDescent="0.3">
      <c r="A94" s="1">
        <f t="shared" si="14"/>
        <v>2025</v>
      </c>
      <c r="B94" s="52">
        <f t="shared" si="15"/>
        <v>45992</v>
      </c>
      <c r="C94" s="1">
        <v>31</v>
      </c>
      <c r="D94" s="1" t="s">
        <v>46</v>
      </c>
      <c r="E94" s="56">
        <v>46000</v>
      </c>
      <c r="F94" s="2">
        <v>2093.6432916666668</v>
      </c>
      <c r="G94" s="2">
        <v>189.86504166666668</v>
      </c>
      <c r="H94" s="2">
        <v>831.16870833333337</v>
      </c>
      <c r="I94" s="2"/>
      <c r="J94" s="2">
        <v>1245.8935000000001</v>
      </c>
      <c r="K94" s="2">
        <v>1725.2800416666673</v>
      </c>
      <c r="L94" s="2">
        <v>2626.2211666666672</v>
      </c>
      <c r="M94" s="2">
        <v>11.610749999999999</v>
      </c>
      <c r="N94" s="31">
        <f t="shared" si="16"/>
        <v>8723.6825000000026</v>
      </c>
      <c r="O94" s="1">
        <v>1500</v>
      </c>
      <c r="P94" s="2">
        <v>882</v>
      </c>
      <c r="Q94" s="2">
        <v>4926.0378125000016</v>
      </c>
      <c r="R94" s="2"/>
      <c r="S94" s="2">
        <v>1755</v>
      </c>
      <c r="T94" s="2">
        <v>0</v>
      </c>
      <c r="U94" s="2">
        <v>5667.4435833333364</v>
      </c>
      <c r="V94" s="2">
        <v>0</v>
      </c>
      <c r="W94" s="36">
        <f t="shared" si="13"/>
        <v>14730.48139583334</v>
      </c>
    </row>
    <row r="95" spans="1:23" hidden="1" x14ac:dyDescent="0.3">
      <c r="A95" s="1">
        <f t="shared" si="14"/>
        <v>2025</v>
      </c>
      <c r="B95" s="52">
        <f t="shared" si="15"/>
        <v>45992</v>
      </c>
      <c r="C95" s="1">
        <v>31</v>
      </c>
      <c r="D95" s="1" t="s">
        <v>47</v>
      </c>
      <c r="E95" s="56">
        <v>46001</v>
      </c>
      <c r="F95" s="2">
        <v>2459.2632083333333</v>
      </c>
      <c r="G95" s="2">
        <v>297.03179166666666</v>
      </c>
      <c r="H95" s="2">
        <v>986.3996666666668</v>
      </c>
      <c r="I95" s="2"/>
      <c r="J95" s="2">
        <v>1245.2859583333334</v>
      </c>
      <c r="K95" s="2">
        <v>1534.8240416666674</v>
      </c>
      <c r="L95" s="2">
        <v>2786.9486666666667</v>
      </c>
      <c r="M95" s="2">
        <v>71.195541666666671</v>
      </c>
      <c r="N95" s="31">
        <f t="shared" si="16"/>
        <v>9380.948875</v>
      </c>
      <c r="O95" s="1">
        <v>1500</v>
      </c>
      <c r="P95" s="2">
        <v>879.14859375000015</v>
      </c>
      <c r="Q95" s="2">
        <v>4800.8651250000012</v>
      </c>
      <c r="R95" s="2"/>
      <c r="S95" s="2">
        <v>1755</v>
      </c>
      <c r="T95" s="2">
        <v>0</v>
      </c>
      <c r="U95" s="2">
        <v>5603.0996250000007</v>
      </c>
      <c r="V95" s="2">
        <v>0</v>
      </c>
      <c r="W95" s="36">
        <f t="shared" si="13"/>
        <v>14538.113343750001</v>
      </c>
    </row>
    <row r="96" spans="1:23" hidden="1" x14ac:dyDescent="0.3">
      <c r="A96" s="1">
        <f t="shared" si="14"/>
        <v>2025</v>
      </c>
      <c r="B96" s="52">
        <f t="shared" si="15"/>
        <v>45992</v>
      </c>
      <c r="C96" s="1">
        <v>31</v>
      </c>
      <c r="D96" s="1" t="s">
        <v>48</v>
      </c>
      <c r="E96" s="56">
        <v>46002</v>
      </c>
      <c r="F96" s="2">
        <v>2177.7776250000002</v>
      </c>
      <c r="G96" s="2">
        <v>212.680375</v>
      </c>
      <c r="H96" s="2">
        <v>851.56633333333343</v>
      </c>
      <c r="I96" s="2"/>
      <c r="J96" s="2">
        <v>1245.239</v>
      </c>
      <c r="K96" s="2">
        <v>1846.5661250000005</v>
      </c>
      <c r="L96" s="2">
        <v>3117.3401250000002</v>
      </c>
      <c r="M96" s="2">
        <v>11.45166666666667</v>
      </c>
      <c r="N96" s="31">
        <f t="shared" si="16"/>
        <v>9462.6212500000001</v>
      </c>
      <c r="O96" s="1">
        <v>1500</v>
      </c>
      <c r="P96" s="2">
        <v>881.61346875000004</v>
      </c>
      <c r="Q96" s="2">
        <v>5078.0655625000009</v>
      </c>
      <c r="R96" s="2"/>
      <c r="S96" s="2">
        <v>1755</v>
      </c>
      <c r="T96" s="2">
        <v>0</v>
      </c>
      <c r="U96" s="2">
        <v>5772.1297499999991</v>
      </c>
      <c r="V96" s="2">
        <v>0</v>
      </c>
      <c r="W96" s="36">
        <f t="shared" si="13"/>
        <v>14986.808781250002</v>
      </c>
    </row>
    <row r="97" spans="1:23" hidden="1" x14ac:dyDescent="0.3">
      <c r="A97" s="1">
        <f t="shared" si="14"/>
        <v>2025</v>
      </c>
      <c r="B97" s="52">
        <f t="shared" si="15"/>
        <v>45992</v>
      </c>
      <c r="C97" s="1">
        <v>31</v>
      </c>
      <c r="D97" s="1" t="s">
        <v>49</v>
      </c>
      <c r="E97" s="56">
        <v>46003</v>
      </c>
      <c r="F97" s="2">
        <v>2631.9222499999992</v>
      </c>
      <c r="G97" s="2">
        <v>178.58020833333333</v>
      </c>
      <c r="H97" s="2">
        <v>705.66879166666672</v>
      </c>
      <c r="I97" s="2"/>
      <c r="J97" s="2">
        <v>1246.639625</v>
      </c>
      <c r="K97" s="2">
        <v>2212.6735000000003</v>
      </c>
      <c r="L97" s="2">
        <v>3074.2145416666654</v>
      </c>
      <c r="M97" s="2">
        <v>303.29466666666667</v>
      </c>
      <c r="N97" s="31">
        <f t="shared" si="16"/>
        <v>10352.993583333331</v>
      </c>
      <c r="O97" s="1">
        <v>1500</v>
      </c>
      <c r="P97" s="2">
        <v>898.80000000000007</v>
      </c>
      <c r="Q97" s="2">
        <v>5280.4749375000001</v>
      </c>
      <c r="R97" s="2"/>
      <c r="S97" s="2">
        <v>1755</v>
      </c>
      <c r="T97" s="2">
        <v>0</v>
      </c>
      <c r="U97" s="2">
        <v>5757.6444166666652</v>
      </c>
      <c r="V97" s="2">
        <v>0</v>
      </c>
      <c r="W97" s="36">
        <f t="shared" si="13"/>
        <v>15191.919354166665</v>
      </c>
    </row>
    <row r="98" spans="1:23" hidden="1" x14ac:dyDescent="0.3">
      <c r="A98" s="1">
        <f t="shared" si="14"/>
        <v>2025</v>
      </c>
      <c r="B98" s="52">
        <f t="shared" si="15"/>
        <v>45992</v>
      </c>
      <c r="C98" s="1">
        <v>31</v>
      </c>
      <c r="D98" s="1" t="s">
        <v>43</v>
      </c>
      <c r="E98" s="56">
        <v>46004</v>
      </c>
      <c r="F98" s="2">
        <v>2578.3062500000001</v>
      </c>
      <c r="G98" s="2">
        <v>294.81608333333332</v>
      </c>
      <c r="H98" s="2">
        <v>449.36541666666676</v>
      </c>
      <c r="I98" s="2"/>
      <c r="J98" s="2">
        <v>1246.2311666666669</v>
      </c>
      <c r="K98" s="2">
        <v>2155.1178750000004</v>
      </c>
      <c r="L98" s="2">
        <v>3036.1975416666655</v>
      </c>
      <c r="M98" s="2">
        <v>156.09145833333332</v>
      </c>
      <c r="N98" s="31">
        <f t="shared" si="16"/>
        <v>9916.1257916666655</v>
      </c>
      <c r="O98" s="1">
        <v>1500</v>
      </c>
      <c r="P98" s="2">
        <v>904.05000000000007</v>
      </c>
      <c r="Q98" s="2">
        <v>5469.6862500000007</v>
      </c>
      <c r="R98" s="2"/>
      <c r="S98" s="2">
        <v>1755</v>
      </c>
      <c r="T98" s="2">
        <v>0</v>
      </c>
      <c r="U98" s="2">
        <v>5836.7704166666636</v>
      </c>
      <c r="V98" s="2">
        <v>0</v>
      </c>
      <c r="W98" s="36">
        <f t="shared" si="13"/>
        <v>15465.506666666664</v>
      </c>
    </row>
    <row r="99" spans="1:23" hidden="1" x14ac:dyDescent="0.3">
      <c r="A99" s="1">
        <f t="shared" si="14"/>
        <v>2025</v>
      </c>
      <c r="B99" s="52">
        <f t="shared" si="15"/>
        <v>45992</v>
      </c>
      <c r="C99" s="1">
        <v>31</v>
      </c>
      <c r="D99" s="1" t="s">
        <v>44</v>
      </c>
      <c r="E99" s="56">
        <v>46005</v>
      </c>
      <c r="F99" s="2">
        <v>1984.8219999999999</v>
      </c>
      <c r="G99" s="2">
        <v>251.27187500000005</v>
      </c>
      <c r="H99" s="2">
        <v>519.53241666666668</v>
      </c>
      <c r="I99" s="2"/>
      <c r="J99" s="2">
        <v>1245.2340416666668</v>
      </c>
      <c r="K99" s="2">
        <v>2116.4222083333329</v>
      </c>
      <c r="L99" s="2">
        <v>2095.0376249999999</v>
      </c>
      <c r="M99" s="2">
        <v>11.088458333333337</v>
      </c>
      <c r="N99" s="31">
        <f t="shared" si="16"/>
        <v>8223.4086249999982</v>
      </c>
      <c r="O99" s="1">
        <v>1500</v>
      </c>
      <c r="P99" s="2">
        <v>907.2</v>
      </c>
      <c r="Q99" s="2">
        <v>5471.8300000000008</v>
      </c>
      <c r="R99" s="2"/>
      <c r="S99" s="2">
        <v>1755</v>
      </c>
      <c r="T99" s="2">
        <v>0</v>
      </c>
      <c r="U99" s="2">
        <v>5767.2440833333321</v>
      </c>
      <c r="V99" s="2">
        <v>0</v>
      </c>
      <c r="W99" s="36">
        <f t="shared" si="13"/>
        <v>15401.274083333334</v>
      </c>
    </row>
    <row r="100" spans="1:23" hidden="1" x14ac:dyDescent="0.3">
      <c r="A100" s="1">
        <f t="shared" si="14"/>
        <v>2025</v>
      </c>
      <c r="B100" s="52">
        <f t="shared" si="15"/>
        <v>45992</v>
      </c>
      <c r="C100" s="1">
        <v>31</v>
      </c>
      <c r="D100" s="1" t="s">
        <v>45</v>
      </c>
      <c r="E100" s="56">
        <v>46006</v>
      </c>
      <c r="F100" s="2">
        <v>1393.0832499999999</v>
      </c>
      <c r="G100" s="2">
        <v>162.68079166666675</v>
      </c>
      <c r="H100" s="2">
        <v>458.96987500000017</v>
      </c>
      <c r="I100" s="2"/>
      <c r="J100" s="2">
        <v>1243.4399583333334</v>
      </c>
      <c r="K100" s="2">
        <v>1944.0365416666664</v>
      </c>
      <c r="L100" s="2">
        <v>2430.119125000002</v>
      </c>
      <c r="M100" s="2">
        <v>12.985958333333329</v>
      </c>
      <c r="N100" s="31">
        <f t="shared" si="16"/>
        <v>7645.3155000000024</v>
      </c>
      <c r="O100" s="1">
        <v>1500</v>
      </c>
      <c r="P100" s="2">
        <v>911.92500000000007</v>
      </c>
      <c r="Q100" s="2">
        <v>5469.598750000001</v>
      </c>
      <c r="R100" s="2"/>
      <c r="S100" s="2">
        <v>1755</v>
      </c>
      <c r="T100" s="2">
        <v>0</v>
      </c>
      <c r="U100" s="2">
        <v>5811.3840833333315</v>
      </c>
      <c r="V100" s="2">
        <v>0</v>
      </c>
      <c r="W100" s="36">
        <f t="shared" si="13"/>
        <v>15447.907833333331</v>
      </c>
    </row>
    <row r="101" spans="1:23" hidden="1" x14ac:dyDescent="0.3">
      <c r="A101" s="1">
        <f t="shared" si="14"/>
        <v>2025</v>
      </c>
      <c r="B101" s="52">
        <f t="shared" si="15"/>
        <v>45992</v>
      </c>
      <c r="C101" s="1">
        <v>31</v>
      </c>
      <c r="D101" s="1" t="s">
        <v>46</v>
      </c>
      <c r="E101" s="56">
        <v>46007</v>
      </c>
      <c r="F101" s="2">
        <v>1893.5816666666667</v>
      </c>
      <c r="G101" s="2">
        <v>183.09341666666671</v>
      </c>
      <c r="H101" s="2">
        <v>490.09474999999998</v>
      </c>
      <c r="I101" s="2"/>
      <c r="J101" s="2">
        <v>1245.6656250000001</v>
      </c>
      <c r="K101" s="2">
        <v>1627.7442083333337</v>
      </c>
      <c r="L101" s="2">
        <v>2497.0954166666675</v>
      </c>
      <c r="M101" s="2">
        <v>73.031999999999996</v>
      </c>
      <c r="N101" s="31">
        <f t="shared" si="16"/>
        <v>8010.3070833333359</v>
      </c>
      <c r="O101" s="1">
        <v>1500</v>
      </c>
      <c r="P101" s="2">
        <v>801.03296875000001</v>
      </c>
      <c r="Q101" s="2">
        <v>5469.7737500000003</v>
      </c>
      <c r="R101" s="2"/>
      <c r="S101" s="2">
        <v>1755</v>
      </c>
      <c r="T101" s="2">
        <v>0</v>
      </c>
      <c r="U101" s="2">
        <v>5842.4681249999967</v>
      </c>
      <c r="V101" s="2">
        <v>0</v>
      </c>
      <c r="W101" s="36">
        <f t="shared" si="13"/>
        <v>15368.274843749998</v>
      </c>
    </row>
    <row r="102" spans="1:23" hidden="1" x14ac:dyDescent="0.3">
      <c r="A102" s="1">
        <f t="shared" si="14"/>
        <v>2025</v>
      </c>
      <c r="B102" s="52">
        <f t="shared" si="15"/>
        <v>45992</v>
      </c>
      <c r="C102" s="1">
        <v>31</v>
      </c>
      <c r="D102" s="1" t="s">
        <v>47</v>
      </c>
      <c r="E102" s="56">
        <v>46008</v>
      </c>
      <c r="F102" s="2">
        <v>1879.6701666666665</v>
      </c>
      <c r="G102" s="2">
        <v>154.80504166666668</v>
      </c>
      <c r="H102" s="2">
        <v>618.75266666666676</v>
      </c>
      <c r="I102" s="2"/>
      <c r="J102" s="2">
        <v>1245.2272083333332</v>
      </c>
      <c r="K102" s="2">
        <v>2345.6252499999991</v>
      </c>
      <c r="L102" s="2">
        <v>2423.9019583333325</v>
      </c>
      <c r="M102" s="2">
        <v>12.050750000000003</v>
      </c>
      <c r="N102" s="31">
        <f t="shared" si="16"/>
        <v>8680.0330416666657</v>
      </c>
      <c r="O102" s="1">
        <v>1500</v>
      </c>
      <c r="P102" s="2">
        <v>789.50921875000006</v>
      </c>
      <c r="Q102" s="2">
        <v>5459.2986875000006</v>
      </c>
      <c r="R102" s="2"/>
      <c r="S102" s="2">
        <v>1755</v>
      </c>
      <c r="T102" s="2">
        <v>0</v>
      </c>
      <c r="U102" s="2">
        <v>5758.1138749999991</v>
      </c>
      <c r="V102" s="2">
        <v>0</v>
      </c>
      <c r="W102" s="36">
        <f t="shared" si="13"/>
        <v>15261.921781249999</v>
      </c>
    </row>
    <row r="103" spans="1:23" hidden="1" x14ac:dyDescent="0.3">
      <c r="A103" s="1">
        <f t="shared" si="14"/>
        <v>2025</v>
      </c>
      <c r="B103" s="52">
        <f t="shared" si="15"/>
        <v>45992</v>
      </c>
      <c r="C103" s="1">
        <v>31</v>
      </c>
      <c r="D103" s="1" t="s">
        <v>48</v>
      </c>
      <c r="E103" s="56">
        <v>46009</v>
      </c>
      <c r="F103" s="2">
        <v>1803.5030833333331</v>
      </c>
      <c r="G103" s="2">
        <v>344.56237499999997</v>
      </c>
      <c r="H103" s="2">
        <v>1141.7469583333332</v>
      </c>
      <c r="I103" s="2"/>
      <c r="J103" s="2">
        <v>1244.0606250000001</v>
      </c>
      <c r="K103" s="2">
        <v>1949.2579999999998</v>
      </c>
      <c r="L103" s="2">
        <v>2943.1365416666672</v>
      </c>
      <c r="M103" s="2">
        <v>14.067999999999996</v>
      </c>
      <c r="N103" s="31">
        <f t="shared" si="16"/>
        <v>9440.3355833333317</v>
      </c>
      <c r="O103" s="1">
        <v>1500</v>
      </c>
      <c r="P103" s="2">
        <v>967.46562500000005</v>
      </c>
      <c r="Q103" s="2">
        <v>5177.7624937500013</v>
      </c>
      <c r="R103" s="2"/>
      <c r="S103" s="2">
        <v>1755</v>
      </c>
      <c r="T103" s="2">
        <v>0</v>
      </c>
      <c r="U103" s="2">
        <v>5802.5777500000004</v>
      </c>
      <c r="V103" s="2">
        <v>0</v>
      </c>
      <c r="W103" s="36">
        <f t="shared" si="13"/>
        <v>15202.805868750002</v>
      </c>
    </row>
    <row r="104" spans="1:23" hidden="1" x14ac:dyDescent="0.3">
      <c r="A104" s="1">
        <f t="shared" si="14"/>
        <v>2025</v>
      </c>
      <c r="B104" s="52">
        <f t="shared" si="15"/>
        <v>45992</v>
      </c>
      <c r="C104" s="1">
        <v>31</v>
      </c>
      <c r="D104" s="1" t="s">
        <v>49</v>
      </c>
      <c r="E104" s="56">
        <v>46010</v>
      </c>
      <c r="F104" s="2">
        <v>1641.7124166666672</v>
      </c>
      <c r="G104" s="2">
        <v>517.79637500000013</v>
      </c>
      <c r="H104" s="2">
        <v>1237.0534583333333</v>
      </c>
      <c r="I104" s="2"/>
      <c r="J104" s="2">
        <v>1242.7235833333334</v>
      </c>
      <c r="K104" s="2">
        <v>1652.0861250000005</v>
      </c>
      <c r="L104" s="2">
        <v>3288.5660833333336</v>
      </c>
      <c r="M104" s="2">
        <v>14.473124999999998</v>
      </c>
      <c r="N104" s="31">
        <f t="shared" si="16"/>
        <v>9594.4111666666686</v>
      </c>
      <c r="O104" s="1">
        <v>1500</v>
      </c>
      <c r="P104" s="2">
        <v>912.60684375000005</v>
      </c>
      <c r="Q104" s="2">
        <v>5351.7616250000001</v>
      </c>
      <c r="R104" s="2"/>
      <c r="S104" s="2">
        <v>1755</v>
      </c>
      <c r="T104" s="2">
        <v>0</v>
      </c>
      <c r="U104" s="2">
        <v>5784.445291666666</v>
      </c>
      <c r="V104" s="2">
        <v>0</v>
      </c>
      <c r="W104" s="36">
        <f t="shared" si="13"/>
        <v>15303.813760416666</v>
      </c>
    </row>
    <row r="105" spans="1:23" hidden="1" x14ac:dyDescent="0.3">
      <c r="A105" s="1">
        <f t="shared" si="14"/>
        <v>2025</v>
      </c>
      <c r="B105" s="52">
        <f t="shared" si="15"/>
        <v>45992</v>
      </c>
      <c r="C105" s="1">
        <v>31</v>
      </c>
      <c r="D105" s="1" t="s">
        <v>43</v>
      </c>
      <c r="E105" s="56">
        <v>46011</v>
      </c>
      <c r="F105" s="2">
        <v>1404.5587083333332</v>
      </c>
      <c r="G105" s="2">
        <v>248.99179166666673</v>
      </c>
      <c r="H105" s="2">
        <v>639.19820833333335</v>
      </c>
      <c r="I105" s="2"/>
      <c r="J105" s="2">
        <v>1244.5940833333332</v>
      </c>
      <c r="K105" s="2">
        <v>1660.4334166666656</v>
      </c>
      <c r="L105" s="2">
        <v>2917.8317500000003</v>
      </c>
      <c r="M105" s="2">
        <v>101.31400000000001</v>
      </c>
      <c r="N105" s="31">
        <f t="shared" si="16"/>
        <v>8216.9219583333324</v>
      </c>
      <c r="O105" s="1">
        <v>1500</v>
      </c>
      <c r="P105" s="2">
        <v>924</v>
      </c>
      <c r="Q105" s="2">
        <v>5357.2925000000005</v>
      </c>
      <c r="R105" s="2"/>
      <c r="S105" s="2">
        <v>1755</v>
      </c>
      <c r="T105" s="2">
        <v>0</v>
      </c>
      <c r="U105" s="2">
        <v>5786.5111249999982</v>
      </c>
      <c r="V105" s="2">
        <v>0</v>
      </c>
      <c r="W105" s="36">
        <f t="shared" si="13"/>
        <v>15322.803624999997</v>
      </c>
    </row>
    <row r="106" spans="1:23" hidden="1" x14ac:dyDescent="0.3">
      <c r="A106" s="1">
        <f t="shared" si="14"/>
        <v>2025</v>
      </c>
      <c r="B106" s="52">
        <f t="shared" si="15"/>
        <v>45992</v>
      </c>
      <c r="C106" s="1">
        <v>31</v>
      </c>
      <c r="D106" s="1" t="s">
        <v>44</v>
      </c>
      <c r="E106" s="56">
        <v>46012</v>
      </c>
      <c r="F106" s="2">
        <v>1397.3838750000002</v>
      </c>
      <c r="G106" s="2">
        <v>182.78454166666666</v>
      </c>
      <c r="H106" s="2">
        <v>528.4167083333333</v>
      </c>
      <c r="I106" s="2"/>
      <c r="J106" s="2">
        <v>1240.2298333333333</v>
      </c>
      <c r="K106" s="2">
        <v>2037.2983333333332</v>
      </c>
      <c r="L106" s="2">
        <v>2489.4086666666662</v>
      </c>
      <c r="M106" s="2">
        <v>12.033416666666669</v>
      </c>
      <c r="N106" s="31">
        <f t="shared" si="16"/>
        <v>7887.5553749999999</v>
      </c>
      <c r="O106" s="1">
        <v>1500</v>
      </c>
      <c r="P106" s="2">
        <v>921.375</v>
      </c>
      <c r="Q106" s="2">
        <v>5410.8753125000003</v>
      </c>
      <c r="R106" s="2"/>
      <c r="S106" s="2">
        <v>1755</v>
      </c>
      <c r="T106" s="2">
        <v>0</v>
      </c>
      <c r="U106" s="2">
        <v>5650.0290833333311</v>
      </c>
      <c r="V106" s="2">
        <v>0</v>
      </c>
      <c r="W106" s="36">
        <f t="shared" si="13"/>
        <v>15237.279395833331</v>
      </c>
    </row>
    <row r="107" spans="1:23" hidden="1" x14ac:dyDescent="0.3">
      <c r="A107" s="1">
        <f t="shared" si="14"/>
        <v>2025</v>
      </c>
      <c r="B107" s="52">
        <f t="shared" si="15"/>
        <v>45992</v>
      </c>
      <c r="C107" s="1">
        <v>31</v>
      </c>
      <c r="D107" s="1" t="s">
        <v>45</v>
      </c>
      <c r="E107" s="56">
        <v>46013</v>
      </c>
      <c r="F107" s="2">
        <v>1932.1933333333329</v>
      </c>
      <c r="G107" s="2">
        <v>369.80016666666671</v>
      </c>
      <c r="H107" s="2">
        <v>466.78162499999996</v>
      </c>
      <c r="I107" s="2"/>
      <c r="J107" s="2">
        <v>1240.9572083333335</v>
      </c>
      <c r="K107" s="2">
        <v>1994.5603333333345</v>
      </c>
      <c r="L107" s="2">
        <v>2658.4148750000004</v>
      </c>
      <c r="M107" s="2">
        <v>13.74495833333334</v>
      </c>
      <c r="N107" s="31">
        <f t="shared" si="16"/>
        <v>8676.4525000000012</v>
      </c>
      <c r="O107" s="1">
        <v>1500</v>
      </c>
      <c r="P107" s="2">
        <v>904.44484375000013</v>
      </c>
      <c r="Q107" s="2">
        <v>5467.5643750000008</v>
      </c>
      <c r="R107" s="2"/>
      <c r="S107" s="2">
        <v>1755</v>
      </c>
      <c r="T107" s="2">
        <v>0</v>
      </c>
      <c r="U107" s="2">
        <v>5632.4060833333297</v>
      </c>
      <c r="V107" s="2">
        <v>0</v>
      </c>
      <c r="W107" s="36">
        <f t="shared" si="13"/>
        <v>15259.415302083331</v>
      </c>
    </row>
    <row r="108" spans="1:23" hidden="1" x14ac:dyDescent="0.3">
      <c r="A108" s="1">
        <f t="shared" si="14"/>
        <v>2025</v>
      </c>
      <c r="B108" s="52">
        <f t="shared" si="15"/>
        <v>45992</v>
      </c>
      <c r="C108" s="1">
        <v>31</v>
      </c>
      <c r="D108" s="1" t="s">
        <v>46</v>
      </c>
      <c r="E108" s="56">
        <v>46014</v>
      </c>
      <c r="F108" s="2">
        <v>2513.7868749999993</v>
      </c>
      <c r="G108" s="2">
        <v>491.69120833333341</v>
      </c>
      <c r="H108" s="2">
        <v>734.76112499999999</v>
      </c>
      <c r="I108" s="2"/>
      <c r="J108" s="2">
        <v>1242.2952500000001</v>
      </c>
      <c r="K108" s="2">
        <v>2142.9225833333344</v>
      </c>
      <c r="L108" s="2">
        <v>3077.2984583333341</v>
      </c>
      <c r="M108" s="2">
        <v>16.04054166666667</v>
      </c>
      <c r="N108" s="31">
        <f t="shared" si="16"/>
        <v>10218.796041666668</v>
      </c>
      <c r="O108" s="1">
        <v>1500</v>
      </c>
      <c r="P108" s="2">
        <v>887.05771875000005</v>
      </c>
      <c r="Q108" s="2">
        <v>5458.5737500000014</v>
      </c>
      <c r="R108" s="2"/>
      <c r="S108" s="2">
        <v>1755</v>
      </c>
      <c r="T108" s="2">
        <v>0</v>
      </c>
      <c r="U108" s="2">
        <v>5790.130874999998</v>
      </c>
      <c r="V108" s="2">
        <v>0</v>
      </c>
      <c r="W108" s="36">
        <f t="shared" si="13"/>
        <v>15390.762343750001</v>
      </c>
    </row>
    <row r="109" spans="1:23" hidden="1" x14ac:dyDescent="0.3">
      <c r="A109" s="1">
        <f t="shared" si="14"/>
        <v>2025</v>
      </c>
      <c r="B109" s="52">
        <f t="shared" si="15"/>
        <v>45992</v>
      </c>
      <c r="C109" s="1">
        <v>31</v>
      </c>
      <c r="D109" s="1" t="s">
        <v>47</v>
      </c>
      <c r="E109" s="56">
        <v>46015</v>
      </c>
      <c r="F109" s="2">
        <v>2640.4254166666669</v>
      </c>
      <c r="G109" s="2">
        <v>692.31366666666679</v>
      </c>
      <c r="H109" s="2">
        <v>580.47820833333333</v>
      </c>
      <c r="I109" s="2"/>
      <c r="J109" s="2">
        <v>1240.1839166666666</v>
      </c>
      <c r="K109" s="2">
        <v>2137.979208333335</v>
      </c>
      <c r="L109" s="2">
        <v>2917.0640833333323</v>
      </c>
      <c r="M109" s="2">
        <v>16.707333333333334</v>
      </c>
      <c r="N109" s="31">
        <f t="shared" si="16"/>
        <v>10225.151833333335</v>
      </c>
      <c r="O109" s="1">
        <v>1500</v>
      </c>
      <c r="P109" s="2">
        <v>878.85</v>
      </c>
      <c r="Q109" s="2">
        <v>5467.958125000001</v>
      </c>
      <c r="R109" s="2"/>
      <c r="S109" s="2">
        <v>1755</v>
      </c>
      <c r="T109" s="2">
        <v>0</v>
      </c>
      <c r="U109" s="2">
        <v>5793.5229999999992</v>
      </c>
      <c r="V109" s="2">
        <v>0</v>
      </c>
      <c r="W109" s="36">
        <f t="shared" si="13"/>
        <v>15395.331125000001</v>
      </c>
    </row>
    <row r="110" spans="1:23" hidden="1" x14ac:dyDescent="0.3">
      <c r="A110" s="1">
        <f t="shared" si="14"/>
        <v>2025</v>
      </c>
      <c r="B110" s="52">
        <f t="shared" si="15"/>
        <v>45992</v>
      </c>
      <c r="C110" s="1">
        <v>31</v>
      </c>
      <c r="D110" s="1" t="s">
        <v>48</v>
      </c>
      <c r="E110" s="56">
        <v>46016</v>
      </c>
      <c r="F110" s="2">
        <v>1813.5955416666668</v>
      </c>
      <c r="G110" s="2">
        <v>560.52554166666675</v>
      </c>
      <c r="H110" s="2">
        <v>355.56079166666666</v>
      </c>
      <c r="I110" s="2"/>
      <c r="J110" s="2">
        <v>1240.3897916666665</v>
      </c>
      <c r="K110" s="2">
        <v>1687.5424999999993</v>
      </c>
      <c r="L110" s="2">
        <v>2007.1320000000001</v>
      </c>
      <c r="M110" s="2">
        <v>15.769750000000004</v>
      </c>
      <c r="N110" s="31">
        <f t="shared" si="16"/>
        <v>7680.5159166666663</v>
      </c>
      <c r="O110" s="1">
        <v>1500</v>
      </c>
      <c r="P110" s="2">
        <v>874.65000000000009</v>
      </c>
      <c r="Q110" s="2">
        <v>5415.9175000000014</v>
      </c>
      <c r="R110" s="2"/>
      <c r="S110" s="2">
        <v>1755</v>
      </c>
      <c r="T110" s="2">
        <v>0</v>
      </c>
      <c r="U110" s="2">
        <v>5740.2444583333317</v>
      </c>
      <c r="V110" s="2">
        <v>0</v>
      </c>
      <c r="W110" s="36">
        <f t="shared" si="13"/>
        <v>15285.811958333332</v>
      </c>
    </row>
    <row r="111" spans="1:23" hidden="1" x14ac:dyDescent="0.3">
      <c r="A111" s="1">
        <f t="shared" si="14"/>
        <v>2025</v>
      </c>
      <c r="B111" s="52">
        <f t="shared" si="15"/>
        <v>45992</v>
      </c>
      <c r="C111" s="1">
        <v>31</v>
      </c>
      <c r="D111" s="1" t="s">
        <v>49</v>
      </c>
      <c r="E111" s="56">
        <v>46017</v>
      </c>
      <c r="F111" s="2">
        <v>1819.0536249999998</v>
      </c>
      <c r="G111" s="2">
        <v>733.73416666666674</v>
      </c>
      <c r="H111" s="2">
        <v>924.39325000000008</v>
      </c>
      <c r="I111" s="2"/>
      <c r="J111" s="2">
        <v>1239.4351250000002</v>
      </c>
      <c r="K111" s="2">
        <v>2251.2038333333339</v>
      </c>
      <c r="L111" s="2">
        <v>2687.2489166666674</v>
      </c>
      <c r="M111" s="2">
        <v>19.167666666666662</v>
      </c>
      <c r="N111" s="31">
        <f t="shared" si="16"/>
        <v>9674.2365833333333</v>
      </c>
      <c r="O111" s="1">
        <v>1500</v>
      </c>
      <c r="P111" s="2">
        <v>882</v>
      </c>
      <c r="Q111" s="2">
        <v>5284.755000000001</v>
      </c>
      <c r="R111" s="2"/>
      <c r="S111" s="2">
        <v>1755</v>
      </c>
      <c r="T111" s="2">
        <v>0</v>
      </c>
      <c r="U111" s="2">
        <v>5726.0463749999981</v>
      </c>
      <c r="V111" s="2">
        <v>0</v>
      </c>
      <c r="W111" s="36">
        <f t="shared" si="13"/>
        <v>15147.801374999999</v>
      </c>
    </row>
    <row r="112" spans="1:23" hidden="1" x14ac:dyDescent="0.3">
      <c r="A112" s="1">
        <f t="shared" si="14"/>
        <v>2025</v>
      </c>
      <c r="B112" s="52">
        <f t="shared" si="15"/>
        <v>45992</v>
      </c>
      <c r="C112" s="1">
        <v>31</v>
      </c>
      <c r="D112" s="1" t="s">
        <v>43</v>
      </c>
      <c r="E112" s="56">
        <v>46018</v>
      </c>
      <c r="F112" s="2">
        <v>1670.4102500000001</v>
      </c>
      <c r="G112" s="2">
        <v>616.27183333333335</v>
      </c>
      <c r="H112" s="2">
        <v>939.12666666666678</v>
      </c>
      <c r="I112" s="2"/>
      <c r="J112" s="2">
        <v>1237.4142083333334</v>
      </c>
      <c r="K112" s="2">
        <v>1947.25575</v>
      </c>
      <c r="L112" s="2">
        <v>3094.8378750000002</v>
      </c>
      <c r="M112" s="2">
        <v>20.829875000000005</v>
      </c>
      <c r="N112" s="31">
        <f t="shared" si="16"/>
        <v>9526.1464583333327</v>
      </c>
      <c r="O112" s="1">
        <v>1500</v>
      </c>
      <c r="P112" s="2">
        <v>888.82500000000005</v>
      </c>
      <c r="Q112" s="2">
        <v>5470.3643750000001</v>
      </c>
      <c r="R112" s="2"/>
      <c r="S112" s="2">
        <v>1755</v>
      </c>
      <c r="T112" s="2">
        <v>0</v>
      </c>
      <c r="U112" s="2">
        <v>5647.8057916666648</v>
      </c>
      <c r="V112" s="2">
        <v>0</v>
      </c>
      <c r="W112" s="36">
        <f t="shared" si="13"/>
        <v>15261.995166666664</v>
      </c>
    </row>
    <row r="113" spans="1:23" hidden="1" x14ac:dyDescent="0.3">
      <c r="A113" s="1">
        <f t="shared" si="14"/>
        <v>2025</v>
      </c>
      <c r="B113" s="52">
        <f t="shared" si="15"/>
        <v>45992</v>
      </c>
      <c r="C113" s="1">
        <v>31</v>
      </c>
      <c r="D113" s="1" t="s">
        <v>44</v>
      </c>
      <c r="E113" s="56">
        <v>46019</v>
      </c>
      <c r="F113" s="2">
        <v>1354.32375</v>
      </c>
      <c r="G113" s="2">
        <v>406.19533333333339</v>
      </c>
      <c r="H113" s="2">
        <v>572.68454166666675</v>
      </c>
      <c r="I113" s="2"/>
      <c r="J113" s="2">
        <v>1236.9591250000003</v>
      </c>
      <c r="K113" s="2">
        <v>1723.797708333333</v>
      </c>
      <c r="L113" s="2">
        <v>2654.199333333333</v>
      </c>
      <c r="M113" s="2">
        <v>63.344083333333344</v>
      </c>
      <c r="N113" s="31">
        <f t="shared" si="16"/>
        <v>8011.5038749999994</v>
      </c>
      <c r="O113" s="1">
        <v>1500</v>
      </c>
      <c r="P113" s="2">
        <v>897.75</v>
      </c>
      <c r="Q113" s="2">
        <v>5472.1936500000002</v>
      </c>
      <c r="R113" s="2"/>
      <c r="S113" s="2">
        <v>1755</v>
      </c>
      <c r="T113" s="2">
        <v>0</v>
      </c>
      <c r="U113" s="2">
        <v>5830.7556666666624</v>
      </c>
      <c r="V113" s="2">
        <v>0</v>
      </c>
      <c r="W113" s="36">
        <f t="shared" si="13"/>
        <v>15455.699316666663</v>
      </c>
    </row>
    <row r="114" spans="1:23" hidden="1" x14ac:dyDescent="0.3">
      <c r="A114" s="1">
        <f t="shared" si="14"/>
        <v>2025</v>
      </c>
      <c r="B114" s="52">
        <f t="shared" si="15"/>
        <v>45992</v>
      </c>
      <c r="C114" s="1">
        <v>31</v>
      </c>
      <c r="D114" s="1" t="s">
        <v>45</v>
      </c>
      <c r="E114" s="56">
        <v>46020</v>
      </c>
      <c r="F114" s="2">
        <v>1482.7790833333338</v>
      </c>
      <c r="G114" s="2">
        <v>626.7814166666667</v>
      </c>
      <c r="H114" s="2">
        <v>789.97816666666688</v>
      </c>
      <c r="I114" s="2"/>
      <c r="J114" s="2">
        <v>1235.3669999999997</v>
      </c>
      <c r="K114" s="2">
        <v>1973.3080833333338</v>
      </c>
      <c r="L114" s="2">
        <v>3175.7370000000005</v>
      </c>
      <c r="M114" s="2">
        <v>808.6581666666666</v>
      </c>
      <c r="N114" s="31">
        <f t="shared" si="16"/>
        <v>10092.608916666668</v>
      </c>
      <c r="O114" s="1">
        <v>1500</v>
      </c>
      <c r="P114" s="2">
        <v>918.22500000000002</v>
      </c>
      <c r="Q114" s="2">
        <v>5463.5311500000007</v>
      </c>
      <c r="R114" s="2"/>
      <c r="S114" s="2">
        <v>1755</v>
      </c>
      <c r="T114" s="2">
        <v>0</v>
      </c>
      <c r="U114" s="2">
        <v>5775.3714166666659</v>
      </c>
      <c r="V114" s="2">
        <v>0</v>
      </c>
      <c r="W114" s="36">
        <f t="shared" si="13"/>
        <v>15412.127566666666</v>
      </c>
    </row>
    <row r="115" spans="1:23" hidden="1" x14ac:dyDescent="0.3">
      <c r="A115" s="1">
        <f t="shared" si="14"/>
        <v>2025</v>
      </c>
      <c r="B115" s="52">
        <f t="shared" si="15"/>
        <v>45992</v>
      </c>
      <c r="C115" s="1">
        <v>31</v>
      </c>
      <c r="D115" s="1" t="s">
        <v>46</v>
      </c>
      <c r="E115" s="56">
        <v>46021</v>
      </c>
      <c r="F115" s="2">
        <v>1855.6272916666665</v>
      </c>
      <c r="G115" s="2">
        <v>821.32925000000012</v>
      </c>
      <c r="H115" s="2">
        <v>891.81529166666678</v>
      </c>
      <c r="I115" s="2"/>
      <c r="J115" s="2">
        <v>1233.6499583333334</v>
      </c>
      <c r="K115" s="2">
        <v>1903.3257083333338</v>
      </c>
      <c r="L115" s="2">
        <v>3857.2152916666673</v>
      </c>
      <c r="M115" s="2">
        <v>298.55108333333334</v>
      </c>
      <c r="N115" s="31">
        <f t="shared" si="16"/>
        <v>10861.513875000002</v>
      </c>
      <c r="O115" s="1">
        <v>1500</v>
      </c>
      <c r="P115" s="2">
        <v>931.35</v>
      </c>
      <c r="Q115" s="2">
        <v>5475.4311500000003</v>
      </c>
      <c r="R115" s="2"/>
      <c r="S115" s="2">
        <v>1755</v>
      </c>
      <c r="T115" s="2">
        <v>0</v>
      </c>
      <c r="U115" s="2">
        <v>5980.1426666666639</v>
      </c>
      <c r="V115" s="2">
        <v>0</v>
      </c>
      <c r="W115" s="36">
        <f t="shared" si="13"/>
        <v>15641.923816666666</v>
      </c>
    </row>
    <row r="116" spans="1:23" hidden="1" x14ac:dyDescent="0.3">
      <c r="A116" s="1">
        <f t="shared" si="14"/>
        <v>2025</v>
      </c>
      <c r="B116" s="52">
        <f t="shared" si="15"/>
        <v>45992</v>
      </c>
      <c r="C116" s="1">
        <v>31</v>
      </c>
      <c r="D116" s="1" t="s">
        <v>47</v>
      </c>
      <c r="E116" s="56">
        <v>46022</v>
      </c>
      <c r="F116" s="2">
        <v>1912.3788333333339</v>
      </c>
      <c r="G116" s="2">
        <v>850.08145833333344</v>
      </c>
      <c r="H116" s="2">
        <v>891.59854166666673</v>
      </c>
      <c r="I116" s="2"/>
      <c r="J116" s="2">
        <v>1231.8575833333334</v>
      </c>
      <c r="K116" s="2">
        <v>1902.3185833333346</v>
      </c>
      <c r="L116" s="2">
        <v>3806.3924583333328</v>
      </c>
      <c r="M116" s="2">
        <v>151.15087500000001</v>
      </c>
      <c r="N116" s="31">
        <f t="shared" si="16"/>
        <v>10745.778333333334</v>
      </c>
      <c r="O116" s="1">
        <v>1500</v>
      </c>
      <c r="P116" s="2">
        <v>939.75</v>
      </c>
      <c r="Q116" s="2">
        <v>5450.1874000000007</v>
      </c>
      <c r="R116" s="2"/>
      <c r="S116" s="2">
        <v>1755</v>
      </c>
      <c r="T116" s="2">
        <v>0</v>
      </c>
      <c r="U116" s="2">
        <v>5739.5254583333326</v>
      </c>
      <c r="V116" s="2">
        <v>0</v>
      </c>
      <c r="W116" s="36">
        <f t="shared" si="13"/>
        <v>15384.462858333332</v>
      </c>
    </row>
    <row r="117" spans="1:23" hidden="1" x14ac:dyDescent="0.3">
      <c r="A117" s="1">
        <v>2026</v>
      </c>
      <c r="B117" s="52">
        <f t="shared" si="15"/>
        <v>46023</v>
      </c>
      <c r="C117" s="1">
        <v>31</v>
      </c>
      <c r="D117" s="1" t="s">
        <v>48</v>
      </c>
      <c r="E117" s="5">
        <v>46023</v>
      </c>
      <c r="F117" s="77">
        <v>1556.8487500000001</v>
      </c>
      <c r="G117" s="77">
        <v>861.79216666666662</v>
      </c>
      <c r="H117" s="77">
        <v>487.26512500000001</v>
      </c>
      <c r="I117" s="77"/>
      <c r="J117" s="77">
        <v>1231.6482499999997</v>
      </c>
      <c r="K117" s="77">
        <v>1857.0480416666664</v>
      </c>
      <c r="L117" s="77">
        <v>2585.6082916666664</v>
      </c>
      <c r="M117" s="77">
        <v>170.32708333333335</v>
      </c>
      <c r="N117" s="78">
        <f>+SUM(F117:M117)</f>
        <v>8750.5377083333333</v>
      </c>
      <c r="O117" s="1">
        <v>1500</v>
      </c>
      <c r="P117" s="77">
        <v>943.95</v>
      </c>
      <c r="Q117" s="77">
        <v>5470.3123999999998</v>
      </c>
      <c r="R117" s="77"/>
      <c r="S117" s="77">
        <v>1755</v>
      </c>
      <c r="T117" s="77">
        <v>0</v>
      </c>
      <c r="U117" s="77">
        <v>5764.7307083333317</v>
      </c>
      <c r="V117" s="77">
        <v>0</v>
      </c>
      <c r="W117" s="79">
        <f t="shared" si="13"/>
        <v>15433.993108333332</v>
      </c>
    </row>
    <row r="118" spans="1:23" hidden="1" x14ac:dyDescent="0.3">
      <c r="A118" s="1">
        <v>2026</v>
      </c>
      <c r="B118" s="52">
        <f t="shared" si="15"/>
        <v>46023</v>
      </c>
      <c r="C118" s="1">
        <v>31</v>
      </c>
      <c r="D118" s="1" t="s">
        <v>49</v>
      </c>
      <c r="E118" s="5">
        <v>46024</v>
      </c>
      <c r="F118" s="77">
        <v>1521.4055416666667</v>
      </c>
      <c r="G118" s="77">
        <v>820.88220833333332</v>
      </c>
      <c r="H118" s="77">
        <v>808.38504166666655</v>
      </c>
      <c r="I118" s="77"/>
      <c r="J118" s="77">
        <v>1236.3631249999999</v>
      </c>
      <c r="K118" s="77">
        <v>1744.4352500000011</v>
      </c>
      <c r="L118" s="77">
        <v>2711.1392083333344</v>
      </c>
      <c r="M118" s="77">
        <v>59.266333333333336</v>
      </c>
      <c r="N118" s="78">
        <f t="shared" ref="N118:N181" si="17">+SUM(F118:M118)</f>
        <v>8901.876708333335</v>
      </c>
      <c r="O118" s="1">
        <v>1500</v>
      </c>
      <c r="P118" s="77">
        <v>951.82500000000005</v>
      </c>
      <c r="Q118" s="77">
        <v>5464.9486500000003</v>
      </c>
      <c r="R118" s="77"/>
      <c r="S118" s="77">
        <v>1755</v>
      </c>
      <c r="T118" s="77">
        <v>0</v>
      </c>
      <c r="U118" s="77">
        <v>5786.9704583333323</v>
      </c>
      <c r="V118" s="77">
        <v>0</v>
      </c>
      <c r="W118" s="79">
        <f t="shared" si="13"/>
        <v>15458.744108333332</v>
      </c>
    </row>
    <row r="119" spans="1:23" hidden="1" x14ac:dyDescent="0.3">
      <c r="A119" s="1">
        <v>2026</v>
      </c>
      <c r="B119" s="52">
        <f t="shared" si="15"/>
        <v>46023</v>
      </c>
      <c r="C119" s="1">
        <v>31</v>
      </c>
      <c r="D119" s="1" t="s">
        <v>43</v>
      </c>
      <c r="E119" s="5">
        <v>46025</v>
      </c>
      <c r="F119" s="77">
        <v>1515.4548750000001</v>
      </c>
      <c r="G119" s="77">
        <v>793.04625000000021</v>
      </c>
      <c r="H119" s="77">
        <v>632.36370833333331</v>
      </c>
      <c r="I119" s="77"/>
      <c r="J119" s="77">
        <v>1236.869791666667</v>
      </c>
      <c r="K119" s="77">
        <v>1345.6653333333336</v>
      </c>
      <c r="L119" s="77">
        <v>1950.5775833333335</v>
      </c>
      <c r="M119" s="77">
        <v>92.296999999999997</v>
      </c>
      <c r="N119" s="78">
        <f t="shared" si="17"/>
        <v>7566.2745416666676</v>
      </c>
      <c r="O119" s="1">
        <v>1500</v>
      </c>
      <c r="P119" s="77">
        <v>861</v>
      </c>
      <c r="Q119" s="77">
        <v>5479.0186500000009</v>
      </c>
      <c r="R119" s="77"/>
      <c r="S119" s="77">
        <v>1755</v>
      </c>
      <c r="T119" s="77">
        <v>0</v>
      </c>
      <c r="U119" s="77">
        <v>5833.9047499999988</v>
      </c>
      <c r="V119" s="77">
        <v>0</v>
      </c>
      <c r="W119" s="79">
        <f>+SUM(O119:V119)</f>
        <v>15428.9234</v>
      </c>
    </row>
    <row r="120" spans="1:23" hidden="1" x14ac:dyDescent="0.3">
      <c r="A120" s="1">
        <v>2026</v>
      </c>
      <c r="B120" s="52">
        <f t="shared" si="15"/>
        <v>46023</v>
      </c>
      <c r="C120" s="1">
        <v>31</v>
      </c>
      <c r="D120" s="1" t="s">
        <v>44</v>
      </c>
      <c r="E120" s="5">
        <v>46026</v>
      </c>
      <c r="F120" s="77">
        <v>2017.7593749999999</v>
      </c>
      <c r="G120" s="77">
        <v>793.27370833333327</v>
      </c>
      <c r="H120" s="77">
        <v>518.71679166666661</v>
      </c>
      <c r="I120" s="77"/>
      <c r="J120" s="77">
        <v>1237.1574166666667</v>
      </c>
      <c r="K120" s="77">
        <v>1202.1650416666671</v>
      </c>
      <c r="L120" s="77">
        <v>1438.2894583333334</v>
      </c>
      <c r="M120" s="77">
        <v>74.45150000000001</v>
      </c>
      <c r="N120" s="78">
        <f t="shared" si="17"/>
        <v>7281.8132916666673</v>
      </c>
      <c r="O120" s="1">
        <v>1500</v>
      </c>
      <c r="P120" s="77">
        <v>881.47500000000002</v>
      </c>
      <c r="Q120" s="77">
        <v>5408.9749000000011</v>
      </c>
      <c r="R120" s="77"/>
      <c r="S120" s="77">
        <v>1755</v>
      </c>
      <c r="T120" s="77">
        <v>0</v>
      </c>
      <c r="U120" s="77">
        <v>5848.5677083333312</v>
      </c>
      <c r="V120" s="77">
        <v>0</v>
      </c>
      <c r="W120" s="79">
        <f t="shared" si="13"/>
        <v>15394.017608333332</v>
      </c>
    </row>
    <row r="121" spans="1:23" hidden="1" x14ac:dyDescent="0.3">
      <c r="A121" s="1">
        <v>2026</v>
      </c>
      <c r="B121" s="52">
        <f t="shared" si="15"/>
        <v>46023</v>
      </c>
      <c r="C121" s="1">
        <v>31</v>
      </c>
      <c r="D121" s="1" t="s">
        <v>45</v>
      </c>
      <c r="E121" s="5">
        <v>46027</v>
      </c>
      <c r="F121" s="77">
        <v>1853.1121666666666</v>
      </c>
      <c r="G121" s="77">
        <v>780.90595833333327</v>
      </c>
      <c r="H121" s="77">
        <v>709.01229166666667</v>
      </c>
      <c r="I121" s="77"/>
      <c r="J121" s="77">
        <v>1234.0452500000001</v>
      </c>
      <c r="K121" s="77">
        <v>2067.5083749999999</v>
      </c>
      <c r="L121" s="77">
        <v>2035.7236250000005</v>
      </c>
      <c r="M121" s="77">
        <v>31.309041666666669</v>
      </c>
      <c r="N121" s="78">
        <f t="shared" si="17"/>
        <v>8711.6167083333348</v>
      </c>
      <c r="O121" s="1">
        <v>1500</v>
      </c>
      <c r="P121" s="77">
        <v>905.625</v>
      </c>
      <c r="Q121" s="77">
        <v>5415.2831250000008</v>
      </c>
      <c r="R121" s="77"/>
      <c r="S121" s="77">
        <v>1755</v>
      </c>
      <c r="T121" s="77">
        <v>0</v>
      </c>
      <c r="U121" s="77">
        <v>5838.4285833333324</v>
      </c>
      <c r="V121" s="77">
        <v>0</v>
      </c>
      <c r="W121" s="79">
        <f t="shared" ref="W121:W147" si="18">+SUM(O121:V121)</f>
        <v>15414.336708333334</v>
      </c>
    </row>
    <row r="122" spans="1:23" hidden="1" x14ac:dyDescent="0.3">
      <c r="A122" s="1">
        <v>2026</v>
      </c>
      <c r="B122" s="52">
        <f t="shared" si="15"/>
        <v>46023</v>
      </c>
      <c r="C122" s="1">
        <v>31</v>
      </c>
      <c r="D122" s="1" t="s">
        <v>46</v>
      </c>
      <c r="E122" s="5">
        <v>46028</v>
      </c>
      <c r="F122" s="77">
        <v>1672.5356250000002</v>
      </c>
      <c r="G122" s="77">
        <v>805.40070833333345</v>
      </c>
      <c r="H122" s="77">
        <v>1034.7974166666668</v>
      </c>
      <c r="I122" s="77"/>
      <c r="J122" s="77">
        <v>1237.0618333333332</v>
      </c>
      <c r="K122" s="77">
        <v>2172.2335833333327</v>
      </c>
      <c r="L122" s="77">
        <v>2576.2993750000001</v>
      </c>
      <c r="M122" s="77">
        <v>53.352125000000008</v>
      </c>
      <c r="N122" s="78">
        <f t="shared" si="17"/>
        <v>9551.6806666666653</v>
      </c>
      <c r="O122" s="1">
        <v>1500</v>
      </c>
      <c r="P122" s="77">
        <v>904.57500000000005</v>
      </c>
      <c r="Q122" s="77">
        <v>5417.2737500000003</v>
      </c>
      <c r="R122" s="77"/>
      <c r="S122" s="77">
        <v>1755</v>
      </c>
      <c r="T122" s="77">
        <v>0</v>
      </c>
      <c r="U122" s="77">
        <v>5837.7627499999981</v>
      </c>
      <c r="V122" s="77">
        <v>0</v>
      </c>
      <c r="W122" s="79">
        <f t="shared" si="18"/>
        <v>15414.611499999999</v>
      </c>
    </row>
    <row r="123" spans="1:23" hidden="1" x14ac:dyDescent="0.3">
      <c r="A123" s="1">
        <v>2026</v>
      </c>
      <c r="B123" s="52">
        <f t="shared" si="15"/>
        <v>46023</v>
      </c>
      <c r="C123" s="1">
        <v>31</v>
      </c>
      <c r="D123" s="1" t="s">
        <v>47</v>
      </c>
      <c r="E123" s="5">
        <v>46029</v>
      </c>
      <c r="F123" s="77">
        <v>1344.1991249999999</v>
      </c>
      <c r="G123" s="77">
        <v>824.64504166666654</v>
      </c>
      <c r="H123" s="77">
        <v>939.59454166666671</v>
      </c>
      <c r="I123" s="77"/>
      <c r="J123" s="77">
        <v>1235.2611250000002</v>
      </c>
      <c r="K123" s="77">
        <v>1912.334166666667</v>
      </c>
      <c r="L123" s="77">
        <v>2710.924458333333</v>
      </c>
      <c r="M123" s="77">
        <v>84.203499999999991</v>
      </c>
      <c r="N123" s="78">
        <f t="shared" si="17"/>
        <v>9051.1619583333322</v>
      </c>
      <c r="O123" s="1">
        <v>1500</v>
      </c>
      <c r="P123" s="77">
        <v>903</v>
      </c>
      <c r="Q123" s="77">
        <v>5400.692500000001</v>
      </c>
      <c r="R123" s="77"/>
      <c r="S123" s="77">
        <v>1755</v>
      </c>
      <c r="T123" s="77">
        <v>0</v>
      </c>
      <c r="U123" s="77">
        <v>5842.981749999999</v>
      </c>
      <c r="V123" s="77">
        <v>0</v>
      </c>
      <c r="W123" s="79">
        <f t="shared" si="18"/>
        <v>15401.67425</v>
      </c>
    </row>
    <row r="124" spans="1:23" hidden="1" x14ac:dyDescent="0.3">
      <c r="A124" s="1">
        <v>2026</v>
      </c>
      <c r="B124" s="52">
        <f t="shared" si="15"/>
        <v>46023</v>
      </c>
      <c r="C124" s="1">
        <v>31</v>
      </c>
      <c r="D124" s="1" t="s">
        <v>48</v>
      </c>
      <c r="E124" s="5">
        <v>46030</v>
      </c>
      <c r="F124" s="77">
        <v>1150.5086666666668</v>
      </c>
      <c r="G124" s="77">
        <v>808.40933333333351</v>
      </c>
      <c r="H124" s="77">
        <v>712.68129166666665</v>
      </c>
      <c r="I124" s="77"/>
      <c r="J124" s="77">
        <v>1239.519125</v>
      </c>
      <c r="K124" s="77">
        <v>1782.2075833333333</v>
      </c>
      <c r="L124" s="77">
        <v>2417.3470833333336</v>
      </c>
      <c r="M124" s="77">
        <v>85.33508333333333</v>
      </c>
      <c r="N124" s="78">
        <f t="shared" si="17"/>
        <v>8196.0081666666683</v>
      </c>
      <c r="O124" s="1">
        <v>1500</v>
      </c>
      <c r="P124" s="77">
        <v>868.875</v>
      </c>
      <c r="Q124" s="77">
        <v>5402.0925000000007</v>
      </c>
      <c r="R124" s="77"/>
      <c r="S124" s="77">
        <v>1755</v>
      </c>
      <c r="T124" s="77">
        <v>0</v>
      </c>
      <c r="U124" s="77">
        <v>5643.8319166666652</v>
      </c>
      <c r="V124" s="77">
        <v>0</v>
      </c>
      <c r="W124" s="79">
        <f t="shared" si="18"/>
        <v>15169.799416666665</v>
      </c>
    </row>
    <row r="125" spans="1:23" hidden="1" x14ac:dyDescent="0.3">
      <c r="A125" s="1">
        <v>2026</v>
      </c>
      <c r="B125" s="52">
        <f t="shared" si="15"/>
        <v>46023</v>
      </c>
      <c r="C125" s="1">
        <v>31</v>
      </c>
      <c r="D125" s="1" t="s">
        <v>49</v>
      </c>
      <c r="E125" s="5">
        <v>46031</v>
      </c>
      <c r="F125" s="77">
        <v>1274.0091249999998</v>
      </c>
      <c r="G125" s="77">
        <v>806.00066666666669</v>
      </c>
      <c r="H125" s="77">
        <v>189.32450000000003</v>
      </c>
      <c r="I125" s="77">
        <v>349.34648437500005</v>
      </c>
      <c r="J125" s="77">
        <v>1241.2684583333332</v>
      </c>
      <c r="K125" s="77">
        <v>1608.4169999999997</v>
      </c>
      <c r="L125" s="77">
        <v>2217.4441250000009</v>
      </c>
      <c r="M125" s="77">
        <v>85.140416666666667</v>
      </c>
      <c r="N125" s="78">
        <f t="shared" si="17"/>
        <v>7770.9507760416673</v>
      </c>
      <c r="O125" s="1">
        <v>1500</v>
      </c>
      <c r="P125" s="77">
        <v>881.47500000000002</v>
      </c>
      <c r="Q125" s="77">
        <v>1081.01</v>
      </c>
      <c r="R125" s="77">
        <v>4006.6649999999995</v>
      </c>
      <c r="S125" s="77">
        <v>1755</v>
      </c>
      <c r="T125" s="77">
        <v>0</v>
      </c>
      <c r="U125" s="77">
        <v>5659.0887499999972</v>
      </c>
      <c r="V125" s="77">
        <v>0</v>
      </c>
      <c r="W125" s="79">
        <f t="shared" si="18"/>
        <v>14883.238749999997</v>
      </c>
    </row>
    <row r="126" spans="1:23" hidden="1" x14ac:dyDescent="0.3">
      <c r="A126" s="1">
        <v>2026</v>
      </c>
      <c r="B126" s="52">
        <f t="shared" si="15"/>
        <v>46023</v>
      </c>
      <c r="C126" s="1">
        <v>31</v>
      </c>
      <c r="D126" s="1" t="s">
        <v>43</v>
      </c>
      <c r="E126" s="5">
        <v>46032</v>
      </c>
      <c r="F126" s="77">
        <v>1592.8860416666664</v>
      </c>
      <c r="G126" s="77">
        <v>849.41850000000011</v>
      </c>
      <c r="H126" s="77">
        <v>162.75370833333335</v>
      </c>
      <c r="I126" s="77">
        <v>350.46639999999996</v>
      </c>
      <c r="J126" s="77">
        <v>1246.1380833333333</v>
      </c>
      <c r="K126" s="77">
        <v>1606.8369999999995</v>
      </c>
      <c r="L126" s="77">
        <v>1660.1190833333328</v>
      </c>
      <c r="M126" s="77">
        <v>63.934708333333333</v>
      </c>
      <c r="N126" s="78">
        <f t="shared" si="17"/>
        <v>7532.5535249999984</v>
      </c>
      <c r="O126" s="1">
        <v>1500</v>
      </c>
      <c r="P126" s="77">
        <v>920.85</v>
      </c>
      <c r="Q126" s="77">
        <v>1084.6849999999999</v>
      </c>
      <c r="R126" s="77">
        <v>3903.9299999999994</v>
      </c>
      <c r="S126" s="77">
        <v>1755</v>
      </c>
      <c r="T126" s="77">
        <v>0</v>
      </c>
      <c r="U126" s="77">
        <v>5405.5810833333298</v>
      </c>
      <c r="V126" s="77">
        <v>0</v>
      </c>
      <c r="W126" s="79">
        <f t="shared" si="18"/>
        <v>14570.046083333331</v>
      </c>
    </row>
    <row r="127" spans="1:23" hidden="1" x14ac:dyDescent="0.3">
      <c r="A127" s="1">
        <v>2026</v>
      </c>
      <c r="B127" s="52">
        <f t="shared" si="15"/>
        <v>46023</v>
      </c>
      <c r="C127" s="1">
        <v>31</v>
      </c>
      <c r="D127" s="1" t="s">
        <v>44</v>
      </c>
      <c r="E127" s="5">
        <v>46033</v>
      </c>
      <c r="F127" s="77">
        <v>1483.9770833333332</v>
      </c>
      <c r="G127" s="77">
        <v>784.09025000000031</v>
      </c>
      <c r="H127" s="77">
        <v>188.21554166666672</v>
      </c>
      <c r="I127" s="77">
        <v>261.57929374999998</v>
      </c>
      <c r="J127" s="77">
        <v>1244.2687083333333</v>
      </c>
      <c r="K127" s="77">
        <v>1782.6222083333332</v>
      </c>
      <c r="L127" s="77">
        <v>2128.0508750000004</v>
      </c>
      <c r="M127" s="77">
        <v>24.165374999999997</v>
      </c>
      <c r="N127" s="78">
        <f t="shared" si="17"/>
        <v>7896.9693354166675</v>
      </c>
      <c r="O127" s="1">
        <v>1500</v>
      </c>
      <c r="P127" s="77">
        <v>947.625</v>
      </c>
      <c r="Q127" s="77">
        <v>1093.6756250000001</v>
      </c>
      <c r="R127" s="77">
        <v>3903.9299999999994</v>
      </c>
      <c r="S127" s="77">
        <v>1755</v>
      </c>
      <c r="T127" s="77">
        <v>0</v>
      </c>
      <c r="U127" s="77">
        <v>5409.3009999999986</v>
      </c>
      <c r="V127" s="77">
        <v>0</v>
      </c>
      <c r="W127" s="79">
        <f t="shared" si="18"/>
        <v>14609.531625</v>
      </c>
    </row>
    <row r="128" spans="1:23" hidden="1" x14ac:dyDescent="0.3">
      <c r="A128" s="1">
        <v>2026</v>
      </c>
      <c r="B128" s="52">
        <f t="shared" si="15"/>
        <v>46023</v>
      </c>
      <c r="C128" s="1">
        <v>31</v>
      </c>
      <c r="D128" s="1" t="s">
        <v>45</v>
      </c>
      <c r="E128" s="5">
        <v>46034</v>
      </c>
      <c r="F128" s="77">
        <v>1680.6538333333338</v>
      </c>
      <c r="G128" s="77">
        <v>835.26079166666659</v>
      </c>
      <c r="H128" s="77">
        <v>218.51316666666665</v>
      </c>
      <c r="I128" s="77">
        <v>1036.7129520833334</v>
      </c>
      <c r="J128" s="77">
        <v>1242.6239166666669</v>
      </c>
      <c r="K128" s="77">
        <v>1809.5081666666658</v>
      </c>
      <c r="L128" s="77">
        <v>3287.674041666668</v>
      </c>
      <c r="M128" s="77">
        <v>37.970291666666668</v>
      </c>
      <c r="N128" s="78">
        <f t="shared" si="17"/>
        <v>10148.917160416668</v>
      </c>
      <c r="O128" s="1">
        <v>1500</v>
      </c>
      <c r="P128" s="77">
        <v>939.55312500000002</v>
      </c>
      <c r="Q128" s="77">
        <v>1090.5330625000001</v>
      </c>
      <c r="R128" s="77">
        <v>3903.9299999999994</v>
      </c>
      <c r="S128" s="77">
        <v>1755</v>
      </c>
      <c r="T128" s="77">
        <v>0</v>
      </c>
      <c r="U128" s="77">
        <v>5852.7114999999994</v>
      </c>
      <c r="V128" s="77">
        <v>0</v>
      </c>
      <c r="W128" s="79">
        <f t="shared" si="18"/>
        <v>15041.727687499999</v>
      </c>
    </row>
    <row r="129" spans="1:23" hidden="1" x14ac:dyDescent="0.3">
      <c r="A129" s="1">
        <v>2026</v>
      </c>
      <c r="B129" s="52">
        <f t="shared" si="15"/>
        <v>46023</v>
      </c>
      <c r="C129" s="1">
        <v>31</v>
      </c>
      <c r="D129" s="1" t="s">
        <v>46</v>
      </c>
      <c r="E129" s="5">
        <v>46035</v>
      </c>
      <c r="F129" s="77">
        <v>1392.5868333333337</v>
      </c>
      <c r="G129" s="77">
        <v>828.05291666666699</v>
      </c>
      <c r="H129" s="77">
        <v>208.06879166666667</v>
      </c>
      <c r="I129" s="77">
        <v>1081.8987916666665</v>
      </c>
      <c r="J129" s="77">
        <v>1245.4570000000001</v>
      </c>
      <c r="K129" s="77">
        <v>1621.1448333333335</v>
      </c>
      <c r="L129" s="77">
        <v>3868.1665833333332</v>
      </c>
      <c r="M129" s="77">
        <v>67.453041666666664</v>
      </c>
      <c r="N129" s="78">
        <f t="shared" si="17"/>
        <v>10312.828791666669</v>
      </c>
      <c r="O129" s="1">
        <v>1500</v>
      </c>
      <c r="P129" s="77">
        <v>937.49578125000005</v>
      </c>
      <c r="Q129" s="77">
        <v>1091.11625</v>
      </c>
      <c r="R129" s="77">
        <v>3903.9299999999994</v>
      </c>
      <c r="S129" s="77">
        <v>1755</v>
      </c>
      <c r="T129" s="77">
        <v>0</v>
      </c>
      <c r="U129" s="77">
        <v>6086.8633749999972</v>
      </c>
      <c r="V129" s="77">
        <v>0</v>
      </c>
      <c r="W129" s="79">
        <f t="shared" si="18"/>
        <v>15274.405406249996</v>
      </c>
    </row>
    <row r="130" spans="1:23" hidden="1" x14ac:dyDescent="0.3">
      <c r="A130" s="1">
        <v>2026</v>
      </c>
      <c r="B130" s="52">
        <f t="shared" si="15"/>
        <v>46023</v>
      </c>
      <c r="C130" s="1">
        <v>31</v>
      </c>
      <c r="D130" s="1" t="s">
        <v>47</v>
      </c>
      <c r="E130" s="5">
        <v>46036</v>
      </c>
      <c r="F130" s="77">
        <v>1337.354875</v>
      </c>
      <c r="G130" s="77">
        <v>739.70220833333349</v>
      </c>
      <c r="H130" s="77">
        <v>209.80404166666671</v>
      </c>
      <c r="I130" s="77">
        <v>957.67877083333315</v>
      </c>
      <c r="J130" s="77">
        <v>1250.3778333333335</v>
      </c>
      <c r="K130" s="77">
        <v>2112.7847916666665</v>
      </c>
      <c r="L130" s="77">
        <v>4033.9801249999978</v>
      </c>
      <c r="M130" s="77">
        <v>14.646458333333337</v>
      </c>
      <c r="N130" s="78">
        <f t="shared" si="17"/>
        <v>10656.329104166665</v>
      </c>
      <c r="O130" s="1">
        <v>1500</v>
      </c>
      <c r="P130" s="77">
        <v>937.65000000000009</v>
      </c>
      <c r="Q130" s="77">
        <v>1087.3975000000003</v>
      </c>
      <c r="R130" s="77">
        <v>3903.9299999999994</v>
      </c>
      <c r="S130" s="77">
        <v>1755</v>
      </c>
      <c r="T130" s="77">
        <v>0</v>
      </c>
      <c r="U130" s="77">
        <v>5970.9845833333302</v>
      </c>
      <c r="V130" s="77">
        <v>0</v>
      </c>
      <c r="W130" s="79">
        <f t="shared" si="18"/>
        <v>15154.962083333332</v>
      </c>
    </row>
    <row r="131" spans="1:23" hidden="1" x14ac:dyDescent="0.3">
      <c r="A131" s="1">
        <v>2026</v>
      </c>
      <c r="B131" s="52">
        <f t="shared" si="15"/>
        <v>46023</v>
      </c>
      <c r="C131" s="1">
        <v>31</v>
      </c>
      <c r="D131" s="1" t="s">
        <v>48</v>
      </c>
      <c r="E131" s="5">
        <v>46037</v>
      </c>
      <c r="F131" s="77">
        <v>1250.3885416666665</v>
      </c>
      <c r="G131" s="77">
        <v>589.79241666666667</v>
      </c>
      <c r="H131" s="77">
        <v>211.26004166666667</v>
      </c>
      <c r="I131" s="77">
        <v>717.91492083333333</v>
      </c>
      <c r="J131" s="77">
        <v>1266.1626249999999</v>
      </c>
      <c r="K131" s="77">
        <v>2161.2891666666656</v>
      </c>
      <c r="L131" s="77">
        <v>4219.5694583333325</v>
      </c>
      <c r="M131" s="77">
        <v>15.846875000000001</v>
      </c>
      <c r="N131" s="78">
        <f t="shared" si="17"/>
        <v>10432.224045833329</v>
      </c>
      <c r="O131" s="1">
        <v>1500</v>
      </c>
      <c r="P131" s="77">
        <v>921.60796875000005</v>
      </c>
      <c r="Q131" s="77">
        <v>1085.21</v>
      </c>
      <c r="R131" s="77">
        <v>3790.5</v>
      </c>
      <c r="S131" s="77">
        <v>1755</v>
      </c>
      <c r="T131" s="77">
        <v>0</v>
      </c>
      <c r="U131" s="77">
        <v>5870.6423750000004</v>
      </c>
      <c r="V131" s="77">
        <v>0</v>
      </c>
      <c r="W131" s="79">
        <f t="shared" si="18"/>
        <v>14922.960343750001</v>
      </c>
    </row>
    <row r="132" spans="1:23" hidden="1" x14ac:dyDescent="0.3">
      <c r="A132" s="1">
        <v>2026</v>
      </c>
      <c r="B132" s="52">
        <f t="shared" si="15"/>
        <v>46023</v>
      </c>
      <c r="C132" s="1">
        <v>31</v>
      </c>
      <c r="D132" s="1" t="s">
        <v>49</v>
      </c>
      <c r="E132" s="5">
        <v>46038</v>
      </c>
      <c r="F132" s="77">
        <v>1126.5217499999999</v>
      </c>
      <c r="G132" s="77">
        <v>433.33704166666661</v>
      </c>
      <c r="H132" s="77">
        <v>226.40283333333335</v>
      </c>
      <c r="I132" s="77">
        <v>463.0585395833333</v>
      </c>
      <c r="J132" s="77">
        <v>1270.3821666666668</v>
      </c>
      <c r="K132" s="77">
        <v>2159.9748333333337</v>
      </c>
      <c r="L132" s="77">
        <v>3450.8600416666663</v>
      </c>
      <c r="M132" s="77">
        <v>15.354375000000003</v>
      </c>
      <c r="N132" s="78">
        <f t="shared" si="17"/>
        <v>9145.8915812500018</v>
      </c>
      <c r="O132" s="1">
        <v>1500</v>
      </c>
      <c r="P132" s="77">
        <v>923.47500000000002</v>
      </c>
      <c r="Q132" s="77">
        <v>1090.2850000000001</v>
      </c>
      <c r="R132" s="77">
        <v>3903.9299999999994</v>
      </c>
      <c r="S132" s="77">
        <v>1755</v>
      </c>
      <c r="T132" s="77">
        <v>0</v>
      </c>
      <c r="U132" s="77">
        <v>5363.4424166666649</v>
      </c>
      <c r="V132" s="77">
        <v>0</v>
      </c>
      <c r="W132" s="79">
        <f t="shared" si="18"/>
        <v>14536.132416666664</v>
      </c>
    </row>
    <row r="133" spans="1:23" hidden="1" x14ac:dyDescent="0.3">
      <c r="A133" s="1">
        <v>2026</v>
      </c>
      <c r="B133" s="52">
        <f t="shared" si="15"/>
        <v>46023</v>
      </c>
      <c r="C133" s="1">
        <v>31</v>
      </c>
      <c r="D133" s="1" t="s">
        <v>43</v>
      </c>
      <c r="E133" s="5">
        <v>46039</v>
      </c>
      <c r="F133" s="77">
        <v>1099.6091666666666</v>
      </c>
      <c r="G133" s="77">
        <v>419.7625000000001</v>
      </c>
      <c r="H133" s="77">
        <v>212.55883333333335</v>
      </c>
      <c r="I133" s="77">
        <v>576.23140624999996</v>
      </c>
      <c r="J133" s="77">
        <v>1269.381625</v>
      </c>
      <c r="K133" s="77">
        <v>2104.2990833333347</v>
      </c>
      <c r="L133" s="77">
        <v>3214.1422916666661</v>
      </c>
      <c r="M133" s="77">
        <v>14.036291666666662</v>
      </c>
      <c r="N133" s="78">
        <f t="shared" si="17"/>
        <v>8910.021197916667</v>
      </c>
      <c r="O133" s="1">
        <v>1500</v>
      </c>
      <c r="P133" s="77">
        <v>923.47500000000002</v>
      </c>
      <c r="Q133" s="77">
        <v>1083.8975</v>
      </c>
      <c r="R133" s="77">
        <v>3903.9299999999994</v>
      </c>
      <c r="S133" s="77">
        <v>1755</v>
      </c>
      <c r="T133" s="77">
        <v>0</v>
      </c>
      <c r="U133" s="77">
        <v>5200.3266249999979</v>
      </c>
      <c r="V133" s="77">
        <v>0</v>
      </c>
      <c r="W133" s="79">
        <f t="shared" si="18"/>
        <v>14366.629124999998</v>
      </c>
    </row>
    <row r="134" spans="1:23" hidden="1" x14ac:dyDescent="0.3">
      <c r="A134" s="1">
        <v>2026</v>
      </c>
      <c r="B134" s="52">
        <f t="shared" si="15"/>
        <v>46023</v>
      </c>
      <c r="C134" s="1">
        <v>31</v>
      </c>
      <c r="D134" s="1" t="s">
        <v>44</v>
      </c>
      <c r="E134" s="5">
        <v>46040</v>
      </c>
      <c r="F134" s="77">
        <v>1089.1960000000004</v>
      </c>
      <c r="G134" s="77">
        <v>259.56637499999999</v>
      </c>
      <c r="H134" s="77">
        <v>201.316125</v>
      </c>
      <c r="I134" s="77">
        <v>226.15953333333331</v>
      </c>
      <c r="J134" s="77">
        <v>1269.181</v>
      </c>
      <c r="K134" s="77">
        <v>1386.430625</v>
      </c>
      <c r="L134" s="77">
        <v>2559.7559583333323</v>
      </c>
      <c r="M134" s="77">
        <v>234.58354166666666</v>
      </c>
      <c r="N134" s="78">
        <f t="shared" si="17"/>
        <v>7226.1891583333327</v>
      </c>
      <c r="O134" s="1">
        <v>1500</v>
      </c>
      <c r="P134" s="77">
        <v>919.80000000000007</v>
      </c>
      <c r="Q134" s="77">
        <v>1086.4350000000002</v>
      </c>
      <c r="R134" s="77">
        <v>3903.9299999999994</v>
      </c>
      <c r="S134" s="77">
        <v>1755</v>
      </c>
      <c r="T134" s="77">
        <v>0</v>
      </c>
      <c r="U134" s="77">
        <v>5427.5430000000015</v>
      </c>
      <c r="V134" s="77">
        <v>0</v>
      </c>
      <c r="W134" s="79">
        <f t="shared" si="18"/>
        <v>14592.708000000002</v>
      </c>
    </row>
    <row r="135" spans="1:23" hidden="1" x14ac:dyDescent="0.3">
      <c r="A135" s="1">
        <v>2026</v>
      </c>
      <c r="B135" s="52">
        <f t="shared" si="15"/>
        <v>46023</v>
      </c>
      <c r="C135" s="1">
        <v>31</v>
      </c>
      <c r="D135" s="1" t="s">
        <v>45</v>
      </c>
      <c r="E135" s="5">
        <v>46041</v>
      </c>
      <c r="F135" s="77">
        <v>1090.3253749999999</v>
      </c>
      <c r="G135" s="77">
        <v>219.46712500000001</v>
      </c>
      <c r="H135" s="77">
        <v>207.25258333333335</v>
      </c>
      <c r="I135" s="77">
        <v>164.59422916666665</v>
      </c>
      <c r="J135" s="77">
        <v>1273.5384583333334</v>
      </c>
      <c r="K135" s="77">
        <v>1880.9452916666671</v>
      </c>
      <c r="L135" s="77">
        <v>2741.7972083333334</v>
      </c>
      <c r="M135" s="77">
        <v>15.177208333333333</v>
      </c>
      <c r="N135" s="78">
        <f t="shared" si="17"/>
        <v>7593.0974791666677</v>
      </c>
      <c r="O135" s="1">
        <v>1500</v>
      </c>
      <c r="P135" s="77">
        <v>917.14481250000006</v>
      </c>
      <c r="Q135" s="77">
        <v>1082.2350000000001</v>
      </c>
      <c r="R135" s="77">
        <v>3903.9299999999994</v>
      </c>
      <c r="S135" s="77">
        <v>1755</v>
      </c>
      <c r="T135" s="77">
        <v>0</v>
      </c>
      <c r="U135" s="77">
        <v>5731.9326249999967</v>
      </c>
      <c r="V135" s="77">
        <v>0</v>
      </c>
      <c r="W135" s="79">
        <f t="shared" si="18"/>
        <v>14890.242437499997</v>
      </c>
    </row>
    <row r="136" spans="1:23" hidden="1" x14ac:dyDescent="0.3">
      <c r="A136" s="1">
        <v>2026</v>
      </c>
      <c r="B136" s="52">
        <f t="shared" si="15"/>
        <v>46023</v>
      </c>
      <c r="C136" s="1">
        <v>31</v>
      </c>
      <c r="D136" s="1" t="s">
        <v>46</v>
      </c>
      <c r="E136" s="5">
        <v>46042</v>
      </c>
      <c r="F136" s="77">
        <v>1401.2916250000001</v>
      </c>
      <c r="G136" s="77">
        <v>188.05445833333332</v>
      </c>
      <c r="H136" s="77">
        <v>251.88991666666666</v>
      </c>
      <c r="I136" s="77">
        <v>226.55813750000002</v>
      </c>
      <c r="J136" s="77">
        <v>1271.8311666666666</v>
      </c>
      <c r="K136" s="77">
        <v>1720.349166666666</v>
      </c>
      <c r="L136" s="77">
        <v>2817.5511250000004</v>
      </c>
      <c r="M136" s="77">
        <v>12.615083333333336</v>
      </c>
      <c r="N136" s="78">
        <f t="shared" si="17"/>
        <v>7890.1406791666659</v>
      </c>
      <c r="O136" s="1">
        <v>1500</v>
      </c>
      <c r="P136" s="77">
        <v>927.85546875</v>
      </c>
      <c r="Q136" s="77">
        <v>1079.9254375</v>
      </c>
      <c r="R136" s="77">
        <v>3903.9299999999994</v>
      </c>
      <c r="S136" s="77">
        <v>1755</v>
      </c>
      <c r="T136" s="77">
        <v>0</v>
      </c>
      <c r="U136" s="77">
        <v>6024.2102500000001</v>
      </c>
      <c r="V136" s="77">
        <v>0</v>
      </c>
      <c r="W136" s="79">
        <f t="shared" si="18"/>
        <v>15190.921156249999</v>
      </c>
    </row>
    <row r="137" spans="1:23" hidden="1" x14ac:dyDescent="0.3">
      <c r="A137" s="1">
        <v>2026</v>
      </c>
      <c r="B137" s="52">
        <f t="shared" si="15"/>
        <v>46023</v>
      </c>
      <c r="C137" s="1">
        <v>31</v>
      </c>
      <c r="D137" s="1" t="s">
        <v>47</v>
      </c>
      <c r="E137" s="5">
        <v>46043</v>
      </c>
      <c r="F137" s="77">
        <v>1268.0771666666667</v>
      </c>
      <c r="G137" s="77">
        <v>169.83900000000003</v>
      </c>
      <c r="H137" s="77">
        <v>199.18195833333334</v>
      </c>
      <c r="I137" s="77">
        <v>225.86063958333332</v>
      </c>
      <c r="J137" s="77">
        <v>1269.8485416666667</v>
      </c>
      <c r="K137" s="77">
        <v>2289.8851250000007</v>
      </c>
      <c r="L137" s="77">
        <v>2864.6685416666651</v>
      </c>
      <c r="M137" s="77">
        <v>13.113458333333332</v>
      </c>
      <c r="N137" s="78">
        <f t="shared" si="17"/>
        <v>8300.4744312499988</v>
      </c>
      <c r="O137" s="1">
        <v>1500</v>
      </c>
      <c r="P137" s="77">
        <v>932.75546874999998</v>
      </c>
      <c r="Q137" s="77">
        <v>1059.5550000000001</v>
      </c>
      <c r="R137" s="77">
        <v>3903.9299999999994</v>
      </c>
      <c r="S137" s="77">
        <v>1755</v>
      </c>
      <c r="T137" s="77">
        <v>0</v>
      </c>
      <c r="U137" s="77">
        <v>6016.4477916666638</v>
      </c>
      <c r="V137" s="77">
        <v>0</v>
      </c>
      <c r="W137" s="79">
        <f t="shared" si="18"/>
        <v>15167.688260416662</v>
      </c>
    </row>
    <row r="138" spans="1:23" hidden="1" x14ac:dyDescent="0.3">
      <c r="A138" s="1">
        <v>2026</v>
      </c>
      <c r="B138" s="52">
        <f t="shared" si="15"/>
        <v>46023</v>
      </c>
      <c r="C138" s="1">
        <v>31</v>
      </c>
      <c r="D138" s="1" t="s">
        <v>48</v>
      </c>
      <c r="E138" s="5">
        <v>46044</v>
      </c>
      <c r="F138" s="77">
        <v>1138.2316666666666</v>
      </c>
      <c r="G138" s="77">
        <v>203.14733333333336</v>
      </c>
      <c r="H138" s="77">
        <v>220.20666666666668</v>
      </c>
      <c r="I138" s="77">
        <v>499.39101249999999</v>
      </c>
      <c r="J138" s="77">
        <v>1265.4241666666667</v>
      </c>
      <c r="K138" s="77">
        <v>1642.5098333333335</v>
      </c>
      <c r="L138" s="77">
        <v>3467.0480000000011</v>
      </c>
      <c r="M138" s="77">
        <v>47.725875000000002</v>
      </c>
      <c r="N138" s="78">
        <f t="shared" si="17"/>
        <v>8483.684554166668</v>
      </c>
      <c r="O138" s="1">
        <v>1500</v>
      </c>
      <c r="P138" s="77">
        <v>934.68484375000014</v>
      </c>
      <c r="Q138" s="77">
        <v>1059.5550000000001</v>
      </c>
      <c r="R138" s="77">
        <v>3885.0590416666664</v>
      </c>
      <c r="S138" s="77">
        <v>1755</v>
      </c>
      <c r="T138" s="77">
        <v>0</v>
      </c>
      <c r="U138" s="77">
        <v>6034.0031666666637</v>
      </c>
      <c r="V138" s="77">
        <v>0</v>
      </c>
      <c r="W138" s="79">
        <f t="shared" si="18"/>
        <v>15168.302052083331</v>
      </c>
    </row>
    <row r="139" spans="1:23" hidden="1" x14ac:dyDescent="0.3">
      <c r="A139" s="1">
        <v>2026</v>
      </c>
      <c r="B139" s="52">
        <f t="shared" si="15"/>
        <v>46023</v>
      </c>
      <c r="C139" s="1">
        <v>31</v>
      </c>
      <c r="D139" s="1" t="s">
        <v>49</v>
      </c>
      <c r="E139" s="5">
        <v>46045</v>
      </c>
      <c r="F139" s="77">
        <v>1098.0772083333336</v>
      </c>
      <c r="G139" s="77">
        <v>330.35241666666667</v>
      </c>
      <c r="H139" s="77">
        <v>261.46604166666668</v>
      </c>
      <c r="I139" s="77">
        <v>1242.4385791666666</v>
      </c>
      <c r="J139" s="77">
        <v>1266.0005000000001</v>
      </c>
      <c r="K139" s="77">
        <v>1140.2669583333341</v>
      </c>
      <c r="L139" s="77">
        <v>3773.9490000000005</v>
      </c>
      <c r="M139" s="77">
        <v>56.842208333333332</v>
      </c>
      <c r="N139" s="78">
        <f t="shared" si="17"/>
        <v>9169.3929125000013</v>
      </c>
      <c r="O139" s="1">
        <v>1500</v>
      </c>
      <c r="P139" s="77">
        <v>938.04003125000008</v>
      </c>
      <c r="Q139" s="77">
        <v>1082.326875</v>
      </c>
      <c r="R139" s="77">
        <v>3903.9299999999994</v>
      </c>
      <c r="S139" s="77">
        <v>1755</v>
      </c>
      <c r="T139" s="77">
        <v>0</v>
      </c>
      <c r="U139" s="77">
        <v>6040.8899999999976</v>
      </c>
      <c r="V139" s="77">
        <v>0</v>
      </c>
      <c r="W139" s="79">
        <f t="shared" si="18"/>
        <v>15220.186906249997</v>
      </c>
    </row>
    <row r="140" spans="1:23" hidden="1" x14ac:dyDescent="0.3">
      <c r="A140" s="1">
        <v>2026</v>
      </c>
      <c r="B140" s="52">
        <f t="shared" si="15"/>
        <v>46023</v>
      </c>
      <c r="C140" s="1">
        <v>31</v>
      </c>
      <c r="D140" s="1" t="s">
        <v>43</v>
      </c>
      <c r="E140" s="5">
        <v>46046</v>
      </c>
      <c r="F140" s="77">
        <v>972.81704166666668</v>
      </c>
      <c r="G140" s="77">
        <v>365.95812499999994</v>
      </c>
      <c r="H140" s="77">
        <v>286.2715</v>
      </c>
      <c r="I140" s="77">
        <v>1014.0393020833333</v>
      </c>
      <c r="J140" s="77">
        <v>1267.8392916666667</v>
      </c>
      <c r="K140" s="77">
        <v>1395.48</v>
      </c>
      <c r="L140" s="77">
        <v>2963.1610833333343</v>
      </c>
      <c r="M140" s="77">
        <v>451.56904166666669</v>
      </c>
      <c r="N140" s="78">
        <f t="shared" si="17"/>
        <v>8717.1353854166682</v>
      </c>
      <c r="O140" s="1">
        <v>1500</v>
      </c>
      <c r="P140" s="77">
        <v>950.25</v>
      </c>
      <c r="Q140" s="77">
        <v>1073.73</v>
      </c>
      <c r="R140" s="77">
        <v>3884.9299999999994</v>
      </c>
      <c r="S140" s="77">
        <v>1755</v>
      </c>
      <c r="T140" s="77">
        <v>0</v>
      </c>
      <c r="U140" s="77">
        <v>6015.4067916666672</v>
      </c>
      <c r="V140" s="77">
        <v>0</v>
      </c>
      <c r="W140" s="79">
        <f t="shared" si="18"/>
        <v>15179.316791666668</v>
      </c>
    </row>
    <row r="141" spans="1:23" hidden="1" x14ac:dyDescent="0.3">
      <c r="A141" s="1">
        <v>2026</v>
      </c>
      <c r="B141" s="52">
        <f t="shared" si="15"/>
        <v>46023</v>
      </c>
      <c r="C141" s="1">
        <v>31</v>
      </c>
      <c r="D141" s="1" t="s">
        <v>44</v>
      </c>
      <c r="E141" s="5">
        <v>46047</v>
      </c>
      <c r="F141" s="77">
        <v>758.33662500000003</v>
      </c>
      <c r="G141" s="77">
        <v>394.52191666666675</v>
      </c>
      <c r="H141" s="77">
        <v>207.36233333333334</v>
      </c>
      <c r="I141" s="77">
        <v>679.8866187499998</v>
      </c>
      <c r="J141" s="77">
        <v>1262.8066666666668</v>
      </c>
      <c r="K141" s="77">
        <v>1816.6116666666671</v>
      </c>
      <c r="L141" s="77">
        <v>2962.5743750000001</v>
      </c>
      <c r="M141" s="77">
        <v>642.16345833333344</v>
      </c>
      <c r="N141" s="78">
        <f t="shared" si="17"/>
        <v>8724.2636604166673</v>
      </c>
      <c r="O141" s="1">
        <v>1500</v>
      </c>
      <c r="P141" s="77">
        <v>950.25</v>
      </c>
      <c r="Q141" s="77">
        <v>1082.5675000000001</v>
      </c>
      <c r="R141" s="77">
        <v>3884.9299999999994</v>
      </c>
      <c r="S141" s="77">
        <v>1755</v>
      </c>
      <c r="T141" s="77">
        <v>0</v>
      </c>
      <c r="U141" s="77">
        <v>5984.8980833333335</v>
      </c>
      <c r="V141" s="77">
        <v>0</v>
      </c>
      <c r="W141" s="79">
        <f t="shared" si="18"/>
        <v>15157.645583333333</v>
      </c>
    </row>
    <row r="142" spans="1:23" hidden="1" x14ac:dyDescent="0.3">
      <c r="A142" s="1">
        <v>2026</v>
      </c>
      <c r="B142" s="52">
        <f t="shared" si="15"/>
        <v>46023</v>
      </c>
      <c r="C142" s="1">
        <v>31</v>
      </c>
      <c r="D142" s="1" t="s">
        <v>45</v>
      </c>
      <c r="E142" s="5">
        <v>46048</v>
      </c>
      <c r="F142" s="77">
        <v>828.24425000000008</v>
      </c>
      <c r="G142" s="77">
        <v>209.44741666666673</v>
      </c>
      <c r="H142" s="77">
        <v>272.33258333333328</v>
      </c>
      <c r="I142" s="77">
        <v>1192.1485875000001</v>
      </c>
      <c r="J142" s="77">
        <v>1262.249875</v>
      </c>
      <c r="K142" s="77">
        <v>1890.4432499999998</v>
      </c>
      <c r="L142" s="77">
        <v>3828.9203333333339</v>
      </c>
      <c r="M142" s="77">
        <v>678.42091666666659</v>
      </c>
      <c r="N142" s="78">
        <f t="shared" si="17"/>
        <v>10162.2072125</v>
      </c>
      <c r="O142" s="1">
        <v>1500</v>
      </c>
      <c r="P142" s="77">
        <v>944.47500000000002</v>
      </c>
      <c r="Q142" s="77">
        <v>1068.0425</v>
      </c>
      <c r="R142" s="77">
        <v>3884.9299999999994</v>
      </c>
      <c r="S142" s="77">
        <v>1755</v>
      </c>
      <c r="T142" s="77">
        <v>0</v>
      </c>
      <c r="U142" s="77">
        <v>5937.4852916666614</v>
      </c>
      <c r="V142" s="77">
        <v>0</v>
      </c>
      <c r="W142" s="79">
        <f t="shared" si="18"/>
        <v>15089.932791666659</v>
      </c>
    </row>
    <row r="143" spans="1:23" hidden="1" x14ac:dyDescent="0.3">
      <c r="A143" s="1">
        <v>2026</v>
      </c>
      <c r="B143" s="52">
        <f t="shared" si="15"/>
        <v>46023</v>
      </c>
      <c r="C143" s="1">
        <v>31</v>
      </c>
      <c r="D143" s="1" t="s">
        <v>46</v>
      </c>
      <c r="E143" s="5">
        <v>46049</v>
      </c>
      <c r="F143" s="77">
        <v>994.17579166666667</v>
      </c>
      <c r="G143" s="77">
        <v>266.14895833333327</v>
      </c>
      <c r="H143" s="77">
        <v>255.59674999999999</v>
      </c>
      <c r="I143" s="77">
        <v>987.1475729166666</v>
      </c>
      <c r="J143" s="77">
        <v>1260.6662083333335</v>
      </c>
      <c r="K143" s="77">
        <v>1652.1917499999995</v>
      </c>
      <c r="L143" s="77">
        <v>4050.604833333332</v>
      </c>
      <c r="M143" s="77">
        <v>659.94349999999997</v>
      </c>
      <c r="N143" s="78">
        <f t="shared" si="17"/>
        <v>10126.475364583332</v>
      </c>
      <c r="O143" s="1">
        <v>1500</v>
      </c>
      <c r="P143" s="77">
        <v>941.32500000000005</v>
      </c>
      <c r="Q143" s="77">
        <v>1082.2393312500001</v>
      </c>
      <c r="R143" s="77">
        <v>3884.9299999999994</v>
      </c>
      <c r="S143" s="77">
        <v>1755</v>
      </c>
      <c r="T143" s="77">
        <v>0</v>
      </c>
      <c r="U143" s="77">
        <v>6011.6799166666633</v>
      </c>
      <c r="V143" s="77">
        <v>0</v>
      </c>
      <c r="W143" s="79">
        <f t="shared" si="18"/>
        <v>15175.174247916664</v>
      </c>
    </row>
    <row r="144" spans="1:23" hidden="1" x14ac:dyDescent="0.3">
      <c r="A144" s="1">
        <v>2026</v>
      </c>
      <c r="B144" s="52">
        <f t="shared" si="15"/>
        <v>46023</v>
      </c>
      <c r="C144" s="1">
        <v>31</v>
      </c>
      <c r="D144" s="1" t="s">
        <v>47</v>
      </c>
      <c r="E144" s="5">
        <v>46050</v>
      </c>
      <c r="F144" s="77">
        <v>1008.0343750000001</v>
      </c>
      <c r="G144" s="77">
        <v>519.16366666666681</v>
      </c>
      <c r="H144" s="77">
        <v>200.11141666666671</v>
      </c>
      <c r="I144" s="77">
        <v>943.69279166666661</v>
      </c>
      <c r="J144" s="77">
        <v>1262.7856666666667</v>
      </c>
      <c r="K144" s="77">
        <v>1168.4343750000005</v>
      </c>
      <c r="L144" s="77">
        <v>3936.4227499999997</v>
      </c>
      <c r="M144" s="77">
        <v>626.46458333333328</v>
      </c>
      <c r="N144" s="78">
        <f t="shared" si="17"/>
        <v>9665.1096249999991</v>
      </c>
      <c r="O144" s="1">
        <v>1500</v>
      </c>
      <c r="P144" s="77">
        <v>934.5</v>
      </c>
      <c r="Q144" s="77">
        <v>1077.23686875</v>
      </c>
      <c r="R144" s="77">
        <v>3884.9299999999994</v>
      </c>
      <c r="S144" s="77">
        <v>1755</v>
      </c>
      <c r="T144" s="77">
        <v>0</v>
      </c>
      <c r="U144" s="77">
        <v>6002.474666666667</v>
      </c>
      <c r="V144" s="77">
        <v>0</v>
      </c>
      <c r="W144" s="79">
        <f t="shared" si="18"/>
        <v>15154.141535416666</v>
      </c>
    </row>
    <row r="145" spans="1:24" hidden="1" x14ac:dyDescent="0.3">
      <c r="A145" s="1">
        <v>2026</v>
      </c>
      <c r="B145" s="52">
        <f t="shared" si="15"/>
        <v>46023</v>
      </c>
      <c r="C145" s="1">
        <v>31</v>
      </c>
      <c r="D145" s="1" t="s">
        <v>48</v>
      </c>
      <c r="E145" s="5">
        <v>46051</v>
      </c>
      <c r="F145" s="77">
        <v>1050.1807916666667</v>
      </c>
      <c r="G145" s="77">
        <v>380.65029166666676</v>
      </c>
      <c r="H145" s="77">
        <v>230.39545833333335</v>
      </c>
      <c r="I145" s="77">
        <v>1092.7198458333335</v>
      </c>
      <c r="J145" s="77">
        <v>1258.3196666666665</v>
      </c>
      <c r="K145" s="77">
        <v>1374.9280416666661</v>
      </c>
      <c r="L145" s="77">
        <v>3826.1649583333333</v>
      </c>
      <c r="M145" s="77">
        <v>598.4476249999999</v>
      </c>
      <c r="N145" s="78">
        <f t="shared" si="17"/>
        <v>9811.8066791666661</v>
      </c>
      <c r="O145" s="1">
        <v>1500</v>
      </c>
      <c r="P145" s="77">
        <v>924.52500000000009</v>
      </c>
      <c r="Q145" s="77">
        <v>1095.0314375000003</v>
      </c>
      <c r="R145" s="77">
        <v>3884.9299999999994</v>
      </c>
      <c r="S145" s="77">
        <v>1755</v>
      </c>
      <c r="T145" s="77">
        <v>0</v>
      </c>
      <c r="U145" s="77">
        <v>6021.9378333333316</v>
      </c>
      <c r="V145" s="77">
        <v>0</v>
      </c>
      <c r="W145" s="79">
        <f t="shared" si="18"/>
        <v>15181.424270833331</v>
      </c>
    </row>
    <row r="146" spans="1:24" hidden="1" x14ac:dyDescent="0.3">
      <c r="A146" s="1">
        <v>2026</v>
      </c>
      <c r="B146" s="52">
        <f t="shared" si="15"/>
        <v>46023</v>
      </c>
      <c r="C146" s="1">
        <v>31</v>
      </c>
      <c r="D146" s="1" t="s">
        <v>49</v>
      </c>
      <c r="E146" s="5">
        <v>46052</v>
      </c>
      <c r="F146" s="77">
        <v>1028.2109583333338</v>
      </c>
      <c r="G146" s="77">
        <v>482.66779166666674</v>
      </c>
      <c r="H146" s="77">
        <v>261.98220833333335</v>
      </c>
      <c r="I146" s="77">
        <v>695.8465395833332</v>
      </c>
      <c r="J146" s="77">
        <v>1247.4630000000002</v>
      </c>
      <c r="K146" s="77">
        <v>1568.1529583333338</v>
      </c>
      <c r="L146" s="77">
        <v>3867.0861666666697</v>
      </c>
      <c r="M146" s="77">
        <v>615.59866666666676</v>
      </c>
      <c r="N146" s="78">
        <f t="shared" si="17"/>
        <v>9767.0082895833384</v>
      </c>
      <c r="O146" s="1">
        <v>1500</v>
      </c>
      <c r="P146" s="77">
        <v>917.17500000000007</v>
      </c>
      <c r="Q146" s="77">
        <v>1077.3895562500002</v>
      </c>
      <c r="R146" s="77">
        <v>3884.9299999999994</v>
      </c>
      <c r="S146" s="77">
        <v>1755</v>
      </c>
      <c r="T146" s="77">
        <v>0</v>
      </c>
      <c r="U146" s="77">
        <v>6004.1914999999944</v>
      </c>
      <c r="V146" s="77">
        <v>0</v>
      </c>
      <c r="W146" s="79">
        <f t="shared" si="18"/>
        <v>15138.686056249993</v>
      </c>
    </row>
    <row r="147" spans="1:24" hidden="1" x14ac:dyDescent="0.3">
      <c r="A147" s="1">
        <v>2026</v>
      </c>
      <c r="B147" s="52">
        <f t="shared" si="15"/>
        <v>46023</v>
      </c>
      <c r="C147" s="1">
        <v>31</v>
      </c>
      <c r="D147" s="1" t="s">
        <v>43</v>
      </c>
      <c r="E147" s="5">
        <v>46053</v>
      </c>
      <c r="F147" s="77">
        <v>759.41712500000006</v>
      </c>
      <c r="G147" s="77">
        <v>246.25412500000002</v>
      </c>
      <c r="H147" s="77">
        <v>232.40929166666672</v>
      </c>
      <c r="I147" s="77">
        <v>630.84449166666661</v>
      </c>
      <c r="J147" s="77">
        <v>1259.5043333333333</v>
      </c>
      <c r="K147" s="77">
        <v>1686.7084583333333</v>
      </c>
      <c r="L147" s="77">
        <v>3431.7760416666674</v>
      </c>
      <c r="M147" s="77">
        <v>669.37508333333346</v>
      </c>
      <c r="N147" s="78">
        <f t="shared" si="17"/>
        <v>8916.2889500000019</v>
      </c>
      <c r="O147" s="1">
        <v>1500</v>
      </c>
      <c r="P147" s="77">
        <v>911.92500000000007</v>
      </c>
      <c r="Q147" s="77">
        <v>1094.0991687500002</v>
      </c>
      <c r="R147" s="77">
        <v>3884.9299999999994</v>
      </c>
      <c r="S147" s="77">
        <v>1755</v>
      </c>
      <c r="T147" s="77">
        <v>0</v>
      </c>
      <c r="U147" s="77">
        <v>5978.0750416666642</v>
      </c>
      <c r="V147" s="77">
        <v>0</v>
      </c>
      <c r="W147" s="79">
        <f t="shared" si="18"/>
        <v>15124.029210416662</v>
      </c>
    </row>
    <row r="148" spans="1:24" hidden="1" x14ac:dyDescent="0.3">
      <c r="A148" s="1">
        <v>2026</v>
      </c>
      <c r="B148" s="52">
        <f t="shared" si="15"/>
        <v>46054</v>
      </c>
      <c r="C148" s="1">
        <v>28</v>
      </c>
      <c r="D148" s="1" t="s">
        <v>44</v>
      </c>
      <c r="E148" s="5">
        <v>46054</v>
      </c>
      <c r="F148" s="77">
        <v>879.46895833333349</v>
      </c>
      <c r="G148" s="77">
        <v>188.01020833333334</v>
      </c>
      <c r="H148" s="77">
        <v>201.61979166666666</v>
      </c>
      <c r="I148" s="77">
        <v>325.4264583333333</v>
      </c>
      <c r="J148" s="77">
        <v>1259.9862083333335</v>
      </c>
      <c r="K148" s="77">
        <v>1537.5087916666671</v>
      </c>
      <c r="L148" s="77">
        <v>3159.8437916666667</v>
      </c>
      <c r="M148" s="77">
        <v>690.79104166666662</v>
      </c>
      <c r="N148" s="78">
        <f t="shared" si="17"/>
        <v>8242.6552500000016</v>
      </c>
      <c r="O148" s="1">
        <v>1500</v>
      </c>
      <c r="P148" s="77">
        <v>910.875</v>
      </c>
      <c r="Q148" s="77">
        <v>1101.0857812500001</v>
      </c>
      <c r="R148" s="77">
        <v>3884.9299999999994</v>
      </c>
      <c r="S148" s="77">
        <v>1755</v>
      </c>
      <c r="T148" s="77">
        <v>0</v>
      </c>
      <c r="U148" s="77">
        <v>5826.4787500000011</v>
      </c>
      <c r="V148" s="77">
        <v>0</v>
      </c>
      <c r="W148" s="79">
        <f>+SUM(O148:V148)</f>
        <v>14978.369531250002</v>
      </c>
      <c r="X148" s="88"/>
    </row>
    <row r="149" spans="1:24" hidden="1" x14ac:dyDescent="0.3">
      <c r="A149" s="1">
        <v>2026</v>
      </c>
      <c r="B149" s="52">
        <f t="shared" si="15"/>
        <v>46054</v>
      </c>
      <c r="C149" s="1">
        <v>28</v>
      </c>
      <c r="D149" s="1" t="s">
        <v>45</v>
      </c>
      <c r="E149" s="5">
        <v>46055</v>
      </c>
      <c r="F149" s="77">
        <v>1003.4747916666665</v>
      </c>
      <c r="G149" s="77">
        <v>404.30758333333341</v>
      </c>
      <c r="H149" s="77">
        <v>321.69929166666668</v>
      </c>
      <c r="I149" s="77">
        <v>778.99350833333324</v>
      </c>
      <c r="J149" s="77">
        <v>1260.5552916666666</v>
      </c>
      <c r="K149" s="77">
        <v>1956.1752916666667</v>
      </c>
      <c r="L149" s="77">
        <v>3519.5624166666666</v>
      </c>
      <c r="M149" s="77">
        <v>573.30650000000003</v>
      </c>
      <c r="N149" s="78">
        <f t="shared" si="17"/>
        <v>9818.0746749999998</v>
      </c>
      <c r="O149" s="1">
        <v>1500</v>
      </c>
      <c r="P149" s="77">
        <v>901.59956250000016</v>
      </c>
      <c r="Q149" s="77">
        <v>1054.4367312500001</v>
      </c>
      <c r="R149" s="77">
        <v>3884.9299999999994</v>
      </c>
      <c r="S149" s="77">
        <v>1755</v>
      </c>
      <c r="T149" s="77">
        <v>0</v>
      </c>
      <c r="U149" s="77">
        <v>5884.8360416666692</v>
      </c>
      <c r="V149" s="77">
        <v>0</v>
      </c>
      <c r="W149" s="79">
        <f t="shared" ref="W149:W212" si="19">+SUM(O149:V149)</f>
        <v>14980.802335416669</v>
      </c>
      <c r="X149" s="88"/>
    </row>
    <row r="150" spans="1:24" hidden="1" x14ac:dyDescent="0.3">
      <c r="A150" s="1">
        <v>2026</v>
      </c>
      <c r="B150" s="52">
        <f t="shared" si="15"/>
        <v>46054</v>
      </c>
      <c r="C150" s="1">
        <v>28</v>
      </c>
      <c r="D150" s="1" t="s">
        <v>46</v>
      </c>
      <c r="E150" s="5">
        <v>46056</v>
      </c>
      <c r="F150" s="77">
        <v>883.89845833333345</v>
      </c>
      <c r="G150" s="77">
        <v>224.73874999999998</v>
      </c>
      <c r="H150" s="77">
        <v>398.28854166666673</v>
      </c>
      <c r="I150" s="77">
        <v>1505.3120500000002</v>
      </c>
      <c r="J150" s="77">
        <v>1259.5323333333336</v>
      </c>
      <c r="K150" s="77">
        <v>1362.7861666666668</v>
      </c>
      <c r="L150" s="77">
        <v>3983.9078749999994</v>
      </c>
      <c r="M150" s="77">
        <v>670.06266666666647</v>
      </c>
      <c r="N150" s="78">
        <f t="shared" si="17"/>
        <v>10288.526841666668</v>
      </c>
      <c r="O150" s="1">
        <v>1500</v>
      </c>
      <c r="P150" s="77">
        <v>886.04709375000004</v>
      </c>
      <c r="Q150" s="77">
        <v>1002.4727125000002</v>
      </c>
      <c r="R150" s="77">
        <v>3884.9299999999994</v>
      </c>
      <c r="S150" s="77">
        <v>1755</v>
      </c>
      <c r="T150" s="77">
        <v>0</v>
      </c>
      <c r="U150" s="77">
        <v>5880.2262083333353</v>
      </c>
      <c r="V150" s="77">
        <v>0</v>
      </c>
      <c r="W150" s="79">
        <f t="shared" si="19"/>
        <v>14908.676014583334</v>
      </c>
      <c r="X150" s="88"/>
    </row>
    <row r="151" spans="1:24" hidden="1" x14ac:dyDescent="0.3">
      <c r="A151" s="1">
        <v>2026</v>
      </c>
      <c r="B151" s="52">
        <f t="shared" si="15"/>
        <v>46054</v>
      </c>
      <c r="C151" s="1">
        <v>28</v>
      </c>
      <c r="D151" s="1" t="s">
        <v>47</v>
      </c>
      <c r="E151" s="5">
        <v>46057</v>
      </c>
      <c r="F151" s="77">
        <v>928.3341250000002</v>
      </c>
      <c r="G151" s="77">
        <v>100.20162499999999</v>
      </c>
      <c r="H151" s="77">
        <v>269.02900000000005</v>
      </c>
      <c r="I151" s="77">
        <v>485.22211874999999</v>
      </c>
      <c r="J151" s="77">
        <v>1259.1865416666667</v>
      </c>
      <c r="K151" s="77">
        <v>1572.6401250000004</v>
      </c>
      <c r="L151" s="77">
        <v>3489.0636249999998</v>
      </c>
      <c r="M151" s="77">
        <v>798.74416666666684</v>
      </c>
      <c r="N151" s="78">
        <f t="shared" si="17"/>
        <v>8902.4213270833334</v>
      </c>
      <c r="O151" s="1">
        <v>1500</v>
      </c>
      <c r="P151" s="77">
        <v>880.09053125000003</v>
      </c>
      <c r="Q151" s="77">
        <v>1004.0155125000001</v>
      </c>
      <c r="R151" s="77">
        <v>3884.9299999999994</v>
      </c>
      <c r="S151" s="77">
        <v>1755</v>
      </c>
      <c r="T151" s="77">
        <v>0</v>
      </c>
      <c r="U151" s="77">
        <v>5897.797125000001</v>
      </c>
      <c r="V151" s="77">
        <v>0</v>
      </c>
      <c r="W151" s="79">
        <f t="shared" si="19"/>
        <v>14921.833168749999</v>
      </c>
      <c r="X151" s="88"/>
    </row>
    <row r="152" spans="1:24" hidden="1" x14ac:dyDescent="0.3">
      <c r="A152" s="1">
        <v>2026</v>
      </c>
      <c r="B152" s="52">
        <f t="shared" si="15"/>
        <v>46054</v>
      </c>
      <c r="C152" s="1">
        <v>28</v>
      </c>
      <c r="D152" s="1" t="s">
        <v>48</v>
      </c>
      <c r="E152" s="5">
        <v>46058</v>
      </c>
      <c r="F152" s="77">
        <v>976.13387500000044</v>
      </c>
      <c r="G152" s="77">
        <v>119.56075</v>
      </c>
      <c r="H152" s="77">
        <v>221.77199999999999</v>
      </c>
      <c r="I152" s="77">
        <v>309.35740625</v>
      </c>
      <c r="J152" s="77">
        <v>1260.7903749999998</v>
      </c>
      <c r="K152" s="77">
        <v>1804.3054999999999</v>
      </c>
      <c r="L152" s="77">
        <v>3357.0459583333341</v>
      </c>
      <c r="M152" s="77">
        <v>852.00245833333349</v>
      </c>
      <c r="N152" s="78">
        <f t="shared" si="17"/>
        <v>8900.9683229166676</v>
      </c>
      <c r="O152" s="1">
        <v>1500</v>
      </c>
      <c r="P152" s="77">
        <v>875.61621875000003</v>
      </c>
      <c r="Q152" s="77">
        <v>1003.43630625</v>
      </c>
      <c r="R152" s="77">
        <v>3884.9299999999994</v>
      </c>
      <c r="S152" s="77">
        <v>1755</v>
      </c>
      <c r="T152" s="77">
        <v>0</v>
      </c>
      <c r="U152" s="77">
        <v>5967.4620833333347</v>
      </c>
      <c r="V152" s="77">
        <v>0</v>
      </c>
      <c r="W152" s="79">
        <f t="shared" si="19"/>
        <v>14986.444608333335</v>
      </c>
      <c r="X152" s="88"/>
    </row>
    <row r="153" spans="1:24" hidden="1" x14ac:dyDescent="0.3">
      <c r="A153" s="1">
        <v>2026</v>
      </c>
      <c r="B153" s="52">
        <f t="shared" si="15"/>
        <v>46054</v>
      </c>
      <c r="C153" s="1">
        <v>28</v>
      </c>
      <c r="D153" s="1" t="s">
        <v>49</v>
      </c>
      <c r="E153" s="5">
        <v>46059</v>
      </c>
      <c r="F153" s="77">
        <v>868.37454166666691</v>
      </c>
      <c r="G153" s="77">
        <v>171.58762499999997</v>
      </c>
      <c r="H153" s="77">
        <v>220.33975000000001</v>
      </c>
      <c r="I153" s="77">
        <v>248.72852499999999</v>
      </c>
      <c r="J153" s="77">
        <v>1261.3342916666666</v>
      </c>
      <c r="K153" s="77">
        <v>1825.5968333333342</v>
      </c>
      <c r="L153" s="77">
        <v>2904.6487083333332</v>
      </c>
      <c r="M153" s="77">
        <v>883.02641666666682</v>
      </c>
      <c r="N153" s="78">
        <f t="shared" si="17"/>
        <v>8383.6366916666684</v>
      </c>
      <c r="O153" s="1">
        <v>1500</v>
      </c>
      <c r="P153" s="77">
        <v>882.5184375</v>
      </c>
      <c r="Q153" s="77">
        <v>1022.4506250000001</v>
      </c>
      <c r="R153" s="77">
        <v>3884.9299999999994</v>
      </c>
      <c r="S153" s="77">
        <v>1755</v>
      </c>
      <c r="T153" s="77">
        <v>0</v>
      </c>
      <c r="U153" s="77">
        <v>5976.6535833333346</v>
      </c>
      <c r="V153" s="77">
        <v>0</v>
      </c>
      <c r="W153" s="79">
        <f t="shared" si="19"/>
        <v>15021.552645833333</v>
      </c>
      <c r="X153" s="88"/>
    </row>
    <row r="154" spans="1:24" hidden="1" x14ac:dyDescent="0.3">
      <c r="A154" s="1">
        <v>2026</v>
      </c>
      <c r="B154" s="52">
        <f t="shared" ref="B154:B175" si="20">DATE(A154,MONTH(E154),1)</f>
        <v>46054</v>
      </c>
      <c r="C154" s="1">
        <v>28</v>
      </c>
      <c r="D154" s="1" t="s">
        <v>43</v>
      </c>
      <c r="E154" s="5">
        <v>46060</v>
      </c>
      <c r="F154" s="77">
        <v>960.10620833333326</v>
      </c>
      <c r="G154" s="77">
        <v>206.06295833333334</v>
      </c>
      <c r="H154" s="77">
        <v>233.46274999999997</v>
      </c>
      <c r="I154" s="77">
        <v>352.72652916666669</v>
      </c>
      <c r="J154" s="77">
        <v>1260.1016249999998</v>
      </c>
      <c r="K154" s="77">
        <v>1532.5000833333334</v>
      </c>
      <c r="L154" s="77">
        <v>2924.2714583333336</v>
      </c>
      <c r="M154" s="77">
        <v>30.824333333333335</v>
      </c>
      <c r="N154" s="78">
        <f t="shared" si="17"/>
        <v>7500.0559458333328</v>
      </c>
      <c r="O154" s="1">
        <v>1500</v>
      </c>
      <c r="P154" s="77">
        <v>885.67500000000007</v>
      </c>
      <c r="Q154" s="77">
        <v>1009.30375</v>
      </c>
      <c r="R154" s="77">
        <v>3884.9299999999994</v>
      </c>
      <c r="S154" s="77">
        <v>1755</v>
      </c>
      <c r="T154" s="77">
        <v>0</v>
      </c>
      <c r="U154" s="77">
        <v>5894.6255833333325</v>
      </c>
      <c r="V154" s="77">
        <v>0</v>
      </c>
      <c r="W154" s="79">
        <f t="shared" si="19"/>
        <v>14929.534333333331</v>
      </c>
      <c r="X154" s="88"/>
    </row>
    <row r="155" spans="1:24" hidden="1" x14ac:dyDescent="0.3">
      <c r="A155" s="1">
        <v>2026</v>
      </c>
      <c r="B155" s="52">
        <f t="shared" si="20"/>
        <v>46054</v>
      </c>
      <c r="C155" s="1">
        <v>28</v>
      </c>
      <c r="D155" s="1" t="s">
        <v>44</v>
      </c>
      <c r="E155" s="5">
        <v>46061</v>
      </c>
      <c r="F155" s="77">
        <v>884.15129166666657</v>
      </c>
      <c r="G155" s="77">
        <v>278.48383333333334</v>
      </c>
      <c r="H155" s="77">
        <v>197.44658333333334</v>
      </c>
      <c r="I155" s="77">
        <v>411.52867916666662</v>
      </c>
      <c r="J155" s="77">
        <v>1259.4139166666666</v>
      </c>
      <c r="K155" s="77">
        <v>1727.6699999999994</v>
      </c>
      <c r="L155" s="77">
        <v>2600.0727083333331</v>
      </c>
      <c r="M155" s="77">
        <v>14.109083333333334</v>
      </c>
      <c r="N155" s="78">
        <f t="shared" si="17"/>
        <v>7372.8760958333323</v>
      </c>
      <c r="O155" s="1">
        <v>1500</v>
      </c>
      <c r="P155" s="77">
        <v>887.77500000000009</v>
      </c>
      <c r="Q155" s="77">
        <v>929.46</v>
      </c>
      <c r="R155" s="77">
        <v>3884.9299999999994</v>
      </c>
      <c r="S155" s="77">
        <v>1755</v>
      </c>
      <c r="T155" s="77">
        <v>0</v>
      </c>
      <c r="U155" s="77">
        <v>5794.0548750000016</v>
      </c>
      <c r="V155" s="77">
        <v>0</v>
      </c>
      <c r="W155" s="79">
        <f t="shared" si="19"/>
        <v>14751.219875000001</v>
      </c>
      <c r="X155" s="88"/>
    </row>
    <row r="156" spans="1:24" hidden="1" x14ac:dyDescent="0.3">
      <c r="A156" s="1">
        <v>2026</v>
      </c>
      <c r="B156" s="52">
        <f t="shared" si="20"/>
        <v>46054</v>
      </c>
      <c r="C156" s="1">
        <v>28</v>
      </c>
      <c r="D156" s="1" t="s">
        <v>45</v>
      </c>
      <c r="E156" s="5">
        <v>46062</v>
      </c>
      <c r="F156" s="77">
        <v>934.98987500000021</v>
      </c>
      <c r="G156" s="77">
        <v>189.79137500000002</v>
      </c>
      <c r="H156" s="77">
        <v>238.95337499999994</v>
      </c>
      <c r="I156" s="77">
        <v>561.85648125</v>
      </c>
      <c r="J156" s="77">
        <v>1260.0740833333332</v>
      </c>
      <c r="K156" s="77">
        <v>2033.2629583333335</v>
      </c>
      <c r="L156" s="77">
        <v>3425.1674583333347</v>
      </c>
      <c r="M156" s="77">
        <v>90.51766666666667</v>
      </c>
      <c r="N156" s="78">
        <f t="shared" si="17"/>
        <v>8734.6132729166675</v>
      </c>
      <c r="O156" s="1">
        <v>1500</v>
      </c>
      <c r="P156" s="77">
        <v>876.15500000000009</v>
      </c>
      <c r="Q156" s="77">
        <v>944.29868750000003</v>
      </c>
      <c r="R156" s="77">
        <v>3880.75</v>
      </c>
      <c r="S156" s="77">
        <v>1755</v>
      </c>
      <c r="T156" s="77">
        <v>0</v>
      </c>
      <c r="U156" s="77">
        <v>5973.7051249999986</v>
      </c>
      <c r="V156" s="77">
        <v>0</v>
      </c>
      <c r="W156" s="79">
        <f t="shared" si="19"/>
        <v>14929.9088125</v>
      </c>
      <c r="X156" s="88"/>
    </row>
    <row r="157" spans="1:24" hidden="1" x14ac:dyDescent="0.3">
      <c r="A157" s="1">
        <v>2026</v>
      </c>
      <c r="B157" s="52">
        <f t="shared" si="20"/>
        <v>46054</v>
      </c>
      <c r="C157" s="1">
        <v>28</v>
      </c>
      <c r="D157" s="1" t="s">
        <v>46</v>
      </c>
      <c r="E157" s="5">
        <v>46063</v>
      </c>
      <c r="F157" s="77">
        <v>1026.1190000000001</v>
      </c>
      <c r="G157" s="77">
        <v>184.89391666666666</v>
      </c>
      <c r="H157" s="77">
        <v>218.03445833333336</v>
      </c>
      <c r="I157" s="77">
        <v>750.21025000000009</v>
      </c>
      <c r="J157" s="77">
        <v>1259.9954583333333</v>
      </c>
      <c r="K157" s="77">
        <v>1824.8083750000001</v>
      </c>
      <c r="L157" s="77">
        <v>3740.0672499999991</v>
      </c>
      <c r="M157" s="77">
        <v>280.75962500000003</v>
      </c>
      <c r="N157" s="78">
        <f t="shared" si="17"/>
        <v>9284.8883333333342</v>
      </c>
      <c r="O157" s="1">
        <v>1500</v>
      </c>
      <c r="P157" s="77">
        <v>878.171875</v>
      </c>
      <c r="Q157" s="77">
        <v>1001.8588562500001</v>
      </c>
      <c r="R157" s="77">
        <v>3880.75</v>
      </c>
      <c r="S157" s="77">
        <v>1755</v>
      </c>
      <c r="T157" s="77">
        <v>0</v>
      </c>
      <c r="U157" s="77">
        <v>5963.0667916666653</v>
      </c>
      <c r="V157" s="77">
        <v>0</v>
      </c>
      <c r="W157" s="79">
        <f t="shared" si="19"/>
        <v>14978.847522916665</v>
      </c>
      <c r="X157" s="88"/>
    </row>
    <row r="158" spans="1:24" hidden="1" x14ac:dyDescent="0.3">
      <c r="A158" s="1">
        <v>2026</v>
      </c>
      <c r="B158" s="52">
        <f t="shared" si="20"/>
        <v>46054</v>
      </c>
      <c r="C158" s="1">
        <v>28</v>
      </c>
      <c r="D158" s="1" t="s">
        <v>47</v>
      </c>
      <c r="E158" s="5">
        <v>46064</v>
      </c>
      <c r="F158" s="77">
        <v>1018.7357916666666</v>
      </c>
      <c r="G158" s="77">
        <v>155.42699999999999</v>
      </c>
      <c r="H158" s="77">
        <v>228.10320833333336</v>
      </c>
      <c r="I158" s="77">
        <v>178.80706041666667</v>
      </c>
      <c r="J158" s="77">
        <v>1261.8914166666668</v>
      </c>
      <c r="K158" s="77">
        <v>2386.7943333333333</v>
      </c>
      <c r="L158" s="77">
        <v>3298.5889166666666</v>
      </c>
      <c r="M158" s="77">
        <v>37.144874999999999</v>
      </c>
      <c r="N158" s="78">
        <f t="shared" si="17"/>
        <v>8565.4926020833336</v>
      </c>
      <c r="O158" s="1">
        <v>1500</v>
      </c>
      <c r="P158" s="77">
        <v>885.20031250000011</v>
      </c>
      <c r="Q158" s="77">
        <v>968.36818750000009</v>
      </c>
      <c r="R158" s="77">
        <v>3842.75</v>
      </c>
      <c r="S158" s="77">
        <v>1755</v>
      </c>
      <c r="T158" s="77">
        <v>0</v>
      </c>
      <c r="U158" s="77">
        <v>5998.4354583333334</v>
      </c>
      <c r="V158" s="77">
        <v>0</v>
      </c>
      <c r="W158" s="79">
        <f t="shared" si="19"/>
        <v>14949.753958333335</v>
      </c>
      <c r="X158" s="88"/>
    </row>
    <row r="159" spans="1:24" hidden="1" x14ac:dyDescent="0.3">
      <c r="A159" s="1">
        <v>2026</v>
      </c>
      <c r="B159" s="52">
        <f t="shared" si="20"/>
        <v>46054</v>
      </c>
      <c r="C159" s="1">
        <v>28</v>
      </c>
      <c r="D159" s="1" t="s">
        <v>48</v>
      </c>
      <c r="E159" s="5">
        <v>46065</v>
      </c>
      <c r="F159" s="77">
        <v>1009.9837500000002</v>
      </c>
      <c r="G159" s="77">
        <v>194.87545833333328</v>
      </c>
      <c r="H159" s="77">
        <v>217.82741666666661</v>
      </c>
      <c r="I159" s="77">
        <v>427.93102291666668</v>
      </c>
      <c r="J159" s="77">
        <v>1262.40825</v>
      </c>
      <c r="K159" s="77">
        <v>2119.883249999999</v>
      </c>
      <c r="L159" s="77">
        <v>3394.5677083333339</v>
      </c>
      <c r="M159" s="77">
        <v>31.511541666666666</v>
      </c>
      <c r="N159" s="78">
        <f t="shared" si="17"/>
        <v>8658.9883979166661</v>
      </c>
      <c r="O159" s="1">
        <v>1500</v>
      </c>
      <c r="P159" s="77">
        <v>889.06190625000011</v>
      </c>
      <c r="Q159" s="77">
        <v>1002.4350000000001</v>
      </c>
      <c r="R159" s="77">
        <v>3842.75</v>
      </c>
      <c r="S159" s="77">
        <v>1755</v>
      </c>
      <c r="T159" s="77">
        <v>0</v>
      </c>
      <c r="U159" s="77">
        <v>6031.6630000000005</v>
      </c>
      <c r="V159" s="77">
        <v>0</v>
      </c>
      <c r="W159" s="79">
        <f t="shared" si="19"/>
        <v>15020.909906250001</v>
      </c>
      <c r="X159" s="88"/>
    </row>
    <row r="160" spans="1:24" hidden="1" x14ac:dyDescent="0.3">
      <c r="A160" s="1">
        <v>2026</v>
      </c>
      <c r="B160" s="52">
        <f t="shared" si="20"/>
        <v>46054</v>
      </c>
      <c r="C160" s="1">
        <v>28</v>
      </c>
      <c r="D160" s="1" t="s">
        <v>49</v>
      </c>
      <c r="E160" s="5">
        <v>46066</v>
      </c>
      <c r="F160" s="77">
        <v>1053.8968333333335</v>
      </c>
      <c r="G160" s="77">
        <v>184.83220833333334</v>
      </c>
      <c r="H160" s="77">
        <v>259.66075000000001</v>
      </c>
      <c r="I160" s="77">
        <v>511.99240624999993</v>
      </c>
      <c r="J160" s="77">
        <v>1263.4394166666666</v>
      </c>
      <c r="K160" s="77">
        <v>1498.6424999999995</v>
      </c>
      <c r="L160" s="77">
        <v>2919.3523750000008</v>
      </c>
      <c r="M160" s="77">
        <v>16.079125000000005</v>
      </c>
      <c r="N160" s="78">
        <f t="shared" si="17"/>
        <v>7707.8956145833326</v>
      </c>
      <c r="O160" s="1">
        <v>1500</v>
      </c>
      <c r="P160" s="77">
        <v>891.12034375000007</v>
      </c>
      <c r="Q160" s="77">
        <v>1004.600625</v>
      </c>
      <c r="R160" s="77">
        <v>3842.75</v>
      </c>
      <c r="S160" s="77">
        <v>1755</v>
      </c>
      <c r="T160" s="77">
        <v>0</v>
      </c>
      <c r="U160" s="77">
        <v>5978.9869166666667</v>
      </c>
      <c r="V160" s="77">
        <v>0</v>
      </c>
      <c r="W160" s="79">
        <f t="shared" si="19"/>
        <v>14972.457885416667</v>
      </c>
      <c r="X160" s="88"/>
    </row>
    <row r="161" spans="1:24" hidden="1" x14ac:dyDescent="0.3">
      <c r="A161" s="1">
        <v>2026</v>
      </c>
      <c r="B161" s="52">
        <f t="shared" si="20"/>
        <v>46054</v>
      </c>
      <c r="C161" s="1">
        <v>28</v>
      </c>
      <c r="D161" s="1" t="s">
        <v>43</v>
      </c>
      <c r="E161" s="5">
        <v>46067</v>
      </c>
      <c r="F161" s="77">
        <v>936.7266666666668</v>
      </c>
      <c r="G161" s="77">
        <v>240.67937500000002</v>
      </c>
      <c r="H161" s="77">
        <v>228.60125000000002</v>
      </c>
      <c r="I161" s="77">
        <v>554.85145833333343</v>
      </c>
      <c r="J161" s="77">
        <v>1267.7239999999997</v>
      </c>
      <c r="K161" s="77">
        <v>1953.3792916666673</v>
      </c>
      <c r="L161" s="77">
        <v>2311.3054166666666</v>
      </c>
      <c r="M161" s="77">
        <v>30.478666666666669</v>
      </c>
      <c r="N161" s="78">
        <f t="shared" si="17"/>
        <v>7523.7461250000006</v>
      </c>
      <c r="O161" s="1">
        <v>1500</v>
      </c>
      <c r="P161" s="77">
        <v>901.42500000000007</v>
      </c>
      <c r="Q161" s="77">
        <v>1001.3163125000002</v>
      </c>
      <c r="R161" s="77">
        <v>3842.75</v>
      </c>
      <c r="S161" s="77">
        <v>1755</v>
      </c>
      <c r="T161" s="77">
        <v>0</v>
      </c>
      <c r="U161" s="77">
        <v>5949.0220416666689</v>
      </c>
      <c r="V161" s="77">
        <v>0</v>
      </c>
      <c r="W161" s="79">
        <f t="shared" si="19"/>
        <v>14949.513354166669</v>
      </c>
      <c r="X161" s="88"/>
    </row>
    <row r="162" spans="1:24" hidden="1" x14ac:dyDescent="0.3">
      <c r="A162" s="1">
        <v>2026</v>
      </c>
      <c r="B162" s="52">
        <f t="shared" si="20"/>
        <v>46054</v>
      </c>
      <c r="C162" s="1">
        <v>28</v>
      </c>
      <c r="D162" s="1" t="s">
        <v>44</v>
      </c>
      <c r="E162" s="5">
        <v>46068</v>
      </c>
      <c r="F162" s="77">
        <v>714.62225000000024</v>
      </c>
      <c r="G162" s="77">
        <v>233.94191666666666</v>
      </c>
      <c r="H162" s="77">
        <v>236.83174999999997</v>
      </c>
      <c r="I162" s="77">
        <v>543.20726875000003</v>
      </c>
      <c r="J162" s="77">
        <v>1268.0205000000001</v>
      </c>
      <c r="K162" s="77">
        <v>1733.5371666666674</v>
      </c>
      <c r="L162" s="77">
        <v>2483.9324166666665</v>
      </c>
      <c r="M162" s="77">
        <v>73.691791666666674</v>
      </c>
      <c r="N162" s="78">
        <f t="shared" si="17"/>
        <v>7287.7850604166679</v>
      </c>
      <c r="O162" s="1">
        <v>1500</v>
      </c>
      <c r="P162" s="77">
        <v>901.42500000000007</v>
      </c>
      <c r="Q162" s="77">
        <v>1030.369375</v>
      </c>
      <c r="R162" s="77">
        <v>3842.75</v>
      </c>
      <c r="S162" s="77">
        <v>1755</v>
      </c>
      <c r="T162" s="77">
        <v>0</v>
      </c>
      <c r="U162" s="77">
        <v>6019.5953750000008</v>
      </c>
      <c r="V162" s="77">
        <v>0</v>
      </c>
      <c r="W162" s="79">
        <f t="shared" si="19"/>
        <v>15049.139750000002</v>
      </c>
      <c r="X162" s="88"/>
    </row>
    <row r="163" spans="1:24" hidden="1" x14ac:dyDescent="0.3">
      <c r="A163" s="1">
        <v>2026</v>
      </c>
      <c r="B163" s="52">
        <f t="shared" si="20"/>
        <v>46054</v>
      </c>
      <c r="C163" s="1">
        <v>28</v>
      </c>
      <c r="D163" s="1" t="s">
        <v>45</v>
      </c>
      <c r="E163" s="5">
        <v>46069</v>
      </c>
      <c r="F163" s="77">
        <v>805.0565416666667</v>
      </c>
      <c r="G163" s="77">
        <v>177.24362500000004</v>
      </c>
      <c r="H163" s="77">
        <v>222.89524999999998</v>
      </c>
      <c r="I163" s="77">
        <v>530.92420416666664</v>
      </c>
      <c r="J163" s="77">
        <v>1267.2785416666666</v>
      </c>
      <c r="K163" s="77">
        <v>2175.306208333333</v>
      </c>
      <c r="L163" s="77">
        <v>2857.2457083333329</v>
      </c>
      <c r="M163" s="77">
        <v>13.962541666666667</v>
      </c>
      <c r="N163" s="78">
        <f t="shared" si="17"/>
        <v>8049.9126208333328</v>
      </c>
      <c r="O163" s="1">
        <v>1500</v>
      </c>
      <c r="P163" s="77">
        <v>901.42500000000007</v>
      </c>
      <c r="Q163" s="77">
        <v>1066.2588125</v>
      </c>
      <c r="R163" s="77">
        <v>3842.75</v>
      </c>
      <c r="S163" s="77">
        <v>1755</v>
      </c>
      <c r="T163" s="77">
        <v>0</v>
      </c>
      <c r="U163" s="77">
        <v>5933.8305</v>
      </c>
      <c r="V163" s="77">
        <v>0</v>
      </c>
      <c r="W163" s="79">
        <f t="shared" si="19"/>
        <v>14999.2643125</v>
      </c>
      <c r="X163" s="88"/>
    </row>
    <row r="164" spans="1:24" hidden="1" x14ac:dyDescent="0.3">
      <c r="A164" s="1">
        <v>2026</v>
      </c>
      <c r="B164" s="52">
        <f t="shared" si="20"/>
        <v>46054</v>
      </c>
      <c r="C164" s="1">
        <v>28</v>
      </c>
      <c r="D164" s="1" t="s">
        <v>46</v>
      </c>
      <c r="E164" s="5">
        <v>46070</v>
      </c>
      <c r="F164" s="77">
        <v>742.75199999999984</v>
      </c>
      <c r="G164" s="77">
        <v>322.23754166666669</v>
      </c>
      <c r="H164" s="77">
        <v>247.051625</v>
      </c>
      <c r="I164" s="77">
        <v>473.06876875</v>
      </c>
      <c r="J164" s="77">
        <v>1269.5645416666669</v>
      </c>
      <c r="K164" s="77">
        <v>2144.5552083333328</v>
      </c>
      <c r="L164" s="77">
        <v>3251.2840833333335</v>
      </c>
      <c r="M164" s="77">
        <v>15.519666666666666</v>
      </c>
      <c r="N164" s="78">
        <f t="shared" si="17"/>
        <v>8466.033435416668</v>
      </c>
      <c r="O164" s="1">
        <v>1500</v>
      </c>
      <c r="P164" s="77">
        <v>904.05000000000007</v>
      </c>
      <c r="Q164" s="77">
        <v>1041.3287500000001</v>
      </c>
      <c r="R164" s="77">
        <v>3842.75</v>
      </c>
      <c r="S164" s="77">
        <v>1755</v>
      </c>
      <c r="T164" s="77">
        <v>0</v>
      </c>
      <c r="U164" s="77">
        <v>5733.9907916666671</v>
      </c>
      <c r="V164" s="77">
        <v>0</v>
      </c>
      <c r="W164" s="79">
        <f t="shared" si="19"/>
        <v>14777.119541666667</v>
      </c>
      <c r="X164" s="88"/>
    </row>
    <row r="165" spans="1:24" hidden="1" x14ac:dyDescent="0.3">
      <c r="A165" s="1">
        <v>2026</v>
      </c>
      <c r="B165" s="52">
        <f t="shared" si="20"/>
        <v>46054</v>
      </c>
      <c r="C165" s="1">
        <v>28</v>
      </c>
      <c r="D165" s="1" t="s">
        <v>47</v>
      </c>
      <c r="E165" s="5">
        <v>46071</v>
      </c>
      <c r="F165" s="77">
        <v>1091.6117916666667</v>
      </c>
      <c r="G165" s="77">
        <v>528.54224999999997</v>
      </c>
      <c r="H165" s="77">
        <v>280.563875</v>
      </c>
      <c r="I165" s="77">
        <v>910.22460833333344</v>
      </c>
      <c r="J165" s="77">
        <v>1267.6199166666668</v>
      </c>
      <c r="K165" s="77">
        <v>1737.3682499999993</v>
      </c>
      <c r="L165" s="77">
        <v>4097.5842083333346</v>
      </c>
      <c r="M165" s="77">
        <v>12.435333333333336</v>
      </c>
      <c r="N165" s="78">
        <f t="shared" si="17"/>
        <v>9925.9502333333348</v>
      </c>
      <c r="O165" s="1">
        <v>1500</v>
      </c>
      <c r="P165" s="77">
        <v>895.88843750000001</v>
      </c>
      <c r="Q165" s="77">
        <v>1066.73</v>
      </c>
      <c r="R165" s="77">
        <v>3842.75</v>
      </c>
      <c r="S165" s="77">
        <v>1755</v>
      </c>
      <c r="T165" s="77">
        <v>0</v>
      </c>
      <c r="U165" s="77">
        <v>5873.3015833333338</v>
      </c>
      <c r="V165" s="77">
        <v>0</v>
      </c>
      <c r="W165" s="79">
        <f t="shared" si="19"/>
        <v>14933.670020833333</v>
      </c>
      <c r="X165" s="88"/>
    </row>
    <row r="166" spans="1:24" hidden="1" x14ac:dyDescent="0.3">
      <c r="A166" s="1">
        <v>2026</v>
      </c>
      <c r="B166" s="52">
        <f t="shared" si="20"/>
        <v>46054</v>
      </c>
      <c r="C166" s="1">
        <v>28</v>
      </c>
      <c r="D166" s="1" t="s">
        <v>48</v>
      </c>
      <c r="E166" s="5">
        <v>46072</v>
      </c>
      <c r="F166" s="77">
        <v>1014.3590833333333</v>
      </c>
      <c r="G166" s="77">
        <v>294.43579166666672</v>
      </c>
      <c r="H166" s="77">
        <v>256.70187499999997</v>
      </c>
      <c r="I166" s="77">
        <v>188.40122916666667</v>
      </c>
      <c r="J166" s="77">
        <v>1268.6027916666667</v>
      </c>
      <c r="K166" s="77">
        <v>1501.606541666667</v>
      </c>
      <c r="L166" s="77">
        <v>3404.0231666666659</v>
      </c>
      <c r="M166" s="77">
        <v>18.346374999999998</v>
      </c>
      <c r="N166" s="78">
        <f t="shared" si="17"/>
        <v>7946.4768541666663</v>
      </c>
      <c r="O166" s="1">
        <v>1500</v>
      </c>
      <c r="P166" s="77">
        <v>897.75</v>
      </c>
      <c r="Q166" s="77">
        <v>1083.744375</v>
      </c>
      <c r="R166" s="77">
        <v>3842.75</v>
      </c>
      <c r="S166" s="77">
        <v>1755</v>
      </c>
      <c r="T166" s="77">
        <v>0</v>
      </c>
      <c r="U166" s="77">
        <v>5733.5138750000006</v>
      </c>
      <c r="V166" s="77">
        <v>0</v>
      </c>
      <c r="W166" s="79">
        <f t="shared" si="19"/>
        <v>14812.758250000001</v>
      </c>
      <c r="X166" s="88"/>
    </row>
    <row r="167" spans="1:24" hidden="1" x14ac:dyDescent="0.3">
      <c r="A167" s="1">
        <v>2026</v>
      </c>
      <c r="B167" s="52">
        <f t="shared" si="20"/>
        <v>46054</v>
      </c>
      <c r="C167" s="1">
        <v>28</v>
      </c>
      <c r="D167" s="1" t="s">
        <v>49</v>
      </c>
      <c r="E167" s="5">
        <v>46073</v>
      </c>
      <c r="F167" s="77">
        <v>1084.1750416666666</v>
      </c>
      <c r="G167" s="77">
        <v>259.16520833333334</v>
      </c>
      <c r="H167" s="77">
        <v>232.22529166666666</v>
      </c>
      <c r="I167" s="77">
        <v>330.93725000000006</v>
      </c>
      <c r="J167" s="77">
        <v>1268.4420833333334</v>
      </c>
      <c r="K167" s="77">
        <v>1550.151583333334</v>
      </c>
      <c r="L167" s="77">
        <v>3171.590333333334</v>
      </c>
      <c r="M167" s="77">
        <v>13.371916666666667</v>
      </c>
      <c r="N167" s="78">
        <f t="shared" si="17"/>
        <v>7910.0587083333357</v>
      </c>
      <c r="O167" s="1">
        <v>1500</v>
      </c>
      <c r="P167" s="77">
        <v>904.30375000000004</v>
      </c>
      <c r="Q167" s="77">
        <v>1097.8887500000001</v>
      </c>
      <c r="R167" s="77">
        <v>3842.75</v>
      </c>
      <c r="S167" s="77">
        <v>1755</v>
      </c>
      <c r="T167" s="77">
        <v>0</v>
      </c>
      <c r="U167" s="77">
        <v>5909.0230000000029</v>
      </c>
      <c r="V167" s="77">
        <v>0</v>
      </c>
      <c r="W167" s="79">
        <f t="shared" si="19"/>
        <v>15008.965500000004</v>
      </c>
      <c r="X167" s="88"/>
    </row>
    <row r="168" spans="1:24" hidden="1" x14ac:dyDescent="0.3">
      <c r="A168" s="1">
        <v>2026</v>
      </c>
      <c r="B168" s="52">
        <f t="shared" si="20"/>
        <v>46054</v>
      </c>
      <c r="C168" s="1">
        <v>28</v>
      </c>
      <c r="D168" s="1" t="s">
        <v>43</v>
      </c>
      <c r="E168" s="5">
        <v>46074</v>
      </c>
      <c r="F168" s="77">
        <v>872.90354166666668</v>
      </c>
      <c r="G168" s="77">
        <v>457.10600000000005</v>
      </c>
      <c r="H168" s="77">
        <v>243.5410416666667</v>
      </c>
      <c r="I168" s="77">
        <v>277.12976458333327</v>
      </c>
      <c r="J168" s="77">
        <v>1268.3104583333334</v>
      </c>
      <c r="K168" s="77">
        <v>1658.7691250000003</v>
      </c>
      <c r="L168" s="77">
        <v>2817.1160833333342</v>
      </c>
      <c r="M168" s="77">
        <v>35.326458333333335</v>
      </c>
      <c r="N168" s="78">
        <f t="shared" si="17"/>
        <v>7630.2024729166678</v>
      </c>
      <c r="O168" s="1">
        <v>1500</v>
      </c>
      <c r="P168" s="77">
        <v>920.32500000000005</v>
      </c>
      <c r="Q168" s="77">
        <v>1096.6506250000002</v>
      </c>
      <c r="R168" s="77">
        <v>3840.85</v>
      </c>
      <c r="S168" s="77">
        <v>1755</v>
      </c>
      <c r="T168" s="77">
        <v>0</v>
      </c>
      <c r="U168" s="77">
        <v>5938.5679166666687</v>
      </c>
      <c r="V168" s="77">
        <v>0</v>
      </c>
      <c r="W168" s="79">
        <f t="shared" si="19"/>
        <v>15051.393541666668</v>
      </c>
      <c r="X168" s="88"/>
    </row>
    <row r="169" spans="1:24" hidden="1" x14ac:dyDescent="0.3">
      <c r="A169" s="1">
        <v>2026</v>
      </c>
      <c r="B169" s="52">
        <f t="shared" si="20"/>
        <v>46054</v>
      </c>
      <c r="C169" s="1">
        <v>28</v>
      </c>
      <c r="D169" s="1" t="s">
        <v>44</v>
      </c>
      <c r="E169" s="5">
        <v>46075</v>
      </c>
      <c r="F169" s="77">
        <v>774.39870833333327</v>
      </c>
      <c r="G169" s="77">
        <v>271.91370833333332</v>
      </c>
      <c r="H169" s="77">
        <v>232.8137916666667</v>
      </c>
      <c r="I169" s="77">
        <v>197.11910208333336</v>
      </c>
      <c r="J169" s="77">
        <v>1265.480125</v>
      </c>
      <c r="K169" s="77">
        <v>1609.6693749999999</v>
      </c>
      <c r="L169" s="77">
        <v>2638.7917499999994</v>
      </c>
      <c r="M169" s="77">
        <v>76.099958333333333</v>
      </c>
      <c r="N169" s="78">
        <f t="shared" si="17"/>
        <v>7066.2865187499992</v>
      </c>
      <c r="O169" s="1">
        <v>1500</v>
      </c>
      <c r="P169" s="77">
        <v>924.52500000000009</v>
      </c>
      <c r="Q169" s="77">
        <v>1088.6687000000002</v>
      </c>
      <c r="R169" s="77">
        <v>3840.85</v>
      </c>
      <c r="S169" s="77">
        <v>1755</v>
      </c>
      <c r="T169" s="77">
        <v>0</v>
      </c>
      <c r="U169" s="77">
        <v>5717.3965000000026</v>
      </c>
      <c r="V169" s="77">
        <v>0</v>
      </c>
      <c r="W169" s="79">
        <f t="shared" si="19"/>
        <v>14826.440200000003</v>
      </c>
      <c r="X169" s="88"/>
    </row>
    <row r="170" spans="1:24" hidden="1" x14ac:dyDescent="0.3">
      <c r="A170" s="1">
        <v>2026</v>
      </c>
      <c r="B170" s="52">
        <f t="shared" si="20"/>
        <v>46054</v>
      </c>
      <c r="C170" s="1">
        <v>28</v>
      </c>
      <c r="D170" s="1" t="s">
        <v>45</v>
      </c>
      <c r="E170" s="5">
        <v>46076</v>
      </c>
      <c r="F170" s="77">
        <v>960.59345833333339</v>
      </c>
      <c r="G170" s="77">
        <v>428.80391666666668</v>
      </c>
      <c r="H170" s="77">
        <v>239.70120833333334</v>
      </c>
      <c r="I170" s="77">
        <v>726.44390208333334</v>
      </c>
      <c r="J170" s="77">
        <v>1231.6792916666668</v>
      </c>
      <c r="K170" s="77">
        <v>1637.4837499999992</v>
      </c>
      <c r="L170" s="77">
        <v>3450.8332499999997</v>
      </c>
      <c r="M170" s="77">
        <v>52.80854166666667</v>
      </c>
      <c r="N170" s="78">
        <f t="shared" si="17"/>
        <v>8728.3473187500003</v>
      </c>
      <c r="O170" s="1">
        <v>1500</v>
      </c>
      <c r="P170" s="77">
        <v>924.52500000000009</v>
      </c>
      <c r="Q170" s="77">
        <v>1031.3449125</v>
      </c>
      <c r="R170" s="77">
        <v>3840.85</v>
      </c>
      <c r="S170" s="77">
        <v>1755</v>
      </c>
      <c r="T170" s="77">
        <v>0</v>
      </c>
      <c r="U170" s="77">
        <v>5674.3176250000015</v>
      </c>
      <c r="V170" s="77">
        <v>0</v>
      </c>
      <c r="W170" s="79">
        <f t="shared" si="19"/>
        <v>14726.037537500002</v>
      </c>
      <c r="X170" s="88"/>
    </row>
    <row r="171" spans="1:24" hidden="1" x14ac:dyDescent="0.3">
      <c r="A171" s="1">
        <v>2026</v>
      </c>
      <c r="B171" s="52">
        <f t="shared" si="20"/>
        <v>46054</v>
      </c>
      <c r="C171" s="1">
        <v>28</v>
      </c>
      <c r="D171" s="1" t="s">
        <v>46</v>
      </c>
      <c r="E171" s="5">
        <v>46077</v>
      </c>
      <c r="F171" s="77">
        <v>1217.1415416666669</v>
      </c>
      <c r="G171" s="77">
        <v>272.04774999999995</v>
      </c>
      <c r="H171" s="77">
        <v>254.02233333333334</v>
      </c>
      <c r="I171" s="77">
        <v>449.02355624999996</v>
      </c>
      <c r="J171" s="77">
        <v>1121.1861249999999</v>
      </c>
      <c r="K171" s="77">
        <v>2126.9320833333331</v>
      </c>
      <c r="L171" s="77">
        <v>3287.2606249999999</v>
      </c>
      <c r="M171" s="77">
        <v>14.231166666666665</v>
      </c>
      <c r="N171" s="78">
        <f t="shared" si="17"/>
        <v>8741.8451812500007</v>
      </c>
      <c r="O171" s="1">
        <v>1500</v>
      </c>
      <c r="P171" s="77">
        <v>915.49062500000002</v>
      </c>
      <c r="Q171" s="77">
        <v>982.56506250000007</v>
      </c>
      <c r="R171" s="77">
        <v>3838</v>
      </c>
      <c r="S171" s="77">
        <v>1755</v>
      </c>
      <c r="T171" s="77">
        <v>0</v>
      </c>
      <c r="U171" s="77">
        <v>5637.4479583333359</v>
      </c>
      <c r="V171" s="77">
        <v>0</v>
      </c>
      <c r="W171" s="79">
        <f t="shared" si="19"/>
        <v>14628.503645833336</v>
      </c>
      <c r="X171" s="88"/>
    </row>
    <row r="172" spans="1:24" hidden="1" x14ac:dyDescent="0.3">
      <c r="A172" s="1">
        <v>2026</v>
      </c>
      <c r="B172" s="52">
        <f t="shared" si="20"/>
        <v>46054</v>
      </c>
      <c r="C172" s="1">
        <v>28</v>
      </c>
      <c r="D172" s="1" t="s">
        <v>47</v>
      </c>
      <c r="E172" s="5">
        <v>46078</v>
      </c>
      <c r="F172" s="77">
        <v>1378.4297083333333</v>
      </c>
      <c r="G172" s="77">
        <v>210.33562500000002</v>
      </c>
      <c r="H172" s="77">
        <v>229.35966666666667</v>
      </c>
      <c r="I172" s="77">
        <v>241.48184583333332</v>
      </c>
      <c r="J172" s="77">
        <v>1103.2305000000001</v>
      </c>
      <c r="K172" s="77">
        <v>1413.6324999999999</v>
      </c>
      <c r="L172" s="77">
        <v>2813.8722083333332</v>
      </c>
      <c r="M172" s="77">
        <v>49.008749999999999</v>
      </c>
      <c r="N172" s="78">
        <f t="shared" si="17"/>
        <v>7439.3508041666664</v>
      </c>
      <c r="O172" s="1">
        <v>1500</v>
      </c>
      <c r="P172" s="77">
        <v>916.125</v>
      </c>
      <c r="Q172" s="77">
        <v>1040.108125</v>
      </c>
      <c r="R172" s="77">
        <v>3838</v>
      </c>
      <c r="S172" s="77">
        <v>1755</v>
      </c>
      <c r="T172" s="77">
        <v>0</v>
      </c>
      <c r="U172" s="77">
        <v>5744.8826250000011</v>
      </c>
      <c r="V172" s="77">
        <v>0</v>
      </c>
      <c r="W172" s="79">
        <f t="shared" si="19"/>
        <v>14794.115750000001</v>
      </c>
      <c r="X172" s="88"/>
    </row>
    <row r="173" spans="1:24" hidden="1" x14ac:dyDescent="0.3">
      <c r="A173" s="1">
        <v>2026</v>
      </c>
      <c r="B173" s="52">
        <f t="shared" si="20"/>
        <v>46054</v>
      </c>
      <c r="C173" s="1">
        <v>28</v>
      </c>
      <c r="D173" s="1" t="s">
        <v>48</v>
      </c>
      <c r="E173" s="5">
        <v>46079</v>
      </c>
      <c r="F173" s="77">
        <v>1394.9765416666669</v>
      </c>
      <c r="G173" s="77">
        <v>197.99112500000001</v>
      </c>
      <c r="H173" s="77">
        <v>221.41529166666672</v>
      </c>
      <c r="I173" s="77">
        <v>505.9331479166666</v>
      </c>
      <c r="J173" s="77">
        <v>1105.1476250000001</v>
      </c>
      <c r="K173" s="77">
        <v>1555.603791666666</v>
      </c>
      <c r="L173" s="77">
        <v>2391.2043333333331</v>
      </c>
      <c r="M173" s="77">
        <v>18.108291666666666</v>
      </c>
      <c r="N173" s="78">
        <f t="shared" si="17"/>
        <v>7390.3801479166659</v>
      </c>
      <c r="O173" s="1">
        <v>1500</v>
      </c>
      <c r="P173" s="77">
        <v>919.80000000000007</v>
      </c>
      <c r="Q173" s="77">
        <v>990.45625000000007</v>
      </c>
      <c r="R173" s="77">
        <v>3838</v>
      </c>
      <c r="S173" s="77">
        <v>1755</v>
      </c>
      <c r="T173" s="77">
        <v>0</v>
      </c>
      <c r="U173" s="77">
        <v>5380.2857500000009</v>
      </c>
      <c r="V173" s="77">
        <v>0</v>
      </c>
      <c r="W173" s="79">
        <f t="shared" si="19"/>
        <v>14383.542000000001</v>
      </c>
      <c r="X173" s="88"/>
    </row>
    <row r="174" spans="1:24" hidden="1" x14ac:dyDescent="0.3">
      <c r="A174" s="1">
        <v>2026</v>
      </c>
      <c r="B174" s="52">
        <f t="shared" si="20"/>
        <v>46054</v>
      </c>
      <c r="C174" s="1">
        <v>28</v>
      </c>
      <c r="D174" s="1" t="s">
        <v>49</v>
      </c>
      <c r="E174" s="5">
        <v>46080</v>
      </c>
      <c r="F174" s="77">
        <v>1159.1454583333332</v>
      </c>
      <c r="G174" s="77">
        <v>168.40629166666665</v>
      </c>
      <c r="H174" s="77">
        <v>234.35808333333335</v>
      </c>
      <c r="I174" s="77">
        <v>364.11924583333337</v>
      </c>
      <c r="J174" s="77">
        <v>1102.8513750000002</v>
      </c>
      <c r="K174" s="77">
        <v>1850.8102916666664</v>
      </c>
      <c r="L174" s="77">
        <v>2361.8513333333335</v>
      </c>
      <c r="M174" s="77">
        <v>25.324125000000002</v>
      </c>
      <c r="N174" s="78">
        <f t="shared" si="17"/>
        <v>7266.8662041666676</v>
      </c>
      <c r="O174" s="1">
        <v>1500</v>
      </c>
      <c r="P174" s="77">
        <v>907.62743749999981</v>
      </c>
      <c r="Q174" s="77">
        <v>1033.782925</v>
      </c>
      <c r="R174" s="77">
        <v>3838</v>
      </c>
      <c r="S174" s="77">
        <v>1755</v>
      </c>
      <c r="T174" s="77">
        <v>0</v>
      </c>
      <c r="U174" s="77">
        <v>5387.2722500000009</v>
      </c>
      <c r="V174" s="77">
        <v>0</v>
      </c>
      <c r="W174" s="79">
        <f t="shared" si="19"/>
        <v>14421.682612500001</v>
      </c>
      <c r="X174" s="88"/>
    </row>
    <row r="175" spans="1:24" hidden="1" x14ac:dyDescent="0.3">
      <c r="A175" s="1">
        <v>2026</v>
      </c>
      <c r="B175" s="52">
        <f t="shared" si="20"/>
        <v>46054</v>
      </c>
      <c r="C175" s="1">
        <v>28</v>
      </c>
      <c r="D175" s="1" t="s">
        <v>43</v>
      </c>
      <c r="E175" s="5">
        <v>46081</v>
      </c>
      <c r="F175" s="77">
        <v>1007.0386250000001</v>
      </c>
      <c r="G175" s="77">
        <v>210.34870833333335</v>
      </c>
      <c r="H175" s="77">
        <v>231.08125000000001</v>
      </c>
      <c r="I175" s="77">
        <v>337.60340000000002</v>
      </c>
      <c r="J175" s="77">
        <v>1104.0420833333335</v>
      </c>
      <c r="K175" s="77">
        <v>2091.6843333333331</v>
      </c>
      <c r="L175" s="77">
        <v>2468.9261666666666</v>
      </c>
      <c r="M175" s="77">
        <v>58.620625000000004</v>
      </c>
      <c r="N175" s="78">
        <f t="shared" si="17"/>
        <v>7509.3451916666654</v>
      </c>
      <c r="O175" s="1">
        <v>1500</v>
      </c>
      <c r="P175" s="77">
        <v>917.17500000000007</v>
      </c>
      <c r="Q175" s="77">
        <v>1038.7081250000001</v>
      </c>
      <c r="R175" s="77">
        <v>3838</v>
      </c>
      <c r="S175" s="77">
        <v>1755</v>
      </c>
      <c r="T175" s="77">
        <v>0</v>
      </c>
      <c r="U175" s="77">
        <v>5410.9661250000026</v>
      </c>
      <c r="V175" s="77">
        <v>0</v>
      </c>
      <c r="W175" s="79">
        <f t="shared" si="19"/>
        <v>14459.849250000003</v>
      </c>
      <c r="X175" s="88"/>
    </row>
    <row r="176" spans="1:24" hidden="1" x14ac:dyDescent="0.3">
      <c r="A176" s="1">
        <v>2026</v>
      </c>
      <c r="B176" s="52">
        <v>46082</v>
      </c>
      <c r="C176" s="1">
        <v>31</v>
      </c>
      <c r="D176" s="1" t="s">
        <v>44</v>
      </c>
      <c r="E176" s="5">
        <v>46082</v>
      </c>
      <c r="F176" s="77">
        <v>950.09262499999988</v>
      </c>
      <c r="G176" s="77">
        <v>204.44058333333336</v>
      </c>
      <c r="H176" s="77">
        <v>239.18412500000002</v>
      </c>
      <c r="I176" s="77">
        <v>275.77454999999998</v>
      </c>
      <c r="J176" s="77">
        <v>1102.8087083333335</v>
      </c>
      <c r="K176" s="77">
        <v>2157.4426250000006</v>
      </c>
      <c r="L176" s="77">
        <v>2246.1395833333336</v>
      </c>
      <c r="M176" s="77">
        <v>72.429416666666668</v>
      </c>
      <c r="N176" s="78">
        <f t="shared" si="17"/>
        <v>7248.3122166666681</v>
      </c>
      <c r="O176" s="1">
        <v>1500</v>
      </c>
      <c r="P176" s="77">
        <v>919.80000000000007</v>
      </c>
      <c r="Q176" s="77">
        <v>1037.5181250000001</v>
      </c>
      <c r="R176" s="77">
        <v>3838</v>
      </c>
      <c r="S176" s="77">
        <v>1755</v>
      </c>
      <c r="T176" s="77">
        <v>0</v>
      </c>
      <c r="U176" s="77">
        <v>5320.6464999999998</v>
      </c>
      <c r="V176" s="77">
        <v>0</v>
      </c>
      <c r="W176" s="79">
        <f t="shared" si="19"/>
        <v>14370.964625000001</v>
      </c>
      <c r="X176" s="88"/>
    </row>
    <row r="177" spans="1:24" hidden="1" x14ac:dyDescent="0.3">
      <c r="A177" s="1">
        <v>2026</v>
      </c>
      <c r="B177" s="52">
        <v>46082</v>
      </c>
      <c r="C177" s="1">
        <v>31</v>
      </c>
      <c r="D177" s="1" t="s">
        <v>45</v>
      </c>
      <c r="E177" s="5">
        <v>46083</v>
      </c>
      <c r="F177" s="77">
        <v>869.58591666666678</v>
      </c>
      <c r="G177" s="77">
        <v>305.78675000000004</v>
      </c>
      <c r="H177" s="77">
        <v>240.71337500000001</v>
      </c>
      <c r="I177" s="77">
        <v>488.42037291666657</v>
      </c>
      <c r="J177" s="77">
        <v>1104.6226666666666</v>
      </c>
      <c r="K177" s="77">
        <v>1817.9064583333341</v>
      </c>
      <c r="L177" s="77">
        <v>3329.5186250000002</v>
      </c>
      <c r="M177" s="77">
        <v>100.0015416666667</v>
      </c>
      <c r="N177" s="78">
        <f t="shared" si="17"/>
        <v>8256.5557062500011</v>
      </c>
      <c r="O177" s="1">
        <v>1500</v>
      </c>
      <c r="P177" s="77">
        <v>888.75784375000012</v>
      </c>
      <c r="Q177" s="77">
        <v>1038.6556250000001</v>
      </c>
      <c r="R177" s="77">
        <v>3838</v>
      </c>
      <c r="S177" s="77">
        <v>1755</v>
      </c>
      <c r="T177" s="77">
        <v>0</v>
      </c>
      <c r="U177" s="77">
        <v>5314.7236666666668</v>
      </c>
      <c r="V177" s="77">
        <v>0</v>
      </c>
      <c r="W177" s="79">
        <f t="shared" si="19"/>
        <v>14335.137135416668</v>
      </c>
      <c r="X177" s="88"/>
    </row>
    <row r="178" spans="1:24" hidden="1" x14ac:dyDescent="0.3">
      <c r="A178" s="1">
        <v>2026</v>
      </c>
      <c r="B178" s="52">
        <v>46082</v>
      </c>
      <c r="C178" s="1">
        <v>31</v>
      </c>
      <c r="D178" s="1" t="s">
        <v>46</v>
      </c>
      <c r="E178" s="5">
        <v>46084</v>
      </c>
      <c r="F178" s="77">
        <v>664.95508333333328</v>
      </c>
      <c r="G178" s="77">
        <v>146.05108333333334</v>
      </c>
      <c r="H178" s="77">
        <v>225.83162500000003</v>
      </c>
      <c r="I178" s="77">
        <v>318.4153</v>
      </c>
      <c r="J178" s="77">
        <v>1104.7130833333335</v>
      </c>
      <c r="K178" s="77">
        <v>1878.5053333333337</v>
      </c>
      <c r="L178" s="77">
        <v>3086.2810416666671</v>
      </c>
      <c r="M178" s="77">
        <v>131.93829166666666</v>
      </c>
      <c r="N178" s="78">
        <f t="shared" si="17"/>
        <v>7556.6908416666674</v>
      </c>
      <c r="O178" s="1">
        <v>1500</v>
      </c>
      <c r="P178" s="77">
        <v>874.65000000000009</v>
      </c>
      <c r="Q178" s="77">
        <v>1028.6828125000002</v>
      </c>
      <c r="R178" s="77">
        <v>3838</v>
      </c>
      <c r="S178" s="77">
        <v>1755</v>
      </c>
      <c r="T178" s="77">
        <v>0</v>
      </c>
      <c r="U178" s="77">
        <v>5388.3952500000014</v>
      </c>
      <c r="V178" s="77">
        <v>0</v>
      </c>
      <c r="W178" s="79">
        <f t="shared" si="19"/>
        <v>14384.728062500002</v>
      </c>
      <c r="X178" s="88"/>
    </row>
    <row r="179" spans="1:24" hidden="1" x14ac:dyDescent="0.3">
      <c r="A179" s="1">
        <v>2026</v>
      </c>
      <c r="B179" s="52">
        <v>46082</v>
      </c>
      <c r="C179" s="1">
        <v>31</v>
      </c>
      <c r="D179" s="1" t="s">
        <v>47</v>
      </c>
      <c r="E179" s="5">
        <v>46085</v>
      </c>
      <c r="F179" s="77">
        <v>1001.7302083333335</v>
      </c>
      <c r="G179" s="77">
        <v>228.69937499999995</v>
      </c>
      <c r="H179" s="77">
        <v>229.90912500000002</v>
      </c>
      <c r="I179" s="77">
        <v>623.68271875000005</v>
      </c>
      <c r="J179" s="77">
        <v>1103.3722916666668</v>
      </c>
      <c r="K179" s="77">
        <v>2125.7334583333341</v>
      </c>
      <c r="L179" s="77">
        <v>3100.9430416666678</v>
      </c>
      <c r="M179" s="77">
        <v>96.126125000000002</v>
      </c>
      <c r="N179" s="78">
        <f t="shared" si="17"/>
        <v>8510.1963437500035</v>
      </c>
      <c r="O179" s="1">
        <v>1500</v>
      </c>
      <c r="P179" s="77">
        <v>875.7</v>
      </c>
      <c r="Q179" s="77">
        <v>1014.5240000000001</v>
      </c>
      <c r="R179" s="77">
        <v>3833.25</v>
      </c>
      <c r="S179" s="77">
        <v>1755</v>
      </c>
      <c r="T179" s="77">
        <v>0</v>
      </c>
      <c r="U179" s="77">
        <v>5411.1741250000014</v>
      </c>
      <c r="V179" s="77">
        <v>0</v>
      </c>
      <c r="W179" s="79">
        <f t="shared" si="19"/>
        <v>14389.648125000002</v>
      </c>
      <c r="X179" s="88"/>
    </row>
    <row r="180" spans="1:24" hidden="1" x14ac:dyDescent="0.3">
      <c r="A180" s="1">
        <v>2026</v>
      </c>
      <c r="B180" s="52">
        <v>46082</v>
      </c>
      <c r="C180" s="1">
        <v>31</v>
      </c>
      <c r="D180" s="1" t="s">
        <v>48</v>
      </c>
      <c r="E180" s="5">
        <v>46086</v>
      </c>
      <c r="F180" s="77">
        <v>1100.9100416666665</v>
      </c>
      <c r="G180" s="77">
        <v>249.05837500000007</v>
      </c>
      <c r="H180" s="77">
        <v>241.81820833333336</v>
      </c>
      <c r="I180" s="77">
        <v>1071.0543833333331</v>
      </c>
      <c r="J180" s="77">
        <v>1102.45875</v>
      </c>
      <c r="K180" s="77">
        <v>1373.6956666666672</v>
      </c>
      <c r="L180" s="77">
        <v>3232.543083333333</v>
      </c>
      <c r="M180" s="77">
        <v>91.348458333333326</v>
      </c>
      <c r="N180" s="78">
        <f t="shared" si="17"/>
        <v>8462.8869666666669</v>
      </c>
      <c r="O180" s="1">
        <v>1500</v>
      </c>
      <c r="P180" s="77">
        <v>877.27500000000009</v>
      </c>
      <c r="Q180" s="77">
        <v>1033.3837500000002</v>
      </c>
      <c r="R180" s="77">
        <v>3833.25</v>
      </c>
      <c r="S180" s="77">
        <v>1755</v>
      </c>
      <c r="T180" s="77">
        <v>0</v>
      </c>
      <c r="U180" s="77">
        <v>5425.7134583333345</v>
      </c>
      <c r="V180" s="77">
        <v>0</v>
      </c>
      <c r="W180" s="79">
        <f t="shared" si="19"/>
        <v>14424.622208333334</v>
      </c>
      <c r="X180" s="88"/>
    </row>
    <row r="181" spans="1:24" hidden="1" x14ac:dyDescent="0.3">
      <c r="A181" s="1">
        <v>2026</v>
      </c>
      <c r="B181" s="52">
        <v>46082</v>
      </c>
      <c r="C181" s="1">
        <v>31</v>
      </c>
      <c r="D181" s="1" t="s">
        <v>49</v>
      </c>
      <c r="E181" s="5">
        <v>46087</v>
      </c>
      <c r="F181" s="77">
        <v>967.70579166666664</v>
      </c>
      <c r="G181" s="77">
        <v>195.72183333333331</v>
      </c>
      <c r="H181" s="77">
        <v>240.80487499999998</v>
      </c>
      <c r="I181" s="77">
        <v>451.83717916666671</v>
      </c>
      <c r="J181" s="77">
        <v>1104.4537916666668</v>
      </c>
      <c r="K181" s="77">
        <v>1514.8514583333338</v>
      </c>
      <c r="L181" s="77">
        <v>2977.9387500000007</v>
      </c>
      <c r="M181" s="77">
        <v>17.395333333333333</v>
      </c>
      <c r="N181" s="78">
        <f t="shared" si="17"/>
        <v>7470.7090125000004</v>
      </c>
      <c r="O181" s="1">
        <v>1500</v>
      </c>
      <c r="P181" s="77">
        <v>877.27500000000009</v>
      </c>
      <c r="Q181" s="77">
        <v>1031.3902375</v>
      </c>
      <c r="R181" s="77">
        <v>3833.25</v>
      </c>
      <c r="S181" s="77">
        <v>1755</v>
      </c>
      <c r="T181" s="77">
        <v>0</v>
      </c>
      <c r="U181" s="77">
        <v>5435.9909583333356</v>
      </c>
      <c r="V181" s="77">
        <v>0</v>
      </c>
      <c r="W181" s="79">
        <f t="shared" si="19"/>
        <v>14432.906195833337</v>
      </c>
      <c r="X181" s="88"/>
    </row>
    <row r="182" spans="1:24" hidden="1" x14ac:dyDescent="0.3">
      <c r="A182" s="1">
        <v>2026</v>
      </c>
      <c r="B182" s="52">
        <v>46082</v>
      </c>
      <c r="C182" s="1">
        <v>31</v>
      </c>
      <c r="D182" s="1" t="s">
        <v>43</v>
      </c>
      <c r="E182" s="5">
        <v>46088</v>
      </c>
      <c r="F182" s="77">
        <v>791.55279166666662</v>
      </c>
      <c r="G182" s="77">
        <v>230.85299999999998</v>
      </c>
      <c r="H182" s="77">
        <v>242.78591666666665</v>
      </c>
      <c r="I182" s="77">
        <v>177.65059375000001</v>
      </c>
      <c r="J182" s="77">
        <v>1112.4045416666668</v>
      </c>
      <c r="K182" s="77">
        <v>1864.6689166666656</v>
      </c>
      <c r="L182" s="77">
        <v>2498.782791666667</v>
      </c>
      <c r="M182" s="77">
        <v>20.31666666666667</v>
      </c>
      <c r="N182" s="78">
        <f t="shared" ref="N182:N235" si="21">+SUM(F182:M182)</f>
        <v>6939.0152187499998</v>
      </c>
      <c r="O182" s="1">
        <v>1500</v>
      </c>
      <c r="P182" s="77">
        <v>877.27500000000009</v>
      </c>
      <c r="Q182" s="77">
        <v>1028.2363437500001</v>
      </c>
      <c r="R182" s="77">
        <v>3833.25</v>
      </c>
      <c r="S182" s="77">
        <v>1755</v>
      </c>
      <c r="T182" s="77">
        <v>0</v>
      </c>
      <c r="U182" s="77">
        <v>5390.0696250000019</v>
      </c>
      <c r="V182" s="77">
        <v>0</v>
      </c>
      <c r="W182" s="79">
        <f t="shared" si="19"/>
        <v>14383.830968750002</v>
      </c>
      <c r="X182" s="88"/>
    </row>
    <row r="183" spans="1:24" hidden="1" x14ac:dyDescent="0.3">
      <c r="A183" s="1">
        <v>2026</v>
      </c>
      <c r="B183" s="52">
        <v>46082</v>
      </c>
      <c r="C183" s="1">
        <v>31</v>
      </c>
      <c r="D183" s="1" t="s">
        <v>44</v>
      </c>
      <c r="E183" s="5">
        <v>46089</v>
      </c>
      <c r="F183" s="77">
        <v>754.35945833333346</v>
      </c>
      <c r="G183" s="77">
        <v>322.74004166666674</v>
      </c>
      <c r="H183" s="77">
        <v>259.75770833333337</v>
      </c>
      <c r="I183" s="77">
        <v>270.61854375000001</v>
      </c>
      <c r="J183" s="77">
        <v>1115.5783750000001</v>
      </c>
      <c r="K183" s="77">
        <v>2001.7874999999995</v>
      </c>
      <c r="L183" s="77">
        <v>2352.8812083333332</v>
      </c>
      <c r="M183" s="77">
        <v>15.535000000000002</v>
      </c>
      <c r="N183" s="78">
        <f t="shared" si="21"/>
        <v>7093.2578354166662</v>
      </c>
      <c r="O183" s="1">
        <v>1500</v>
      </c>
      <c r="P183" s="77">
        <v>879.375</v>
      </c>
      <c r="Q183" s="77">
        <v>1033.7071937500002</v>
      </c>
      <c r="R183" s="77">
        <v>3833.25</v>
      </c>
      <c r="S183" s="77">
        <v>1755</v>
      </c>
      <c r="T183" s="77">
        <v>0</v>
      </c>
      <c r="U183" s="77">
        <v>5373.014416666666</v>
      </c>
      <c r="V183" s="77">
        <v>0</v>
      </c>
      <c r="W183" s="79">
        <f t="shared" si="19"/>
        <v>14374.346610416665</v>
      </c>
      <c r="X183" s="88"/>
    </row>
    <row r="184" spans="1:24" hidden="1" x14ac:dyDescent="0.3">
      <c r="A184" s="1">
        <v>2026</v>
      </c>
      <c r="B184" s="52">
        <v>46082</v>
      </c>
      <c r="C184" s="1">
        <v>31</v>
      </c>
      <c r="D184" s="1" t="s">
        <v>45</v>
      </c>
      <c r="E184" s="5">
        <v>46090</v>
      </c>
      <c r="F184" s="77">
        <v>1189.1456249999999</v>
      </c>
      <c r="G184" s="77">
        <v>188.56962499999997</v>
      </c>
      <c r="H184" s="77">
        <v>252.29733333333337</v>
      </c>
      <c r="I184" s="77">
        <v>504.14635625000011</v>
      </c>
      <c r="J184" s="77">
        <v>1115.3929583333336</v>
      </c>
      <c r="K184" s="77">
        <v>2112.8143333333333</v>
      </c>
      <c r="L184" s="77">
        <v>2735.0077916666669</v>
      </c>
      <c r="M184" s="77">
        <v>34.386041666666664</v>
      </c>
      <c r="N184" s="78">
        <f t="shared" si="21"/>
        <v>8131.7600645833336</v>
      </c>
      <c r="O184" s="1">
        <v>1500</v>
      </c>
      <c r="P184" s="77">
        <v>879.375</v>
      </c>
      <c r="Q184" s="77">
        <v>1030.0537625000002</v>
      </c>
      <c r="R184" s="77">
        <v>3833.25</v>
      </c>
      <c r="S184" s="77">
        <v>1755</v>
      </c>
      <c r="T184" s="77">
        <v>0</v>
      </c>
      <c r="U184" s="77">
        <v>5518.4640000000018</v>
      </c>
      <c r="V184" s="77">
        <v>0</v>
      </c>
      <c r="W184" s="79">
        <f t="shared" si="19"/>
        <v>14516.142762500001</v>
      </c>
      <c r="X184" s="88"/>
    </row>
    <row r="185" spans="1:24" hidden="1" x14ac:dyDescent="0.3">
      <c r="A185" s="1">
        <v>2026</v>
      </c>
      <c r="B185" s="52">
        <v>46082</v>
      </c>
      <c r="C185" s="1">
        <v>31</v>
      </c>
      <c r="D185" s="1" t="s">
        <v>46</v>
      </c>
      <c r="E185" s="5">
        <v>46091</v>
      </c>
      <c r="F185" s="77">
        <v>1027.7232499999998</v>
      </c>
      <c r="G185" s="77">
        <v>193.77925000000002</v>
      </c>
      <c r="H185" s="77">
        <v>227.08162500000003</v>
      </c>
      <c r="I185" s="77">
        <v>516.11801875000003</v>
      </c>
      <c r="J185" s="77">
        <v>1112.1190833333335</v>
      </c>
      <c r="K185" s="77">
        <v>1632.7709166666664</v>
      </c>
      <c r="L185" s="77">
        <v>3602.8120833333323</v>
      </c>
      <c r="M185" s="77">
        <v>25.231083333333331</v>
      </c>
      <c r="N185" s="78">
        <f t="shared" si="21"/>
        <v>8337.6353104166665</v>
      </c>
      <c r="O185" s="1">
        <v>1500</v>
      </c>
      <c r="P185" s="77">
        <v>879.375</v>
      </c>
      <c r="Q185" s="77">
        <v>1026.0558875000002</v>
      </c>
      <c r="R185" s="77">
        <v>3833.25</v>
      </c>
      <c r="S185" s="77">
        <v>1755</v>
      </c>
      <c r="T185" s="77">
        <v>0</v>
      </c>
      <c r="U185" s="77">
        <v>5677.6250833333334</v>
      </c>
      <c r="V185" s="77">
        <v>0</v>
      </c>
      <c r="W185" s="79">
        <f t="shared" si="19"/>
        <v>14671.305970833335</v>
      </c>
      <c r="X185" s="88"/>
    </row>
    <row r="186" spans="1:24" hidden="1" x14ac:dyDescent="0.3">
      <c r="A186" s="1">
        <v>2026</v>
      </c>
      <c r="B186" s="52">
        <v>46082</v>
      </c>
      <c r="C186" s="1">
        <v>31</v>
      </c>
      <c r="D186" s="1" t="s">
        <v>47</v>
      </c>
      <c r="E186" s="5">
        <v>46092</v>
      </c>
      <c r="F186" s="77">
        <v>1142.6687916666667</v>
      </c>
      <c r="G186" s="77">
        <v>187.92624999999998</v>
      </c>
      <c r="H186" s="77">
        <v>219.89958333333331</v>
      </c>
      <c r="I186" s="77">
        <v>179.04962708333332</v>
      </c>
      <c r="J186" s="77">
        <v>1116.4835</v>
      </c>
      <c r="K186" s="77">
        <v>1995.7290416666658</v>
      </c>
      <c r="L186" s="77">
        <v>3289.8498749999994</v>
      </c>
      <c r="M186" s="77">
        <v>18.773500000000002</v>
      </c>
      <c r="N186" s="78">
        <f t="shared" si="21"/>
        <v>8150.380168749999</v>
      </c>
      <c r="O186" s="1">
        <v>1500</v>
      </c>
      <c r="P186" s="77">
        <v>877.27500000000009</v>
      </c>
      <c r="Q186" s="77">
        <v>1000.8809562500001</v>
      </c>
      <c r="R186" s="77">
        <v>3833.25</v>
      </c>
      <c r="S186" s="77">
        <v>1755</v>
      </c>
      <c r="T186" s="77">
        <v>0</v>
      </c>
      <c r="U186" s="77">
        <v>5715.1324583333335</v>
      </c>
      <c r="V186" s="77">
        <v>0</v>
      </c>
      <c r="W186" s="79">
        <f t="shared" si="19"/>
        <v>14681.538414583334</v>
      </c>
      <c r="X186" s="88"/>
    </row>
    <row r="187" spans="1:24" hidden="1" x14ac:dyDescent="0.3">
      <c r="A187" s="1">
        <v>2026</v>
      </c>
      <c r="B187" s="52">
        <v>46082</v>
      </c>
      <c r="C187" s="1">
        <v>31</v>
      </c>
      <c r="D187" s="1" t="s">
        <v>48</v>
      </c>
      <c r="E187" s="5">
        <v>46093</v>
      </c>
      <c r="F187" s="77">
        <v>1013.9599583333335</v>
      </c>
      <c r="G187" s="77">
        <v>199.38195833333339</v>
      </c>
      <c r="H187" s="77">
        <v>225.382375</v>
      </c>
      <c r="I187" s="77">
        <v>572.64024791666668</v>
      </c>
      <c r="J187" s="77">
        <v>1120.2761249999999</v>
      </c>
      <c r="K187" s="77">
        <v>1714.7909999999999</v>
      </c>
      <c r="L187" s="77">
        <v>3642.2998750000006</v>
      </c>
      <c r="M187" s="77">
        <v>21.461333333333332</v>
      </c>
      <c r="N187" s="78">
        <f t="shared" si="21"/>
        <v>8510.1928729166666</v>
      </c>
      <c r="O187" s="1">
        <v>1500</v>
      </c>
      <c r="P187" s="77">
        <v>876.75</v>
      </c>
      <c r="Q187" s="77">
        <v>1035.0013625000001</v>
      </c>
      <c r="R187" s="77">
        <v>3833.25</v>
      </c>
      <c r="S187" s="77">
        <v>1755</v>
      </c>
      <c r="T187" s="77">
        <v>0</v>
      </c>
      <c r="U187" s="77">
        <v>5679.7050833333333</v>
      </c>
      <c r="V187" s="77">
        <v>0</v>
      </c>
      <c r="W187" s="79">
        <f t="shared" si="19"/>
        <v>14679.706445833333</v>
      </c>
      <c r="X187" s="88"/>
    </row>
    <row r="188" spans="1:24" hidden="1" x14ac:dyDescent="0.3">
      <c r="A188" s="1">
        <v>2026</v>
      </c>
      <c r="B188" s="52">
        <v>46082</v>
      </c>
      <c r="C188" s="1">
        <v>31</v>
      </c>
      <c r="D188" s="1" t="s">
        <v>49</v>
      </c>
      <c r="E188" s="5">
        <v>46094</v>
      </c>
      <c r="F188" s="77">
        <v>858.97991666666667</v>
      </c>
      <c r="G188" s="77">
        <v>203.21595833333333</v>
      </c>
      <c r="H188" s="77">
        <v>231.22154166666667</v>
      </c>
      <c r="I188" s="77">
        <v>775.39554166666676</v>
      </c>
      <c r="J188" s="77">
        <v>1122.1256250000001</v>
      </c>
      <c r="K188" s="77">
        <v>1649.2339999999995</v>
      </c>
      <c r="L188" s="77">
        <v>3488.6564166666672</v>
      </c>
      <c r="M188" s="77">
        <v>18.504791666666666</v>
      </c>
      <c r="N188" s="78">
        <f t="shared" si="21"/>
        <v>8347.333791666666</v>
      </c>
      <c r="O188" s="1">
        <v>1500</v>
      </c>
      <c r="P188" s="77">
        <v>876.75</v>
      </c>
      <c r="Q188" s="77">
        <v>1030.5936375000001</v>
      </c>
      <c r="R188" s="77">
        <v>3833.25</v>
      </c>
      <c r="S188" s="77">
        <v>1755</v>
      </c>
      <c r="T188" s="77">
        <v>0</v>
      </c>
      <c r="U188" s="77">
        <v>5639.0257499999989</v>
      </c>
      <c r="V188" s="77">
        <v>0</v>
      </c>
      <c r="W188" s="79">
        <f t="shared" si="19"/>
        <v>14634.619387499999</v>
      </c>
      <c r="X188" s="88"/>
    </row>
    <row r="189" spans="1:24" hidden="1" x14ac:dyDescent="0.3">
      <c r="A189" s="1">
        <v>2026</v>
      </c>
      <c r="B189" s="52">
        <v>46082</v>
      </c>
      <c r="C189" s="1">
        <v>31</v>
      </c>
      <c r="D189" s="1" t="s">
        <v>43</v>
      </c>
      <c r="E189" s="5">
        <v>46095</v>
      </c>
      <c r="F189" s="77">
        <v>708.54658333333327</v>
      </c>
      <c r="G189" s="77">
        <v>219.90758333333329</v>
      </c>
      <c r="H189" s="77">
        <v>242.20070833333335</v>
      </c>
      <c r="I189" s="77">
        <v>189.83248333333333</v>
      </c>
      <c r="J189" s="77">
        <v>616.03295833333323</v>
      </c>
      <c r="K189" s="77">
        <v>1775.1574583333322</v>
      </c>
      <c r="L189" s="77">
        <v>3119.3868333333335</v>
      </c>
      <c r="M189" s="77">
        <v>17.704166666666666</v>
      </c>
      <c r="N189" s="78">
        <f t="shared" si="21"/>
        <v>6888.7687749999986</v>
      </c>
      <c r="O189" s="1">
        <v>1500</v>
      </c>
      <c r="P189" s="77">
        <v>876.75</v>
      </c>
      <c r="Q189" s="77">
        <v>1032.1894187500002</v>
      </c>
      <c r="R189" s="77">
        <v>3815.2</v>
      </c>
      <c r="S189" s="77">
        <v>1755</v>
      </c>
      <c r="T189" s="77">
        <v>0</v>
      </c>
      <c r="U189" s="77">
        <v>5397.1426250000022</v>
      </c>
      <c r="V189" s="77">
        <v>0</v>
      </c>
      <c r="W189" s="79">
        <f t="shared" si="19"/>
        <v>14376.282043750003</v>
      </c>
      <c r="X189" s="88"/>
    </row>
    <row r="190" spans="1:24" hidden="1" x14ac:dyDescent="0.3">
      <c r="A190" s="1">
        <v>2026</v>
      </c>
      <c r="B190" s="52">
        <v>46082</v>
      </c>
      <c r="C190" s="1">
        <v>31</v>
      </c>
      <c r="D190" s="1" t="s">
        <v>44</v>
      </c>
      <c r="E190" s="5">
        <v>46096</v>
      </c>
      <c r="F190" s="77">
        <v>802.25137500000017</v>
      </c>
      <c r="G190" s="77">
        <v>179.18108333333336</v>
      </c>
      <c r="H190" s="77">
        <v>236.31716666666668</v>
      </c>
      <c r="I190" s="77">
        <v>319.98473958333335</v>
      </c>
      <c r="J190" s="77">
        <v>609.41779166666674</v>
      </c>
      <c r="K190" s="77">
        <v>1955.4710833333329</v>
      </c>
      <c r="L190" s="77">
        <v>2786.1217916666669</v>
      </c>
      <c r="M190" s="77">
        <v>35.402749999999997</v>
      </c>
      <c r="N190" s="78">
        <f t="shared" si="21"/>
        <v>6924.1477812500007</v>
      </c>
      <c r="O190" s="1">
        <v>1500</v>
      </c>
      <c r="P190" s="77">
        <v>872.55000000000007</v>
      </c>
      <c r="Q190" s="77">
        <v>1041.94173125</v>
      </c>
      <c r="R190" s="77">
        <v>3815.2</v>
      </c>
      <c r="S190" s="77">
        <v>1755</v>
      </c>
      <c r="T190" s="77">
        <v>0</v>
      </c>
      <c r="U190" s="77">
        <v>5649.1347916666682</v>
      </c>
      <c r="V190" s="77">
        <v>0</v>
      </c>
      <c r="W190" s="79">
        <f t="shared" si="19"/>
        <v>14633.826522916668</v>
      </c>
      <c r="X190" s="88"/>
    </row>
    <row r="191" spans="1:24" hidden="1" x14ac:dyDescent="0.3">
      <c r="A191" s="1">
        <v>2026</v>
      </c>
      <c r="B191" s="52">
        <v>46082</v>
      </c>
      <c r="C191" s="1">
        <v>31</v>
      </c>
      <c r="D191" s="1" t="s">
        <v>45</v>
      </c>
      <c r="E191" s="5">
        <v>46097</v>
      </c>
      <c r="F191" s="77">
        <v>1574.5625833333334</v>
      </c>
      <c r="G191" s="77">
        <v>268.47920833333336</v>
      </c>
      <c r="H191" s="77">
        <v>231.14675</v>
      </c>
      <c r="I191" s="77">
        <v>900.11652916666662</v>
      </c>
      <c r="J191" s="77">
        <v>610.06229166666651</v>
      </c>
      <c r="K191" s="77">
        <v>1624.3266666666671</v>
      </c>
      <c r="L191" s="77">
        <v>3615.9178750000005</v>
      </c>
      <c r="M191" s="77">
        <v>134.70099999999999</v>
      </c>
      <c r="N191" s="78">
        <f t="shared" si="21"/>
        <v>8959.3129041666671</v>
      </c>
      <c r="O191" s="1">
        <v>1500</v>
      </c>
      <c r="P191" s="77">
        <v>797.49687500000005</v>
      </c>
      <c r="Q191" s="77">
        <v>1016.8003562500002</v>
      </c>
      <c r="R191" s="77">
        <v>3813.1270208333335</v>
      </c>
      <c r="S191" s="77">
        <v>1755</v>
      </c>
      <c r="T191" s="77">
        <v>0</v>
      </c>
      <c r="U191" s="77">
        <v>5486.8148750000009</v>
      </c>
      <c r="V191" s="77">
        <v>0</v>
      </c>
      <c r="W191" s="79">
        <f t="shared" si="19"/>
        <v>14369.239127083336</v>
      </c>
      <c r="X191" s="88"/>
    </row>
    <row r="192" spans="1:24" hidden="1" x14ac:dyDescent="0.3">
      <c r="A192" s="1">
        <v>2026</v>
      </c>
      <c r="B192" s="52">
        <v>46082</v>
      </c>
      <c r="C192" s="1">
        <v>31</v>
      </c>
      <c r="D192" s="1" t="s">
        <v>46</v>
      </c>
      <c r="E192" s="5">
        <v>46098</v>
      </c>
      <c r="F192" s="77">
        <v>1457.6200416666661</v>
      </c>
      <c r="G192" s="77">
        <v>209.38075000000001</v>
      </c>
      <c r="H192" s="77">
        <v>239.49970833333333</v>
      </c>
      <c r="I192" s="77">
        <v>495.86758124999994</v>
      </c>
      <c r="J192" s="77">
        <v>610.24137499999995</v>
      </c>
      <c r="K192" s="77">
        <v>2034.5264583333346</v>
      </c>
      <c r="L192" s="77">
        <v>3464.5099166666664</v>
      </c>
      <c r="M192" s="77">
        <v>17.289250000000003</v>
      </c>
      <c r="N192" s="78">
        <f t="shared" si="21"/>
        <v>8528.9350812499997</v>
      </c>
      <c r="O192" s="1">
        <v>1500</v>
      </c>
      <c r="P192" s="77">
        <v>756</v>
      </c>
      <c r="Q192" s="77">
        <v>1040.3676500000001</v>
      </c>
      <c r="R192" s="77">
        <v>3702.9911458333331</v>
      </c>
      <c r="S192" s="77">
        <v>1755</v>
      </c>
      <c r="T192" s="77">
        <v>0</v>
      </c>
      <c r="U192" s="77">
        <v>5537.7752500000006</v>
      </c>
      <c r="V192" s="77">
        <v>0</v>
      </c>
      <c r="W192" s="79">
        <f t="shared" si="19"/>
        <v>14292.134045833334</v>
      </c>
      <c r="X192" s="88"/>
    </row>
    <row r="193" spans="1:24" hidden="1" x14ac:dyDescent="0.3">
      <c r="A193" s="1">
        <v>2026</v>
      </c>
      <c r="B193" s="52">
        <v>46082</v>
      </c>
      <c r="C193" s="1">
        <v>31</v>
      </c>
      <c r="D193" s="1" t="s">
        <v>47</v>
      </c>
      <c r="E193" s="5">
        <v>46099</v>
      </c>
      <c r="F193" s="77">
        <v>995.35833333333323</v>
      </c>
      <c r="G193" s="77">
        <v>207.4903333333333</v>
      </c>
      <c r="H193" s="77">
        <v>241.10866666666669</v>
      </c>
      <c r="I193" s="77">
        <v>477.10630833333329</v>
      </c>
      <c r="J193" s="77">
        <v>609.87829166666677</v>
      </c>
      <c r="K193" s="77">
        <v>1843.9475416666667</v>
      </c>
      <c r="L193" s="77">
        <v>3184.0002916666663</v>
      </c>
      <c r="M193" s="77">
        <v>143.83883333333333</v>
      </c>
      <c r="N193" s="78">
        <f t="shared" si="21"/>
        <v>7702.7285999999995</v>
      </c>
      <c r="O193" s="1">
        <v>1500</v>
      </c>
      <c r="P193" s="77">
        <v>752.85</v>
      </c>
      <c r="Q193" s="77">
        <v>1036.6662250000002</v>
      </c>
      <c r="R193" s="77">
        <v>3666.3619166666667</v>
      </c>
      <c r="S193" s="77">
        <v>1755</v>
      </c>
      <c r="T193" s="77">
        <v>0</v>
      </c>
      <c r="U193" s="77">
        <v>5512.7877499999995</v>
      </c>
      <c r="V193" s="77">
        <v>0</v>
      </c>
      <c r="W193" s="79">
        <f t="shared" si="19"/>
        <v>14223.665891666667</v>
      </c>
      <c r="X193" s="88"/>
    </row>
    <row r="194" spans="1:24" hidden="1" x14ac:dyDescent="0.3">
      <c r="A194" s="1">
        <v>2026</v>
      </c>
      <c r="B194" s="52">
        <v>46082</v>
      </c>
      <c r="C194" s="1">
        <v>31</v>
      </c>
      <c r="D194" s="1" t="s">
        <v>48</v>
      </c>
      <c r="E194" s="5">
        <v>46100</v>
      </c>
      <c r="F194" s="77">
        <v>977.20525000000032</v>
      </c>
      <c r="G194" s="77">
        <v>335.60008333333332</v>
      </c>
      <c r="H194" s="77">
        <v>228.17833333333334</v>
      </c>
      <c r="I194" s="77">
        <v>620.56367083333339</v>
      </c>
      <c r="J194" s="77">
        <v>609.34958333333338</v>
      </c>
      <c r="K194" s="77">
        <v>1560.2231666666669</v>
      </c>
      <c r="L194" s="77">
        <v>2920.4015000000004</v>
      </c>
      <c r="M194" s="77">
        <v>23.391333333333336</v>
      </c>
      <c r="N194" s="78">
        <f t="shared" si="21"/>
        <v>7274.9129208333343</v>
      </c>
      <c r="O194" s="1">
        <v>1500</v>
      </c>
      <c r="P194" s="77">
        <v>750.22500000000002</v>
      </c>
      <c r="Q194" s="77">
        <v>1041.8180500000001</v>
      </c>
      <c r="R194" s="77">
        <v>3683.4171874999997</v>
      </c>
      <c r="S194" s="77">
        <v>1755</v>
      </c>
      <c r="T194" s="77">
        <v>0</v>
      </c>
      <c r="U194" s="77">
        <v>5586.4217916666676</v>
      </c>
      <c r="V194" s="77">
        <v>0</v>
      </c>
      <c r="W194" s="79">
        <f t="shared" si="19"/>
        <v>14316.882029166667</v>
      </c>
      <c r="X194" s="88"/>
    </row>
    <row r="195" spans="1:24" hidden="1" x14ac:dyDescent="0.3">
      <c r="A195" s="1">
        <v>2026</v>
      </c>
      <c r="B195" s="52">
        <v>46082</v>
      </c>
      <c r="C195" s="1">
        <v>31</v>
      </c>
      <c r="D195" s="1" t="s">
        <v>49</v>
      </c>
      <c r="E195" s="5">
        <v>46101</v>
      </c>
      <c r="F195" s="77">
        <v>1041.8475000000001</v>
      </c>
      <c r="G195" s="77">
        <v>627.31645833333334</v>
      </c>
      <c r="H195" s="77">
        <v>227.35595833333335</v>
      </c>
      <c r="I195" s="77">
        <v>1381.5954104166665</v>
      </c>
      <c r="J195" s="77">
        <v>609.62583333333339</v>
      </c>
      <c r="K195" s="77">
        <v>1357.347</v>
      </c>
      <c r="L195" s="77">
        <v>3047.2969166666658</v>
      </c>
      <c r="M195" s="77">
        <v>45.819541666666666</v>
      </c>
      <c r="N195" s="78">
        <f t="shared" si="21"/>
        <v>8338.2046187499982</v>
      </c>
      <c r="O195" s="1">
        <v>1500</v>
      </c>
      <c r="P195" s="77">
        <v>740.77499999999998</v>
      </c>
      <c r="Q195" s="77">
        <v>1038.3100875</v>
      </c>
      <c r="R195" s="77">
        <v>3703.6889999999999</v>
      </c>
      <c r="S195" s="77">
        <v>1755</v>
      </c>
      <c r="T195" s="77">
        <v>0</v>
      </c>
      <c r="U195" s="77">
        <v>5630.544083333335</v>
      </c>
      <c r="V195" s="77">
        <v>0</v>
      </c>
      <c r="W195" s="79">
        <f t="shared" si="19"/>
        <v>14368.318170833336</v>
      </c>
      <c r="X195" s="88"/>
    </row>
    <row r="196" spans="1:24" hidden="1" x14ac:dyDescent="0.3">
      <c r="A196" s="1">
        <v>2026</v>
      </c>
      <c r="B196" s="52">
        <v>46082</v>
      </c>
      <c r="C196" s="1">
        <v>31</v>
      </c>
      <c r="D196" s="1" t="s">
        <v>43</v>
      </c>
      <c r="E196" s="5">
        <v>46102</v>
      </c>
      <c r="F196" s="77">
        <v>733.48637500000007</v>
      </c>
      <c r="G196" s="77">
        <v>386.89774999999992</v>
      </c>
      <c r="H196" s="77">
        <v>224.92395833333336</v>
      </c>
      <c r="I196" s="77">
        <v>620.23552500000005</v>
      </c>
      <c r="J196" s="77">
        <v>609.98537500000009</v>
      </c>
      <c r="K196" s="77">
        <v>1435.5693750000003</v>
      </c>
      <c r="L196" s="77">
        <v>2423.1656249999996</v>
      </c>
      <c r="M196" s="77">
        <v>223.46812499999999</v>
      </c>
      <c r="N196" s="78">
        <f t="shared" si="21"/>
        <v>6657.7321083333336</v>
      </c>
      <c r="O196" s="1">
        <v>1500</v>
      </c>
      <c r="P196" s="77">
        <v>727.125</v>
      </c>
      <c r="Q196" s="77">
        <v>1038.4649625000002</v>
      </c>
      <c r="R196" s="77">
        <v>3809.5</v>
      </c>
      <c r="S196" s="77">
        <v>1755</v>
      </c>
      <c r="T196" s="77">
        <v>0</v>
      </c>
      <c r="U196" s="77">
        <v>5330.7868750000016</v>
      </c>
      <c r="V196" s="77">
        <v>0</v>
      </c>
      <c r="W196" s="79">
        <f t="shared" si="19"/>
        <v>14160.876837500002</v>
      </c>
      <c r="X196" s="88"/>
    </row>
    <row r="197" spans="1:24" hidden="1" x14ac:dyDescent="0.3">
      <c r="A197" s="1">
        <v>2026</v>
      </c>
      <c r="B197" s="52">
        <v>46082</v>
      </c>
      <c r="C197" s="1">
        <v>31</v>
      </c>
      <c r="D197" s="1" t="s">
        <v>44</v>
      </c>
      <c r="E197" s="5">
        <v>46103</v>
      </c>
      <c r="F197" s="77">
        <v>775.51599999999996</v>
      </c>
      <c r="G197" s="77">
        <v>215.76554166666665</v>
      </c>
      <c r="H197" s="77">
        <v>237.12320833333337</v>
      </c>
      <c r="I197" s="77">
        <v>198.15119791666669</v>
      </c>
      <c r="J197" s="77">
        <v>609.41179166666677</v>
      </c>
      <c r="K197" s="77">
        <v>1584.4830416666678</v>
      </c>
      <c r="L197" s="77">
        <v>1971.9996249999999</v>
      </c>
      <c r="M197" s="77">
        <v>40.153874999999999</v>
      </c>
      <c r="N197" s="78">
        <f t="shared" si="21"/>
        <v>5632.6042812500009</v>
      </c>
      <c r="O197" s="1">
        <v>1500</v>
      </c>
      <c r="P197" s="77">
        <v>722.4</v>
      </c>
      <c r="Q197" s="77">
        <v>1031.9784562500001</v>
      </c>
      <c r="R197" s="77">
        <v>3810.45</v>
      </c>
      <c r="S197" s="77">
        <v>1755</v>
      </c>
      <c r="T197" s="77">
        <v>0</v>
      </c>
      <c r="U197" s="77">
        <v>5358.4287500000009</v>
      </c>
      <c r="V197" s="77">
        <v>0</v>
      </c>
      <c r="W197" s="79">
        <f t="shared" si="19"/>
        <v>14178.257206250002</v>
      </c>
      <c r="X197" s="88"/>
    </row>
    <row r="198" spans="1:24" hidden="1" x14ac:dyDescent="0.3">
      <c r="A198" s="1">
        <v>2026</v>
      </c>
      <c r="B198" s="52">
        <v>46082</v>
      </c>
      <c r="C198" s="1">
        <v>31</v>
      </c>
      <c r="D198" s="1" t="s">
        <v>45</v>
      </c>
      <c r="E198" s="5">
        <v>46104</v>
      </c>
      <c r="F198" s="77">
        <v>764.17870833333336</v>
      </c>
      <c r="G198" s="77">
        <v>175.87237500000003</v>
      </c>
      <c r="H198" s="77">
        <v>240.66016666666667</v>
      </c>
      <c r="I198" s="77">
        <v>435.49048958333333</v>
      </c>
      <c r="J198" s="77">
        <v>609.63658333333331</v>
      </c>
      <c r="K198" s="77">
        <v>1911.4506250000004</v>
      </c>
      <c r="L198" s="77">
        <v>2365.3814166666666</v>
      </c>
      <c r="M198" s="77">
        <v>66.906458333333333</v>
      </c>
      <c r="N198" s="78">
        <f t="shared" si="21"/>
        <v>6569.5768229166661</v>
      </c>
      <c r="O198" s="1">
        <v>1500</v>
      </c>
      <c r="P198" s="77">
        <v>718.72500000000002</v>
      </c>
      <c r="Q198" s="77">
        <v>964.29405625000004</v>
      </c>
      <c r="R198" s="77">
        <v>3809.5</v>
      </c>
      <c r="S198" s="77">
        <v>1755</v>
      </c>
      <c r="T198" s="77">
        <v>0</v>
      </c>
      <c r="U198" s="77">
        <v>5243.7764999999999</v>
      </c>
      <c r="V198" s="77">
        <v>0</v>
      </c>
      <c r="W198" s="79">
        <f t="shared" si="19"/>
        <v>13991.295556249999</v>
      </c>
      <c r="X198" s="88"/>
    </row>
    <row r="199" spans="1:24" hidden="1" x14ac:dyDescent="0.3">
      <c r="A199" s="1">
        <v>2026</v>
      </c>
      <c r="B199" s="52">
        <v>46082</v>
      </c>
      <c r="C199" s="1">
        <v>31</v>
      </c>
      <c r="D199" s="1" t="s">
        <v>46</v>
      </c>
      <c r="E199" s="5">
        <v>46105</v>
      </c>
      <c r="F199" s="77">
        <v>1184.1885</v>
      </c>
      <c r="G199" s="77">
        <v>167.52816666666669</v>
      </c>
      <c r="H199" s="77">
        <v>230.6286666666667</v>
      </c>
      <c r="I199" s="77">
        <v>119.33393333333332</v>
      </c>
      <c r="J199" s="77">
        <v>610.51349999999991</v>
      </c>
      <c r="K199" s="77">
        <v>1962.1676249999994</v>
      </c>
      <c r="L199" s="77">
        <v>2328.8426250000011</v>
      </c>
      <c r="M199" s="77">
        <v>69.113958333333343</v>
      </c>
      <c r="N199" s="78">
        <f t="shared" si="21"/>
        <v>6672.3169750000006</v>
      </c>
      <c r="O199" s="1">
        <v>1500</v>
      </c>
      <c r="P199" s="77">
        <v>718.72500000000002</v>
      </c>
      <c r="Q199" s="77">
        <v>933.39732500000002</v>
      </c>
      <c r="R199" s="77">
        <v>3809.5</v>
      </c>
      <c r="S199" s="77">
        <v>1755</v>
      </c>
      <c r="T199" s="77">
        <v>0</v>
      </c>
      <c r="U199" s="77">
        <v>5197.8421250000001</v>
      </c>
      <c r="V199" s="77">
        <v>0</v>
      </c>
      <c r="W199" s="79">
        <f t="shared" si="19"/>
        <v>13914.464449999999</v>
      </c>
      <c r="X199" s="88"/>
    </row>
    <row r="200" spans="1:24" hidden="1" x14ac:dyDescent="0.3">
      <c r="A200" s="1">
        <v>2026</v>
      </c>
      <c r="B200" s="52">
        <v>46082</v>
      </c>
      <c r="C200" s="1">
        <v>31</v>
      </c>
      <c r="D200" s="1" t="s">
        <v>47</v>
      </c>
      <c r="E200" s="5">
        <v>46106</v>
      </c>
      <c r="F200" s="77">
        <v>1292.9346250000001</v>
      </c>
      <c r="G200" s="77">
        <v>25.216041666666669</v>
      </c>
      <c r="H200" s="77">
        <v>239.74458333333334</v>
      </c>
      <c r="I200" s="77">
        <v>336.86073750000003</v>
      </c>
      <c r="J200" s="77">
        <v>610.72079166666674</v>
      </c>
      <c r="K200" s="77">
        <v>1909.0073333333332</v>
      </c>
      <c r="L200" s="77">
        <v>2975.9074166666664</v>
      </c>
      <c r="M200" s="77">
        <v>43.939791666666672</v>
      </c>
      <c r="N200" s="78">
        <f t="shared" si="21"/>
        <v>7434.3313208333338</v>
      </c>
      <c r="O200" s="1">
        <v>1500</v>
      </c>
      <c r="P200" s="77">
        <v>718.72500000000002</v>
      </c>
      <c r="Q200" s="77">
        <v>930.34471250000013</v>
      </c>
      <c r="R200" s="77">
        <v>3808.5499999999997</v>
      </c>
      <c r="S200" s="77">
        <v>1755</v>
      </c>
      <c r="T200" s="77">
        <v>0</v>
      </c>
      <c r="U200" s="77">
        <v>5218.9644166666667</v>
      </c>
      <c r="V200" s="77">
        <v>0</v>
      </c>
      <c r="W200" s="79">
        <f t="shared" si="19"/>
        <v>13931.584129166666</v>
      </c>
      <c r="X200" s="88"/>
    </row>
    <row r="201" spans="1:24" hidden="1" x14ac:dyDescent="0.3">
      <c r="A201" s="1">
        <v>2026</v>
      </c>
      <c r="B201" s="52">
        <v>46082</v>
      </c>
      <c r="C201" s="1">
        <v>31</v>
      </c>
      <c r="D201" s="1" t="s">
        <v>48</v>
      </c>
      <c r="E201" s="5">
        <v>46107</v>
      </c>
      <c r="F201" s="77">
        <v>1353.1710833333332</v>
      </c>
      <c r="G201" s="77">
        <v>178.61933333333334</v>
      </c>
      <c r="H201" s="77">
        <v>238.10004166666667</v>
      </c>
      <c r="I201" s="77">
        <v>554.82390833333341</v>
      </c>
      <c r="J201" s="77">
        <v>609.99570833333337</v>
      </c>
      <c r="K201" s="77">
        <v>1360.3072916666665</v>
      </c>
      <c r="L201" s="77">
        <v>3194.740291666667</v>
      </c>
      <c r="M201" s="77">
        <v>29.266249999999999</v>
      </c>
      <c r="N201" s="78">
        <f t="shared" si="21"/>
        <v>7519.0239083333336</v>
      </c>
      <c r="O201" s="1">
        <v>1500</v>
      </c>
      <c r="P201" s="77">
        <v>722.92500000000007</v>
      </c>
      <c r="Q201" s="77">
        <v>954.97381875000008</v>
      </c>
      <c r="R201" s="77">
        <v>3808.5499999999997</v>
      </c>
      <c r="S201" s="77">
        <v>1755</v>
      </c>
      <c r="T201" s="77">
        <v>0</v>
      </c>
      <c r="U201" s="77">
        <v>5152.8121250000013</v>
      </c>
      <c r="V201" s="77">
        <v>0</v>
      </c>
      <c r="W201" s="79">
        <f t="shared" si="19"/>
        <v>13894.26094375</v>
      </c>
      <c r="X201" s="88"/>
    </row>
    <row r="202" spans="1:24" hidden="1" x14ac:dyDescent="0.3">
      <c r="A202" s="1">
        <v>2026</v>
      </c>
      <c r="B202" s="52">
        <v>46082</v>
      </c>
      <c r="C202" s="1">
        <v>31</v>
      </c>
      <c r="D202" s="1" t="s">
        <v>49</v>
      </c>
      <c r="E202" s="5">
        <v>46108</v>
      </c>
      <c r="F202" s="77">
        <v>1196.324875</v>
      </c>
      <c r="G202" s="77">
        <v>122.7553333333333</v>
      </c>
      <c r="H202" s="77">
        <v>237.08795833333335</v>
      </c>
      <c r="I202" s="77">
        <v>806.49426666666659</v>
      </c>
      <c r="J202" s="77">
        <v>610.34883333333335</v>
      </c>
      <c r="K202" s="77">
        <v>1560.8886666666669</v>
      </c>
      <c r="L202" s="77">
        <v>3377.9956666666667</v>
      </c>
      <c r="M202" s="77">
        <v>40.700500000000005</v>
      </c>
      <c r="N202" s="78">
        <f t="shared" si="21"/>
        <v>7952.5960999999998</v>
      </c>
      <c r="O202" s="1">
        <v>1500</v>
      </c>
      <c r="P202" s="77">
        <v>722.92500000000007</v>
      </c>
      <c r="Q202" s="77">
        <v>891.9122625</v>
      </c>
      <c r="R202" s="77">
        <v>3808.5499999999997</v>
      </c>
      <c r="S202" s="77">
        <v>1755</v>
      </c>
      <c r="T202" s="77">
        <v>0</v>
      </c>
      <c r="U202" s="77">
        <v>5153.45154166667</v>
      </c>
      <c r="V202" s="77">
        <v>0</v>
      </c>
      <c r="W202" s="79">
        <f t="shared" si="19"/>
        <v>13831.838804166669</v>
      </c>
      <c r="X202" s="88"/>
    </row>
    <row r="203" spans="1:24" hidden="1" x14ac:dyDescent="0.3">
      <c r="A203" s="1">
        <v>2026</v>
      </c>
      <c r="B203" s="52">
        <v>46082</v>
      </c>
      <c r="C203" s="1">
        <v>31</v>
      </c>
      <c r="D203" s="1" t="s">
        <v>43</v>
      </c>
      <c r="E203" s="5">
        <v>46109</v>
      </c>
      <c r="F203" s="77">
        <v>1275.0493749999998</v>
      </c>
      <c r="G203" s="77">
        <v>170.68550000000002</v>
      </c>
      <c r="H203" s="77">
        <v>273.04862500000002</v>
      </c>
      <c r="I203" s="77">
        <v>603.29017708333345</v>
      </c>
      <c r="J203" s="77">
        <v>610.67537500000003</v>
      </c>
      <c r="K203" s="77">
        <v>1612.7406249999999</v>
      </c>
      <c r="L203" s="77">
        <v>3253.7274583333337</v>
      </c>
      <c r="M203" s="77">
        <v>137.08758333333333</v>
      </c>
      <c r="N203" s="78">
        <f t="shared" si="21"/>
        <v>7936.3047187499997</v>
      </c>
      <c r="O203" s="1">
        <v>1500</v>
      </c>
      <c r="P203" s="77">
        <v>722.92500000000007</v>
      </c>
      <c r="Q203" s="77">
        <v>931.38526250000018</v>
      </c>
      <c r="R203" s="77">
        <v>3689.9187499999998</v>
      </c>
      <c r="S203" s="77">
        <v>1755</v>
      </c>
      <c r="T203" s="77">
        <v>0</v>
      </c>
      <c r="U203" s="77">
        <v>5053.8917916666678</v>
      </c>
      <c r="V203" s="77">
        <v>0</v>
      </c>
      <c r="W203" s="79">
        <f t="shared" si="19"/>
        <v>13653.120804166669</v>
      </c>
      <c r="X203" s="88"/>
    </row>
    <row r="204" spans="1:24" hidden="1" x14ac:dyDescent="0.3">
      <c r="A204" s="1">
        <v>2026</v>
      </c>
      <c r="B204" s="52">
        <v>46082</v>
      </c>
      <c r="C204" s="1">
        <v>31</v>
      </c>
      <c r="D204" s="1" t="s">
        <v>44</v>
      </c>
      <c r="E204" s="5">
        <v>46110</v>
      </c>
      <c r="F204" s="77">
        <v>1090.2525000000001</v>
      </c>
      <c r="G204" s="77">
        <v>190.14033333333339</v>
      </c>
      <c r="H204" s="77">
        <v>334.34479166666665</v>
      </c>
      <c r="I204" s="77">
        <v>918.07711041666653</v>
      </c>
      <c r="J204" s="77">
        <v>610.38995833333331</v>
      </c>
      <c r="K204" s="77">
        <v>1382.0177500000007</v>
      </c>
      <c r="L204" s="77">
        <v>2815.739333333333</v>
      </c>
      <c r="M204" s="77">
        <v>92.292166666666645</v>
      </c>
      <c r="N204" s="78">
        <f t="shared" si="21"/>
        <v>7433.2539437500009</v>
      </c>
      <c r="O204" s="1">
        <v>1500</v>
      </c>
      <c r="P204" s="77">
        <v>723.97500000000002</v>
      </c>
      <c r="Q204" s="77">
        <v>974.61910000000012</v>
      </c>
      <c r="R204" s="77">
        <v>3806.6499999999996</v>
      </c>
      <c r="S204" s="77">
        <v>1755</v>
      </c>
      <c r="T204" s="77">
        <v>0</v>
      </c>
      <c r="U204" s="77">
        <v>5039.8680000000004</v>
      </c>
      <c r="V204" s="77">
        <v>0</v>
      </c>
      <c r="W204" s="79">
        <f t="shared" si="19"/>
        <v>13800.1121</v>
      </c>
      <c r="X204" s="88"/>
    </row>
    <row r="205" spans="1:24" hidden="1" x14ac:dyDescent="0.3">
      <c r="A205" s="1">
        <v>2026</v>
      </c>
      <c r="B205" s="52">
        <v>46082</v>
      </c>
      <c r="C205" s="1">
        <v>31</v>
      </c>
      <c r="D205" s="1" t="s">
        <v>45</v>
      </c>
      <c r="E205" s="5">
        <v>46111</v>
      </c>
      <c r="F205" s="77">
        <v>1130.9914166666667</v>
      </c>
      <c r="G205" s="77">
        <v>431.41670833333336</v>
      </c>
      <c r="H205" s="77">
        <v>372.05149999999998</v>
      </c>
      <c r="I205" s="77">
        <v>1592.5289770833333</v>
      </c>
      <c r="J205" s="77">
        <v>359.58891666666665</v>
      </c>
      <c r="K205" s="77">
        <v>1465.0379166666664</v>
      </c>
      <c r="L205" s="77">
        <v>3394.5140416666654</v>
      </c>
      <c r="M205" s="77">
        <v>280.12200000000001</v>
      </c>
      <c r="N205" s="78">
        <f t="shared" si="21"/>
        <v>9026.2514770833313</v>
      </c>
      <c r="O205" s="1">
        <v>1500</v>
      </c>
      <c r="P205" s="77">
        <v>723.97500000000002</v>
      </c>
      <c r="Q205" s="77">
        <v>967.6489375000001</v>
      </c>
      <c r="R205" s="77">
        <v>3807.6</v>
      </c>
      <c r="S205" s="77">
        <v>1755</v>
      </c>
      <c r="T205" s="77">
        <v>0</v>
      </c>
      <c r="U205" s="77">
        <v>4877.6847916666675</v>
      </c>
      <c r="V205" s="77">
        <v>0</v>
      </c>
      <c r="W205" s="79">
        <f t="shared" si="19"/>
        <v>13631.908729166666</v>
      </c>
      <c r="X205" s="88"/>
    </row>
    <row r="206" spans="1:24" hidden="1" x14ac:dyDescent="0.3">
      <c r="A206" s="1">
        <v>2026</v>
      </c>
      <c r="B206" s="52">
        <v>46082</v>
      </c>
      <c r="C206" s="1">
        <v>31</v>
      </c>
      <c r="D206" s="1" t="s">
        <v>46</v>
      </c>
      <c r="E206" s="5">
        <v>46112</v>
      </c>
      <c r="F206" s="77">
        <v>1276.1319166666669</v>
      </c>
      <c r="G206" s="77">
        <v>400.77683333333351</v>
      </c>
      <c r="H206" s="77">
        <v>334.14316666666662</v>
      </c>
      <c r="I206" s="77">
        <v>1679.8270499999996</v>
      </c>
      <c r="J206" s="77">
        <v>0</v>
      </c>
      <c r="K206" s="77">
        <v>1769.6475416666669</v>
      </c>
      <c r="L206" s="77">
        <v>3548.8857916666666</v>
      </c>
      <c r="M206" s="77">
        <v>1303.4861250000001</v>
      </c>
      <c r="N206" s="78">
        <f t="shared" si="21"/>
        <v>10312.898424999999</v>
      </c>
      <c r="O206" s="1">
        <v>1500</v>
      </c>
      <c r="P206" s="77">
        <v>711.375</v>
      </c>
      <c r="Q206" s="77">
        <v>965.54500000000007</v>
      </c>
      <c r="R206" s="77">
        <v>3805.7</v>
      </c>
      <c r="S206" s="77">
        <v>1755</v>
      </c>
      <c r="T206" s="77">
        <v>0</v>
      </c>
      <c r="U206" s="77">
        <v>4748.7668750000003</v>
      </c>
      <c r="V206" s="77">
        <v>0</v>
      </c>
      <c r="W206" s="79">
        <f t="shared" si="19"/>
        <v>13486.386875</v>
      </c>
      <c r="X206" s="88"/>
    </row>
    <row r="207" spans="1:24" hidden="1" x14ac:dyDescent="0.3">
      <c r="A207" s="1">
        <v>2026</v>
      </c>
      <c r="B207" s="52">
        <v>46113</v>
      </c>
      <c r="C207" s="1">
        <v>30</v>
      </c>
      <c r="D207" s="1" t="s">
        <v>47</v>
      </c>
      <c r="E207" s="5">
        <v>46113</v>
      </c>
      <c r="F207" s="77">
        <v>1158.2333333333333</v>
      </c>
      <c r="G207" s="77">
        <v>126.96249999999998</v>
      </c>
      <c r="H207" s="77">
        <v>318.21458333333334</v>
      </c>
      <c r="I207" s="77">
        <v>1647.8058749999996</v>
      </c>
      <c r="J207" s="77">
        <v>113.27666666666669</v>
      </c>
      <c r="K207" s="77">
        <v>1342.462500000004</v>
      </c>
      <c r="L207" s="77">
        <v>3880.4629166666632</v>
      </c>
      <c r="M207" s="77">
        <v>680.14166666666642</v>
      </c>
      <c r="N207" s="78">
        <f t="shared" si="21"/>
        <v>9267.5600416666657</v>
      </c>
      <c r="O207" s="1">
        <v>1500</v>
      </c>
      <c r="P207" s="77">
        <v>738.34971875000008</v>
      </c>
      <c r="Q207" s="77">
        <v>964.0575</v>
      </c>
      <c r="R207" s="77">
        <v>3801.8999999999996</v>
      </c>
      <c r="S207" s="77">
        <v>1755</v>
      </c>
      <c r="T207" s="77">
        <v>0</v>
      </c>
      <c r="U207" s="77">
        <v>4905.3076249999995</v>
      </c>
      <c r="V207" s="77">
        <v>0</v>
      </c>
      <c r="W207" s="79">
        <f t="shared" si="19"/>
        <v>13664.61484375</v>
      </c>
      <c r="X207" s="88"/>
    </row>
    <row r="208" spans="1:24" hidden="1" x14ac:dyDescent="0.3">
      <c r="A208" s="1">
        <v>2026</v>
      </c>
      <c r="B208" s="52">
        <v>46113</v>
      </c>
      <c r="C208" s="1">
        <v>30</v>
      </c>
      <c r="D208" s="1" t="s">
        <v>48</v>
      </c>
      <c r="E208" s="5">
        <v>46114</v>
      </c>
      <c r="F208" s="77">
        <v>1088.5795833333334</v>
      </c>
      <c r="G208" s="77">
        <v>112.0208333333333</v>
      </c>
      <c r="H208" s="77">
        <v>229.25666666666658</v>
      </c>
      <c r="I208" s="77">
        <v>639.20591666666655</v>
      </c>
      <c r="J208" s="77">
        <v>572.55666666666673</v>
      </c>
      <c r="K208" s="77">
        <v>1328.8100000000004</v>
      </c>
      <c r="L208" s="77">
        <v>3002.1325000000088</v>
      </c>
      <c r="M208" s="77">
        <v>1111.9050000000004</v>
      </c>
      <c r="N208" s="78">
        <f t="shared" si="21"/>
        <v>8084.4671666666763</v>
      </c>
      <c r="O208" s="1">
        <v>1500</v>
      </c>
      <c r="P208" s="77">
        <v>804.30000000000007</v>
      </c>
      <c r="Q208" s="77">
        <v>965.21556250000003</v>
      </c>
      <c r="R208" s="77">
        <v>3804.75</v>
      </c>
      <c r="S208" s="77">
        <v>1755</v>
      </c>
      <c r="T208" s="77">
        <v>0</v>
      </c>
      <c r="U208" s="77">
        <v>5036.4907499999999</v>
      </c>
      <c r="V208" s="77">
        <v>0</v>
      </c>
      <c r="W208" s="79">
        <f t="shared" si="19"/>
        <v>13865.756312500002</v>
      </c>
      <c r="X208" s="88"/>
    </row>
    <row r="209" spans="1:24" hidden="1" x14ac:dyDescent="0.3">
      <c r="A209" s="1">
        <v>2026</v>
      </c>
      <c r="B209" s="52">
        <v>46113</v>
      </c>
      <c r="C209" s="1">
        <v>30</v>
      </c>
      <c r="D209" s="1" t="s">
        <v>49</v>
      </c>
      <c r="E209" s="5">
        <v>46115</v>
      </c>
      <c r="F209" s="77">
        <v>883.91291666666632</v>
      </c>
      <c r="G209" s="77">
        <v>188.89000000000001</v>
      </c>
      <c r="H209" s="77">
        <v>220.0975</v>
      </c>
      <c r="I209" s="77">
        <v>399.51695833333326</v>
      </c>
      <c r="J209" s="77">
        <v>616.8195833333333</v>
      </c>
      <c r="K209" s="77">
        <v>1989.6400000000042</v>
      </c>
      <c r="L209" s="77">
        <v>2551.1704166666646</v>
      </c>
      <c r="M209" s="77">
        <v>412.93208333333331</v>
      </c>
      <c r="N209" s="78">
        <f t="shared" si="21"/>
        <v>7262.9794583333351</v>
      </c>
      <c r="O209" s="1">
        <v>1500</v>
      </c>
      <c r="P209" s="77">
        <v>804.30000000000007</v>
      </c>
      <c r="Q209" s="77">
        <v>843.00693750000005</v>
      </c>
      <c r="R209" s="77">
        <v>3801.1653729166665</v>
      </c>
      <c r="S209" s="77">
        <v>1755</v>
      </c>
      <c r="T209" s="77">
        <v>0</v>
      </c>
      <c r="U209" s="77">
        <v>4643.8595416666658</v>
      </c>
      <c r="V209" s="77">
        <v>0</v>
      </c>
      <c r="W209" s="79">
        <f t="shared" si="19"/>
        <v>13347.331852083331</v>
      </c>
      <c r="X209" s="88"/>
    </row>
    <row r="210" spans="1:24" hidden="1" x14ac:dyDescent="0.3">
      <c r="A210" s="1">
        <v>2026</v>
      </c>
      <c r="B210" s="52">
        <v>46113</v>
      </c>
      <c r="C210" s="1">
        <v>30</v>
      </c>
      <c r="D210" s="1" t="s">
        <v>43</v>
      </c>
      <c r="E210" s="5">
        <v>46116</v>
      </c>
      <c r="F210" s="77">
        <v>707.53750000000002</v>
      </c>
      <c r="G210" s="77">
        <v>164.11333333333332</v>
      </c>
      <c r="H210" s="77">
        <v>281.1941666666666</v>
      </c>
      <c r="I210" s="77">
        <v>879.44943750000004</v>
      </c>
      <c r="J210" s="77">
        <v>616.81249999999989</v>
      </c>
      <c r="K210" s="77">
        <v>1287.7645833333311</v>
      </c>
      <c r="L210" s="77">
        <v>2118.4070833333349</v>
      </c>
      <c r="M210" s="77">
        <v>463.64583333333326</v>
      </c>
      <c r="N210" s="78">
        <f t="shared" si="21"/>
        <v>6518.9244374999989</v>
      </c>
      <c r="O210" s="1">
        <v>1500</v>
      </c>
      <c r="P210" s="77">
        <v>800.625</v>
      </c>
      <c r="Q210" s="77">
        <v>868.07</v>
      </c>
      <c r="R210" s="77">
        <v>3799.0499999999997</v>
      </c>
      <c r="S210" s="77">
        <v>1755</v>
      </c>
      <c r="T210" s="77">
        <v>0</v>
      </c>
      <c r="U210" s="77">
        <v>4645.7187916666662</v>
      </c>
      <c r="V210" s="77">
        <v>0</v>
      </c>
      <c r="W210" s="79">
        <f t="shared" si="19"/>
        <v>13368.463791666665</v>
      </c>
      <c r="X210" s="88"/>
    </row>
    <row r="211" spans="1:24" hidden="1" x14ac:dyDescent="0.3">
      <c r="A211" s="1">
        <v>2026</v>
      </c>
      <c r="B211" s="52">
        <v>46113</v>
      </c>
      <c r="C211" s="1">
        <v>30</v>
      </c>
      <c r="D211" s="1" t="s">
        <v>44</v>
      </c>
      <c r="E211" s="5">
        <v>46117</v>
      </c>
      <c r="F211" s="77">
        <v>700.07749999999999</v>
      </c>
      <c r="G211" s="77">
        <v>151.82291666666669</v>
      </c>
      <c r="H211" s="77">
        <v>308.75083333333305</v>
      </c>
      <c r="I211" s="77">
        <v>1180.5456041666666</v>
      </c>
      <c r="J211" s="77">
        <v>616.9629166666665</v>
      </c>
      <c r="K211" s="77">
        <v>1387.0612499999977</v>
      </c>
      <c r="L211" s="77">
        <v>1925.7300000000002</v>
      </c>
      <c r="M211" s="77">
        <v>272.07083333333327</v>
      </c>
      <c r="N211" s="78">
        <f t="shared" si="21"/>
        <v>6543.0218541666645</v>
      </c>
      <c r="O211" s="1">
        <v>1500</v>
      </c>
      <c r="P211" s="77">
        <v>800.625</v>
      </c>
      <c r="Q211" s="77">
        <v>872.97393750000003</v>
      </c>
      <c r="R211" s="77">
        <v>3799.0499999999997</v>
      </c>
      <c r="S211" s="77">
        <v>1755</v>
      </c>
      <c r="T211" s="77">
        <v>0</v>
      </c>
      <c r="U211" s="77">
        <v>5001.3035833333324</v>
      </c>
      <c r="V211" s="77">
        <v>0</v>
      </c>
      <c r="W211" s="79">
        <f t="shared" si="19"/>
        <v>13728.952520833333</v>
      </c>
      <c r="X211" s="88"/>
    </row>
    <row r="212" spans="1:24" hidden="1" x14ac:dyDescent="0.3">
      <c r="A212" s="1">
        <v>2026</v>
      </c>
      <c r="B212" s="52">
        <v>46113</v>
      </c>
      <c r="C212" s="1">
        <v>30</v>
      </c>
      <c r="D212" s="1" t="s">
        <v>45</v>
      </c>
      <c r="E212" s="5">
        <v>46118</v>
      </c>
      <c r="F212" s="77">
        <v>953.05916666666656</v>
      </c>
      <c r="G212" s="77">
        <v>123.06916666666667</v>
      </c>
      <c r="H212" s="77">
        <v>297.42958333333348</v>
      </c>
      <c r="I212" s="77">
        <v>1100.9169999999999</v>
      </c>
      <c r="J212" s="77">
        <v>617.33875</v>
      </c>
      <c r="K212" s="77">
        <v>1261.664583333328</v>
      </c>
      <c r="L212" s="77">
        <v>2362.3470833333317</v>
      </c>
      <c r="M212" s="77">
        <v>461.23416666666657</v>
      </c>
      <c r="N212" s="78">
        <f t="shared" si="21"/>
        <v>7177.059499999993</v>
      </c>
      <c r="O212" s="1">
        <v>1500</v>
      </c>
      <c r="P212" s="77">
        <v>788.11971875000006</v>
      </c>
      <c r="Q212" s="77">
        <v>933.57249999999999</v>
      </c>
      <c r="R212" s="77">
        <v>3799.0499999999997</v>
      </c>
      <c r="S212" s="77">
        <v>1755</v>
      </c>
      <c r="T212" s="77">
        <v>0</v>
      </c>
      <c r="U212" s="77">
        <v>5042.2245416666656</v>
      </c>
      <c r="V212" s="77">
        <v>0</v>
      </c>
      <c r="W212" s="79">
        <f t="shared" si="19"/>
        <v>13817.966760416664</v>
      </c>
      <c r="X212" s="88"/>
    </row>
    <row r="213" spans="1:24" hidden="1" x14ac:dyDescent="0.3">
      <c r="A213" s="1">
        <v>2026</v>
      </c>
      <c r="B213" s="52">
        <v>46113</v>
      </c>
      <c r="C213" s="1">
        <v>30</v>
      </c>
      <c r="D213" s="1" t="s">
        <v>46</v>
      </c>
      <c r="E213" s="5">
        <v>46119</v>
      </c>
      <c r="F213" s="77">
        <v>1328.2983333333329</v>
      </c>
      <c r="G213" s="77">
        <v>159.56291666666667</v>
      </c>
      <c r="H213" s="77">
        <v>239.18375</v>
      </c>
      <c r="I213" s="77">
        <v>499.25745833333332</v>
      </c>
      <c r="J213" s="77">
        <v>617.75874999999996</v>
      </c>
      <c r="K213" s="77">
        <v>942.70958333333385</v>
      </c>
      <c r="L213" s="77">
        <v>2624.8708333333348</v>
      </c>
      <c r="M213" s="77">
        <v>198.94500000000005</v>
      </c>
      <c r="N213" s="78">
        <f t="shared" si="21"/>
        <v>6610.5866250000017</v>
      </c>
      <c r="O213" s="1">
        <v>1500</v>
      </c>
      <c r="P213" s="77">
        <v>816.90000000000009</v>
      </c>
      <c r="Q213" s="77">
        <v>987.46375</v>
      </c>
      <c r="R213" s="77">
        <v>3799.0499999999997</v>
      </c>
      <c r="S213" s="77">
        <v>1755</v>
      </c>
      <c r="T213" s="77">
        <v>0</v>
      </c>
      <c r="U213" s="77">
        <v>5219.4224999999988</v>
      </c>
      <c r="V213" s="77">
        <v>0</v>
      </c>
      <c r="W213" s="79">
        <f t="shared" ref="W213:W235" si="22">+SUM(O213:V213)</f>
        <v>14077.836249999998</v>
      </c>
      <c r="X213" s="88"/>
    </row>
    <row r="214" spans="1:24" hidden="1" x14ac:dyDescent="0.3">
      <c r="A214" s="1">
        <v>2026</v>
      </c>
      <c r="B214" s="52">
        <v>46113</v>
      </c>
      <c r="C214" s="1">
        <v>30</v>
      </c>
      <c r="D214" s="1" t="s">
        <v>47</v>
      </c>
      <c r="E214" s="5">
        <v>46120</v>
      </c>
      <c r="F214" s="77">
        <v>1701.1629166666664</v>
      </c>
      <c r="G214" s="77">
        <v>150.05166666666665</v>
      </c>
      <c r="H214" s="77">
        <v>235.3354166666667</v>
      </c>
      <c r="I214" s="77">
        <v>260.10525000000001</v>
      </c>
      <c r="J214" s="77">
        <v>618.40833333333342</v>
      </c>
      <c r="K214" s="77">
        <v>876.8745833333337</v>
      </c>
      <c r="L214" s="77">
        <v>2669.1612500000019</v>
      </c>
      <c r="M214" s="77">
        <v>107.58833333333331</v>
      </c>
      <c r="N214" s="78">
        <f t="shared" si="21"/>
        <v>6618.6877500000019</v>
      </c>
      <c r="O214" s="1">
        <v>1500</v>
      </c>
      <c r="P214" s="77">
        <v>837.375</v>
      </c>
      <c r="Q214" s="77">
        <v>979.10750000000007</v>
      </c>
      <c r="R214" s="77">
        <v>3799.0499999999997</v>
      </c>
      <c r="S214" s="77">
        <v>1755</v>
      </c>
      <c r="T214" s="77">
        <v>0</v>
      </c>
      <c r="U214" s="77">
        <v>5281.8342916666661</v>
      </c>
      <c r="V214" s="77">
        <v>0</v>
      </c>
      <c r="W214" s="79">
        <f t="shared" si="22"/>
        <v>14152.366791666665</v>
      </c>
      <c r="X214" s="88"/>
    </row>
    <row r="215" spans="1:24" hidden="1" x14ac:dyDescent="0.3">
      <c r="A215" s="1">
        <v>2026</v>
      </c>
      <c r="B215" s="52">
        <v>46113</v>
      </c>
      <c r="C215" s="1">
        <v>30</v>
      </c>
      <c r="D215" s="1" t="s">
        <v>48</v>
      </c>
      <c r="E215" s="5">
        <v>46121</v>
      </c>
      <c r="F215" s="77">
        <v>1900.0483333333339</v>
      </c>
      <c r="G215" s="77">
        <v>97.724583333333314</v>
      </c>
      <c r="H215" s="77">
        <v>218.17000000000004</v>
      </c>
      <c r="I215" s="77">
        <v>229.35770833333333</v>
      </c>
      <c r="J215" s="77">
        <v>618.43166666666673</v>
      </c>
      <c r="K215" s="77">
        <v>1605.662083333332</v>
      </c>
      <c r="L215" s="77">
        <v>2609.6383333333315</v>
      </c>
      <c r="M215" s="77">
        <v>11.046666666666667</v>
      </c>
      <c r="N215" s="78">
        <f t="shared" si="21"/>
        <v>7290.0793749999984</v>
      </c>
      <c r="O215" s="1">
        <v>1500</v>
      </c>
      <c r="P215" s="77">
        <v>825.06309375000001</v>
      </c>
      <c r="Q215" s="77">
        <v>979.698125</v>
      </c>
      <c r="R215" s="77">
        <v>3790.5</v>
      </c>
      <c r="S215" s="77">
        <v>1755</v>
      </c>
      <c r="T215" s="77">
        <v>0</v>
      </c>
      <c r="U215" s="77">
        <v>5387.9325416666643</v>
      </c>
      <c r="V215" s="77">
        <v>0</v>
      </c>
      <c r="W215" s="79">
        <f t="shared" si="22"/>
        <v>14238.193760416663</v>
      </c>
      <c r="X215" s="88"/>
    </row>
    <row r="216" spans="1:24" hidden="1" x14ac:dyDescent="0.3">
      <c r="A216" s="1">
        <v>2026</v>
      </c>
      <c r="B216" s="52">
        <v>46113</v>
      </c>
      <c r="C216" s="1">
        <v>30</v>
      </c>
      <c r="D216" s="1" t="s">
        <v>49</v>
      </c>
      <c r="E216" s="5">
        <v>46122</v>
      </c>
      <c r="F216" s="77">
        <v>1940.1483333333335</v>
      </c>
      <c r="G216" s="77">
        <v>76.308333333333337</v>
      </c>
      <c r="H216" s="77">
        <v>217.08958333333339</v>
      </c>
      <c r="I216" s="77">
        <v>230.98577083333333</v>
      </c>
      <c r="J216" s="77">
        <v>618.05750000000012</v>
      </c>
      <c r="K216" s="77">
        <v>1825.4591666666638</v>
      </c>
      <c r="L216" s="77">
        <v>2421.3283333333316</v>
      </c>
      <c r="M216" s="77">
        <v>10.959583333333335</v>
      </c>
      <c r="N216" s="78">
        <f t="shared" si="21"/>
        <v>7340.3366041666632</v>
      </c>
      <c r="O216" s="1">
        <v>1500</v>
      </c>
      <c r="P216" s="77">
        <v>827.92500000000007</v>
      </c>
      <c r="Q216" s="77">
        <v>985.0575</v>
      </c>
      <c r="R216" s="77">
        <v>3799.0499999999997</v>
      </c>
      <c r="S216" s="77">
        <v>1755</v>
      </c>
      <c r="T216" s="77">
        <v>0</v>
      </c>
      <c r="U216" s="77">
        <v>5489.8545833333319</v>
      </c>
      <c r="V216" s="77">
        <v>0</v>
      </c>
      <c r="W216" s="79">
        <f t="shared" si="22"/>
        <v>14356.887083333331</v>
      </c>
      <c r="X216" s="88"/>
    </row>
    <row r="217" spans="1:24" hidden="1" x14ac:dyDescent="0.3">
      <c r="A217" s="1">
        <v>2026</v>
      </c>
      <c r="B217" s="52">
        <v>46113</v>
      </c>
      <c r="C217" s="1">
        <v>30</v>
      </c>
      <c r="D217" s="1" t="s">
        <v>43</v>
      </c>
      <c r="E217" s="5">
        <v>46123</v>
      </c>
      <c r="F217" s="77">
        <v>1794.2697500000002</v>
      </c>
      <c r="G217" s="77">
        <v>174.97666666666669</v>
      </c>
      <c r="H217" s="77">
        <v>218.95920833333312</v>
      </c>
      <c r="I217" s="77">
        <v>227.10545625000006</v>
      </c>
      <c r="J217" s="77">
        <v>618.4433333333335</v>
      </c>
      <c r="K217" s="77">
        <v>2186.5214583333327</v>
      </c>
      <c r="L217" s="77">
        <v>2383.2385000000017</v>
      </c>
      <c r="M217" s="77">
        <v>203.31462500000009</v>
      </c>
      <c r="N217" s="78">
        <f t="shared" si="21"/>
        <v>7806.8289979166684</v>
      </c>
      <c r="O217" s="1">
        <v>1500</v>
      </c>
      <c r="P217" s="77">
        <v>863.70528124999998</v>
      </c>
      <c r="Q217" s="77">
        <v>1038.4469375000001</v>
      </c>
      <c r="R217" s="77">
        <v>3798.1</v>
      </c>
      <c r="S217" s="77">
        <v>1755</v>
      </c>
      <c r="T217" s="77">
        <v>0</v>
      </c>
      <c r="U217" s="77">
        <v>5297.8220416666654</v>
      </c>
      <c r="V217" s="77">
        <v>0</v>
      </c>
      <c r="W217" s="79">
        <f t="shared" si="22"/>
        <v>14253.074260416666</v>
      </c>
      <c r="X217" s="88"/>
    </row>
    <row r="218" spans="1:24" hidden="1" x14ac:dyDescent="0.3">
      <c r="A218" s="1">
        <v>2026</v>
      </c>
      <c r="B218" s="52">
        <v>46113</v>
      </c>
      <c r="C218" s="1">
        <v>30</v>
      </c>
      <c r="D218" s="1" t="s">
        <v>44</v>
      </c>
      <c r="E218" s="5">
        <v>46124</v>
      </c>
      <c r="F218" s="77">
        <v>1236.4944583333333</v>
      </c>
      <c r="G218" s="77">
        <v>410.10470833333335</v>
      </c>
      <c r="H218" s="77">
        <v>224.90687500000004</v>
      </c>
      <c r="I218" s="77">
        <v>380.47891874999999</v>
      </c>
      <c r="J218" s="77">
        <v>618.34800000000007</v>
      </c>
      <c r="K218" s="77">
        <v>1879.8993750000038</v>
      </c>
      <c r="L218" s="77">
        <v>2510.2810416666644</v>
      </c>
      <c r="M218" s="77">
        <v>142.33237499999993</v>
      </c>
      <c r="N218" s="78">
        <f t="shared" si="21"/>
        <v>7402.8457520833344</v>
      </c>
      <c r="O218" s="1">
        <v>1500</v>
      </c>
      <c r="P218" s="77">
        <v>890.92500000000007</v>
      </c>
      <c r="Q218" s="77">
        <v>1075.7950000000001</v>
      </c>
      <c r="R218" s="77">
        <v>3798.1</v>
      </c>
      <c r="S218" s="77">
        <v>1755</v>
      </c>
      <c r="T218" s="77">
        <v>0</v>
      </c>
      <c r="U218" s="77">
        <v>5404.0410833333308</v>
      </c>
      <c r="V218" s="77">
        <v>0</v>
      </c>
      <c r="W218" s="79">
        <f t="shared" si="22"/>
        <v>14423.86108333333</v>
      </c>
      <c r="X218" s="88"/>
    </row>
    <row r="219" spans="1:24" hidden="1" x14ac:dyDescent="0.3">
      <c r="A219" s="1">
        <v>2026</v>
      </c>
      <c r="B219" s="52">
        <v>46113</v>
      </c>
      <c r="C219" s="1">
        <v>30</v>
      </c>
      <c r="D219" s="1" t="s">
        <v>45</v>
      </c>
      <c r="E219" s="5">
        <v>46125</v>
      </c>
      <c r="F219" s="77">
        <v>1743.1719166666664</v>
      </c>
      <c r="G219" s="77">
        <v>621.1954166666668</v>
      </c>
      <c r="H219" s="77">
        <v>225.05920833333343</v>
      </c>
      <c r="I219" s="77">
        <v>553.75828541666669</v>
      </c>
      <c r="J219" s="77">
        <v>618.91395833333343</v>
      </c>
      <c r="K219" s="77">
        <v>1950.186833333335</v>
      </c>
      <c r="L219" s="77">
        <v>2836.5500833333322</v>
      </c>
      <c r="M219" s="77">
        <v>14.177958333333335</v>
      </c>
      <c r="N219" s="78">
        <f t="shared" si="21"/>
        <v>8563.0136604166673</v>
      </c>
      <c r="O219" s="1">
        <v>1500</v>
      </c>
      <c r="P219" s="77">
        <v>880.95</v>
      </c>
      <c r="Q219" s="77">
        <v>1073.9281874999999</v>
      </c>
      <c r="R219" s="77">
        <v>3628.3963541666667</v>
      </c>
      <c r="S219" s="77">
        <v>1755</v>
      </c>
      <c r="T219" s="77">
        <v>0</v>
      </c>
      <c r="U219" s="77">
        <v>5330.010124999998</v>
      </c>
      <c r="V219" s="77">
        <v>0</v>
      </c>
      <c r="W219" s="79">
        <f t="shared" si="22"/>
        <v>14168.284666666663</v>
      </c>
      <c r="X219" s="88"/>
    </row>
    <row r="220" spans="1:24" hidden="1" x14ac:dyDescent="0.3">
      <c r="A220" s="1">
        <v>2026</v>
      </c>
      <c r="B220" s="52">
        <v>46113</v>
      </c>
      <c r="C220" s="1">
        <v>30</v>
      </c>
      <c r="D220" s="1" t="s">
        <v>46</v>
      </c>
      <c r="E220" s="5">
        <v>46126</v>
      </c>
      <c r="F220" s="77">
        <v>1826.6634999999999</v>
      </c>
      <c r="G220" s="77">
        <v>542.993875</v>
      </c>
      <c r="H220" s="77">
        <v>239.42558333333341</v>
      </c>
      <c r="I220" s="77">
        <v>358.94819791666669</v>
      </c>
      <c r="J220" s="77">
        <v>618.3732500000001</v>
      </c>
      <c r="K220" s="77">
        <v>2031.6686666666674</v>
      </c>
      <c r="L220" s="77">
        <v>2871.1652499999987</v>
      </c>
      <c r="M220" s="77">
        <v>140.70124999999993</v>
      </c>
      <c r="N220" s="78">
        <f t="shared" si="21"/>
        <v>8629.9395729166663</v>
      </c>
      <c r="O220" s="1">
        <v>1500</v>
      </c>
      <c r="P220" s="77">
        <v>872.02500000000009</v>
      </c>
      <c r="Q220" s="77">
        <v>973.15750000000003</v>
      </c>
      <c r="R220" s="77">
        <v>3694.5499999999997</v>
      </c>
      <c r="S220" s="77">
        <v>1755</v>
      </c>
      <c r="T220" s="77">
        <v>0</v>
      </c>
      <c r="U220" s="77">
        <v>5255.3977499999983</v>
      </c>
      <c r="V220" s="77">
        <v>0</v>
      </c>
      <c r="W220" s="79">
        <f t="shared" si="22"/>
        <v>14050.130249999998</v>
      </c>
      <c r="X220" s="88"/>
    </row>
    <row r="221" spans="1:24" hidden="1" x14ac:dyDescent="0.3">
      <c r="A221" s="1">
        <v>2026</v>
      </c>
      <c r="B221" s="52">
        <v>46113</v>
      </c>
      <c r="C221" s="1">
        <v>30</v>
      </c>
      <c r="D221" s="1" t="s">
        <v>47</v>
      </c>
      <c r="E221" s="5">
        <v>46127</v>
      </c>
      <c r="F221" s="77">
        <v>1688.1601666666668</v>
      </c>
      <c r="G221" s="77">
        <v>456.92845833333348</v>
      </c>
      <c r="H221" s="77">
        <v>228.64324999999985</v>
      </c>
      <c r="I221" s="77">
        <v>508.17257500000005</v>
      </c>
      <c r="J221" s="77">
        <v>617.64058333333321</v>
      </c>
      <c r="K221" s="77">
        <v>1381.5590416666657</v>
      </c>
      <c r="L221" s="77">
        <v>2799.4074583333336</v>
      </c>
      <c r="M221" s="77">
        <v>134.55041666666656</v>
      </c>
      <c r="N221" s="78">
        <f t="shared" si="21"/>
        <v>7815.0619499999993</v>
      </c>
      <c r="O221" s="1">
        <v>1500</v>
      </c>
      <c r="P221" s="77">
        <v>872.02500000000009</v>
      </c>
      <c r="Q221" s="77">
        <v>976.22</v>
      </c>
      <c r="R221" s="77">
        <v>3793.35</v>
      </c>
      <c r="S221" s="77">
        <v>1755</v>
      </c>
      <c r="T221" s="77">
        <v>0</v>
      </c>
      <c r="U221" s="77">
        <v>5298.5865000000003</v>
      </c>
      <c r="V221" s="77">
        <v>0</v>
      </c>
      <c r="W221" s="79">
        <f t="shared" si="22"/>
        <v>14195.181499999999</v>
      </c>
      <c r="X221" s="88"/>
    </row>
    <row r="222" spans="1:24" hidden="1" x14ac:dyDescent="0.3">
      <c r="A222" s="1">
        <v>2026</v>
      </c>
      <c r="B222" s="52">
        <v>46113</v>
      </c>
      <c r="C222" s="1">
        <v>30</v>
      </c>
      <c r="D222" s="1" t="s">
        <v>48</v>
      </c>
      <c r="E222" s="5">
        <v>46128</v>
      </c>
      <c r="F222" s="77">
        <v>1520.2770833333334</v>
      </c>
      <c r="G222" s="77">
        <v>536.86762499999998</v>
      </c>
      <c r="H222" s="77">
        <v>234.67375000000015</v>
      </c>
      <c r="I222" s="77">
        <v>501.17246041666669</v>
      </c>
      <c r="J222" s="77">
        <v>617.76420833333327</v>
      </c>
      <c r="K222" s="77">
        <v>1443.1660416666662</v>
      </c>
      <c r="L222" s="77">
        <v>2834.0212083333331</v>
      </c>
      <c r="M222" s="77">
        <v>16.132416666666668</v>
      </c>
      <c r="N222" s="78">
        <f t="shared" si="21"/>
        <v>7704.0747937499991</v>
      </c>
      <c r="O222" s="1">
        <v>1500</v>
      </c>
      <c r="P222" s="77">
        <v>865.2</v>
      </c>
      <c r="Q222" s="77">
        <v>978.27625</v>
      </c>
      <c r="R222" s="77">
        <v>3793.35</v>
      </c>
      <c r="S222" s="77">
        <v>1755</v>
      </c>
      <c r="T222" s="77">
        <v>0</v>
      </c>
      <c r="U222" s="77">
        <v>5492.3996250000009</v>
      </c>
      <c r="V222" s="77">
        <v>0</v>
      </c>
      <c r="W222" s="79">
        <f t="shared" si="22"/>
        <v>14384.225875</v>
      </c>
      <c r="X222" s="88"/>
    </row>
    <row r="223" spans="1:24" hidden="1" x14ac:dyDescent="0.3">
      <c r="A223" s="1">
        <v>2026</v>
      </c>
      <c r="B223" s="52">
        <v>46113</v>
      </c>
      <c r="C223" s="1">
        <v>30</v>
      </c>
      <c r="D223" s="1" t="s">
        <v>49</v>
      </c>
      <c r="E223" s="5">
        <v>46129</v>
      </c>
      <c r="F223" s="77">
        <v>1457.5077916666667</v>
      </c>
      <c r="G223" s="77">
        <v>448.81220833333333</v>
      </c>
      <c r="H223" s="77">
        <v>239.95799999999994</v>
      </c>
      <c r="I223" s="77">
        <v>489.65493749999985</v>
      </c>
      <c r="J223" s="77">
        <v>617.5280416666667</v>
      </c>
      <c r="K223" s="77">
        <v>1440.9616249999999</v>
      </c>
      <c r="L223" s="77">
        <v>3118.9150833333351</v>
      </c>
      <c r="M223" s="77">
        <v>96.495958333333292</v>
      </c>
      <c r="N223" s="78">
        <f t="shared" si="21"/>
        <v>7909.8336458333342</v>
      </c>
      <c r="O223" s="1">
        <v>1500</v>
      </c>
      <c r="P223" s="77">
        <v>865.2</v>
      </c>
      <c r="Q223" s="77">
        <v>965.54674999999997</v>
      </c>
      <c r="R223" s="77">
        <v>3790.5</v>
      </c>
      <c r="S223" s="77">
        <v>1755</v>
      </c>
      <c r="T223" s="77">
        <v>0</v>
      </c>
      <c r="U223" s="77">
        <v>5525.7567916666649</v>
      </c>
      <c r="V223" s="77">
        <v>0</v>
      </c>
      <c r="W223" s="79">
        <f t="shared" si="22"/>
        <v>14402.003541666665</v>
      </c>
      <c r="X223" s="88"/>
    </row>
    <row r="224" spans="1:24" hidden="1" x14ac:dyDescent="0.3">
      <c r="A224" s="1">
        <v>2026</v>
      </c>
      <c r="B224" s="52">
        <v>46113</v>
      </c>
      <c r="C224" s="1">
        <v>30</v>
      </c>
      <c r="D224" s="1" t="s">
        <v>43</v>
      </c>
      <c r="E224" s="5">
        <v>46130</v>
      </c>
      <c r="F224" s="77">
        <v>1039.5215833333334</v>
      </c>
      <c r="G224" s="77">
        <v>397.54895833333336</v>
      </c>
      <c r="H224" s="77">
        <v>235.22854166666659</v>
      </c>
      <c r="I224" s="77">
        <v>476.90245416666664</v>
      </c>
      <c r="J224" s="77">
        <v>616.50687500000004</v>
      </c>
      <c r="K224" s="77">
        <v>1663.4940416666684</v>
      </c>
      <c r="L224" s="77">
        <v>2522.0672500000001</v>
      </c>
      <c r="M224" s="77">
        <v>15.259416666666668</v>
      </c>
      <c r="N224" s="78">
        <f t="shared" si="21"/>
        <v>6966.5291208333356</v>
      </c>
      <c r="O224" s="1">
        <v>1500</v>
      </c>
      <c r="P224" s="77">
        <v>877.80000000000007</v>
      </c>
      <c r="Q224" s="77">
        <v>936.68662500000005</v>
      </c>
      <c r="R224" s="77">
        <v>3790.5</v>
      </c>
      <c r="S224" s="77">
        <v>1755</v>
      </c>
      <c r="T224" s="77">
        <v>0</v>
      </c>
      <c r="U224" s="77">
        <v>5773.0259583333336</v>
      </c>
      <c r="V224" s="77">
        <v>0</v>
      </c>
      <c r="W224" s="79">
        <f t="shared" si="22"/>
        <v>14633.012583333335</v>
      </c>
      <c r="X224" s="88"/>
    </row>
    <row r="225" spans="1:24" hidden="1" x14ac:dyDescent="0.3">
      <c r="A225" s="1">
        <v>2026</v>
      </c>
      <c r="B225" s="52">
        <v>46113</v>
      </c>
      <c r="C225" s="1">
        <v>30</v>
      </c>
      <c r="D225" s="1" t="s">
        <v>44</v>
      </c>
      <c r="E225" s="5">
        <v>46131</v>
      </c>
      <c r="F225" s="77">
        <v>1075.8318750000003</v>
      </c>
      <c r="G225" s="77">
        <v>419.79349999999999</v>
      </c>
      <c r="H225" s="77">
        <v>221.66750000000005</v>
      </c>
      <c r="I225" s="77">
        <v>191.05362916666664</v>
      </c>
      <c r="J225" s="77">
        <v>617.73358333333329</v>
      </c>
      <c r="K225" s="77">
        <v>1550.9846250000039</v>
      </c>
      <c r="L225" s="77">
        <v>2505.2516250000017</v>
      </c>
      <c r="M225" s="77">
        <v>16.711125000000006</v>
      </c>
      <c r="N225" s="78">
        <f t="shared" si="21"/>
        <v>6599.0274625000056</v>
      </c>
      <c r="O225" s="1">
        <v>1500</v>
      </c>
      <c r="P225" s="77">
        <v>879.90000000000009</v>
      </c>
      <c r="Q225" s="77">
        <v>954.06500000000005</v>
      </c>
      <c r="R225" s="77">
        <v>3787.6499999999996</v>
      </c>
      <c r="S225" s="77">
        <v>1755</v>
      </c>
      <c r="T225" s="77">
        <v>0</v>
      </c>
      <c r="U225" s="77">
        <v>5792.566041666666</v>
      </c>
      <c r="V225" s="77">
        <v>0</v>
      </c>
      <c r="W225" s="79">
        <f t="shared" si="22"/>
        <v>14669.181041666667</v>
      </c>
      <c r="X225" s="88"/>
    </row>
    <row r="226" spans="1:24" hidden="1" x14ac:dyDescent="0.3">
      <c r="A226" s="1">
        <v>2026</v>
      </c>
      <c r="B226" s="52">
        <v>46113</v>
      </c>
      <c r="C226" s="1">
        <v>30</v>
      </c>
      <c r="D226" s="1" t="str">
        <f>+Precios!C226</f>
        <v>lun</v>
      </c>
      <c r="E226" s="5">
        <f>+Precios!D226</f>
        <v>46132</v>
      </c>
      <c r="F226" s="77">
        <v>1397.9695833333335</v>
      </c>
      <c r="G226" s="77">
        <v>961.19016666666676</v>
      </c>
      <c r="H226" s="77">
        <v>212.83437499999991</v>
      </c>
      <c r="I226" s="77">
        <v>402.18107500000002</v>
      </c>
      <c r="J226" s="77">
        <v>617.84929166666666</v>
      </c>
      <c r="K226" s="77">
        <v>1350.4770000000017</v>
      </c>
      <c r="L226" s="77">
        <v>2792.5511250000013</v>
      </c>
      <c r="M226" s="77">
        <v>14.998166666666664</v>
      </c>
      <c r="N226" s="78">
        <f t="shared" si="21"/>
        <v>7750.0507833333359</v>
      </c>
      <c r="O226" s="1">
        <v>1500</v>
      </c>
      <c r="P226" s="77">
        <v>870.45</v>
      </c>
      <c r="Q226" s="77">
        <v>954.06500000000005</v>
      </c>
      <c r="R226" s="77">
        <v>3681.3687499999996</v>
      </c>
      <c r="S226" s="77">
        <v>1755</v>
      </c>
      <c r="T226" s="77">
        <v>0</v>
      </c>
      <c r="U226" s="77">
        <v>5131.9177500000005</v>
      </c>
      <c r="V226" s="77">
        <v>0</v>
      </c>
      <c r="W226" s="79">
        <f t="shared" si="22"/>
        <v>13892.8015</v>
      </c>
      <c r="X226" s="88"/>
    </row>
    <row r="227" spans="1:24" hidden="1" x14ac:dyDescent="0.3">
      <c r="A227" s="1">
        <v>2026</v>
      </c>
      <c r="B227" s="52">
        <v>46113</v>
      </c>
      <c r="C227" s="1">
        <v>30</v>
      </c>
      <c r="D227" s="1" t="str">
        <f>+Precios!C227</f>
        <v>mar</v>
      </c>
      <c r="E227" s="5">
        <f>+Precios!D227</f>
        <v>46133</v>
      </c>
      <c r="F227" s="77">
        <v>1395.6862083333333</v>
      </c>
      <c r="G227" s="77">
        <v>583.67370833333337</v>
      </c>
      <c r="H227" s="77">
        <v>219.62112499999998</v>
      </c>
      <c r="I227" s="77">
        <v>667.19667708333327</v>
      </c>
      <c r="J227" s="77">
        <v>618.22183333333339</v>
      </c>
      <c r="K227" s="77">
        <v>1208.639375000002</v>
      </c>
      <c r="L227" s="77">
        <v>2784.5694166666672</v>
      </c>
      <c r="M227" s="77">
        <v>19.14554166666667</v>
      </c>
      <c r="N227" s="78">
        <f t="shared" si="21"/>
        <v>7496.7538854166696</v>
      </c>
      <c r="O227" s="1">
        <v>1500</v>
      </c>
      <c r="P227" s="77">
        <v>855.75</v>
      </c>
      <c r="Q227" s="77">
        <v>954.59004375000006</v>
      </c>
      <c r="R227" s="77">
        <v>3485.6952708333329</v>
      </c>
      <c r="S227" s="77">
        <v>1755</v>
      </c>
      <c r="T227" s="77">
        <v>0</v>
      </c>
      <c r="U227" s="77">
        <v>5194.3806249999998</v>
      </c>
      <c r="V227" s="77">
        <v>0</v>
      </c>
      <c r="W227" s="79">
        <f t="shared" si="22"/>
        <v>13745.415939583332</v>
      </c>
      <c r="X227" s="88"/>
    </row>
    <row r="228" spans="1:24" hidden="1" x14ac:dyDescent="0.3">
      <c r="A228" s="1">
        <v>2026</v>
      </c>
      <c r="B228" s="52">
        <v>46113</v>
      </c>
      <c r="C228" s="1">
        <v>30</v>
      </c>
      <c r="D228" s="1" t="str">
        <f>+Precios!C228</f>
        <v>mié</v>
      </c>
      <c r="E228" s="5">
        <f>+Precios!D228</f>
        <v>46134</v>
      </c>
      <c r="F228" s="77">
        <v>1310.686375</v>
      </c>
      <c r="G228" s="77">
        <v>567.30766666666671</v>
      </c>
      <c r="H228" s="77">
        <v>226.8295416666667</v>
      </c>
      <c r="I228" s="77">
        <v>369.7053249999999</v>
      </c>
      <c r="J228" s="77">
        <v>618.236625</v>
      </c>
      <c r="K228" s="77">
        <v>1924.1895833333347</v>
      </c>
      <c r="L228" s="77">
        <v>2416.7128750000024</v>
      </c>
      <c r="M228" s="77">
        <v>17.382749999999998</v>
      </c>
      <c r="N228" s="78">
        <f t="shared" si="21"/>
        <v>7451.0507416666705</v>
      </c>
      <c r="O228" s="1">
        <v>1500</v>
      </c>
      <c r="P228" s="77">
        <v>840</v>
      </c>
      <c r="Q228" s="77">
        <v>958.87749999999994</v>
      </c>
      <c r="R228" s="77">
        <v>3617.6</v>
      </c>
      <c r="S228" s="77">
        <v>1755</v>
      </c>
      <c r="T228" s="77">
        <v>0</v>
      </c>
      <c r="U228" s="77">
        <v>5250.3363749999999</v>
      </c>
      <c r="V228" s="77">
        <v>0</v>
      </c>
      <c r="W228" s="79">
        <f t="shared" si="22"/>
        <v>13921.813875</v>
      </c>
      <c r="X228" s="88"/>
    </row>
    <row r="229" spans="1:24" hidden="1" x14ac:dyDescent="0.3">
      <c r="A229" s="1">
        <v>2026</v>
      </c>
      <c r="B229" s="52">
        <v>46113</v>
      </c>
      <c r="C229" s="1">
        <v>30</v>
      </c>
      <c r="D229" s="1" t="str">
        <f>+Precios!C229</f>
        <v>jue</v>
      </c>
      <c r="E229" s="5">
        <f>+Precios!D229</f>
        <v>46135</v>
      </c>
      <c r="F229" s="77">
        <v>1158.2615416666667</v>
      </c>
      <c r="G229" s="77">
        <v>467.72837499999997</v>
      </c>
      <c r="H229" s="77">
        <v>235.51454166666679</v>
      </c>
      <c r="I229" s="77">
        <v>322.06080625000004</v>
      </c>
      <c r="J229" s="77">
        <v>618.10491666666667</v>
      </c>
      <c r="K229" s="77">
        <v>2151.9800833333306</v>
      </c>
      <c r="L229" s="77">
        <v>1652.4462916666691</v>
      </c>
      <c r="M229" s="77">
        <v>18.057958333333332</v>
      </c>
      <c r="N229" s="78">
        <f t="shared" si="21"/>
        <v>6624.1545145833334</v>
      </c>
      <c r="O229" s="1">
        <v>1500</v>
      </c>
      <c r="P229" s="77">
        <v>825.30000000000007</v>
      </c>
      <c r="Q229" s="77">
        <v>961.86947499999997</v>
      </c>
      <c r="R229" s="77">
        <v>3617.6</v>
      </c>
      <c r="S229" s="77">
        <v>1755</v>
      </c>
      <c r="T229" s="77">
        <v>0</v>
      </c>
      <c r="U229" s="77">
        <v>4990.0841250000012</v>
      </c>
      <c r="V229" s="77">
        <v>0</v>
      </c>
      <c r="W229" s="79">
        <f t="shared" si="22"/>
        <v>13649.853600000002</v>
      </c>
      <c r="X229" s="88"/>
    </row>
    <row r="230" spans="1:24" hidden="1" x14ac:dyDescent="0.3">
      <c r="A230" s="1">
        <v>2026</v>
      </c>
      <c r="B230" s="52">
        <v>46113</v>
      </c>
      <c r="C230" s="1">
        <v>30</v>
      </c>
      <c r="D230" s="1" t="str">
        <f>+Precios!C230</f>
        <v>vie</v>
      </c>
      <c r="E230" s="5">
        <f>+Precios!D230</f>
        <v>46136</v>
      </c>
      <c r="F230" s="77">
        <v>1164.1302499999999</v>
      </c>
      <c r="G230" s="77">
        <v>479.13650000000001</v>
      </c>
      <c r="H230" s="77">
        <v>237.53716666666682</v>
      </c>
      <c r="I230" s="77">
        <v>474.09085000000005</v>
      </c>
      <c r="J230" s="77">
        <v>618.50637500000005</v>
      </c>
      <c r="K230" s="77">
        <v>1840.2405000000006</v>
      </c>
      <c r="L230" s="77">
        <v>1864.0696666666684</v>
      </c>
      <c r="M230" s="77">
        <v>17.591666666666665</v>
      </c>
      <c r="N230" s="78">
        <f t="shared" si="21"/>
        <v>6695.3029750000014</v>
      </c>
      <c r="O230" s="1">
        <v>1500</v>
      </c>
      <c r="P230" s="77">
        <v>808.5</v>
      </c>
      <c r="Q230" s="77">
        <v>970.68999999999994</v>
      </c>
      <c r="R230" s="77">
        <v>3617.6</v>
      </c>
      <c r="S230" s="77">
        <v>1755</v>
      </c>
      <c r="T230" s="77">
        <v>0</v>
      </c>
      <c r="U230" s="77">
        <v>4586.816083333335</v>
      </c>
      <c r="V230" s="77">
        <v>0</v>
      </c>
      <c r="W230" s="79">
        <f t="shared" si="22"/>
        <v>13238.606083333336</v>
      </c>
      <c r="X230" s="88"/>
    </row>
    <row r="231" spans="1:24" hidden="1" x14ac:dyDescent="0.3">
      <c r="A231" s="1">
        <v>2026</v>
      </c>
      <c r="B231" s="52">
        <v>46113</v>
      </c>
      <c r="C231" s="1">
        <v>30</v>
      </c>
      <c r="D231" s="1" t="str">
        <f>+Precios!C231</f>
        <v>sáb</v>
      </c>
      <c r="E231" s="5">
        <f>+Precios!D231</f>
        <v>46137</v>
      </c>
      <c r="F231" s="77">
        <v>1093.4369999999999</v>
      </c>
      <c r="G231" s="77">
        <v>289.60254166666664</v>
      </c>
      <c r="H231" s="77">
        <v>335.84629166666679</v>
      </c>
      <c r="I231" s="77">
        <v>785.6378479166666</v>
      </c>
      <c r="J231" s="77">
        <v>618.57762500000024</v>
      </c>
      <c r="K231" s="77">
        <v>1729.5583333333345</v>
      </c>
      <c r="L231" s="77">
        <v>1519.2564999999988</v>
      </c>
      <c r="M231" s="77">
        <v>18.436625000000003</v>
      </c>
      <c r="N231" s="78">
        <f t="shared" si="21"/>
        <v>6390.3527645833337</v>
      </c>
      <c r="O231" s="1">
        <v>1500</v>
      </c>
      <c r="P231" s="77">
        <v>795.9</v>
      </c>
      <c r="Q231" s="77">
        <v>961.24643125</v>
      </c>
      <c r="R231" s="77">
        <v>3617.6</v>
      </c>
      <c r="S231" s="77">
        <v>1755</v>
      </c>
      <c r="T231" s="77">
        <v>0</v>
      </c>
      <c r="U231" s="77">
        <v>4450.674458333333</v>
      </c>
      <c r="V231" s="77">
        <v>0</v>
      </c>
      <c r="W231" s="79">
        <f t="shared" si="22"/>
        <v>13080.420889583333</v>
      </c>
      <c r="X231" s="88"/>
    </row>
    <row r="232" spans="1:24" hidden="1" x14ac:dyDescent="0.3">
      <c r="A232" s="1">
        <v>2026</v>
      </c>
      <c r="B232" s="52">
        <v>46113</v>
      </c>
      <c r="C232" s="1">
        <v>30</v>
      </c>
      <c r="D232" s="1" t="str">
        <f>+Precios!C232</f>
        <v>dom</v>
      </c>
      <c r="E232" s="5">
        <f>+Precios!D232</f>
        <v>46138</v>
      </c>
      <c r="F232" s="77">
        <v>1154.3939166666669</v>
      </c>
      <c r="G232" s="77">
        <v>211.4266666666667</v>
      </c>
      <c r="H232" s="77">
        <v>236.99770833333324</v>
      </c>
      <c r="I232" s="77">
        <v>248.85321250000001</v>
      </c>
      <c r="J232" s="77">
        <v>618.19866666666655</v>
      </c>
      <c r="K232" s="77">
        <v>2294.4988333333331</v>
      </c>
      <c r="L232" s="77">
        <v>1411.4220416666678</v>
      </c>
      <c r="M232" s="77">
        <v>250.16120833333332</v>
      </c>
      <c r="N232" s="78">
        <f t="shared" si="21"/>
        <v>6425.9522541666674</v>
      </c>
      <c r="O232" s="1">
        <v>1500</v>
      </c>
      <c r="P232" s="77">
        <v>790.65</v>
      </c>
      <c r="Q232" s="77">
        <v>961.76499999999999</v>
      </c>
      <c r="R232" s="77">
        <v>3617.6</v>
      </c>
      <c r="S232" s="77">
        <v>1755</v>
      </c>
      <c r="T232" s="77">
        <v>0</v>
      </c>
      <c r="U232" s="77">
        <v>4721.2092499999999</v>
      </c>
      <c r="V232" s="77">
        <v>0</v>
      </c>
      <c r="W232" s="79">
        <f t="shared" si="22"/>
        <v>13346.224249999999</v>
      </c>
      <c r="X232" s="88"/>
    </row>
    <row r="233" spans="1:24" hidden="1" x14ac:dyDescent="0.3">
      <c r="A233" s="1">
        <v>2026</v>
      </c>
      <c r="B233" s="52">
        <v>46113</v>
      </c>
      <c r="C233" s="1">
        <v>30</v>
      </c>
      <c r="D233" s="1" t="str">
        <f>+Precios!C233</f>
        <v>lun</v>
      </c>
      <c r="E233" s="5">
        <f>+Precios!D233</f>
        <v>46139</v>
      </c>
      <c r="F233" s="77">
        <v>1615.5490416666664</v>
      </c>
      <c r="G233" s="77">
        <v>148.28162500000002</v>
      </c>
      <c r="H233" s="77">
        <v>319.50637499999988</v>
      </c>
      <c r="I233" s="77">
        <v>1021.8986125000001</v>
      </c>
      <c r="J233" s="77">
        <v>618.2627500000001</v>
      </c>
      <c r="K233" s="77">
        <v>1545.4185416666669</v>
      </c>
      <c r="L233" s="77">
        <v>1614.3786666666672</v>
      </c>
      <c r="M233" s="77">
        <v>762.59733333333349</v>
      </c>
      <c r="N233" s="78">
        <f t="shared" si="21"/>
        <v>7645.8929458333341</v>
      </c>
      <c r="O233" s="1">
        <v>1500</v>
      </c>
      <c r="P233" s="77">
        <v>759.54046874999995</v>
      </c>
      <c r="Q233" s="77">
        <v>960.53588749999994</v>
      </c>
      <c r="R233" s="77">
        <v>3617.6</v>
      </c>
      <c r="S233" s="77">
        <v>1755</v>
      </c>
      <c r="T233" s="77">
        <v>0</v>
      </c>
      <c r="U233" s="77">
        <v>4805.425666666667</v>
      </c>
      <c r="V233" s="77">
        <v>0</v>
      </c>
      <c r="W233" s="79">
        <f t="shared" si="22"/>
        <v>13398.102022916668</v>
      </c>
      <c r="X233" s="88"/>
    </row>
    <row r="234" spans="1:24" hidden="1" x14ac:dyDescent="0.3">
      <c r="A234" s="1">
        <v>2026</v>
      </c>
      <c r="B234" s="52">
        <v>46113</v>
      </c>
      <c r="C234" s="1">
        <v>30</v>
      </c>
      <c r="D234" s="1" t="str">
        <f>+Precios!C234</f>
        <v>mar</v>
      </c>
      <c r="E234" s="5">
        <f>+Precios!D234</f>
        <v>46140</v>
      </c>
      <c r="F234" s="77">
        <v>1716.0694583333336</v>
      </c>
      <c r="G234" s="77">
        <v>476.62412500000005</v>
      </c>
      <c r="H234" s="77">
        <v>313.69004166666667</v>
      </c>
      <c r="I234" s="77">
        <v>1219.9587291666664</v>
      </c>
      <c r="J234" s="77">
        <v>618.53449999999987</v>
      </c>
      <c r="K234" s="77">
        <v>1762.6089583333294</v>
      </c>
      <c r="L234" s="77">
        <v>1814.4932916666664</v>
      </c>
      <c r="M234" s="77">
        <v>321.39437500000008</v>
      </c>
      <c r="N234" s="78">
        <f t="shared" si="21"/>
        <v>8243.3734791666629</v>
      </c>
      <c r="O234" s="1">
        <v>1500</v>
      </c>
      <c r="P234" s="77">
        <v>759.71437500000002</v>
      </c>
      <c r="Q234" s="77">
        <v>961.82165624999993</v>
      </c>
      <c r="R234" s="77">
        <v>3597.6499999999996</v>
      </c>
      <c r="S234" s="77">
        <v>1755</v>
      </c>
      <c r="T234" s="77">
        <v>0</v>
      </c>
      <c r="U234" s="77">
        <v>4843.5862916666674</v>
      </c>
      <c r="V234" s="77">
        <v>0</v>
      </c>
      <c r="W234" s="79">
        <f t="shared" si="22"/>
        <v>13417.772322916666</v>
      </c>
      <c r="X234" s="88"/>
    </row>
    <row r="235" spans="1:24" hidden="1" x14ac:dyDescent="0.3">
      <c r="A235" s="1">
        <v>2026</v>
      </c>
      <c r="B235" s="52">
        <v>46113</v>
      </c>
      <c r="C235" s="1">
        <v>30</v>
      </c>
      <c r="D235" s="1" t="str">
        <f>+Precios!C235</f>
        <v>mié</v>
      </c>
      <c r="E235" s="5">
        <f>+Precios!D235</f>
        <v>46141</v>
      </c>
      <c r="F235" s="77">
        <v>1689.4161666666669</v>
      </c>
      <c r="G235" s="77">
        <v>334.24966666666671</v>
      </c>
      <c r="H235" s="77">
        <v>306.40279166666659</v>
      </c>
      <c r="I235" s="77">
        <v>747.54233333333332</v>
      </c>
      <c r="J235" s="77">
        <v>618.78920833333336</v>
      </c>
      <c r="K235" s="77">
        <v>2234.1759583333264</v>
      </c>
      <c r="L235" s="77">
        <v>1752.0157916666642</v>
      </c>
      <c r="M235" s="77">
        <v>738.30325000000005</v>
      </c>
      <c r="N235" s="78">
        <f t="shared" si="21"/>
        <v>8420.8951666666562</v>
      </c>
      <c r="O235" s="1">
        <v>1500</v>
      </c>
      <c r="P235" s="77">
        <v>801.15</v>
      </c>
      <c r="Q235" s="77">
        <v>1018.60250625</v>
      </c>
      <c r="R235" s="77">
        <v>3597.6499999999996</v>
      </c>
      <c r="S235" s="77">
        <v>1755</v>
      </c>
      <c r="T235" s="77">
        <v>0</v>
      </c>
      <c r="U235" s="77">
        <v>4904.2762916666679</v>
      </c>
      <c r="V235" s="77">
        <v>0</v>
      </c>
      <c r="W235" s="79">
        <f t="shared" si="22"/>
        <v>13576.678797916669</v>
      </c>
      <c r="X235" s="88"/>
    </row>
    <row r="236" spans="1:24" hidden="1" x14ac:dyDescent="0.3">
      <c r="A236" s="1">
        <v>2026</v>
      </c>
      <c r="B236" s="52">
        <v>46113</v>
      </c>
      <c r="C236" s="1">
        <v>30</v>
      </c>
      <c r="D236" s="1" t="str">
        <f>+Precios!C236</f>
        <v>jue</v>
      </c>
      <c r="E236" s="5">
        <f>+Precios!D236</f>
        <v>46142</v>
      </c>
      <c r="F236" s="77">
        <v>1824.2864583333339</v>
      </c>
      <c r="G236" s="77">
        <v>113.09512500000001</v>
      </c>
      <c r="H236" s="77">
        <v>245.55499999999995</v>
      </c>
      <c r="I236" s="77">
        <v>506.46487083333329</v>
      </c>
      <c r="J236" s="77">
        <v>618.23737500000016</v>
      </c>
      <c r="K236" s="77">
        <v>1610.4384166666669</v>
      </c>
      <c r="L236" s="77">
        <v>1715.8836666666664</v>
      </c>
      <c r="M236" s="77">
        <v>869.34537499999999</v>
      </c>
      <c r="N236" s="78">
        <f t="shared" ref="N236:N266" si="23">+SUM(F236:M236)</f>
        <v>7503.3062875000005</v>
      </c>
      <c r="O236" s="1">
        <v>1500</v>
      </c>
      <c r="P236" s="77">
        <v>809.02500000000009</v>
      </c>
      <c r="Q236" s="77">
        <v>1065.2262687499999</v>
      </c>
      <c r="R236" s="77">
        <v>3597.6499999999996</v>
      </c>
      <c r="S236" s="77">
        <v>1755</v>
      </c>
      <c r="T236" s="77">
        <v>0</v>
      </c>
      <c r="U236" s="77">
        <v>4979.0040833333342</v>
      </c>
      <c r="V236" s="77">
        <v>0</v>
      </c>
      <c r="W236" s="79">
        <f t="shared" ref="W236:W266" si="24">+SUM(O236:V236)</f>
        <v>13705.905352083333</v>
      </c>
      <c r="X236" s="88"/>
    </row>
    <row r="237" spans="1:24" hidden="1" x14ac:dyDescent="0.3">
      <c r="A237" s="1">
        <v>2026</v>
      </c>
      <c r="B237" s="52">
        <v>46143</v>
      </c>
      <c r="C237" s="1">
        <v>31</v>
      </c>
      <c r="D237" s="1" t="s">
        <v>49</v>
      </c>
      <c r="E237" s="5">
        <v>46143</v>
      </c>
      <c r="F237" s="77">
        <v>1489.9904166666668</v>
      </c>
      <c r="G237" s="77">
        <v>161.50291666666669</v>
      </c>
      <c r="H237" s="77">
        <v>172.22041666666667</v>
      </c>
      <c r="I237" s="77">
        <v>152.32458333333332</v>
      </c>
      <c r="J237" s="77">
        <v>618.4758333333333</v>
      </c>
      <c r="K237" s="77">
        <v>1962.4820833333299</v>
      </c>
      <c r="L237" s="77">
        <v>1497.9083333333335</v>
      </c>
      <c r="M237" s="77">
        <v>474.16166666666703</v>
      </c>
      <c r="N237" s="78">
        <f t="shared" si="23"/>
        <v>6529.0662499999971</v>
      </c>
      <c r="O237" s="1">
        <v>1500</v>
      </c>
      <c r="P237" s="77">
        <v>824.25</v>
      </c>
      <c r="Q237" s="77">
        <v>1072.815625</v>
      </c>
      <c r="R237" s="77">
        <v>3597.6499999999996</v>
      </c>
      <c r="S237" s="77">
        <v>1755</v>
      </c>
      <c r="T237" s="77">
        <v>0</v>
      </c>
      <c r="U237" s="77">
        <v>4862.8333333333339</v>
      </c>
      <c r="V237" s="77">
        <v>0</v>
      </c>
      <c r="W237" s="79">
        <f t="shared" si="24"/>
        <v>13612.548958333335</v>
      </c>
      <c r="X237" s="88"/>
    </row>
    <row r="238" spans="1:24" hidden="1" x14ac:dyDescent="0.3">
      <c r="A238" s="1">
        <v>2026</v>
      </c>
      <c r="B238" s="52">
        <v>46143</v>
      </c>
      <c r="C238" s="1">
        <v>31</v>
      </c>
      <c r="D238" s="1" t="s">
        <v>43</v>
      </c>
      <c r="E238" s="5">
        <v>46144</v>
      </c>
      <c r="F238" s="77">
        <v>1512.1279166666664</v>
      </c>
      <c r="G238" s="77">
        <v>153.47499999999999</v>
      </c>
      <c r="H238" s="77">
        <v>189.76041666666677</v>
      </c>
      <c r="I238" s="77">
        <v>235.31064583333333</v>
      </c>
      <c r="J238" s="77">
        <v>618.74999999999989</v>
      </c>
      <c r="K238" s="77">
        <v>1517.7766666666676</v>
      </c>
      <c r="L238" s="77">
        <v>1918.3033333333331</v>
      </c>
      <c r="M238" s="77">
        <v>519.9887500000001</v>
      </c>
      <c r="N238" s="78">
        <f t="shared" si="23"/>
        <v>6665.4927291666681</v>
      </c>
      <c r="O238" s="1">
        <v>1500</v>
      </c>
      <c r="P238" s="77">
        <v>838.42500000000007</v>
      </c>
      <c r="Q238" s="77">
        <v>1072.9075</v>
      </c>
      <c r="R238" s="77">
        <v>3597.6499999999996</v>
      </c>
      <c r="S238" s="77">
        <v>1755</v>
      </c>
      <c r="T238" s="77">
        <v>0</v>
      </c>
      <c r="U238" s="77">
        <v>5159.6670833333337</v>
      </c>
      <c r="V238" s="77">
        <v>0</v>
      </c>
      <c r="W238" s="79">
        <f t="shared" si="24"/>
        <v>13923.649583333334</v>
      </c>
      <c r="X238" s="88"/>
    </row>
    <row r="239" spans="1:24" hidden="1" x14ac:dyDescent="0.3">
      <c r="A239" s="1">
        <v>2026</v>
      </c>
      <c r="B239" s="52">
        <v>46143</v>
      </c>
      <c r="C239" s="1">
        <v>31</v>
      </c>
      <c r="D239" s="1" t="s">
        <v>44</v>
      </c>
      <c r="E239" s="5">
        <v>46145</v>
      </c>
      <c r="F239" s="77">
        <v>1240.8608333333332</v>
      </c>
      <c r="G239" s="77">
        <v>103.92583333333333</v>
      </c>
      <c r="H239" s="77">
        <v>165.72999999999996</v>
      </c>
      <c r="I239" s="77">
        <v>136.29729166666669</v>
      </c>
      <c r="J239" s="77">
        <v>618.58666666666659</v>
      </c>
      <c r="K239" s="77">
        <v>1894.4445833333357</v>
      </c>
      <c r="L239" s="77">
        <v>1880.3341666666674</v>
      </c>
      <c r="M239" s="77">
        <v>327.63</v>
      </c>
      <c r="N239" s="78">
        <f t="shared" si="23"/>
        <v>6367.8093750000035</v>
      </c>
      <c r="O239" s="1">
        <v>1500</v>
      </c>
      <c r="P239" s="77">
        <v>853.65000000000009</v>
      </c>
      <c r="Q239" s="77">
        <v>1072.8200000000002</v>
      </c>
      <c r="R239" s="77">
        <v>3597.6499999999996</v>
      </c>
      <c r="S239" s="77">
        <v>1755</v>
      </c>
      <c r="T239" s="77">
        <v>0</v>
      </c>
      <c r="U239" s="77">
        <v>5355.3429166666674</v>
      </c>
      <c r="V239" s="77">
        <v>0</v>
      </c>
      <c r="W239" s="79">
        <f t="shared" si="24"/>
        <v>14134.462916666667</v>
      </c>
      <c r="X239" s="88"/>
    </row>
    <row r="240" spans="1:24" hidden="1" x14ac:dyDescent="0.3">
      <c r="A240" s="1">
        <v>2026</v>
      </c>
      <c r="B240" s="52">
        <v>46143</v>
      </c>
      <c r="C240" s="1">
        <v>31</v>
      </c>
      <c r="D240" s="1" t="s">
        <v>45</v>
      </c>
      <c r="E240" s="5">
        <v>46146</v>
      </c>
      <c r="F240" s="77">
        <v>1506.8445833333335</v>
      </c>
      <c r="G240" s="77">
        <v>470.57583333333326</v>
      </c>
      <c r="H240" s="77">
        <v>166.21416666666664</v>
      </c>
      <c r="I240" s="77">
        <v>637.45197916666655</v>
      </c>
      <c r="J240" s="77">
        <v>618.86875000000009</v>
      </c>
      <c r="K240" s="77">
        <v>1608.7841666666639</v>
      </c>
      <c r="L240" s="77">
        <v>2006.0245833333311</v>
      </c>
      <c r="M240" s="77">
        <v>511.91833333333324</v>
      </c>
      <c r="N240" s="78">
        <f t="shared" si="23"/>
        <v>7526.682395833328</v>
      </c>
      <c r="O240" s="1">
        <v>1500</v>
      </c>
      <c r="P240" s="77">
        <v>863.7890625</v>
      </c>
      <c r="Q240" s="77">
        <v>1067.0450000000001</v>
      </c>
      <c r="R240" s="77">
        <v>3433.4781249999996</v>
      </c>
      <c r="S240" s="77">
        <v>1755</v>
      </c>
      <c r="T240" s="77">
        <v>0</v>
      </c>
      <c r="U240" s="77">
        <v>5000.0387500000006</v>
      </c>
      <c r="V240" s="77">
        <v>0</v>
      </c>
      <c r="W240" s="79">
        <f t="shared" si="24"/>
        <v>13619.350937499999</v>
      </c>
      <c r="X240" s="88"/>
    </row>
    <row r="241" spans="1:24" hidden="1" x14ac:dyDescent="0.3">
      <c r="A241" s="1">
        <v>2026</v>
      </c>
      <c r="B241" s="52">
        <v>46143</v>
      </c>
      <c r="C241" s="1">
        <v>31</v>
      </c>
      <c r="D241" s="1" t="s">
        <v>46</v>
      </c>
      <c r="E241" s="5">
        <v>46147</v>
      </c>
      <c r="F241" s="77">
        <v>1627.1000000000004</v>
      </c>
      <c r="G241" s="77">
        <v>561.22916666666663</v>
      </c>
      <c r="H241" s="77">
        <v>288.4679166666665</v>
      </c>
      <c r="I241" s="77">
        <v>1222.6666250000001</v>
      </c>
      <c r="J241" s="77">
        <v>617.41583333333335</v>
      </c>
      <c r="K241" s="77">
        <v>1075.8116666666608</v>
      </c>
      <c r="L241" s="77">
        <v>2142.7479166666717</v>
      </c>
      <c r="M241" s="77">
        <v>714.06166666666684</v>
      </c>
      <c r="N241" s="78">
        <f t="shared" si="23"/>
        <v>8249.5007916666673</v>
      </c>
      <c r="O241" s="1">
        <v>1500</v>
      </c>
      <c r="P241" s="77">
        <v>856.27500000000009</v>
      </c>
      <c r="Q241" s="77">
        <v>1065.0618125000001</v>
      </c>
      <c r="R241" s="77">
        <v>3473.6552083333331</v>
      </c>
      <c r="S241" s="77">
        <v>1755</v>
      </c>
      <c r="T241" s="77">
        <v>0</v>
      </c>
      <c r="U241" s="77">
        <v>4907.8375000000005</v>
      </c>
      <c r="V241" s="77">
        <v>0</v>
      </c>
      <c r="W241" s="79">
        <f t="shared" si="24"/>
        <v>13557.829520833333</v>
      </c>
      <c r="X241" s="88"/>
    </row>
    <row r="242" spans="1:24" hidden="1" x14ac:dyDescent="0.3">
      <c r="A242" s="1">
        <v>2026</v>
      </c>
      <c r="B242" s="52">
        <v>46143</v>
      </c>
      <c r="C242" s="1">
        <v>31</v>
      </c>
      <c r="D242" s="1" t="s">
        <v>47</v>
      </c>
      <c r="E242" s="5">
        <v>46148</v>
      </c>
      <c r="F242" s="77">
        <v>1606.0891666666664</v>
      </c>
      <c r="G242" s="77">
        <v>356.62791666666664</v>
      </c>
      <c r="H242" s="77">
        <v>293.89249999999976</v>
      </c>
      <c r="I242" s="77">
        <v>819.14977083333326</v>
      </c>
      <c r="J242" s="77">
        <v>618.68124999999998</v>
      </c>
      <c r="K242" s="77">
        <v>1208.2687500000009</v>
      </c>
      <c r="L242" s="77">
        <v>2127.454166666666</v>
      </c>
      <c r="M242" s="77">
        <v>951.30791666666676</v>
      </c>
      <c r="N242" s="78">
        <f t="shared" si="23"/>
        <v>7981.4714375000003</v>
      </c>
      <c r="O242" s="1">
        <v>1500</v>
      </c>
      <c r="P242" s="77">
        <v>810.32218750000015</v>
      </c>
      <c r="Q242" s="77">
        <v>1053.703</v>
      </c>
      <c r="R242" s="77">
        <v>3597.6499999999996</v>
      </c>
      <c r="S242" s="77">
        <v>1755</v>
      </c>
      <c r="T242" s="77">
        <v>0</v>
      </c>
      <c r="U242" s="77">
        <v>4950.1608333333334</v>
      </c>
      <c r="V242" s="77">
        <v>0</v>
      </c>
      <c r="W242" s="79">
        <f t="shared" si="24"/>
        <v>13666.836020833332</v>
      </c>
      <c r="X242" s="88"/>
    </row>
    <row r="243" spans="1:24" hidden="1" x14ac:dyDescent="0.3">
      <c r="A243" s="1">
        <v>2026</v>
      </c>
      <c r="B243" s="52">
        <v>46143</v>
      </c>
      <c r="C243" s="1">
        <v>31</v>
      </c>
      <c r="D243" s="1" t="s">
        <v>48</v>
      </c>
      <c r="E243" s="5">
        <v>46149</v>
      </c>
      <c r="F243" s="77">
        <v>1624.42875</v>
      </c>
      <c r="G243" s="77">
        <v>434.28916666666663</v>
      </c>
      <c r="H243" s="77">
        <v>180.34999999999994</v>
      </c>
      <c r="I243" s="77">
        <v>236.88091666666668</v>
      </c>
      <c r="J243" s="77">
        <v>618.62250000000006</v>
      </c>
      <c r="K243" s="77">
        <v>2067.3625000000015</v>
      </c>
      <c r="L243" s="77">
        <v>1951.234999999999</v>
      </c>
      <c r="M243" s="77">
        <v>836.56000000000029</v>
      </c>
      <c r="N243" s="78">
        <f t="shared" si="23"/>
        <v>7949.7288333333336</v>
      </c>
      <c r="O243" s="1">
        <v>1500</v>
      </c>
      <c r="P243" s="77">
        <v>868.875</v>
      </c>
      <c r="Q243" s="77">
        <v>1068.8825000000002</v>
      </c>
      <c r="R243" s="77">
        <v>3597.6499999999996</v>
      </c>
      <c r="S243" s="77">
        <v>1755</v>
      </c>
      <c r="T243" s="77">
        <v>0</v>
      </c>
      <c r="U243" s="77">
        <v>5264.6975000000011</v>
      </c>
      <c r="V243" s="77">
        <v>0</v>
      </c>
      <c r="W243" s="79">
        <f t="shared" si="24"/>
        <v>14055.105</v>
      </c>
      <c r="X243" s="88"/>
    </row>
    <row r="244" spans="1:24" hidden="1" x14ac:dyDescent="0.3">
      <c r="A244" s="1">
        <v>2026</v>
      </c>
      <c r="B244" s="52">
        <v>46143</v>
      </c>
      <c r="C244" s="1">
        <v>31</v>
      </c>
      <c r="D244" s="1" t="s">
        <v>49</v>
      </c>
      <c r="E244" s="5">
        <v>46150</v>
      </c>
      <c r="F244" s="77">
        <v>1778.0841666666668</v>
      </c>
      <c r="G244" s="77">
        <v>820.43708333333325</v>
      </c>
      <c r="H244" s="77">
        <v>189.3145833333333</v>
      </c>
      <c r="I244" s="77">
        <v>248.74562500000002</v>
      </c>
      <c r="J244" s="77">
        <v>618.93458333333331</v>
      </c>
      <c r="K244" s="77">
        <v>2309.9204166666632</v>
      </c>
      <c r="L244" s="77">
        <v>1895.5337500000005</v>
      </c>
      <c r="M244" s="77">
        <v>1014.3429166666665</v>
      </c>
      <c r="N244" s="78">
        <f t="shared" si="23"/>
        <v>8875.3131249999969</v>
      </c>
      <c r="O244" s="1">
        <v>1500</v>
      </c>
      <c r="P244" s="77">
        <v>884.625</v>
      </c>
      <c r="Q244" s="77">
        <v>1070.72</v>
      </c>
      <c r="R244" s="77">
        <v>3578.6499999999996</v>
      </c>
      <c r="S244" s="77">
        <v>1755</v>
      </c>
      <c r="T244" s="77">
        <v>0</v>
      </c>
      <c r="U244" s="77">
        <v>5273.4375000000009</v>
      </c>
      <c r="V244" s="77">
        <v>0</v>
      </c>
      <c r="W244" s="79">
        <f t="shared" si="24"/>
        <v>14062.432499999999</v>
      </c>
      <c r="X244" s="88"/>
    </row>
    <row r="245" spans="1:24" hidden="1" x14ac:dyDescent="0.3">
      <c r="A245" s="1">
        <v>2026</v>
      </c>
      <c r="B245" s="52">
        <v>46143</v>
      </c>
      <c r="C245" s="1">
        <v>31</v>
      </c>
      <c r="D245" s="1" t="s">
        <v>43</v>
      </c>
      <c r="E245" s="5">
        <v>46151</v>
      </c>
      <c r="F245" s="77">
        <v>1471.5716666666667</v>
      </c>
      <c r="G245" s="77">
        <v>833.67666666666673</v>
      </c>
      <c r="H245" s="77">
        <v>204.44375000000005</v>
      </c>
      <c r="I245" s="77">
        <v>673.86666666666667</v>
      </c>
      <c r="J245" s="77">
        <v>618.99708333333331</v>
      </c>
      <c r="K245" s="77">
        <v>1861.4487500000012</v>
      </c>
      <c r="L245" s="77">
        <v>2058.6937499999963</v>
      </c>
      <c r="M245" s="77">
        <v>1211.5912499999999</v>
      </c>
      <c r="N245" s="78">
        <f t="shared" si="23"/>
        <v>8934.2895833333296</v>
      </c>
      <c r="O245" s="1">
        <v>1500</v>
      </c>
      <c r="P245" s="77">
        <v>896.7</v>
      </c>
      <c r="Q245" s="77">
        <v>1065.9950000000001</v>
      </c>
      <c r="R245" s="77">
        <v>3608.7068125000001</v>
      </c>
      <c r="S245" s="77">
        <v>1755</v>
      </c>
      <c r="T245" s="77">
        <v>0</v>
      </c>
      <c r="U245" s="77">
        <v>4811.4641666666657</v>
      </c>
      <c r="V245" s="77">
        <v>0</v>
      </c>
      <c r="W245" s="79">
        <f t="shared" si="24"/>
        <v>13637.865979166665</v>
      </c>
      <c r="X245" s="88"/>
    </row>
    <row r="246" spans="1:24" hidden="1" x14ac:dyDescent="0.3">
      <c r="A246" s="1">
        <v>2026</v>
      </c>
      <c r="B246" s="52">
        <v>46143</v>
      </c>
      <c r="C246" s="1">
        <v>31</v>
      </c>
      <c r="D246" s="1" t="s">
        <v>44</v>
      </c>
      <c r="E246" s="5">
        <v>46152</v>
      </c>
      <c r="F246" s="77">
        <v>1236.0091666666667</v>
      </c>
      <c r="G246" s="77">
        <v>815.74458333333325</v>
      </c>
      <c r="H246" s="77">
        <v>241.08708333333323</v>
      </c>
      <c r="I246" s="77">
        <v>823.69631249999986</v>
      </c>
      <c r="J246" s="77">
        <v>618.9787500000001</v>
      </c>
      <c r="K246" s="77">
        <v>1505.6024999999981</v>
      </c>
      <c r="L246" s="77">
        <v>2013.807916666666</v>
      </c>
      <c r="M246" s="77">
        <v>1629.9795833333337</v>
      </c>
      <c r="N246" s="78">
        <f t="shared" si="23"/>
        <v>8884.9058958333299</v>
      </c>
      <c r="O246" s="1">
        <v>1500</v>
      </c>
      <c r="P246" s="77">
        <v>877.80000000000007</v>
      </c>
      <c r="Q246" s="77">
        <v>1077.895</v>
      </c>
      <c r="R246" s="77">
        <v>3730.7291666666665</v>
      </c>
      <c r="S246" s="77">
        <v>1755</v>
      </c>
      <c r="T246" s="77">
        <v>0</v>
      </c>
      <c r="U246" s="77">
        <v>5110.5829166666654</v>
      </c>
      <c r="V246" s="77">
        <v>0</v>
      </c>
      <c r="W246" s="79">
        <f t="shared" si="24"/>
        <v>14052.007083333334</v>
      </c>
      <c r="X246" s="88"/>
    </row>
    <row r="247" spans="1:24" hidden="1" x14ac:dyDescent="0.3">
      <c r="A247" s="1">
        <v>2026</v>
      </c>
      <c r="B247" s="52">
        <v>46143</v>
      </c>
      <c r="C247" s="1">
        <v>31</v>
      </c>
      <c r="D247" s="1" t="s">
        <v>45</v>
      </c>
      <c r="E247" s="5">
        <v>46153</v>
      </c>
      <c r="F247" s="77">
        <v>1660.9099999999999</v>
      </c>
      <c r="G247" s="77">
        <v>845.73083333333352</v>
      </c>
      <c r="H247" s="77">
        <v>352.13958333333306</v>
      </c>
      <c r="I247" s="77">
        <v>1366.3351249999994</v>
      </c>
      <c r="J247" s="77">
        <v>620.62916666666672</v>
      </c>
      <c r="K247" s="77">
        <v>1891.0908333333325</v>
      </c>
      <c r="L247" s="77">
        <v>2177.4645833333298</v>
      </c>
      <c r="M247" s="77">
        <v>1316.0450000000003</v>
      </c>
      <c r="N247" s="78">
        <f t="shared" si="23"/>
        <v>10230.345124999994</v>
      </c>
      <c r="O247" s="1">
        <v>1500</v>
      </c>
      <c r="P247" s="77">
        <v>908.25</v>
      </c>
      <c r="Q247" s="77">
        <v>1069.145</v>
      </c>
      <c r="R247" s="77">
        <v>3739.2</v>
      </c>
      <c r="S247" s="77">
        <v>1755</v>
      </c>
      <c r="T247" s="77">
        <v>0</v>
      </c>
      <c r="U247" s="77">
        <v>5078.8712499999983</v>
      </c>
      <c r="V247" s="77">
        <v>0</v>
      </c>
      <c r="W247" s="79">
        <f t="shared" si="24"/>
        <v>14050.466249999998</v>
      </c>
      <c r="X247" s="88"/>
    </row>
    <row r="248" spans="1:24" hidden="1" x14ac:dyDescent="0.3">
      <c r="A248" s="1">
        <v>2026</v>
      </c>
      <c r="B248" s="52">
        <v>46143</v>
      </c>
      <c r="C248" s="1">
        <v>31</v>
      </c>
      <c r="D248" s="1" t="s">
        <v>46</v>
      </c>
      <c r="E248" s="5">
        <v>46154</v>
      </c>
      <c r="F248" s="77">
        <v>1476.7774999999999</v>
      </c>
      <c r="G248" s="77">
        <v>848.82916666666642</v>
      </c>
      <c r="H248" s="77">
        <v>277.65833333333313</v>
      </c>
      <c r="I248" s="77">
        <v>911.61129166666638</v>
      </c>
      <c r="J248" s="77">
        <v>1064.2083333333337</v>
      </c>
      <c r="K248" s="77">
        <v>1446.0304166666658</v>
      </c>
      <c r="L248" s="77">
        <v>2439.102916666654</v>
      </c>
      <c r="M248" s="77">
        <v>1165.2537500000001</v>
      </c>
      <c r="N248" s="78">
        <f t="shared" si="23"/>
        <v>9629.4717083333198</v>
      </c>
      <c r="O248" s="1">
        <v>1500</v>
      </c>
      <c r="P248" s="77">
        <v>911.40000000000009</v>
      </c>
      <c r="Q248" s="77">
        <v>1077.67625</v>
      </c>
      <c r="R248" s="77">
        <v>3740.1499999999996</v>
      </c>
      <c r="S248" s="77">
        <v>1755</v>
      </c>
      <c r="T248" s="77">
        <v>0</v>
      </c>
      <c r="U248" s="77">
        <v>4925.5225000000009</v>
      </c>
      <c r="V248" s="77">
        <v>0</v>
      </c>
      <c r="W248" s="79">
        <f t="shared" si="24"/>
        <v>13909.748750000001</v>
      </c>
      <c r="X248" s="88"/>
    </row>
    <row r="249" spans="1:24" hidden="1" x14ac:dyDescent="0.3">
      <c r="A249" s="1">
        <v>2026</v>
      </c>
      <c r="B249" s="52">
        <v>46143</v>
      </c>
      <c r="C249" s="1">
        <v>31</v>
      </c>
      <c r="D249" s="1" t="s">
        <v>47</v>
      </c>
      <c r="E249" s="5">
        <v>46155</v>
      </c>
      <c r="F249" s="77">
        <v>1625.0837500000005</v>
      </c>
      <c r="G249" s="77">
        <v>835.76666666666642</v>
      </c>
      <c r="H249" s="77">
        <v>276.83999999999986</v>
      </c>
      <c r="I249" s="77">
        <v>1195.5848958333333</v>
      </c>
      <c r="J249" s="77">
        <v>1228.1654166666669</v>
      </c>
      <c r="K249" s="77">
        <v>1324.6220833333341</v>
      </c>
      <c r="L249" s="77">
        <v>2406.5104166666724</v>
      </c>
      <c r="M249" s="77">
        <v>1001.2745833333337</v>
      </c>
      <c r="N249" s="78">
        <f t="shared" si="23"/>
        <v>9893.8478125000056</v>
      </c>
      <c r="O249" s="1">
        <v>1500</v>
      </c>
      <c r="P249" s="77">
        <v>908.77500000000009</v>
      </c>
      <c r="Q249" s="77">
        <v>1081.92</v>
      </c>
      <c r="R249" s="77">
        <v>3626.1499999999996</v>
      </c>
      <c r="S249" s="77">
        <v>1755</v>
      </c>
      <c r="T249" s="77">
        <v>0</v>
      </c>
      <c r="U249" s="77">
        <v>5017.4487499999996</v>
      </c>
      <c r="V249" s="77">
        <v>0</v>
      </c>
      <c r="W249" s="79">
        <f t="shared" si="24"/>
        <v>13889.293749999999</v>
      </c>
      <c r="X249" s="88"/>
    </row>
    <row r="250" spans="1:24" hidden="1" x14ac:dyDescent="0.3">
      <c r="A250" s="1">
        <v>2026</v>
      </c>
      <c r="B250" s="52">
        <v>46143</v>
      </c>
      <c r="C250" s="1">
        <v>31</v>
      </c>
      <c r="D250" s="1" t="s">
        <v>48</v>
      </c>
      <c r="E250" s="5">
        <v>46156</v>
      </c>
      <c r="F250" s="77">
        <v>1829.4725000000001</v>
      </c>
      <c r="G250" s="77">
        <v>822.73625000000004</v>
      </c>
      <c r="H250" s="77">
        <v>346.30166666666611</v>
      </c>
      <c r="I250" s="77">
        <v>1751.6852083333326</v>
      </c>
      <c r="J250" s="77">
        <v>1295.0070833333332</v>
      </c>
      <c r="K250" s="77">
        <v>792.53500000000088</v>
      </c>
      <c r="L250" s="77">
        <v>2499.8458333333242</v>
      </c>
      <c r="M250" s="77">
        <v>1178.9320833333334</v>
      </c>
      <c r="N250" s="78">
        <f t="shared" si="23"/>
        <v>10516.515624999991</v>
      </c>
      <c r="O250" s="1">
        <v>1500</v>
      </c>
      <c r="P250" s="77">
        <v>898.27500000000009</v>
      </c>
      <c r="Q250" s="77">
        <v>1023.6274999999999</v>
      </c>
      <c r="R250" s="77">
        <v>3506.8953124999998</v>
      </c>
      <c r="S250" s="77">
        <v>1755</v>
      </c>
      <c r="T250" s="77">
        <v>0</v>
      </c>
      <c r="U250" s="77">
        <v>4975.3441666666658</v>
      </c>
      <c r="V250" s="77">
        <v>0</v>
      </c>
      <c r="W250" s="79">
        <f t="shared" si="24"/>
        <v>13659.141979166667</v>
      </c>
      <c r="X250" s="88"/>
    </row>
    <row r="251" spans="1:24" hidden="1" x14ac:dyDescent="0.3">
      <c r="A251" s="1">
        <v>2026</v>
      </c>
      <c r="B251" s="52">
        <v>46143</v>
      </c>
      <c r="C251" s="1">
        <v>31</v>
      </c>
      <c r="D251" s="1" t="s">
        <v>49</v>
      </c>
      <c r="E251" s="5">
        <v>46157</v>
      </c>
      <c r="F251" s="77">
        <v>1705.6125000000002</v>
      </c>
      <c r="G251" s="77">
        <v>776.18083333333334</v>
      </c>
      <c r="H251" s="77">
        <v>356.08416666666625</v>
      </c>
      <c r="I251" s="77">
        <v>1360.532604166666</v>
      </c>
      <c r="J251" s="77">
        <v>1293.8970833333333</v>
      </c>
      <c r="K251" s="77">
        <v>1376.1008333333293</v>
      </c>
      <c r="L251" s="77">
        <v>2068.8774999999964</v>
      </c>
      <c r="M251" s="77">
        <v>768.41458333333333</v>
      </c>
      <c r="N251" s="78">
        <f t="shared" si="23"/>
        <v>9705.7001041666572</v>
      </c>
      <c r="O251" s="1">
        <v>1500</v>
      </c>
      <c r="P251" s="77">
        <v>886.2</v>
      </c>
      <c r="Q251" s="77">
        <v>974.03031250000004</v>
      </c>
      <c r="R251" s="77">
        <v>3375.8004583333332</v>
      </c>
      <c r="S251" s="77">
        <v>1755</v>
      </c>
      <c r="T251" s="77">
        <v>0</v>
      </c>
      <c r="U251" s="77">
        <v>4984.7129166666664</v>
      </c>
      <c r="V251" s="77">
        <v>0</v>
      </c>
      <c r="W251" s="79">
        <f t="shared" si="24"/>
        <v>13475.743687499998</v>
      </c>
      <c r="X251" s="88"/>
    </row>
    <row r="252" spans="1:24" hidden="1" x14ac:dyDescent="0.3">
      <c r="A252" s="1">
        <v>2026</v>
      </c>
      <c r="B252" s="52">
        <v>46143</v>
      </c>
      <c r="C252" s="1">
        <v>31</v>
      </c>
      <c r="D252" s="1" t="s">
        <v>43</v>
      </c>
      <c r="E252" s="5">
        <v>46158</v>
      </c>
      <c r="F252" s="77">
        <v>1253.9999999999998</v>
      </c>
      <c r="G252" s="77">
        <v>558.64833333333331</v>
      </c>
      <c r="H252" s="77">
        <v>305.35958333333309</v>
      </c>
      <c r="I252" s="77">
        <v>1129.9996666666668</v>
      </c>
      <c r="J252" s="77">
        <v>1295.0995833333332</v>
      </c>
      <c r="K252" s="77">
        <v>1589.6033333333364</v>
      </c>
      <c r="L252" s="77">
        <v>2210.3683333333324</v>
      </c>
      <c r="M252" s="77">
        <v>1078.8758333333333</v>
      </c>
      <c r="N252" s="78">
        <f t="shared" si="23"/>
        <v>9421.9546666666683</v>
      </c>
      <c r="O252" s="1">
        <v>1500</v>
      </c>
      <c r="P252" s="77">
        <v>878.85</v>
      </c>
      <c r="Q252" s="77">
        <v>973.77</v>
      </c>
      <c r="R252" s="77">
        <v>3549.2</v>
      </c>
      <c r="S252" s="77">
        <v>1755</v>
      </c>
      <c r="T252" s="77">
        <v>0</v>
      </c>
      <c r="U252" s="77">
        <v>5073.8612500000017</v>
      </c>
      <c r="V252" s="77">
        <v>0</v>
      </c>
      <c r="W252" s="79">
        <f t="shared" si="24"/>
        <v>13730.681250000001</v>
      </c>
      <c r="X252" s="88"/>
    </row>
    <row r="253" spans="1:24" hidden="1" x14ac:dyDescent="0.3">
      <c r="A253" s="1">
        <v>2026</v>
      </c>
      <c r="B253" s="52">
        <v>46143</v>
      </c>
      <c r="C253" s="1">
        <v>31</v>
      </c>
      <c r="D253" s="1" t="s">
        <v>44</v>
      </c>
      <c r="E253" s="5">
        <v>46159</v>
      </c>
      <c r="F253" s="77">
        <v>1195.3408333333334</v>
      </c>
      <c r="G253" s="77">
        <v>416.0216666666667</v>
      </c>
      <c r="H253" s="77">
        <v>321.16916666666651</v>
      </c>
      <c r="I253" s="77">
        <v>1046.5841250000001</v>
      </c>
      <c r="J253" s="77">
        <v>1296.8491666666664</v>
      </c>
      <c r="K253" s="77">
        <v>1247.0395833333334</v>
      </c>
      <c r="L253" s="77">
        <v>2361.4037500000013</v>
      </c>
      <c r="M253" s="77">
        <v>1191.3783333333336</v>
      </c>
      <c r="N253" s="78">
        <f t="shared" si="23"/>
        <v>9075.7866250000025</v>
      </c>
      <c r="O253" s="1">
        <v>1500</v>
      </c>
      <c r="P253" s="77">
        <v>816.375</v>
      </c>
      <c r="Q253" s="77">
        <v>974.77625</v>
      </c>
      <c r="R253" s="77">
        <v>3550.1499999999996</v>
      </c>
      <c r="S253" s="77">
        <v>1755</v>
      </c>
      <c r="T253" s="77">
        <v>0</v>
      </c>
      <c r="U253" s="77">
        <v>5103.4345833333336</v>
      </c>
      <c r="V253" s="77">
        <v>0</v>
      </c>
      <c r="W253" s="79">
        <f t="shared" si="24"/>
        <v>13699.735833333334</v>
      </c>
      <c r="X253" s="88"/>
    </row>
    <row r="254" spans="1:24" hidden="1" x14ac:dyDescent="0.3">
      <c r="A254" s="1">
        <v>2026</v>
      </c>
      <c r="B254" s="52">
        <v>46143</v>
      </c>
      <c r="C254" s="1">
        <v>31</v>
      </c>
      <c r="D254" s="1" t="s">
        <v>45</v>
      </c>
      <c r="E254" s="5">
        <v>46160</v>
      </c>
      <c r="F254" s="77">
        <v>1534.8549999999998</v>
      </c>
      <c r="G254" s="77">
        <v>203.61083333333337</v>
      </c>
      <c r="H254" s="77">
        <v>385.86499999999995</v>
      </c>
      <c r="I254" s="77">
        <v>1589.2751874999997</v>
      </c>
      <c r="J254" s="77">
        <v>1298.1441666666667</v>
      </c>
      <c r="K254" s="77">
        <v>1571.2745833333354</v>
      </c>
      <c r="L254" s="77">
        <v>2641.8012499999995</v>
      </c>
      <c r="M254" s="77">
        <v>979.62166666666644</v>
      </c>
      <c r="N254" s="78">
        <f t="shared" si="23"/>
        <v>10204.4476875</v>
      </c>
      <c r="O254" s="1">
        <v>1500</v>
      </c>
      <c r="P254" s="77">
        <v>881.47500000000002</v>
      </c>
      <c r="Q254" s="77">
        <v>905.03874999999994</v>
      </c>
      <c r="R254" s="77">
        <v>3550.1499999999996</v>
      </c>
      <c r="S254" s="77">
        <v>1755</v>
      </c>
      <c r="T254" s="77">
        <v>0</v>
      </c>
      <c r="U254" s="77">
        <v>4889.5770833333345</v>
      </c>
      <c r="V254" s="77">
        <v>0</v>
      </c>
      <c r="W254" s="79">
        <f t="shared" si="24"/>
        <v>13481.240833333333</v>
      </c>
      <c r="X254" s="88"/>
    </row>
    <row r="255" spans="1:24" hidden="1" x14ac:dyDescent="0.3">
      <c r="A255" s="1">
        <v>2026</v>
      </c>
      <c r="B255" s="52">
        <v>46143</v>
      </c>
      <c r="C255" s="1">
        <v>31</v>
      </c>
      <c r="D255" s="1" t="s">
        <v>46</v>
      </c>
      <c r="E255" s="5">
        <v>46161</v>
      </c>
      <c r="F255" s="77">
        <v>1709.2716666666665</v>
      </c>
      <c r="G255" s="77">
        <v>273.52041666666673</v>
      </c>
      <c r="H255" s="77">
        <v>336.06708333333353</v>
      </c>
      <c r="I255" s="77">
        <v>1277.0810416666668</v>
      </c>
      <c r="J255" s="77">
        <v>1296.9899999999998</v>
      </c>
      <c r="K255" s="77">
        <v>1248.8699999999967</v>
      </c>
      <c r="L255" s="77">
        <v>2710.9083333333328</v>
      </c>
      <c r="M255" s="77">
        <v>995.6945833333333</v>
      </c>
      <c r="N255" s="78">
        <f t="shared" si="23"/>
        <v>9848.4031249999971</v>
      </c>
      <c r="O255" s="1">
        <v>1500</v>
      </c>
      <c r="P255" s="77">
        <v>884.625</v>
      </c>
      <c r="Q255" s="77">
        <v>870.97500000000002</v>
      </c>
      <c r="R255" s="77">
        <v>3549.2</v>
      </c>
      <c r="S255" s="77">
        <v>1755</v>
      </c>
      <c r="T255" s="77">
        <v>0</v>
      </c>
      <c r="U255" s="77">
        <v>4987.6841666666669</v>
      </c>
      <c r="V255" s="77">
        <v>0</v>
      </c>
      <c r="W255" s="79">
        <f t="shared" si="24"/>
        <v>13547.484166666665</v>
      </c>
      <c r="X255" s="88"/>
    </row>
    <row r="256" spans="1:24" hidden="1" x14ac:dyDescent="0.3">
      <c r="A256" s="1">
        <v>2026</v>
      </c>
      <c r="B256" s="52">
        <v>46143</v>
      </c>
      <c r="C256" s="1">
        <v>31</v>
      </c>
      <c r="D256" s="1" t="s">
        <v>47</v>
      </c>
      <c r="E256" s="5">
        <f>+E255+1</f>
        <v>46162</v>
      </c>
      <c r="F256" s="77">
        <v>1868.5883333333334</v>
      </c>
      <c r="G256" s="77">
        <v>196.90916666666669</v>
      </c>
      <c r="H256" s="77">
        <v>332.77708333333356</v>
      </c>
      <c r="I256" s="77">
        <v>1385.3339375</v>
      </c>
      <c r="J256" s="77">
        <v>1297.6070833333331</v>
      </c>
      <c r="K256" s="77">
        <v>1102.8729166666672</v>
      </c>
      <c r="L256" s="77">
        <v>2805.9995833333246</v>
      </c>
      <c r="M256" s="77">
        <v>1178.8675000000005</v>
      </c>
      <c r="N256" s="78">
        <f t="shared" si="23"/>
        <v>10168.955604166658</v>
      </c>
      <c r="O256" s="1">
        <v>1500</v>
      </c>
      <c r="P256" s="77">
        <v>907.67796874999999</v>
      </c>
      <c r="Q256" s="77">
        <v>872.44500000000005</v>
      </c>
      <c r="R256" s="77">
        <v>3550.1499999999996</v>
      </c>
      <c r="S256" s="77">
        <v>1755</v>
      </c>
      <c r="T256" s="77">
        <v>0</v>
      </c>
      <c r="U256" s="77">
        <v>4973.2745833333338</v>
      </c>
      <c r="V256" s="77">
        <v>0</v>
      </c>
      <c r="W256" s="79">
        <f t="shared" si="24"/>
        <v>13558.547552083333</v>
      </c>
      <c r="X256" s="88"/>
    </row>
    <row r="257" spans="1:24" hidden="1" x14ac:dyDescent="0.3">
      <c r="A257" s="1">
        <v>2026</v>
      </c>
      <c r="B257" s="52">
        <v>46143</v>
      </c>
      <c r="C257" s="1">
        <v>31</v>
      </c>
      <c r="D257" s="1" t="s">
        <v>48</v>
      </c>
      <c r="E257" s="5">
        <f t="shared" ref="E257:E261" si="25">+E256+1</f>
        <v>46163</v>
      </c>
      <c r="F257" s="77">
        <v>1879.5716666666665</v>
      </c>
      <c r="G257" s="77">
        <v>149.05333333333334</v>
      </c>
      <c r="H257" s="77">
        <v>402.10583333333346</v>
      </c>
      <c r="I257" s="77">
        <v>1884.8771875</v>
      </c>
      <c r="J257" s="77">
        <v>1295.5437500000005</v>
      </c>
      <c r="K257" s="77">
        <v>917.28249999999991</v>
      </c>
      <c r="L257" s="77">
        <v>3203.605416666664</v>
      </c>
      <c r="M257" s="77">
        <v>1185.0745833333333</v>
      </c>
      <c r="N257" s="78">
        <f t="shared" si="23"/>
        <v>10917.114270833332</v>
      </c>
      <c r="O257" s="1">
        <v>1500</v>
      </c>
      <c r="P257" s="77">
        <v>937.65000000000009</v>
      </c>
      <c r="Q257" s="77">
        <v>872.44500000000005</v>
      </c>
      <c r="R257" s="77">
        <v>3549.2</v>
      </c>
      <c r="S257" s="77">
        <v>1755</v>
      </c>
      <c r="T257" s="77">
        <v>0</v>
      </c>
      <c r="U257" s="77">
        <v>5037.2345833333329</v>
      </c>
      <c r="V257" s="77">
        <v>0</v>
      </c>
      <c r="W257" s="79">
        <f t="shared" si="24"/>
        <v>13651.529583333333</v>
      </c>
      <c r="X257" s="88"/>
    </row>
    <row r="258" spans="1:24" hidden="1" x14ac:dyDescent="0.3">
      <c r="A258" s="1">
        <v>2026</v>
      </c>
      <c r="B258" s="52">
        <v>46143</v>
      </c>
      <c r="C258" s="1">
        <v>31</v>
      </c>
      <c r="D258" s="1" t="s">
        <v>49</v>
      </c>
      <c r="E258" s="5">
        <f t="shared" si="25"/>
        <v>46164</v>
      </c>
      <c r="F258" s="77">
        <v>1848.8608333333334</v>
      </c>
      <c r="G258" s="77">
        <v>218.88083333333338</v>
      </c>
      <c r="H258" s="77">
        <v>384.41291666666689</v>
      </c>
      <c r="I258" s="77">
        <v>1568.7876458333328</v>
      </c>
      <c r="J258" s="77">
        <v>1296.42875</v>
      </c>
      <c r="K258" s="77">
        <v>1532.0804166666628</v>
      </c>
      <c r="L258" s="77">
        <v>2971.0033333333245</v>
      </c>
      <c r="M258" s="77">
        <v>1209.6583333333331</v>
      </c>
      <c r="N258" s="78">
        <f t="shared" si="23"/>
        <v>11030.113062499988</v>
      </c>
      <c r="O258" s="1">
        <v>1500</v>
      </c>
      <c r="P258" s="77">
        <v>931.875</v>
      </c>
      <c r="Q258" s="77">
        <v>906.05375000000004</v>
      </c>
      <c r="R258" s="77">
        <v>3530.2</v>
      </c>
      <c r="S258" s="77">
        <v>1755</v>
      </c>
      <c r="T258" s="77">
        <v>0</v>
      </c>
      <c r="U258" s="77">
        <v>5006.6399999999994</v>
      </c>
      <c r="V258" s="77">
        <v>0</v>
      </c>
      <c r="W258" s="79">
        <f t="shared" si="24"/>
        <v>13629.768749999999</v>
      </c>
      <c r="X258" s="88"/>
    </row>
    <row r="259" spans="1:24" hidden="1" x14ac:dyDescent="0.3">
      <c r="A259" s="1">
        <v>2026</v>
      </c>
      <c r="B259" s="52">
        <v>46143</v>
      </c>
      <c r="C259" s="1">
        <v>31</v>
      </c>
      <c r="D259" s="1" t="s">
        <v>43</v>
      </c>
      <c r="E259" s="5">
        <f t="shared" si="25"/>
        <v>46165</v>
      </c>
      <c r="F259" s="77">
        <v>1532.9441666666669</v>
      </c>
      <c r="G259" s="77">
        <v>294.62916666666666</v>
      </c>
      <c r="H259" s="77">
        <v>375.33458333333346</v>
      </c>
      <c r="I259" s="77">
        <v>1463.581083333333</v>
      </c>
      <c r="J259" s="77">
        <v>1295.3354166666668</v>
      </c>
      <c r="K259" s="77">
        <v>1645.1366666666652</v>
      </c>
      <c r="L259" s="77">
        <v>2118.8783333333304</v>
      </c>
      <c r="M259" s="77">
        <v>1174.1875</v>
      </c>
      <c r="N259" s="78">
        <f t="shared" si="23"/>
        <v>9900.0269166666621</v>
      </c>
      <c r="O259" s="1">
        <v>1500</v>
      </c>
      <c r="P259" s="77">
        <v>927.67500000000007</v>
      </c>
      <c r="Q259" s="77">
        <v>975.47625000000005</v>
      </c>
      <c r="R259" s="77">
        <v>3529.25</v>
      </c>
      <c r="S259" s="77">
        <v>1755</v>
      </c>
      <c r="T259" s="77">
        <v>0</v>
      </c>
      <c r="U259" s="77">
        <v>4909.8266666666668</v>
      </c>
      <c r="V259" s="77">
        <v>0</v>
      </c>
      <c r="W259" s="79">
        <f t="shared" si="24"/>
        <v>13597.227916666667</v>
      </c>
      <c r="X259" s="88"/>
    </row>
    <row r="260" spans="1:24" hidden="1" x14ac:dyDescent="0.3">
      <c r="A260" s="1">
        <v>2026</v>
      </c>
      <c r="B260" s="52">
        <v>46143</v>
      </c>
      <c r="C260" s="1">
        <v>31</v>
      </c>
      <c r="D260" s="1" t="s">
        <v>44</v>
      </c>
      <c r="E260" s="5">
        <f t="shared" si="25"/>
        <v>46166</v>
      </c>
      <c r="F260" s="77">
        <v>1353.8145833333335</v>
      </c>
      <c r="G260" s="77">
        <v>391.39541666666668</v>
      </c>
      <c r="H260" s="77">
        <v>258.71708333333339</v>
      </c>
      <c r="I260" s="77">
        <v>795.79243750000001</v>
      </c>
      <c r="J260" s="77">
        <v>1296.7679166666669</v>
      </c>
      <c r="K260" s="77">
        <v>1654.2612499999966</v>
      </c>
      <c r="L260" s="77">
        <v>2063.5754166666693</v>
      </c>
      <c r="M260" s="77">
        <v>1165.1037500000004</v>
      </c>
      <c r="N260" s="78">
        <f t="shared" si="23"/>
        <v>8979.4278541666681</v>
      </c>
      <c r="O260" s="1">
        <v>1500</v>
      </c>
      <c r="P260" s="77">
        <v>925.57500000000005</v>
      </c>
      <c r="Q260" s="77">
        <v>952.06125000000009</v>
      </c>
      <c r="R260" s="77">
        <v>3530.2</v>
      </c>
      <c r="S260" s="77">
        <v>1755</v>
      </c>
      <c r="T260" s="77">
        <v>0</v>
      </c>
      <c r="U260" s="77">
        <v>5212.3933333333343</v>
      </c>
      <c r="V260" s="77">
        <v>0</v>
      </c>
      <c r="W260" s="79">
        <f t="shared" si="24"/>
        <v>13875.229583333334</v>
      </c>
      <c r="X260" s="88"/>
    </row>
    <row r="261" spans="1:24" hidden="1" x14ac:dyDescent="0.3">
      <c r="A261" s="1">
        <v>2026</v>
      </c>
      <c r="B261" s="52">
        <v>46143</v>
      </c>
      <c r="C261" s="1">
        <v>31</v>
      </c>
      <c r="D261" s="1" t="s">
        <v>45</v>
      </c>
      <c r="E261" s="5">
        <f t="shared" si="25"/>
        <v>46167</v>
      </c>
      <c r="F261" s="77">
        <v>1388.2399999999998</v>
      </c>
      <c r="G261" s="77">
        <v>389.31583333333333</v>
      </c>
      <c r="H261" s="77">
        <v>334.87916666666689</v>
      </c>
      <c r="I261" s="77">
        <v>1214.5152291666668</v>
      </c>
      <c r="J261" s="77">
        <v>1296.3875</v>
      </c>
      <c r="K261" s="77">
        <v>1004.6674999999977</v>
      </c>
      <c r="L261" s="77">
        <v>1989.4504166666704</v>
      </c>
      <c r="M261" s="77">
        <v>1045.17</v>
      </c>
      <c r="N261" s="78">
        <f t="shared" si="23"/>
        <v>8662.6256458333337</v>
      </c>
      <c r="O261" s="1">
        <v>1500</v>
      </c>
      <c r="P261" s="77">
        <v>920.32500000000005</v>
      </c>
      <c r="Q261" s="77">
        <v>980.245</v>
      </c>
      <c r="R261" s="77">
        <v>3529.25</v>
      </c>
      <c r="S261" s="77">
        <v>1755</v>
      </c>
      <c r="T261" s="77">
        <v>0</v>
      </c>
      <c r="U261" s="77">
        <v>5632.286250000001</v>
      </c>
      <c r="V261" s="77">
        <v>0</v>
      </c>
      <c r="W261" s="79">
        <f t="shared" si="24"/>
        <v>14317.106250000001</v>
      </c>
      <c r="X261" s="88"/>
    </row>
    <row r="262" spans="1:24" hidden="1" x14ac:dyDescent="0.3">
      <c r="A262" s="1">
        <v>2026</v>
      </c>
      <c r="B262" s="52">
        <v>46143</v>
      </c>
      <c r="C262" s="1">
        <v>31</v>
      </c>
      <c r="D262" s="1" t="str">
        <f>+Precios!C262</f>
        <v>mar</v>
      </c>
      <c r="E262" s="5">
        <f>+Precios!D262</f>
        <v>46168</v>
      </c>
      <c r="F262" s="77">
        <v>1685.2645833333333</v>
      </c>
      <c r="G262" s="77">
        <v>404.91208333333338</v>
      </c>
      <c r="H262" s="77">
        <v>384.44250000000028</v>
      </c>
      <c r="I262" s="77">
        <v>1375.6664999999996</v>
      </c>
      <c r="J262" s="77">
        <v>1295.8629166666669</v>
      </c>
      <c r="K262" s="77">
        <v>1301.980000000003</v>
      </c>
      <c r="L262" s="77">
        <v>2427.5258333333336</v>
      </c>
      <c r="M262" s="77">
        <v>1191.8104166666667</v>
      </c>
      <c r="N262" s="78">
        <f t="shared" si="23"/>
        <v>10067.464833333337</v>
      </c>
      <c r="O262" s="1">
        <v>1500</v>
      </c>
      <c r="P262" s="77">
        <v>910.875</v>
      </c>
      <c r="Q262" s="77">
        <v>930.81975</v>
      </c>
      <c r="R262" s="77">
        <v>3530.2</v>
      </c>
      <c r="S262" s="77">
        <v>1755</v>
      </c>
      <c r="T262" s="77">
        <v>0</v>
      </c>
      <c r="U262" s="77">
        <v>5454.0212499999989</v>
      </c>
      <c r="V262" s="77">
        <v>0</v>
      </c>
      <c r="W262" s="79">
        <f t="shared" si="24"/>
        <v>14080.915999999997</v>
      </c>
      <c r="X262" s="88"/>
    </row>
    <row r="263" spans="1:24" hidden="1" x14ac:dyDescent="0.3">
      <c r="A263" s="1">
        <v>2026</v>
      </c>
      <c r="B263" s="52">
        <v>46143</v>
      </c>
      <c r="C263" s="1">
        <v>31</v>
      </c>
      <c r="D263" s="1" t="str">
        <f>+Precios!C263</f>
        <v>mié</v>
      </c>
      <c r="E263" s="5">
        <f>+Precios!D263</f>
        <v>46169</v>
      </c>
      <c r="F263" s="77">
        <v>1726.0725000000002</v>
      </c>
      <c r="G263" s="77">
        <v>350.46291666666662</v>
      </c>
      <c r="H263" s="77">
        <v>363.10583333333358</v>
      </c>
      <c r="I263" s="77">
        <v>1585.9541458333342</v>
      </c>
      <c r="J263" s="77">
        <v>1296.2183333333332</v>
      </c>
      <c r="K263" s="77">
        <v>1267.2145833333318</v>
      </c>
      <c r="L263" s="77">
        <v>2625.2349999999924</v>
      </c>
      <c r="M263" s="77">
        <v>1058.5183333333332</v>
      </c>
      <c r="N263" s="78">
        <f t="shared" si="23"/>
        <v>10272.781645833325</v>
      </c>
      <c r="O263" s="1">
        <v>1500</v>
      </c>
      <c r="P263" s="77">
        <v>903</v>
      </c>
      <c r="Q263" s="77">
        <v>922.24781250000001</v>
      </c>
      <c r="R263" s="77">
        <v>3607.4642916666667</v>
      </c>
      <c r="S263" s="77">
        <v>1755</v>
      </c>
      <c r="T263" s="77">
        <v>0</v>
      </c>
      <c r="U263" s="77">
        <v>5122.5112499999996</v>
      </c>
      <c r="V263" s="77">
        <v>0</v>
      </c>
      <c r="W263" s="79">
        <f t="shared" si="24"/>
        <v>13810.223354166666</v>
      </c>
      <c r="X263" s="88"/>
    </row>
    <row r="264" spans="1:24" hidden="1" x14ac:dyDescent="0.3">
      <c r="A264" s="1">
        <v>2026</v>
      </c>
      <c r="B264" s="52">
        <v>46143</v>
      </c>
      <c r="C264" s="1">
        <v>31</v>
      </c>
      <c r="D264" s="1" t="str">
        <f>+Precios!C264</f>
        <v>jue</v>
      </c>
      <c r="E264" s="5">
        <f>+Precios!D264</f>
        <v>46170</v>
      </c>
      <c r="F264" s="77">
        <v>1847.5958333333335</v>
      </c>
      <c r="G264" s="77">
        <v>236.11041666666665</v>
      </c>
      <c r="H264" s="77">
        <v>351.11541666666659</v>
      </c>
      <c r="I264" s="77">
        <v>1510.4243958333334</v>
      </c>
      <c r="J264" s="77">
        <v>1296.1624999999999</v>
      </c>
      <c r="K264" s="77">
        <v>996.77624999999819</v>
      </c>
      <c r="L264" s="77">
        <v>2789.6162499999796</v>
      </c>
      <c r="M264" s="77">
        <v>1057.1770833333333</v>
      </c>
      <c r="N264" s="78">
        <f t="shared" si="23"/>
        <v>10084.978145833313</v>
      </c>
      <c r="O264" s="1">
        <v>1500</v>
      </c>
      <c r="P264" s="77">
        <v>896.7</v>
      </c>
      <c r="Q264" s="77">
        <v>968.65125</v>
      </c>
      <c r="R264" s="77">
        <v>3682.2</v>
      </c>
      <c r="S264" s="77">
        <v>1755</v>
      </c>
      <c r="T264" s="77">
        <v>0</v>
      </c>
      <c r="U264" s="77">
        <v>5486.2699999999995</v>
      </c>
      <c r="V264" s="77">
        <v>0</v>
      </c>
      <c r="W264" s="79">
        <f t="shared" si="24"/>
        <v>14288.821250000001</v>
      </c>
      <c r="X264" s="88"/>
    </row>
    <row r="265" spans="1:24" hidden="1" x14ac:dyDescent="0.3">
      <c r="A265" s="1">
        <v>2026</v>
      </c>
      <c r="B265" s="52">
        <v>46143</v>
      </c>
      <c r="C265" s="1">
        <v>31</v>
      </c>
      <c r="D265" s="1" t="str">
        <f>+Precios!C265</f>
        <v>vie</v>
      </c>
      <c r="E265" s="5">
        <f>+Precios!D265</f>
        <v>46171</v>
      </c>
      <c r="F265" s="77">
        <v>1608.37375</v>
      </c>
      <c r="G265" s="77">
        <v>525.1925</v>
      </c>
      <c r="H265" s="77">
        <v>335.4583333333332</v>
      </c>
      <c r="I265" s="77">
        <v>1361.8432083333335</v>
      </c>
      <c r="J265" s="77">
        <v>1297.10625</v>
      </c>
      <c r="K265" s="77">
        <v>1120.9683333333298</v>
      </c>
      <c r="L265" s="77">
        <v>2634.0720833333389</v>
      </c>
      <c r="M265" s="77">
        <v>1153.0437499999996</v>
      </c>
      <c r="N265" s="78">
        <f t="shared" si="23"/>
        <v>10036.058208333334</v>
      </c>
      <c r="O265" s="1">
        <v>1500</v>
      </c>
      <c r="P265" s="77">
        <v>892.5</v>
      </c>
      <c r="Q265" s="77">
        <v>970.53250000000003</v>
      </c>
      <c r="R265" s="77">
        <v>3634.34375</v>
      </c>
      <c r="S265" s="77">
        <v>1755</v>
      </c>
      <c r="T265" s="77">
        <v>0</v>
      </c>
      <c r="U265" s="77">
        <v>5624.8062500000005</v>
      </c>
      <c r="V265" s="77">
        <v>0</v>
      </c>
      <c r="W265" s="79">
        <f t="shared" si="24"/>
        <v>14377.182500000003</v>
      </c>
      <c r="X265" s="88"/>
    </row>
    <row r="266" spans="1:24" hidden="1" x14ac:dyDescent="0.3">
      <c r="A266" s="1">
        <v>2026</v>
      </c>
      <c r="B266" s="52">
        <v>46143</v>
      </c>
      <c r="C266" s="1">
        <v>31</v>
      </c>
      <c r="D266" s="1" t="str">
        <f>+Precios!C266</f>
        <v>sáb</v>
      </c>
      <c r="E266" s="5">
        <f>+Precios!D266</f>
        <v>46172</v>
      </c>
      <c r="F266" s="77">
        <v>1431.2479166666669</v>
      </c>
      <c r="G266" s="77">
        <v>316.99333333333328</v>
      </c>
      <c r="H266" s="77">
        <v>356.89541666666668</v>
      </c>
      <c r="I266" s="77">
        <v>1301.8443749999999</v>
      </c>
      <c r="J266" s="77">
        <v>1296.6233333333337</v>
      </c>
      <c r="K266" s="77">
        <v>1127.0024999999985</v>
      </c>
      <c r="L266" s="77">
        <v>2173.0725000000079</v>
      </c>
      <c r="M266" s="77">
        <v>1196.2087500000005</v>
      </c>
      <c r="N266" s="78">
        <f t="shared" si="23"/>
        <v>9199.8881250000068</v>
      </c>
      <c r="O266" s="1">
        <v>1500</v>
      </c>
      <c r="P266" s="77">
        <v>885.15000000000009</v>
      </c>
      <c r="Q266" s="77">
        <v>984.09500000000003</v>
      </c>
      <c r="R266" s="77">
        <v>3633.3937499999997</v>
      </c>
      <c r="S266" s="77">
        <v>1755</v>
      </c>
      <c r="T266" s="77">
        <v>0</v>
      </c>
      <c r="U266" s="77">
        <v>5703.8566666666684</v>
      </c>
      <c r="V266" s="77">
        <v>0</v>
      </c>
      <c r="W266" s="79">
        <f t="shared" si="24"/>
        <v>14461.495416666668</v>
      </c>
      <c r="X266" s="88"/>
    </row>
    <row r="267" spans="1:24" hidden="1" x14ac:dyDescent="0.3">
      <c r="A267" s="1">
        <v>2026</v>
      </c>
      <c r="B267" s="52">
        <v>46143</v>
      </c>
      <c r="C267" s="1">
        <v>31</v>
      </c>
      <c r="D267" s="1" t="str">
        <f>+Precios!C267</f>
        <v>dom</v>
      </c>
      <c r="E267" s="5">
        <f>+Precios!D267</f>
        <v>46173</v>
      </c>
      <c r="F267" s="77">
        <v>1229.7508333333335</v>
      </c>
      <c r="G267" s="77">
        <v>237.02083333333337</v>
      </c>
      <c r="H267" s="77">
        <v>305.39124999999973</v>
      </c>
      <c r="I267" s="77">
        <v>1016.1805624999998</v>
      </c>
      <c r="J267" s="77">
        <v>1296.5995833333334</v>
      </c>
      <c r="K267" s="77">
        <v>1146.8525000000025</v>
      </c>
      <c r="L267" s="77">
        <v>2169.0374999999985</v>
      </c>
      <c r="M267" s="77">
        <v>1138.4820833333333</v>
      </c>
      <c r="N267" s="78">
        <f t="shared" ref="N267:N288" si="26">+SUM(F267:M267)</f>
        <v>8539.3151458333341</v>
      </c>
      <c r="O267" s="1">
        <v>1500</v>
      </c>
      <c r="P267" s="77">
        <v>878.32500000000005</v>
      </c>
      <c r="Q267" s="77">
        <v>976.3075</v>
      </c>
      <c r="R267" s="77">
        <v>3663.2</v>
      </c>
      <c r="S267" s="77">
        <v>1755</v>
      </c>
      <c r="T267" s="77">
        <v>0</v>
      </c>
      <c r="U267" s="77">
        <v>5722.420000000001</v>
      </c>
      <c r="V267" s="77">
        <v>0</v>
      </c>
      <c r="W267" s="79">
        <f t="shared" ref="W267" si="27">+SUM(O267:V267)</f>
        <v>14495.252500000002</v>
      </c>
      <c r="X267" s="88"/>
    </row>
    <row r="268" spans="1:24" hidden="1" x14ac:dyDescent="0.3">
      <c r="A268" s="1">
        <v>2026</v>
      </c>
      <c r="B268" s="52">
        <v>46174</v>
      </c>
      <c r="C268" s="1">
        <v>30</v>
      </c>
      <c r="D268" s="1" t="str">
        <f>+Precios!C268</f>
        <v>lun</v>
      </c>
      <c r="E268" s="5">
        <f>+Precios!D268</f>
        <v>46174</v>
      </c>
      <c r="F268" s="77">
        <v>1536.3529166666669</v>
      </c>
      <c r="G268" s="77">
        <v>272.12458333333331</v>
      </c>
      <c r="H268" s="77">
        <v>234.2779166666667</v>
      </c>
      <c r="I268" s="77">
        <v>958.99016666666648</v>
      </c>
      <c r="J268" s="77">
        <v>1295.7379166666667</v>
      </c>
      <c r="K268" s="77">
        <v>1459.702916666665</v>
      </c>
      <c r="L268" s="77">
        <v>2380.3679166666611</v>
      </c>
      <c r="M268" s="77">
        <v>1156.2479166666665</v>
      </c>
      <c r="N268" s="78">
        <f t="shared" si="26"/>
        <v>9293.8022499999934</v>
      </c>
      <c r="O268" s="1">
        <v>1500</v>
      </c>
      <c r="P268" s="77">
        <v>878.32500000000005</v>
      </c>
      <c r="Q268" s="77">
        <v>980.6825</v>
      </c>
      <c r="R268" s="77">
        <v>3664.1499999999996</v>
      </c>
      <c r="S268" s="77">
        <v>1755</v>
      </c>
      <c r="T268" s="77">
        <v>0</v>
      </c>
      <c r="U268" s="77">
        <v>5747.8980416666682</v>
      </c>
      <c r="V268" s="77">
        <v>0</v>
      </c>
      <c r="W268" s="79">
        <f t="shared" ref="W268:W276" si="28">+SUM(O268:V268)</f>
        <v>14526.055541666668</v>
      </c>
      <c r="X268" s="88"/>
    </row>
    <row r="269" spans="1:24" hidden="1" x14ac:dyDescent="0.3">
      <c r="A269" s="1">
        <v>2026</v>
      </c>
      <c r="B269" s="52">
        <v>46174</v>
      </c>
      <c r="C269" s="1">
        <v>30</v>
      </c>
      <c r="D269" s="1" t="str">
        <f>+Precios!C269</f>
        <v>mar</v>
      </c>
      <c r="E269" s="5">
        <f>+Precios!D269</f>
        <v>46175</v>
      </c>
      <c r="F269" s="77">
        <v>1688.7245833333334</v>
      </c>
      <c r="G269" s="77">
        <v>271.87458333333331</v>
      </c>
      <c r="H269" s="77">
        <v>212.94916666666677</v>
      </c>
      <c r="I269" s="77">
        <v>481.69195833333322</v>
      </c>
      <c r="J269" s="77">
        <v>1295.4604166666666</v>
      </c>
      <c r="K269" s="77">
        <v>1675.1633333333309</v>
      </c>
      <c r="L269" s="77">
        <v>2516.8183333333341</v>
      </c>
      <c r="M269" s="77">
        <v>1212.2520833333331</v>
      </c>
      <c r="N269" s="78">
        <f t="shared" si="26"/>
        <v>9354.9344583333313</v>
      </c>
      <c r="O269" s="1">
        <v>1500</v>
      </c>
      <c r="P269" s="77">
        <v>878.32500000000005</v>
      </c>
      <c r="Q269" s="77">
        <v>982.57468749999998</v>
      </c>
      <c r="R269" s="77">
        <v>3663.2</v>
      </c>
      <c r="S269" s="77">
        <v>1755</v>
      </c>
      <c r="T269" s="77">
        <v>0</v>
      </c>
      <c r="U269" s="77">
        <v>5713.0625000000018</v>
      </c>
      <c r="V269" s="77">
        <v>0</v>
      </c>
      <c r="W269" s="79">
        <f t="shared" si="28"/>
        <v>14492.162187500002</v>
      </c>
      <c r="X269" s="88"/>
    </row>
    <row r="270" spans="1:24" hidden="1" x14ac:dyDescent="0.3">
      <c r="A270" s="1">
        <v>2026</v>
      </c>
      <c r="B270" s="52">
        <v>46174</v>
      </c>
      <c r="C270" s="1">
        <v>30</v>
      </c>
      <c r="D270" s="1" t="str">
        <f>+Precios!C270</f>
        <v>mié</v>
      </c>
      <c r="E270" s="5">
        <f>+Precios!D270</f>
        <v>46176</v>
      </c>
      <c r="F270" s="77">
        <v>1669.253333333334</v>
      </c>
      <c r="G270" s="77">
        <v>186.54083333333335</v>
      </c>
      <c r="H270" s="77">
        <v>209.75916666666672</v>
      </c>
      <c r="I270" s="77">
        <v>463.21524999999997</v>
      </c>
      <c r="J270" s="77">
        <v>1289.0183333333337</v>
      </c>
      <c r="K270" s="77">
        <v>1713.1966666666615</v>
      </c>
      <c r="L270" s="77">
        <v>2487.7233333333297</v>
      </c>
      <c r="M270" s="77">
        <v>1029.8500000000001</v>
      </c>
      <c r="N270" s="78">
        <f t="shared" si="26"/>
        <v>9048.5569166666592</v>
      </c>
      <c r="O270" s="1">
        <v>1500</v>
      </c>
      <c r="P270" s="77">
        <v>878.32500000000005</v>
      </c>
      <c r="Q270" s="77">
        <v>983.92</v>
      </c>
      <c r="R270" s="77">
        <v>3663.2</v>
      </c>
      <c r="S270" s="77">
        <v>1755</v>
      </c>
      <c r="T270" s="77">
        <v>0</v>
      </c>
      <c r="U270" s="77">
        <v>5827.4191250000013</v>
      </c>
      <c r="V270" s="77">
        <v>0</v>
      </c>
      <c r="W270" s="79">
        <f t="shared" si="28"/>
        <v>14607.864125</v>
      </c>
      <c r="X270" s="88"/>
    </row>
    <row r="271" spans="1:24" hidden="1" x14ac:dyDescent="0.3">
      <c r="A271" s="1">
        <v>2026</v>
      </c>
      <c r="B271" s="52">
        <v>46174</v>
      </c>
      <c r="C271" s="1">
        <v>30</v>
      </c>
      <c r="D271" s="1" t="str">
        <f>+Precios!C271</f>
        <v>jue</v>
      </c>
      <c r="E271" s="5">
        <f>+Precios!D271</f>
        <v>46177</v>
      </c>
      <c r="F271" s="77">
        <v>1766.8916666666667</v>
      </c>
      <c r="G271" s="77">
        <v>238.26166666666666</v>
      </c>
      <c r="H271" s="77">
        <v>295.00541666666646</v>
      </c>
      <c r="I271" s="77">
        <v>1009.8598958333333</v>
      </c>
      <c r="J271" s="77">
        <v>683.14333333333332</v>
      </c>
      <c r="K271" s="77">
        <v>620.58208333333187</v>
      </c>
      <c r="L271" s="77">
        <v>2964.3066666666541</v>
      </c>
      <c r="M271" s="77">
        <v>1152.9412499999999</v>
      </c>
      <c r="N271" s="78">
        <f t="shared" si="26"/>
        <v>8730.9919791666525</v>
      </c>
      <c r="O271" s="1">
        <v>1500</v>
      </c>
      <c r="P271" s="77">
        <v>878.32500000000005</v>
      </c>
      <c r="Q271" s="77">
        <v>976.70124999999996</v>
      </c>
      <c r="R271" s="77">
        <v>3663.2</v>
      </c>
      <c r="S271" s="77">
        <v>1755</v>
      </c>
      <c r="T271" s="77">
        <v>0</v>
      </c>
      <c r="U271" s="77">
        <v>5846.3021666666682</v>
      </c>
      <c r="V271" s="77">
        <v>0</v>
      </c>
      <c r="W271" s="79">
        <f t="shared" si="28"/>
        <v>14619.528416666668</v>
      </c>
      <c r="X271" s="88"/>
    </row>
    <row r="272" spans="1:24" hidden="1" x14ac:dyDescent="0.3">
      <c r="A272" s="1">
        <v>2026</v>
      </c>
      <c r="B272" s="52">
        <v>46174</v>
      </c>
      <c r="C272" s="1">
        <v>30</v>
      </c>
      <c r="D272" s="1" t="str">
        <f>+Precios!C272</f>
        <v>vie</v>
      </c>
      <c r="E272" s="5">
        <f>+Precios!D272</f>
        <v>46178</v>
      </c>
      <c r="F272" s="77">
        <v>1697.2658333333331</v>
      </c>
      <c r="G272" s="77">
        <v>95.412500000000009</v>
      </c>
      <c r="H272" s="77">
        <v>334.06374999999986</v>
      </c>
      <c r="I272" s="77">
        <v>753.99164583333322</v>
      </c>
      <c r="J272" s="77">
        <v>683.87083333333328</v>
      </c>
      <c r="K272" s="77">
        <v>751.52916666666749</v>
      </c>
      <c r="L272" s="77">
        <v>2892.5533333333265</v>
      </c>
      <c r="M272" s="77">
        <v>1391.2366666666667</v>
      </c>
      <c r="N272" s="78">
        <f t="shared" si="26"/>
        <v>8599.9237291666614</v>
      </c>
      <c r="O272" s="1">
        <v>1500</v>
      </c>
      <c r="P272" s="77">
        <v>872.55000000000007</v>
      </c>
      <c r="Q272" s="77">
        <v>971.03650000000005</v>
      </c>
      <c r="R272" s="77">
        <v>3663.2</v>
      </c>
      <c r="S272" s="77">
        <v>1755</v>
      </c>
      <c r="T272" s="77">
        <v>0</v>
      </c>
      <c r="U272" s="77">
        <v>5838.2906666666677</v>
      </c>
      <c r="V272" s="77">
        <v>0</v>
      </c>
      <c r="W272" s="79">
        <f t="shared" si="28"/>
        <v>14600.077166666668</v>
      </c>
      <c r="X272" s="88"/>
    </row>
    <row r="273" spans="1:24" hidden="1" x14ac:dyDescent="0.3">
      <c r="A273" s="1">
        <v>2026</v>
      </c>
      <c r="B273" s="52">
        <v>46174</v>
      </c>
      <c r="C273" s="1">
        <v>30</v>
      </c>
      <c r="D273" s="1" t="str">
        <f>+Precios!C273</f>
        <v>sáb</v>
      </c>
      <c r="E273" s="5">
        <f>+Precios!D273</f>
        <v>46179</v>
      </c>
      <c r="F273" s="77">
        <v>1382.8</v>
      </c>
      <c r="G273" s="77">
        <v>72.706666666666663</v>
      </c>
      <c r="H273" s="77">
        <v>234.2616666666668</v>
      </c>
      <c r="I273" s="77">
        <v>648.44783333333328</v>
      </c>
      <c r="J273" s="77">
        <v>683.69958333333318</v>
      </c>
      <c r="K273" s="77">
        <v>835.4145833333323</v>
      </c>
      <c r="L273" s="77">
        <v>2693.9783333333221</v>
      </c>
      <c r="M273" s="77">
        <v>1161.6825000000001</v>
      </c>
      <c r="N273" s="78">
        <f t="shared" si="26"/>
        <v>7712.991166666654</v>
      </c>
      <c r="O273" s="1">
        <v>1500</v>
      </c>
      <c r="P273" s="77">
        <v>725.42640625000001</v>
      </c>
      <c r="Q273" s="77">
        <v>972.32625000000007</v>
      </c>
      <c r="R273" s="77">
        <v>3663.2</v>
      </c>
      <c r="S273" s="77">
        <v>1755</v>
      </c>
      <c r="T273" s="77">
        <v>0</v>
      </c>
      <c r="U273" s="77">
        <v>5793.1971250000015</v>
      </c>
      <c r="V273" s="77">
        <v>0</v>
      </c>
      <c r="W273" s="79">
        <f t="shared" si="28"/>
        <v>14409.149781250002</v>
      </c>
      <c r="X273" s="88"/>
    </row>
    <row r="274" spans="1:24" hidden="1" x14ac:dyDescent="0.3">
      <c r="A274" s="1">
        <v>2026</v>
      </c>
      <c r="B274" s="52">
        <v>46174</v>
      </c>
      <c r="C274" s="1">
        <v>30</v>
      </c>
      <c r="D274" s="1" t="str">
        <f>+Precios!C274</f>
        <v>dom</v>
      </c>
      <c r="E274" s="5">
        <f>+Precios!D274</f>
        <v>46180</v>
      </c>
      <c r="F274" s="77">
        <v>1210.7645833333333</v>
      </c>
      <c r="G274" s="77">
        <v>148.9029166666667</v>
      </c>
      <c r="H274" s="77">
        <v>182.55791666666667</v>
      </c>
      <c r="I274" s="77">
        <v>592.62227083333323</v>
      </c>
      <c r="J274" s="77">
        <v>1082.2720833333333</v>
      </c>
      <c r="K274" s="77">
        <v>843.46416666666653</v>
      </c>
      <c r="L274" s="77">
        <v>2080.697916666662</v>
      </c>
      <c r="M274" s="77">
        <v>1202.4320833333331</v>
      </c>
      <c r="N274" s="78">
        <f t="shared" si="26"/>
        <v>7343.7139374999952</v>
      </c>
      <c r="O274" s="1">
        <v>1500</v>
      </c>
      <c r="P274" s="77">
        <v>878.32500000000005</v>
      </c>
      <c r="Q274" s="77">
        <v>956.73068749999993</v>
      </c>
      <c r="R274" s="77">
        <v>3545.7697083333333</v>
      </c>
      <c r="S274" s="77">
        <v>1755</v>
      </c>
      <c r="T274" s="77">
        <v>0</v>
      </c>
      <c r="U274" s="77">
        <v>5618.8385000000017</v>
      </c>
      <c r="V274" s="77">
        <v>0</v>
      </c>
      <c r="W274" s="79">
        <f t="shared" si="28"/>
        <v>14254.663895833335</v>
      </c>
      <c r="X274" s="88"/>
    </row>
    <row r="275" spans="1:24" hidden="1" x14ac:dyDescent="0.3">
      <c r="A275" s="1">
        <v>2026</v>
      </c>
      <c r="B275" s="52">
        <v>46174</v>
      </c>
      <c r="C275" s="1">
        <v>30</v>
      </c>
      <c r="D275" s="1" t="str">
        <f>+Precios!C275</f>
        <v>lun</v>
      </c>
      <c r="E275" s="5">
        <f>+Precios!D275</f>
        <v>46181</v>
      </c>
      <c r="F275" s="77">
        <v>1414.58125</v>
      </c>
      <c r="G275" s="77">
        <v>262.23874999999992</v>
      </c>
      <c r="H275" s="77">
        <v>306.3287499999999</v>
      </c>
      <c r="I275" s="77">
        <v>940.25774999999987</v>
      </c>
      <c r="J275" s="77">
        <v>1303.3249999999998</v>
      </c>
      <c r="K275" s="77">
        <v>885.38583333333406</v>
      </c>
      <c r="L275" s="77">
        <v>2659.4133333333261</v>
      </c>
      <c r="M275" s="77">
        <v>1212.4733333333331</v>
      </c>
      <c r="N275" s="78">
        <f t="shared" si="26"/>
        <v>8984.0039999999935</v>
      </c>
      <c r="O275" s="1">
        <v>1500</v>
      </c>
      <c r="P275" s="77">
        <v>878.85</v>
      </c>
      <c r="Q275" s="77">
        <v>909.42691875000003</v>
      </c>
      <c r="R275" s="77">
        <v>3644.2</v>
      </c>
      <c r="S275" s="77">
        <v>1755</v>
      </c>
      <c r="T275" s="77">
        <v>0</v>
      </c>
      <c r="U275" s="77">
        <v>5836.6439166666678</v>
      </c>
      <c r="V275" s="77">
        <v>0</v>
      </c>
      <c r="W275" s="79">
        <f t="shared" si="28"/>
        <v>14524.120835416667</v>
      </c>
      <c r="X275" s="88"/>
    </row>
    <row r="276" spans="1:24" hidden="1" x14ac:dyDescent="0.3">
      <c r="A276" s="1">
        <v>2026</v>
      </c>
      <c r="B276" s="52">
        <v>46174</v>
      </c>
      <c r="C276" s="1">
        <v>30</v>
      </c>
      <c r="D276" s="1" t="str">
        <f>+Precios!C276</f>
        <v>mar</v>
      </c>
      <c r="E276" s="5">
        <f>+Precios!D276</f>
        <v>46182</v>
      </c>
      <c r="F276" s="77">
        <v>1396.2891666666667</v>
      </c>
      <c r="G276" s="77">
        <v>257.53958333333333</v>
      </c>
      <c r="H276" s="77">
        <v>312.66083333333319</v>
      </c>
      <c r="I276" s="77">
        <v>929.8299166666668</v>
      </c>
      <c r="J276" s="77">
        <v>1300.823333333333</v>
      </c>
      <c r="K276" s="77">
        <v>1252.095833333329</v>
      </c>
      <c r="L276" s="77">
        <v>2571.3891666666623</v>
      </c>
      <c r="M276" s="77">
        <v>1201.403333333333</v>
      </c>
      <c r="N276" s="78">
        <f t="shared" si="26"/>
        <v>9222.0311666666585</v>
      </c>
      <c r="O276" s="1">
        <v>1500</v>
      </c>
      <c r="P276" s="77">
        <v>860.49184375000004</v>
      </c>
      <c r="Q276" s="77">
        <v>970.75125000000003</v>
      </c>
      <c r="R276" s="77">
        <v>3645.1499999999996</v>
      </c>
      <c r="S276" s="77">
        <v>1755</v>
      </c>
      <c r="T276" s="77">
        <v>0</v>
      </c>
      <c r="U276" s="77">
        <v>5875.380250000002</v>
      </c>
      <c r="V276" s="77">
        <v>0</v>
      </c>
      <c r="W276" s="79">
        <f t="shared" si="28"/>
        <v>14606.773343750003</v>
      </c>
      <c r="X276" s="88"/>
    </row>
    <row r="277" spans="1:24" hidden="1" x14ac:dyDescent="0.3">
      <c r="A277" s="1">
        <v>2026</v>
      </c>
      <c r="B277" s="52">
        <v>46174</v>
      </c>
      <c r="C277" s="1">
        <v>30</v>
      </c>
      <c r="D277" s="1" t="str">
        <f>+Precios!C277</f>
        <v>mié</v>
      </c>
      <c r="E277" s="5">
        <f>+Precios!D277</f>
        <v>46183</v>
      </c>
      <c r="F277" s="77">
        <v>1764.7349999999999</v>
      </c>
      <c r="G277" s="77">
        <v>397.56208333333331</v>
      </c>
      <c r="H277" s="77">
        <v>277.54333333333324</v>
      </c>
      <c r="I277" s="77">
        <v>750.19520833333331</v>
      </c>
      <c r="J277" s="77">
        <v>1303.4245833333332</v>
      </c>
      <c r="K277" s="77">
        <v>1835.1666666666613</v>
      </c>
      <c r="L277" s="77">
        <v>2484.612916666661</v>
      </c>
      <c r="M277" s="77">
        <v>700.91541666666626</v>
      </c>
      <c r="N277" s="78">
        <f t="shared" si="26"/>
        <v>9514.1552083333227</v>
      </c>
      <c r="O277" s="1">
        <v>1500</v>
      </c>
      <c r="P277" s="77">
        <v>864.15000000000009</v>
      </c>
      <c r="Q277" s="77">
        <v>963.91006250000009</v>
      </c>
      <c r="R277" s="77">
        <v>3644.2</v>
      </c>
      <c r="S277" s="77">
        <v>1755</v>
      </c>
      <c r="T277" s="77">
        <v>0</v>
      </c>
      <c r="U277" s="77">
        <v>5871.226333333334</v>
      </c>
      <c r="V277" s="77">
        <v>0</v>
      </c>
      <c r="W277" s="79">
        <f t="shared" ref="W277:W288" si="29">+SUM(O277:V277)</f>
        <v>14598.486395833334</v>
      </c>
      <c r="X277" s="88"/>
    </row>
    <row r="278" spans="1:24" hidden="1" x14ac:dyDescent="0.3">
      <c r="A278" s="1">
        <v>2026</v>
      </c>
      <c r="B278" s="52">
        <v>46174</v>
      </c>
      <c r="C278" s="1">
        <v>30</v>
      </c>
      <c r="D278" s="1" t="str">
        <f>+Precios!C278</f>
        <v>jue</v>
      </c>
      <c r="E278" s="5">
        <f>+Precios!D278</f>
        <v>46184</v>
      </c>
      <c r="F278" s="77">
        <v>1753.2737499999996</v>
      </c>
      <c r="G278" s="77">
        <v>187.51958333333332</v>
      </c>
      <c r="H278" s="77">
        <v>249.93916666666641</v>
      </c>
      <c r="I278" s="77">
        <v>725.90093749999983</v>
      </c>
      <c r="J278" s="77">
        <v>1304.0208333333337</v>
      </c>
      <c r="K278" s="77">
        <v>1703.643333333335</v>
      </c>
      <c r="L278" s="77">
        <v>2394.886250000005</v>
      </c>
      <c r="M278" s="77">
        <v>885.08</v>
      </c>
      <c r="N278" s="78">
        <f t="shared" si="26"/>
        <v>9204.2638541666729</v>
      </c>
      <c r="O278" s="1">
        <v>1500</v>
      </c>
      <c r="P278" s="77">
        <v>847.12578125000005</v>
      </c>
      <c r="Q278" s="77">
        <v>962.95106250000003</v>
      </c>
      <c r="R278" s="77">
        <v>3644.2</v>
      </c>
      <c r="S278" s="77">
        <v>1755</v>
      </c>
      <c r="T278" s="77">
        <v>0</v>
      </c>
      <c r="U278" s="77">
        <v>5857.4937916666677</v>
      </c>
      <c r="V278" s="77">
        <v>0</v>
      </c>
      <c r="W278" s="79">
        <f t="shared" si="29"/>
        <v>14566.770635416668</v>
      </c>
      <c r="X278" s="88"/>
    </row>
    <row r="279" spans="1:24" hidden="1" x14ac:dyDescent="0.3">
      <c r="A279" s="1">
        <v>2026</v>
      </c>
      <c r="B279" s="52">
        <v>46174</v>
      </c>
      <c r="C279" s="1">
        <v>30</v>
      </c>
      <c r="D279" s="1" t="str">
        <f>+Precios!C279</f>
        <v>vie</v>
      </c>
      <c r="E279" s="5">
        <f>+Precios!D279</f>
        <v>46185</v>
      </c>
      <c r="F279" s="77">
        <v>1773.6779166666665</v>
      </c>
      <c r="G279" s="77">
        <v>145.91416666666666</v>
      </c>
      <c r="H279" s="77">
        <v>213.12291666666658</v>
      </c>
      <c r="I279" s="77">
        <v>273.66412500000001</v>
      </c>
      <c r="J279" s="77">
        <v>1304.1537500000002</v>
      </c>
      <c r="K279" s="77">
        <v>2188.0574999999994</v>
      </c>
      <c r="L279" s="77">
        <v>2230.9649999999988</v>
      </c>
      <c r="M279" s="77">
        <v>970.03041666666695</v>
      </c>
      <c r="N279" s="78">
        <f t="shared" si="26"/>
        <v>9099.5857916666646</v>
      </c>
      <c r="O279" s="1">
        <v>1500</v>
      </c>
      <c r="P279" s="77">
        <v>857.85</v>
      </c>
      <c r="Q279" s="77">
        <v>979.37</v>
      </c>
      <c r="R279" s="77">
        <v>3625.2</v>
      </c>
      <c r="S279" s="77">
        <v>1755</v>
      </c>
      <c r="T279" s="77">
        <v>0</v>
      </c>
      <c r="U279" s="77">
        <v>5839.5180833333343</v>
      </c>
      <c r="V279" s="77">
        <v>0</v>
      </c>
      <c r="W279" s="79">
        <f t="shared" si="29"/>
        <v>14556.938083333334</v>
      </c>
      <c r="X279" s="88"/>
    </row>
    <row r="280" spans="1:24" hidden="1" x14ac:dyDescent="0.3">
      <c r="A280" s="1">
        <v>2026</v>
      </c>
      <c r="B280" s="52">
        <v>46174</v>
      </c>
      <c r="C280" s="1">
        <v>30</v>
      </c>
      <c r="D280" s="1" t="str">
        <f>+Precios!C280</f>
        <v>sáb</v>
      </c>
      <c r="E280" s="5">
        <f>+Precios!D280</f>
        <v>46186</v>
      </c>
      <c r="F280" s="77">
        <v>1769.876666666667</v>
      </c>
      <c r="G280" s="77">
        <v>281.34958333333333</v>
      </c>
      <c r="H280" s="77">
        <v>221.13666666666666</v>
      </c>
      <c r="I280" s="77">
        <v>573.91954166666665</v>
      </c>
      <c r="J280" s="77">
        <v>1299.2283333333332</v>
      </c>
      <c r="K280" s="77">
        <v>1627.5662499999944</v>
      </c>
      <c r="L280" s="77">
        <v>2322.7141666666612</v>
      </c>
      <c r="M280" s="77">
        <v>1214.440416666667</v>
      </c>
      <c r="N280" s="78">
        <f t="shared" si="26"/>
        <v>9310.2316249999894</v>
      </c>
      <c r="O280" s="1">
        <v>1500</v>
      </c>
      <c r="P280" s="77">
        <v>864.15000000000009</v>
      </c>
      <c r="Q280" s="77">
        <v>978.0575</v>
      </c>
      <c r="R280" s="77">
        <v>3626.1499999999996</v>
      </c>
      <c r="S280" s="77">
        <v>1755</v>
      </c>
      <c r="T280" s="77">
        <v>0</v>
      </c>
      <c r="U280" s="77">
        <v>5864.3850833333336</v>
      </c>
      <c r="V280" s="77">
        <v>0</v>
      </c>
      <c r="W280" s="79">
        <f t="shared" si="29"/>
        <v>14587.742583333333</v>
      </c>
      <c r="X280" s="88"/>
    </row>
    <row r="281" spans="1:24" hidden="1" x14ac:dyDescent="0.3">
      <c r="A281" s="1">
        <v>2026</v>
      </c>
      <c r="B281" s="52">
        <v>46174</v>
      </c>
      <c r="C281" s="1">
        <v>30</v>
      </c>
      <c r="D281" s="1" t="str">
        <f>+Precios!C281</f>
        <v>dom</v>
      </c>
      <c r="E281" s="5">
        <f>+Precios!D281</f>
        <v>46187</v>
      </c>
      <c r="F281" s="77">
        <v>1394.1779166666663</v>
      </c>
      <c r="G281" s="77">
        <v>241.17</v>
      </c>
      <c r="H281" s="77">
        <v>231.97166666666647</v>
      </c>
      <c r="I281" s="77">
        <v>596.48085416666663</v>
      </c>
      <c r="J281" s="77">
        <v>1303.0879166666671</v>
      </c>
      <c r="K281" s="77">
        <v>1792.9891666666615</v>
      </c>
      <c r="L281" s="77">
        <v>2244.6762499999945</v>
      </c>
      <c r="M281" s="77">
        <v>1260.7574999999999</v>
      </c>
      <c r="N281" s="78">
        <f t="shared" si="26"/>
        <v>9065.3112708333229</v>
      </c>
      <c r="O281" s="1">
        <v>1500</v>
      </c>
      <c r="P281" s="77">
        <v>864.15000000000009</v>
      </c>
      <c r="Q281" s="77">
        <v>940.66656250000005</v>
      </c>
      <c r="R281" s="77">
        <v>3626.1499999999996</v>
      </c>
      <c r="S281" s="77">
        <v>1755</v>
      </c>
      <c r="T281" s="77">
        <v>0</v>
      </c>
      <c r="U281" s="77">
        <v>5840.3218750000005</v>
      </c>
      <c r="V281" s="77">
        <v>0</v>
      </c>
      <c r="W281" s="79">
        <f t="shared" si="29"/>
        <v>14526.288437499999</v>
      </c>
      <c r="X281" s="88"/>
    </row>
    <row r="282" spans="1:24" hidden="1" x14ac:dyDescent="0.3">
      <c r="A282" s="1">
        <v>2026</v>
      </c>
      <c r="B282" s="52">
        <v>46174</v>
      </c>
      <c r="C282" s="1">
        <v>30</v>
      </c>
      <c r="D282" s="1" t="str">
        <f>+Precios!C282</f>
        <v>lun</v>
      </c>
      <c r="E282" s="5">
        <f>+Precios!D282</f>
        <v>46188</v>
      </c>
      <c r="F282" s="77">
        <v>1452.7458333333334</v>
      </c>
      <c r="G282" s="77">
        <v>358.60916666666668</v>
      </c>
      <c r="H282" s="77">
        <v>243.36333333333326</v>
      </c>
      <c r="I282" s="77">
        <v>768.90229166666654</v>
      </c>
      <c r="J282" s="77">
        <v>1302.4275</v>
      </c>
      <c r="K282" s="77">
        <v>1973.2249999999933</v>
      </c>
      <c r="L282" s="77">
        <v>2484.1749999999961</v>
      </c>
      <c r="M282" s="77">
        <v>1026.1308333333332</v>
      </c>
      <c r="N282" s="78">
        <f t="shared" si="26"/>
        <v>9609.5789583333208</v>
      </c>
      <c r="O282" s="1">
        <v>1500</v>
      </c>
      <c r="P282" s="77">
        <v>864.89375000000007</v>
      </c>
      <c r="Q282" s="77">
        <v>975.21375</v>
      </c>
      <c r="R282" s="77">
        <v>3613.3816041666664</v>
      </c>
      <c r="S282" s="77">
        <v>1755</v>
      </c>
      <c r="T282" s="77">
        <v>0</v>
      </c>
      <c r="U282" s="77">
        <v>5849.129249999999</v>
      </c>
      <c r="V282" s="77">
        <v>0</v>
      </c>
      <c r="W282" s="79">
        <f t="shared" si="29"/>
        <v>14557.618354166665</v>
      </c>
      <c r="X282" s="88"/>
    </row>
    <row r="283" spans="1:24" hidden="1" x14ac:dyDescent="0.3">
      <c r="A283" s="1">
        <v>2026</v>
      </c>
      <c r="B283" s="52">
        <v>46174</v>
      </c>
      <c r="C283" s="1">
        <v>30</v>
      </c>
      <c r="D283" s="1" t="str">
        <f>+Precios!C283</f>
        <v>mar</v>
      </c>
      <c r="E283" s="5">
        <f>+Precios!D283</f>
        <v>46189</v>
      </c>
      <c r="F283" s="77">
        <v>1714.2237499999999</v>
      </c>
      <c r="G283" s="77">
        <v>242.0625</v>
      </c>
      <c r="H283" s="77">
        <v>244.41708333333318</v>
      </c>
      <c r="I283" s="77">
        <v>800.34293749999995</v>
      </c>
      <c r="J283" s="77">
        <v>1303.3704166666669</v>
      </c>
      <c r="K283" s="77">
        <v>1748.3254166666638</v>
      </c>
      <c r="L283" s="77">
        <v>2453.6941666666667</v>
      </c>
      <c r="M283" s="77">
        <v>1147.3766666666666</v>
      </c>
      <c r="N283" s="78">
        <f t="shared" si="26"/>
        <v>9653.8129374999971</v>
      </c>
      <c r="O283" s="1">
        <v>1500</v>
      </c>
      <c r="P283" s="77">
        <v>877.80000000000007</v>
      </c>
      <c r="Q283" s="77">
        <v>975.69500000000005</v>
      </c>
      <c r="R283" s="77">
        <v>3550.4140208333329</v>
      </c>
      <c r="S283" s="77">
        <v>1755</v>
      </c>
      <c r="T283" s="77">
        <v>0</v>
      </c>
      <c r="U283" s="77">
        <v>5812.9757083333343</v>
      </c>
      <c r="V283" s="77">
        <v>0</v>
      </c>
      <c r="W283" s="79">
        <f t="shared" si="29"/>
        <v>14471.884729166668</v>
      </c>
      <c r="X283" s="88"/>
    </row>
    <row r="284" spans="1:24" hidden="1" x14ac:dyDescent="0.3">
      <c r="A284" s="1">
        <v>2026</v>
      </c>
      <c r="B284" s="52">
        <v>46174</v>
      </c>
      <c r="C284" s="1">
        <v>30</v>
      </c>
      <c r="D284" s="1" t="str">
        <f>+Precios!C284</f>
        <v>mié</v>
      </c>
      <c r="E284" s="5">
        <f>+Precios!D284</f>
        <v>46190</v>
      </c>
      <c r="F284" s="77">
        <v>1969.7779166666667</v>
      </c>
      <c r="G284" s="77">
        <v>452.87458333333331</v>
      </c>
      <c r="H284" s="77">
        <v>254.39041666666651</v>
      </c>
      <c r="I284" s="77">
        <v>874.09420833333331</v>
      </c>
      <c r="J284" s="77">
        <v>1301.2841666666664</v>
      </c>
      <c r="K284" s="77">
        <v>1519.9470833333362</v>
      </c>
      <c r="L284" s="77">
        <v>2664.7841666666604</v>
      </c>
      <c r="M284" s="77">
        <v>1054.7908333333335</v>
      </c>
      <c r="N284" s="78">
        <f t="shared" si="26"/>
        <v>10091.943374999995</v>
      </c>
      <c r="O284" s="1">
        <v>1500</v>
      </c>
      <c r="P284" s="77">
        <v>868.65625</v>
      </c>
      <c r="Q284" s="77">
        <v>978.53874999999994</v>
      </c>
      <c r="R284" s="77">
        <v>3393.6640208333329</v>
      </c>
      <c r="S284" s="77">
        <v>1755</v>
      </c>
      <c r="T284" s="77">
        <v>0</v>
      </c>
      <c r="U284" s="77">
        <v>5761.2221666666683</v>
      </c>
      <c r="V284" s="77">
        <v>0</v>
      </c>
      <c r="W284" s="79">
        <f t="shared" si="29"/>
        <v>14257.081187500002</v>
      </c>
      <c r="X284" s="88"/>
    </row>
    <row r="285" spans="1:24" hidden="1" x14ac:dyDescent="0.3">
      <c r="A285" s="1">
        <v>2026</v>
      </c>
      <c r="B285" s="52">
        <v>46174</v>
      </c>
      <c r="C285" s="1">
        <v>30</v>
      </c>
      <c r="D285" s="1" t="str">
        <f>+Precios!C285</f>
        <v>jue</v>
      </c>
      <c r="E285" s="5">
        <f>+Precios!D285</f>
        <v>46191</v>
      </c>
      <c r="F285" s="77">
        <v>1940.6075000000003</v>
      </c>
      <c r="G285" s="77">
        <v>371.22541666666666</v>
      </c>
      <c r="H285" s="77">
        <v>317.2304166666666</v>
      </c>
      <c r="I285" s="77">
        <v>1083.4718333333333</v>
      </c>
      <c r="J285" s="77">
        <v>1303.7879166666667</v>
      </c>
      <c r="K285" s="77">
        <v>1903.1070833333372</v>
      </c>
      <c r="L285" s="77">
        <v>2648.6337499999931</v>
      </c>
      <c r="M285" s="77">
        <v>1160.4475</v>
      </c>
      <c r="N285" s="78">
        <f t="shared" si="26"/>
        <v>10728.511416666664</v>
      </c>
      <c r="O285" s="1">
        <v>1500</v>
      </c>
      <c r="P285" s="77">
        <v>881.61062500000003</v>
      </c>
      <c r="Q285" s="77">
        <v>975.38874999999996</v>
      </c>
      <c r="R285" s="77">
        <v>3626.1499999999996</v>
      </c>
      <c r="S285" s="77">
        <v>1755</v>
      </c>
      <c r="T285" s="77">
        <v>0</v>
      </c>
      <c r="U285" s="77">
        <v>5746.609583333332</v>
      </c>
      <c r="V285" s="77">
        <v>0</v>
      </c>
      <c r="W285" s="79">
        <f t="shared" si="29"/>
        <v>14484.758958333332</v>
      </c>
      <c r="X285" s="88"/>
    </row>
    <row r="286" spans="1:24" hidden="1" x14ac:dyDescent="0.3">
      <c r="A286" s="1">
        <v>2026</v>
      </c>
      <c r="B286" s="52">
        <v>46174</v>
      </c>
      <c r="C286" s="1">
        <v>30</v>
      </c>
      <c r="D286" s="1" t="str">
        <f>+Precios!C286</f>
        <v>vie</v>
      </c>
      <c r="E286" s="5">
        <f>+Precios!D286</f>
        <v>46192</v>
      </c>
      <c r="F286" s="77">
        <v>1876.707916666667</v>
      </c>
      <c r="G286" s="77">
        <v>522.81375000000003</v>
      </c>
      <c r="H286" s="77">
        <v>345.70833333333354</v>
      </c>
      <c r="I286" s="77">
        <v>1260.8823541666666</v>
      </c>
      <c r="J286" s="77">
        <v>1308.9766666666665</v>
      </c>
      <c r="K286" s="77">
        <v>1455.735833333338</v>
      </c>
      <c r="L286" s="77">
        <v>2536.1654166666517</v>
      </c>
      <c r="M286" s="77">
        <v>1172.9004166666664</v>
      </c>
      <c r="N286" s="78">
        <f t="shared" si="26"/>
        <v>10479.890687499988</v>
      </c>
      <c r="O286" s="1">
        <v>1500</v>
      </c>
      <c r="P286" s="77">
        <v>886.72500000000002</v>
      </c>
      <c r="Q286" s="77">
        <v>974.42624999999998</v>
      </c>
      <c r="R286" s="77">
        <v>3626.1499999999996</v>
      </c>
      <c r="S286" s="77">
        <v>1755</v>
      </c>
      <c r="T286" s="77">
        <v>0</v>
      </c>
      <c r="U286" s="77">
        <v>5780.0209166666673</v>
      </c>
      <c r="V286" s="77">
        <v>0</v>
      </c>
      <c r="W286" s="79">
        <f t="shared" si="29"/>
        <v>14522.322166666669</v>
      </c>
      <c r="X286" s="88"/>
    </row>
    <row r="287" spans="1:24" hidden="1" x14ac:dyDescent="0.3">
      <c r="A287" s="1">
        <v>2026</v>
      </c>
      <c r="B287" s="52">
        <v>46174</v>
      </c>
      <c r="C287" s="1">
        <v>30</v>
      </c>
      <c r="D287" s="1" t="str">
        <f>+Precios!C287</f>
        <v>sáb</v>
      </c>
      <c r="E287" s="5">
        <f>+Precios!D287</f>
        <v>46193</v>
      </c>
      <c r="F287" s="77">
        <v>1502.4487500000002</v>
      </c>
      <c r="G287" s="77">
        <v>168.91708333333335</v>
      </c>
      <c r="H287" s="77">
        <v>219.40708333333339</v>
      </c>
      <c r="I287" s="77">
        <v>355.36689583333333</v>
      </c>
      <c r="J287" s="77">
        <v>1306.8766666666668</v>
      </c>
      <c r="K287" s="77">
        <v>2188.0183333333375</v>
      </c>
      <c r="L287" s="77">
        <v>2020.3033333333342</v>
      </c>
      <c r="M287" s="77">
        <v>1146.2029166666666</v>
      </c>
      <c r="N287" s="78">
        <f t="shared" si="26"/>
        <v>8907.541062500004</v>
      </c>
      <c r="O287" s="1">
        <v>1500</v>
      </c>
      <c r="P287" s="77">
        <v>891.45</v>
      </c>
      <c r="Q287" s="77">
        <v>975.65125</v>
      </c>
      <c r="R287" s="77">
        <v>3626.1499999999996</v>
      </c>
      <c r="S287" s="77">
        <v>1755</v>
      </c>
      <c r="T287" s="77">
        <v>0</v>
      </c>
      <c r="U287" s="77">
        <v>5631.3935000000001</v>
      </c>
      <c r="V287" s="77">
        <v>0</v>
      </c>
      <c r="W287" s="79">
        <f t="shared" si="29"/>
        <v>14379.644749999999</v>
      </c>
      <c r="X287" s="88"/>
    </row>
    <row r="288" spans="1:24" hidden="1" x14ac:dyDescent="0.3">
      <c r="A288" s="1">
        <v>2026</v>
      </c>
      <c r="B288" s="52">
        <v>46174</v>
      </c>
      <c r="C288" s="1">
        <v>30</v>
      </c>
      <c r="D288" s="1" t="str">
        <f>+Precios!C288</f>
        <v>dom</v>
      </c>
      <c r="E288" s="5">
        <f>+Precios!D288</f>
        <v>46194</v>
      </c>
      <c r="F288" s="77">
        <v>1486.4395833333335</v>
      </c>
      <c r="G288" s="77">
        <v>201.61249999999998</v>
      </c>
      <c r="H288" s="77">
        <v>193.72333333333327</v>
      </c>
      <c r="I288" s="77">
        <v>358.93216666666666</v>
      </c>
      <c r="J288" s="77">
        <v>1310</v>
      </c>
      <c r="K288" s="77">
        <v>1997.0399999999997</v>
      </c>
      <c r="L288" s="77">
        <v>1962.064999999996</v>
      </c>
      <c r="M288" s="77">
        <v>1169.5900000000004</v>
      </c>
      <c r="N288" s="78">
        <f t="shared" si="26"/>
        <v>8679.4025833333289</v>
      </c>
      <c r="O288" s="1">
        <v>1500</v>
      </c>
      <c r="P288" s="77">
        <v>886.72500000000002</v>
      </c>
      <c r="Q288" s="77">
        <v>976.6137500000001</v>
      </c>
      <c r="R288" s="77">
        <v>3626.1499999999996</v>
      </c>
      <c r="S288" s="77">
        <v>1755</v>
      </c>
      <c r="T288" s="77">
        <v>0</v>
      </c>
      <c r="U288" s="77">
        <v>5666.7577500000016</v>
      </c>
      <c r="V288" s="77">
        <v>0</v>
      </c>
      <c r="W288" s="79">
        <f t="shared" si="29"/>
        <v>14411.246500000001</v>
      </c>
      <c r="X288" s="88"/>
    </row>
    <row r="289" spans="1:24" hidden="1" x14ac:dyDescent="0.3">
      <c r="A289" s="1">
        <v>2026</v>
      </c>
      <c r="B289" s="52">
        <v>46174</v>
      </c>
      <c r="C289" s="1">
        <v>30</v>
      </c>
      <c r="D289" s="1" t="str">
        <f>+Precios!C289</f>
        <v>lun</v>
      </c>
      <c r="E289" s="5">
        <f>+Precios!D289</f>
        <v>46195</v>
      </c>
      <c r="F289" s="77">
        <v>1558.9966666666669</v>
      </c>
      <c r="G289" s="77">
        <v>396.68499999999995</v>
      </c>
      <c r="H289" s="77">
        <v>306.77083333333354</v>
      </c>
      <c r="I289" s="77">
        <v>1114.038875</v>
      </c>
      <c r="J289" s="77">
        <v>1307.7274999999997</v>
      </c>
      <c r="K289" s="77">
        <v>1528.7854166666659</v>
      </c>
      <c r="L289" s="77">
        <v>2667.7524999999973</v>
      </c>
      <c r="M289" s="77">
        <v>1146.2958333333336</v>
      </c>
      <c r="N289" s="78">
        <f t="shared" ref="N289:N294" si="30">+SUM(F289:M289)</f>
        <v>10027.052624999997</v>
      </c>
      <c r="O289" s="1">
        <v>1500</v>
      </c>
      <c r="P289" s="77">
        <v>886.72500000000002</v>
      </c>
      <c r="Q289" s="77">
        <v>978.67</v>
      </c>
      <c r="R289" s="77">
        <v>3626.1499999999996</v>
      </c>
      <c r="S289" s="77">
        <v>1755</v>
      </c>
      <c r="T289" s="77">
        <v>0</v>
      </c>
      <c r="U289" s="77">
        <v>5796.0624166666666</v>
      </c>
      <c r="V289" s="77">
        <v>0</v>
      </c>
      <c r="W289" s="79">
        <f t="shared" ref="W289:W294" si="31">+SUM(O289:V289)</f>
        <v>14542.607416666666</v>
      </c>
      <c r="X289" s="88"/>
    </row>
    <row r="290" spans="1:24" hidden="1" x14ac:dyDescent="0.3">
      <c r="A290" s="1">
        <v>2026</v>
      </c>
      <c r="B290" s="52">
        <v>46174</v>
      </c>
      <c r="C290" s="1">
        <v>30</v>
      </c>
      <c r="D290" s="1" t="str">
        <f>+Precios!C290</f>
        <v>mar</v>
      </c>
      <c r="E290" s="5">
        <f>+Precios!D290</f>
        <v>46196</v>
      </c>
      <c r="F290" s="77">
        <v>1554.0962499999998</v>
      </c>
      <c r="G290" s="77">
        <v>332.32250000000005</v>
      </c>
      <c r="H290" s="77">
        <v>323.03458333333361</v>
      </c>
      <c r="I290" s="77">
        <v>1052.0232708333333</v>
      </c>
      <c r="J290" s="77">
        <v>1308.4620833333338</v>
      </c>
      <c r="K290" s="77">
        <v>1606.6154166666656</v>
      </c>
      <c r="L290" s="77">
        <v>2776.089166666663</v>
      </c>
      <c r="M290" s="77">
        <v>1269.7391666666665</v>
      </c>
      <c r="N290" s="78">
        <f t="shared" si="30"/>
        <v>10222.382437499995</v>
      </c>
      <c r="O290" s="1">
        <v>1500</v>
      </c>
      <c r="P290" s="77">
        <v>886.72500000000002</v>
      </c>
      <c r="Q290" s="77">
        <v>975.73874999999998</v>
      </c>
      <c r="R290" s="77">
        <v>3607.1499999999996</v>
      </c>
      <c r="S290" s="77">
        <v>1755</v>
      </c>
      <c r="T290" s="77">
        <v>0</v>
      </c>
      <c r="U290" s="77">
        <v>5813.6217499999993</v>
      </c>
      <c r="V290" s="77">
        <v>0</v>
      </c>
      <c r="W290" s="79">
        <f t="shared" si="31"/>
        <v>14538.235499999999</v>
      </c>
      <c r="X290" s="88"/>
    </row>
    <row r="291" spans="1:24" hidden="1" x14ac:dyDescent="0.3">
      <c r="A291" s="1">
        <v>2026</v>
      </c>
      <c r="B291" s="52">
        <v>46174</v>
      </c>
      <c r="C291" s="1">
        <v>30</v>
      </c>
      <c r="D291" s="1" t="str">
        <f>+Precios!C291</f>
        <v>mié</v>
      </c>
      <c r="E291" s="5">
        <f>+Precios!D291</f>
        <v>46197</v>
      </c>
      <c r="F291" s="77">
        <v>1636.1729166666664</v>
      </c>
      <c r="G291" s="77">
        <v>647.56166666666661</v>
      </c>
      <c r="H291" s="77">
        <v>358.04833333333346</v>
      </c>
      <c r="I291" s="77">
        <v>1452.5250625000001</v>
      </c>
      <c r="J291" s="77">
        <v>1307.8745833333335</v>
      </c>
      <c r="K291" s="77">
        <v>1387.204999999997</v>
      </c>
      <c r="L291" s="77">
        <v>2877.7091666666711</v>
      </c>
      <c r="M291" s="77">
        <v>1109.0512499999998</v>
      </c>
      <c r="N291" s="78">
        <f t="shared" si="30"/>
        <v>10776.147979166668</v>
      </c>
      <c r="O291" s="1">
        <v>1500</v>
      </c>
      <c r="P291" s="77">
        <v>912.45</v>
      </c>
      <c r="Q291" s="77">
        <v>970.66374999999994</v>
      </c>
      <c r="R291" s="77">
        <v>3607.1499999999996</v>
      </c>
      <c r="S291" s="77">
        <v>1755</v>
      </c>
      <c r="T291" s="77">
        <v>0</v>
      </c>
      <c r="U291" s="77">
        <v>5751.088999999999</v>
      </c>
      <c r="V291" s="77">
        <v>0</v>
      </c>
      <c r="W291" s="79">
        <f t="shared" si="31"/>
        <v>14496.352749999998</v>
      </c>
      <c r="X291" s="88"/>
    </row>
    <row r="292" spans="1:24" hidden="1" x14ac:dyDescent="0.3">
      <c r="A292" s="1">
        <v>2026</v>
      </c>
      <c r="B292" s="52">
        <v>46174</v>
      </c>
      <c r="C292" s="1">
        <v>30</v>
      </c>
      <c r="D292" s="1" t="str">
        <f>+Precios!C292</f>
        <v>jue</v>
      </c>
      <c r="E292" s="5">
        <f>+Precios!D292</f>
        <v>46198</v>
      </c>
      <c r="F292" s="77">
        <v>1556.3158333333329</v>
      </c>
      <c r="G292" s="77">
        <v>472.24708333333319</v>
      </c>
      <c r="H292" s="77">
        <v>321.71416666666687</v>
      </c>
      <c r="I292" s="77">
        <v>1233.6858333333337</v>
      </c>
      <c r="J292" s="77">
        <v>1305.0124999999998</v>
      </c>
      <c r="K292" s="77">
        <v>1377.5083333333332</v>
      </c>
      <c r="L292" s="77">
        <v>2705.9229166666578</v>
      </c>
      <c r="M292" s="77">
        <v>1188.8183333333329</v>
      </c>
      <c r="N292" s="78">
        <f t="shared" si="30"/>
        <v>10161.224999999989</v>
      </c>
      <c r="O292" s="1">
        <v>1500</v>
      </c>
      <c r="P292" s="77">
        <v>917.95090625000012</v>
      </c>
      <c r="Q292" s="77">
        <v>957.88875000000007</v>
      </c>
      <c r="R292" s="77">
        <v>3607.1499999999996</v>
      </c>
      <c r="S292" s="77">
        <v>1755</v>
      </c>
      <c r="T292" s="77">
        <v>0</v>
      </c>
      <c r="U292" s="77">
        <v>5706.8858750000018</v>
      </c>
      <c r="V292" s="77">
        <v>0</v>
      </c>
      <c r="W292" s="79">
        <f t="shared" si="31"/>
        <v>14444.875531250002</v>
      </c>
      <c r="X292" s="88"/>
    </row>
    <row r="293" spans="1:24" hidden="1" x14ac:dyDescent="0.3">
      <c r="A293" s="1">
        <v>2026</v>
      </c>
      <c r="B293" s="52">
        <v>46174</v>
      </c>
      <c r="C293" s="1">
        <v>30</v>
      </c>
      <c r="D293" s="1" t="str">
        <f>+Precios!C293</f>
        <v>vie</v>
      </c>
      <c r="E293" s="5">
        <f>+Precios!D293</f>
        <v>46199</v>
      </c>
      <c r="F293" s="77">
        <v>1556.4483333333335</v>
      </c>
      <c r="G293" s="77">
        <v>384.875</v>
      </c>
      <c r="H293" s="77">
        <v>289.49916666666701</v>
      </c>
      <c r="I293" s="77">
        <v>861.96389583333337</v>
      </c>
      <c r="J293" s="77">
        <v>1303.3520833333334</v>
      </c>
      <c r="K293" s="77">
        <v>1801.8679166666659</v>
      </c>
      <c r="L293" s="77">
        <v>2645.4654166666619</v>
      </c>
      <c r="M293" s="77">
        <v>1210.5695833333327</v>
      </c>
      <c r="N293" s="78">
        <f t="shared" si="30"/>
        <v>10054.041395833328</v>
      </c>
      <c r="O293" s="1">
        <v>1500</v>
      </c>
      <c r="P293" s="77">
        <v>881.80465624999999</v>
      </c>
      <c r="Q293" s="77">
        <v>972.63249999999994</v>
      </c>
      <c r="R293" s="77">
        <v>3607.1499999999996</v>
      </c>
      <c r="S293" s="77">
        <v>1755</v>
      </c>
      <c r="T293" s="77">
        <v>0</v>
      </c>
      <c r="U293" s="77">
        <v>5730.0663333333341</v>
      </c>
      <c r="V293" s="77">
        <v>0</v>
      </c>
      <c r="W293" s="79">
        <f t="shared" si="31"/>
        <v>14446.653489583334</v>
      </c>
      <c r="X293" s="88"/>
    </row>
    <row r="294" spans="1:24" hidden="1" x14ac:dyDescent="0.3">
      <c r="A294" s="1">
        <v>2026</v>
      </c>
      <c r="B294" s="52">
        <v>46174</v>
      </c>
      <c r="C294" s="1">
        <v>30</v>
      </c>
      <c r="D294" s="1" t="str">
        <f>+Precios!C294</f>
        <v>sáb</v>
      </c>
      <c r="E294" s="5">
        <f>+Precios!D294</f>
        <v>46200</v>
      </c>
      <c r="F294" s="77">
        <v>1844.7275000000006</v>
      </c>
      <c r="G294" s="77">
        <v>681.32583333333321</v>
      </c>
      <c r="H294" s="77">
        <v>219.46083333333343</v>
      </c>
      <c r="I294" s="77">
        <v>416.54887500000001</v>
      </c>
      <c r="J294" s="77">
        <v>1305.7445833333336</v>
      </c>
      <c r="K294" s="77">
        <v>1213.9925000000005</v>
      </c>
      <c r="L294" s="77">
        <v>2071.0454166666691</v>
      </c>
      <c r="M294" s="77">
        <v>1547.7658333333336</v>
      </c>
      <c r="N294" s="78">
        <f t="shared" si="30"/>
        <v>9300.611375000004</v>
      </c>
      <c r="O294" s="1">
        <v>1500</v>
      </c>
      <c r="P294" s="77">
        <v>881.47500000000002</v>
      </c>
      <c r="Q294" s="77">
        <v>975.12625000000003</v>
      </c>
      <c r="R294" s="77">
        <v>3607.1499999999996</v>
      </c>
      <c r="S294" s="77">
        <v>1755</v>
      </c>
      <c r="T294" s="77">
        <v>0</v>
      </c>
      <c r="U294" s="77">
        <v>5592.0690416666685</v>
      </c>
      <c r="V294" s="77">
        <v>0</v>
      </c>
      <c r="W294" s="79">
        <f t="shared" si="31"/>
        <v>14310.820291666667</v>
      </c>
      <c r="X294" s="88"/>
    </row>
    <row r="295" spans="1:24" hidden="1" x14ac:dyDescent="0.3">
      <c r="A295" s="1">
        <v>2026</v>
      </c>
      <c r="B295" s="52">
        <v>46174</v>
      </c>
      <c r="C295" s="1">
        <v>30</v>
      </c>
      <c r="D295" s="1" t="str">
        <f>+Precios!C295</f>
        <v>dom</v>
      </c>
      <c r="E295" s="5">
        <f>+Precios!D295</f>
        <v>46201</v>
      </c>
      <c r="F295" s="77">
        <v>1827.5466666666671</v>
      </c>
      <c r="G295" s="77">
        <v>515.53291666666667</v>
      </c>
      <c r="H295" s="77">
        <v>208.31208333333345</v>
      </c>
      <c r="I295" s="77">
        <v>346.82481249999989</v>
      </c>
      <c r="J295" s="77">
        <v>1305.0612500000004</v>
      </c>
      <c r="K295" s="77">
        <v>1471.3308333333341</v>
      </c>
      <c r="L295" s="77">
        <v>1631.0341666666679</v>
      </c>
      <c r="M295" s="77">
        <v>1415.9874999999995</v>
      </c>
      <c r="N295" s="78">
        <f t="shared" ref="N295:N296" si="32">+SUM(F295:M295)</f>
        <v>8721.6302291666689</v>
      </c>
      <c r="O295" s="1">
        <v>1500</v>
      </c>
      <c r="P295" s="77">
        <v>881.47500000000002</v>
      </c>
      <c r="Q295" s="77">
        <v>941.47506250000004</v>
      </c>
      <c r="R295" s="77">
        <v>3607.1499999999996</v>
      </c>
      <c r="S295" s="77">
        <v>1755</v>
      </c>
      <c r="T295" s="77">
        <v>0</v>
      </c>
      <c r="U295" s="77">
        <v>5568.5165833333349</v>
      </c>
      <c r="V295" s="77">
        <v>0</v>
      </c>
      <c r="W295" s="79">
        <f t="shared" ref="W295:W296" si="33">+SUM(O295:V295)</f>
        <v>14253.616645833335</v>
      </c>
      <c r="X295" s="88"/>
    </row>
    <row r="296" spans="1:24" hidden="1" x14ac:dyDescent="0.3">
      <c r="A296" s="1">
        <v>2026</v>
      </c>
      <c r="B296" s="52">
        <v>46174</v>
      </c>
      <c r="C296" s="1">
        <v>30</v>
      </c>
      <c r="D296" s="1" t="str">
        <f>+Precios!C296</f>
        <v>lun</v>
      </c>
      <c r="E296" s="5">
        <f>+Precios!D296</f>
        <v>46202</v>
      </c>
      <c r="F296" s="77">
        <v>2441.6008333333325</v>
      </c>
      <c r="G296" s="77">
        <v>772.88583333333338</v>
      </c>
      <c r="H296" s="77">
        <v>247.69083333333347</v>
      </c>
      <c r="I296" s="77">
        <v>748.40525000000002</v>
      </c>
      <c r="J296" s="77">
        <v>1303.5845833333333</v>
      </c>
      <c r="K296" s="77">
        <v>1499.955833333335</v>
      </c>
      <c r="L296" s="77">
        <v>2230.2958333333272</v>
      </c>
      <c r="M296" s="77">
        <v>1430.2233333333334</v>
      </c>
      <c r="N296" s="78">
        <f t="shared" si="32"/>
        <v>10674.642333333328</v>
      </c>
      <c r="O296" s="1">
        <v>1500</v>
      </c>
      <c r="P296" s="77">
        <v>875.7</v>
      </c>
      <c r="Q296" s="77">
        <v>916.54499999999996</v>
      </c>
      <c r="R296" s="77">
        <v>3588.1499999999996</v>
      </c>
      <c r="S296" s="77">
        <v>1755</v>
      </c>
      <c r="T296" s="77">
        <v>0</v>
      </c>
      <c r="U296" s="77">
        <v>5713.063416666665</v>
      </c>
      <c r="V296" s="77">
        <v>0</v>
      </c>
      <c r="W296" s="79">
        <f t="shared" si="33"/>
        <v>14348.458416666665</v>
      </c>
      <c r="X296" s="88"/>
    </row>
    <row r="297" spans="1:24" hidden="1" x14ac:dyDescent="0.3">
      <c r="A297" s="1">
        <v>2026</v>
      </c>
      <c r="B297" s="52">
        <v>46174</v>
      </c>
      <c r="C297" s="1">
        <v>30</v>
      </c>
      <c r="D297" s="1" t="str">
        <f>+Precios!C297</f>
        <v>mar</v>
      </c>
      <c r="E297" s="5">
        <f>+Precios!D297</f>
        <v>46203</v>
      </c>
      <c r="F297" s="77">
        <v>2465.655416666667</v>
      </c>
      <c r="G297" s="77">
        <v>867.21250000000009</v>
      </c>
      <c r="H297" s="77">
        <v>198.21375000000015</v>
      </c>
      <c r="I297" s="77">
        <v>323.29964583333339</v>
      </c>
      <c r="J297" s="77">
        <v>1303.6291666666668</v>
      </c>
      <c r="K297" s="77">
        <v>2156.3441666666668</v>
      </c>
      <c r="L297" s="77">
        <v>2095.3666666666627</v>
      </c>
      <c r="M297" s="77">
        <v>1206.8258333333331</v>
      </c>
      <c r="N297" s="78">
        <f t="shared" ref="N297:N359" si="34">+SUM(F297:M297)</f>
        <v>10616.547145833329</v>
      </c>
      <c r="O297" s="1">
        <v>1500</v>
      </c>
      <c r="P297" s="77">
        <v>858.90000000000009</v>
      </c>
      <c r="Q297" s="77">
        <v>872.44500000000005</v>
      </c>
      <c r="R297" s="77">
        <v>3588.1499999999996</v>
      </c>
      <c r="S297" s="77">
        <v>1755</v>
      </c>
      <c r="T297" s="77">
        <v>0</v>
      </c>
      <c r="U297" s="77">
        <v>5764.0707083333327</v>
      </c>
      <c r="V297" s="77">
        <v>0</v>
      </c>
      <c r="W297" s="79">
        <f t="shared" ref="W297:W359" si="35">+SUM(O297:V297)</f>
        <v>14338.565708333332</v>
      </c>
      <c r="X297" s="88"/>
    </row>
    <row r="298" spans="1:24" hidden="1" x14ac:dyDescent="0.3">
      <c r="A298" s="1">
        <v>2026</v>
      </c>
      <c r="B298" s="52">
        <v>46204</v>
      </c>
      <c r="C298" s="1">
        <v>31</v>
      </c>
      <c r="D298" s="1" t="str">
        <f>+Precios!C298</f>
        <v>mié</v>
      </c>
      <c r="E298" s="5">
        <f>+Precios!D298</f>
        <v>46204</v>
      </c>
      <c r="F298" s="77">
        <v>2364.9474999999998</v>
      </c>
      <c r="G298" s="77">
        <v>685.87541666666664</v>
      </c>
      <c r="H298" s="77">
        <v>284.00583333333338</v>
      </c>
      <c r="I298" s="77">
        <v>698.67908333333344</v>
      </c>
      <c r="J298" s="77">
        <v>1303.3179166666664</v>
      </c>
      <c r="K298" s="77">
        <v>1856.9095833333274</v>
      </c>
      <c r="L298" s="77">
        <v>2495.6608333333306</v>
      </c>
      <c r="M298" s="77">
        <v>1357.7641666666666</v>
      </c>
      <c r="N298" s="78">
        <f t="shared" si="34"/>
        <v>11047.160333333324</v>
      </c>
      <c r="O298" s="1">
        <v>1500</v>
      </c>
      <c r="P298" s="77">
        <v>858.90000000000009</v>
      </c>
      <c r="Q298" s="77">
        <v>872.44500000000005</v>
      </c>
      <c r="R298" s="77">
        <v>3588.1499999999996</v>
      </c>
      <c r="S298" s="77">
        <v>1755</v>
      </c>
      <c r="T298" s="77">
        <v>0</v>
      </c>
      <c r="U298" s="77">
        <v>5922.9612916666665</v>
      </c>
      <c r="V298" s="77">
        <v>0</v>
      </c>
      <c r="W298" s="79">
        <f t="shared" si="35"/>
        <v>14497.456291666665</v>
      </c>
      <c r="X298" s="88"/>
    </row>
    <row r="299" spans="1:24" hidden="1" x14ac:dyDescent="0.3">
      <c r="A299" s="1">
        <v>2026</v>
      </c>
      <c r="B299" s="52">
        <v>46204</v>
      </c>
      <c r="C299" s="1">
        <v>31</v>
      </c>
      <c r="D299" s="1" t="str">
        <f>+Precios!C299</f>
        <v>jue</v>
      </c>
      <c r="E299" s="5">
        <f>+Precios!D299</f>
        <v>46205</v>
      </c>
      <c r="F299" s="77">
        <v>2246.1587500000005</v>
      </c>
      <c r="G299" s="77">
        <v>885.67000000000007</v>
      </c>
      <c r="H299" s="77">
        <v>312.47791666666666</v>
      </c>
      <c r="I299" s="77">
        <v>1587.3265000000006</v>
      </c>
      <c r="J299" s="77">
        <v>1303.6420833333334</v>
      </c>
      <c r="K299" s="77">
        <v>969.99166666666497</v>
      </c>
      <c r="L299" s="77">
        <v>2634.8174999999978</v>
      </c>
      <c r="M299" s="77">
        <v>1516.864583333333</v>
      </c>
      <c r="N299" s="78">
        <f t="shared" si="34"/>
        <v>11456.948999999997</v>
      </c>
      <c r="O299" s="1">
        <v>1500</v>
      </c>
      <c r="P299" s="77">
        <v>822.15000000000009</v>
      </c>
      <c r="Q299" s="77">
        <v>872.44500000000005</v>
      </c>
      <c r="R299" s="77">
        <v>3588.1499999999996</v>
      </c>
      <c r="S299" s="77">
        <v>1755</v>
      </c>
      <c r="T299" s="77">
        <v>0</v>
      </c>
      <c r="U299" s="77">
        <v>5787.4472916666655</v>
      </c>
      <c r="V299" s="77">
        <v>0</v>
      </c>
      <c r="W299" s="79">
        <f t="shared" si="35"/>
        <v>14325.192291666664</v>
      </c>
      <c r="X299" s="88"/>
    </row>
    <row r="300" spans="1:24" hidden="1" x14ac:dyDescent="0.3">
      <c r="A300" s="1">
        <v>2026</v>
      </c>
      <c r="B300" s="52">
        <v>46204</v>
      </c>
      <c r="C300" s="1">
        <v>31</v>
      </c>
      <c r="D300" s="1" t="str">
        <f>+Precios!C300</f>
        <v>vie</v>
      </c>
      <c r="E300" s="5">
        <f>+Precios!D300</f>
        <v>46206</v>
      </c>
      <c r="F300" s="77">
        <v>2183.2183333333328</v>
      </c>
      <c r="G300" s="77">
        <v>728.07124999999996</v>
      </c>
      <c r="H300" s="77">
        <v>340.92249999999973</v>
      </c>
      <c r="I300" s="77">
        <v>1471.3746458333337</v>
      </c>
      <c r="J300" s="77">
        <v>1303.7462499999997</v>
      </c>
      <c r="K300" s="77">
        <v>1140.1616666666689</v>
      </c>
      <c r="L300" s="77">
        <v>2809.5366666666664</v>
      </c>
      <c r="M300" s="77">
        <v>1435.7854166666666</v>
      </c>
      <c r="N300" s="78">
        <f t="shared" si="34"/>
        <v>11412.816729166669</v>
      </c>
      <c r="O300" s="1">
        <v>1500</v>
      </c>
      <c r="P300" s="77">
        <v>822.15000000000009</v>
      </c>
      <c r="Q300" s="77">
        <v>911.61000000000013</v>
      </c>
      <c r="R300" s="77">
        <v>3588.1499999999996</v>
      </c>
      <c r="S300" s="77">
        <v>1755</v>
      </c>
      <c r="T300" s="77">
        <v>0</v>
      </c>
      <c r="U300" s="77">
        <v>5862.0243333333356</v>
      </c>
      <c r="V300" s="77">
        <v>0</v>
      </c>
      <c r="W300" s="79">
        <f t="shared" si="35"/>
        <v>14438.934333333335</v>
      </c>
      <c r="X300" s="88"/>
    </row>
    <row r="301" spans="1:24" hidden="1" x14ac:dyDescent="0.3">
      <c r="A301" s="1">
        <v>2026</v>
      </c>
      <c r="B301" s="52">
        <v>46204</v>
      </c>
      <c r="C301" s="1">
        <v>31</v>
      </c>
      <c r="D301" s="1" t="str">
        <f>+Precios!C301</f>
        <v>sáb</v>
      </c>
      <c r="E301" s="5">
        <f>+Precios!D301</f>
        <v>46207</v>
      </c>
      <c r="F301" s="77">
        <v>2308.9320833333331</v>
      </c>
      <c r="G301" s="77">
        <v>791.29583333333346</v>
      </c>
      <c r="H301" s="77">
        <v>349.53124999999994</v>
      </c>
      <c r="I301" s="77">
        <v>1016.6009374999998</v>
      </c>
      <c r="J301" s="77">
        <v>1305.8333333333335</v>
      </c>
      <c r="K301" s="77">
        <v>1307.7412499999994</v>
      </c>
      <c r="L301" s="77">
        <v>2542.4199999999878</v>
      </c>
      <c r="M301" s="77">
        <v>1708.97</v>
      </c>
      <c r="N301" s="78">
        <f t="shared" si="34"/>
        <v>11331.324687499986</v>
      </c>
      <c r="O301" s="1">
        <v>1500</v>
      </c>
      <c r="P301" s="77">
        <v>843.15000000000009</v>
      </c>
      <c r="Q301" s="77">
        <v>985.71375</v>
      </c>
      <c r="R301" s="77">
        <v>3588.1499999999996</v>
      </c>
      <c r="S301" s="77">
        <v>1755</v>
      </c>
      <c r="T301" s="77">
        <v>0</v>
      </c>
      <c r="U301" s="77">
        <v>5698.1246249999995</v>
      </c>
      <c r="V301" s="77">
        <v>0</v>
      </c>
      <c r="W301" s="79">
        <f t="shared" si="35"/>
        <v>14370.138374999999</v>
      </c>
      <c r="X301" s="88"/>
    </row>
    <row r="302" spans="1:24" hidden="1" x14ac:dyDescent="0.3">
      <c r="A302" s="1">
        <v>2026</v>
      </c>
      <c r="B302" s="52">
        <v>46204</v>
      </c>
      <c r="C302" s="1">
        <v>31</v>
      </c>
      <c r="D302" s="1" t="str">
        <f>+Precios!C302</f>
        <v>dom</v>
      </c>
      <c r="E302" s="5">
        <f>+Precios!D302</f>
        <v>46208</v>
      </c>
      <c r="F302" s="77">
        <v>2447.4587499999998</v>
      </c>
      <c r="G302" s="77">
        <v>786.61458333333314</v>
      </c>
      <c r="H302" s="77">
        <v>292.0691666666666</v>
      </c>
      <c r="I302" s="77">
        <v>838.0143958333332</v>
      </c>
      <c r="J302" s="77">
        <v>1306.7020833333333</v>
      </c>
      <c r="K302" s="77">
        <v>873.4154166666699</v>
      </c>
      <c r="L302" s="77">
        <v>2521.1016666666633</v>
      </c>
      <c r="M302" s="77">
        <v>1522.2308333333333</v>
      </c>
      <c r="N302" s="78">
        <f t="shared" si="34"/>
        <v>10587.606895833333</v>
      </c>
      <c r="O302" s="1">
        <v>1500</v>
      </c>
      <c r="P302" s="77">
        <v>860.47500000000002</v>
      </c>
      <c r="Q302" s="77">
        <v>983.52625</v>
      </c>
      <c r="R302" s="77">
        <v>3588.1499999999996</v>
      </c>
      <c r="S302" s="77">
        <v>1755</v>
      </c>
      <c r="T302" s="77">
        <v>0</v>
      </c>
      <c r="U302" s="77">
        <v>5721.9886250000009</v>
      </c>
      <c r="V302" s="77">
        <v>0</v>
      </c>
      <c r="W302" s="79">
        <f t="shared" si="35"/>
        <v>14409.139875000001</v>
      </c>
      <c r="X302" s="88"/>
    </row>
    <row r="303" spans="1:24" hidden="1" x14ac:dyDescent="0.3">
      <c r="A303" s="1">
        <v>2026</v>
      </c>
      <c r="B303" s="52">
        <v>46204</v>
      </c>
      <c r="C303" s="1">
        <v>31</v>
      </c>
      <c r="D303" s="1" t="str">
        <f>+Precios!C303</f>
        <v>lun</v>
      </c>
      <c r="E303" s="5">
        <f>+Precios!D303</f>
        <v>46209</v>
      </c>
      <c r="F303" s="77">
        <v>2270.3587499999999</v>
      </c>
      <c r="G303" s="77">
        <v>812.73041666666666</v>
      </c>
      <c r="H303" s="77">
        <v>312.99375000000003</v>
      </c>
      <c r="I303" s="77">
        <v>1153.0252916666666</v>
      </c>
      <c r="J303" s="77">
        <v>1306.0166666666667</v>
      </c>
      <c r="K303" s="77">
        <v>1337.6779166666663</v>
      </c>
      <c r="L303" s="77">
        <v>2766.8708333333234</v>
      </c>
      <c r="M303" s="77">
        <v>1658.2704166666674</v>
      </c>
      <c r="N303" s="78">
        <f t="shared" si="34"/>
        <v>11617.944041666657</v>
      </c>
      <c r="O303" s="1">
        <v>1500</v>
      </c>
      <c r="P303" s="77">
        <v>883.57500000000005</v>
      </c>
      <c r="Q303" s="77">
        <v>985.88874999999996</v>
      </c>
      <c r="R303" s="77">
        <v>3588.1499999999996</v>
      </c>
      <c r="S303" s="77">
        <v>1755</v>
      </c>
      <c r="T303" s="77">
        <v>0</v>
      </c>
      <c r="U303" s="77">
        <v>5743.9710416666667</v>
      </c>
      <c r="V303" s="77">
        <v>0</v>
      </c>
      <c r="W303" s="79">
        <f t="shared" si="35"/>
        <v>14456.584791666668</v>
      </c>
      <c r="X303" s="88"/>
    </row>
    <row r="304" spans="1:24" hidden="1" x14ac:dyDescent="0.3">
      <c r="A304" s="1">
        <v>2026</v>
      </c>
      <c r="B304" s="52">
        <v>46204</v>
      </c>
      <c r="C304" s="1">
        <v>31</v>
      </c>
      <c r="D304" s="1" t="str">
        <f>+Precios!C304</f>
        <v>mar</v>
      </c>
      <c r="E304" s="5">
        <f>+Precios!D304</f>
        <v>46210</v>
      </c>
      <c r="F304" s="77">
        <v>2320.1699999999996</v>
      </c>
      <c r="G304" s="77">
        <v>741.22541666666677</v>
      </c>
      <c r="H304" s="77">
        <v>265.44</v>
      </c>
      <c r="I304" s="77">
        <v>633.73629166666649</v>
      </c>
      <c r="J304" s="77">
        <v>1307.8225</v>
      </c>
      <c r="K304" s="77">
        <v>1818.1120833333341</v>
      </c>
      <c r="L304" s="77">
        <v>2030.371666666663</v>
      </c>
      <c r="M304" s="77">
        <v>1789.877083333334</v>
      </c>
      <c r="N304" s="78">
        <f t="shared" si="34"/>
        <v>10906.755041666665</v>
      </c>
      <c r="O304" s="1">
        <v>1500</v>
      </c>
      <c r="P304" s="77">
        <v>919.27500000000009</v>
      </c>
      <c r="Q304" s="77">
        <v>984.31375000000003</v>
      </c>
      <c r="R304" s="77">
        <v>3588.1499999999996</v>
      </c>
      <c r="S304" s="77">
        <v>1755</v>
      </c>
      <c r="T304" s="77">
        <v>0</v>
      </c>
      <c r="U304" s="77">
        <v>5688.4206250000016</v>
      </c>
      <c r="V304" s="77">
        <v>0</v>
      </c>
      <c r="W304" s="79">
        <f t="shared" si="35"/>
        <v>14435.159375000003</v>
      </c>
      <c r="X304" s="88"/>
    </row>
    <row r="305" spans="1:24" hidden="1" x14ac:dyDescent="0.3">
      <c r="A305" s="1">
        <v>2026</v>
      </c>
      <c r="B305" s="52">
        <v>46204</v>
      </c>
      <c r="C305" s="1">
        <v>31</v>
      </c>
      <c r="D305" s="1" t="str">
        <f>+Precios!C305</f>
        <v>mié</v>
      </c>
      <c r="E305" s="5">
        <f>+Precios!D305</f>
        <v>46211</v>
      </c>
      <c r="F305" s="77">
        <v>2201.9079166666666</v>
      </c>
      <c r="G305" s="77">
        <v>806.8195833333333</v>
      </c>
      <c r="H305" s="77">
        <v>311.31833333333299</v>
      </c>
      <c r="I305" s="77">
        <v>751.09770833333312</v>
      </c>
      <c r="J305" s="77">
        <v>1307.9912499999998</v>
      </c>
      <c r="K305" s="77">
        <v>1208.6637500000024</v>
      </c>
      <c r="L305" s="77">
        <v>2039.4399999999932</v>
      </c>
      <c r="M305" s="77">
        <v>1618.9583333333337</v>
      </c>
      <c r="N305" s="78">
        <f t="shared" si="34"/>
        <v>10246.196874999996</v>
      </c>
      <c r="O305" s="1">
        <v>1500</v>
      </c>
      <c r="P305" s="77">
        <v>890.92500000000007</v>
      </c>
      <c r="Q305" s="77">
        <v>1026.165</v>
      </c>
      <c r="R305" s="77">
        <v>3588.1499999999996</v>
      </c>
      <c r="S305" s="77">
        <v>1755</v>
      </c>
      <c r="T305" s="77">
        <v>0</v>
      </c>
      <c r="U305" s="77">
        <v>5345.551416666668</v>
      </c>
      <c r="V305" s="77">
        <v>0</v>
      </c>
      <c r="W305" s="79">
        <f t="shared" si="35"/>
        <v>14105.791416666667</v>
      </c>
      <c r="X305" s="88"/>
    </row>
    <row r="306" spans="1:24" hidden="1" x14ac:dyDescent="0.3">
      <c r="A306" s="1">
        <v>2026</v>
      </c>
      <c r="B306" s="52">
        <v>46204</v>
      </c>
      <c r="C306" s="1">
        <v>31</v>
      </c>
      <c r="D306" s="1" t="str">
        <f>+Precios!C306</f>
        <v>jue</v>
      </c>
      <c r="E306" s="5">
        <f>+Precios!D306</f>
        <v>46212</v>
      </c>
      <c r="F306" s="77">
        <v>2357.4041666666667</v>
      </c>
      <c r="G306" s="77">
        <v>805.72499999999991</v>
      </c>
      <c r="H306" s="77">
        <v>203.65708333333319</v>
      </c>
      <c r="I306" s="77">
        <v>275.46120833333333</v>
      </c>
      <c r="J306" s="77">
        <v>1306.4545833333334</v>
      </c>
      <c r="K306" s="77">
        <v>942.1229166666709</v>
      </c>
      <c r="L306" s="77">
        <v>1743.2945833333324</v>
      </c>
      <c r="M306" s="77">
        <v>1116.0316666666665</v>
      </c>
      <c r="N306" s="78">
        <f t="shared" si="34"/>
        <v>8750.1512083333364</v>
      </c>
      <c r="O306" s="1">
        <v>1500</v>
      </c>
      <c r="P306" s="77">
        <v>913.5</v>
      </c>
      <c r="Q306" s="77">
        <v>1088.0887499999999</v>
      </c>
      <c r="R306" s="77">
        <v>3588.1499999999996</v>
      </c>
      <c r="S306" s="77">
        <v>1755</v>
      </c>
      <c r="T306" s="77">
        <v>0</v>
      </c>
      <c r="U306" s="77">
        <v>5393.8528333333352</v>
      </c>
      <c r="V306" s="77">
        <v>0</v>
      </c>
      <c r="W306" s="79">
        <f t="shared" si="35"/>
        <v>14238.591583333335</v>
      </c>
      <c r="X306" s="88"/>
    </row>
    <row r="307" spans="1:24" hidden="1" x14ac:dyDescent="0.3">
      <c r="A307" s="1">
        <v>2026</v>
      </c>
      <c r="B307" s="52">
        <v>46204</v>
      </c>
      <c r="C307" s="1">
        <v>31</v>
      </c>
      <c r="D307" s="1" t="str">
        <f>+Precios!C307</f>
        <v>vie</v>
      </c>
      <c r="E307" s="5">
        <f>+Precios!D307</f>
        <v>46213</v>
      </c>
      <c r="F307" s="77">
        <v>2379.9295833333331</v>
      </c>
      <c r="G307" s="77">
        <v>877.67</v>
      </c>
      <c r="H307" s="77">
        <v>305.45833333333343</v>
      </c>
      <c r="I307" s="77">
        <v>631.93327083333327</v>
      </c>
      <c r="J307" s="77">
        <v>1306.7449999999997</v>
      </c>
      <c r="K307" s="77">
        <v>768.42208333333326</v>
      </c>
      <c r="L307" s="77">
        <v>1863.8508333333309</v>
      </c>
      <c r="M307" s="77">
        <v>1175.5462500000001</v>
      </c>
      <c r="N307" s="78">
        <f t="shared" si="34"/>
        <v>9309.5553541666632</v>
      </c>
      <c r="O307" s="1">
        <v>1500</v>
      </c>
      <c r="P307" s="77">
        <v>956.02500000000009</v>
      </c>
      <c r="Q307" s="77">
        <v>1101.6731249999998</v>
      </c>
      <c r="R307" s="77">
        <v>3569.1499999999996</v>
      </c>
      <c r="S307" s="77">
        <v>1755</v>
      </c>
      <c r="T307" s="77">
        <v>0</v>
      </c>
      <c r="U307" s="77">
        <v>5676.1062500000007</v>
      </c>
      <c r="V307" s="77">
        <v>0</v>
      </c>
      <c r="W307" s="79">
        <f t="shared" si="35"/>
        <v>14557.954375000001</v>
      </c>
      <c r="X307" s="88"/>
    </row>
    <row r="308" spans="1:24" hidden="1" x14ac:dyDescent="0.3">
      <c r="A308" s="1">
        <f>+Precios!A308</f>
        <v>2026</v>
      </c>
      <c r="B308" s="52">
        <f>+Precios!B308</f>
        <v>46204</v>
      </c>
      <c r="C308" s="1">
        <v>31</v>
      </c>
      <c r="D308" s="1" t="str">
        <f>+Precios!C308</f>
        <v>sáb</v>
      </c>
      <c r="E308" s="5">
        <f>+Precios!D308</f>
        <v>46214</v>
      </c>
      <c r="F308" s="77">
        <v>2025.8041666666666</v>
      </c>
      <c r="G308" s="77">
        <v>864.83833333333348</v>
      </c>
      <c r="H308" s="77">
        <v>256.57250000000016</v>
      </c>
      <c r="I308" s="77">
        <v>738.7643333333333</v>
      </c>
      <c r="J308" s="77">
        <v>1306.8195833333336</v>
      </c>
      <c r="K308" s="77">
        <v>916.3666666666669</v>
      </c>
      <c r="L308" s="77">
        <v>1776.2033333333272</v>
      </c>
      <c r="M308" s="77">
        <v>1075.9154166666665</v>
      </c>
      <c r="N308" s="78">
        <f t="shared" si="34"/>
        <v>8961.2843333333276</v>
      </c>
      <c r="O308" s="1">
        <v>1500</v>
      </c>
      <c r="P308" s="77">
        <v>963.90000000000009</v>
      </c>
      <c r="Q308" s="77">
        <v>1081.1325000000002</v>
      </c>
      <c r="R308" s="77">
        <v>3569.1499999999996</v>
      </c>
      <c r="S308" s="77">
        <v>1755</v>
      </c>
      <c r="T308" s="77">
        <v>0</v>
      </c>
      <c r="U308" s="77">
        <v>5685.8033750000013</v>
      </c>
      <c r="V308" s="77">
        <v>0</v>
      </c>
      <c r="W308" s="79">
        <f t="shared" si="35"/>
        <v>14554.985875</v>
      </c>
      <c r="X308" s="88"/>
    </row>
    <row r="309" spans="1:24" hidden="1" x14ac:dyDescent="0.3">
      <c r="A309" s="1">
        <f>+Precios!A309</f>
        <v>2026</v>
      </c>
      <c r="B309" s="52">
        <f>+Precios!B309</f>
        <v>46204</v>
      </c>
      <c r="C309" s="1">
        <v>31</v>
      </c>
      <c r="D309" s="1" t="str">
        <f>+Precios!C309</f>
        <v>dom</v>
      </c>
      <c r="E309" s="5">
        <f>+Precios!D309</f>
        <v>46215</v>
      </c>
      <c r="F309" s="77">
        <v>1382.9499999999998</v>
      </c>
      <c r="G309" s="77">
        <v>881.87166666666656</v>
      </c>
      <c r="H309" s="77">
        <v>227.65625000000009</v>
      </c>
      <c r="I309" s="77">
        <v>509.23562499999997</v>
      </c>
      <c r="J309" s="77">
        <v>1306.6020833333337</v>
      </c>
      <c r="K309" s="77">
        <v>1201.8779166666679</v>
      </c>
      <c r="L309" s="77">
        <v>1646.87</v>
      </c>
      <c r="M309" s="77">
        <v>1463.738333333333</v>
      </c>
      <c r="N309" s="78">
        <f t="shared" si="34"/>
        <v>8620.801875000001</v>
      </c>
      <c r="O309" s="1">
        <v>1500</v>
      </c>
      <c r="P309" s="77">
        <v>957.6</v>
      </c>
      <c r="Q309" s="77">
        <v>1093.1199999999999</v>
      </c>
      <c r="R309" s="77">
        <v>3570.1</v>
      </c>
      <c r="S309" s="77">
        <v>1755</v>
      </c>
      <c r="T309" s="77">
        <v>0</v>
      </c>
      <c r="U309" s="77">
        <v>6117.5207083333362</v>
      </c>
      <c r="V309" s="77">
        <v>0</v>
      </c>
      <c r="W309" s="79">
        <f t="shared" si="35"/>
        <v>14993.340708333337</v>
      </c>
      <c r="X309" s="88"/>
    </row>
    <row r="310" spans="1:24" hidden="1" x14ac:dyDescent="0.3">
      <c r="A310" s="1">
        <f>+Precios!A310</f>
        <v>2026</v>
      </c>
      <c r="B310" s="52">
        <f>+Precios!B310</f>
        <v>46204</v>
      </c>
      <c r="C310" s="1">
        <v>31</v>
      </c>
      <c r="D310" s="1" t="str">
        <f>+Precios!C310</f>
        <v>lun</v>
      </c>
      <c r="E310" s="5">
        <f>+Precios!D310</f>
        <v>46216</v>
      </c>
      <c r="F310" s="77">
        <v>1977.6437499999993</v>
      </c>
      <c r="G310" s="77">
        <v>714.11875000000009</v>
      </c>
      <c r="H310" s="77">
        <v>249.79458333333332</v>
      </c>
      <c r="I310" s="77">
        <v>801.56408333333331</v>
      </c>
      <c r="J310" s="77">
        <v>1305.19625</v>
      </c>
      <c r="K310" s="77">
        <v>1930.9849999999988</v>
      </c>
      <c r="L310" s="77">
        <v>2125.7933333333303</v>
      </c>
      <c r="M310" s="77">
        <v>952.25333333333356</v>
      </c>
      <c r="N310" s="78">
        <f t="shared" si="34"/>
        <v>10057.349083333329</v>
      </c>
      <c r="O310" s="1">
        <v>1500</v>
      </c>
      <c r="P310" s="77">
        <v>942.90000000000009</v>
      </c>
      <c r="Q310" s="77">
        <v>1112.2825</v>
      </c>
      <c r="R310" s="77">
        <v>3572</v>
      </c>
      <c r="S310" s="77">
        <v>1755</v>
      </c>
      <c r="T310" s="77">
        <v>0</v>
      </c>
      <c r="U310" s="77">
        <v>6123.0112083333361</v>
      </c>
      <c r="V310" s="77">
        <v>0</v>
      </c>
      <c r="W310" s="79">
        <f t="shared" si="35"/>
        <v>15005.193708333336</v>
      </c>
      <c r="X310" s="88"/>
    </row>
    <row r="311" spans="1:24" hidden="1" x14ac:dyDescent="0.3">
      <c r="A311" s="1">
        <f>+Precios!A311</f>
        <v>2026</v>
      </c>
      <c r="B311" s="52">
        <f>+Precios!B311</f>
        <v>46204</v>
      </c>
      <c r="C311" s="1">
        <v>31</v>
      </c>
      <c r="D311" s="1" t="str">
        <f>+Precios!C311</f>
        <v>mar</v>
      </c>
      <c r="E311" s="5">
        <f>+Precios!D311</f>
        <v>46217</v>
      </c>
      <c r="F311" s="77">
        <v>2272.9362500000002</v>
      </c>
      <c r="G311" s="77">
        <v>725.76375000000007</v>
      </c>
      <c r="H311" s="77">
        <v>288.57458333333324</v>
      </c>
      <c r="I311" s="77">
        <v>595.2323958333335</v>
      </c>
      <c r="J311" s="77">
        <v>1306.3074999999999</v>
      </c>
      <c r="K311" s="77">
        <v>1320.24291666667</v>
      </c>
      <c r="L311" s="77">
        <v>2154.0837499999975</v>
      </c>
      <c r="M311" s="77">
        <v>1087.9825000000001</v>
      </c>
      <c r="N311" s="78">
        <f t="shared" si="34"/>
        <v>9751.1236458333351</v>
      </c>
      <c r="O311" s="1">
        <v>1500</v>
      </c>
      <c r="P311" s="77">
        <v>929.77500000000009</v>
      </c>
      <c r="Q311" s="77">
        <v>1035.5887500000001</v>
      </c>
      <c r="R311" s="77">
        <v>3572</v>
      </c>
      <c r="S311" s="77">
        <v>1755</v>
      </c>
      <c r="T311" s="77">
        <v>0</v>
      </c>
      <c r="U311" s="77">
        <v>6102.6838333333335</v>
      </c>
      <c r="V311" s="77">
        <v>0</v>
      </c>
      <c r="W311" s="79">
        <f t="shared" si="35"/>
        <v>14895.047583333333</v>
      </c>
      <c r="X311" s="88"/>
    </row>
    <row r="312" spans="1:24" hidden="1" x14ac:dyDescent="0.3">
      <c r="A312" s="1">
        <f>+Precios!A312</f>
        <v>2026</v>
      </c>
      <c r="B312" s="52">
        <f>+Precios!B312</f>
        <v>46204</v>
      </c>
      <c r="C312" s="1">
        <v>31</v>
      </c>
      <c r="D312" s="1" t="str">
        <f>+Precios!C312</f>
        <v>mié</v>
      </c>
      <c r="E312" s="5">
        <f>+Precios!D312</f>
        <v>46218</v>
      </c>
      <c r="F312" s="77">
        <v>2067.2295833333342</v>
      </c>
      <c r="G312" s="77">
        <v>762.70583333333343</v>
      </c>
      <c r="H312" s="77">
        <v>234.15791666666664</v>
      </c>
      <c r="I312" s="77">
        <v>604.28668750000008</v>
      </c>
      <c r="J312" s="77">
        <v>1307.3625</v>
      </c>
      <c r="K312" s="77">
        <v>1407.5816666666672</v>
      </c>
      <c r="L312" s="77">
        <v>1834.0549999999987</v>
      </c>
      <c r="M312" s="77">
        <v>1111.0891666666669</v>
      </c>
      <c r="N312" s="78">
        <f t="shared" si="34"/>
        <v>9328.4683541666673</v>
      </c>
      <c r="O312" s="1">
        <v>1500</v>
      </c>
      <c r="P312" s="77">
        <v>910.35</v>
      </c>
      <c r="Q312" s="77">
        <v>986.10750000000007</v>
      </c>
      <c r="R312" s="77">
        <v>3572</v>
      </c>
      <c r="S312" s="77">
        <v>1755</v>
      </c>
      <c r="T312" s="77">
        <v>0</v>
      </c>
      <c r="U312" s="77">
        <v>6137.4327083333346</v>
      </c>
      <c r="V312" s="77">
        <v>0</v>
      </c>
      <c r="W312" s="79">
        <f t="shared" si="35"/>
        <v>14860.890208333334</v>
      </c>
      <c r="X312" s="88"/>
    </row>
    <row r="313" spans="1:24" hidden="1" x14ac:dyDescent="0.3">
      <c r="A313" s="1">
        <f>+Precios!A313</f>
        <v>2026</v>
      </c>
      <c r="B313" s="52">
        <f>+Precios!B313</f>
        <v>46204</v>
      </c>
      <c r="C313" s="1">
        <v>31</v>
      </c>
      <c r="D313" s="1" t="str">
        <f>+Precios!C313</f>
        <v>jue</v>
      </c>
      <c r="E313" s="5">
        <f>+Precios!D313</f>
        <v>46219</v>
      </c>
      <c r="F313" s="77">
        <v>2285.7212500000001</v>
      </c>
      <c r="G313" s="77">
        <v>941.37625000000014</v>
      </c>
      <c r="H313" s="77">
        <v>170.84750000000005</v>
      </c>
      <c r="I313" s="77">
        <v>210.86754166666665</v>
      </c>
      <c r="J313" s="77">
        <v>1305.6366666666665</v>
      </c>
      <c r="K313" s="77">
        <v>987.32083333333185</v>
      </c>
      <c r="L313" s="77">
        <v>1550.9279166666677</v>
      </c>
      <c r="M313" s="77">
        <v>1203.5529166666663</v>
      </c>
      <c r="N313" s="78">
        <f t="shared" si="34"/>
        <v>8656.2508749999979</v>
      </c>
      <c r="O313" s="1">
        <v>1500</v>
      </c>
      <c r="P313" s="77">
        <v>915.07500000000005</v>
      </c>
      <c r="Q313" s="77">
        <v>986.02787499999999</v>
      </c>
      <c r="R313" s="77">
        <v>3577.7</v>
      </c>
      <c r="S313" s="77">
        <v>1755</v>
      </c>
      <c r="T313" s="77">
        <v>0</v>
      </c>
      <c r="U313" s="77">
        <v>6017.5873750000001</v>
      </c>
      <c r="V313" s="77">
        <v>0</v>
      </c>
      <c r="W313" s="79">
        <f t="shared" si="35"/>
        <v>14751.39025</v>
      </c>
      <c r="X313" s="88"/>
    </row>
    <row r="314" spans="1:24" hidden="1" x14ac:dyDescent="0.3">
      <c r="A314" s="1">
        <f>+Precios!A314</f>
        <v>2026</v>
      </c>
      <c r="B314" s="52">
        <f>+Precios!B314</f>
        <v>46204</v>
      </c>
      <c r="C314" s="1">
        <v>31</v>
      </c>
      <c r="D314" s="1" t="str">
        <f>+Precios!C314</f>
        <v>vie</v>
      </c>
      <c r="E314" s="5">
        <f>+Precios!D314</f>
        <v>46220</v>
      </c>
      <c r="F314" s="77">
        <v>2071.7654166666666</v>
      </c>
      <c r="G314" s="77">
        <v>980.74499999999989</v>
      </c>
      <c r="H314" s="77">
        <v>143.00458333333344</v>
      </c>
      <c r="I314" s="77">
        <v>133.28935416666664</v>
      </c>
      <c r="J314" s="77">
        <v>1306.0904166666667</v>
      </c>
      <c r="K314" s="77">
        <v>1473.326666666665</v>
      </c>
      <c r="L314" s="77">
        <v>1445.5033333333331</v>
      </c>
      <c r="M314" s="77">
        <v>928.86625000000004</v>
      </c>
      <c r="N314" s="78">
        <f t="shared" si="34"/>
        <v>8482.5910208333316</v>
      </c>
      <c r="O314" s="1">
        <v>1500</v>
      </c>
      <c r="P314" s="77">
        <v>920.38078125000004</v>
      </c>
      <c r="Q314" s="77">
        <v>988.29500000000007</v>
      </c>
      <c r="R314" s="77">
        <v>3615.7</v>
      </c>
      <c r="S314" s="77">
        <v>1755</v>
      </c>
      <c r="T314" s="77">
        <v>0</v>
      </c>
      <c r="U314" s="77">
        <v>5894.0972499999989</v>
      </c>
      <c r="V314" s="77">
        <v>0</v>
      </c>
      <c r="W314" s="79">
        <f t="shared" si="35"/>
        <v>14673.47303125</v>
      </c>
      <c r="X314" s="88"/>
    </row>
    <row r="315" spans="1:24" hidden="1" x14ac:dyDescent="0.3">
      <c r="A315" s="1">
        <f>+Precios!A315</f>
        <v>2026</v>
      </c>
      <c r="B315" s="52">
        <f>+Precios!B315</f>
        <v>46204</v>
      </c>
      <c r="C315" s="1">
        <v>31</v>
      </c>
      <c r="D315" s="1" t="str">
        <f>+Precios!C315</f>
        <v>sáb</v>
      </c>
      <c r="E315" s="5">
        <f>+Precios!D315</f>
        <v>46221</v>
      </c>
      <c r="F315" s="77">
        <v>2083.1862500000002</v>
      </c>
      <c r="G315" s="77">
        <v>845.33125000000007</v>
      </c>
      <c r="H315" s="77">
        <v>154.02875000000003</v>
      </c>
      <c r="I315" s="77">
        <v>555.15862499999992</v>
      </c>
      <c r="J315" s="77">
        <v>1308.7483333333332</v>
      </c>
      <c r="K315" s="77">
        <v>957.24166666666531</v>
      </c>
      <c r="L315" s="77">
        <v>1629.2891666666674</v>
      </c>
      <c r="M315" s="77">
        <v>530.32999999999993</v>
      </c>
      <c r="N315" s="78">
        <f t="shared" si="34"/>
        <v>8063.3140416666656</v>
      </c>
      <c r="O315" s="1">
        <v>1500</v>
      </c>
      <c r="P315" s="77">
        <v>926.625</v>
      </c>
      <c r="Q315" s="77">
        <v>989.91375000000005</v>
      </c>
      <c r="R315" s="77">
        <v>3638.5</v>
      </c>
      <c r="S315" s="77">
        <v>1755</v>
      </c>
      <c r="T315" s="77">
        <v>0</v>
      </c>
      <c r="U315" s="77">
        <v>5949.9768750000021</v>
      </c>
      <c r="V315" s="77">
        <v>0</v>
      </c>
      <c r="W315" s="79">
        <f t="shared" si="35"/>
        <v>14760.015625000002</v>
      </c>
      <c r="X315" s="88"/>
    </row>
    <row r="316" spans="1:24" hidden="1" x14ac:dyDescent="0.3">
      <c r="A316" s="1">
        <f>+Precios!A316</f>
        <v>2026</v>
      </c>
      <c r="B316" s="52">
        <f>+Precios!B316</f>
        <v>46204</v>
      </c>
      <c r="C316" s="1">
        <v>31</v>
      </c>
      <c r="D316" s="1" t="str">
        <f>+Precios!C316</f>
        <v>dom</v>
      </c>
      <c r="E316" s="5">
        <f>+Precios!D316</f>
        <v>46222</v>
      </c>
      <c r="F316" s="77">
        <v>1949.0612500000007</v>
      </c>
      <c r="G316" s="77">
        <v>839.31250000000034</v>
      </c>
      <c r="H316" s="77">
        <v>178.95291666666671</v>
      </c>
      <c r="I316" s="77">
        <v>602.99666666666667</v>
      </c>
      <c r="J316" s="77">
        <v>1308.25</v>
      </c>
      <c r="K316" s="77">
        <v>806.85416666666742</v>
      </c>
      <c r="L316" s="77">
        <v>1543.9325000000001</v>
      </c>
      <c r="M316" s="77">
        <v>848.79416666666668</v>
      </c>
      <c r="N316" s="78">
        <f t="shared" si="34"/>
        <v>8078.1541666666681</v>
      </c>
      <c r="O316" s="1">
        <v>1500</v>
      </c>
      <c r="P316" s="77">
        <v>926.625</v>
      </c>
      <c r="Q316" s="77">
        <v>988.33875</v>
      </c>
      <c r="R316" s="77">
        <v>3644.2</v>
      </c>
      <c r="S316" s="77">
        <v>1755</v>
      </c>
      <c r="T316" s="77">
        <v>0</v>
      </c>
      <c r="U316" s="77">
        <v>6128.2959583333341</v>
      </c>
      <c r="V316" s="77">
        <v>0</v>
      </c>
      <c r="W316" s="79">
        <f t="shared" si="35"/>
        <v>14942.459708333334</v>
      </c>
      <c r="X316" s="88"/>
    </row>
    <row r="317" spans="1:24" hidden="1" x14ac:dyDescent="0.3">
      <c r="A317" s="1">
        <f>+Precios!A317</f>
        <v>2026</v>
      </c>
      <c r="B317" s="52">
        <f>+Precios!B317</f>
        <v>46204</v>
      </c>
      <c r="C317" s="1">
        <v>31</v>
      </c>
      <c r="D317" s="1" t="str">
        <f>+Precios!C317</f>
        <v>lun</v>
      </c>
      <c r="E317" s="5">
        <f>+Precios!D317</f>
        <v>46223</v>
      </c>
      <c r="F317" s="77">
        <v>2108.7445833333331</v>
      </c>
      <c r="G317" s="77">
        <v>861.78125</v>
      </c>
      <c r="H317" s="77">
        <v>308.54958333333332</v>
      </c>
      <c r="I317" s="77">
        <v>1151.5215208333332</v>
      </c>
      <c r="J317" s="77">
        <v>1305.3525</v>
      </c>
      <c r="K317" s="77">
        <v>795.02291666666724</v>
      </c>
      <c r="L317" s="77">
        <v>1510.179166666667</v>
      </c>
      <c r="M317" s="77">
        <v>1517.8916666666671</v>
      </c>
      <c r="N317" s="78">
        <f t="shared" si="34"/>
        <v>9559.0431874999995</v>
      </c>
      <c r="O317" s="1">
        <v>1500</v>
      </c>
      <c r="P317" s="77">
        <v>937.65000000000009</v>
      </c>
      <c r="Q317" s="77">
        <v>992.84500000000003</v>
      </c>
      <c r="R317" s="77">
        <v>3646.1</v>
      </c>
      <c r="S317" s="77">
        <v>1755</v>
      </c>
      <c r="T317" s="77">
        <v>0</v>
      </c>
      <c r="U317" s="77">
        <v>6172.2486666666664</v>
      </c>
      <c r="V317" s="77">
        <v>0</v>
      </c>
      <c r="W317" s="79">
        <f t="shared" si="35"/>
        <v>15003.843666666666</v>
      </c>
      <c r="X317" s="88"/>
    </row>
    <row r="318" spans="1:24" hidden="1" x14ac:dyDescent="0.3">
      <c r="A318" s="1">
        <f>+Precios!A318</f>
        <v>2026</v>
      </c>
      <c r="B318" s="52">
        <f>+Precios!B318</f>
        <v>46204</v>
      </c>
      <c r="C318" s="1">
        <v>31</v>
      </c>
      <c r="D318" s="1" t="str">
        <f>+Precios!C318</f>
        <v>mar</v>
      </c>
      <c r="E318" s="5">
        <f>+Precios!D318</f>
        <v>46224</v>
      </c>
      <c r="F318" s="77">
        <v>2153.2941666666661</v>
      </c>
      <c r="G318" s="77">
        <v>864.34416666666664</v>
      </c>
      <c r="H318" s="77">
        <v>355.45083333333361</v>
      </c>
      <c r="I318" s="77">
        <v>1819.7166875</v>
      </c>
      <c r="J318" s="77">
        <v>1308.0599999999997</v>
      </c>
      <c r="K318" s="77">
        <v>768.20583333333479</v>
      </c>
      <c r="L318" s="77">
        <v>1837.1333333333271</v>
      </c>
      <c r="M318" s="77">
        <v>999.67166666666651</v>
      </c>
      <c r="N318" s="78">
        <f t="shared" si="34"/>
        <v>10105.876687499996</v>
      </c>
      <c r="O318" s="1">
        <v>1500</v>
      </c>
      <c r="P318" s="77">
        <v>936.6</v>
      </c>
      <c r="Q318" s="77">
        <v>983.13249999999994</v>
      </c>
      <c r="R318" s="77">
        <v>3637.1276458333336</v>
      </c>
      <c r="S318" s="77">
        <v>1755</v>
      </c>
      <c r="T318" s="77">
        <v>0</v>
      </c>
      <c r="U318" s="77">
        <v>6086.7155000000002</v>
      </c>
      <c r="V318" s="77">
        <v>0</v>
      </c>
      <c r="W318" s="79">
        <f t="shared" si="35"/>
        <v>14898.575645833334</v>
      </c>
      <c r="X318" s="88"/>
    </row>
    <row r="319" spans="1:24" hidden="1" x14ac:dyDescent="0.3">
      <c r="A319" s="1">
        <f>+Precios!A319</f>
        <v>2026</v>
      </c>
      <c r="B319" s="52">
        <f>+Precios!B319</f>
        <v>46204</v>
      </c>
      <c r="C319" s="1">
        <v>31</v>
      </c>
      <c r="D319" s="1" t="str">
        <f>+Precios!C319</f>
        <v>mié</v>
      </c>
      <c r="E319" s="5">
        <f>+Precios!D319</f>
        <v>46225</v>
      </c>
      <c r="F319" s="77">
        <v>2264.8416666666667</v>
      </c>
      <c r="G319" s="77">
        <v>866.45249999999976</v>
      </c>
      <c r="H319" s="77">
        <v>328.19708333333381</v>
      </c>
      <c r="I319" s="77">
        <v>1515.2915625000005</v>
      </c>
      <c r="J319" s="77">
        <v>1307.9120833333336</v>
      </c>
      <c r="K319" s="77">
        <v>1242.3558333333347</v>
      </c>
      <c r="L319" s="77">
        <v>1665.832916666662</v>
      </c>
      <c r="M319" s="77">
        <v>1301.145</v>
      </c>
      <c r="N319" s="78">
        <f t="shared" si="34"/>
        <v>10492.028645833332</v>
      </c>
      <c r="O319" s="1">
        <v>1500</v>
      </c>
      <c r="P319" s="77">
        <v>935.55000000000007</v>
      </c>
      <c r="Q319" s="77">
        <v>980.15750000000003</v>
      </c>
      <c r="R319" s="77">
        <v>3647.0499999999997</v>
      </c>
      <c r="S319" s="77">
        <v>1755</v>
      </c>
      <c r="T319" s="77">
        <v>0</v>
      </c>
      <c r="U319" s="77">
        <v>5954.1586249999991</v>
      </c>
      <c r="V319" s="77">
        <v>0</v>
      </c>
      <c r="W319" s="79">
        <f t="shared" si="35"/>
        <v>14771.916125</v>
      </c>
      <c r="X319" s="88"/>
    </row>
    <row r="320" spans="1:24" hidden="1" x14ac:dyDescent="0.3">
      <c r="A320" s="1">
        <f>+Precios!A320</f>
        <v>2026</v>
      </c>
      <c r="B320" s="52">
        <f>+Precios!B320</f>
        <v>46204</v>
      </c>
      <c r="C320" s="1">
        <v>31</v>
      </c>
      <c r="D320" s="1" t="str">
        <f>+Precios!C320</f>
        <v>jue</v>
      </c>
      <c r="E320" s="5">
        <f>+Precios!D320</f>
        <v>46226</v>
      </c>
      <c r="F320" s="77">
        <v>2496.5612499999997</v>
      </c>
      <c r="G320" s="77">
        <v>850.20291666666662</v>
      </c>
      <c r="H320" s="77">
        <v>247.36416666666685</v>
      </c>
      <c r="I320" s="77">
        <v>810.21462499999973</v>
      </c>
      <c r="J320" s="77">
        <v>1307.6637499999999</v>
      </c>
      <c r="K320" s="77">
        <v>1677.6179166666643</v>
      </c>
      <c r="L320" s="77">
        <v>1723.9449999999913</v>
      </c>
      <c r="M320" s="77">
        <v>1179.8754166666665</v>
      </c>
      <c r="N320" s="78">
        <f t="shared" si="34"/>
        <v>10293.445041666653</v>
      </c>
      <c r="O320" s="1">
        <v>1500</v>
      </c>
      <c r="P320" s="77">
        <v>917.7</v>
      </c>
      <c r="Q320" s="77">
        <v>983.26374999999996</v>
      </c>
      <c r="R320" s="77">
        <v>3648.95</v>
      </c>
      <c r="S320" s="77">
        <v>1755</v>
      </c>
      <c r="T320" s="77">
        <v>0</v>
      </c>
      <c r="U320" s="77">
        <v>6180.3140416666674</v>
      </c>
      <c r="V320" s="77">
        <v>0</v>
      </c>
      <c r="W320" s="79">
        <f t="shared" si="35"/>
        <v>14985.227791666668</v>
      </c>
      <c r="X320" s="88"/>
    </row>
    <row r="321" spans="1:24" hidden="1" x14ac:dyDescent="0.3">
      <c r="A321" s="1">
        <f>+Precios!A321</f>
        <v>2026</v>
      </c>
      <c r="B321" s="52">
        <f>+Precios!B321</f>
        <v>46204</v>
      </c>
      <c r="C321" s="1">
        <v>31</v>
      </c>
      <c r="D321" s="1" t="str">
        <f>+Precios!C321</f>
        <v>vie</v>
      </c>
      <c r="E321" s="5">
        <f>+Precios!D321</f>
        <v>46227</v>
      </c>
      <c r="F321" s="77">
        <v>1933.6683333333333</v>
      </c>
      <c r="G321" s="77">
        <v>763.71250000000009</v>
      </c>
      <c r="H321" s="77">
        <v>211.72916666666671</v>
      </c>
      <c r="I321" s="77">
        <v>752.6818333333332</v>
      </c>
      <c r="J321" s="77">
        <v>1304.9054166666665</v>
      </c>
      <c r="K321" s="77">
        <v>1641.5362499999983</v>
      </c>
      <c r="L321" s="77">
        <v>1751.4204166666659</v>
      </c>
      <c r="M321" s="77">
        <v>948.59749999999985</v>
      </c>
      <c r="N321" s="78">
        <f t="shared" si="34"/>
        <v>9308.2514166666624</v>
      </c>
      <c r="O321" s="1">
        <v>1500</v>
      </c>
      <c r="P321" s="77">
        <v>825.82500000000005</v>
      </c>
      <c r="Q321" s="77">
        <v>986.37</v>
      </c>
      <c r="R321" s="77">
        <v>3648.95</v>
      </c>
      <c r="S321" s="77">
        <v>1755</v>
      </c>
      <c r="T321" s="77">
        <v>0</v>
      </c>
      <c r="U321" s="77">
        <v>6167.716625</v>
      </c>
      <c r="V321" s="77">
        <v>0</v>
      </c>
      <c r="W321" s="79">
        <f t="shared" si="35"/>
        <v>14883.861625000001</v>
      </c>
      <c r="X321" s="88"/>
    </row>
    <row r="322" spans="1:24" hidden="1" x14ac:dyDescent="0.3">
      <c r="A322" s="1">
        <f>+Precios!A322</f>
        <v>2026</v>
      </c>
      <c r="B322" s="52">
        <f>+Precios!B322</f>
        <v>46204</v>
      </c>
      <c r="C322" s="1">
        <v>31</v>
      </c>
      <c r="D322" s="1" t="str">
        <f>+Precios!C322</f>
        <v>sáb</v>
      </c>
      <c r="E322" s="5">
        <f>+Precios!D322</f>
        <v>46228</v>
      </c>
      <c r="F322" s="77">
        <v>1861.9204166666668</v>
      </c>
      <c r="G322" s="77">
        <v>752.50541666666652</v>
      </c>
      <c r="H322" s="77">
        <v>165.25249999999994</v>
      </c>
      <c r="I322" s="77">
        <v>445.65766666666656</v>
      </c>
      <c r="J322" s="77">
        <v>1307.0333333333335</v>
      </c>
      <c r="K322" s="77">
        <v>1835.4304166666625</v>
      </c>
      <c r="L322" s="77">
        <v>1295.2404166666663</v>
      </c>
      <c r="M322" s="77">
        <v>857.81541666666647</v>
      </c>
      <c r="N322" s="78">
        <f t="shared" si="34"/>
        <v>8520.8555833333285</v>
      </c>
      <c r="O322" s="1">
        <v>1500</v>
      </c>
      <c r="P322" s="77">
        <v>809.55000000000007</v>
      </c>
      <c r="Q322" s="77">
        <v>986.15125</v>
      </c>
      <c r="R322" s="77">
        <v>3648.95</v>
      </c>
      <c r="S322" s="77">
        <v>1755</v>
      </c>
      <c r="T322" s="77">
        <v>0</v>
      </c>
      <c r="U322" s="77">
        <v>6134.3009583333342</v>
      </c>
      <c r="V322" s="77">
        <v>0</v>
      </c>
      <c r="W322" s="79">
        <f t="shared" si="35"/>
        <v>14833.952208333332</v>
      </c>
      <c r="X322" s="88"/>
    </row>
    <row r="323" spans="1:24" hidden="1" x14ac:dyDescent="0.3">
      <c r="A323" s="1">
        <f>+Precios!A323</f>
        <v>2026</v>
      </c>
      <c r="B323" s="52">
        <f>+Precios!B323</f>
        <v>46204</v>
      </c>
      <c r="C323" s="1">
        <v>31</v>
      </c>
      <c r="D323" s="1" t="str">
        <f>+Precios!C323</f>
        <v>dom</v>
      </c>
      <c r="E323" s="5">
        <f>+Precios!D323</f>
        <v>46229</v>
      </c>
      <c r="F323" s="77">
        <v>1928.18625</v>
      </c>
      <c r="G323" s="77">
        <v>709.62791666666647</v>
      </c>
      <c r="H323" s="77">
        <v>191.13541666666671</v>
      </c>
      <c r="I323" s="77">
        <v>329.18331249999994</v>
      </c>
      <c r="J323" s="77">
        <v>1306.7416666666668</v>
      </c>
      <c r="K323" s="77">
        <v>1116.0787500000013</v>
      </c>
      <c r="L323" s="77">
        <v>1399.8445833333351</v>
      </c>
      <c r="M323" s="77">
        <v>881.22125000000017</v>
      </c>
      <c r="N323" s="78">
        <f t="shared" si="34"/>
        <v>7862.0191458333366</v>
      </c>
      <c r="O323" s="1">
        <v>1500</v>
      </c>
      <c r="P323" s="77">
        <v>770.7</v>
      </c>
      <c r="Q323" s="77">
        <v>986.19500000000005</v>
      </c>
      <c r="R323" s="77">
        <v>3648.95</v>
      </c>
      <c r="S323" s="77">
        <v>1755</v>
      </c>
      <c r="T323" s="77">
        <v>0</v>
      </c>
      <c r="U323" s="77">
        <v>6136.6022083333337</v>
      </c>
      <c r="V323" s="77">
        <v>0</v>
      </c>
      <c r="W323" s="79">
        <f t="shared" si="35"/>
        <v>14797.447208333333</v>
      </c>
      <c r="X323" s="88"/>
    </row>
    <row r="324" spans="1:24" hidden="1" x14ac:dyDescent="0.3">
      <c r="A324" s="1">
        <f>+Precios!A324</f>
        <v>2026</v>
      </c>
      <c r="B324" s="52">
        <f>+Precios!B324</f>
        <v>46204</v>
      </c>
      <c r="C324" s="1">
        <v>31</v>
      </c>
      <c r="D324" s="1" t="str">
        <f>+Precios!C324</f>
        <v>lun</v>
      </c>
      <c r="E324" s="5">
        <f>+Precios!D324</f>
        <v>46230</v>
      </c>
      <c r="F324" s="77">
        <v>1671.1295833333336</v>
      </c>
      <c r="G324" s="77">
        <v>693.58500000000004</v>
      </c>
      <c r="H324" s="77">
        <v>236.98749999999995</v>
      </c>
      <c r="I324" s="77">
        <v>910.46060416666649</v>
      </c>
      <c r="J324" s="77">
        <v>1304.2429166666664</v>
      </c>
      <c r="K324" s="77">
        <v>1427.0354166666668</v>
      </c>
      <c r="L324" s="77">
        <v>1778.9329166666694</v>
      </c>
      <c r="M324" s="77">
        <v>971.42958333333354</v>
      </c>
      <c r="N324" s="78">
        <f t="shared" si="34"/>
        <v>8993.8035208333349</v>
      </c>
      <c r="O324" s="1">
        <v>1500</v>
      </c>
      <c r="P324" s="77">
        <v>740.25</v>
      </c>
      <c r="Q324" s="77">
        <v>987.98874999999998</v>
      </c>
      <c r="R324" s="77">
        <v>3648.95</v>
      </c>
      <c r="S324" s="77">
        <v>1755</v>
      </c>
      <c r="T324" s="77">
        <v>0</v>
      </c>
      <c r="U324" s="77">
        <v>6142.7943750000013</v>
      </c>
      <c r="V324" s="77">
        <v>0</v>
      </c>
      <c r="W324" s="79">
        <f t="shared" si="35"/>
        <v>14774.983125000001</v>
      </c>
      <c r="X324" s="88"/>
    </row>
    <row r="325" spans="1:24" hidden="1" x14ac:dyDescent="0.3">
      <c r="A325" s="1">
        <f>+Precios!A325</f>
        <v>2026</v>
      </c>
      <c r="B325" s="52">
        <f>+Precios!B325</f>
        <v>46204</v>
      </c>
      <c r="C325" s="1">
        <v>31</v>
      </c>
      <c r="D325" s="1" t="str">
        <f>+Precios!C325</f>
        <v>mar</v>
      </c>
      <c r="E325" s="5">
        <f>+Precios!D325</f>
        <v>46231</v>
      </c>
      <c r="F325" s="77">
        <v>2289.5120833333335</v>
      </c>
      <c r="G325" s="77">
        <v>657.60291666666683</v>
      </c>
      <c r="H325" s="77">
        <v>206.49416666666681</v>
      </c>
      <c r="I325" s="77">
        <v>472.20343750000006</v>
      </c>
      <c r="J325" s="77">
        <v>1305.3608333333334</v>
      </c>
      <c r="K325" s="77">
        <v>931.23416666666833</v>
      </c>
      <c r="L325" s="77">
        <v>2061.7958333333295</v>
      </c>
      <c r="M325" s="77">
        <v>906.62416666666684</v>
      </c>
      <c r="N325" s="78">
        <f t="shared" si="34"/>
        <v>8830.827604166665</v>
      </c>
      <c r="O325" s="1">
        <v>1500</v>
      </c>
      <c r="P325" s="77">
        <v>719.77499999999998</v>
      </c>
      <c r="Q325" s="77">
        <v>989.60750000000007</v>
      </c>
      <c r="R325" s="77">
        <v>3648.95</v>
      </c>
      <c r="S325" s="77">
        <v>1755</v>
      </c>
      <c r="T325" s="77">
        <v>0</v>
      </c>
      <c r="U325" s="77">
        <v>6150.8932916666672</v>
      </c>
      <c r="V325" s="77">
        <v>0</v>
      </c>
      <c r="W325" s="79">
        <f t="shared" si="35"/>
        <v>14764.225791666668</v>
      </c>
      <c r="X325" s="88"/>
    </row>
    <row r="326" spans="1:24" hidden="1" x14ac:dyDescent="0.3">
      <c r="A326" s="1">
        <f>+Precios!A326</f>
        <v>2026</v>
      </c>
      <c r="B326" s="52">
        <f>+Precios!B326</f>
        <v>46204</v>
      </c>
      <c r="C326" s="1">
        <v>31</v>
      </c>
      <c r="D326" s="1" t="str">
        <f>+Precios!C326</f>
        <v>mié</v>
      </c>
      <c r="E326" s="5">
        <f>+Precios!D326</f>
        <v>46232</v>
      </c>
      <c r="F326" s="77">
        <v>2191.018333333333</v>
      </c>
      <c r="G326" s="77">
        <v>692.14416666666659</v>
      </c>
      <c r="H326" s="77">
        <v>241.23333333333355</v>
      </c>
      <c r="I326" s="77">
        <v>866.10035416666665</v>
      </c>
      <c r="J326" s="77">
        <v>1305.6754166666669</v>
      </c>
      <c r="K326" s="77">
        <v>920.22291666666399</v>
      </c>
      <c r="L326" s="77">
        <v>2074.8358333333299</v>
      </c>
      <c r="M326" s="77">
        <v>800.8516666666668</v>
      </c>
      <c r="N326" s="78">
        <f t="shared" si="34"/>
        <v>9092.082020833328</v>
      </c>
      <c r="O326" s="1">
        <v>1500</v>
      </c>
      <c r="P326" s="77">
        <v>746.55000000000007</v>
      </c>
      <c r="Q326" s="77">
        <v>993.41375000000005</v>
      </c>
      <c r="R326" s="77">
        <v>3677.1828124999997</v>
      </c>
      <c r="S326" s="77">
        <v>1755</v>
      </c>
      <c r="T326" s="77">
        <v>0</v>
      </c>
      <c r="U326" s="77">
        <v>6217.0776249999981</v>
      </c>
      <c r="V326" s="77">
        <v>0</v>
      </c>
      <c r="W326" s="79">
        <f t="shared" si="35"/>
        <v>14889.224187499998</v>
      </c>
      <c r="X326" s="88"/>
    </row>
    <row r="327" spans="1:24" hidden="1" x14ac:dyDescent="0.3">
      <c r="A327" s="1">
        <f>+Precios!A327</f>
        <v>2026</v>
      </c>
      <c r="B327" s="52">
        <f>+Precios!B327</f>
        <v>46204</v>
      </c>
      <c r="C327" s="1">
        <v>31</v>
      </c>
      <c r="D327" s="1" t="str">
        <f>+Precios!C327</f>
        <v>jue</v>
      </c>
      <c r="E327" s="5">
        <f>+Precios!D327</f>
        <v>46233</v>
      </c>
      <c r="F327" s="77">
        <v>2170.3783333333336</v>
      </c>
      <c r="G327" s="77">
        <v>1116.7350000000001</v>
      </c>
      <c r="H327" s="77">
        <v>234.33708333333348</v>
      </c>
      <c r="I327" s="77">
        <v>512.50402083333336</v>
      </c>
      <c r="J327" s="77">
        <v>1306.8091666666669</v>
      </c>
      <c r="K327" s="77">
        <v>1781.2829166666643</v>
      </c>
      <c r="L327" s="77">
        <v>1790.8433333333321</v>
      </c>
      <c r="M327" s="77">
        <v>606.55583333333345</v>
      </c>
      <c r="N327" s="78">
        <f t="shared" si="34"/>
        <v>9519.4456874999978</v>
      </c>
      <c r="O327" s="1">
        <v>1500</v>
      </c>
      <c r="P327" s="77">
        <v>713.40543750000006</v>
      </c>
      <c r="Q327" s="77">
        <v>991.75125000000003</v>
      </c>
      <c r="R327" s="77">
        <v>3508.7359374999996</v>
      </c>
      <c r="S327" s="77">
        <v>1755</v>
      </c>
      <c r="T327" s="77">
        <v>0</v>
      </c>
      <c r="U327" s="77">
        <v>6185.3837916666653</v>
      </c>
      <c r="V327" s="77">
        <v>0</v>
      </c>
      <c r="W327" s="79">
        <f t="shared" si="35"/>
        <v>14654.276416666666</v>
      </c>
      <c r="X327" s="88"/>
    </row>
    <row r="328" spans="1:24" hidden="1" x14ac:dyDescent="0.3">
      <c r="A328" s="1">
        <f>+Precios!A328</f>
        <v>2026</v>
      </c>
      <c r="B328" s="52">
        <f>+Precios!B328</f>
        <v>46204</v>
      </c>
      <c r="C328" s="1">
        <v>31</v>
      </c>
      <c r="D328" s="1" t="str">
        <f>+Precios!C328</f>
        <v>vie</v>
      </c>
      <c r="E328" s="5">
        <f>+Precios!D328</f>
        <v>46234</v>
      </c>
      <c r="F328" s="77">
        <v>1852.2691666666667</v>
      </c>
      <c r="G328" s="77">
        <v>1741.4204166666668</v>
      </c>
      <c r="H328" s="77">
        <v>254.89291666666657</v>
      </c>
      <c r="I328" s="77">
        <v>737.78227083333343</v>
      </c>
      <c r="J328" s="77">
        <v>1304.9599999999998</v>
      </c>
      <c r="K328" s="77">
        <v>1487.5083333333321</v>
      </c>
      <c r="L328" s="77">
        <v>1650.6016666666644</v>
      </c>
      <c r="M328" s="77">
        <v>865.67416666666657</v>
      </c>
      <c r="N328" s="78">
        <f t="shared" si="34"/>
        <v>9895.1089374999956</v>
      </c>
      <c r="O328" s="1">
        <v>1500</v>
      </c>
      <c r="P328" s="77">
        <v>923.62637499999994</v>
      </c>
      <c r="Q328" s="77">
        <v>993.32625000000007</v>
      </c>
      <c r="R328" s="77">
        <v>3505.5</v>
      </c>
      <c r="S328" s="77">
        <v>1755</v>
      </c>
      <c r="T328" s="77">
        <v>0</v>
      </c>
      <c r="U328" s="77">
        <v>6008.0235000000021</v>
      </c>
      <c r="V328" s="77">
        <v>0</v>
      </c>
      <c r="W328" s="79">
        <f t="shared" si="35"/>
        <v>14685.476125000001</v>
      </c>
      <c r="X328" s="88"/>
    </row>
    <row r="329" spans="1:24" x14ac:dyDescent="0.3">
      <c r="A329" s="1">
        <f>+Precios!A329</f>
        <v>2026</v>
      </c>
      <c r="B329" s="52">
        <f>+Precios!B329</f>
        <v>46235</v>
      </c>
      <c r="C329" s="1">
        <v>31</v>
      </c>
      <c r="D329" s="1" t="str">
        <f>+Precios!C329</f>
        <v>sáb</v>
      </c>
      <c r="E329" s="5">
        <f>+Precios!D329</f>
        <v>46235</v>
      </c>
      <c r="F329" s="77">
        <v>2063.0270833333334</v>
      </c>
      <c r="G329" s="77">
        <v>668.67750000000001</v>
      </c>
      <c r="H329" s="77">
        <v>193.07291666666654</v>
      </c>
      <c r="I329" s="77">
        <v>450.73462499999994</v>
      </c>
      <c r="J329" s="77">
        <v>1303.4295833333331</v>
      </c>
      <c r="K329" s="77">
        <v>1249.1408333333302</v>
      </c>
      <c r="L329" s="77">
        <v>1662.1504166666643</v>
      </c>
      <c r="M329" s="77">
        <v>797.23750000000007</v>
      </c>
      <c r="N329" s="78">
        <f t="shared" si="34"/>
        <v>8387.4704583333278</v>
      </c>
      <c r="O329" s="1">
        <v>1500</v>
      </c>
      <c r="P329" s="77">
        <v>723.45</v>
      </c>
      <c r="Q329" s="77">
        <v>940.08249999999998</v>
      </c>
      <c r="R329" s="77">
        <v>3589.0635833333331</v>
      </c>
      <c r="S329" s="77">
        <v>1755</v>
      </c>
      <c r="T329" s="77">
        <v>0</v>
      </c>
      <c r="U329" s="77">
        <v>5959.6773333333349</v>
      </c>
      <c r="V329" s="77">
        <v>0</v>
      </c>
      <c r="W329" s="79">
        <f t="shared" si="35"/>
        <v>14467.273416666669</v>
      </c>
      <c r="X329" s="88"/>
    </row>
    <row r="330" spans="1:24" x14ac:dyDescent="0.3">
      <c r="A330" s="1">
        <f>+Precios!A330</f>
        <v>2026</v>
      </c>
      <c r="B330" s="52">
        <f>+Precios!B330</f>
        <v>46235</v>
      </c>
      <c r="C330" s="1">
        <v>31</v>
      </c>
      <c r="D330" s="1" t="str">
        <f>+Precios!C330</f>
        <v>dom</v>
      </c>
      <c r="E330" s="5">
        <f>+Precios!D330</f>
        <v>46236</v>
      </c>
      <c r="F330" s="77">
        <v>1946.9604166666668</v>
      </c>
      <c r="G330" s="77">
        <v>684.24000000000012</v>
      </c>
      <c r="H330" s="77">
        <v>204.61874999999995</v>
      </c>
      <c r="I330" s="77">
        <v>353.0928333333332</v>
      </c>
      <c r="J330" s="77">
        <v>1302.4716666666666</v>
      </c>
      <c r="K330" s="77">
        <v>1904.3908333333402</v>
      </c>
      <c r="L330" s="77">
        <v>1136.7941666666663</v>
      </c>
      <c r="M330" s="77">
        <v>464.30124999999992</v>
      </c>
      <c r="N330" s="78">
        <f t="shared" si="34"/>
        <v>7996.8699166666729</v>
      </c>
      <c r="O330" s="1">
        <v>1500</v>
      </c>
      <c r="P330" s="77">
        <v>729.75</v>
      </c>
      <c r="Q330" s="77">
        <v>934.52625</v>
      </c>
      <c r="R330" s="77">
        <v>3728.75</v>
      </c>
      <c r="S330" s="77">
        <v>1755</v>
      </c>
      <c r="T330" s="77">
        <v>0</v>
      </c>
      <c r="U330" s="77">
        <v>6088.723500000001</v>
      </c>
      <c r="V330" s="77">
        <v>0</v>
      </c>
      <c r="W330" s="79">
        <f t="shared" si="35"/>
        <v>14736.749749999999</v>
      </c>
      <c r="X330" s="88"/>
    </row>
    <row r="331" spans="1:24" x14ac:dyDescent="0.3">
      <c r="A331" s="1">
        <f>+Precios!A331</f>
        <v>2026</v>
      </c>
      <c r="B331" s="52">
        <f>+Precios!B331</f>
        <v>46235</v>
      </c>
      <c r="C331" s="1">
        <v>31</v>
      </c>
      <c r="D331" s="1" t="str">
        <f>+Precios!C331</f>
        <v>lun</v>
      </c>
      <c r="E331" s="5">
        <f>+Precios!D331</f>
        <v>46237</v>
      </c>
      <c r="F331" s="77">
        <v>2214.2437500000001</v>
      </c>
      <c r="G331" s="77">
        <v>701.74000000000012</v>
      </c>
      <c r="H331" s="77">
        <v>244.43500000000017</v>
      </c>
      <c r="I331" s="77">
        <v>1217.9241458333336</v>
      </c>
      <c r="J331" s="77">
        <v>1301.2016666666668</v>
      </c>
      <c r="K331" s="77">
        <v>1160.8074999999949</v>
      </c>
      <c r="L331" s="77">
        <v>1886.6566666666656</v>
      </c>
      <c r="M331" s="77">
        <v>881.60083333333296</v>
      </c>
      <c r="N331" s="78">
        <f t="shared" si="34"/>
        <v>9608.6095624999944</v>
      </c>
      <c r="O331" s="1">
        <v>1500</v>
      </c>
      <c r="P331" s="77">
        <v>756</v>
      </c>
      <c r="Q331" s="77">
        <v>932.03250000000003</v>
      </c>
      <c r="R331" s="77">
        <v>3747.75</v>
      </c>
      <c r="S331" s="77">
        <v>1755</v>
      </c>
      <c r="T331" s="77">
        <v>0</v>
      </c>
      <c r="U331" s="77">
        <v>6158.5560416666685</v>
      </c>
      <c r="V331" s="77">
        <v>0</v>
      </c>
      <c r="W331" s="79">
        <f t="shared" si="35"/>
        <v>14849.33854166667</v>
      </c>
      <c r="X331" s="88"/>
    </row>
    <row r="332" spans="1:24" x14ac:dyDescent="0.3">
      <c r="A332" s="1">
        <f>+Precios!A332</f>
        <v>2026</v>
      </c>
      <c r="B332" s="52">
        <f>+Precios!B332</f>
        <v>46235</v>
      </c>
      <c r="C332" s="1">
        <v>31</v>
      </c>
      <c r="D332" s="1" t="str">
        <f>+Precios!C332</f>
        <v>mar</v>
      </c>
      <c r="E332" s="5">
        <f>+Precios!D332</f>
        <v>46238</v>
      </c>
      <c r="F332" s="77">
        <v>2244.0466666666666</v>
      </c>
      <c r="G332" s="77">
        <v>707.37</v>
      </c>
      <c r="H332" s="77">
        <v>230.86541666666687</v>
      </c>
      <c r="I332" s="77">
        <v>827.7532083333333</v>
      </c>
      <c r="J332" s="77">
        <v>1301.4437499999999</v>
      </c>
      <c r="K332" s="77">
        <v>1283.5016666666668</v>
      </c>
      <c r="L332" s="77">
        <v>2069.6037499999979</v>
      </c>
      <c r="M332" s="77">
        <v>921.11791666666647</v>
      </c>
      <c r="N332" s="78">
        <f t="shared" si="34"/>
        <v>9585.7023749999989</v>
      </c>
      <c r="O332" s="1">
        <v>1500</v>
      </c>
      <c r="P332" s="77">
        <v>763.35</v>
      </c>
      <c r="Q332" s="77">
        <v>930.15125</v>
      </c>
      <c r="R332" s="77">
        <v>3751.9299999999994</v>
      </c>
      <c r="S332" s="77">
        <v>1755</v>
      </c>
      <c r="T332" s="77">
        <v>0</v>
      </c>
      <c r="U332" s="77">
        <v>6184.8328333333357</v>
      </c>
      <c r="V332" s="77">
        <v>0</v>
      </c>
      <c r="W332" s="79">
        <f t="shared" si="35"/>
        <v>14885.264083333335</v>
      </c>
      <c r="X332" s="88"/>
    </row>
    <row r="333" spans="1:24" x14ac:dyDescent="0.3">
      <c r="A333" s="1">
        <f>+Precios!A333</f>
        <v>2026</v>
      </c>
      <c r="B333" s="52">
        <f>+Precios!B333</f>
        <v>46235</v>
      </c>
      <c r="C333" s="1">
        <v>31</v>
      </c>
      <c r="D333" s="1" t="str">
        <f>+Precios!C333</f>
        <v>mié</v>
      </c>
      <c r="E333" s="5">
        <f>+Precios!D333</f>
        <v>46239</v>
      </c>
      <c r="F333" s="77">
        <v>2039.0858333333329</v>
      </c>
      <c r="G333" s="77">
        <v>722.50874999999996</v>
      </c>
      <c r="H333" s="77">
        <v>300.74416666666679</v>
      </c>
      <c r="I333" s="77">
        <v>1336.8661249999998</v>
      </c>
      <c r="J333" s="77">
        <v>1303.9737500000003</v>
      </c>
      <c r="K333" s="77">
        <v>1103.0108333333303</v>
      </c>
      <c r="L333" s="77">
        <v>2272.9933333333388</v>
      </c>
      <c r="M333" s="77">
        <v>880.86083333333283</v>
      </c>
      <c r="N333" s="78">
        <f t="shared" si="34"/>
        <v>9960.0436250000002</v>
      </c>
      <c r="O333" s="1">
        <v>1500</v>
      </c>
      <c r="P333" s="77">
        <v>769.125</v>
      </c>
      <c r="Q333" s="77">
        <v>935.53250000000003</v>
      </c>
      <c r="R333" s="77">
        <v>3751.9299999999994</v>
      </c>
      <c r="S333" s="77">
        <v>1755</v>
      </c>
      <c r="T333" s="77">
        <v>0</v>
      </c>
      <c r="U333" s="77">
        <v>6232.3123749999986</v>
      </c>
      <c r="V333" s="77">
        <v>0</v>
      </c>
      <c r="W333" s="79">
        <f t="shared" si="35"/>
        <v>14943.899874999999</v>
      </c>
      <c r="X333" s="88"/>
    </row>
    <row r="334" spans="1:24" x14ac:dyDescent="0.3">
      <c r="A334" s="1">
        <f>+Precios!A334</f>
        <v>2026</v>
      </c>
      <c r="B334" s="52">
        <f>+Precios!B334</f>
        <v>46235</v>
      </c>
      <c r="C334" s="1">
        <v>31</v>
      </c>
      <c r="D334" s="1" t="str">
        <f>+Precios!C334</f>
        <v>jue</v>
      </c>
      <c r="E334" s="5">
        <f>+Precios!D334</f>
        <v>46240</v>
      </c>
      <c r="F334" s="77">
        <v>1907.9854166666667</v>
      </c>
      <c r="G334" s="77">
        <v>715.27125000000012</v>
      </c>
      <c r="H334" s="77">
        <v>278.76041666666669</v>
      </c>
      <c r="I334" s="77">
        <v>975.15481249999993</v>
      </c>
      <c r="J334" s="77">
        <v>1304.1204166666669</v>
      </c>
      <c r="K334" s="77">
        <v>1638.4816666666609</v>
      </c>
      <c r="L334" s="77">
        <v>1849.8254166666686</v>
      </c>
      <c r="M334" s="77">
        <v>1398.4679166666665</v>
      </c>
      <c r="N334" s="78">
        <f t="shared" si="34"/>
        <v>10068.067312499996</v>
      </c>
      <c r="O334" s="1">
        <v>1500</v>
      </c>
      <c r="P334" s="77">
        <v>769.125</v>
      </c>
      <c r="Q334" s="77">
        <v>935.09500000000003</v>
      </c>
      <c r="R334" s="77">
        <v>3751.9299999999994</v>
      </c>
      <c r="S334" s="77">
        <v>1755</v>
      </c>
      <c r="T334" s="77">
        <v>0</v>
      </c>
      <c r="U334" s="77">
        <v>6254.0354166666675</v>
      </c>
      <c r="V334" s="77">
        <v>0</v>
      </c>
      <c r="W334" s="79">
        <f t="shared" si="35"/>
        <v>14965.185416666667</v>
      </c>
      <c r="X334" s="88"/>
    </row>
    <row r="335" spans="1:24" x14ac:dyDescent="0.3">
      <c r="A335" s="1">
        <f>+Precios!A335</f>
        <v>2026</v>
      </c>
      <c r="B335" s="52">
        <f>+Precios!B335</f>
        <v>46235</v>
      </c>
      <c r="C335" s="1">
        <v>31</v>
      </c>
      <c r="D335" s="1" t="str">
        <f>+Precios!C335</f>
        <v>vie</v>
      </c>
      <c r="E335" s="5">
        <f>+Precios!D335</f>
        <v>46241</v>
      </c>
      <c r="F335" s="77">
        <v>2320.9787499999998</v>
      </c>
      <c r="G335" s="77">
        <v>734.54124999999988</v>
      </c>
      <c r="H335" s="77">
        <v>281.68583333333333</v>
      </c>
      <c r="I335" s="77">
        <v>1123.5832083333335</v>
      </c>
      <c r="J335" s="77">
        <v>1304.0962500000003</v>
      </c>
      <c r="K335" s="77">
        <v>1825.0433333333369</v>
      </c>
      <c r="L335" s="77">
        <v>1959.4837499999933</v>
      </c>
      <c r="M335" s="77">
        <v>1337.8516666666662</v>
      </c>
      <c r="N335" s="78">
        <f t="shared" si="34"/>
        <v>10887.264041666664</v>
      </c>
      <c r="O335" s="1">
        <v>1500</v>
      </c>
      <c r="P335" s="77">
        <v>802.2</v>
      </c>
      <c r="Q335" s="77">
        <v>975.02256249999994</v>
      </c>
      <c r="R335" s="77">
        <v>3751.9299999999994</v>
      </c>
      <c r="S335" s="77">
        <v>1755</v>
      </c>
      <c r="T335" s="77">
        <v>0</v>
      </c>
      <c r="U335" s="77">
        <v>6238.7428333333355</v>
      </c>
      <c r="V335" s="77">
        <v>0</v>
      </c>
      <c r="W335" s="79">
        <f t="shared" si="35"/>
        <v>15022.895395833335</v>
      </c>
      <c r="X335" s="88"/>
    </row>
    <row r="336" spans="1:24" x14ac:dyDescent="0.3">
      <c r="A336" s="1">
        <f>+Precios!A336</f>
        <v>2026</v>
      </c>
      <c r="B336" s="52">
        <f>+Precios!B336</f>
        <v>46235</v>
      </c>
      <c r="C336" s="1">
        <v>31</v>
      </c>
      <c r="D336" s="1" t="str">
        <f>+Precios!C336</f>
        <v>sáb</v>
      </c>
      <c r="E336" s="5">
        <f>+Precios!D336</f>
        <v>46242</v>
      </c>
      <c r="F336" s="77">
        <v>2459.2920833333337</v>
      </c>
      <c r="G336" s="77">
        <v>761.27541666666684</v>
      </c>
      <c r="H336" s="77">
        <v>242.47166666666658</v>
      </c>
      <c r="I336" s="77">
        <v>543.4395833333333</v>
      </c>
      <c r="J336" s="77">
        <v>1303.674583333333</v>
      </c>
      <c r="K336" s="77">
        <v>2392.6883333333312</v>
      </c>
      <c r="L336" s="77">
        <v>1433.1233333333337</v>
      </c>
      <c r="M336" s="77">
        <v>1011.4108333333332</v>
      </c>
      <c r="N336" s="78">
        <f t="shared" si="34"/>
        <v>10147.375833333332</v>
      </c>
      <c r="O336" s="1">
        <v>1500</v>
      </c>
      <c r="P336" s="77">
        <v>820.57500000000005</v>
      </c>
      <c r="Q336" s="77">
        <v>1045.235625</v>
      </c>
      <c r="R336" s="77">
        <v>3751.9299999999994</v>
      </c>
      <c r="S336" s="77">
        <v>1755</v>
      </c>
      <c r="T336" s="77">
        <v>0</v>
      </c>
      <c r="U336" s="77">
        <v>6226.2555416666683</v>
      </c>
      <c r="V336" s="77">
        <v>0</v>
      </c>
      <c r="W336" s="79">
        <f t="shared" si="35"/>
        <v>15098.996166666668</v>
      </c>
      <c r="X336" s="88"/>
    </row>
    <row r="337" spans="1:24" x14ac:dyDescent="0.3">
      <c r="A337" s="1">
        <f>+Precios!A337</f>
        <v>2026</v>
      </c>
      <c r="B337" s="52">
        <f>+Precios!B337</f>
        <v>46235</v>
      </c>
      <c r="C337" s="1">
        <v>31</v>
      </c>
      <c r="D337" s="1" t="str">
        <f>+Precios!C337</f>
        <v>dom</v>
      </c>
      <c r="E337" s="5">
        <f>+Precios!D337</f>
        <v>46243</v>
      </c>
      <c r="F337" s="77">
        <v>2257.9358333333334</v>
      </c>
      <c r="G337" s="77">
        <v>770.85583333333341</v>
      </c>
      <c r="H337" s="77">
        <v>237.35541666666677</v>
      </c>
      <c r="I337" s="77">
        <v>593.17960416666665</v>
      </c>
      <c r="J337" s="77">
        <v>1304.2279166666667</v>
      </c>
      <c r="K337" s="77">
        <v>2203.680416666667</v>
      </c>
      <c r="L337" s="77">
        <v>1404.411666666666</v>
      </c>
      <c r="M337" s="77">
        <v>1118.5962499999994</v>
      </c>
      <c r="N337" s="78">
        <f t="shared" si="34"/>
        <v>9890.2429374999992</v>
      </c>
      <c r="O337" s="1">
        <v>1500</v>
      </c>
      <c r="P337" s="77">
        <v>838.42500000000007</v>
      </c>
      <c r="Q337" s="77">
        <v>1042.67625</v>
      </c>
      <c r="R337" s="77">
        <v>3770.9299999999994</v>
      </c>
      <c r="S337" s="77">
        <v>1755</v>
      </c>
      <c r="T337" s="77">
        <v>0</v>
      </c>
      <c r="U337" s="77">
        <v>6244.0111666666662</v>
      </c>
      <c r="V337" s="77">
        <v>0</v>
      </c>
      <c r="W337" s="79">
        <f t="shared" si="35"/>
        <v>15151.042416666667</v>
      </c>
      <c r="X337" s="88"/>
    </row>
    <row r="338" spans="1:24" x14ac:dyDescent="0.3">
      <c r="A338" s="1">
        <f>+Precios!A338</f>
        <v>2026</v>
      </c>
      <c r="B338" s="52">
        <f>+Precios!B338</f>
        <v>46235</v>
      </c>
      <c r="C338" s="1">
        <v>31</v>
      </c>
      <c r="D338" s="1" t="str">
        <f>+Precios!C338</f>
        <v>lun</v>
      </c>
      <c r="E338" s="5">
        <f>+Precios!D338</f>
        <v>46244</v>
      </c>
      <c r="F338" s="77">
        <v>2393.8204166666669</v>
      </c>
      <c r="G338" s="77">
        <v>809.88250000000005</v>
      </c>
      <c r="H338" s="77">
        <v>308.20125000000002</v>
      </c>
      <c r="I338" s="77">
        <v>1512.6093958333327</v>
      </c>
      <c r="J338" s="77">
        <v>1303.0366666666669</v>
      </c>
      <c r="K338" s="77">
        <v>988.6112500000022</v>
      </c>
      <c r="L338" s="77">
        <v>2850.408333333331</v>
      </c>
      <c r="M338" s="77">
        <v>1266.93625</v>
      </c>
      <c r="N338" s="78">
        <f t="shared" si="34"/>
        <v>11433.506062500001</v>
      </c>
      <c r="O338" s="1">
        <v>1500</v>
      </c>
      <c r="P338" s="77">
        <v>884.625</v>
      </c>
      <c r="Q338" s="77">
        <v>1039.22</v>
      </c>
      <c r="R338" s="77">
        <v>3770.9299999999994</v>
      </c>
      <c r="S338" s="77">
        <v>1755</v>
      </c>
      <c r="T338" s="77">
        <v>0</v>
      </c>
      <c r="U338" s="77">
        <v>6265.6737916666698</v>
      </c>
      <c r="V338" s="77">
        <v>0</v>
      </c>
      <c r="W338" s="79">
        <f t="shared" si="35"/>
        <v>15215.448791666669</v>
      </c>
      <c r="X338" s="88"/>
    </row>
    <row r="339" spans="1:24" x14ac:dyDescent="0.3">
      <c r="A339" s="1">
        <f>+Precios!A339</f>
        <v>2026</v>
      </c>
      <c r="B339" s="52">
        <f>+Precios!B339</f>
        <v>46235</v>
      </c>
      <c r="C339" s="1">
        <v>31</v>
      </c>
      <c r="D339" s="1" t="str">
        <f>+Precios!C339</f>
        <v>mar</v>
      </c>
      <c r="E339" s="5">
        <f>+Precios!D339</f>
        <v>46245</v>
      </c>
      <c r="F339" s="77">
        <v>2146.3366666666666</v>
      </c>
      <c r="G339" s="77">
        <v>766.06791666666675</v>
      </c>
      <c r="H339" s="77">
        <v>347.25458333333341</v>
      </c>
      <c r="I339" s="77">
        <v>1873.2642291666673</v>
      </c>
      <c r="J339" s="77">
        <v>1308.4762499999999</v>
      </c>
      <c r="K339" s="77">
        <v>826.86583333333272</v>
      </c>
      <c r="L339" s="77">
        <v>3056.7404166666606</v>
      </c>
      <c r="M339" s="77">
        <v>1174.291666666667</v>
      </c>
      <c r="N339" s="78">
        <f t="shared" si="34"/>
        <v>11499.297562499993</v>
      </c>
      <c r="O339" s="1">
        <v>1500</v>
      </c>
      <c r="P339" s="77">
        <v>837.68715625000004</v>
      </c>
      <c r="Q339" s="77">
        <v>1036.5074999999999</v>
      </c>
      <c r="R339" s="77">
        <v>3770.9299999999994</v>
      </c>
      <c r="S339" s="77">
        <v>1755</v>
      </c>
      <c r="T339" s="77">
        <v>0</v>
      </c>
      <c r="U339" s="77">
        <v>6266.4809583333363</v>
      </c>
      <c r="V339" s="77">
        <v>0</v>
      </c>
      <c r="W339" s="79">
        <f t="shared" si="35"/>
        <v>15166.605614583335</v>
      </c>
      <c r="X339" s="88"/>
    </row>
    <row r="340" spans="1:24" x14ac:dyDescent="0.3">
      <c r="A340" s="1">
        <f>+Precios!A340</f>
        <v>2026</v>
      </c>
      <c r="B340" s="52">
        <f>+Precios!B340</f>
        <v>46235</v>
      </c>
      <c r="C340" s="1">
        <v>31</v>
      </c>
      <c r="D340" s="1" t="str">
        <f>+Precios!C340</f>
        <v>mié</v>
      </c>
      <c r="E340" s="5">
        <f>+Precios!D340</f>
        <v>46246</v>
      </c>
      <c r="F340" s="77">
        <v>2079.6725000000001</v>
      </c>
      <c r="G340" s="77">
        <v>772.32916666666677</v>
      </c>
      <c r="H340" s="77">
        <v>346.39875000000029</v>
      </c>
      <c r="I340" s="77">
        <v>1916.1080416666666</v>
      </c>
      <c r="J340" s="77">
        <v>1304.8833333333334</v>
      </c>
      <c r="K340" s="77">
        <v>772.7558333333335</v>
      </c>
      <c r="L340" s="77">
        <v>3207.5245833333138</v>
      </c>
      <c r="M340" s="77">
        <v>1192.6816666666662</v>
      </c>
      <c r="N340" s="78">
        <f t="shared" si="34"/>
        <v>11592.353874999981</v>
      </c>
      <c r="O340" s="1">
        <v>1500</v>
      </c>
      <c r="P340" s="77">
        <v>838.95</v>
      </c>
      <c r="Q340" s="77">
        <v>1038.8700000000001</v>
      </c>
      <c r="R340" s="77">
        <v>3770.9299999999994</v>
      </c>
      <c r="S340" s="77">
        <v>1755</v>
      </c>
      <c r="T340" s="77">
        <v>0</v>
      </c>
      <c r="U340" s="77">
        <v>6209.7816666666658</v>
      </c>
      <c r="V340" s="77">
        <v>0</v>
      </c>
      <c r="W340" s="79">
        <f t="shared" si="35"/>
        <v>15113.531666666666</v>
      </c>
      <c r="X340" s="88"/>
    </row>
    <row r="341" spans="1:24" x14ac:dyDescent="0.3">
      <c r="A341" s="1">
        <f>+Precios!A341</f>
        <v>2026</v>
      </c>
      <c r="B341" s="52">
        <f>+Precios!B341</f>
        <v>46235</v>
      </c>
      <c r="C341" s="1">
        <v>31</v>
      </c>
      <c r="D341" s="1" t="str">
        <f>+Precios!C341</f>
        <v>jue</v>
      </c>
      <c r="E341" s="5">
        <f>+Precios!D341</f>
        <v>46247</v>
      </c>
      <c r="F341" s="77">
        <v>2060.4837499999994</v>
      </c>
      <c r="G341" s="77">
        <v>792.46500000000003</v>
      </c>
      <c r="H341" s="77">
        <v>349.58083333333326</v>
      </c>
      <c r="I341" s="77">
        <v>1703.0333333333335</v>
      </c>
      <c r="J341" s="77">
        <v>1306.8483333333331</v>
      </c>
      <c r="K341" s="77">
        <v>1482.7212500000023</v>
      </c>
      <c r="L341" s="77">
        <v>2726.405000000002</v>
      </c>
      <c r="M341" s="77">
        <v>1119.7841666666668</v>
      </c>
      <c r="N341" s="78">
        <f t="shared" si="34"/>
        <v>11541.32166666667</v>
      </c>
      <c r="O341" s="1">
        <v>1500</v>
      </c>
      <c r="P341" s="77">
        <v>841.05000000000007</v>
      </c>
      <c r="Q341" s="77">
        <v>1006.028625</v>
      </c>
      <c r="R341" s="77">
        <v>3770.9299999999994</v>
      </c>
      <c r="S341" s="77">
        <v>1755</v>
      </c>
      <c r="T341" s="77">
        <v>0</v>
      </c>
      <c r="U341" s="77">
        <v>6168.0064166666689</v>
      </c>
      <c r="V341" s="77">
        <v>0</v>
      </c>
      <c r="W341" s="79">
        <f t="shared" si="35"/>
        <v>15041.015041666667</v>
      </c>
      <c r="X341" s="88"/>
    </row>
    <row r="342" spans="1:24" x14ac:dyDescent="0.3">
      <c r="A342" s="1">
        <f>+Precios!A342</f>
        <v>2026</v>
      </c>
      <c r="B342" s="52">
        <f>+Precios!B342</f>
        <v>46235</v>
      </c>
      <c r="C342" s="1">
        <v>31</v>
      </c>
      <c r="D342" s="1" t="str">
        <f>+Precios!C342</f>
        <v>vie</v>
      </c>
      <c r="E342" s="5">
        <f>+Precios!D342</f>
        <v>46248</v>
      </c>
      <c r="F342" s="77">
        <v>2076.5866666666666</v>
      </c>
      <c r="G342" s="77">
        <v>770.21458333333328</v>
      </c>
      <c r="H342" s="77">
        <v>300.01083333333344</v>
      </c>
      <c r="I342" s="77">
        <v>1128.1004583333333</v>
      </c>
      <c r="J342" s="77">
        <v>1307.9183333333335</v>
      </c>
      <c r="K342" s="77">
        <v>1827.0154166666662</v>
      </c>
      <c r="L342" s="77">
        <v>2309.1354166666606</v>
      </c>
      <c r="M342" s="77">
        <v>1301.4241666666671</v>
      </c>
      <c r="N342" s="78">
        <f t="shared" si="34"/>
        <v>11020.405874999993</v>
      </c>
      <c r="O342" s="1">
        <v>1500</v>
      </c>
      <c r="P342" s="77">
        <v>830.55000000000007</v>
      </c>
      <c r="Q342" s="77">
        <v>1046.8981250000002</v>
      </c>
      <c r="R342" s="77">
        <v>3827.9299999999994</v>
      </c>
      <c r="S342" s="77">
        <v>1755</v>
      </c>
      <c r="T342" s="77">
        <v>0</v>
      </c>
      <c r="U342" s="77">
        <v>6307.3177500000002</v>
      </c>
      <c r="V342" s="77">
        <v>0</v>
      </c>
      <c r="W342" s="79">
        <f t="shared" si="35"/>
        <v>15267.695874999999</v>
      </c>
      <c r="X342" s="88"/>
    </row>
    <row r="343" spans="1:24" x14ac:dyDescent="0.3">
      <c r="A343" s="1">
        <f>+Precios!A343</f>
        <v>2026</v>
      </c>
      <c r="B343" s="52">
        <f>+Precios!B343</f>
        <v>46235</v>
      </c>
      <c r="C343" s="1">
        <v>31</v>
      </c>
      <c r="D343" s="1" t="str">
        <f>+Precios!C343</f>
        <v>sáb</v>
      </c>
      <c r="E343" s="5">
        <f>+Precios!D343</f>
        <v>46249</v>
      </c>
      <c r="F343" s="77">
        <v>1893.59</v>
      </c>
      <c r="G343" s="77">
        <v>749.1350000000001</v>
      </c>
      <c r="H343" s="77">
        <v>362.00125000000003</v>
      </c>
      <c r="I343" s="77">
        <v>1117.7565416666666</v>
      </c>
      <c r="J343" s="77">
        <v>1306.7958333333333</v>
      </c>
      <c r="K343" s="77">
        <v>1492.135416666664</v>
      </c>
      <c r="L343" s="77">
        <v>2016.5499999999984</v>
      </c>
      <c r="M343" s="77">
        <v>1463.3649999999998</v>
      </c>
      <c r="N343" s="78">
        <f t="shared" si="34"/>
        <v>10401.329041666662</v>
      </c>
      <c r="O343" s="1">
        <v>1500</v>
      </c>
      <c r="P343" s="77">
        <v>810.86840625000013</v>
      </c>
      <c r="Q343" s="77">
        <v>1049.6324999999999</v>
      </c>
      <c r="R343" s="77">
        <v>3827.9299999999994</v>
      </c>
      <c r="S343" s="77">
        <v>1755</v>
      </c>
      <c r="T343" s="77">
        <v>0</v>
      </c>
      <c r="U343" s="77">
        <v>6224.2961666666679</v>
      </c>
      <c r="V343" s="77">
        <v>0</v>
      </c>
      <c r="W343" s="79">
        <f t="shared" si="35"/>
        <v>15167.727072916667</v>
      </c>
      <c r="X343" s="88"/>
    </row>
    <row r="344" spans="1:24" x14ac:dyDescent="0.3">
      <c r="A344" s="1">
        <f>+Precios!A344</f>
        <v>2026</v>
      </c>
      <c r="B344" s="52">
        <f>+Precios!B344</f>
        <v>46235</v>
      </c>
      <c r="C344" s="1">
        <v>31</v>
      </c>
      <c r="D344" s="1" t="str">
        <f>+Precios!C344</f>
        <v>dom</v>
      </c>
      <c r="E344" s="5">
        <f>+Precios!D344</f>
        <v>46250</v>
      </c>
      <c r="F344" s="77">
        <v>1602.1900000000003</v>
      </c>
      <c r="G344" s="77">
        <v>772.06041666666658</v>
      </c>
      <c r="H344" s="77">
        <v>297.47041666666672</v>
      </c>
      <c r="I344" s="77">
        <v>898.00491666666642</v>
      </c>
      <c r="J344" s="77">
        <v>1308.7058333333334</v>
      </c>
      <c r="K344" s="77">
        <v>1411.9508333333335</v>
      </c>
      <c r="L344" s="77">
        <v>1661.6483333333299</v>
      </c>
      <c r="M344" s="77">
        <v>1660.2058333333325</v>
      </c>
      <c r="N344" s="78">
        <f t="shared" si="34"/>
        <v>9612.2365833333279</v>
      </c>
      <c r="O344" s="1">
        <v>1500</v>
      </c>
      <c r="P344" s="77">
        <v>830.02500000000009</v>
      </c>
      <c r="Q344" s="77">
        <v>1049.1075000000001</v>
      </c>
      <c r="R344" s="77">
        <v>3827.9299999999994</v>
      </c>
      <c r="S344" s="77">
        <v>1755</v>
      </c>
      <c r="T344" s="77">
        <v>0</v>
      </c>
      <c r="U344" s="77">
        <v>6255.5615833333331</v>
      </c>
      <c r="V344" s="77">
        <v>0</v>
      </c>
      <c r="W344" s="79">
        <f t="shared" si="35"/>
        <v>15217.624083333332</v>
      </c>
      <c r="X344" s="88"/>
    </row>
    <row r="345" spans="1:24" x14ac:dyDescent="0.3">
      <c r="A345" s="1">
        <f>+Precios!A345</f>
        <v>2026</v>
      </c>
      <c r="B345" s="52">
        <f>+Precios!B345</f>
        <v>46235</v>
      </c>
      <c r="C345" s="1">
        <v>31</v>
      </c>
      <c r="D345" s="1" t="str">
        <f>+Precios!C345</f>
        <v>lun</v>
      </c>
      <c r="E345" s="5">
        <f>+Precios!D345</f>
        <v>46251</v>
      </c>
      <c r="F345" s="77">
        <v>1518.9024999999995</v>
      </c>
      <c r="G345" s="77">
        <v>752.66041666666672</v>
      </c>
      <c r="H345" s="77">
        <v>345.59874999999994</v>
      </c>
      <c r="I345" s="77">
        <v>1329.5550833333332</v>
      </c>
      <c r="J345" s="77">
        <v>1307.6245833333335</v>
      </c>
      <c r="K345" s="77">
        <v>1260.437500000003</v>
      </c>
      <c r="L345" s="77">
        <v>1996.9183333333383</v>
      </c>
      <c r="M345" s="77">
        <v>1726.56125</v>
      </c>
      <c r="N345" s="78">
        <f t="shared" si="34"/>
        <v>10238.258416666675</v>
      </c>
      <c r="O345" s="1">
        <v>1500</v>
      </c>
      <c r="P345" s="77">
        <v>812.17500000000007</v>
      </c>
      <c r="Q345" s="77">
        <v>1052.2574999999999</v>
      </c>
      <c r="R345" s="77">
        <v>3827.9299999999994</v>
      </c>
      <c r="S345" s="77">
        <v>1755</v>
      </c>
      <c r="T345" s="77">
        <v>0</v>
      </c>
      <c r="U345" s="77">
        <v>6285.821958333333</v>
      </c>
      <c r="V345" s="77">
        <v>0</v>
      </c>
      <c r="W345" s="79">
        <f t="shared" si="35"/>
        <v>15233.184458333333</v>
      </c>
      <c r="X345" s="88"/>
    </row>
    <row r="346" spans="1:24" x14ac:dyDescent="0.3">
      <c r="A346" s="1">
        <f>+Precios!A346</f>
        <v>2026</v>
      </c>
      <c r="B346" s="52">
        <f>+Precios!B346</f>
        <v>46235</v>
      </c>
      <c r="C346" s="1">
        <v>31</v>
      </c>
      <c r="D346" s="1" t="str">
        <f>+Precios!C346</f>
        <v>mar</v>
      </c>
      <c r="E346" s="5">
        <f>+Precios!D346</f>
        <v>46252</v>
      </c>
      <c r="F346" s="77">
        <v>2342.8937500000002</v>
      </c>
      <c r="G346" s="77">
        <v>754.40208333333305</v>
      </c>
      <c r="H346" s="77">
        <v>446.89916666666659</v>
      </c>
      <c r="I346" s="77">
        <v>1479.5984791666669</v>
      </c>
      <c r="J346" s="77">
        <v>1307.9158333333335</v>
      </c>
      <c r="K346" s="77">
        <v>1517.7237500000022</v>
      </c>
      <c r="L346" s="77">
        <v>2633.6441666666742</v>
      </c>
      <c r="M346" s="77">
        <v>1434.100833333333</v>
      </c>
      <c r="N346" s="78">
        <f t="shared" si="34"/>
        <v>11917.17806250001</v>
      </c>
      <c r="O346" s="1">
        <v>1500</v>
      </c>
      <c r="P346" s="77">
        <v>814.27500000000009</v>
      </c>
      <c r="Q346" s="77">
        <v>1047.8825000000002</v>
      </c>
      <c r="R346" s="77">
        <v>3821.9208541666662</v>
      </c>
      <c r="S346" s="77">
        <v>1755</v>
      </c>
      <c r="T346" s="77">
        <v>0</v>
      </c>
      <c r="U346" s="77">
        <v>6204.5152083333332</v>
      </c>
      <c r="V346" s="77">
        <v>0</v>
      </c>
      <c r="W346" s="79">
        <f t="shared" si="35"/>
        <v>15143.593562499998</v>
      </c>
      <c r="X346" s="88"/>
    </row>
    <row r="347" spans="1:24" x14ac:dyDescent="0.3">
      <c r="A347" s="1">
        <f>+Precios!A347</f>
        <v>2026</v>
      </c>
      <c r="B347" s="52">
        <f>+Precios!B347</f>
        <v>46235</v>
      </c>
      <c r="C347" s="1">
        <v>31</v>
      </c>
      <c r="D347" s="1" t="str">
        <f>+Precios!C347</f>
        <v>mié</v>
      </c>
      <c r="E347" s="5">
        <f>+Precios!D347</f>
        <v>46253</v>
      </c>
      <c r="F347" s="77">
        <v>2455.8833333333328</v>
      </c>
      <c r="G347" s="77">
        <v>717.15</v>
      </c>
      <c r="H347" s="77">
        <v>365.60416666666646</v>
      </c>
      <c r="I347" s="77">
        <v>1068.5338749999999</v>
      </c>
      <c r="J347" s="77">
        <v>1308.5841666666668</v>
      </c>
      <c r="K347" s="77">
        <v>1743.8708333333368</v>
      </c>
      <c r="L347" s="77">
        <v>2269.748750000002</v>
      </c>
      <c r="M347" s="77">
        <v>889.21083333333354</v>
      </c>
      <c r="N347" s="78">
        <f t="shared" si="34"/>
        <v>10818.585958333337</v>
      </c>
      <c r="O347" s="1">
        <v>1500</v>
      </c>
      <c r="P347" s="77">
        <v>782.77499999999998</v>
      </c>
      <c r="Q347" s="77">
        <v>1019.393375</v>
      </c>
      <c r="R347" s="77">
        <v>3742.4299999999994</v>
      </c>
      <c r="S347" s="77">
        <v>1755</v>
      </c>
      <c r="T347" s="77">
        <v>0</v>
      </c>
      <c r="U347" s="77">
        <v>6180.8476666666693</v>
      </c>
      <c r="V347" s="77">
        <v>0</v>
      </c>
      <c r="W347" s="79">
        <f t="shared" si="35"/>
        <v>14980.44604166667</v>
      </c>
      <c r="X347" s="88"/>
    </row>
    <row r="348" spans="1:24" x14ac:dyDescent="0.3">
      <c r="A348" s="1">
        <f>+Precios!A348</f>
        <v>2026</v>
      </c>
      <c r="B348" s="52">
        <f>+Precios!B348</f>
        <v>46235</v>
      </c>
      <c r="C348" s="1">
        <v>31</v>
      </c>
      <c r="D348" s="1" t="str">
        <f>+Precios!C348</f>
        <v>jue</v>
      </c>
      <c r="E348" s="5">
        <f>+Precios!D348</f>
        <v>46254</v>
      </c>
      <c r="F348" s="77">
        <v>2161.5883333333331</v>
      </c>
      <c r="G348" s="77">
        <v>686.92791666666665</v>
      </c>
      <c r="H348" s="77">
        <v>301.67416666666628</v>
      </c>
      <c r="I348" s="77">
        <v>840.53347916666644</v>
      </c>
      <c r="J348" s="77">
        <v>1306.9841666666664</v>
      </c>
      <c r="K348" s="77">
        <v>2069.4641666666635</v>
      </c>
      <c r="L348" s="77">
        <v>2125.9237500000027</v>
      </c>
      <c r="M348" s="77">
        <v>982.64208333333329</v>
      </c>
      <c r="N348" s="78">
        <f t="shared" si="34"/>
        <v>10475.738062499999</v>
      </c>
      <c r="O348" s="1">
        <v>1500</v>
      </c>
      <c r="P348" s="77">
        <v>780.67500000000007</v>
      </c>
      <c r="Q348" s="77">
        <v>1038.8323750000002</v>
      </c>
      <c r="R348" s="77">
        <v>3728.8616249999995</v>
      </c>
      <c r="S348" s="77">
        <v>1755</v>
      </c>
      <c r="T348" s="77">
        <v>0</v>
      </c>
      <c r="U348" s="77">
        <v>6168.8139583333341</v>
      </c>
      <c r="V348" s="77">
        <v>0</v>
      </c>
      <c r="W348" s="79">
        <f t="shared" si="35"/>
        <v>14972.182958333333</v>
      </c>
      <c r="X348" s="88"/>
    </row>
    <row r="349" spans="1:24" x14ac:dyDescent="0.3">
      <c r="A349" s="1">
        <f>+Precios!A349</f>
        <v>2026</v>
      </c>
      <c r="B349" s="52">
        <f>+Precios!B349</f>
        <v>46235</v>
      </c>
      <c r="C349" s="1">
        <v>31</v>
      </c>
      <c r="D349" s="1" t="str">
        <f>+Precios!C349</f>
        <v>vie</v>
      </c>
      <c r="E349" s="5">
        <f>+Precios!D349</f>
        <v>46255</v>
      </c>
      <c r="F349" s="77">
        <v>2125.9254166666669</v>
      </c>
      <c r="G349" s="77">
        <v>734.50874999999996</v>
      </c>
      <c r="H349" s="77">
        <v>309.8833333333335</v>
      </c>
      <c r="I349" s="77">
        <v>845.76243750000015</v>
      </c>
      <c r="J349" s="77">
        <v>1308.0562500000003</v>
      </c>
      <c r="K349" s="77">
        <v>2043.5733333333292</v>
      </c>
      <c r="L349" s="77">
        <v>2177.9599999999923</v>
      </c>
      <c r="M349" s="77">
        <v>1265.0366666666669</v>
      </c>
      <c r="N349" s="78">
        <f t="shared" si="34"/>
        <v>10810.706187499989</v>
      </c>
      <c r="O349" s="1">
        <v>1500</v>
      </c>
      <c r="P349" s="77">
        <v>800.1</v>
      </c>
      <c r="Q349" s="77">
        <v>1046.0843750000001</v>
      </c>
      <c r="R349" s="77">
        <v>3742.4299999999994</v>
      </c>
      <c r="S349" s="77">
        <v>1755</v>
      </c>
      <c r="T349" s="77">
        <v>0</v>
      </c>
      <c r="U349" s="77">
        <v>6013.2635833333334</v>
      </c>
      <c r="V349" s="77">
        <v>0</v>
      </c>
      <c r="W349" s="79">
        <f t="shared" si="35"/>
        <v>14856.877958333333</v>
      </c>
      <c r="X349" s="88"/>
    </row>
    <row r="350" spans="1:24" x14ac:dyDescent="0.3">
      <c r="A350" s="1">
        <f>+Precios!A350</f>
        <v>2026</v>
      </c>
      <c r="B350" s="52">
        <f>+Precios!B350</f>
        <v>46235</v>
      </c>
      <c r="C350" s="1">
        <v>31</v>
      </c>
      <c r="D350" s="1" t="str">
        <f>+Precios!C350</f>
        <v>sáb</v>
      </c>
      <c r="E350" s="5">
        <f>+Precios!D350</f>
        <v>46256</v>
      </c>
      <c r="F350" s="77">
        <v>2187.1695833333338</v>
      </c>
      <c r="G350" s="77">
        <v>784.05666666666673</v>
      </c>
      <c r="H350" s="77">
        <v>269.29166666666691</v>
      </c>
      <c r="I350" s="77">
        <v>728.20072916666663</v>
      </c>
      <c r="J350" s="77">
        <v>1306.4837500000001</v>
      </c>
      <c r="K350" s="77">
        <v>1758.287083333332</v>
      </c>
      <c r="L350" s="77">
        <v>2087.6299999999997</v>
      </c>
      <c r="M350" s="77">
        <v>1106.2974999999999</v>
      </c>
      <c r="N350" s="78">
        <f t="shared" si="34"/>
        <v>10227.416979166666</v>
      </c>
      <c r="O350" s="1">
        <v>1500</v>
      </c>
      <c r="P350" s="77">
        <v>866.25</v>
      </c>
      <c r="Q350" s="77">
        <v>1045.9758750000001</v>
      </c>
      <c r="R350" s="77">
        <v>3742.4299999999994</v>
      </c>
      <c r="S350" s="77">
        <v>1755</v>
      </c>
      <c r="T350" s="77">
        <v>0</v>
      </c>
      <c r="U350" s="77">
        <v>5404.8730000000005</v>
      </c>
      <c r="V350" s="77">
        <v>0</v>
      </c>
      <c r="W350" s="79">
        <f t="shared" si="35"/>
        <v>14314.528875</v>
      </c>
      <c r="X350" s="88"/>
    </row>
    <row r="351" spans="1:24" x14ac:dyDescent="0.3">
      <c r="A351" s="1">
        <f>+Precios!A351</f>
        <v>2026</v>
      </c>
      <c r="B351" s="52">
        <f>+Precios!B351</f>
        <v>46235</v>
      </c>
      <c r="C351" s="1">
        <v>31</v>
      </c>
      <c r="D351" s="1" t="str">
        <f>+Precios!C351</f>
        <v>dom</v>
      </c>
      <c r="E351" s="5">
        <f>+Precios!D351</f>
        <v>46257</v>
      </c>
      <c r="F351" s="77">
        <v>1575.5387499999999</v>
      </c>
      <c r="G351" s="77">
        <v>843.31708333333336</v>
      </c>
      <c r="H351" s="77">
        <v>356.19541666666709</v>
      </c>
      <c r="I351" s="77">
        <v>1235</v>
      </c>
      <c r="J351" s="77">
        <v>1306.0729166666663</v>
      </c>
      <c r="K351" s="77">
        <v>1134.2512500000023</v>
      </c>
      <c r="L351" s="77">
        <v>2147.4662499999977</v>
      </c>
      <c r="M351" s="77">
        <v>1307.6929166666669</v>
      </c>
      <c r="N351" s="78">
        <f t="shared" si="34"/>
        <v>9905.534583333334</v>
      </c>
      <c r="O351" s="1">
        <v>1500</v>
      </c>
      <c r="P351" s="77">
        <v>930.30000000000007</v>
      </c>
      <c r="Q351" s="77">
        <v>1036.9449999999999</v>
      </c>
      <c r="R351" s="77">
        <v>3742.4299999999994</v>
      </c>
      <c r="S351" s="77">
        <v>1755</v>
      </c>
      <c r="T351" s="77">
        <v>0</v>
      </c>
      <c r="U351" s="77">
        <v>5507.3120833333323</v>
      </c>
      <c r="V351" s="77">
        <v>0</v>
      </c>
      <c r="W351" s="79">
        <f t="shared" si="35"/>
        <v>14471.987083333332</v>
      </c>
      <c r="X351" s="88"/>
    </row>
    <row r="352" spans="1:24" x14ac:dyDescent="0.3">
      <c r="A352" s="1">
        <f>+Precios!A352</f>
        <v>2026</v>
      </c>
      <c r="B352" s="52">
        <f>+Precios!B352</f>
        <v>46235</v>
      </c>
      <c r="C352" s="1">
        <v>31</v>
      </c>
      <c r="D352" s="1" t="str">
        <f>+Precios!C352</f>
        <v>lun</v>
      </c>
      <c r="E352" s="5">
        <f>+Precios!D352</f>
        <v>46258</v>
      </c>
      <c r="F352" s="77">
        <v>2181.7429166666666</v>
      </c>
      <c r="G352" s="77">
        <v>877.23958333333337</v>
      </c>
      <c r="H352" s="77">
        <v>324.15041666666667</v>
      </c>
      <c r="I352" s="77">
        <v>985.18364583333323</v>
      </c>
      <c r="J352" s="77">
        <v>1307.8795833333331</v>
      </c>
      <c r="K352" s="77">
        <v>1722.7612500000002</v>
      </c>
      <c r="L352" s="77">
        <v>2241.033750000001</v>
      </c>
      <c r="M352" s="77">
        <v>1386.7512499999996</v>
      </c>
      <c r="N352" s="78">
        <f t="shared" si="34"/>
        <v>11026.742395833335</v>
      </c>
      <c r="O352" s="1">
        <v>1500</v>
      </c>
      <c r="P352" s="77">
        <v>963.375</v>
      </c>
      <c r="Q352" s="77">
        <v>1026.2481250000001</v>
      </c>
      <c r="R352" s="77">
        <v>3827.9299999999994</v>
      </c>
      <c r="S352" s="77">
        <v>1755</v>
      </c>
      <c r="T352" s="77">
        <v>0</v>
      </c>
      <c r="U352" s="77">
        <v>5485.416916666667</v>
      </c>
      <c r="V352" s="77">
        <v>0</v>
      </c>
      <c r="W352" s="79">
        <f t="shared" si="35"/>
        <v>14557.970041666666</v>
      </c>
      <c r="X352" s="88"/>
    </row>
    <row r="353" spans="1:24" x14ac:dyDescent="0.3">
      <c r="A353" s="1">
        <f>+Precios!A353</f>
        <v>2026</v>
      </c>
      <c r="B353" s="52">
        <f>+Precios!B353</f>
        <v>46235</v>
      </c>
      <c r="C353" s="1">
        <v>31</v>
      </c>
      <c r="D353" s="1" t="str">
        <f>+Precios!C353</f>
        <v>mar</v>
      </c>
      <c r="E353" s="5">
        <f>+Precios!D353</f>
        <v>46259</v>
      </c>
      <c r="F353" s="77">
        <v>1987.3625000000002</v>
      </c>
      <c r="G353" s="77">
        <v>866.31416666666667</v>
      </c>
      <c r="H353" s="77">
        <v>311.8875000000001</v>
      </c>
      <c r="I353" s="77">
        <v>1078.9870416666668</v>
      </c>
      <c r="J353" s="77">
        <v>1307.0458333333333</v>
      </c>
      <c r="K353" s="77">
        <v>1944.1437499999968</v>
      </c>
      <c r="L353" s="77">
        <v>1994.3279166666628</v>
      </c>
      <c r="M353" s="77">
        <v>1280.6591666666664</v>
      </c>
      <c r="N353" s="78">
        <f t="shared" si="34"/>
        <v>10770.727874999993</v>
      </c>
      <c r="O353" s="1">
        <v>1500</v>
      </c>
      <c r="P353" s="77">
        <v>943.42500000000007</v>
      </c>
      <c r="Q353" s="77">
        <v>937.10750000000007</v>
      </c>
      <c r="R353" s="77">
        <v>3774.4924999999994</v>
      </c>
      <c r="S353" s="77">
        <v>1755</v>
      </c>
      <c r="T353" s="77">
        <v>0</v>
      </c>
      <c r="U353" s="77">
        <v>5366.4300833333318</v>
      </c>
      <c r="V353" s="77">
        <v>0</v>
      </c>
      <c r="W353" s="79">
        <f t="shared" si="35"/>
        <v>14276.455083333331</v>
      </c>
      <c r="X353" s="88"/>
    </row>
    <row r="354" spans="1:24" x14ac:dyDescent="0.3">
      <c r="A354" s="1">
        <f>+Precios!A354</f>
        <v>2026</v>
      </c>
      <c r="B354" s="52">
        <f>+Precios!B354</f>
        <v>46235</v>
      </c>
      <c r="C354" s="1">
        <v>31</v>
      </c>
      <c r="D354" s="1" t="str">
        <f>+Precios!C354</f>
        <v>mié</v>
      </c>
      <c r="E354" s="5">
        <f>+Precios!D354</f>
        <v>46260</v>
      </c>
      <c r="F354" s="77">
        <v>1750.9154166666665</v>
      </c>
      <c r="G354" s="77">
        <v>874.39208333333318</v>
      </c>
      <c r="H354" s="77">
        <v>328.27791666666656</v>
      </c>
      <c r="I354" s="77">
        <v>1083.2493749999999</v>
      </c>
      <c r="J354" s="77">
        <v>1309.5425</v>
      </c>
      <c r="K354" s="77">
        <v>2156.8645833333326</v>
      </c>
      <c r="L354" s="77">
        <v>1732.0691666666653</v>
      </c>
      <c r="M354" s="77">
        <v>1499.34</v>
      </c>
      <c r="N354" s="78">
        <f t="shared" si="34"/>
        <v>10734.651041666664</v>
      </c>
      <c r="O354" s="1">
        <v>1500</v>
      </c>
      <c r="P354" s="77">
        <v>947.1</v>
      </c>
      <c r="Q354" s="77">
        <v>939.81999999999994</v>
      </c>
      <c r="R354" s="77">
        <v>3637.9299999999994</v>
      </c>
      <c r="S354" s="77">
        <v>1755</v>
      </c>
      <c r="T354" s="77">
        <v>0</v>
      </c>
      <c r="U354" s="77">
        <v>5622.2987499999999</v>
      </c>
      <c r="V354" s="77">
        <v>0</v>
      </c>
      <c r="W354" s="79">
        <f t="shared" si="35"/>
        <v>14402.148749999998</v>
      </c>
      <c r="X354" s="88"/>
    </row>
    <row r="355" spans="1:24" x14ac:dyDescent="0.3">
      <c r="A355" s="1">
        <f>+Precios!A355</f>
        <v>2026</v>
      </c>
      <c r="B355" s="52">
        <f>+Precios!B355</f>
        <v>46235</v>
      </c>
      <c r="C355" s="1">
        <v>31</v>
      </c>
      <c r="D355" s="1" t="str">
        <f>+Precios!C355</f>
        <v>jue</v>
      </c>
      <c r="E355" s="5">
        <f>+Precios!D355</f>
        <v>46261</v>
      </c>
      <c r="F355" s="77">
        <v>1782.8149999999996</v>
      </c>
      <c r="G355" s="77">
        <v>877.23333333333323</v>
      </c>
      <c r="H355" s="77">
        <v>354.97166666666675</v>
      </c>
      <c r="I355" s="77">
        <v>1520.8189791666664</v>
      </c>
      <c r="J355" s="77">
        <v>1307.1737500000002</v>
      </c>
      <c r="K355" s="77">
        <v>1872.2045833333314</v>
      </c>
      <c r="L355" s="77">
        <v>1765.6604166666666</v>
      </c>
      <c r="M355" s="77">
        <v>1445.7941666666666</v>
      </c>
      <c r="N355" s="78">
        <f t="shared" si="34"/>
        <v>10926.671895833329</v>
      </c>
      <c r="O355" s="1">
        <v>1500</v>
      </c>
      <c r="P355" s="77">
        <v>946.05000000000007</v>
      </c>
      <c r="Q355" s="77">
        <v>940.69500000000005</v>
      </c>
      <c r="R355" s="77">
        <v>3619.5870833333329</v>
      </c>
      <c r="S355" s="77">
        <v>1755</v>
      </c>
      <c r="T355" s="77">
        <v>0</v>
      </c>
      <c r="U355" s="77">
        <v>5447.6333749999994</v>
      </c>
      <c r="V355" s="77">
        <v>0</v>
      </c>
      <c r="W355" s="79">
        <f t="shared" si="35"/>
        <v>14208.965458333332</v>
      </c>
      <c r="X355" s="88"/>
    </row>
    <row r="356" spans="1:24" x14ac:dyDescent="0.3">
      <c r="A356" s="1">
        <f>+Precios!A356</f>
        <v>2026</v>
      </c>
      <c r="B356" s="52">
        <f>+Precios!B356</f>
        <v>46235</v>
      </c>
      <c r="C356" s="1">
        <v>31</v>
      </c>
      <c r="D356" s="1" t="str">
        <f>+Precios!C356</f>
        <v>vie</v>
      </c>
      <c r="E356" s="5">
        <f>+Precios!D356</f>
        <v>46262</v>
      </c>
      <c r="F356" s="77">
        <v>1689.382083333333</v>
      </c>
      <c r="G356" s="77">
        <v>860.34124999999995</v>
      </c>
      <c r="H356" s="77">
        <v>348.00083333333356</v>
      </c>
      <c r="I356" s="77">
        <v>1294.8654374999996</v>
      </c>
      <c r="J356" s="77">
        <v>1306.3262500000003</v>
      </c>
      <c r="K356" s="77">
        <v>1710.4304166666707</v>
      </c>
      <c r="L356" s="77">
        <v>1708.2433333333299</v>
      </c>
      <c r="M356" s="77">
        <v>1710.8058333333331</v>
      </c>
      <c r="N356" s="78">
        <f t="shared" si="34"/>
        <v>10628.395437499999</v>
      </c>
      <c r="O356" s="1">
        <v>1500</v>
      </c>
      <c r="P356" s="77">
        <v>918.15281249999998</v>
      </c>
      <c r="Q356" s="77">
        <v>941.92</v>
      </c>
      <c r="R356" s="77">
        <v>3637.9299999999994</v>
      </c>
      <c r="S356" s="77">
        <v>1755</v>
      </c>
      <c r="T356" s="77">
        <v>0</v>
      </c>
      <c r="U356" s="77">
        <v>5557.200541666668</v>
      </c>
      <c r="V356" s="77">
        <v>0</v>
      </c>
      <c r="W356" s="79">
        <f t="shared" si="35"/>
        <v>14310.203354166668</v>
      </c>
      <c r="X356" s="88"/>
    </row>
    <row r="357" spans="1:24" x14ac:dyDescent="0.3">
      <c r="A357" s="1">
        <f>+Precios!A357</f>
        <v>2026</v>
      </c>
      <c r="B357" s="52">
        <f>+Precios!B357</f>
        <v>46235</v>
      </c>
      <c r="C357" s="1">
        <v>31</v>
      </c>
      <c r="D357" s="1" t="str">
        <f>+Precios!C357</f>
        <v>sáb</v>
      </c>
      <c r="E357" s="5">
        <f>+Precios!D357</f>
        <v>46263</v>
      </c>
      <c r="F357" s="77">
        <v>1655.990833333334</v>
      </c>
      <c r="G357" s="77">
        <v>862.07541666666691</v>
      </c>
      <c r="H357" s="77">
        <v>310.74708333333342</v>
      </c>
      <c r="I357" s="77">
        <v>830.54977083333335</v>
      </c>
      <c r="J357" s="77">
        <v>1306.6825000000001</v>
      </c>
      <c r="K357" s="77">
        <v>1249.6858333333328</v>
      </c>
      <c r="L357" s="77">
        <v>1393.9008333333343</v>
      </c>
      <c r="M357" s="77">
        <v>1451.667916666667</v>
      </c>
      <c r="N357" s="78">
        <f t="shared" si="34"/>
        <v>9061.3001875000009</v>
      </c>
      <c r="O357" s="1">
        <v>1500</v>
      </c>
      <c r="P357" s="77">
        <v>929.77500000000009</v>
      </c>
      <c r="Q357" s="77">
        <v>935.44500000000005</v>
      </c>
      <c r="R357" s="77">
        <v>3637.9299999999994</v>
      </c>
      <c r="S357" s="77">
        <v>1755</v>
      </c>
      <c r="T357" s="77">
        <v>0</v>
      </c>
      <c r="U357" s="77">
        <v>5678.8378749999993</v>
      </c>
      <c r="V357" s="77">
        <v>0</v>
      </c>
      <c r="W357" s="79">
        <f t="shared" si="35"/>
        <v>14436.987874999999</v>
      </c>
      <c r="X357" s="88"/>
    </row>
    <row r="358" spans="1:24" x14ac:dyDescent="0.3">
      <c r="A358" s="1">
        <f>+Precios!A358</f>
        <v>2026</v>
      </c>
      <c r="B358" s="52">
        <f>+Precios!B358</f>
        <v>46235</v>
      </c>
      <c r="C358" s="1">
        <v>31</v>
      </c>
      <c r="D358" s="1" t="str">
        <f>+Precios!C358</f>
        <v>dom</v>
      </c>
      <c r="E358" s="5">
        <f>+Precios!D358</f>
        <v>46264</v>
      </c>
      <c r="F358" s="77">
        <v>1671.0454166666661</v>
      </c>
      <c r="G358" s="77">
        <v>857.48458333333326</v>
      </c>
      <c r="H358" s="77">
        <v>207.2704166666667</v>
      </c>
      <c r="I358" s="77">
        <v>418.49479166666663</v>
      </c>
      <c r="J358" s="77">
        <v>1305.7670833333332</v>
      </c>
      <c r="K358" s="77">
        <v>1497.5162499999999</v>
      </c>
      <c r="L358" s="77">
        <v>1070.6420833333309</v>
      </c>
      <c r="M358" s="77">
        <v>1284.86375</v>
      </c>
      <c r="N358" s="78">
        <f t="shared" si="34"/>
        <v>8313.0843749999967</v>
      </c>
      <c r="O358" s="1">
        <v>1500</v>
      </c>
      <c r="P358" s="77">
        <v>924</v>
      </c>
      <c r="Q358" s="77">
        <v>939.68875000000003</v>
      </c>
      <c r="R358" s="77">
        <v>3637.9299999999994</v>
      </c>
      <c r="S358" s="77">
        <v>1755</v>
      </c>
      <c r="T358" s="77">
        <v>0</v>
      </c>
      <c r="U358" s="77">
        <v>5831.8400416666673</v>
      </c>
      <c r="V358" s="77">
        <v>0</v>
      </c>
      <c r="W358" s="79">
        <f t="shared" si="35"/>
        <v>14588.458791666668</v>
      </c>
      <c r="X358" s="88"/>
    </row>
    <row r="359" spans="1:24" x14ac:dyDescent="0.3">
      <c r="A359" s="1">
        <f>+Precios!A359</f>
        <v>2026</v>
      </c>
      <c r="B359" s="52">
        <f>+Precios!B359</f>
        <v>46235</v>
      </c>
      <c r="C359" s="1">
        <v>31</v>
      </c>
      <c r="D359" s="1" t="str">
        <f>+Precios!C359</f>
        <v>lun</v>
      </c>
      <c r="E359" s="5">
        <f>+Precios!D359</f>
        <v>46265</v>
      </c>
      <c r="F359" s="77">
        <v>1739.0137499999998</v>
      </c>
      <c r="G359" s="77">
        <v>817.99166666666645</v>
      </c>
      <c r="H359" s="77">
        <v>232.07166666666706</v>
      </c>
      <c r="I359" s="77">
        <v>643.55177083333331</v>
      </c>
      <c r="J359" s="77">
        <v>1307.7916666666663</v>
      </c>
      <c r="K359" s="77">
        <v>1889.4095833333313</v>
      </c>
      <c r="L359" s="77">
        <v>1644.2949999999992</v>
      </c>
      <c r="M359" s="77">
        <v>1152.7004166666668</v>
      </c>
      <c r="N359" s="78">
        <f t="shared" si="34"/>
        <v>9426.8255208333303</v>
      </c>
      <c r="O359" s="1">
        <v>1500</v>
      </c>
      <c r="P359" s="77">
        <v>870.88750000000005</v>
      </c>
      <c r="Q359" s="77">
        <v>941.3075</v>
      </c>
      <c r="R359" s="77">
        <v>3614.5758333333329</v>
      </c>
      <c r="S359" s="77">
        <v>1755</v>
      </c>
      <c r="T359" s="77">
        <v>0</v>
      </c>
      <c r="U359" s="77">
        <v>5842.5142499999993</v>
      </c>
      <c r="V359" s="77">
        <v>0</v>
      </c>
      <c r="W359" s="79">
        <f t="shared" si="35"/>
        <v>14524.285083333332</v>
      </c>
      <c r="X359" s="88"/>
    </row>
    <row r="360" spans="1:24" x14ac:dyDescent="0.3">
      <c r="A360" s="1">
        <f>+Precios!A360</f>
        <v>2026</v>
      </c>
      <c r="B360" s="52">
        <f>+Precios!B360</f>
        <v>46266</v>
      </c>
      <c r="C360" s="1">
        <v>30</v>
      </c>
      <c r="D360" s="1" t="str">
        <f>+Precios!C360</f>
        <v>mar</v>
      </c>
      <c r="E360" s="5">
        <f>+Precios!D360</f>
        <v>46266</v>
      </c>
      <c r="F360" s="77">
        <v>2103.5174999999999</v>
      </c>
      <c r="G360" s="77">
        <v>762.13125000000002</v>
      </c>
      <c r="H360" s="77">
        <v>295.19875000000025</v>
      </c>
      <c r="I360" s="77">
        <v>1118.7722500000007</v>
      </c>
      <c r="J360" s="77">
        <v>1303.57375</v>
      </c>
      <c r="K360" s="77">
        <v>1482.0050000000003</v>
      </c>
      <c r="L360" s="77">
        <v>2137.6575000000016</v>
      </c>
      <c r="M360" s="77">
        <v>101.28250000000001</v>
      </c>
      <c r="N360" s="78">
        <f t="shared" ref="N360:N366" si="36">+SUM(F360:M360)</f>
        <v>9304.1385000000028</v>
      </c>
      <c r="O360" s="1">
        <v>1500</v>
      </c>
      <c r="P360" s="77">
        <v>869.40000000000009</v>
      </c>
      <c r="Q360" s="77">
        <v>985.52431249999995</v>
      </c>
      <c r="R360" s="77">
        <v>3729.1034791666661</v>
      </c>
      <c r="S360" s="77">
        <v>1755</v>
      </c>
      <c r="T360" s="77">
        <v>0</v>
      </c>
      <c r="U360" s="77">
        <v>5843.6151666666665</v>
      </c>
      <c r="V360" s="77">
        <v>0</v>
      </c>
      <c r="W360" s="79">
        <f t="shared" ref="W360:W414" si="37">+SUM(O360:V360)</f>
        <v>14682.642958333334</v>
      </c>
      <c r="X360" s="88"/>
    </row>
    <row r="361" spans="1:24" x14ac:dyDescent="0.3">
      <c r="A361" s="1">
        <f>+Precios!A361</f>
        <v>2026</v>
      </c>
      <c r="B361" s="52">
        <f>+Precios!B361</f>
        <v>46266</v>
      </c>
      <c r="C361" s="1">
        <v>30</v>
      </c>
      <c r="D361" s="1" t="str">
        <f>+Precios!C361</f>
        <v>mié</v>
      </c>
      <c r="E361" s="5">
        <f>+Precios!D361</f>
        <v>46267</v>
      </c>
      <c r="F361" s="77">
        <v>2356.0837499999998</v>
      </c>
      <c r="G361" s="77">
        <v>793.54333333333318</v>
      </c>
      <c r="H361" s="77">
        <v>228.72666666666666</v>
      </c>
      <c r="I361" s="77">
        <v>463.49470833333322</v>
      </c>
      <c r="J361" s="77">
        <v>1308.8187499999999</v>
      </c>
      <c r="K361" s="77">
        <v>1541.4374999999975</v>
      </c>
      <c r="L361" s="77">
        <v>2081.0054166666646</v>
      </c>
      <c r="M361" s="77">
        <v>522.45375000000001</v>
      </c>
      <c r="N361" s="78">
        <f t="shared" si="36"/>
        <v>9295.5638749999944</v>
      </c>
      <c r="O361" s="1">
        <v>1500</v>
      </c>
      <c r="P361" s="77">
        <v>875.7</v>
      </c>
      <c r="Q361" s="77">
        <v>1055.2325000000001</v>
      </c>
      <c r="R361" s="77">
        <v>3846.9299999999994</v>
      </c>
      <c r="S361" s="77">
        <v>1755</v>
      </c>
      <c r="T361" s="77">
        <v>0</v>
      </c>
      <c r="U361" s="77">
        <v>5802.0114166666663</v>
      </c>
      <c r="V361" s="77">
        <v>0</v>
      </c>
      <c r="W361" s="79">
        <f t="shared" si="37"/>
        <v>14834.873916666666</v>
      </c>
      <c r="X361" s="88"/>
    </row>
    <row r="362" spans="1:24" x14ac:dyDescent="0.3">
      <c r="A362" s="1">
        <f>+Precios!A362</f>
        <v>2026</v>
      </c>
      <c r="B362" s="52">
        <f>+Precios!B362</f>
        <v>46266</v>
      </c>
      <c r="C362" s="1">
        <v>30</v>
      </c>
      <c r="D362" s="1" t="str">
        <f>+Precios!C362</f>
        <v>jue</v>
      </c>
      <c r="E362" s="5">
        <f>+Precios!D362</f>
        <v>46268</v>
      </c>
      <c r="F362" s="77">
        <v>2273.6999999999994</v>
      </c>
      <c r="G362" s="77">
        <v>799.4287499999997</v>
      </c>
      <c r="H362" s="77">
        <v>220.78958333333333</v>
      </c>
      <c r="I362" s="77">
        <v>510.13337500000006</v>
      </c>
      <c r="J362" s="77">
        <v>1307.3050000000001</v>
      </c>
      <c r="K362" s="77">
        <v>1839.0416666666679</v>
      </c>
      <c r="L362" s="77">
        <v>1985.4429166666657</v>
      </c>
      <c r="M362" s="77">
        <v>227.81083333333331</v>
      </c>
      <c r="N362" s="78">
        <f t="shared" si="36"/>
        <v>9163.6521249999987</v>
      </c>
      <c r="O362" s="1">
        <v>1500</v>
      </c>
      <c r="P362" s="77">
        <v>868.875</v>
      </c>
      <c r="Q362" s="77">
        <v>1039.92</v>
      </c>
      <c r="R362" s="77">
        <v>3846.9299999999994</v>
      </c>
      <c r="S362" s="77">
        <v>1755</v>
      </c>
      <c r="T362" s="77">
        <v>0</v>
      </c>
      <c r="U362" s="77">
        <v>5833.6240833333331</v>
      </c>
      <c r="V362" s="77">
        <v>0</v>
      </c>
      <c r="W362" s="79">
        <f t="shared" si="37"/>
        <v>14844.349083333331</v>
      </c>
      <c r="X362" s="88"/>
    </row>
    <row r="363" spans="1:24" x14ac:dyDescent="0.3">
      <c r="A363" s="1">
        <f>+Precios!A363</f>
        <v>2026</v>
      </c>
      <c r="B363" s="52">
        <f>+Precios!B363</f>
        <v>46266</v>
      </c>
      <c r="C363" s="1">
        <v>30</v>
      </c>
      <c r="D363" s="1" t="str">
        <f>+Precios!C363</f>
        <v>vie</v>
      </c>
      <c r="E363" s="5">
        <f>+Precios!D363</f>
        <v>46269</v>
      </c>
      <c r="F363" s="77">
        <v>2325.7758333333336</v>
      </c>
      <c r="G363" s="77">
        <v>799.7087499999999</v>
      </c>
      <c r="H363" s="77">
        <v>221.4908333333334</v>
      </c>
      <c r="I363" s="77">
        <v>727.38293750000003</v>
      </c>
      <c r="J363" s="77">
        <v>1305.6466666666663</v>
      </c>
      <c r="K363" s="77">
        <v>2234.7445833333327</v>
      </c>
      <c r="L363" s="77">
        <v>1609.0075000000024</v>
      </c>
      <c r="M363" s="77">
        <v>197.3666666666667</v>
      </c>
      <c r="N363" s="78">
        <f t="shared" si="36"/>
        <v>9421.1237708333338</v>
      </c>
      <c r="O363" s="1">
        <v>1500</v>
      </c>
      <c r="P363" s="77">
        <v>838.42500000000007</v>
      </c>
      <c r="Q363" s="77">
        <v>1035.173125</v>
      </c>
      <c r="R363" s="77">
        <v>3724.2216666666659</v>
      </c>
      <c r="S363" s="77">
        <v>1755</v>
      </c>
      <c r="T363" s="77">
        <v>0</v>
      </c>
      <c r="U363" s="77">
        <v>5860.463041666666</v>
      </c>
      <c r="V363" s="77">
        <v>0</v>
      </c>
      <c r="W363" s="79">
        <f t="shared" si="37"/>
        <v>14713.282833333333</v>
      </c>
      <c r="X363" s="88"/>
    </row>
    <row r="364" spans="1:24" x14ac:dyDescent="0.3">
      <c r="A364" s="1">
        <f>+Precios!A364</f>
        <v>2026</v>
      </c>
      <c r="B364" s="52">
        <f>+Precios!B364</f>
        <v>46266</v>
      </c>
      <c r="C364" s="1">
        <v>30</v>
      </c>
      <c r="D364" s="1" t="str">
        <f>+Precios!C364</f>
        <v>sáb</v>
      </c>
      <c r="E364" s="5">
        <f>+Precios!D364</f>
        <v>46270</v>
      </c>
      <c r="F364" s="77">
        <v>2429.7375000000002</v>
      </c>
      <c r="G364" s="77">
        <v>763.01125000000013</v>
      </c>
      <c r="H364" s="77">
        <v>226.06250000000014</v>
      </c>
      <c r="I364" s="77">
        <v>605.36968750000005</v>
      </c>
      <c r="J364" s="77">
        <v>1302.99125</v>
      </c>
      <c r="K364" s="77">
        <v>1925.5070833333293</v>
      </c>
      <c r="L364" s="77">
        <v>1820.3466666666611</v>
      </c>
      <c r="M364" s="77">
        <v>545.22125000000005</v>
      </c>
      <c r="N364" s="78">
        <f t="shared" si="36"/>
        <v>9618.2471874999919</v>
      </c>
      <c r="O364" s="1">
        <v>1500</v>
      </c>
      <c r="P364" s="77">
        <v>809.55000000000007</v>
      </c>
      <c r="Q364" s="77">
        <v>1044.798125</v>
      </c>
      <c r="R364" s="77">
        <v>3633.3118124999996</v>
      </c>
      <c r="S364" s="77">
        <v>1755</v>
      </c>
      <c r="T364" s="77">
        <v>0</v>
      </c>
      <c r="U364" s="77">
        <v>5854.2987083333337</v>
      </c>
      <c r="V364" s="77">
        <v>0</v>
      </c>
      <c r="W364" s="79">
        <f t="shared" si="37"/>
        <v>14596.958645833334</v>
      </c>
      <c r="X364" s="88"/>
    </row>
    <row r="365" spans="1:24" x14ac:dyDescent="0.3">
      <c r="A365" s="1">
        <f>+Precios!A365</f>
        <v>2026</v>
      </c>
      <c r="B365" s="52">
        <f>+Precios!B365</f>
        <v>46266</v>
      </c>
      <c r="C365" s="1">
        <v>30</v>
      </c>
      <c r="D365" s="1" t="str">
        <f>+Precios!C365</f>
        <v>dom</v>
      </c>
      <c r="E365" s="5">
        <f>+Precios!D365</f>
        <v>46271</v>
      </c>
      <c r="F365" s="77">
        <v>2470.7158333333332</v>
      </c>
      <c r="G365" s="77">
        <v>807.67124999999987</v>
      </c>
      <c r="H365" s="77">
        <v>241.3783333333333</v>
      </c>
      <c r="I365" s="77">
        <v>1383.252645833333</v>
      </c>
      <c r="J365" s="77">
        <v>1304.4429166666666</v>
      </c>
      <c r="K365" s="77">
        <v>1247.1012500000027</v>
      </c>
      <c r="L365" s="77">
        <v>2126.0862499999944</v>
      </c>
      <c r="M365" s="77">
        <v>692.82041666666646</v>
      </c>
      <c r="N365" s="78">
        <f t="shared" si="36"/>
        <v>10273.468895833328</v>
      </c>
      <c r="O365" s="1">
        <v>1500</v>
      </c>
      <c r="P365" s="77">
        <v>862.05000000000007</v>
      </c>
      <c r="Q365" s="77">
        <v>1031.17</v>
      </c>
      <c r="R365" s="77">
        <v>3656.9299999999994</v>
      </c>
      <c r="S365" s="77">
        <v>1755</v>
      </c>
      <c r="T365" s="77">
        <v>0</v>
      </c>
      <c r="U365" s="77">
        <v>5874.9048750000038</v>
      </c>
      <c r="V365" s="77">
        <v>0</v>
      </c>
      <c r="W365" s="79">
        <f t="shared" si="37"/>
        <v>14680.054875000003</v>
      </c>
      <c r="X365" s="88"/>
    </row>
    <row r="366" spans="1:24" x14ac:dyDescent="0.3">
      <c r="A366" s="1">
        <f>+Precios!A366</f>
        <v>2026</v>
      </c>
      <c r="B366" s="52">
        <f>+Precios!B366</f>
        <v>46266</v>
      </c>
      <c r="C366" s="1">
        <v>30</v>
      </c>
      <c r="D366" s="1" t="str">
        <f>+Precios!C366</f>
        <v>lun</v>
      </c>
      <c r="E366" s="5">
        <f>+Precios!D366</f>
        <v>46272</v>
      </c>
      <c r="F366" s="77">
        <v>2341.0900000000006</v>
      </c>
      <c r="G366" s="77">
        <v>819.33125000000018</v>
      </c>
      <c r="H366" s="77">
        <v>290.68958333333313</v>
      </c>
      <c r="I366" s="77">
        <v>1063.4873958333337</v>
      </c>
      <c r="J366" s="77">
        <v>1305.7562500000001</v>
      </c>
      <c r="K366" s="77">
        <v>2065.9583333333262</v>
      </c>
      <c r="L366" s="77">
        <v>1833.6745833333307</v>
      </c>
      <c r="M366" s="77">
        <v>655.20583333333332</v>
      </c>
      <c r="N366" s="78">
        <f t="shared" si="36"/>
        <v>10375.19322916666</v>
      </c>
      <c r="O366" s="1">
        <v>1500</v>
      </c>
      <c r="P366" s="77">
        <v>871.5</v>
      </c>
      <c r="Q366" s="77">
        <v>1039.0231250000002</v>
      </c>
      <c r="R366" s="77">
        <v>3656.9299999999994</v>
      </c>
      <c r="S366" s="77">
        <v>1755</v>
      </c>
      <c r="T366" s="77">
        <v>0</v>
      </c>
      <c r="U366" s="77">
        <v>5876.4778750000005</v>
      </c>
      <c r="V366" s="77">
        <v>0</v>
      </c>
      <c r="W366" s="79">
        <f t="shared" si="37"/>
        <v>14698.931</v>
      </c>
      <c r="X366" s="88"/>
    </row>
    <row r="367" spans="1:24" x14ac:dyDescent="0.3">
      <c r="A367" s="1">
        <f>+Precios!A367</f>
        <v>2026</v>
      </c>
      <c r="B367" s="52">
        <f>+Precios!B367</f>
        <v>46266</v>
      </c>
      <c r="C367" s="1">
        <v>30</v>
      </c>
      <c r="D367" s="1" t="str">
        <f>+Precios!C367</f>
        <v>mar</v>
      </c>
      <c r="E367" s="5">
        <f>+Precios!D367</f>
        <v>46273</v>
      </c>
      <c r="F367" s="77">
        <v>2268.2620833333335</v>
      </c>
      <c r="G367" s="77">
        <v>830.04166666666686</v>
      </c>
      <c r="H367" s="77">
        <v>277.49708333333325</v>
      </c>
      <c r="I367" s="77">
        <v>922.98952083333336</v>
      </c>
      <c r="J367" s="77">
        <v>1306.669583333334</v>
      </c>
      <c r="K367" s="77">
        <v>2049.3170833333238</v>
      </c>
      <c r="L367" s="77">
        <v>1807.8233333333335</v>
      </c>
      <c r="M367" s="77">
        <v>561.14875000000006</v>
      </c>
      <c r="N367" s="78">
        <f t="shared" ref="N367:N372" si="38">+SUM(F367:M367)</f>
        <v>10023.74910416666</v>
      </c>
      <c r="O367" s="1">
        <v>1500</v>
      </c>
      <c r="P367" s="77">
        <v>871.5</v>
      </c>
      <c r="Q367" s="77">
        <v>1042.4356250000001</v>
      </c>
      <c r="R367" s="77">
        <v>3656.9299999999994</v>
      </c>
      <c r="S367" s="77">
        <v>1755</v>
      </c>
      <c r="T367" s="77">
        <v>0</v>
      </c>
      <c r="U367" s="77">
        <v>5838.533166666668</v>
      </c>
      <c r="V367" s="77">
        <v>0</v>
      </c>
      <c r="W367" s="79">
        <f t="shared" si="37"/>
        <v>14664.398791666667</v>
      </c>
      <c r="X367" s="88"/>
    </row>
    <row r="368" spans="1:24" x14ac:dyDescent="0.3">
      <c r="A368" s="1">
        <f>+Precios!A368</f>
        <v>2026</v>
      </c>
      <c r="B368" s="52">
        <f>+Precios!B368</f>
        <v>46266</v>
      </c>
      <c r="C368" s="1">
        <v>30</v>
      </c>
      <c r="D368" s="1" t="str">
        <f>+Precios!C368</f>
        <v>mié</v>
      </c>
      <c r="E368" s="5">
        <f>+Precios!D368</f>
        <v>46274</v>
      </c>
      <c r="F368" s="77">
        <v>2275.3399999999997</v>
      </c>
      <c r="G368" s="77">
        <v>834.56791666666675</v>
      </c>
      <c r="H368" s="77">
        <v>286.18749999999983</v>
      </c>
      <c r="I368" s="77">
        <v>842.56489583333337</v>
      </c>
      <c r="J368" s="77">
        <v>1306.3329166666672</v>
      </c>
      <c r="K368" s="77">
        <v>1937.7912499999932</v>
      </c>
      <c r="L368" s="77">
        <v>1905.3037499999982</v>
      </c>
      <c r="M368" s="77">
        <v>504.5054166666668</v>
      </c>
      <c r="N368" s="78">
        <f t="shared" si="38"/>
        <v>9892.5936458333254</v>
      </c>
      <c r="O368" s="1">
        <v>1500</v>
      </c>
      <c r="P368" s="77">
        <v>855.75</v>
      </c>
      <c r="Q368" s="77">
        <v>1039.4825000000001</v>
      </c>
      <c r="R368" s="77">
        <v>3648.0894583333329</v>
      </c>
      <c r="S368" s="77">
        <v>1755</v>
      </c>
      <c r="T368" s="77">
        <v>0</v>
      </c>
      <c r="U368" s="77">
        <v>5847.1634166666645</v>
      </c>
      <c r="V368" s="77">
        <v>0</v>
      </c>
      <c r="W368" s="79">
        <f t="shared" si="37"/>
        <v>14645.485374999998</v>
      </c>
      <c r="X368" s="88"/>
    </row>
    <row r="369" spans="1:24" x14ac:dyDescent="0.3">
      <c r="A369" s="1">
        <f>+Precios!A369</f>
        <v>2026</v>
      </c>
      <c r="B369" s="52">
        <f>+Precios!B369</f>
        <v>46266</v>
      </c>
      <c r="C369" s="1">
        <v>30</v>
      </c>
      <c r="D369" s="1" t="str">
        <f>+Precios!C369</f>
        <v>jue</v>
      </c>
      <c r="E369" s="5">
        <f>+Precios!D369</f>
        <v>46275</v>
      </c>
      <c r="F369" s="77">
        <v>2180.2837500000001</v>
      </c>
      <c r="G369" s="77">
        <v>823.38208333333341</v>
      </c>
      <c r="H369" s="77">
        <v>310.26374999999979</v>
      </c>
      <c r="I369" s="77">
        <v>987.53489583333294</v>
      </c>
      <c r="J369" s="77">
        <v>1304.6962500000002</v>
      </c>
      <c r="K369" s="77">
        <v>1481.5516666666672</v>
      </c>
      <c r="L369" s="77">
        <v>2122.1870833333332</v>
      </c>
      <c r="M369" s="77">
        <v>381.90708333333333</v>
      </c>
      <c r="N369" s="78">
        <f t="shared" si="38"/>
        <v>9591.8065624999999</v>
      </c>
      <c r="O369" s="1">
        <v>1500</v>
      </c>
      <c r="P369" s="77">
        <v>888.30000000000007</v>
      </c>
      <c r="Q369" s="77">
        <v>1044.973125</v>
      </c>
      <c r="R369" s="77">
        <v>3753.6451458333331</v>
      </c>
      <c r="S369" s="77">
        <v>1755</v>
      </c>
      <c r="T369" s="77">
        <v>0</v>
      </c>
      <c r="U369" s="77">
        <v>5835.8032083333355</v>
      </c>
      <c r="V369" s="77">
        <v>0</v>
      </c>
      <c r="W369" s="79">
        <f t="shared" si="37"/>
        <v>14777.72147916667</v>
      </c>
      <c r="X369" s="88"/>
    </row>
    <row r="370" spans="1:24" x14ac:dyDescent="0.3">
      <c r="A370" s="1">
        <f>+Precios!A370</f>
        <v>2026</v>
      </c>
      <c r="B370" s="52">
        <f>+Precios!B370</f>
        <v>46266</v>
      </c>
      <c r="C370" s="1">
        <v>30</v>
      </c>
      <c r="D370" s="1" t="str">
        <f>+Precios!C370</f>
        <v>vie</v>
      </c>
      <c r="E370" s="5">
        <f>+Precios!D370</f>
        <v>46276</v>
      </c>
      <c r="F370" s="77">
        <v>2336.0158333333334</v>
      </c>
      <c r="G370" s="77">
        <v>816.52125000000012</v>
      </c>
      <c r="H370" s="77">
        <v>242.32208333333338</v>
      </c>
      <c r="I370" s="77">
        <v>485.09652083333327</v>
      </c>
      <c r="J370" s="77">
        <v>1305.2462499999999</v>
      </c>
      <c r="K370" s="77">
        <v>1862.4704166666618</v>
      </c>
      <c r="L370" s="77">
        <v>2044.5579166666694</v>
      </c>
      <c r="M370" s="77">
        <v>472.65458333333351</v>
      </c>
      <c r="N370" s="78">
        <f t="shared" si="38"/>
        <v>9564.884854166663</v>
      </c>
      <c r="O370" s="1">
        <v>1500</v>
      </c>
      <c r="P370" s="77">
        <v>941.32500000000005</v>
      </c>
      <c r="Q370" s="77">
        <v>1042.5456562500001</v>
      </c>
      <c r="R370" s="77">
        <v>3884.9299999999994</v>
      </c>
      <c r="S370" s="77">
        <v>1755</v>
      </c>
      <c r="T370" s="77">
        <v>0</v>
      </c>
      <c r="U370" s="77">
        <v>5834.1807083333342</v>
      </c>
      <c r="V370" s="77">
        <v>0</v>
      </c>
      <c r="W370" s="79">
        <f t="shared" si="37"/>
        <v>14957.981364583335</v>
      </c>
      <c r="X370" s="88"/>
    </row>
    <row r="371" spans="1:24" x14ac:dyDescent="0.3">
      <c r="A371" s="1">
        <f>+Precios!A371</f>
        <v>2026</v>
      </c>
      <c r="B371" s="52">
        <f>+Precios!B371</f>
        <v>46266</v>
      </c>
      <c r="C371" s="1">
        <v>30</v>
      </c>
      <c r="D371" s="1" t="str">
        <f>+Precios!C371</f>
        <v>sáb</v>
      </c>
      <c r="E371" s="5">
        <f>+Precios!D371</f>
        <v>46277</v>
      </c>
      <c r="F371" s="77">
        <v>2413.4899999999998</v>
      </c>
      <c r="G371" s="77">
        <v>805.49041666666665</v>
      </c>
      <c r="H371" s="77">
        <v>269.85083333333347</v>
      </c>
      <c r="I371" s="77">
        <v>1276.236729166666</v>
      </c>
      <c r="J371" s="77">
        <v>1302.5187499999995</v>
      </c>
      <c r="K371" s="77">
        <v>1399.1429166666642</v>
      </c>
      <c r="L371" s="77">
        <v>2302.0220833333342</v>
      </c>
      <c r="M371" s="77">
        <v>1028.3608333333332</v>
      </c>
      <c r="N371" s="78">
        <f t="shared" si="38"/>
        <v>10797.112562499995</v>
      </c>
      <c r="O371" s="1">
        <v>1500</v>
      </c>
      <c r="P371" s="77">
        <v>939.22500000000002</v>
      </c>
      <c r="Q371" s="77">
        <v>1036.9449999999999</v>
      </c>
      <c r="R371" s="77">
        <v>3884.9299999999994</v>
      </c>
      <c r="S371" s="77">
        <v>1755</v>
      </c>
      <c r="T371" s="77">
        <v>0</v>
      </c>
      <c r="U371" s="77">
        <v>5744.2032500000014</v>
      </c>
      <c r="V371" s="77">
        <v>0</v>
      </c>
      <c r="W371" s="79">
        <f t="shared" si="37"/>
        <v>14860.303250000001</v>
      </c>
      <c r="X371" s="88"/>
    </row>
    <row r="372" spans="1:24" x14ac:dyDescent="0.3">
      <c r="A372" s="1">
        <f>+Precios!A372</f>
        <v>2026</v>
      </c>
      <c r="B372" s="52">
        <f>+Precios!B372</f>
        <v>46266</v>
      </c>
      <c r="C372" s="1">
        <v>30</v>
      </c>
      <c r="D372" s="1" t="str">
        <f>+Precios!C372</f>
        <v>dom</v>
      </c>
      <c r="E372" s="5">
        <f>+Precios!D372</f>
        <v>46278</v>
      </c>
      <c r="F372" s="77">
        <v>2454.6720833333329</v>
      </c>
      <c r="G372" s="77">
        <v>815.45083333333298</v>
      </c>
      <c r="H372" s="77">
        <v>278.98541666666677</v>
      </c>
      <c r="I372" s="77">
        <v>1013.4695000000004</v>
      </c>
      <c r="J372" s="77">
        <v>1303.6720833333336</v>
      </c>
      <c r="K372" s="77">
        <v>1811.2504166666661</v>
      </c>
      <c r="L372" s="77">
        <v>2119.6074999999964</v>
      </c>
      <c r="M372" s="77">
        <v>747.78791666666655</v>
      </c>
      <c r="N372" s="78">
        <f t="shared" si="38"/>
        <v>10544.895749999994</v>
      </c>
      <c r="O372" s="1">
        <v>1500</v>
      </c>
      <c r="P372" s="77">
        <v>939.75</v>
      </c>
      <c r="Q372" s="77">
        <v>1030.2950000000001</v>
      </c>
      <c r="R372" s="77">
        <v>3884.9299999999994</v>
      </c>
      <c r="S372" s="77">
        <v>1755</v>
      </c>
      <c r="T372" s="77">
        <v>0</v>
      </c>
      <c r="U372" s="77">
        <v>5821.2505000000001</v>
      </c>
      <c r="V372" s="77">
        <v>0</v>
      </c>
      <c r="W372" s="79">
        <f t="shared" si="37"/>
        <v>14931.225499999999</v>
      </c>
      <c r="X372" s="88"/>
    </row>
    <row r="373" spans="1:24" x14ac:dyDescent="0.3">
      <c r="A373" s="1">
        <f>+Precios!A373</f>
        <v>2026</v>
      </c>
      <c r="B373" s="52">
        <f>+Precios!B373</f>
        <v>46266</v>
      </c>
      <c r="C373" s="1">
        <v>30</v>
      </c>
      <c r="D373" s="1" t="str">
        <f>+Precios!C373</f>
        <v>lun</v>
      </c>
      <c r="E373" s="5">
        <f>+Precios!D373</f>
        <v>46279</v>
      </c>
      <c r="F373" s="77">
        <v>2451.6141666666667</v>
      </c>
      <c r="G373" s="77">
        <v>757.90833333333342</v>
      </c>
      <c r="H373" s="77">
        <v>247.1920833333331</v>
      </c>
      <c r="I373" s="77">
        <v>626.27958333333333</v>
      </c>
      <c r="J373" s="77">
        <v>1303.1587499999996</v>
      </c>
      <c r="K373" s="77">
        <v>2527.1458333333371</v>
      </c>
      <c r="L373" s="77">
        <v>2046.0070833333339</v>
      </c>
      <c r="M373" s="77">
        <v>386.06166666666672</v>
      </c>
      <c r="N373" s="78">
        <f t="shared" ref="N373:N378" si="39">+SUM(F373:M373)</f>
        <v>10345.367500000004</v>
      </c>
      <c r="O373" s="1">
        <v>1500</v>
      </c>
      <c r="P373" s="77">
        <v>928.72500000000002</v>
      </c>
      <c r="Q373" s="77">
        <v>1041.9981250000001</v>
      </c>
      <c r="R373" s="77">
        <v>3884.9299999999994</v>
      </c>
      <c r="S373" s="77">
        <v>1755</v>
      </c>
      <c r="T373" s="77">
        <v>0</v>
      </c>
      <c r="U373" s="77">
        <v>5788.6300416666663</v>
      </c>
      <c r="V373" s="77">
        <v>0</v>
      </c>
      <c r="W373" s="79">
        <f t="shared" si="37"/>
        <v>14899.283166666664</v>
      </c>
      <c r="X373" s="88"/>
    </row>
    <row r="374" spans="1:24" x14ac:dyDescent="0.3">
      <c r="A374" s="1">
        <f>+Precios!A374</f>
        <v>2026</v>
      </c>
      <c r="B374" s="52">
        <f>+Precios!B374</f>
        <v>46266</v>
      </c>
      <c r="C374" s="1">
        <v>30</v>
      </c>
      <c r="D374" s="1" t="str">
        <f>+Precios!C374</f>
        <v>mar</v>
      </c>
      <c r="E374" s="5">
        <f>+Precios!D374</f>
        <v>46280</v>
      </c>
      <c r="F374" s="77">
        <v>2458.8875000000003</v>
      </c>
      <c r="G374" s="77">
        <v>795.42708333333314</v>
      </c>
      <c r="H374" s="77">
        <v>299.16958333333332</v>
      </c>
      <c r="I374" s="77">
        <v>1187.7913333333333</v>
      </c>
      <c r="J374" s="77">
        <v>1308.5479166666664</v>
      </c>
      <c r="K374" s="77">
        <v>1811.1870833333317</v>
      </c>
      <c r="L374" s="77">
        <v>1867.8254166666693</v>
      </c>
      <c r="M374" s="77">
        <v>1062.1604166666664</v>
      </c>
      <c r="N374" s="78">
        <f t="shared" si="39"/>
        <v>10790.996333333333</v>
      </c>
      <c r="O374" s="1">
        <v>1500</v>
      </c>
      <c r="P374" s="77">
        <v>921.90000000000009</v>
      </c>
      <c r="Q374" s="77">
        <v>1036.3325</v>
      </c>
      <c r="R374" s="77">
        <v>3762.2216666666659</v>
      </c>
      <c r="S374" s="77">
        <v>1755</v>
      </c>
      <c r="T374" s="77">
        <v>0</v>
      </c>
      <c r="U374" s="77">
        <v>5764.2819166666677</v>
      </c>
      <c r="V374" s="77">
        <v>0</v>
      </c>
      <c r="W374" s="79">
        <f t="shared" si="37"/>
        <v>14739.736083333333</v>
      </c>
      <c r="X374" s="88"/>
    </row>
    <row r="375" spans="1:24" x14ac:dyDescent="0.3">
      <c r="A375" s="1">
        <f>+Precios!A375</f>
        <v>2026</v>
      </c>
      <c r="B375" s="52">
        <f>+Precios!B375</f>
        <v>46266</v>
      </c>
      <c r="C375" s="1">
        <v>30</v>
      </c>
      <c r="D375" s="1" t="str">
        <f>+Precios!C375</f>
        <v>mié</v>
      </c>
      <c r="E375" s="5">
        <f>+Precios!D375</f>
        <v>46281</v>
      </c>
      <c r="F375" s="77">
        <v>2437.8029166666665</v>
      </c>
      <c r="G375" s="77">
        <v>763.9154166666666</v>
      </c>
      <c r="H375" s="77">
        <v>276.5658333333335</v>
      </c>
      <c r="I375" s="77">
        <v>790.58564583333316</v>
      </c>
      <c r="J375" s="77">
        <v>1312.3070833333334</v>
      </c>
      <c r="K375" s="77">
        <v>2241.9341666666623</v>
      </c>
      <c r="L375" s="77">
        <v>1863.0145833333333</v>
      </c>
      <c r="M375" s="77">
        <v>838.8962499999999</v>
      </c>
      <c r="N375" s="78">
        <f t="shared" si="39"/>
        <v>10525.021895833328</v>
      </c>
      <c r="O375" s="1">
        <v>1500</v>
      </c>
      <c r="P375" s="77">
        <v>906.67500000000007</v>
      </c>
      <c r="Q375" s="77">
        <v>1039.8325</v>
      </c>
      <c r="R375" s="77">
        <v>3694.9299999999994</v>
      </c>
      <c r="S375" s="77">
        <v>1755</v>
      </c>
      <c r="T375" s="77">
        <v>0</v>
      </c>
      <c r="U375" s="77">
        <v>5677.2927500000014</v>
      </c>
      <c r="V375" s="77">
        <v>0</v>
      </c>
      <c r="W375" s="79">
        <f t="shared" si="37"/>
        <v>14573.730250000001</v>
      </c>
      <c r="X375" s="88"/>
    </row>
    <row r="376" spans="1:24" x14ac:dyDescent="0.3">
      <c r="A376" s="1">
        <f>+Precios!A376</f>
        <v>2026</v>
      </c>
      <c r="B376" s="52">
        <f>+Precios!B376</f>
        <v>46266</v>
      </c>
      <c r="C376" s="1">
        <v>30</v>
      </c>
      <c r="D376" s="1" t="str">
        <f>+Precios!C376</f>
        <v>jue</v>
      </c>
      <c r="E376" s="5">
        <f>+Precios!D376</f>
        <v>46282</v>
      </c>
      <c r="F376" s="77">
        <v>2359.7654166666666</v>
      </c>
      <c r="G376" s="77">
        <v>791.0100000000001</v>
      </c>
      <c r="H376" s="77">
        <v>265.90958333333339</v>
      </c>
      <c r="I376" s="77">
        <v>898.7328541666667</v>
      </c>
      <c r="J376" s="77">
        <v>1312.5641666666668</v>
      </c>
      <c r="K376" s="77">
        <v>1636.1154166666699</v>
      </c>
      <c r="L376" s="77">
        <v>1486.4554166666665</v>
      </c>
      <c r="M376" s="77">
        <v>822.69541666666657</v>
      </c>
      <c r="N376" s="78">
        <f t="shared" si="39"/>
        <v>9573.2482708333373</v>
      </c>
      <c r="O376" s="1">
        <v>1500</v>
      </c>
      <c r="P376" s="77">
        <v>831.6</v>
      </c>
      <c r="Q376" s="77">
        <v>1037.3825000000002</v>
      </c>
      <c r="R376" s="77">
        <v>3807.0826458333331</v>
      </c>
      <c r="S376" s="77">
        <v>1755</v>
      </c>
      <c r="T376" s="77">
        <v>0</v>
      </c>
      <c r="U376" s="77">
        <v>5369.6710416666665</v>
      </c>
      <c r="V376" s="77">
        <v>0</v>
      </c>
      <c r="W376" s="79">
        <f t="shared" si="37"/>
        <v>14300.736187500001</v>
      </c>
      <c r="X376" s="88"/>
    </row>
    <row r="377" spans="1:24" x14ac:dyDescent="0.3">
      <c r="A377" s="1">
        <f>+Precios!A377</f>
        <v>2026</v>
      </c>
      <c r="B377" s="52">
        <f>+Precios!B377</f>
        <v>46266</v>
      </c>
      <c r="C377" s="1">
        <v>30</v>
      </c>
      <c r="D377" s="1" t="str">
        <f>+Precios!C377</f>
        <v>vie</v>
      </c>
      <c r="E377" s="5">
        <f>+Precios!D377</f>
        <v>46283</v>
      </c>
      <c r="F377" s="77">
        <v>2346.2033333333329</v>
      </c>
      <c r="G377" s="77">
        <v>771.35458333333327</v>
      </c>
      <c r="H377" s="77">
        <v>225.98208333333332</v>
      </c>
      <c r="I377" s="77">
        <v>501.65818749999983</v>
      </c>
      <c r="J377" s="77">
        <v>1313.5283333333334</v>
      </c>
      <c r="K377" s="77">
        <v>1904.0912500000024</v>
      </c>
      <c r="L377" s="77">
        <v>1468.5229166666666</v>
      </c>
      <c r="M377" s="77">
        <v>633.43083333333345</v>
      </c>
      <c r="N377" s="78">
        <f t="shared" si="39"/>
        <v>9164.7715208333357</v>
      </c>
      <c r="O377" s="1">
        <v>1500</v>
      </c>
      <c r="P377" s="77">
        <v>821.625</v>
      </c>
      <c r="Q377" s="77">
        <v>1036.77</v>
      </c>
      <c r="R377" s="77">
        <v>3903.9299999999994</v>
      </c>
      <c r="S377" s="77">
        <v>1755</v>
      </c>
      <c r="T377" s="77">
        <v>0</v>
      </c>
      <c r="U377" s="77">
        <v>5330.9312083333334</v>
      </c>
      <c r="V377" s="77">
        <v>0</v>
      </c>
      <c r="W377" s="79">
        <f t="shared" si="37"/>
        <v>14348.256208333332</v>
      </c>
      <c r="X377" s="88"/>
    </row>
    <row r="378" spans="1:24" x14ac:dyDescent="0.3">
      <c r="A378" s="1">
        <f>+Precios!A378</f>
        <v>2026</v>
      </c>
      <c r="B378" s="52">
        <f>+Precios!B378</f>
        <v>46266</v>
      </c>
      <c r="C378" s="1">
        <v>30</v>
      </c>
      <c r="D378" s="1" t="str">
        <f>+Precios!C378</f>
        <v>sáb</v>
      </c>
      <c r="E378" s="5">
        <f>+Precios!D378</f>
        <v>46284</v>
      </c>
      <c r="F378" s="77">
        <v>2441.8012499999995</v>
      </c>
      <c r="G378" s="77">
        <v>736.31291666666675</v>
      </c>
      <c r="H378" s="77">
        <v>224.11458333333337</v>
      </c>
      <c r="I378" s="77">
        <v>401.46999999999997</v>
      </c>
      <c r="J378" s="77">
        <v>1314.0587499999999</v>
      </c>
      <c r="K378" s="77">
        <v>1758.7291666666652</v>
      </c>
      <c r="L378" s="77">
        <v>1323.7224999999992</v>
      </c>
      <c r="M378" s="77">
        <v>481.7383333333334</v>
      </c>
      <c r="N378" s="78">
        <f t="shared" si="39"/>
        <v>8681.9474999999966</v>
      </c>
      <c r="O378" s="1">
        <v>1500</v>
      </c>
      <c r="P378" s="77">
        <v>798.52499999999998</v>
      </c>
      <c r="Q378" s="77">
        <v>1035.3699999999999</v>
      </c>
      <c r="R378" s="77">
        <v>3903.9299999999994</v>
      </c>
      <c r="S378" s="77">
        <v>1755</v>
      </c>
      <c r="T378" s="77">
        <v>0</v>
      </c>
      <c r="U378" s="77">
        <v>5414.9052916666678</v>
      </c>
      <c r="V378" s="77">
        <v>0</v>
      </c>
      <c r="W378" s="79">
        <f t="shared" si="37"/>
        <v>14407.730291666667</v>
      </c>
      <c r="X378" s="88"/>
    </row>
    <row r="379" spans="1:24" x14ac:dyDescent="0.3">
      <c r="A379" s="1">
        <f>+Precios!A379</f>
        <v>2026</v>
      </c>
      <c r="B379" s="52">
        <f>+Precios!B379</f>
        <v>46266</v>
      </c>
      <c r="C379" s="1">
        <v>30</v>
      </c>
      <c r="D379" s="1" t="str">
        <f>+Precios!C379</f>
        <v>dom</v>
      </c>
      <c r="E379" s="5">
        <f>+Precios!D379</f>
        <v>46285</v>
      </c>
      <c r="F379" s="77">
        <v>1987.5350000000001</v>
      </c>
      <c r="G379" s="77">
        <v>795.52291666666667</v>
      </c>
      <c r="H379" s="77">
        <v>214.92208333333357</v>
      </c>
      <c r="I379" s="77">
        <v>593.89645833333327</v>
      </c>
      <c r="J379" s="77">
        <v>1313.4045833333334</v>
      </c>
      <c r="K379" s="77">
        <v>1916.1641666666637</v>
      </c>
      <c r="L379" s="77">
        <v>1299.9975000000002</v>
      </c>
      <c r="M379" s="77">
        <v>392.20708333333346</v>
      </c>
      <c r="N379" s="78">
        <f t="shared" ref="N379:N414" si="40">+SUM(F379:M379)</f>
        <v>8513.6497916666649</v>
      </c>
      <c r="O379" s="1">
        <v>1500</v>
      </c>
      <c r="P379" s="77">
        <v>810.6</v>
      </c>
      <c r="Q379" s="77">
        <v>1034.4075</v>
      </c>
      <c r="R379" s="77">
        <v>3903.9299999999994</v>
      </c>
      <c r="S379" s="77">
        <v>1755</v>
      </c>
      <c r="T379" s="77">
        <v>0</v>
      </c>
      <c r="U379" s="77">
        <v>5662.0151249999999</v>
      </c>
      <c r="V379" s="77">
        <v>0</v>
      </c>
      <c r="W379" s="79">
        <f t="shared" si="37"/>
        <v>14665.952625</v>
      </c>
      <c r="X379" s="88"/>
    </row>
    <row r="380" spans="1:24" x14ac:dyDescent="0.3">
      <c r="A380" s="1">
        <f>+Precios!A380</f>
        <v>2026</v>
      </c>
      <c r="B380" s="52">
        <f>+Precios!B380</f>
        <v>46266</v>
      </c>
      <c r="C380" s="1">
        <v>30</v>
      </c>
      <c r="D380" s="1" t="str">
        <f>+Precios!C380</f>
        <v>lun</v>
      </c>
      <c r="E380" s="5">
        <f>+Precios!D380</f>
        <v>46286</v>
      </c>
      <c r="F380" s="77">
        <v>1941.427083333333</v>
      </c>
      <c r="G380" s="77">
        <v>757.20375000000001</v>
      </c>
      <c r="H380" s="77">
        <v>224.76291666666657</v>
      </c>
      <c r="I380" s="77">
        <v>836.40968750000002</v>
      </c>
      <c r="J380" s="77">
        <v>1310.7745833333331</v>
      </c>
      <c r="K380" s="77">
        <v>2356.1970833333398</v>
      </c>
      <c r="L380" s="77">
        <v>1386.3670833333319</v>
      </c>
      <c r="M380" s="77">
        <v>681.63750000000005</v>
      </c>
      <c r="N380" s="78">
        <f t="shared" si="40"/>
        <v>9494.7796875000058</v>
      </c>
      <c r="O380" s="1">
        <v>1500</v>
      </c>
      <c r="P380" s="77">
        <v>810.6</v>
      </c>
      <c r="Q380" s="77">
        <v>1038.4412500000001</v>
      </c>
      <c r="R380" s="77">
        <v>3872.6591666666659</v>
      </c>
      <c r="S380" s="77">
        <v>1755</v>
      </c>
      <c r="T380" s="77">
        <v>0</v>
      </c>
      <c r="U380" s="77">
        <v>5574.1202083333319</v>
      </c>
      <c r="V380" s="77">
        <v>0</v>
      </c>
      <c r="W380" s="79">
        <f t="shared" si="37"/>
        <v>14550.820624999998</v>
      </c>
      <c r="X380" s="88"/>
    </row>
    <row r="381" spans="1:24" x14ac:dyDescent="0.3">
      <c r="A381" s="1">
        <f>+Precios!A381</f>
        <v>2026</v>
      </c>
      <c r="B381" s="52">
        <f>+Precios!B381</f>
        <v>46266</v>
      </c>
      <c r="C381" s="1">
        <v>30</v>
      </c>
      <c r="D381" s="1" t="str">
        <f>+Precios!C381</f>
        <v>mar</v>
      </c>
      <c r="E381" s="5">
        <f>+Precios!D381</f>
        <v>46287</v>
      </c>
      <c r="F381" s="77">
        <v>2439.5516666666667</v>
      </c>
      <c r="G381" s="77">
        <v>804.06000000000006</v>
      </c>
      <c r="H381" s="77">
        <v>256.11708333333343</v>
      </c>
      <c r="I381" s="77">
        <v>1842.944583333333</v>
      </c>
      <c r="J381" s="77">
        <v>1310.7162499999997</v>
      </c>
      <c r="K381" s="77">
        <v>1614.0020833333326</v>
      </c>
      <c r="L381" s="77">
        <v>1747.1683333333328</v>
      </c>
      <c r="M381" s="77">
        <v>827.83208333333289</v>
      </c>
      <c r="N381" s="78">
        <f t="shared" si="40"/>
        <v>10842.39208333333</v>
      </c>
      <c r="O381" s="1">
        <v>1500</v>
      </c>
      <c r="P381" s="77">
        <v>865.72500000000002</v>
      </c>
      <c r="Q381" s="77">
        <v>1039.4825000000001</v>
      </c>
      <c r="R381" s="77">
        <v>3691.2356874999996</v>
      </c>
      <c r="S381" s="77">
        <v>1755</v>
      </c>
      <c r="T381" s="77">
        <v>0</v>
      </c>
      <c r="U381" s="77">
        <v>5504.2157916666674</v>
      </c>
      <c r="V381" s="77">
        <v>0</v>
      </c>
      <c r="W381" s="79">
        <f t="shared" si="37"/>
        <v>14355.658979166667</v>
      </c>
      <c r="X381" s="88"/>
    </row>
    <row r="382" spans="1:24" x14ac:dyDescent="0.3">
      <c r="A382" s="1">
        <f>+Precios!A382</f>
        <v>2026</v>
      </c>
      <c r="B382" s="52">
        <f>+Precios!B382</f>
        <v>46266</v>
      </c>
      <c r="C382" s="1">
        <v>30</v>
      </c>
      <c r="D382" s="1" t="str">
        <f>+Precios!C382</f>
        <v>mié</v>
      </c>
      <c r="E382" s="5">
        <f>+Precios!D382</f>
        <v>46288</v>
      </c>
      <c r="F382" s="77">
        <v>2452.3279166666666</v>
      </c>
      <c r="G382" s="77">
        <v>810.97541666666666</v>
      </c>
      <c r="H382" s="77">
        <v>253.17166666666665</v>
      </c>
      <c r="I382" s="77">
        <v>1054.5744166666668</v>
      </c>
      <c r="J382" s="77">
        <v>1312.185833333333</v>
      </c>
      <c r="K382" s="77">
        <v>2259.2858333333356</v>
      </c>
      <c r="L382" s="77">
        <v>1388.1374999999996</v>
      </c>
      <c r="M382" s="77">
        <v>571.55708333333348</v>
      </c>
      <c r="N382" s="78">
        <f t="shared" si="40"/>
        <v>10102.215666666667</v>
      </c>
      <c r="O382" s="1">
        <v>1500</v>
      </c>
      <c r="P382" s="77">
        <v>871.5</v>
      </c>
      <c r="Q382" s="77">
        <v>1030.9950000000001</v>
      </c>
      <c r="R382" s="77">
        <v>3713.9299999999994</v>
      </c>
      <c r="S382" s="77">
        <v>1755</v>
      </c>
      <c r="T382" s="77">
        <v>0</v>
      </c>
      <c r="U382" s="77">
        <v>5507.702208333335</v>
      </c>
      <c r="V382" s="77">
        <v>0</v>
      </c>
      <c r="W382" s="79">
        <f t="shared" si="37"/>
        <v>14379.127208333335</v>
      </c>
      <c r="X382" s="88"/>
    </row>
    <row r="383" spans="1:24" x14ac:dyDescent="0.3">
      <c r="A383" s="1">
        <f>+Precios!A383</f>
        <v>2026</v>
      </c>
      <c r="B383" s="52">
        <f>+Precios!B383</f>
        <v>46266</v>
      </c>
      <c r="C383" s="1">
        <v>30</v>
      </c>
      <c r="D383" s="1" t="str">
        <f>+Precios!C383</f>
        <v>jue</v>
      </c>
      <c r="E383" s="5">
        <f>+Precios!D383</f>
        <v>46289</v>
      </c>
      <c r="F383" s="77">
        <v>2358.3045833333331</v>
      </c>
      <c r="G383" s="77">
        <v>807.39874999999984</v>
      </c>
      <c r="H383" s="77">
        <v>260.83499999999998</v>
      </c>
      <c r="I383" s="77">
        <v>1279.0313124999998</v>
      </c>
      <c r="J383" s="77">
        <v>1311.92</v>
      </c>
      <c r="K383" s="77">
        <v>1670.866250000003</v>
      </c>
      <c r="L383" s="77">
        <v>1329.1679166666663</v>
      </c>
      <c r="M383" s="77">
        <v>928.59333333333313</v>
      </c>
      <c r="N383" s="78">
        <f t="shared" si="40"/>
        <v>9946.1171458333356</v>
      </c>
      <c r="O383" s="1">
        <v>1500</v>
      </c>
      <c r="P383" s="77">
        <v>867.82500000000005</v>
      </c>
      <c r="Q383" s="77">
        <v>1022.245</v>
      </c>
      <c r="R383" s="77">
        <v>3691.2356874999996</v>
      </c>
      <c r="S383" s="77">
        <v>1755</v>
      </c>
      <c r="T383" s="77">
        <v>0</v>
      </c>
      <c r="U383" s="77">
        <v>5395.3691666666682</v>
      </c>
      <c r="V383" s="77">
        <v>0</v>
      </c>
      <c r="W383" s="79">
        <f t="shared" si="37"/>
        <v>14231.674854166668</v>
      </c>
      <c r="X383" s="88"/>
    </row>
    <row r="384" spans="1:24" x14ac:dyDescent="0.3">
      <c r="A384" s="1">
        <f>+Precios!A384</f>
        <v>2026</v>
      </c>
      <c r="B384" s="52">
        <f>+Precios!B384</f>
        <v>46266</v>
      </c>
      <c r="C384" s="1">
        <v>30</v>
      </c>
      <c r="D384" s="1" t="str">
        <f>+Precios!C384</f>
        <v>vie</v>
      </c>
      <c r="E384" s="5">
        <f>+Precios!D384</f>
        <v>46290</v>
      </c>
      <c r="F384" s="77">
        <v>1994.3404166666667</v>
      </c>
      <c r="G384" s="77">
        <v>799.96625000000006</v>
      </c>
      <c r="H384" s="77">
        <v>273.75083333333333</v>
      </c>
      <c r="I384" s="77">
        <v>1243.6960624999997</v>
      </c>
      <c r="J384" s="77">
        <v>1311.98</v>
      </c>
      <c r="K384" s="77">
        <v>1814.2829166666697</v>
      </c>
      <c r="L384" s="77">
        <v>1468.4879166666635</v>
      </c>
      <c r="M384" s="77">
        <v>516.53833333333353</v>
      </c>
      <c r="N384" s="78">
        <f t="shared" si="40"/>
        <v>9423.0427291666674</v>
      </c>
      <c r="O384" s="1">
        <v>1500</v>
      </c>
      <c r="P384" s="77">
        <v>922.42500000000007</v>
      </c>
      <c r="Q384" s="77">
        <v>1023.47</v>
      </c>
      <c r="R384" s="77">
        <v>3858.8049999999994</v>
      </c>
      <c r="S384" s="77">
        <v>1755</v>
      </c>
      <c r="T384" s="77">
        <v>0</v>
      </c>
      <c r="U384" s="77">
        <v>5402.2282083333321</v>
      </c>
      <c r="V384" s="77">
        <v>0</v>
      </c>
      <c r="W384" s="79">
        <f t="shared" si="37"/>
        <v>14461.928208333333</v>
      </c>
      <c r="X384" s="88"/>
    </row>
    <row r="385" spans="1:24" x14ac:dyDescent="0.3">
      <c r="A385" s="1">
        <f>+Precios!A385</f>
        <v>2026</v>
      </c>
      <c r="B385" s="52">
        <f>+Precios!B385</f>
        <v>46266</v>
      </c>
      <c r="C385" s="1">
        <v>30</v>
      </c>
      <c r="D385" s="1" t="str">
        <f>+Precios!C385</f>
        <v>sáb</v>
      </c>
      <c r="E385" s="5">
        <f>+Precios!D385</f>
        <v>46291</v>
      </c>
      <c r="F385" s="77">
        <v>1967.72</v>
      </c>
      <c r="G385" s="77">
        <v>790.57375000000002</v>
      </c>
      <c r="H385" s="77">
        <v>335.28333333333347</v>
      </c>
      <c r="I385" s="77">
        <v>1382.7344999999993</v>
      </c>
      <c r="J385" s="77">
        <v>1313.8562500000003</v>
      </c>
      <c r="K385" s="77">
        <v>1457.5691666666669</v>
      </c>
      <c r="L385" s="77">
        <v>1302.6324999999999</v>
      </c>
      <c r="M385" s="77">
        <v>1116.8633333333328</v>
      </c>
      <c r="N385" s="194">
        <f t="shared" si="40"/>
        <v>9667.2328333333335</v>
      </c>
      <c r="O385" s="1">
        <v>1500</v>
      </c>
      <c r="P385" s="77">
        <v>913.5</v>
      </c>
      <c r="Q385" s="77">
        <v>1057.2450000000001</v>
      </c>
      <c r="R385" s="77">
        <v>3905.5133333333329</v>
      </c>
      <c r="S385" s="77">
        <v>1755</v>
      </c>
      <c r="T385" s="77">
        <v>0</v>
      </c>
      <c r="U385" s="77">
        <v>5299.0587500000011</v>
      </c>
      <c r="V385" s="77">
        <v>0</v>
      </c>
      <c r="W385" s="195">
        <f t="shared" si="37"/>
        <v>14430.317083333335</v>
      </c>
      <c r="X385" s="88"/>
    </row>
    <row r="386" spans="1:24" x14ac:dyDescent="0.3">
      <c r="A386" s="1">
        <f>+Precios!A386</f>
        <v>2026</v>
      </c>
      <c r="B386" s="52">
        <f>+Precios!B386</f>
        <v>46266</v>
      </c>
      <c r="C386" s="1">
        <v>30</v>
      </c>
      <c r="D386" s="1" t="str">
        <f>+Precios!C386</f>
        <v>dom</v>
      </c>
      <c r="E386" s="5">
        <f>+Precios!D386</f>
        <v>46292</v>
      </c>
      <c r="F386" s="77">
        <v>1812.8725000000002</v>
      </c>
      <c r="G386" s="77">
        <v>757.97624999999982</v>
      </c>
      <c r="H386" s="77">
        <v>300.02750000000003</v>
      </c>
      <c r="I386" s="77">
        <v>1004.3055625000001</v>
      </c>
      <c r="J386" s="77">
        <v>1312.8141666666668</v>
      </c>
      <c r="K386" s="77">
        <v>1402.782916666667</v>
      </c>
      <c r="L386" s="77">
        <v>1681.2833333333308</v>
      </c>
      <c r="M386" s="77">
        <v>1181.4404166666664</v>
      </c>
      <c r="N386" s="194">
        <f t="shared" si="40"/>
        <v>9453.5026458333305</v>
      </c>
      <c r="O386" s="1">
        <v>1500</v>
      </c>
      <c r="P386" s="77">
        <v>874.65000000000009</v>
      </c>
      <c r="Q386" s="77">
        <v>1019.4450000000001</v>
      </c>
      <c r="R386" s="77">
        <v>3811.3049999999994</v>
      </c>
      <c r="S386" s="77">
        <v>1755</v>
      </c>
      <c r="T386" s="77">
        <v>0</v>
      </c>
      <c r="U386" s="77">
        <v>5310.5825833333329</v>
      </c>
      <c r="V386" s="77">
        <v>0</v>
      </c>
      <c r="W386" s="195">
        <f t="shared" si="37"/>
        <v>14270.982583333333</v>
      </c>
      <c r="X386" s="88"/>
    </row>
    <row r="387" spans="1:24" x14ac:dyDescent="0.3">
      <c r="A387" s="1">
        <f>+Precios!A387</f>
        <v>2026</v>
      </c>
      <c r="B387" s="52">
        <f>+Precios!B387</f>
        <v>46266</v>
      </c>
      <c r="C387" s="1">
        <v>30</v>
      </c>
      <c r="D387" s="1" t="str">
        <f>+Precios!C387</f>
        <v>lun</v>
      </c>
      <c r="E387" s="5">
        <f>+Precios!D387</f>
        <v>46293</v>
      </c>
      <c r="F387" s="77">
        <v>1694.1816666666671</v>
      </c>
      <c r="G387" s="77">
        <v>791.30708333333325</v>
      </c>
      <c r="H387" s="77">
        <v>410.07458333333358</v>
      </c>
      <c r="I387" s="77">
        <v>2447.1940624999993</v>
      </c>
      <c r="J387" s="77">
        <v>1313.2829166666668</v>
      </c>
      <c r="K387" s="77">
        <v>1210.3033333333362</v>
      </c>
      <c r="L387" s="77">
        <v>2050.5424999999991</v>
      </c>
      <c r="M387" s="77">
        <v>1062.8166666666659</v>
      </c>
      <c r="N387" s="194">
        <f t="shared" si="40"/>
        <v>10979.702812500002</v>
      </c>
      <c r="O387" s="1">
        <v>1500</v>
      </c>
      <c r="P387" s="77">
        <v>911.92500000000007</v>
      </c>
      <c r="Q387" s="77">
        <v>1016.2385624999999</v>
      </c>
      <c r="R387" s="77">
        <v>3877.6731874999996</v>
      </c>
      <c r="S387" s="77">
        <v>1755</v>
      </c>
      <c r="T387" s="77">
        <v>0</v>
      </c>
      <c r="U387" s="77">
        <v>5024.8542083333332</v>
      </c>
      <c r="V387" s="77">
        <v>0</v>
      </c>
      <c r="W387" s="195">
        <f t="shared" si="37"/>
        <v>14085.690958333333</v>
      </c>
      <c r="X387" s="88"/>
    </row>
    <row r="388" spans="1:24" x14ac:dyDescent="0.3">
      <c r="A388" s="1">
        <f>+Precios!A388</f>
        <v>2026</v>
      </c>
      <c r="B388" s="52">
        <f>+Precios!B388</f>
        <v>46266</v>
      </c>
      <c r="C388" s="1">
        <v>30</v>
      </c>
      <c r="D388" s="1" t="str">
        <f>+Precios!C388</f>
        <v>mar</v>
      </c>
      <c r="E388" s="5">
        <f>+Precios!D388</f>
        <v>46294</v>
      </c>
      <c r="F388" s="77">
        <v>1913.1195833333334</v>
      </c>
      <c r="G388" s="77">
        <v>763.26458333333323</v>
      </c>
      <c r="H388" s="77">
        <v>413.86333333333369</v>
      </c>
      <c r="I388" s="77">
        <v>2114.4601250000001</v>
      </c>
      <c r="J388" s="77">
        <v>1310.6875</v>
      </c>
      <c r="K388" s="77">
        <v>1172.6345833333319</v>
      </c>
      <c r="L388" s="77">
        <v>2034.2658333333327</v>
      </c>
      <c r="M388" s="77">
        <v>1067.3187499999999</v>
      </c>
      <c r="N388" s="194">
        <f t="shared" si="40"/>
        <v>10789.614291666665</v>
      </c>
      <c r="O388" s="1">
        <v>1500</v>
      </c>
      <c r="P388" s="77">
        <v>879.90000000000009</v>
      </c>
      <c r="Q388" s="77">
        <v>990.95062499999995</v>
      </c>
      <c r="R388" s="77">
        <v>3770.9299999999994</v>
      </c>
      <c r="S388" s="77">
        <v>1755</v>
      </c>
      <c r="T388" s="77">
        <v>0</v>
      </c>
      <c r="U388" s="77">
        <v>5182.1649583333347</v>
      </c>
      <c r="V388" s="77">
        <v>0</v>
      </c>
      <c r="W388" s="195">
        <f t="shared" si="37"/>
        <v>14078.945583333334</v>
      </c>
      <c r="X388" s="88"/>
    </row>
    <row r="389" spans="1:24" x14ac:dyDescent="0.3">
      <c r="A389" s="1">
        <f>+Precios!A389</f>
        <v>2026</v>
      </c>
      <c r="B389" s="52">
        <f>+Precios!B389</f>
        <v>46266</v>
      </c>
      <c r="C389" s="1">
        <v>30</v>
      </c>
      <c r="D389" s="1" t="str">
        <f>+Precios!C389</f>
        <v>mié</v>
      </c>
      <c r="E389" s="5">
        <f>+Precios!D389</f>
        <v>46295</v>
      </c>
      <c r="F389" s="77">
        <v>2407.6354166666674</v>
      </c>
      <c r="G389" s="77">
        <v>726.35958333333338</v>
      </c>
      <c r="H389" s="77">
        <v>420.04541666666643</v>
      </c>
      <c r="I389" s="77">
        <v>2277.8237083333329</v>
      </c>
      <c r="J389" s="77">
        <v>1310.5562499999999</v>
      </c>
      <c r="K389" s="77">
        <v>1067.5170833333339</v>
      </c>
      <c r="L389" s="77">
        <v>1992.0229166666666</v>
      </c>
      <c r="M389" s="77">
        <v>326.40666666666669</v>
      </c>
      <c r="N389" s="194">
        <f t="shared" si="40"/>
        <v>10528.367041666666</v>
      </c>
      <c r="O389" s="1">
        <v>1500</v>
      </c>
      <c r="P389" s="77">
        <v>840</v>
      </c>
      <c r="Q389" s="77">
        <v>930.76374999999996</v>
      </c>
      <c r="R389" s="77">
        <v>3770.9299999999994</v>
      </c>
      <c r="S389" s="77">
        <v>1755</v>
      </c>
      <c r="T389" s="77">
        <v>0</v>
      </c>
      <c r="U389" s="77">
        <v>5410.7676666666675</v>
      </c>
      <c r="V389" s="77">
        <v>0</v>
      </c>
      <c r="W389" s="195">
        <f t="shared" si="37"/>
        <v>14207.461416666665</v>
      </c>
      <c r="X389" s="88"/>
    </row>
    <row r="390" spans="1:24" x14ac:dyDescent="0.3">
      <c r="A390" s="1">
        <v>2026</v>
      </c>
      <c r="B390" s="52">
        <v>46296</v>
      </c>
      <c r="C390" s="1">
        <v>30</v>
      </c>
      <c r="D390" s="200" t="s">
        <v>48</v>
      </c>
      <c r="E390" s="5">
        <v>46296</v>
      </c>
      <c r="F390" s="77">
        <v>2311</v>
      </c>
      <c r="G390" s="77">
        <v>737</v>
      </c>
      <c r="H390" s="77">
        <v>440</v>
      </c>
      <c r="I390" s="77">
        <v>1821</v>
      </c>
      <c r="J390" s="77">
        <v>1311</v>
      </c>
      <c r="K390" s="77">
        <v>1411</v>
      </c>
      <c r="L390" s="77">
        <v>1910</v>
      </c>
      <c r="M390" s="77">
        <v>471</v>
      </c>
      <c r="N390" s="194">
        <f t="shared" si="40"/>
        <v>10412</v>
      </c>
      <c r="O390" s="1">
        <v>1500</v>
      </c>
      <c r="P390" s="77">
        <v>853</v>
      </c>
      <c r="Q390" s="77">
        <v>983</v>
      </c>
      <c r="R390" s="77">
        <v>3771</v>
      </c>
      <c r="S390" s="77">
        <v>1755</v>
      </c>
      <c r="T390" s="77">
        <v>0</v>
      </c>
      <c r="U390" s="77">
        <v>5124</v>
      </c>
      <c r="V390" s="77">
        <v>0</v>
      </c>
      <c r="W390" s="195">
        <f t="shared" si="37"/>
        <v>13986</v>
      </c>
      <c r="X390" s="88"/>
    </row>
    <row r="391" spans="1:24" x14ac:dyDescent="0.3">
      <c r="A391" s="1">
        <v>2026</v>
      </c>
      <c r="B391" s="52">
        <v>46296</v>
      </c>
      <c r="C391" s="1">
        <v>30</v>
      </c>
      <c r="D391" s="200" t="s">
        <v>49</v>
      </c>
      <c r="E391" s="5">
        <v>46297</v>
      </c>
      <c r="F391" s="77">
        <v>2324</v>
      </c>
      <c r="G391" s="77">
        <v>736</v>
      </c>
      <c r="H391" s="77">
        <v>374</v>
      </c>
      <c r="I391" s="77">
        <v>1463</v>
      </c>
      <c r="J391" s="77">
        <v>1301</v>
      </c>
      <c r="K391" s="77">
        <v>1932</v>
      </c>
      <c r="L391" s="77">
        <v>1435</v>
      </c>
      <c r="M391" s="77">
        <v>383</v>
      </c>
      <c r="N391" s="194">
        <f t="shared" si="40"/>
        <v>9948</v>
      </c>
      <c r="O391" s="1">
        <v>1500</v>
      </c>
      <c r="P391" s="77">
        <v>848</v>
      </c>
      <c r="Q391" s="77">
        <v>1027</v>
      </c>
      <c r="R391" s="77">
        <v>3904</v>
      </c>
      <c r="S391" s="77">
        <v>1755</v>
      </c>
      <c r="T391" s="77">
        <v>0</v>
      </c>
      <c r="U391" s="77">
        <v>5238</v>
      </c>
      <c r="V391" s="77">
        <v>0</v>
      </c>
      <c r="W391" s="195">
        <f t="shared" si="37"/>
        <v>14272</v>
      </c>
      <c r="X391" s="88"/>
    </row>
    <row r="392" spans="1:24" x14ac:dyDescent="0.3">
      <c r="A392" s="1">
        <v>2026</v>
      </c>
      <c r="B392" s="52">
        <v>46296</v>
      </c>
      <c r="C392" s="1">
        <v>30</v>
      </c>
      <c r="D392" s="200" t="s">
        <v>43</v>
      </c>
      <c r="E392" s="5">
        <v>46298</v>
      </c>
      <c r="F392" s="77">
        <v>2420</v>
      </c>
      <c r="G392" s="77">
        <v>693</v>
      </c>
      <c r="H392" s="77">
        <v>372</v>
      </c>
      <c r="I392" s="77">
        <v>1070</v>
      </c>
      <c r="J392" s="77">
        <v>712</v>
      </c>
      <c r="K392" s="77">
        <v>1740</v>
      </c>
      <c r="L392" s="77">
        <v>1299</v>
      </c>
      <c r="M392" s="77">
        <v>359</v>
      </c>
      <c r="N392" s="194">
        <f t="shared" si="40"/>
        <v>8665</v>
      </c>
      <c r="O392" s="1">
        <v>1500</v>
      </c>
      <c r="P392" s="77">
        <v>800</v>
      </c>
      <c r="Q392" s="77">
        <v>1019</v>
      </c>
      <c r="R392" s="77">
        <v>4018</v>
      </c>
      <c r="S392" s="77">
        <v>1755</v>
      </c>
      <c r="T392" s="77">
        <v>0</v>
      </c>
      <c r="U392" s="77">
        <v>5333</v>
      </c>
      <c r="V392" s="77">
        <v>0</v>
      </c>
      <c r="W392" s="195">
        <f t="shared" si="37"/>
        <v>14425</v>
      </c>
      <c r="X392" s="88"/>
    </row>
    <row r="393" spans="1:24" x14ac:dyDescent="0.3">
      <c r="A393" s="1">
        <v>2026</v>
      </c>
      <c r="B393" s="52">
        <v>46296</v>
      </c>
      <c r="C393" s="1">
        <v>30</v>
      </c>
      <c r="D393" s="200" t="s">
        <v>44</v>
      </c>
      <c r="E393" s="5">
        <v>46299</v>
      </c>
      <c r="F393" s="77">
        <v>2608</v>
      </c>
      <c r="G393" s="77">
        <v>648</v>
      </c>
      <c r="H393" s="77">
        <v>313</v>
      </c>
      <c r="I393" s="77">
        <v>753</v>
      </c>
      <c r="J393" s="77">
        <v>683</v>
      </c>
      <c r="K393" s="77">
        <v>1885</v>
      </c>
      <c r="L393" s="77">
        <v>1196</v>
      </c>
      <c r="M393" s="77">
        <v>193</v>
      </c>
      <c r="N393" s="194">
        <f t="shared" si="40"/>
        <v>8279</v>
      </c>
      <c r="O393" s="1">
        <v>1500</v>
      </c>
      <c r="P393" s="77">
        <v>739</v>
      </c>
      <c r="Q393" s="77">
        <v>1019</v>
      </c>
      <c r="R393" s="77">
        <v>4018</v>
      </c>
      <c r="S393" s="77">
        <v>1755</v>
      </c>
      <c r="T393" s="77">
        <v>0</v>
      </c>
      <c r="U393" s="77">
        <v>5427</v>
      </c>
      <c r="V393" s="77">
        <v>0</v>
      </c>
      <c r="W393" s="195">
        <f t="shared" si="37"/>
        <v>14458</v>
      </c>
      <c r="X393" s="88"/>
    </row>
    <row r="394" spans="1:24" x14ac:dyDescent="0.3">
      <c r="A394" s="1">
        <v>2026</v>
      </c>
      <c r="B394" s="52">
        <v>46296</v>
      </c>
      <c r="C394" s="1">
        <v>30</v>
      </c>
      <c r="D394" s="200" t="s">
        <v>45</v>
      </c>
      <c r="E394" s="5">
        <v>46300</v>
      </c>
      <c r="F394" s="77">
        <v>2577</v>
      </c>
      <c r="G394" s="77">
        <v>636</v>
      </c>
      <c r="H394" s="77">
        <v>398</v>
      </c>
      <c r="I394" s="77">
        <v>1483</v>
      </c>
      <c r="J394" s="77">
        <v>684</v>
      </c>
      <c r="K394" s="77">
        <v>1623</v>
      </c>
      <c r="L394" s="77">
        <v>1511</v>
      </c>
      <c r="M394" s="77">
        <v>16</v>
      </c>
      <c r="N394" s="194">
        <f t="shared" si="40"/>
        <v>8928</v>
      </c>
      <c r="O394" s="1">
        <v>1500</v>
      </c>
      <c r="P394" s="77">
        <v>681</v>
      </c>
      <c r="Q394" s="77">
        <v>964</v>
      </c>
      <c r="R394" s="77">
        <v>4018</v>
      </c>
      <c r="S394" s="77">
        <v>1755</v>
      </c>
      <c r="T394" s="77">
        <v>0</v>
      </c>
      <c r="U394" s="77">
        <v>5013</v>
      </c>
      <c r="V394" s="77">
        <v>0</v>
      </c>
      <c r="W394" s="195">
        <f t="shared" si="37"/>
        <v>13931</v>
      </c>
      <c r="X394" s="88"/>
    </row>
    <row r="395" spans="1:24" x14ac:dyDescent="0.3">
      <c r="A395" s="1">
        <v>2026</v>
      </c>
      <c r="B395" s="52">
        <v>46296</v>
      </c>
      <c r="C395" s="1">
        <v>30</v>
      </c>
      <c r="D395" s="200" t="s">
        <v>46</v>
      </c>
      <c r="E395" s="5">
        <v>46301</v>
      </c>
      <c r="F395" s="77">
        <v>2463</v>
      </c>
      <c r="G395" s="77">
        <v>614</v>
      </c>
      <c r="H395" s="77">
        <v>394</v>
      </c>
      <c r="I395" s="77">
        <v>1783</v>
      </c>
      <c r="J395" s="77">
        <v>683</v>
      </c>
      <c r="K395" s="77">
        <v>1178</v>
      </c>
      <c r="L395" s="77">
        <v>2026</v>
      </c>
      <c r="M395" s="77">
        <v>731</v>
      </c>
      <c r="N395" s="194">
        <f t="shared" si="40"/>
        <v>9872</v>
      </c>
      <c r="O395" s="1">
        <v>1500</v>
      </c>
      <c r="P395" s="77">
        <v>655</v>
      </c>
      <c r="Q395" s="77">
        <v>938</v>
      </c>
      <c r="R395" s="77">
        <v>4018</v>
      </c>
      <c r="S395" s="77">
        <v>1755</v>
      </c>
      <c r="T395" s="77">
        <v>0</v>
      </c>
      <c r="U395" s="77">
        <v>4904</v>
      </c>
      <c r="V395" s="77">
        <v>0</v>
      </c>
      <c r="W395" s="195">
        <f t="shared" si="37"/>
        <v>13770</v>
      </c>
      <c r="X395" s="88"/>
    </row>
    <row r="396" spans="1:24" x14ac:dyDescent="0.3">
      <c r="A396" s="1">
        <v>2026</v>
      </c>
      <c r="B396" s="52">
        <v>46296</v>
      </c>
      <c r="C396" s="1">
        <v>30</v>
      </c>
      <c r="D396" s="200" t="s">
        <v>47</v>
      </c>
      <c r="E396" s="5">
        <v>46302</v>
      </c>
      <c r="F396" s="77">
        <v>2155</v>
      </c>
      <c r="G396" s="77">
        <v>576</v>
      </c>
      <c r="H396" s="77">
        <v>374</v>
      </c>
      <c r="I396" s="77">
        <v>1460</v>
      </c>
      <c r="J396" s="77">
        <v>681</v>
      </c>
      <c r="K396" s="77">
        <v>1764</v>
      </c>
      <c r="L396" s="77">
        <v>1977</v>
      </c>
      <c r="M396" s="77">
        <v>24</v>
      </c>
      <c r="N396" s="194">
        <f t="shared" si="40"/>
        <v>9011</v>
      </c>
      <c r="O396" s="1">
        <v>1500</v>
      </c>
      <c r="P396" s="77">
        <v>615</v>
      </c>
      <c r="Q396" s="77">
        <v>965</v>
      </c>
      <c r="R396" s="77">
        <v>4018</v>
      </c>
      <c r="S396" s="77">
        <v>1755</v>
      </c>
      <c r="T396" s="77">
        <v>0</v>
      </c>
      <c r="U396" s="77">
        <v>4943</v>
      </c>
      <c r="V396" s="77">
        <v>0</v>
      </c>
      <c r="W396" s="195">
        <f t="shared" si="37"/>
        <v>13796</v>
      </c>
      <c r="X396" s="88"/>
    </row>
    <row r="397" spans="1:24" x14ac:dyDescent="0.3">
      <c r="A397" s="1">
        <v>2026</v>
      </c>
      <c r="B397" s="52">
        <v>46296</v>
      </c>
      <c r="C397" s="1">
        <v>30</v>
      </c>
      <c r="D397" s="200" t="s">
        <v>48</v>
      </c>
      <c r="E397" s="5">
        <v>46303</v>
      </c>
      <c r="F397" s="77">
        <v>2164</v>
      </c>
      <c r="G397" s="77">
        <v>552</v>
      </c>
      <c r="H397" s="77">
        <v>420</v>
      </c>
      <c r="I397" s="77">
        <v>1773</v>
      </c>
      <c r="J397" s="77">
        <v>684</v>
      </c>
      <c r="K397" s="77">
        <v>1671</v>
      </c>
      <c r="L397" s="77">
        <v>1982</v>
      </c>
      <c r="M397" s="77">
        <v>21</v>
      </c>
      <c r="N397" s="194">
        <f t="shared" si="40"/>
        <v>9267</v>
      </c>
      <c r="O397" s="1">
        <v>1500</v>
      </c>
      <c r="P397" s="77">
        <v>591</v>
      </c>
      <c r="Q397" s="77">
        <v>1024</v>
      </c>
      <c r="R397" s="77">
        <v>4018</v>
      </c>
      <c r="S397" s="77">
        <v>1755</v>
      </c>
      <c r="T397" s="77">
        <v>0</v>
      </c>
      <c r="U397" s="77">
        <v>4999</v>
      </c>
      <c r="V397" s="77">
        <v>0</v>
      </c>
      <c r="W397" s="195">
        <f t="shared" si="37"/>
        <v>13887</v>
      </c>
      <c r="X397" s="88"/>
    </row>
    <row r="398" spans="1:24" x14ac:dyDescent="0.3">
      <c r="A398" s="1">
        <v>2026</v>
      </c>
      <c r="B398" s="52">
        <v>46296</v>
      </c>
      <c r="C398" s="1">
        <v>30</v>
      </c>
      <c r="D398" s="200" t="s">
        <v>49</v>
      </c>
      <c r="E398" s="5">
        <v>46304</v>
      </c>
      <c r="F398" s="77">
        <v>2476</v>
      </c>
      <c r="G398" s="77">
        <v>527</v>
      </c>
      <c r="H398" s="77">
        <v>458</v>
      </c>
      <c r="I398" s="77">
        <v>2204</v>
      </c>
      <c r="J398" s="77">
        <v>684</v>
      </c>
      <c r="K398" s="77">
        <v>1563</v>
      </c>
      <c r="L398" s="77">
        <v>2060</v>
      </c>
      <c r="M398" s="77">
        <v>592</v>
      </c>
      <c r="N398" s="194">
        <f t="shared" si="40"/>
        <v>10564</v>
      </c>
      <c r="O398" s="1">
        <v>1500</v>
      </c>
      <c r="P398" s="77">
        <v>608</v>
      </c>
      <c r="Q398" s="77">
        <v>1024</v>
      </c>
      <c r="R398" s="77">
        <v>4018</v>
      </c>
      <c r="S398" s="77">
        <v>1755</v>
      </c>
      <c r="T398" s="77">
        <v>0</v>
      </c>
      <c r="U398" s="77">
        <v>5076</v>
      </c>
      <c r="V398" s="77">
        <v>0</v>
      </c>
      <c r="W398" s="195">
        <f t="shared" si="37"/>
        <v>13981</v>
      </c>
      <c r="X398" s="88"/>
    </row>
    <row r="399" spans="1:24" x14ac:dyDescent="0.3">
      <c r="A399" s="1">
        <v>2026</v>
      </c>
      <c r="B399" s="52">
        <v>46296</v>
      </c>
      <c r="C399" s="1">
        <v>30</v>
      </c>
      <c r="D399" s="200" t="s">
        <v>43</v>
      </c>
      <c r="E399" s="5">
        <v>46305</v>
      </c>
      <c r="F399" s="77">
        <v>2532</v>
      </c>
      <c r="G399" s="77">
        <v>528</v>
      </c>
      <c r="H399" s="77">
        <v>441</v>
      </c>
      <c r="I399" s="77">
        <v>2176</v>
      </c>
      <c r="J399" s="77">
        <v>684</v>
      </c>
      <c r="K399" s="77">
        <v>1569</v>
      </c>
      <c r="L399" s="77">
        <v>1855</v>
      </c>
      <c r="M399" s="77">
        <v>404</v>
      </c>
      <c r="N399" s="194">
        <f t="shared" si="40"/>
        <v>10189</v>
      </c>
      <c r="O399" s="1">
        <v>1500</v>
      </c>
      <c r="P399" s="77">
        <v>608</v>
      </c>
      <c r="Q399" s="77">
        <v>1016</v>
      </c>
      <c r="R399" s="77">
        <v>4018</v>
      </c>
      <c r="S399" s="77">
        <v>1755</v>
      </c>
      <c r="T399" s="77">
        <v>0</v>
      </c>
      <c r="U399" s="77">
        <v>5123</v>
      </c>
      <c r="V399" s="77">
        <v>0</v>
      </c>
      <c r="W399" s="195">
        <f t="shared" si="37"/>
        <v>14020</v>
      </c>
      <c r="X399" s="88"/>
    </row>
    <row r="400" spans="1:24" x14ac:dyDescent="0.3">
      <c r="A400" s="1">
        <v>2026</v>
      </c>
      <c r="B400" s="52">
        <v>46296</v>
      </c>
      <c r="C400" s="1">
        <v>30</v>
      </c>
      <c r="D400" s="200" t="s">
        <v>44</v>
      </c>
      <c r="E400" s="5">
        <v>46306</v>
      </c>
      <c r="F400" s="77">
        <v>2527</v>
      </c>
      <c r="G400" s="77">
        <v>532</v>
      </c>
      <c r="H400" s="77">
        <v>449</v>
      </c>
      <c r="I400" s="77">
        <v>1640</v>
      </c>
      <c r="J400" s="77">
        <v>685</v>
      </c>
      <c r="K400" s="77">
        <v>1658</v>
      </c>
      <c r="L400" s="77">
        <v>1420</v>
      </c>
      <c r="M400" s="77">
        <v>520</v>
      </c>
      <c r="N400" s="194">
        <f t="shared" si="40"/>
        <v>9431</v>
      </c>
      <c r="O400" s="1">
        <v>1500</v>
      </c>
      <c r="P400" s="77">
        <v>608</v>
      </c>
      <c r="Q400" s="77">
        <v>1023</v>
      </c>
      <c r="R400" s="77">
        <v>4018</v>
      </c>
      <c r="S400" s="77">
        <v>1755</v>
      </c>
      <c r="T400" s="77">
        <v>0</v>
      </c>
      <c r="U400" s="77">
        <v>5021</v>
      </c>
      <c r="V400" s="77">
        <v>0</v>
      </c>
      <c r="W400" s="195">
        <f t="shared" si="37"/>
        <v>13925</v>
      </c>
      <c r="X400" s="88"/>
    </row>
    <row r="401" spans="1:24" x14ac:dyDescent="0.3">
      <c r="A401" s="1">
        <v>2026</v>
      </c>
      <c r="B401" s="52">
        <v>46296</v>
      </c>
      <c r="C401" s="1">
        <v>30</v>
      </c>
      <c r="D401" s="200" t="s">
        <v>45</v>
      </c>
      <c r="E401" s="5">
        <v>46307</v>
      </c>
      <c r="F401" s="77">
        <v>2507</v>
      </c>
      <c r="G401" s="77">
        <v>548</v>
      </c>
      <c r="H401" s="77">
        <v>454</v>
      </c>
      <c r="I401" s="77">
        <v>1787</v>
      </c>
      <c r="J401" s="77">
        <v>683</v>
      </c>
      <c r="K401" s="77">
        <v>1598</v>
      </c>
      <c r="L401" s="77">
        <v>1644</v>
      </c>
      <c r="M401" s="77">
        <v>363</v>
      </c>
      <c r="N401" s="194">
        <f t="shared" si="40"/>
        <v>9584</v>
      </c>
      <c r="O401" s="1">
        <v>1500</v>
      </c>
      <c r="P401" s="77">
        <v>634</v>
      </c>
      <c r="Q401" s="77">
        <v>1034</v>
      </c>
      <c r="R401" s="77">
        <v>4018</v>
      </c>
      <c r="S401" s="77">
        <v>1755</v>
      </c>
      <c r="T401" s="77">
        <v>0</v>
      </c>
      <c r="U401" s="77">
        <v>4987</v>
      </c>
      <c r="V401" s="77">
        <v>0</v>
      </c>
      <c r="W401" s="195">
        <f t="shared" si="37"/>
        <v>13928</v>
      </c>
      <c r="X401" s="88"/>
    </row>
    <row r="402" spans="1:24" x14ac:dyDescent="0.3">
      <c r="A402" s="1">
        <v>2026</v>
      </c>
      <c r="B402" s="52">
        <v>46296</v>
      </c>
      <c r="C402" s="1">
        <v>30</v>
      </c>
      <c r="D402" s="200" t="s">
        <v>46</v>
      </c>
      <c r="E402" s="5">
        <v>46308</v>
      </c>
      <c r="F402" s="77">
        <v>2405</v>
      </c>
      <c r="G402" s="77">
        <v>562</v>
      </c>
      <c r="H402" s="77">
        <v>413</v>
      </c>
      <c r="I402" s="77">
        <v>1930</v>
      </c>
      <c r="J402" s="77">
        <v>685</v>
      </c>
      <c r="K402" s="77">
        <v>1476</v>
      </c>
      <c r="L402" s="77">
        <v>1923</v>
      </c>
      <c r="M402" s="77">
        <v>473</v>
      </c>
      <c r="N402" s="194">
        <f t="shared" si="40"/>
        <v>9867</v>
      </c>
      <c r="O402" s="1">
        <v>1500</v>
      </c>
      <c r="P402" s="77">
        <v>643</v>
      </c>
      <c r="Q402" s="77">
        <v>1022</v>
      </c>
      <c r="R402" s="77">
        <v>3961</v>
      </c>
      <c r="S402" s="77">
        <v>1755</v>
      </c>
      <c r="T402" s="77">
        <v>0</v>
      </c>
      <c r="U402" s="77">
        <v>4945</v>
      </c>
      <c r="V402" s="77">
        <v>0</v>
      </c>
      <c r="W402" s="195">
        <f t="shared" si="37"/>
        <v>13826</v>
      </c>
      <c r="X402" s="88"/>
    </row>
    <row r="403" spans="1:24" x14ac:dyDescent="0.3">
      <c r="A403" s="1">
        <v>2026</v>
      </c>
      <c r="B403" s="52">
        <v>46296</v>
      </c>
      <c r="C403" s="1">
        <v>30</v>
      </c>
      <c r="D403" s="200" t="s">
        <v>47</v>
      </c>
      <c r="E403" s="5">
        <v>46309</v>
      </c>
      <c r="F403" s="77">
        <v>2337</v>
      </c>
      <c r="G403" s="77">
        <v>595</v>
      </c>
      <c r="H403" s="77">
        <v>447</v>
      </c>
      <c r="I403" s="77">
        <v>2121</v>
      </c>
      <c r="J403" s="77">
        <v>684</v>
      </c>
      <c r="K403" s="77">
        <v>1133</v>
      </c>
      <c r="L403" s="77">
        <v>1895</v>
      </c>
      <c r="M403" s="77">
        <v>14</v>
      </c>
      <c r="N403" s="194">
        <f t="shared" si="40"/>
        <v>9226</v>
      </c>
      <c r="O403" s="1">
        <v>1500</v>
      </c>
      <c r="P403" s="77">
        <v>684</v>
      </c>
      <c r="Q403" s="77">
        <v>1030</v>
      </c>
      <c r="R403" s="77">
        <v>3961</v>
      </c>
      <c r="S403" s="77">
        <v>1755</v>
      </c>
      <c r="T403" s="77">
        <v>0</v>
      </c>
      <c r="U403" s="77">
        <v>4918</v>
      </c>
      <c r="V403" s="77">
        <v>0</v>
      </c>
      <c r="W403" s="195">
        <f t="shared" si="37"/>
        <v>13848</v>
      </c>
      <c r="X403" s="88"/>
    </row>
    <row r="404" spans="1:24" x14ac:dyDescent="0.3">
      <c r="A404" s="1">
        <v>2026</v>
      </c>
      <c r="B404" s="52">
        <v>46296</v>
      </c>
      <c r="C404" s="1">
        <v>30</v>
      </c>
      <c r="D404" s="200" t="s">
        <v>48</v>
      </c>
      <c r="E404" s="5">
        <v>46310</v>
      </c>
      <c r="F404" s="77">
        <v>2237</v>
      </c>
      <c r="G404" s="77">
        <v>597</v>
      </c>
      <c r="H404" s="77">
        <v>431</v>
      </c>
      <c r="I404" s="77">
        <v>1972</v>
      </c>
      <c r="J404" s="77">
        <v>683</v>
      </c>
      <c r="K404" s="77">
        <v>1181</v>
      </c>
      <c r="L404" s="77">
        <v>1766</v>
      </c>
      <c r="M404" s="77">
        <v>395</v>
      </c>
      <c r="N404" s="194">
        <f t="shared" si="40"/>
        <v>9262</v>
      </c>
      <c r="O404" s="1">
        <v>1500</v>
      </c>
      <c r="P404" s="77">
        <v>643</v>
      </c>
      <c r="Q404" s="77">
        <v>1020</v>
      </c>
      <c r="R404" s="77">
        <v>3970</v>
      </c>
      <c r="S404" s="77">
        <v>1755</v>
      </c>
      <c r="T404" s="77">
        <v>0</v>
      </c>
      <c r="U404" s="77">
        <v>4926</v>
      </c>
      <c r="V404" s="77">
        <v>0</v>
      </c>
      <c r="W404" s="195">
        <f t="shared" si="37"/>
        <v>13814</v>
      </c>
      <c r="X404" s="88"/>
    </row>
    <row r="405" spans="1:24" x14ac:dyDescent="0.3">
      <c r="A405" s="1">
        <v>2026</v>
      </c>
      <c r="B405" s="52">
        <v>46296</v>
      </c>
      <c r="C405" s="1">
        <v>30</v>
      </c>
      <c r="D405" s="200" t="s">
        <v>49</v>
      </c>
      <c r="E405" s="5">
        <v>46311</v>
      </c>
      <c r="F405" s="77">
        <v>2218</v>
      </c>
      <c r="G405" s="77">
        <v>619</v>
      </c>
      <c r="H405" s="77">
        <v>465</v>
      </c>
      <c r="I405" s="77">
        <v>2148</v>
      </c>
      <c r="J405" s="77">
        <v>682</v>
      </c>
      <c r="K405" s="77">
        <v>1370</v>
      </c>
      <c r="L405" s="77">
        <v>1201</v>
      </c>
      <c r="M405" s="77">
        <v>21</v>
      </c>
      <c r="N405" s="194">
        <f t="shared" si="40"/>
        <v>8724</v>
      </c>
      <c r="O405" s="1">
        <v>1500</v>
      </c>
      <c r="P405" s="77">
        <v>617</v>
      </c>
      <c r="Q405" s="77">
        <v>1027</v>
      </c>
      <c r="R405" s="77">
        <v>3970</v>
      </c>
      <c r="S405" s="77">
        <v>1755</v>
      </c>
      <c r="T405" s="77">
        <v>0</v>
      </c>
      <c r="U405" s="77">
        <v>5067</v>
      </c>
      <c r="V405" s="77">
        <v>0</v>
      </c>
      <c r="W405" s="195">
        <f t="shared" si="37"/>
        <v>13936</v>
      </c>
      <c r="X405" s="88"/>
    </row>
    <row r="406" spans="1:24" x14ac:dyDescent="0.3">
      <c r="A406" s="1">
        <v>2026</v>
      </c>
      <c r="B406" s="52">
        <v>46296</v>
      </c>
      <c r="C406" s="1">
        <v>30</v>
      </c>
      <c r="D406" s="200" t="s">
        <v>43</v>
      </c>
      <c r="E406" s="5">
        <v>46312</v>
      </c>
      <c r="F406" s="77">
        <v>2284</v>
      </c>
      <c r="G406" s="77">
        <v>641</v>
      </c>
      <c r="H406" s="77">
        <v>486</v>
      </c>
      <c r="I406" s="77">
        <v>2134</v>
      </c>
      <c r="J406" s="77">
        <v>683</v>
      </c>
      <c r="K406" s="77">
        <v>1816</v>
      </c>
      <c r="L406" s="77">
        <v>786</v>
      </c>
      <c r="M406" s="77">
        <v>13</v>
      </c>
      <c r="N406" s="194">
        <f t="shared" si="40"/>
        <v>8843</v>
      </c>
      <c r="O406" s="1">
        <v>1500</v>
      </c>
      <c r="P406" s="77">
        <v>640</v>
      </c>
      <c r="Q406" s="77">
        <v>1031</v>
      </c>
      <c r="R406" s="77">
        <v>3985</v>
      </c>
      <c r="S406" s="77">
        <v>1755</v>
      </c>
      <c r="T406" s="77">
        <v>0</v>
      </c>
      <c r="U406" s="77">
        <v>5121</v>
      </c>
      <c r="V406" s="77">
        <v>0</v>
      </c>
      <c r="W406" s="195">
        <f t="shared" si="37"/>
        <v>14032</v>
      </c>
      <c r="X406" s="88"/>
    </row>
    <row r="407" spans="1:24" x14ac:dyDescent="0.3">
      <c r="A407" s="1">
        <v>2026</v>
      </c>
      <c r="B407" s="52">
        <v>46296</v>
      </c>
      <c r="C407" s="1">
        <v>30</v>
      </c>
      <c r="D407" s="200" t="s">
        <v>44</v>
      </c>
      <c r="E407" s="5">
        <v>46313</v>
      </c>
      <c r="F407" s="77">
        <v>2387</v>
      </c>
      <c r="G407" s="77">
        <v>661</v>
      </c>
      <c r="H407" s="77">
        <v>411</v>
      </c>
      <c r="I407" s="77">
        <v>1742</v>
      </c>
      <c r="J407" s="77">
        <v>683</v>
      </c>
      <c r="K407" s="77">
        <v>1734</v>
      </c>
      <c r="L407" s="77">
        <v>574</v>
      </c>
      <c r="M407" s="77">
        <v>325</v>
      </c>
      <c r="N407" s="194">
        <f t="shared" si="40"/>
        <v>8517</v>
      </c>
      <c r="O407" s="1">
        <v>1500</v>
      </c>
      <c r="P407" s="77">
        <v>659</v>
      </c>
      <c r="Q407" s="77">
        <v>1036</v>
      </c>
      <c r="R407" s="77">
        <v>4008</v>
      </c>
      <c r="S407" s="77">
        <v>1755</v>
      </c>
      <c r="T407" s="77">
        <v>0</v>
      </c>
      <c r="U407" s="77">
        <v>5234</v>
      </c>
      <c r="V407" s="77">
        <v>0</v>
      </c>
      <c r="W407" s="195">
        <f t="shared" si="37"/>
        <v>14192</v>
      </c>
      <c r="X407" s="88"/>
    </row>
    <row r="408" spans="1:24" x14ac:dyDescent="0.3">
      <c r="A408" s="1">
        <v>2026</v>
      </c>
      <c r="B408" s="52">
        <v>46296</v>
      </c>
      <c r="C408" s="1">
        <v>30</v>
      </c>
      <c r="D408" s="200" t="s">
        <v>45</v>
      </c>
      <c r="E408" s="5">
        <v>46314</v>
      </c>
      <c r="F408" s="77">
        <v>2309</v>
      </c>
      <c r="G408" s="77">
        <v>646</v>
      </c>
      <c r="H408" s="77">
        <v>358</v>
      </c>
      <c r="I408" s="77">
        <v>1914</v>
      </c>
      <c r="J408" s="77">
        <v>685</v>
      </c>
      <c r="K408" s="77">
        <v>1818</v>
      </c>
      <c r="L408" s="77">
        <v>1289</v>
      </c>
      <c r="M408" s="77">
        <v>156</v>
      </c>
      <c r="N408" s="194">
        <f t="shared" si="40"/>
        <v>9175</v>
      </c>
      <c r="O408" s="1">
        <v>1500</v>
      </c>
      <c r="P408" s="77">
        <v>693</v>
      </c>
      <c r="Q408" s="77">
        <v>1019</v>
      </c>
      <c r="R408" s="77">
        <v>3849</v>
      </c>
      <c r="S408" s="77">
        <v>1755</v>
      </c>
      <c r="T408" s="77">
        <v>0</v>
      </c>
      <c r="U408" s="77">
        <v>5118</v>
      </c>
      <c r="V408" s="77">
        <v>0</v>
      </c>
      <c r="W408" s="195">
        <f t="shared" si="37"/>
        <v>13934</v>
      </c>
      <c r="X408" s="88"/>
    </row>
    <row r="409" spans="1:24" x14ac:dyDescent="0.3">
      <c r="A409" s="1">
        <v>2026</v>
      </c>
      <c r="B409" s="52">
        <v>46296</v>
      </c>
      <c r="C409" s="1">
        <v>30</v>
      </c>
      <c r="D409" s="200" t="s">
        <v>46</v>
      </c>
      <c r="E409" s="5">
        <v>46315</v>
      </c>
      <c r="F409" s="77">
        <v>2228</v>
      </c>
      <c r="G409" s="77">
        <v>637</v>
      </c>
      <c r="H409" s="77">
        <v>342</v>
      </c>
      <c r="I409" s="77">
        <v>1484</v>
      </c>
      <c r="J409" s="77">
        <v>685</v>
      </c>
      <c r="K409" s="77">
        <v>2197</v>
      </c>
      <c r="L409" s="77">
        <v>1357</v>
      </c>
      <c r="M409" s="77">
        <v>413</v>
      </c>
      <c r="N409" s="194">
        <f t="shared" si="40"/>
        <v>9343</v>
      </c>
      <c r="O409" s="1">
        <v>1500</v>
      </c>
      <c r="P409" s="77">
        <v>737</v>
      </c>
      <c r="Q409" s="77">
        <v>1002</v>
      </c>
      <c r="R409" s="77">
        <v>3722</v>
      </c>
      <c r="S409" s="77">
        <v>1755</v>
      </c>
      <c r="T409" s="77">
        <v>0</v>
      </c>
      <c r="U409" s="77">
        <v>5102</v>
      </c>
      <c r="V409" s="77">
        <v>0</v>
      </c>
      <c r="W409" s="195">
        <f t="shared" si="37"/>
        <v>13818</v>
      </c>
      <c r="X409" s="88"/>
    </row>
    <row r="410" spans="1:24" x14ac:dyDescent="0.3">
      <c r="A410" s="1">
        <v>2026</v>
      </c>
      <c r="B410" s="52">
        <v>46296</v>
      </c>
      <c r="C410" s="1">
        <v>30</v>
      </c>
      <c r="D410" s="200" t="s">
        <v>47</v>
      </c>
      <c r="E410" s="5">
        <v>46316</v>
      </c>
      <c r="F410" s="77">
        <v>2070</v>
      </c>
      <c r="G410" s="77">
        <v>720</v>
      </c>
      <c r="H410" s="77">
        <v>344</v>
      </c>
      <c r="I410" s="77">
        <v>1856</v>
      </c>
      <c r="J410" s="77">
        <v>685</v>
      </c>
      <c r="K410" s="77">
        <v>1813</v>
      </c>
      <c r="L410" s="77">
        <v>1602</v>
      </c>
      <c r="M410" s="77">
        <v>145</v>
      </c>
      <c r="N410" s="194">
        <f t="shared" si="40"/>
        <v>9235</v>
      </c>
      <c r="O410" s="1">
        <v>1500</v>
      </c>
      <c r="P410" s="77">
        <v>696</v>
      </c>
      <c r="Q410" s="77">
        <v>1002</v>
      </c>
      <c r="R410" s="77">
        <v>3741</v>
      </c>
      <c r="S410" s="77">
        <v>1755</v>
      </c>
      <c r="T410" s="77">
        <v>0</v>
      </c>
      <c r="U410" s="77">
        <v>5127</v>
      </c>
      <c r="V410" s="77">
        <v>0</v>
      </c>
      <c r="W410" s="195">
        <f t="shared" si="37"/>
        <v>13821</v>
      </c>
      <c r="X410" s="88"/>
    </row>
    <row r="411" spans="1:24" x14ac:dyDescent="0.3">
      <c r="A411" s="1">
        <v>2026</v>
      </c>
      <c r="B411" s="52">
        <v>46296</v>
      </c>
      <c r="C411" s="1">
        <v>30</v>
      </c>
      <c r="D411" s="200" t="s">
        <v>48</v>
      </c>
      <c r="E411" s="5">
        <v>46317</v>
      </c>
      <c r="F411" s="77">
        <v>2285</v>
      </c>
      <c r="G411" s="77">
        <v>634</v>
      </c>
      <c r="H411" s="77">
        <v>364</v>
      </c>
      <c r="I411" s="77">
        <v>2038</v>
      </c>
      <c r="J411" s="77">
        <v>682</v>
      </c>
      <c r="K411" s="77">
        <v>1253</v>
      </c>
      <c r="L411" s="77">
        <v>2005</v>
      </c>
      <c r="M411" s="77">
        <v>693</v>
      </c>
      <c r="N411" s="194">
        <f t="shared" si="40"/>
        <v>9954</v>
      </c>
      <c r="O411" s="1">
        <v>1500</v>
      </c>
      <c r="P411" s="77">
        <v>696</v>
      </c>
      <c r="Q411" s="77">
        <v>1001</v>
      </c>
      <c r="R411" s="77">
        <v>3759</v>
      </c>
      <c r="S411" s="77">
        <v>1755</v>
      </c>
      <c r="T411" s="77">
        <v>0</v>
      </c>
      <c r="U411" s="77">
        <v>5188</v>
      </c>
      <c r="V411" s="77">
        <v>0</v>
      </c>
      <c r="W411" s="195">
        <f t="shared" si="37"/>
        <v>13899</v>
      </c>
      <c r="X411" s="88"/>
    </row>
    <row r="412" spans="1:24" x14ac:dyDescent="0.3">
      <c r="A412" s="1">
        <v>2026</v>
      </c>
      <c r="B412" s="52">
        <v>46296</v>
      </c>
      <c r="C412" s="1">
        <v>30</v>
      </c>
      <c r="D412" s="200" t="s">
        <v>49</v>
      </c>
      <c r="E412" s="5">
        <v>46318</v>
      </c>
      <c r="F412" s="77">
        <v>1933</v>
      </c>
      <c r="G412" s="77">
        <v>678</v>
      </c>
      <c r="H412" s="77">
        <v>387</v>
      </c>
      <c r="I412" s="77">
        <v>2242</v>
      </c>
      <c r="J412" s="77">
        <v>682</v>
      </c>
      <c r="K412" s="77">
        <v>1428</v>
      </c>
      <c r="L412" s="77">
        <v>1998</v>
      </c>
      <c r="M412" s="77">
        <v>333</v>
      </c>
      <c r="N412" s="194">
        <f t="shared" si="40"/>
        <v>9681</v>
      </c>
      <c r="O412" s="1">
        <v>1500</v>
      </c>
      <c r="P412" s="77">
        <v>683</v>
      </c>
      <c r="Q412" s="77">
        <v>1010</v>
      </c>
      <c r="R412" s="77">
        <v>3769</v>
      </c>
      <c r="S412" s="77">
        <v>1755</v>
      </c>
      <c r="T412" s="77">
        <v>0</v>
      </c>
      <c r="U412" s="77">
        <v>5241</v>
      </c>
      <c r="V412" s="77">
        <v>0</v>
      </c>
      <c r="W412" s="195">
        <f t="shared" si="37"/>
        <v>13958</v>
      </c>
      <c r="X412" s="88"/>
    </row>
    <row r="413" spans="1:24" x14ac:dyDescent="0.3">
      <c r="A413" s="1">
        <v>2026</v>
      </c>
      <c r="B413" s="52">
        <v>46296</v>
      </c>
      <c r="C413" s="1">
        <v>30</v>
      </c>
      <c r="D413" s="200" t="s">
        <v>43</v>
      </c>
      <c r="E413" s="5">
        <v>46319</v>
      </c>
      <c r="F413" s="77">
        <v>2109</v>
      </c>
      <c r="G413" s="77">
        <v>731</v>
      </c>
      <c r="H413" s="77">
        <v>383</v>
      </c>
      <c r="I413" s="77">
        <v>1935</v>
      </c>
      <c r="J413" s="77">
        <v>683</v>
      </c>
      <c r="K413" s="77">
        <v>1359</v>
      </c>
      <c r="L413" s="77">
        <v>1823</v>
      </c>
      <c r="M413" s="77">
        <v>411</v>
      </c>
      <c r="N413" s="194">
        <f t="shared" si="40"/>
        <v>9434</v>
      </c>
      <c r="O413" s="1">
        <v>1500</v>
      </c>
      <c r="P413" s="77">
        <v>784</v>
      </c>
      <c r="Q413" s="77">
        <v>1037</v>
      </c>
      <c r="R413" s="77">
        <v>3763</v>
      </c>
      <c r="S413" s="77">
        <v>1755</v>
      </c>
      <c r="T413" s="77">
        <v>0</v>
      </c>
      <c r="U413" s="77">
        <v>4554</v>
      </c>
      <c r="V413" s="77">
        <v>0</v>
      </c>
      <c r="W413" s="195">
        <f t="shared" si="37"/>
        <v>13393</v>
      </c>
      <c r="X413" s="88"/>
    </row>
    <row r="414" spans="1:24" x14ac:dyDescent="0.3">
      <c r="A414" s="1">
        <v>2026</v>
      </c>
      <c r="B414" s="52">
        <v>46296</v>
      </c>
      <c r="C414" s="1">
        <v>30</v>
      </c>
      <c r="D414" s="200" t="s">
        <v>44</v>
      </c>
      <c r="E414" s="5">
        <v>46320</v>
      </c>
      <c r="F414" s="77">
        <v>2372</v>
      </c>
      <c r="G414" s="77">
        <v>725</v>
      </c>
      <c r="H414" s="77">
        <v>389</v>
      </c>
      <c r="I414" s="77">
        <v>1614</v>
      </c>
      <c r="J414" s="77">
        <v>682</v>
      </c>
      <c r="K414" s="77">
        <v>1153</v>
      </c>
      <c r="L414" s="77">
        <v>1596</v>
      </c>
      <c r="M414" s="77">
        <v>362</v>
      </c>
      <c r="N414" s="194">
        <f t="shared" si="40"/>
        <v>8893</v>
      </c>
      <c r="O414" s="1">
        <v>1500</v>
      </c>
      <c r="P414" s="77">
        <v>781</v>
      </c>
      <c r="Q414" s="77">
        <v>1043</v>
      </c>
      <c r="R414" s="77">
        <v>3773</v>
      </c>
      <c r="S414" s="77">
        <v>1755</v>
      </c>
      <c r="T414" s="77">
        <v>0</v>
      </c>
      <c r="U414" s="77">
        <v>4598</v>
      </c>
      <c r="V414" s="77">
        <v>0</v>
      </c>
      <c r="W414" s="195">
        <f t="shared" si="37"/>
        <v>13450</v>
      </c>
      <c r="X414" s="88"/>
    </row>
    <row r="415" spans="1:24" x14ac:dyDescent="0.3">
      <c r="A415" s="1"/>
      <c r="B415" s="1"/>
      <c r="C415" s="1"/>
      <c r="E415" s="5"/>
      <c r="F415" s="77"/>
      <c r="G415" s="77"/>
      <c r="H415" s="77"/>
      <c r="I415" s="77"/>
      <c r="J415" s="77"/>
      <c r="K415" s="77"/>
      <c r="L415" s="77"/>
      <c r="M415" s="77"/>
      <c r="P415" s="77"/>
      <c r="Q415" s="77"/>
      <c r="R415" s="77"/>
      <c r="S415" s="77"/>
      <c r="T415" s="77"/>
      <c r="U415" s="77"/>
      <c r="V415" s="77"/>
    </row>
    <row r="419" spans="1:1" x14ac:dyDescent="0.3">
      <c r="A419" s="65" t="s">
        <v>5</v>
      </c>
    </row>
  </sheetData>
  <autoFilter ref="A24:W414" xr:uid="{60FC9B9E-7290-4019-A18C-135B6D155DEE}">
    <filterColumn colId="1">
      <filters>
        <dateGroupItem year="2026" month="8" dateTimeGrouping="month"/>
        <dateGroupItem year="2026" month="9" dateTimeGrouping="month"/>
        <dateGroupItem year="2026" month="10" dateTimeGrouping="month"/>
      </filters>
    </filterColumn>
  </autoFilter>
  <phoneticPr fontId="2" type="noConversion"/>
  <pageMargins left="0.7" right="0.7" top="0.75" bottom="0.75" header="0.3" footer="0.3"/>
  <ignoredErrors>
    <ignoredError sqref="N5 W117:W122 N22 W207 N24:N235 N7 N237:N255 N391:N413 N390 N414" formulaRange="1"/>
    <ignoredError sqref="N8:N13 N14:N16 I8:I9 N17:N18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498D4-0BD4-478A-90F6-ACC112F10BC4}">
  <sheetPr filterMode="1"/>
  <dimension ref="A1:AQ419"/>
  <sheetViews>
    <sheetView topLeftCell="D391" zoomScaleNormal="100" workbookViewId="0">
      <selection activeCell="E412" sqref="E412"/>
    </sheetView>
  </sheetViews>
  <sheetFormatPr baseColWidth="10" defaultColWidth="11" defaultRowHeight="14.4" x14ac:dyDescent="0.3"/>
  <cols>
    <col min="1" max="1" width="11" bestFit="1" customWidth="1"/>
    <col min="2" max="2" width="10.08984375" bestFit="1" customWidth="1"/>
    <col min="3" max="3" width="5.08984375" customWidth="1"/>
    <col min="4" max="4" width="7.90625" bestFit="1" customWidth="1"/>
    <col min="5" max="5" width="35.81640625" bestFit="1" customWidth="1"/>
    <col min="6" max="6" width="11.453125" style="1" bestFit="1" customWidth="1"/>
    <col min="7" max="7" width="19.1796875" style="1" customWidth="1"/>
    <col min="8" max="8" width="19.1796875" customWidth="1"/>
    <col min="9" max="9" width="14.1796875" customWidth="1"/>
    <col min="10" max="10" width="20.08984375" customWidth="1"/>
    <col min="11" max="11" width="21.453125" customWidth="1"/>
    <col min="12" max="12" width="12.6328125" customWidth="1"/>
    <col min="14" max="14" width="20.81640625" customWidth="1"/>
    <col min="16" max="16" width="13.08984375" customWidth="1"/>
    <col min="17" max="18" width="11.6328125" customWidth="1"/>
    <col min="19" max="20" width="21.54296875" customWidth="1"/>
    <col min="21" max="21" width="12.08984375" customWidth="1"/>
    <col min="22" max="22" width="11.6328125" customWidth="1"/>
    <col min="23" max="23" width="12.08984375" customWidth="1"/>
    <col min="24" max="24" width="11.6328125" customWidth="1"/>
    <col min="25" max="25" width="13.453125" bestFit="1" customWidth="1"/>
    <col min="26" max="26" width="13.08984375" customWidth="1"/>
    <col min="35" max="36" width="14.1796875" customWidth="1"/>
    <col min="39" max="39" width="12.453125" customWidth="1"/>
    <col min="41" max="41" width="24.6328125" bestFit="1" customWidth="1"/>
    <col min="43" max="43" width="26.453125" bestFit="1" customWidth="1"/>
  </cols>
  <sheetData>
    <row r="1" spans="1:39" ht="31.8" x14ac:dyDescent="0.65">
      <c r="B1" s="101" t="s">
        <v>133</v>
      </c>
      <c r="H1" s="27" t="s">
        <v>63</v>
      </c>
      <c r="Q1" s="27" t="s">
        <v>64</v>
      </c>
      <c r="Z1" s="27" t="s">
        <v>65</v>
      </c>
    </row>
    <row r="2" spans="1:39" ht="31.8" x14ac:dyDescent="0.65">
      <c r="B2" s="60" t="s">
        <v>62</v>
      </c>
      <c r="H2" s="27"/>
      <c r="Q2" s="27"/>
      <c r="Z2" s="27"/>
    </row>
    <row r="3" spans="1:39" ht="31.8" x14ac:dyDescent="0.65">
      <c r="B3" s="60" t="s">
        <v>137</v>
      </c>
      <c r="H3" s="27"/>
      <c r="Q3" s="27"/>
      <c r="Z3" s="27"/>
    </row>
    <row r="4" spans="1:39" x14ac:dyDescent="0.3">
      <c r="F4" s="10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54"/>
      <c r="AA4" s="54"/>
      <c r="AB4" s="54"/>
      <c r="AC4" s="54"/>
    </row>
    <row r="5" spans="1:39" x14ac:dyDescent="0.3">
      <c r="H5" s="6" t="s">
        <v>66</v>
      </c>
      <c r="I5" s="6" t="s">
        <v>66</v>
      </c>
      <c r="J5" s="6" t="s">
        <v>66</v>
      </c>
      <c r="K5" s="6" t="s">
        <v>66</v>
      </c>
      <c r="L5" s="6" t="s">
        <v>66</v>
      </c>
      <c r="M5" s="6" t="s">
        <v>66</v>
      </c>
      <c r="N5" s="6" t="s">
        <v>66</v>
      </c>
      <c r="O5" s="6" t="s">
        <v>66</v>
      </c>
      <c r="P5" s="6" t="s">
        <v>66</v>
      </c>
      <c r="Q5" s="16" t="s">
        <v>67</v>
      </c>
      <c r="R5" s="16" t="s">
        <v>67</v>
      </c>
      <c r="S5" s="16" t="s">
        <v>67</v>
      </c>
      <c r="T5" s="16" t="s">
        <v>67</v>
      </c>
      <c r="U5" s="16" t="s">
        <v>67</v>
      </c>
      <c r="V5" s="16" t="s">
        <v>67</v>
      </c>
      <c r="W5" s="16" t="s">
        <v>67</v>
      </c>
      <c r="X5" s="16" t="s">
        <v>67</v>
      </c>
      <c r="Y5" s="16" t="s">
        <v>67</v>
      </c>
      <c r="Z5" s="21" t="s">
        <v>68</v>
      </c>
      <c r="AA5" s="23" t="s">
        <v>68</v>
      </c>
      <c r="AB5" s="23" t="s">
        <v>68</v>
      </c>
      <c r="AC5" s="33" t="s">
        <v>68</v>
      </c>
    </row>
    <row r="6" spans="1:39" x14ac:dyDescent="0.3">
      <c r="E6" t="s">
        <v>24</v>
      </c>
      <c r="F6"/>
      <c r="H6" s="7" t="s">
        <v>15</v>
      </c>
      <c r="I6" s="7" t="s">
        <v>15</v>
      </c>
      <c r="J6" s="7" t="s">
        <v>15</v>
      </c>
      <c r="K6" s="7" t="s">
        <v>15</v>
      </c>
      <c r="L6" s="7" t="s">
        <v>15</v>
      </c>
      <c r="M6" s="7" t="s">
        <v>15</v>
      </c>
      <c r="N6" s="7" t="s">
        <v>15</v>
      </c>
      <c r="O6" s="7" t="s">
        <v>15</v>
      </c>
      <c r="P6" s="7" t="s">
        <v>69</v>
      </c>
      <c r="Q6" s="15" t="s">
        <v>70</v>
      </c>
      <c r="R6" s="15" t="s">
        <v>70</v>
      </c>
      <c r="S6" s="15" t="s">
        <v>70</v>
      </c>
      <c r="T6" s="15" t="s">
        <v>70</v>
      </c>
      <c r="U6" s="15" t="s">
        <v>70</v>
      </c>
      <c r="V6" s="15" t="s">
        <v>70</v>
      </c>
      <c r="W6" s="15" t="s">
        <v>70</v>
      </c>
      <c r="X6" s="15" t="s">
        <v>70</v>
      </c>
      <c r="Y6" s="15" t="str">
        <f>+P6</f>
        <v>usd/dia</v>
      </c>
      <c r="Z6" s="22" t="str">
        <f>+Y6</f>
        <v>usd/dia</v>
      </c>
      <c r="AA6" s="24" t="s">
        <v>71</v>
      </c>
      <c r="AB6" s="24" t="s">
        <v>71</v>
      </c>
      <c r="AC6" s="34" t="s">
        <v>71</v>
      </c>
    </row>
    <row r="7" spans="1:39" x14ac:dyDescent="0.3">
      <c r="F7"/>
      <c r="G7" s="1" t="s">
        <v>25</v>
      </c>
      <c r="H7" s="6" t="s">
        <v>53</v>
      </c>
      <c r="I7" s="6" t="s">
        <v>54</v>
      </c>
      <c r="J7" s="6" t="s">
        <v>113</v>
      </c>
      <c r="K7" s="6" t="s">
        <v>114</v>
      </c>
      <c r="L7" s="6" t="s">
        <v>56</v>
      </c>
      <c r="M7" s="6" t="s">
        <v>57</v>
      </c>
      <c r="N7" s="6" t="s">
        <v>58</v>
      </c>
      <c r="O7" s="6" t="s">
        <v>59</v>
      </c>
      <c r="P7" s="6" t="s">
        <v>72</v>
      </c>
      <c r="Q7" s="16" t="s">
        <v>53</v>
      </c>
      <c r="R7" s="16" t="s">
        <v>54</v>
      </c>
      <c r="S7" s="16" t="s">
        <v>113</v>
      </c>
      <c r="T7" s="16" t="s">
        <v>114</v>
      </c>
      <c r="U7" s="16" t="s">
        <v>56</v>
      </c>
      <c r="V7" s="16" t="s">
        <v>57</v>
      </c>
      <c r="W7" s="16" t="s">
        <v>58</v>
      </c>
      <c r="X7" s="16" t="s">
        <v>59</v>
      </c>
      <c r="Y7" s="16" t="s">
        <v>73</v>
      </c>
      <c r="Z7" s="21" t="s">
        <v>74</v>
      </c>
      <c r="AA7" s="23" t="s">
        <v>75</v>
      </c>
      <c r="AB7" s="23" t="s">
        <v>76</v>
      </c>
      <c r="AC7" s="33" t="s">
        <v>77</v>
      </c>
      <c r="AL7" s="66"/>
      <c r="AM7" s="66"/>
    </row>
    <row r="8" spans="1:39" x14ac:dyDescent="0.3">
      <c r="E8" s="102"/>
      <c r="F8" s="84"/>
      <c r="G8" s="52">
        <f>+'Fisico ASIG'!E8</f>
        <v>45962</v>
      </c>
      <c r="H8" s="17">
        <f>AVERAGEIFS(H$25:H$1048576,$D$25:$D$1048576,$G8)</f>
        <v>28</v>
      </c>
      <c r="I8" s="17">
        <f>AVERAGEIFS(I$25:I$1048576,$D$25:$D$1048576,$G8)</f>
        <v>4.7975185249009114</v>
      </c>
      <c r="J8" s="17">
        <f>AVERAGEIFS(J$25:J$1048576,$D$25:$D$1048576,$G8)</f>
        <v>5.8161640530759948</v>
      </c>
      <c r="K8" s="17"/>
      <c r="L8" s="17">
        <f>AVERAGEIFS(L$25:L$1048576,$D$25:$D$1048576,$G8)</f>
        <v>27</v>
      </c>
      <c r="M8" s="17">
        <f>AVERAGEIFS(M$25:M$1048576,$D$25:$D$1048576,$G8)</f>
        <v>71.5</v>
      </c>
      <c r="N8" s="17">
        <f>AVERAGEIFS(N$25:N$1048576,$D$25:$D$1048576,$G8)</f>
        <v>38.068551621277898</v>
      </c>
      <c r="O8" s="17">
        <f>AVERAGEIFS(O$25:O$1048576,$D$25:$D$1048576,$G8)</f>
        <v>92.860414595581247</v>
      </c>
      <c r="P8" s="17">
        <f>AVERAGEIFS(P$25:P$1048576,$D$25:$D$1048576,$G8)</f>
        <v>7220427.893796782</v>
      </c>
      <c r="Q8" s="17">
        <f>AVERAGEIFS(Q$25:Q$1048576,$D$25:$D$1048576,$G8)</f>
        <v>0</v>
      </c>
      <c r="R8" s="17">
        <f>AVERAGEIFS(R$25:R$1048576,$D$25:$D$1048576,$G8)</f>
        <v>5497.7825262795095</v>
      </c>
      <c r="S8" s="17">
        <f>AVERAGEIFS(S$25:S$1048576,$D$25:$D$1048576,$G8)</f>
        <v>1540.5824573496477</v>
      </c>
      <c r="T8" s="17"/>
      <c r="U8" s="17">
        <f>AVERAGEIFS(U$25:U$1048576,$D$25:$D$1048576,$G8)</f>
        <v>18000</v>
      </c>
      <c r="V8" s="17">
        <f>AVERAGEIFS(V$25:V$1048576,$D$25:$D$1048576,$G8)</f>
        <v>0</v>
      </c>
      <c r="W8" s="17">
        <f>AVERAGEIFS(W$25:W$1048576,$D$25:$D$1048576,$G8)</f>
        <v>21900</v>
      </c>
      <c r="X8" s="17">
        <f>AVERAGEIFS(X$25:X$1048576,$D$25:$D$1048576,$G8)</f>
        <v>0</v>
      </c>
      <c r="Y8" s="17">
        <f>AVERAGEIFS(Y$25:Y$1048576,$D$25:$D$1048576,$G8)</f>
        <v>5334795.8029966056</v>
      </c>
      <c r="Z8" s="25">
        <f t="shared" ref="Z8:Z11" si="0">+(P8+Y8)</f>
        <v>12555223.696793389</v>
      </c>
      <c r="AA8" s="26">
        <f>+Z8/'Fisico ASIG'!N8/24</f>
        <v>61.7601722859931</v>
      </c>
      <c r="AB8" s="26">
        <f>+$AB$21*Precios!R8*Precios!P8/Precios!W8/Precios!Q8</f>
        <v>13.384615384615378</v>
      </c>
      <c r="AC8" s="29">
        <f t="shared" ref="AC8:AC11" si="1">+AA8-AB8</f>
        <v>48.37555690137772</v>
      </c>
      <c r="AL8" s="66"/>
      <c r="AM8" s="66"/>
    </row>
    <row r="9" spans="1:39" x14ac:dyDescent="0.3">
      <c r="E9" s="102"/>
      <c r="F9" s="84"/>
      <c r="G9" s="52">
        <f>+'Fisico ASIG'!E9</f>
        <v>45992</v>
      </c>
      <c r="H9" s="17">
        <f>AVERAGEIFS(H$25:H$1048576,$D$25:$D$1048576,$G9)</f>
        <v>28</v>
      </c>
      <c r="I9" s="17">
        <f>AVERAGEIFS(I$25:I$1048576,$D$25:$D$1048576,$G9)</f>
        <v>4.8642721437955299</v>
      </c>
      <c r="J9" s="17">
        <f>AVERAGEIFS(J$25:J$1048576,$D$25:$D$1048576,$G9)</f>
        <v>5.7816249464597727</v>
      </c>
      <c r="K9" s="17"/>
      <c r="L9" s="17">
        <f>AVERAGEIFS(L$25:L$1048576,$D$25:$D$1048576,$G9)</f>
        <v>27</v>
      </c>
      <c r="M9" s="17">
        <f>AVERAGEIFS(M$25:M$1048576,$D$25:$D$1048576,$G9)</f>
        <v>71.5</v>
      </c>
      <c r="N9" s="17">
        <f>AVERAGEIFS(N$25:N$1048576,$D$25:$D$1048576,$G9)</f>
        <v>40.465909529091178</v>
      </c>
      <c r="O9" s="17">
        <f>AVERAGEIFS(O$25:O$1048576,$D$25:$D$1048576,$G9)</f>
        <v>104.20101377543085</v>
      </c>
      <c r="P9" s="17">
        <f>AVERAGEIFS(P$25:P$1048576,$D$25:$D$1048576,$G9)</f>
        <v>8384683.9475631155</v>
      </c>
      <c r="Q9" s="17">
        <f>AVERAGEIFS(Q$25:Q$1048576,$D$25:$D$1048576,$G9)</f>
        <v>0</v>
      </c>
      <c r="R9" s="17">
        <f>AVERAGEIFS(R$25:R$1048576,$D$25:$D$1048576,$G9)</f>
        <v>5574.437294023016</v>
      </c>
      <c r="S9" s="17">
        <f>AVERAGEIFS(S$25:S$1048576,$D$25:$D$1048576,$G9)</f>
        <v>1706.161098471739</v>
      </c>
      <c r="T9" s="17"/>
      <c r="U9" s="17">
        <f>AVERAGEIFS(U$25:U$1048576,$D$25:$D$1048576,$G9)</f>
        <v>18000</v>
      </c>
      <c r="V9" s="17">
        <f>AVERAGEIFS(V$25:V$1048576,$D$25:$D$1048576,$G9)</f>
        <v>0</v>
      </c>
      <c r="W9" s="17">
        <f>AVERAGEIFS(W$25:W$1048576,$D$25:$D$1048576,$G9)</f>
        <v>21900</v>
      </c>
      <c r="X9" s="17">
        <f>AVERAGEIFS(X$25:X$1048576,$D$25:$D$1048576,$G9)</f>
        <v>0</v>
      </c>
      <c r="Y9" s="17">
        <f>AVERAGEIFS(Y$25:Y$1048576,$D$25:$D$1048576,$G9)</f>
        <v>5515635.9242518889</v>
      </c>
      <c r="Z9" s="25">
        <f t="shared" si="0"/>
        <v>13900319.871815003</v>
      </c>
      <c r="AA9" s="26">
        <f>+Z9/'Fisico ASIG'!N9/24</f>
        <v>63.496390217837053</v>
      </c>
      <c r="AB9" s="26">
        <f>+$AB$21*Precios!R9*Precios!P9/Precios!W9/Precios!Q9</f>
        <v>17.468982630272961</v>
      </c>
      <c r="AC9" s="29">
        <f t="shared" si="1"/>
        <v>46.027407587564092</v>
      </c>
      <c r="AL9" s="66"/>
      <c r="AM9" s="66"/>
    </row>
    <row r="10" spans="1:39" x14ac:dyDescent="0.3">
      <c r="E10" s="102"/>
      <c r="F10" s="84"/>
      <c r="G10" s="52">
        <f>+'Fisico ASIG'!E10</f>
        <v>46023</v>
      </c>
      <c r="H10" s="17">
        <f>AVERAGEIFS(H$25:H$1048576,$D$25:$D$1048576,$G10)</f>
        <v>28</v>
      </c>
      <c r="I10" s="17">
        <f>AVERAGEIFS(I$25:I$1048576,$D$25:$D$1048576,$G10)</f>
        <v>5.001845384607785</v>
      </c>
      <c r="J10" s="17">
        <f>AVERAGEIFS(J$25:J$1048576,$D$25:$D$1048576,$G10)</f>
        <v>6.5099398753915807</v>
      </c>
      <c r="K10" s="17">
        <f>AVERAGEIFS(K$25:K$1048576,$D$25:$D$1048576,$G10)</f>
        <v>7.587500000000003</v>
      </c>
      <c r="L10" s="17">
        <f>AVERAGEIFS(L$25:L$1048576,$D$25:$D$1048576,$G10)</f>
        <v>27</v>
      </c>
      <c r="M10" s="17">
        <f>AVERAGEIFS(M$25:M$1048576,$D$25:$D$1048576,$G10)</f>
        <v>71.5</v>
      </c>
      <c r="N10" s="17">
        <f>AVERAGEIFS(N$25:N$1048576,$D$25:$D$1048576,$G10)</f>
        <v>42.131389670233744</v>
      </c>
      <c r="O10" s="17">
        <f>AVERAGEIFS(O$25:O$1048576,$D$25:$D$1048576,$G10)</f>
        <v>80.830081747156854</v>
      </c>
      <c r="P10" s="17">
        <f>AVERAGEIFS(P$25:P$1048576,$D$25:$D$1048576,$G10)</f>
        <v>8406034.3167405874</v>
      </c>
      <c r="Q10" s="17">
        <f>AVERAGEIFS(Q$25:Q$1048576,$D$25:$D$1048576,$G10)</f>
        <v>0</v>
      </c>
      <c r="R10" s="17">
        <f>AVERAGEIFS(R$25:R$1048576,$D$25:$D$1048576,$G10)</f>
        <v>5732.0798303088895</v>
      </c>
      <c r="S10" s="17">
        <f>AVERAGEIFS(S$25:S$1048576,$D$25:$D$1048576,$G10)</f>
        <v>2559.4039358137588</v>
      </c>
      <c r="T10" s="17">
        <f>AVERAGEIFS(T$25:T$1048576,$D$25:$D$1048576,$G10)</f>
        <v>1795.6376259798424</v>
      </c>
      <c r="U10" s="17">
        <f>AVERAGEIFS(U$25:U$1048576,$D$25:$D$1048576,$G10)</f>
        <v>18000</v>
      </c>
      <c r="V10" s="17">
        <f>AVERAGEIFS(V$25:V$1048576,$D$25:$D$1048576,$G10)</f>
        <v>0</v>
      </c>
      <c r="W10" s="17">
        <f>AVERAGEIFS(W$25:W$1048576,$D$25:$D$1048576,$G10)</f>
        <v>21900</v>
      </c>
      <c r="X10" s="17">
        <f>AVERAGEIFS(X$25:X$1048576,$D$25:$D$1048576,$G10)</f>
        <v>0</v>
      </c>
      <c r="Y10" s="17">
        <f>AVERAGEIFS(Y$25:Y$1048576,$D$25:$D$1048576,$G10)</f>
        <v>5622846.9386343891</v>
      </c>
      <c r="Z10" s="25">
        <f t="shared" si="0"/>
        <v>14028881.255374976</v>
      </c>
      <c r="AA10" s="26">
        <f>+Z10/'Fisico ASIG'!N10/24</f>
        <v>64.53157707749719</v>
      </c>
      <c r="AB10" s="26">
        <f>+$AB$21*Precios!R10*Precios!P10/Precios!W10/Precios!Q10</f>
        <v>14.996968825591228</v>
      </c>
      <c r="AC10" s="29">
        <f t="shared" si="1"/>
        <v>49.534608251905965</v>
      </c>
      <c r="AL10" s="66"/>
      <c r="AM10" s="66"/>
    </row>
    <row r="11" spans="1:39" x14ac:dyDescent="0.3">
      <c r="E11" s="102"/>
      <c r="F11" s="84"/>
      <c r="G11" s="52">
        <f>+'Fisico ASIG'!E11</f>
        <v>46054</v>
      </c>
      <c r="H11" s="17">
        <f>AVERAGEIFS(H$25:H$1048576,$D$25:$D$1048576,$G11)</f>
        <v>28</v>
      </c>
      <c r="I11" s="17">
        <f>AVERAGEIFS(I$25:I$1048576,$D$25:$D$1048576,$G11)</f>
        <v>5.1392516466045874</v>
      </c>
      <c r="J11" s="17">
        <f>AVERAGEIFS(J$25:J$1048576,$D$25:$D$1048576,$G11)</f>
        <v>6.6887751722310531</v>
      </c>
      <c r="K11" s="17">
        <f>AVERAGEIFS(K$25:K$1048576,$D$25:$D$1048576,$G11)</f>
        <v>7.5875000000000039</v>
      </c>
      <c r="L11" s="17">
        <f>AVERAGEIFS(L$25:L$1048576,$D$25:$D$1048576,$G11)</f>
        <v>27</v>
      </c>
      <c r="M11" s="17">
        <f>AVERAGEIFS(M$25:M$1048576,$D$25:$D$1048576,$G11)</f>
        <v>71.5</v>
      </c>
      <c r="N11" s="17">
        <f>AVERAGEIFS(N$25:N$1048576,$D$25:$D$1048576,$G11)</f>
        <v>41.039718394589059</v>
      </c>
      <c r="O11" s="17">
        <f>AVERAGEIFS(O$25:O$1048576,$D$25:$D$1048576,$G11)</f>
        <v>92.109060419526472</v>
      </c>
      <c r="P11" s="17">
        <f>AVERAGEIFS(P$25:P$1048576,$D$25:$D$1048576,$G11)</f>
        <v>8267600.1407972602</v>
      </c>
      <c r="Q11" s="17">
        <f>AVERAGEIFS(Q$25:Q$1048576,$D$25:$D$1048576,$G11)</f>
        <v>0</v>
      </c>
      <c r="R11" s="17">
        <f>AVERAGEIFS(R$25:R$1048576,$D$25:$D$1048576,$G11)</f>
        <v>5889.5464456052678</v>
      </c>
      <c r="S11" s="17">
        <f>AVERAGEIFS(S$25:S$1048576,$D$25:$D$1048576,$G11)</f>
        <v>2909.947762888939</v>
      </c>
      <c r="T11" s="17">
        <f>AVERAGEIFS(T$25:T$1048576,$D$25:$D$1048576,$G11)</f>
        <v>1795.6376259798421</v>
      </c>
      <c r="U11" s="17">
        <f>AVERAGEIFS(U$25:U$1048576,$D$25:$D$1048576,$G11)</f>
        <v>18000</v>
      </c>
      <c r="V11" s="17">
        <f>AVERAGEIFS(V$25:V$1048576,$D$25:$D$1048576,$G11)</f>
        <v>0</v>
      </c>
      <c r="W11" s="17">
        <f>AVERAGEIFS(W$25:W$1048576,$D$25:$D$1048576,$G11)</f>
        <v>21900</v>
      </c>
      <c r="X11" s="17">
        <f>AVERAGEIFS(X$25:X$1048576,$D$25:$D$1048576,$G11)</f>
        <v>0</v>
      </c>
      <c r="Y11" s="17">
        <f>AVERAGEIFS(Y$25:Y$1048576,$D$25:$D$1048576,$G11)</f>
        <v>6227666.0575495865</v>
      </c>
      <c r="Z11" s="25">
        <f t="shared" si="0"/>
        <v>14495266.198346846</v>
      </c>
      <c r="AA11" s="26">
        <f>+Z11/'Fisico ASIG'!N11/24</f>
        <v>73.131269490006645</v>
      </c>
      <c r="AB11" s="26">
        <f>+$AB$21*Precios!R11*Precios!P11/Precios!W11/Precios!Q11</f>
        <v>14.441444404600825</v>
      </c>
      <c r="AC11" s="29">
        <f t="shared" si="1"/>
        <v>58.689825085405822</v>
      </c>
      <c r="AL11" s="66"/>
      <c r="AM11" s="66"/>
    </row>
    <row r="12" spans="1:39" x14ac:dyDescent="0.3">
      <c r="E12" s="102"/>
      <c r="F12" s="84"/>
      <c r="G12" s="52">
        <f>+'Fisico ASIG'!E12</f>
        <v>46082</v>
      </c>
      <c r="H12" s="17">
        <f>AVERAGEIFS(H$25:H$1048576,$D$25:$D$1048576,$G12)</f>
        <v>28</v>
      </c>
      <c r="I12" s="17">
        <f>AVERAGEIFS(I$25:I$1048576,$D$25:$D$1048576,$G12)</f>
        <v>5.2366365244875137</v>
      </c>
      <c r="J12" s="17">
        <f>AVERAGEIFS(J$25:J$1048576,$D$25:$D$1048576,$G12)</f>
        <v>5.8867925629009861</v>
      </c>
      <c r="K12" s="17">
        <f>AVERAGEIFS(K$25:K$1048576,$D$25:$D$1048576,$G12)</f>
        <v>6.8583333333333281</v>
      </c>
      <c r="L12" s="17">
        <f>AVERAGEIFS(L$25:L$1048576,$D$25:$D$1048576,$G12)</f>
        <v>27</v>
      </c>
      <c r="M12" s="17">
        <f>AVERAGEIFS(M$25:M$1048576,$D$25:$D$1048576,$G12)</f>
        <v>71.5</v>
      </c>
      <c r="N12" s="17">
        <f>AVERAGEIFS(N$25:N$1048576,$D$25:$D$1048576,$G12)</f>
        <v>46.488647435570613</v>
      </c>
      <c r="O12" s="17">
        <f>AVERAGEIFS(O$25:O$1048576,$D$25:$D$1048576,$G12)</f>
        <v>71.653022749976145</v>
      </c>
      <c r="P12" s="17">
        <f>AVERAGEIFS(P$25:P$1048576,$D$25:$D$1048576,$G12)</f>
        <v>7977434.1497296775</v>
      </c>
      <c r="Q12" s="17">
        <f>AVERAGEIFS(Q$25:Q$1048576,$D$25:$D$1048576,$G12)</f>
        <v>0</v>
      </c>
      <c r="R12" s="17">
        <f>AVERAGEIFS(R$25:R$1048576,$D$25:$D$1048576,$G12)</f>
        <v>6001.1488345970602</v>
      </c>
      <c r="S12" s="17">
        <f>AVERAGEIFS(S$25:S$1048576,$D$25:$D$1048576,$G12)</f>
        <v>2965.0890416239217</v>
      </c>
      <c r="T12" s="17">
        <f>AVERAGEIFS(T$25:T$1048576,$D$25:$D$1048576,$G12)</f>
        <v>1795.6376259798421</v>
      </c>
      <c r="U12" s="17">
        <f>AVERAGEIFS(U$25:U$1048576,$D$25:$D$1048576,$G12)</f>
        <v>18000</v>
      </c>
      <c r="V12" s="17">
        <f>AVERAGEIFS(V$25:V$1048576,$D$25:$D$1048576,$G12)</f>
        <v>0</v>
      </c>
      <c r="W12" s="17">
        <f>AVERAGEIFS(W$25:W$1048576,$D$25:$D$1048576,$G12)</f>
        <v>21900</v>
      </c>
      <c r="X12" s="17">
        <f>AVERAGEIFS(X$25:X$1048576,$D$25:$D$1048576,$G12)</f>
        <v>0</v>
      </c>
      <c r="Y12" s="17">
        <f>AVERAGEIFS(Y$25:Y$1048576,$D$25:$D$1048576,$G12)</f>
        <v>5289948.7474112595</v>
      </c>
      <c r="Z12" s="25">
        <f t="shared" ref="Z12" si="2">+(P12+Y12)</f>
        <v>13267382.897140937</v>
      </c>
      <c r="AA12" s="26">
        <f>+Z12/'Fisico ASIG'!N12/24</f>
        <v>71.173352107631018</v>
      </c>
      <c r="AB12" s="26">
        <f>+$AB$21*Precios!R12*Precios!P12/Precios!W12/Precios!Q12</f>
        <v>12.528036976651757</v>
      </c>
      <c r="AC12" s="29">
        <f t="shared" ref="AC12" si="3">+AA12-AB12</f>
        <v>58.645315130979263</v>
      </c>
    </row>
    <row r="13" spans="1:39" x14ac:dyDescent="0.3">
      <c r="E13" s="102"/>
      <c r="F13" s="84"/>
      <c r="G13" s="52">
        <f>+'Fisico ASIG'!E13</f>
        <v>46113</v>
      </c>
      <c r="H13" s="17">
        <f>AVERAGEIFS(H$25:H$1048576,$D$25:$D$1048576,$G13)</f>
        <v>28</v>
      </c>
      <c r="I13" s="17">
        <f>AVERAGEIFS(I$25:I$1048576,$D$25:$D$1048576,$G13)</f>
        <v>5.2429397708514527</v>
      </c>
      <c r="J13" s="17">
        <f>AVERAGEIFS(J$25:J$1048576,$D$25:$D$1048576,$G13)</f>
        <v>5.893878390539375</v>
      </c>
      <c r="K13" s="17">
        <f>AVERAGEIFS(K$25:K$1048576,$D$25:$D$1048576,$G13)</f>
        <v>6.858333333333329</v>
      </c>
      <c r="L13" s="17">
        <f>AVERAGEIFS(L$25:L$1048576,$D$25:$D$1048576,$G13)</f>
        <v>27</v>
      </c>
      <c r="M13" s="17">
        <f>AVERAGEIFS(M$25:M$1048576,$D$25:$D$1048576,$G13)</f>
        <v>71.5</v>
      </c>
      <c r="N13" s="17">
        <f>AVERAGEIFS(N$25:N$1048576,$D$25:$D$1048576,$G13)</f>
        <v>52.112444113648245</v>
      </c>
      <c r="O13" s="17">
        <f>AVERAGEIFS(O$25:O$1048576,$D$25:$D$1048576,$G13)</f>
        <v>78.581543389880395</v>
      </c>
      <c r="P13" s="17">
        <f>AVERAGEIFS(P$25:P$1048576,$D$25:$D$1048576,$G13)</f>
        <v>7687637.9152450645</v>
      </c>
      <c r="Q13" s="17">
        <f>AVERAGEIFS(Q$25:Q$1048576,$D$25:$D$1048576,$G13)</f>
        <v>0</v>
      </c>
      <c r="R13" s="17">
        <f>AVERAGEIFS(R$25:R$1048576,$D$25:$D$1048576,$G13)</f>
        <v>6008.3723108483273</v>
      </c>
      <c r="S13" s="17">
        <f>AVERAGEIFS(S$25:S$1048576,$D$25:$D$1048576,$G13)</f>
        <v>2968.6580666331961</v>
      </c>
      <c r="T13" s="17">
        <f>AVERAGEIFS(T$25:T$1048576,$D$25:$D$1048576,$G13)</f>
        <v>1795.6376259798421</v>
      </c>
      <c r="U13" s="17">
        <f>AVERAGEIFS(U$25:U$1048576,$D$25:$D$1048576,$G13)</f>
        <v>18000</v>
      </c>
      <c r="V13" s="17">
        <f>AVERAGEIFS(V$25:V$1048576,$D$25:$D$1048576,$G13)</f>
        <v>0</v>
      </c>
      <c r="W13" s="17">
        <f>AVERAGEIFS(W$25:W$1048576,$D$25:$D$1048576,$G13)</f>
        <v>21900</v>
      </c>
      <c r="X13" s="17">
        <f>AVERAGEIFS(X$25:X$1048576,$D$25:$D$1048576,$G13)</f>
        <v>0</v>
      </c>
      <c r="Y13" s="17">
        <f>AVERAGEIFS(Y$25:Y$1048576,$D$25:$D$1048576,$G13)</f>
        <v>5276767.9874789529</v>
      </c>
      <c r="Z13" s="25">
        <f t="shared" ref="Z13" si="4">+(P13+Y13)</f>
        <v>12964405.902724016</v>
      </c>
      <c r="AA13" s="26">
        <f>+Z13/'Fisico ASIG'!N13/24</f>
        <v>72.749402867220581</v>
      </c>
      <c r="AB13" s="26">
        <f>+$AB$21*Precios!R13*Precios!P13/Precios!W13/Precios!Q13</f>
        <v>12.966821672816931</v>
      </c>
      <c r="AC13" s="29">
        <f t="shared" ref="AC13" si="5">+AA13-AB13</f>
        <v>59.782581194403647</v>
      </c>
    </row>
    <row r="14" spans="1:39" x14ac:dyDescent="0.3">
      <c r="E14" s="102"/>
      <c r="F14" s="84"/>
      <c r="G14" s="52">
        <f>+'Fisico ASIG'!E14</f>
        <v>46143</v>
      </c>
      <c r="H14" s="17">
        <f>AVERAGEIFS(H$25:H$1048576,$D$25:$D$1048576,$G14)</f>
        <v>28</v>
      </c>
      <c r="I14" s="17">
        <f>AVERAGEIFS(I$25:I$1048576,$D$25:$D$1048576,$G14)</f>
        <v>5.1344035242670607</v>
      </c>
      <c r="J14" s="17">
        <f>AVERAGEIFS(J$25:J$1048576,$D$25:$D$1048576,$G14)</f>
        <v>5.7718667966068073</v>
      </c>
      <c r="K14" s="17">
        <f>AVERAGEIFS(K$25:K$1048576,$D$25:$D$1048576,$G14)</f>
        <v>6.8583333333333281</v>
      </c>
      <c r="L14" s="17">
        <f>AVERAGEIFS(L$25:L$1048576,$D$25:$D$1048576,$G14)</f>
        <v>27</v>
      </c>
      <c r="M14" s="17">
        <f>AVERAGEIFS(M$25:M$1048576,$D$25:$D$1048576,$G14)</f>
        <v>71.5</v>
      </c>
      <c r="N14" s="17">
        <f>AVERAGEIFS(N$25:N$1048576,$D$25:$D$1048576,$G14)</f>
        <v>99.970132515097148</v>
      </c>
      <c r="O14" s="17">
        <f>AVERAGEIFS(O$25:O$1048576,$D$25:$D$1048576,$G14)</f>
        <v>146.77674089948343</v>
      </c>
      <c r="P14" s="17">
        <f>AVERAGEIFS(P$25:P$1048576,$D$25:$D$1048576,$G14)</f>
        <v>13704720.694029322</v>
      </c>
      <c r="Q14" s="17">
        <f>AVERAGEIFS(Q$25:Q$1048576,$D$25:$D$1048576,$G14)</f>
        <v>0</v>
      </c>
      <c r="R14" s="17">
        <f>AVERAGEIFS(R$25:R$1048576,$D$25:$D$1048576,$G14)</f>
        <v>5883.9905313118461</v>
      </c>
      <c r="S14" s="17">
        <f>AVERAGEIFS(S$25:S$1048576,$D$25:$D$1048576,$G14)</f>
        <v>2907.2026584028358</v>
      </c>
      <c r="T14" s="17">
        <f>AVERAGEIFS(T$25:T$1048576,$D$25:$D$1048576,$G14)</f>
        <v>1795.6376259798421</v>
      </c>
      <c r="U14" s="17">
        <f>AVERAGEIFS(U$25:U$1048576,$D$25:$D$1048576,$G14)</f>
        <v>18000</v>
      </c>
      <c r="V14" s="17">
        <f>AVERAGEIFS(V$25:V$1048576,$D$25:$D$1048576,$G14)</f>
        <v>0</v>
      </c>
      <c r="W14" s="17">
        <f>AVERAGEIFS(W$25:W$1048576,$D$25:$D$1048576,$G14)</f>
        <v>21900</v>
      </c>
      <c r="X14" s="17">
        <f>AVERAGEIFS(X$25:X$1048576,$D$25:$D$1048576,$G14)</f>
        <v>0</v>
      </c>
      <c r="Y14" s="17">
        <f>AVERAGEIFS(Y$25:Y$1048576,$D$25:$D$1048576,$G14)</f>
        <v>5125677.4939704314</v>
      </c>
      <c r="Z14" s="25">
        <f t="shared" ref="Z14" si="6">+(P14+Y14)</f>
        <v>18830398.187999755</v>
      </c>
      <c r="AA14" s="26">
        <f>+Z14/'Fisico ASIG'!N14/24</f>
        <v>85.53768924820865</v>
      </c>
      <c r="AB14" s="26">
        <f>+$AB$21*Precios!R14*Precios!P14/Precios!W14/Precios!Q14</f>
        <v>11.157385344785892</v>
      </c>
      <c r="AC14" s="29">
        <f t="shared" ref="AC14" si="7">+AA14-AB14</f>
        <v>74.380303903422757</v>
      </c>
    </row>
    <row r="15" spans="1:39" x14ac:dyDescent="0.3">
      <c r="E15" s="102"/>
      <c r="F15" s="84"/>
      <c r="G15" s="52">
        <f>+'Fisico ASIG'!E15</f>
        <v>46174</v>
      </c>
      <c r="H15" s="17">
        <f>AVERAGEIFS(H$25:H$1048576,$D$25:$D$1048576,$G15)</f>
        <v>28</v>
      </c>
      <c r="I15" s="17">
        <f>AVERAGEIFS(I$25:I$1048576,$D$25:$D$1048576,$G15)</f>
        <v>4.8826050737825604</v>
      </c>
      <c r="J15" s="17">
        <f>AVERAGEIFS(J$25:J$1048576,$D$25:$D$1048576,$G15)</f>
        <v>5.4888062407078708</v>
      </c>
      <c r="K15" s="17">
        <f>AVERAGEIFS(K$25:K$1048576,$D$25:$D$1048576,$G15)</f>
        <v>6.858333333333329</v>
      </c>
      <c r="L15" s="17">
        <f>AVERAGEIFS(L$25:L$1048576,$D$25:$D$1048576,$G15)</f>
        <v>27</v>
      </c>
      <c r="M15" s="17">
        <f>AVERAGEIFS(M$25:M$1048576,$D$25:$D$1048576,$G15)</f>
        <v>71.5</v>
      </c>
      <c r="N15" s="17">
        <f>AVERAGEIFS(N$25:N$1048576,$D$25:$D$1048576,$G15)</f>
        <v>120.01523438275697</v>
      </c>
      <c r="O15" s="17">
        <f>AVERAGEIFS(O$25:O$1048576,$D$25:$D$1048576,$G15)</f>
        <v>159.3181402520496</v>
      </c>
      <c r="P15" s="17">
        <f>AVERAGEIFS(P$25:P$1048576,$D$25:$D$1048576,$G15)</f>
        <v>16264435.658627857</v>
      </c>
      <c r="Q15" s="17">
        <f>AVERAGEIFS(Q$25:Q$1048576,$D$25:$D$1048576,$G15)</f>
        <v>0</v>
      </c>
      <c r="R15" s="17">
        <f>AVERAGEIFS(R$25:R$1048576,$D$25:$D$1048576,$G15)</f>
        <v>5595.4312680113935</v>
      </c>
      <c r="S15" s="17">
        <f>AVERAGEIFS(S$25:S$1048576,$D$25:$D$1048576,$G15)</f>
        <v>2764.629305690994</v>
      </c>
      <c r="T15" s="17">
        <f>AVERAGEIFS(T$25:T$1048576,$D$25:$D$1048576,$G15)</f>
        <v>1795.6376259798421</v>
      </c>
      <c r="U15" s="17">
        <f>AVERAGEIFS(U$25:U$1048576,$D$25:$D$1048576,$G15)</f>
        <v>18000</v>
      </c>
      <c r="V15" s="17">
        <f>AVERAGEIFS(V$25:V$1048576,$D$25:$D$1048576,$G15)</f>
        <v>0</v>
      </c>
      <c r="W15" s="17">
        <f>AVERAGEIFS(W$25:W$1048576,$D$25:$D$1048576,$G15)</f>
        <v>21900</v>
      </c>
      <c r="X15" s="17">
        <f>AVERAGEIFS(X$25:X$1048576,$D$25:$D$1048576,$G15)</f>
        <v>0</v>
      </c>
      <c r="Y15" s="17">
        <f>AVERAGEIFS(Y$25:Y$1048576,$D$25:$D$1048576,$G15)</f>
        <v>5731949.6714311726</v>
      </c>
      <c r="Z15" s="25">
        <f t="shared" ref="Z15" si="8">+(P15+Y15)</f>
        <v>21996385.330059029</v>
      </c>
      <c r="AA15" s="26">
        <f>+Z15/'Fisico ASIG'!N15/24</f>
        <v>97.092179100803222</v>
      </c>
      <c r="AB15" s="26">
        <f>+$AB$21*Precios!R15*Precios!P15/Precios!W15/Precios!Q15</f>
        <v>13.786852300015589</v>
      </c>
      <c r="AC15" s="29">
        <f t="shared" ref="AC15" si="9">+AA15-AB15</f>
        <v>83.30532680078764</v>
      </c>
    </row>
    <row r="16" spans="1:39" x14ac:dyDescent="0.3">
      <c r="A16" s="17"/>
      <c r="B16" s="17"/>
      <c r="E16" s="102"/>
      <c r="F16" s="84"/>
      <c r="G16" s="52">
        <f>+'Fisico ASIG'!E16</f>
        <v>46204</v>
      </c>
      <c r="H16" s="17">
        <f>AVERAGEIFS(H$25:H$1048576,$D$25:$D$1048576,$G16)</f>
        <v>28</v>
      </c>
      <c r="I16" s="17">
        <f>AVERAGEIFS(I$25:I$1048576,$D$25:$D$1048576,$G16)</f>
        <v>4.8647821016328967</v>
      </c>
      <c r="J16" s="17">
        <f>AVERAGEIFS(J$25:J$1048576,$D$25:$D$1048576,$G16)</f>
        <v>5.4687704525814995</v>
      </c>
      <c r="K16" s="17">
        <f>AVERAGEIFS(K$25:K$1048576,$D$25:$D$1048576,$G16)</f>
        <v>6.8583333333333281</v>
      </c>
      <c r="L16" s="17">
        <f>AVERAGEIFS(L$25:L$1048576,$D$25:$D$1048576,$G16)</f>
        <v>27</v>
      </c>
      <c r="M16" s="17">
        <f>AVERAGEIFS(M$25:M$1048576,$D$25:$D$1048576,$G16)</f>
        <v>71.5</v>
      </c>
      <c r="N16" s="17">
        <f>AVERAGEIFS(N$25:N$1048576,$D$25:$D$1048576,$G16)</f>
        <v>104.78891893718843</v>
      </c>
      <c r="O16" s="17">
        <f>AVERAGEIFS(O$25:O$1048576,$D$25:$D$1048576,$G16)</f>
        <v>104.28885675467193</v>
      </c>
      <c r="P16" s="17">
        <f>AVERAGEIFS(P$25:P$1048576,$D$25:$D$1048576,$G16)</f>
        <v>12748230.381103145</v>
      </c>
      <c r="Q16" s="17">
        <f>AVERAGEIFS(Q$25:Q$1048576,$D$25:$D$1048576,$G16)</f>
        <v>0</v>
      </c>
      <c r="R16" s="17">
        <f>AVERAGEIFS(R$25:R$1048576,$D$25:$D$1048576,$G16)</f>
        <v>5575.0062665729974</v>
      </c>
      <c r="S16" s="17">
        <f>AVERAGEIFS(S$25:S$1048576,$D$25:$D$1048576,$G16)</f>
        <v>2754.5375799882454</v>
      </c>
      <c r="T16" s="17">
        <f>AVERAGEIFS(T$25:T$1048576,$D$25:$D$1048576,$G16)</f>
        <v>1795.6376259798421</v>
      </c>
      <c r="U16" s="17">
        <f>AVERAGEIFS(U$25:U$1048576,$D$25:$D$1048576,$G16)</f>
        <v>18000</v>
      </c>
      <c r="V16" s="17">
        <f>AVERAGEIFS(V$25:V$1048576,$D$25:$D$1048576,$G16)</f>
        <v>0</v>
      </c>
      <c r="W16" s="17">
        <f>AVERAGEIFS(W$25:W$1048576,$D$25:$D$1048576,$G16)</f>
        <v>21900</v>
      </c>
      <c r="X16" s="17">
        <f>AVERAGEIFS(X$25:X$1048576,$D$25:$D$1048576,$G16)</f>
        <v>0</v>
      </c>
      <c r="Y16" s="17">
        <f>AVERAGEIFS(Y$25:Y$1048576,$D$25:$D$1048576,$G16)</f>
        <v>5679138.235037989</v>
      </c>
      <c r="Z16" s="25">
        <f t="shared" ref="Z16" si="10">+(P16+Y16)</f>
        <v>18427368.616141133</v>
      </c>
      <c r="AA16" s="26">
        <f>+Z16/'Fisico ASIG'!N16/24</f>
        <v>79.568531062395763</v>
      </c>
      <c r="AB16" s="26">
        <f>+$AB$21*Precios!R16*Precios!P16/Precios!W16/Precios!Q16</f>
        <v>14.137513192195955</v>
      </c>
      <c r="AC16" s="29">
        <f t="shared" ref="AC16" si="11">+AA16-AB16</f>
        <v>65.43101787019981</v>
      </c>
      <c r="AD16" s="102"/>
    </row>
    <row r="17" spans="1:43" x14ac:dyDescent="0.3">
      <c r="A17" s="17"/>
      <c r="B17" s="17"/>
      <c r="E17" s="102"/>
      <c r="F17" s="84"/>
      <c r="G17" s="52">
        <f>+'Fisico ASIG'!E17</f>
        <v>46235</v>
      </c>
      <c r="H17" s="17">
        <f>AVERAGEIFS(H$25:H$1048576,$D$25:$D$1048576,$G17)</f>
        <v>28</v>
      </c>
      <c r="I17" s="17">
        <f>AVERAGEIFS(I$25:I$1048576,$D$25:$D$1048576,$G17)</f>
        <v>4.7970524196396012</v>
      </c>
      <c r="J17" s="17">
        <f>AVERAGEIFS(J$25:J$1048576,$D$25:$D$1048576,$G17)</f>
        <v>5.3926317734157108</v>
      </c>
      <c r="K17" s="17">
        <f>AVERAGEIFS(K$25:K$1048576,$D$25:$D$1048576,$G17)</f>
        <v>6.8583333333333281</v>
      </c>
      <c r="L17" s="17">
        <f>AVERAGEIFS(L$25:L$1048576,$D$25:$D$1048576,$G17)</f>
        <v>27</v>
      </c>
      <c r="M17" s="17">
        <f>AVERAGEIFS(M$25:M$1048576,$D$25:$D$1048576,$G17)</f>
        <v>71.5</v>
      </c>
      <c r="N17" s="17">
        <f>AVERAGEIFS(N$25:N$1048576,$D$25:$D$1048576,$G17)</f>
        <v>122.14441987649343</v>
      </c>
      <c r="O17" s="17">
        <f>AVERAGEIFS(O$25:O$1048576,$D$25:$D$1048576,$G17)</f>
        <v>96.576661231500395</v>
      </c>
      <c r="P17" s="17">
        <f>AVERAGEIFS(P$25:P$1048576,$D$25:$D$1048576,$G17)</f>
        <v>14233874.084432846</v>
      </c>
      <c r="Q17" s="17">
        <f>AVERAGEIFS(Q$25:Q$1048576,$D$25:$D$1048576,$G17)</f>
        <v>0</v>
      </c>
      <c r="R17" s="17">
        <f>AVERAGEIFS(R$25:R$1048576,$D$25:$D$1048576,$G17)</f>
        <v>5497.3885246768286</v>
      </c>
      <c r="S17" s="17">
        <f>AVERAGEIFS(S$25:S$1048576,$D$25:$D$1048576,$G17)</f>
        <v>2716.1876702834365</v>
      </c>
      <c r="T17" s="17">
        <f>AVERAGEIFS(T$25:T$1048576,$D$25:$D$1048576,$G17)</f>
        <v>1795.6376259798421</v>
      </c>
      <c r="U17" s="17">
        <f>AVERAGEIFS(U$25:U$1048576,$D$25:$D$1048576,$G17)</f>
        <v>18000</v>
      </c>
      <c r="V17" s="17">
        <f>AVERAGEIFS(V$25:V$1048576,$D$25:$D$1048576,$G17)</f>
        <v>0</v>
      </c>
      <c r="W17" s="17">
        <f>AVERAGEIFS(W$25:W$1048576,$D$25:$D$1048576,$G17)</f>
        <v>21900</v>
      </c>
      <c r="X17" s="17">
        <f>AVERAGEIFS(X$25:X$1048576,$D$25:$D$1048576,$G17)</f>
        <v>0</v>
      </c>
      <c r="Y17" s="17">
        <f>AVERAGEIFS(Y$25:Y$1048576,$D$25:$D$1048576,$G17)</f>
        <v>5707901.1200245926</v>
      </c>
      <c r="Z17" s="25">
        <f t="shared" ref="Z17" si="12">+(P17+Y17)</f>
        <v>19941775.204457439</v>
      </c>
      <c r="AA17" s="26">
        <f>+Z17/'Fisico ASIG'!N17/24</f>
        <v>80.768273814841905</v>
      </c>
      <c r="AB17" s="26">
        <f>+$AB$21*Precios!R17*Precios!P17/Precios!W17/Precios!Q17</f>
        <v>13.898389988279449</v>
      </c>
      <c r="AC17" s="29">
        <f t="shared" ref="AC17" si="13">+AA17-AB17</f>
        <v>66.869883826562457</v>
      </c>
      <c r="AD17" s="102"/>
    </row>
    <row r="18" spans="1:43" x14ac:dyDescent="0.3">
      <c r="A18" s="17"/>
      <c r="B18" s="17"/>
      <c r="E18" s="102"/>
      <c r="F18" s="84"/>
      <c r="G18" s="52">
        <f>+'Fisico ASIG'!E18</f>
        <v>46266</v>
      </c>
      <c r="H18" s="17">
        <f>AVERAGEIFS(H$25:H$1048576,$D$25:$D$1048576,$G18)</f>
        <v>28</v>
      </c>
      <c r="I18" s="17">
        <f>AVERAGEIFS(I$25:I$1048576,$D$25:$D$1048576,$G18)</f>
        <v>4.7715982033591775</v>
      </c>
      <c r="J18" s="17">
        <f>AVERAGEIFS(J$25:J$1048576,$D$25:$D$1048576,$G18)</f>
        <v>5.3640172819585787</v>
      </c>
      <c r="K18" s="17">
        <f>AVERAGEIFS(K$25:K$1048576,$D$25:$D$1048576,$G18)</f>
        <v>6.858333333333329</v>
      </c>
      <c r="L18" s="17">
        <f>AVERAGEIFS(L$25:L$1048576,$D$25:$D$1048576,$G18)</f>
        <v>27</v>
      </c>
      <c r="M18" s="17">
        <f>AVERAGEIFS(M$25:M$1048576,$D$25:$D$1048576,$G18)</f>
        <v>71.5</v>
      </c>
      <c r="N18" s="17">
        <f>AVERAGEIFS(N$25:N$1048576,$D$25:$D$1048576,$G18)</f>
        <v>71.395466373535356</v>
      </c>
      <c r="O18" s="17">
        <f>AVERAGEIFS(O$25:O$1048576,$D$25:$D$1048576,$G18)</f>
        <v>44.407473098181541</v>
      </c>
      <c r="P18" s="17">
        <f>AVERAGEIFS(P$25:P$1048576,$D$25:$D$1048576,$G18)</f>
        <v>9449748.9983541556</v>
      </c>
      <c r="Q18" s="17">
        <f>AVERAGEIFS(Q$25:Q$1048576,$D$25:$D$1048576,$G18)</f>
        <v>0</v>
      </c>
      <c r="R18" s="17">
        <f>AVERAGEIFS(R$25:R$1048576,$D$25:$D$1048576,$G18)</f>
        <v>5468.2181708337557</v>
      </c>
      <c r="S18" s="17">
        <f>AVERAGEIFS(S$25:S$1048576,$D$25:$D$1048576,$G18)</f>
        <v>2701.77498049615</v>
      </c>
      <c r="T18" s="17">
        <f>AVERAGEIFS(T$25:T$1048576,$D$25:$D$1048576,$G18)</f>
        <v>1795.6376259798421</v>
      </c>
      <c r="U18" s="17">
        <f>AVERAGEIFS(U$25:U$1048576,$D$25:$D$1048576,$G18)</f>
        <v>18000</v>
      </c>
      <c r="V18" s="17">
        <f>AVERAGEIFS(V$25:V$1048576,$D$25:$D$1048576,$G18)</f>
        <v>0</v>
      </c>
      <c r="W18" s="17">
        <f>AVERAGEIFS(W$25:W$1048576,$D$25:$D$1048576,$G18)</f>
        <v>21900</v>
      </c>
      <c r="X18" s="17">
        <f>AVERAGEIFS(X$25:X$1048576,$D$25:$D$1048576,$G18)</f>
        <v>0</v>
      </c>
      <c r="Y18" s="17">
        <f>AVERAGEIFS(Y$25:Y$1048576,$D$25:$D$1048576,$G18)</f>
        <v>5631523.139219949</v>
      </c>
      <c r="Z18" s="25">
        <f t="shared" ref="Z18" si="14">+(P18+Y18)</f>
        <v>15081272.137574105</v>
      </c>
      <c r="AA18" s="26">
        <f>+Z18/'Fisico ASIG'!N18/24</f>
        <v>63.540031170350403</v>
      </c>
      <c r="AB18" s="26">
        <f>+$AB$21*Precios!R18*Precios!P18/Precios!W18/Precios!Q18</f>
        <v>12.315987005656664</v>
      </c>
      <c r="AC18" s="29">
        <f t="shared" ref="AC18" si="15">+AA18-AB18</f>
        <v>51.224044164693737</v>
      </c>
      <c r="AD18" s="102"/>
    </row>
    <row r="19" spans="1:43" x14ac:dyDescent="0.3">
      <c r="A19" s="17"/>
      <c r="B19" s="17"/>
      <c r="E19" s="102"/>
      <c r="F19" s="84"/>
      <c r="G19" s="52">
        <f>+'Fisico ASIG'!E19</f>
        <v>46296</v>
      </c>
      <c r="H19" s="17">
        <f>AVERAGEIFS(H$25:H$1048576,$D$25:$D$1048576,$G19)</f>
        <v>28</v>
      </c>
      <c r="I19" s="17">
        <f>AVERAGEIFS(I$25:I$1048576,$D$25:$D$1048576,$G19)</f>
        <v>4.7326797385620942</v>
      </c>
      <c r="J19" s="17">
        <f>AVERAGEIFS(J$25:J$1048576,$D$25:$D$1048576,$G19)</f>
        <v>5.3202668845315904</v>
      </c>
      <c r="K19" s="17">
        <f>AVERAGEIFS(K$25:K$1048576,$D$25:$D$1048576,$G19)</f>
        <v>6.8583333333333307</v>
      </c>
      <c r="L19" s="17">
        <f>AVERAGEIFS(L$25:L$1048576,$D$25:$D$1048576,$G19)</f>
        <v>27</v>
      </c>
      <c r="M19" s="17">
        <f>AVERAGEIFS(M$25:M$1048576,$D$25:$D$1048576,$G19)</f>
        <v>71.5</v>
      </c>
      <c r="N19" s="17">
        <f>AVERAGEIFS(N$25:N$1048576,$D$25:$D$1048576,$G19)</f>
        <v>47.449160000000013</v>
      </c>
      <c r="O19" s="17">
        <f>AVERAGEIFS(O$25:O$1048576,$D$25:$D$1048576,$G19)</f>
        <v>38.352000000000004</v>
      </c>
      <c r="P19" s="17">
        <f>AVERAGEIFS(P$25:P$1048576,$D$25:$D$1048576,$G19)</f>
        <v>7142895.9804815678</v>
      </c>
      <c r="Q19" s="17">
        <f>AVERAGEIFS(Q$25:Q$1048576,$D$25:$D$1048576,$G19)</f>
        <v>0</v>
      </c>
      <c r="R19" s="17">
        <f>AVERAGEIFS(R$25:R$1048576,$D$25:$D$1048576,$G19)</f>
        <v>5423.6178823529372</v>
      </c>
      <c r="S19" s="17">
        <f>AVERAGEIFS(S$25:S$1048576,$D$25:$D$1048576,$G19)</f>
        <v>2679.7385620915029</v>
      </c>
      <c r="T19" s="17">
        <f>AVERAGEIFS(T$25:T$1048576,$D$25:$D$1048576,$G19)</f>
        <v>1795.6376259798424</v>
      </c>
      <c r="U19" s="17">
        <f>AVERAGEIFS(U$25:U$1048576,$D$25:$D$1048576,$G19)</f>
        <v>18000</v>
      </c>
      <c r="V19" s="17">
        <f>AVERAGEIFS(V$25:V$1048576,$D$25:$D$1048576,$G19)</f>
        <v>0</v>
      </c>
      <c r="W19" s="17">
        <f>AVERAGEIFS(W$25:W$1048576,$D$25:$D$1048576,$G19)</f>
        <v>21900</v>
      </c>
      <c r="X19" s="17">
        <f>AVERAGEIFS(X$25:X$1048576,$D$25:$D$1048576,$G19)</f>
        <v>0</v>
      </c>
      <c r="Y19" s="17">
        <f>AVERAGEIFS(Y$25:Y$1048576,$D$25:$D$1048576,$G19)</f>
        <v>5191390.6756329443</v>
      </c>
      <c r="Z19" s="25">
        <f t="shared" ref="Z19" si="16">+(P19+Y19)</f>
        <v>12334286.656114511</v>
      </c>
      <c r="AA19" s="26">
        <f>+Z19/'Fisico ASIG'!N19/24</f>
        <v>54.835663355239127</v>
      </c>
      <c r="AB19" s="26">
        <f>+$AB$21*Precios!R19*Precios!P19/Precios!W19/Precios!Q19</f>
        <v>11.736268064969073</v>
      </c>
      <c r="AC19" s="29">
        <f t="shared" ref="AC19" si="17">+AA19-AB19</f>
        <v>43.099395290270053</v>
      </c>
      <c r="AD19" s="102"/>
    </row>
    <row r="20" spans="1:43" x14ac:dyDescent="0.3">
      <c r="E20" s="102"/>
      <c r="F20" s="84"/>
      <c r="G20" s="52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</row>
    <row r="21" spans="1:43" x14ac:dyDescent="0.3">
      <c r="AB21" s="29">
        <v>16</v>
      </c>
    </row>
    <row r="22" spans="1:43" x14ac:dyDescent="0.3">
      <c r="E22" t="s">
        <v>78</v>
      </c>
      <c r="H22" s="6" t="s">
        <v>66</v>
      </c>
      <c r="I22" s="6" t="s">
        <v>66</v>
      </c>
      <c r="J22" s="6" t="s">
        <v>66</v>
      </c>
      <c r="K22" s="6" t="s">
        <v>66</v>
      </c>
      <c r="L22" s="6" t="s">
        <v>66</v>
      </c>
      <c r="M22" s="6" t="s">
        <v>66</v>
      </c>
      <c r="N22" s="6" t="s">
        <v>66</v>
      </c>
      <c r="O22" s="6" t="s">
        <v>66</v>
      </c>
      <c r="P22" s="6" t="s">
        <v>66</v>
      </c>
      <c r="Q22" s="16" t="s">
        <v>67</v>
      </c>
      <c r="R22" s="16" t="s">
        <v>67</v>
      </c>
      <c r="S22" s="16" t="s">
        <v>67</v>
      </c>
      <c r="T22" s="16" t="s">
        <v>67</v>
      </c>
      <c r="U22" s="16" t="s">
        <v>67</v>
      </c>
      <c r="V22" s="16" t="s">
        <v>67</v>
      </c>
      <c r="W22" s="16" t="s">
        <v>67</v>
      </c>
      <c r="X22" s="16" t="s">
        <v>67</v>
      </c>
      <c r="Y22" s="16" t="s">
        <v>67</v>
      </c>
      <c r="Z22" s="21" t="s">
        <v>68</v>
      </c>
      <c r="AA22" s="23" t="s">
        <v>68</v>
      </c>
      <c r="AB22" s="23" t="s">
        <v>68</v>
      </c>
      <c r="AC22" s="33" t="s">
        <v>68</v>
      </c>
      <c r="AI22" s="6" t="s">
        <v>66</v>
      </c>
      <c r="AJ22" s="16" t="s">
        <v>67</v>
      </c>
      <c r="AK22" s="16" t="s">
        <v>67</v>
      </c>
      <c r="AL22" s="6" t="s">
        <v>66</v>
      </c>
      <c r="AM22" s="16" t="s">
        <v>67</v>
      </c>
      <c r="AN22" s="6" t="s">
        <v>66</v>
      </c>
      <c r="AO22" s="8" t="s">
        <v>111</v>
      </c>
      <c r="AP22" s="8" t="s">
        <v>110</v>
      </c>
      <c r="AQ22" s="8" t="s">
        <v>116</v>
      </c>
    </row>
    <row r="23" spans="1:43" x14ac:dyDescent="0.3">
      <c r="H23" s="7" t="s">
        <v>15</v>
      </c>
      <c r="I23" s="7" t="s">
        <v>15</v>
      </c>
      <c r="J23" s="7" t="s">
        <v>15</v>
      </c>
      <c r="K23" s="7" t="s">
        <v>15</v>
      </c>
      <c r="L23" s="7" t="s">
        <v>15</v>
      </c>
      <c r="M23" s="7" t="s">
        <v>15</v>
      </c>
      <c r="N23" s="7" t="s">
        <v>15</v>
      </c>
      <c r="O23" s="7" t="s">
        <v>15</v>
      </c>
      <c r="P23" s="7" t="s">
        <v>69</v>
      </c>
      <c r="Q23" s="15" t="s">
        <v>70</v>
      </c>
      <c r="R23" s="15" t="s">
        <v>70</v>
      </c>
      <c r="S23" s="15" t="s">
        <v>70</v>
      </c>
      <c r="T23" s="15" t="s">
        <v>70</v>
      </c>
      <c r="U23" s="15" t="s">
        <v>70</v>
      </c>
      <c r="V23" s="15" t="s">
        <v>70</v>
      </c>
      <c r="W23" s="15" t="s">
        <v>70</v>
      </c>
      <c r="X23" s="15" t="s">
        <v>70</v>
      </c>
      <c r="Y23" s="15" t="str">
        <f>+P23</f>
        <v>usd/dia</v>
      </c>
      <c r="Z23" s="22" t="str">
        <f>+Y23</f>
        <v>usd/dia</v>
      </c>
      <c r="AA23" s="24" t="s">
        <v>71</v>
      </c>
      <c r="AB23" s="24" t="s">
        <v>71</v>
      </c>
      <c r="AC23" s="34" t="s">
        <v>71</v>
      </c>
      <c r="AI23" s="7" t="s">
        <v>79</v>
      </c>
      <c r="AJ23" s="15" t="s">
        <v>80</v>
      </c>
      <c r="AK23" s="15" t="s">
        <v>81</v>
      </c>
      <c r="AL23" s="7" t="s">
        <v>15</v>
      </c>
      <c r="AM23" s="15" t="s">
        <v>70</v>
      </c>
      <c r="AN23" s="7" t="s">
        <v>15</v>
      </c>
      <c r="AO23" s="9" t="s">
        <v>15</v>
      </c>
      <c r="AP23" s="9" t="s">
        <v>15</v>
      </c>
      <c r="AQ23" s="9" t="s">
        <v>15</v>
      </c>
    </row>
    <row r="24" spans="1:43" x14ac:dyDescent="0.3">
      <c r="A24" s="1" t="s">
        <v>82</v>
      </c>
      <c r="B24" s="1" t="s">
        <v>83</v>
      </c>
      <c r="C24" s="53" t="s">
        <v>32</v>
      </c>
      <c r="D24" s="1" t="s">
        <v>25</v>
      </c>
      <c r="E24" t="s">
        <v>61</v>
      </c>
      <c r="F24" s="1" t="s">
        <v>33</v>
      </c>
      <c r="G24" s="1" t="s">
        <v>34</v>
      </c>
      <c r="H24" s="6" t="s">
        <v>53</v>
      </c>
      <c r="I24" s="6" t="s">
        <v>54</v>
      </c>
      <c r="J24" s="6" t="s">
        <v>113</v>
      </c>
      <c r="K24" s="6" t="s">
        <v>114</v>
      </c>
      <c r="L24" s="6" t="s">
        <v>56</v>
      </c>
      <c r="M24" s="6" t="s">
        <v>57</v>
      </c>
      <c r="N24" s="6" t="s">
        <v>58</v>
      </c>
      <c r="O24" s="6" t="s">
        <v>59</v>
      </c>
      <c r="P24" s="6" t="s">
        <v>72</v>
      </c>
      <c r="Q24" s="16" t="s">
        <v>53</v>
      </c>
      <c r="R24" s="16" t="s">
        <v>54</v>
      </c>
      <c r="S24" s="16" t="s">
        <v>113</v>
      </c>
      <c r="T24" s="16" t="s">
        <v>114</v>
      </c>
      <c r="U24" s="16" t="s">
        <v>56</v>
      </c>
      <c r="V24" s="16" t="s">
        <v>57</v>
      </c>
      <c r="W24" s="16" t="s">
        <v>58</v>
      </c>
      <c r="X24" s="16" t="s">
        <v>59</v>
      </c>
      <c r="Y24" s="16" t="s">
        <v>73</v>
      </c>
      <c r="Z24" s="21" t="s">
        <v>74</v>
      </c>
      <c r="AA24" s="23" t="s">
        <v>75</v>
      </c>
      <c r="AB24" s="23" t="s">
        <v>76</v>
      </c>
      <c r="AC24" s="33" t="s">
        <v>77</v>
      </c>
      <c r="AD24" s="23" t="s">
        <v>84</v>
      </c>
      <c r="AI24" s="6" t="s">
        <v>54</v>
      </c>
      <c r="AJ24" s="16" t="s">
        <v>54</v>
      </c>
      <c r="AK24" s="16" t="s">
        <v>54</v>
      </c>
      <c r="AL24" s="6" t="s">
        <v>55</v>
      </c>
      <c r="AM24" s="16" t="s">
        <v>55</v>
      </c>
      <c r="AN24" s="6" t="s">
        <v>58</v>
      </c>
      <c r="AO24" s="8" t="s">
        <v>85</v>
      </c>
      <c r="AP24" s="8" t="s">
        <v>85</v>
      </c>
      <c r="AQ24" s="8" t="s">
        <v>85</v>
      </c>
    </row>
    <row r="25" spans="1:43" hidden="1" x14ac:dyDescent="0.3">
      <c r="A25" s="3">
        <v>1443</v>
      </c>
      <c r="B25" s="42">
        <v>1425.6669999999999</v>
      </c>
      <c r="C25" s="53">
        <f>YEAR(G25)</f>
        <v>2025</v>
      </c>
      <c r="D25" s="52">
        <f>+'Fisico ASIG'!B25</f>
        <v>45931</v>
      </c>
      <c r="E25" s="1">
        <v>31</v>
      </c>
      <c r="F25" s="1" t="s">
        <v>36</v>
      </c>
      <c r="G25" s="56">
        <v>45931</v>
      </c>
      <c r="H25" s="17">
        <v>28</v>
      </c>
      <c r="I25" s="17">
        <f>AI25/A25</f>
        <v>4.66042966042966</v>
      </c>
      <c r="J25" s="17">
        <f>+AL25/A25</f>
        <v>5.8474012474012467</v>
      </c>
      <c r="K25" s="17"/>
      <c r="L25" s="17">
        <v>27</v>
      </c>
      <c r="M25" s="17">
        <v>71.5</v>
      </c>
      <c r="N25" s="17">
        <f>+AN25+AO25</f>
        <v>36.081407308241445</v>
      </c>
      <c r="O25" s="17">
        <v>29.33812313198467</v>
      </c>
      <c r="P25" s="18">
        <f>SUMPRODUCT(H25:O25,'Fisico ASIG'!F25:M25)*24</f>
        <v>7228969.6587322876</v>
      </c>
      <c r="Q25" s="43">
        <v>0</v>
      </c>
      <c r="R25" s="43">
        <f>+AJ25*AK25/A25</f>
        <v>5340.3961746361747</v>
      </c>
      <c r="S25" s="43">
        <f>+AM25/A25</f>
        <v>1548.8565488565489</v>
      </c>
      <c r="T25" s="43"/>
      <c r="U25" s="43">
        <v>18000</v>
      </c>
      <c r="V25" s="20">
        <v>0</v>
      </c>
      <c r="W25" s="20">
        <v>21900</v>
      </c>
      <c r="X25" s="20">
        <v>0</v>
      </c>
      <c r="Y25" s="18">
        <f>SUMPRODUCT(Q25:X25,'Fisico ASIG'!O25:V25)/E25</f>
        <v>4835534.8908404205</v>
      </c>
      <c r="Z25" s="25">
        <f>+(P25+Y25)</f>
        <v>12064504.549572708</v>
      </c>
      <c r="AA25" s="26">
        <f>+Z25/'Fisico ASIG'!N25/24</f>
        <v>61.946815007197607</v>
      </c>
      <c r="AB25" s="26">
        <f t="shared" ref="AB25:AB56" si="18">+$AB$21*375/0.52/730</f>
        <v>15.806111696522654</v>
      </c>
      <c r="AC25" s="29">
        <f>+AA25-AB25</f>
        <v>46.140703310674951</v>
      </c>
      <c r="AD25">
        <v>10</v>
      </c>
      <c r="AI25" s="1">
        <v>6725</v>
      </c>
      <c r="AJ25" s="1">
        <v>5351522</v>
      </c>
      <c r="AK25">
        <f>1.2*1.2</f>
        <v>1.44</v>
      </c>
      <c r="AL25" s="40">
        <f>4060+1627*1.4+2100</f>
        <v>8437.7999999999993</v>
      </c>
      <c r="AM25">
        <v>2235000</v>
      </c>
      <c r="AN25" s="17">
        <v>34.179304270015407</v>
      </c>
      <c r="AO25" s="64">
        <f>0.075*0.9*(AN25-6)</f>
        <v>1.9021030382260402</v>
      </c>
    </row>
    <row r="26" spans="1:43" hidden="1" x14ac:dyDescent="0.3">
      <c r="A26" s="3">
        <v>1443</v>
      </c>
      <c r="B26" s="42">
        <v>1425.6669999999999</v>
      </c>
      <c r="C26" s="53">
        <f t="shared" ref="C26:C89" si="19">YEAR(G26)</f>
        <v>2025</v>
      </c>
      <c r="D26" s="52">
        <f>+'Fisico ASIG'!B26</f>
        <v>45931</v>
      </c>
      <c r="E26" s="1">
        <v>31</v>
      </c>
      <c r="F26" s="1" t="s">
        <v>37</v>
      </c>
      <c r="G26" s="56">
        <f>+ G25+1</f>
        <v>45932</v>
      </c>
      <c r="H26" s="17">
        <v>28</v>
      </c>
      <c r="I26" s="17">
        <f t="shared" ref="I26:I63" si="20">AI26/A26</f>
        <v>4.66042966042966</v>
      </c>
      <c r="J26" s="17">
        <f t="shared" ref="J26:J78" si="21">+AL26/A26</f>
        <v>5.8474012474012467</v>
      </c>
      <c r="K26" s="17"/>
      <c r="L26" s="17">
        <v>27</v>
      </c>
      <c r="M26" s="17">
        <v>71.5</v>
      </c>
      <c r="N26" s="17">
        <f t="shared" ref="N26:N85" si="22">+AN26+AO26</f>
        <v>36.546443062550779</v>
      </c>
      <c r="O26" s="17">
        <v>28.824410274229404</v>
      </c>
      <c r="P26" s="18">
        <f>SUMPRODUCT(H26:O26,'Fisico ASIG'!F26:M26)*24</f>
        <v>7182715.6583259776</v>
      </c>
      <c r="Q26" s="43">
        <v>0</v>
      </c>
      <c r="R26" s="43">
        <f t="shared" ref="R26:R64" si="23">+AJ26*AK26/A26</f>
        <v>5340.3961746361747</v>
      </c>
      <c r="S26" s="43">
        <f t="shared" ref="S26:S64" si="24">+AM26/A26</f>
        <v>1548.8565488565489</v>
      </c>
      <c r="T26" s="43"/>
      <c r="U26" s="43">
        <v>18000</v>
      </c>
      <c r="V26" s="20">
        <v>0</v>
      </c>
      <c r="W26" s="20">
        <v>21900</v>
      </c>
      <c r="X26" s="20">
        <v>0</v>
      </c>
      <c r="Y26" s="18">
        <f>SUMPRODUCT(Q26:X26,'Fisico ASIG'!O26:V26)/E26</f>
        <v>4867222.8571460005</v>
      </c>
      <c r="Z26" s="25">
        <f t="shared" ref="Z26:Z51" si="25">+(P26+Y26)</f>
        <v>12049938.515471978</v>
      </c>
      <c r="AA26" s="26">
        <f>+Z26/'Fisico ASIG'!N26/24</f>
        <v>60.11682897481095</v>
      </c>
      <c r="AB26" s="26">
        <f t="shared" si="18"/>
        <v>15.806111696522654</v>
      </c>
      <c r="AC26" s="29">
        <f t="shared" ref="AC26:AC51" si="26">+AA26-AB26</f>
        <v>44.310717278288294</v>
      </c>
      <c r="AI26" s="1">
        <v>6725</v>
      </c>
      <c r="AJ26" s="1">
        <v>5351522</v>
      </c>
      <c r="AK26">
        <f t="shared" ref="AK26:AK94" si="27">1.2*1.2</f>
        <v>1.44</v>
      </c>
      <c r="AL26" s="40">
        <f t="shared" ref="AL26:AL94" si="28">4060+1627*1.4+2100</f>
        <v>8437.7999999999993</v>
      </c>
      <c r="AM26">
        <v>2235000</v>
      </c>
      <c r="AN26" s="17">
        <v>34.614934953209158</v>
      </c>
      <c r="AO26" s="64">
        <f t="shared" ref="AO26:AO89" si="29">0.075*0.9*(AN26-6)</f>
        <v>1.9315081093416182</v>
      </c>
    </row>
    <row r="27" spans="1:43" hidden="1" x14ac:dyDescent="0.3">
      <c r="A27" s="3">
        <v>1443</v>
      </c>
      <c r="B27" s="42">
        <v>1425.6669999999999</v>
      </c>
      <c r="C27" s="53">
        <f t="shared" si="19"/>
        <v>2025</v>
      </c>
      <c r="D27" s="52">
        <f>+'Fisico ASIG'!B27</f>
        <v>45931</v>
      </c>
      <c r="E27" s="1">
        <v>31</v>
      </c>
      <c r="F27" s="1" t="s">
        <v>38</v>
      </c>
      <c r="G27" s="56">
        <f t="shared" ref="G27:G90" si="30">+ G26+1</f>
        <v>45933</v>
      </c>
      <c r="H27" s="17">
        <v>28</v>
      </c>
      <c r="I27" s="17">
        <f t="shared" si="20"/>
        <v>4.66042966042966</v>
      </c>
      <c r="J27" s="17">
        <f t="shared" si="21"/>
        <v>5.8474012474012467</v>
      </c>
      <c r="K27" s="17"/>
      <c r="L27" s="17">
        <v>27</v>
      </c>
      <c r="M27" s="17">
        <v>71.5</v>
      </c>
      <c r="N27" s="17">
        <f t="shared" si="22"/>
        <v>36.064040380310161</v>
      </c>
      <c r="O27" s="17">
        <v>30.095803169902378</v>
      </c>
      <c r="P27" s="18">
        <f>SUMPRODUCT(H27:O27,'Fisico ASIG'!F27:M27)*24</f>
        <v>7113038.1080367528</v>
      </c>
      <c r="Q27" s="43">
        <v>0</v>
      </c>
      <c r="R27" s="43">
        <f t="shared" si="23"/>
        <v>5340.3961746361747</v>
      </c>
      <c r="S27" s="43">
        <f t="shared" si="24"/>
        <v>1548.8565488565489</v>
      </c>
      <c r="T27" s="43"/>
      <c r="U27" s="43">
        <v>18000</v>
      </c>
      <c r="V27" s="20">
        <v>0</v>
      </c>
      <c r="W27" s="20">
        <v>21900</v>
      </c>
      <c r="X27" s="20">
        <v>0</v>
      </c>
      <c r="Y27" s="18">
        <f>SUMPRODUCT(Q27:X27,'Fisico ASIG'!O27:V27)/E27</f>
        <v>4929643.5750916777</v>
      </c>
      <c r="Z27" s="25">
        <f t="shared" si="25"/>
        <v>12042681.683128431</v>
      </c>
      <c r="AA27" s="26">
        <f>+Z27/'Fisico ASIG'!N27/24</f>
        <v>58.648999718734643</v>
      </c>
      <c r="AB27" s="26">
        <f t="shared" si="18"/>
        <v>15.806111696522654</v>
      </c>
      <c r="AC27" s="29">
        <f t="shared" si="26"/>
        <v>42.842888022211987</v>
      </c>
      <c r="AI27" s="1">
        <v>6725</v>
      </c>
      <c r="AJ27" s="1">
        <v>5351522</v>
      </c>
      <c r="AK27">
        <f t="shared" si="27"/>
        <v>1.44</v>
      </c>
      <c r="AL27" s="40">
        <f t="shared" si="28"/>
        <v>8437.7999999999993</v>
      </c>
      <c r="AM27">
        <v>2235000</v>
      </c>
      <c r="AN27" s="17">
        <v>34.163035485068065</v>
      </c>
      <c r="AO27" s="64">
        <f t="shared" si="29"/>
        <v>1.9010048952420946</v>
      </c>
    </row>
    <row r="28" spans="1:43" hidden="1" x14ac:dyDescent="0.3">
      <c r="A28" s="3">
        <v>1443</v>
      </c>
      <c r="B28" s="42">
        <v>1425.6669999999999</v>
      </c>
      <c r="C28" s="53">
        <f t="shared" si="19"/>
        <v>2025</v>
      </c>
      <c r="D28" s="52">
        <f>+'Fisico ASIG'!B28</f>
        <v>45931</v>
      </c>
      <c r="E28" s="1">
        <v>31</v>
      </c>
      <c r="F28" s="1" t="s">
        <v>39</v>
      </c>
      <c r="G28" s="56">
        <f t="shared" si="30"/>
        <v>45934</v>
      </c>
      <c r="H28" s="17">
        <v>28</v>
      </c>
      <c r="I28" s="17">
        <f t="shared" si="20"/>
        <v>4.66042966042966</v>
      </c>
      <c r="J28" s="17">
        <f t="shared" si="21"/>
        <v>5.8474012474012467</v>
      </c>
      <c r="K28" s="17"/>
      <c r="L28" s="17">
        <v>27</v>
      </c>
      <c r="M28" s="17">
        <v>71.5</v>
      </c>
      <c r="N28" s="17">
        <f t="shared" si="22"/>
        <v>38.065208544707929</v>
      </c>
      <c r="O28" s="17">
        <v>28.443739479338678</v>
      </c>
      <c r="P28" s="18">
        <f>SUMPRODUCT(H28:O28,'Fisico ASIG'!F28:M28)*24</f>
        <v>6948830.9839592697</v>
      </c>
      <c r="Q28" s="43">
        <v>0</v>
      </c>
      <c r="R28" s="43">
        <f t="shared" si="23"/>
        <v>5340.3961746361747</v>
      </c>
      <c r="S28" s="43">
        <f t="shared" si="24"/>
        <v>1548.8565488565489</v>
      </c>
      <c r="T28" s="43"/>
      <c r="U28" s="43">
        <v>18000</v>
      </c>
      <c r="V28" s="20">
        <v>0</v>
      </c>
      <c r="W28" s="20">
        <v>21900</v>
      </c>
      <c r="X28" s="20">
        <v>0</v>
      </c>
      <c r="Y28" s="18">
        <f>SUMPRODUCT(Q28:X28,'Fisico ASIG'!O28:V28)/E28</f>
        <v>5276855.3849427281</v>
      </c>
      <c r="Z28" s="25">
        <f t="shared" si="25"/>
        <v>12225686.368901998</v>
      </c>
      <c r="AA28" s="26">
        <f>+Z28/'Fisico ASIG'!N28/24</f>
        <v>61.223919730918311</v>
      </c>
      <c r="AB28" s="26">
        <f t="shared" si="18"/>
        <v>15.806111696522654</v>
      </c>
      <c r="AC28" s="29">
        <f t="shared" si="26"/>
        <v>45.417808034395655</v>
      </c>
      <c r="AI28" s="1">
        <v>6725</v>
      </c>
      <c r="AJ28" s="1">
        <v>5351522</v>
      </c>
      <c r="AK28">
        <f t="shared" si="27"/>
        <v>1.44</v>
      </c>
      <c r="AL28" s="40">
        <f t="shared" si="28"/>
        <v>8437.7999999999993</v>
      </c>
      <c r="AM28">
        <v>2235000</v>
      </c>
      <c r="AN28" s="17">
        <v>36.037666084035529</v>
      </c>
      <c r="AO28" s="64">
        <f t="shared" si="29"/>
        <v>2.0275424606723984</v>
      </c>
    </row>
    <row r="29" spans="1:43" hidden="1" x14ac:dyDescent="0.3">
      <c r="A29" s="3">
        <v>1443</v>
      </c>
      <c r="B29" s="42">
        <v>1425.6669999999999</v>
      </c>
      <c r="C29" s="53">
        <f t="shared" si="19"/>
        <v>2025</v>
      </c>
      <c r="D29" s="52">
        <f>+'Fisico ASIG'!B29</f>
        <v>45931</v>
      </c>
      <c r="E29" s="1">
        <v>31</v>
      </c>
      <c r="F29" s="1" t="s">
        <v>40</v>
      </c>
      <c r="G29" s="56">
        <f t="shared" si="30"/>
        <v>45935</v>
      </c>
      <c r="H29" s="17">
        <v>28</v>
      </c>
      <c r="I29" s="17">
        <f t="shared" si="20"/>
        <v>4.66042966042966</v>
      </c>
      <c r="J29" s="17">
        <f t="shared" si="21"/>
        <v>5.8474012474012467</v>
      </c>
      <c r="K29" s="17"/>
      <c r="L29" s="17">
        <v>27</v>
      </c>
      <c r="M29" s="17">
        <v>71.5</v>
      </c>
      <c r="N29" s="17">
        <f t="shared" si="22"/>
        <v>36.794739229070331</v>
      </c>
      <c r="O29" s="17">
        <v>28.623559166114624</v>
      </c>
      <c r="P29" s="18">
        <f>SUMPRODUCT(H29:O29,'Fisico ASIG'!F29:M29)*24</f>
        <v>5992713.6419484047</v>
      </c>
      <c r="Q29" s="43">
        <v>0</v>
      </c>
      <c r="R29" s="43">
        <f t="shared" si="23"/>
        <v>5340.3961746361747</v>
      </c>
      <c r="S29" s="43">
        <f t="shared" si="24"/>
        <v>1548.8565488565489</v>
      </c>
      <c r="T29" s="43"/>
      <c r="U29" s="43">
        <v>18000</v>
      </c>
      <c r="V29" s="20">
        <v>0</v>
      </c>
      <c r="W29" s="20">
        <v>21900</v>
      </c>
      <c r="X29" s="20">
        <v>0</v>
      </c>
      <c r="Y29" s="18">
        <f>SUMPRODUCT(Q29:X29,'Fisico ASIG'!O29:V29)/E29</f>
        <v>5333649.0915890299</v>
      </c>
      <c r="Z29" s="25">
        <f t="shared" si="25"/>
        <v>11326362.733537436</v>
      </c>
      <c r="AA29" s="26">
        <f>+Z29/'Fisico ASIG'!N29/24</f>
        <v>63.18064623317813</v>
      </c>
      <c r="AB29" s="26">
        <f t="shared" si="18"/>
        <v>15.806111696522654</v>
      </c>
      <c r="AC29" s="29">
        <f t="shared" si="26"/>
        <v>47.374534536655474</v>
      </c>
      <c r="AI29" s="1">
        <v>6725</v>
      </c>
      <c r="AJ29" s="1">
        <v>5351522</v>
      </c>
      <c r="AK29">
        <f t="shared" si="27"/>
        <v>1.44</v>
      </c>
      <c r="AL29" s="40">
        <f t="shared" si="28"/>
        <v>8437.7999999999993</v>
      </c>
      <c r="AM29">
        <v>2235000</v>
      </c>
      <c r="AN29" s="17">
        <v>34.8475308937427</v>
      </c>
      <c r="AO29" s="64">
        <f t="shared" si="29"/>
        <v>1.9472083353276324</v>
      </c>
    </row>
    <row r="30" spans="1:43" hidden="1" x14ac:dyDescent="0.3">
      <c r="A30" s="3">
        <v>1443</v>
      </c>
      <c r="B30" s="42">
        <v>1425.6669999999999</v>
      </c>
      <c r="C30" s="53">
        <f t="shared" si="19"/>
        <v>2025</v>
      </c>
      <c r="D30" s="52">
        <f>+'Fisico ASIG'!B30</f>
        <v>45931</v>
      </c>
      <c r="E30" s="1">
        <v>31</v>
      </c>
      <c r="F30" s="1" t="s">
        <v>41</v>
      </c>
      <c r="G30" s="56">
        <f t="shared" si="30"/>
        <v>45936</v>
      </c>
      <c r="H30" s="17">
        <v>28</v>
      </c>
      <c r="I30" s="17">
        <f t="shared" si="20"/>
        <v>4.66042966042966</v>
      </c>
      <c r="J30" s="17">
        <f t="shared" si="21"/>
        <v>5.8474012474012467</v>
      </c>
      <c r="K30" s="17"/>
      <c r="L30" s="17">
        <v>27</v>
      </c>
      <c r="M30" s="17">
        <v>71.5</v>
      </c>
      <c r="N30" s="17">
        <f t="shared" si="22"/>
        <v>37.169231886316958</v>
      </c>
      <c r="O30" s="17">
        <v>28.337218223928708</v>
      </c>
      <c r="P30" s="18">
        <f>SUMPRODUCT(H30:O30,'Fisico ASIG'!F30:M30)*24</f>
        <v>7060630.4383446872</v>
      </c>
      <c r="Q30" s="43">
        <v>0</v>
      </c>
      <c r="R30" s="43">
        <f t="shared" si="23"/>
        <v>5340.3961746361747</v>
      </c>
      <c r="S30" s="43">
        <f t="shared" si="24"/>
        <v>1548.8565488565489</v>
      </c>
      <c r="T30" s="43"/>
      <c r="U30" s="43">
        <v>18000</v>
      </c>
      <c r="V30" s="20">
        <v>0</v>
      </c>
      <c r="W30" s="20">
        <v>21900</v>
      </c>
      <c r="X30" s="20">
        <v>0</v>
      </c>
      <c r="Y30" s="18">
        <f>SUMPRODUCT(Q30:X30,'Fisico ASIG'!O30:V30)/E30</f>
        <v>5453912.5497288266</v>
      </c>
      <c r="Z30" s="25">
        <f t="shared" si="25"/>
        <v>12514542.988073513</v>
      </c>
      <c r="AA30" s="26">
        <f>+Z30/'Fisico ASIG'!N30/24</f>
        <v>61.080365549655504</v>
      </c>
      <c r="AB30" s="26">
        <f t="shared" si="18"/>
        <v>15.806111696522654</v>
      </c>
      <c r="AC30" s="29">
        <f t="shared" si="26"/>
        <v>45.274253853132848</v>
      </c>
      <c r="AI30" s="1">
        <v>6725</v>
      </c>
      <c r="AJ30" s="1">
        <v>5351522</v>
      </c>
      <c r="AK30">
        <f t="shared" si="27"/>
        <v>1.44</v>
      </c>
      <c r="AL30" s="40">
        <f t="shared" si="28"/>
        <v>8437.7999999999993</v>
      </c>
      <c r="AM30">
        <v>2235000</v>
      </c>
      <c r="AN30" s="17">
        <v>35.198343687416354</v>
      </c>
      <c r="AO30" s="64">
        <f t="shared" si="29"/>
        <v>1.970888198900604</v>
      </c>
    </row>
    <row r="31" spans="1:43" hidden="1" x14ac:dyDescent="0.3">
      <c r="A31" s="3">
        <v>1443</v>
      </c>
      <c r="B31" s="42">
        <v>1425.6669999999999</v>
      </c>
      <c r="C31" s="53">
        <f t="shared" si="19"/>
        <v>2025</v>
      </c>
      <c r="D31" s="52">
        <f>+'Fisico ASIG'!B31</f>
        <v>45931</v>
      </c>
      <c r="E31" s="1">
        <v>31</v>
      </c>
      <c r="F31" s="1" t="s">
        <v>42</v>
      </c>
      <c r="G31" s="56">
        <f t="shared" si="30"/>
        <v>45937</v>
      </c>
      <c r="H31" s="17">
        <v>28</v>
      </c>
      <c r="I31" s="17">
        <f t="shared" si="20"/>
        <v>4.66042966042966</v>
      </c>
      <c r="J31" s="17">
        <f t="shared" si="21"/>
        <v>5.8474012474012467</v>
      </c>
      <c r="K31" s="17"/>
      <c r="L31" s="17">
        <v>27</v>
      </c>
      <c r="M31" s="17">
        <v>71.5</v>
      </c>
      <c r="N31" s="17">
        <f t="shared" si="22"/>
        <v>36.548062453473875</v>
      </c>
      <c r="O31" s="17">
        <v>28.447498216447123</v>
      </c>
      <c r="P31" s="18">
        <f>SUMPRODUCT(H31:O31,'Fisico ASIG'!F31:M31)*24</f>
        <v>7011375.370793825</v>
      </c>
      <c r="Q31" s="43">
        <v>0</v>
      </c>
      <c r="R31" s="43">
        <f t="shared" si="23"/>
        <v>5340.3961746361747</v>
      </c>
      <c r="S31" s="43">
        <f t="shared" si="24"/>
        <v>1548.8565488565489</v>
      </c>
      <c r="T31" s="43"/>
      <c r="U31" s="43">
        <v>18000</v>
      </c>
      <c r="V31" s="20">
        <v>0</v>
      </c>
      <c r="W31" s="20">
        <v>21900</v>
      </c>
      <c r="X31" s="20">
        <v>0</v>
      </c>
      <c r="Y31" s="18">
        <f>SUMPRODUCT(Q31:X31,'Fisico ASIG'!O31:V31)/E31</f>
        <v>5512786.1561552892</v>
      </c>
      <c r="Z31" s="25">
        <f t="shared" si="25"/>
        <v>12524161.526949115</v>
      </c>
      <c r="AA31" s="26">
        <f>+Z31/'Fisico ASIG'!N31/24</f>
        <v>63.155935136086178</v>
      </c>
      <c r="AB31" s="26">
        <f t="shared" si="18"/>
        <v>15.806111696522654</v>
      </c>
      <c r="AC31" s="29">
        <f t="shared" si="26"/>
        <v>47.349823439563522</v>
      </c>
      <c r="AI31" s="1">
        <v>6725</v>
      </c>
      <c r="AJ31" s="1">
        <v>5351522</v>
      </c>
      <c r="AK31">
        <f t="shared" si="27"/>
        <v>1.44</v>
      </c>
      <c r="AL31" s="40">
        <f t="shared" si="28"/>
        <v>8437.7999999999993</v>
      </c>
      <c r="AM31">
        <v>2235000</v>
      </c>
      <c r="AN31" s="17">
        <v>34.616451947048127</v>
      </c>
      <c r="AO31" s="64">
        <f t="shared" si="29"/>
        <v>1.9316105064257487</v>
      </c>
    </row>
    <row r="32" spans="1:43" hidden="1" x14ac:dyDescent="0.3">
      <c r="A32" s="3">
        <v>1443</v>
      </c>
      <c r="B32" s="42">
        <v>1425.6669999999999</v>
      </c>
      <c r="C32" s="53">
        <f t="shared" si="19"/>
        <v>2025</v>
      </c>
      <c r="D32" s="52">
        <f>+'Fisico ASIG'!B32</f>
        <v>45931</v>
      </c>
      <c r="E32" s="1">
        <v>31</v>
      </c>
      <c r="F32" s="1" t="s">
        <v>36</v>
      </c>
      <c r="G32" s="56">
        <f t="shared" si="30"/>
        <v>45938</v>
      </c>
      <c r="H32" s="17">
        <v>28</v>
      </c>
      <c r="I32" s="17">
        <f t="shared" si="20"/>
        <v>4.66042966042966</v>
      </c>
      <c r="J32" s="17">
        <f t="shared" si="21"/>
        <v>5.8474012474012467</v>
      </c>
      <c r="K32" s="17"/>
      <c r="L32" s="17">
        <v>27</v>
      </c>
      <c r="M32" s="17">
        <v>71.5</v>
      </c>
      <c r="N32" s="17">
        <f t="shared" si="22"/>
        <v>35.644185011610098</v>
      </c>
      <c r="O32" s="17">
        <v>30.912774821075999</v>
      </c>
      <c r="P32" s="18">
        <f>SUMPRODUCT(H32:O32,'Fisico ASIG'!F32:M32)*24</f>
        <v>7656990.8824379947</v>
      </c>
      <c r="Q32" s="43">
        <v>0</v>
      </c>
      <c r="R32" s="43">
        <f t="shared" si="23"/>
        <v>5340.3961746361747</v>
      </c>
      <c r="S32" s="43">
        <f t="shared" si="24"/>
        <v>1548.8565488565489</v>
      </c>
      <c r="T32" s="43"/>
      <c r="U32" s="43">
        <v>18000</v>
      </c>
      <c r="V32" s="20">
        <v>0</v>
      </c>
      <c r="W32" s="20">
        <v>21900</v>
      </c>
      <c r="X32" s="20">
        <v>0</v>
      </c>
      <c r="Y32" s="18">
        <f>SUMPRODUCT(Q32:X32,'Fisico ASIG'!O32:V32)/E32</f>
        <v>5521496.0540218633</v>
      </c>
      <c r="Z32" s="25">
        <f t="shared" si="25"/>
        <v>13178486.936459858</v>
      </c>
      <c r="AA32" s="26">
        <f>+Z32/'Fisico ASIG'!N32/24</f>
        <v>65.376972881578254</v>
      </c>
      <c r="AB32" s="26">
        <f t="shared" si="18"/>
        <v>15.806111696522654</v>
      </c>
      <c r="AC32" s="29">
        <f t="shared" si="26"/>
        <v>49.570861185055598</v>
      </c>
      <c r="AI32" s="1">
        <v>6725</v>
      </c>
      <c r="AJ32" s="1">
        <v>5351522</v>
      </c>
      <c r="AK32">
        <f t="shared" si="27"/>
        <v>1.44</v>
      </c>
      <c r="AL32" s="40">
        <f t="shared" si="28"/>
        <v>8437.7999999999993</v>
      </c>
      <c r="AM32">
        <v>2235000</v>
      </c>
      <c r="AN32" s="17">
        <v>33.769728348112501</v>
      </c>
      <c r="AO32" s="64">
        <f t="shared" si="29"/>
        <v>1.8744566634975939</v>
      </c>
    </row>
    <row r="33" spans="1:41" hidden="1" x14ac:dyDescent="0.3">
      <c r="A33" s="3">
        <v>1443</v>
      </c>
      <c r="B33" s="42">
        <v>1425.6669999999999</v>
      </c>
      <c r="C33" s="53">
        <f t="shared" si="19"/>
        <v>2025</v>
      </c>
      <c r="D33" s="52">
        <f>+'Fisico ASIG'!B33</f>
        <v>45931</v>
      </c>
      <c r="E33" s="1">
        <v>31</v>
      </c>
      <c r="F33" s="1" t="s">
        <v>37</v>
      </c>
      <c r="G33" s="56">
        <f t="shared" si="30"/>
        <v>45939</v>
      </c>
      <c r="H33" s="17">
        <v>28</v>
      </c>
      <c r="I33" s="17">
        <f t="shared" si="20"/>
        <v>4.66042966042966</v>
      </c>
      <c r="J33" s="17">
        <f t="shared" si="21"/>
        <v>5.8474012474012467</v>
      </c>
      <c r="K33" s="17"/>
      <c r="L33" s="17">
        <v>27</v>
      </c>
      <c r="M33" s="17">
        <v>71.5</v>
      </c>
      <c r="N33" s="17">
        <f t="shared" si="22"/>
        <v>35.633307371898489</v>
      </c>
      <c r="O33" s="17">
        <v>29.065080668340755</v>
      </c>
      <c r="P33" s="18">
        <f>SUMPRODUCT(H33:O33,'Fisico ASIG'!F33:M33)*24</f>
        <v>7325813.2786675058</v>
      </c>
      <c r="Q33" s="43">
        <v>0</v>
      </c>
      <c r="R33" s="43">
        <f t="shared" si="23"/>
        <v>5340.3961746361747</v>
      </c>
      <c r="S33" s="43">
        <f t="shared" si="24"/>
        <v>1548.8565488565489</v>
      </c>
      <c r="T33" s="43"/>
      <c r="U33" s="43">
        <v>18000</v>
      </c>
      <c r="V33" s="20">
        <v>0</v>
      </c>
      <c r="W33" s="20">
        <v>21900</v>
      </c>
      <c r="X33" s="20">
        <v>0</v>
      </c>
      <c r="Y33" s="18">
        <f>SUMPRODUCT(Q33:X33,'Fisico ASIG'!O33:V33)/E33</f>
        <v>5435440.6874104701</v>
      </c>
      <c r="Z33" s="25">
        <f t="shared" si="25"/>
        <v>12761253.966077976</v>
      </c>
      <c r="AA33" s="26">
        <f>+Z33/'Fisico ASIG'!N33/24</f>
        <v>63.346287415681076</v>
      </c>
      <c r="AB33" s="26">
        <f t="shared" si="18"/>
        <v>15.806111696522654</v>
      </c>
      <c r="AC33" s="29">
        <f t="shared" si="26"/>
        <v>47.54017571915842</v>
      </c>
      <c r="AI33" s="1">
        <v>6725</v>
      </c>
      <c r="AJ33" s="1">
        <v>5351522</v>
      </c>
      <c r="AK33">
        <f t="shared" si="27"/>
        <v>1.44</v>
      </c>
      <c r="AL33" s="40">
        <f t="shared" si="28"/>
        <v>8437.7999999999993</v>
      </c>
      <c r="AM33">
        <v>2235000</v>
      </c>
      <c r="AN33" s="17">
        <v>33.759538521684767</v>
      </c>
      <c r="AO33" s="64">
        <f t="shared" si="29"/>
        <v>1.873768850213722</v>
      </c>
    </row>
    <row r="34" spans="1:41" hidden="1" x14ac:dyDescent="0.3">
      <c r="A34" s="3">
        <v>1443</v>
      </c>
      <c r="B34" s="42">
        <v>1425.6669999999999</v>
      </c>
      <c r="C34" s="53">
        <f t="shared" si="19"/>
        <v>2025</v>
      </c>
      <c r="D34" s="52">
        <f>+'Fisico ASIG'!B34</f>
        <v>45931</v>
      </c>
      <c r="E34" s="1">
        <v>31</v>
      </c>
      <c r="F34" s="1" t="s">
        <v>38</v>
      </c>
      <c r="G34" s="56">
        <f t="shared" si="30"/>
        <v>45940</v>
      </c>
      <c r="H34" s="17">
        <v>28</v>
      </c>
      <c r="I34" s="17">
        <f t="shared" si="20"/>
        <v>4.66042966042966</v>
      </c>
      <c r="J34" s="17">
        <f t="shared" si="21"/>
        <v>5.8474012474012467</v>
      </c>
      <c r="K34" s="17"/>
      <c r="L34" s="17">
        <v>27</v>
      </c>
      <c r="M34" s="17">
        <v>71.5</v>
      </c>
      <c r="N34" s="17">
        <f t="shared" si="22"/>
        <v>36.522379958569836</v>
      </c>
      <c r="O34" s="17">
        <v>28.370983006213223</v>
      </c>
      <c r="P34" s="18">
        <f>SUMPRODUCT(H34:O34,'Fisico ASIG'!F34:M34)*24</f>
        <v>6268402.6833957164</v>
      </c>
      <c r="Q34" s="43">
        <v>0</v>
      </c>
      <c r="R34" s="43">
        <f t="shared" si="23"/>
        <v>5340.3961746361747</v>
      </c>
      <c r="S34" s="43">
        <f t="shared" si="24"/>
        <v>1548.8565488565489</v>
      </c>
      <c r="T34" s="43"/>
      <c r="U34" s="43">
        <v>18000</v>
      </c>
      <c r="V34" s="20">
        <v>0</v>
      </c>
      <c r="W34" s="20">
        <v>21900</v>
      </c>
      <c r="X34" s="20">
        <v>0</v>
      </c>
      <c r="Y34" s="18">
        <f>SUMPRODUCT(Q34:X34,'Fisico ASIG'!O34:V34)/E34</f>
        <v>5409615.9924802817</v>
      </c>
      <c r="Z34" s="25">
        <f t="shared" si="25"/>
        <v>11678018.675875999</v>
      </c>
      <c r="AA34" s="26">
        <f>+Z34/'Fisico ASIG'!N34/24</f>
        <v>63.163796122693476</v>
      </c>
      <c r="AB34" s="26">
        <f t="shared" si="18"/>
        <v>15.806111696522654</v>
      </c>
      <c r="AC34" s="29">
        <f t="shared" si="26"/>
        <v>47.35768442617082</v>
      </c>
      <c r="AI34" s="1">
        <v>6725</v>
      </c>
      <c r="AJ34" s="1">
        <v>5351522</v>
      </c>
      <c r="AK34">
        <f t="shared" si="27"/>
        <v>1.44</v>
      </c>
      <c r="AL34" s="40">
        <f t="shared" si="28"/>
        <v>8437.7999999999993</v>
      </c>
      <c r="AM34">
        <v>2235000</v>
      </c>
      <c r="AN34" s="17">
        <v>34.592393403812494</v>
      </c>
      <c r="AO34" s="64">
        <f t="shared" si="29"/>
        <v>1.9299865547573434</v>
      </c>
    </row>
    <row r="35" spans="1:41" hidden="1" x14ac:dyDescent="0.3">
      <c r="A35" s="3">
        <v>1443</v>
      </c>
      <c r="B35" s="42">
        <v>1425.6669999999999</v>
      </c>
      <c r="C35" s="53">
        <f t="shared" si="19"/>
        <v>2025</v>
      </c>
      <c r="D35" s="52">
        <f>+'Fisico ASIG'!B35</f>
        <v>45931</v>
      </c>
      <c r="E35" s="1">
        <v>31</v>
      </c>
      <c r="F35" s="1" t="s">
        <v>39</v>
      </c>
      <c r="G35" s="56">
        <f t="shared" si="30"/>
        <v>45941</v>
      </c>
      <c r="H35" s="17">
        <v>28</v>
      </c>
      <c r="I35" s="17">
        <f t="shared" si="20"/>
        <v>4.66042966042966</v>
      </c>
      <c r="J35" s="17">
        <f t="shared" si="21"/>
        <v>5.8474012474012467</v>
      </c>
      <c r="K35" s="17"/>
      <c r="L35" s="17">
        <v>27</v>
      </c>
      <c r="M35" s="17">
        <v>71.5</v>
      </c>
      <c r="N35" s="17">
        <f t="shared" si="22"/>
        <v>37.393913978564242</v>
      </c>
      <c r="O35" s="17">
        <v>28.043782461790791</v>
      </c>
      <c r="P35" s="18">
        <f>SUMPRODUCT(H35:O35,'Fisico ASIG'!F35:M35)*24</f>
        <v>6379318.3568593841</v>
      </c>
      <c r="Q35" s="43">
        <v>0</v>
      </c>
      <c r="R35" s="43">
        <f t="shared" si="23"/>
        <v>5340.3961746361747</v>
      </c>
      <c r="S35" s="43">
        <f t="shared" si="24"/>
        <v>1548.8565488565489</v>
      </c>
      <c r="T35" s="43"/>
      <c r="U35" s="43">
        <v>18000</v>
      </c>
      <c r="V35" s="20">
        <v>0</v>
      </c>
      <c r="W35" s="20">
        <v>21900</v>
      </c>
      <c r="X35" s="20">
        <v>0</v>
      </c>
      <c r="Y35" s="18">
        <f>SUMPRODUCT(Q35:X35,'Fisico ASIG'!O35:V35)/E35</f>
        <v>5447059.5378729468</v>
      </c>
      <c r="Z35" s="25">
        <f t="shared" si="25"/>
        <v>11826377.89473233</v>
      </c>
      <c r="AA35" s="26">
        <f>+Z35/'Fisico ASIG'!N35/24</f>
        <v>62.649775550192466</v>
      </c>
      <c r="AB35" s="26">
        <f t="shared" si="18"/>
        <v>15.806111696522654</v>
      </c>
      <c r="AC35" s="29">
        <f t="shared" si="26"/>
        <v>46.84366385366981</v>
      </c>
      <c r="AI35" s="1">
        <v>6725</v>
      </c>
      <c r="AJ35" s="1">
        <v>5351522</v>
      </c>
      <c r="AK35">
        <f t="shared" si="27"/>
        <v>1.44</v>
      </c>
      <c r="AL35" s="40">
        <f t="shared" si="28"/>
        <v>8437.7999999999993</v>
      </c>
      <c r="AM35">
        <v>2235000</v>
      </c>
      <c r="AN35" s="17">
        <v>35.408818715282663</v>
      </c>
      <c r="AO35" s="64">
        <f t="shared" si="29"/>
        <v>1.9850952632815799</v>
      </c>
    </row>
    <row r="36" spans="1:41" hidden="1" x14ac:dyDescent="0.3">
      <c r="A36" s="3">
        <v>1443</v>
      </c>
      <c r="B36" s="42">
        <v>1425.6669999999999</v>
      </c>
      <c r="C36" s="53">
        <f t="shared" si="19"/>
        <v>2025</v>
      </c>
      <c r="D36" s="52">
        <f>+'Fisico ASIG'!B36</f>
        <v>45931</v>
      </c>
      <c r="E36" s="1">
        <v>31</v>
      </c>
      <c r="F36" s="1" t="s">
        <v>40</v>
      </c>
      <c r="G36" s="56">
        <f t="shared" si="30"/>
        <v>45942</v>
      </c>
      <c r="H36" s="17">
        <v>28</v>
      </c>
      <c r="I36" s="17">
        <f t="shared" si="20"/>
        <v>4.66042966042966</v>
      </c>
      <c r="J36" s="17">
        <f t="shared" si="21"/>
        <v>5.8474012474012467</v>
      </c>
      <c r="K36" s="17"/>
      <c r="L36" s="17">
        <v>27</v>
      </c>
      <c r="M36" s="17">
        <v>71.5</v>
      </c>
      <c r="N36" s="17">
        <f t="shared" si="22"/>
        <v>36.798931971888535</v>
      </c>
      <c r="O36" s="17">
        <v>32.057297258607115</v>
      </c>
      <c r="P36" s="18">
        <f>SUMPRODUCT(H36:O36,'Fisico ASIG'!F36:M36)*24</f>
        <v>6917671.1801289115</v>
      </c>
      <c r="Q36" s="43">
        <v>0</v>
      </c>
      <c r="R36" s="43">
        <f t="shared" si="23"/>
        <v>5340.3961746361747</v>
      </c>
      <c r="S36" s="43">
        <f t="shared" si="24"/>
        <v>1548.8565488565489</v>
      </c>
      <c r="T36" s="43"/>
      <c r="U36" s="43">
        <v>18000</v>
      </c>
      <c r="V36" s="20">
        <v>0</v>
      </c>
      <c r="W36" s="20">
        <v>21900</v>
      </c>
      <c r="X36" s="20">
        <v>0</v>
      </c>
      <c r="Y36" s="18">
        <f>SUMPRODUCT(Q36:X36,'Fisico ASIG'!O36:V36)/E36</f>
        <v>5485644.0432371395</v>
      </c>
      <c r="Z36" s="25">
        <f t="shared" si="25"/>
        <v>12403315.223366052</v>
      </c>
      <c r="AA36" s="26">
        <f>+Z36/'Fisico ASIG'!N36/24</f>
        <v>68.841524512823995</v>
      </c>
      <c r="AB36" s="26">
        <f t="shared" si="18"/>
        <v>15.806111696522654</v>
      </c>
      <c r="AC36" s="29">
        <f t="shared" si="26"/>
        <v>53.035412816301339</v>
      </c>
      <c r="AI36" s="1">
        <v>6725</v>
      </c>
      <c r="AJ36" s="1">
        <v>5351522</v>
      </c>
      <c r="AK36">
        <f t="shared" si="27"/>
        <v>1.44</v>
      </c>
      <c r="AL36" s="40">
        <f t="shared" si="28"/>
        <v>8437.7999999999993</v>
      </c>
      <c r="AM36">
        <v>2235000</v>
      </c>
      <c r="AN36" s="17">
        <v>34.85145852167544</v>
      </c>
      <c r="AO36" s="64">
        <f t="shared" si="29"/>
        <v>1.9474734502130924</v>
      </c>
    </row>
    <row r="37" spans="1:41" hidden="1" x14ac:dyDescent="0.3">
      <c r="A37" s="3">
        <v>1443</v>
      </c>
      <c r="B37" s="42">
        <v>1429.75</v>
      </c>
      <c r="C37" s="53">
        <f t="shared" si="19"/>
        <v>2025</v>
      </c>
      <c r="D37" s="52">
        <f>+'Fisico ASIG'!B37</f>
        <v>45931</v>
      </c>
      <c r="E37" s="1">
        <v>31</v>
      </c>
      <c r="F37" s="1" t="s">
        <v>41</v>
      </c>
      <c r="G37" s="56">
        <f t="shared" si="30"/>
        <v>45943</v>
      </c>
      <c r="H37" s="17">
        <v>28</v>
      </c>
      <c r="I37" s="17">
        <f t="shared" si="20"/>
        <v>4.66042966042966</v>
      </c>
      <c r="J37" s="17">
        <f t="shared" si="21"/>
        <v>5.8474012474012467</v>
      </c>
      <c r="K37" s="17"/>
      <c r="L37" s="17">
        <v>27</v>
      </c>
      <c r="M37" s="17">
        <v>71.5</v>
      </c>
      <c r="N37" s="17">
        <f t="shared" si="22"/>
        <v>35.658401313683306</v>
      </c>
      <c r="O37" s="17">
        <v>28.206490508179261</v>
      </c>
      <c r="P37" s="18">
        <f>SUMPRODUCT(H37:O37,'Fisico ASIG'!F37:M37)*24</f>
        <v>7467515.0787874935</v>
      </c>
      <c r="Q37" s="43">
        <v>0</v>
      </c>
      <c r="R37" s="43">
        <f t="shared" si="23"/>
        <v>5340.3961746361747</v>
      </c>
      <c r="S37" s="43">
        <f t="shared" si="24"/>
        <v>1548.8565488565489</v>
      </c>
      <c r="T37" s="43"/>
      <c r="U37" s="43">
        <v>18000</v>
      </c>
      <c r="V37" s="20">
        <v>0</v>
      </c>
      <c r="W37" s="20">
        <v>21900</v>
      </c>
      <c r="X37" s="20">
        <v>0</v>
      </c>
      <c r="Y37" s="18">
        <f>SUMPRODUCT(Q37:X37,'Fisico ASIG'!O37:V37)/E37</f>
        <v>5416194.3780265916</v>
      </c>
      <c r="Z37" s="25">
        <f t="shared" si="25"/>
        <v>12883709.456814084</v>
      </c>
      <c r="AA37" s="26">
        <f>+Z37/'Fisico ASIG'!N37/24</f>
        <v>61.63375252540277</v>
      </c>
      <c r="AB37" s="26">
        <f t="shared" si="18"/>
        <v>15.806111696522654</v>
      </c>
      <c r="AC37" s="29">
        <f t="shared" si="26"/>
        <v>45.827640828880114</v>
      </c>
      <c r="AI37" s="1">
        <v>6725</v>
      </c>
      <c r="AJ37" s="1">
        <v>5351522</v>
      </c>
      <c r="AK37">
        <f t="shared" si="27"/>
        <v>1.44</v>
      </c>
      <c r="AL37" s="40">
        <f t="shared" si="28"/>
        <v>8437.7999999999993</v>
      </c>
      <c r="AM37">
        <v>2235000</v>
      </c>
      <c r="AN37" s="17">
        <v>33.783045727103797</v>
      </c>
      <c r="AO37" s="64">
        <f t="shared" si="29"/>
        <v>1.8753555865795064</v>
      </c>
    </row>
    <row r="38" spans="1:41" hidden="1" x14ac:dyDescent="0.3">
      <c r="A38" s="3">
        <v>1443</v>
      </c>
      <c r="B38" s="42">
        <v>1429.75</v>
      </c>
      <c r="C38" s="53">
        <f t="shared" si="19"/>
        <v>2025</v>
      </c>
      <c r="D38" s="52">
        <f>+'Fisico ASIG'!B38</f>
        <v>45931</v>
      </c>
      <c r="E38" s="1">
        <v>31</v>
      </c>
      <c r="F38" s="1" t="s">
        <v>42</v>
      </c>
      <c r="G38" s="56">
        <f t="shared" si="30"/>
        <v>45944</v>
      </c>
      <c r="H38" s="17">
        <v>28</v>
      </c>
      <c r="I38" s="17">
        <f t="shared" si="20"/>
        <v>4.66042966042966</v>
      </c>
      <c r="J38" s="17">
        <f t="shared" si="21"/>
        <v>5.8474012474012467</v>
      </c>
      <c r="K38" s="17"/>
      <c r="L38" s="17">
        <v>27</v>
      </c>
      <c r="M38" s="17">
        <v>71.5</v>
      </c>
      <c r="N38" s="17">
        <f t="shared" si="22"/>
        <v>38.506671170872607</v>
      </c>
      <c r="O38" s="17">
        <v>40.357183752800267</v>
      </c>
      <c r="P38" s="18">
        <f>SUMPRODUCT(H38:O38,'Fisico ASIG'!F38:M38)*24</f>
        <v>7071729.4005617164</v>
      </c>
      <c r="Q38" s="43">
        <v>0</v>
      </c>
      <c r="R38" s="43">
        <f t="shared" si="23"/>
        <v>5340.3961746361747</v>
      </c>
      <c r="S38" s="43">
        <f t="shared" si="24"/>
        <v>1548.8565488565489</v>
      </c>
      <c r="T38" s="43"/>
      <c r="U38" s="43">
        <v>18000</v>
      </c>
      <c r="V38" s="20">
        <v>0</v>
      </c>
      <c r="W38" s="20">
        <v>21900</v>
      </c>
      <c r="X38" s="20">
        <v>0</v>
      </c>
      <c r="Y38" s="18">
        <f>SUMPRODUCT(Q38:X38,'Fisico ASIG'!O38:V38)/E38</f>
        <v>5386815.4460795363</v>
      </c>
      <c r="Z38" s="25">
        <f t="shared" si="25"/>
        <v>12458544.846641254</v>
      </c>
      <c r="AA38" s="26">
        <f>+Z38/'Fisico ASIG'!N38/24</f>
        <v>60.126667355040979</v>
      </c>
      <c r="AB38" s="26">
        <f t="shared" si="18"/>
        <v>15.806111696522654</v>
      </c>
      <c r="AC38" s="29">
        <f t="shared" si="26"/>
        <v>44.320555658518323</v>
      </c>
      <c r="AI38" s="1">
        <v>6725</v>
      </c>
      <c r="AJ38" s="1">
        <v>5351522</v>
      </c>
      <c r="AK38">
        <f t="shared" si="27"/>
        <v>1.44</v>
      </c>
      <c r="AL38" s="40">
        <f t="shared" si="28"/>
        <v>8437.7999999999993</v>
      </c>
      <c r="AM38">
        <v>2235000</v>
      </c>
      <c r="AN38" s="17">
        <v>36.451214211590262</v>
      </c>
      <c r="AO38" s="64">
        <f t="shared" si="29"/>
        <v>2.0554569592823428</v>
      </c>
    </row>
    <row r="39" spans="1:41" hidden="1" x14ac:dyDescent="0.3">
      <c r="A39" s="3">
        <v>1443</v>
      </c>
      <c r="B39" s="42">
        <v>1429.75</v>
      </c>
      <c r="C39" s="53">
        <f t="shared" si="19"/>
        <v>2025</v>
      </c>
      <c r="D39" s="52">
        <f>+'Fisico ASIG'!B39</f>
        <v>45931</v>
      </c>
      <c r="E39" s="1">
        <v>31</v>
      </c>
      <c r="F39" s="1" t="s">
        <v>36</v>
      </c>
      <c r="G39" s="56">
        <f t="shared" si="30"/>
        <v>45945</v>
      </c>
      <c r="H39" s="17">
        <v>28</v>
      </c>
      <c r="I39" s="17">
        <f t="shared" si="20"/>
        <v>4.66042966042966</v>
      </c>
      <c r="J39" s="17">
        <f t="shared" si="21"/>
        <v>5.8474012474012467</v>
      </c>
      <c r="K39" s="17"/>
      <c r="L39" s="17">
        <v>27</v>
      </c>
      <c r="M39" s="17">
        <v>71.5</v>
      </c>
      <c r="N39" s="17">
        <f t="shared" si="22"/>
        <v>38.152581861196758</v>
      </c>
      <c r="O39" s="17">
        <v>42.463854302366684</v>
      </c>
      <c r="P39" s="18">
        <f>SUMPRODUCT(H39:O39,'Fisico ASIG'!F39:M39)*24</f>
        <v>7589752.3161388915</v>
      </c>
      <c r="Q39" s="43">
        <v>0</v>
      </c>
      <c r="R39" s="43">
        <f t="shared" si="23"/>
        <v>5340.3961746361747</v>
      </c>
      <c r="S39" s="43">
        <f t="shared" si="24"/>
        <v>1548.8565488565489</v>
      </c>
      <c r="T39" s="43"/>
      <c r="U39" s="43">
        <v>18000</v>
      </c>
      <c r="V39" s="20">
        <v>0</v>
      </c>
      <c r="W39" s="20">
        <v>21900</v>
      </c>
      <c r="X39" s="20">
        <v>0</v>
      </c>
      <c r="Y39" s="18">
        <f>SUMPRODUCT(Q39:X39,'Fisico ASIG'!O39:V39)/E39</f>
        <v>5331728.2484384654</v>
      </c>
      <c r="Z39" s="25">
        <f t="shared" si="25"/>
        <v>12921480.564577356</v>
      </c>
      <c r="AA39" s="26">
        <f>+Z39/'Fisico ASIG'!N39/24</f>
        <v>60.412775000870255</v>
      </c>
      <c r="AB39" s="26">
        <f t="shared" si="18"/>
        <v>15.806111696522654</v>
      </c>
      <c r="AC39" s="29">
        <f t="shared" si="26"/>
        <v>44.606663304347599</v>
      </c>
      <c r="AI39" s="1">
        <v>6725</v>
      </c>
      <c r="AJ39" s="1">
        <v>5351522</v>
      </c>
      <c r="AK39">
        <f t="shared" si="27"/>
        <v>1.44</v>
      </c>
      <c r="AL39" s="40">
        <f t="shared" si="28"/>
        <v>8437.7999999999993</v>
      </c>
      <c r="AM39">
        <v>2235000</v>
      </c>
      <c r="AN39" s="17">
        <v>36.119514624071904</v>
      </c>
      <c r="AO39" s="64">
        <f t="shared" si="29"/>
        <v>2.0330672371248535</v>
      </c>
    </row>
    <row r="40" spans="1:41" hidden="1" x14ac:dyDescent="0.3">
      <c r="A40" s="3">
        <v>1443</v>
      </c>
      <c r="B40" s="42">
        <v>1429.75</v>
      </c>
      <c r="C40" s="53">
        <f t="shared" si="19"/>
        <v>2025</v>
      </c>
      <c r="D40" s="52">
        <f>+'Fisico ASIG'!B40</f>
        <v>45931</v>
      </c>
      <c r="E40" s="1">
        <v>31</v>
      </c>
      <c r="F40" s="1" t="s">
        <v>37</v>
      </c>
      <c r="G40" s="56">
        <f t="shared" si="30"/>
        <v>45946</v>
      </c>
      <c r="H40" s="17">
        <v>28</v>
      </c>
      <c r="I40" s="17">
        <f t="shared" si="20"/>
        <v>4.66042966042966</v>
      </c>
      <c r="J40" s="17">
        <f t="shared" si="21"/>
        <v>5.8474012474012467</v>
      </c>
      <c r="K40" s="17"/>
      <c r="L40" s="17">
        <v>27</v>
      </c>
      <c r="M40" s="17">
        <v>71.5</v>
      </c>
      <c r="N40" s="17">
        <f t="shared" si="22"/>
        <v>37.936493702844096</v>
      </c>
      <c r="O40" s="17">
        <v>82.750689472468636</v>
      </c>
      <c r="P40" s="18">
        <f>SUMPRODUCT(H40:O40,'Fisico ASIG'!F40:M40)*24</f>
        <v>7322812.1478001084</v>
      </c>
      <c r="Q40" s="43">
        <v>0</v>
      </c>
      <c r="R40" s="43">
        <f t="shared" si="23"/>
        <v>5340.3961746361747</v>
      </c>
      <c r="S40" s="43">
        <f t="shared" si="24"/>
        <v>1548.8565488565489</v>
      </c>
      <c r="T40" s="43"/>
      <c r="U40" s="43">
        <v>18000</v>
      </c>
      <c r="V40" s="20">
        <v>0</v>
      </c>
      <c r="W40" s="20">
        <v>21900</v>
      </c>
      <c r="X40" s="20">
        <v>0</v>
      </c>
      <c r="Y40" s="18">
        <f>SUMPRODUCT(Q40:X40,'Fisico ASIG'!O40:V40)/E40</f>
        <v>5243604.7991878465</v>
      </c>
      <c r="Z40" s="25">
        <f t="shared" si="25"/>
        <v>12566416.946987955</v>
      </c>
      <c r="AA40" s="26">
        <f>+Z40/'Fisico ASIG'!N40/24</f>
        <v>57.279802281149898</v>
      </c>
      <c r="AB40" s="26">
        <f t="shared" si="18"/>
        <v>15.806111696522654</v>
      </c>
      <c r="AC40" s="29">
        <f t="shared" si="26"/>
        <v>41.473690584627242</v>
      </c>
      <c r="AI40" s="1">
        <v>6725</v>
      </c>
      <c r="AJ40" s="1">
        <v>5351522</v>
      </c>
      <c r="AK40">
        <f t="shared" si="27"/>
        <v>1.44</v>
      </c>
      <c r="AL40" s="40">
        <f t="shared" si="28"/>
        <v>8437.7999999999993</v>
      </c>
      <c r="AM40">
        <v>2235000</v>
      </c>
      <c r="AN40" s="17">
        <v>35.917090119760275</v>
      </c>
      <c r="AO40" s="64">
        <f t="shared" si="29"/>
        <v>2.0194035830838186</v>
      </c>
    </row>
    <row r="41" spans="1:41" hidden="1" x14ac:dyDescent="0.3">
      <c r="A41" s="3">
        <v>1443</v>
      </c>
      <c r="B41" s="42">
        <v>1429.75</v>
      </c>
      <c r="C41" s="53">
        <f t="shared" si="19"/>
        <v>2025</v>
      </c>
      <c r="D41" s="52">
        <f>+'Fisico ASIG'!B41</f>
        <v>45931</v>
      </c>
      <c r="E41" s="1">
        <v>31</v>
      </c>
      <c r="F41" s="1" t="s">
        <v>38</v>
      </c>
      <c r="G41" s="56">
        <f t="shared" si="30"/>
        <v>45947</v>
      </c>
      <c r="H41" s="17">
        <v>28</v>
      </c>
      <c r="I41" s="17">
        <f t="shared" si="20"/>
        <v>4.66042966042966</v>
      </c>
      <c r="J41" s="17">
        <f t="shared" si="21"/>
        <v>5.8474012474012467</v>
      </c>
      <c r="K41" s="17"/>
      <c r="L41" s="17">
        <v>27</v>
      </c>
      <c r="M41" s="17">
        <v>71.5</v>
      </c>
      <c r="N41" s="17">
        <f t="shared" si="22"/>
        <v>36.458904216920494</v>
      </c>
      <c r="O41" s="17">
        <v>55.796344882926263</v>
      </c>
      <c r="P41" s="18">
        <f>SUMPRODUCT(H41:O41,'Fisico ASIG'!F41:M41)*24</f>
        <v>6841408.4674022496</v>
      </c>
      <c r="Q41" s="43">
        <v>0</v>
      </c>
      <c r="R41" s="43">
        <f t="shared" si="23"/>
        <v>5340.3961746361747</v>
      </c>
      <c r="S41" s="43">
        <f t="shared" si="24"/>
        <v>1548.8565488565489</v>
      </c>
      <c r="T41" s="43"/>
      <c r="U41" s="43">
        <v>18000</v>
      </c>
      <c r="V41" s="20">
        <v>0</v>
      </c>
      <c r="W41" s="20">
        <v>21900</v>
      </c>
      <c r="X41" s="20">
        <v>0</v>
      </c>
      <c r="Y41" s="18">
        <f>SUMPRODUCT(Q41:X41,'Fisico ASIG'!O41:V41)/E41</f>
        <v>5268039.8766642716</v>
      </c>
      <c r="Z41" s="25">
        <f t="shared" si="25"/>
        <v>12109448.344066521</v>
      </c>
      <c r="AA41" s="26">
        <f>+Z41/'Fisico ASIG'!N41/24</f>
        <v>57.831011633524561</v>
      </c>
      <c r="AB41" s="26">
        <f t="shared" si="18"/>
        <v>15.806111696522654</v>
      </c>
      <c r="AC41" s="29">
        <f t="shared" si="26"/>
        <v>42.024899937001905</v>
      </c>
      <c r="AI41" s="1">
        <v>6725</v>
      </c>
      <c r="AJ41" s="1">
        <v>5351522</v>
      </c>
      <c r="AK41">
        <f t="shared" si="27"/>
        <v>1.44</v>
      </c>
      <c r="AL41" s="40">
        <f t="shared" si="28"/>
        <v>8437.7999999999993</v>
      </c>
      <c r="AM41">
        <v>2235000</v>
      </c>
      <c r="AN41" s="17">
        <v>34.532931350745194</v>
      </c>
      <c r="AO41" s="64">
        <f t="shared" si="29"/>
        <v>1.9259728661753008</v>
      </c>
    </row>
    <row r="42" spans="1:41" hidden="1" x14ac:dyDescent="0.3">
      <c r="A42" s="3">
        <v>1443</v>
      </c>
      <c r="B42" s="42">
        <v>1429.75</v>
      </c>
      <c r="C42" s="53">
        <f t="shared" si="19"/>
        <v>2025</v>
      </c>
      <c r="D42" s="52">
        <f>+'Fisico ASIG'!B42</f>
        <v>45931</v>
      </c>
      <c r="E42" s="1">
        <v>31</v>
      </c>
      <c r="F42" s="1" t="s">
        <v>39</v>
      </c>
      <c r="G42" s="56">
        <f t="shared" si="30"/>
        <v>45948</v>
      </c>
      <c r="H42" s="17">
        <v>28</v>
      </c>
      <c r="I42" s="17">
        <f t="shared" si="20"/>
        <v>4.66042966042966</v>
      </c>
      <c r="J42" s="17">
        <f t="shared" si="21"/>
        <v>5.8474012474012467</v>
      </c>
      <c r="K42" s="17"/>
      <c r="L42" s="17">
        <v>27</v>
      </c>
      <c r="M42" s="17">
        <v>71.5</v>
      </c>
      <c r="N42" s="17">
        <f t="shared" si="22"/>
        <v>35.258964097772292</v>
      </c>
      <c r="O42" s="17">
        <v>42.231903229784422</v>
      </c>
      <c r="P42" s="18">
        <f>SUMPRODUCT(H42:O42,'Fisico ASIG'!F42:M42)*24</f>
        <v>6542188.8477903614</v>
      </c>
      <c r="Q42" s="43">
        <v>0</v>
      </c>
      <c r="R42" s="43">
        <f t="shared" si="23"/>
        <v>5340.3961746361747</v>
      </c>
      <c r="S42" s="43">
        <f t="shared" si="24"/>
        <v>1548.8565488565489</v>
      </c>
      <c r="T42" s="43"/>
      <c r="U42" s="43">
        <v>18000</v>
      </c>
      <c r="V42" s="20">
        <v>0</v>
      </c>
      <c r="W42" s="20">
        <v>21900</v>
      </c>
      <c r="X42" s="20">
        <v>0</v>
      </c>
      <c r="Y42" s="18">
        <f>SUMPRODUCT(Q42:X42,'Fisico ASIG'!O42:V42)/E42</f>
        <v>5272886.6620504139</v>
      </c>
      <c r="Z42" s="25">
        <f t="shared" si="25"/>
        <v>11815075.509840775</v>
      </c>
      <c r="AA42" s="26">
        <f>+Z42/'Fisico ASIG'!N42/24</f>
        <v>62.391547245303933</v>
      </c>
      <c r="AB42" s="26">
        <f t="shared" si="18"/>
        <v>15.806111696522654</v>
      </c>
      <c r="AC42" s="29">
        <f t="shared" si="26"/>
        <v>46.585435548781277</v>
      </c>
      <c r="AI42" s="1">
        <v>6725</v>
      </c>
      <c r="AJ42" s="1">
        <v>5351522</v>
      </c>
      <c r="AK42">
        <f t="shared" si="27"/>
        <v>1.44</v>
      </c>
      <c r="AL42" s="40">
        <f t="shared" si="28"/>
        <v>8437.7999999999993</v>
      </c>
      <c r="AM42">
        <v>2235000</v>
      </c>
      <c r="AN42" s="17">
        <v>33.408865665360459</v>
      </c>
      <c r="AO42" s="64">
        <f t="shared" si="29"/>
        <v>1.850098432411831</v>
      </c>
    </row>
    <row r="43" spans="1:41" hidden="1" x14ac:dyDescent="0.3">
      <c r="A43" s="3">
        <v>1443</v>
      </c>
      <c r="B43" s="42">
        <v>1429.75</v>
      </c>
      <c r="C43" s="53">
        <f t="shared" si="19"/>
        <v>2025</v>
      </c>
      <c r="D43" s="52">
        <f>+'Fisico ASIG'!B43</f>
        <v>45931</v>
      </c>
      <c r="E43" s="1">
        <v>31</v>
      </c>
      <c r="F43" s="1" t="s">
        <v>40</v>
      </c>
      <c r="G43" s="56">
        <f t="shared" si="30"/>
        <v>45949</v>
      </c>
      <c r="H43" s="17">
        <v>28</v>
      </c>
      <c r="I43" s="17">
        <f t="shared" si="20"/>
        <v>4.66042966042966</v>
      </c>
      <c r="J43" s="17">
        <f t="shared" si="21"/>
        <v>5.8474012474012467</v>
      </c>
      <c r="K43" s="17"/>
      <c r="L43" s="17">
        <v>27</v>
      </c>
      <c r="M43" s="17">
        <v>71.5</v>
      </c>
      <c r="N43" s="17">
        <f t="shared" si="22"/>
        <v>35.101404405048129</v>
      </c>
      <c r="O43" s="17">
        <v>56.517919018223687</v>
      </c>
      <c r="P43" s="18">
        <f>SUMPRODUCT(H43:O43,'Fisico ASIG'!F43:M43)*24</f>
        <v>7036026.7522964794</v>
      </c>
      <c r="Q43" s="43">
        <v>0</v>
      </c>
      <c r="R43" s="43">
        <f t="shared" si="23"/>
        <v>5340.3961746361747</v>
      </c>
      <c r="S43" s="43">
        <f t="shared" si="24"/>
        <v>1548.8565488565489</v>
      </c>
      <c r="T43" s="43"/>
      <c r="U43" s="43">
        <v>18000</v>
      </c>
      <c r="V43" s="20">
        <v>0</v>
      </c>
      <c r="W43" s="20">
        <v>21900</v>
      </c>
      <c r="X43" s="20">
        <v>0</v>
      </c>
      <c r="Y43" s="18">
        <f>SUMPRODUCT(Q43:X43,'Fisico ASIG'!O43:V43)/E43</f>
        <v>5234745.9110370856</v>
      </c>
      <c r="Z43" s="25">
        <f t="shared" si="25"/>
        <v>12270772.663333565</v>
      </c>
      <c r="AA43" s="26">
        <f>+Z43/'Fisico ASIG'!N43/24</f>
        <v>68.164926644733967</v>
      </c>
      <c r="AB43" s="26">
        <f t="shared" si="18"/>
        <v>15.806111696522654</v>
      </c>
      <c r="AC43" s="29">
        <f t="shared" si="26"/>
        <v>52.358814948211311</v>
      </c>
      <c r="AI43" s="1">
        <v>6725</v>
      </c>
      <c r="AJ43" s="1">
        <v>5351522</v>
      </c>
      <c r="AK43">
        <f t="shared" si="27"/>
        <v>1.44</v>
      </c>
      <c r="AL43" s="40">
        <f t="shared" si="28"/>
        <v>8437.7999999999993</v>
      </c>
      <c r="AM43">
        <v>2235000</v>
      </c>
      <c r="AN43" s="17">
        <v>33.261268763511126</v>
      </c>
      <c r="AO43" s="64">
        <f t="shared" si="29"/>
        <v>1.8401356415370012</v>
      </c>
    </row>
    <row r="44" spans="1:41" hidden="1" x14ac:dyDescent="0.3">
      <c r="A44" s="3">
        <v>1443</v>
      </c>
      <c r="B44" s="42">
        <v>1429.75</v>
      </c>
      <c r="C44" s="53">
        <f t="shared" si="19"/>
        <v>2025</v>
      </c>
      <c r="D44" s="52">
        <f>+'Fisico ASIG'!B44</f>
        <v>45931</v>
      </c>
      <c r="E44" s="1">
        <v>31</v>
      </c>
      <c r="F44" s="1" t="s">
        <v>41</v>
      </c>
      <c r="G44" s="56">
        <f t="shared" si="30"/>
        <v>45950</v>
      </c>
      <c r="H44" s="17">
        <v>28</v>
      </c>
      <c r="I44" s="17">
        <f t="shared" si="20"/>
        <v>4.66042966042966</v>
      </c>
      <c r="J44" s="17">
        <f t="shared" si="21"/>
        <v>5.8474012474012467</v>
      </c>
      <c r="K44" s="17"/>
      <c r="L44" s="17">
        <v>27</v>
      </c>
      <c r="M44" s="17">
        <v>71.5</v>
      </c>
      <c r="N44" s="17">
        <f t="shared" si="22"/>
        <v>35.206894437970639</v>
      </c>
      <c r="O44" s="17">
        <v>57.456055583417935</v>
      </c>
      <c r="P44" s="18">
        <f>SUMPRODUCT(H44:O44,'Fisico ASIG'!F44:M44)*24</f>
        <v>7427498.3590770056</v>
      </c>
      <c r="Q44" s="43">
        <v>0</v>
      </c>
      <c r="R44" s="43">
        <f t="shared" si="23"/>
        <v>5340.3961746361747</v>
      </c>
      <c r="S44" s="43">
        <f t="shared" si="24"/>
        <v>1548.8565488565489</v>
      </c>
      <c r="T44" s="43"/>
      <c r="U44" s="43">
        <v>18000</v>
      </c>
      <c r="V44" s="20">
        <v>0</v>
      </c>
      <c r="W44" s="20">
        <v>21900</v>
      </c>
      <c r="X44" s="20">
        <v>0</v>
      </c>
      <c r="Y44" s="18">
        <f>SUMPRODUCT(Q44:X44,'Fisico ASIG'!O44:V44)/E44</f>
        <v>5233045.792943866</v>
      </c>
      <c r="Z44" s="25">
        <f t="shared" si="25"/>
        <v>12660544.152020872</v>
      </c>
      <c r="AA44" s="26">
        <f>+Z44/'Fisico ASIG'!N44/24</f>
        <v>64.827626995413297</v>
      </c>
      <c r="AB44" s="26">
        <f t="shared" si="18"/>
        <v>15.806111696522654</v>
      </c>
      <c r="AC44" s="29">
        <f t="shared" si="26"/>
        <v>49.021515298890641</v>
      </c>
      <c r="AI44" s="1">
        <v>6725</v>
      </c>
      <c r="AJ44" s="1">
        <v>5351522</v>
      </c>
      <c r="AK44">
        <f t="shared" si="27"/>
        <v>1.44</v>
      </c>
      <c r="AL44" s="40">
        <f t="shared" si="28"/>
        <v>8437.7999999999993</v>
      </c>
      <c r="AM44">
        <v>2235000</v>
      </c>
      <c r="AN44" s="17">
        <v>33.360088466483035</v>
      </c>
      <c r="AO44" s="64">
        <f t="shared" si="29"/>
        <v>1.8468059714876051</v>
      </c>
    </row>
    <row r="45" spans="1:41" hidden="1" x14ac:dyDescent="0.3">
      <c r="A45" s="3">
        <v>1443</v>
      </c>
      <c r="B45" s="42">
        <v>1429.75</v>
      </c>
      <c r="C45" s="53">
        <f t="shared" si="19"/>
        <v>2025</v>
      </c>
      <c r="D45" s="52">
        <f>+'Fisico ASIG'!B45</f>
        <v>45931</v>
      </c>
      <c r="E45" s="1">
        <v>31</v>
      </c>
      <c r="F45" s="1" t="s">
        <v>42</v>
      </c>
      <c r="G45" s="56">
        <f t="shared" si="30"/>
        <v>45951</v>
      </c>
      <c r="H45" s="17">
        <v>28</v>
      </c>
      <c r="I45" s="17">
        <f t="shared" si="20"/>
        <v>4.66042966042966</v>
      </c>
      <c r="J45" s="17">
        <f t="shared" si="21"/>
        <v>5.8474012474012467</v>
      </c>
      <c r="K45" s="17"/>
      <c r="L45" s="17">
        <v>27</v>
      </c>
      <c r="M45" s="17">
        <v>71.5</v>
      </c>
      <c r="N45" s="17">
        <f t="shared" si="22"/>
        <v>35.355513511088418</v>
      </c>
      <c r="O45" s="17">
        <v>55.900449426603529</v>
      </c>
      <c r="P45" s="18">
        <f>SUMPRODUCT(H45:O45,'Fisico ASIG'!F45:M45)*24</f>
        <v>7510837.9735623021</v>
      </c>
      <c r="Q45" s="43">
        <v>0</v>
      </c>
      <c r="R45" s="43">
        <f t="shared" si="23"/>
        <v>5340.3961746361747</v>
      </c>
      <c r="S45" s="43">
        <f t="shared" si="24"/>
        <v>1548.8565488565489</v>
      </c>
      <c r="T45" s="43"/>
      <c r="U45" s="43">
        <v>18000</v>
      </c>
      <c r="V45" s="20">
        <v>0</v>
      </c>
      <c r="W45" s="20">
        <v>21900</v>
      </c>
      <c r="X45" s="20">
        <v>0</v>
      </c>
      <c r="Y45" s="18">
        <f>SUMPRODUCT(Q45:X45,'Fisico ASIG'!O45:V45)/E45</f>
        <v>5176237.3293161066</v>
      </c>
      <c r="Z45" s="25">
        <f t="shared" si="25"/>
        <v>12687075.30287841</v>
      </c>
      <c r="AA45" s="26">
        <f>+Z45/'Fisico ASIG'!N45/24</f>
        <v>58.217225422960439</v>
      </c>
      <c r="AB45" s="26">
        <f t="shared" si="18"/>
        <v>15.806111696522654</v>
      </c>
      <c r="AC45" s="29">
        <f t="shared" si="26"/>
        <v>42.411113726437783</v>
      </c>
      <c r="AI45" s="1">
        <v>6725</v>
      </c>
      <c r="AJ45" s="1">
        <v>5351522</v>
      </c>
      <c r="AK45">
        <f t="shared" si="27"/>
        <v>1.44</v>
      </c>
      <c r="AL45" s="40">
        <f t="shared" si="28"/>
        <v>8437.7999999999993</v>
      </c>
      <c r="AM45">
        <v>2235000</v>
      </c>
      <c r="AN45" s="17">
        <v>33.499310080644889</v>
      </c>
      <c r="AO45" s="64">
        <f t="shared" si="29"/>
        <v>1.8562034304435302</v>
      </c>
    </row>
    <row r="46" spans="1:41" hidden="1" x14ac:dyDescent="0.3">
      <c r="A46" s="3">
        <v>1443</v>
      </c>
      <c r="B46" s="42">
        <v>1429.75</v>
      </c>
      <c r="C46" s="53">
        <f t="shared" si="19"/>
        <v>2025</v>
      </c>
      <c r="D46" s="52">
        <f>+'Fisico ASIG'!B46</f>
        <v>45931</v>
      </c>
      <c r="E46" s="1">
        <v>31</v>
      </c>
      <c r="F46" s="1" t="s">
        <v>36</v>
      </c>
      <c r="G46" s="56">
        <f t="shared" si="30"/>
        <v>45952</v>
      </c>
      <c r="H46" s="17">
        <v>28</v>
      </c>
      <c r="I46" s="17">
        <f t="shared" si="20"/>
        <v>4.66042966042966</v>
      </c>
      <c r="J46" s="17">
        <f t="shared" si="21"/>
        <v>5.8474012474012467</v>
      </c>
      <c r="K46" s="17"/>
      <c r="L46" s="17">
        <v>27</v>
      </c>
      <c r="M46" s="17">
        <v>71.5</v>
      </c>
      <c r="N46" s="17">
        <f t="shared" si="22"/>
        <v>34.728752056090038</v>
      </c>
      <c r="O46" s="17">
        <v>69.931961586119797</v>
      </c>
      <c r="P46" s="18">
        <f>SUMPRODUCT(H46:O46,'Fisico ASIG'!F46:M46)*24</f>
        <v>7863580.4464738313</v>
      </c>
      <c r="Q46" s="43">
        <v>0</v>
      </c>
      <c r="R46" s="43">
        <f t="shared" si="23"/>
        <v>5340.3961746361747</v>
      </c>
      <c r="S46" s="43">
        <f t="shared" si="24"/>
        <v>1548.8565488565489</v>
      </c>
      <c r="T46" s="43"/>
      <c r="U46" s="43">
        <v>18000</v>
      </c>
      <c r="V46" s="20">
        <v>0</v>
      </c>
      <c r="W46" s="20">
        <v>21900</v>
      </c>
      <c r="X46" s="20">
        <v>0</v>
      </c>
      <c r="Y46" s="18">
        <f>SUMPRODUCT(Q46:X46,'Fisico ASIG'!O46:V46)/E46</f>
        <v>5299086.2566549862</v>
      </c>
      <c r="Z46" s="25">
        <f t="shared" si="25"/>
        <v>13162666.703128818</v>
      </c>
      <c r="AA46" s="26">
        <f>+Z46/'Fisico ASIG'!N46/24</f>
        <v>58.885816718928595</v>
      </c>
      <c r="AB46" s="26">
        <f t="shared" si="18"/>
        <v>15.806111696522654</v>
      </c>
      <c r="AC46" s="29">
        <f t="shared" si="26"/>
        <v>43.079705022405939</v>
      </c>
      <c r="AI46" s="1">
        <v>6725</v>
      </c>
      <c r="AJ46" s="1">
        <v>5351522</v>
      </c>
      <c r="AK46">
        <f t="shared" si="27"/>
        <v>1.44</v>
      </c>
      <c r="AL46" s="40">
        <f t="shared" si="28"/>
        <v>8437.7999999999993</v>
      </c>
      <c r="AM46">
        <v>2235000</v>
      </c>
      <c r="AN46" s="17">
        <v>32.912179912028137</v>
      </c>
      <c r="AO46" s="64">
        <f t="shared" si="29"/>
        <v>1.8165721440618994</v>
      </c>
    </row>
    <row r="47" spans="1:41" hidden="1" x14ac:dyDescent="0.3">
      <c r="A47" s="3">
        <v>1443</v>
      </c>
      <c r="B47" s="42">
        <v>1429.75</v>
      </c>
      <c r="C47" s="53">
        <f t="shared" si="19"/>
        <v>2025</v>
      </c>
      <c r="D47" s="52">
        <f>+'Fisico ASIG'!B47</f>
        <v>45931</v>
      </c>
      <c r="E47" s="1">
        <v>31</v>
      </c>
      <c r="F47" s="1" t="s">
        <v>37</v>
      </c>
      <c r="G47" s="56">
        <f t="shared" si="30"/>
        <v>45953</v>
      </c>
      <c r="H47" s="17">
        <v>28</v>
      </c>
      <c r="I47" s="17">
        <f t="shared" si="20"/>
        <v>4.66042966042966</v>
      </c>
      <c r="J47" s="17">
        <f t="shared" si="21"/>
        <v>5.8474012474012467</v>
      </c>
      <c r="K47" s="17"/>
      <c r="L47" s="17">
        <v>27</v>
      </c>
      <c r="M47" s="17">
        <v>71.5</v>
      </c>
      <c r="N47" s="17">
        <f t="shared" si="22"/>
        <v>35.596279003255098</v>
      </c>
      <c r="O47" s="17">
        <v>37.629111310733933</v>
      </c>
      <c r="P47" s="18">
        <f>SUMPRODUCT(H47:O47,'Fisico ASIG'!F47:M47)*24</f>
        <v>7562717.9523809552</v>
      </c>
      <c r="Q47" s="43">
        <v>0</v>
      </c>
      <c r="R47" s="43">
        <f t="shared" si="23"/>
        <v>5340.3961746361747</v>
      </c>
      <c r="S47" s="43">
        <f t="shared" si="24"/>
        <v>1548.8565488565489</v>
      </c>
      <c r="T47" s="43"/>
      <c r="U47" s="43">
        <v>18000</v>
      </c>
      <c r="V47" s="20">
        <v>0</v>
      </c>
      <c r="W47" s="20">
        <v>21900</v>
      </c>
      <c r="X47" s="20">
        <v>0</v>
      </c>
      <c r="Y47" s="18">
        <f>SUMPRODUCT(Q47:X47,'Fisico ASIG'!O47:V47)/E47</f>
        <v>5218817.2251739856</v>
      </c>
      <c r="Z47" s="25">
        <f t="shared" si="25"/>
        <v>12781535.177554941</v>
      </c>
      <c r="AA47" s="26">
        <f>+Z47/'Fisico ASIG'!N47/24</f>
        <v>54.055885370097883</v>
      </c>
      <c r="AB47" s="26">
        <f t="shared" si="18"/>
        <v>15.806111696522654</v>
      </c>
      <c r="AC47" s="29">
        <f t="shared" si="26"/>
        <v>38.249773673575227</v>
      </c>
      <c r="AI47" s="1">
        <v>6725</v>
      </c>
      <c r="AJ47" s="1">
        <v>5351522</v>
      </c>
      <c r="AK47">
        <f t="shared" si="27"/>
        <v>1.44</v>
      </c>
      <c r="AL47" s="40">
        <f t="shared" si="28"/>
        <v>8437.7999999999993</v>
      </c>
      <c r="AM47">
        <v>2235000</v>
      </c>
      <c r="AN47" s="17">
        <v>33.724851525297517</v>
      </c>
      <c r="AO47" s="64">
        <f t="shared" si="29"/>
        <v>1.8714274779575826</v>
      </c>
    </row>
    <row r="48" spans="1:41" hidden="1" x14ac:dyDescent="0.3">
      <c r="A48" s="3">
        <v>1443</v>
      </c>
      <c r="B48" s="42">
        <v>1429.75</v>
      </c>
      <c r="C48" s="53">
        <f t="shared" si="19"/>
        <v>2025</v>
      </c>
      <c r="D48" s="52">
        <f>+'Fisico ASIG'!B48</f>
        <v>45931</v>
      </c>
      <c r="E48" s="1">
        <v>31</v>
      </c>
      <c r="F48" s="1" t="s">
        <v>38</v>
      </c>
      <c r="G48" s="56">
        <f t="shared" si="30"/>
        <v>45954</v>
      </c>
      <c r="H48" s="17">
        <v>28</v>
      </c>
      <c r="I48" s="17">
        <f t="shared" si="20"/>
        <v>4.66042966042966</v>
      </c>
      <c r="J48" s="17">
        <f t="shared" si="21"/>
        <v>5.8474012474012467</v>
      </c>
      <c r="K48" s="17"/>
      <c r="L48" s="17">
        <v>27</v>
      </c>
      <c r="M48" s="17">
        <v>71.5</v>
      </c>
      <c r="N48" s="17">
        <f t="shared" si="22"/>
        <v>35.029733207418268</v>
      </c>
      <c r="O48" s="17">
        <v>59.518995154999125</v>
      </c>
      <c r="P48" s="18">
        <f>SUMPRODUCT(H48:O48,'Fisico ASIG'!F48:M48)*24</f>
        <v>7703315.215151526</v>
      </c>
      <c r="Q48" s="43">
        <v>0</v>
      </c>
      <c r="R48" s="43">
        <f t="shared" si="23"/>
        <v>5340.3961746361747</v>
      </c>
      <c r="S48" s="43">
        <f t="shared" si="24"/>
        <v>1548.8565488565489</v>
      </c>
      <c r="T48" s="43"/>
      <c r="U48" s="43">
        <v>18000</v>
      </c>
      <c r="V48" s="20">
        <v>0</v>
      </c>
      <c r="W48" s="20">
        <v>21900</v>
      </c>
      <c r="X48" s="20">
        <v>0</v>
      </c>
      <c r="Y48" s="18">
        <f>SUMPRODUCT(Q48:X48,'Fisico ASIG'!O48:V48)/E48</f>
        <v>5230157.0323416563</v>
      </c>
      <c r="Z48" s="25">
        <f t="shared" si="25"/>
        <v>12933472.247493181</v>
      </c>
      <c r="AA48" s="26">
        <f>+Z48/'Fisico ASIG'!N48/24</f>
        <v>57.845083978210084</v>
      </c>
      <c r="AB48" s="26">
        <f t="shared" si="18"/>
        <v>15.806111696522654</v>
      </c>
      <c r="AC48" s="29">
        <f t="shared" si="26"/>
        <v>42.038972281687428</v>
      </c>
      <c r="AI48" s="1">
        <v>6725</v>
      </c>
      <c r="AJ48" s="1">
        <v>5351522</v>
      </c>
      <c r="AK48">
        <f t="shared" si="27"/>
        <v>1.44</v>
      </c>
      <c r="AL48" s="40">
        <f t="shared" si="28"/>
        <v>8437.7999999999993</v>
      </c>
      <c r="AM48">
        <v>2235000</v>
      </c>
      <c r="AN48" s="17">
        <v>33.194129468307509</v>
      </c>
      <c r="AO48" s="64">
        <f t="shared" si="29"/>
        <v>1.8356037391107569</v>
      </c>
    </row>
    <row r="49" spans="1:41" hidden="1" x14ac:dyDescent="0.3">
      <c r="A49" s="3">
        <v>1443</v>
      </c>
      <c r="B49" s="42">
        <v>1429.75</v>
      </c>
      <c r="C49" s="53">
        <f t="shared" si="19"/>
        <v>2025</v>
      </c>
      <c r="D49" s="52">
        <f>+'Fisico ASIG'!B49</f>
        <v>45931</v>
      </c>
      <c r="E49" s="1">
        <v>31</v>
      </c>
      <c r="F49" s="1" t="s">
        <v>39</v>
      </c>
      <c r="G49" s="56">
        <f t="shared" si="30"/>
        <v>45955</v>
      </c>
      <c r="H49" s="17">
        <v>28</v>
      </c>
      <c r="I49" s="17">
        <f t="shared" si="20"/>
        <v>4.66042966042966</v>
      </c>
      <c r="J49" s="17">
        <f t="shared" si="21"/>
        <v>5.8474012474012467</v>
      </c>
      <c r="K49" s="17"/>
      <c r="L49" s="17">
        <v>27</v>
      </c>
      <c r="M49" s="17">
        <v>71.5</v>
      </c>
      <c r="N49" s="17">
        <f t="shared" si="22"/>
        <v>34.147252611813663</v>
      </c>
      <c r="O49" s="17">
        <v>50.19182135293385</v>
      </c>
      <c r="P49" s="18">
        <f>SUMPRODUCT(H49:O49,'Fisico ASIG'!F49:M49)*24</f>
        <v>7084471.5066591008</v>
      </c>
      <c r="Q49" s="43">
        <v>0</v>
      </c>
      <c r="R49" s="43">
        <f t="shared" si="23"/>
        <v>5340.3961746361747</v>
      </c>
      <c r="S49" s="43">
        <f t="shared" si="24"/>
        <v>1548.8565488565489</v>
      </c>
      <c r="T49" s="43"/>
      <c r="U49" s="43">
        <v>18000</v>
      </c>
      <c r="V49" s="20">
        <v>0</v>
      </c>
      <c r="W49" s="20">
        <v>21900</v>
      </c>
      <c r="X49" s="20">
        <v>0</v>
      </c>
      <c r="Y49" s="18">
        <f>SUMPRODUCT(Q49:X49,'Fisico ASIG'!O49:V49)/E49</f>
        <v>5164389.9940014398</v>
      </c>
      <c r="Z49" s="25">
        <f t="shared" si="25"/>
        <v>12248861.500660541</v>
      </c>
      <c r="AA49" s="26">
        <f>+Z49/'Fisico ASIG'!N49/24</f>
        <v>62.94978720305901</v>
      </c>
      <c r="AB49" s="26">
        <f t="shared" si="18"/>
        <v>15.806111696522654</v>
      </c>
      <c r="AC49" s="29">
        <f t="shared" si="26"/>
        <v>47.143675506536354</v>
      </c>
      <c r="AI49" s="1">
        <v>6725</v>
      </c>
      <c r="AJ49" s="1">
        <v>5351522</v>
      </c>
      <c r="AK49">
        <f t="shared" si="27"/>
        <v>1.44</v>
      </c>
      <c r="AL49" s="40">
        <f t="shared" si="28"/>
        <v>8437.7999999999993</v>
      </c>
      <c r="AM49">
        <v>2235000</v>
      </c>
      <c r="AN49" s="17">
        <v>32.367449753455425</v>
      </c>
      <c r="AO49" s="64">
        <f t="shared" si="29"/>
        <v>1.7798028583582413</v>
      </c>
    </row>
    <row r="50" spans="1:41" hidden="1" x14ac:dyDescent="0.3">
      <c r="A50" s="3">
        <v>1443</v>
      </c>
      <c r="B50" s="42">
        <v>1429.75</v>
      </c>
      <c r="C50" s="53">
        <f t="shared" si="19"/>
        <v>2025</v>
      </c>
      <c r="D50" s="52">
        <f>+'Fisico ASIG'!B50</f>
        <v>45931</v>
      </c>
      <c r="E50" s="1">
        <v>31</v>
      </c>
      <c r="F50" s="1" t="s">
        <v>40</v>
      </c>
      <c r="G50" s="56">
        <f t="shared" si="30"/>
        <v>45956</v>
      </c>
      <c r="H50" s="17">
        <v>28</v>
      </c>
      <c r="I50" s="17">
        <f t="shared" si="20"/>
        <v>4.66042966042966</v>
      </c>
      <c r="J50" s="17">
        <f t="shared" si="21"/>
        <v>5.8474012474012467</v>
      </c>
      <c r="K50" s="17"/>
      <c r="L50" s="17">
        <v>27</v>
      </c>
      <c r="M50" s="17">
        <v>71.5</v>
      </c>
      <c r="N50" s="17">
        <f t="shared" si="22"/>
        <v>34.207416417425634</v>
      </c>
      <c r="O50" s="17">
        <v>69.98352047240266</v>
      </c>
      <c r="P50" s="18">
        <f>SUMPRODUCT(H50:O50,'Fisico ASIG'!F50:M50)*24</f>
        <v>6964550.7429395113</v>
      </c>
      <c r="Q50" s="43">
        <v>0</v>
      </c>
      <c r="R50" s="43">
        <f t="shared" si="23"/>
        <v>5340.3961746361747</v>
      </c>
      <c r="S50" s="43">
        <f t="shared" si="24"/>
        <v>1548.8565488565489</v>
      </c>
      <c r="T50" s="43"/>
      <c r="U50" s="43">
        <v>18000</v>
      </c>
      <c r="V50" s="20">
        <v>0</v>
      </c>
      <c r="W50" s="20">
        <v>21900</v>
      </c>
      <c r="X50" s="20">
        <v>0</v>
      </c>
      <c r="Y50" s="18">
        <f>SUMPRODUCT(Q50:X50,'Fisico ASIG'!O50:V50)/E50</f>
        <v>5279722.6668614745</v>
      </c>
      <c r="Z50" s="25">
        <f t="shared" si="25"/>
        <v>12244273.409800986</v>
      </c>
      <c r="AA50" s="26">
        <f>+Z50/'Fisico ASIG'!N50/24</f>
        <v>65.831438332607704</v>
      </c>
      <c r="AB50" s="26">
        <f t="shared" si="18"/>
        <v>15.806111696522654</v>
      </c>
      <c r="AC50" s="29">
        <f t="shared" si="26"/>
        <v>50.025326636085047</v>
      </c>
      <c r="AI50" s="1">
        <v>6725</v>
      </c>
      <c r="AJ50" s="1">
        <v>5351522</v>
      </c>
      <c r="AK50">
        <f t="shared" si="27"/>
        <v>1.44</v>
      </c>
      <c r="AL50" s="40">
        <f t="shared" si="28"/>
        <v>8437.7999999999993</v>
      </c>
      <c r="AM50">
        <v>2235000</v>
      </c>
      <c r="AN50" s="17">
        <v>32.423809290328464</v>
      </c>
      <c r="AO50" s="64">
        <f t="shared" si="29"/>
        <v>1.7836071270971714</v>
      </c>
    </row>
    <row r="51" spans="1:41" hidden="1" x14ac:dyDescent="0.3">
      <c r="A51" s="3">
        <v>1443</v>
      </c>
      <c r="B51" s="42">
        <v>1429.75</v>
      </c>
      <c r="C51" s="53">
        <f t="shared" si="19"/>
        <v>2025</v>
      </c>
      <c r="D51" s="52">
        <f>+'Fisico ASIG'!B51</f>
        <v>45931</v>
      </c>
      <c r="E51" s="1">
        <v>31</v>
      </c>
      <c r="F51" s="1" t="s">
        <v>41</v>
      </c>
      <c r="G51" s="56">
        <f t="shared" si="30"/>
        <v>45957</v>
      </c>
      <c r="H51" s="17">
        <v>28</v>
      </c>
      <c r="I51" s="17">
        <f t="shared" si="20"/>
        <v>4.66042966042966</v>
      </c>
      <c r="J51" s="17">
        <f t="shared" si="21"/>
        <v>5.8474012474012467</v>
      </c>
      <c r="K51" s="17"/>
      <c r="L51" s="17">
        <v>27</v>
      </c>
      <c r="M51" s="17">
        <v>71.5</v>
      </c>
      <c r="N51" s="17">
        <f t="shared" si="22"/>
        <v>33.556582384954375</v>
      </c>
      <c r="O51" s="17">
        <v>52.920397024645119</v>
      </c>
      <c r="P51" s="18">
        <f>SUMPRODUCT(H51:O51,'Fisico ASIG'!F51:M51)*24</f>
        <v>6736174.594416501</v>
      </c>
      <c r="Q51" s="43">
        <v>0</v>
      </c>
      <c r="R51" s="43">
        <f t="shared" si="23"/>
        <v>5340.3961746361747</v>
      </c>
      <c r="S51" s="43">
        <f t="shared" si="24"/>
        <v>1548.8565488565489</v>
      </c>
      <c r="T51" s="43"/>
      <c r="U51" s="43">
        <v>18000</v>
      </c>
      <c r="V51" s="20">
        <v>0</v>
      </c>
      <c r="W51" s="20">
        <v>21900</v>
      </c>
      <c r="X51" s="20">
        <v>0</v>
      </c>
      <c r="Y51" s="18">
        <f>SUMPRODUCT(Q51:X51,'Fisico ASIG'!O51:V51)/E51</f>
        <v>4972127.1278886562</v>
      </c>
      <c r="Z51" s="25">
        <f t="shared" si="25"/>
        <v>11708301.722305156</v>
      </c>
      <c r="AA51" s="26">
        <f>+Z51/'Fisico ASIG'!N51/24</f>
        <v>56.551067948936769</v>
      </c>
      <c r="AB51" s="26">
        <f t="shared" si="18"/>
        <v>15.806111696522654</v>
      </c>
      <c r="AC51" s="29">
        <f t="shared" si="26"/>
        <v>40.744956252414113</v>
      </c>
      <c r="AI51" s="1">
        <v>6725</v>
      </c>
      <c r="AJ51" s="1">
        <v>5351522</v>
      </c>
      <c r="AK51">
        <f t="shared" si="27"/>
        <v>1.44</v>
      </c>
      <c r="AL51" s="40">
        <f t="shared" si="28"/>
        <v>8437.7999999999993</v>
      </c>
      <c r="AM51">
        <v>2235000</v>
      </c>
      <c r="AN51" s="17">
        <v>31.814128697849533</v>
      </c>
      <c r="AO51" s="64">
        <f t="shared" si="29"/>
        <v>1.7424536871048435</v>
      </c>
    </row>
    <row r="52" spans="1:41" hidden="1" x14ac:dyDescent="0.3">
      <c r="A52" s="3">
        <v>1443</v>
      </c>
      <c r="B52" s="42">
        <v>1429.75</v>
      </c>
      <c r="C52" s="53">
        <f t="shared" si="19"/>
        <v>2025</v>
      </c>
      <c r="D52" s="52">
        <f>+'Fisico ASIG'!B52</f>
        <v>45931</v>
      </c>
      <c r="E52" s="1">
        <v>31</v>
      </c>
      <c r="F52" s="1" t="s">
        <v>42</v>
      </c>
      <c r="G52" s="56">
        <f t="shared" si="30"/>
        <v>45958</v>
      </c>
      <c r="H52" s="17">
        <v>28</v>
      </c>
      <c r="I52" s="17">
        <f t="shared" si="20"/>
        <v>4.66042966042966</v>
      </c>
      <c r="J52" s="17">
        <f t="shared" si="21"/>
        <v>5.8474012474012467</v>
      </c>
      <c r="K52" s="17"/>
      <c r="L52" s="17">
        <v>27</v>
      </c>
      <c r="M52" s="17">
        <v>71.5</v>
      </c>
      <c r="N52" s="17">
        <f t="shared" si="22"/>
        <v>32.91530582167033</v>
      </c>
      <c r="O52" s="17">
        <v>63.454959356464151</v>
      </c>
      <c r="P52" s="18">
        <f>SUMPRODUCT(H52:O52,'Fisico ASIG'!F52:M52)*24</f>
        <v>7144392.3691979125</v>
      </c>
      <c r="Q52" s="43">
        <v>0</v>
      </c>
      <c r="R52" s="43">
        <f t="shared" si="23"/>
        <v>5340.3961746361747</v>
      </c>
      <c r="S52" s="43">
        <f t="shared" si="24"/>
        <v>1548.8565488565489</v>
      </c>
      <c r="T52" s="43"/>
      <c r="U52" s="43">
        <v>18000</v>
      </c>
      <c r="V52" s="20">
        <v>0</v>
      </c>
      <c r="W52" s="20">
        <v>21900</v>
      </c>
      <c r="X52" s="20">
        <v>0</v>
      </c>
      <c r="Y52" s="18">
        <f>SUMPRODUCT(Q52:X52,'Fisico ASIG'!O52:V52)/E52</f>
        <v>4876555.0502457218</v>
      </c>
      <c r="Z52" s="25">
        <f t="shared" ref="Z52:Z54" si="31">+(P52+Y52)</f>
        <v>12020947.419443633</v>
      </c>
      <c r="AA52" s="26">
        <f>+Z52/'Fisico ASIG'!N52/24</f>
        <v>54.824979708345857</v>
      </c>
      <c r="AB52" s="26">
        <f t="shared" si="18"/>
        <v>15.806111696522654</v>
      </c>
      <c r="AC52" s="29">
        <f t="shared" ref="AC52:AC54" si="32">+AA52-AB52</f>
        <v>39.018868011823201</v>
      </c>
      <c r="AI52" s="1">
        <v>6725</v>
      </c>
      <c r="AJ52" s="1">
        <v>5351522</v>
      </c>
      <c r="AK52">
        <f t="shared" si="27"/>
        <v>1.44</v>
      </c>
      <c r="AL52" s="40">
        <f t="shared" si="28"/>
        <v>8437.7999999999993</v>
      </c>
      <c r="AM52">
        <v>2235000</v>
      </c>
      <c r="AN52" s="17">
        <v>31.213401238098673</v>
      </c>
      <c r="AO52" s="64">
        <f t="shared" si="29"/>
        <v>1.7019045835716604</v>
      </c>
    </row>
    <row r="53" spans="1:41" hidden="1" x14ac:dyDescent="0.3">
      <c r="A53" s="3">
        <v>1443</v>
      </c>
      <c r="B53" s="42">
        <v>1429.75</v>
      </c>
      <c r="C53" s="53">
        <f t="shared" si="19"/>
        <v>2025</v>
      </c>
      <c r="D53" s="52">
        <f>+'Fisico ASIG'!B53</f>
        <v>45931</v>
      </c>
      <c r="E53" s="1">
        <v>31</v>
      </c>
      <c r="F53" s="1" t="s">
        <v>36</v>
      </c>
      <c r="G53" s="56">
        <f t="shared" si="30"/>
        <v>45959</v>
      </c>
      <c r="H53" s="17">
        <v>28</v>
      </c>
      <c r="I53" s="17">
        <f t="shared" si="20"/>
        <v>4.66042966042966</v>
      </c>
      <c r="J53" s="17">
        <f t="shared" si="21"/>
        <v>5.8474012474012467</v>
      </c>
      <c r="K53" s="17"/>
      <c r="L53" s="17">
        <v>27</v>
      </c>
      <c r="M53" s="17">
        <v>71.5</v>
      </c>
      <c r="N53" s="17">
        <f t="shared" si="22"/>
        <v>33.33500667392812</v>
      </c>
      <c r="O53" s="17">
        <v>74.604620707951625</v>
      </c>
      <c r="P53" s="18">
        <f>SUMPRODUCT(H53:O53,'Fisico ASIG'!F53:M53)*24</f>
        <v>7474310.0347560328</v>
      </c>
      <c r="Q53" s="43">
        <v>0</v>
      </c>
      <c r="R53" s="43">
        <f t="shared" si="23"/>
        <v>5340.3961746361747</v>
      </c>
      <c r="S53" s="43">
        <f t="shared" si="24"/>
        <v>1548.8565488565489</v>
      </c>
      <c r="T53" s="43"/>
      <c r="U53" s="43">
        <v>18000</v>
      </c>
      <c r="V53" s="20">
        <v>0</v>
      </c>
      <c r="W53" s="20">
        <v>21900</v>
      </c>
      <c r="X53" s="20">
        <v>0</v>
      </c>
      <c r="Y53" s="18">
        <f>SUMPRODUCT(Q53:X53,'Fisico ASIG'!O53:V53)/E53</f>
        <v>4634241.9993979791</v>
      </c>
      <c r="Z53" s="25">
        <f t="shared" si="31"/>
        <v>12108552.034154013</v>
      </c>
      <c r="AA53" s="26">
        <f>+Z53/'Fisico ASIG'!N53/24</f>
        <v>55.727327783341565</v>
      </c>
      <c r="AB53" s="26">
        <f t="shared" si="18"/>
        <v>15.806111696522654</v>
      </c>
      <c r="AC53" s="29">
        <f t="shared" si="32"/>
        <v>39.921216086818909</v>
      </c>
      <c r="AI53" s="1">
        <v>6725</v>
      </c>
      <c r="AJ53" s="1">
        <v>5351522</v>
      </c>
      <c r="AK53">
        <f t="shared" si="27"/>
        <v>1.44</v>
      </c>
      <c r="AL53" s="40">
        <f t="shared" si="28"/>
        <v>8437.7999999999993</v>
      </c>
      <c r="AM53">
        <v>2235000</v>
      </c>
      <c r="AN53" s="17">
        <v>31.606563628972477</v>
      </c>
      <c r="AO53" s="64">
        <f t="shared" si="29"/>
        <v>1.7284430449556423</v>
      </c>
    </row>
    <row r="54" spans="1:41" hidden="1" x14ac:dyDescent="0.3">
      <c r="A54" s="3">
        <v>1443</v>
      </c>
      <c r="B54" s="42">
        <v>1429.75</v>
      </c>
      <c r="C54" s="53">
        <f t="shared" si="19"/>
        <v>2025</v>
      </c>
      <c r="D54" s="52">
        <f>+'Fisico ASIG'!B54</f>
        <v>45931</v>
      </c>
      <c r="E54" s="1">
        <v>31</v>
      </c>
      <c r="F54" s="1" t="s">
        <v>37</v>
      </c>
      <c r="G54" s="56">
        <f t="shared" si="30"/>
        <v>45960</v>
      </c>
      <c r="H54" s="17">
        <v>28</v>
      </c>
      <c r="I54" s="17">
        <f t="shared" si="20"/>
        <v>4.66042966042966</v>
      </c>
      <c r="J54" s="17">
        <f t="shared" si="21"/>
        <v>5.8474012474012467</v>
      </c>
      <c r="K54" s="17"/>
      <c r="L54" s="17">
        <v>27</v>
      </c>
      <c r="M54" s="17">
        <v>71.5</v>
      </c>
      <c r="N54" s="17">
        <f t="shared" si="22"/>
        <v>33.816985795871403</v>
      </c>
      <c r="O54" s="17">
        <v>100.72185826955456</v>
      </c>
      <c r="P54" s="18">
        <f>SUMPRODUCT(H54:O54,'Fisico ASIG'!F54:M54)*24</f>
        <v>7729757.7542979177</v>
      </c>
      <c r="Q54" s="43">
        <v>0</v>
      </c>
      <c r="R54" s="43">
        <f t="shared" si="23"/>
        <v>5340.3961746361747</v>
      </c>
      <c r="S54" s="43">
        <f t="shared" si="24"/>
        <v>1548.8565488565489</v>
      </c>
      <c r="T54" s="43"/>
      <c r="U54" s="43">
        <v>18000</v>
      </c>
      <c r="V54" s="20">
        <v>0</v>
      </c>
      <c r="W54" s="20">
        <v>21900</v>
      </c>
      <c r="X54" s="20">
        <v>0</v>
      </c>
      <c r="Y54" s="18">
        <f>SUMPRODUCT(Q54:X54,'Fisico ASIG'!O54:V54)/E54</f>
        <v>4735423.6571567617</v>
      </c>
      <c r="Z54" s="25">
        <f t="shared" si="31"/>
        <v>12465181.411454679</v>
      </c>
      <c r="AA54" s="26">
        <f>+Z54/'Fisico ASIG'!N54/24</f>
        <v>60.772118648473885</v>
      </c>
      <c r="AB54" s="26">
        <f t="shared" si="18"/>
        <v>15.806111696522654</v>
      </c>
      <c r="AC54" s="29">
        <f t="shared" si="32"/>
        <v>44.966006951951229</v>
      </c>
      <c r="AI54" s="1">
        <v>6725</v>
      </c>
      <c r="AJ54" s="1">
        <v>5351522</v>
      </c>
      <c r="AK54">
        <f t="shared" si="27"/>
        <v>1.44</v>
      </c>
      <c r="AL54" s="40">
        <f t="shared" si="28"/>
        <v>8437.7999999999993</v>
      </c>
      <c r="AM54">
        <v>2235000</v>
      </c>
      <c r="AN54" s="17">
        <v>32.058066319317476</v>
      </c>
      <c r="AO54" s="64">
        <f t="shared" si="29"/>
        <v>1.7589194765539298</v>
      </c>
    </row>
    <row r="55" spans="1:41" hidden="1" x14ac:dyDescent="0.3">
      <c r="A55" s="3">
        <v>1443</v>
      </c>
      <c r="B55" s="42">
        <v>1429.75</v>
      </c>
      <c r="C55" s="53">
        <f t="shared" si="19"/>
        <v>2025</v>
      </c>
      <c r="D55" s="52">
        <f>+'Fisico ASIG'!B55</f>
        <v>45931</v>
      </c>
      <c r="E55" s="1">
        <v>31</v>
      </c>
      <c r="F55" s="1" t="s">
        <v>38</v>
      </c>
      <c r="G55" s="56">
        <f t="shared" si="30"/>
        <v>45961</v>
      </c>
      <c r="H55" s="17">
        <v>28</v>
      </c>
      <c r="I55" s="17">
        <f t="shared" si="20"/>
        <v>4.66042966042966</v>
      </c>
      <c r="J55" s="17">
        <f t="shared" si="21"/>
        <v>5.8474012474012467</v>
      </c>
      <c r="K55" s="17"/>
      <c r="L55" s="17">
        <v>27</v>
      </c>
      <c r="M55" s="17">
        <v>71.5</v>
      </c>
      <c r="N55" s="17">
        <f t="shared" si="22"/>
        <v>34.18227203073117</v>
      </c>
      <c r="O55" s="17">
        <v>109.23846481472718</v>
      </c>
      <c r="P55" s="18">
        <f>SUMPRODUCT(H55:O55,'Fisico ASIG'!F55:M55)*24</f>
        <v>7740118.4529981632</v>
      </c>
      <c r="Q55" s="43">
        <v>0</v>
      </c>
      <c r="R55" s="43">
        <f t="shared" si="23"/>
        <v>5340.3961746361747</v>
      </c>
      <c r="S55" s="43">
        <f t="shared" si="24"/>
        <v>1548.8565488565489</v>
      </c>
      <c r="T55" s="43"/>
      <c r="U55" s="43">
        <v>18000</v>
      </c>
      <c r="V55" s="20">
        <v>0</v>
      </c>
      <c r="W55" s="20">
        <v>21900</v>
      </c>
      <c r="X55" s="20">
        <v>0</v>
      </c>
      <c r="Y55" s="18">
        <f>SUMPRODUCT(Q55:X55,'Fisico ASIG'!O55:V55)/E55</f>
        <v>5034799.0138969533</v>
      </c>
      <c r="Z55" s="25">
        <f t="shared" ref="Z55" si="33">+(P55+Y55)</f>
        <v>12774917.466895116</v>
      </c>
      <c r="AA55" s="26">
        <f>+Z55/'Fisico ASIG'!N55/24</f>
        <v>62.294662321836363</v>
      </c>
      <c r="AB55" s="26">
        <f t="shared" si="18"/>
        <v>15.806111696522654</v>
      </c>
      <c r="AC55" s="29">
        <f t="shared" ref="AC55" si="34">+AA55-AB55</f>
        <v>46.488550625313707</v>
      </c>
      <c r="AI55" s="1">
        <v>6725</v>
      </c>
      <c r="AJ55" s="1">
        <v>5351522</v>
      </c>
      <c r="AK55">
        <f t="shared" si="27"/>
        <v>1.44</v>
      </c>
      <c r="AL55" s="40">
        <f t="shared" si="28"/>
        <v>8437.7999999999993</v>
      </c>
      <c r="AM55">
        <v>2235000</v>
      </c>
      <c r="AN55" s="17">
        <v>32.400254829724751</v>
      </c>
      <c r="AO55" s="64">
        <f t="shared" si="29"/>
        <v>1.7820172010064208</v>
      </c>
    </row>
    <row r="56" spans="1:41" hidden="1" x14ac:dyDescent="0.3">
      <c r="A56" s="3">
        <v>1450.75</v>
      </c>
      <c r="B56" s="42">
        <v>1429.75</v>
      </c>
      <c r="C56" s="53">
        <f t="shared" si="19"/>
        <v>2025</v>
      </c>
      <c r="D56" s="52">
        <f>+'Fisico ASIG'!B56</f>
        <v>45962</v>
      </c>
      <c r="E56" s="1">
        <v>30</v>
      </c>
      <c r="F56" s="1" t="s">
        <v>43</v>
      </c>
      <c r="G56" s="56">
        <f t="shared" si="30"/>
        <v>45962</v>
      </c>
      <c r="H56" s="17">
        <v>28</v>
      </c>
      <c r="I56" s="17">
        <f t="shared" si="20"/>
        <v>4.7975185249009131</v>
      </c>
      <c r="J56" s="17">
        <f t="shared" si="21"/>
        <v>5.8161640530759948</v>
      </c>
      <c r="K56" s="17"/>
      <c r="L56" s="17">
        <v>27</v>
      </c>
      <c r="M56" s="17">
        <v>71.5</v>
      </c>
      <c r="N56" s="17">
        <f t="shared" si="22"/>
        <v>36.63425760028597</v>
      </c>
      <c r="O56" s="17">
        <v>119.78323175549433</v>
      </c>
      <c r="P56" s="18">
        <f>SUMPRODUCT(H56:O56,'Fisico ASIG'!F56:M56)*24</f>
        <v>7258369.7239394579</v>
      </c>
      <c r="Q56" s="43">
        <v>0</v>
      </c>
      <c r="R56" s="43">
        <f t="shared" si="23"/>
        <v>5497.7825262795104</v>
      </c>
      <c r="S56" s="43">
        <f t="shared" si="24"/>
        <v>1540.5824573496468</v>
      </c>
      <c r="T56" s="43"/>
      <c r="U56" s="43">
        <v>18000</v>
      </c>
      <c r="V56" s="20">
        <v>0</v>
      </c>
      <c r="W56" s="20">
        <v>21900</v>
      </c>
      <c r="X56" s="20">
        <v>0</v>
      </c>
      <c r="Y56" s="18">
        <f>SUMPRODUCT(Q56:X56,'Fisico ASIG'!O56:V56)/E56</f>
        <v>5173881.4345969018</v>
      </c>
      <c r="Z56" s="25">
        <f t="shared" ref="Z56:Z61" si="35">+(P56+Y56)</f>
        <v>12432251.15853636</v>
      </c>
      <c r="AA56" s="26">
        <f>+Z56/'Fisico ASIG'!N56/24</f>
        <v>64.545112033536569</v>
      </c>
      <c r="AB56" s="26">
        <f t="shared" si="18"/>
        <v>15.806111696522654</v>
      </c>
      <c r="AC56" s="29">
        <f t="shared" ref="AC56:AC61" si="36">+AA56-AB56</f>
        <v>48.739000337013913</v>
      </c>
      <c r="AI56" s="1">
        <v>6960</v>
      </c>
      <c r="AJ56" s="1">
        <v>5538825</v>
      </c>
      <c r="AK56">
        <f t="shared" si="27"/>
        <v>1.44</v>
      </c>
      <c r="AL56" s="40">
        <f t="shared" si="28"/>
        <v>8437.7999999999993</v>
      </c>
      <c r="AM56">
        <v>2235000</v>
      </c>
      <c r="AN56" s="17">
        <v>34.697196815256177</v>
      </c>
      <c r="AO56" s="64">
        <f t="shared" si="29"/>
        <v>1.9370607850297921</v>
      </c>
    </row>
    <row r="57" spans="1:41" hidden="1" x14ac:dyDescent="0.3">
      <c r="A57" s="3">
        <v>1450.75</v>
      </c>
      <c r="B57" s="42">
        <v>1429.75</v>
      </c>
      <c r="C57" s="53">
        <f t="shared" si="19"/>
        <v>2025</v>
      </c>
      <c r="D57" s="52">
        <f>+'Fisico ASIG'!B57</f>
        <v>45962</v>
      </c>
      <c r="E57" s="1">
        <v>30</v>
      </c>
      <c r="F57" s="1" t="s">
        <v>44</v>
      </c>
      <c r="G57" s="56">
        <f t="shared" si="30"/>
        <v>45963</v>
      </c>
      <c r="H57" s="17">
        <v>28</v>
      </c>
      <c r="I57" s="17">
        <f t="shared" si="20"/>
        <v>4.7975185249009131</v>
      </c>
      <c r="J57" s="17">
        <f t="shared" si="21"/>
        <v>5.8161640530759948</v>
      </c>
      <c r="K57" s="17"/>
      <c r="L57" s="17">
        <v>27</v>
      </c>
      <c r="M57" s="17">
        <v>71.5</v>
      </c>
      <c r="N57" s="17">
        <f t="shared" si="22"/>
        <v>37.334685347870469</v>
      </c>
      <c r="O57" s="17">
        <v>119.73610373853037</v>
      </c>
      <c r="P57" s="18">
        <f>SUMPRODUCT(H57:O57,'Fisico ASIG'!F57:M57)*24</f>
        <v>6506293.1161341276</v>
      </c>
      <c r="Q57" s="43">
        <v>0</v>
      </c>
      <c r="R57" s="43">
        <f t="shared" si="23"/>
        <v>5497.7825262795104</v>
      </c>
      <c r="S57" s="43">
        <f t="shared" si="24"/>
        <v>1540.5824573496468</v>
      </c>
      <c r="T57" s="43"/>
      <c r="U57" s="43">
        <v>18000</v>
      </c>
      <c r="V57" s="20">
        <v>0</v>
      </c>
      <c r="W57" s="20">
        <v>21900</v>
      </c>
      <c r="X57" s="20">
        <v>0</v>
      </c>
      <c r="Y57" s="18">
        <f>SUMPRODUCT(Q57:X57,'Fisico ASIG'!O57:V57)/E57</f>
        <v>5210194.2187233623</v>
      </c>
      <c r="Z57" s="25">
        <f t="shared" si="35"/>
        <v>11716487.33485749</v>
      </c>
      <c r="AA57" s="26">
        <f>+Z57/'Fisico ASIG'!N57/24</f>
        <v>66.526824204129099</v>
      </c>
      <c r="AB57" s="26">
        <f t="shared" ref="AB57:AB88" si="37">+$AB$21*375/0.52/730</f>
        <v>15.806111696522654</v>
      </c>
      <c r="AC57" s="29">
        <f t="shared" si="36"/>
        <v>50.720712507606443</v>
      </c>
      <c r="AI57" s="1">
        <v>6960</v>
      </c>
      <c r="AJ57" s="1">
        <v>5538825</v>
      </c>
      <c r="AK57">
        <f t="shared" si="27"/>
        <v>1.44</v>
      </c>
      <c r="AL57" s="40">
        <f t="shared" si="28"/>
        <v>8437.7999999999993</v>
      </c>
      <c r="AM57">
        <v>2235000</v>
      </c>
      <c r="AN57" s="17">
        <v>35.353335220487558</v>
      </c>
      <c r="AO57" s="64">
        <f t="shared" si="29"/>
        <v>1.9813501273829104</v>
      </c>
    </row>
    <row r="58" spans="1:41" hidden="1" x14ac:dyDescent="0.3">
      <c r="A58" s="3">
        <v>1450.75</v>
      </c>
      <c r="B58" s="42">
        <v>1470.8330000000001</v>
      </c>
      <c r="C58" s="53">
        <f t="shared" si="19"/>
        <v>2025</v>
      </c>
      <c r="D58" s="52">
        <f>+'Fisico ASIG'!B58</f>
        <v>45962</v>
      </c>
      <c r="E58" s="1">
        <v>30</v>
      </c>
      <c r="F58" s="1" t="s">
        <v>45</v>
      </c>
      <c r="G58" s="56">
        <f t="shared" si="30"/>
        <v>45964</v>
      </c>
      <c r="H58" s="17">
        <v>28</v>
      </c>
      <c r="I58" s="17">
        <f t="shared" si="20"/>
        <v>4.7975185249009131</v>
      </c>
      <c r="J58" s="17">
        <f t="shared" si="21"/>
        <v>5.8161640530759948</v>
      </c>
      <c r="K58" s="17"/>
      <c r="L58" s="17">
        <v>27</v>
      </c>
      <c r="M58" s="17">
        <v>71.5</v>
      </c>
      <c r="N58" s="17">
        <f t="shared" si="22"/>
        <v>37.174157229676482</v>
      </c>
      <c r="O58" s="17">
        <v>105.61844909178805</v>
      </c>
      <c r="P58" s="18">
        <f>SUMPRODUCT(H58:O58,'Fisico ASIG'!F58:M58)*24</f>
        <v>7162482.126764873</v>
      </c>
      <c r="Q58" s="43">
        <v>0</v>
      </c>
      <c r="R58" s="43">
        <f t="shared" si="23"/>
        <v>5497.7825262795104</v>
      </c>
      <c r="S58" s="43">
        <f t="shared" si="24"/>
        <v>1540.5824573496468</v>
      </c>
      <c r="T58" s="43"/>
      <c r="U58" s="43">
        <v>18000</v>
      </c>
      <c r="V58" s="20">
        <v>0</v>
      </c>
      <c r="W58" s="20">
        <v>21900</v>
      </c>
      <c r="X58" s="20">
        <v>0</v>
      </c>
      <c r="Y58" s="18">
        <f>SUMPRODUCT(Q58:X58,'Fisico ASIG'!O58:V58)/E58</f>
        <v>5247168.9208336314</v>
      </c>
      <c r="Z58" s="25">
        <f t="shared" si="35"/>
        <v>12409651.047598504</v>
      </c>
      <c r="AA58" s="26">
        <f>+Z58/'Fisico ASIG'!N58/24</f>
        <v>55.358458451347367</v>
      </c>
      <c r="AB58" s="26">
        <f t="shared" si="37"/>
        <v>15.806111696522654</v>
      </c>
      <c r="AC58" s="29">
        <f t="shared" si="36"/>
        <v>39.552346754824711</v>
      </c>
      <c r="AI58" s="1">
        <v>6960</v>
      </c>
      <c r="AJ58" s="1">
        <v>5538825</v>
      </c>
      <c r="AK58">
        <f t="shared" si="27"/>
        <v>1.44</v>
      </c>
      <c r="AL58" s="40">
        <f t="shared" si="28"/>
        <v>8437.7999999999993</v>
      </c>
      <c r="AM58">
        <v>2235000</v>
      </c>
      <c r="AN58" s="17">
        <v>35.202957592202793</v>
      </c>
      <c r="AO58" s="64">
        <f t="shared" si="29"/>
        <v>1.9711996374736886</v>
      </c>
    </row>
    <row r="59" spans="1:41" hidden="1" x14ac:dyDescent="0.3">
      <c r="A59" s="3">
        <v>1450.75</v>
      </c>
      <c r="B59" s="42">
        <v>1470.8330000000001</v>
      </c>
      <c r="C59" s="53">
        <f t="shared" si="19"/>
        <v>2025</v>
      </c>
      <c r="D59" s="52">
        <f>+'Fisico ASIG'!B59</f>
        <v>45962</v>
      </c>
      <c r="E59" s="1">
        <v>30</v>
      </c>
      <c r="F59" s="1" t="s">
        <v>46</v>
      </c>
      <c r="G59" s="56">
        <f t="shared" si="30"/>
        <v>45965</v>
      </c>
      <c r="H59" s="17">
        <v>28</v>
      </c>
      <c r="I59" s="17">
        <f t="shared" si="20"/>
        <v>4.7975185249009131</v>
      </c>
      <c r="J59" s="17">
        <f t="shared" si="21"/>
        <v>5.8161640530759948</v>
      </c>
      <c r="K59" s="17"/>
      <c r="L59" s="17">
        <v>27</v>
      </c>
      <c r="M59" s="17">
        <v>71.5</v>
      </c>
      <c r="N59" s="17">
        <f t="shared" si="22"/>
        <v>37.792023160536097</v>
      </c>
      <c r="O59" s="17">
        <v>60.846544183215606</v>
      </c>
      <c r="P59" s="18">
        <f>SUMPRODUCT(H59:O59,'Fisico ASIG'!F59:M59)*24</f>
        <v>7372773.2565561514</v>
      </c>
      <c r="Q59" s="43">
        <v>0</v>
      </c>
      <c r="R59" s="43">
        <f t="shared" si="23"/>
        <v>5497.7825262795104</v>
      </c>
      <c r="S59" s="43">
        <f t="shared" si="24"/>
        <v>1540.5824573496468</v>
      </c>
      <c r="T59" s="43"/>
      <c r="U59" s="43">
        <v>18000</v>
      </c>
      <c r="V59" s="20">
        <v>0</v>
      </c>
      <c r="W59" s="20">
        <v>21900</v>
      </c>
      <c r="X59" s="20">
        <v>0</v>
      </c>
      <c r="Y59" s="18">
        <f>SUMPRODUCT(Q59:X59,'Fisico ASIG'!O59:V59)/E59</f>
        <v>5302368.8244335717</v>
      </c>
      <c r="Z59" s="25">
        <f t="shared" si="35"/>
        <v>12675142.080989722</v>
      </c>
      <c r="AA59" s="26">
        <f>+Z59/'Fisico ASIG'!N59/24</f>
        <v>56.658081008104176</v>
      </c>
      <c r="AB59" s="26">
        <f t="shared" si="37"/>
        <v>15.806111696522654</v>
      </c>
      <c r="AC59" s="29">
        <f t="shared" si="36"/>
        <v>40.85196931158152</v>
      </c>
      <c r="AI59" s="1">
        <v>6960</v>
      </c>
      <c r="AJ59" s="1">
        <v>5538825</v>
      </c>
      <c r="AK59">
        <f t="shared" si="27"/>
        <v>1.44</v>
      </c>
      <c r="AL59" s="40">
        <f t="shared" si="28"/>
        <v>8437.7999999999993</v>
      </c>
      <c r="AM59">
        <v>2235000</v>
      </c>
      <c r="AN59" s="17">
        <v>35.781754717129836</v>
      </c>
      <c r="AO59" s="64">
        <f t="shared" si="29"/>
        <v>2.0102684434062641</v>
      </c>
    </row>
    <row r="60" spans="1:41" hidden="1" x14ac:dyDescent="0.3">
      <c r="A60" s="3">
        <v>1450.75</v>
      </c>
      <c r="B60" s="42">
        <v>1470.8330000000001</v>
      </c>
      <c r="C60" s="53">
        <f t="shared" si="19"/>
        <v>2025</v>
      </c>
      <c r="D60" s="52">
        <f>+'Fisico ASIG'!B60</f>
        <v>45962</v>
      </c>
      <c r="E60" s="1">
        <v>30</v>
      </c>
      <c r="F60" s="1" t="s">
        <v>47</v>
      </c>
      <c r="G60" s="56">
        <f t="shared" si="30"/>
        <v>45966</v>
      </c>
      <c r="H60" s="17">
        <v>28</v>
      </c>
      <c r="I60" s="17">
        <f t="shared" si="20"/>
        <v>4.7975185249009131</v>
      </c>
      <c r="J60" s="17">
        <f t="shared" si="21"/>
        <v>5.8161640530759948</v>
      </c>
      <c r="K60" s="17"/>
      <c r="L60" s="17">
        <v>27</v>
      </c>
      <c r="M60" s="17">
        <v>71.5</v>
      </c>
      <c r="N60" s="17">
        <f t="shared" si="22"/>
        <v>36.418236625642272</v>
      </c>
      <c r="O60" s="17">
        <v>54.424724256314455</v>
      </c>
      <c r="P60" s="18">
        <f>SUMPRODUCT(H60:O60,'Fisico ASIG'!F60:M60)*24</f>
        <v>6818322.9560455997</v>
      </c>
      <c r="Q60" s="43">
        <v>0</v>
      </c>
      <c r="R60" s="43">
        <f t="shared" si="23"/>
        <v>5497.7825262795104</v>
      </c>
      <c r="S60" s="43">
        <f t="shared" si="24"/>
        <v>1540.5824573496468</v>
      </c>
      <c r="T60" s="43"/>
      <c r="U60" s="43">
        <v>18000</v>
      </c>
      <c r="V60" s="20">
        <v>0</v>
      </c>
      <c r="W60" s="20">
        <v>21900</v>
      </c>
      <c r="X60" s="20">
        <v>0</v>
      </c>
      <c r="Y60" s="18">
        <f>SUMPRODUCT(Q60:X60,'Fisico ASIG'!O60:V60)/E60</f>
        <v>5295336.9973427989</v>
      </c>
      <c r="Z60" s="25">
        <f t="shared" si="35"/>
        <v>12113659.953388399</v>
      </c>
      <c r="AA60" s="26">
        <f>+Z60/'Fisico ASIG'!N60/24</f>
        <v>59.008242794356924</v>
      </c>
      <c r="AB60" s="26">
        <f t="shared" si="37"/>
        <v>15.806111696522654</v>
      </c>
      <c r="AC60" s="29">
        <f t="shared" si="36"/>
        <v>43.202131097834268</v>
      </c>
      <c r="AI60" s="1">
        <v>6960</v>
      </c>
      <c r="AJ60" s="1">
        <v>5538825</v>
      </c>
      <c r="AK60">
        <f t="shared" si="27"/>
        <v>1.44</v>
      </c>
      <c r="AL60" s="40">
        <f t="shared" si="28"/>
        <v>8437.7999999999993</v>
      </c>
      <c r="AM60">
        <v>2235000</v>
      </c>
      <c r="AN60" s="17">
        <v>34.4948352465033</v>
      </c>
      <c r="AO60" s="64">
        <f t="shared" si="29"/>
        <v>1.9234013791389728</v>
      </c>
    </row>
    <row r="61" spans="1:41" hidden="1" x14ac:dyDescent="0.3">
      <c r="A61" s="3">
        <v>1450.75</v>
      </c>
      <c r="B61" s="42">
        <v>1470.8330000000001</v>
      </c>
      <c r="C61" s="53">
        <f t="shared" si="19"/>
        <v>2025</v>
      </c>
      <c r="D61" s="52">
        <f>+'Fisico ASIG'!B61</f>
        <v>45962</v>
      </c>
      <c r="E61" s="1">
        <v>30</v>
      </c>
      <c r="F61" s="1" t="s">
        <v>48</v>
      </c>
      <c r="G61" s="56">
        <f t="shared" si="30"/>
        <v>45967</v>
      </c>
      <c r="H61" s="17">
        <v>28</v>
      </c>
      <c r="I61" s="17">
        <f t="shared" si="20"/>
        <v>4.7975185249009131</v>
      </c>
      <c r="J61" s="17">
        <f t="shared" si="21"/>
        <v>5.8161640530759948</v>
      </c>
      <c r="K61" s="17"/>
      <c r="L61" s="17">
        <v>27</v>
      </c>
      <c r="M61" s="17">
        <v>71.5</v>
      </c>
      <c r="N61" s="17">
        <f t="shared" si="22"/>
        <v>36.093748272346424</v>
      </c>
      <c r="O61" s="17">
        <v>66.535269368479774</v>
      </c>
      <c r="P61" s="18">
        <f>SUMPRODUCT(H61:O61,'Fisico ASIG'!F61:M61)*24</f>
        <v>6657265.7757212222</v>
      </c>
      <c r="Q61" s="43">
        <v>0</v>
      </c>
      <c r="R61" s="43">
        <f t="shared" si="23"/>
        <v>5497.7825262795104</v>
      </c>
      <c r="S61" s="43">
        <f t="shared" si="24"/>
        <v>1540.5824573496468</v>
      </c>
      <c r="T61" s="43"/>
      <c r="U61" s="43">
        <v>18000</v>
      </c>
      <c r="V61" s="20">
        <v>0</v>
      </c>
      <c r="W61" s="20">
        <v>21900</v>
      </c>
      <c r="X61" s="20">
        <v>0</v>
      </c>
      <c r="Y61" s="18">
        <f>SUMPRODUCT(Q61:X61,'Fisico ASIG'!O61:V61)/E61</f>
        <v>5407097.0161444489</v>
      </c>
      <c r="Z61" s="25">
        <f t="shared" si="35"/>
        <v>12064362.791865671</v>
      </c>
      <c r="AA61" s="26">
        <f>+Z61/'Fisico ASIG'!N61/24</f>
        <v>60.176227505955246</v>
      </c>
      <c r="AB61" s="26">
        <f t="shared" si="37"/>
        <v>15.806111696522654</v>
      </c>
      <c r="AC61" s="29">
        <f t="shared" si="36"/>
        <v>44.37011580943259</v>
      </c>
      <c r="AI61" s="1">
        <v>6960</v>
      </c>
      <c r="AJ61" s="1">
        <v>5538825</v>
      </c>
      <c r="AK61">
        <f t="shared" si="27"/>
        <v>1.44</v>
      </c>
      <c r="AL61" s="40">
        <f t="shared" si="28"/>
        <v>8437.7999999999993</v>
      </c>
      <c r="AM61">
        <v>2235000</v>
      </c>
      <c r="AN61" s="17">
        <v>34.190864892127799</v>
      </c>
      <c r="AO61" s="64">
        <f t="shared" si="29"/>
        <v>1.9028833802186265</v>
      </c>
    </row>
    <row r="62" spans="1:41" hidden="1" x14ac:dyDescent="0.3">
      <c r="A62" s="3">
        <v>1450.75</v>
      </c>
      <c r="B62" s="42">
        <v>1470.8330000000001</v>
      </c>
      <c r="C62" s="53">
        <f t="shared" si="19"/>
        <v>2025</v>
      </c>
      <c r="D62" s="52">
        <f>+'Fisico ASIG'!B62</f>
        <v>45962</v>
      </c>
      <c r="E62" s="1">
        <v>30</v>
      </c>
      <c r="F62" s="1" t="s">
        <v>49</v>
      </c>
      <c r="G62" s="56">
        <f t="shared" si="30"/>
        <v>45968</v>
      </c>
      <c r="H62" s="17">
        <v>28</v>
      </c>
      <c r="I62" s="17">
        <f t="shared" si="20"/>
        <v>4.7975185249009131</v>
      </c>
      <c r="J62" s="17">
        <f t="shared" si="21"/>
        <v>5.8161640530759948</v>
      </c>
      <c r="K62" s="17"/>
      <c r="L62" s="17">
        <v>27</v>
      </c>
      <c r="M62" s="17">
        <v>71.5</v>
      </c>
      <c r="N62" s="17">
        <f t="shared" si="22"/>
        <v>35.04157700429289</v>
      </c>
      <c r="O62" s="17">
        <v>54.814560585301948</v>
      </c>
      <c r="P62" s="18">
        <f>SUMPRODUCT(H62:O62,'Fisico ASIG'!F62:M62)*24</f>
        <v>6539054.7373563135</v>
      </c>
      <c r="Q62" s="43">
        <v>0</v>
      </c>
      <c r="R62" s="43">
        <f t="shared" si="23"/>
        <v>5497.7825262795104</v>
      </c>
      <c r="S62" s="43">
        <f t="shared" si="24"/>
        <v>1540.5824573496468</v>
      </c>
      <c r="T62" s="43"/>
      <c r="U62" s="43">
        <v>18000</v>
      </c>
      <c r="V62" s="20">
        <v>0</v>
      </c>
      <c r="W62" s="20">
        <v>21900</v>
      </c>
      <c r="X62" s="20">
        <v>0</v>
      </c>
      <c r="Y62" s="18">
        <f>SUMPRODUCT(Q62:X62,'Fisico ASIG'!O62:V62)/E62</f>
        <v>5455391.8025048636</v>
      </c>
      <c r="Z62" s="25">
        <f t="shared" ref="Z62:Z64" si="38">+(P62+Y62)</f>
        <v>11994446.539861176</v>
      </c>
      <c r="AA62" s="26">
        <f>+Z62/'Fisico ASIG'!N62/24</f>
        <v>59.03138400754144</v>
      </c>
      <c r="AB62" s="26">
        <f t="shared" si="37"/>
        <v>15.806111696522654</v>
      </c>
      <c r="AC62" s="29">
        <f t="shared" ref="AC62:AC64" si="39">+AA62-AB62</f>
        <v>43.225272311018784</v>
      </c>
      <c r="AI62" s="1">
        <v>6960</v>
      </c>
      <c r="AJ62" s="1">
        <v>5538825</v>
      </c>
      <c r="AK62">
        <f t="shared" si="27"/>
        <v>1.44</v>
      </c>
      <c r="AL62" s="40">
        <f t="shared" si="28"/>
        <v>8437.7999999999993</v>
      </c>
      <c r="AM62">
        <v>2235000</v>
      </c>
      <c r="AN62" s="17">
        <v>33.205224359993338</v>
      </c>
      <c r="AO62" s="64">
        <f t="shared" si="29"/>
        <v>1.8363526442995504</v>
      </c>
    </row>
    <row r="63" spans="1:41" hidden="1" x14ac:dyDescent="0.3">
      <c r="A63" s="3">
        <v>1450.75</v>
      </c>
      <c r="B63" s="42">
        <v>1470.8330000000001</v>
      </c>
      <c r="C63" s="53">
        <f t="shared" si="19"/>
        <v>2025</v>
      </c>
      <c r="D63" s="52">
        <f>+'Fisico ASIG'!B63</f>
        <v>45962</v>
      </c>
      <c r="E63" s="1">
        <v>30</v>
      </c>
      <c r="F63" s="1" t="s">
        <v>43</v>
      </c>
      <c r="G63" s="56">
        <f t="shared" si="30"/>
        <v>45969</v>
      </c>
      <c r="H63" s="17">
        <v>28</v>
      </c>
      <c r="I63" s="17">
        <f t="shared" si="20"/>
        <v>4.7975185249009131</v>
      </c>
      <c r="J63" s="17">
        <f t="shared" si="21"/>
        <v>5.8161640530759948</v>
      </c>
      <c r="K63" s="17"/>
      <c r="L63" s="17">
        <v>27</v>
      </c>
      <c r="M63" s="17">
        <v>71.5</v>
      </c>
      <c r="N63" s="17">
        <f t="shared" si="22"/>
        <v>35.059396425685854</v>
      </c>
      <c r="O63" s="17">
        <v>61.650341584181632</v>
      </c>
      <c r="P63" s="18">
        <f>SUMPRODUCT(H63:O63,'Fisico ASIG'!F63:M63)*24</f>
        <v>6129869.2582743373</v>
      </c>
      <c r="Q63" s="43">
        <v>0</v>
      </c>
      <c r="R63" s="43">
        <f t="shared" si="23"/>
        <v>5497.7825262795104</v>
      </c>
      <c r="S63" s="43">
        <f t="shared" si="24"/>
        <v>1540.5824573496468</v>
      </c>
      <c r="T63" s="43"/>
      <c r="U63" s="43">
        <v>18000</v>
      </c>
      <c r="V63" s="20">
        <v>0</v>
      </c>
      <c r="W63" s="20">
        <v>21900</v>
      </c>
      <c r="X63" s="20">
        <v>0</v>
      </c>
      <c r="Y63" s="18">
        <f>SUMPRODUCT(Q63:X63,'Fisico ASIG'!O63:V63)/E63</f>
        <v>5468856.839956169</v>
      </c>
      <c r="Z63" s="25">
        <f t="shared" si="38"/>
        <v>11598726.098230507</v>
      </c>
      <c r="AA63" s="26">
        <f>+Z63/'Fisico ASIG'!N63/24</f>
        <v>59.259116327720541</v>
      </c>
      <c r="AB63" s="26">
        <f t="shared" si="37"/>
        <v>15.806111696522654</v>
      </c>
      <c r="AC63" s="29">
        <f t="shared" si="39"/>
        <v>43.453004631197885</v>
      </c>
      <c r="AI63" s="1">
        <v>6960</v>
      </c>
      <c r="AJ63" s="1">
        <v>5538825</v>
      </c>
      <c r="AK63">
        <f t="shared" si="27"/>
        <v>1.44</v>
      </c>
      <c r="AL63" s="40">
        <f t="shared" si="28"/>
        <v>8437.7999999999993</v>
      </c>
      <c r="AM63">
        <v>2235000</v>
      </c>
      <c r="AN63" s="17">
        <v>33.221917026403609</v>
      </c>
      <c r="AO63" s="64">
        <f t="shared" si="29"/>
        <v>1.8374793992822438</v>
      </c>
    </row>
    <row r="64" spans="1:41" hidden="1" x14ac:dyDescent="0.3">
      <c r="A64" s="3">
        <v>1450.75</v>
      </c>
      <c r="B64" s="42">
        <v>1470.8330000000001</v>
      </c>
      <c r="C64" s="53">
        <f t="shared" si="19"/>
        <v>2025</v>
      </c>
      <c r="D64" s="52">
        <f>+'Fisico ASIG'!B64</f>
        <v>45962</v>
      </c>
      <c r="E64" s="1">
        <v>30</v>
      </c>
      <c r="F64" s="1" t="s">
        <v>44</v>
      </c>
      <c r="G64" s="56">
        <f t="shared" si="30"/>
        <v>45970</v>
      </c>
      <c r="H64" s="17">
        <v>28</v>
      </c>
      <c r="I64" s="17">
        <f>AI64/A64</f>
        <v>4.7975185249009131</v>
      </c>
      <c r="J64" s="17">
        <f t="shared" si="21"/>
        <v>5.8161640530759948</v>
      </c>
      <c r="K64" s="17"/>
      <c r="L64" s="17">
        <v>27</v>
      </c>
      <c r="M64" s="17">
        <v>71.5</v>
      </c>
      <c r="N64" s="17">
        <f t="shared" si="22"/>
        <v>36.141094368368798</v>
      </c>
      <c r="O64" s="17">
        <v>95.139398643183412</v>
      </c>
      <c r="P64" s="18">
        <f>SUMPRODUCT(H64:O64,'Fisico ASIG'!F64:M64)*24</f>
        <v>6023526.068428223</v>
      </c>
      <c r="Q64" s="43">
        <v>0</v>
      </c>
      <c r="R64" s="43">
        <f t="shared" si="23"/>
        <v>5497.7825262795104</v>
      </c>
      <c r="S64" s="43">
        <f t="shared" si="24"/>
        <v>1540.5824573496468</v>
      </c>
      <c r="T64" s="43"/>
      <c r="U64" s="43">
        <v>18000</v>
      </c>
      <c r="V64" s="20">
        <v>0</v>
      </c>
      <c r="W64" s="20">
        <v>21900</v>
      </c>
      <c r="X64" s="20">
        <v>0</v>
      </c>
      <c r="Y64" s="18">
        <f>SUMPRODUCT(Q64:X64,'Fisico ASIG'!O64:V64)/E64</f>
        <v>5394894.7111022295</v>
      </c>
      <c r="Z64" s="25">
        <f t="shared" si="38"/>
        <v>11418420.779530453</v>
      </c>
      <c r="AA64" s="26">
        <f>+Z64/'Fisico ASIG'!N64/24</f>
        <v>60.95084229636381</v>
      </c>
      <c r="AB64" s="26">
        <f t="shared" si="37"/>
        <v>15.806111696522654</v>
      </c>
      <c r="AC64" s="29">
        <f t="shared" si="39"/>
        <v>45.144730599841154</v>
      </c>
      <c r="AI64" s="1">
        <v>6960</v>
      </c>
      <c r="AJ64" s="1">
        <v>5538825</v>
      </c>
      <c r="AK64">
        <f t="shared" si="27"/>
        <v>1.44</v>
      </c>
      <c r="AL64" s="40">
        <f t="shared" si="28"/>
        <v>8437.7999999999993</v>
      </c>
      <c r="AM64">
        <v>2235000</v>
      </c>
      <c r="AN64" s="17">
        <v>34.235217206902853</v>
      </c>
      <c r="AO64" s="64">
        <f t="shared" si="29"/>
        <v>1.9058771614659427</v>
      </c>
    </row>
    <row r="65" spans="1:41" hidden="1" x14ac:dyDescent="0.3">
      <c r="A65" s="3">
        <v>1450.75</v>
      </c>
      <c r="B65" s="42">
        <v>1470.8330000000001</v>
      </c>
      <c r="C65" s="53">
        <f t="shared" si="19"/>
        <v>2025</v>
      </c>
      <c r="D65" s="52">
        <f>+'Fisico ASIG'!B65</f>
        <v>45962</v>
      </c>
      <c r="E65" s="1">
        <v>30</v>
      </c>
      <c r="F65" s="1" t="s">
        <v>45</v>
      </c>
      <c r="G65" s="56">
        <f t="shared" si="30"/>
        <v>45971</v>
      </c>
      <c r="H65" s="17">
        <v>28</v>
      </c>
      <c r="I65" s="17">
        <f t="shared" ref="I65:I78" si="40">AI65/A65</f>
        <v>4.7975185249009131</v>
      </c>
      <c r="J65" s="17">
        <f t="shared" si="21"/>
        <v>5.8161640530759948</v>
      </c>
      <c r="K65" s="17"/>
      <c r="L65" s="17">
        <v>27</v>
      </c>
      <c r="M65" s="17">
        <v>71.5</v>
      </c>
      <c r="N65" s="17">
        <f t="shared" si="22"/>
        <v>36.479870158822585</v>
      </c>
      <c r="O65" s="17">
        <v>119.78007241518037</v>
      </c>
      <c r="P65" s="18">
        <f>SUMPRODUCT(H65:O65,'Fisico ASIG'!F65:M65)*24</f>
        <v>7089546.7340269517</v>
      </c>
      <c r="Q65" s="43">
        <v>0</v>
      </c>
      <c r="R65" s="43">
        <f t="shared" ref="R65:R71" si="41">+AJ65*AK65/A65</f>
        <v>5497.7825262795104</v>
      </c>
      <c r="S65" s="43">
        <f t="shared" ref="S65:S71" si="42">+AM65/A65</f>
        <v>1540.5824573496468</v>
      </c>
      <c r="T65" s="43"/>
      <c r="U65" s="43">
        <v>18000</v>
      </c>
      <c r="V65" s="20">
        <v>0</v>
      </c>
      <c r="W65" s="20">
        <v>21900</v>
      </c>
      <c r="X65" s="20">
        <v>0</v>
      </c>
      <c r="Y65" s="18">
        <f>SUMPRODUCT(Q65:X65,'Fisico ASIG'!O65:V65)/E65</f>
        <v>5486413.7768784035</v>
      </c>
      <c r="Z65" s="25">
        <f t="shared" ref="Z65:Z71" si="43">+(P65+Y65)</f>
        <v>12575960.510905355</v>
      </c>
      <c r="AA65" s="26">
        <f>+Z65/'Fisico ASIG'!N65/24</f>
        <v>59.950232526713627</v>
      </c>
      <c r="AB65" s="26">
        <f t="shared" si="37"/>
        <v>15.806111696522654</v>
      </c>
      <c r="AC65" s="29">
        <f t="shared" ref="AC65:AC71" si="44">+AA65-AB65</f>
        <v>44.144120830190971</v>
      </c>
      <c r="AI65" s="1">
        <v>6960</v>
      </c>
      <c r="AJ65" s="1">
        <v>5538825</v>
      </c>
      <c r="AK65">
        <f t="shared" si="27"/>
        <v>1.44</v>
      </c>
      <c r="AL65" s="40">
        <f t="shared" si="28"/>
        <v>8437.7999999999993</v>
      </c>
      <c r="AM65">
        <v>2235000</v>
      </c>
      <c r="AN65" s="17">
        <v>34.552571577351365</v>
      </c>
      <c r="AO65" s="64">
        <f t="shared" si="29"/>
        <v>1.9272985814712174</v>
      </c>
    </row>
    <row r="66" spans="1:41" hidden="1" x14ac:dyDescent="0.3">
      <c r="A66" s="3">
        <v>1450.75</v>
      </c>
      <c r="B66" s="42">
        <v>1470.8330000000001</v>
      </c>
      <c r="C66" s="53">
        <f t="shared" si="19"/>
        <v>2025</v>
      </c>
      <c r="D66" s="52">
        <f>+'Fisico ASIG'!B66</f>
        <v>45962</v>
      </c>
      <c r="E66" s="1">
        <v>30</v>
      </c>
      <c r="F66" s="1" t="s">
        <v>46</v>
      </c>
      <c r="G66" s="56">
        <f t="shared" si="30"/>
        <v>45972</v>
      </c>
      <c r="H66" s="17">
        <v>28</v>
      </c>
      <c r="I66" s="17">
        <f t="shared" si="40"/>
        <v>4.7975185249009131</v>
      </c>
      <c r="J66" s="17">
        <f t="shared" si="21"/>
        <v>5.8161640530759948</v>
      </c>
      <c r="K66" s="17"/>
      <c r="L66" s="17">
        <v>27</v>
      </c>
      <c r="M66" s="17">
        <v>71.5</v>
      </c>
      <c r="N66" s="17">
        <f t="shared" si="22"/>
        <v>36.219214506294556</v>
      </c>
      <c r="O66" s="17">
        <v>72.23364681447309</v>
      </c>
      <c r="P66" s="18">
        <f>SUMPRODUCT(H66:O66,'Fisico ASIG'!F66:M66)*24</f>
        <v>8089371.9651450589</v>
      </c>
      <c r="Q66" s="43">
        <v>0</v>
      </c>
      <c r="R66" s="43">
        <f t="shared" si="41"/>
        <v>5497.7825262795104</v>
      </c>
      <c r="S66" s="43">
        <f t="shared" si="42"/>
        <v>1540.5824573496468</v>
      </c>
      <c r="T66" s="43"/>
      <c r="U66" s="43">
        <v>18000</v>
      </c>
      <c r="V66" s="20">
        <v>0</v>
      </c>
      <c r="W66" s="20">
        <v>21900</v>
      </c>
      <c r="X66" s="20">
        <v>0</v>
      </c>
      <c r="Y66" s="18">
        <f>SUMPRODUCT(Q66:X66,'Fisico ASIG'!O66:V66)/E66</f>
        <v>5625704.6456724936</v>
      </c>
      <c r="Z66" s="25">
        <f t="shared" si="43"/>
        <v>13715076.610817552</v>
      </c>
      <c r="AA66" s="26">
        <f>+Z66/'Fisico ASIG'!N66/24</f>
        <v>61.665552545117372</v>
      </c>
      <c r="AB66" s="26">
        <f t="shared" si="37"/>
        <v>15.806111696522654</v>
      </c>
      <c r="AC66" s="29">
        <f t="shared" si="44"/>
        <v>45.859440848594716</v>
      </c>
      <c r="AI66" s="1">
        <v>6960</v>
      </c>
      <c r="AJ66" s="1">
        <v>5538825</v>
      </c>
      <c r="AK66">
        <f t="shared" si="27"/>
        <v>1.44</v>
      </c>
      <c r="AL66" s="40">
        <f t="shared" si="28"/>
        <v>8437.7999999999993</v>
      </c>
      <c r="AM66">
        <v>2235000</v>
      </c>
      <c r="AN66" s="17">
        <v>34.308397663976166</v>
      </c>
      <c r="AO66" s="64">
        <f t="shared" si="29"/>
        <v>1.9108168423183913</v>
      </c>
    </row>
    <row r="67" spans="1:41" hidden="1" x14ac:dyDescent="0.3">
      <c r="A67" s="3">
        <v>1450.75</v>
      </c>
      <c r="B67" s="42">
        <v>1470.8330000000001</v>
      </c>
      <c r="C67" s="53">
        <f t="shared" si="19"/>
        <v>2025</v>
      </c>
      <c r="D67" s="52">
        <f>+'Fisico ASIG'!B67</f>
        <v>45962</v>
      </c>
      <c r="E67" s="1">
        <v>30</v>
      </c>
      <c r="F67" s="1" t="s">
        <v>47</v>
      </c>
      <c r="G67" s="56">
        <f t="shared" si="30"/>
        <v>45973</v>
      </c>
      <c r="H67" s="17">
        <v>28</v>
      </c>
      <c r="I67" s="17">
        <f t="shared" si="40"/>
        <v>4.7975185249009131</v>
      </c>
      <c r="J67" s="17">
        <f t="shared" si="21"/>
        <v>5.8161640530759948</v>
      </c>
      <c r="K67" s="17"/>
      <c r="L67" s="17">
        <v>27</v>
      </c>
      <c r="M67" s="17">
        <v>71.5</v>
      </c>
      <c r="N67" s="17">
        <f t="shared" si="22"/>
        <v>36.68131687025911</v>
      </c>
      <c r="O67" s="17">
        <v>70.685591798275411</v>
      </c>
      <c r="P67" s="18">
        <f>SUMPRODUCT(H67:O67,'Fisico ASIG'!F67:M67)*24</f>
        <v>8198575.9296496958</v>
      </c>
      <c r="Q67" s="43">
        <v>0</v>
      </c>
      <c r="R67" s="43">
        <f t="shared" si="41"/>
        <v>5497.7825262795104</v>
      </c>
      <c r="S67" s="43">
        <f t="shared" si="42"/>
        <v>1540.5824573496468</v>
      </c>
      <c r="T67" s="43"/>
      <c r="U67" s="43">
        <v>18000</v>
      </c>
      <c r="V67" s="20">
        <v>0</v>
      </c>
      <c r="W67" s="20">
        <v>21900</v>
      </c>
      <c r="X67" s="20">
        <v>0</v>
      </c>
      <c r="Y67" s="18">
        <f>SUMPRODUCT(Q67:X67,'Fisico ASIG'!O67:V67)/E67</f>
        <v>5633321.0966768377</v>
      </c>
      <c r="Z67" s="25">
        <f t="shared" si="43"/>
        <v>13831897.026326533</v>
      </c>
      <c r="AA67" s="26">
        <f>+Z67/'Fisico ASIG'!N67/24</f>
        <v>62.512183069025532</v>
      </c>
      <c r="AB67" s="26">
        <f t="shared" si="37"/>
        <v>15.806111696522654</v>
      </c>
      <c r="AC67" s="29">
        <f t="shared" si="44"/>
        <v>46.706071372502876</v>
      </c>
      <c r="AI67" s="1">
        <v>6960</v>
      </c>
      <c r="AJ67" s="1">
        <v>5538825</v>
      </c>
      <c r="AK67">
        <f t="shared" si="27"/>
        <v>1.44</v>
      </c>
      <c r="AL67" s="40">
        <f t="shared" si="28"/>
        <v>8437.7999999999993</v>
      </c>
      <c r="AM67">
        <v>2235000</v>
      </c>
      <c r="AN67" s="17">
        <v>34.741280440523759</v>
      </c>
      <c r="AO67" s="64">
        <f t="shared" si="29"/>
        <v>1.9400364297353538</v>
      </c>
    </row>
    <row r="68" spans="1:41" hidden="1" x14ac:dyDescent="0.3">
      <c r="A68" s="3">
        <v>1450.75</v>
      </c>
      <c r="B68" s="42">
        <v>1470.8330000000001</v>
      </c>
      <c r="C68" s="53">
        <f t="shared" si="19"/>
        <v>2025</v>
      </c>
      <c r="D68" s="52">
        <f>+'Fisico ASIG'!B68</f>
        <v>45962</v>
      </c>
      <c r="E68" s="1">
        <v>30</v>
      </c>
      <c r="F68" s="1" t="s">
        <v>48</v>
      </c>
      <c r="G68" s="56">
        <f t="shared" si="30"/>
        <v>45974</v>
      </c>
      <c r="H68" s="17">
        <v>28</v>
      </c>
      <c r="I68" s="17">
        <f t="shared" si="40"/>
        <v>4.7975185249009131</v>
      </c>
      <c r="J68" s="17">
        <f t="shared" si="21"/>
        <v>5.8161640530759948</v>
      </c>
      <c r="K68" s="17"/>
      <c r="L68" s="17">
        <v>27</v>
      </c>
      <c r="M68" s="17">
        <v>71.5</v>
      </c>
      <c r="N68" s="17">
        <f t="shared" si="22"/>
        <v>35.985042261906024</v>
      </c>
      <c r="O68" s="17">
        <v>119.95626008881881</v>
      </c>
      <c r="P68" s="18">
        <f>SUMPRODUCT(H68:O68,'Fisico ASIG'!F68:M68)*24</f>
        <v>7664738.6962435674</v>
      </c>
      <c r="Q68" s="43">
        <v>0</v>
      </c>
      <c r="R68" s="43">
        <f t="shared" si="41"/>
        <v>5497.7825262795104</v>
      </c>
      <c r="S68" s="43">
        <f t="shared" si="42"/>
        <v>1540.5824573496468</v>
      </c>
      <c r="T68" s="43"/>
      <c r="U68" s="43">
        <v>18000</v>
      </c>
      <c r="V68" s="20">
        <v>0</v>
      </c>
      <c r="W68" s="20">
        <v>21900</v>
      </c>
      <c r="X68" s="20">
        <v>0</v>
      </c>
      <c r="Y68" s="18">
        <f>SUMPRODUCT(Q68:X68,'Fisico ASIG'!O68:V68)/E68</f>
        <v>5706332.3022597469</v>
      </c>
      <c r="Z68" s="25">
        <f t="shared" si="43"/>
        <v>13371070.998503314</v>
      </c>
      <c r="AA68" s="26">
        <f>+Z68/'Fisico ASIG'!N68/24</f>
        <v>60.186020215721534</v>
      </c>
      <c r="AB68" s="26">
        <f t="shared" si="37"/>
        <v>15.806111696522654</v>
      </c>
      <c r="AC68" s="29">
        <f t="shared" si="44"/>
        <v>44.379908519198878</v>
      </c>
      <c r="AI68" s="1">
        <v>6960</v>
      </c>
      <c r="AJ68" s="1">
        <v>5538825</v>
      </c>
      <c r="AK68">
        <f t="shared" si="27"/>
        <v>1.44</v>
      </c>
      <c r="AL68" s="40">
        <f t="shared" si="28"/>
        <v>8437.7999999999993</v>
      </c>
      <c r="AM68">
        <v>2235000</v>
      </c>
      <c r="AN68" s="17">
        <v>34.089032563846395</v>
      </c>
      <c r="AO68" s="64">
        <f t="shared" si="29"/>
        <v>1.8960096980596317</v>
      </c>
    </row>
    <row r="69" spans="1:41" hidden="1" x14ac:dyDescent="0.3">
      <c r="A69" s="3">
        <v>1450.75</v>
      </c>
      <c r="B69" s="42">
        <v>1470.8330000000001</v>
      </c>
      <c r="C69" s="53">
        <f t="shared" si="19"/>
        <v>2025</v>
      </c>
      <c r="D69" s="52">
        <f>+'Fisico ASIG'!B69</f>
        <v>45962</v>
      </c>
      <c r="E69" s="1">
        <v>30</v>
      </c>
      <c r="F69" s="1" t="s">
        <v>49</v>
      </c>
      <c r="G69" s="56">
        <f t="shared" si="30"/>
        <v>45975</v>
      </c>
      <c r="H69" s="17">
        <v>28</v>
      </c>
      <c r="I69" s="17">
        <f t="shared" si="40"/>
        <v>4.7975185249009131</v>
      </c>
      <c r="J69" s="17">
        <f t="shared" si="21"/>
        <v>5.8161640530759948</v>
      </c>
      <c r="K69" s="17"/>
      <c r="L69" s="17">
        <v>27</v>
      </c>
      <c r="M69" s="17">
        <v>71.5</v>
      </c>
      <c r="N69" s="17">
        <f t="shared" si="22"/>
        <v>36.455637660296382</v>
      </c>
      <c r="O69" s="17">
        <v>105.23640964617633</v>
      </c>
      <c r="P69" s="18">
        <f>SUMPRODUCT(H69:O69,'Fisico ASIG'!F69:M69)*24</f>
        <v>8408967.4040639047</v>
      </c>
      <c r="Q69" s="43">
        <v>0</v>
      </c>
      <c r="R69" s="43">
        <f t="shared" si="41"/>
        <v>5497.7825262795104</v>
      </c>
      <c r="S69" s="43">
        <f t="shared" si="42"/>
        <v>1540.5824573496468</v>
      </c>
      <c r="T69" s="43"/>
      <c r="U69" s="43">
        <v>18000</v>
      </c>
      <c r="V69" s="20">
        <v>0</v>
      </c>
      <c r="W69" s="20">
        <v>21900</v>
      </c>
      <c r="X69" s="20">
        <v>0</v>
      </c>
      <c r="Y69" s="18">
        <f>SUMPRODUCT(Q69:X69,'Fisico ASIG'!O69:V69)/E69</f>
        <v>5651805.0428719306</v>
      </c>
      <c r="Z69" s="25">
        <f t="shared" si="43"/>
        <v>14060772.446935836</v>
      </c>
      <c r="AA69" s="26">
        <f>+Z69/'Fisico ASIG'!N69/24</f>
        <v>60.147682196884027</v>
      </c>
      <c r="AB69" s="26">
        <f t="shared" si="37"/>
        <v>15.806111696522654</v>
      </c>
      <c r="AC69" s="29">
        <f t="shared" si="44"/>
        <v>44.341570500361371</v>
      </c>
      <c r="AI69" s="1">
        <v>6960</v>
      </c>
      <c r="AJ69" s="1">
        <v>5538825</v>
      </c>
      <c r="AK69">
        <f t="shared" si="27"/>
        <v>1.44</v>
      </c>
      <c r="AL69" s="40">
        <f t="shared" si="28"/>
        <v>8437.7999999999993</v>
      </c>
      <c r="AM69">
        <v>2235000</v>
      </c>
      <c r="AN69" s="17">
        <v>34.529871344539934</v>
      </c>
      <c r="AO69" s="64">
        <f t="shared" si="29"/>
        <v>1.9257663157564457</v>
      </c>
    </row>
    <row r="70" spans="1:41" hidden="1" x14ac:dyDescent="0.3">
      <c r="A70" s="3">
        <v>1450.75</v>
      </c>
      <c r="B70" s="42">
        <v>1470.8330000000001</v>
      </c>
      <c r="C70" s="53">
        <f t="shared" si="19"/>
        <v>2025</v>
      </c>
      <c r="D70" s="52">
        <f>+'Fisico ASIG'!B70</f>
        <v>45962</v>
      </c>
      <c r="E70" s="1">
        <v>30</v>
      </c>
      <c r="F70" s="1" t="s">
        <v>43</v>
      </c>
      <c r="G70" s="56">
        <f t="shared" si="30"/>
        <v>45976</v>
      </c>
      <c r="H70" s="17">
        <v>28</v>
      </c>
      <c r="I70" s="17">
        <f t="shared" si="40"/>
        <v>4.7975185249009131</v>
      </c>
      <c r="J70" s="17">
        <f t="shared" si="21"/>
        <v>5.8161640530759948</v>
      </c>
      <c r="K70" s="17"/>
      <c r="L70" s="17">
        <v>27</v>
      </c>
      <c r="M70" s="17">
        <v>71.5</v>
      </c>
      <c r="N70" s="17">
        <f t="shared" si="22"/>
        <v>36.354487418832107</v>
      </c>
      <c r="O70" s="17">
        <v>44.343611978390932</v>
      </c>
      <c r="P70" s="18">
        <f>SUMPRODUCT(H70:O70,'Fisico ASIG'!F70:M70)*24</f>
        <v>8082959.8399003716</v>
      </c>
      <c r="Q70" s="43">
        <v>0</v>
      </c>
      <c r="R70" s="43">
        <f t="shared" si="41"/>
        <v>5497.7825262795104</v>
      </c>
      <c r="S70" s="43">
        <f t="shared" si="42"/>
        <v>1540.5824573496468</v>
      </c>
      <c r="T70" s="43"/>
      <c r="U70" s="43">
        <v>18000</v>
      </c>
      <c r="V70" s="20">
        <v>0</v>
      </c>
      <c r="W70" s="20">
        <v>21900</v>
      </c>
      <c r="X70" s="20">
        <v>0</v>
      </c>
      <c r="Y70" s="18">
        <f>SUMPRODUCT(Q70:X70,'Fisico ASIG'!O70:V70)/E70</f>
        <v>5445566.5418772576</v>
      </c>
      <c r="Z70" s="25">
        <f t="shared" si="43"/>
        <v>13528526.381777629</v>
      </c>
      <c r="AA70" s="26">
        <f>+Z70/'Fisico ASIG'!N70/24</f>
        <v>59.045669261541526</v>
      </c>
      <c r="AB70" s="26">
        <f t="shared" si="37"/>
        <v>15.806111696522654</v>
      </c>
      <c r="AC70" s="29">
        <f t="shared" si="44"/>
        <v>43.23955756501887</v>
      </c>
      <c r="AI70" s="1">
        <v>6960</v>
      </c>
      <c r="AJ70" s="1">
        <v>5538825</v>
      </c>
      <c r="AK70">
        <f t="shared" si="27"/>
        <v>1.44</v>
      </c>
      <c r="AL70" s="40">
        <f t="shared" si="28"/>
        <v>8437.7999999999993</v>
      </c>
      <c r="AM70">
        <v>2235000</v>
      </c>
      <c r="AN70" s="17">
        <v>34.435117019983238</v>
      </c>
      <c r="AO70" s="64">
        <f t="shared" si="29"/>
        <v>1.9193703988488686</v>
      </c>
    </row>
    <row r="71" spans="1:41" hidden="1" x14ac:dyDescent="0.3">
      <c r="A71" s="3">
        <v>1450.75</v>
      </c>
      <c r="B71" s="42">
        <v>1470.8330000000001</v>
      </c>
      <c r="C71" s="53">
        <f t="shared" si="19"/>
        <v>2025</v>
      </c>
      <c r="D71" s="52">
        <f>+'Fisico ASIG'!B71</f>
        <v>45962</v>
      </c>
      <c r="E71" s="1">
        <v>30</v>
      </c>
      <c r="F71" s="1" t="s">
        <v>44</v>
      </c>
      <c r="G71" s="56">
        <f t="shared" si="30"/>
        <v>45977</v>
      </c>
      <c r="H71" s="17">
        <v>28</v>
      </c>
      <c r="I71" s="17">
        <f t="shared" si="40"/>
        <v>4.7975185249009131</v>
      </c>
      <c r="J71" s="17">
        <f t="shared" si="21"/>
        <v>5.8161640530759948</v>
      </c>
      <c r="K71" s="17"/>
      <c r="L71" s="17">
        <v>27</v>
      </c>
      <c r="M71" s="17">
        <v>71.5</v>
      </c>
      <c r="N71" s="17">
        <f t="shared" si="22"/>
        <v>36.781685647631512</v>
      </c>
      <c r="O71" s="17">
        <v>44.638858371070775</v>
      </c>
      <c r="P71" s="18">
        <f>SUMPRODUCT(H71:O71,'Fisico ASIG'!F71:M71)*24</f>
        <v>7144734.0059357174</v>
      </c>
      <c r="Q71" s="43">
        <v>0</v>
      </c>
      <c r="R71" s="43">
        <f t="shared" si="41"/>
        <v>5497.7825262795104</v>
      </c>
      <c r="S71" s="43">
        <f t="shared" si="42"/>
        <v>1540.5824573496468</v>
      </c>
      <c r="T71" s="43"/>
      <c r="U71" s="43">
        <v>18000</v>
      </c>
      <c r="V71" s="20">
        <v>0</v>
      </c>
      <c r="W71" s="20">
        <v>21900</v>
      </c>
      <c r="X71" s="20">
        <v>0</v>
      </c>
      <c r="Y71" s="18">
        <f>SUMPRODUCT(Q71:X71,'Fisico ASIG'!O71:V71)/E71</f>
        <v>5450480.551950139</v>
      </c>
      <c r="Z71" s="25">
        <f t="shared" si="43"/>
        <v>12595214.557885855</v>
      </c>
      <c r="AA71" s="26">
        <f>+Z71/'Fisico ASIG'!N71/24</f>
        <v>67.416028372837403</v>
      </c>
      <c r="AB71" s="26">
        <f t="shared" si="37"/>
        <v>15.806111696522654</v>
      </c>
      <c r="AC71" s="29">
        <f t="shared" si="44"/>
        <v>51.609916676314747</v>
      </c>
      <c r="AI71" s="1">
        <v>6960</v>
      </c>
      <c r="AJ71" s="1">
        <v>5538825</v>
      </c>
      <c r="AK71">
        <f t="shared" si="27"/>
        <v>1.44</v>
      </c>
      <c r="AL71" s="40">
        <f t="shared" si="28"/>
        <v>8437.7999999999993</v>
      </c>
      <c r="AM71">
        <v>2235000</v>
      </c>
      <c r="AN71" s="17">
        <v>34.835302714408911</v>
      </c>
      <c r="AO71" s="64">
        <f t="shared" si="29"/>
        <v>1.9463829332226017</v>
      </c>
    </row>
    <row r="72" spans="1:41" hidden="1" x14ac:dyDescent="0.3">
      <c r="A72" s="3">
        <v>1450.75</v>
      </c>
      <c r="B72" s="42">
        <v>1419.3330000000001</v>
      </c>
      <c r="C72" s="53">
        <f t="shared" si="19"/>
        <v>2025</v>
      </c>
      <c r="D72" s="52">
        <f>+'Fisico ASIG'!B72</f>
        <v>45962</v>
      </c>
      <c r="E72" s="1">
        <v>30</v>
      </c>
      <c r="F72" s="1" t="s">
        <v>45</v>
      </c>
      <c r="G72" s="56">
        <f t="shared" si="30"/>
        <v>45978</v>
      </c>
      <c r="H72" s="17">
        <v>28</v>
      </c>
      <c r="I72" s="17">
        <f t="shared" si="40"/>
        <v>4.7975185249009131</v>
      </c>
      <c r="J72" s="17">
        <f t="shared" si="21"/>
        <v>5.8161640530759948</v>
      </c>
      <c r="K72" s="17"/>
      <c r="L72" s="17">
        <v>27</v>
      </c>
      <c r="M72" s="17">
        <v>71.5</v>
      </c>
      <c r="N72" s="17">
        <f t="shared" si="22"/>
        <v>38.573605864377541</v>
      </c>
      <c r="O72" s="17">
        <v>119.62109251657721</v>
      </c>
      <c r="P72" s="18">
        <f>SUMPRODUCT(H72:O72,'Fisico ASIG'!F72:M72)*24</f>
        <v>7547602.9552768487</v>
      </c>
      <c r="Q72" s="43">
        <v>0</v>
      </c>
      <c r="R72" s="43">
        <f t="shared" ref="R72:R78" si="45">+AJ72*AK72/A72</f>
        <v>5497.7825262795104</v>
      </c>
      <c r="S72" s="43">
        <f t="shared" ref="S72:S78" si="46">+AM72/A72</f>
        <v>1540.5824573496468</v>
      </c>
      <c r="T72" s="43"/>
      <c r="U72" s="43">
        <v>18000</v>
      </c>
      <c r="V72" s="20">
        <v>0</v>
      </c>
      <c r="W72" s="20">
        <v>21900</v>
      </c>
      <c r="X72" s="20">
        <v>0</v>
      </c>
      <c r="Y72" s="18">
        <f>SUMPRODUCT(Q72:X72,'Fisico ASIG'!O72:V72)/E72</f>
        <v>5517636.7776633473</v>
      </c>
      <c r="Z72" s="25">
        <f t="shared" ref="Z72:Z78" si="47">+(P72+Y72)</f>
        <v>13065239.732940197</v>
      </c>
      <c r="AA72" s="26">
        <f>+Z72/'Fisico ASIG'!N72/24</f>
        <v>65.504190581600739</v>
      </c>
      <c r="AB72" s="26">
        <f t="shared" si="37"/>
        <v>15.806111696522654</v>
      </c>
      <c r="AC72" s="29">
        <f t="shared" ref="AC72:AC78" si="48">+AA72-AB72</f>
        <v>49.698078885078083</v>
      </c>
      <c r="AI72" s="1">
        <v>6960</v>
      </c>
      <c r="AJ72" s="1">
        <v>5538825</v>
      </c>
      <c r="AK72">
        <f t="shared" si="27"/>
        <v>1.44</v>
      </c>
      <c r="AL72" s="40">
        <f t="shared" si="28"/>
        <v>8437.7999999999993</v>
      </c>
      <c r="AM72">
        <v>2235000</v>
      </c>
      <c r="AN72" s="17">
        <v>36.513916500587861</v>
      </c>
      <c r="AO72" s="64">
        <f t="shared" si="29"/>
        <v>2.0596893637896807</v>
      </c>
    </row>
    <row r="73" spans="1:41" hidden="1" x14ac:dyDescent="0.3">
      <c r="A73" s="3">
        <v>1450.75</v>
      </c>
      <c r="B73" s="42">
        <v>1419.3330000000001</v>
      </c>
      <c r="C73" s="53">
        <f t="shared" si="19"/>
        <v>2025</v>
      </c>
      <c r="D73" s="52">
        <f>+'Fisico ASIG'!B73</f>
        <v>45962</v>
      </c>
      <c r="E73" s="1">
        <v>30</v>
      </c>
      <c r="F73" s="1" t="s">
        <v>46</v>
      </c>
      <c r="G73" s="56">
        <f t="shared" si="30"/>
        <v>45979</v>
      </c>
      <c r="H73" s="17">
        <v>28</v>
      </c>
      <c r="I73" s="17">
        <f t="shared" si="40"/>
        <v>4.7975185249009131</v>
      </c>
      <c r="J73" s="17">
        <f t="shared" si="21"/>
        <v>5.8161640530759948</v>
      </c>
      <c r="K73" s="17"/>
      <c r="L73" s="17">
        <v>27</v>
      </c>
      <c r="M73" s="17">
        <v>71.5</v>
      </c>
      <c r="N73" s="17">
        <f t="shared" si="22"/>
        <v>37.570330004637583</v>
      </c>
      <c r="O73" s="17">
        <v>39.84198765477489</v>
      </c>
      <c r="P73" s="18">
        <f>SUMPRODUCT(H73:O73,'Fisico ASIG'!F73:M73)*24</f>
        <v>7583004.9669579342</v>
      </c>
      <c r="Q73" s="43">
        <v>0</v>
      </c>
      <c r="R73" s="43">
        <f t="shared" si="45"/>
        <v>5497.7825262795104</v>
      </c>
      <c r="S73" s="43">
        <f t="shared" si="46"/>
        <v>1540.5824573496468</v>
      </c>
      <c r="T73" s="43"/>
      <c r="U73" s="43">
        <v>18000</v>
      </c>
      <c r="V73" s="20">
        <v>0</v>
      </c>
      <c r="W73" s="20">
        <v>21900</v>
      </c>
      <c r="X73" s="20">
        <v>0</v>
      </c>
      <c r="Y73" s="18">
        <f>SUMPRODUCT(Q73:X73,'Fisico ASIG'!O73:V73)/E73</f>
        <v>5467095.5107293706</v>
      </c>
      <c r="Z73" s="25">
        <f t="shared" si="47"/>
        <v>13050100.477687305</v>
      </c>
      <c r="AA73" s="26">
        <f>+Z73/'Fisico ASIG'!N73/24</f>
        <v>61.661250918106781</v>
      </c>
      <c r="AB73" s="26">
        <f t="shared" si="37"/>
        <v>15.806111696522654</v>
      </c>
      <c r="AC73" s="29">
        <f t="shared" si="48"/>
        <v>45.855139221584125</v>
      </c>
      <c r="AI73" s="1">
        <v>6960</v>
      </c>
      <c r="AJ73" s="1">
        <v>5538825</v>
      </c>
      <c r="AK73">
        <f t="shared" si="27"/>
        <v>1.44</v>
      </c>
      <c r="AL73" s="40">
        <f t="shared" si="28"/>
        <v>8437.7999999999993</v>
      </c>
      <c r="AM73">
        <v>2235000</v>
      </c>
      <c r="AN73" s="17">
        <v>35.574079629637083</v>
      </c>
      <c r="AO73" s="64">
        <f t="shared" si="29"/>
        <v>1.9962503750005032</v>
      </c>
    </row>
    <row r="74" spans="1:41" hidden="1" x14ac:dyDescent="0.3">
      <c r="A74" s="3">
        <v>1450.75</v>
      </c>
      <c r="B74" s="42">
        <v>1419.3330000000001</v>
      </c>
      <c r="C74" s="53">
        <f t="shared" si="19"/>
        <v>2025</v>
      </c>
      <c r="D74" s="52">
        <f>+'Fisico ASIG'!B74</f>
        <v>45962</v>
      </c>
      <c r="E74" s="1">
        <v>30</v>
      </c>
      <c r="F74" s="1" t="s">
        <v>47</v>
      </c>
      <c r="G74" s="56">
        <f t="shared" si="30"/>
        <v>45980</v>
      </c>
      <c r="H74" s="17">
        <v>28</v>
      </c>
      <c r="I74" s="17">
        <f t="shared" si="40"/>
        <v>4.7975185249009131</v>
      </c>
      <c r="J74" s="17">
        <f t="shared" si="21"/>
        <v>5.8161640530759948</v>
      </c>
      <c r="K74" s="17"/>
      <c r="L74" s="17">
        <v>27</v>
      </c>
      <c r="M74" s="17">
        <v>71.5</v>
      </c>
      <c r="N74" s="17">
        <f t="shared" si="22"/>
        <v>38.578346691760835</v>
      </c>
      <c r="O74" s="17">
        <v>115.0982800982801</v>
      </c>
      <c r="P74" s="18">
        <f>SUMPRODUCT(H74:O74,'Fisico ASIG'!F74:M74)*24</f>
        <v>6676257.5052404236</v>
      </c>
      <c r="Q74" s="43">
        <v>0</v>
      </c>
      <c r="R74" s="43">
        <f t="shared" si="45"/>
        <v>5497.7825262795104</v>
      </c>
      <c r="S74" s="43">
        <f t="shared" si="46"/>
        <v>1540.5824573496468</v>
      </c>
      <c r="T74" s="43"/>
      <c r="U74" s="43">
        <v>18000</v>
      </c>
      <c r="V74" s="20">
        <v>0</v>
      </c>
      <c r="W74" s="20">
        <v>21900</v>
      </c>
      <c r="X74" s="20">
        <v>0</v>
      </c>
      <c r="Y74" s="18">
        <f>SUMPRODUCT(Q74:X74,'Fisico ASIG'!O74:V74)/E74</f>
        <v>5385361.1877801949</v>
      </c>
      <c r="Z74" s="25">
        <f t="shared" si="47"/>
        <v>12061618.693020619</v>
      </c>
      <c r="AA74" s="26">
        <f>+Z74/'Fisico ASIG'!N74/24</f>
        <v>56.857047506854762</v>
      </c>
      <c r="AB74" s="26">
        <f t="shared" si="37"/>
        <v>15.806111696522654</v>
      </c>
      <c r="AC74" s="29">
        <f t="shared" si="48"/>
        <v>41.050935810332106</v>
      </c>
      <c r="AI74" s="1">
        <v>6960</v>
      </c>
      <c r="AJ74" s="1">
        <v>5538825</v>
      </c>
      <c r="AK74">
        <f t="shared" si="27"/>
        <v>1.44</v>
      </c>
      <c r="AL74" s="40">
        <f t="shared" si="28"/>
        <v>8437.7999999999993</v>
      </c>
      <c r="AM74">
        <v>2235000</v>
      </c>
      <c r="AN74" s="17">
        <v>36.51835755668462</v>
      </c>
      <c r="AO74" s="64">
        <f t="shared" si="29"/>
        <v>2.0599891350762118</v>
      </c>
    </row>
    <row r="75" spans="1:41" hidden="1" x14ac:dyDescent="0.3">
      <c r="A75" s="3">
        <v>1450.75</v>
      </c>
      <c r="B75" s="42">
        <v>1419.3330000000001</v>
      </c>
      <c r="C75" s="53">
        <f t="shared" si="19"/>
        <v>2025</v>
      </c>
      <c r="D75" s="52">
        <f>+'Fisico ASIG'!B75</f>
        <v>45962</v>
      </c>
      <c r="E75" s="1">
        <v>30</v>
      </c>
      <c r="F75" s="1" t="s">
        <v>48</v>
      </c>
      <c r="G75" s="56">
        <f t="shared" si="30"/>
        <v>45981</v>
      </c>
      <c r="H75" s="17">
        <v>28</v>
      </c>
      <c r="I75" s="17">
        <f t="shared" si="40"/>
        <v>4.7975185249009131</v>
      </c>
      <c r="J75" s="17">
        <f t="shared" si="21"/>
        <v>5.8161640530759948</v>
      </c>
      <c r="K75" s="17"/>
      <c r="L75" s="17">
        <v>27</v>
      </c>
      <c r="M75" s="17">
        <v>71.5</v>
      </c>
      <c r="N75" s="17">
        <f t="shared" si="22"/>
        <v>39.944191082927709</v>
      </c>
      <c r="O75" s="17">
        <v>90.930953380932365</v>
      </c>
      <c r="P75" s="18">
        <f>SUMPRODUCT(H75:O75,'Fisico ASIG'!F75:M75)*24</f>
        <v>6822390.0728990771</v>
      </c>
      <c r="Q75" s="43">
        <v>0</v>
      </c>
      <c r="R75" s="43">
        <f t="shared" si="45"/>
        <v>5497.7825262795104</v>
      </c>
      <c r="S75" s="43">
        <f t="shared" si="46"/>
        <v>1540.5824573496468</v>
      </c>
      <c r="T75" s="43"/>
      <c r="U75" s="43">
        <v>18000</v>
      </c>
      <c r="V75" s="20">
        <v>0</v>
      </c>
      <c r="W75" s="20">
        <v>21900</v>
      </c>
      <c r="X75" s="20">
        <v>0</v>
      </c>
      <c r="Y75" s="18">
        <f>SUMPRODUCT(Q75:X75,'Fisico ASIG'!O75:V75)/E75</f>
        <v>5094865.9252969427</v>
      </c>
      <c r="Z75" s="25">
        <f t="shared" si="47"/>
        <v>11917255.998196021</v>
      </c>
      <c r="AA75" s="26">
        <f>+Z75/'Fisico ASIG'!N75/24</f>
        <v>59.193086657239604</v>
      </c>
      <c r="AB75" s="26">
        <f t="shared" si="37"/>
        <v>15.806111696522654</v>
      </c>
      <c r="AC75" s="29">
        <f t="shared" si="48"/>
        <v>43.386974960716948</v>
      </c>
      <c r="AI75" s="1">
        <v>6960</v>
      </c>
      <c r="AJ75" s="1">
        <v>5538825</v>
      </c>
      <c r="AK75">
        <f t="shared" si="27"/>
        <v>1.44</v>
      </c>
      <c r="AL75" s="40">
        <f t="shared" si="28"/>
        <v>8437.7999999999993</v>
      </c>
      <c r="AM75">
        <v>2235000</v>
      </c>
      <c r="AN75" s="17">
        <v>37.797837080025957</v>
      </c>
      <c r="AO75" s="64">
        <f t="shared" si="29"/>
        <v>2.1463540029017523</v>
      </c>
    </row>
    <row r="76" spans="1:41" hidden="1" x14ac:dyDescent="0.3">
      <c r="A76" s="3">
        <v>1450.75</v>
      </c>
      <c r="B76" s="42">
        <v>1419.3330000000001</v>
      </c>
      <c r="C76" s="53">
        <f t="shared" si="19"/>
        <v>2025</v>
      </c>
      <c r="D76" s="52">
        <f>+'Fisico ASIG'!B76</f>
        <v>45962</v>
      </c>
      <c r="E76" s="1">
        <v>30</v>
      </c>
      <c r="F76" s="1" t="s">
        <v>49</v>
      </c>
      <c r="G76" s="56">
        <f t="shared" si="30"/>
        <v>45982</v>
      </c>
      <c r="H76" s="17">
        <v>28</v>
      </c>
      <c r="I76" s="17">
        <f t="shared" si="40"/>
        <v>4.7975185249009131</v>
      </c>
      <c r="J76" s="17">
        <f t="shared" si="21"/>
        <v>5.8161640530759948</v>
      </c>
      <c r="K76" s="17"/>
      <c r="L76" s="17">
        <v>27</v>
      </c>
      <c r="M76" s="17">
        <v>71.5</v>
      </c>
      <c r="N76" s="17">
        <f t="shared" si="22"/>
        <v>39.763388414958854</v>
      </c>
      <c r="O76" s="17">
        <v>96.520753903232702</v>
      </c>
      <c r="P76" s="18">
        <f>SUMPRODUCT(H76:O76,'Fisico ASIG'!F76:M76)*24</f>
        <v>6361201.9524527546</v>
      </c>
      <c r="Q76" s="43">
        <v>0</v>
      </c>
      <c r="R76" s="43">
        <f t="shared" si="45"/>
        <v>5497.7825262795104</v>
      </c>
      <c r="S76" s="43">
        <f t="shared" si="46"/>
        <v>1540.5824573496468</v>
      </c>
      <c r="T76" s="43"/>
      <c r="U76" s="43">
        <v>18000</v>
      </c>
      <c r="V76" s="20">
        <v>0</v>
      </c>
      <c r="W76" s="20">
        <v>21900</v>
      </c>
      <c r="X76" s="20">
        <v>0</v>
      </c>
      <c r="Y76" s="18">
        <f>SUMPRODUCT(Q76:X76,'Fisico ASIG'!O76:V76)/E76</f>
        <v>5119418.2461826243</v>
      </c>
      <c r="Z76" s="25">
        <f t="shared" si="47"/>
        <v>11480620.198635379</v>
      </c>
      <c r="AA76" s="26">
        <f>+Z76/'Fisico ASIG'!N76/24</f>
        <v>61.724991375959654</v>
      </c>
      <c r="AB76" s="26">
        <f t="shared" si="37"/>
        <v>15.806111696522654</v>
      </c>
      <c r="AC76" s="29">
        <f t="shared" si="48"/>
        <v>45.918879679436998</v>
      </c>
      <c r="AI76" s="1">
        <v>6960</v>
      </c>
      <c r="AJ76" s="1">
        <v>5538825</v>
      </c>
      <c r="AK76">
        <f t="shared" si="27"/>
        <v>1.44</v>
      </c>
      <c r="AL76" s="40">
        <f t="shared" si="28"/>
        <v>8437.7999999999993</v>
      </c>
      <c r="AM76">
        <v>2235000</v>
      </c>
      <c r="AN76" s="17">
        <v>37.628466899258882</v>
      </c>
      <c r="AO76" s="64">
        <f t="shared" si="29"/>
        <v>2.1349215156999746</v>
      </c>
    </row>
    <row r="77" spans="1:41" hidden="1" x14ac:dyDescent="0.3">
      <c r="A77" s="3">
        <v>1450.75</v>
      </c>
      <c r="B77" s="42">
        <v>1419.3330000000001</v>
      </c>
      <c r="C77" s="53">
        <f t="shared" si="19"/>
        <v>2025</v>
      </c>
      <c r="D77" s="52">
        <f>+'Fisico ASIG'!B77</f>
        <v>45962</v>
      </c>
      <c r="E77" s="1">
        <v>30</v>
      </c>
      <c r="F77" s="1" t="s">
        <v>43</v>
      </c>
      <c r="G77" s="56">
        <f t="shared" si="30"/>
        <v>45983</v>
      </c>
      <c r="H77" s="17">
        <v>28</v>
      </c>
      <c r="I77" s="17">
        <f t="shared" si="40"/>
        <v>4.7975185249009131</v>
      </c>
      <c r="J77" s="17">
        <f t="shared" si="21"/>
        <v>5.8161640530759948</v>
      </c>
      <c r="K77" s="17"/>
      <c r="L77" s="17">
        <v>27</v>
      </c>
      <c r="M77" s="17">
        <v>71.5</v>
      </c>
      <c r="N77" s="17">
        <f t="shared" si="22"/>
        <v>40.152456595346798</v>
      </c>
      <c r="O77" s="17">
        <v>107.3649425412964</v>
      </c>
      <c r="P77" s="18">
        <f>SUMPRODUCT(H77:O77,'Fisico ASIG'!F77:M77)*24</f>
        <v>6755700.0760224955</v>
      </c>
      <c r="Q77" s="43">
        <v>0</v>
      </c>
      <c r="R77" s="43">
        <f t="shared" si="45"/>
        <v>5497.7825262795104</v>
      </c>
      <c r="S77" s="43">
        <f t="shared" si="46"/>
        <v>1540.5824573496468</v>
      </c>
      <c r="T77" s="43"/>
      <c r="U77" s="43">
        <v>18000</v>
      </c>
      <c r="V77" s="20">
        <v>0</v>
      </c>
      <c r="W77" s="20">
        <v>21900</v>
      </c>
      <c r="X77" s="20">
        <v>0</v>
      </c>
      <c r="Y77" s="18">
        <f>SUMPRODUCT(Q77:X77,'Fisico ASIG'!O77:V77)/E77</f>
        <v>5099284.2355553843</v>
      </c>
      <c r="Z77" s="25">
        <f t="shared" si="47"/>
        <v>11854984.311577879</v>
      </c>
      <c r="AA77" s="26">
        <f>+Z77/'Fisico ASIG'!N77/24</f>
        <v>64.647326427222225</v>
      </c>
      <c r="AB77" s="26">
        <f t="shared" si="37"/>
        <v>15.806111696522654</v>
      </c>
      <c r="AC77" s="29">
        <f t="shared" si="48"/>
        <v>48.841214730699569</v>
      </c>
      <c r="AI77" s="1">
        <v>6960</v>
      </c>
      <c r="AJ77" s="1">
        <v>5538825</v>
      </c>
      <c r="AK77">
        <f t="shared" si="27"/>
        <v>1.44</v>
      </c>
      <c r="AL77" s="40">
        <f t="shared" si="28"/>
        <v>8437.7999999999993</v>
      </c>
      <c r="AM77">
        <v>2235000</v>
      </c>
      <c r="AN77" s="17">
        <v>37.992933578779201</v>
      </c>
      <c r="AO77" s="64">
        <f t="shared" si="29"/>
        <v>2.1595230165675963</v>
      </c>
    </row>
    <row r="78" spans="1:41" hidden="1" x14ac:dyDescent="0.3">
      <c r="A78" s="3">
        <v>1450.75</v>
      </c>
      <c r="B78" s="42">
        <v>1419.3330000000001</v>
      </c>
      <c r="C78" s="53">
        <f t="shared" si="19"/>
        <v>2025</v>
      </c>
      <c r="D78" s="52">
        <f>+'Fisico ASIG'!B78</f>
        <v>45962</v>
      </c>
      <c r="E78" s="1">
        <v>30</v>
      </c>
      <c r="F78" s="1" t="s">
        <v>44</v>
      </c>
      <c r="G78" s="56">
        <f t="shared" si="30"/>
        <v>45984</v>
      </c>
      <c r="H78" s="17">
        <v>28</v>
      </c>
      <c r="I78" s="17">
        <f t="shared" si="40"/>
        <v>4.7975185249009131</v>
      </c>
      <c r="J78" s="17">
        <f t="shared" si="21"/>
        <v>5.8161640530759948</v>
      </c>
      <c r="K78" s="17"/>
      <c r="L78" s="17">
        <v>27</v>
      </c>
      <c r="M78" s="17">
        <v>71.5</v>
      </c>
      <c r="N78" s="17">
        <f t="shared" si="22"/>
        <v>41.675826728745648</v>
      </c>
      <c r="O78" s="17">
        <v>119.75325429068899</v>
      </c>
      <c r="P78" s="18">
        <f>SUMPRODUCT(H78:O78,'Fisico ASIG'!F78:M78)*24</f>
        <v>7283761.0527818147</v>
      </c>
      <c r="Q78" s="43">
        <v>0</v>
      </c>
      <c r="R78" s="43">
        <f t="shared" si="45"/>
        <v>5497.7825262795104</v>
      </c>
      <c r="S78" s="43">
        <f t="shared" si="46"/>
        <v>1540.5824573496468</v>
      </c>
      <c r="T78" s="43"/>
      <c r="U78" s="43">
        <v>18000</v>
      </c>
      <c r="V78" s="20">
        <v>0</v>
      </c>
      <c r="W78" s="20">
        <v>21900</v>
      </c>
      <c r="X78" s="20">
        <v>0</v>
      </c>
      <c r="Y78" s="18">
        <f>SUMPRODUCT(Q78:X78,'Fisico ASIG'!O78:V78)/E78</f>
        <v>5085004.33493164</v>
      </c>
      <c r="Z78" s="25">
        <f t="shared" si="47"/>
        <v>12368765.387713455</v>
      </c>
      <c r="AA78" s="26">
        <f>+Z78/'Fisico ASIG'!N78/24</f>
        <v>70.406290010366718</v>
      </c>
      <c r="AB78" s="26">
        <f t="shared" si="37"/>
        <v>15.806111696522654</v>
      </c>
      <c r="AC78" s="29">
        <f t="shared" si="48"/>
        <v>54.600178313844062</v>
      </c>
      <c r="AI78" s="1">
        <v>6960</v>
      </c>
      <c r="AJ78" s="1">
        <v>5538825</v>
      </c>
      <c r="AK78">
        <f t="shared" si="27"/>
        <v>1.44</v>
      </c>
      <c r="AL78" s="40">
        <f t="shared" si="28"/>
        <v>8437.7999999999993</v>
      </c>
      <c r="AM78">
        <v>2235000</v>
      </c>
      <c r="AN78" s="17">
        <v>39.419978200230112</v>
      </c>
      <c r="AO78" s="64">
        <f t="shared" si="29"/>
        <v>2.2558485285155325</v>
      </c>
    </row>
    <row r="79" spans="1:41" hidden="1" x14ac:dyDescent="0.3">
      <c r="A79" s="3">
        <v>1450.75</v>
      </c>
      <c r="B79" s="42">
        <v>1419.3330000000001</v>
      </c>
      <c r="C79" s="53">
        <f t="shared" si="19"/>
        <v>2025</v>
      </c>
      <c r="D79" s="52">
        <f>+'Fisico ASIG'!B79</f>
        <v>45962</v>
      </c>
      <c r="E79" s="1">
        <v>30</v>
      </c>
      <c r="F79" s="1" t="s">
        <v>45</v>
      </c>
      <c r="G79" s="56">
        <f t="shared" si="30"/>
        <v>45985</v>
      </c>
      <c r="H79" s="17">
        <v>28</v>
      </c>
      <c r="I79" s="17">
        <f t="shared" ref="I79:I85" si="49">AI79/A79</f>
        <v>4.7975185249009131</v>
      </c>
      <c r="J79" s="17">
        <f t="shared" ref="J79:J85" si="50">+AL79/A79</f>
        <v>5.8161640530759948</v>
      </c>
      <c r="K79" s="17"/>
      <c r="L79" s="17">
        <v>27</v>
      </c>
      <c r="M79" s="17">
        <v>71.5</v>
      </c>
      <c r="N79" s="17">
        <f t="shared" si="22"/>
        <v>40.563799014652318</v>
      </c>
      <c r="O79" s="17">
        <v>119.77095076671128</v>
      </c>
      <c r="P79" s="18">
        <f>SUMPRODUCT(H79:O79,'Fisico ASIG'!F79:M79)*24</f>
        <v>7104894.3138627503</v>
      </c>
      <c r="Q79" s="43">
        <v>0</v>
      </c>
      <c r="R79" s="43">
        <f t="shared" ref="R79:R85" si="51">+AJ79*AK79/A79</f>
        <v>5497.7825262795104</v>
      </c>
      <c r="S79" s="43">
        <f t="shared" ref="S79:S85" si="52">+AM79/A79</f>
        <v>1540.5824573496468</v>
      </c>
      <c r="T79" s="43"/>
      <c r="U79" s="43">
        <v>18000</v>
      </c>
      <c r="V79" s="20">
        <v>0</v>
      </c>
      <c r="W79" s="20">
        <v>21900</v>
      </c>
      <c r="X79" s="20">
        <v>0</v>
      </c>
      <c r="Y79" s="18">
        <f>SUMPRODUCT(Q79:X79,'Fisico ASIG'!O79:V79)/E79</f>
        <v>4946241.0890178885</v>
      </c>
      <c r="Z79" s="25">
        <f t="shared" ref="Z79:Z85" si="53">+(P79+Y79)</f>
        <v>12051135.402880639</v>
      </c>
      <c r="AA79" s="26">
        <f>+Z79/'Fisico ASIG'!N79/24</f>
        <v>68.710698135386934</v>
      </c>
      <c r="AB79" s="26">
        <f t="shared" si="37"/>
        <v>15.806111696522654</v>
      </c>
      <c r="AC79" s="29">
        <f t="shared" ref="AC79:AC85" si="54">+AA79-AB79</f>
        <v>52.904586438864278</v>
      </c>
      <c r="AI79" s="1">
        <v>6960</v>
      </c>
      <c r="AJ79" s="1">
        <v>5538825</v>
      </c>
      <c r="AK79">
        <f t="shared" si="27"/>
        <v>1.44</v>
      </c>
      <c r="AL79" s="40">
        <f t="shared" si="28"/>
        <v>8437.7999999999993</v>
      </c>
      <c r="AM79">
        <v>2235000</v>
      </c>
      <c r="AN79" s="17">
        <v>38.378266055880388</v>
      </c>
      <c r="AO79" s="64">
        <f t="shared" si="29"/>
        <v>2.1855329587719265</v>
      </c>
    </row>
    <row r="80" spans="1:41" hidden="1" x14ac:dyDescent="0.3">
      <c r="A80" s="3">
        <v>1450.75</v>
      </c>
      <c r="B80" s="42">
        <v>1419.3330000000001</v>
      </c>
      <c r="C80" s="53">
        <f t="shared" si="19"/>
        <v>2025</v>
      </c>
      <c r="D80" s="52">
        <f>+'Fisico ASIG'!B80</f>
        <v>45962</v>
      </c>
      <c r="E80" s="1">
        <v>30</v>
      </c>
      <c r="F80" s="1" t="s">
        <v>46</v>
      </c>
      <c r="G80" s="56">
        <f t="shared" si="30"/>
        <v>45986</v>
      </c>
      <c r="H80" s="17">
        <v>28</v>
      </c>
      <c r="I80" s="17">
        <f t="shared" si="49"/>
        <v>4.7975185249009131</v>
      </c>
      <c r="J80" s="17">
        <f t="shared" si="50"/>
        <v>5.8161640530759948</v>
      </c>
      <c r="K80" s="17"/>
      <c r="L80" s="17">
        <v>27</v>
      </c>
      <c r="M80" s="17">
        <v>71.5</v>
      </c>
      <c r="N80" s="17">
        <f t="shared" si="22"/>
        <v>40.645826409367196</v>
      </c>
      <c r="O80" s="17">
        <v>119.80098127289061</v>
      </c>
      <c r="P80" s="18">
        <f>SUMPRODUCT(H80:O80,'Fisico ASIG'!F80:M80)*24</f>
        <v>7087912.1281330753</v>
      </c>
      <c r="Q80" s="43">
        <v>0</v>
      </c>
      <c r="R80" s="43">
        <f t="shared" si="51"/>
        <v>5497.7825262795104</v>
      </c>
      <c r="S80" s="43">
        <f t="shared" si="52"/>
        <v>1540.5824573496468</v>
      </c>
      <c r="T80" s="43"/>
      <c r="U80" s="43">
        <v>18000</v>
      </c>
      <c r="V80" s="20">
        <v>0</v>
      </c>
      <c r="W80" s="20">
        <v>21900</v>
      </c>
      <c r="X80" s="20">
        <v>0</v>
      </c>
      <c r="Y80" s="18">
        <f>SUMPRODUCT(Q80:X80,'Fisico ASIG'!O80:V80)/E80</f>
        <v>4893658.6836594287</v>
      </c>
      <c r="Z80" s="25">
        <f t="shared" si="53"/>
        <v>11981570.811792504</v>
      </c>
      <c r="AA80" s="26">
        <f>+Z80/'Fisico ASIG'!N80/24</f>
        <v>59.502603840170515</v>
      </c>
      <c r="AB80" s="26">
        <f t="shared" si="37"/>
        <v>15.806111696522654</v>
      </c>
      <c r="AC80" s="29">
        <f t="shared" si="54"/>
        <v>43.696492143647859</v>
      </c>
      <c r="AI80" s="1">
        <v>6960</v>
      </c>
      <c r="AJ80" s="1">
        <v>5538825</v>
      </c>
      <c r="AK80">
        <f t="shared" si="27"/>
        <v>1.44</v>
      </c>
      <c r="AL80" s="40">
        <f t="shared" si="28"/>
        <v>8437.7999999999993</v>
      </c>
      <c r="AM80">
        <v>2235000</v>
      </c>
      <c r="AN80" s="17">
        <v>38.455106706667159</v>
      </c>
      <c r="AO80" s="64">
        <f t="shared" si="29"/>
        <v>2.1907197027000334</v>
      </c>
    </row>
    <row r="81" spans="1:42" hidden="1" x14ac:dyDescent="0.3">
      <c r="A81" s="3">
        <v>1450.75</v>
      </c>
      <c r="B81" s="42">
        <v>1419.3330000000001</v>
      </c>
      <c r="C81" s="53">
        <f t="shared" si="19"/>
        <v>2025</v>
      </c>
      <c r="D81" s="52">
        <f>+'Fisico ASIG'!B81</f>
        <v>45962</v>
      </c>
      <c r="E81" s="1">
        <v>30</v>
      </c>
      <c r="F81" s="1" t="s">
        <v>47</v>
      </c>
      <c r="G81" s="56">
        <f t="shared" si="30"/>
        <v>45987</v>
      </c>
      <c r="H81" s="17">
        <v>28</v>
      </c>
      <c r="I81" s="17">
        <f t="shared" si="49"/>
        <v>4.7975185249009131</v>
      </c>
      <c r="J81" s="17">
        <f t="shared" si="50"/>
        <v>5.8161640530759948</v>
      </c>
      <c r="K81" s="17"/>
      <c r="L81" s="17">
        <v>27</v>
      </c>
      <c r="M81" s="17">
        <v>71.5</v>
      </c>
      <c r="N81" s="17">
        <f t="shared" si="22"/>
        <v>40.857252050049773</v>
      </c>
      <c r="O81" s="17">
        <v>89.673814634881182</v>
      </c>
      <c r="P81" s="18">
        <f>SUMPRODUCT(H81:O81,'Fisico ASIG'!F81:M81)*24</f>
        <v>8408112.4154574424</v>
      </c>
      <c r="Q81" s="43">
        <v>0</v>
      </c>
      <c r="R81" s="43">
        <f t="shared" si="51"/>
        <v>5497.7825262795104</v>
      </c>
      <c r="S81" s="43">
        <f t="shared" si="52"/>
        <v>1540.5824573496468</v>
      </c>
      <c r="T81" s="43"/>
      <c r="U81" s="43">
        <v>18000</v>
      </c>
      <c r="V81" s="20">
        <v>0</v>
      </c>
      <c r="W81" s="20">
        <v>21900</v>
      </c>
      <c r="X81" s="20">
        <v>0</v>
      </c>
      <c r="Y81" s="18">
        <f>SUMPRODUCT(Q81:X81,'Fisico ASIG'!O81:V81)/E81</f>
        <v>5262158.9464118388</v>
      </c>
      <c r="Z81" s="25">
        <f t="shared" si="53"/>
        <v>13670271.361869281</v>
      </c>
      <c r="AA81" s="26">
        <f>+Z81/'Fisico ASIG'!N81/24</f>
        <v>59.160031823524058</v>
      </c>
      <c r="AB81" s="26">
        <f t="shared" si="37"/>
        <v>15.806111696522654</v>
      </c>
      <c r="AC81" s="29">
        <f t="shared" si="54"/>
        <v>43.353920127001402</v>
      </c>
      <c r="AI81" s="1">
        <v>6960</v>
      </c>
      <c r="AJ81" s="1">
        <v>5538825</v>
      </c>
      <c r="AK81">
        <f t="shared" si="27"/>
        <v>1.44</v>
      </c>
      <c r="AL81" s="40">
        <f t="shared" si="28"/>
        <v>8437.7999999999993</v>
      </c>
      <c r="AM81">
        <v>2235000</v>
      </c>
      <c r="AN81" s="17">
        <v>38.653163512927186</v>
      </c>
      <c r="AO81" s="64">
        <f t="shared" si="29"/>
        <v>2.2040885371225851</v>
      </c>
    </row>
    <row r="82" spans="1:42" hidden="1" x14ac:dyDescent="0.3">
      <c r="A82" s="3">
        <v>1450.75</v>
      </c>
      <c r="B82" s="42">
        <v>1419.3330000000001</v>
      </c>
      <c r="C82" s="53">
        <f t="shared" si="19"/>
        <v>2025</v>
      </c>
      <c r="D82" s="52">
        <f>+'Fisico ASIG'!B82</f>
        <v>45962</v>
      </c>
      <c r="E82" s="1">
        <v>30</v>
      </c>
      <c r="F82" s="1" t="s">
        <v>48</v>
      </c>
      <c r="G82" s="56">
        <f t="shared" si="30"/>
        <v>45988</v>
      </c>
      <c r="H82" s="17">
        <v>28</v>
      </c>
      <c r="I82" s="17">
        <f t="shared" si="49"/>
        <v>4.7975185249009131</v>
      </c>
      <c r="J82" s="17">
        <f t="shared" si="50"/>
        <v>5.8161640530759948</v>
      </c>
      <c r="K82" s="17"/>
      <c r="L82" s="17">
        <v>27</v>
      </c>
      <c r="M82" s="17">
        <v>71.5</v>
      </c>
      <c r="N82" s="17">
        <f t="shared" si="22"/>
        <v>40.327213288262655</v>
      </c>
      <c r="O82" s="17">
        <v>119.83528417246617</v>
      </c>
      <c r="P82" s="18">
        <f>SUMPRODUCT(H82:O82,'Fisico ASIG'!F82:M82)*24</f>
        <v>8693492.8217511345</v>
      </c>
      <c r="Q82" s="43">
        <v>0</v>
      </c>
      <c r="R82" s="43">
        <f t="shared" si="51"/>
        <v>5497.7825262795104</v>
      </c>
      <c r="S82" s="43">
        <f t="shared" si="52"/>
        <v>1540.5824573496468</v>
      </c>
      <c r="T82" s="43"/>
      <c r="U82" s="43">
        <v>18000</v>
      </c>
      <c r="V82" s="20">
        <v>0</v>
      </c>
      <c r="W82" s="20">
        <v>21900</v>
      </c>
      <c r="X82" s="20">
        <v>0</v>
      </c>
      <c r="Y82" s="18">
        <f>SUMPRODUCT(Q82:X82,'Fisico ASIG'!O82:V82)/E82</f>
        <v>5284382.1364866281</v>
      </c>
      <c r="Z82" s="25">
        <f t="shared" si="53"/>
        <v>13977874.958237763</v>
      </c>
      <c r="AA82" s="26">
        <f>+Z82/'Fisico ASIG'!N82/24</f>
        <v>58.633899214127837</v>
      </c>
      <c r="AB82" s="26">
        <f t="shared" si="37"/>
        <v>15.806111696522654</v>
      </c>
      <c r="AC82" s="29">
        <f t="shared" si="54"/>
        <v>42.827787517605181</v>
      </c>
      <c r="AI82" s="1">
        <v>6960</v>
      </c>
      <c r="AJ82" s="1">
        <v>5538825</v>
      </c>
      <c r="AK82">
        <f t="shared" si="27"/>
        <v>1.44</v>
      </c>
      <c r="AL82" s="40">
        <f t="shared" si="28"/>
        <v>8437.7999999999993</v>
      </c>
      <c r="AM82">
        <v>2235000</v>
      </c>
      <c r="AN82" s="17">
        <v>38.156640082681641</v>
      </c>
      <c r="AO82" s="64">
        <f t="shared" si="29"/>
        <v>2.170573205581011</v>
      </c>
    </row>
    <row r="83" spans="1:42" hidden="1" x14ac:dyDescent="0.3">
      <c r="A83" s="3">
        <v>1450.75</v>
      </c>
      <c r="B83" s="42">
        <v>1419.3330000000001</v>
      </c>
      <c r="C83" s="53">
        <f t="shared" si="19"/>
        <v>2025</v>
      </c>
      <c r="D83" s="52">
        <f>+'Fisico ASIG'!B83</f>
        <v>45962</v>
      </c>
      <c r="E83" s="1">
        <v>30</v>
      </c>
      <c r="F83" s="1" t="s">
        <v>49</v>
      </c>
      <c r="G83" s="56">
        <f t="shared" si="30"/>
        <v>45989</v>
      </c>
      <c r="H83" s="17">
        <v>28</v>
      </c>
      <c r="I83" s="17">
        <f t="shared" si="49"/>
        <v>4.7975185249009131</v>
      </c>
      <c r="J83" s="17">
        <f t="shared" si="50"/>
        <v>5.8161640530759948</v>
      </c>
      <c r="K83" s="17"/>
      <c r="L83" s="17">
        <v>27</v>
      </c>
      <c r="M83" s="17">
        <v>71.5</v>
      </c>
      <c r="N83" s="17">
        <f t="shared" si="22"/>
        <v>40.519792631270533</v>
      </c>
      <c r="O83" s="17">
        <v>92.606205401906294</v>
      </c>
      <c r="P83" s="18">
        <f>SUMPRODUCT(H83:O83,'Fisico ASIG'!F83:M83)*24</f>
        <v>8116394.5800955407</v>
      </c>
      <c r="Q83" s="43">
        <v>0</v>
      </c>
      <c r="R83" s="43">
        <f t="shared" si="51"/>
        <v>5497.7825262795104</v>
      </c>
      <c r="S83" s="43">
        <f t="shared" si="52"/>
        <v>1540.5824573496468</v>
      </c>
      <c r="T83" s="43"/>
      <c r="U83" s="43">
        <v>18000</v>
      </c>
      <c r="V83" s="20">
        <v>0</v>
      </c>
      <c r="W83" s="20">
        <v>21900</v>
      </c>
      <c r="X83" s="20">
        <v>0</v>
      </c>
      <c r="Y83" s="18">
        <f>SUMPRODUCT(Q83:X83,'Fisico ASIG'!O83:V83)/E83</f>
        <v>5289518.8282225551</v>
      </c>
      <c r="Z83" s="25">
        <f t="shared" si="53"/>
        <v>13405913.408318095</v>
      </c>
      <c r="AA83" s="26">
        <f>+Z83/'Fisico ASIG'!N83/24</f>
        <v>62.0670422942313</v>
      </c>
      <c r="AB83" s="26">
        <f t="shared" si="37"/>
        <v>15.806111696522654</v>
      </c>
      <c r="AC83" s="29">
        <f t="shared" si="54"/>
        <v>46.260930597708644</v>
      </c>
      <c r="AI83" s="1">
        <v>6960</v>
      </c>
      <c r="AJ83" s="1">
        <v>5538825</v>
      </c>
      <c r="AK83">
        <f t="shared" si="27"/>
        <v>1.44</v>
      </c>
      <c r="AL83" s="40">
        <f t="shared" si="28"/>
        <v>8437.7999999999993</v>
      </c>
      <c r="AM83">
        <v>2235000</v>
      </c>
      <c r="AN83" s="17">
        <v>38.337042277536803</v>
      </c>
      <c r="AO83" s="64">
        <f t="shared" si="29"/>
        <v>2.1827503537337343</v>
      </c>
    </row>
    <row r="84" spans="1:42" hidden="1" x14ac:dyDescent="0.3">
      <c r="A84" s="3">
        <v>1450.75</v>
      </c>
      <c r="B84" s="42">
        <v>1419.3330000000001</v>
      </c>
      <c r="C84" s="53">
        <f t="shared" si="19"/>
        <v>2025</v>
      </c>
      <c r="D84" s="52">
        <f>+'Fisico ASIG'!B84</f>
        <v>45962</v>
      </c>
      <c r="E84" s="1">
        <v>30</v>
      </c>
      <c r="F84" s="1" t="s">
        <v>43</v>
      </c>
      <c r="G84" s="56">
        <f t="shared" si="30"/>
        <v>45990</v>
      </c>
      <c r="H84" s="17">
        <v>28</v>
      </c>
      <c r="I84" s="17">
        <f t="shared" si="49"/>
        <v>4.7975185249009131</v>
      </c>
      <c r="J84" s="17">
        <f t="shared" si="50"/>
        <v>5.8161640530759948</v>
      </c>
      <c r="K84" s="17"/>
      <c r="L84" s="17">
        <v>27</v>
      </c>
      <c r="M84" s="17">
        <v>71.5</v>
      </c>
      <c r="N84" s="17">
        <f t="shared" si="22"/>
        <v>40.491539949313591</v>
      </c>
      <c r="O84" s="17">
        <v>119.77630453978443</v>
      </c>
      <c r="P84" s="18">
        <f>SUMPRODUCT(H84:O84,'Fisico ASIG'!F84:M84)*24</f>
        <v>6781473.7450188268</v>
      </c>
      <c r="Q84" s="43">
        <v>0</v>
      </c>
      <c r="R84" s="43">
        <f t="shared" si="51"/>
        <v>5497.7825262795104</v>
      </c>
      <c r="S84" s="43">
        <f t="shared" si="52"/>
        <v>1540.5824573496468</v>
      </c>
      <c r="T84" s="43"/>
      <c r="U84" s="43">
        <v>18000</v>
      </c>
      <c r="V84" s="20">
        <v>0</v>
      </c>
      <c r="W84" s="20">
        <v>21900</v>
      </c>
      <c r="X84" s="20">
        <v>0</v>
      </c>
      <c r="Y84" s="18">
        <f>SUMPRODUCT(Q84:X84,'Fisico ASIG'!O84:V84)/E84</f>
        <v>5301591.928672092</v>
      </c>
      <c r="Z84" s="25">
        <f t="shared" si="53"/>
        <v>12083065.673690919</v>
      </c>
      <c r="AA84" s="26">
        <f>+Z84/'Fisico ASIG'!N84/24</f>
        <v>70.515989317034027</v>
      </c>
      <c r="AB84" s="26">
        <f t="shared" si="37"/>
        <v>15.806111696522654</v>
      </c>
      <c r="AC84" s="29">
        <f t="shared" si="54"/>
        <v>54.709877620511371</v>
      </c>
      <c r="AI84" s="1">
        <v>6960</v>
      </c>
      <c r="AJ84" s="1">
        <v>5538825</v>
      </c>
      <c r="AK84">
        <f t="shared" si="27"/>
        <v>1.44</v>
      </c>
      <c r="AL84" s="40">
        <f t="shared" si="28"/>
        <v>8437.7999999999993</v>
      </c>
      <c r="AM84">
        <v>2235000</v>
      </c>
      <c r="AN84" s="17">
        <v>38.310576064930764</v>
      </c>
      <c r="AO84" s="64">
        <f t="shared" si="29"/>
        <v>2.1809638843828267</v>
      </c>
    </row>
    <row r="85" spans="1:42" hidden="1" x14ac:dyDescent="0.3">
      <c r="A85" s="3">
        <v>1450.75</v>
      </c>
      <c r="B85" s="42">
        <v>1419.3330000000001</v>
      </c>
      <c r="C85" s="53">
        <f t="shared" si="19"/>
        <v>2025</v>
      </c>
      <c r="D85" s="52">
        <f>+'Fisico ASIG'!B85</f>
        <v>45962</v>
      </c>
      <c r="E85" s="1">
        <v>30</v>
      </c>
      <c r="F85" s="1" t="s">
        <v>44</v>
      </c>
      <c r="G85" s="56">
        <f t="shared" si="30"/>
        <v>45991</v>
      </c>
      <c r="H85" s="17">
        <v>28</v>
      </c>
      <c r="I85" s="17">
        <f t="shared" si="49"/>
        <v>4.7975185249009131</v>
      </c>
      <c r="J85" s="17">
        <f t="shared" si="50"/>
        <v>5.8161640530759948</v>
      </c>
      <c r="K85" s="17"/>
      <c r="L85" s="17">
        <v>27</v>
      </c>
      <c r="M85" s="17">
        <v>71.5</v>
      </c>
      <c r="N85" s="17">
        <f t="shared" si="22"/>
        <v>39.746549353918468</v>
      </c>
      <c r="O85" s="17">
        <v>119.7945583741394</v>
      </c>
      <c r="P85" s="18">
        <f>SUMPRODUCT(H85:O85,'Fisico ASIG'!F85:M85)*24</f>
        <v>6243786.6337677436</v>
      </c>
      <c r="Q85" s="43">
        <v>0</v>
      </c>
      <c r="R85" s="43">
        <f t="shared" si="51"/>
        <v>5497.7825262795104</v>
      </c>
      <c r="S85" s="43">
        <f t="shared" si="52"/>
        <v>1540.5824573496468</v>
      </c>
      <c r="T85" s="43"/>
      <c r="U85" s="43">
        <v>18000</v>
      </c>
      <c r="V85" s="20">
        <v>0</v>
      </c>
      <c r="W85" s="20">
        <v>21900</v>
      </c>
      <c r="X85" s="20">
        <v>0</v>
      </c>
      <c r="Y85" s="18">
        <f>SUMPRODUCT(Q85:X85,'Fisico ASIG'!O85:V85)/E85</f>
        <v>5342841.5354634086</v>
      </c>
      <c r="Z85" s="25">
        <f t="shared" si="53"/>
        <v>11586628.169231152</v>
      </c>
      <c r="AA85" s="26">
        <f>+Z85/'Fisico ASIG'!N85/24</f>
        <v>71.721664124703906</v>
      </c>
      <c r="AB85" s="26">
        <f t="shared" si="37"/>
        <v>15.806111696522654</v>
      </c>
      <c r="AC85" s="29">
        <f t="shared" si="54"/>
        <v>55.91555242818125</v>
      </c>
      <c r="AI85" s="1">
        <v>6960</v>
      </c>
      <c r="AJ85" s="1">
        <v>5538825</v>
      </c>
      <c r="AK85">
        <f t="shared" si="27"/>
        <v>1.44</v>
      </c>
      <c r="AL85" s="40">
        <f t="shared" si="28"/>
        <v>8437.7999999999993</v>
      </c>
      <c r="AM85">
        <v>2235000</v>
      </c>
      <c r="AN85" s="17">
        <v>37.612692603202312</v>
      </c>
      <c r="AO85" s="64">
        <f t="shared" si="29"/>
        <v>2.1338567507161561</v>
      </c>
    </row>
    <row r="86" spans="1:42" hidden="1" x14ac:dyDescent="0.3">
      <c r="A86" s="3">
        <v>1459.4167</v>
      </c>
      <c r="B86" s="42">
        <v>1442.8330000000001</v>
      </c>
      <c r="C86" s="53">
        <f t="shared" si="19"/>
        <v>2025</v>
      </c>
      <c r="D86" s="52">
        <f>+'Fisico ASIG'!B86</f>
        <v>45992</v>
      </c>
      <c r="E86" s="1">
        <v>31</v>
      </c>
      <c r="F86" s="1" t="s">
        <v>45</v>
      </c>
      <c r="G86" s="56">
        <f t="shared" si="30"/>
        <v>45992</v>
      </c>
      <c r="H86" s="17">
        <v>28</v>
      </c>
      <c r="I86" s="17">
        <f t="shared" ref="I86:I93" si="55">AI86/A86</f>
        <v>4.8642721437955316</v>
      </c>
      <c r="J86" s="17">
        <f t="shared" ref="J86:J93" si="56">+AL86/A86</f>
        <v>5.7816249464597735</v>
      </c>
      <c r="K86" s="17"/>
      <c r="L86" s="17">
        <v>27</v>
      </c>
      <c r="M86" s="17">
        <v>71.5</v>
      </c>
      <c r="N86" s="17">
        <f>+AN86+AO86+AP86</f>
        <v>39.74793469373796</v>
      </c>
      <c r="O86" s="17">
        <v>119.85763307739388</v>
      </c>
      <c r="P86" s="18">
        <f>SUMPRODUCT(H86:O86,'Fisico ASIG'!F86:M86)*24</f>
        <v>7267741.8226852082</v>
      </c>
      <c r="Q86" s="43">
        <v>0</v>
      </c>
      <c r="R86" s="43">
        <f t="shared" ref="R86:R93" si="57">+AJ86*AK86/A86</f>
        <v>5574.437294023016</v>
      </c>
      <c r="S86" s="43">
        <f t="shared" ref="S86:S93" si="58">+AM86/A86</f>
        <v>1706.1610984717388</v>
      </c>
      <c r="T86" s="43"/>
      <c r="U86" s="43">
        <v>18000</v>
      </c>
      <c r="V86" s="20">
        <v>0</v>
      </c>
      <c r="W86" s="20">
        <v>21900</v>
      </c>
      <c r="X86" s="20">
        <v>0</v>
      </c>
      <c r="Y86" s="18">
        <f>SUMPRODUCT(Q86:X86,'Fisico ASIG'!O86:V86)/E86</f>
        <v>5271790.6211870676</v>
      </c>
      <c r="Z86" s="25">
        <f t="shared" ref="Z86:Z93" si="59">+(P86+Y86)</f>
        <v>12539532.443872277</v>
      </c>
      <c r="AA86" s="26">
        <f>+Z86/'Fisico ASIG'!N86/24</f>
        <v>64.022508150421643</v>
      </c>
      <c r="AB86" s="26">
        <f t="shared" si="37"/>
        <v>15.806111696522654</v>
      </c>
      <c r="AC86" s="29">
        <f t="shared" ref="AC86:AC93" si="60">+AA86-AB86</f>
        <v>48.216396453898987</v>
      </c>
      <c r="AG86" s="66"/>
      <c r="AI86" s="1">
        <v>7099</v>
      </c>
      <c r="AJ86" s="1">
        <v>5649602</v>
      </c>
      <c r="AK86">
        <f t="shared" si="27"/>
        <v>1.44</v>
      </c>
      <c r="AL86" s="40">
        <f t="shared" si="28"/>
        <v>8437.7999999999993</v>
      </c>
      <c r="AM86">
        <v>2490000</v>
      </c>
      <c r="AN86" s="17">
        <v>35.553100415679587</v>
      </c>
      <c r="AO86" s="64">
        <f t="shared" si="29"/>
        <v>1.9948342780583723</v>
      </c>
      <c r="AP86">
        <v>2.2000000000000002</v>
      </c>
    </row>
    <row r="87" spans="1:42" hidden="1" x14ac:dyDescent="0.3">
      <c r="A87" s="3">
        <f>+A86</f>
        <v>1459.4167</v>
      </c>
      <c r="B87" s="42">
        <v>1442.8330000000001</v>
      </c>
      <c r="C87" s="53">
        <f t="shared" si="19"/>
        <v>2025</v>
      </c>
      <c r="D87" s="52">
        <f>+'Fisico ASIG'!B87</f>
        <v>45992</v>
      </c>
      <c r="E87" s="1">
        <v>31</v>
      </c>
      <c r="F87" s="1" t="s">
        <v>46</v>
      </c>
      <c r="G87" s="56">
        <f t="shared" si="30"/>
        <v>45993</v>
      </c>
      <c r="H87" s="17">
        <v>28</v>
      </c>
      <c r="I87" s="17">
        <f t="shared" si="55"/>
        <v>4.8642721437955316</v>
      </c>
      <c r="J87" s="17">
        <f t="shared" si="56"/>
        <v>5.7816249464597735</v>
      </c>
      <c r="K87" s="17"/>
      <c r="L87" s="17">
        <v>27</v>
      </c>
      <c r="M87" s="17">
        <v>71.5</v>
      </c>
      <c r="N87" s="17">
        <f t="shared" ref="N87:N113" si="61">+AN87+AO87+AP87</f>
        <v>39.335715937773017</v>
      </c>
      <c r="O87" s="17">
        <v>119.87989190271244</v>
      </c>
      <c r="P87" s="18">
        <f>SUMPRODUCT(H87:O87,'Fisico ASIG'!F87:M87)*24</f>
        <v>7815966.7491658572</v>
      </c>
      <c r="Q87" s="43">
        <v>0</v>
      </c>
      <c r="R87" s="43">
        <f t="shared" si="57"/>
        <v>5574.437294023016</v>
      </c>
      <c r="S87" s="43">
        <f t="shared" si="58"/>
        <v>1706.1610984717388</v>
      </c>
      <c r="T87" s="43"/>
      <c r="U87" s="43">
        <v>18000</v>
      </c>
      <c r="V87" s="20">
        <v>0</v>
      </c>
      <c r="W87" s="20">
        <v>21900</v>
      </c>
      <c r="X87" s="20">
        <v>0</v>
      </c>
      <c r="Y87" s="18">
        <f>SUMPRODUCT(Q87:X87,'Fisico ASIG'!O87:V87)/E87</f>
        <v>5462287.6898807632</v>
      </c>
      <c r="Z87" s="25">
        <f t="shared" si="59"/>
        <v>13278254.439046621</v>
      </c>
      <c r="AA87" s="26">
        <f>+Z87/'Fisico ASIG'!N87/24</f>
        <v>65.403461479333814</v>
      </c>
      <c r="AB87" s="26">
        <f t="shared" si="37"/>
        <v>15.806111696522654</v>
      </c>
      <c r="AC87" s="29">
        <f t="shared" si="60"/>
        <v>49.597349782811158</v>
      </c>
      <c r="AI87" s="1">
        <v>7099</v>
      </c>
      <c r="AJ87" s="1">
        <v>5649602</v>
      </c>
      <c r="AK87">
        <f t="shared" si="27"/>
        <v>1.44</v>
      </c>
      <c r="AL87" s="40">
        <f t="shared" si="28"/>
        <v>8437.7999999999993</v>
      </c>
      <c r="AM87">
        <v>2490000</v>
      </c>
      <c r="AN87" s="17">
        <v>35.166947014307276</v>
      </c>
      <c r="AO87" s="64">
        <f t="shared" si="29"/>
        <v>1.9687689234657413</v>
      </c>
      <c r="AP87">
        <v>2.2000000000000002</v>
      </c>
    </row>
    <row r="88" spans="1:42" hidden="1" x14ac:dyDescent="0.3">
      <c r="A88" s="3">
        <f t="shared" ref="A88:A116" si="62">+A87</f>
        <v>1459.4167</v>
      </c>
      <c r="B88" s="42">
        <v>1442.8330000000001</v>
      </c>
      <c r="C88" s="53">
        <f t="shared" si="19"/>
        <v>2025</v>
      </c>
      <c r="D88" s="52">
        <f>+'Fisico ASIG'!B88</f>
        <v>45992</v>
      </c>
      <c r="E88" s="1">
        <v>31</v>
      </c>
      <c r="F88" s="1" t="s">
        <v>47</v>
      </c>
      <c r="G88" s="56">
        <f t="shared" si="30"/>
        <v>45994</v>
      </c>
      <c r="H88" s="17">
        <v>28</v>
      </c>
      <c r="I88" s="17">
        <f t="shared" si="55"/>
        <v>4.8642721437955316</v>
      </c>
      <c r="J88" s="17">
        <f t="shared" si="56"/>
        <v>5.7816249464597735</v>
      </c>
      <c r="K88" s="17"/>
      <c r="L88" s="17">
        <v>27</v>
      </c>
      <c r="M88" s="17">
        <v>71.5</v>
      </c>
      <c r="N88" s="17">
        <f t="shared" si="61"/>
        <v>39.802818196826486</v>
      </c>
      <c r="O88" s="17">
        <v>119.90800234912241</v>
      </c>
      <c r="P88" s="18">
        <f>SUMPRODUCT(H88:O88,'Fisico ASIG'!F88:M88)*24</f>
        <v>7897226.9337943168</v>
      </c>
      <c r="Q88" s="43">
        <v>0</v>
      </c>
      <c r="R88" s="43">
        <f t="shared" si="57"/>
        <v>5574.437294023016</v>
      </c>
      <c r="S88" s="43">
        <f t="shared" si="58"/>
        <v>1706.1610984717388</v>
      </c>
      <c r="T88" s="43"/>
      <c r="U88" s="43">
        <v>18000</v>
      </c>
      <c r="V88" s="20">
        <v>0</v>
      </c>
      <c r="W88" s="20">
        <v>21900</v>
      </c>
      <c r="X88" s="20">
        <v>0</v>
      </c>
      <c r="Y88" s="18">
        <f>SUMPRODUCT(Q88:X88,'Fisico ASIG'!O88:V88)/E88</f>
        <v>5445203.1264516236</v>
      </c>
      <c r="Z88" s="25">
        <f t="shared" si="59"/>
        <v>13342430.06024594</v>
      </c>
      <c r="AA88" s="26">
        <f>+Z88/'Fisico ASIG'!N88/24</f>
        <v>60.136069089140086</v>
      </c>
      <c r="AB88" s="26">
        <f t="shared" si="37"/>
        <v>15.806111696522654</v>
      </c>
      <c r="AC88" s="29">
        <f t="shared" si="60"/>
        <v>44.32995739261743</v>
      </c>
      <c r="AI88" s="1">
        <v>7099</v>
      </c>
      <c r="AJ88" s="1">
        <v>5649602</v>
      </c>
      <c r="AK88">
        <f t="shared" si="27"/>
        <v>1.44</v>
      </c>
      <c r="AL88" s="40">
        <f t="shared" si="28"/>
        <v>8437.7999999999993</v>
      </c>
      <c r="AM88">
        <v>2490000</v>
      </c>
      <c r="AN88" s="17">
        <v>35.604513533326916</v>
      </c>
      <c r="AO88" s="64">
        <f t="shared" si="29"/>
        <v>1.9983046634995669</v>
      </c>
      <c r="AP88">
        <v>2.2000000000000002</v>
      </c>
    </row>
    <row r="89" spans="1:42" hidden="1" x14ac:dyDescent="0.3">
      <c r="A89" s="3">
        <f t="shared" si="62"/>
        <v>1459.4167</v>
      </c>
      <c r="B89" s="42">
        <v>1442.8330000000001</v>
      </c>
      <c r="C89" s="53">
        <f t="shared" si="19"/>
        <v>2025</v>
      </c>
      <c r="D89" s="52">
        <f>+'Fisico ASIG'!B89</f>
        <v>45992</v>
      </c>
      <c r="E89" s="1">
        <v>31</v>
      </c>
      <c r="F89" s="1" t="s">
        <v>48</v>
      </c>
      <c r="G89" s="56">
        <f t="shared" si="30"/>
        <v>45995</v>
      </c>
      <c r="H89" s="17">
        <v>28</v>
      </c>
      <c r="I89" s="17">
        <f t="shared" si="55"/>
        <v>4.8642721437955316</v>
      </c>
      <c r="J89" s="17">
        <f t="shared" si="56"/>
        <v>5.7816249464597735</v>
      </c>
      <c r="K89" s="17"/>
      <c r="L89" s="17">
        <v>27</v>
      </c>
      <c r="M89" s="17">
        <v>71.5</v>
      </c>
      <c r="N89" s="17">
        <f t="shared" si="61"/>
        <v>41.236443563123132</v>
      </c>
      <c r="O89" s="17">
        <v>119.90084388185653</v>
      </c>
      <c r="P89" s="18">
        <f>SUMPRODUCT(H89:O89,'Fisico ASIG'!F89:M89)*24</f>
        <v>8599134.1498958282</v>
      </c>
      <c r="Q89" s="43">
        <v>0</v>
      </c>
      <c r="R89" s="43">
        <f t="shared" si="57"/>
        <v>5574.437294023016</v>
      </c>
      <c r="S89" s="43">
        <f t="shared" si="58"/>
        <v>1706.1610984717388</v>
      </c>
      <c r="T89" s="43"/>
      <c r="U89" s="43">
        <v>18000</v>
      </c>
      <c r="V89" s="20">
        <v>0</v>
      </c>
      <c r="W89" s="20">
        <v>21900</v>
      </c>
      <c r="X89" s="20">
        <v>0</v>
      </c>
      <c r="Y89" s="18">
        <f>SUMPRODUCT(Q89:X89,'Fisico ASIG'!O89:V89)/E89</f>
        <v>5443133.1648495039</v>
      </c>
      <c r="Z89" s="25">
        <f t="shared" si="59"/>
        <v>14042267.314745333</v>
      </c>
      <c r="AA89" s="26">
        <f>+Z89/'Fisico ASIG'!N89/24</f>
        <v>58.429943954614167</v>
      </c>
      <c r="AB89" s="26">
        <f t="shared" ref="AB89:AB120" si="63">+$AB$21*375/0.52/730</f>
        <v>15.806111696522654</v>
      </c>
      <c r="AC89" s="29">
        <f t="shared" si="60"/>
        <v>42.623832258091511</v>
      </c>
      <c r="AI89" s="1">
        <v>7099</v>
      </c>
      <c r="AJ89" s="1">
        <v>5649602</v>
      </c>
      <c r="AK89">
        <f t="shared" si="27"/>
        <v>1.44</v>
      </c>
      <c r="AL89" s="40">
        <f t="shared" si="28"/>
        <v>8437.7999999999993</v>
      </c>
      <c r="AM89">
        <v>2490000</v>
      </c>
      <c r="AN89" s="17">
        <v>36.947488115337826</v>
      </c>
      <c r="AO89" s="64">
        <f t="shared" si="29"/>
        <v>2.0889554477853034</v>
      </c>
      <c r="AP89">
        <v>2.2000000000000002</v>
      </c>
    </row>
    <row r="90" spans="1:42" hidden="1" x14ac:dyDescent="0.3">
      <c r="A90" s="3">
        <f t="shared" si="62"/>
        <v>1459.4167</v>
      </c>
      <c r="B90" s="42">
        <v>1442.8330000000001</v>
      </c>
      <c r="C90" s="53">
        <f t="shared" ref="C90:C120" si="64">YEAR(G90)</f>
        <v>2025</v>
      </c>
      <c r="D90" s="52">
        <f>+'Fisico ASIG'!B90</f>
        <v>45992</v>
      </c>
      <c r="E90" s="1">
        <v>31</v>
      </c>
      <c r="F90" s="1" t="s">
        <v>49</v>
      </c>
      <c r="G90" s="56">
        <f t="shared" si="30"/>
        <v>45996</v>
      </c>
      <c r="H90" s="17">
        <v>28</v>
      </c>
      <c r="I90" s="17">
        <f t="shared" si="55"/>
        <v>4.8642721437955316</v>
      </c>
      <c r="J90" s="17">
        <f t="shared" si="56"/>
        <v>5.7816249464597735</v>
      </c>
      <c r="K90" s="17"/>
      <c r="L90" s="17">
        <v>27</v>
      </c>
      <c r="M90" s="17">
        <v>71.5</v>
      </c>
      <c r="N90" s="17">
        <f t="shared" si="61"/>
        <v>40.772180826140364</v>
      </c>
      <c r="O90" s="17">
        <v>119.77507313495332</v>
      </c>
      <c r="P90" s="18">
        <f>SUMPRODUCT(H90:O90,'Fisico ASIG'!F90:M90)*24</f>
        <v>8837894.231975656</v>
      </c>
      <c r="Q90" s="43">
        <v>0</v>
      </c>
      <c r="R90" s="43">
        <f t="shared" si="57"/>
        <v>5574.437294023016</v>
      </c>
      <c r="S90" s="43">
        <f t="shared" si="58"/>
        <v>1706.1610984717388</v>
      </c>
      <c r="T90" s="43"/>
      <c r="U90" s="43">
        <v>18000</v>
      </c>
      <c r="V90" s="20">
        <v>0</v>
      </c>
      <c r="W90" s="20">
        <v>21900</v>
      </c>
      <c r="X90" s="20">
        <v>0</v>
      </c>
      <c r="Y90" s="18">
        <f>SUMPRODUCT(Q90:X90,'Fisico ASIG'!O90:V90)/E90</f>
        <v>5460529.7842599386</v>
      </c>
      <c r="Z90" s="25">
        <f t="shared" si="59"/>
        <v>14298424.016235594</v>
      </c>
      <c r="AA90" s="26">
        <f>+Z90/'Fisico ASIG'!N90/24</f>
        <v>57.109960298952842</v>
      </c>
      <c r="AB90" s="26">
        <f t="shared" si="63"/>
        <v>15.806111696522654</v>
      </c>
      <c r="AC90" s="29">
        <f t="shared" si="60"/>
        <v>41.303848602430186</v>
      </c>
      <c r="AI90" s="1">
        <v>7099</v>
      </c>
      <c r="AJ90" s="1">
        <v>5649602</v>
      </c>
      <c r="AK90">
        <f t="shared" si="27"/>
        <v>1.44</v>
      </c>
      <c r="AL90" s="40">
        <f t="shared" si="28"/>
        <v>8437.7999999999993</v>
      </c>
      <c r="AM90">
        <v>2490000</v>
      </c>
      <c r="AN90" s="17">
        <v>36.512581570154907</v>
      </c>
      <c r="AO90" s="64">
        <f t="shared" ref="AO90:AO113" si="65">0.075*0.9*(AN90-6)</f>
        <v>2.0595992559854563</v>
      </c>
      <c r="AP90">
        <v>2.2000000000000002</v>
      </c>
    </row>
    <row r="91" spans="1:42" hidden="1" x14ac:dyDescent="0.3">
      <c r="A91" s="3">
        <f t="shared" si="62"/>
        <v>1459.4167</v>
      </c>
      <c r="B91" s="42">
        <v>1442.8330000000001</v>
      </c>
      <c r="C91" s="53">
        <f t="shared" si="64"/>
        <v>2025</v>
      </c>
      <c r="D91" s="52">
        <f>+'Fisico ASIG'!B91</f>
        <v>45992</v>
      </c>
      <c r="E91" s="1">
        <v>31</v>
      </c>
      <c r="F91" s="1" t="s">
        <v>43</v>
      </c>
      <c r="G91" s="56">
        <f t="shared" ref="G91:G106" si="66">+ G90+1</f>
        <v>45997</v>
      </c>
      <c r="H91" s="17">
        <v>28</v>
      </c>
      <c r="I91" s="17">
        <f t="shared" si="55"/>
        <v>4.8642721437955316</v>
      </c>
      <c r="J91" s="17">
        <f t="shared" si="56"/>
        <v>5.7816249464597735</v>
      </c>
      <c r="K91" s="17"/>
      <c r="L91" s="17">
        <v>27</v>
      </c>
      <c r="M91" s="17">
        <v>71.5</v>
      </c>
      <c r="N91" s="17">
        <f t="shared" si="61"/>
        <v>44.094523774116361</v>
      </c>
      <c r="O91" s="17">
        <v>119.78213091256569</v>
      </c>
      <c r="P91" s="18">
        <f>SUMPRODUCT(H91:O91,'Fisico ASIG'!F91:M91)*24</f>
        <v>8698127.9113662932</v>
      </c>
      <c r="Q91" s="43">
        <v>0</v>
      </c>
      <c r="R91" s="43">
        <f t="shared" si="57"/>
        <v>5574.437294023016</v>
      </c>
      <c r="S91" s="43">
        <f t="shared" si="58"/>
        <v>1706.1610984717388</v>
      </c>
      <c r="T91" s="43"/>
      <c r="U91" s="43">
        <v>18000</v>
      </c>
      <c r="V91" s="20">
        <v>0</v>
      </c>
      <c r="W91" s="20">
        <v>21900</v>
      </c>
      <c r="X91" s="20">
        <v>0</v>
      </c>
      <c r="Y91" s="18">
        <f>SUMPRODUCT(Q91:X91,'Fisico ASIG'!O91:V91)/E91</f>
        <v>5451691.2281831121</v>
      </c>
      <c r="Z91" s="25">
        <f t="shared" si="59"/>
        <v>14149819.139549404</v>
      </c>
      <c r="AA91" s="26">
        <f>+Z91/'Fisico ASIG'!N91/24</f>
        <v>61.338369257079087</v>
      </c>
      <c r="AB91" s="26">
        <f t="shared" si="63"/>
        <v>15.806111696522654</v>
      </c>
      <c r="AC91" s="29">
        <f t="shared" si="60"/>
        <v>45.532257560556431</v>
      </c>
      <c r="AI91" s="1">
        <v>7099</v>
      </c>
      <c r="AJ91" s="1">
        <v>5649602</v>
      </c>
      <c r="AK91">
        <f t="shared" si="27"/>
        <v>1.44</v>
      </c>
      <c r="AL91" s="40">
        <f t="shared" si="28"/>
        <v>8437.7999999999993</v>
      </c>
      <c r="AM91">
        <v>2490000</v>
      </c>
      <c r="AN91" s="17">
        <v>39.624846626806892</v>
      </c>
      <c r="AO91" s="64">
        <f t="shared" si="65"/>
        <v>2.2696771473094652</v>
      </c>
      <c r="AP91">
        <v>2.2000000000000002</v>
      </c>
    </row>
    <row r="92" spans="1:42" hidden="1" x14ac:dyDescent="0.3">
      <c r="A92" s="3">
        <f t="shared" si="62"/>
        <v>1459.4167</v>
      </c>
      <c r="B92" s="42">
        <v>1442.8330000000001</v>
      </c>
      <c r="C92" s="53">
        <f t="shared" si="64"/>
        <v>2025</v>
      </c>
      <c r="D92" s="52">
        <f>+'Fisico ASIG'!B92</f>
        <v>45992</v>
      </c>
      <c r="E92" s="1">
        <v>31</v>
      </c>
      <c r="F92" s="1" t="s">
        <v>44</v>
      </c>
      <c r="G92" s="56">
        <f t="shared" si="66"/>
        <v>45998</v>
      </c>
      <c r="H92" s="17">
        <v>28</v>
      </c>
      <c r="I92" s="17">
        <f t="shared" si="55"/>
        <v>4.8642721437955316</v>
      </c>
      <c r="J92" s="17">
        <f t="shared" si="56"/>
        <v>5.7816249464597735</v>
      </c>
      <c r="K92" s="17"/>
      <c r="L92" s="17">
        <v>27</v>
      </c>
      <c r="M92" s="17">
        <v>71.5</v>
      </c>
      <c r="N92" s="17">
        <f t="shared" si="61"/>
        <v>42.369809505892135</v>
      </c>
      <c r="O92" s="17">
        <v>119.50076335877864</v>
      </c>
      <c r="P92" s="18">
        <f>SUMPRODUCT(H92:O92,'Fisico ASIG'!F92:M92)*24</f>
        <v>7526555.8735723533</v>
      </c>
      <c r="Q92" s="43">
        <v>0</v>
      </c>
      <c r="R92" s="43">
        <f t="shared" si="57"/>
        <v>5574.437294023016</v>
      </c>
      <c r="S92" s="43">
        <f t="shared" si="58"/>
        <v>1706.1610984717388</v>
      </c>
      <c r="T92" s="43"/>
      <c r="U92" s="43">
        <v>18000</v>
      </c>
      <c r="V92" s="20">
        <v>0</v>
      </c>
      <c r="W92" s="20">
        <v>21900</v>
      </c>
      <c r="X92" s="20">
        <v>0</v>
      </c>
      <c r="Y92" s="18">
        <f>SUMPRODUCT(Q92:X92,'Fisico ASIG'!O92:V92)/E92</f>
        <v>5455034.9263531063</v>
      </c>
      <c r="Z92" s="25">
        <f t="shared" si="59"/>
        <v>12981590.79992546</v>
      </c>
      <c r="AA92" s="26">
        <f>+Z92/'Fisico ASIG'!N92/24</f>
        <v>65.415919407452876</v>
      </c>
      <c r="AB92" s="26">
        <f t="shared" si="63"/>
        <v>15.806111696522654</v>
      </c>
      <c r="AC92" s="29">
        <f t="shared" si="60"/>
        <v>49.60980771093022</v>
      </c>
      <c r="AI92" s="1">
        <v>7099</v>
      </c>
      <c r="AJ92" s="1">
        <v>5649602</v>
      </c>
      <c r="AK92">
        <f t="shared" si="27"/>
        <v>1.44</v>
      </c>
      <c r="AL92" s="40">
        <f t="shared" si="28"/>
        <v>8437.7999999999993</v>
      </c>
      <c r="AM92">
        <v>2490000</v>
      </c>
      <c r="AN92" s="17">
        <v>38.009189232685841</v>
      </c>
      <c r="AO92" s="64">
        <f t="shared" si="65"/>
        <v>2.1606202732062942</v>
      </c>
      <c r="AP92">
        <v>2.2000000000000002</v>
      </c>
    </row>
    <row r="93" spans="1:42" hidden="1" x14ac:dyDescent="0.3">
      <c r="A93" s="3">
        <f t="shared" si="62"/>
        <v>1459.4167</v>
      </c>
      <c r="B93" s="42">
        <v>1442.8330000000001</v>
      </c>
      <c r="C93" s="53">
        <f t="shared" si="64"/>
        <v>2025</v>
      </c>
      <c r="D93" s="52">
        <f>+'Fisico ASIG'!B93</f>
        <v>45992</v>
      </c>
      <c r="E93" s="1">
        <v>31</v>
      </c>
      <c r="F93" s="1" t="s">
        <v>45</v>
      </c>
      <c r="G93" s="56">
        <f t="shared" si="66"/>
        <v>45999</v>
      </c>
      <c r="H93" s="17">
        <v>28</v>
      </c>
      <c r="I93" s="17">
        <f t="shared" si="55"/>
        <v>4.8642721437955316</v>
      </c>
      <c r="J93" s="17">
        <f t="shared" si="56"/>
        <v>5.7816249464597735</v>
      </c>
      <c r="K93" s="17"/>
      <c r="L93" s="17">
        <v>27</v>
      </c>
      <c r="M93" s="17">
        <v>71.5</v>
      </c>
      <c r="N93" s="17">
        <f t="shared" si="61"/>
        <v>38.557943466050382</v>
      </c>
      <c r="O93" s="17">
        <v>119.5417919985038</v>
      </c>
      <c r="P93" s="18">
        <f>SUMPRODUCT(H93:O93,'Fisico ASIG'!F93:M93)*24</f>
        <v>6749539.6003961088</v>
      </c>
      <c r="Q93" s="43">
        <v>0</v>
      </c>
      <c r="R93" s="43">
        <f t="shared" si="57"/>
        <v>5574.437294023016</v>
      </c>
      <c r="S93" s="43">
        <f t="shared" si="58"/>
        <v>1706.1610984717388</v>
      </c>
      <c r="T93" s="43"/>
      <c r="U93" s="43">
        <v>18000</v>
      </c>
      <c r="V93" s="20">
        <v>0</v>
      </c>
      <c r="W93" s="20">
        <v>21900</v>
      </c>
      <c r="X93" s="20">
        <v>0</v>
      </c>
      <c r="Y93" s="18">
        <f>SUMPRODUCT(Q93:X93,'Fisico ASIG'!O93:V93)/E93</f>
        <v>5476209.1677397368</v>
      </c>
      <c r="Z93" s="25">
        <f t="shared" si="59"/>
        <v>12225748.768135846</v>
      </c>
      <c r="AA93" s="26">
        <f>+Z93/'Fisico ASIG'!N93/24</f>
        <v>69.521917010869672</v>
      </c>
      <c r="AB93" s="26">
        <f t="shared" si="63"/>
        <v>15.806111696522654</v>
      </c>
      <c r="AC93" s="29">
        <f t="shared" si="60"/>
        <v>53.715805314347016</v>
      </c>
      <c r="AI93" s="1">
        <v>7099</v>
      </c>
      <c r="AJ93" s="1">
        <v>5649602</v>
      </c>
      <c r="AK93">
        <f t="shared" si="27"/>
        <v>1.44</v>
      </c>
      <c r="AL93" s="40">
        <f t="shared" si="28"/>
        <v>8437.7999999999993</v>
      </c>
      <c r="AM93">
        <v>2490000</v>
      </c>
      <c r="AN93" s="17">
        <v>34.438354534941809</v>
      </c>
      <c r="AO93" s="64">
        <f t="shared" si="65"/>
        <v>1.9195889311085721</v>
      </c>
      <c r="AP93">
        <v>2.2000000000000002</v>
      </c>
    </row>
    <row r="94" spans="1:42" hidden="1" x14ac:dyDescent="0.3">
      <c r="A94" s="3">
        <f t="shared" si="62"/>
        <v>1459.4167</v>
      </c>
      <c r="B94" s="42">
        <v>1442.8330000000001</v>
      </c>
      <c r="C94" s="53">
        <f t="shared" si="64"/>
        <v>2025</v>
      </c>
      <c r="D94" s="52">
        <f>+'Fisico ASIG'!B94</f>
        <v>45992</v>
      </c>
      <c r="E94" s="1">
        <v>31</v>
      </c>
      <c r="F94" s="1" t="s">
        <v>46</v>
      </c>
      <c r="G94" s="56">
        <f t="shared" si="66"/>
        <v>46000</v>
      </c>
      <c r="H94" s="17">
        <v>28</v>
      </c>
      <c r="I94" s="17">
        <f t="shared" ref="I94:I106" si="67">AI94/A94</f>
        <v>4.8642721437955316</v>
      </c>
      <c r="J94" s="17">
        <f t="shared" ref="J94:J106" si="68">+AL94/A94</f>
        <v>5.7816249464597735</v>
      </c>
      <c r="K94" s="17"/>
      <c r="L94" s="17">
        <v>27</v>
      </c>
      <c r="M94" s="17">
        <v>71.5</v>
      </c>
      <c r="N94" s="17">
        <f t="shared" si="61"/>
        <v>41.086001896822808</v>
      </c>
      <c r="O94" s="17">
        <v>119.69511013500419</v>
      </c>
      <c r="P94" s="18">
        <f>SUMPRODUCT(H94:O94,'Fisico ASIG'!F94:M94)*24</f>
        <v>7935321.5628732657</v>
      </c>
      <c r="Q94" s="43">
        <v>0</v>
      </c>
      <c r="R94" s="43">
        <f t="shared" ref="R94:R100" si="69">+AJ94*AK94/A94</f>
        <v>5574.437294023016</v>
      </c>
      <c r="S94" s="43">
        <f t="shared" ref="S94:S100" si="70">+AM94/A94</f>
        <v>1706.1610984717388</v>
      </c>
      <c r="T94" s="43"/>
      <c r="U94" s="43">
        <v>18000</v>
      </c>
      <c r="V94" s="20">
        <v>0</v>
      </c>
      <c r="W94" s="20">
        <v>21900</v>
      </c>
      <c r="X94" s="20">
        <v>0</v>
      </c>
      <c r="Y94" s="18">
        <f>SUMPRODUCT(Q94:X94,'Fisico ASIG'!O94:V94)/E94</f>
        <v>5452525.233987635</v>
      </c>
      <c r="Z94" s="25">
        <f t="shared" ref="Z94:Z100" si="71">+(P94+Y94)</f>
        <v>13387846.7968609</v>
      </c>
      <c r="AA94" s="26">
        <f>+Z94/'Fisico ASIG'!N94/24</f>
        <v>63.943976625605529</v>
      </c>
      <c r="AB94" s="26">
        <f t="shared" si="63"/>
        <v>15.806111696522654</v>
      </c>
      <c r="AC94" s="29">
        <f t="shared" ref="AC94:AC100" si="72">+AA94-AB94</f>
        <v>48.137864929082873</v>
      </c>
      <c r="AI94" s="1">
        <v>7099</v>
      </c>
      <c r="AJ94" s="1">
        <v>5649602</v>
      </c>
      <c r="AK94">
        <f t="shared" si="27"/>
        <v>1.44</v>
      </c>
      <c r="AL94" s="40">
        <f t="shared" si="28"/>
        <v>8437.7999999999993</v>
      </c>
      <c r="AM94">
        <v>2490000</v>
      </c>
      <c r="AN94" s="17">
        <v>36.806559153932369</v>
      </c>
      <c r="AO94" s="64">
        <f t="shared" si="65"/>
        <v>2.0794427428904352</v>
      </c>
      <c r="AP94">
        <v>2.2000000000000002</v>
      </c>
    </row>
    <row r="95" spans="1:42" hidden="1" x14ac:dyDescent="0.3">
      <c r="A95" s="3">
        <f t="shared" si="62"/>
        <v>1459.4167</v>
      </c>
      <c r="B95" s="42">
        <v>1442.8330000000001</v>
      </c>
      <c r="C95" s="53">
        <f t="shared" si="64"/>
        <v>2025</v>
      </c>
      <c r="D95" s="52">
        <f>+'Fisico ASIG'!B95</f>
        <v>45992</v>
      </c>
      <c r="E95" s="1">
        <v>31</v>
      </c>
      <c r="F95" s="1" t="s">
        <v>47</v>
      </c>
      <c r="G95" s="56">
        <f t="shared" si="66"/>
        <v>46001</v>
      </c>
      <c r="H95" s="17">
        <v>28</v>
      </c>
      <c r="I95" s="17">
        <f t="shared" si="67"/>
        <v>4.8642721437955316</v>
      </c>
      <c r="J95" s="17">
        <f t="shared" si="68"/>
        <v>5.7816249464597735</v>
      </c>
      <c r="K95" s="17"/>
      <c r="L95" s="17">
        <v>27</v>
      </c>
      <c r="M95" s="17">
        <v>71.5</v>
      </c>
      <c r="N95" s="17">
        <f t="shared" si="61"/>
        <v>41.306899919483158</v>
      </c>
      <c r="O95" s="17">
        <v>39.61242891496601</v>
      </c>
      <c r="P95" s="18">
        <f>SUMPRODUCT(H95:O95,'Fisico ASIG'!F95:M95)*24</f>
        <v>8095446.8175738212</v>
      </c>
      <c r="Q95" s="43">
        <v>0</v>
      </c>
      <c r="R95" s="43">
        <f t="shared" si="69"/>
        <v>5574.437294023016</v>
      </c>
      <c r="S95" s="43">
        <f t="shared" si="70"/>
        <v>1706.1610984717388</v>
      </c>
      <c r="T95" s="43"/>
      <c r="U95" s="43">
        <v>18000</v>
      </c>
      <c r="V95" s="20">
        <v>0</v>
      </c>
      <c r="W95" s="20">
        <v>21900</v>
      </c>
      <c r="X95" s="20">
        <v>0</v>
      </c>
      <c r="Y95" s="18">
        <f>SUMPRODUCT(Q95:X95,'Fisico ASIG'!O95:V95)/E95</f>
        <v>5399667.4132507276</v>
      </c>
      <c r="Z95" s="25">
        <f t="shared" si="71"/>
        <v>13495114.230824549</v>
      </c>
      <c r="AA95" s="26">
        <f>+Z95/'Fisico ASIG'!N95/24</f>
        <v>59.940250584124009</v>
      </c>
      <c r="AB95" s="26">
        <f t="shared" si="63"/>
        <v>15.806111696522654</v>
      </c>
      <c r="AC95" s="29">
        <f t="shared" si="72"/>
        <v>44.134138887601353</v>
      </c>
      <c r="AI95" s="1">
        <v>7099</v>
      </c>
      <c r="AJ95" s="1">
        <v>5649602</v>
      </c>
      <c r="AK95">
        <f t="shared" ref="AK95:AK177" si="73">1.2*1.2</f>
        <v>1.44</v>
      </c>
      <c r="AL95" s="40">
        <f t="shared" ref="AL95:AL116" si="74">4060+1627*1.4+2100</f>
        <v>8437.7999999999993</v>
      </c>
      <c r="AM95">
        <v>2490000</v>
      </c>
      <c r="AN95" s="17">
        <v>37.013489385932701</v>
      </c>
      <c r="AO95" s="64">
        <f t="shared" si="65"/>
        <v>2.0934105335504576</v>
      </c>
      <c r="AP95">
        <v>2.2000000000000002</v>
      </c>
    </row>
    <row r="96" spans="1:42" hidden="1" x14ac:dyDescent="0.3">
      <c r="A96" s="3">
        <f t="shared" si="62"/>
        <v>1459.4167</v>
      </c>
      <c r="B96" s="42">
        <v>1442.8330000000001</v>
      </c>
      <c r="C96" s="53">
        <f t="shared" si="64"/>
        <v>2025</v>
      </c>
      <c r="D96" s="52">
        <f>+'Fisico ASIG'!B96</f>
        <v>45992</v>
      </c>
      <c r="E96" s="1">
        <v>31</v>
      </c>
      <c r="F96" s="1" t="s">
        <v>48</v>
      </c>
      <c r="G96" s="56">
        <f t="shared" si="66"/>
        <v>46002</v>
      </c>
      <c r="H96" s="17">
        <v>28</v>
      </c>
      <c r="I96" s="17">
        <f t="shared" si="67"/>
        <v>4.8642721437955316</v>
      </c>
      <c r="J96" s="17">
        <f t="shared" si="68"/>
        <v>5.7816249464597735</v>
      </c>
      <c r="K96" s="17"/>
      <c r="L96" s="17">
        <v>27</v>
      </c>
      <c r="M96" s="17">
        <v>71.5</v>
      </c>
      <c r="N96" s="17">
        <f t="shared" si="61"/>
        <v>40.239234281094198</v>
      </c>
      <c r="O96" s="17">
        <v>119.70484645611994</v>
      </c>
      <c r="P96" s="18">
        <f>SUMPRODUCT(H96:O96,'Fisico ASIG'!F96:M96)*24</f>
        <v>8625525.0345897675</v>
      </c>
      <c r="Q96" s="43">
        <v>0</v>
      </c>
      <c r="R96" s="43">
        <f t="shared" si="69"/>
        <v>5574.437294023016</v>
      </c>
      <c r="S96" s="43">
        <f t="shared" si="70"/>
        <v>1706.1610984717388</v>
      </c>
      <c r="T96" s="43"/>
      <c r="U96" s="43">
        <v>18000</v>
      </c>
      <c r="V96" s="20">
        <v>0</v>
      </c>
      <c r="W96" s="20">
        <v>21900</v>
      </c>
      <c r="X96" s="20">
        <v>0</v>
      </c>
      <c r="Y96" s="18">
        <f>SUMPRODUCT(Q96:X96,'Fisico ASIG'!O96:V96)/E96</f>
        <v>5534778.6594303055</v>
      </c>
      <c r="Z96" s="25">
        <f t="shared" si="71"/>
        <v>14160303.694020074</v>
      </c>
      <c r="AA96" s="26">
        <f>+Z96/'Fisico ASIG'!N96/24</f>
        <v>62.351925362911793</v>
      </c>
      <c r="AB96" s="26">
        <f t="shared" si="63"/>
        <v>15.806111696522654</v>
      </c>
      <c r="AC96" s="29">
        <f t="shared" si="72"/>
        <v>46.545813666389137</v>
      </c>
      <c r="AI96" s="1">
        <v>7099</v>
      </c>
      <c r="AJ96" s="1">
        <v>5649602</v>
      </c>
      <c r="AK96">
        <f t="shared" si="73"/>
        <v>1.44</v>
      </c>
      <c r="AL96" s="40">
        <f t="shared" si="74"/>
        <v>8437.7999999999993</v>
      </c>
      <c r="AM96">
        <v>2490000</v>
      </c>
      <c r="AN96" s="17">
        <v>36.013334221165522</v>
      </c>
      <c r="AO96" s="64">
        <f t="shared" si="65"/>
        <v>2.0259000599286727</v>
      </c>
      <c r="AP96">
        <v>2.2000000000000002</v>
      </c>
    </row>
    <row r="97" spans="1:42" hidden="1" x14ac:dyDescent="0.3">
      <c r="A97" s="3">
        <f t="shared" si="62"/>
        <v>1459.4167</v>
      </c>
      <c r="B97" s="42">
        <v>1442.8330000000001</v>
      </c>
      <c r="C97" s="53">
        <f t="shared" si="64"/>
        <v>2025</v>
      </c>
      <c r="D97" s="52">
        <f>+'Fisico ASIG'!B97</f>
        <v>45992</v>
      </c>
      <c r="E97" s="1">
        <v>31</v>
      </c>
      <c r="F97" s="1" t="s">
        <v>49</v>
      </c>
      <c r="G97" s="56">
        <f t="shared" si="66"/>
        <v>46003</v>
      </c>
      <c r="H97" s="17">
        <v>28</v>
      </c>
      <c r="I97" s="17">
        <f t="shared" si="67"/>
        <v>4.8642721437955316</v>
      </c>
      <c r="J97" s="17">
        <f t="shared" si="68"/>
        <v>5.7816249464597735</v>
      </c>
      <c r="K97" s="17"/>
      <c r="L97" s="17">
        <v>27</v>
      </c>
      <c r="M97" s="17">
        <v>71.5</v>
      </c>
      <c r="N97" s="17">
        <f t="shared" si="61"/>
        <v>41.240294516393789</v>
      </c>
      <c r="O97" s="17">
        <v>100.68401851224991</v>
      </c>
      <c r="P97" s="18">
        <f>SUMPRODUCT(H97:O97,'Fisico ASIG'!F97:M97)*24</f>
        <v>10267830.290061943</v>
      </c>
      <c r="Q97" s="43">
        <v>0</v>
      </c>
      <c r="R97" s="43">
        <f t="shared" si="69"/>
        <v>5574.437294023016</v>
      </c>
      <c r="S97" s="43">
        <f t="shared" si="70"/>
        <v>1706.1610984717388</v>
      </c>
      <c r="T97" s="43"/>
      <c r="U97" s="43">
        <v>18000</v>
      </c>
      <c r="V97" s="20">
        <v>0</v>
      </c>
      <c r="W97" s="20">
        <v>21900</v>
      </c>
      <c r="X97" s="20">
        <v>0</v>
      </c>
      <c r="Y97" s="18">
        <f>SUMPRODUCT(Q97:X97,'Fisico ASIG'!O97:V97)/E97</f>
        <v>5538776.0607963009</v>
      </c>
      <c r="Z97" s="25">
        <f t="shared" si="71"/>
        <v>15806606.350858245</v>
      </c>
      <c r="AA97" s="26">
        <f>+Z97/'Fisico ASIG'!N97/24</f>
        <v>63.615281189073819</v>
      </c>
      <c r="AB97" s="26">
        <f t="shared" si="63"/>
        <v>15.806111696522654</v>
      </c>
      <c r="AC97" s="29">
        <f t="shared" si="72"/>
        <v>47.809169492551163</v>
      </c>
      <c r="AI97" s="1">
        <v>7099</v>
      </c>
      <c r="AJ97" s="1">
        <v>5649602</v>
      </c>
      <c r="AK97">
        <f t="shared" si="73"/>
        <v>1.44</v>
      </c>
      <c r="AL97" s="40">
        <f t="shared" si="74"/>
        <v>8437.7999999999993</v>
      </c>
      <c r="AM97">
        <v>2490000</v>
      </c>
      <c r="AN97" s="17">
        <v>36.951095565708464</v>
      </c>
      <c r="AO97" s="64">
        <f t="shared" si="65"/>
        <v>2.0891989506853212</v>
      </c>
      <c r="AP97">
        <v>2.2000000000000002</v>
      </c>
    </row>
    <row r="98" spans="1:42" hidden="1" x14ac:dyDescent="0.3">
      <c r="A98" s="3">
        <f t="shared" si="62"/>
        <v>1459.4167</v>
      </c>
      <c r="B98" s="42">
        <v>1442.8330000000001</v>
      </c>
      <c r="C98" s="53">
        <f t="shared" si="64"/>
        <v>2025</v>
      </c>
      <c r="D98" s="52">
        <f>+'Fisico ASIG'!B98</f>
        <v>45992</v>
      </c>
      <c r="E98" s="1">
        <v>31</v>
      </c>
      <c r="F98" s="1" t="s">
        <v>43</v>
      </c>
      <c r="G98" s="56">
        <f t="shared" si="66"/>
        <v>46004</v>
      </c>
      <c r="H98" s="17">
        <v>28</v>
      </c>
      <c r="I98" s="17">
        <f t="shared" si="67"/>
        <v>4.8642721437955316</v>
      </c>
      <c r="J98" s="17">
        <f t="shared" si="68"/>
        <v>5.7816249464597735</v>
      </c>
      <c r="K98" s="17"/>
      <c r="L98" s="17">
        <v>27</v>
      </c>
      <c r="M98" s="17">
        <v>71.5</v>
      </c>
      <c r="N98" s="17">
        <f t="shared" si="61"/>
        <v>40.55660163512583</v>
      </c>
      <c r="O98" s="17">
        <v>101.33758653780703</v>
      </c>
      <c r="P98" s="18">
        <f>SUMPRODUCT(H98:O98,'Fisico ASIG'!F98:M98)*24</f>
        <v>9670071.8010448217</v>
      </c>
      <c r="Q98" s="43">
        <v>0</v>
      </c>
      <c r="R98" s="43">
        <f t="shared" si="69"/>
        <v>5574.437294023016</v>
      </c>
      <c r="S98" s="43">
        <f t="shared" si="70"/>
        <v>1706.1610984717388</v>
      </c>
      <c r="T98" s="43"/>
      <c r="U98" s="43">
        <v>18000</v>
      </c>
      <c r="V98" s="20">
        <v>0</v>
      </c>
      <c r="W98" s="20">
        <v>21900</v>
      </c>
      <c r="X98" s="20">
        <v>0</v>
      </c>
      <c r="Y98" s="18">
        <f>SUMPRODUCT(Q98:X98,'Fisico ASIG'!O98:V98)/E98</f>
        <v>5606032.5181050701</v>
      </c>
      <c r="Z98" s="25">
        <f t="shared" si="71"/>
        <v>15276104.319149893</v>
      </c>
      <c r="AA98" s="26">
        <f>+Z98/'Fisico ASIG'!N98/24</f>
        <v>64.188813252666918</v>
      </c>
      <c r="AB98" s="26">
        <f t="shared" si="63"/>
        <v>15.806111696522654</v>
      </c>
      <c r="AC98" s="29">
        <f t="shared" si="72"/>
        <v>48.382701556144262</v>
      </c>
      <c r="AI98" s="1">
        <v>7099</v>
      </c>
      <c r="AJ98" s="1">
        <v>5649602</v>
      </c>
      <c r="AK98">
        <f t="shared" si="73"/>
        <v>1.44</v>
      </c>
      <c r="AL98" s="40">
        <f t="shared" si="74"/>
        <v>8437.7999999999993</v>
      </c>
      <c r="AM98">
        <v>2490000</v>
      </c>
      <c r="AN98" s="17">
        <v>36.310633850234964</v>
      </c>
      <c r="AO98" s="64">
        <f t="shared" si="65"/>
        <v>2.0459677848908604</v>
      </c>
      <c r="AP98">
        <v>2.2000000000000002</v>
      </c>
    </row>
    <row r="99" spans="1:42" hidden="1" x14ac:dyDescent="0.3">
      <c r="A99" s="3">
        <f t="shared" si="62"/>
        <v>1459.4167</v>
      </c>
      <c r="B99" s="42">
        <v>1442.8330000000001</v>
      </c>
      <c r="C99" s="53">
        <f t="shared" si="64"/>
        <v>2025</v>
      </c>
      <c r="D99" s="52">
        <f>+'Fisico ASIG'!B99</f>
        <v>45992</v>
      </c>
      <c r="E99" s="1">
        <v>31</v>
      </c>
      <c r="F99" s="1" t="s">
        <v>44</v>
      </c>
      <c r="G99" s="56">
        <f t="shared" si="66"/>
        <v>46005</v>
      </c>
      <c r="H99" s="17">
        <v>28</v>
      </c>
      <c r="I99" s="17">
        <f t="shared" si="67"/>
        <v>4.8642721437955316</v>
      </c>
      <c r="J99" s="17">
        <f t="shared" si="68"/>
        <v>5.7816249464597735</v>
      </c>
      <c r="K99" s="17"/>
      <c r="L99" s="17">
        <v>27</v>
      </c>
      <c r="M99" s="17">
        <v>71.5</v>
      </c>
      <c r="N99" s="17">
        <f t="shared" si="61"/>
        <v>38.20853147084113</v>
      </c>
      <c r="O99" s="17">
        <v>119.74613242748654</v>
      </c>
      <c r="P99" s="18">
        <f>SUMPRODUCT(H99:O99,'Fisico ASIG'!F99:M99)*24</f>
        <v>7826943.1298644394</v>
      </c>
      <c r="Q99" s="43">
        <v>0</v>
      </c>
      <c r="R99" s="43">
        <f t="shared" si="69"/>
        <v>5574.437294023016</v>
      </c>
      <c r="S99" s="43">
        <f t="shared" si="70"/>
        <v>1706.1610984717388</v>
      </c>
      <c r="T99" s="43"/>
      <c r="U99" s="43">
        <v>18000</v>
      </c>
      <c r="V99" s="20">
        <v>0</v>
      </c>
      <c r="W99" s="20">
        <v>21900</v>
      </c>
      <c r="X99" s="20">
        <v>0</v>
      </c>
      <c r="Y99" s="18">
        <f>SUMPRODUCT(Q99:X99,'Fisico ASIG'!O99:V99)/E99</f>
        <v>5557599.9490834931</v>
      </c>
      <c r="Z99" s="25">
        <f t="shared" si="71"/>
        <v>13384543.078947932</v>
      </c>
      <c r="AA99" s="26">
        <f>+Z99/'Fisico ASIG'!N99/24</f>
        <v>67.817290905468525</v>
      </c>
      <c r="AB99" s="26">
        <f t="shared" si="63"/>
        <v>15.806111696522654</v>
      </c>
      <c r="AC99" s="29">
        <f t="shared" si="72"/>
        <v>52.011179208945869</v>
      </c>
      <c r="AI99" s="1">
        <v>7099</v>
      </c>
      <c r="AJ99" s="1">
        <v>5649602</v>
      </c>
      <c r="AK99">
        <f t="shared" si="73"/>
        <v>1.44</v>
      </c>
      <c r="AL99" s="40">
        <f t="shared" si="74"/>
        <v>8437.7999999999993</v>
      </c>
      <c r="AM99">
        <v>2490000</v>
      </c>
      <c r="AN99" s="17">
        <v>34.111036506642741</v>
      </c>
      <c r="AO99" s="64">
        <f t="shared" si="65"/>
        <v>1.8974949641983851</v>
      </c>
      <c r="AP99">
        <v>2.2000000000000002</v>
      </c>
    </row>
    <row r="100" spans="1:42" hidden="1" x14ac:dyDescent="0.3">
      <c r="A100" s="3">
        <f t="shared" si="62"/>
        <v>1459.4167</v>
      </c>
      <c r="B100" s="42">
        <v>1437.4169999999999</v>
      </c>
      <c r="C100" s="53">
        <f t="shared" si="64"/>
        <v>2025</v>
      </c>
      <c r="D100" s="52">
        <f>+'Fisico ASIG'!B100</f>
        <v>45992</v>
      </c>
      <c r="E100" s="1">
        <v>31</v>
      </c>
      <c r="F100" s="1" t="s">
        <v>45</v>
      </c>
      <c r="G100" s="56">
        <f t="shared" si="66"/>
        <v>46006</v>
      </c>
      <c r="H100" s="17">
        <v>28</v>
      </c>
      <c r="I100" s="17">
        <f t="shared" si="67"/>
        <v>4.8642721437955316</v>
      </c>
      <c r="J100" s="17">
        <f t="shared" si="68"/>
        <v>5.7816249464597735</v>
      </c>
      <c r="K100" s="17"/>
      <c r="L100" s="17">
        <v>27</v>
      </c>
      <c r="M100" s="17">
        <v>71.5</v>
      </c>
      <c r="N100" s="17">
        <f t="shared" si="61"/>
        <v>39.450889303732083</v>
      </c>
      <c r="O100" s="17">
        <v>119.83405152360082</v>
      </c>
      <c r="P100" s="18">
        <f>SUMPRODUCT(H100:O100,'Fisico ASIG'!F100:M100)*24</f>
        <v>7498782.2045191731</v>
      </c>
      <c r="Q100" s="43">
        <v>0</v>
      </c>
      <c r="R100" s="43">
        <f t="shared" si="69"/>
        <v>5574.437294023016</v>
      </c>
      <c r="S100" s="43">
        <f t="shared" si="70"/>
        <v>1706.1610984717388</v>
      </c>
      <c r="T100" s="43"/>
      <c r="U100" s="43">
        <v>18000</v>
      </c>
      <c r="V100" s="20">
        <v>0</v>
      </c>
      <c r="W100" s="20">
        <v>21900</v>
      </c>
      <c r="X100" s="20">
        <v>0</v>
      </c>
      <c r="Y100" s="18">
        <f>SUMPRODUCT(Q100:X100,'Fisico ASIG'!O100:V100)/E100</f>
        <v>5589509.5730919857</v>
      </c>
      <c r="Z100" s="25">
        <f t="shared" si="71"/>
        <v>13088291.777611159</v>
      </c>
      <c r="AA100" s="26">
        <f>+Z100/'Fisico ASIG'!N100/24</f>
        <v>71.330671799456553</v>
      </c>
      <c r="AB100" s="26">
        <f t="shared" si="63"/>
        <v>15.806111696522654</v>
      </c>
      <c r="AC100" s="29">
        <f t="shared" si="72"/>
        <v>55.524560102933897</v>
      </c>
      <c r="AI100" s="1">
        <v>7099</v>
      </c>
      <c r="AJ100" s="1">
        <v>5649602</v>
      </c>
      <c r="AK100">
        <f t="shared" si="73"/>
        <v>1.44</v>
      </c>
      <c r="AL100" s="40">
        <f t="shared" si="74"/>
        <v>8437.7999999999993</v>
      </c>
      <c r="AM100">
        <v>2490000</v>
      </c>
      <c r="AN100" s="17">
        <v>35.274837755252534</v>
      </c>
      <c r="AO100" s="64">
        <f t="shared" si="65"/>
        <v>1.9760515484795462</v>
      </c>
      <c r="AP100">
        <v>2.2000000000000002</v>
      </c>
    </row>
    <row r="101" spans="1:42" hidden="1" x14ac:dyDescent="0.3">
      <c r="A101" s="3">
        <f t="shared" si="62"/>
        <v>1459.4167</v>
      </c>
      <c r="B101" s="42">
        <v>1437.4169999999999</v>
      </c>
      <c r="C101" s="53">
        <f t="shared" si="64"/>
        <v>2025</v>
      </c>
      <c r="D101" s="52">
        <f>+'Fisico ASIG'!B101</f>
        <v>45992</v>
      </c>
      <c r="E101" s="1">
        <v>31</v>
      </c>
      <c r="F101" s="1" t="s">
        <v>46</v>
      </c>
      <c r="G101" s="56">
        <f t="shared" si="66"/>
        <v>46007</v>
      </c>
      <c r="H101" s="17">
        <v>28</v>
      </c>
      <c r="I101" s="17">
        <f t="shared" si="67"/>
        <v>4.8642721437955316</v>
      </c>
      <c r="J101" s="17">
        <f t="shared" si="68"/>
        <v>5.7816249464597735</v>
      </c>
      <c r="K101" s="17"/>
      <c r="L101" s="17">
        <v>27</v>
      </c>
      <c r="M101" s="17">
        <v>71.5</v>
      </c>
      <c r="N101" s="17">
        <f t="shared" si="61"/>
        <v>39.113060391266075</v>
      </c>
      <c r="O101" s="17">
        <v>39.895137291415637</v>
      </c>
      <c r="P101" s="18">
        <f>SUMPRODUCT(H101:O101,'Fisico ASIG'!F101:M101)*24</f>
        <v>7376251.0842752811</v>
      </c>
      <c r="Q101" s="43">
        <v>0</v>
      </c>
      <c r="R101" s="43">
        <f t="shared" ref="R101:R106" si="75">+AJ101*AK101/A101</f>
        <v>5574.437294023016</v>
      </c>
      <c r="S101" s="43">
        <f t="shared" ref="S101:S106" si="76">+AM101/A101</f>
        <v>1706.1610984717388</v>
      </c>
      <c r="T101" s="43"/>
      <c r="U101" s="43">
        <v>18000</v>
      </c>
      <c r="V101" s="20">
        <v>0</v>
      </c>
      <c r="W101" s="20">
        <v>21900</v>
      </c>
      <c r="X101" s="20">
        <v>0</v>
      </c>
      <c r="Y101" s="18">
        <f>SUMPRODUCT(Q101:X101,'Fisico ASIG'!O101:V101)/E101</f>
        <v>5591537.9090946382</v>
      </c>
      <c r="Z101" s="25">
        <f t="shared" ref="Z101:Z106" si="77">+(P101+Y101)</f>
        <v>12967788.993369918</v>
      </c>
      <c r="AA101" s="26">
        <f>+Z101/'Fisico ASIG'!N101/24</f>
        <v>67.453661360204379</v>
      </c>
      <c r="AB101" s="26">
        <f t="shared" si="63"/>
        <v>15.806111696522654</v>
      </c>
      <c r="AC101" s="29">
        <f t="shared" ref="AC101:AC106" si="78">+AA101-AB101</f>
        <v>51.647549663681723</v>
      </c>
      <c r="AI101" s="1">
        <v>7099</v>
      </c>
      <c r="AJ101" s="1">
        <v>5649602</v>
      </c>
      <c r="AK101">
        <f t="shared" si="73"/>
        <v>1.44</v>
      </c>
      <c r="AL101" s="40">
        <f t="shared" si="74"/>
        <v>8437.7999999999993</v>
      </c>
      <c r="AM101">
        <v>2490000</v>
      </c>
      <c r="AN101" s="17">
        <v>34.958370389944797</v>
      </c>
      <c r="AO101" s="64">
        <f t="shared" si="65"/>
        <v>1.954690001321274</v>
      </c>
      <c r="AP101">
        <v>2.2000000000000002</v>
      </c>
    </row>
    <row r="102" spans="1:42" hidden="1" x14ac:dyDescent="0.3">
      <c r="A102" s="3">
        <f t="shared" si="62"/>
        <v>1459.4167</v>
      </c>
      <c r="B102" s="42">
        <v>1437.4169999999999</v>
      </c>
      <c r="C102" s="53">
        <f t="shared" si="64"/>
        <v>2025</v>
      </c>
      <c r="D102" s="52">
        <f>+'Fisico ASIG'!B102</f>
        <v>45992</v>
      </c>
      <c r="E102" s="1">
        <v>31</v>
      </c>
      <c r="F102" s="1" t="s">
        <v>47</v>
      </c>
      <c r="G102" s="56">
        <f t="shared" si="66"/>
        <v>46008</v>
      </c>
      <c r="H102" s="17">
        <v>28</v>
      </c>
      <c r="I102" s="17">
        <f t="shared" si="67"/>
        <v>4.8642721437955316</v>
      </c>
      <c r="J102" s="17">
        <f t="shared" si="68"/>
        <v>5.7816249464597735</v>
      </c>
      <c r="K102" s="17"/>
      <c r="L102" s="17">
        <v>27</v>
      </c>
      <c r="M102" s="17">
        <v>71.5</v>
      </c>
      <c r="N102" s="17">
        <f t="shared" si="61"/>
        <v>38.497569832347843</v>
      </c>
      <c r="O102" s="17">
        <v>119.69628446362259</v>
      </c>
      <c r="P102" s="18">
        <f>SUMPRODUCT(H102:O102,'Fisico ASIG'!F102:M102)*24</f>
        <v>8473230.7027093321</v>
      </c>
      <c r="Q102" s="43">
        <v>0</v>
      </c>
      <c r="R102" s="43">
        <f t="shared" si="75"/>
        <v>5574.437294023016</v>
      </c>
      <c r="S102" s="43">
        <f t="shared" si="76"/>
        <v>1706.1610984717388</v>
      </c>
      <c r="T102" s="43"/>
      <c r="U102" s="43">
        <v>18000</v>
      </c>
      <c r="V102" s="20">
        <v>0</v>
      </c>
      <c r="W102" s="20">
        <v>21900</v>
      </c>
      <c r="X102" s="20">
        <v>0</v>
      </c>
      <c r="Y102" s="18">
        <f>SUMPRODUCT(Q102:X102,'Fisico ASIG'!O102:V102)/E102</f>
        <v>5529296.9851943636</v>
      </c>
      <c r="Z102" s="25">
        <f t="shared" si="77"/>
        <v>14002527.687903695</v>
      </c>
      <c r="AA102" s="26">
        <f>+Z102/'Fisico ASIG'!N102/24</f>
        <v>67.216178885723124</v>
      </c>
      <c r="AB102" s="26">
        <f t="shared" si="63"/>
        <v>15.806111696522654</v>
      </c>
      <c r="AC102" s="29">
        <f t="shared" si="78"/>
        <v>51.410067189200468</v>
      </c>
      <c r="AI102" s="1">
        <v>7099</v>
      </c>
      <c r="AJ102" s="1">
        <v>5649602</v>
      </c>
      <c r="AK102">
        <f t="shared" si="73"/>
        <v>1.44</v>
      </c>
      <c r="AL102" s="40">
        <f t="shared" si="74"/>
        <v>8437.7999999999993</v>
      </c>
      <c r="AM102">
        <v>2490000</v>
      </c>
      <c r="AN102" s="17">
        <v>34.381798437796569</v>
      </c>
      <c r="AO102" s="64">
        <f t="shared" si="65"/>
        <v>1.9157713945512684</v>
      </c>
      <c r="AP102">
        <v>2.2000000000000002</v>
      </c>
    </row>
    <row r="103" spans="1:42" hidden="1" x14ac:dyDescent="0.3">
      <c r="A103" s="3">
        <f t="shared" si="62"/>
        <v>1459.4167</v>
      </c>
      <c r="B103" s="42">
        <v>1437.4169999999999</v>
      </c>
      <c r="C103" s="53">
        <f t="shared" si="64"/>
        <v>2025</v>
      </c>
      <c r="D103" s="52">
        <f>+'Fisico ASIG'!B103</f>
        <v>45992</v>
      </c>
      <c r="E103" s="1">
        <v>31</v>
      </c>
      <c r="F103" s="1" t="s">
        <v>48</v>
      </c>
      <c r="G103" s="56">
        <f t="shared" si="66"/>
        <v>46009</v>
      </c>
      <c r="H103" s="17">
        <v>28</v>
      </c>
      <c r="I103" s="17">
        <f t="shared" si="67"/>
        <v>4.8642721437955316</v>
      </c>
      <c r="J103" s="17">
        <f t="shared" si="68"/>
        <v>5.7816249464597735</v>
      </c>
      <c r="K103" s="17"/>
      <c r="L103" s="17">
        <v>27</v>
      </c>
      <c r="M103" s="17">
        <v>71.5</v>
      </c>
      <c r="N103" s="17">
        <f t="shared" si="61"/>
        <v>39.224214316707084</v>
      </c>
      <c r="O103" s="17">
        <v>116.63266515022272</v>
      </c>
      <c r="P103" s="18">
        <f>SUMPRODUCT(H103:O103,'Fisico ASIG'!F103:M103)*24</f>
        <v>8371676.9969925415</v>
      </c>
      <c r="Q103" s="43">
        <v>0</v>
      </c>
      <c r="R103" s="43">
        <f t="shared" si="75"/>
        <v>5574.437294023016</v>
      </c>
      <c r="S103" s="43">
        <f t="shared" si="76"/>
        <v>1706.1610984717388</v>
      </c>
      <c r="T103" s="43"/>
      <c r="U103" s="43">
        <v>18000</v>
      </c>
      <c r="V103" s="20">
        <v>0</v>
      </c>
      <c r="W103" s="20">
        <v>21900</v>
      </c>
      <c r="X103" s="20">
        <v>0</v>
      </c>
      <c r="Y103" s="18">
        <f>SUMPRODUCT(Q103:X103,'Fisico ASIG'!O103:V103)/E103</f>
        <v>5577213.7461176626</v>
      </c>
      <c r="Z103" s="25">
        <f t="shared" si="77"/>
        <v>13948890.743110204</v>
      </c>
      <c r="AA103" s="26">
        <f>+Z103/'Fisico ASIG'!N103/24</f>
        <v>61.566008520822656</v>
      </c>
      <c r="AB103" s="26">
        <f t="shared" si="63"/>
        <v>15.806111696522654</v>
      </c>
      <c r="AC103" s="29">
        <f t="shared" si="78"/>
        <v>45.7598968243</v>
      </c>
      <c r="AI103" s="1">
        <v>7099</v>
      </c>
      <c r="AJ103" s="1">
        <v>5649602</v>
      </c>
      <c r="AK103">
        <f t="shared" si="73"/>
        <v>1.44</v>
      </c>
      <c r="AL103" s="40">
        <f t="shared" si="74"/>
        <v>8437.7999999999993</v>
      </c>
      <c r="AM103">
        <v>2490000</v>
      </c>
      <c r="AN103" s="17">
        <v>35.062495847032395</v>
      </c>
      <c r="AO103" s="64">
        <f t="shared" si="65"/>
        <v>1.9617184696746868</v>
      </c>
      <c r="AP103">
        <v>2.2000000000000002</v>
      </c>
    </row>
    <row r="104" spans="1:42" hidden="1" x14ac:dyDescent="0.3">
      <c r="A104" s="3">
        <f t="shared" si="62"/>
        <v>1459.4167</v>
      </c>
      <c r="B104" s="42">
        <v>1437.4169999999999</v>
      </c>
      <c r="C104" s="53">
        <f t="shared" si="64"/>
        <v>2025</v>
      </c>
      <c r="D104" s="52">
        <f>+'Fisico ASIG'!B104</f>
        <v>45992</v>
      </c>
      <c r="E104" s="1">
        <v>31</v>
      </c>
      <c r="F104" s="1" t="s">
        <v>49</v>
      </c>
      <c r="G104" s="56">
        <f t="shared" si="66"/>
        <v>46010</v>
      </c>
      <c r="H104" s="17">
        <v>28</v>
      </c>
      <c r="I104" s="17">
        <f t="shared" si="67"/>
        <v>4.8642721437955316</v>
      </c>
      <c r="J104" s="17">
        <f t="shared" si="68"/>
        <v>5.7816249464597735</v>
      </c>
      <c r="K104" s="17"/>
      <c r="L104" s="17">
        <v>27</v>
      </c>
      <c r="M104" s="17">
        <v>71.5</v>
      </c>
      <c r="N104" s="17">
        <f t="shared" si="61"/>
        <v>40.025363897498877</v>
      </c>
      <c r="O104" s="17">
        <v>119.75851794273869</v>
      </c>
      <c r="P104" s="18">
        <f>SUMPRODUCT(H104:O104,'Fisico ASIG'!F104:M104)*24</f>
        <v>8176220.5958023472</v>
      </c>
      <c r="Q104" s="43">
        <v>0</v>
      </c>
      <c r="R104" s="43">
        <f t="shared" si="75"/>
        <v>5574.437294023016</v>
      </c>
      <c r="S104" s="43">
        <f t="shared" si="76"/>
        <v>1706.1610984717388</v>
      </c>
      <c r="T104" s="43"/>
      <c r="U104" s="43">
        <v>18000</v>
      </c>
      <c r="V104" s="20">
        <v>0</v>
      </c>
      <c r="W104" s="20">
        <v>21900</v>
      </c>
      <c r="X104" s="20">
        <v>0</v>
      </c>
      <c r="Y104" s="18">
        <f>SUMPRODUCT(Q104:X104,'Fisico ASIG'!O104:V104)/E104</f>
        <v>5564115.7743532099</v>
      </c>
      <c r="Z104" s="25">
        <f t="shared" si="77"/>
        <v>13740336.370155558</v>
      </c>
      <c r="AA104" s="26">
        <f>+Z104/'Fisico ASIG'!N104/24</f>
        <v>59.671615639342413</v>
      </c>
      <c r="AB104" s="26">
        <f t="shared" si="63"/>
        <v>15.806111696522654</v>
      </c>
      <c r="AC104" s="29">
        <f t="shared" si="78"/>
        <v>43.865503942819757</v>
      </c>
      <c r="AI104" s="1">
        <v>7099</v>
      </c>
      <c r="AJ104" s="1">
        <v>5649602</v>
      </c>
      <c r="AK104">
        <f t="shared" si="73"/>
        <v>1.44</v>
      </c>
      <c r="AL104" s="40">
        <f t="shared" si="74"/>
        <v>8437.7999999999993</v>
      </c>
      <c r="AM104">
        <v>2490000</v>
      </c>
      <c r="AN104" s="17">
        <v>35.812987257610189</v>
      </c>
      <c r="AO104" s="64">
        <f t="shared" si="65"/>
        <v>2.012376639888688</v>
      </c>
      <c r="AP104">
        <v>2.2000000000000002</v>
      </c>
    </row>
    <row r="105" spans="1:42" hidden="1" x14ac:dyDescent="0.3">
      <c r="A105" s="3">
        <f t="shared" si="62"/>
        <v>1459.4167</v>
      </c>
      <c r="B105" s="42">
        <v>1437.4169999999999</v>
      </c>
      <c r="C105" s="53">
        <f t="shared" si="64"/>
        <v>2025</v>
      </c>
      <c r="D105" s="52">
        <f>+'Fisico ASIG'!B105</f>
        <v>45992</v>
      </c>
      <c r="E105" s="1">
        <v>31</v>
      </c>
      <c r="F105" s="1" t="s">
        <v>43</v>
      </c>
      <c r="G105" s="56">
        <f t="shared" si="66"/>
        <v>46011</v>
      </c>
      <c r="H105" s="17">
        <v>28</v>
      </c>
      <c r="I105" s="17">
        <f t="shared" si="67"/>
        <v>4.8642721437955316</v>
      </c>
      <c r="J105" s="17">
        <f t="shared" si="68"/>
        <v>5.7816249464597735</v>
      </c>
      <c r="K105" s="17"/>
      <c r="L105" s="17">
        <v>27</v>
      </c>
      <c r="M105" s="17">
        <v>71.5</v>
      </c>
      <c r="N105" s="17">
        <f t="shared" si="61"/>
        <v>38.142267751782661</v>
      </c>
      <c r="O105" s="17">
        <v>38.386698778056335</v>
      </c>
      <c r="P105" s="18">
        <f>SUMPRODUCT(H105:O105,'Fisico ASIG'!F105:M105)*24</f>
        <v>7481790.5131541472</v>
      </c>
      <c r="Q105" s="43">
        <v>0</v>
      </c>
      <c r="R105" s="43">
        <f t="shared" si="75"/>
        <v>5574.437294023016</v>
      </c>
      <c r="S105" s="43">
        <f t="shared" si="76"/>
        <v>1706.1610984717388</v>
      </c>
      <c r="T105" s="43"/>
      <c r="U105" s="43">
        <v>18000</v>
      </c>
      <c r="V105" s="20">
        <v>0</v>
      </c>
      <c r="W105" s="20">
        <v>21900</v>
      </c>
      <c r="X105" s="20">
        <v>0</v>
      </c>
      <c r="Y105" s="18">
        <f>SUMPRODUCT(Q105:X105,'Fisico ASIG'!O105:V105)/E105</f>
        <v>5567928.314639085</v>
      </c>
      <c r="Z105" s="25">
        <f t="shared" si="77"/>
        <v>13049718.827793233</v>
      </c>
      <c r="AA105" s="26">
        <f>+Z105/'Fisico ASIG'!N105/24</f>
        <v>66.172988772266862</v>
      </c>
      <c r="AB105" s="26">
        <f t="shared" si="63"/>
        <v>15.806111696522654</v>
      </c>
      <c r="AC105" s="29">
        <f t="shared" si="78"/>
        <v>50.366877075744206</v>
      </c>
      <c r="AI105" s="1">
        <v>7099</v>
      </c>
      <c r="AJ105" s="1">
        <v>5649602</v>
      </c>
      <c r="AK105">
        <f t="shared" si="73"/>
        <v>1.44</v>
      </c>
      <c r="AL105" s="40">
        <f t="shared" si="74"/>
        <v>8437.7999999999993</v>
      </c>
      <c r="AM105">
        <v>2490000</v>
      </c>
      <c r="AN105" s="17">
        <v>34.048962765135983</v>
      </c>
      <c r="AO105" s="64">
        <f t="shared" si="65"/>
        <v>1.8933049866466789</v>
      </c>
      <c r="AP105">
        <v>2.2000000000000002</v>
      </c>
    </row>
    <row r="106" spans="1:42" hidden="1" x14ac:dyDescent="0.3">
      <c r="A106" s="3">
        <f t="shared" si="62"/>
        <v>1459.4167</v>
      </c>
      <c r="B106" s="42">
        <v>1437.4169999999999</v>
      </c>
      <c r="C106" s="53">
        <f t="shared" si="64"/>
        <v>2025</v>
      </c>
      <c r="D106" s="52">
        <f>+'Fisico ASIG'!B106</f>
        <v>45992</v>
      </c>
      <c r="E106" s="1">
        <v>31</v>
      </c>
      <c r="F106" s="1" t="s">
        <v>44</v>
      </c>
      <c r="G106" s="56">
        <f t="shared" si="66"/>
        <v>46012</v>
      </c>
      <c r="H106" s="17">
        <v>28</v>
      </c>
      <c r="I106" s="17">
        <f t="shared" si="67"/>
        <v>4.8642721437955316</v>
      </c>
      <c r="J106" s="17">
        <f t="shared" si="68"/>
        <v>5.7816249464597735</v>
      </c>
      <c r="K106" s="17"/>
      <c r="L106" s="17">
        <v>27</v>
      </c>
      <c r="M106" s="17">
        <v>71.5</v>
      </c>
      <c r="N106" s="17">
        <f t="shared" si="61"/>
        <v>39.6508349117262</v>
      </c>
      <c r="O106" s="17">
        <v>119.74903220891822</v>
      </c>
      <c r="P106" s="18">
        <f>SUMPRODUCT(H106:O106,'Fisico ASIG'!F106:M106)*24</f>
        <v>7736931.0691326112</v>
      </c>
      <c r="Q106" s="43">
        <v>0</v>
      </c>
      <c r="R106" s="43">
        <f t="shared" si="75"/>
        <v>5574.437294023016</v>
      </c>
      <c r="S106" s="43">
        <f t="shared" si="76"/>
        <v>1706.1610984717388</v>
      </c>
      <c r="T106" s="43"/>
      <c r="U106" s="43">
        <v>18000</v>
      </c>
      <c r="V106" s="20">
        <v>0</v>
      </c>
      <c r="W106" s="20">
        <v>21900</v>
      </c>
      <c r="X106" s="20">
        <v>0</v>
      </c>
      <c r="Y106" s="18">
        <f>SUMPRODUCT(Q106:X106,'Fisico ASIG'!O106:V106)/E106</f>
        <v>5473987.3888273872</v>
      </c>
      <c r="Z106" s="25">
        <f t="shared" si="77"/>
        <v>13210918.457959998</v>
      </c>
      <c r="AA106" s="26">
        <f>+Z106/'Fisico ASIG'!N106/24</f>
        <v>69.787774484985249</v>
      </c>
      <c r="AB106" s="26">
        <f t="shared" si="63"/>
        <v>15.806111696522654</v>
      </c>
      <c r="AC106" s="29">
        <f t="shared" si="78"/>
        <v>53.981662788462593</v>
      </c>
      <c r="AI106" s="1">
        <v>7099</v>
      </c>
      <c r="AJ106" s="1">
        <v>5649602</v>
      </c>
      <c r="AK106">
        <f t="shared" si="73"/>
        <v>1.44</v>
      </c>
      <c r="AL106" s="40">
        <f t="shared" si="74"/>
        <v>8437.7999999999993</v>
      </c>
      <c r="AM106">
        <v>2490000</v>
      </c>
      <c r="AN106" s="17">
        <v>35.462140432530397</v>
      </c>
      <c r="AO106" s="64">
        <f t="shared" si="65"/>
        <v>1.9886944791958019</v>
      </c>
      <c r="AP106">
        <v>2.2000000000000002</v>
      </c>
    </row>
    <row r="107" spans="1:42" hidden="1" x14ac:dyDescent="0.3">
      <c r="A107" s="3">
        <f t="shared" si="62"/>
        <v>1459.4167</v>
      </c>
      <c r="B107" s="42">
        <v>1437.4169999999999</v>
      </c>
      <c r="C107" s="53">
        <f t="shared" si="64"/>
        <v>2025</v>
      </c>
      <c r="D107" s="52">
        <f>+'Fisico ASIG'!B107</f>
        <v>45992</v>
      </c>
      <c r="E107" s="1">
        <v>31</v>
      </c>
      <c r="F107" s="1" t="s">
        <v>45</v>
      </c>
      <c r="G107" s="56">
        <v>46013</v>
      </c>
      <c r="H107" s="17">
        <v>28</v>
      </c>
      <c r="I107" s="17">
        <f t="shared" ref="I107:I113" si="79">AI107/A107</f>
        <v>4.8642721437955316</v>
      </c>
      <c r="J107" s="17">
        <f t="shared" ref="J107:J113" si="80">+AL107/A107</f>
        <v>5.7816249464597735</v>
      </c>
      <c r="K107" s="17"/>
      <c r="L107" s="17">
        <v>27</v>
      </c>
      <c r="M107" s="17">
        <v>71.5</v>
      </c>
      <c r="N107" s="17">
        <f t="shared" si="61"/>
        <v>38.703820650084438</v>
      </c>
      <c r="O107" s="17">
        <v>119.88905022750765</v>
      </c>
      <c r="P107" s="18">
        <f>SUMPRODUCT(H107:O107,'Fisico ASIG'!F107:M107)*24</f>
        <v>8142109.6623436818</v>
      </c>
      <c r="Q107" s="43">
        <v>0</v>
      </c>
      <c r="R107" s="43">
        <f t="shared" ref="R107:R113" si="81">+AJ107*AK107/A107</f>
        <v>5574.437294023016</v>
      </c>
      <c r="S107" s="43">
        <f t="shared" ref="S107:S113" si="82">+AM107/A107</f>
        <v>1706.1610984717388</v>
      </c>
      <c r="T107" s="43"/>
      <c r="U107" s="43">
        <v>18000</v>
      </c>
      <c r="V107" s="20">
        <v>0</v>
      </c>
      <c r="W107" s="20">
        <v>21900</v>
      </c>
      <c r="X107" s="20">
        <v>0</v>
      </c>
      <c r="Y107" s="18">
        <f>SUMPRODUCT(Q107:X107,'Fisico ASIG'!O107:V107)/E107</f>
        <v>5461613.2236258611</v>
      </c>
      <c r="Z107" s="25">
        <f t="shared" ref="Z107:Z113" si="83">+(P107+Y107)</f>
        <v>13603722.885969542</v>
      </c>
      <c r="AA107" s="26">
        <f>+Z107/'Fisico ASIG'!N107/24</f>
        <v>65.328748923064751</v>
      </c>
      <c r="AB107" s="26">
        <f t="shared" si="63"/>
        <v>15.806111696522654</v>
      </c>
      <c r="AC107" s="29">
        <f t="shared" ref="AC107:AC113" si="84">+AA107-AB107</f>
        <v>49.522637226542095</v>
      </c>
      <c r="AI107" s="1">
        <v>7099</v>
      </c>
      <c r="AJ107" s="1">
        <v>5649602</v>
      </c>
      <c r="AK107">
        <f t="shared" si="73"/>
        <v>1.44</v>
      </c>
      <c r="AL107" s="40">
        <f t="shared" si="74"/>
        <v>8437.7999999999993</v>
      </c>
      <c r="AM107">
        <v>2490000</v>
      </c>
      <c r="AN107" s="17">
        <v>34.575007634739521</v>
      </c>
      <c r="AO107" s="64">
        <f t="shared" si="65"/>
        <v>1.9288130153449177</v>
      </c>
      <c r="AP107">
        <v>2.2000000000000002</v>
      </c>
    </row>
    <row r="108" spans="1:42" hidden="1" x14ac:dyDescent="0.3">
      <c r="A108" s="3">
        <f t="shared" si="62"/>
        <v>1459.4167</v>
      </c>
      <c r="B108" s="42">
        <v>1437.4169999999999</v>
      </c>
      <c r="C108" s="53">
        <f t="shared" si="64"/>
        <v>2025</v>
      </c>
      <c r="D108" s="52">
        <f>+'Fisico ASIG'!B108</f>
        <v>45992</v>
      </c>
      <c r="E108" s="1">
        <v>31</v>
      </c>
      <c r="F108" s="1" t="s">
        <v>46</v>
      </c>
      <c r="G108" s="56">
        <v>46014</v>
      </c>
      <c r="H108" s="17">
        <v>28</v>
      </c>
      <c r="I108" s="17">
        <f t="shared" si="79"/>
        <v>4.8642721437955316</v>
      </c>
      <c r="J108" s="17">
        <f t="shared" si="80"/>
        <v>5.7816249464597735</v>
      </c>
      <c r="K108" s="17"/>
      <c r="L108" s="17">
        <v>27</v>
      </c>
      <c r="M108" s="17">
        <v>71.5</v>
      </c>
      <c r="N108" s="17">
        <f t="shared" si="61"/>
        <v>40.15136972471857</v>
      </c>
      <c r="O108" s="17">
        <v>119.83884584113692</v>
      </c>
      <c r="P108" s="18">
        <f>SUMPRODUCT(H108:O108,'Fisico ASIG'!F108:M108)*24</f>
        <v>9342403.9250451718</v>
      </c>
      <c r="Q108" s="43">
        <v>0</v>
      </c>
      <c r="R108" s="43">
        <f t="shared" si="81"/>
        <v>5574.437294023016</v>
      </c>
      <c r="S108" s="43">
        <f t="shared" si="82"/>
        <v>1706.1610984717388</v>
      </c>
      <c r="T108" s="43"/>
      <c r="U108" s="43">
        <v>18000</v>
      </c>
      <c r="V108" s="20">
        <v>0</v>
      </c>
      <c r="W108" s="20">
        <v>21900</v>
      </c>
      <c r="X108" s="20">
        <v>0</v>
      </c>
      <c r="Y108" s="18">
        <f>SUMPRODUCT(Q108:X108,'Fisico ASIG'!O108:V108)/E108</f>
        <v>5569416.7734593526</v>
      </c>
      <c r="Z108" s="25">
        <f t="shared" si="83"/>
        <v>14911820.698504524</v>
      </c>
      <c r="AA108" s="26">
        <f>+Z108/'Fisico ASIG'!N108/24</f>
        <v>60.802256929706886</v>
      </c>
      <c r="AB108" s="26">
        <f t="shared" si="63"/>
        <v>15.806111696522654</v>
      </c>
      <c r="AC108" s="29">
        <f t="shared" si="84"/>
        <v>44.99614523318423</v>
      </c>
      <c r="AI108" s="1">
        <v>7099</v>
      </c>
      <c r="AJ108" s="1">
        <v>5649602</v>
      </c>
      <c r="AK108">
        <f t="shared" si="73"/>
        <v>1.44</v>
      </c>
      <c r="AL108" s="40">
        <f t="shared" si="74"/>
        <v>8437.7999999999993</v>
      </c>
      <c r="AM108">
        <v>2490000</v>
      </c>
      <c r="AN108" s="17">
        <v>35.931025503249245</v>
      </c>
      <c r="AO108" s="64">
        <f t="shared" si="65"/>
        <v>2.0203442214693244</v>
      </c>
      <c r="AP108">
        <v>2.2000000000000002</v>
      </c>
    </row>
    <row r="109" spans="1:42" hidden="1" x14ac:dyDescent="0.3">
      <c r="A109" s="3">
        <f t="shared" si="62"/>
        <v>1459.4167</v>
      </c>
      <c r="B109" s="42">
        <v>1437.4169999999999</v>
      </c>
      <c r="C109" s="53">
        <f t="shared" si="64"/>
        <v>2025</v>
      </c>
      <c r="D109" s="52">
        <f>+'Fisico ASIG'!B109</f>
        <v>45992</v>
      </c>
      <c r="E109" s="1">
        <v>31</v>
      </c>
      <c r="F109" s="1" t="s">
        <v>47</v>
      </c>
      <c r="G109" s="56">
        <v>46015</v>
      </c>
      <c r="H109" s="17">
        <v>28</v>
      </c>
      <c r="I109" s="17">
        <f t="shared" si="79"/>
        <v>4.8642721437955316</v>
      </c>
      <c r="J109" s="17">
        <f t="shared" si="80"/>
        <v>5.7816249464597735</v>
      </c>
      <c r="K109" s="17"/>
      <c r="L109" s="17">
        <v>27</v>
      </c>
      <c r="M109" s="17">
        <v>71.5</v>
      </c>
      <c r="N109" s="17">
        <f t="shared" si="61"/>
        <v>39.820975977641375</v>
      </c>
      <c r="O109" s="17">
        <v>119.83959139699134</v>
      </c>
      <c r="P109" s="18">
        <f>SUMPRODUCT(H109:O109,'Fisico ASIG'!F109:M109)*24</f>
        <v>9244047.3353728577</v>
      </c>
      <c r="Q109" s="43">
        <v>0</v>
      </c>
      <c r="R109" s="43">
        <f t="shared" si="81"/>
        <v>5574.437294023016</v>
      </c>
      <c r="S109" s="43">
        <f t="shared" si="82"/>
        <v>1706.1610984717388</v>
      </c>
      <c r="T109" s="43"/>
      <c r="U109" s="43">
        <v>18000</v>
      </c>
      <c r="V109" s="20">
        <v>0</v>
      </c>
      <c r="W109" s="20">
        <v>21900</v>
      </c>
      <c r="X109" s="20">
        <v>0</v>
      </c>
      <c r="Y109" s="18">
        <f>SUMPRODUCT(Q109:X109,'Fisico ASIG'!O109:V109)/E109</f>
        <v>5570853.721187084</v>
      </c>
      <c r="Z109" s="25">
        <f t="shared" si="83"/>
        <v>14814901.056559943</v>
      </c>
      <c r="AA109" s="26">
        <f>+Z109/'Fisico ASIG'!N109/24</f>
        <v>60.369523512698692</v>
      </c>
      <c r="AB109" s="26">
        <f t="shared" si="63"/>
        <v>15.806111696522654</v>
      </c>
      <c r="AC109" s="29">
        <f t="shared" si="84"/>
        <v>44.563411816176036</v>
      </c>
      <c r="AI109" s="1">
        <v>7099</v>
      </c>
      <c r="AJ109" s="1">
        <v>5649602</v>
      </c>
      <c r="AK109">
        <f t="shared" si="73"/>
        <v>1.44</v>
      </c>
      <c r="AL109" s="40">
        <f t="shared" si="74"/>
        <v>8437.7999999999993</v>
      </c>
      <c r="AM109">
        <v>2490000</v>
      </c>
      <c r="AN109" s="17">
        <v>35.621523164066858</v>
      </c>
      <c r="AO109" s="64">
        <f t="shared" si="65"/>
        <v>1.9994528135745131</v>
      </c>
      <c r="AP109">
        <v>2.2000000000000002</v>
      </c>
    </row>
    <row r="110" spans="1:42" hidden="1" x14ac:dyDescent="0.3">
      <c r="A110" s="3">
        <f t="shared" si="62"/>
        <v>1459.4167</v>
      </c>
      <c r="B110" s="42">
        <v>1437.4169999999999</v>
      </c>
      <c r="C110" s="53">
        <f t="shared" si="64"/>
        <v>2025</v>
      </c>
      <c r="D110" s="52">
        <f>+'Fisico ASIG'!B110</f>
        <v>45992</v>
      </c>
      <c r="E110" s="1">
        <v>31</v>
      </c>
      <c r="F110" s="1" t="s">
        <v>48</v>
      </c>
      <c r="G110" s="56">
        <v>46016</v>
      </c>
      <c r="H110" s="17">
        <v>28</v>
      </c>
      <c r="I110" s="17">
        <f t="shared" si="79"/>
        <v>4.8642721437955316</v>
      </c>
      <c r="J110" s="17">
        <f t="shared" si="80"/>
        <v>5.7816249464597735</v>
      </c>
      <c r="K110" s="17"/>
      <c r="L110" s="17">
        <v>27</v>
      </c>
      <c r="M110" s="17">
        <v>71.5</v>
      </c>
      <c r="N110" s="17">
        <f t="shared" si="61"/>
        <v>39.135511421384351</v>
      </c>
      <c r="O110" s="17">
        <v>120</v>
      </c>
      <c r="P110" s="18">
        <f>SUMPRODUCT(H110:O110,'Fisico ASIG'!F110:M110)*24</f>
        <v>6963726.3245565752</v>
      </c>
      <c r="Q110" s="43">
        <v>0</v>
      </c>
      <c r="R110" s="43">
        <f t="shared" si="81"/>
        <v>5574.437294023016</v>
      </c>
      <c r="S110" s="43">
        <f t="shared" si="82"/>
        <v>1706.1610984717388</v>
      </c>
      <c r="T110" s="43"/>
      <c r="U110" s="43">
        <v>18000</v>
      </c>
      <c r="V110" s="20">
        <v>0</v>
      </c>
      <c r="W110" s="20">
        <v>21900</v>
      </c>
      <c r="X110" s="20">
        <v>0</v>
      </c>
      <c r="Y110" s="18">
        <f>SUMPRODUCT(Q110:X110,'Fisico ASIG'!O110:V110)/E110</f>
        <v>5529595.5796048231</v>
      </c>
      <c r="Z110" s="25">
        <f t="shared" si="83"/>
        <v>12493321.904161397</v>
      </c>
      <c r="AA110" s="26">
        <f>+Z110/'Fisico ASIG'!N110/24</f>
        <v>67.776056320703319</v>
      </c>
      <c r="AB110" s="26">
        <f t="shared" si="63"/>
        <v>15.806111696522654</v>
      </c>
      <c r="AC110" s="29">
        <f t="shared" si="84"/>
        <v>51.969944624180663</v>
      </c>
      <c r="AI110" s="1">
        <v>7099</v>
      </c>
      <c r="AJ110" s="1">
        <v>5649602</v>
      </c>
      <c r="AK110">
        <f t="shared" si="73"/>
        <v>1.44</v>
      </c>
      <c r="AL110" s="40">
        <f t="shared" si="74"/>
        <v>8437.7999999999993</v>
      </c>
      <c r="AM110">
        <v>2490000</v>
      </c>
      <c r="AN110" s="17">
        <v>34.979401799891662</v>
      </c>
      <c r="AO110" s="64">
        <f t="shared" si="65"/>
        <v>1.9561096214926872</v>
      </c>
      <c r="AP110">
        <v>2.2000000000000002</v>
      </c>
    </row>
    <row r="111" spans="1:42" hidden="1" x14ac:dyDescent="0.3">
      <c r="A111" s="3">
        <f t="shared" si="62"/>
        <v>1459.4167</v>
      </c>
      <c r="B111" s="42">
        <v>1437.4169999999999</v>
      </c>
      <c r="C111" s="53">
        <f t="shared" si="64"/>
        <v>2025</v>
      </c>
      <c r="D111" s="52">
        <f>+'Fisico ASIG'!B111</f>
        <v>45992</v>
      </c>
      <c r="E111" s="1">
        <v>31</v>
      </c>
      <c r="F111" s="1" t="s">
        <v>49</v>
      </c>
      <c r="G111" s="56">
        <v>46017</v>
      </c>
      <c r="H111" s="17">
        <v>28</v>
      </c>
      <c r="I111" s="17">
        <f t="shared" si="79"/>
        <v>4.8642721437955316</v>
      </c>
      <c r="J111" s="17">
        <f t="shared" si="80"/>
        <v>5.7816249464597735</v>
      </c>
      <c r="K111" s="17"/>
      <c r="L111" s="17">
        <v>27</v>
      </c>
      <c r="M111" s="17">
        <v>71.5</v>
      </c>
      <c r="N111" s="17">
        <f t="shared" si="61"/>
        <v>39.242795231237707</v>
      </c>
      <c r="O111" s="17">
        <v>119.86592003895448</v>
      </c>
      <c r="P111" s="18">
        <f>SUMPRODUCT(H111:O111,'Fisico ASIG'!F111:M111)*24</f>
        <v>8688614.6561485305</v>
      </c>
      <c r="Q111" s="43">
        <v>0</v>
      </c>
      <c r="R111" s="43">
        <f t="shared" si="81"/>
        <v>5574.437294023016</v>
      </c>
      <c r="S111" s="43">
        <f t="shared" si="82"/>
        <v>1706.1610984717388</v>
      </c>
      <c r="T111" s="43"/>
      <c r="U111" s="43">
        <v>18000</v>
      </c>
      <c r="V111" s="20">
        <v>0</v>
      </c>
      <c r="W111" s="20">
        <v>21900</v>
      </c>
      <c r="X111" s="20">
        <v>0</v>
      </c>
      <c r="Y111" s="18">
        <f>SUMPRODUCT(Q111:X111,'Fisico ASIG'!O111:V111)/E111</f>
        <v>5513668.1516703963</v>
      </c>
      <c r="Z111" s="25">
        <f t="shared" si="83"/>
        <v>14202282.807818927</v>
      </c>
      <c r="AA111" s="26">
        <f>+Z111/'Fisico ASIG'!N111/24</f>
        <v>61.16883524211125</v>
      </c>
      <c r="AB111" s="26">
        <f t="shared" si="63"/>
        <v>15.806111696522654</v>
      </c>
      <c r="AC111" s="29">
        <f t="shared" si="84"/>
        <v>45.362723545588594</v>
      </c>
      <c r="AI111" s="1">
        <v>7099</v>
      </c>
      <c r="AJ111" s="1">
        <v>5649602</v>
      </c>
      <c r="AK111">
        <f t="shared" si="73"/>
        <v>1.44</v>
      </c>
      <c r="AL111" s="40">
        <f t="shared" si="74"/>
        <v>8437.7999999999993</v>
      </c>
      <c r="AM111">
        <v>2490000</v>
      </c>
      <c r="AN111" s="17">
        <v>35.079901855960379</v>
      </c>
      <c r="AO111" s="64">
        <f t="shared" si="65"/>
        <v>1.9628933752773257</v>
      </c>
      <c r="AP111">
        <v>2.2000000000000002</v>
      </c>
    </row>
    <row r="112" spans="1:42" hidden="1" x14ac:dyDescent="0.3">
      <c r="A112" s="3">
        <f t="shared" si="62"/>
        <v>1459.4167</v>
      </c>
      <c r="B112" s="42">
        <v>1437.4169999999999</v>
      </c>
      <c r="C112" s="53">
        <f t="shared" si="64"/>
        <v>2025</v>
      </c>
      <c r="D112" s="52">
        <f>+'Fisico ASIG'!B112</f>
        <v>45992</v>
      </c>
      <c r="E112" s="1">
        <v>31</v>
      </c>
      <c r="F112" s="1" t="s">
        <v>43</v>
      </c>
      <c r="G112" s="56">
        <v>46018</v>
      </c>
      <c r="H112" s="17">
        <v>28</v>
      </c>
      <c r="I112" s="17">
        <f t="shared" si="79"/>
        <v>4.8642721437955316</v>
      </c>
      <c r="J112" s="17">
        <f t="shared" si="80"/>
        <v>5.7816249464597735</v>
      </c>
      <c r="K112" s="17"/>
      <c r="L112" s="17">
        <v>27</v>
      </c>
      <c r="M112" s="17">
        <v>71.5</v>
      </c>
      <c r="N112" s="17">
        <f t="shared" si="61"/>
        <v>38.747279391816583</v>
      </c>
      <c r="O112" s="17">
        <v>114.01265610091275</v>
      </c>
      <c r="P112" s="18">
        <f>SUMPRODUCT(H112:O112,'Fisico ASIG'!F112:M112)*24</f>
        <v>8403102.3843786176</v>
      </c>
      <c r="Q112" s="43">
        <v>0</v>
      </c>
      <c r="R112" s="43">
        <f t="shared" si="81"/>
        <v>5574.437294023016</v>
      </c>
      <c r="S112" s="43">
        <f t="shared" si="82"/>
        <v>1706.1610984717388</v>
      </c>
      <c r="T112" s="43"/>
      <c r="U112" s="43">
        <v>18000</v>
      </c>
      <c r="V112" s="20">
        <v>0</v>
      </c>
      <c r="W112" s="20">
        <v>21900</v>
      </c>
      <c r="X112" s="20">
        <v>0</v>
      </c>
      <c r="Y112" s="18">
        <f>SUMPRODUCT(Q112:X112,'Fisico ASIG'!O112:V112)/E112</f>
        <v>5469837.7082726015</v>
      </c>
      <c r="Z112" s="25">
        <f t="shared" si="83"/>
        <v>13872940.092651218</v>
      </c>
      <c r="AA112" s="26">
        <f>+Z112/'Fisico ASIG'!N112/24</f>
        <v>60.679223551247624</v>
      </c>
      <c r="AB112" s="26">
        <f t="shared" si="63"/>
        <v>15.806111696522654</v>
      </c>
      <c r="AC112" s="29">
        <f t="shared" si="84"/>
        <v>44.873111854724968</v>
      </c>
      <c r="AI112" s="1">
        <v>7099</v>
      </c>
      <c r="AJ112" s="1">
        <v>5649602</v>
      </c>
      <c r="AK112">
        <f t="shared" si="73"/>
        <v>1.44</v>
      </c>
      <c r="AL112" s="40">
        <f t="shared" si="74"/>
        <v>8437.7999999999993</v>
      </c>
      <c r="AM112">
        <v>2490000</v>
      </c>
      <c r="AN112" s="17">
        <v>34.615718399828175</v>
      </c>
      <c r="AO112" s="64">
        <f t="shared" si="65"/>
        <v>1.931560991988402</v>
      </c>
      <c r="AP112">
        <v>2.2000000000000002</v>
      </c>
    </row>
    <row r="113" spans="1:43" hidden="1" x14ac:dyDescent="0.3">
      <c r="A113" s="3">
        <f t="shared" si="62"/>
        <v>1459.4167</v>
      </c>
      <c r="B113" s="42">
        <v>1437.4169999999999</v>
      </c>
      <c r="C113" s="53">
        <f t="shared" si="64"/>
        <v>2025</v>
      </c>
      <c r="D113" s="52">
        <f>+'Fisico ASIG'!B113</f>
        <v>45992</v>
      </c>
      <c r="E113" s="1">
        <v>31</v>
      </c>
      <c r="F113" s="1" t="s">
        <v>44</v>
      </c>
      <c r="G113" s="56">
        <v>46019</v>
      </c>
      <c r="H113" s="17">
        <v>28</v>
      </c>
      <c r="I113" s="17">
        <f t="shared" si="79"/>
        <v>4.8642721437955316</v>
      </c>
      <c r="J113" s="17">
        <f t="shared" si="80"/>
        <v>5.7816249464597735</v>
      </c>
      <c r="K113" s="17"/>
      <c r="L113" s="17">
        <v>27</v>
      </c>
      <c r="M113" s="17">
        <v>71.5</v>
      </c>
      <c r="N113" s="17">
        <f t="shared" si="61"/>
        <v>38.594078892974643</v>
      </c>
      <c r="O113" s="17">
        <v>66.899440752819572</v>
      </c>
      <c r="P113" s="18">
        <f>SUMPRODUCT(H113:O113,'Fisico ASIG'!F113:M113)*24</f>
        <v>7356754.838798536</v>
      </c>
      <c r="Q113" s="43">
        <v>0</v>
      </c>
      <c r="R113" s="43">
        <f t="shared" si="81"/>
        <v>5574.437294023016</v>
      </c>
      <c r="S113" s="43">
        <f t="shared" si="82"/>
        <v>1706.1610984717388</v>
      </c>
      <c r="T113" s="43"/>
      <c r="U113" s="43">
        <v>18000</v>
      </c>
      <c r="V113" s="20">
        <v>0</v>
      </c>
      <c r="W113" s="20">
        <v>21900</v>
      </c>
      <c r="X113" s="20">
        <v>0</v>
      </c>
      <c r="Y113" s="18">
        <f>SUMPRODUCT(Q113:X113,'Fisico ASIG'!O113:V113)/E113</f>
        <v>5600788.5196659081</v>
      </c>
      <c r="Z113" s="25">
        <f t="shared" si="83"/>
        <v>12957543.358464444</v>
      </c>
      <c r="AA113" s="26">
        <f>+Z113/'Fisico ASIG'!N113/24</f>
        <v>67.390298795308084</v>
      </c>
      <c r="AB113" s="26">
        <f t="shared" si="63"/>
        <v>15.806111696522654</v>
      </c>
      <c r="AC113" s="29">
        <f t="shared" si="84"/>
        <v>51.584187098785428</v>
      </c>
      <c r="AI113" s="1">
        <v>7099</v>
      </c>
      <c r="AJ113" s="1">
        <v>5649602</v>
      </c>
      <c r="AK113">
        <f t="shared" si="73"/>
        <v>1.44</v>
      </c>
      <c r="AL113" s="40">
        <f t="shared" si="74"/>
        <v>8437.7999999999993</v>
      </c>
      <c r="AM113">
        <v>2490000</v>
      </c>
      <c r="AN113" s="17">
        <v>34.472205051966874</v>
      </c>
      <c r="AO113" s="64">
        <f t="shared" si="65"/>
        <v>1.921873841007764</v>
      </c>
      <c r="AP113">
        <v>2.2000000000000002</v>
      </c>
    </row>
    <row r="114" spans="1:43" hidden="1" x14ac:dyDescent="0.3">
      <c r="A114" s="3">
        <f t="shared" si="62"/>
        <v>1459.4167</v>
      </c>
      <c r="B114" s="42">
        <v>1450.4169999999999</v>
      </c>
      <c r="C114" s="53">
        <f t="shared" si="64"/>
        <v>2025</v>
      </c>
      <c r="D114" s="52">
        <f>+'Fisico ASIG'!B114</f>
        <v>45992</v>
      </c>
      <c r="E114" s="1">
        <v>31</v>
      </c>
      <c r="F114" s="1" t="s">
        <v>45</v>
      </c>
      <c r="G114" s="56">
        <f t="shared" ref="G114:G116" si="85">+G113+1</f>
        <v>46020</v>
      </c>
      <c r="H114" s="17">
        <v>28</v>
      </c>
      <c r="I114" s="17">
        <f t="shared" ref="I114:I120" si="86">AI114/A114</f>
        <v>4.8642721437955316</v>
      </c>
      <c r="J114" s="17">
        <f t="shared" ref="J114:J120" si="87">+AL114/A114</f>
        <v>5.7816249464597735</v>
      </c>
      <c r="K114" s="17"/>
      <c r="L114" s="17">
        <v>27</v>
      </c>
      <c r="M114" s="17">
        <v>71.5</v>
      </c>
      <c r="N114" s="17">
        <f t="shared" ref="N114:N116" si="88">+AN114+AO114+AP114</f>
        <v>45.777367012896534</v>
      </c>
      <c r="O114" s="17">
        <v>88.71452649346547</v>
      </c>
      <c r="P114" s="18">
        <f>SUMPRODUCT(H114:O114,'Fisico ASIG'!F114:M114)*24</f>
        <v>10576729.168533789</v>
      </c>
      <c r="Q114" s="43">
        <v>0</v>
      </c>
      <c r="R114" s="43">
        <f t="shared" ref="R114:R120" si="89">+AJ114*AK114/A114</f>
        <v>5574.437294023016</v>
      </c>
      <c r="S114" s="43">
        <f t="shared" ref="S114:S120" si="90">+AM114/A114</f>
        <v>1706.1610984717388</v>
      </c>
      <c r="T114" s="43"/>
      <c r="U114" s="43">
        <v>18000</v>
      </c>
      <c r="V114" s="20">
        <v>0</v>
      </c>
      <c r="W114" s="20">
        <v>21900</v>
      </c>
      <c r="X114" s="20">
        <v>0</v>
      </c>
      <c r="Y114" s="18">
        <f>SUMPRODUCT(Q114:X114,'Fisico ASIG'!O114:V114)/E114</f>
        <v>5564867.2908942858</v>
      </c>
      <c r="Z114" s="25">
        <f t="shared" ref="Z114:Z120" si="91">+(P114+Y114)</f>
        <v>16141596.459428076</v>
      </c>
      <c r="AA114" s="26">
        <f>+Z114/'Fisico ASIG'!N114/24</f>
        <v>66.639510625659724</v>
      </c>
      <c r="AB114" s="26">
        <f t="shared" si="63"/>
        <v>15.806111696522654</v>
      </c>
      <c r="AC114" s="29">
        <f t="shared" ref="AC114:AC120" si="92">+AA114-AB114</f>
        <v>50.833398929137068</v>
      </c>
      <c r="AI114" s="1">
        <v>7099</v>
      </c>
      <c r="AJ114" s="1">
        <v>5649602</v>
      </c>
      <c r="AK114">
        <f t="shared" si="73"/>
        <v>1.44</v>
      </c>
      <c r="AL114" s="40">
        <f t="shared" si="74"/>
        <v>8437.7999999999993</v>
      </c>
      <c r="AM114">
        <v>2490000</v>
      </c>
      <c r="AN114" s="17">
        <v>41.201280574141947</v>
      </c>
      <c r="AO114" s="64">
        <f t="shared" ref="AO114:AO120" si="93">0.075*0.9*(AN114-6)</f>
        <v>2.3760864387545815</v>
      </c>
      <c r="AP114">
        <v>2.2000000000000002</v>
      </c>
    </row>
    <row r="115" spans="1:43" hidden="1" x14ac:dyDescent="0.3">
      <c r="A115" s="3">
        <f t="shared" si="62"/>
        <v>1459.4167</v>
      </c>
      <c r="B115" s="42">
        <v>1450.4169999999999</v>
      </c>
      <c r="C115" s="53">
        <f t="shared" si="64"/>
        <v>2025</v>
      </c>
      <c r="D115" s="52">
        <f>+'Fisico ASIG'!B115</f>
        <v>45992</v>
      </c>
      <c r="E115" s="1">
        <v>31</v>
      </c>
      <c r="F115" s="1" t="s">
        <v>46</v>
      </c>
      <c r="G115" s="56">
        <f t="shared" si="85"/>
        <v>46021</v>
      </c>
      <c r="H115" s="17">
        <v>28</v>
      </c>
      <c r="I115" s="17">
        <f t="shared" si="86"/>
        <v>4.8642721437955316</v>
      </c>
      <c r="J115" s="17">
        <f t="shared" si="87"/>
        <v>5.7816249464597735</v>
      </c>
      <c r="K115" s="17"/>
      <c r="L115" s="17">
        <v>27</v>
      </c>
      <c r="M115" s="17">
        <v>71.5</v>
      </c>
      <c r="N115" s="17">
        <f t="shared" si="88"/>
        <v>49.846937877754414</v>
      </c>
      <c r="O115" s="17">
        <v>79.578475263725096</v>
      </c>
      <c r="P115" s="18">
        <f>SUMPRODUCT(H115:O115,'Fisico ASIG'!F115:M115)*24</f>
        <v>10716811.745806236</v>
      </c>
      <c r="Q115" s="43">
        <v>0</v>
      </c>
      <c r="R115" s="43">
        <f t="shared" si="89"/>
        <v>5574.437294023016</v>
      </c>
      <c r="S115" s="43">
        <f t="shared" si="90"/>
        <v>1706.1610984717388</v>
      </c>
      <c r="T115" s="43"/>
      <c r="U115" s="43">
        <v>18000</v>
      </c>
      <c r="V115" s="20">
        <v>0</v>
      </c>
      <c r="W115" s="20">
        <v>21900</v>
      </c>
      <c r="X115" s="20">
        <v>0</v>
      </c>
      <c r="Y115" s="18">
        <f>SUMPRODUCT(Q115:X115,'Fisico ASIG'!O115:V115)/E115</f>
        <v>5712543.3612670535</v>
      </c>
      <c r="Z115" s="25">
        <f t="shared" si="91"/>
        <v>16429355.107073288</v>
      </c>
      <c r="AA115" s="26">
        <f>+Z115/'Fisico ASIG'!N115/24</f>
        <v>63.025879327039966</v>
      </c>
      <c r="AB115" s="26">
        <f t="shared" si="63"/>
        <v>15.806111696522654</v>
      </c>
      <c r="AC115" s="29">
        <f t="shared" si="92"/>
        <v>47.21976763051731</v>
      </c>
      <c r="AI115" s="1">
        <v>7099</v>
      </c>
      <c r="AJ115" s="1">
        <v>5649602</v>
      </c>
      <c r="AK115">
        <f t="shared" si="73"/>
        <v>1.44</v>
      </c>
      <c r="AL115" s="40">
        <f t="shared" si="74"/>
        <v>8437.7999999999993</v>
      </c>
      <c r="AM115">
        <v>2490000</v>
      </c>
      <c r="AN115" s="17">
        <v>45.013524944032234</v>
      </c>
      <c r="AO115" s="64">
        <f t="shared" si="93"/>
        <v>2.6334129337221759</v>
      </c>
      <c r="AP115">
        <v>2.2000000000000002</v>
      </c>
    </row>
    <row r="116" spans="1:43" hidden="1" x14ac:dyDescent="0.3">
      <c r="A116" s="3">
        <f t="shared" si="62"/>
        <v>1459.4167</v>
      </c>
      <c r="B116" s="42">
        <v>1450.4169999999999</v>
      </c>
      <c r="C116" s="53">
        <f t="shared" si="64"/>
        <v>2025</v>
      </c>
      <c r="D116" s="52">
        <f>+'Fisico ASIG'!B116</f>
        <v>45992</v>
      </c>
      <c r="E116" s="1">
        <v>31</v>
      </c>
      <c r="F116" s="1" t="s">
        <v>47</v>
      </c>
      <c r="G116" s="56">
        <f t="shared" si="85"/>
        <v>46022</v>
      </c>
      <c r="H116" s="17">
        <v>28</v>
      </c>
      <c r="I116" s="17">
        <f t="shared" si="86"/>
        <v>4.8642721437955316</v>
      </c>
      <c r="J116" s="17">
        <f t="shared" si="87"/>
        <v>5.7816249464597735</v>
      </c>
      <c r="K116" s="17"/>
      <c r="L116" s="17">
        <v>27</v>
      </c>
      <c r="M116" s="17">
        <v>71.5</v>
      </c>
      <c r="N116" s="17">
        <f t="shared" si="88"/>
        <v>41.763925132836</v>
      </c>
      <c r="O116" s="17">
        <v>48.714279964748251</v>
      </c>
      <c r="P116" s="18">
        <f>SUMPRODUCT(H116:O116,'Fisico ASIG'!F116:M116)*24</f>
        <v>9562693.2580275238</v>
      </c>
      <c r="Q116" s="43">
        <v>0</v>
      </c>
      <c r="R116" s="43">
        <f t="shared" si="89"/>
        <v>5574.437294023016</v>
      </c>
      <c r="S116" s="43">
        <f t="shared" si="90"/>
        <v>1706.1610984717388</v>
      </c>
      <c r="T116" s="43"/>
      <c r="U116" s="43">
        <v>18000</v>
      </c>
      <c r="V116" s="20">
        <v>0</v>
      </c>
      <c r="W116" s="20">
        <v>21900</v>
      </c>
      <c r="X116" s="20">
        <v>0</v>
      </c>
      <c r="Y116" s="18">
        <f>SUMPRODUCT(Q116:X116,'Fisico ASIG'!O116:V116)/E116</f>
        <v>5542680.0872844821</v>
      </c>
      <c r="Z116" s="25">
        <f t="shared" si="91"/>
        <v>15105373.345312007</v>
      </c>
      <c r="AA116" s="26">
        <f>+Z116/'Fisico ASIG'!N116/24</f>
        <v>58.57096029073125</v>
      </c>
      <c r="AB116" s="26">
        <f t="shared" si="63"/>
        <v>15.806111696522654</v>
      </c>
      <c r="AC116" s="29">
        <f t="shared" si="92"/>
        <v>42.764848594208594</v>
      </c>
      <c r="AI116" s="1">
        <v>7099</v>
      </c>
      <c r="AJ116" s="1">
        <v>5649602</v>
      </c>
      <c r="AK116">
        <f t="shared" si="73"/>
        <v>1.44</v>
      </c>
      <c r="AL116" s="40">
        <f t="shared" si="74"/>
        <v>8437.7999999999993</v>
      </c>
      <c r="AM116">
        <v>2490000</v>
      </c>
      <c r="AN116" s="17">
        <v>37.441616049495082</v>
      </c>
      <c r="AO116" s="64">
        <f t="shared" si="93"/>
        <v>2.1223090833409182</v>
      </c>
      <c r="AP116">
        <v>2.2000000000000002</v>
      </c>
    </row>
    <row r="117" spans="1:43" hidden="1" x14ac:dyDescent="0.3">
      <c r="A117" s="3">
        <f>+'Mono SPOT MAT'!A117</f>
        <v>1447.6657</v>
      </c>
      <c r="B117" s="42">
        <v>1450.4169999999999</v>
      </c>
      <c r="C117" s="53">
        <f t="shared" si="64"/>
        <v>2026</v>
      </c>
      <c r="D117" s="52">
        <f>+'Fisico ASIG'!B117</f>
        <v>46023</v>
      </c>
      <c r="E117" s="1">
        <v>31</v>
      </c>
      <c r="F117" s="56" t="str">
        <f>+'Fisico ASIG'!D117</f>
        <v>jue</v>
      </c>
      <c r="G117" s="56">
        <f>+'Fisico ASIG'!E117</f>
        <v>46023</v>
      </c>
      <c r="H117" s="17">
        <v>28</v>
      </c>
      <c r="I117" s="17">
        <f t="shared" si="86"/>
        <v>5.0018453846077859</v>
      </c>
      <c r="J117" s="17">
        <f>+AL117/A117</f>
        <v>6.5099398753915807</v>
      </c>
      <c r="K117" s="17"/>
      <c r="L117" s="17">
        <v>27</v>
      </c>
      <c r="M117" s="17">
        <v>71.5</v>
      </c>
      <c r="N117" s="17">
        <f>+AN117+AO117+AP117+AQ117</f>
        <v>40.67788864993129</v>
      </c>
      <c r="O117" s="17">
        <v>34.478270973739249</v>
      </c>
      <c r="P117" s="18">
        <f>SUMPRODUCT(H117:O117,'Fisico ASIG'!F117:M117)*24</f>
        <v>7875779.7619611276</v>
      </c>
      <c r="Q117" s="43">
        <v>0</v>
      </c>
      <c r="R117" s="43">
        <f t="shared" si="89"/>
        <v>5732.0798303088895</v>
      </c>
      <c r="S117" s="43">
        <f t="shared" si="90"/>
        <v>1775.2717357329113</v>
      </c>
      <c r="T117" s="43"/>
      <c r="U117" s="43">
        <v>18000</v>
      </c>
      <c r="V117" s="20">
        <v>0</v>
      </c>
      <c r="W117" s="20">
        <v>21900</v>
      </c>
      <c r="X117" s="20">
        <v>0</v>
      </c>
      <c r="Y117" s="18">
        <f>SUMPRODUCT(Q117:X117,'Fisico ASIG'!O117:V117)/E117</f>
        <v>5579344.84702159</v>
      </c>
      <c r="Z117" s="25">
        <f t="shared" si="91"/>
        <v>13455124.608982718</v>
      </c>
      <c r="AA117" s="26">
        <f>+Z117/'Fisico ASIG'!N117/24</f>
        <v>64.068084811182047</v>
      </c>
      <c r="AB117" s="26">
        <f t="shared" si="63"/>
        <v>15.806111696522654</v>
      </c>
      <c r="AC117" s="29">
        <f t="shared" si="92"/>
        <v>48.261973114659391</v>
      </c>
      <c r="AH117" t="s">
        <v>121</v>
      </c>
      <c r="AI117" s="1">
        <v>7241</v>
      </c>
      <c r="AJ117" s="1">
        <v>5762594</v>
      </c>
      <c r="AK117">
        <f t="shared" si="73"/>
        <v>1.44</v>
      </c>
      <c r="AL117" s="40">
        <f>4403+1752*1.4+(4403*2*5*1.4)/24</f>
        <v>9424.2166666666653</v>
      </c>
      <c r="AM117">
        <v>2570000</v>
      </c>
      <c r="AN117" s="17">
        <v>37.68888866504102</v>
      </c>
      <c r="AO117" s="64">
        <f t="shared" si="93"/>
        <v>2.138999984890269</v>
      </c>
      <c r="AP117">
        <v>0</v>
      </c>
      <c r="AQ117" s="1">
        <v>0.85</v>
      </c>
    </row>
    <row r="118" spans="1:43" hidden="1" x14ac:dyDescent="0.3">
      <c r="A118" s="3">
        <f t="shared" ref="A118:A146" si="94">+A117</f>
        <v>1447.6657</v>
      </c>
      <c r="B118" s="42">
        <v>1450.4169999999999</v>
      </c>
      <c r="C118" s="53">
        <f t="shared" si="64"/>
        <v>2026</v>
      </c>
      <c r="D118" s="52">
        <f>+'Fisico ASIG'!B118</f>
        <v>46023</v>
      </c>
      <c r="E118" s="1">
        <v>31</v>
      </c>
      <c r="F118" s="56" t="str">
        <f>+'Fisico ASIG'!D118</f>
        <v>vie</v>
      </c>
      <c r="G118" s="56">
        <f>+'Fisico ASIG'!E118</f>
        <v>46024</v>
      </c>
      <c r="H118" s="17">
        <v>28</v>
      </c>
      <c r="I118" s="17">
        <f t="shared" si="86"/>
        <v>5.0018453846077859</v>
      </c>
      <c r="J118" s="17">
        <f t="shared" si="87"/>
        <v>6.5099398753915807</v>
      </c>
      <c r="K118" s="17"/>
      <c r="L118" s="17">
        <v>27</v>
      </c>
      <c r="M118" s="17">
        <v>71.5</v>
      </c>
      <c r="N118" s="17">
        <f t="shared" ref="N118:N146" si="95">+AN118+AO118+AP118+AQ118</f>
        <v>41.748864811557432</v>
      </c>
      <c r="O118" s="17">
        <v>55.348342791579256</v>
      </c>
      <c r="P118" s="18">
        <f>SUMPRODUCT(H118:O118,'Fisico ASIG'!F118:M118)*24</f>
        <v>7837056.5147159025</v>
      </c>
      <c r="Q118" s="43">
        <v>0</v>
      </c>
      <c r="R118" s="43">
        <f t="shared" si="89"/>
        <v>5732.0798303088895</v>
      </c>
      <c r="S118" s="43">
        <f t="shared" si="90"/>
        <v>1775.2717357329113</v>
      </c>
      <c r="T118" s="43"/>
      <c r="U118" s="43">
        <v>18000</v>
      </c>
      <c r="V118" s="20">
        <v>0</v>
      </c>
      <c r="W118" s="20">
        <v>21900</v>
      </c>
      <c r="X118" s="20">
        <v>0</v>
      </c>
      <c r="Y118" s="18">
        <f>SUMPRODUCT(Q118:X118,'Fisico ASIG'!O118:V118)/E118</f>
        <v>5596205.1225019498</v>
      </c>
      <c r="Z118" s="25">
        <f t="shared" si="91"/>
        <v>13433261.637217853</v>
      </c>
      <c r="AA118" s="26">
        <f>+Z118/'Fisico ASIG'!N118/24</f>
        <v>62.876543140628534</v>
      </c>
      <c r="AB118" s="26">
        <f t="shared" si="63"/>
        <v>15.806111696522654</v>
      </c>
      <c r="AC118" s="29">
        <f t="shared" si="92"/>
        <v>47.070431444105878</v>
      </c>
      <c r="AH118" s="89"/>
      <c r="AI118" s="1">
        <v>7241</v>
      </c>
      <c r="AJ118" s="1">
        <v>5762594</v>
      </c>
      <c r="AK118">
        <f t="shared" si="73"/>
        <v>1.44</v>
      </c>
      <c r="AL118" s="40">
        <f t="shared" ref="AL118:AL175" si="96">4403+1752*1.4+(4403*2*5*1.4)/24</f>
        <v>9424.2166666666653</v>
      </c>
      <c r="AM118">
        <v>2570000</v>
      </c>
      <c r="AN118" s="17">
        <v>38.692145022536238</v>
      </c>
      <c r="AO118" s="64">
        <f t="shared" si="93"/>
        <v>2.206719789021196</v>
      </c>
      <c r="AP118">
        <v>0</v>
      </c>
      <c r="AQ118" s="1">
        <v>0.85</v>
      </c>
    </row>
    <row r="119" spans="1:43" hidden="1" x14ac:dyDescent="0.3">
      <c r="A119" s="3">
        <f t="shared" si="94"/>
        <v>1447.6657</v>
      </c>
      <c r="B119" s="42">
        <v>1450.4169999999999</v>
      </c>
      <c r="C119" s="53">
        <f t="shared" si="64"/>
        <v>2026</v>
      </c>
      <c r="D119" s="52">
        <f>+'Fisico ASIG'!B119</f>
        <v>46023</v>
      </c>
      <c r="E119" s="1">
        <v>31</v>
      </c>
      <c r="F119" s="56" t="str">
        <f>+'Fisico ASIG'!D119</f>
        <v>sáb</v>
      </c>
      <c r="G119" s="56">
        <f>+'Fisico ASIG'!E119</f>
        <v>46025</v>
      </c>
      <c r="H119" s="17">
        <v>28</v>
      </c>
      <c r="I119" s="17">
        <f t="shared" si="86"/>
        <v>5.0018453846077859</v>
      </c>
      <c r="J119" s="17">
        <f t="shared" si="87"/>
        <v>6.5099398753915807</v>
      </c>
      <c r="K119" s="17"/>
      <c r="L119" s="17">
        <v>27</v>
      </c>
      <c r="M119" s="17">
        <v>71.5</v>
      </c>
      <c r="N119" s="17">
        <f t="shared" si="95"/>
        <v>41.759090164489521</v>
      </c>
      <c r="O119" s="17">
        <v>38.717721955570966</v>
      </c>
      <c r="P119" s="18">
        <f>SUMPRODUCT(H119:O119,'Fisico ASIG'!F119:M119)*24</f>
        <v>6363708.2739093155</v>
      </c>
      <c r="Q119" s="43">
        <v>0</v>
      </c>
      <c r="R119" s="43">
        <f t="shared" si="89"/>
        <v>5732.0798303088895</v>
      </c>
      <c r="S119" s="43">
        <f t="shared" si="90"/>
        <v>1775.2717357329113</v>
      </c>
      <c r="T119" s="43"/>
      <c r="U119" s="43">
        <v>18000</v>
      </c>
      <c r="V119" s="20">
        <v>0</v>
      </c>
      <c r="W119" s="20">
        <v>21900</v>
      </c>
      <c r="X119" s="20">
        <v>0</v>
      </c>
      <c r="Y119" s="18">
        <f>SUMPRODUCT(Q119:X119,'Fisico ASIG'!O119:V119)/E119</f>
        <v>5613373.6034772396</v>
      </c>
      <c r="Z119" s="25">
        <f t="shared" si="91"/>
        <v>11977081.877386555</v>
      </c>
      <c r="AA119" s="26">
        <f>+Z119/'Fisico ASIG'!N119/24</f>
        <v>65.956512082168274</v>
      </c>
      <c r="AB119" s="26">
        <f t="shared" si="63"/>
        <v>15.806111696522654</v>
      </c>
      <c r="AC119" s="29">
        <f t="shared" si="92"/>
        <v>50.150400385645618</v>
      </c>
      <c r="AI119" s="1">
        <v>7241</v>
      </c>
      <c r="AJ119" s="1">
        <v>5762594</v>
      </c>
      <c r="AK119">
        <f t="shared" si="73"/>
        <v>1.44</v>
      </c>
      <c r="AL119" s="40">
        <f t="shared" si="96"/>
        <v>9424.2166666666653</v>
      </c>
      <c r="AM119">
        <v>2570000</v>
      </c>
      <c r="AN119" s="17">
        <v>38.701723807484328</v>
      </c>
      <c r="AO119" s="64">
        <f t="shared" si="93"/>
        <v>2.2073663570051925</v>
      </c>
      <c r="AP119">
        <v>0</v>
      </c>
      <c r="AQ119" s="1">
        <v>0.85</v>
      </c>
    </row>
    <row r="120" spans="1:43" hidden="1" x14ac:dyDescent="0.3">
      <c r="A120" s="3">
        <f t="shared" si="94"/>
        <v>1447.6657</v>
      </c>
      <c r="B120" s="42">
        <v>1450.4169999999999</v>
      </c>
      <c r="C120" s="53">
        <f t="shared" si="64"/>
        <v>2026</v>
      </c>
      <c r="D120" s="52">
        <f>+'Fisico ASIG'!B120</f>
        <v>46023</v>
      </c>
      <c r="E120" s="1">
        <v>31</v>
      </c>
      <c r="F120" s="56" t="str">
        <f>+'Fisico ASIG'!D120</f>
        <v>dom</v>
      </c>
      <c r="G120" s="56">
        <f>+'Fisico ASIG'!E120</f>
        <v>46026</v>
      </c>
      <c r="H120" s="17">
        <v>28</v>
      </c>
      <c r="I120" s="17">
        <f t="shared" si="86"/>
        <v>5.0018453846077859</v>
      </c>
      <c r="J120" s="17">
        <f t="shared" si="87"/>
        <v>6.5099398753915807</v>
      </c>
      <c r="K120" s="17"/>
      <c r="L120" s="17">
        <v>27</v>
      </c>
      <c r="M120" s="17">
        <v>71.5</v>
      </c>
      <c r="N120" s="17">
        <f t="shared" si="95"/>
        <v>41.383590699447325</v>
      </c>
      <c r="O120" s="17">
        <v>37.456302648928045</v>
      </c>
      <c r="P120" s="18">
        <f>SUMPRODUCT(H120:O120,'Fisico ASIG'!F120:M120)*24</f>
        <v>5892245.3030326469</v>
      </c>
      <c r="Q120" s="43">
        <v>0</v>
      </c>
      <c r="R120" s="43">
        <f t="shared" si="89"/>
        <v>5732.0798303088895</v>
      </c>
      <c r="S120" s="43">
        <f t="shared" si="90"/>
        <v>1775.2717357329113</v>
      </c>
      <c r="T120" s="43"/>
      <c r="U120" s="43">
        <v>18000</v>
      </c>
      <c r="V120" s="20">
        <v>0</v>
      </c>
      <c r="W120" s="20">
        <v>21900</v>
      </c>
      <c r="X120" s="20">
        <v>0</v>
      </c>
      <c r="Y120" s="18">
        <f>SUMPRODUCT(Q120:X120,'Fisico ASIG'!O120:V120)/E120</f>
        <v>5623507.0367800072</v>
      </c>
      <c r="Z120" s="25">
        <f t="shared" si="91"/>
        <v>11515752.339812655</v>
      </c>
      <c r="AA120" s="26">
        <f>+Z120/'Fisico ASIG'!N120/24</f>
        <v>65.893342075657415</v>
      </c>
      <c r="AB120" s="26">
        <f t="shared" si="63"/>
        <v>15.806111696522654</v>
      </c>
      <c r="AC120" s="29">
        <f t="shared" si="92"/>
        <v>50.087230379134759</v>
      </c>
      <c r="AI120" s="1">
        <v>7241</v>
      </c>
      <c r="AJ120" s="1">
        <v>5762594</v>
      </c>
      <c r="AK120">
        <f t="shared" si="73"/>
        <v>1.44</v>
      </c>
      <c r="AL120" s="40">
        <f t="shared" si="96"/>
        <v>9424.2166666666653</v>
      </c>
      <c r="AM120">
        <v>2570000</v>
      </c>
      <c r="AN120" s="17">
        <v>38.34996786833473</v>
      </c>
      <c r="AO120" s="64">
        <f t="shared" si="93"/>
        <v>2.1836228311125945</v>
      </c>
      <c r="AP120">
        <v>0</v>
      </c>
      <c r="AQ120" s="1">
        <v>0.85</v>
      </c>
    </row>
    <row r="121" spans="1:43" hidden="1" x14ac:dyDescent="0.3">
      <c r="A121" s="3">
        <f t="shared" si="94"/>
        <v>1447.6657</v>
      </c>
      <c r="B121" s="42">
        <v>1450.4169999999999</v>
      </c>
      <c r="C121" s="53">
        <f t="shared" ref="C121:C122" si="97">YEAR(G121)</f>
        <v>2026</v>
      </c>
      <c r="D121" s="52">
        <f>+'Fisico ASIG'!B121</f>
        <v>46023</v>
      </c>
      <c r="E121" s="1">
        <v>31</v>
      </c>
      <c r="F121" s="56" t="str">
        <f>+'Fisico ASIG'!D121</f>
        <v>lun</v>
      </c>
      <c r="G121" s="56">
        <f>+'Fisico ASIG'!E121</f>
        <v>46027</v>
      </c>
      <c r="H121" s="17">
        <v>28</v>
      </c>
      <c r="I121" s="17">
        <f t="shared" ref="I121:I122" si="98">AI121/A121</f>
        <v>5.0018453846077859</v>
      </c>
      <c r="J121" s="17">
        <f t="shared" ref="J121:J122" si="99">+AL121/A121</f>
        <v>6.5099398753915807</v>
      </c>
      <c r="K121" s="17"/>
      <c r="L121" s="17">
        <v>27</v>
      </c>
      <c r="M121" s="17">
        <v>71.5</v>
      </c>
      <c r="N121" s="17">
        <f t="shared" si="95"/>
        <v>40.249681692291517</v>
      </c>
      <c r="O121" s="17">
        <v>59.126244149387091</v>
      </c>
      <c r="P121" s="18">
        <f>SUMPRODUCT(H121:O121,'Fisico ASIG'!F121:M121)*24</f>
        <v>7808237.3626494501</v>
      </c>
      <c r="Q121" s="43">
        <v>0</v>
      </c>
      <c r="R121" s="43">
        <f t="shared" ref="R121:R122" si="100">+AJ121*AK121/A121</f>
        <v>5732.0798303088895</v>
      </c>
      <c r="S121" s="43">
        <f t="shared" ref="S121:S122" si="101">+AM121/A121</f>
        <v>1775.2717357329113</v>
      </c>
      <c r="T121" s="43"/>
      <c r="U121" s="43">
        <v>18000</v>
      </c>
      <c r="V121" s="20">
        <v>0</v>
      </c>
      <c r="W121" s="20">
        <v>21900</v>
      </c>
      <c r="X121" s="20">
        <v>0</v>
      </c>
      <c r="Y121" s="18">
        <f>SUMPRODUCT(Q121:X121,'Fisico ASIG'!O121:V121)/E121</f>
        <v>5621170.9627137855</v>
      </c>
      <c r="Z121" s="25">
        <f t="shared" ref="Z121:Z122" si="102">+(P121+Y121)</f>
        <v>13429408.325363236</v>
      </c>
      <c r="AA121" s="26">
        <f>+Z121/'Fisico ASIG'!N121/24</f>
        <v>64.231324558644431</v>
      </c>
      <c r="AB121" s="26">
        <f t="shared" ref="AB121:AB147" si="103">+$AB$21*375/0.52/730</f>
        <v>15.806111696522654</v>
      </c>
      <c r="AC121" s="29">
        <f t="shared" ref="AC121:AC122" si="104">+AA121-AB121</f>
        <v>48.425212862121775</v>
      </c>
      <c r="AI121" s="1">
        <v>7241</v>
      </c>
      <c r="AJ121" s="1">
        <v>5762594</v>
      </c>
      <c r="AK121">
        <f t="shared" si="73"/>
        <v>1.44</v>
      </c>
      <c r="AL121" s="40">
        <f t="shared" si="96"/>
        <v>9424.2166666666653</v>
      </c>
      <c r="AM121">
        <v>2570000</v>
      </c>
      <c r="AN121" s="17">
        <v>37.287758025565822</v>
      </c>
      <c r="AO121" s="64">
        <f t="shared" ref="AO121:AO122" si="105">0.075*0.9*(AN121-6)</f>
        <v>2.1119236667256933</v>
      </c>
      <c r="AP121">
        <v>0</v>
      </c>
      <c r="AQ121" s="1">
        <v>0.85</v>
      </c>
    </row>
    <row r="122" spans="1:43" hidden="1" x14ac:dyDescent="0.3">
      <c r="A122" s="3">
        <f t="shared" si="94"/>
        <v>1447.6657</v>
      </c>
      <c r="B122" s="42">
        <v>1450.4169999999999</v>
      </c>
      <c r="C122" s="53">
        <f t="shared" si="97"/>
        <v>2026</v>
      </c>
      <c r="D122" s="52">
        <f>+'Fisico ASIG'!B122</f>
        <v>46023</v>
      </c>
      <c r="E122" s="1">
        <v>31</v>
      </c>
      <c r="F122" s="56" t="str">
        <f>+'Fisico ASIG'!D122</f>
        <v>mar</v>
      </c>
      <c r="G122" s="56">
        <f>+'Fisico ASIG'!E122</f>
        <v>46028</v>
      </c>
      <c r="H122" s="17">
        <v>28</v>
      </c>
      <c r="I122" s="17">
        <f t="shared" si="98"/>
        <v>5.0018453846077859</v>
      </c>
      <c r="J122" s="17">
        <f t="shared" si="99"/>
        <v>6.5099398753915807</v>
      </c>
      <c r="K122" s="17"/>
      <c r="L122" s="17">
        <v>27</v>
      </c>
      <c r="M122" s="17">
        <v>71.5</v>
      </c>
      <c r="N122" s="17">
        <f t="shared" si="95"/>
        <v>40.992008406655479</v>
      </c>
      <c r="O122" s="17">
        <v>49.217654560775856</v>
      </c>
      <c r="P122" s="18">
        <f>SUMPRODUCT(H122:O122,'Fisico ASIG'!F122:M122)*24</f>
        <v>8509077.0980682075</v>
      </c>
      <c r="Q122" s="43">
        <v>0</v>
      </c>
      <c r="R122" s="43">
        <f t="shared" si="100"/>
        <v>5732.0798303088895</v>
      </c>
      <c r="S122" s="43">
        <f t="shared" si="101"/>
        <v>1775.2717357329113</v>
      </c>
      <c r="T122" s="43"/>
      <c r="U122" s="43">
        <v>18000</v>
      </c>
      <c r="V122" s="20">
        <v>0</v>
      </c>
      <c r="W122" s="20">
        <v>21900</v>
      </c>
      <c r="X122" s="20">
        <v>0</v>
      </c>
      <c r="Y122" s="18">
        <f>SUMPRODUCT(Q122:X122,'Fisico ASIG'!O122:V122)/E122</f>
        <v>5620620.4293743372</v>
      </c>
      <c r="Z122" s="25">
        <f t="shared" si="102"/>
        <v>14129697.527442545</v>
      </c>
      <c r="AA122" s="26">
        <f>+Z122/'Fisico ASIG'!N122/24</f>
        <v>61.637047711544739</v>
      </c>
      <c r="AB122" s="26">
        <f t="shared" si="103"/>
        <v>15.806111696522654</v>
      </c>
      <c r="AC122" s="29">
        <f t="shared" si="104"/>
        <v>45.830936015022083</v>
      </c>
      <c r="AI122" s="1">
        <v>7241</v>
      </c>
      <c r="AJ122" s="1">
        <v>5762594</v>
      </c>
      <c r="AK122">
        <f t="shared" si="73"/>
        <v>1.44</v>
      </c>
      <c r="AL122" s="40">
        <f t="shared" si="96"/>
        <v>9424.2166666666653</v>
      </c>
      <c r="AM122">
        <v>2570000</v>
      </c>
      <c r="AN122" s="17">
        <v>37.983146048389209</v>
      </c>
      <c r="AO122" s="64">
        <f t="shared" si="105"/>
        <v>2.1588623582662718</v>
      </c>
      <c r="AP122">
        <v>0</v>
      </c>
      <c r="AQ122" s="1">
        <v>0.85</v>
      </c>
    </row>
    <row r="123" spans="1:43" hidden="1" x14ac:dyDescent="0.3">
      <c r="A123" s="3">
        <f t="shared" si="94"/>
        <v>1447.6657</v>
      </c>
      <c r="B123" s="42">
        <v>1450.4169999999999</v>
      </c>
      <c r="C123" s="53">
        <f t="shared" ref="C123:C129" si="106">YEAR(G123)</f>
        <v>2026</v>
      </c>
      <c r="D123" s="52">
        <f>+'Fisico ASIG'!B123</f>
        <v>46023</v>
      </c>
      <c r="E123" s="1">
        <v>31</v>
      </c>
      <c r="F123" s="56" t="str">
        <f>+'Fisico ASIG'!D123</f>
        <v>mié</v>
      </c>
      <c r="G123" s="56">
        <f>+'Fisico ASIG'!E123</f>
        <v>46029</v>
      </c>
      <c r="H123" s="17">
        <v>28</v>
      </c>
      <c r="I123" s="17">
        <f t="shared" ref="I123:I129" si="107">AI123/A123</f>
        <v>5.0018453846077859</v>
      </c>
      <c r="J123" s="17">
        <f t="shared" ref="J123:J129" si="108">+AL123/A123</f>
        <v>6.5099398753915807</v>
      </c>
      <c r="K123" s="17"/>
      <c r="L123" s="17">
        <v>27</v>
      </c>
      <c r="M123" s="17">
        <v>71.5</v>
      </c>
      <c r="N123" s="17">
        <f t="shared" si="95"/>
        <v>40.500689085063406</v>
      </c>
      <c r="O123" s="17">
        <v>41.707084622373173</v>
      </c>
      <c r="P123" s="18">
        <f>SUMPRODUCT(H123:O123,'Fisico ASIG'!F123:M123)*24</f>
        <v>7950459.8611395638</v>
      </c>
      <c r="Q123" s="43">
        <v>0</v>
      </c>
      <c r="R123" s="43">
        <f t="shared" ref="R123:R129" si="109">+AJ123*AK123/A123</f>
        <v>5732.0798303088895</v>
      </c>
      <c r="S123" s="43">
        <f t="shared" ref="S123:S129" si="110">+AM123/A123</f>
        <v>1775.2717357329113</v>
      </c>
      <c r="T123" s="43"/>
      <c r="U123" s="43">
        <v>18000</v>
      </c>
      <c r="V123" s="20">
        <v>0</v>
      </c>
      <c r="W123" s="20">
        <v>21900</v>
      </c>
      <c r="X123" s="20">
        <v>0</v>
      </c>
      <c r="Y123" s="18">
        <f>SUMPRODUCT(Q123:X123,'Fisico ASIG'!O123:V123)/E123</f>
        <v>5623066.6180775361</v>
      </c>
      <c r="Z123" s="25">
        <f t="shared" ref="Z123:Z129" si="111">+(P123+Y123)</f>
        <v>13573526.479217101</v>
      </c>
      <c r="AA123" s="26">
        <f>+Z123/'Fisico ASIG'!N123/24</f>
        <v>62.485193161304842</v>
      </c>
      <c r="AB123" s="26">
        <f t="shared" si="103"/>
        <v>15.806111696522654</v>
      </c>
      <c r="AC123" s="29">
        <f t="shared" ref="AC123:AC129" si="112">+AA123-AB123</f>
        <v>46.679081464782186</v>
      </c>
      <c r="AI123" s="1">
        <v>7241</v>
      </c>
      <c r="AJ123" s="1">
        <v>5762594</v>
      </c>
      <c r="AK123">
        <f t="shared" si="73"/>
        <v>1.44</v>
      </c>
      <c r="AL123" s="40">
        <f t="shared" si="96"/>
        <v>9424.2166666666653</v>
      </c>
      <c r="AM123">
        <v>2570000</v>
      </c>
      <c r="AN123" s="17">
        <v>37.522893756499677</v>
      </c>
      <c r="AO123" s="64">
        <f t="shared" ref="AO123:AO135" si="113">0.075*0.9*(AN123-6)</f>
        <v>2.1277953285637285</v>
      </c>
      <c r="AP123">
        <v>0</v>
      </c>
      <c r="AQ123" s="1">
        <v>0.85</v>
      </c>
    </row>
    <row r="124" spans="1:43" hidden="1" x14ac:dyDescent="0.3">
      <c r="A124" s="3">
        <f t="shared" si="94"/>
        <v>1447.6657</v>
      </c>
      <c r="B124" s="42">
        <v>1450.4169999999999</v>
      </c>
      <c r="C124" s="53">
        <f t="shared" si="106"/>
        <v>2026</v>
      </c>
      <c r="D124" s="52">
        <f>+'Fisico ASIG'!B124</f>
        <v>46023</v>
      </c>
      <c r="E124" s="1">
        <v>31</v>
      </c>
      <c r="F124" s="56" t="str">
        <f>+'Fisico ASIG'!D124</f>
        <v>jue</v>
      </c>
      <c r="G124" s="56">
        <f>+'Fisico ASIG'!E124</f>
        <v>46030</v>
      </c>
      <c r="H124" s="17">
        <v>28</v>
      </c>
      <c r="I124" s="17">
        <f t="shared" si="107"/>
        <v>5.0018453846077859</v>
      </c>
      <c r="J124" s="17">
        <f t="shared" si="108"/>
        <v>6.5099398753915807</v>
      </c>
      <c r="K124" s="17"/>
      <c r="L124" s="17">
        <v>27</v>
      </c>
      <c r="M124" s="17">
        <v>71.5</v>
      </c>
      <c r="N124" s="17">
        <f t="shared" si="95"/>
        <v>40.626466193150407</v>
      </c>
      <c r="O124" s="17">
        <v>43.099013594447769</v>
      </c>
      <c r="P124" s="18">
        <f>SUMPRODUCT(H124:O124,'Fisico ASIG'!F124:M124)*24</f>
        <v>7288278.7098406237</v>
      </c>
      <c r="Q124" s="43">
        <v>0</v>
      </c>
      <c r="R124" s="43">
        <f t="shared" si="109"/>
        <v>5732.0798303088895</v>
      </c>
      <c r="S124" s="43">
        <f t="shared" si="110"/>
        <v>1775.2717357329113</v>
      </c>
      <c r="T124" s="43"/>
      <c r="U124" s="43">
        <v>18000</v>
      </c>
      <c r="V124" s="20">
        <v>0</v>
      </c>
      <c r="W124" s="20">
        <v>21900</v>
      </c>
      <c r="X124" s="20">
        <v>0</v>
      </c>
      <c r="Y124" s="18">
        <f>SUMPRODUCT(Q124:X124,'Fisico ASIG'!O124:V124)/E124</f>
        <v>5476147.1602136884</v>
      </c>
      <c r="Z124" s="25">
        <f t="shared" si="111"/>
        <v>12764425.870054312</v>
      </c>
      <c r="AA124" s="26">
        <f>+Z124/'Fisico ASIG'!N124/24</f>
        <v>64.891477302570152</v>
      </c>
      <c r="AB124" s="26">
        <f t="shared" si="103"/>
        <v>15.806111696522654</v>
      </c>
      <c r="AC124" s="29">
        <f t="shared" si="112"/>
        <v>49.085365606047496</v>
      </c>
      <c r="AI124" s="1">
        <v>7241</v>
      </c>
      <c r="AJ124" s="1">
        <v>5762594</v>
      </c>
      <c r="AK124">
        <f t="shared" si="73"/>
        <v>1.44</v>
      </c>
      <c r="AL124" s="40">
        <f t="shared" si="96"/>
        <v>9424.2166666666653</v>
      </c>
      <c r="AM124">
        <v>2570000</v>
      </c>
      <c r="AN124" s="17">
        <v>37.640717745339956</v>
      </c>
      <c r="AO124" s="64">
        <f t="shared" si="113"/>
        <v>2.1357484478104469</v>
      </c>
      <c r="AP124">
        <v>0</v>
      </c>
      <c r="AQ124" s="1">
        <v>0.85</v>
      </c>
    </row>
    <row r="125" spans="1:43" hidden="1" x14ac:dyDescent="0.3">
      <c r="A125" s="3">
        <f t="shared" si="94"/>
        <v>1447.6657</v>
      </c>
      <c r="B125" s="42">
        <v>1450.4169999999999</v>
      </c>
      <c r="C125" s="53">
        <f t="shared" si="106"/>
        <v>2026</v>
      </c>
      <c r="D125" s="52">
        <f>+'Fisico ASIG'!B125</f>
        <v>46023</v>
      </c>
      <c r="E125" s="1">
        <v>31</v>
      </c>
      <c r="F125" s="56" t="str">
        <f>+'Fisico ASIG'!D125</f>
        <v>vie</v>
      </c>
      <c r="G125" s="56">
        <f>+'Fisico ASIG'!E125</f>
        <v>46031</v>
      </c>
      <c r="H125" s="17">
        <v>28</v>
      </c>
      <c r="I125" s="17">
        <f t="shared" si="107"/>
        <v>5.0018453846077859</v>
      </c>
      <c r="J125" s="17">
        <f t="shared" si="108"/>
        <v>6.5099398753915807</v>
      </c>
      <c r="K125" s="83">
        <f>3.5+1.9+(3.5*2*5+3.5*5)/24</f>
        <v>7.5875000000000004</v>
      </c>
      <c r="L125" s="17">
        <v>27</v>
      </c>
      <c r="M125" s="17">
        <v>71.5</v>
      </c>
      <c r="N125" s="17">
        <f t="shared" si="95"/>
        <v>40.143532880565054</v>
      </c>
      <c r="O125" s="17">
        <v>42.839745126922686</v>
      </c>
      <c r="P125" s="18">
        <f>SUMPRODUCT(H125:O125,'Fisico ASIG'!F125:M125)*24</f>
        <v>6834393.6610666718</v>
      </c>
      <c r="Q125" s="43">
        <v>0</v>
      </c>
      <c r="R125" s="43">
        <f t="shared" si="109"/>
        <v>5732.0798303088895</v>
      </c>
      <c r="S125" s="43">
        <f t="shared" si="110"/>
        <v>2832.1455706244888</v>
      </c>
      <c r="T125" s="43">
        <f>+(4000*1759+465*1759*1.2)/(4000+465)</f>
        <v>1795.6376259798433</v>
      </c>
      <c r="U125" s="43">
        <v>18000</v>
      </c>
      <c r="V125" s="20">
        <v>0</v>
      </c>
      <c r="W125" s="20">
        <v>21900</v>
      </c>
      <c r="X125" s="20">
        <v>0</v>
      </c>
      <c r="Y125" s="18">
        <f>SUMPRODUCT(Q125:X125,'Fisico ASIG'!O125:V125)/E125</f>
        <v>5510736.284045767</v>
      </c>
      <c r="Z125" s="25">
        <f t="shared" si="111"/>
        <v>12345129.945112439</v>
      </c>
      <c r="AA125" s="26">
        <f>+Z125/'Fisico ASIG'!N125/24</f>
        <v>66.192725858662286</v>
      </c>
      <c r="AB125" s="26">
        <f t="shared" si="103"/>
        <v>15.806111696522654</v>
      </c>
      <c r="AC125" s="29">
        <f t="shared" si="112"/>
        <v>50.38661416213963</v>
      </c>
      <c r="AI125" s="1">
        <v>7241</v>
      </c>
      <c r="AJ125" s="1">
        <v>5762594</v>
      </c>
      <c r="AK125">
        <f t="shared" si="73"/>
        <v>1.44</v>
      </c>
      <c r="AL125" s="40">
        <f t="shared" si="96"/>
        <v>9424.2166666666653</v>
      </c>
      <c r="AM125">
        <v>4100000</v>
      </c>
      <c r="AN125" s="17">
        <v>37.188321199592558</v>
      </c>
      <c r="AO125" s="64">
        <f t="shared" si="113"/>
        <v>2.1052116809724977</v>
      </c>
      <c r="AP125">
        <v>0</v>
      </c>
      <c r="AQ125" s="1">
        <v>0.85</v>
      </c>
    </row>
    <row r="126" spans="1:43" hidden="1" x14ac:dyDescent="0.3">
      <c r="A126" s="3">
        <f t="shared" si="94"/>
        <v>1447.6657</v>
      </c>
      <c r="B126" s="42">
        <v>1450.4169999999999</v>
      </c>
      <c r="C126" s="53">
        <f t="shared" si="106"/>
        <v>2026</v>
      </c>
      <c r="D126" s="52">
        <f>+'Fisico ASIG'!B126</f>
        <v>46023</v>
      </c>
      <c r="E126" s="1">
        <v>31</v>
      </c>
      <c r="F126" s="56" t="str">
        <f>+'Fisico ASIG'!D126</f>
        <v>sáb</v>
      </c>
      <c r="G126" s="56">
        <f>+'Fisico ASIG'!E126</f>
        <v>46032</v>
      </c>
      <c r="H126" s="17">
        <v>28</v>
      </c>
      <c r="I126" s="17">
        <f t="shared" si="107"/>
        <v>5.0018453846077859</v>
      </c>
      <c r="J126" s="17">
        <f t="shared" si="108"/>
        <v>6.5099398753915807</v>
      </c>
      <c r="K126" s="83">
        <f t="shared" ref="K126:K175" si="114">3.5+1.9+(3.5*2*5+3.5*5)/24</f>
        <v>7.5875000000000004</v>
      </c>
      <c r="L126" s="17">
        <v>27</v>
      </c>
      <c r="M126" s="17">
        <v>71.5</v>
      </c>
      <c r="N126" s="17">
        <f t="shared" si="95"/>
        <v>41.078684493823815</v>
      </c>
      <c r="O126" s="17">
        <v>41.847108997264783</v>
      </c>
      <c r="P126" s="18">
        <f>SUMPRODUCT(H126:O126,'Fisico ASIG'!F126:M126)*24</f>
        <v>6527369.1441839626</v>
      </c>
      <c r="Q126" s="43">
        <v>0</v>
      </c>
      <c r="R126" s="43">
        <f t="shared" si="109"/>
        <v>5732.0798303088895</v>
      </c>
      <c r="S126" s="43">
        <f t="shared" si="110"/>
        <v>2832.1455706244888</v>
      </c>
      <c r="T126" s="43">
        <f t="shared" ref="T126:T206" si="115">+(4000*1759+465*1759*1.2)/(4000+465)</f>
        <v>1795.6376259798433</v>
      </c>
      <c r="U126" s="43">
        <v>18000</v>
      </c>
      <c r="V126" s="20">
        <v>0</v>
      </c>
      <c r="W126" s="20">
        <v>21900</v>
      </c>
      <c r="X126" s="20">
        <v>0</v>
      </c>
      <c r="Y126" s="18">
        <f>SUMPRODUCT(Q126:X126,'Fisico ASIG'!O126:V126)/E126</f>
        <v>5333310.995232393</v>
      </c>
      <c r="Z126" s="25">
        <f t="shared" si="111"/>
        <v>11860680.139416356</v>
      </c>
      <c r="AA126" s="26">
        <f>+Z126/'Fisico ASIG'!N126/24</f>
        <v>65.60789832675168</v>
      </c>
      <c r="AB126" s="26">
        <f t="shared" si="103"/>
        <v>15.806111696522654</v>
      </c>
      <c r="AC126" s="29">
        <f t="shared" si="112"/>
        <v>49.801786630229024</v>
      </c>
      <c r="AI126" s="1">
        <v>7241</v>
      </c>
      <c r="AJ126" s="1">
        <v>5762594</v>
      </c>
      <c r="AK126">
        <f t="shared" si="73"/>
        <v>1.44</v>
      </c>
      <c r="AL126" s="40">
        <f t="shared" si="96"/>
        <v>9424.2166666666653</v>
      </c>
      <c r="AM126">
        <v>4100000</v>
      </c>
      <c r="AN126" s="17">
        <v>38.064341446204978</v>
      </c>
      <c r="AO126" s="64">
        <f t="shared" si="113"/>
        <v>2.1643430476188361</v>
      </c>
      <c r="AP126">
        <v>0</v>
      </c>
      <c r="AQ126" s="1">
        <v>0.85</v>
      </c>
    </row>
    <row r="127" spans="1:43" hidden="1" x14ac:dyDescent="0.3">
      <c r="A127" s="3">
        <f t="shared" si="94"/>
        <v>1447.6657</v>
      </c>
      <c r="B127" s="42">
        <v>1450.4169999999999</v>
      </c>
      <c r="C127" s="53">
        <f t="shared" si="106"/>
        <v>2026</v>
      </c>
      <c r="D127" s="52">
        <f>+'Fisico ASIG'!B127</f>
        <v>46023</v>
      </c>
      <c r="E127" s="1">
        <v>31</v>
      </c>
      <c r="F127" s="56" t="str">
        <f>+'Fisico ASIG'!D127</f>
        <v>dom</v>
      </c>
      <c r="G127" s="56">
        <f>+'Fisico ASIG'!E127</f>
        <v>46033</v>
      </c>
      <c r="H127" s="17">
        <v>28</v>
      </c>
      <c r="I127" s="17">
        <f t="shared" si="107"/>
        <v>5.0018453846077859</v>
      </c>
      <c r="J127" s="17">
        <f t="shared" si="108"/>
        <v>6.5099398753915807</v>
      </c>
      <c r="K127" s="83">
        <f t="shared" si="114"/>
        <v>7.5875000000000004</v>
      </c>
      <c r="L127" s="17">
        <v>27</v>
      </c>
      <c r="M127" s="17">
        <v>71.5</v>
      </c>
      <c r="N127" s="17">
        <f t="shared" si="95"/>
        <v>42.926598815974678</v>
      </c>
      <c r="O127" s="17">
        <v>65.044002351849841</v>
      </c>
      <c r="P127" s="18">
        <f>SUMPRODUCT(H127:O127,'Fisico ASIG'!F127:M127)*24</f>
        <v>7263787.2763891127</v>
      </c>
      <c r="Q127" s="43">
        <v>0</v>
      </c>
      <c r="R127" s="43">
        <f t="shared" si="109"/>
        <v>5732.0798303088895</v>
      </c>
      <c r="S127" s="43">
        <f t="shared" si="110"/>
        <v>2832.1455706244888</v>
      </c>
      <c r="T127" s="43">
        <f t="shared" si="115"/>
        <v>1795.6376259798433</v>
      </c>
      <c r="U127" s="43">
        <v>18000</v>
      </c>
      <c r="V127" s="20">
        <v>0</v>
      </c>
      <c r="W127" s="20">
        <v>21900</v>
      </c>
      <c r="X127" s="20">
        <v>0</v>
      </c>
      <c r="Y127" s="18">
        <f>SUMPRODUCT(Q127:X127,'Fisico ASIG'!O127:V127)/E127</f>
        <v>5341711.1684977952</v>
      </c>
      <c r="Z127" s="25">
        <f t="shared" si="111"/>
        <v>12605498.444886908</v>
      </c>
      <c r="AA127" s="26">
        <f>+Z127/'Fisico ASIG'!N127/24</f>
        <v>66.510211647235067</v>
      </c>
      <c r="AB127" s="26">
        <f t="shared" si="103"/>
        <v>15.806111696522654</v>
      </c>
      <c r="AC127" s="29">
        <f t="shared" si="112"/>
        <v>50.704099950712411</v>
      </c>
      <c r="AI127" s="1">
        <v>7241</v>
      </c>
      <c r="AJ127" s="1">
        <v>5762594</v>
      </c>
      <c r="AK127">
        <f t="shared" si="73"/>
        <v>1.44</v>
      </c>
      <c r="AL127" s="40">
        <f t="shared" si="96"/>
        <v>9424.2166666666653</v>
      </c>
      <c r="AM127">
        <v>4100000</v>
      </c>
      <c r="AN127" s="17">
        <v>39.795408726908363</v>
      </c>
      <c r="AO127" s="64">
        <f t="shared" si="113"/>
        <v>2.2811900890663148</v>
      </c>
      <c r="AP127">
        <v>0</v>
      </c>
      <c r="AQ127" s="1">
        <v>0.85</v>
      </c>
    </row>
    <row r="128" spans="1:43" hidden="1" x14ac:dyDescent="0.3">
      <c r="A128" s="3">
        <f t="shared" si="94"/>
        <v>1447.6657</v>
      </c>
      <c r="B128" s="42">
        <v>1472.7349999999999</v>
      </c>
      <c r="C128" s="53">
        <f t="shared" si="106"/>
        <v>2026</v>
      </c>
      <c r="D128" s="52">
        <f>+'Fisico ASIG'!B128</f>
        <v>46023</v>
      </c>
      <c r="E128" s="1">
        <v>31</v>
      </c>
      <c r="F128" s="56" t="str">
        <f>+'Fisico ASIG'!D128</f>
        <v>lun</v>
      </c>
      <c r="G128" s="56">
        <f>+'Fisico ASIG'!E128</f>
        <v>46034</v>
      </c>
      <c r="H128" s="17">
        <v>28</v>
      </c>
      <c r="I128" s="17">
        <f t="shared" si="107"/>
        <v>5.0018453846077859</v>
      </c>
      <c r="J128" s="17">
        <f t="shared" si="108"/>
        <v>6.5099398753915807</v>
      </c>
      <c r="K128" s="83">
        <f t="shared" si="114"/>
        <v>7.5875000000000004</v>
      </c>
      <c r="L128" s="17">
        <v>27</v>
      </c>
      <c r="M128" s="17">
        <v>71.5</v>
      </c>
      <c r="N128" s="17">
        <f t="shared" si="95"/>
        <v>41.596523977842359</v>
      </c>
      <c r="O128" s="17">
        <v>54.788848079693878</v>
      </c>
      <c r="P128" s="18">
        <f>SUMPRODUCT(H128:O128,'Fisico ASIG'!F128:M128)*24</f>
        <v>8694997.4420121517</v>
      </c>
      <c r="Q128" s="43">
        <v>0</v>
      </c>
      <c r="R128" s="43">
        <f t="shared" si="109"/>
        <v>5732.0798303088895</v>
      </c>
      <c r="S128" s="43">
        <f t="shared" si="110"/>
        <v>2832.1455706244888</v>
      </c>
      <c r="T128" s="43">
        <f t="shared" si="115"/>
        <v>1795.6376259798433</v>
      </c>
      <c r="U128" s="43">
        <v>18000</v>
      </c>
      <c r="V128" s="20">
        <v>0</v>
      </c>
      <c r="W128" s="20">
        <v>21900</v>
      </c>
      <c r="X128" s="20">
        <v>0</v>
      </c>
      <c r="Y128" s="18">
        <f>SUMPRODUCT(Q128:X128,'Fisico ASIG'!O128:V128)/E128</f>
        <v>5653179.591841503</v>
      </c>
      <c r="Z128" s="25">
        <f t="shared" si="111"/>
        <v>14348177.033853654</v>
      </c>
      <c r="AA128" s="26">
        <f>+Z128/'Fisico ASIG'!N128/24</f>
        <v>58.906846936896045</v>
      </c>
      <c r="AB128" s="26">
        <f t="shared" si="103"/>
        <v>15.806111696522654</v>
      </c>
      <c r="AC128" s="29">
        <f t="shared" si="112"/>
        <v>43.100735240373389</v>
      </c>
      <c r="AI128" s="1">
        <v>7241</v>
      </c>
      <c r="AJ128" s="1">
        <v>5762594</v>
      </c>
      <c r="AK128">
        <f t="shared" si="73"/>
        <v>1.44</v>
      </c>
      <c r="AL128" s="40">
        <f t="shared" si="96"/>
        <v>9424.2166666666653</v>
      </c>
      <c r="AM128">
        <v>4100000</v>
      </c>
      <c r="AN128" s="17">
        <v>38.549436981585345</v>
      </c>
      <c r="AO128" s="64">
        <f t="shared" si="113"/>
        <v>2.1970869962570108</v>
      </c>
      <c r="AP128">
        <v>0</v>
      </c>
      <c r="AQ128" s="1">
        <v>0.85</v>
      </c>
    </row>
    <row r="129" spans="1:43" hidden="1" x14ac:dyDescent="0.3">
      <c r="A129" s="3">
        <f t="shared" si="94"/>
        <v>1447.6657</v>
      </c>
      <c r="B129" s="42">
        <v>1472.7349999999999</v>
      </c>
      <c r="C129" s="53">
        <f t="shared" si="106"/>
        <v>2026</v>
      </c>
      <c r="D129" s="52">
        <f>+'Fisico ASIG'!B129</f>
        <v>46023</v>
      </c>
      <c r="E129" s="1">
        <v>31</v>
      </c>
      <c r="F129" s="56" t="str">
        <f>+'Fisico ASIG'!D129</f>
        <v>mar</v>
      </c>
      <c r="G129" s="56">
        <f>+'Fisico ASIG'!E129</f>
        <v>46035</v>
      </c>
      <c r="H129" s="17">
        <v>28</v>
      </c>
      <c r="I129" s="17">
        <f t="shared" si="107"/>
        <v>5.0018453846077859</v>
      </c>
      <c r="J129" s="17">
        <f t="shared" si="108"/>
        <v>6.5099398753915807</v>
      </c>
      <c r="K129" s="83">
        <f t="shared" si="114"/>
        <v>7.5875000000000004</v>
      </c>
      <c r="L129" s="17">
        <v>27</v>
      </c>
      <c r="M129" s="17">
        <v>71.5</v>
      </c>
      <c r="N129" s="17">
        <f t="shared" si="95"/>
        <v>40.283767190502857</v>
      </c>
      <c r="O129" s="17">
        <v>43.8557471772029</v>
      </c>
      <c r="P129" s="18">
        <f>SUMPRODUCT(H129:O129,'Fisico ASIG'!F129:M129)*24</f>
        <v>8664464.7988877427</v>
      </c>
      <c r="Q129" s="43">
        <v>0</v>
      </c>
      <c r="R129" s="43">
        <f t="shared" si="109"/>
        <v>5732.0798303088895</v>
      </c>
      <c r="S129" s="43">
        <f t="shared" si="110"/>
        <v>2832.1455706244888</v>
      </c>
      <c r="T129" s="43">
        <f t="shared" si="115"/>
        <v>1795.6376259798433</v>
      </c>
      <c r="U129" s="43">
        <v>18000</v>
      </c>
      <c r="V129" s="20">
        <v>0</v>
      </c>
      <c r="W129" s="20">
        <v>21900</v>
      </c>
      <c r="X129" s="20">
        <v>0</v>
      </c>
      <c r="Y129" s="18">
        <f>SUMPRODUCT(Q129:X129,'Fisico ASIG'!O129:V129)/E129</f>
        <v>5818269.4265441336</v>
      </c>
      <c r="Z129" s="25">
        <f t="shared" si="111"/>
        <v>14482734.225431876</v>
      </c>
      <c r="AA129" s="26">
        <f>+Z129/'Fisico ASIG'!N129/24</f>
        <v>58.5142322813129</v>
      </c>
      <c r="AB129" s="26">
        <f t="shared" si="103"/>
        <v>15.806111696522654</v>
      </c>
      <c r="AC129" s="29">
        <f t="shared" si="112"/>
        <v>42.708120584790244</v>
      </c>
      <c r="AI129" s="1">
        <v>7241</v>
      </c>
      <c r="AJ129" s="1">
        <v>5762594</v>
      </c>
      <c r="AK129">
        <f t="shared" si="73"/>
        <v>1.44</v>
      </c>
      <c r="AL129" s="40">
        <f t="shared" si="96"/>
        <v>9424.2166666666653</v>
      </c>
      <c r="AM129">
        <v>4100000</v>
      </c>
      <c r="AN129" s="17">
        <v>37.319688234663097</v>
      </c>
      <c r="AO129" s="64">
        <f t="shared" si="113"/>
        <v>2.114078955839759</v>
      </c>
      <c r="AP129">
        <v>0</v>
      </c>
      <c r="AQ129" s="1">
        <v>0.85</v>
      </c>
    </row>
    <row r="130" spans="1:43" hidden="1" x14ac:dyDescent="0.3">
      <c r="A130" s="3">
        <f t="shared" si="94"/>
        <v>1447.6657</v>
      </c>
      <c r="B130" s="42">
        <v>1472.7349999999999</v>
      </c>
      <c r="C130" s="53">
        <f t="shared" ref="C130:C136" si="116">YEAR(G130)</f>
        <v>2026</v>
      </c>
      <c r="D130" s="52">
        <f>+'Fisico ASIG'!B130</f>
        <v>46023</v>
      </c>
      <c r="E130" s="1">
        <v>31</v>
      </c>
      <c r="F130" s="56" t="str">
        <f>+'Fisico ASIG'!D130</f>
        <v>mié</v>
      </c>
      <c r="G130" s="56">
        <f>+'Fisico ASIG'!E130</f>
        <v>46036</v>
      </c>
      <c r="H130" s="17">
        <v>28</v>
      </c>
      <c r="I130" s="17">
        <f t="shared" ref="I130:I136" si="117">AI130/A130</f>
        <v>5.0018453846077859</v>
      </c>
      <c r="J130" s="17">
        <f t="shared" ref="J130:J136" si="118">+AL130/A130</f>
        <v>6.5099398753915807</v>
      </c>
      <c r="K130" s="83">
        <f t="shared" si="114"/>
        <v>7.5875000000000004</v>
      </c>
      <c r="L130" s="17">
        <v>27</v>
      </c>
      <c r="M130" s="17">
        <v>71.5</v>
      </c>
      <c r="N130" s="17">
        <f t="shared" si="95"/>
        <v>44.779550661280965</v>
      </c>
      <c r="O130" s="17">
        <v>119.86067450891143</v>
      </c>
      <c r="P130" s="18">
        <f>SUMPRODUCT(H130:O130,'Fisico ASIG'!F130:M130)*24</f>
        <v>10007944.267212071</v>
      </c>
      <c r="Q130" s="43">
        <v>0</v>
      </c>
      <c r="R130" s="43">
        <f t="shared" ref="R130:R136" si="119">+AJ130*AK130/A130</f>
        <v>5732.0798303088895</v>
      </c>
      <c r="S130" s="43">
        <f t="shared" ref="S130:S136" si="120">+AM130/A130</f>
        <v>2832.1455706244888</v>
      </c>
      <c r="T130" s="43">
        <f t="shared" si="115"/>
        <v>1795.6376259798433</v>
      </c>
      <c r="U130" s="43">
        <v>18000</v>
      </c>
      <c r="V130" s="20">
        <v>0</v>
      </c>
      <c r="W130" s="20">
        <v>21900</v>
      </c>
      <c r="X130" s="20">
        <v>0</v>
      </c>
      <c r="Y130" s="18">
        <f>SUMPRODUCT(Q130:X130,'Fisico ASIG'!O130:V130)/E130</f>
        <v>5736095.4399423776</v>
      </c>
      <c r="Z130" s="25">
        <f t="shared" ref="Z130:Z146" si="121">+(P130+Y130)</f>
        <v>15744039.707154449</v>
      </c>
      <c r="AA130" s="26">
        <f>+Z130/'Fisico ASIG'!N130/24</f>
        <v>61.559815584924984</v>
      </c>
      <c r="AB130" s="26">
        <f t="shared" si="103"/>
        <v>15.806111696522654</v>
      </c>
      <c r="AC130" s="29">
        <f t="shared" ref="AC130:AC146" si="122">+AA130-AB130</f>
        <v>45.753703888402327</v>
      </c>
      <c r="AI130" s="1">
        <v>7241</v>
      </c>
      <c r="AJ130" s="1">
        <v>5762594</v>
      </c>
      <c r="AK130">
        <f t="shared" si="73"/>
        <v>1.44</v>
      </c>
      <c r="AL130" s="40">
        <f t="shared" si="96"/>
        <v>9424.2166666666653</v>
      </c>
      <c r="AM130">
        <v>4100000</v>
      </c>
      <c r="AN130" s="17">
        <v>41.531194998858048</v>
      </c>
      <c r="AO130" s="64">
        <f t="shared" si="113"/>
        <v>2.3983556624229183</v>
      </c>
      <c r="AP130">
        <v>0</v>
      </c>
      <c r="AQ130" s="1">
        <v>0.85</v>
      </c>
    </row>
    <row r="131" spans="1:43" hidden="1" x14ac:dyDescent="0.3">
      <c r="A131" s="3">
        <f t="shared" si="94"/>
        <v>1447.6657</v>
      </c>
      <c r="B131" s="42">
        <v>1472.7349999999999</v>
      </c>
      <c r="C131" s="53">
        <f t="shared" si="116"/>
        <v>2026</v>
      </c>
      <c r="D131" s="52">
        <f>+'Fisico ASIG'!B131</f>
        <v>46023</v>
      </c>
      <c r="E131" s="1">
        <v>31</v>
      </c>
      <c r="F131" s="56" t="str">
        <f>+'Fisico ASIG'!D131</f>
        <v>jue</v>
      </c>
      <c r="G131" s="56">
        <f>+'Fisico ASIG'!E131</f>
        <v>46037</v>
      </c>
      <c r="H131" s="17">
        <v>28</v>
      </c>
      <c r="I131" s="17">
        <f t="shared" si="117"/>
        <v>5.0018453846077859</v>
      </c>
      <c r="J131" s="17">
        <f t="shared" si="118"/>
        <v>6.5099398753915807</v>
      </c>
      <c r="K131" s="83">
        <f t="shared" si="114"/>
        <v>7.5875000000000004</v>
      </c>
      <c r="L131" s="17">
        <v>27</v>
      </c>
      <c r="M131" s="17">
        <v>71.5</v>
      </c>
      <c r="N131" s="17">
        <f t="shared" si="95"/>
        <v>45.883039814905501</v>
      </c>
      <c r="O131" s="17">
        <v>119.86452376257148</v>
      </c>
      <c r="P131" s="18">
        <f>SUMPRODUCT(H131:O131,'Fisico ASIG'!F131:M131)*24</f>
        <v>10296194.811603054</v>
      </c>
      <c r="Q131" s="43">
        <v>0</v>
      </c>
      <c r="R131" s="43">
        <f t="shared" si="119"/>
        <v>5732.0798303088895</v>
      </c>
      <c r="S131" s="43">
        <f t="shared" si="120"/>
        <v>2832.1455706244888</v>
      </c>
      <c r="T131" s="43">
        <f t="shared" si="115"/>
        <v>1795.6376259798433</v>
      </c>
      <c r="U131" s="43">
        <v>18000</v>
      </c>
      <c r="V131" s="20">
        <v>0</v>
      </c>
      <c r="W131" s="20">
        <v>21900</v>
      </c>
      <c r="X131" s="20">
        <v>0</v>
      </c>
      <c r="Y131" s="18">
        <f>SUMPRODUCT(Q131:X131,'Fisico ASIG'!O131:V131)/E131</f>
        <v>5655472.1154063819</v>
      </c>
      <c r="Z131" s="25">
        <f t="shared" si="121"/>
        <v>15951666.927009437</v>
      </c>
      <c r="AA131" s="26">
        <f>+Z131/'Fisico ASIG'!N131/24</f>
        <v>63.711514026662236</v>
      </c>
      <c r="AB131" s="26">
        <f t="shared" si="103"/>
        <v>15.806111696522654</v>
      </c>
      <c r="AC131" s="29">
        <f t="shared" si="122"/>
        <v>47.90540233013958</v>
      </c>
      <c r="AI131" s="1">
        <v>7241</v>
      </c>
      <c r="AJ131" s="1">
        <v>5762594</v>
      </c>
      <c r="AK131">
        <f t="shared" si="73"/>
        <v>1.44</v>
      </c>
      <c r="AL131" s="40">
        <f t="shared" si="96"/>
        <v>9424.2166666666653</v>
      </c>
      <c r="AM131">
        <v>4100000</v>
      </c>
      <c r="AN131" s="17">
        <v>42.564908491714753</v>
      </c>
      <c r="AO131" s="64">
        <f t="shared" si="113"/>
        <v>2.4681313231907458</v>
      </c>
      <c r="AP131">
        <v>0</v>
      </c>
      <c r="AQ131" s="1">
        <v>0.85</v>
      </c>
    </row>
    <row r="132" spans="1:43" hidden="1" x14ac:dyDescent="0.3">
      <c r="A132" s="3">
        <f t="shared" si="94"/>
        <v>1447.6657</v>
      </c>
      <c r="B132" s="42">
        <v>1472.7349999999999</v>
      </c>
      <c r="C132" s="53">
        <f t="shared" si="116"/>
        <v>2026</v>
      </c>
      <c r="D132" s="52">
        <f>+'Fisico ASIG'!B132</f>
        <v>46023</v>
      </c>
      <c r="E132" s="1">
        <v>31</v>
      </c>
      <c r="F132" s="56" t="str">
        <f>+'Fisico ASIG'!D132</f>
        <v>vie</v>
      </c>
      <c r="G132" s="56">
        <f>+'Fisico ASIG'!E132</f>
        <v>46038</v>
      </c>
      <c r="H132" s="17">
        <v>28</v>
      </c>
      <c r="I132" s="17">
        <f t="shared" si="117"/>
        <v>5.0018453846077859</v>
      </c>
      <c r="J132" s="17">
        <f t="shared" si="118"/>
        <v>6.5099398753915807</v>
      </c>
      <c r="K132" s="83">
        <f t="shared" si="114"/>
        <v>7.5875000000000004</v>
      </c>
      <c r="L132" s="17">
        <v>27</v>
      </c>
      <c r="M132" s="17">
        <v>71.5</v>
      </c>
      <c r="N132" s="17">
        <f t="shared" si="95"/>
        <v>47.039555907866131</v>
      </c>
      <c r="O132" s="17">
        <v>119.8992550983026</v>
      </c>
      <c r="P132" s="18">
        <f>SUMPRODUCT(H132:O132,'Fisico ASIG'!F132:M132)*24</f>
        <v>9398492.1708499342</v>
      </c>
      <c r="Q132" s="43">
        <v>0</v>
      </c>
      <c r="R132" s="43">
        <f t="shared" si="119"/>
        <v>5732.0798303088895</v>
      </c>
      <c r="S132" s="43">
        <f t="shared" si="120"/>
        <v>2832.1455706244888</v>
      </c>
      <c r="T132" s="43">
        <f t="shared" si="115"/>
        <v>1795.6376259798433</v>
      </c>
      <c r="U132" s="43">
        <v>18000</v>
      </c>
      <c r="V132" s="20">
        <v>0</v>
      </c>
      <c r="W132" s="20">
        <v>21900</v>
      </c>
      <c r="X132" s="20">
        <v>0</v>
      </c>
      <c r="Y132" s="18">
        <f>SUMPRODUCT(Q132:X132,'Fisico ASIG'!O132:V132)/E132</f>
        <v>5304539.0573211061</v>
      </c>
      <c r="Z132" s="25">
        <f t="shared" si="121"/>
        <v>14703031.228171039</v>
      </c>
      <c r="AA132" s="26">
        <f>+Z132/'Fisico ASIG'!N132/24</f>
        <v>66.983770333527559</v>
      </c>
      <c r="AB132" s="26">
        <f t="shared" si="103"/>
        <v>15.806111696522654</v>
      </c>
      <c r="AC132" s="29">
        <f t="shared" si="122"/>
        <v>51.177658637004903</v>
      </c>
      <c r="AI132" s="1">
        <v>7241</v>
      </c>
      <c r="AJ132" s="1">
        <v>5762594</v>
      </c>
      <c r="AK132">
        <f t="shared" si="73"/>
        <v>1.44</v>
      </c>
      <c r="AL132" s="40">
        <f t="shared" si="96"/>
        <v>9424.2166666666653</v>
      </c>
      <c r="AM132">
        <v>4100000</v>
      </c>
      <c r="AN132" s="17">
        <v>43.648295932427288</v>
      </c>
      <c r="AO132" s="64">
        <f t="shared" si="113"/>
        <v>2.5412599754388423</v>
      </c>
      <c r="AP132">
        <v>0</v>
      </c>
      <c r="AQ132" s="1">
        <v>0.85</v>
      </c>
    </row>
    <row r="133" spans="1:43" hidden="1" x14ac:dyDescent="0.3">
      <c r="A133" s="3">
        <f t="shared" si="94"/>
        <v>1447.6657</v>
      </c>
      <c r="B133" s="42">
        <v>1472.7349999999999</v>
      </c>
      <c r="C133" s="53">
        <f t="shared" si="116"/>
        <v>2026</v>
      </c>
      <c r="D133" s="52">
        <f>+'Fisico ASIG'!B133</f>
        <v>46023</v>
      </c>
      <c r="E133" s="1">
        <v>31</v>
      </c>
      <c r="F133" s="56" t="str">
        <f>+'Fisico ASIG'!D133</f>
        <v>sáb</v>
      </c>
      <c r="G133" s="56">
        <f>+'Fisico ASIG'!E133</f>
        <v>46039</v>
      </c>
      <c r="H133" s="17">
        <v>28</v>
      </c>
      <c r="I133" s="17">
        <f t="shared" si="117"/>
        <v>5.0018453846077859</v>
      </c>
      <c r="J133" s="17">
        <f t="shared" si="118"/>
        <v>6.5099398753915807</v>
      </c>
      <c r="K133" s="83">
        <f t="shared" si="114"/>
        <v>7.5875000000000004</v>
      </c>
      <c r="L133" s="17">
        <v>27</v>
      </c>
      <c r="M133" s="17">
        <v>71.5</v>
      </c>
      <c r="N133" s="17">
        <f t="shared" si="95"/>
        <v>42.698781455637416</v>
      </c>
      <c r="O133" s="17">
        <v>119.86485924879256</v>
      </c>
      <c r="P133" s="18">
        <f>SUMPRODUCT(H133:O133,'Fisico ASIG'!F133:M133)*24</f>
        <v>8695143.6131366007</v>
      </c>
      <c r="Q133" s="43">
        <v>0</v>
      </c>
      <c r="R133" s="43">
        <f t="shared" si="119"/>
        <v>5732.0798303088895</v>
      </c>
      <c r="S133" s="43">
        <f t="shared" si="120"/>
        <v>2832.1455706244888</v>
      </c>
      <c r="T133" s="43">
        <f t="shared" si="115"/>
        <v>1795.6376259798433</v>
      </c>
      <c r="U133" s="43">
        <v>18000</v>
      </c>
      <c r="V133" s="20">
        <v>0</v>
      </c>
      <c r="W133" s="20">
        <v>21900</v>
      </c>
      <c r="X133" s="20">
        <v>0</v>
      </c>
      <c r="Y133" s="18">
        <f>SUMPRODUCT(Q133:X133,'Fisico ASIG'!O133:V133)/E133</f>
        <v>5188722.0841813507</v>
      </c>
      <c r="Z133" s="25">
        <f t="shared" si="121"/>
        <v>13883865.69731795</v>
      </c>
      <c r="AA133" s="26">
        <f>+Z133/'Fisico ASIG'!N133/24</f>
        <v>64.92626574111604</v>
      </c>
      <c r="AB133" s="26">
        <f t="shared" si="103"/>
        <v>15.806111696522654</v>
      </c>
      <c r="AC133" s="29">
        <f t="shared" si="122"/>
        <v>49.120154044593384</v>
      </c>
      <c r="AI133" s="1">
        <v>7241</v>
      </c>
      <c r="AJ133" s="1">
        <v>5762594</v>
      </c>
      <c r="AK133">
        <f t="shared" si="73"/>
        <v>1.44</v>
      </c>
      <c r="AL133" s="40">
        <f t="shared" si="96"/>
        <v>9424.2166666666653</v>
      </c>
      <c r="AM133">
        <v>4100000</v>
      </c>
      <c r="AN133" s="17">
        <v>39.58199667975402</v>
      </c>
      <c r="AO133" s="64">
        <f t="shared" si="113"/>
        <v>2.2667847758833966</v>
      </c>
      <c r="AP133">
        <v>0</v>
      </c>
      <c r="AQ133" s="1">
        <v>0.85</v>
      </c>
    </row>
    <row r="134" spans="1:43" hidden="1" x14ac:dyDescent="0.3">
      <c r="A134" s="3">
        <f t="shared" si="94"/>
        <v>1447.6657</v>
      </c>
      <c r="B134" s="42">
        <v>1472.7349999999999</v>
      </c>
      <c r="C134" s="53">
        <f t="shared" si="116"/>
        <v>2026</v>
      </c>
      <c r="D134" s="52">
        <f>+'Fisico ASIG'!B134</f>
        <v>46023</v>
      </c>
      <c r="E134" s="1">
        <v>31</v>
      </c>
      <c r="F134" s="56" t="str">
        <f>+'Fisico ASIG'!D134</f>
        <v>dom</v>
      </c>
      <c r="G134" s="56">
        <f>+'Fisico ASIG'!E134</f>
        <v>46040</v>
      </c>
      <c r="H134" s="17">
        <v>28</v>
      </c>
      <c r="I134" s="17">
        <f t="shared" si="117"/>
        <v>5.0018453846077859</v>
      </c>
      <c r="J134" s="17">
        <f t="shared" si="118"/>
        <v>6.5099398753915807</v>
      </c>
      <c r="K134" s="83">
        <f t="shared" si="114"/>
        <v>7.5875000000000004</v>
      </c>
      <c r="L134" s="17">
        <v>27</v>
      </c>
      <c r="M134" s="17">
        <v>71.5</v>
      </c>
      <c r="N134" s="17">
        <f t="shared" si="95"/>
        <v>40.793930892303081</v>
      </c>
      <c r="O134" s="17">
        <v>30.579941758488669</v>
      </c>
      <c r="P134" s="18">
        <f>SUMPRODUCT(H134:O134,'Fisico ASIG'!F134:M134)*24</f>
        <v>6715585.8143576216</v>
      </c>
      <c r="Q134" s="43">
        <v>0</v>
      </c>
      <c r="R134" s="43">
        <f t="shared" si="119"/>
        <v>5732.0798303088895</v>
      </c>
      <c r="S134" s="43">
        <f t="shared" si="120"/>
        <v>2832.1455706244888</v>
      </c>
      <c r="T134" s="43">
        <f t="shared" si="115"/>
        <v>1795.6376259798433</v>
      </c>
      <c r="U134" s="43">
        <v>18000</v>
      </c>
      <c r="V134" s="20">
        <v>0</v>
      </c>
      <c r="W134" s="20">
        <v>21900</v>
      </c>
      <c r="X134" s="20">
        <v>0</v>
      </c>
      <c r="Y134" s="18">
        <f>SUMPRODUCT(Q134:X134,'Fisico ASIG'!O134:V134)/E134</f>
        <v>5348791.7547784215</v>
      </c>
      <c r="Z134" s="25">
        <f t="shared" si="121"/>
        <v>12064377.569136042</v>
      </c>
      <c r="AA134" s="26">
        <f>+Z134/'Fisico ASIG'!N134/24</f>
        <v>69.563969015992626</v>
      </c>
      <c r="AB134" s="26">
        <f t="shared" si="103"/>
        <v>15.806111696522654</v>
      </c>
      <c r="AC134" s="29">
        <f t="shared" si="122"/>
        <v>53.75785731946997</v>
      </c>
      <c r="AI134" s="1">
        <v>7241</v>
      </c>
      <c r="AJ134" s="1">
        <v>5762594</v>
      </c>
      <c r="AK134">
        <f t="shared" si="73"/>
        <v>1.44</v>
      </c>
      <c r="AL134" s="40">
        <f t="shared" si="96"/>
        <v>9424.2166666666653</v>
      </c>
      <c r="AM134">
        <v>4100000</v>
      </c>
      <c r="AN134" s="17">
        <v>37.797593341735904</v>
      </c>
      <c r="AO134" s="64">
        <f t="shared" si="113"/>
        <v>2.1463375505671736</v>
      </c>
      <c r="AP134">
        <v>0</v>
      </c>
      <c r="AQ134" s="1">
        <v>0.85</v>
      </c>
    </row>
    <row r="135" spans="1:43" hidden="1" x14ac:dyDescent="0.3">
      <c r="A135" s="3">
        <f t="shared" si="94"/>
        <v>1447.6657</v>
      </c>
      <c r="B135" s="42">
        <v>1472.7349999999999</v>
      </c>
      <c r="C135" s="53">
        <f t="shared" si="116"/>
        <v>2026</v>
      </c>
      <c r="D135" s="52">
        <f>+'Fisico ASIG'!B135</f>
        <v>46023</v>
      </c>
      <c r="E135" s="1">
        <v>31</v>
      </c>
      <c r="F135" s="56" t="str">
        <f>+'Fisico ASIG'!D135</f>
        <v>lun</v>
      </c>
      <c r="G135" s="56">
        <f>+'Fisico ASIG'!E135</f>
        <v>46041</v>
      </c>
      <c r="H135" s="17">
        <v>28</v>
      </c>
      <c r="I135" s="17">
        <f t="shared" si="117"/>
        <v>5.0018453846077859</v>
      </c>
      <c r="J135" s="17">
        <f t="shared" si="118"/>
        <v>6.5099398753915807</v>
      </c>
      <c r="K135" s="83">
        <f t="shared" si="114"/>
        <v>7.5875000000000004</v>
      </c>
      <c r="L135" s="17">
        <v>27</v>
      </c>
      <c r="M135" s="17">
        <v>71.5</v>
      </c>
      <c r="N135" s="17">
        <f t="shared" si="95"/>
        <v>39.732725355072795</v>
      </c>
      <c r="O135" s="17">
        <v>112.63787806826574</v>
      </c>
      <c r="P135" s="18">
        <f>SUMPRODUCT(H135:O135,'Fisico ASIG'!F135:M135)*24</f>
        <v>7529919.4182101544</v>
      </c>
      <c r="Q135" s="43">
        <v>0</v>
      </c>
      <c r="R135" s="43">
        <f t="shared" si="119"/>
        <v>5732.0798303088895</v>
      </c>
      <c r="S135" s="43">
        <f t="shared" si="120"/>
        <v>2832.1455706244888</v>
      </c>
      <c r="T135" s="43">
        <f t="shared" si="115"/>
        <v>1795.6376259798433</v>
      </c>
      <c r="U135" s="43">
        <v>18000</v>
      </c>
      <c r="V135" s="20">
        <v>0</v>
      </c>
      <c r="W135" s="20">
        <v>21900</v>
      </c>
      <c r="X135" s="20">
        <v>0</v>
      </c>
      <c r="Y135" s="18">
        <f>SUMPRODUCT(Q135:X135,'Fisico ASIG'!O135:V135)/E135</f>
        <v>5562953.6266941903</v>
      </c>
      <c r="Z135" s="25">
        <f t="shared" si="121"/>
        <v>13092873.044904344</v>
      </c>
      <c r="AA135" s="26">
        <f>+Z135/'Fisico ASIG'!N135/24</f>
        <v>71.846354978032792</v>
      </c>
      <c r="AB135" s="26">
        <f t="shared" si="103"/>
        <v>15.806111696522654</v>
      </c>
      <c r="AC135" s="29">
        <f t="shared" si="122"/>
        <v>56.040243281510136</v>
      </c>
      <c r="AI135" s="1">
        <v>7241</v>
      </c>
      <c r="AJ135" s="1">
        <v>5762594</v>
      </c>
      <c r="AK135">
        <f t="shared" si="73"/>
        <v>1.44</v>
      </c>
      <c r="AL135" s="40">
        <f t="shared" si="96"/>
        <v>9424.2166666666653</v>
      </c>
      <c r="AM135">
        <v>4100000</v>
      </c>
      <c r="AN135" s="17">
        <v>36.803489793979196</v>
      </c>
      <c r="AO135" s="64">
        <f t="shared" si="113"/>
        <v>2.0792355610935958</v>
      </c>
      <c r="AP135">
        <v>0</v>
      </c>
      <c r="AQ135" s="1">
        <v>0.85</v>
      </c>
    </row>
    <row r="136" spans="1:43" hidden="1" x14ac:dyDescent="0.3">
      <c r="A136" s="3">
        <f t="shared" si="94"/>
        <v>1447.6657</v>
      </c>
      <c r="B136" s="42">
        <v>1472.7349999999999</v>
      </c>
      <c r="C136" s="53">
        <f t="shared" si="116"/>
        <v>2026</v>
      </c>
      <c r="D136" s="52">
        <f>+'Fisico ASIG'!B136</f>
        <v>46023</v>
      </c>
      <c r="E136" s="1">
        <v>31</v>
      </c>
      <c r="F136" s="56" t="str">
        <f>+'Fisico ASIG'!D136</f>
        <v>mar</v>
      </c>
      <c r="G136" s="56">
        <f>+'Fisico ASIG'!E136</f>
        <v>46042</v>
      </c>
      <c r="H136" s="17">
        <v>28</v>
      </c>
      <c r="I136" s="17">
        <f t="shared" si="117"/>
        <v>5.0018453846077859</v>
      </c>
      <c r="J136" s="17">
        <f t="shared" si="118"/>
        <v>6.5099398753915807</v>
      </c>
      <c r="K136" s="83">
        <f t="shared" si="114"/>
        <v>7.5875000000000004</v>
      </c>
      <c r="L136" s="17">
        <v>27</v>
      </c>
      <c r="M136" s="17">
        <v>71.5</v>
      </c>
      <c r="N136" s="17">
        <f t="shared" si="95"/>
        <v>40.357673123232196</v>
      </c>
      <c r="O136" s="17">
        <v>119.86127717481057</v>
      </c>
      <c r="P136" s="18">
        <f>SUMPRODUCT(H136:O136,'Fisico ASIG'!F136:M136)*24</f>
        <v>7586444.5711891185</v>
      </c>
      <c r="Q136" s="43">
        <v>0</v>
      </c>
      <c r="R136" s="43">
        <f t="shared" si="119"/>
        <v>5732.0798303088895</v>
      </c>
      <c r="S136" s="43">
        <f t="shared" si="120"/>
        <v>2832.1455706244888</v>
      </c>
      <c r="T136" s="43">
        <f t="shared" si="115"/>
        <v>1795.6376259798433</v>
      </c>
      <c r="U136" s="43">
        <v>18000</v>
      </c>
      <c r="V136" s="20">
        <v>0</v>
      </c>
      <c r="W136" s="20">
        <v>21900</v>
      </c>
      <c r="X136" s="20">
        <v>0</v>
      </c>
      <c r="Y136" s="18">
        <f>SUMPRODUCT(Q136:X136,'Fisico ASIG'!O136:V136)/E136</f>
        <v>5771203.0882088868</v>
      </c>
      <c r="Z136" s="25">
        <f t="shared" si="121"/>
        <v>13357647.659398004</v>
      </c>
      <c r="AA136" s="26">
        <f>+Z136/'Fisico ASIG'!N136/24</f>
        <v>70.539762864367589</v>
      </c>
      <c r="AB136" s="26">
        <f t="shared" si="103"/>
        <v>15.806111696522654</v>
      </c>
      <c r="AC136" s="29">
        <f t="shared" si="122"/>
        <v>54.733651167844933</v>
      </c>
      <c r="AI136" s="1">
        <v>7241</v>
      </c>
      <c r="AJ136" s="1">
        <v>5762594</v>
      </c>
      <c r="AK136">
        <f t="shared" si="73"/>
        <v>1.44</v>
      </c>
      <c r="AL136" s="40">
        <f t="shared" si="96"/>
        <v>9424.2166666666653</v>
      </c>
      <c r="AM136">
        <v>4100000</v>
      </c>
      <c r="AN136" s="17">
        <v>37.38892095853133</v>
      </c>
      <c r="AO136" s="64">
        <f t="shared" ref="AO136:AO141" si="123">0.075*0.9*(AN136-6)</f>
        <v>2.1187521647008647</v>
      </c>
      <c r="AP136">
        <v>0</v>
      </c>
      <c r="AQ136" s="1">
        <v>0.85</v>
      </c>
    </row>
    <row r="137" spans="1:43" hidden="1" x14ac:dyDescent="0.3">
      <c r="A137" s="3">
        <f t="shared" si="94"/>
        <v>1447.6657</v>
      </c>
      <c r="B137" s="42">
        <v>1472.7349999999999</v>
      </c>
      <c r="C137" s="53">
        <f t="shared" ref="C137:C141" si="124">YEAR(G137)</f>
        <v>2026</v>
      </c>
      <c r="D137" s="52">
        <f>+'Fisico ASIG'!B137</f>
        <v>46023</v>
      </c>
      <c r="E137" s="1">
        <v>31</v>
      </c>
      <c r="F137" s="56" t="str">
        <f>+'Fisico ASIG'!D137</f>
        <v>mié</v>
      </c>
      <c r="G137" s="56">
        <f>+'Fisico ASIG'!E137</f>
        <v>46043</v>
      </c>
      <c r="H137" s="17">
        <v>28</v>
      </c>
      <c r="I137" s="17">
        <f t="shared" ref="I137:I141" si="125">AI137/A137</f>
        <v>5.0018453846077859</v>
      </c>
      <c r="J137" s="17">
        <f t="shared" ref="J137:J141" si="126">+AL137/A137</f>
        <v>6.5099398753915807</v>
      </c>
      <c r="K137" s="83">
        <f t="shared" si="114"/>
        <v>7.5875000000000004</v>
      </c>
      <c r="L137" s="17">
        <v>27</v>
      </c>
      <c r="M137" s="17">
        <v>71.5</v>
      </c>
      <c r="N137" s="17">
        <f t="shared" si="95"/>
        <v>39.588354367187151</v>
      </c>
      <c r="O137" s="17">
        <v>119.86583440040926</v>
      </c>
      <c r="P137" s="18">
        <f>SUMPRODUCT(H137:O137,'Fisico ASIG'!F137:M137)*24</f>
        <v>8456594.7676878627</v>
      </c>
      <c r="Q137" s="43">
        <v>0</v>
      </c>
      <c r="R137" s="43">
        <f t="shared" ref="R137:R141" si="127">+AJ137*AK137/A137</f>
        <v>5732.0798303088895</v>
      </c>
      <c r="S137" s="43">
        <f t="shared" ref="S137:S141" si="128">+AM137/A137</f>
        <v>2832.1455706244888</v>
      </c>
      <c r="T137" s="43">
        <f t="shared" si="115"/>
        <v>1795.6376259798433</v>
      </c>
      <c r="U137" s="43">
        <v>18000</v>
      </c>
      <c r="V137" s="20">
        <v>0</v>
      </c>
      <c r="W137" s="20">
        <v>21900</v>
      </c>
      <c r="X137" s="20">
        <v>0</v>
      </c>
      <c r="Y137" s="18">
        <f>SUMPRODUCT(Q137:X137,'Fisico ASIG'!O137:V137)/E137</f>
        <v>5764764.2917356985</v>
      </c>
      <c r="Z137" s="25">
        <f t="shared" si="121"/>
        <v>14221359.059423562</v>
      </c>
      <c r="AA137" s="26">
        <f>+Z137/'Fisico ASIG'!N137/24</f>
        <v>71.38828417386577</v>
      </c>
      <c r="AB137" s="26">
        <f t="shared" si="103"/>
        <v>15.806111696522654</v>
      </c>
      <c r="AC137" s="29">
        <f t="shared" si="122"/>
        <v>55.582172477343114</v>
      </c>
      <c r="AI137" s="1">
        <v>7241</v>
      </c>
      <c r="AJ137" s="1">
        <v>5762594</v>
      </c>
      <c r="AK137">
        <f t="shared" si="73"/>
        <v>1.44</v>
      </c>
      <c r="AL137" s="40">
        <f t="shared" si="96"/>
        <v>9424.2166666666653</v>
      </c>
      <c r="AM137">
        <v>4100000</v>
      </c>
      <c r="AN137" s="17">
        <v>36.668247650760797</v>
      </c>
      <c r="AO137" s="64">
        <f t="shared" si="123"/>
        <v>2.0701067164263538</v>
      </c>
      <c r="AP137">
        <v>0</v>
      </c>
      <c r="AQ137" s="1">
        <v>0.85</v>
      </c>
    </row>
    <row r="138" spans="1:43" hidden="1" x14ac:dyDescent="0.3">
      <c r="A138" s="3">
        <f t="shared" si="94"/>
        <v>1447.6657</v>
      </c>
      <c r="B138" s="42">
        <v>1472.7349999999999</v>
      </c>
      <c r="C138" s="53">
        <f t="shared" si="124"/>
        <v>2026</v>
      </c>
      <c r="D138" s="52">
        <f>+'Fisico ASIG'!B138</f>
        <v>46023</v>
      </c>
      <c r="E138" s="1">
        <v>31</v>
      </c>
      <c r="F138" s="56" t="str">
        <f>+'Fisico ASIG'!D138</f>
        <v>jue</v>
      </c>
      <c r="G138" s="56">
        <f>+'Fisico ASIG'!E138</f>
        <v>46044</v>
      </c>
      <c r="H138" s="17">
        <v>28</v>
      </c>
      <c r="I138" s="17">
        <f t="shared" si="125"/>
        <v>5.0018453846077859</v>
      </c>
      <c r="J138" s="17">
        <f t="shared" si="126"/>
        <v>6.5099398753915807</v>
      </c>
      <c r="K138" s="83">
        <f t="shared" si="114"/>
        <v>7.5875000000000004</v>
      </c>
      <c r="L138" s="17">
        <v>27</v>
      </c>
      <c r="M138" s="17">
        <v>71.5</v>
      </c>
      <c r="N138" s="17">
        <f t="shared" si="95"/>
        <v>40.553213409702771</v>
      </c>
      <c r="O138" s="17">
        <v>53.116583334861161</v>
      </c>
      <c r="P138" s="18">
        <f>SUMPRODUCT(H138:O138,'Fisico ASIG'!F138:M138)*24</f>
        <v>7988403.3151555862</v>
      </c>
      <c r="Q138" s="43">
        <v>0</v>
      </c>
      <c r="R138" s="43">
        <f t="shared" si="127"/>
        <v>5732.0798303088895</v>
      </c>
      <c r="S138" s="43">
        <f t="shared" si="128"/>
        <v>2832.1455706244888</v>
      </c>
      <c r="T138" s="43">
        <f t="shared" si="115"/>
        <v>1795.6376259798433</v>
      </c>
      <c r="U138" s="43">
        <v>18000</v>
      </c>
      <c r="V138" s="20">
        <v>0</v>
      </c>
      <c r="W138" s="20">
        <v>21900</v>
      </c>
      <c r="X138" s="20">
        <v>0</v>
      </c>
      <c r="Y138" s="18">
        <f>SUMPRODUCT(Q138:X138,'Fisico ASIG'!O138:V138)/E138</f>
        <v>5776429.9898389559</v>
      </c>
      <c r="Z138" s="25">
        <f t="shared" si="121"/>
        <v>13764833.304994542</v>
      </c>
      <c r="AA138" s="26">
        <f>+Z138/'Fisico ASIG'!N138/24</f>
        <v>67.604437362036762</v>
      </c>
      <c r="AB138" s="26">
        <f t="shared" si="103"/>
        <v>15.806111696522654</v>
      </c>
      <c r="AC138" s="29">
        <f t="shared" si="122"/>
        <v>51.798325665514106</v>
      </c>
      <c r="AI138" s="1">
        <v>7241</v>
      </c>
      <c r="AJ138" s="1">
        <v>5762594</v>
      </c>
      <c r="AK138">
        <f t="shared" si="73"/>
        <v>1.44</v>
      </c>
      <c r="AL138" s="40">
        <f t="shared" si="96"/>
        <v>9424.2166666666653</v>
      </c>
      <c r="AM138">
        <v>4100000</v>
      </c>
      <c r="AN138" s="17">
        <v>37.572096870915942</v>
      </c>
      <c r="AO138" s="64">
        <f t="shared" si="123"/>
        <v>2.1311165387868263</v>
      </c>
      <c r="AP138">
        <v>0</v>
      </c>
      <c r="AQ138" s="1">
        <v>0.85</v>
      </c>
    </row>
    <row r="139" spans="1:43" hidden="1" x14ac:dyDescent="0.3">
      <c r="A139" s="3">
        <f t="shared" si="94"/>
        <v>1447.6657</v>
      </c>
      <c r="B139" s="42">
        <v>1472.7349999999999</v>
      </c>
      <c r="C139" s="53">
        <f t="shared" si="124"/>
        <v>2026</v>
      </c>
      <c r="D139" s="52">
        <f>+'Fisico ASIG'!B139</f>
        <v>46023</v>
      </c>
      <c r="E139" s="1">
        <v>31</v>
      </c>
      <c r="F139" s="56" t="str">
        <f>+'Fisico ASIG'!D139</f>
        <v>vie</v>
      </c>
      <c r="G139" s="56">
        <f>+'Fisico ASIG'!E139</f>
        <v>46045</v>
      </c>
      <c r="H139" s="17">
        <v>28</v>
      </c>
      <c r="I139" s="17">
        <f t="shared" si="125"/>
        <v>5.0018453846077859</v>
      </c>
      <c r="J139" s="17">
        <f t="shared" si="126"/>
        <v>6.5099398753915807</v>
      </c>
      <c r="K139" s="83">
        <f t="shared" si="114"/>
        <v>7.5875000000000004</v>
      </c>
      <c r="L139" s="17">
        <v>27</v>
      </c>
      <c r="M139" s="17">
        <v>71.5</v>
      </c>
      <c r="N139" s="17">
        <f t="shared" si="95"/>
        <v>40.714114979261261</v>
      </c>
      <c r="O139" s="17">
        <v>85.224488404669955</v>
      </c>
      <c r="P139" s="18">
        <f>SUMPRODUCT(H139:O139,'Fisico ASIG'!F139:M139)*24</f>
        <v>7625666.5711624017</v>
      </c>
      <c r="Q139" s="43">
        <v>0</v>
      </c>
      <c r="R139" s="43">
        <f t="shared" si="127"/>
        <v>5732.0798303088895</v>
      </c>
      <c r="S139" s="43">
        <f t="shared" si="128"/>
        <v>2832.1455706244888</v>
      </c>
      <c r="T139" s="43">
        <f t="shared" si="115"/>
        <v>1795.6376259798433</v>
      </c>
      <c r="U139" s="43">
        <v>18000</v>
      </c>
      <c r="V139" s="20">
        <v>0</v>
      </c>
      <c r="W139" s="20">
        <v>21900</v>
      </c>
      <c r="X139" s="20">
        <v>0</v>
      </c>
      <c r="Y139" s="18">
        <f>SUMPRODUCT(Q139:X139,'Fisico ASIG'!O139:V139)/E139</f>
        <v>5785089.1033980958</v>
      </c>
      <c r="Z139" s="25">
        <f t="shared" si="121"/>
        <v>13410755.674560498</v>
      </c>
      <c r="AA139" s="26">
        <f>+Z139/'Fisico ASIG'!N139/24</f>
        <v>60.939856299349167</v>
      </c>
      <c r="AB139" s="26">
        <f t="shared" si="103"/>
        <v>15.806111696522654</v>
      </c>
      <c r="AC139" s="29">
        <f t="shared" si="122"/>
        <v>45.133744602826511</v>
      </c>
      <c r="AI139" s="1">
        <v>7241</v>
      </c>
      <c r="AJ139" s="1">
        <v>5762594</v>
      </c>
      <c r="AK139">
        <f t="shared" si="73"/>
        <v>1.44</v>
      </c>
      <c r="AL139" s="40">
        <f t="shared" si="96"/>
        <v>9424.2166666666653</v>
      </c>
      <c r="AM139">
        <v>4100000</v>
      </c>
      <c r="AN139" s="17">
        <v>37.722824336544505</v>
      </c>
      <c r="AO139" s="64">
        <f t="shared" si="123"/>
        <v>2.1412906427167542</v>
      </c>
      <c r="AP139">
        <v>0</v>
      </c>
      <c r="AQ139" s="1">
        <v>0.85</v>
      </c>
    </row>
    <row r="140" spans="1:43" hidden="1" x14ac:dyDescent="0.3">
      <c r="A140" s="3">
        <f t="shared" si="94"/>
        <v>1447.6657</v>
      </c>
      <c r="B140" s="42">
        <v>1472.7349999999999</v>
      </c>
      <c r="C140" s="53">
        <f t="shared" si="124"/>
        <v>2026</v>
      </c>
      <c r="D140" s="52">
        <f>+'Fisico ASIG'!B140</f>
        <v>46023</v>
      </c>
      <c r="E140" s="1">
        <v>31</v>
      </c>
      <c r="F140" s="56" t="str">
        <f>+'Fisico ASIG'!D140</f>
        <v>sáb</v>
      </c>
      <c r="G140" s="56">
        <f>+'Fisico ASIG'!E140</f>
        <v>46046</v>
      </c>
      <c r="H140" s="17">
        <v>28</v>
      </c>
      <c r="I140" s="17">
        <f t="shared" si="125"/>
        <v>5.0018453846077859</v>
      </c>
      <c r="J140" s="17">
        <f t="shared" si="126"/>
        <v>6.5099398753915807</v>
      </c>
      <c r="K140" s="83">
        <f t="shared" si="114"/>
        <v>7.5875000000000004</v>
      </c>
      <c r="L140" s="17">
        <v>27</v>
      </c>
      <c r="M140" s="17">
        <v>71.5</v>
      </c>
      <c r="N140" s="17">
        <f t="shared" si="95"/>
        <v>40.065440470448245</v>
      </c>
      <c r="O140" s="17">
        <v>107.80293738766598</v>
      </c>
      <c r="P140" s="18">
        <f>SUMPRODUCT(H140:O140,'Fisico ASIG'!F140:M140)*24</f>
        <v>8160870.7337134499</v>
      </c>
      <c r="Q140" s="43">
        <v>0</v>
      </c>
      <c r="R140" s="43">
        <f t="shared" si="127"/>
        <v>5732.0798303088895</v>
      </c>
      <c r="S140" s="43">
        <f t="shared" si="128"/>
        <v>2832.1455706244888</v>
      </c>
      <c r="T140" s="43">
        <f t="shared" si="115"/>
        <v>1795.6376259798433</v>
      </c>
      <c r="U140" s="43">
        <v>18000</v>
      </c>
      <c r="V140" s="20">
        <v>0</v>
      </c>
      <c r="W140" s="20">
        <v>21900</v>
      </c>
      <c r="X140" s="20">
        <v>0</v>
      </c>
      <c r="Y140" s="18">
        <f>SUMPRODUCT(Q140:X140,'Fisico ASIG'!O140:V140)/E140</f>
        <v>5767458.1852288879</v>
      </c>
      <c r="Z140" s="25">
        <f t="shared" si="121"/>
        <v>13928328.918942338</v>
      </c>
      <c r="AA140" s="26">
        <f>+Z140/'Fisico ASIG'!N140/24</f>
        <v>66.575430187783439</v>
      </c>
      <c r="AB140" s="26">
        <f t="shared" si="103"/>
        <v>15.806111696522654</v>
      </c>
      <c r="AC140" s="29">
        <f t="shared" si="122"/>
        <v>50.769318491260783</v>
      </c>
      <c r="AI140" s="1">
        <v>7241</v>
      </c>
      <c r="AJ140" s="1">
        <v>5762594</v>
      </c>
      <c r="AK140">
        <f t="shared" si="73"/>
        <v>1.44</v>
      </c>
      <c r="AL140" s="40">
        <f t="shared" si="96"/>
        <v>9424.2166666666653</v>
      </c>
      <c r="AM140">
        <v>4100000</v>
      </c>
      <c r="AN140" s="17">
        <v>37.115166717047536</v>
      </c>
      <c r="AO140" s="64">
        <f t="shared" si="123"/>
        <v>2.100273753400709</v>
      </c>
      <c r="AP140">
        <v>0</v>
      </c>
      <c r="AQ140" s="1">
        <v>0.85</v>
      </c>
    </row>
    <row r="141" spans="1:43" hidden="1" x14ac:dyDescent="0.3">
      <c r="A141" s="3">
        <f t="shared" si="94"/>
        <v>1447.6657</v>
      </c>
      <c r="B141" s="42">
        <v>1472.7349999999999</v>
      </c>
      <c r="C141" s="53">
        <f t="shared" si="124"/>
        <v>2026</v>
      </c>
      <c r="D141" s="52">
        <f>+'Fisico ASIG'!B141</f>
        <v>46023</v>
      </c>
      <c r="E141" s="1">
        <v>31</v>
      </c>
      <c r="F141" s="56" t="str">
        <f>+'Fisico ASIG'!D141</f>
        <v>dom</v>
      </c>
      <c r="G141" s="56">
        <f>+'Fisico ASIG'!E141</f>
        <v>46047</v>
      </c>
      <c r="H141" s="17">
        <v>28</v>
      </c>
      <c r="I141" s="17">
        <f t="shared" si="125"/>
        <v>5.0018453846077859</v>
      </c>
      <c r="J141" s="17">
        <f t="shared" si="126"/>
        <v>6.5099398753915807</v>
      </c>
      <c r="K141" s="83">
        <f t="shared" si="114"/>
        <v>7.5875000000000004</v>
      </c>
      <c r="L141" s="17">
        <v>27</v>
      </c>
      <c r="M141" s="17">
        <v>71.5</v>
      </c>
      <c r="N141" s="17">
        <f t="shared" si="95"/>
        <v>40.228678285227183</v>
      </c>
      <c r="O141" s="17">
        <v>108.91276020519958</v>
      </c>
      <c r="P141" s="18">
        <f>SUMPRODUCT(H141:O141,'Fisico ASIG'!F141:M141)*24</f>
        <v>9187657.9083550088</v>
      </c>
      <c r="Q141" s="43">
        <v>0</v>
      </c>
      <c r="R141" s="43">
        <f t="shared" si="127"/>
        <v>5732.0798303088895</v>
      </c>
      <c r="S141" s="43">
        <f t="shared" si="128"/>
        <v>2832.1455706244888</v>
      </c>
      <c r="T141" s="43">
        <f t="shared" si="115"/>
        <v>1795.6376259798433</v>
      </c>
      <c r="U141" s="43">
        <v>18000</v>
      </c>
      <c r="V141" s="20">
        <v>0</v>
      </c>
      <c r="W141" s="20">
        <v>21900</v>
      </c>
      <c r="X141" s="20">
        <v>0</v>
      </c>
      <c r="Y141" s="18">
        <f>SUMPRODUCT(Q141:X141,'Fisico ASIG'!O141:V141)/E141</f>
        <v>5746712.6489056749</v>
      </c>
      <c r="Z141" s="25">
        <f t="shared" si="121"/>
        <v>14934370.557260685</v>
      </c>
      <c r="AA141" s="26">
        <f>+Z141/'Fisico ASIG'!N141/24</f>
        <v>71.325840679159697</v>
      </c>
      <c r="AB141" s="26">
        <f t="shared" si="103"/>
        <v>15.806111696522654</v>
      </c>
      <c r="AC141" s="29">
        <f t="shared" si="122"/>
        <v>55.519728982637041</v>
      </c>
      <c r="AI141" s="1">
        <v>7241</v>
      </c>
      <c r="AJ141" s="1">
        <v>5762594</v>
      </c>
      <c r="AK141">
        <f t="shared" si="73"/>
        <v>1.44</v>
      </c>
      <c r="AL141" s="40">
        <f t="shared" si="96"/>
        <v>9424.2166666666653</v>
      </c>
      <c r="AM141">
        <v>4100000</v>
      </c>
      <c r="AN141" s="17">
        <v>37.268082702788931</v>
      </c>
      <c r="AO141" s="64">
        <f t="shared" si="123"/>
        <v>2.1105955824382532</v>
      </c>
      <c r="AP141">
        <v>0</v>
      </c>
      <c r="AQ141" s="1">
        <v>0.85</v>
      </c>
    </row>
    <row r="142" spans="1:43" hidden="1" x14ac:dyDescent="0.3">
      <c r="A142" s="3">
        <f t="shared" si="94"/>
        <v>1447.6657</v>
      </c>
      <c r="B142" s="42">
        <v>1472.7349999999999</v>
      </c>
      <c r="C142" s="53">
        <f t="shared" ref="C142" si="129">YEAR(G142)</f>
        <v>2026</v>
      </c>
      <c r="D142" s="52">
        <f>+'Fisico ASIG'!B142</f>
        <v>46023</v>
      </c>
      <c r="E142" s="1">
        <v>31</v>
      </c>
      <c r="F142" s="56" t="str">
        <f>+'Fisico ASIG'!D142</f>
        <v>lun</v>
      </c>
      <c r="G142" s="56">
        <f>+'Fisico ASIG'!E142</f>
        <v>46048</v>
      </c>
      <c r="H142" s="17">
        <v>28</v>
      </c>
      <c r="I142" s="17">
        <f t="shared" ref="I142" si="130">AI142/A142</f>
        <v>5.0018453846077859</v>
      </c>
      <c r="J142" s="17">
        <f t="shared" ref="J142" si="131">+AL142/A142</f>
        <v>6.5099398753915807</v>
      </c>
      <c r="K142" s="83">
        <f t="shared" si="114"/>
        <v>7.5875000000000004</v>
      </c>
      <c r="L142" s="17">
        <v>27</v>
      </c>
      <c r="M142" s="17">
        <v>71.5</v>
      </c>
      <c r="N142" s="17">
        <f t="shared" si="95"/>
        <v>44.919754046657687</v>
      </c>
      <c r="O142" s="17">
        <v>107.94217613917417</v>
      </c>
      <c r="P142" s="18">
        <f>SUMPRODUCT(H142:O142,'Fisico ASIG'!F142:M142)*24</f>
        <v>10788686.099197242</v>
      </c>
      <c r="Q142" s="43">
        <v>0</v>
      </c>
      <c r="R142" s="43">
        <f t="shared" ref="R142" si="132">+AJ142*AK142/A142</f>
        <v>5732.0798303088895</v>
      </c>
      <c r="S142" s="43">
        <f t="shared" ref="S142" si="133">+AM142/A142</f>
        <v>2832.1455706244888</v>
      </c>
      <c r="T142" s="43">
        <f t="shared" si="115"/>
        <v>1795.6376259798433</v>
      </c>
      <c r="U142" s="43">
        <v>18000</v>
      </c>
      <c r="V142" s="20">
        <v>0</v>
      </c>
      <c r="W142" s="20">
        <v>21900</v>
      </c>
      <c r="X142" s="20">
        <v>0</v>
      </c>
      <c r="Y142" s="18">
        <f>SUMPRODUCT(Q142:X142,'Fisico ASIG'!O142:V142)/E142</f>
        <v>5710822.9775207248</v>
      </c>
      <c r="Z142" s="25">
        <f t="shared" si="121"/>
        <v>16499509.076717967</v>
      </c>
      <c r="AA142" s="26">
        <f>+Z142/'Fisico ASIG'!N142/24</f>
        <v>67.650612754443344</v>
      </c>
      <c r="AB142" s="26">
        <f t="shared" si="103"/>
        <v>15.806111696522654</v>
      </c>
      <c r="AC142" s="29">
        <f t="shared" si="122"/>
        <v>51.844501057920688</v>
      </c>
      <c r="AI142" s="1">
        <v>7241</v>
      </c>
      <c r="AJ142" s="1">
        <v>5762594</v>
      </c>
      <c r="AK142">
        <f t="shared" si="73"/>
        <v>1.44</v>
      </c>
      <c r="AL142" s="40">
        <f t="shared" si="96"/>
        <v>9424.2166666666653</v>
      </c>
      <c r="AM142">
        <v>4100000</v>
      </c>
      <c r="AN142" s="17">
        <v>41.662533064784718</v>
      </c>
      <c r="AO142" s="64">
        <f t="shared" ref="AO142" si="134">0.075*0.9*(AN142-6)</f>
        <v>2.4072209818729684</v>
      </c>
      <c r="AP142">
        <v>0</v>
      </c>
      <c r="AQ142" s="1">
        <v>0.85</v>
      </c>
    </row>
    <row r="143" spans="1:43" hidden="1" x14ac:dyDescent="0.3">
      <c r="A143" s="3">
        <f t="shared" si="94"/>
        <v>1447.6657</v>
      </c>
      <c r="B143" s="42">
        <v>1472.7349999999999</v>
      </c>
      <c r="C143" s="53">
        <f t="shared" ref="C143:C147" si="135">YEAR(G143)</f>
        <v>2026</v>
      </c>
      <c r="D143" s="52">
        <f>+'Fisico ASIG'!B143</f>
        <v>46023</v>
      </c>
      <c r="E143" s="1">
        <v>31</v>
      </c>
      <c r="F143" s="56" t="str">
        <f>+'Fisico ASIG'!D143</f>
        <v>mar</v>
      </c>
      <c r="G143" s="56">
        <f>+'Fisico ASIG'!E143</f>
        <v>46049</v>
      </c>
      <c r="H143" s="17">
        <v>28</v>
      </c>
      <c r="I143" s="17">
        <f t="shared" ref="I143:I146" si="136">AI143/A143</f>
        <v>5.0018453846077859</v>
      </c>
      <c r="J143" s="17">
        <f t="shared" ref="J143:J146" si="137">+AL143/A143</f>
        <v>6.5099398753915807</v>
      </c>
      <c r="K143" s="83">
        <f t="shared" si="114"/>
        <v>7.5875000000000004</v>
      </c>
      <c r="L143" s="17">
        <v>27</v>
      </c>
      <c r="M143" s="17">
        <v>71.5</v>
      </c>
      <c r="N143" s="17">
        <f t="shared" si="95"/>
        <v>44.619191165674842</v>
      </c>
      <c r="O143" s="17">
        <v>112.32934871192258</v>
      </c>
      <c r="P143" s="18">
        <f>SUMPRODUCT(H143:O143,'Fisico ASIG'!F143:M143)*24</f>
        <v>10688579.819439556</v>
      </c>
      <c r="Q143" s="43">
        <v>0</v>
      </c>
      <c r="R143" s="43">
        <f t="shared" ref="R143:R147" si="138">+AJ143*AK143/A143</f>
        <v>5732.0798303088895</v>
      </c>
      <c r="S143" s="43">
        <f t="shared" ref="S143:S147" si="139">+AM143/A143</f>
        <v>2832.1455706244888</v>
      </c>
      <c r="T143" s="43">
        <f t="shared" si="115"/>
        <v>1795.6376259798433</v>
      </c>
      <c r="U143" s="43">
        <v>18000</v>
      </c>
      <c r="V143" s="20">
        <v>0</v>
      </c>
      <c r="W143" s="20">
        <v>21900</v>
      </c>
      <c r="X143" s="20">
        <v>0</v>
      </c>
      <c r="Y143" s="18">
        <f>SUMPRODUCT(Q143:X143,'Fisico ASIG'!O143:V143)/E143</f>
        <v>5763952.4526425358</v>
      </c>
      <c r="Z143" s="25">
        <f t="shared" si="121"/>
        <v>16452532.272082092</v>
      </c>
      <c r="AA143" s="26">
        <f>+Z143/'Fisico ASIG'!N143/24</f>
        <v>67.696029795420074</v>
      </c>
      <c r="AB143" s="26">
        <f t="shared" si="103"/>
        <v>15.806111696522654</v>
      </c>
      <c r="AC143" s="29">
        <f t="shared" si="122"/>
        <v>51.889918098897418</v>
      </c>
      <c r="AI143" s="1">
        <v>7241</v>
      </c>
      <c r="AJ143" s="1">
        <v>5762594</v>
      </c>
      <c r="AK143">
        <f t="shared" si="73"/>
        <v>1.44</v>
      </c>
      <c r="AL143" s="40">
        <f t="shared" si="96"/>
        <v>9424.2166666666653</v>
      </c>
      <c r="AM143">
        <v>4100000</v>
      </c>
      <c r="AN143" s="17">
        <v>41.380975330842944</v>
      </c>
      <c r="AO143" s="64">
        <f t="shared" ref="AO143:AO146" si="140">0.075*0.9*(AN143-6)</f>
        <v>2.3882158348318989</v>
      </c>
      <c r="AP143">
        <v>0</v>
      </c>
      <c r="AQ143" s="1">
        <v>0.85</v>
      </c>
    </row>
    <row r="144" spans="1:43" hidden="1" x14ac:dyDescent="0.3">
      <c r="A144" s="3">
        <f t="shared" si="94"/>
        <v>1447.6657</v>
      </c>
      <c r="B144" s="42">
        <v>1472.7349999999999</v>
      </c>
      <c r="C144" s="53">
        <f t="shared" si="135"/>
        <v>2026</v>
      </c>
      <c r="D144" s="52">
        <f>+'Fisico ASIG'!B144</f>
        <v>46023</v>
      </c>
      <c r="E144" s="1">
        <v>31</v>
      </c>
      <c r="F144" s="56" t="str">
        <f>+'Fisico ASIG'!D144</f>
        <v>mié</v>
      </c>
      <c r="G144" s="56">
        <f>+'Fisico ASIG'!E144</f>
        <v>46050</v>
      </c>
      <c r="H144" s="17">
        <v>28</v>
      </c>
      <c r="I144" s="17">
        <f t="shared" si="136"/>
        <v>5.0018453846077859</v>
      </c>
      <c r="J144" s="17">
        <f t="shared" si="137"/>
        <v>6.5099398753915807</v>
      </c>
      <c r="K144" s="83">
        <f t="shared" si="114"/>
        <v>7.5875000000000004</v>
      </c>
      <c r="L144" s="17">
        <v>27</v>
      </c>
      <c r="M144" s="17">
        <v>71.5</v>
      </c>
      <c r="N144" s="17">
        <f t="shared" si="95"/>
        <v>44.026119279927038</v>
      </c>
      <c r="O144" s="17">
        <v>115.11901510793042</v>
      </c>
      <c r="P144" s="18">
        <f>SUMPRODUCT(H144:O144,'Fisico ASIG'!F144:M144)*24</f>
        <v>9656313.4898681939</v>
      </c>
      <c r="Q144" s="43">
        <v>0</v>
      </c>
      <c r="R144" s="43">
        <f t="shared" si="138"/>
        <v>5732.0798303088895</v>
      </c>
      <c r="S144" s="43">
        <f t="shared" si="139"/>
        <v>2832.1455706244888</v>
      </c>
      <c r="T144" s="43">
        <f t="shared" si="115"/>
        <v>1795.6376259798433</v>
      </c>
      <c r="U144" s="43">
        <v>18000</v>
      </c>
      <c r="V144" s="20">
        <v>0</v>
      </c>
      <c r="W144" s="20">
        <v>21900</v>
      </c>
      <c r="X144" s="20">
        <v>0</v>
      </c>
      <c r="Y144" s="18">
        <f>SUMPRODUCT(Q144:X144,'Fisico ASIG'!O144:V144)/E144</f>
        <v>5755730.3841956528</v>
      </c>
      <c r="Z144" s="25">
        <f t="shared" si="121"/>
        <v>15412043.874063846</v>
      </c>
      <c r="AA144" s="26">
        <f>+Z144/'Fisico ASIG'!N144/24</f>
        <v>66.441925613715981</v>
      </c>
      <c r="AB144" s="26">
        <f t="shared" si="103"/>
        <v>15.806111696522654</v>
      </c>
      <c r="AC144" s="29">
        <f t="shared" si="122"/>
        <v>50.635813917193325</v>
      </c>
      <c r="AI144" s="1">
        <v>7241</v>
      </c>
      <c r="AJ144" s="1">
        <v>5762594</v>
      </c>
      <c r="AK144">
        <f t="shared" si="73"/>
        <v>1.44</v>
      </c>
      <c r="AL144" s="40">
        <f t="shared" si="96"/>
        <v>9424.2166666666653</v>
      </c>
      <c r="AM144">
        <v>4100000</v>
      </c>
      <c r="AN144" s="17">
        <v>40.825404477683406</v>
      </c>
      <c r="AO144" s="64">
        <f t="shared" si="140"/>
        <v>2.3507148022436302</v>
      </c>
      <c r="AP144">
        <v>0</v>
      </c>
      <c r="AQ144" s="1">
        <v>0.85</v>
      </c>
    </row>
    <row r="145" spans="1:43" hidden="1" x14ac:dyDescent="0.3">
      <c r="A145" s="3">
        <f t="shared" si="94"/>
        <v>1447.6657</v>
      </c>
      <c r="B145" s="42">
        <v>1472.7349999999999</v>
      </c>
      <c r="C145" s="53">
        <f t="shared" si="135"/>
        <v>2026</v>
      </c>
      <c r="D145" s="52">
        <f>+'Fisico ASIG'!B145</f>
        <v>46023</v>
      </c>
      <c r="E145" s="1">
        <v>31</v>
      </c>
      <c r="F145" s="56" t="str">
        <f>+'Fisico ASIG'!D145</f>
        <v>jue</v>
      </c>
      <c r="G145" s="56">
        <f>+'Fisico ASIG'!E145</f>
        <v>46051</v>
      </c>
      <c r="H145" s="17">
        <v>28</v>
      </c>
      <c r="I145" s="17">
        <f t="shared" si="136"/>
        <v>5.0018453846077859</v>
      </c>
      <c r="J145" s="17">
        <f t="shared" si="137"/>
        <v>6.5099398753915807</v>
      </c>
      <c r="K145" s="83">
        <f t="shared" si="114"/>
        <v>7.5875000000000004</v>
      </c>
      <c r="L145" s="17">
        <v>27</v>
      </c>
      <c r="M145" s="17">
        <v>71.5</v>
      </c>
      <c r="N145" s="17">
        <f t="shared" si="95"/>
        <v>44.705467118124638</v>
      </c>
      <c r="O145" s="17">
        <v>115.12058072751145</v>
      </c>
      <c r="P145" s="18">
        <f>SUMPRODUCT(H145:O145,'Fisico ASIG'!F145:M145)*24</f>
        <v>9919824.1036853064</v>
      </c>
      <c r="Q145" s="43">
        <v>0</v>
      </c>
      <c r="R145" s="43">
        <f t="shared" si="138"/>
        <v>5732.0798303088895</v>
      </c>
      <c r="S145" s="43">
        <f t="shared" si="139"/>
        <v>2832.1455706244888</v>
      </c>
      <c r="T145" s="43">
        <f t="shared" si="115"/>
        <v>1795.6376259798433</v>
      </c>
      <c r="U145" s="43">
        <v>18000</v>
      </c>
      <c r="V145" s="20">
        <v>0</v>
      </c>
      <c r="W145" s="20">
        <v>21900</v>
      </c>
      <c r="X145" s="20">
        <v>0</v>
      </c>
      <c r="Y145" s="18">
        <f>SUMPRODUCT(Q145:X145,'Fisico ASIG'!O145:V145)/E145</f>
        <v>5769261.4378330437</v>
      </c>
      <c r="Z145" s="25">
        <f t="shared" si="121"/>
        <v>15689085.541518349</v>
      </c>
      <c r="AA145" s="26">
        <f>+Z145/'Fisico ASIG'!N145/24</f>
        <v>66.625028288753995</v>
      </c>
      <c r="AB145" s="26">
        <f t="shared" si="103"/>
        <v>15.806111696522654</v>
      </c>
      <c r="AC145" s="29">
        <f t="shared" si="122"/>
        <v>50.818916592231339</v>
      </c>
      <c r="AI145" s="1">
        <v>7241</v>
      </c>
      <c r="AJ145" s="1">
        <v>5762594</v>
      </c>
      <c r="AK145">
        <f t="shared" si="73"/>
        <v>1.44</v>
      </c>
      <c r="AL145" s="40">
        <f t="shared" si="96"/>
        <v>9424.2166666666653</v>
      </c>
      <c r="AM145">
        <v>4100000</v>
      </c>
      <c r="AN145" s="17">
        <v>41.461795895198719</v>
      </c>
      <c r="AO145" s="64">
        <f t="shared" si="140"/>
        <v>2.3936712229259136</v>
      </c>
      <c r="AP145">
        <v>0</v>
      </c>
      <c r="AQ145" s="1">
        <v>0.85</v>
      </c>
    </row>
    <row r="146" spans="1:43" hidden="1" x14ac:dyDescent="0.3">
      <c r="A146" s="3">
        <f t="shared" si="94"/>
        <v>1447.6657</v>
      </c>
      <c r="B146" s="42">
        <v>1472.7349999999999</v>
      </c>
      <c r="C146" s="53">
        <f t="shared" si="135"/>
        <v>2026</v>
      </c>
      <c r="D146" s="52">
        <f>+'Fisico ASIG'!B146</f>
        <v>46023</v>
      </c>
      <c r="E146" s="1">
        <v>31</v>
      </c>
      <c r="F146" s="56" t="str">
        <f>+'Fisico ASIG'!D146</f>
        <v>vie</v>
      </c>
      <c r="G146" s="56">
        <f>+'Fisico ASIG'!E146</f>
        <v>46052</v>
      </c>
      <c r="H146" s="17">
        <v>28</v>
      </c>
      <c r="I146" s="17">
        <f t="shared" si="136"/>
        <v>5.0018453846077859</v>
      </c>
      <c r="J146" s="17">
        <f t="shared" si="137"/>
        <v>6.5099398753915807</v>
      </c>
      <c r="K146" s="83">
        <f t="shared" si="114"/>
        <v>7.5875000000000004</v>
      </c>
      <c r="L146" s="17">
        <v>27</v>
      </c>
      <c r="M146" s="17">
        <v>71.5</v>
      </c>
      <c r="N146" s="17">
        <f t="shared" si="95"/>
        <v>45.923559187677938</v>
      </c>
      <c r="O146" s="17">
        <v>115.10714752739339</v>
      </c>
      <c r="P146" s="18">
        <f>SUMPRODUCT(H146:O146,'Fisico ASIG'!F146:M146)*24</f>
        <v>10378655.161545802</v>
      </c>
      <c r="Q146" s="43">
        <v>0</v>
      </c>
      <c r="R146" s="43">
        <f t="shared" si="138"/>
        <v>5732.0798303088895</v>
      </c>
      <c r="S146" s="43">
        <f t="shared" si="139"/>
        <v>2832.1455706244888</v>
      </c>
      <c r="T146" s="43">
        <f t="shared" si="115"/>
        <v>1795.6376259798433</v>
      </c>
      <c r="U146" s="43">
        <v>18000</v>
      </c>
      <c r="V146" s="20">
        <v>0</v>
      </c>
      <c r="W146" s="20">
        <v>21900</v>
      </c>
      <c r="X146" s="20">
        <v>0</v>
      </c>
      <c r="Y146" s="18">
        <f>SUMPRODUCT(Q146:X146,'Fisico ASIG'!O146:V146)/E146</f>
        <v>5753753.700330059</v>
      </c>
      <c r="Z146" s="25">
        <f t="shared" si="121"/>
        <v>16132408.861875862</v>
      </c>
      <c r="AA146" s="26">
        <f>+Z146/'Fisico ASIG'!N146/24</f>
        <v>68.821862606081226</v>
      </c>
      <c r="AB146" s="26">
        <f t="shared" si="103"/>
        <v>15.806111696522654</v>
      </c>
      <c r="AC146" s="29">
        <f t="shared" si="122"/>
        <v>53.01575090955857</v>
      </c>
      <c r="AI146" s="1">
        <v>7241</v>
      </c>
      <c r="AJ146" s="1">
        <v>5762594</v>
      </c>
      <c r="AK146">
        <f t="shared" si="73"/>
        <v>1.44</v>
      </c>
      <c r="AL146" s="40">
        <f t="shared" si="96"/>
        <v>9424.2166666666653</v>
      </c>
      <c r="AM146">
        <v>4100000</v>
      </c>
      <c r="AN146" s="17">
        <v>42.602865749581206</v>
      </c>
      <c r="AO146" s="64">
        <f t="shared" si="140"/>
        <v>2.4706934380967316</v>
      </c>
      <c r="AP146">
        <v>0</v>
      </c>
      <c r="AQ146" s="1">
        <v>0.85</v>
      </c>
    </row>
    <row r="147" spans="1:43" hidden="1" x14ac:dyDescent="0.3">
      <c r="A147" s="3">
        <f>+A138</f>
        <v>1447.6657</v>
      </c>
      <c r="B147" s="42">
        <v>1472.7349999999999</v>
      </c>
      <c r="C147" s="53">
        <f t="shared" si="135"/>
        <v>2026</v>
      </c>
      <c r="D147" s="52">
        <f>+'Fisico ASIG'!B147</f>
        <v>46023</v>
      </c>
      <c r="E147" s="1">
        <v>31</v>
      </c>
      <c r="F147" s="56" t="str">
        <f>+'Fisico ASIG'!D147</f>
        <v>sáb</v>
      </c>
      <c r="G147" s="56">
        <f>+'Fisico ASIG'!E147</f>
        <v>46053</v>
      </c>
      <c r="H147" s="17">
        <v>28</v>
      </c>
      <c r="I147" s="17">
        <f t="shared" ref="I147" si="141">AI147/A147</f>
        <v>5.0018453846077859</v>
      </c>
      <c r="J147" s="17">
        <f t="shared" ref="J147" si="142">+AL147/A147</f>
        <v>6.5099398753915807</v>
      </c>
      <c r="K147" s="83">
        <f t="shared" si="114"/>
        <v>7.5875000000000004</v>
      </c>
      <c r="L147" s="17">
        <v>27</v>
      </c>
      <c r="M147" s="17">
        <v>71.5</v>
      </c>
      <c r="N147" s="17">
        <f t="shared" ref="N147" si="143">+AN147+AO147+AP147+AQ147</f>
        <v>45.476543195763803</v>
      </c>
      <c r="O147" s="17">
        <v>115.0971655652455</v>
      </c>
      <c r="P147" s="18">
        <f>SUMPRODUCT(H147:O147,'Fisico ASIG'!F147:M147)*24</f>
        <v>9996231.9747327976</v>
      </c>
      <c r="Q147" s="43">
        <v>0</v>
      </c>
      <c r="R147" s="43">
        <f t="shared" si="138"/>
        <v>5732.0798303088895</v>
      </c>
      <c r="S147" s="43">
        <f t="shared" si="139"/>
        <v>2832.1455706244888</v>
      </c>
      <c r="T147" s="43">
        <f t="shared" si="115"/>
        <v>1795.6376259798433</v>
      </c>
      <c r="U147" s="43">
        <v>18000</v>
      </c>
      <c r="V147" s="20">
        <v>0</v>
      </c>
      <c r="W147" s="20">
        <v>21900</v>
      </c>
      <c r="X147" s="20">
        <v>0</v>
      </c>
      <c r="Y147" s="18">
        <f>SUMPRODUCT(Q147:X147,'Fisico ASIG'!O147:V147)/E147</f>
        <v>5735859.5131823067</v>
      </c>
      <c r="Z147" s="25">
        <f t="shared" ref="Z147" si="144">+(P147+Y147)</f>
        <v>15732091.487915104</v>
      </c>
      <c r="AA147" s="26">
        <f>+Z147/'Fisico ASIG'!N147/24</f>
        <v>73.517560464038411</v>
      </c>
      <c r="AB147" s="26">
        <f t="shared" si="103"/>
        <v>15.806111696522654</v>
      </c>
      <c r="AC147" s="29">
        <f t="shared" ref="AC147" si="145">+AA147-AB147</f>
        <v>57.711448767515755</v>
      </c>
      <c r="AI147" s="1">
        <v>7241</v>
      </c>
      <c r="AJ147" s="1">
        <v>5762594</v>
      </c>
      <c r="AK147">
        <f t="shared" si="73"/>
        <v>1.44</v>
      </c>
      <c r="AL147" s="40">
        <f t="shared" si="96"/>
        <v>9424.2166666666653</v>
      </c>
      <c r="AM147">
        <v>4100000</v>
      </c>
      <c r="AN147" s="17">
        <v>42.184115405867729</v>
      </c>
      <c r="AO147" s="64">
        <f t="shared" ref="AO147:AO159" si="146">0.075*0.9*(AN147-6)</f>
        <v>2.442427789896072</v>
      </c>
      <c r="AP147">
        <v>0</v>
      </c>
      <c r="AQ147" s="1">
        <v>0.85</v>
      </c>
    </row>
    <row r="148" spans="1:43" hidden="1" x14ac:dyDescent="0.3">
      <c r="A148" s="3">
        <v>1408.96</v>
      </c>
      <c r="B148" s="42">
        <v>1472.7349999999999</v>
      </c>
      <c r="C148" s="53">
        <f t="shared" ref="C148:C150" si="147">YEAR(G148)</f>
        <v>2026</v>
      </c>
      <c r="D148" s="52">
        <f>+'Fisico ASIG'!B148</f>
        <v>46054</v>
      </c>
      <c r="E148" s="1">
        <v>28</v>
      </c>
      <c r="F148" s="56" t="str">
        <f>+'Fisico ASIG'!D148</f>
        <v>dom</v>
      </c>
      <c r="G148" s="56">
        <f>+'Fisico ASIG'!E148</f>
        <v>46054</v>
      </c>
      <c r="H148" s="17">
        <v>28</v>
      </c>
      <c r="I148" s="17">
        <f t="shared" ref="I148:I158" si="148">AI148/A148</f>
        <v>5.1392516466045874</v>
      </c>
      <c r="J148" s="17">
        <f t="shared" ref="J148:J158" si="149">+AL148/A148</f>
        <v>6.6887751722310531</v>
      </c>
      <c r="K148" s="83">
        <f t="shared" si="114"/>
        <v>7.5875000000000004</v>
      </c>
      <c r="L148" s="17">
        <v>27</v>
      </c>
      <c r="M148" s="17">
        <v>71.5</v>
      </c>
      <c r="N148" s="17">
        <f t="shared" ref="N148:N158" si="150">+AN148+AO148+AP148+AQ148</f>
        <v>43.395581479563994</v>
      </c>
      <c r="O148" s="17">
        <v>121.96282215633001</v>
      </c>
      <c r="P148" s="18">
        <f>SUMPRODUCT(H148:O148,'Fisico ASIG'!F148:M148)*24</f>
        <v>9473633.1655327938</v>
      </c>
      <c r="Q148" s="43">
        <v>0</v>
      </c>
      <c r="R148" s="43">
        <f t="shared" ref="R148:R158" si="151">+AJ148*AK148/A148</f>
        <v>5889.5464456052687</v>
      </c>
      <c r="S148" s="43">
        <f t="shared" ref="S148:S158" si="152">+AM148/A148</f>
        <v>2909.9477628889395</v>
      </c>
      <c r="T148" s="43">
        <f t="shared" si="115"/>
        <v>1795.6376259798433</v>
      </c>
      <c r="U148" s="43">
        <v>18000</v>
      </c>
      <c r="V148" s="20">
        <v>0</v>
      </c>
      <c r="W148" s="20">
        <v>21900</v>
      </c>
      <c r="X148" s="20">
        <v>0</v>
      </c>
      <c r="Y148" s="18">
        <f>SUMPRODUCT(Q148:X148,'Fisico ASIG'!O148:V148)/E148</f>
        <v>6240519.7797084237</v>
      </c>
      <c r="Z148" s="25">
        <f t="shared" ref="Z148:Z150" si="153">+(P148+Y148)</f>
        <v>15714152.945241217</v>
      </c>
      <c r="AA148" s="26">
        <f>+Z148/'Fisico ASIG'!N148/24</f>
        <v>79.435127742165847</v>
      </c>
      <c r="AB148" s="26">
        <f t="shared" ref="AB148:AB175" si="154">+$AB$21*336/0.52/672*1.1</f>
        <v>16.923076923076923</v>
      </c>
      <c r="AC148" s="29">
        <f>+AA148-AB148</f>
        <v>62.512050819088927</v>
      </c>
      <c r="AI148" s="1">
        <v>7241</v>
      </c>
      <c r="AJ148" s="1">
        <v>5762594</v>
      </c>
      <c r="AK148">
        <f t="shared" si="73"/>
        <v>1.44</v>
      </c>
      <c r="AL148" s="40">
        <f t="shared" si="96"/>
        <v>9424.2166666666653</v>
      </c>
      <c r="AM148">
        <v>4100000</v>
      </c>
      <c r="AN148" s="17">
        <v>40.234736749006082</v>
      </c>
      <c r="AO148" s="64">
        <f t="shared" si="146"/>
        <v>2.3108447305579105</v>
      </c>
      <c r="AP148">
        <v>0</v>
      </c>
      <c r="AQ148" s="1">
        <v>0.85</v>
      </c>
    </row>
    <row r="149" spans="1:43" hidden="1" x14ac:dyDescent="0.3">
      <c r="A149" s="3">
        <f>+A148</f>
        <v>1408.96</v>
      </c>
      <c r="B149" s="42">
        <v>1438.46</v>
      </c>
      <c r="C149" s="53">
        <f t="shared" si="147"/>
        <v>2026</v>
      </c>
      <c r="D149" s="52">
        <f>+'Fisico ASIG'!B149</f>
        <v>46054</v>
      </c>
      <c r="E149" s="1">
        <v>28</v>
      </c>
      <c r="F149" s="56" t="str">
        <f>+'Fisico ASIG'!D149</f>
        <v>lun</v>
      </c>
      <c r="G149" s="56">
        <f>+'Fisico ASIG'!E149</f>
        <v>46055</v>
      </c>
      <c r="H149" s="17">
        <v>28</v>
      </c>
      <c r="I149" s="17">
        <f t="shared" si="148"/>
        <v>5.1392516466045874</v>
      </c>
      <c r="J149" s="17">
        <f t="shared" si="149"/>
        <v>6.6887751722310531</v>
      </c>
      <c r="K149" s="83">
        <f t="shared" si="114"/>
        <v>7.5875000000000004</v>
      </c>
      <c r="L149" s="17">
        <v>27</v>
      </c>
      <c r="M149" s="17">
        <v>71.5</v>
      </c>
      <c r="N149" s="17">
        <f t="shared" si="150"/>
        <v>39.801817652024802</v>
      </c>
      <c r="O149" s="17">
        <v>121.94672479981641</v>
      </c>
      <c r="P149" s="18">
        <f>SUMPRODUCT(H149:O149,'Fisico ASIG'!F149:M149)*24</f>
        <v>10131285.067037992</v>
      </c>
      <c r="Q149" s="43">
        <v>0</v>
      </c>
      <c r="R149" s="43">
        <f t="shared" si="151"/>
        <v>5889.5464456052687</v>
      </c>
      <c r="S149" s="43">
        <f t="shared" si="152"/>
        <v>2909.9477628889395</v>
      </c>
      <c r="T149" s="43">
        <f t="shared" si="115"/>
        <v>1795.6376259798433</v>
      </c>
      <c r="U149" s="43">
        <v>18000</v>
      </c>
      <c r="V149" s="20">
        <v>0</v>
      </c>
      <c r="W149" s="20">
        <v>21900</v>
      </c>
      <c r="X149" s="20">
        <v>0</v>
      </c>
      <c r="Y149" s="18">
        <f>SUMPRODUCT(Q149:X149,'Fisico ASIG'!O149:V149)/E149</f>
        <v>6279364.4321674258</v>
      </c>
      <c r="Z149" s="25">
        <f t="shared" si="153"/>
        <v>16410649.499205418</v>
      </c>
      <c r="AA149" s="26">
        <f>+Z149/'Fisico ASIG'!N149/24</f>
        <v>69.644720080201708</v>
      </c>
      <c r="AB149" s="26">
        <f t="shared" si="154"/>
        <v>16.923076923076923</v>
      </c>
      <c r="AC149" s="29">
        <f t="shared" ref="AC149:AC150" si="155">+AA149-AB149</f>
        <v>52.721643157124788</v>
      </c>
      <c r="AI149" s="1">
        <v>7241</v>
      </c>
      <c r="AJ149" s="1">
        <v>5762594</v>
      </c>
      <c r="AK149">
        <f t="shared" si="73"/>
        <v>1.44</v>
      </c>
      <c r="AL149" s="40">
        <f t="shared" si="96"/>
        <v>9424.2166666666653</v>
      </c>
      <c r="AM149">
        <v>4100000</v>
      </c>
      <c r="AN149" s="17">
        <v>36.86821325716609</v>
      </c>
      <c r="AO149" s="64">
        <f t="shared" si="146"/>
        <v>2.0836043948587113</v>
      </c>
      <c r="AP149">
        <v>0</v>
      </c>
      <c r="AQ149" s="1">
        <v>0.85</v>
      </c>
    </row>
    <row r="150" spans="1:43" hidden="1" x14ac:dyDescent="0.3">
      <c r="A150" s="3">
        <f t="shared" ref="A150:A175" si="156">+A149</f>
        <v>1408.96</v>
      </c>
      <c r="B150" s="42">
        <v>1438.46</v>
      </c>
      <c r="C150" s="53">
        <f t="shared" si="147"/>
        <v>2026</v>
      </c>
      <c r="D150" s="52">
        <f>+'Fisico ASIG'!B150</f>
        <v>46054</v>
      </c>
      <c r="E150" s="1">
        <v>28</v>
      </c>
      <c r="F150" s="56" t="str">
        <f>+'Fisico ASIG'!D150</f>
        <v>mar</v>
      </c>
      <c r="G150" s="56">
        <f>+'Fisico ASIG'!E150</f>
        <v>46056</v>
      </c>
      <c r="H150" s="17">
        <v>28</v>
      </c>
      <c r="I150" s="17">
        <f t="shared" si="148"/>
        <v>5.1392516466045874</v>
      </c>
      <c r="J150" s="17">
        <f t="shared" si="149"/>
        <v>6.6887751722310531</v>
      </c>
      <c r="K150" s="83">
        <f t="shared" si="114"/>
        <v>7.5875000000000004</v>
      </c>
      <c r="L150" s="17">
        <v>27</v>
      </c>
      <c r="M150" s="17">
        <v>71.5</v>
      </c>
      <c r="N150" s="17">
        <f t="shared" si="150"/>
        <v>43.618647483915844</v>
      </c>
      <c r="O150" s="17">
        <v>121.95752295634409</v>
      </c>
      <c r="P150" s="18">
        <f>SUMPRODUCT(H150:O150,'Fisico ASIG'!F150:M150)*24</f>
        <v>10246276.888547108</v>
      </c>
      <c r="Q150" s="43">
        <v>0</v>
      </c>
      <c r="R150" s="43">
        <f t="shared" si="151"/>
        <v>5889.5464456052687</v>
      </c>
      <c r="S150" s="43">
        <f t="shared" si="152"/>
        <v>2909.9477628889395</v>
      </c>
      <c r="T150" s="43">
        <f t="shared" si="115"/>
        <v>1795.6376259798433</v>
      </c>
      <c r="U150" s="43">
        <v>18000</v>
      </c>
      <c r="V150" s="20">
        <v>0</v>
      </c>
      <c r="W150" s="20">
        <v>21900</v>
      </c>
      <c r="X150" s="20">
        <v>0</v>
      </c>
      <c r="Y150" s="18">
        <f>SUMPRODUCT(Q150:X150,'Fisico ASIG'!O150:V150)/E150</f>
        <v>6267087.1136974534</v>
      </c>
      <c r="Z150" s="25">
        <f t="shared" si="153"/>
        <v>16513364.002244562</v>
      </c>
      <c r="AA150" s="26">
        <f>+Z150/'Fisico ASIG'!N150/24</f>
        <v>66.876127556022041</v>
      </c>
      <c r="AB150" s="26">
        <f t="shared" si="154"/>
        <v>16.923076923076923</v>
      </c>
      <c r="AC150" s="29">
        <f t="shared" si="155"/>
        <v>49.953050632945121</v>
      </c>
      <c r="AI150" s="1">
        <v>7241</v>
      </c>
      <c r="AJ150" s="1">
        <v>5762594</v>
      </c>
      <c r="AK150">
        <f t="shared" si="73"/>
        <v>1.44</v>
      </c>
      <c r="AL150" s="40">
        <f t="shared" si="96"/>
        <v>9424.2166666666653</v>
      </c>
      <c r="AM150">
        <v>4100000</v>
      </c>
      <c r="AN150" s="17">
        <v>40.443697877204535</v>
      </c>
      <c r="AO150" s="64">
        <f t="shared" si="146"/>
        <v>2.3249496067113062</v>
      </c>
      <c r="AP150">
        <v>0</v>
      </c>
      <c r="AQ150" s="1">
        <v>0.85</v>
      </c>
    </row>
    <row r="151" spans="1:43" hidden="1" x14ac:dyDescent="0.3">
      <c r="A151" s="3">
        <f t="shared" si="156"/>
        <v>1408.96</v>
      </c>
      <c r="B151" s="42">
        <v>1438.46</v>
      </c>
      <c r="C151" s="53">
        <f t="shared" ref="C151:C154" si="157">YEAR(G151)</f>
        <v>2026</v>
      </c>
      <c r="D151" s="52">
        <f>+'Fisico ASIG'!B151</f>
        <v>46054</v>
      </c>
      <c r="E151" s="1">
        <v>28</v>
      </c>
      <c r="F151" s="56" t="str">
        <f>+'Fisico ASIG'!D151</f>
        <v>mié</v>
      </c>
      <c r="G151" s="56">
        <f>+'Fisico ASIG'!E151</f>
        <v>46057</v>
      </c>
      <c r="H151" s="17">
        <v>28</v>
      </c>
      <c r="I151" s="17">
        <f t="shared" si="148"/>
        <v>5.1392516466045874</v>
      </c>
      <c r="J151" s="17">
        <f t="shared" si="149"/>
        <v>6.6887751722310531</v>
      </c>
      <c r="K151" s="83">
        <f t="shared" si="114"/>
        <v>7.5875000000000004</v>
      </c>
      <c r="L151" s="17">
        <v>27</v>
      </c>
      <c r="M151" s="17">
        <v>71.5</v>
      </c>
      <c r="N151" s="17">
        <f t="shared" si="150"/>
        <v>46.208916278133223</v>
      </c>
      <c r="O151" s="17">
        <v>121.96324409234322</v>
      </c>
      <c r="P151" s="18">
        <f>SUMPRODUCT(H151:O151,'Fisico ASIG'!F151:M151)*24</f>
        <v>10489787.962891355</v>
      </c>
      <c r="Q151" s="43">
        <v>0</v>
      </c>
      <c r="R151" s="43">
        <f t="shared" si="151"/>
        <v>5889.5464456052687</v>
      </c>
      <c r="S151" s="43">
        <f t="shared" si="152"/>
        <v>2909.9477628889395</v>
      </c>
      <c r="T151" s="43">
        <f t="shared" si="115"/>
        <v>1795.6376259798433</v>
      </c>
      <c r="U151" s="43">
        <v>18000</v>
      </c>
      <c r="V151" s="20">
        <v>0</v>
      </c>
      <c r="W151" s="20">
        <v>21900</v>
      </c>
      <c r="X151" s="20">
        <v>0</v>
      </c>
      <c r="Y151" s="18">
        <f>SUMPRODUCT(Q151:X151,'Fisico ASIG'!O151:V151)/E151</f>
        <v>6279737.5098013347</v>
      </c>
      <c r="Z151" s="25">
        <f t="shared" ref="Z151:Z158" si="158">+(P151+Y151)</f>
        <v>16769525.472692691</v>
      </c>
      <c r="AA151" s="26">
        <f>+Z151/'Fisico ASIG'!N151/24</f>
        <v>78.487661093185366</v>
      </c>
      <c r="AB151" s="26">
        <f t="shared" si="154"/>
        <v>16.923076923076923</v>
      </c>
      <c r="AC151" s="29">
        <f t="shared" ref="AC151:AC158" si="159">+AA151-AB151</f>
        <v>61.564584170108446</v>
      </c>
      <c r="AI151" s="1">
        <v>7241</v>
      </c>
      <c r="AJ151" s="1">
        <v>5762594</v>
      </c>
      <c r="AK151">
        <f t="shared" si="73"/>
        <v>1.44</v>
      </c>
      <c r="AL151" s="40">
        <f t="shared" si="96"/>
        <v>9424.2166666666653</v>
      </c>
      <c r="AM151">
        <v>4100000</v>
      </c>
      <c r="AN151" s="17">
        <v>42.87017918326297</v>
      </c>
      <c r="AO151" s="64">
        <f t="shared" si="146"/>
        <v>2.4887370948702507</v>
      </c>
      <c r="AP151">
        <v>0</v>
      </c>
      <c r="AQ151" s="1">
        <v>0.85</v>
      </c>
    </row>
    <row r="152" spans="1:43" hidden="1" x14ac:dyDescent="0.3">
      <c r="A152" s="3">
        <f t="shared" si="156"/>
        <v>1408.96</v>
      </c>
      <c r="B152" s="42">
        <v>1438.46</v>
      </c>
      <c r="C152" s="53">
        <f t="shared" si="157"/>
        <v>2026</v>
      </c>
      <c r="D152" s="52">
        <f>+'Fisico ASIG'!B152</f>
        <v>46054</v>
      </c>
      <c r="E152" s="1">
        <v>28</v>
      </c>
      <c r="F152" s="56" t="str">
        <f>+'Fisico ASIG'!D152</f>
        <v>jue</v>
      </c>
      <c r="G152" s="56">
        <f>+'Fisico ASIG'!E152</f>
        <v>46058</v>
      </c>
      <c r="H152" s="17">
        <v>28</v>
      </c>
      <c r="I152" s="17">
        <f t="shared" si="148"/>
        <v>5.1392516466045874</v>
      </c>
      <c r="J152" s="17">
        <f t="shared" si="149"/>
        <v>6.6887751722310531</v>
      </c>
      <c r="K152" s="83">
        <f t="shared" si="114"/>
        <v>7.5875000000000004</v>
      </c>
      <c r="L152" s="17">
        <v>27</v>
      </c>
      <c r="M152" s="17">
        <v>71.5</v>
      </c>
      <c r="N152" s="17">
        <f t="shared" si="150"/>
        <v>42.205410200263884</v>
      </c>
      <c r="O152" s="17">
        <v>121.96258636533531</v>
      </c>
      <c r="P152" s="18">
        <f>SUMPRODUCT(H152:O152,'Fisico ASIG'!F152:M152)*24</f>
        <v>10570174.611942679</v>
      </c>
      <c r="Q152" s="43">
        <v>0</v>
      </c>
      <c r="R152" s="43">
        <f t="shared" si="151"/>
        <v>5889.5464456052687</v>
      </c>
      <c r="S152" s="43">
        <f t="shared" si="152"/>
        <v>2909.9477628889395</v>
      </c>
      <c r="T152" s="43">
        <f t="shared" si="115"/>
        <v>1795.6376259798433</v>
      </c>
      <c r="U152" s="43">
        <v>18000</v>
      </c>
      <c r="V152" s="20">
        <v>0</v>
      </c>
      <c r="W152" s="20">
        <v>21900</v>
      </c>
      <c r="X152" s="20">
        <v>0</v>
      </c>
      <c r="Y152" s="18">
        <f>SUMPRODUCT(Q152:X152,'Fisico ASIG'!O152:V152)/E152</f>
        <v>6333224.1332401792</v>
      </c>
      <c r="Z152" s="25">
        <f t="shared" si="158"/>
        <v>16903398.745182857</v>
      </c>
      <c r="AA152" s="26">
        <f>+Z152/'Fisico ASIG'!N152/24</f>
        <v>79.127152855488205</v>
      </c>
      <c r="AB152" s="26">
        <f t="shared" si="154"/>
        <v>16.923076923076923</v>
      </c>
      <c r="AC152" s="29">
        <f t="shared" si="159"/>
        <v>62.204075932411286</v>
      </c>
      <c r="AI152" s="1">
        <v>7241</v>
      </c>
      <c r="AJ152" s="1">
        <v>5762594</v>
      </c>
      <c r="AK152">
        <f t="shared" si="73"/>
        <v>1.44</v>
      </c>
      <c r="AL152" s="40">
        <f t="shared" si="96"/>
        <v>9424.2166666666653</v>
      </c>
      <c r="AM152">
        <v>4100000</v>
      </c>
      <c r="AN152" s="17">
        <v>39.119822201652347</v>
      </c>
      <c r="AO152" s="64">
        <f t="shared" si="146"/>
        <v>2.2355879986115337</v>
      </c>
      <c r="AP152">
        <v>0</v>
      </c>
      <c r="AQ152" s="1">
        <v>0.85</v>
      </c>
    </row>
    <row r="153" spans="1:43" hidden="1" x14ac:dyDescent="0.3">
      <c r="A153" s="3">
        <f t="shared" si="156"/>
        <v>1408.96</v>
      </c>
      <c r="B153" s="42">
        <v>1438.46</v>
      </c>
      <c r="C153" s="53">
        <f t="shared" si="157"/>
        <v>2026</v>
      </c>
      <c r="D153" s="52">
        <f>+'Fisico ASIG'!B153</f>
        <v>46054</v>
      </c>
      <c r="E153" s="1">
        <v>28</v>
      </c>
      <c r="F153" s="56" t="str">
        <f>+'Fisico ASIG'!D153</f>
        <v>vie</v>
      </c>
      <c r="G153" s="56">
        <f>+'Fisico ASIG'!E153</f>
        <v>46059</v>
      </c>
      <c r="H153" s="17">
        <v>28</v>
      </c>
      <c r="I153" s="17">
        <f t="shared" si="148"/>
        <v>5.1392516466045874</v>
      </c>
      <c r="J153" s="17">
        <f t="shared" si="149"/>
        <v>6.6887751722310531</v>
      </c>
      <c r="K153" s="83">
        <f t="shared" si="114"/>
        <v>7.5875000000000004</v>
      </c>
      <c r="L153" s="17">
        <v>27</v>
      </c>
      <c r="M153" s="17">
        <v>71.5</v>
      </c>
      <c r="N153" s="17">
        <f t="shared" si="150"/>
        <v>39.141642781412379</v>
      </c>
      <c r="O153" s="17">
        <v>121.96126748645987</v>
      </c>
      <c r="P153" s="18">
        <f>SUMPRODUCT(H153:O153,'Fisico ASIG'!F153:M153)*24</f>
        <v>9948751.0197547004</v>
      </c>
      <c r="Q153" s="43">
        <v>0</v>
      </c>
      <c r="R153" s="43">
        <f t="shared" si="151"/>
        <v>5889.5464456052687</v>
      </c>
      <c r="S153" s="43">
        <f t="shared" si="152"/>
        <v>2909.9477628889395</v>
      </c>
      <c r="T153" s="43">
        <f t="shared" si="115"/>
        <v>1795.6376259798433</v>
      </c>
      <c r="U153" s="43">
        <v>18000</v>
      </c>
      <c r="V153" s="20">
        <v>0</v>
      </c>
      <c r="W153" s="20">
        <v>21900</v>
      </c>
      <c r="X153" s="20">
        <v>0</v>
      </c>
      <c r="Y153" s="18">
        <f>SUMPRODUCT(Q153:X153,'Fisico ASIG'!O153:V153)/E153</f>
        <v>6343841.1140335817</v>
      </c>
      <c r="Z153" s="25">
        <f t="shared" si="158"/>
        <v>16292592.133788282</v>
      </c>
      <c r="AA153" s="26">
        <f>+Z153/'Fisico ASIG'!N153/24</f>
        <v>80.974167958553878</v>
      </c>
      <c r="AB153" s="26">
        <f t="shared" si="154"/>
        <v>16.923076923076923</v>
      </c>
      <c r="AC153" s="29">
        <f t="shared" si="159"/>
        <v>64.051091035476958</v>
      </c>
      <c r="AI153" s="1">
        <v>7241</v>
      </c>
      <c r="AJ153" s="1">
        <v>5762594</v>
      </c>
      <c r="AK153">
        <f t="shared" si="73"/>
        <v>1.44</v>
      </c>
      <c r="AL153" s="40">
        <f t="shared" si="96"/>
        <v>9424.2166666666653</v>
      </c>
      <c r="AM153">
        <v>4100000</v>
      </c>
      <c r="AN153" s="17">
        <v>36.249782465023301</v>
      </c>
      <c r="AO153" s="64">
        <f t="shared" si="146"/>
        <v>2.0418603163890729</v>
      </c>
      <c r="AP153">
        <v>0</v>
      </c>
      <c r="AQ153" s="1">
        <v>0.85</v>
      </c>
    </row>
    <row r="154" spans="1:43" hidden="1" x14ac:dyDescent="0.3">
      <c r="A154" s="3">
        <f t="shared" si="156"/>
        <v>1408.96</v>
      </c>
      <c r="B154" s="42">
        <v>1438.46</v>
      </c>
      <c r="C154" s="53">
        <f t="shared" si="157"/>
        <v>2026</v>
      </c>
      <c r="D154" s="52">
        <f>+'Fisico ASIG'!B154</f>
        <v>46054</v>
      </c>
      <c r="E154" s="1">
        <v>28</v>
      </c>
      <c r="F154" s="56" t="str">
        <f>+'Fisico ASIG'!D154</f>
        <v>sáb</v>
      </c>
      <c r="G154" s="56">
        <f>+'Fisico ASIG'!E154</f>
        <v>46060</v>
      </c>
      <c r="H154" s="17">
        <v>28</v>
      </c>
      <c r="I154" s="17">
        <f t="shared" si="148"/>
        <v>5.1392516466045874</v>
      </c>
      <c r="J154" s="17">
        <f t="shared" si="149"/>
        <v>6.6887751722310531</v>
      </c>
      <c r="K154" s="83">
        <f t="shared" si="114"/>
        <v>7.5875000000000004</v>
      </c>
      <c r="L154" s="17">
        <v>27</v>
      </c>
      <c r="M154" s="17">
        <v>71.5</v>
      </c>
      <c r="N154" s="17">
        <f t="shared" si="150"/>
        <v>39.323805587495421</v>
      </c>
      <c r="O154" s="17">
        <v>74.424250752864083</v>
      </c>
      <c r="P154" s="18">
        <f>SUMPRODUCT(H154:O154,'Fisico ASIG'!F154:M154)*24</f>
        <v>7033534.4562319182</v>
      </c>
      <c r="Q154" s="43">
        <v>0</v>
      </c>
      <c r="R154" s="43">
        <f t="shared" si="151"/>
        <v>5889.5464456052687</v>
      </c>
      <c r="S154" s="43">
        <f t="shared" si="152"/>
        <v>2909.9477628889395</v>
      </c>
      <c r="T154" s="43">
        <f t="shared" si="115"/>
        <v>1795.6376259798433</v>
      </c>
      <c r="U154" s="43">
        <v>18000</v>
      </c>
      <c r="V154" s="20">
        <v>0</v>
      </c>
      <c r="W154" s="20">
        <v>21900</v>
      </c>
      <c r="X154" s="20">
        <v>0</v>
      </c>
      <c r="Y154" s="18">
        <f>SUMPRODUCT(Q154:X154,'Fisico ASIG'!O154:V154)/E154</f>
        <v>6278981.1426749006</v>
      </c>
      <c r="Z154" s="25">
        <f t="shared" si="158"/>
        <v>13312515.598906819</v>
      </c>
      <c r="AA154" s="26">
        <f>+Z154/'Fisico ASIG'!N154/24</f>
        <v>73.957868309316893</v>
      </c>
      <c r="AB154" s="26">
        <f t="shared" si="154"/>
        <v>16.923076923076923</v>
      </c>
      <c r="AC154" s="29">
        <f t="shared" si="159"/>
        <v>57.034791386239974</v>
      </c>
      <c r="AI154" s="1">
        <v>7241</v>
      </c>
      <c r="AJ154" s="1">
        <v>5762594</v>
      </c>
      <c r="AK154">
        <f t="shared" si="73"/>
        <v>1.44</v>
      </c>
      <c r="AL154" s="40">
        <f t="shared" si="96"/>
        <v>9424.2166666666653</v>
      </c>
      <c r="AM154">
        <v>4100000</v>
      </c>
      <c r="AN154" s="17">
        <v>36.420426779855191</v>
      </c>
      <c r="AO154" s="64">
        <f t="shared" si="146"/>
        <v>2.0533788076402257</v>
      </c>
      <c r="AP154">
        <v>0</v>
      </c>
      <c r="AQ154" s="1">
        <v>0.85</v>
      </c>
    </row>
    <row r="155" spans="1:43" hidden="1" x14ac:dyDescent="0.3">
      <c r="A155" s="3">
        <f t="shared" si="156"/>
        <v>1408.96</v>
      </c>
      <c r="B155" s="42">
        <v>1438.46</v>
      </c>
      <c r="C155" s="53">
        <f t="shared" ref="C155:C161" si="160">YEAR(G155)</f>
        <v>2026</v>
      </c>
      <c r="D155" s="52">
        <f>+'Fisico ASIG'!B155</f>
        <v>46054</v>
      </c>
      <c r="E155" s="1">
        <v>28</v>
      </c>
      <c r="F155" s="56" t="str">
        <f>+'Fisico ASIG'!D155</f>
        <v>dom</v>
      </c>
      <c r="G155" s="56">
        <f>+'Fisico ASIG'!E155</f>
        <v>46061</v>
      </c>
      <c r="H155" s="17">
        <v>28</v>
      </c>
      <c r="I155" s="17">
        <f t="shared" si="148"/>
        <v>5.1392516466045874</v>
      </c>
      <c r="J155" s="17">
        <f t="shared" si="149"/>
        <v>6.6887751722310531</v>
      </c>
      <c r="K155" s="83">
        <f t="shared" si="114"/>
        <v>7.5875000000000004</v>
      </c>
      <c r="L155" s="17">
        <v>27</v>
      </c>
      <c r="M155" s="17">
        <v>71.5</v>
      </c>
      <c r="N155" s="17">
        <f t="shared" si="150"/>
        <v>40.420252052374416</v>
      </c>
      <c r="O155" s="17">
        <v>112.9044521118949</v>
      </c>
      <c r="P155" s="18">
        <f>SUMPRODUCT(H155:O155,'Fisico ASIG'!F155:M155)*24</f>
        <v>7076441.7029323401</v>
      </c>
      <c r="Q155" s="43">
        <v>0</v>
      </c>
      <c r="R155" s="43">
        <f t="shared" si="151"/>
        <v>5889.5464456052687</v>
      </c>
      <c r="S155" s="43">
        <f t="shared" si="152"/>
        <v>2909.9477628889395</v>
      </c>
      <c r="T155" s="43">
        <f t="shared" si="115"/>
        <v>1795.6376259798433</v>
      </c>
      <c r="U155" s="43">
        <v>18000</v>
      </c>
      <c r="V155" s="20">
        <v>0</v>
      </c>
      <c r="W155" s="20">
        <v>21900</v>
      </c>
      <c r="X155" s="20">
        <v>0</v>
      </c>
      <c r="Y155" s="18">
        <f>SUMPRODUCT(Q155:X155,'Fisico ASIG'!O155:V155)/E155</f>
        <v>6192464.2995799948</v>
      </c>
      <c r="Z155" s="25">
        <f t="shared" si="158"/>
        <v>13268906.002512336</v>
      </c>
      <c r="AA155" s="26">
        <f>+Z155/'Fisico ASIG'!N155/24</f>
        <v>74.987165965051361</v>
      </c>
      <c r="AB155" s="26">
        <f t="shared" si="154"/>
        <v>16.923076923076923</v>
      </c>
      <c r="AC155" s="29">
        <f t="shared" si="159"/>
        <v>58.064089041974441</v>
      </c>
      <c r="AI155" s="1">
        <v>7241</v>
      </c>
      <c r="AJ155" s="1">
        <v>5762594</v>
      </c>
      <c r="AK155">
        <f t="shared" si="73"/>
        <v>1.44</v>
      </c>
      <c r="AL155" s="40">
        <f t="shared" si="96"/>
        <v>9424.2166666666653</v>
      </c>
      <c r="AM155">
        <v>4100000</v>
      </c>
      <c r="AN155" s="17">
        <v>37.447542906205541</v>
      </c>
      <c r="AO155" s="64">
        <f t="shared" si="146"/>
        <v>2.1227091461688743</v>
      </c>
      <c r="AP155">
        <v>0</v>
      </c>
      <c r="AQ155" s="1">
        <v>0.85</v>
      </c>
    </row>
    <row r="156" spans="1:43" hidden="1" x14ac:dyDescent="0.3">
      <c r="A156" s="3">
        <f t="shared" si="156"/>
        <v>1408.96</v>
      </c>
      <c r="B156" s="42">
        <v>1438.46</v>
      </c>
      <c r="C156" s="53">
        <f t="shared" si="160"/>
        <v>2026</v>
      </c>
      <c r="D156" s="52">
        <f>+'Fisico ASIG'!B156</f>
        <v>46054</v>
      </c>
      <c r="E156" s="1">
        <v>28</v>
      </c>
      <c r="F156" s="56" t="str">
        <f>+'Fisico ASIG'!D156</f>
        <v>lun</v>
      </c>
      <c r="G156" s="56">
        <f>+'Fisico ASIG'!E156</f>
        <v>46062</v>
      </c>
      <c r="H156" s="17">
        <v>28</v>
      </c>
      <c r="I156" s="17">
        <f t="shared" si="148"/>
        <v>5.1392516466045874</v>
      </c>
      <c r="J156" s="17">
        <f t="shared" si="149"/>
        <v>6.6887751722310531</v>
      </c>
      <c r="K156" s="83">
        <f t="shared" si="114"/>
        <v>7.5875000000000004</v>
      </c>
      <c r="L156" s="17">
        <v>27</v>
      </c>
      <c r="M156" s="17">
        <v>71.5</v>
      </c>
      <c r="N156" s="17">
        <f t="shared" si="150"/>
        <v>40.793140621425032</v>
      </c>
      <c r="O156" s="17">
        <v>40.922763578738753</v>
      </c>
      <c r="P156" s="18">
        <f>SUMPRODUCT(H156:O156,'Fisico ASIG'!F156:M156)*24</f>
        <v>8540264.7891177218</v>
      </c>
      <c r="Q156" s="43">
        <v>0</v>
      </c>
      <c r="R156" s="43">
        <f t="shared" si="151"/>
        <v>5889.5464456052687</v>
      </c>
      <c r="S156" s="43">
        <f t="shared" si="152"/>
        <v>2909.9477628889395</v>
      </c>
      <c r="T156" s="43">
        <f t="shared" si="115"/>
        <v>1795.6376259798433</v>
      </c>
      <c r="U156" s="43">
        <v>18000</v>
      </c>
      <c r="V156" s="20">
        <v>0</v>
      </c>
      <c r="W156" s="20">
        <v>21900</v>
      </c>
      <c r="X156" s="20">
        <v>0</v>
      </c>
      <c r="Y156" s="18">
        <f>SUMPRODUCT(Q156:X156,'Fisico ASIG'!O156:V156)/E156</f>
        <v>6331806.370491432</v>
      </c>
      <c r="Z156" s="25">
        <f t="shared" si="158"/>
        <v>14872071.159609154</v>
      </c>
      <c r="AA156" s="26">
        <f>+Z156/'Fisico ASIG'!N156/24</f>
        <v>70.944140546185963</v>
      </c>
      <c r="AB156" s="26">
        <f t="shared" si="154"/>
        <v>16.923076923076923</v>
      </c>
      <c r="AC156" s="29">
        <f t="shared" si="159"/>
        <v>54.021063623109043</v>
      </c>
      <c r="AI156" s="1">
        <v>7241</v>
      </c>
      <c r="AJ156" s="1">
        <v>5762594</v>
      </c>
      <c r="AK156">
        <f t="shared" si="73"/>
        <v>1.44</v>
      </c>
      <c r="AL156" s="40">
        <f t="shared" si="96"/>
        <v>9424.2166666666653</v>
      </c>
      <c r="AM156">
        <v>4100000</v>
      </c>
      <c r="AN156" s="17">
        <v>37.796853041147571</v>
      </c>
      <c r="AO156" s="64">
        <f t="shared" si="146"/>
        <v>2.1462875802774612</v>
      </c>
      <c r="AP156">
        <v>0</v>
      </c>
      <c r="AQ156" s="1">
        <v>0.85</v>
      </c>
    </row>
    <row r="157" spans="1:43" hidden="1" x14ac:dyDescent="0.3">
      <c r="A157" s="3">
        <f t="shared" si="156"/>
        <v>1408.96</v>
      </c>
      <c r="B157" s="42">
        <v>1438.46</v>
      </c>
      <c r="C157" s="53">
        <f t="shared" si="160"/>
        <v>2026</v>
      </c>
      <c r="D157" s="52">
        <f>+'Fisico ASIG'!B157</f>
        <v>46054</v>
      </c>
      <c r="E157" s="1">
        <v>28</v>
      </c>
      <c r="F157" s="56" t="str">
        <f>+'Fisico ASIG'!D157</f>
        <v>mar</v>
      </c>
      <c r="G157" s="56">
        <f>+'Fisico ASIG'!E157</f>
        <v>46063</v>
      </c>
      <c r="H157" s="17">
        <v>28</v>
      </c>
      <c r="I157" s="17">
        <f t="shared" si="148"/>
        <v>5.1392516466045874</v>
      </c>
      <c r="J157" s="17">
        <f t="shared" si="149"/>
        <v>6.6887751722310531</v>
      </c>
      <c r="K157" s="83">
        <f t="shared" si="114"/>
        <v>7.5875000000000004</v>
      </c>
      <c r="L157" s="17">
        <v>27</v>
      </c>
      <c r="M157" s="17">
        <v>71.5</v>
      </c>
      <c r="N157" s="17">
        <f t="shared" si="150"/>
        <v>41.250512831584849</v>
      </c>
      <c r="O157" s="17">
        <v>121.88972793984395</v>
      </c>
      <c r="P157" s="18">
        <f>SUMPRODUCT(H157:O157,'Fisico ASIG'!F157:M157)*24</f>
        <v>9355853.632596001</v>
      </c>
      <c r="Q157" s="43">
        <v>0</v>
      </c>
      <c r="R157" s="43">
        <f t="shared" si="151"/>
        <v>5889.5464456052687</v>
      </c>
      <c r="S157" s="43">
        <f t="shared" si="152"/>
        <v>2909.9477628889395</v>
      </c>
      <c r="T157" s="43">
        <f t="shared" si="115"/>
        <v>1795.6376259798433</v>
      </c>
      <c r="U157" s="43">
        <v>18000</v>
      </c>
      <c r="V157" s="20">
        <v>0</v>
      </c>
      <c r="W157" s="20">
        <v>21900</v>
      </c>
      <c r="X157" s="20">
        <v>0</v>
      </c>
      <c r="Y157" s="18">
        <f>SUMPRODUCT(Q157:X157,'Fisico ASIG'!O157:V157)/E157</f>
        <v>6329891.9441797566</v>
      </c>
      <c r="Z157" s="25">
        <f t="shared" si="158"/>
        <v>15685745.576775758</v>
      </c>
      <c r="AA157" s="26">
        <f>+Z157/'Fisico ASIG'!N157/24</f>
        <v>70.391016983940375</v>
      </c>
      <c r="AB157" s="26">
        <f t="shared" si="154"/>
        <v>16.923076923076923</v>
      </c>
      <c r="AC157" s="29">
        <f t="shared" si="159"/>
        <v>53.467940060863455</v>
      </c>
      <c r="AI157" s="1">
        <v>7241</v>
      </c>
      <c r="AJ157" s="1">
        <v>5762594</v>
      </c>
      <c r="AK157">
        <f t="shared" si="73"/>
        <v>1.44</v>
      </c>
      <c r="AL157" s="40">
        <f t="shared" si="96"/>
        <v>9424.2166666666653</v>
      </c>
      <c r="AM157">
        <v>4100000</v>
      </c>
      <c r="AN157" s="17">
        <v>38.225304760266837</v>
      </c>
      <c r="AO157" s="64">
        <f t="shared" si="146"/>
        <v>2.1752080713180115</v>
      </c>
      <c r="AP157">
        <v>0</v>
      </c>
      <c r="AQ157" s="1">
        <v>0.85</v>
      </c>
    </row>
    <row r="158" spans="1:43" hidden="1" x14ac:dyDescent="0.3">
      <c r="A158" s="3">
        <f t="shared" si="156"/>
        <v>1408.96</v>
      </c>
      <c r="B158" s="42">
        <v>1438.46</v>
      </c>
      <c r="C158" s="53">
        <f t="shared" si="160"/>
        <v>2026</v>
      </c>
      <c r="D158" s="52">
        <f>+'Fisico ASIG'!B158</f>
        <v>46054</v>
      </c>
      <c r="E158" s="1">
        <v>28</v>
      </c>
      <c r="F158" s="56" t="str">
        <f>+'Fisico ASIG'!D158</f>
        <v>mié</v>
      </c>
      <c r="G158" s="56">
        <f>+'Fisico ASIG'!E158</f>
        <v>46064</v>
      </c>
      <c r="H158" s="17">
        <v>28</v>
      </c>
      <c r="I158" s="17">
        <f t="shared" si="148"/>
        <v>5.1392516466045874</v>
      </c>
      <c r="J158" s="17">
        <f t="shared" si="149"/>
        <v>6.6887751722310531</v>
      </c>
      <c r="K158" s="83">
        <f t="shared" si="114"/>
        <v>7.5875000000000004</v>
      </c>
      <c r="L158" s="17">
        <v>27</v>
      </c>
      <c r="M158" s="17">
        <v>71.5</v>
      </c>
      <c r="N158" s="17">
        <f t="shared" si="150"/>
        <v>41.366606960181038</v>
      </c>
      <c r="O158" s="17">
        <v>65.093515576507912</v>
      </c>
      <c r="P158" s="18">
        <f>SUMPRODUCT(H158:O158,'Fisico ASIG'!F158:M158)*24</f>
        <v>9019247.8824372906</v>
      </c>
      <c r="Q158" s="43">
        <v>0</v>
      </c>
      <c r="R158" s="43">
        <f t="shared" si="151"/>
        <v>5889.5464456052687</v>
      </c>
      <c r="S158" s="43">
        <f t="shared" si="152"/>
        <v>2909.9477628889395</v>
      </c>
      <c r="T158" s="43">
        <f t="shared" si="115"/>
        <v>1795.6376259798433</v>
      </c>
      <c r="U158" s="43">
        <v>18000</v>
      </c>
      <c r="V158" s="20">
        <v>0</v>
      </c>
      <c r="W158" s="20">
        <v>21900</v>
      </c>
      <c r="X158" s="20">
        <v>0</v>
      </c>
      <c r="Y158" s="18">
        <f>SUMPRODUCT(Q158:X158,'Fisico ASIG'!O158:V158)/E158</f>
        <v>6353116.1507048402</v>
      </c>
      <c r="Z158" s="25">
        <f t="shared" si="158"/>
        <v>15372364.033142131</v>
      </c>
      <c r="AA158" s="26">
        <f>+Z158/'Fisico ASIG'!N158/24</f>
        <v>74.778555980750028</v>
      </c>
      <c r="AB158" s="26">
        <f t="shared" si="154"/>
        <v>16.923076923076923</v>
      </c>
      <c r="AC158" s="29">
        <f t="shared" si="159"/>
        <v>57.855479057673108</v>
      </c>
      <c r="AI158" s="1">
        <v>7241</v>
      </c>
      <c r="AJ158" s="1">
        <v>5762594</v>
      </c>
      <c r="AK158">
        <f t="shared" si="73"/>
        <v>1.44</v>
      </c>
      <c r="AL158" s="40">
        <f t="shared" si="96"/>
        <v>9424.2166666666653</v>
      </c>
      <c r="AM158">
        <v>4100000</v>
      </c>
      <c r="AN158" s="17">
        <v>38.334058042324159</v>
      </c>
      <c r="AO158" s="64">
        <f t="shared" si="146"/>
        <v>2.1825489178568809</v>
      </c>
      <c r="AP158">
        <v>0</v>
      </c>
      <c r="AQ158" s="1">
        <v>0.85</v>
      </c>
    </row>
    <row r="159" spans="1:43" hidden="1" x14ac:dyDescent="0.3">
      <c r="A159" s="3">
        <f t="shared" si="156"/>
        <v>1408.96</v>
      </c>
      <c r="B159" s="42">
        <v>1438.46</v>
      </c>
      <c r="C159" s="53">
        <f t="shared" si="160"/>
        <v>2026</v>
      </c>
      <c r="D159" s="52">
        <f>+'Fisico ASIG'!B159</f>
        <v>46054</v>
      </c>
      <c r="E159" s="1">
        <v>28</v>
      </c>
      <c r="F159" s="56" t="str">
        <f>+'Fisico ASIG'!D159</f>
        <v>jue</v>
      </c>
      <c r="G159" s="56">
        <f>+'Fisico ASIG'!E159</f>
        <v>46065</v>
      </c>
      <c r="H159" s="17">
        <v>28</v>
      </c>
      <c r="I159" s="17">
        <f t="shared" ref="I159:I170" si="161">AI159/A159</f>
        <v>5.1392516466045874</v>
      </c>
      <c r="J159" s="17">
        <f t="shared" ref="J159:J170" si="162">+AL159/A159</f>
        <v>6.6887751722310531</v>
      </c>
      <c r="K159" s="83">
        <f t="shared" si="114"/>
        <v>7.5875000000000004</v>
      </c>
      <c r="L159" s="17">
        <v>27</v>
      </c>
      <c r="M159" s="17">
        <v>71.5</v>
      </c>
      <c r="N159" s="17">
        <f t="shared" ref="N159:N170" si="163">+AN159+AO159+AP159+AQ159</f>
        <v>40.288198176082609</v>
      </c>
      <c r="O159" s="17">
        <v>77.250120566957449</v>
      </c>
      <c r="P159" s="18">
        <f>SUMPRODUCT(H159:O159,'Fisico ASIG'!F159:M159)*24</f>
        <v>8612086.7123135608</v>
      </c>
      <c r="Q159" s="43">
        <v>0</v>
      </c>
      <c r="R159" s="43">
        <f t="shared" ref="R159:R170" si="164">+AJ159*AK159/A159</f>
        <v>5889.5464456052687</v>
      </c>
      <c r="S159" s="43">
        <f t="shared" ref="S159:S170" si="165">+AM159/A159</f>
        <v>2909.9477628889395</v>
      </c>
      <c r="T159" s="43">
        <f t="shared" si="115"/>
        <v>1795.6376259798433</v>
      </c>
      <c r="U159" s="43">
        <v>18000</v>
      </c>
      <c r="V159" s="20">
        <v>0</v>
      </c>
      <c r="W159" s="20">
        <v>21900</v>
      </c>
      <c r="X159" s="20">
        <v>0</v>
      </c>
      <c r="Y159" s="18">
        <f>SUMPRODUCT(Q159:X159,'Fisico ASIG'!O159:V159)/E159</f>
        <v>6383457.5379572632</v>
      </c>
      <c r="Z159" s="25">
        <f t="shared" ref="Z159:Z170" si="166">+(P159+Y159)</f>
        <v>14995544.250270825</v>
      </c>
      <c r="AA159" s="26">
        <f>+Z159/'Fisico ASIG'!N159/24</f>
        <v>72.157891320377942</v>
      </c>
      <c r="AB159" s="26">
        <f t="shared" si="154"/>
        <v>16.923076923076923</v>
      </c>
      <c r="AC159" s="29">
        <f t="shared" ref="AC159:AC170" si="167">+AA159-AB159</f>
        <v>55.234814397301022</v>
      </c>
      <c r="AI159" s="1">
        <v>7241</v>
      </c>
      <c r="AJ159" s="1">
        <v>5762594</v>
      </c>
      <c r="AK159">
        <f t="shared" si="73"/>
        <v>1.44</v>
      </c>
      <c r="AL159" s="40">
        <f t="shared" si="96"/>
        <v>9424.2166666666653</v>
      </c>
      <c r="AM159">
        <v>4100000</v>
      </c>
      <c r="AN159" s="17">
        <v>37.323839040826797</v>
      </c>
      <c r="AO159" s="64">
        <f t="shared" si="146"/>
        <v>2.1143591352558091</v>
      </c>
      <c r="AP159">
        <v>0</v>
      </c>
      <c r="AQ159" s="1">
        <v>0.85</v>
      </c>
    </row>
    <row r="160" spans="1:43" hidden="1" x14ac:dyDescent="0.3">
      <c r="A160" s="3">
        <f t="shared" si="156"/>
        <v>1408.96</v>
      </c>
      <c r="B160" s="42">
        <v>1438.46</v>
      </c>
      <c r="C160" s="53">
        <f t="shared" si="160"/>
        <v>2026</v>
      </c>
      <c r="D160" s="52">
        <f>+'Fisico ASIG'!B160</f>
        <v>46054</v>
      </c>
      <c r="E160" s="1">
        <v>28</v>
      </c>
      <c r="F160" s="56" t="str">
        <f>+'Fisico ASIG'!D160</f>
        <v>vie</v>
      </c>
      <c r="G160" s="56">
        <f>+'Fisico ASIG'!E160</f>
        <v>46066</v>
      </c>
      <c r="H160" s="17">
        <v>28</v>
      </c>
      <c r="I160" s="17">
        <f t="shared" si="161"/>
        <v>5.1392516466045874</v>
      </c>
      <c r="J160" s="17">
        <f t="shared" si="162"/>
        <v>6.6887751722310531</v>
      </c>
      <c r="K160" s="83">
        <f t="shared" si="114"/>
        <v>7.5875000000000004</v>
      </c>
      <c r="L160" s="17">
        <v>27</v>
      </c>
      <c r="M160" s="17">
        <v>71.5</v>
      </c>
      <c r="N160" s="17">
        <f t="shared" si="163"/>
        <v>39.92554844864592</v>
      </c>
      <c r="O160" s="17">
        <v>119.9225177524073</v>
      </c>
      <c r="P160" s="18">
        <f>SUMPRODUCT(H160:O160,'Fisico ASIG'!F160:M160)*24</f>
        <v>7099952.6919496432</v>
      </c>
      <c r="Q160" s="43">
        <v>0</v>
      </c>
      <c r="R160" s="43">
        <f t="shared" si="164"/>
        <v>5889.5464456052687</v>
      </c>
      <c r="S160" s="43">
        <f t="shared" si="165"/>
        <v>2909.9477628889395</v>
      </c>
      <c r="T160" s="43">
        <f t="shared" si="115"/>
        <v>1795.6376259798433</v>
      </c>
      <c r="U160" s="43">
        <v>18000</v>
      </c>
      <c r="V160" s="20">
        <v>0</v>
      </c>
      <c r="W160" s="20">
        <v>21900</v>
      </c>
      <c r="X160" s="20">
        <v>0</v>
      </c>
      <c r="Y160" s="18">
        <f>SUMPRODUCT(Q160:X160,'Fisico ASIG'!O160:V160)/E160</f>
        <v>6342915.3555960348</v>
      </c>
      <c r="Z160" s="25">
        <f t="shared" si="166"/>
        <v>13442868.047545679</v>
      </c>
      <c r="AA160" s="26">
        <f>+Z160/'Fisico ASIG'!N160/24</f>
        <v>72.668278086346206</v>
      </c>
      <c r="AB160" s="26">
        <f t="shared" si="154"/>
        <v>16.923076923076923</v>
      </c>
      <c r="AC160" s="29">
        <f t="shared" si="167"/>
        <v>55.745201163269286</v>
      </c>
      <c r="AI160" s="1">
        <v>7241</v>
      </c>
      <c r="AJ160" s="1">
        <v>5762594</v>
      </c>
      <c r="AK160">
        <f t="shared" si="73"/>
        <v>1.44</v>
      </c>
      <c r="AL160" s="40">
        <f t="shared" si="96"/>
        <v>9424.2166666666653</v>
      </c>
      <c r="AM160">
        <v>4100000</v>
      </c>
      <c r="AN160" s="17">
        <v>36.98412032660039</v>
      </c>
      <c r="AO160" s="64">
        <f t="shared" ref="AO160:AO223" si="168">0.075*0.9*(AN160-6)</f>
        <v>2.0914281220455266</v>
      </c>
      <c r="AP160">
        <v>0</v>
      </c>
      <c r="AQ160" s="1">
        <v>0.85</v>
      </c>
    </row>
    <row r="161" spans="1:43" hidden="1" x14ac:dyDescent="0.3">
      <c r="A161" s="3">
        <f t="shared" si="156"/>
        <v>1408.96</v>
      </c>
      <c r="B161" s="42">
        <v>1438.46</v>
      </c>
      <c r="C161" s="53">
        <f t="shared" si="160"/>
        <v>2026</v>
      </c>
      <c r="D161" s="52">
        <f>+'Fisico ASIG'!B161</f>
        <v>46054</v>
      </c>
      <c r="E161" s="1">
        <v>28</v>
      </c>
      <c r="F161" s="56" t="str">
        <f>+'Fisico ASIG'!D161</f>
        <v>sáb</v>
      </c>
      <c r="G161" s="56">
        <f>+'Fisico ASIG'!E161</f>
        <v>46067</v>
      </c>
      <c r="H161" s="17">
        <v>28</v>
      </c>
      <c r="I161" s="17">
        <f t="shared" si="161"/>
        <v>5.1392516466045874</v>
      </c>
      <c r="J161" s="17">
        <f t="shared" si="162"/>
        <v>6.6887751722310531</v>
      </c>
      <c r="K161" s="83">
        <f t="shared" si="114"/>
        <v>7.5875000000000004</v>
      </c>
      <c r="L161" s="17">
        <v>27</v>
      </c>
      <c r="M161" s="17">
        <v>71.5</v>
      </c>
      <c r="N161" s="17">
        <f t="shared" si="163"/>
        <v>40.117726872486102</v>
      </c>
      <c r="O161" s="17">
        <v>65.165493085288432</v>
      </c>
      <c r="P161" s="18">
        <f>SUMPRODUCT(H161:O161,'Fisico ASIG'!F161:M161)*24</f>
        <v>7243437.6112127407</v>
      </c>
      <c r="Q161" s="43">
        <v>0</v>
      </c>
      <c r="R161" s="43">
        <f t="shared" si="164"/>
        <v>5889.5464456052687</v>
      </c>
      <c r="S161" s="43">
        <f t="shared" si="165"/>
        <v>2909.9477628889395</v>
      </c>
      <c r="T161" s="43">
        <f t="shared" si="115"/>
        <v>1795.6376259798433</v>
      </c>
      <c r="U161" s="43">
        <v>18000</v>
      </c>
      <c r="V161" s="20">
        <v>0</v>
      </c>
      <c r="W161" s="20">
        <v>21900</v>
      </c>
      <c r="X161" s="20">
        <v>0</v>
      </c>
      <c r="Y161" s="18">
        <f>SUMPRODUCT(Q161:X161,'Fisico ASIG'!O161:V161)/E161</f>
        <v>6321304.7059988361</v>
      </c>
      <c r="Z161" s="25">
        <f t="shared" si="166"/>
        <v>13564742.317211576</v>
      </c>
      <c r="AA161" s="26">
        <f>+Z161/'Fisico ASIG'!N161/24</f>
        <v>75.121832549936315</v>
      </c>
      <c r="AB161" s="26">
        <f t="shared" si="154"/>
        <v>16.923076923076923</v>
      </c>
      <c r="AC161" s="29">
        <f t="shared" si="167"/>
        <v>58.198755626859395</v>
      </c>
      <c r="AI161" s="1">
        <v>7241</v>
      </c>
      <c r="AJ161" s="1">
        <v>5762594</v>
      </c>
      <c r="AK161">
        <f t="shared" si="73"/>
        <v>1.44</v>
      </c>
      <c r="AL161" s="40">
        <f t="shared" si="96"/>
        <v>9424.2166666666653</v>
      </c>
      <c r="AM161">
        <v>4100000</v>
      </c>
      <c r="AN161" s="17">
        <v>37.164146953148574</v>
      </c>
      <c r="AO161" s="64">
        <f t="shared" si="168"/>
        <v>2.1035799193375291</v>
      </c>
      <c r="AP161">
        <v>0</v>
      </c>
      <c r="AQ161" s="1">
        <v>0.85</v>
      </c>
    </row>
    <row r="162" spans="1:43" hidden="1" x14ac:dyDescent="0.3">
      <c r="A162" s="3">
        <f t="shared" si="156"/>
        <v>1408.96</v>
      </c>
      <c r="B162" s="42">
        <v>1438.46</v>
      </c>
      <c r="C162" s="53">
        <f t="shared" ref="C162:C168" si="169">YEAR(G162)</f>
        <v>2026</v>
      </c>
      <c r="D162" s="52">
        <f>+'Fisico ASIG'!B162</f>
        <v>46054</v>
      </c>
      <c r="E162" s="1">
        <v>28</v>
      </c>
      <c r="F162" s="56" t="str">
        <f>+'Fisico ASIG'!D162</f>
        <v>dom</v>
      </c>
      <c r="G162" s="56">
        <f>+'Fisico ASIG'!E162</f>
        <v>46068</v>
      </c>
      <c r="H162" s="17">
        <v>28</v>
      </c>
      <c r="I162" s="17">
        <f t="shared" si="161"/>
        <v>5.1392516466045874</v>
      </c>
      <c r="J162" s="17">
        <f t="shared" si="162"/>
        <v>6.6887751722310531</v>
      </c>
      <c r="K162" s="83">
        <f t="shared" si="114"/>
        <v>7.5875000000000004</v>
      </c>
      <c r="L162" s="17">
        <v>27</v>
      </c>
      <c r="M162" s="17">
        <v>71.5</v>
      </c>
      <c r="N162" s="17">
        <f t="shared" si="163"/>
        <v>39.485760716758584</v>
      </c>
      <c r="O162" s="17">
        <v>41.882971539659827</v>
      </c>
      <c r="P162" s="18">
        <f>SUMPRODUCT(H162:O162,'Fisico ASIG'!F162:M162)*24</f>
        <v>6870438.2887757719</v>
      </c>
      <c r="Q162" s="43">
        <v>0</v>
      </c>
      <c r="R162" s="43">
        <f t="shared" si="164"/>
        <v>5889.5464456052687</v>
      </c>
      <c r="S162" s="43">
        <f t="shared" si="165"/>
        <v>2909.9477628889395</v>
      </c>
      <c r="T162" s="43">
        <f t="shared" si="115"/>
        <v>1795.6376259798433</v>
      </c>
      <c r="U162" s="43">
        <v>18000</v>
      </c>
      <c r="V162" s="20">
        <v>0</v>
      </c>
      <c r="W162" s="20">
        <v>21900</v>
      </c>
      <c r="X162" s="20">
        <v>0</v>
      </c>
      <c r="Y162" s="18">
        <f>SUMPRODUCT(Q162:X162,'Fisico ASIG'!O162:V162)/E162</f>
        <v>6379522.5236497968</v>
      </c>
      <c r="Z162" s="25">
        <f t="shared" si="166"/>
        <v>13249960.812425569</v>
      </c>
      <c r="AA162" s="26">
        <f>+Z162/'Fisico ASIG'!N162/24</f>
        <v>75.754388465206418</v>
      </c>
      <c r="AB162" s="26">
        <f t="shared" si="154"/>
        <v>16.923076923076923</v>
      </c>
      <c r="AC162" s="29">
        <f t="shared" si="167"/>
        <v>58.831311542129498</v>
      </c>
      <c r="AI162" s="1">
        <v>7241</v>
      </c>
      <c r="AJ162" s="1">
        <v>5762594</v>
      </c>
      <c r="AK162">
        <f t="shared" si="73"/>
        <v>1.44</v>
      </c>
      <c r="AL162" s="40">
        <f t="shared" si="96"/>
        <v>9424.2166666666653</v>
      </c>
      <c r="AM162">
        <v>4100000</v>
      </c>
      <c r="AN162" s="17">
        <v>36.572141186659096</v>
      </c>
      <c r="AO162" s="64">
        <f t="shared" si="168"/>
        <v>2.0636195300994893</v>
      </c>
      <c r="AP162">
        <v>0</v>
      </c>
      <c r="AQ162" s="1">
        <v>0.85</v>
      </c>
    </row>
    <row r="163" spans="1:43" hidden="1" x14ac:dyDescent="0.3">
      <c r="A163" s="3">
        <f>+A162</f>
        <v>1408.96</v>
      </c>
      <c r="B163" s="42">
        <v>1423.364</v>
      </c>
      <c r="C163" s="53">
        <f t="shared" si="169"/>
        <v>2026</v>
      </c>
      <c r="D163" s="52">
        <f>+'Fisico ASIG'!B163</f>
        <v>46054</v>
      </c>
      <c r="E163" s="1">
        <v>28</v>
      </c>
      <c r="F163" s="56" t="str">
        <f>+'Fisico ASIG'!D163</f>
        <v>lun</v>
      </c>
      <c r="G163" s="56">
        <f>+'Fisico ASIG'!E163</f>
        <v>46069</v>
      </c>
      <c r="H163" s="17">
        <v>28</v>
      </c>
      <c r="I163" s="17">
        <f t="shared" si="161"/>
        <v>5.1392516466045874</v>
      </c>
      <c r="J163" s="17">
        <f t="shared" si="162"/>
        <v>6.6887751722310531</v>
      </c>
      <c r="K163" s="83">
        <f t="shared" si="114"/>
        <v>7.5875000000000004</v>
      </c>
      <c r="L163" s="17">
        <v>27</v>
      </c>
      <c r="M163" s="17">
        <v>71.5</v>
      </c>
      <c r="N163" s="17">
        <f t="shared" si="163"/>
        <v>41.043646601170529</v>
      </c>
      <c r="O163" s="17">
        <v>119.90936260763479</v>
      </c>
      <c r="P163" s="18">
        <f>SUMPRODUCT(H163:O163,'Fisico ASIG'!F163:M163)*24</f>
        <v>8104048.8832711503</v>
      </c>
      <c r="Q163" s="43">
        <v>0</v>
      </c>
      <c r="R163" s="43">
        <f t="shared" si="164"/>
        <v>5889.5464456052687</v>
      </c>
      <c r="S163" s="43">
        <f t="shared" si="165"/>
        <v>2909.9477628889395</v>
      </c>
      <c r="T163" s="43">
        <f t="shared" si="115"/>
        <v>1795.6376259798433</v>
      </c>
      <c r="U163" s="43">
        <v>18000</v>
      </c>
      <c r="V163" s="20">
        <v>0</v>
      </c>
      <c r="W163" s="20">
        <v>21900</v>
      </c>
      <c r="X163" s="20">
        <v>0</v>
      </c>
      <c r="Y163" s="18">
        <f>SUMPRODUCT(Q163:X163,'Fisico ASIG'!O163:V163)/E163</f>
        <v>6316172.0102878129</v>
      </c>
      <c r="Z163" s="25">
        <f t="shared" si="166"/>
        <v>14420220.893558964</v>
      </c>
      <c r="AA163" s="26">
        <f>+Z163/'Fisico ASIG'!N163/24</f>
        <v>74.639634680832572</v>
      </c>
      <c r="AB163" s="26">
        <f t="shared" si="154"/>
        <v>16.923076923076923</v>
      </c>
      <c r="AC163" s="29">
        <f t="shared" si="167"/>
        <v>57.716557757755652</v>
      </c>
      <c r="AI163" s="1">
        <v>7241</v>
      </c>
      <c r="AJ163" s="1">
        <v>5762594</v>
      </c>
      <c r="AK163">
        <f t="shared" si="73"/>
        <v>1.44</v>
      </c>
      <c r="AL163" s="40">
        <f t="shared" si="96"/>
        <v>9424.2166666666653</v>
      </c>
      <c r="AM163">
        <v>4100000</v>
      </c>
      <c r="AN163" s="17">
        <v>38.031519064328364</v>
      </c>
      <c r="AO163" s="64">
        <f t="shared" si="168"/>
        <v>2.1621275368421649</v>
      </c>
      <c r="AP163">
        <v>0</v>
      </c>
      <c r="AQ163" s="1">
        <v>0.85</v>
      </c>
    </row>
    <row r="164" spans="1:43" hidden="1" x14ac:dyDescent="0.3">
      <c r="A164" s="3">
        <f t="shared" si="156"/>
        <v>1408.96</v>
      </c>
      <c r="B164" s="42">
        <v>1423.364</v>
      </c>
      <c r="C164" s="53">
        <f t="shared" si="169"/>
        <v>2026</v>
      </c>
      <c r="D164" s="52">
        <f>+'Fisico ASIG'!B164</f>
        <v>46054</v>
      </c>
      <c r="E164" s="1">
        <v>28</v>
      </c>
      <c r="F164" s="56" t="str">
        <f>+'Fisico ASIG'!D164</f>
        <v>mar</v>
      </c>
      <c r="G164" s="56">
        <f>+'Fisico ASIG'!E164</f>
        <v>46070</v>
      </c>
      <c r="H164" s="17">
        <v>28</v>
      </c>
      <c r="I164" s="17">
        <f t="shared" si="161"/>
        <v>5.1392516466045874</v>
      </c>
      <c r="J164" s="17">
        <f t="shared" si="162"/>
        <v>6.6887751722310531</v>
      </c>
      <c r="K164" s="83">
        <f t="shared" si="114"/>
        <v>7.5875000000000004</v>
      </c>
      <c r="L164" s="17">
        <v>27</v>
      </c>
      <c r="M164" s="17">
        <v>71.5</v>
      </c>
      <c r="N164" s="17">
        <f t="shared" si="163"/>
        <v>42.427587169062136</v>
      </c>
      <c r="O164" s="17">
        <v>119.91731511662984</v>
      </c>
      <c r="P164" s="18">
        <f>SUMPRODUCT(H164:O164,'Fisico ASIG'!F164:M164)*24</f>
        <v>8522739.6842657402</v>
      </c>
      <c r="Q164" s="43">
        <v>0</v>
      </c>
      <c r="R164" s="43">
        <f t="shared" si="164"/>
        <v>5889.5464456052687</v>
      </c>
      <c r="S164" s="43">
        <f t="shared" si="165"/>
        <v>2909.9477628889395</v>
      </c>
      <c r="T164" s="43">
        <f t="shared" si="115"/>
        <v>1795.6376259798433</v>
      </c>
      <c r="U164" s="43">
        <v>18000</v>
      </c>
      <c r="V164" s="20">
        <v>0</v>
      </c>
      <c r="W164" s="20">
        <v>21900</v>
      </c>
      <c r="X164" s="20">
        <v>0</v>
      </c>
      <c r="Y164" s="18">
        <f>SUMPRODUCT(Q164:X164,'Fisico ASIG'!O164:V164)/E164</f>
        <v>6157830.0555492118</v>
      </c>
      <c r="Z164" s="25">
        <f t="shared" si="166"/>
        <v>14680569.739814952</v>
      </c>
      <c r="AA164" s="26">
        <f>+Z164/'Fisico ASIG'!N164/24</f>
        <v>72.252302154476169</v>
      </c>
      <c r="AB164" s="26">
        <f t="shared" si="154"/>
        <v>16.923076923076923</v>
      </c>
      <c r="AC164" s="29">
        <f t="shared" si="167"/>
        <v>55.329225231399249</v>
      </c>
      <c r="AI164" s="1">
        <v>7241</v>
      </c>
      <c r="AJ164" s="1">
        <v>5762594</v>
      </c>
      <c r="AK164">
        <f t="shared" si="73"/>
        <v>1.44</v>
      </c>
      <c r="AL164" s="40">
        <f t="shared" si="96"/>
        <v>9424.2166666666653</v>
      </c>
      <c r="AM164">
        <v>4100000</v>
      </c>
      <c r="AN164" s="17">
        <v>39.327950509660077</v>
      </c>
      <c r="AO164" s="64">
        <f t="shared" si="168"/>
        <v>2.2496366594020554</v>
      </c>
      <c r="AP164">
        <v>0</v>
      </c>
      <c r="AQ164" s="1">
        <v>0.85</v>
      </c>
    </row>
    <row r="165" spans="1:43" hidden="1" x14ac:dyDescent="0.3">
      <c r="A165" s="3">
        <f t="shared" si="156"/>
        <v>1408.96</v>
      </c>
      <c r="B165" s="42">
        <v>1423.364</v>
      </c>
      <c r="C165" s="53">
        <f t="shared" si="169"/>
        <v>2026</v>
      </c>
      <c r="D165" s="52">
        <f>+'Fisico ASIG'!B165</f>
        <v>46054</v>
      </c>
      <c r="E165" s="1">
        <v>28</v>
      </c>
      <c r="F165" s="56" t="str">
        <f>+'Fisico ASIG'!D165</f>
        <v>mié</v>
      </c>
      <c r="G165" s="56">
        <f>+'Fisico ASIG'!E165</f>
        <v>46071</v>
      </c>
      <c r="H165" s="17">
        <v>28</v>
      </c>
      <c r="I165" s="17">
        <f t="shared" si="161"/>
        <v>5.1392516466045874</v>
      </c>
      <c r="J165" s="17">
        <f t="shared" si="162"/>
        <v>6.6887751722310531</v>
      </c>
      <c r="K165" s="83">
        <f t="shared" si="114"/>
        <v>7.5875000000000004</v>
      </c>
      <c r="L165" s="17">
        <v>27</v>
      </c>
      <c r="M165" s="17">
        <v>71.5</v>
      </c>
      <c r="N165" s="17">
        <f t="shared" si="163"/>
        <v>42.86476888887541</v>
      </c>
      <c r="O165" s="17">
        <v>119.88762703781302</v>
      </c>
      <c r="P165" s="18">
        <f>SUMPRODUCT(H165:O165,'Fisico ASIG'!F165:M165)*24</f>
        <v>9063475.440360114</v>
      </c>
      <c r="Q165" s="43">
        <v>0</v>
      </c>
      <c r="R165" s="43">
        <f t="shared" si="164"/>
        <v>5889.5464456052687</v>
      </c>
      <c r="S165" s="43">
        <f t="shared" si="165"/>
        <v>2909.9477628889395</v>
      </c>
      <c r="T165" s="43">
        <f t="shared" si="115"/>
        <v>1795.6376259798433</v>
      </c>
      <c r="U165" s="43">
        <v>18000</v>
      </c>
      <c r="V165" s="20">
        <v>0</v>
      </c>
      <c r="W165" s="20">
        <v>21900</v>
      </c>
      <c r="X165" s="20">
        <v>0</v>
      </c>
      <c r="Y165" s="18">
        <f>SUMPRODUCT(Q165:X165,'Fisico ASIG'!O165:V165)/E165</f>
        <v>6267714.1536456272</v>
      </c>
      <c r="Z165" s="25">
        <f t="shared" si="166"/>
        <v>15331189.594005741</v>
      </c>
      <c r="AA165" s="26">
        <f>+Z165/'Fisico ASIG'!N165/24</f>
        <v>64.356515134610348</v>
      </c>
      <c r="AB165" s="26">
        <f t="shared" si="154"/>
        <v>16.923076923076923</v>
      </c>
      <c r="AC165" s="29">
        <f t="shared" si="167"/>
        <v>47.433438211533428</v>
      </c>
      <c r="AI165" s="1">
        <v>7241</v>
      </c>
      <c r="AJ165" s="1">
        <v>5762594</v>
      </c>
      <c r="AK165">
        <f t="shared" si="73"/>
        <v>1.44</v>
      </c>
      <c r="AL165" s="40">
        <f t="shared" si="96"/>
        <v>9424.2166666666653</v>
      </c>
      <c r="AM165">
        <v>4100000</v>
      </c>
      <c r="AN165" s="17">
        <v>39.737488420492184</v>
      </c>
      <c r="AO165" s="64">
        <f t="shared" si="168"/>
        <v>2.2772804683832226</v>
      </c>
      <c r="AP165">
        <v>0</v>
      </c>
      <c r="AQ165" s="1">
        <v>0.85</v>
      </c>
    </row>
    <row r="166" spans="1:43" hidden="1" x14ac:dyDescent="0.3">
      <c r="A166" s="3">
        <f t="shared" si="156"/>
        <v>1408.96</v>
      </c>
      <c r="B166" s="42">
        <v>1423.364</v>
      </c>
      <c r="C166" s="53">
        <f t="shared" si="169"/>
        <v>2026</v>
      </c>
      <c r="D166" s="52">
        <f>+'Fisico ASIG'!B166</f>
        <v>46054</v>
      </c>
      <c r="E166" s="1">
        <v>28</v>
      </c>
      <c r="F166" s="56" t="str">
        <f>+'Fisico ASIG'!D166</f>
        <v>jue</v>
      </c>
      <c r="G166" s="56">
        <f>+'Fisico ASIG'!E166</f>
        <v>46072</v>
      </c>
      <c r="H166" s="17">
        <v>28</v>
      </c>
      <c r="I166" s="17">
        <f t="shared" si="161"/>
        <v>5.1392516466045874</v>
      </c>
      <c r="J166" s="17">
        <f t="shared" si="162"/>
        <v>6.6887751722310531</v>
      </c>
      <c r="K166" s="83">
        <f t="shared" si="114"/>
        <v>7.5875000000000004</v>
      </c>
      <c r="L166" s="17">
        <v>27</v>
      </c>
      <c r="M166" s="17">
        <v>71.5</v>
      </c>
      <c r="N166" s="17">
        <f t="shared" si="163"/>
        <v>41.776676992603569</v>
      </c>
      <c r="O166" s="17">
        <v>108.05759589625512</v>
      </c>
      <c r="P166" s="18">
        <f>SUMPRODUCT(H166:O166,'Fisico ASIG'!F166:M166)*24</f>
        <v>7652883.2161006443</v>
      </c>
      <c r="Q166" s="43">
        <v>0</v>
      </c>
      <c r="R166" s="43">
        <f t="shared" si="164"/>
        <v>5889.5464456052687</v>
      </c>
      <c r="S166" s="43">
        <f t="shared" si="165"/>
        <v>2909.9477628889395</v>
      </c>
      <c r="T166" s="43">
        <f t="shared" si="115"/>
        <v>1795.6376259798433</v>
      </c>
      <c r="U166" s="43">
        <v>18000</v>
      </c>
      <c r="V166" s="20">
        <v>0</v>
      </c>
      <c r="W166" s="20">
        <v>21900</v>
      </c>
      <c r="X166" s="20">
        <v>0</v>
      </c>
      <c r="Y166" s="18">
        <f>SUMPRODUCT(Q166:X166,'Fisico ASIG'!O166:V166)/E166</f>
        <v>6160540.0068161041</v>
      </c>
      <c r="Z166" s="25">
        <f t="shared" si="166"/>
        <v>13813423.222916748</v>
      </c>
      <c r="AA166" s="26">
        <f>+Z166/'Fisico ASIG'!N166/24</f>
        <v>72.429494418406946</v>
      </c>
      <c r="AB166" s="26">
        <f t="shared" si="154"/>
        <v>16.923076923076923</v>
      </c>
      <c r="AC166" s="29">
        <f t="shared" si="167"/>
        <v>55.506417495330027</v>
      </c>
      <c r="AI166" s="1">
        <v>7241</v>
      </c>
      <c r="AJ166" s="1">
        <v>5762594</v>
      </c>
      <c r="AK166">
        <f t="shared" si="73"/>
        <v>1.44</v>
      </c>
      <c r="AL166" s="40">
        <f t="shared" si="96"/>
        <v>9424.2166666666653</v>
      </c>
      <c r="AM166">
        <v>4100000</v>
      </c>
      <c r="AN166" s="17">
        <v>38.718198587919034</v>
      </c>
      <c r="AO166" s="64">
        <f t="shared" si="168"/>
        <v>2.2084784046845347</v>
      </c>
      <c r="AP166">
        <v>0</v>
      </c>
      <c r="AQ166" s="1">
        <v>0.85</v>
      </c>
    </row>
    <row r="167" spans="1:43" hidden="1" x14ac:dyDescent="0.3">
      <c r="A167" s="3">
        <f t="shared" si="156"/>
        <v>1408.96</v>
      </c>
      <c r="B167" s="42">
        <v>1423.364</v>
      </c>
      <c r="C167" s="53">
        <f t="shared" si="169"/>
        <v>2026</v>
      </c>
      <c r="D167" s="52">
        <f>+'Fisico ASIG'!B167</f>
        <v>46054</v>
      </c>
      <c r="E167" s="1">
        <v>28</v>
      </c>
      <c r="F167" s="56" t="str">
        <f>+'Fisico ASIG'!D167</f>
        <v>vie</v>
      </c>
      <c r="G167" s="56">
        <f>+'Fisico ASIG'!E167</f>
        <v>46073</v>
      </c>
      <c r="H167" s="17">
        <v>28</v>
      </c>
      <c r="I167" s="17">
        <f t="shared" si="161"/>
        <v>5.1392516466045874</v>
      </c>
      <c r="J167" s="17">
        <f t="shared" si="162"/>
        <v>6.6887751722310531</v>
      </c>
      <c r="K167" s="83">
        <f t="shared" si="114"/>
        <v>7.5875000000000004</v>
      </c>
      <c r="L167" s="17">
        <v>27</v>
      </c>
      <c r="M167" s="17">
        <v>71.5</v>
      </c>
      <c r="N167" s="17">
        <f t="shared" si="163"/>
        <v>39.536345398898014</v>
      </c>
      <c r="O167" s="17">
        <v>119.90050209278427</v>
      </c>
      <c r="P167" s="18">
        <f>SUMPRODUCT(H167:O167,'Fisico ASIG'!F167:M167)*24</f>
        <v>7387998.4896733891</v>
      </c>
      <c r="Q167" s="43">
        <v>0</v>
      </c>
      <c r="R167" s="43">
        <f t="shared" si="164"/>
        <v>5889.5464456052687</v>
      </c>
      <c r="S167" s="43">
        <f t="shared" si="165"/>
        <v>2909.9477628889395</v>
      </c>
      <c r="T167" s="43">
        <f t="shared" si="115"/>
        <v>1795.6376259798433</v>
      </c>
      <c r="U167" s="43">
        <v>18000</v>
      </c>
      <c r="V167" s="20">
        <v>0</v>
      </c>
      <c r="W167" s="20">
        <v>21900</v>
      </c>
      <c r="X167" s="20">
        <v>0</v>
      </c>
      <c r="Y167" s="18">
        <f>SUMPRODUCT(Q167:X167,'Fisico ASIG'!O167:V167)/E167</f>
        <v>6300661.7155627692</v>
      </c>
      <c r="Z167" s="25">
        <f t="shared" si="166"/>
        <v>13688660.205236159</v>
      </c>
      <c r="AA167" s="26">
        <f>+Z167/'Fisico ASIG'!N167/24</f>
        <v>72.105765951390268</v>
      </c>
      <c r="AB167" s="26">
        <f t="shared" si="154"/>
        <v>16.923076923076923</v>
      </c>
      <c r="AC167" s="29">
        <f t="shared" si="167"/>
        <v>55.182689028313348</v>
      </c>
      <c r="AI167" s="1">
        <v>7241</v>
      </c>
      <c r="AJ167" s="1">
        <v>5762594</v>
      </c>
      <c r="AK167">
        <f t="shared" si="73"/>
        <v>1.44</v>
      </c>
      <c r="AL167" s="40">
        <f t="shared" si="96"/>
        <v>9424.2166666666653</v>
      </c>
      <c r="AM167">
        <v>4100000</v>
      </c>
      <c r="AN167" s="17">
        <v>36.619527305759263</v>
      </c>
      <c r="AO167" s="64">
        <f t="shared" si="168"/>
        <v>2.0668180931387505</v>
      </c>
      <c r="AP167">
        <v>0</v>
      </c>
      <c r="AQ167" s="1">
        <v>0.85</v>
      </c>
    </row>
    <row r="168" spans="1:43" hidden="1" x14ac:dyDescent="0.3">
      <c r="A168" s="3">
        <f t="shared" si="156"/>
        <v>1408.96</v>
      </c>
      <c r="B168" s="42">
        <v>1423.364</v>
      </c>
      <c r="C168" s="53">
        <f t="shared" si="169"/>
        <v>2026</v>
      </c>
      <c r="D168" s="52">
        <f>+'Fisico ASIG'!B168</f>
        <v>46054</v>
      </c>
      <c r="E168" s="1">
        <v>28</v>
      </c>
      <c r="F168" s="56" t="str">
        <f>+'Fisico ASIG'!D168</f>
        <v>sáb</v>
      </c>
      <c r="G168" s="56">
        <f>+'Fisico ASIG'!E168</f>
        <v>46074</v>
      </c>
      <c r="H168" s="17">
        <v>28</v>
      </c>
      <c r="I168" s="17">
        <f t="shared" si="161"/>
        <v>5.1392516466045874</v>
      </c>
      <c r="J168" s="17">
        <f t="shared" si="162"/>
        <v>6.6887751722310531</v>
      </c>
      <c r="K168" s="83">
        <f t="shared" si="114"/>
        <v>7.5875000000000004</v>
      </c>
      <c r="L168" s="17">
        <v>27</v>
      </c>
      <c r="M168" s="17">
        <v>71.5</v>
      </c>
      <c r="N168" s="17">
        <f t="shared" si="163"/>
        <v>40.614854610088827</v>
      </c>
      <c r="O168" s="17">
        <v>59.762019361696318</v>
      </c>
      <c r="P168" s="18">
        <f>SUMPRODUCT(H168:O168,'Fisico ASIG'!F168:M168)*24</f>
        <v>7197516.25764619</v>
      </c>
      <c r="Q168" s="43">
        <v>0</v>
      </c>
      <c r="R168" s="43">
        <f t="shared" si="164"/>
        <v>5889.5464456052687</v>
      </c>
      <c r="S168" s="43">
        <f t="shared" si="165"/>
        <v>2909.9477628889395</v>
      </c>
      <c r="T168" s="43">
        <f t="shared" si="115"/>
        <v>1795.6376259798433</v>
      </c>
      <c r="U168" s="43">
        <v>18000</v>
      </c>
      <c r="V168" s="20">
        <v>0</v>
      </c>
      <c r="W168" s="20">
        <v>21900</v>
      </c>
      <c r="X168" s="20">
        <v>0</v>
      </c>
      <c r="Y168" s="18">
        <f>SUMPRODUCT(Q168:X168,'Fisico ASIG'!O168:V168)/E168</f>
        <v>6326889.4648637827</v>
      </c>
      <c r="Z168" s="25">
        <f t="shared" si="166"/>
        <v>13524405.722509973</v>
      </c>
      <c r="AA168" s="26">
        <f>+Z168/'Fisico ASIG'!N168/24</f>
        <v>73.853466812287124</v>
      </c>
      <c r="AB168" s="26">
        <f t="shared" si="154"/>
        <v>16.923076923076923</v>
      </c>
      <c r="AC168" s="29">
        <f t="shared" si="167"/>
        <v>56.930389889210204</v>
      </c>
      <c r="AI168" s="1">
        <v>7241</v>
      </c>
      <c r="AJ168" s="1">
        <v>5762594</v>
      </c>
      <c r="AK168">
        <f t="shared" si="73"/>
        <v>1.44</v>
      </c>
      <c r="AL168" s="40">
        <f t="shared" si="96"/>
        <v>9424.2166666666653</v>
      </c>
      <c r="AM168">
        <v>4100000</v>
      </c>
      <c r="AN168" s="17">
        <v>37.62984038415815</v>
      </c>
      <c r="AO168" s="64">
        <f t="shared" si="168"/>
        <v>2.1350142259306755</v>
      </c>
      <c r="AP168">
        <v>0</v>
      </c>
      <c r="AQ168" s="1">
        <v>0.85</v>
      </c>
    </row>
    <row r="169" spans="1:43" hidden="1" x14ac:dyDescent="0.3">
      <c r="A169" s="3">
        <f t="shared" si="156"/>
        <v>1408.96</v>
      </c>
      <c r="B169" s="42">
        <v>1423.364</v>
      </c>
      <c r="C169" s="53">
        <f t="shared" ref="C169:C170" si="170">YEAR(G169)</f>
        <v>2026</v>
      </c>
      <c r="D169" s="52">
        <f>+'Fisico ASIG'!B169</f>
        <v>46054</v>
      </c>
      <c r="E169" s="1">
        <v>28</v>
      </c>
      <c r="F169" s="56" t="str">
        <f>+'Fisico ASIG'!D169</f>
        <v>dom</v>
      </c>
      <c r="G169" s="56">
        <f>+'Fisico ASIG'!E169</f>
        <v>46075</v>
      </c>
      <c r="H169" s="17">
        <v>28</v>
      </c>
      <c r="I169" s="17">
        <f t="shared" si="161"/>
        <v>5.1392516466045874</v>
      </c>
      <c r="J169" s="17">
        <f t="shared" si="162"/>
        <v>6.6887751722310531</v>
      </c>
      <c r="K169" s="83">
        <f t="shared" si="114"/>
        <v>7.5875000000000004</v>
      </c>
      <c r="L169" s="17">
        <v>27</v>
      </c>
      <c r="M169" s="17">
        <v>71.5</v>
      </c>
      <c r="N169" s="17">
        <f t="shared" si="163"/>
        <v>40.658244684318049</v>
      </c>
      <c r="O169" s="17">
        <v>41.425810228132796</v>
      </c>
      <c r="P169" s="18">
        <f>SUMPRODUCT(H169:O169,'Fisico ASIG'!F169:M169)*24</f>
        <v>6860014.6527690068</v>
      </c>
      <c r="Q169" s="43">
        <v>0</v>
      </c>
      <c r="R169" s="43">
        <f t="shared" si="164"/>
        <v>5889.5464456052687</v>
      </c>
      <c r="S169" s="43">
        <f t="shared" si="165"/>
        <v>2909.9477628889395</v>
      </c>
      <c r="T169" s="43">
        <f t="shared" si="115"/>
        <v>1795.6376259798433</v>
      </c>
      <c r="U169" s="43">
        <v>18000</v>
      </c>
      <c r="V169" s="20">
        <v>0</v>
      </c>
      <c r="W169" s="20">
        <v>21900</v>
      </c>
      <c r="X169" s="20">
        <v>0</v>
      </c>
      <c r="Y169" s="18">
        <f>SUMPRODUCT(Q169:X169,'Fisico ASIG'!O169:V169)/E169</f>
        <v>6153955.7179092914</v>
      </c>
      <c r="Z169" s="25">
        <f>+(P169+Y169)</f>
        <v>13013970.370678298</v>
      </c>
      <c r="AA169" s="26">
        <f>+Z169/'Fisico ASIG'!N169/24</f>
        <v>76.73744391854224</v>
      </c>
      <c r="AB169" s="26">
        <f t="shared" si="154"/>
        <v>16.923076923076923</v>
      </c>
      <c r="AC169" s="29">
        <f t="shared" si="167"/>
        <v>59.814366995465321</v>
      </c>
      <c r="AI169" s="1">
        <v>7241</v>
      </c>
      <c r="AJ169" s="1">
        <v>5762594</v>
      </c>
      <c r="AK169">
        <f t="shared" si="73"/>
        <v>1.44</v>
      </c>
      <c r="AL169" s="40">
        <f t="shared" si="96"/>
        <v>9424.2166666666653</v>
      </c>
      <c r="AM169">
        <v>4100000</v>
      </c>
      <c r="AN169" s="17">
        <v>37.670486823717141</v>
      </c>
      <c r="AO169" s="64">
        <f t="shared" si="168"/>
        <v>2.1377578606009071</v>
      </c>
      <c r="AP169">
        <v>0</v>
      </c>
      <c r="AQ169" s="1">
        <v>0.85</v>
      </c>
    </row>
    <row r="170" spans="1:43" hidden="1" x14ac:dyDescent="0.3">
      <c r="A170" s="3">
        <f t="shared" si="156"/>
        <v>1408.96</v>
      </c>
      <c r="B170" s="42">
        <v>1423.364</v>
      </c>
      <c r="C170" s="53">
        <f t="shared" si="170"/>
        <v>2026</v>
      </c>
      <c r="D170" s="52">
        <f>+'Fisico ASIG'!B170</f>
        <v>46054</v>
      </c>
      <c r="E170" s="1">
        <v>28</v>
      </c>
      <c r="F170" s="56" t="str">
        <f>+'Fisico ASIG'!D170</f>
        <v>lun</v>
      </c>
      <c r="G170" s="56">
        <f>+'Fisico ASIG'!E170</f>
        <v>46076</v>
      </c>
      <c r="H170" s="17">
        <v>28</v>
      </c>
      <c r="I170" s="17">
        <f t="shared" si="161"/>
        <v>5.1392516466045874</v>
      </c>
      <c r="J170" s="17">
        <f t="shared" si="162"/>
        <v>6.6887751722310531</v>
      </c>
      <c r="K170" s="83">
        <f t="shared" si="114"/>
        <v>7.5875000000000004</v>
      </c>
      <c r="L170" s="17">
        <v>27</v>
      </c>
      <c r="M170" s="17">
        <v>71.5</v>
      </c>
      <c r="N170" s="17">
        <f t="shared" si="163"/>
        <v>40.639202671640533</v>
      </c>
      <c r="O170" s="17">
        <v>50.956563507630932</v>
      </c>
      <c r="P170" s="18">
        <f>SUMPRODUCT(H170:O170,'Fisico ASIG'!F170:M170)*24</f>
        <v>7907544.7513491092</v>
      </c>
      <c r="Q170" s="43">
        <v>0</v>
      </c>
      <c r="R170" s="43">
        <f t="shared" si="164"/>
        <v>5889.5464456052687</v>
      </c>
      <c r="S170" s="43">
        <f t="shared" si="165"/>
        <v>2909.9477628889395</v>
      </c>
      <c r="T170" s="43">
        <f t="shared" si="115"/>
        <v>1795.6376259798433</v>
      </c>
      <c r="U170" s="43">
        <v>18000</v>
      </c>
      <c r="V170" s="20">
        <v>0</v>
      </c>
      <c r="W170" s="20">
        <v>21900</v>
      </c>
      <c r="X170" s="20">
        <v>0</v>
      </c>
      <c r="Y170" s="18">
        <f>SUMPRODUCT(Q170:X170,'Fisico ASIG'!O170:V170)/E170</f>
        <v>6114304.4111344349</v>
      </c>
      <c r="Z170" s="25">
        <f t="shared" si="166"/>
        <v>14021849.162483543</v>
      </c>
      <c r="AA170" s="26">
        <f>+Z170/'Fisico ASIG'!N170/24</f>
        <v>66.936350464471602</v>
      </c>
      <c r="AB170" s="26">
        <f t="shared" si="154"/>
        <v>16.923076923076923</v>
      </c>
      <c r="AC170" s="29">
        <f t="shared" si="167"/>
        <v>50.013273541394682</v>
      </c>
      <c r="AI170" s="1">
        <v>7241</v>
      </c>
      <c r="AJ170" s="1">
        <v>5762594</v>
      </c>
      <c r="AK170">
        <f t="shared" si="73"/>
        <v>1.44</v>
      </c>
      <c r="AL170" s="40">
        <f t="shared" si="96"/>
        <v>9424.2166666666653</v>
      </c>
      <c r="AM170">
        <v>4100000</v>
      </c>
      <c r="AN170" s="17">
        <v>37.652648872731177</v>
      </c>
      <c r="AO170" s="64">
        <f t="shared" si="168"/>
        <v>2.1365537989093548</v>
      </c>
      <c r="AP170">
        <v>0</v>
      </c>
      <c r="AQ170" s="1">
        <v>0.85</v>
      </c>
    </row>
    <row r="171" spans="1:43" hidden="1" x14ac:dyDescent="0.3">
      <c r="A171" s="3">
        <f t="shared" si="156"/>
        <v>1408.96</v>
      </c>
      <c r="B171" s="42">
        <v>1423.364</v>
      </c>
      <c r="C171" s="53">
        <f t="shared" ref="C171:C175" si="171">YEAR(G171)</f>
        <v>2026</v>
      </c>
      <c r="D171" s="52">
        <f>+'Fisico ASIG'!B171</f>
        <v>46054</v>
      </c>
      <c r="E171" s="1">
        <v>28</v>
      </c>
      <c r="F171" s="56" t="str">
        <f>+'Fisico ASIG'!D171</f>
        <v>mar</v>
      </c>
      <c r="G171" s="56">
        <f>+'Fisico ASIG'!E171</f>
        <v>46077</v>
      </c>
      <c r="H171" s="17">
        <v>28</v>
      </c>
      <c r="I171" s="17">
        <f t="shared" ref="I171:I175" si="172">AI171/A171</f>
        <v>5.1392516466045874</v>
      </c>
      <c r="J171" s="17">
        <f t="shared" ref="J171:J176" si="173">+AL171/A171</f>
        <v>6.6887751722310531</v>
      </c>
      <c r="K171" s="83">
        <f t="shared" si="114"/>
        <v>7.5875000000000004</v>
      </c>
      <c r="L171" s="17">
        <v>27</v>
      </c>
      <c r="M171" s="17">
        <v>71.5</v>
      </c>
      <c r="N171" s="17">
        <f t="shared" ref="N171:N189" si="174">+AN171+AO171+AP171+AQ171</f>
        <v>40.867576882080982</v>
      </c>
      <c r="O171" s="17">
        <v>119.94136103944328</v>
      </c>
      <c r="P171" s="18">
        <f>SUMPRODUCT(H171:O171,'Fisico ASIG'!F171:M171)*24</f>
        <v>8615546.4163052589</v>
      </c>
      <c r="Q171" s="43">
        <v>0</v>
      </c>
      <c r="R171" s="43">
        <f t="shared" ref="R171:R176" si="175">+AJ171*AK171/A171</f>
        <v>5889.5464456052687</v>
      </c>
      <c r="S171" s="43">
        <f t="shared" ref="S171:S176" si="176">+AM171/A171</f>
        <v>2909.9477628889395</v>
      </c>
      <c r="T171" s="43">
        <f t="shared" si="115"/>
        <v>1795.6376259798433</v>
      </c>
      <c r="U171" s="43">
        <v>18000</v>
      </c>
      <c r="V171" s="20">
        <v>0</v>
      </c>
      <c r="W171" s="20">
        <v>21900</v>
      </c>
      <c r="X171" s="20">
        <v>0</v>
      </c>
      <c r="Y171" s="18">
        <f>SUMPRODUCT(Q171:X171,'Fisico ASIG'!O171:V171)/E171</f>
        <v>6078314.4663563967</v>
      </c>
      <c r="Z171" s="25">
        <f t="shared" ref="Z171:Z176" si="177">+(P171+Y171)</f>
        <v>14693860.882661656</v>
      </c>
      <c r="AA171" s="26">
        <f>+Z171/'Fisico ASIG'!N171/24</f>
        <v>70.0360382448103</v>
      </c>
      <c r="AB171" s="26">
        <f t="shared" si="154"/>
        <v>16.923076923076923</v>
      </c>
      <c r="AC171" s="29">
        <f t="shared" ref="AC171:AC176" si="178">+AA171-AB171</f>
        <v>53.11296132173338</v>
      </c>
      <c r="AI171" s="1">
        <v>7241</v>
      </c>
      <c r="AJ171" s="1">
        <v>5762594</v>
      </c>
      <c r="AK171">
        <f t="shared" si="73"/>
        <v>1.44</v>
      </c>
      <c r="AL171" s="40">
        <f t="shared" si="96"/>
        <v>9424.2166666666653</v>
      </c>
      <c r="AM171">
        <v>4100000</v>
      </c>
      <c r="AN171" s="17">
        <v>37.866582559326446</v>
      </c>
      <c r="AO171" s="64">
        <f t="shared" si="168"/>
        <v>2.1509943227545354</v>
      </c>
      <c r="AP171">
        <v>0</v>
      </c>
      <c r="AQ171" s="1">
        <v>0.85</v>
      </c>
    </row>
    <row r="172" spans="1:43" hidden="1" x14ac:dyDescent="0.3">
      <c r="A172" s="3">
        <f t="shared" si="156"/>
        <v>1408.96</v>
      </c>
      <c r="B172" s="42">
        <v>1423.364</v>
      </c>
      <c r="C172" s="53">
        <f t="shared" si="171"/>
        <v>2026</v>
      </c>
      <c r="D172" s="52">
        <f>+'Fisico ASIG'!B172</f>
        <v>46054</v>
      </c>
      <c r="E172" s="1">
        <v>28</v>
      </c>
      <c r="F172" s="56" t="str">
        <f>+'Fisico ASIG'!D172</f>
        <v>mié</v>
      </c>
      <c r="G172" s="56">
        <f>+'Fisico ASIG'!E172</f>
        <v>46078</v>
      </c>
      <c r="H172" s="17">
        <v>28</v>
      </c>
      <c r="I172" s="17">
        <f t="shared" si="172"/>
        <v>5.1392516466045874</v>
      </c>
      <c r="J172" s="17">
        <f t="shared" si="173"/>
        <v>6.6887751722310531</v>
      </c>
      <c r="K172" s="83">
        <f t="shared" si="114"/>
        <v>7.5875000000000004</v>
      </c>
      <c r="L172" s="17">
        <v>27</v>
      </c>
      <c r="M172" s="17">
        <v>71.5</v>
      </c>
      <c r="N172" s="17">
        <f t="shared" si="174"/>
        <v>39.68301649306504</v>
      </c>
      <c r="O172" s="17">
        <v>52.155812548704723</v>
      </c>
      <c r="P172" s="18">
        <f>SUMPRODUCT(H172:O172,'Fisico ASIG'!F172:M172)*24</f>
        <v>6914984.4952929858</v>
      </c>
      <c r="Q172" s="43">
        <v>0</v>
      </c>
      <c r="R172" s="43">
        <f t="shared" si="175"/>
        <v>5889.5464456052687</v>
      </c>
      <c r="S172" s="43">
        <f t="shared" si="176"/>
        <v>2909.9477628889395</v>
      </c>
      <c r="T172" s="43">
        <f t="shared" si="115"/>
        <v>1795.6376259798433</v>
      </c>
      <c r="U172" s="43">
        <v>18000</v>
      </c>
      <c r="V172" s="20">
        <v>0</v>
      </c>
      <c r="W172" s="20">
        <v>21900</v>
      </c>
      <c r="X172" s="20">
        <v>0</v>
      </c>
      <c r="Y172" s="18">
        <f>SUMPRODUCT(Q172:X172,'Fisico ASIG'!O172:V172)/E172</f>
        <v>6168457.419464184</v>
      </c>
      <c r="Z172" s="25">
        <f t="shared" si="177"/>
        <v>13083441.91475717</v>
      </c>
      <c r="AA172" s="26">
        <f>+Z172/'Fisico ASIG'!N172/24</f>
        <v>73.27835821501462</v>
      </c>
      <c r="AB172" s="26">
        <f t="shared" si="154"/>
        <v>16.923076923076923</v>
      </c>
      <c r="AC172" s="29">
        <f t="shared" si="178"/>
        <v>56.3552812919377</v>
      </c>
      <c r="AI172" s="1">
        <v>7241</v>
      </c>
      <c r="AJ172" s="1">
        <v>5762594</v>
      </c>
      <c r="AK172">
        <f t="shared" si="73"/>
        <v>1.44</v>
      </c>
      <c r="AL172" s="40">
        <f t="shared" si="96"/>
        <v>9424.2166666666653</v>
      </c>
      <c r="AM172">
        <v>4100000</v>
      </c>
      <c r="AN172" s="17">
        <v>36.756924115283411</v>
      </c>
      <c r="AO172" s="64">
        <f t="shared" si="168"/>
        <v>2.0760923777816305</v>
      </c>
      <c r="AP172">
        <v>0</v>
      </c>
      <c r="AQ172" s="1">
        <v>0.85</v>
      </c>
    </row>
    <row r="173" spans="1:43" hidden="1" x14ac:dyDescent="0.3">
      <c r="A173" s="3">
        <f t="shared" si="156"/>
        <v>1408.96</v>
      </c>
      <c r="B173" s="42">
        <v>1423.364</v>
      </c>
      <c r="C173" s="53">
        <f t="shared" si="171"/>
        <v>2026</v>
      </c>
      <c r="D173" s="52">
        <f>+'Fisico ASIG'!B173</f>
        <v>46054</v>
      </c>
      <c r="E173" s="1">
        <v>28</v>
      </c>
      <c r="F173" s="56" t="str">
        <f>+'Fisico ASIG'!D173</f>
        <v>jue</v>
      </c>
      <c r="G173" s="56">
        <f>+'Fisico ASIG'!E173</f>
        <v>46079</v>
      </c>
      <c r="H173" s="17">
        <v>28</v>
      </c>
      <c r="I173" s="17">
        <f t="shared" si="172"/>
        <v>5.1392516466045874</v>
      </c>
      <c r="J173" s="17">
        <f t="shared" si="173"/>
        <v>6.6887751722310531</v>
      </c>
      <c r="K173" s="83">
        <f t="shared" si="114"/>
        <v>7.5875000000000004</v>
      </c>
      <c r="L173" s="17">
        <v>27</v>
      </c>
      <c r="M173" s="17">
        <v>71.5</v>
      </c>
      <c r="N173" s="17">
        <f t="shared" si="174"/>
        <v>40.493080034898064</v>
      </c>
      <c r="O173" s="17">
        <v>96.30824632558452</v>
      </c>
      <c r="P173" s="18">
        <f>SUMPRODUCT(H173:O173,'Fisico ASIG'!F173:M173)*24</f>
        <v>6840779.9397672769</v>
      </c>
      <c r="Q173" s="43">
        <v>0</v>
      </c>
      <c r="R173" s="43">
        <f t="shared" si="175"/>
        <v>5889.5464456052687</v>
      </c>
      <c r="S173" s="43">
        <f t="shared" si="176"/>
        <v>2909.9477628889395</v>
      </c>
      <c r="T173" s="43">
        <f t="shared" si="115"/>
        <v>1795.6376259798433</v>
      </c>
      <c r="U173" s="43">
        <v>18000</v>
      </c>
      <c r="V173" s="20">
        <v>0</v>
      </c>
      <c r="W173" s="20">
        <v>21900</v>
      </c>
      <c r="X173" s="20">
        <v>0</v>
      </c>
      <c r="Y173" s="18">
        <f>SUMPRODUCT(Q173:X173,'Fisico ASIG'!O173:V173)/E173</f>
        <v>5878903.4251109017</v>
      </c>
      <c r="Z173" s="25">
        <f t="shared" si="177"/>
        <v>12719683.364878178</v>
      </c>
      <c r="AA173" s="26">
        <f>+Z173/'Fisico ASIG'!N173/24</f>
        <v>71.713064316363528</v>
      </c>
      <c r="AB173" s="26">
        <f t="shared" si="154"/>
        <v>16.923076923076923</v>
      </c>
      <c r="AC173" s="29">
        <f t="shared" si="178"/>
        <v>54.789987393286609</v>
      </c>
      <c r="AI173" s="1">
        <v>7241</v>
      </c>
      <c r="AJ173" s="1">
        <v>5762594</v>
      </c>
      <c r="AK173">
        <f t="shared" si="73"/>
        <v>1.44</v>
      </c>
      <c r="AL173" s="40">
        <f t="shared" si="96"/>
        <v>9424.2166666666653</v>
      </c>
      <c r="AM173">
        <v>4100000</v>
      </c>
      <c r="AN173" s="17">
        <v>37.51576584065392</v>
      </c>
      <c r="AO173" s="64">
        <f t="shared" si="168"/>
        <v>2.1273141942441396</v>
      </c>
      <c r="AP173">
        <v>0</v>
      </c>
      <c r="AQ173" s="1">
        <v>0.85</v>
      </c>
    </row>
    <row r="174" spans="1:43" hidden="1" x14ac:dyDescent="0.3">
      <c r="A174" s="3">
        <f t="shared" si="156"/>
        <v>1408.96</v>
      </c>
      <c r="B174" s="42">
        <v>1423.364</v>
      </c>
      <c r="C174" s="53">
        <f t="shared" si="171"/>
        <v>2026</v>
      </c>
      <c r="D174" s="52">
        <f>+'Fisico ASIG'!B174</f>
        <v>46054</v>
      </c>
      <c r="E174" s="1">
        <v>28</v>
      </c>
      <c r="F174" s="56" t="str">
        <f>+'Fisico ASIG'!D174</f>
        <v>vie</v>
      </c>
      <c r="G174" s="56">
        <f>+'Fisico ASIG'!E174</f>
        <v>46080</v>
      </c>
      <c r="H174" s="17">
        <v>28</v>
      </c>
      <c r="I174" s="17">
        <f t="shared" si="172"/>
        <v>5.1392516466045874</v>
      </c>
      <c r="J174" s="17">
        <f t="shared" si="173"/>
        <v>6.6887751722310531</v>
      </c>
      <c r="K174" s="83">
        <f t="shared" si="114"/>
        <v>7.5875000000000004</v>
      </c>
      <c r="L174" s="17">
        <v>27</v>
      </c>
      <c r="M174" s="17">
        <v>71.5</v>
      </c>
      <c r="N174" s="17">
        <f t="shared" si="174"/>
        <v>40.634652520992553</v>
      </c>
      <c r="O174" s="17">
        <v>74.245765317094879</v>
      </c>
      <c r="P174" s="18">
        <f>SUMPRODUCT(H174:O174,'Fisico ASIG'!F174:M174)*24</f>
        <v>7142760.4490177352</v>
      </c>
      <c r="Q174" s="43">
        <v>0</v>
      </c>
      <c r="R174" s="43">
        <f t="shared" si="175"/>
        <v>5889.5464456052687</v>
      </c>
      <c r="S174" s="43">
        <f t="shared" si="176"/>
        <v>2909.9477628889395</v>
      </c>
      <c r="T174" s="43">
        <f t="shared" si="115"/>
        <v>1795.6376259798433</v>
      </c>
      <c r="U174" s="43">
        <v>18000</v>
      </c>
      <c r="V174" s="20">
        <v>0</v>
      </c>
      <c r="W174" s="20">
        <v>21900</v>
      </c>
      <c r="X174" s="20">
        <v>0</v>
      </c>
      <c r="Y174" s="18">
        <f>SUMPRODUCT(Q174:X174,'Fisico ASIG'!O174:V174)/E174</f>
        <v>5886310.2764960397</v>
      </c>
      <c r="Z174" s="25">
        <f t="shared" si="177"/>
        <v>13029070.725513775</v>
      </c>
      <c r="AA174" s="26">
        <f>+Z174/'Fisico ASIG'!N174/24</f>
        <v>74.705922972014065</v>
      </c>
      <c r="AB174" s="26">
        <f t="shared" si="154"/>
        <v>16.923076923076923</v>
      </c>
      <c r="AC174" s="29">
        <f t="shared" si="178"/>
        <v>57.782846048937145</v>
      </c>
      <c r="AI174" s="1">
        <v>7241</v>
      </c>
      <c r="AJ174" s="1">
        <v>5762594</v>
      </c>
      <c r="AK174">
        <f t="shared" si="73"/>
        <v>1.44</v>
      </c>
      <c r="AL174" s="40">
        <f t="shared" si="96"/>
        <v>9424.2166666666653</v>
      </c>
      <c r="AM174">
        <v>4100000</v>
      </c>
      <c r="AN174" s="17">
        <v>37.648386436526984</v>
      </c>
      <c r="AO174" s="64">
        <f t="shared" si="168"/>
        <v>2.1362660844655714</v>
      </c>
      <c r="AP174">
        <v>0</v>
      </c>
      <c r="AQ174" s="1">
        <v>0.85</v>
      </c>
    </row>
    <row r="175" spans="1:43" hidden="1" x14ac:dyDescent="0.3">
      <c r="A175" s="3">
        <f t="shared" si="156"/>
        <v>1408.96</v>
      </c>
      <c r="B175" s="42">
        <v>1423.364</v>
      </c>
      <c r="C175" s="53">
        <f t="shared" si="171"/>
        <v>2026</v>
      </c>
      <c r="D175" s="52">
        <f>+'Fisico ASIG'!B175</f>
        <v>46054</v>
      </c>
      <c r="E175" s="1">
        <v>28</v>
      </c>
      <c r="F175" s="56" t="str">
        <f>+'Fisico ASIG'!D175</f>
        <v>sáb</v>
      </c>
      <c r="G175" s="56">
        <f>+'Fisico ASIG'!E175</f>
        <v>46081</v>
      </c>
      <c r="H175" s="17">
        <v>28</v>
      </c>
      <c r="I175" s="17">
        <f t="shared" si="172"/>
        <v>5.1392516466045874</v>
      </c>
      <c r="J175" s="17">
        <f t="shared" si="173"/>
        <v>6.6887751722310531</v>
      </c>
      <c r="K175" s="83">
        <f t="shared" si="114"/>
        <v>7.5875000000000004</v>
      </c>
      <c r="L175" s="17">
        <v>27</v>
      </c>
      <c r="M175" s="17">
        <v>71.5</v>
      </c>
      <c r="N175" s="17">
        <f t="shared" si="174"/>
        <v>40.528893958451803</v>
      </c>
      <c r="O175" s="17">
        <v>45.375729906544258</v>
      </c>
      <c r="P175" s="18">
        <f>SUMPRODUCT(H175:O175,'Fisico ASIG'!F175:M175)*24</f>
        <v>7571344.7832311448</v>
      </c>
      <c r="Q175" s="43">
        <v>0</v>
      </c>
      <c r="R175" s="43">
        <f t="shared" si="175"/>
        <v>5889.5464456052687</v>
      </c>
      <c r="S175" s="43">
        <f t="shared" si="176"/>
        <v>2909.9477628889395</v>
      </c>
      <c r="T175" s="43">
        <f t="shared" si="115"/>
        <v>1795.6376259798433</v>
      </c>
      <c r="U175" s="43">
        <v>18000</v>
      </c>
      <c r="V175" s="20">
        <v>0</v>
      </c>
      <c r="W175" s="20">
        <v>21900</v>
      </c>
      <c r="X175" s="20">
        <v>0</v>
      </c>
      <c r="Y175" s="18">
        <f>SUMPRODUCT(Q175:X175,'Fisico ASIG'!O175:V175)/E175</f>
        <v>5907362.3747106092</v>
      </c>
      <c r="Z175" s="25">
        <f t="shared" si="177"/>
        <v>13478707.157941755</v>
      </c>
      <c r="AA175" s="26">
        <f>+Z175/'Fisico ASIG'!N175/24</f>
        <v>74.7885180282844</v>
      </c>
      <c r="AB175" s="26">
        <f t="shared" si="154"/>
        <v>16.923076923076923</v>
      </c>
      <c r="AC175" s="29">
        <f t="shared" si="178"/>
        <v>57.865441105207481</v>
      </c>
      <c r="AI175" s="1">
        <v>7241</v>
      </c>
      <c r="AJ175" s="1">
        <v>5762594</v>
      </c>
      <c r="AK175">
        <f t="shared" si="73"/>
        <v>1.44</v>
      </c>
      <c r="AL175" s="40">
        <f t="shared" si="96"/>
        <v>9424.2166666666653</v>
      </c>
      <c r="AM175">
        <v>4100000</v>
      </c>
      <c r="AN175" s="17">
        <v>37.549315183561404</v>
      </c>
      <c r="AO175" s="64">
        <f t="shared" si="168"/>
        <v>2.1295787748903949</v>
      </c>
      <c r="AP175">
        <v>0</v>
      </c>
      <c r="AQ175" s="1">
        <v>0.85</v>
      </c>
    </row>
    <row r="176" spans="1:43" hidden="1" x14ac:dyDescent="0.3">
      <c r="A176" s="3">
        <v>1382.7578000000001</v>
      </c>
      <c r="B176" s="42">
        <v>1423.3640000000005</v>
      </c>
      <c r="C176" s="53">
        <v>2026</v>
      </c>
      <c r="D176" s="52">
        <f>+'Fisico ASIG'!B176</f>
        <v>46082</v>
      </c>
      <c r="E176" s="1">
        <v>31</v>
      </c>
      <c r="F176" s="56" t="s">
        <v>44</v>
      </c>
      <c r="G176" s="56">
        <v>46082</v>
      </c>
      <c r="H176" s="17">
        <v>28</v>
      </c>
      <c r="I176" s="17">
        <f>AI176/A176</f>
        <v>5.2366365244875128</v>
      </c>
      <c r="J176" s="17">
        <f t="shared" si="173"/>
        <v>5.8867925629009878</v>
      </c>
      <c r="K176" s="83">
        <f>3.5+1.9+(3.5*1*5+3.5*5)/24</f>
        <v>6.8583333333333334</v>
      </c>
      <c r="L176" s="17">
        <v>27</v>
      </c>
      <c r="M176" s="17">
        <v>71.5</v>
      </c>
      <c r="N176" s="17">
        <f t="shared" si="174"/>
        <v>39.231239469920688</v>
      </c>
      <c r="O176" s="17">
        <v>41.484311774957405</v>
      </c>
      <c r="P176" s="18">
        <f>SUMPRODUCT(H176:O176,'Fisico ASIG'!F176:M176)*24</f>
        <v>7347097.5080287457</v>
      </c>
      <c r="Q176" s="43">
        <v>0</v>
      </c>
      <c r="R176" s="43">
        <f t="shared" si="175"/>
        <v>6001.1488345970629</v>
      </c>
      <c r="S176" s="43">
        <f t="shared" si="176"/>
        <v>2965.0890416239199</v>
      </c>
      <c r="T176" s="43">
        <f t="shared" si="115"/>
        <v>1795.6376259798433</v>
      </c>
      <c r="U176" s="43">
        <v>18000</v>
      </c>
      <c r="V176" s="20">
        <v>0</v>
      </c>
      <c r="W176" s="20">
        <v>21900</v>
      </c>
      <c r="X176" s="20">
        <v>0</v>
      </c>
      <c r="Y176" s="18">
        <f>SUMPRODUCT(Q176:X176,'Fisico ASIG'!O176:V176)/E176</f>
        <v>5277419.5444998937</v>
      </c>
      <c r="Z176" s="25">
        <f t="shared" si="177"/>
        <v>12624517.052528638</v>
      </c>
      <c r="AA176" s="26">
        <f>+Z176/'Fisico ASIG'!N176/24</f>
        <v>72.571590203555715</v>
      </c>
      <c r="AB176" s="26">
        <f>+$AB$21*0.9*Precios!$P$12/0.61/Precios!$Q$12</f>
        <v>11.866737176097304</v>
      </c>
      <c r="AC176" s="29">
        <f t="shared" si="178"/>
        <v>60.704853027458412</v>
      </c>
      <c r="AI176" s="1">
        <v>7241</v>
      </c>
      <c r="AJ176" s="1">
        <v>5762594</v>
      </c>
      <c r="AK176">
        <f t="shared" si="73"/>
        <v>1.44</v>
      </c>
      <c r="AL176" s="40">
        <f>4403+1752*1.4+(4403*1*5*1.4)/24</f>
        <v>8140.0083333333323</v>
      </c>
      <c r="AM176">
        <v>4100000</v>
      </c>
      <c r="AN176" s="17">
        <v>36.333713789152867</v>
      </c>
      <c r="AO176" s="64">
        <f t="shared" si="168"/>
        <v>2.0475256807678188</v>
      </c>
      <c r="AP176">
        <v>0</v>
      </c>
      <c r="AQ176" s="1">
        <v>0.85</v>
      </c>
    </row>
    <row r="177" spans="1:43" hidden="1" x14ac:dyDescent="0.3">
      <c r="A177" s="3">
        <v>1382.7578000000001</v>
      </c>
      <c r="B177" s="42">
        <v>1367.2360000000006</v>
      </c>
      <c r="C177" s="53">
        <v>2026</v>
      </c>
      <c r="D177" s="52">
        <f>+'Fisico ASIG'!B177</f>
        <v>46082</v>
      </c>
      <c r="E177" s="1">
        <v>31</v>
      </c>
      <c r="F177" s="56" t="s">
        <v>45</v>
      </c>
      <c r="G177" s="56">
        <v>46083</v>
      </c>
      <c r="H177" s="17">
        <v>28</v>
      </c>
      <c r="I177" s="17">
        <f t="shared" ref="I177:I193" si="179">AI177/A177</f>
        <v>5.2366365244875128</v>
      </c>
      <c r="J177" s="17">
        <f t="shared" ref="J177:J193" si="180">+AL177/A177</f>
        <v>5.8867925629009878</v>
      </c>
      <c r="K177" s="83">
        <f t="shared" ref="K177:K329" si="181">3.5+1.9+(3.5*1*5+3.5*5)/24</f>
        <v>6.8583333333333334</v>
      </c>
      <c r="L177" s="17">
        <v>27</v>
      </c>
      <c r="M177" s="17">
        <v>71.5</v>
      </c>
      <c r="N177" s="17">
        <f t="shared" si="174"/>
        <v>40.86015697015511</v>
      </c>
      <c r="O177" s="17">
        <v>76.07078224841041</v>
      </c>
      <c r="P177" s="18">
        <f>SUMPRODUCT(H177:O177,'Fisico ASIG'!F177:M177)*24</f>
        <v>8020162.8500264175</v>
      </c>
      <c r="Q177" s="43">
        <v>0</v>
      </c>
      <c r="R177" s="43">
        <f t="shared" ref="R177:R193" si="182">+AJ177*AK177/A177</f>
        <v>6001.1488345970629</v>
      </c>
      <c r="S177" s="43">
        <f t="shared" ref="S177:S193" si="183">+AM177/A177</f>
        <v>2965.0890416239199</v>
      </c>
      <c r="T177" s="43">
        <f t="shared" si="115"/>
        <v>1795.6376259798433</v>
      </c>
      <c r="U177" s="43">
        <v>18000</v>
      </c>
      <c r="V177" s="20">
        <v>0</v>
      </c>
      <c r="W177" s="20">
        <v>21900</v>
      </c>
      <c r="X177" s="20">
        <v>0</v>
      </c>
      <c r="Y177" s="18">
        <f>SUMPRODUCT(Q177:X177,'Fisico ASIG'!O177:V177)/E177</f>
        <v>5267334.8393057575</v>
      </c>
      <c r="Z177" s="25">
        <f t="shared" ref="Z177:Z193" si="184">+(P177+Y177)</f>
        <v>13287497.689332176</v>
      </c>
      <c r="AA177" s="26">
        <f>+Z177/'Fisico ASIG'!N177/24</f>
        <v>67.055289972356363</v>
      </c>
      <c r="AB177" s="26">
        <f>+$AB$21*0.9*Precios!$P$12/0.61/Precios!$Q$12</f>
        <v>11.866737176097304</v>
      </c>
      <c r="AC177" s="29">
        <f t="shared" ref="AC177:AC193" si="185">+AA177-AB177</f>
        <v>55.18855279625906</v>
      </c>
      <c r="AI177" s="1">
        <v>7241</v>
      </c>
      <c r="AJ177" s="1">
        <v>5762594</v>
      </c>
      <c r="AK177">
        <f t="shared" si="73"/>
        <v>1.44</v>
      </c>
      <c r="AL177" s="40">
        <f t="shared" ref="AL177:AL189" si="186">4403+1752*1.4+(4403*1*5*1.4)/24</f>
        <v>8140.0083333333323</v>
      </c>
      <c r="AM177">
        <v>4100000</v>
      </c>
      <c r="AN177" s="17">
        <v>37.859631822159351</v>
      </c>
      <c r="AO177" s="64">
        <f t="shared" si="168"/>
        <v>2.1505251479957561</v>
      </c>
      <c r="AP177">
        <v>0</v>
      </c>
      <c r="AQ177" s="1">
        <v>0.85</v>
      </c>
    </row>
    <row r="178" spans="1:43" hidden="1" x14ac:dyDescent="0.3">
      <c r="A178" s="3">
        <v>1382.7578000000001</v>
      </c>
      <c r="B178" s="42">
        <v>1367.2360000000006</v>
      </c>
      <c r="C178" s="53">
        <v>2026</v>
      </c>
      <c r="D178" s="52">
        <f>+'Fisico ASIG'!B178</f>
        <v>46082</v>
      </c>
      <c r="E178" s="1">
        <v>31</v>
      </c>
      <c r="F178" s="56" t="s">
        <v>46</v>
      </c>
      <c r="G178" s="56">
        <v>46084</v>
      </c>
      <c r="H178" s="17">
        <v>28</v>
      </c>
      <c r="I178" s="17">
        <f t="shared" si="179"/>
        <v>5.2366365244875128</v>
      </c>
      <c r="J178" s="17">
        <f t="shared" si="180"/>
        <v>5.8867925629009878</v>
      </c>
      <c r="K178" s="83">
        <f t="shared" si="181"/>
        <v>6.8583333333333334</v>
      </c>
      <c r="L178" s="17">
        <v>27</v>
      </c>
      <c r="M178" s="17">
        <v>71.5</v>
      </c>
      <c r="N178" s="17">
        <f t="shared" si="174"/>
        <v>40.967451705417012</v>
      </c>
      <c r="O178" s="17">
        <v>68.954858685741769</v>
      </c>
      <c r="P178" s="18">
        <f>SUMPRODUCT(H178:O178,'Fisico ASIG'!F178:M178)*24</f>
        <v>7741728.5119530866</v>
      </c>
      <c r="Q178" s="43">
        <v>0</v>
      </c>
      <c r="R178" s="43">
        <f t="shared" si="182"/>
        <v>6001.1488345970629</v>
      </c>
      <c r="S178" s="43">
        <f t="shared" si="183"/>
        <v>2965.0890416239199</v>
      </c>
      <c r="T178" s="43">
        <f t="shared" si="115"/>
        <v>1795.6376259798433</v>
      </c>
      <c r="U178" s="43">
        <v>18000</v>
      </c>
      <c r="V178" s="20">
        <v>0</v>
      </c>
      <c r="W178" s="20">
        <v>21900</v>
      </c>
      <c r="X178" s="20">
        <v>0</v>
      </c>
      <c r="Y178" s="18">
        <f>SUMPRODUCT(Q178:X178,'Fisico ASIG'!O178:V178)/E178</f>
        <v>5315695.2950432785</v>
      </c>
      <c r="Z178" s="25">
        <f t="shared" si="184"/>
        <v>13057423.806996364</v>
      </c>
      <c r="AA178" s="26">
        <f>+Z178/'Fisico ASIG'!N178/24</f>
        <v>71.997033713704255</v>
      </c>
      <c r="AB178" s="26">
        <f>+$AB$21*0.9*Precios!$P$12/0.61/Precios!$Q$12</f>
        <v>11.866737176097304</v>
      </c>
      <c r="AC178" s="29">
        <f>+AA178-AB178</f>
        <v>60.130296537606952</v>
      </c>
      <c r="AI178" s="1">
        <v>7241</v>
      </c>
      <c r="AJ178" s="1">
        <v>5762594</v>
      </c>
      <c r="AK178">
        <f t="shared" ref="AK178:AK189" si="187">1.2*1.2</f>
        <v>1.44</v>
      </c>
      <c r="AL178" s="40">
        <f t="shared" si="186"/>
        <v>8140.0083333333323</v>
      </c>
      <c r="AM178">
        <v>4100000</v>
      </c>
      <c r="AN178" s="17">
        <v>37.960142112802821</v>
      </c>
      <c r="AO178" s="64">
        <f t="shared" si="168"/>
        <v>2.1573095926141908</v>
      </c>
      <c r="AP178">
        <v>0</v>
      </c>
      <c r="AQ178" s="1">
        <v>0.85</v>
      </c>
    </row>
    <row r="179" spans="1:43" hidden="1" x14ac:dyDescent="0.3">
      <c r="A179" s="3">
        <v>1382.7578000000001</v>
      </c>
      <c r="B179" s="42">
        <v>1367.2360000000006</v>
      </c>
      <c r="C179" s="53">
        <v>2026</v>
      </c>
      <c r="D179" s="52">
        <f>+'Fisico ASIG'!B179</f>
        <v>46082</v>
      </c>
      <c r="E179" s="1">
        <v>31</v>
      </c>
      <c r="F179" s="56" t="s">
        <v>47</v>
      </c>
      <c r="G179" s="56">
        <v>46085</v>
      </c>
      <c r="H179" s="17">
        <v>28</v>
      </c>
      <c r="I179" s="17">
        <f t="shared" si="179"/>
        <v>5.2366365244875128</v>
      </c>
      <c r="J179" s="17">
        <f t="shared" si="180"/>
        <v>5.8867925629009878</v>
      </c>
      <c r="K179" s="83">
        <f t="shared" si="181"/>
        <v>6.8583333333333334</v>
      </c>
      <c r="L179" s="17">
        <v>27</v>
      </c>
      <c r="M179" s="17">
        <v>71.5</v>
      </c>
      <c r="N179" s="17">
        <f t="shared" si="174"/>
        <v>40.716557981740408</v>
      </c>
      <c r="O179" s="17">
        <v>80.558120299220363</v>
      </c>
      <c r="P179" s="18">
        <f>SUMPRODUCT(H179:O179,'Fisico ASIG'!F179:M179)*24</f>
        <v>8415872.9731627814</v>
      </c>
      <c r="Q179" s="43">
        <v>0</v>
      </c>
      <c r="R179" s="43">
        <f t="shared" si="182"/>
        <v>6001.1488345970629</v>
      </c>
      <c r="S179" s="43">
        <f t="shared" si="183"/>
        <v>2965.0890416239199</v>
      </c>
      <c r="T179" s="43">
        <f t="shared" si="115"/>
        <v>1795.6376259798433</v>
      </c>
      <c r="U179" s="43">
        <v>18000</v>
      </c>
      <c r="V179" s="20">
        <v>0</v>
      </c>
      <c r="W179" s="20">
        <v>21900</v>
      </c>
      <c r="X179" s="20">
        <v>0</v>
      </c>
      <c r="Y179" s="18">
        <f>SUMPRODUCT(Q179:X179,'Fisico ASIG'!O179:V179)/E179</f>
        <v>5330361.3321486581</v>
      </c>
      <c r="Z179" s="25">
        <f t="shared" si="184"/>
        <v>13746234.30531144</v>
      </c>
      <c r="AA179" s="26">
        <f>+Z179/'Fisico ASIG'!N179/24</f>
        <v>67.302767126160617</v>
      </c>
      <c r="AB179" s="26">
        <f>+$AB$21*0.9*Precios!$P$12/0.61/Precios!$Q$12</f>
        <v>11.866737176097304</v>
      </c>
      <c r="AC179" s="29">
        <f t="shared" si="185"/>
        <v>55.436029950063315</v>
      </c>
      <c r="AI179" s="1">
        <v>7241</v>
      </c>
      <c r="AJ179" s="1">
        <v>5762594</v>
      </c>
      <c r="AK179">
        <f t="shared" si="187"/>
        <v>1.44</v>
      </c>
      <c r="AL179" s="40">
        <f t="shared" si="186"/>
        <v>8140.0083333333323</v>
      </c>
      <c r="AM179">
        <v>4100000</v>
      </c>
      <c r="AN179" s="17">
        <v>37.725112863457056</v>
      </c>
      <c r="AO179" s="64">
        <f t="shared" si="168"/>
        <v>2.1414451182833516</v>
      </c>
      <c r="AP179">
        <v>0</v>
      </c>
      <c r="AQ179" s="1">
        <v>0.85</v>
      </c>
    </row>
    <row r="180" spans="1:43" hidden="1" x14ac:dyDescent="0.3">
      <c r="A180" s="3">
        <v>1382.7578000000001</v>
      </c>
      <c r="B180" s="42">
        <v>1367.2360000000006</v>
      </c>
      <c r="C180" s="53">
        <v>2026</v>
      </c>
      <c r="D180" s="52">
        <f>+'Fisico ASIG'!B180</f>
        <v>46082</v>
      </c>
      <c r="E180" s="1">
        <v>31</v>
      </c>
      <c r="F180" s="56" t="s">
        <v>48</v>
      </c>
      <c r="G180" s="56">
        <v>46086</v>
      </c>
      <c r="H180" s="17">
        <v>28</v>
      </c>
      <c r="I180" s="17">
        <f t="shared" si="179"/>
        <v>5.2366365244875128</v>
      </c>
      <c r="J180" s="17">
        <f t="shared" si="180"/>
        <v>5.8867925629009878</v>
      </c>
      <c r="K180" s="83">
        <f t="shared" si="181"/>
        <v>6.8583333333333334</v>
      </c>
      <c r="L180" s="17">
        <v>27</v>
      </c>
      <c r="M180" s="17">
        <v>71.5</v>
      </c>
      <c r="N180" s="17">
        <f t="shared" si="174"/>
        <v>40.129733967481663</v>
      </c>
      <c r="O180" s="17">
        <v>81.009195506744916</v>
      </c>
      <c r="P180" s="18">
        <f>SUMPRODUCT(H180:O180,'Fisico ASIG'!F180:M180)*24</f>
        <v>7344136.2352550551</v>
      </c>
      <c r="Q180" s="43">
        <v>0</v>
      </c>
      <c r="R180" s="43">
        <f t="shared" si="182"/>
        <v>6001.1488345970629</v>
      </c>
      <c r="S180" s="43">
        <f t="shared" si="183"/>
        <v>2965.0890416239199</v>
      </c>
      <c r="T180" s="43">
        <f t="shared" si="115"/>
        <v>1795.6376259798433</v>
      </c>
      <c r="U180" s="43">
        <v>18000</v>
      </c>
      <c r="V180" s="20">
        <v>0</v>
      </c>
      <c r="W180" s="20">
        <v>21900</v>
      </c>
      <c r="X180" s="20">
        <v>0</v>
      </c>
      <c r="Y180" s="18">
        <f>SUMPRODUCT(Q180:X180,'Fisico ASIG'!O180:V180)/E180</f>
        <v>5342741.4627121165</v>
      </c>
      <c r="Z180" s="25">
        <f t="shared" si="184"/>
        <v>12686877.697967172</v>
      </c>
      <c r="AA180" s="26">
        <f>+Z180/'Fisico ASIG'!N180/24</f>
        <v>62.463306690030919</v>
      </c>
      <c r="AB180" s="26">
        <f>+$AB$21*0.9*Precios!$P$12/0.61/Precios!$Q$12</f>
        <v>11.866737176097304</v>
      </c>
      <c r="AC180" s="29">
        <f t="shared" si="185"/>
        <v>50.596569513933616</v>
      </c>
      <c r="AI180" s="1">
        <v>7241</v>
      </c>
      <c r="AJ180" s="1">
        <v>5762594</v>
      </c>
      <c r="AK180">
        <f t="shared" si="187"/>
        <v>1.44</v>
      </c>
      <c r="AL180" s="40">
        <f t="shared" si="186"/>
        <v>8140.0083333333323</v>
      </c>
      <c r="AM180">
        <v>4100000</v>
      </c>
      <c r="AN180" s="17">
        <v>37.175394817313034</v>
      </c>
      <c r="AO180" s="64">
        <f t="shared" si="168"/>
        <v>2.1043391501686299</v>
      </c>
      <c r="AP180">
        <v>0</v>
      </c>
      <c r="AQ180" s="1">
        <v>0.85</v>
      </c>
    </row>
    <row r="181" spans="1:43" hidden="1" x14ac:dyDescent="0.3">
      <c r="A181" s="3">
        <v>1382.7578000000001</v>
      </c>
      <c r="B181" s="42">
        <v>1367.2360000000006</v>
      </c>
      <c r="C181" s="53">
        <v>2026</v>
      </c>
      <c r="D181" s="52">
        <f>+'Fisico ASIG'!B181</f>
        <v>46082</v>
      </c>
      <c r="E181" s="1">
        <v>31</v>
      </c>
      <c r="F181" s="56" t="s">
        <v>49</v>
      </c>
      <c r="G181" s="56">
        <v>46087</v>
      </c>
      <c r="H181" s="17">
        <v>28</v>
      </c>
      <c r="I181" s="17">
        <f>AI181/A181</f>
        <v>5.2366365244875128</v>
      </c>
      <c r="J181" s="17">
        <f t="shared" ref="J181:J191" si="188">+AL181/A181</f>
        <v>5.8867925629009878</v>
      </c>
      <c r="K181" s="83">
        <f t="shared" si="181"/>
        <v>6.8583333333333334</v>
      </c>
      <c r="L181" s="17">
        <v>27</v>
      </c>
      <c r="M181" s="17">
        <v>71.5</v>
      </c>
      <c r="N181" s="17">
        <f t="shared" si="174"/>
        <v>39.388538931138314</v>
      </c>
      <c r="O181" s="17">
        <v>109.98773617445292</v>
      </c>
      <c r="P181" s="18">
        <f>SUMPRODUCT(H181:O181,'Fisico ASIG'!F181:M181)*24</f>
        <v>6959499.9832849223</v>
      </c>
      <c r="Q181" s="43">
        <v>0</v>
      </c>
      <c r="R181" s="43">
        <f t="shared" ref="R181:R189" si="189">+AJ181*AK181/A181</f>
        <v>6001.1488345970629</v>
      </c>
      <c r="S181" s="43">
        <f t="shared" ref="S181:S189" si="190">+AM181/A181</f>
        <v>2965.0890416239199</v>
      </c>
      <c r="T181" s="43">
        <f t="shared" si="115"/>
        <v>1795.6376259798433</v>
      </c>
      <c r="U181" s="43">
        <v>18000</v>
      </c>
      <c r="V181" s="20">
        <v>0</v>
      </c>
      <c r="W181" s="20">
        <v>21900</v>
      </c>
      <c r="X181" s="20">
        <v>0</v>
      </c>
      <c r="Y181" s="18">
        <f>SUMPRODUCT(Q181:X181,'Fisico ASIG'!O181:V181)/E181</f>
        <v>5349811.3436131477</v>
      </c>
      <c r="Z181" s="25">
        <f t="shared" ref="Z181:Z189" si="191">+(P181+Y181)</f>
        <v>12309311.32689807</v>
      </c>
      <c r="AA181" s="26">
        <f>+Z181/'Fisico ASIG'!N181/24</f>
        <v>68.653185540478333</v>
      </c>
      <c r="AB181" s="26">
        <f>+$AB$21*0.9*Precios!$P$12/0.61/Precios!$Q$12</f>
        <v>11.866737176097304</v>
      </c>
      <c r="AC181" s="29">
        <f t="shared" ref="AC181:AC189" si="192">+AA181-AB181</f>
        <v>56.78644836438103</v>
      </c>
      <c r="AI181" s="1">
        <v>7241</v>
      </c>
      <c r="AJ181" s="1">
        <v>5762594</v>
      </c>
      <c r="AK181">
        <f t="shared" si="187"/>
        <v>1.44</v>
      </c>
      <c r="AL181" s="40">
        <f t="shared" si="186"/>
        <v>8140.0083333333323</v>
      </c>
      <c r="AM181">
        <v>4100000</v>
      </c>
      <c r="AN181" s="17">
        <v>36.48106691441528</v>
      </c>
      <c r="AO181" s="64">
        <f t="shared" si="168"/>
        <v>2.0574720167230316</v>
      </c>
      <c r="AP181">
        <v>0</v>
      </c>
      <c r="AQ181" s="1">
        <v>0.85</v>
      </c>
    </row>
    <row r="182" spans="1:43" hidden="1" x14ac:dyDescent="0.3">
      <c r="A182" s="3">
        <v>1382.7578000000001</v>
      </c>
      <c r="B182" s="42">
        <v>1367.2360000000006</v>
      </c>
      <c r="C182" s="53">
        <v>2026</v>
      </c>
      <c r="D182" s="52">
        <f>+'Fisico ASIG'!B182</f>
        <v>46082</v>
      </c>
      <c r="E182" s="1">
        <v>31</v>
      </c>
      <c r="F182" s="56" t="s">
        <v>43</v>
      </c>
      <c r="G182" s="56">
        <v>46088</v>
      </c>
      <c r="H182" s="17">
        <v>28</v>
      </c>
      <c r="I182" s="17">
        <f t="shared" ref="I182:I191" si="193">AI182/A182</f>
        <v>5.2366365244875128</v>
      </c>
      <c r="J182" s="17">
        <f t="shared" si="188"/>
        <v>5.8867925629009878</v>
      </c>
      <c r="K182" s="83">
        <f t="shared" si="181"/>
        <v>6.8583333333333334</v>
      </c>
      <c r="L182" s="17">
        <v>27</v>
      </c>
      <c r="M182" s="17">
        <v>71.5</v>
      </c>
      <c r="N182" s="17">
        <f t="shared" si="174"/>
        <v>40.371425285008144</v>
      </c>
      <c r="O182" s="17">
        <v>85.187494489192105</v>
      </c>
      <c r="P182" s="18">
        <f>SUMPRODUCT(H182:O182,'Fisico ASIG'!F182:M182)*24</f>
        <v>7007733.3026225679</v>
      </c>
      <c r="Q182" s="43">
        <v>0</v>
      </c>
      <c r="R182" s="43">
        <f t="shared" si="189"/>
        <v>6001.1488345970629</v>
      </c>
      <c r="S182" s="43">
        <f t="shared" si="190"/>
        <v>2965.0890416239199</v>
      </c>
      <c r="T182" s="43">
        <f t="shared" si="115"/>
        <v>1795.6376259798433</v>
      </c>
      <c r="U182" s="43">
        <v>18000</v>
      </c>
      <c r="V182" s="20">
        <v>0</v>
      </c>
      <c r="W182" s="20">
        <v>21900</v>
      </c>
      <c r="X182" s="20">
        <v>0</v>
      </c>
      <c r="Y182" s="18">
        <f>SUMPRODUCT(Q182:X182,'Fisico ASIG'!O182:V182)/E182</f>
        <v>5317068.4798777737</v>
      </c>
      <c r="Z182" s="25">
        <f t="shared" si="191"/>
        <v>12324801.782500342</v>
      </c>
      <c r="AA182" s="26">
        <f>+Z182/'Fisico ASIG'!N182/24</f>
        <v>74.006669738460275</v>
      </c>
      <c r="AB182" s="26">
        <f>+$AB$21*0.9*Precios!$P$12/0.61/Precios!$Q$12</f>
        <v>11.866737176097304</v>
      </c>
      <c r="AC182" s="29">
        <f t="shared" si="192"/>
        <v>62.139932562362972</v>
      </c>
      <c r="AI182" s="1">
        <v>7241</v>
      </c>
      <c r="AJ182" s="1">
        <v>5762594</v>
      </c>
      <c r="AK182">
        <f t="shared" si="187"/>
        <v>1.44</v>
      </c>
      <c r="AL182" s="40">
        <f t="shared" si="186"/>
        <v>8140.0083333333323</v>
      </c>
      <c r="AM182">
        <v>4100000</v>
      </c>
      <c r="AN182" s="17">
        <v>37.401803545675072</v>
      </c>
      <c r="AO182" s="64">
        <f t="shared" si="168"/>
        <v>2.1196217393330676</v>
      </c>
      <c r="AP182">
        <v>0</v>
      </c>
      <c r="AQ182" s="1">
        <v>0.85</v>
      </c>
    </row>
    <row r="183" spans="1:43" hidden="1" x14ac:dyDescent="0.3">
      <c r="A183" s="3">
        <v>1382.7578000000001</v>
      </c>
      <c r="B183" s="42">
        <v>1367.2360000000006</v>
      </c>
      <c r="C183" s="53">
        <v>2026</v>
      </c>
      <c r="D183" s="52">
        <f>+'Fisico ASIG'!B183</f>
        <v>46082</v>
      </c>
      <c r="E183" s="1">
        <v>31</v>
      </c>
      <c r="F183" s="56" t="s">
        <v>44</v>
      </c>
      <c r="G183" s="56">
        <v>46089</v>
      </c>
      <c r="H183" s="17">
        <v>28</v>
      </c>
      <c r="I183" s="17">
        <f t="shared" si="193"/>
        <v>5.2366365244875128</v>
      </c>
      <c r="J183" s="17">
        <f t="shared" si="188"/>
        <v>5.8867925629009878</v>
      </c>
      <c r="K183" s="83">
        <f t="shared" si="181"/>
        <v>6.8583333333333334</v>
      </c>
      <c r="L183" s="17">
        <v>27</v>
      </c>
      <c r="M183" s="17">
        <v>71.5</v>
      </c>
      <c r="N183" s="17">
        <f t="shared" si="174"/>
        <v>40.271481029685489</v>
      </c>
      <c r="O183" s="17">
        <v>101.10140994025966</v>
      </c>
      <c r="P183" s="18">
        <f>SUMPRODUCT(H183:O183,'Fisico ASIG'!F183:M183)*24</f>
        <v>7098487.5065556578</v>
      </c>
      <c r="Q183" s="43">
        <v>0</v>
      </c>
      <c r="R183" s="43">
        <f t="shared" si="189"/>
        <v>6001.1488345970629</v>
      </c>
      <c r="S183" s="43">
        <f t="shared" si="190"/>
        <v>2965.0890416239199</v>
      </c>
      <c r="T183" s="43">
        <f t="shared" si="115"/>
        <v>1795.6376259798433</v>
      </c>
      <c r="U183" s="43">
        <v>18000</v>
      </c>
      <c r="V183" s="20">
        <v>0</v>
      </c>
      <c r="W183" s="20">
        <v>21900</v>
      </c>
      <c r="X183" s="20">
        <v>0</v>
      </c>
      <c r="Y183" s="18">
        <f>SUMPRODUCT(Q183:X183,'Fisico ASIG'!O183:V183)/E183</f>
        <v>5305949.605924095</v>
      </c>
      <c r="Z183" s="25">
        <f t="shared" si="191"/>
        <v>12404437.112479754</v>
      </c>
      <c r="AA183" s="26">
        <f>+Z183/'Fisico ASIG'!N183/24</f>
        <v>72.865185271100842</v>
      </c>
      <c r="AB183" s="26">
        <f>+$AB$21*0.9*Precios!$P$12/0.61/Precios!$Q$12</f>
        <v>11.866737176097304</v>
      </c>
      <c r="AC183" s="29">
        <f t="shared" si="192"/>
        <v>60.998448095003539</v>
      </c>
      <c r="AI183" s="1">
        <v>7241</v>
      </c>
      <c r="AJ183" s="1">
        <v>5762594</v>
      </c>
      <c r="AK183">
        <f t="shared" si="187"/>
        <v>1.44</v>
      </c>
      <c r="AL183" s="40">
        <f t="shared" si="186"/>
        <v>8140.0083333333323</v>
      </c>
      <c r="AM183">
        <v>4100000</v>
      </c>
      <c r="AN183" s="17">
        <v>37.308178950525047</v>
      </c>
      <c r="AO183" s="64">
        <f t="shared" si="168"/>
        <v>2.1133020791604409</v>
      </c>
      <c r="AP183">
        <v>0</v>
      </c>
      <c r="AQ183" s="1">
        <v>0.85</v>
      </c>
    </row>
    <row r="184" spans="1:43" hidden="1" x14ac:dyDescent="0.3">
      <c r="A184" s="3">
        <v>1382.7578000000001</v>
      </c>
      <c r="B184" s="42">
        <v>1367.2360000000006</v>
      </c>
      <c r="C184" s="53">
        <v>2026</v>
      </c>
      <c r="D184" s="52">
        <f>+'Fisico ASIG'!B184</f>
        <v>46082</v>
      </c>
      <c r="E184" s="1">
        <v>31</v>
      </c>
      <c r="F184" s="56" t="s">
        <v>45</v>
      </c>
      <c r="G184" s="56">
        <v>46090</v>
      </c>
      <c r="H184" s="17">
        <v>28</v>
      </c>
      <c r="I184" s="17">
        <f t="shared" si="193"/>
        <v>5.2366365244875128</v>
      </c>
      <c r="J184" s="17">
        <f t="shared" si="188"/>
        <v>5.8867925629009878</v>
      </c>
      <c r="K184" s="83">
        <f t="shared" si="181"/>
        <v>6.8583333333333334</v>
      </c>
      <c r="L184" s="17">
        <v>27</v>
      </c>
      <c r="M184" s="17">
        <v>71.5</v>
      </c>
      <c r="N184" s="17">
        <f t="shared" si="174"/>
        <v>39.772493071474621</v>
      </c>
      <c r="O184" s="17">
        <v>64.491353896153896</v>
      </c>
      <c r="P184" s="18">
        <f>SUMPRODUCT(H184:O184,'Fisico ASIG'!F184:M184)*24</f>
        <v>7953693.3467082251</v>
      </c>
      <c r="Q184" s="43">
        <v>0</v>
      </c>
      <c r="R184" s="43">
        <f t="shared" si="189"/>
        <v>6001.1488345970629</v>
      </c>
      <c r="S184" s="43">
        <f t="shared" si="190"/>
        <v>2965.0890416239199</v>
      </c>
      <c r="T184" s="43">
        <f t="shared" si="115"/>
        <v>1795.6376259798433</v>
      </c>
      <c r="U184" s="43">
        <v>18000</v>
      </c>
      <c r="V184" s="20">
        <v>0</v>
      </c>
      <c r="W184" s="20">
        <v>21900</v>
      </c>
      <c r="X184" s="20">
        <v>0</v>
      </c>
      <c r="Y184" s="18">
        <f>SUMPRODUCT(Q184:X184,'Fisico ASIG'!O184:V184)/E184</f>
        <v>5408353.2551510734</v>
      </c>
      <c r="Z184" s="25">
        <f t="shared" si="191"/>
        <v>13362046.601859298</v>
      </c>
      <c r="AA184" s="26">
        <f>+Z184/'Fisico ASIG'!N184/24</f>
        <v>68.466351358420837</v>
      </c>
      <c r="AB184" s="26">
        <f>+$AB$21*0.9*Precios!$P$12/0.61/Precios!$Q$12</f>
        <v>11.866737176097304</v>
      </c>
      <c r="AC184" s="29">
        <f t="shared" si="192"/>
        <v>56.599614182323535</v>
      </c>
      <c r="AI184" s="1">
        <v>7241</v>
      </c>
      <c r="AJ184" s="1">
        <v>5762594</v>
      </c>
      <c r="AK184">
        <f t="shared" si="187"/>
        <v>1.44</v>
      </c>
      <c r="AL184" s="40">
        <f t="shared" si="186"/>
        <v>8140.0083333333323</v>
      </c>
      <c r="AM184">
        <v>4100000</v>
      </c>
      <c r="AN184" s="17">
        <v>36.840742924098002</v>
      </c>
      <c r="AO184" s="64">
        <f t="shared" si="168"/>
        <v>2.0817501473766153</v>
      </c>
      <c r="AP184">
        <v>0</v>
      </c>
      <c r="AQ184" s="1">
        <v>0.85</v>
      </c>
    </row>
    <row r="185" spans="1:43" hidden="1" x14ac:dyDescent="0.3">
      <c r="A185" s="3">
        <v>1382.7578000000001</v>
      </c>
      <c r="B185" s="42">
        <v>1367.2360000000006</v>
      </c>
      <c r="C185" s="53">
        <v>2026</v>
      </c>
      <c r="D185" s="52">
        <f>+'Fisico ASIG'!B185</f>
        <v>46082</v>
      </c>
      <c r="E185" s="1">
        <v>31</v>
      </c>
      <c r="F185" s="56" t="s">
        <v>46</v>
      </c>
      <c r="G185" s="56">
        <v>46091</v>
      </c>
      <c r="H185" s="17">
        <v>28</v>
      </c>
      <c r="I185" s="17">
        <f t="shared" si="193"/>
        <v>5.2366365244875128</v>
      </c>
      <c r="J185" s="17">
        <f t="shared" si="188"/>
        <v>5.8867925629009878</v>
      </c>
      <c r="K185" s="83">
        <f t="shared" si="181"/>
        <v>6.8583333333333334</v>
      </c>
      <c r="L185" s="17">
        <v>27</v>
      </c>
      <c r="M185" s="17">
        <v>71.5</v>
      </c>
      <c r="N185" s="17">
        <f t="shared" si="174"/>
        <v>40.879279137287689</v>
      </c>
      <c r="O185" s="17">
        <v>82.534726244705894</v>
      </c>
      <c r="P185" s="18">
        <f>SUMPRODUCT(H185:O185,'Fisico ASIG'!F185:M185)*24</f>
        <v>7939215.15630248</v>
      </c>
      <c r="Q185" s="43">
        <v>0</v>
      </c>
      <c r="R185" s="43">
        <f t="shared" si="189"/>
        <v>6001.1488345970629</v>
      </c>
      <c r="S185" s="43">
        <f t="shared" si="190"/>
        <v>2965.0890416239199</v>
      </c>
      <c r="T185" s="43">
        <f t="shared" si="115"/>
        <v>1795.6376259798433</v>
      </c>
      <c r="U185" s="43">
        <v>18000</v>
      </c>
      <c r="V185" s="20">
        <v>0</v>
      </c>
      <c r="W185" s="20">
        <v>21900</v>
      </c>
      <c r="X185" s="20">
        <v>0</v>
      </c>
      <c r="Y185" s="18">
        <f>SUMPRODUCT(Q185:X185,'Fisico ASIG'!O185:V185)/E185</f>
        <v>5520410.4703009995</v>
      </c>
      <c r="Z185" s="25">
        <f t="shared" si="191"/>
        <v>13459625.62660348</v>
      </c>
      <c r="AA185" s="26">
        <f>+Z185/'Fisico ASIG'!N185/24</f>
        <v>67.263404258177516</v>
      </c>
      <c r="AB185" s="26">
        <f>+$AB$21*0.9*Precios!$P$12/0.61/Precios!$Q$12</f>
        <v>11.866737176097304</v>
      </c>
      <c r="AC185" s="29">
        <f t="shared" si="192"/>
        <v>55.396667082080214</v>
      </c>
      <c r="AI185" s="1">
        <v>7241</v>
      </c>
      <c r="AJ185" s="1">
        <v>5762594</v>
      </c>
      <c r="AK185">
        <f t="shared" si="187"/>
        <v>1.44</v>
      </c>
      <c r="AL185" s="40">
        <f t="shared" si="186"/>
        <v>8140.0083333333323</v>
      </c>
      <c r="AM185">
        <v>4100000</v>
      </c>
      <c r="AN185" s="17">
        <v>37.877544859285891</v>
      </c>
      <c r="AO185" s="64">
        <f t="shared" si="168"/>
        <v>2.1517342780017978</v>
      </c>
      <c r="AP185">
        <v>0</v>
      </c>
      <c r="AQ185" s="1">
        <v>0.85</v>
      </c>
    </row>
    <row r="186" spans="1:43" hidden="1" x14ac:dyDescent="0.3">
      <c r="A186" s="3">
        <v>1382.7578000000001</v>
      </c>
      <c r="B186" s="42">
        <v>1367.2360000000006</v>
      </c>
      <c r="C186" s="53">
        <v>2026</v>
      </c>
      <c r="D186" s="52">
        <f>+'Fisico ASIG'!B186</f>
        <v>46082</v>
      </c>
      <c r="E186" s="1">
        <v>31</v>
      </c>
      <c r="F186" s="56" t="s">
        <v>47</v>
      </c>
      <c r="G186" s="56">
        <v>46092</v>
      </c>
      <c r="H186" s="17">
        <v>28</v>
      </c>
      <c r="I186" s="17">
        <f t="shared" si="193"/>
        <v>5.2366365244875128</v>
      </c>
      <c r="J186" s="17">
        <f t="shared" si="188"/>
        <v>5.8867925629009878</v>
      </c>
      <c r="K186" s="83">
        <f t="shared" si="181"/>
        <v>6.8583333333333334</v>
      </c>
      <c r="L186" s="17">
        <v>27</v>
      </c>
      <c r="M186" s="17">
        <v>71.5</v>
      </c>
      <c r="N186" s="17">
        <f t="shared" si="174"/>
        <v>40.601720021060252</v>
      </c>
      <c r="O186" s="17">
        <v>102.53495579673944</v>
      </c>
      <c r="P186" s="18">
        <f>SUMPRODUCT(H186:O186,'Fisico ASIG'!F186:M186)*24</f>
        <v>8252147.9375210786</v>
      </c>
      <c r="Q186" s="43">
        <v>0</v>
      </c>
      <c r="R186" s="43">
        <f t="shared" si="189"/>
        <v>6001.1488345970629</v>
      </c>
      <c r="S186" s="43">
        <f t="shared" si="190"/>
        <v>2965.0890416239199</v>
      </c>
      <c r="T186" s="43">
        <f t="shared" si="115"/>
        <v>1795.6376259798433</v>
      </c>
      <c r="U186" s="43">
        <v>18000</v>
      </c>
      <c r="V186" s="20">
        <v>0</v>
      </c>
      <c r="W186" s="20">
        <v>21900</v>
      </c>
      <c r="X186" s="20">
        <v>0</v>
      </c>
      <c r="Y186" s="18">
        <f>SUMPRODUCT(Q186:X186,'Fisico ASIG'!O186:V186)/E186</f>
        <v>5544093.1537582362</v>
      </c>
      <c r="Z186" s="25">
        <f t="shared" si="191"/>
        <v>13796241.091279315</v>
      </c>
      <c r="AA186" s="26">
        <f>+Z186/'Fisico ASIG'!N186/24</f>
        <v>70.529639955612879</v>
      </c>
      <c r="AB186" s="26">
        <f>+$AB$21*0.9*Precios!$P$12/0.61/Precios!$Q$12</f>
        <v>11.866737176097304</v>
      </c>
      <c r="AC186" s="29">
        <f t="shared" si="192"/>
        <v>58.662902779515576</v>
      </c>
      <c r="AI186" s="1">
        <v>7241</v>
      </c>
      <c r="AJ186" s="1">
        <v>5762594</v>
      </c>
      <c r="AK186">
        <f t="shared" si="187"/>
        <v>1.44</v>
      </c>
      <c r="AL186" s="40">
        <f t="shared" si="186"/>
        <v>8140.0083333333323</v>
      </c>
      <c r="AM186">
        <v>4100000</v>
      </c>
      <c r="AN186" s="17">
        <v>37.617536319494377</v>
      </c>
      <c r="AO186" s="64">
        <f t="shared" si="168"/>
        <v>2.1341837015658705</v>
      </c>
      <c r="AP186">
        <v>0</v>
      </c>
      <c r="AQ186" s="1">
        <v>0.85</v>
      </c>
    </row>
    <row r="187" spans="1:43" hidden="1" x14ac:dyDescent="0.3">
      <c r="A187" s="3">
        <v>1382.7578000000001</v>
      </c>
      <c r="B187" s="42">
        <v>1367.2360000000006</v>
      </c>
      <c r="C187" s="53">
        <v>2026</v>
      </c>
      <c r="D187" s="52">
        <f>+'Fisico ASIG'!B187</f>
        <v>46082</v>
      </c>
      <c r="E187" s="1">
        <v>31</v>
      </c>
      <c r="F187" s="56" t="s">
        <v>48</v>
      </c>
      <c r="G187" s="56">
        <v>46093</v>
      </c>
      <c r="H187" s="17">
        <v>28</v>
      </c>
      <c r="I187" s="17">
        <f t="shared" si="193"/>
        <v>5.2366365244875128</v>
      </c>
      <c r="J187" s="17">
        <f t="shared" si="188"/>
        <v>5.8867925629009878</v>
      </c>
      <c r="K187" s="83">
        <f t="shared" si="181"/>
        <v>6.8583333333333334</v>
      </c>
      <c r="L187" s="17">
        <v>27</v>
      </c>
      <c r="M187" s="17">
        <v>71.5</v>
      </c>
      <c r="N187" s="17">
        <f t="shared" si="174"/>
        <v>41.051348552126782</v>
      </c>
      <c r="O187" s="17">
        <v>89.110606930244685</v>
      </c>
      <c r="P187" s="18">
        <f>SUMPRODUCT(H187:O187,'Fisico ASIG'!F187:M187)*24</f>
        <v>8135468.9443626739</v>
      </c>
      <c r="Q187" s="43">
        <v>0</v>
      </c>
      <c r="R187" s="43">
        <f t="shared" si="189"/>
        <v>6001.1488345970629</v>
      </c>
      <c r="S187" s="43">
        <f t="shared" si="190"/>
        <v>2965.0890416239199</v>
      </c>
      <c r="T187" s="43">
        <f t="shared" si="115"/>
        <v>1795.6376259798433</v>
      </c>
      <c r="U187" s="43">
        <v>18000</v>
      </c>
      <c r="V187" s="20">
        <v>0</v>
      </c>
      <c r="W187" s="20">
        <v>21900</v>
      </c>
      <c r="X187" s="20">
        <v>0</v>
      </c>
      <c r="Y187" s="18">
        <f>SUMPRODUCT(Q187:X187,'Fisico ASIG'!O187:V187)/E187</f>
        <v>5522227.3449527351</v>
      </c>
      <c r="Z187" s="25">
        <f t="shared" si="191"/>
        <v>13657696.28931541</v>
      </c>
      <c r="AA187" s="26">
        <f>+Z187/'Fisico ASIG'!N187/24</f>
        <v>66.869304517470937</v>
      </c>
      <c r="AB187" s="26">
        <f>+$AB$21*0.9*Precios!$P$12/0.61/Precios!$Q$12</f>
        <v>11.866737176097304</v>
      </c>
      <c r="AC187" s="29">
        <f t="shared" si="192"/>
        <v>55.002567341373634</v>
      </c>
      <c r="AI187" s="1">
        <v>7241</v>
      </c>
      <c r="AJ187" s="1">
        <v>5762594</v>
      </c>
      <c r="AK187">
        <f t="shared" si="187"/>
        <v>1.44</v>
      </c>
      <c r="AL187" s="40">
        <f t="shared" si="186"/>
        <v>8140.0083333333323</v>
      </c>
      <c r="AM187">
        <v>4100000</v>
      </c>
      <c r="AN187" s="17">
        <v>38.038734006676144</v>
      </c>
      <c r="AO187" s="64">
        <f t="shared" si="168"/>
        <v>2.1626145454506398</v>
      </c>
      <c r="AP187">
        <v>0</v>
      </c>
      <c r="AQ187" s="1">
        <v>0.85</v>
      </c>
    </row>
    <row r="188" spans="1:43" hidden="1" x14ac:dyDescent="0.3">
      <c r="A188" s="3">
        <v>1382.7578000000001</v>
      </c>
      <c r="B188" s="42">
        <v>1367.2360000000006</v>
      </c>
      <c r="C188" s="53">
        <v>2026</v>
      </c>
      <c r="D188" s="52">
        <f>+'Fisico ASIG'!B188</f>
        <v>46082</v>
      </c>
      <c r="E188" s="1">
        <v>31</v>
      </c>
      <c r="F188" s="56" t="s">
        <v>49</v>
      </c>
      <c r="G188" s="56">
        <v>46094</v>
      </c>
      <c r="H188" s="17">
        <v>28</v>
      </c>
      <c r="I188" s="17">
        <f t="shared" si="193"/>
        <v>5.2366365244875128</v>
      </c>
      <c r="J188" s="17">
        <f t="shared" si="188"/>
        <v>5.8867925629009878</v>
      </c>
      <c r="K188" s="83">
        <f t="shared" si="181"/>
        <v>6.8583333333333334</v>
      </c>
      <c r="L188" s="17">
        <v>27</v>
      </c>
      <c r="M188" s="17">
        <v>71.5</v>
      </c>
      <c r="N188" s="17">
        <f t="shared" si="174"/>
        <v>40.697105837005815</v>
      </c>
      <c r="O188" s="17">
        <v>96.115431954025667</v>
      </c>
      <c r="P188" s="18">
        <f>SUMPRODUCT(H188:O188,'Fisico ASIG'!F188:M188)*24</f>
        <v>7770458.8429325726</v>
      </c>
      <c r="Q188" s="43">
        <v>0</v>
      </c>
      <c r="R188" s="43">
        <f t="shared" si="189"/>
        <v>6001.1488345970629</v>
      </c>
      <c r="S188" s="43">
        <f t="shared" si="190"/>
        <v>2965.0890416239199</v>
      </c>
      <c r="T188" s="43">
        <f t="shared" si="115"/>
        <v>1795.6376259798433</v>
      </c>
      <c r="U188" s="43">
        <v>18000</v>
      </c>
      <c r="V188" s="20">
        <v>0</v>
      </c>
      <c r="W188" s="20">
        <v>21900</v>
      </c>
      <c r="X188" s="20">
        <v>0</v>
      </c>
      <c r="Y188" s="18">
        <f>SUMPRODUCT(Q188:X188,'Fisico ASIG'!O188:V188)/E188</f>
        <v>5493067.77407867</v>
      </c>
      <c r="Z188" s="25">
        <f t="shared" si="191"/>
        <v>13263526.617011242</v>
      </c>
      <c r="AA188" s="26">
        <f>+Z188/'Fisico ASIG'!N188/24</f>
        <v>66.206402687189595</v>
      </c>
      <c r="AB188" s="26">
        <f>+$AB$21*0.9*Precios!$P$12/0.61/Precios!$Q$12</f>
        <v>11.866737176097304</v>
      </c>
      <c r="AC188" s="29">
        <f t="shared" si="192"/>
        <v>54.339665511092292</v>
      </c>
      <c r="AI188" s="1">
        <v>7241</v>
      </c>
      <c r="AJ188" s="1">
        <v>5762594</v>
      </c>
      <c r="AK188">
        <f t="shared" si="187"/>
        <v>1.44</v>
      </c>
      <c r="AL188" s="40">
        <f t="shared" si="186"/>
        <v>8140.0083333333323</v>
      </c>
      <c r="AM188">
        <v>4100000</v>
      </c>
      <c r="AN188" s="17">
        <v>37.706890713822773</v>
      </c>
      <c r="AO188" s="64">
        <f t="shared" si="168"/>
        <v>2.1402151231830375</v>
      </c>
      <c r="AP188">
        <v>0</v>
      </c>
      <c r="AQ188" s="1">
        <v>0.85</v>
      </c>
    </row>
    <row r="189" spans="1:43" hidden="1" x14ac:dyDescent="0.3">
      <c r="A189" s="3">
        <v>1382.7578000000001</v>
      </c>
      <c r="B189" s="42">
        <v>1367.2360000000006</v>
      </c>
      <c r="C189" s="53">
        <v>2026</v>
      </c>
      <c r="D189" s="52">
        <f>+'Fisico ASIG'!B189</f>
        <v>46082</v>
      </c>
      <c r="E189" s="1">
        <v>31</v>
      </c>
      <c r="F189" s="56" t="s">
        <v>43</v>
      </c>
      <c r="G189" s="56">
        <v>46095</v>
      </c>
      <c r="H189" s="17">
        <v>28</v>
      </c>
      <c r="I189" s="17">
        <f t="shared" si="193"/>
        <v>5.2366365244875128</v>
      </c>
      <c r="J189" s="17">
        <f t="shared" si="188"/>
        <v>5.8867925629009878</v>
      </c>
      <c r="K189" s="83">
        <f t="shared" si="181"/>
        <v>6.8583333333333334</v>
      </c>
      <c r="L189" s="17">
        <v>27</v>
      </c>
      <c r="M189" s="17">
        <v>71.5</v>
      </c>
      <c r="N189" s="17">
        <f t="shared" si="174"/>
        <v>40.134627616185305</v>
      </c>
      <c r="O189" s="17">
        <v>94.34955759526126</v>
      </c>
      <c r="P189" s="18">
        <f>SUMPRODUCT(H189:O189,'Fisico ASIG'!F189:M189)*24</f>
        <v>7059385.3818734335</v>
      </c>
      <c r="Q189" s="43">
        <v>0</v>
      </c>
      <c r="R189" s="43">
        <f t="shared" si="189"/>
        <v>6001.1488345970629</v>
      </c>
      <c r="S189" s="43">
        <f t="shared" si="190"/>
        <v>2965.0890416239199</v>
      </c>
      <c r="T189" s="43">
        <f t="shared" si="115"/>
        <v>1795.6376259798433</v>
      </c>
      <c r="U189" s="43">
        <v>18000</v>
      </c>
      <c r="V189" s="20">
        <v>0</v>
      </c>
      <c r="W189" s="20">
        <v>21900</v>
      </c>
      <c r="X189" s="20">
        <v>0</v>
      </c>
      <c r="Y189" s="18">
        <f>SUMPRODUCT(Q189:X189,'Fisico ASIG'!O189:V189)/E189</f>
        <v>5321296.159138293</v>
      </c>
      <c r="Z189" s="25">
        <f t="shared" si="191"/>
        <v>12380681.541011726</v>
      </c>
      <c r="AA189" s="26">
        <f>+Z189/'Fisico ASIG'!N189/24</f>
        <v>74.884460158918415</v>
      </c>
      <c r="AB189" s="26">
        <f>+$AB$21*0.9*Precios!$P$12/0.61/Precios!$Q$12</f>
        <v>11.866737176097304</v>
      </c>
      <c r="AC189" s="29">
        <f t="shared" si="192"/>
        <v>63.017722982821113</v>
      </c>
      <c r="AI189" s="1">
        <v>7241</v>
      </c>
      <c r="AJ189" s="1">
        <v>5762594</v>
      </c>
      <c r="AK189">
        <f t="shared" si="187"/>
        <v>1.44</v>
      </c>
      <c r="AL189" s="40">
        <f t="shared" si="186"/>
        <v>8140.0083333333323</v>
      </c>
      <c r="AM189">
        <v>4100000</v>
      </c>
      <c r="AN189" s="17">
        <v>37.17997903155532</v>
      </c>
      <c r="AO189" s="64">
        <f t="shared" si="168"/>
        <v>2.1046485846299841</v>
      </c>
      <c r="AP189">
        <v>0</v>
      </c>
      <c r="AQ189" s="1">
        <v>0.85</v>
      </c>
    </row>
    <row r="190" spans="1:43" hidden="1" x14ac:dyDescent="0.3">
      <c r="A190" s="3">
        <v>1382.7578000000001</v>
      </c>
      <c r="B190" s="42">
        <v>1367.2360000000006</v>
      </c>
      <c r="C190" s="53">
        <v>2026</v>
      </c>
      <c r="D190" s="52">
        <f>+'Fisico ASIG'!B190</f>
        <v>46082</v>
      </c>
      <c r="E190" s="1">
        <v>31</v>
      </c>
      <c r="F190" s="56" t="s">
        <v>44</v>
      </c>
      <c r="G190" s="56">
        <v>46096</v>
      </c>
      <c r="H190" s="17">
        <v>28</v>
      </c>
      <c r="I190" s="17">
        <f t="shared" si="193"/>
        <v>5.2366365244875128</v>
      </c>
      <c r="J190" s="17">
        <f t="shared" si="188"/>
        <v>5.8867925629009878</v>
      </c>
      <c r="K190" s="83">
        <f t="shared" si="181"/>
        <v>6.8583333333333334</v>
      </c>
      <c r="L190" s="17">
        <v>27</v>
      </c>
      <c r="M190" s="17">
        <v>71.5</v>
      </c>
      <c r="N190" s="17">
        <f t="shared" ref="N190:N193" si="194">+AN190+AO190+AP190+AQ190</f>
        <v>40.843323740048625</v>
      </c>
      <c r="O190" s="17">
        <v>59.595648789090461</v>
      </c>
      <c r="P190" s="18">
        <f>SUMPRODUCT(H190:O190,'Fisico ASIG'!F190:M190)*24</f>
        <v>7179884.2525221445</v>
      </c>
      <c r="Q190" s="43">
        <v>0</v>
      </c>
      <c r="R190" s="43">
        <f t="shared" si="182"/>
        <v>6001.1488345970629</v>
      </c>
      <c r="S190" s="43">
        <f t="shared" si="183"/>
        <v>2965.0890416239199</v>
      </c>
      <c r="T190" s="43">
        <f t="shared" si="115"/>
        <v>1795.6376259798433</v>
      </c>
      <c r="U190" s="43">
        <v>18000</v>
      </c>
      <c r="V190" s="20">
        <v>0</v>
      </c>
      <c r="W190" s="20">
        <v>21900</v>
      </c>
      <c r="X190" s="20">
        <v>0</v>
      </c>
      <c r="Y190" s="18">
        <f>SUMPRODUCT(Q190:X190,'Fisico ASIG'!O190:V190)/E190</f>
        <v>5499436.1623582589</v>
      </c>
      <c r="Z190" s="25">
        <f t="shared" si="184"/>
        <v>12679320.414880402</v>
      </c>
      <c r="AA190" s="26">
        <f>+Z190/'Fisico ASIG'!N190/24</f>
        <v>76.298922838892636</v>
      </c>
      <c r="AB190" s="26">
        <f>+$AB$21*0.9*Precios!$P$12/0.61/Precios!$Q$12</f>
        <v>11.866737176097304</v>
      </c>
      <c r="AC190" s="29">
        <f t="shared" si="185"/>
        <v>64.432185662795334</v>
      </c>
      <c r="AI190" s="1">
        <v>7241</v>
      </c>
      <c r="AJ190" s="1">
        <v>5762594</v>
      </c>
      <c r="AK190">
        <f t="shared" ref="AK190:AK329" si="195">1.2*1.2</f>
        <v>1.44</v>
      </c>
      <c r="AL190" s="40">
        <f t="shared" ref="AL190:AL329" si="196">4403+1752*1.4+(4403*1*5*1.4)/24</f>
        <v>8140.0083333333323</v>
      </c>
      <c r="AM190">
        <v>4100000</v>
      </c>
      <c r="AN190" s="17">
        <v>37.84386298833595</v>
      </c>
      <c r="AO190" s="64">
        <f t="shared" si="168"/>
        <v>2.1494607517126769</v>
      </c>
      <c r="AP190">
        <v>0</v>
      </c>
      <c r="AQ190" s="1">
        <v>0.85</v>
      </c>
    </row>
    <row r="191" spans="1:43" hidden="1" x14ac:dyDescent="0.3">
      <c r="A191" s="3">
        <v>1382.7578000000001</v>
      </c>
      <c r="B191" s="42">
        <v>1418.2779999999993</v>
      </c>
      <c r="C191" s="53">
        <v>2026</v>
      </c>
      <c r="D191" s="52">
        <f>+'Fisico ASIG'!B191</f>
        <v>46082</v>
      </c>
      <c r="E191" s="1">
        <v>31</v>
      </c>
      <c r="F191" s="56" t="s">
        <v>45</v>
      </c>
      <c r="G191" s="56">
        <v>46097</v>
      </c>
      <c r="H191" s="17">
        <v>28</v>
      </c>
      <c r="I191" s="17">
        <f t="shared" si="193"/>
        <v>5.2366365244875128</v>
      </c>
      <c r="J191" s="17">
        <f t="shared" si="188"/>
        <v>5.8867925629009878</v>
      </c>
      <c r="K191" s="83">
        <f t="shared" si="181"/>
        <v>6.8583333333333334</v>
      </c>
      <c r="L191" s="17">
        <v>27</v>
      </c>
      <c r="M191" s="17">
        <v>71.5</v>
      </c>
      <c r="N191" s="17">
        <f t="shared" si="194"/>
        <v>46.86800352735483</v>
      </c>
      <c r="O191" s="17">
        <v>34.475654022662866</v>
      </c>
      <c r="P191" s="18">
        <f>SUMPRODUCT(H191:O191,'Fisico ASIG'!F191:M191)*24</f>
        <v>8634083.7086583059</v>
      </c>
      <c r="Q191" s="43">
        <v>0</v>
      </c>
      <c r="R191" s="43">
        <f t="shared" si="182"/>
        <v>6001.1488345970629</v>
      </c>
      <c r="S191" s="43">
        <f t="shared" si="183"/>
        <v>2965.0890416239199</v>
      </c>
      <c r="T191" s="43">
        <f t="shared" si="115"/>
        <v>1795.6376259798433</v>
      </c>
      <c r="U191" s="43">
        <v>18000</v>
      </c>
      <c r="V191" s="20">
        <v>0</v>
      </c>
      <c r="W191" s="20">
        <v>21900</v>
      </c>
      <c r="X191" s="20">
        <v>0</v>
      </c>
      <c r="Y191" s="18">
        <f>SUMPRODUCT(Q191:X191,'Fisico ASIG'!O191:V191)/E191</f>
        <v>5367711.0048253546</v>
      </c>
      <c r="Z191" s="25">
        <f t="shared" si="184"/>
        <v>14001794.713483661</v>
      </c>
      <c r="AA191" s="26">
        <f>+Z191/'Fisico ASIG'!N191/24</f>
        <v>65.117506141625697</v>
      </c>
      <c r="AB191" s="26">
        <f>+$AB$21*0.9*Precios!$P$12/0.61/Precios!$Q$12</f>
        <v>11.866737176097304</v>
      </c>
      <c r="AC191" s="29">
        <f t="shared" si="185"/>
        <v>53.250768965528394</v>
      </c>
      <c r="AI191" s="1">
        <v>7241</v>
      </c>
      <c r="AJ191" s="1">
        <v>5762594</v>
      </c>
      <c r="AK191">
        <f t="shared" si="195"/>
        <v>1.44</v>
      </c>
      <c r="AL191" s="40">
        <f t="shared" si="196"/>
        <v>8140.0083333333323</v>
      </c>
      <c r="AM191">
        <v>4100000</v>
      </c>
      <c r="AN191" s="17">
        <v>43.487591126327708</v>
      </c>
      <c r="AO191" s="64">
        <f t="shared" si="168"/>
        <v>2.5304124010271205</v>
      </c>
      <c r="AP191">
        <v>0</v>
      </c>
      <c r="AQ191" s="1">
        <v>0.85</v>
      </c>
    </row>
    <row r="192" spans="1:43" hidden="1" x14ac:dyDescent="0.3">
      <c r="A192" s="3">
        <v>1382.7578000000001</v>
      </c>
      <c r="B192" s="42">
        <v>1418.2779999999993</v>
      </c>
      <c r="C192" s="53">
        <v>2026</v>
      </c>
      <c r="D192" s="52">
        <f>+'Fisico ASIG'!B192</f>
        <v>46082</v>
      </c>
      <c r="E192" s="1">
        <v>31</v>
      </c>
      <c r="F192" s="56" t="s">
        <v>46</v>
      </c>
      <c r="G192" s="56">
        <v>46098</v>
      </c>
      <c r="H192" s="17">
        <v>28</v>
      </c>
      <c r="I192" s="17">
        <f t="shared" si="179"/>
        <v>5.2366365244875128</v>
      </c>
      <c r="J192" s="17">
        <f t="shared" si="180"/>
        <v>5.8867925629009878</v>
      </c>
      <c r="K192" s="83">
        <f t="shared" si="181"/>
        <v>6.8583333333333334</v>
      </c>
      <c r="L192" s="17">
        <v>27</v>
      </c>
      <c r="M192" s="17">
        <v>71.5</v>
      </c>
      <c r="N192" s="17">
        <f t="shared" si="194"/>
        <v>48.282635026057811</v>
      </c>
      <c r="O192" s="17">
        <v>95.403183396107494</v>
      </c>
      <c r="P192" s="18">
        <f>SUMPRODUCT(H192:O192,'Fisico ASIG'!F192:M192)*24</f>
        <v>9062179.1651476882</v>
      </c>
      <c r="Q192" s="43">
        <v>0</v>
      </c>
      <c r="R192" s="43">
        <f t="shared" si="182"/>
        <v>6001.1488345970629</v>
      </c>
      <c r="S192" s="43">
        <f t="shared" si="183"/>
        <v>2965.0890416239199</v>
      </c>
      <c r="T192" s="43">
        <f t="shared" si="115"/>
        <v>1795.6376259798433</v>
      </c>
      <c r="U192" s="43">
        <v>18000</v>
      </c>
      <c r="V192" s="20">
        <v>0</v>
      </c>
      <c r="W192" s="20">
        <v>21900</v>
      </c>
      <c r="X192" s="20">
        <v>0</v>
      </c>
      <c r="Y192" s="18">
        <f>SUMPRODUCT(Q192:X192,'Fisico ASIG'!O192:V192)/E192</f>
        <v>5391553.5303986762</v>
      </c>
      <c r="Z192" s="25">
        <f t="shared" si="184"/>
        <v>14453732.695546364</v>
      </c>
      <c r="AA192" s="26">
        <f>+Z192/'Fisico ASIG'!N192/24</f>
        <v>70.61126114541463</v>
      </c>
      <c r="AB192" s="26">
        <f>+$AB$21*0.9*Precios!$P$12/0.61/Precios!$Q$12</f>
        <v>11.866737176097304</v>
      </c>
      <c r="AC192" s="29">
        <f t="shared" si="185"/>
        <v>58.744523969317328</v>
      </c>
      <c r="AI192" s="1">
        <v>7241</v>
      </c>
      <c r="AJ192" s="1">
        <v>5762594</v>
      </c>
      <c r="AK192">
        <f t="shared" si="195"/>
        <v>1.44</v>
      </c>
      <c r="AL192" s="40">
        <f t="shared" si="196"/>
        <v>8140.0083333333323</v>
      </c>
      <c r="AM192">
        <v>4100000</v>
      </c>
      <c r="AN192" s="17">
        <v>44.812772858133776</v>
      </c>
      <c r="AO192" s="64">
        <f t="shared" si="168"/>
        <v>2.6198621679240301</v>
      </c>
      <c r="AP192">
        <v>0</v>
      </c>
      <c r="AQ192" s="1">
        <v>0.85</v>
      </c>
    </row>
    <row r="193" spans="1:43" hidden="1" x14ac:dyDescent="0.3">
      <c r="A193" s="3">
        <v>1382.7578000000001</v>
      </c>
      <c r="B193" s="42">
        <v>1418.2779999999993</v>
      </c>
      <c r="C193" s="53">
        <v>2026</v>
      </c>
      <c r="D193" s="52">
        <f>+'Fisico ASIG'!B193</f>
        <v>46082</v>
      </c>
      <c r="E193" s="1">
        <v>31</v>
      </c>
      <c r="F193" s="56" t="s">
        <v>47</v>
      </c>
      <c r="G193" s="56">
        <v>46099</v>
      </c>
      <c r="H193" s="17">
        <v>28</v>
      </c>
      <c r="I193" s="17">
        <f t="shared" si="179"/>
        <v>5.2366365244875128</v>
      </c>
      <c r="J193" s="17">
        <f t="shared" si="180"/>
        <v>5.8867925629009878</v>
      </c>
      <c r="K193" s="83">
        <f t="shared" si="181"/>
        <v>6.8583333333333334</v>
      </c>
      <c r="L193" s="17">
        <v>27</v>
      </c>
      <c r="M193" s="17">
        <v>71.5</v>
      </c>
      <c r="N193" s="17">
        <f t="shared" si="194"/>
        <v>42.50916000973772</v>
      </c>
      <c r="O193" s="17">
        <v>34.549265713015217</v>
      </c>
      <c r="P193" s="18">
        <f>SUMPRODUCT(H193:O193,'Fisico ASIG'!F193:M193)*24</f>
        <v>7734618.3033954035</v>
      </c>
      <c r="Q193" s="43">
        <v>0</v>
      </c>
      <c r="R193" s="43">
        <f t="shared" si="182"/>
        <v>6001.1488345970629</v>
      </c>
      <c r="S193" s="43">
        <f t="shared" si="183"/>
        <v>2965.0890416239199</v>
      </c>
      <c r="T193" s="43">
        <f t="shared" si="115"/>
        <v>1795.6376259798433</v>
      </c>
      <c r="U193" s="43">
        <v>18000</v>
      </c>
      <c r="V193" s="20">
        <v>0</v>
      </c>
      <c r="W193" s="20">
        <v>21900</v>
      </c>
      <c r="X193" s="20">
        <v>0</v>
      </c>
      <c r="Y193" s="18">
        <f>SUMPRODUCT(Q193:X193,'Fisico ASIG'!O193:V193)/E193</f>
        <v>5370815.5386039279</v>
      </c>
      <c r="Z193" s="25">
        <f t="shared" si="184"/>
        <v>13105433.841999331</v>
      </c>
      <c r="AA193" s="26">
        <f>+Z193/'Fisico ASIG'!N193/24</f>
        <v>70.891728343724694</v>
      </c>
      <c r="AB193" s="26">
        <f>+$AB$21*0.9*Precios!$P$12/0.61/Precios!$Q$12</f>
        <v>11.866737176097304</v>
      </c>
      <c r="AC193" s="29">
        <f t="shared" si="185"/>
        <v>59.024991167627391</v>
      </c>
      <c r="AI193" s="1">
        <v>7241</v>
      </c>
      <c r="AJ193" s="1">
        <v>5762594</v>
      </c>
      <c r="AK193">
        <f t="shared" si="195"/>
        <v>1.44</v>
      </c>
      <c r="AL193" s="40">
        <f t="shared" si="196"/>
        <v>8140.0083333333323</v>
      </c>
      <c r="AM193">
        <v>4100000</v>
      </c>
      <c r="AN193" s="17">
        <v>39.404365348700438</v>
      </c>
      <c r="AO193" s="64">
        <f t="shared" si="168"/>
        <v>2.2547946610372795</v>
      </c>
      <c r="AP193">
        <v>0</v>
      </c>
      <c r="AQ193" s="1">
        <v>0.85</v>
      </c>
    </row>
    <row r="194" spans="1:43" hidden="1" x14ac:dyDescent="0.3">
      <c r="A194" s="3">
        <v>1382.7578000000001</v>
      </c>
      <c r="B194" s="42">
        <v>1418.2779999999993</v>
      </c>
      <c r="C194" s="53">
        <v>2026</v>
      </c>
      <c r="D194" s="52">
        <f>+'Fisico ASIG'!B194</f>
        <v>46082</v>
      </c>
      <c r="E194" s="1">
        <v>31</v>
      </c>
      <c r="F194" s="56" t="s">
        <v>48</v>
      </c>
      <c r="G194" s="56">
        <v>46100</v>
      </c>
      <c r="H194" s="17">
        <v>28</v>
      </c>
      <c r="I194" s="17">
        <f t="shared" ref="I194:I200" si="197">AI194/A194</f>
        <v>5.2366365244875128</v>
      </c>
      <c r="J194" s="17">
        <f t="shared" ref="J194:J200" si="198">+AL194/A194</f>
        <v>5.8867925629009878</v>
      </c>
      <c r="K194" s="83">
        <f t="shared" si="181"/>
        <v>6.8583333333333334</v>
      </c>
      <c r="L194" s="17">
        <v>27</v>
      </c>
      <c r="M194" s="17">
        <v>71.5</v>
      </c>
      <c r="N194" s="17">
        <f t="shared" ref="N194:N200" si="199">+AN194+AO194+AP194+AQ194</f>
        <v>40.486047823883538</v>
      </c>
      <c r="O194" s="17">
        <v>88.730526314602486</v>
      </c>
      <c r="P194" s="18">
        <f>SUMPRODUCT(H194:O194,'Fisico ASIG'!F194:M194)*24</f>
        <v>6792908.8549750336</v>
      </c>
      <c r="Q194" s="43">
        <v>0</v>
      </c>
      <c r="R194" s="43">
        <f t="shared" ref="R194:R200" si="200">+AJ194*AK194/A194</f>
        <v>6001.1488345970629</v>
      </c>
      <c r="S194" s="43">
        <f t="shared" ref="S194:S200" si="201">+AM194/A194</f>
        <v>2965.0890416239199</v>
      </c>
      <c r="T194" s="43">
        <f t="shared" si="115"/>
        <v>1795.6376259798433</v>
      </c>
      <c r="U194" s="43">
        <v>18000</v>
      </c>
      <c r="V194" s="20">
        <v>0</v>
      </c>
      <c r="W194" s="20">
        <v>21900</v>
      </c>
      <c r="X194" s="20">
        <v>0</v>
      </c>
      <c r="Y194" s="18">
        <f>SUMPRODUCT(Q194:X194,'Fisico ASIG'!O194:V194)/E194</f>
        <v>5423806.9322391115</v>
      </c>
      <c r="Z194" s="25">
        <f t="shared" ref="Z194:Z200" si="202">+(P194+Y194)</f>
        <v>12216715.787214145</v>
      </c>
      <c r="AA194" s="26">
        <f>+Z194/'Fisico ASIG'!N194/24</f>
        <v>69.970572844870176</v>
      </c>
      <c r="AB194" s="26">
        <f>+$AB$21*0.9*Precios!$P$12/0.61/Precios!$Q$12</f>
        <v>11.866737176097304</v>
      </c>
      <c r="AC194" s="29">
        <f t="shared" ref="AC194:AC200" si="203">+AA194-AB194</f>
        <v>58.103835668772874</v>
      </c>
      <c r="AI194" s="1">
        <v>7241</v>
      </c>
      <c r="AJ194" s="1">
        <v>5762594</v>
      </c>
      <c r="AK194">
        <f t="shared" si="195"/>
        <v>1.44</v>
      </c>
      <c r="AL194" s="40">
        <f t="shared" si="196"/>
        <v>8140.0083333333323</v>
      </c>
      <c r="AM194">
        <v>4100000</v>
      </c>
      <c r="AN194" s="17">
        <v>37.509178289352256</v>
      </c>
      <c r="AO194" s="64">
        <f t="shared" si="168"/>
        <v>2.1268695345312776</v>
      </c>
      <c r="AP194">
        <v>0</v>
      </c>
      <c r="AQ194" s="1">
        <v>0.85</v>
      </c>
    </row>
    <row r="195" spans="1:43" hidden="1" x14ac:dyDescent="0.3">
      <c r="A195" s="3">
        <v>1382.7578000000001</v>
      </c>
      <c r="B195" s="42">
        <v>1418.2779999999993</v>
      </c>
      <c r="C195" s="53">
        <v>2026</v>
      </c>
      <c r="D195" s="52">
        <f>+'Fisico ASIG'!B195</f>
        <v>46082</v>
      </c>
      <c r="E195" s="1">
        <v>31</v>
      </c>
      <c r="F195" s="56" t="s">
        <v>49</v>
      </c>
      <c r="G195" s="56">
        <v>46101</v>
      </c>
      <c r="H195" s="17">
        <v>28</v>
      </c>
      <c r="I195" s="17">
        <f t="shared" si="197"/>
        <v>5.2366365244875128</v>
      </c>
      <c r="J195" s="17">
        <f t="shared" si="198"/>
        <v>5.8867925629009878</v>
      </c>
      <c r="K195" s="83">
        <f t="shared" si="181"/>
        <v>6.8583333333333334</v>
      </c>
      <c r="L195" s="17">
        <v>27</v>
      </c>
      <c r="M195" s="17">
        <v>71.5</v>
      </c>
      <c r="N195" s="17">
        <f t="shared" si="199"/>
        <v>45.574309979806777</v>
      </c>
      <c r="O195" s="17">
        <v>58.765495408827171</v>
      </c>
      <c r="P195" s="18">
        <f>SUMPRODUCT(H195:O195,'Fisico ASIG'!F195:M195)*24</f>
        <v>7160444.8282879796</v>
      </c>
      <c r="Q195" s="43">
        <v>0</v>
      </c>
      <c r="R195" s="43">
        <f t="shared" si="200"/>
        <v>6001.1488345970629</v>
      </c>
      <c r="S195" s="43">
        <f t="shared" si="201"/>
        <v>2965.0890416239199</v>
      </c>
      <c r="T195" s="43">
        <f t="shared" si="115"/>
        <v>1795.6376259798433</v>
      </c>
      <c r="U195" s="43">
        <v>18000</v>
      </c>
      <c r="V195" s="20">
        <v>0</v>
      </c>
      <c r="W195" s="20">
        <v>21900</v>
      </c>
      <c r="X195" s="20">
        <v>0</v>
      </c>
      <c r="Y195" s="18">
        <f>SUMPRODUCT(Q195:X195,'Fisico ASIG'!O195:V195)/E195</f>
        <v>5453986.5044687148</v>
      </c>
      <c r="Z195" s="25">
        <f t="shared" si="202"/>
        <v>12614431.332756694</v>
      </c>
      <c r="AA195" s="26">
        <f>+Z195/'Fisico ASIG'!N195/24</f>
        <v>63.035309105945544</v>
      </c>
      <c r="AB195" s="26">
        <f>+$AB$21*0.9*Precios!$P$12/0.61/Precios!$Q$12</f>
        <v>11.866737176097304</v>
      </c>
      <c r="AC195" s="29">
        <f t="shared" si="203"/>
        <v>51.168571929848241</v>
      </c>
      <c r="AI195" s="1">
        <v>7241</v>
      </c>
      <c r="AJ195" s="1">
        <v>5762594</v>
      </c>
      <c r="AK195">
        <f t="shared" si="195"/>
        <v>1.44</v>
      </c>
      <c r="AL195" s="40">
        <f t="shared" si="196"/>
        <v>8140.0083333333323</v>
      </c>
      <c r="AM195">
        <v>4100000</v>
      </c>
      <c r="AN195" s="17">
        <v>42.27570021527567</v>
      </c>
      <c r="AO195" s="64">
        <f t="shared" si="168"/>
        <v>2.448609764531108</v>
      </c>
      <c r="AP195">
        <v>0</v>
      </c>
      <c r="AQ195" s="1">
        <v>0.85</v>
      </c>
    </row>
    <row r="196" spans="1:43" hidden="1" x14ac:dyDescent="0.3">
      <c r="A196" s="3">
        <v>1382.7578000000001</v>
      </c>
      <c r="B196" s="42">
        <v>1418.2779999999993</v>
      </c>
      <c r="C196" s="53">
        <v>2026</v>
      </c>
      <c r="D196" s="52">
        <f>+'Fisico ASIG'!B196</f>
        <v>46082</v>
      </c>
      <c r="E196" s="1">
        <v>31</v>
      </c>
      <c r="F196" s="56" t="s">
        <v>43</v>
      </c>
      <c r="G196" s="56">
        <v>46102</v>
      </c>
      <c r="H196" s="17">
        <v>28</v>
      </c>
      <c r="I196" s="17">
        <f t="shared" si="197"/>
        <v>5.2366365244875128</v>
      </c>
      <c r="J196" s="17">
        <f t="shared" si="198"/>
        <v>5.8867925629009878</v>
      </c>
      <c r="K196" s="83">
        <f t="shared" si="181"/>
        <v>6.8583333333333334</v>
      </c>
      <c r="L196" s="17">
        <v>27</v>
      </c>
      <c r="M196" s="17">
        <v>71.5</v>
      </c>
      <c r="N196" s="17">
        <f t="shared" si="199"/>
        <v>40.090889276490756</v>
      </c>
      <c r="O196" s="17">
        <v>31.463424554405243</v>
      </c>
      <c r="P196" s="18">
        <f>SUMPRODUCT(H196:O196,'Fisico ASIG'!F196:M196)*24</f>
        <v>6034374.6419730568</v>
      </c>
      <c r="Q196" s="43">
        <v>0</v>
      </c>
      <c r="R196" s="43">
        <f t="shared" si="200"/>
        <v>6001.1488345970629</v>
      </c>
      <c r="S196" s="43">
        <f t="shared" si="201"/>
        <v>2965.0890416239199</v>
      </c>
      <c r="T196" s="43">
        <f t="shared" si="115"/>
        <v>1795.6376259798433</v>
      </c>
      <c r="U196" s="43">
        <v>18000</v>
      </c>
      <c r="V196" s="20">
        <v>0</v>
      </c>
      <c r="W196" s="20">
        <v>21900</v>
      </c>
      <c r="X196" s="20">
        <v>0</v>
      </c>
      <c r="Y196" s="18">
        <f>SUMPRODUCT(Q196:X196,'Fisico ASIG'!O196:V196)/E196</f>
        <v>5245723.8879176052</v>
      </c>
      <c r="Z196" s="25">
        <f t="shared" si="202"/>
        <v>11280098.529890662</v>
      </c>
      <c r="AA196" s="26">
        <f>+Z196/'Fisico ASIG'!N196/24</f>
        <v>70.595226387048129</v>
      </c>
      <c r="AB196" s="26">
        <f>+$AB$21*0.9*Precios!$P$12/0.61/Precios!$Q$12</f>
        <v>11.866737176097304</v>
      </c>
      <c r="AC196" s="29">
        <f t="shared" si="203"/>
        <v>58.728489210950826</v>
      </c>
      <c r="AI196" s="1">
        <v>7241</v>
      </c>
      <c r="AJ196" s="1">
        <v>5762594</v>
      </c>
      <c r="AK196">
        <f t="shared" si="195"/>
        <v>1.44</v>
      </c>
      <c r="AL196" s="40">
        <f t="shared" si="196"/>
        <v>8140.0083333333323</v>
      </c>
      <c r="AM196">
        <v>4100000</v>
      </c>
      <c r="AN196" s="17">
        <v>37.139006348000706</v>
      </c>
      <c r="AO196" s="64">
        <f t="shared" si="168"/>
        <v>2.1018829284900478</v>
      </c>
      <c r="AP196">
        <v>0</v>
      </c>
      <c r="AQ196" s="1">
        <v>0.85</v>
      </c>
    </row>
    <row r="197" spans="1:43" hidden="1" x14ac:dyDescent="0.3">
      <c r="A197" s="3">
        <v>1382.7578000000001</v>
      </c>
      <c r="B197" s="42">
        <v>1418.2779999999993</v>
      </c>
      <c r="C197" s="53">
        <v>2026</v>
      </c>
      <c r="D197" s="52">
        <f>+'Fisico ASIG'!B197</f>
        <v>46082</v>
      </c>
      <c r="E197" s="1">
        <v>31</v>
      </c>
      <c r="F197" s="56" t="s">
        <v>44</v>
      </c>
      <c r="G197" s="56">
        <v>46103</v>
      </c>
      <c r="H197" s="17">
        <v>28</v>
      </c>
      <c r="I197" s="17">
        <f t="shared" si="197"/>
        <v>5.2366365244875128</v>
      </c>
      <c r="J197" s="17">
        <f t="shared" si="198"/>
        <v>5.8867925629009878</v>
      </c>
      <c r="K197" s="83">
        <f t="shared" si="181"/>
        <v>6.8583333333333334</v>
      </c>
      <c r="L197" s="17">
        <v>27</v>
      </c>
      <c r="M197" s="17">
        <v>71.5</v>
      </c>
      <c r="N197" s="17">
        <f t="shared" si="199"/>
        <v>40.175223680610017</v>
      </c>
      <c r="O197" s="17">
        <v>52.091751410984529</v>
      </c>
      <c r="P197" s="18">
        <f>SUMPRODUCT(H197:O197,'Fisico ASIG'!F197:M197)*24</f>
        <v>5679866.0011810986</v>
      </c>
      <c r="Q197" s="43">
        <v>0</v>
      </c>
      <c r="R197" s="43">
        <f t="shared" si="200"/>
        <v>6001.1488345970629</v>
      </c>
      <c r="S197" s="43">
        <f t="shared" si="201"/>
        <v>2965.0890416239199</v>
      </c>
      <c r="T197" s="43">
        <f t="shared" si="115"/>
        <v>1795.6376259798433</v>
      </c>
      <c r="U197" s="43">
        <v>18000</v>
      </c>
      <c r="V197" s="20">
        <v>0</v>
      </c>
      <c r="W197" s="20">
        <v>21900</v>
      </c>
      <c r="X197" s="20">
        <v>0</v>
      </c>
      <c r="Y197" s="18">
        <f>SUMPRODUCT(Q197:X197,'Fisico ASIG'!O197:V197)/E197</f>
        <v>5263771.4498982793</v>
      </c>
      <c r="Z197" s="25">
        <f t="shared" si="202"/>
        <v>10943637.451079378</v>
      </c>
      <c r="AA197" s="26">
        <f>+Z197/'Fisico ASIG'!N197/24</f>
        <v>80.954540923968622</v>
      </c>
      <c r="AB197" s="26">
        <f>+$AB$21*0.9*Precios!$P$12/0.61/Precios!$Q$12</f>
        <v>11.866737176097304</v>
      </c>
      <c r="AC197" s="29">
        <f t="shared" si="203"/>
        <v>69.08780374787132</v>
      </c>
      <c r="AI197" s="1">
        <v>7241</v>
      </c>
      <c r="AJ197" s="1">
        <v>5762594</v>
      </c>
      <c r="AK197">
        <f t="shared" si="195"/>
        <v>1.44</v>
      </c>
      <c r="AL197" s="40">
        <f t="shared" si="196"/>
        <v>8140.0083333333323</v>
      </c>
      <c r="AM197">
        <v>4100000</v>
      </c>
      <c r="AN197" s="17">
        <v>37.218008131718982</v>
      </c>
      <c r="AO197" s="64">
        <f t="shared" si="168"/>
        <v>2.1072155488910314</v>
      </c>
      <c r="AP197">
        <v>0</v>
      </c>
      <c r="AQ197" s="1">
        <v>0.85</v>
      </c>
    </row>
    <row r="198" spans="1:43" hidden="1" x14ac:dyDescent="0.3">
      <c r="A198" s="3">
        <v>1382.7578000000001</v>
      </c>
      <c r="B198" s="42">
        <v>1418.2779999999993</v>
      </c>
      <c r="C198" s="53">
        <v>2026</v>
      </c>
      <c r="D198" s="52">
        <f>+'Fisico ASIG'!B198</f>
        <v>46082</v>
      </c>
      <c r="E198" s="1">
        <v>31</v>
      </c>
      <c r="F198" s="56" t="s">
        <v>45</v>
      </c>
      <c r="G198" s="56">
        <v>46104</v>
      </c>
      <c r="H198" s="17">
        <v>28</v>
      </c>
      <c r="I198" s="17">
        <f t="shared" si="197"/>
        <v>5.2366365244875128</v>
      </c>
      <c r="J198" s="17">
        <f t="shared" si="198"/>
        <v>5.8867925629009878</v>
      </c>
      <c r="K198" s="83">
        <f t="shared" si="181"/>
        <v>6.8583333333333334</v>
      </c>
      <c r="L198" s="17">
        <v>27</v>
      </c>
      <c r="M198" s="17">
        <v>71.5</v>
      </c>
      <c r="N198" s="17">
        <f t="shared" si="199"/>
        <v>40.687249655662114</v>
      </c>
      <c r="O198" s="17">
        <v>87.334256014906927</v>
      </c>
      <c r="P198" s="18">
        <f>SUMPRODUCT(H198:O198,'Fisico ASIG'!F198:M198)*24</f>
        <v>6766426.4732568022</v>
      </c>
      <c r="Q198" s="43">
        <v>0</v>
      </c>
      <c r="R198" s="43">
        <f t="shared" si="200"/>
        <v>6001.1488345970629</v>
      </c>
      <c r="S198" s="43">
        <f t="shared" si="201"/>
        <v>2965.0890416239199</v>
      </c>
      <c r="T198" s="43">
        <f t="shared" si="115"/>
        <v>1795.6376259798433</v>
      </c>
      <c r="U198" s="43">
        <v>18000</v>
      </c>
      <c r="V198" s="20">
        <v>0</v>
      </c>
      <c r="W198" s="20">
        <v>21900</v>
      </c>
      <c r="X198" s="20">
        <v>0</v>
      </c>
      <c r="Y198" s="18">
        <f>SUMPRODUCT(Q198:X198,'Fisico ASIG'!O198:V198)/E198</f>
        <v>5175534.8490776112</v>
      </c>
      <c r="Z198" s="25">
        <f t="shared" si="202"/>
        <v>11941961.322334412</v>
      </c>
      <c r="AA198" s="26">
        <f>+Z198/'Fisico ASIG'!N198/24</f>
        <v>75.740300353626836</v>
      </c>
      <c r="AB198" s="26">
        <f>+$AB$21*0.9*Precios!$P$12/0.61/Precios!$Q$12</f>
        <v>11.866737176097304</v>
      </c>
      <c r="AC198" s="29">
        <f t="shared" si="203"/>
        <v>63.873563177529533</v>
      </c>
      <c r="AI198" s="1">
        <v>7241</v>
      </c>
      <c r="AJ198" s="1">
        <v>5762594</v>
      </c>
      <c r="AK198">
        <f t="shared" si="195"/>
        <v>1.44</v>
      </c>
      <c r="AL198" s="40">
        <f t="shared" si="196"/>
        <v>8140.0083333333323</v>
      </c>
      <c r="AM198">
        <v>4100000</v>
      </c>
      <c r="AN198" s="17">
        <v>37.697657757060526</v>
      </c>
      <c r="AO198" s="64">
        <f t="shared" si="168"/>
        <v>2.1395918986015858</v>
      </c>
      <c r="AP198">
        <v>0</v>
      </c>
      <c r="AQ198" s="1">
        <v>0.85</v>
      </c>
    </row>
    <row r="199" spans="1:43" hidden="1" x14ac:dyDescent="0.3">
      <c r="A199" s="3">
        <v>1382.7578000000001</v>
      </c>
      <c r="B199" s="42">
        <v>1418.2779999999993</v>
      </c>
      <c r="C199" s="53">
        <v>2026</v>
      </c>
      <c r="D199" s="52">
        <f>+'Fisico ASIG'!B199</f>
        <v>46082</v>
      </c>
      <c r="E199" s="1">
        <v>31</v>
      </c>
      <c r="F199" s="56" t="s">
        <v>46</v>
      </c>
      <c r="G199" s="56">
        <v>46105</v>
      </c>
      <c r="H199" s="17">
        <v>28</v>
      </c>
      <c r="I199" s="17">
        <f t="shared" si="197"/>
        <v>5.2366365244875128</v>
      </c>
      <c r="J199" s="17">
        <f t="shared" si="198"/>
        <v>5.8867925629009878</v>
      </c>
      <c r="K199" s="83">
        <f t="shared" si="181"/>
        <v>6.8583333333333334</v>
      </c>
      <c r="L199" s="17">
        <v>27</v>
      </c>
      <c r="M199" s="17">
        <v>71.5</v>
      </c>
      <c r="N199" s="17">
        <f t="shared" si="199"/>
        <v>40.831662837180751</v>
      </c>
      <c r="O199" s="17">
        <v>73.756010546716965</v>
      </c>
      <c r="P199" s="18">
        <f>SUMPRODUCT(H199:O199,'Fisico ASIG'!F199:M199)*24</f>
        <v>7036262.2445055265</v>
      </c>
      <c r="Q199" s="43">
        <v>0</v>
      </c>
      <c r="R199" s="43">
        <f t="shared" si="200"/>
        <v>6001.1488345970629</v>
      </c>
      <c r="S199" s="43">
        <f t="shared" si="201"/>
        <v>2965.0890416239199</v>
      </c>
      <c r="T199" s="43">
        <f t="shared" si="115"/>
        <v>1795.6376259798433</v>
      </c>
      <c r="U199" s="43">
        <v>18000</v>
      </c>
      <c r="V199" s="20">
        <v>0</v>
      </c>
      <c r="W199" s="20">
        <v>21900</v>
      </c>
      <c r="X199" s="20">
        <v>0</v>
      </c>
      <c r="Y199" s="18">
        <f>SUMPRODUCT(Q199:X199,'Fisico ASIG'!O199:V199)/E199</f>
        <v>5140129.2241824055</v>
      </c>
      <c r="Z199" s="25">
        <f t="shared" si="202"/>
        <v>12176391.468687933</v>
      </c>
      <c r="AA199" s="26">
        <f>+Z199/'Fisico ASIG'!N199/24</f>
        <v>76.038000956731196</v>
      </c>
      <c r="AB199" s="26">
        <f>+$AB$21*0.9*Precios!$P$12/0.61/Precios!$Q$12</f>
        <v>11.866737176097304</v>
      </c>
      <c r="AC199" s="29">
        <f t="shared" si="203"/>
        <v>64.171263780633893</v>
      </c>
      <c r="AI199" s="1">
        <v>7241</v>
      </c>
      <c r="AJ199" s="1">
        <v>5762594</v>
      </c>
      <c r="AK199">
        <f t="shared" si="195"/>
        <v>1.44</v>
      </c>
      <c r="AL199" s="40">
        <f t="shared" si="196"/>
        <v>8140.0083333333323</v>
      </c>
      <c r="AM199">
        <v>4100000</v>
      </c>
      <c r="AN199" s="17">
        <v>37.832939425930448</v>
      </c>
      <c r="AO199" s="64">
        <f t="shared" si="168"/>
        <v>2.1487234112503053</v>
      </c>
      <c r="AP199">
        <v>0</v>
      </c>
      <c r="AQ199" s="1">
        <v>0.85</v>
      </c>
    </row>
    <row r="200" spans="1:43" hidden="1" x14ac:dyDescent="0.3">
      <c r="A200" s="3">
        <v>1382.7578000000001</v>
      </c>
      <c r="B200" s="42">
        <v>1418.2779999999993</v>
      </c>
      <c r="C200" s="53">
        <v>2026</v>
      </c>
      <c r="D200" s="52">
        <f>+'Fisico ASIG'!B200</f>
        <v>46082</v>
      </c>
      <c r="E200" s="1">
        <v>31</v>
      </c>
      <c r="F200" s="56" t="s">
        <v>47</v>
      </c>
      <c r="G200" s="56">
        <v>46106</v>
      </c>
      <c r="H200" s="17">
        <v>28</v>
      </c>
      <c r="I200" s="17">
        <f t="shared" si="197"/>
        <v>5.2366365244875128</v>
      </c>
      <c r="J200" s="17">
        <f t="shared" si="198"/>
        <v>5.8867925629009878</v>
      </c>
      <c r="K200" s="83">
        <f t="shared" si="181"/>
        <v>6.8583333333333334</v>
      </c>
      <c r="L200" s="17">
        <v>27</v>
      </c>
      <c r="M200" s="17">
        <v>71.5</v>
      </c>
      <c r="N200" s="17">
        <f t="shared" si="199"/>
        <v>40.120588085641302</v>
      </c>
      <c r="O200" s="17">
        <v>45.074586706915582</v>
      </c>
      <c r="P200" s="18">
        <f>SUMPRODUCT(H200:O200,'Fisico ASIG'!F200:M200)*24</f>
        <v>7545961.3416582998</v>
      </c>
      <c r="Q200" s="43">
        <v>0</v>
      </c>
      <c r="R200" s="43">
        <f t="shared" si="200"/>
        <v>6001.1488345970629</v>
      </c>
      <c r="S200" s="43">
        <f t="shared" si="201"/>
        <v>2965.0890416239199</v>
      </c>
      <c r="T200" s="43">
        <f t="shared" si="115"/>
        <v>1795.6376259798433</v>
      </c>
      <c r="U200" s="43">
        <v>18000</v>
      </c>
      <c r="V200" s="20">
        <v>0</v>
      </c>
      <c r="W200" s="20">
        <v>21900</v>
      </c>
      <c r="X200" s="20">
        <v>0</v>
      </c>
      <c r="Y200" s="18">
        <f>SUMPRODUCT(Q200:X200,'Fisico ASIG'!O200:V200)/E200</f>
        <v>5154704.0972108971</v>
      </c>
      <c r="Z200" s="25">
        <f t="shared" si="202"/>
        <v>12700665.438869197</v>
      </c>
      <c r="AA200" s="26">
        <f>+Z200/'Fisico ASIG'!N200/24</f>
        <v>71.182513994667872</v>
      </c>
      <c r="AB200" s="26">
        <f>+$AB$21*0.9*Precios!$P$12/0.61/Precios!$Q$12</f>
        <v>11.866737176097304</v>
      </c>
      <c r="AC200" s="29">
        <f t="shared" si="203"/>
        <v>59.315776818570569</v>
      </c>
      <c r="AI200" s="1">
        <v>7241</v>
      </c>
      <c r="AJ200" s="1">
        <v>5762594</v>
      </c>
      <c r="AK200">
        <f t="shared" si="195"/>
        <v>1.44</v>
      </c>
      <c r="AL200" s="40">
        <f t="shared" si="196"/>
        <v>8140.0083333333323</v>
      </c>
      <c r="AM200">
        <v>4100000</v>
      </c>
      <c r="AN200" s="17">
        <v>37.166827246502386</v>
      </c>
      <c r="AO200" s="64">
        <f t="shared" si="168"/>
        <v>2.1037608391389111</v>
      </c>
      <c r="AP200">
        <v>0</v>
      </c>
      <c r="AQ200" s="1">
        <v>0.85</v>
      </c>
    </row>
    <row r="201" spans="1:43" hidden="1" x14ac:dyDescent="0.3">
      <c r="A201" s="3">
        <v>1382.7578000000001</v>
      </c>
      <c r="B201" s="42">
        <v>1418.2779999999993</v>
      </c>
      <c r="C201" s="53">
        <v>2026</v>
      </c>
      <c r="D201" s="52">
        <f>+'Fisico ASIG'!B201</f>
        <v>46082</v>
      </c>
      <c r="E201" s="1">
        <v>31</v>
      </c>
      <c r="F201" s="56" t="s">
        <v>48</v>
      </c>
      <c r="G201" s="56">
        <v>46107</v>
      </c>
      <c r="H201" s="17">
        <v>28</v>
      </c>
      <c r="I201" s="17">
        <f t="shared" ref="I201:I205" si="204">AI201/A201</f>
        <v>5.2366365244875128</v>
      </c>
      <c r="J201" s="17">
        <f t="shared" ref="J201:J205" si="205">+AL201/A201</f>
        <v>5.8867925629009878</v>
      </c>
      <c r="K201" s="83">
        <f t="shared" si="181"/>
        <v>6.8583333333333334</v>
      </c>
      <c r="L201" s="17">
        <v>27</v>
      </c>
      <c r="M201" s="17">
        <v>71.5</v>
      </c>
      <c r="N201" s="17">
        <f t="shared" ref="N201:N205" si="206">+AN201+AO201+AP201+AQ201</f>
        <v>40.165732175038869</v>
      </c>
      <c r="O201" s="17">
        <v>70.674746585678591</v>
      </c>
      <c r="P201" s="18">
        <f>SUMPRODUCT(H201:O201,'Fisico ASIG'!F201:M201)*24</f>
        <v>6915606.9821454603</v>
      </c>
      <c r="Q201" s="43">
        <v>0</v>
      </c>
      <c r="R201" s="43">
        <f t="shared" ref="R201:R205" si="207">+AJ201*AK201/A201</f>
        <v>6001.1488345970629</v>
      </c>
      <c r="S201" s="43">
        <f t="shared" ref="S201:S205" si="208">+AM201/A201</f>
        <v>2965.0890416239199</v>
      </c>
      <c r="T201" s="43">
        <f t="shared" si="115"/>
        <v>1795.6376259798433</v>
      </c>
      <c r="U201" s="43">
        <v>18000</v>
      </c>
      <c r="V201" s="20">
        <v>0</v>
      </c>
      <c r="W201" s="20">
        <v>21900</v>
      </c>
      <c r="X201" s="20">
        <v>0</v>
      </c>
      <c r="Y201" s="18">
        <f>SUMPRODUCT(Q201:X201,'Fisico ASIG'!O201:V201)/E201</f>
        <v>5111139.4885222586</v>
      </c>
      <c r="Z201" s="25">
        <f t="shared" ref="Z201:Z205" si="209">+(P201+Y201)</f>
        <v>12026746.47066772</v>
      </c>
      <c r="AA201" s="26">
        <f>+Z201/'Fisico ASIG'!N201/24</f>
        <v>66.646208655146921</v>
      </c>
      <c r="AB201" s="26">
        <f>+$AB$21*0.9*Precios!$P$12/0.61/Precios!$Q$12</f>
        <v>11.866737176097304</v>
      </c>
      <c r="AC201" s="29">
        <f t="shared" ref="AC201:AC205" si="210">+AA201-AB201</f>
        <v>54.779471479049619</v>
      </c>
      <c r="AI201" s="1">
        <v>7241</v>
      </c>
      <c r="AJ201" s="1">
        <v>5762594</v>
      </c>
      <c r="AK201">
        <f t="shared" si="195"/>
        <v>1.44</v>
      </c>
      <c r="AL201" s="40">
        <f t="shared" si="196"/>
        <v>8140.0083333333323</v>
      </c>
      <c r="AM201">
        <v>4100000</v>
      </c>
      <c r="AN201" s="17">
        <v>37.209116791605496</v>
      </c>
      <c r="AO201" s="64">
        <f t="shared" si="168"/>
        <v>2.106615383433371</v>
      </c>
      <c r="AP201">
        <v>0</v>
      </c>
      <c r="AQ201" s="1">
        <v>0.85</v>
      </c>
    </row>
    <row r="202" spans="1:43" hidden="1" x14ac:dyDescent="0.3">
      <c r="A202" s="3">
        <v>1382.7578000000001</v>
      </c>
      <c r="B202" s="42">
        <v>1418.2779999999993</v>
      </c>
      <c r="C202" s="53">
        <v>2026</v>
      </c>
      <c r="D202" s="52">
        <f>+'Fisico ASIG'!B202</f>
        <v>46082</v>
      </c>
      <c r="E202" s="1">
        <v>31</v>
      </c>
      <c r="F202" s="56" t="s">
        <v>49</v>
      </c>
      <c r="G202" s="56">
        <v>46108</v>
      </c>
      <c r="H202" s="17">
        <v>28</v>
      </c>
      <c r="I202" s="17">
        <f>AI202/A202</f>
        <v>5.2366365244875128</v>
      </c>
      <c r="J202" s="17">
        <f t="shared" si="205"/>
        <v>5.8867925629009878</v>
      </c>
      <c r="K202" s="83">
        <f t="shared" si="181"/>
        <v>6.8583333333333334</v>
      </c>
      <c r="L202" s="17">
        <v>27</v>
      </c>
      <c r="M202" s="17">
        <v>71.5</v>
      </c>
      <c r="N202" s="17">
        <f t="shared" si="206"/>
        <v>40.588159810141271</v>
      </c>
      <c r="O202" s="17">
        <v>60.889333540236237</v>
      </c>
      <c r="P202" s="18">
        <f>SUMPRODUCT(H202:O202,'Fisico ASIG'!F202:M202)*24</f>
        <v>7409631.0755340876</v>
      </c>
      <c r="Q202" s="43">
        <v>0</v>
      </c>
      <c r="R202" s="43">
        <f t="shared" si="207"/>
        <v>6001.1488345970629</v>
      </c>
      <c r="S202" s="43">
        <f t="shared" si="208"/>
        <v>2965.0890416239199</v>
      </c>
      <c r="T202" s="43">
        <f t="shared" si="115"/>
        <v>1795.6376259798433</v>
      </c>
      <c r="U202" s="43">
        <v>18000</v>
      </c>
      <c r="V202" s="20">
        <v>0</v>
      </c>
      <c r="W202" s="20">
        <v>21900</v>
      </c>
      <c r="X202" s="20">
        <v>0</v>
      </c>
      <c r="Y202" s="18">
        <f>SUMPRODUCT(Q202:X202,'Fisico ASIG'!O202:V202)/E202</f>
        <v>5105559.4916066267</v>
      </c>
      <c r="Z202" s="25">
        <f t="shared" si="209"/>
        <v>12515190.567140713</v>
      </c>
      <c r="AA202" s="26">
        <f>+Z202/'Fisico ASIG'!N202/24</f>
        <v>65.571829258481145</v>
      </c>
      <c r="AB202" s="26">
        <f>+$AB$21*0.9*Precios!$P$12/0.61/Precios!$Q$12</f>
        <v>11.866737176097304</v>
      </c>
      <c r="AC202" s="29">
        <f t="shared" si="210"/>
        <v>53.705092082383842</v>
      </c>
      <c r="AI202" s="1">
        <v>7241</v>
      </c>
      <c r="AJ202" s="1">
        <v>5762594</v>
      </c>
      <c r="AK202">
        <f t="shared" si="195"/>
        <v>1.44</v>
      </c>
      <c r="AL202" s="40">
        <f t="shared" si="196"/>
        <v>8140.0083333333323</v>
      </c>
      <c r="AM202">
        <v>4100000</v>
      </c>
      <c r="AN202" s="17">
        <v>37.604833545799785</v>
      </c>
      <c r="AO202" s="64">
        <f t="shared" si="168"/>
        <v>2.1333262643414854</v>
      </c>
      <c r="AP202">
        <v>0</v>
      </c>
      <c r="AQ202" s="1">
        <v>0.85</v>
      </c>
    </row>
    <row r="203" spans="1:43" hidden="1" x14ac:dyDescent="0.3">
      <c r="A203" s="3">
        <v>1382.7578000000001</v>
      </c>
      <c r="B203" s="42">
        <v>1418.2779999999993</v>
      </c>
      <c r="C203" s="53">
        <v>2026</v>
      </c>
      <c r="D203" s="52">
        <f>+'Fisico ASIG'!B203</f>
        <v>46082</v>
      </c>
      <c r="E203" s="1">
        <v>31</v>
      </c>
      <c r="F203" s="56" t="s">
        <v>43</v>
      </c>
      <c r="G203" s="56">
        <v>46109</v>
      </c>
      <c r="H203" s="17">
        <v>28</v>
      </c>
      <c r="I203" s="17">
        <f t="shared" si="204"/>
        <v>5.2366365244875128</v>
      </c>
      <c r="J203" s="17">
        <f t="shared" si="205"/>
        <v>5.8867925629009878</v>
      </c>
      <c r="K203" s="83">
        <f t="shared" si="181"/>
        <v>6.8583333333333334</v>
      </c>
      <c r="L203" s="17">
        <v>27</v>
      </c>
      <c r="M203" s="17">
        <v>71.5</v>
      </c>
      <c r="N203" s="17">
        <f t="shared" si="206"/>
        <v>41.353687010447864</v>
      </c>
      <c r="O203" s="17">
        <v>14.565506386525778</v>
      </c>
      <c r="P203" s="18">
        <f>SUMPRODUCT(H203:O203,'Fisico ASIG'!F203:M203)*24</f>
        <v>7456553.1115654968</v>
      </c>
      <c r="Q203" s="43">
        <v>0</v>
      </c>
      <c r="R203" s="43">
        <f t="shared" si="207"/>
        <v>6001.1488345970629</v>
      </c>
      <c r="S203" s="43">
        <f t="shared" si="208"/>
        <v>2965.0890416239199</v>
      </c>
      <c r="T203" s="43">
        <f t="shared" si="115"/>
        <v>1795.6376259798433</v>
      </c>
      <c r="U203" s="43">
        <v>18000</v>
      </c>
      <c r="V203" s="20">
        <v>0</v>
      </c>
      <c r="W203" s="20">
        <v>21900</v>
      </c>
      <c r="X203" s="20">
        <v>0</v>
      </c>
      <c r="Y203" s="18">
        <f>SUMPRODUCT(Q203:X203,'Fisico ASIG'!O203:V203)/E203</f>
        <v>5032129.2883363999</v>
      </c>
      <c r="Z203" s="25">
        <f t="shared" si="209"/>
        <v>12488682.399901897</v>
      </c>
      <c r="AA203" s="26">
        <f>+Z203/'Fisico ASIG'!N203/24</f>
        <v>65.567261477900772</v>
      </c>
      <c r="AB203" s="26">
        <f>+$AB$21*0.9*Precios!$P$12/0.61/Precios!$Q$12</f>
        <v>11.866737176097304</v>
      </c>
      <c r="AC203" s="29">
        <f t="shared" si="210"/>
        <v>53.700524301803469</v>
      </c>
      <c r="AI203" s="1">
        <v>7241</v>
      </c>
      <c r="AJ203" s="1">
        <v>5762594</v>
      </c>
      <c r="AK203">
        <f t="shared" si="195"/>
        <v>1.44</v>
      </c>
      <c r="AL203" s="40">
        <f t="shared" si="196"/>
        <v>8140.0083333333323</v>
      </c>
      <c r="AM203">
        <v>4100000</v>
      </c>
      <c r="AN203" s="17">
        <v>38.321955044916031</v>
      </c>
      <c r="AO203" s="64">
        <f t="shared" si="168"/>
        <v>2.1817319655318324</v>
      </c>
      <c r="AP203">
        <v>0</v>
      </c>
      <c r="AQ203" s="1">
        <v>0.85</v>
      </c>
    </row>
    <row r="204" spans="1:43" hidden="1" x14ac:dyDescent="0.3">
      <c r="A204" s="3">
        <v>1382.7578000000001</v>
      </c>
      <c r="B204" s="42">
        <v>1418.2779999999993</v>
      </c>
      <c r="C204" s="53">
        <v>2026</v>
      </c>
      <c r="D204" s="52">
        <f>+'Fisico ASIG'!B204</f>
        <v>46082</v>
      </c>
      <c r="E204" s="1">
        <v>31</v>
      </c>
      <c r="F204" s="56" t="s">
        <v>44</v>
      </c>
      <c r="G204" s="56">
        <v>46110</v>
      </c>
      <c r="H204" s="17">
        <v>28</v>
      </c>
      <c r="I204" s="17">
        <f t="shared" si="204"/>
        <v>5.2366365244875128</v>
      </c>
      <c r="J204" s="17">
        <f t="shared" si="205"/>
        <v>5.8867925629009878</v>
      </c>
      <c r="K204" s="83">
        <f t="shared" si="181"/>
        <v>6.8583333333333334</v>
      </c>
      <c r="L204" s="17">
        <v>27</v>
      </c>
      <c r="M204" s="17">
        <v>71.5</v>
      </c>
      <c r="N204" s="17">
        <f t="shared" si="206"/>
        <v>46.631082720829717</v>
      </c>
      <c r="O204" s="17">
        <v>76.193368325459815</v>
      </c>
      <c r="P204" s="18">
        <f>SUMPRODUCT(H204:O204,'Fisico ASIG'!F204:M204)*24</f>
        <v>7041966.8620231003</v>
      </c>
      <c r="Q204" s="43">
        <v>0</v>
      </c>
      <c r="R204" s="43">
        <f t="shared" si="207"/>
        <v>6001.1488345970629</v>
      </c>
      <c r="S204" s="43">
        <f t="shared" si="208"/>
        <v>2965.0890416239199</v>
      </c>
      <c r="T204" s="43">
        <f t="shared" si="115"/>
        <v>1795.6376259798433</v>
      </c>
      <c r="U204" s="43">
        <v>18000</v>
      </c>
      <c r="V204" s="20">
        <v>0</v>
      </c>
      <c r="W204" s="20">
        <v>21900</v>
      </c>
      <c r="X204" s="20">
        <v>0</v>
      </c>
      <c r="Y204" s="18">
        <f>SUMPRODUCT(Q204:X204,'Fisico ASIG'!O204:V204)/E204</f>
        <v>5033322.1712784171</v>
      </c>
      <c r="Z204" s="25">
        <f t="shared" si="209"/>
        <v>12075289.033301517</v>
      </c>
      <c r="AA204" s="26">
        <f>+Z204/'Fisico ASIG'!N204/24</f>
        <v>67.687320635302072</v>
      </c>
      <c r="AB204" s="26">
        <f>+$AB$21*0.9*Precios!$P$12/0.61/Precios!$Q$12</f>
        <v>11.866737176097304</v>
      </c>
      <c r="AC204" s="29">
        <f t="shared" si="210"/>
        <v>55.820583459204769</v>
      </c>
      <c r="AI204" s="1">
        <v>7241</v>
      </c>
      <c r="AJ204" s="1">
        <v>5762594</v>
      </c>
      <c r="AK204">
        <f t="shared" si="195"/>
        <v>1.44</v>
      </c>
      <c r="AL204" s="40">
        <f t="shared" si="196"/>
        <v>8140.0083333333323</v>
      </c>
      <c r="AM204">
        <v>4100000</v>
      </c>
      <c r="AN204" s="17">
        <v>43.265651260730415</v>
      </c>
      <c r="AO204" s="64">
        <f t="shared" si="168"/>
        <v>2.5154314600993031</v>
      </c>
      <c r="AP204">
        <v>0</v>
      </c>
      <c r="AQ204" s="1">
        <v>0.85</v>
      </c>
    </row>
    <row r="205" spans="1:43" hidden="1" x14ac:dyDescent="0.3">
      <c r="A205" s="3">
        <v>1382.7578000000001</v>
      </c>
      <c r="B205" s="42">
        <v>1378.9690000000007</v>
      </c>
      <c r="C205" s="53">
        <v>2026</v>
      </c>
      <c r="D205" s="52">
        <f>+'Fisico ASIG'!B205</f>
        <v>46082</v>
      </c>
      <c r="E205" s="1">
        <v>31</v>
      </c>
      <c r="F205" s="56" t="s">
        <v>45</v>
      </c>
      <c r="G205" s="56">
        <v>46111</v>
      </c>
      <c r="H205" s="17">
        <v>28</v>
      </c>
      <c r="I205" s="17">
        <f t="shared" si="204"/>
        <v>5.2366365244875128</v>
      </c>
      <c r="J205" s="17">
        <f t="shared" si="205"/>
        <v>5.8867925629009878</v>
      </c>
      <c r="K205" s="83">
        <f t="shared" si="181"/>
        <v>6.8583333333333334</v>
      </c>
      <c r="L205" s="17">
        <v>27</v>
      </c>
      <c r="M205" s="17">
        <v>71.5</v>
      </c>
      <c r="N205" s="17">
        <f t="shared" si="206"/>
        <v>108.5983584384102</v>
      </c>
      <c r="O205" s="17">
        <v>64.708199341676732</v>
      </c>
      <c r="P205" s="18">
        <f>SUMPRODUCT(H205:O205,'Fisico ASIG'!F205:M205)*24</f>
        <v>13158316.112607216</v>
      </c>
      <c r="Q205" s="43">
        <v>0</v>
      </c>
      <c r="R205" s="43">
        <f t="shared" si="207"/>
        <v>6001.1488345970629</v>
      </c>
      <c r="S205" s="43">
        <f t="shared" si="208"/>
        <v>2965.0890416239199</v>
      </c>
      <c r="T205" s="43">
        <f t="shared" si="115"/>
        <v>1795.6376259798433</v>
      </c>
      <c r="U205" s="43">
        <v>18000</v>
      </c>
      <c r="V205" s="20">
        <v>0</v>
      </c>
      <c r="W205" s="20">
        <v>21900</v>
      </c>
      <c r="X205" s="20">
        <v>0</v>
      </c>
      <c r="Y205" s="18">
        <f>SUMPRODUCT(Q205:X205,'Fisico ASIG'!O205:V205)/E205</f>
        <v>4918135.9274331797</v>
      </c>
      <c r="Z205" s="25">
        <f t="shared" si="209"/>
        <v>18076452.040040396</v>
      </c>
      <c r="AA205" s="26">
        <f>+Z205/'Fisico ASIG'!N205/24</f>
        <v>83.443886266697277</v>
      </c>
      <c r="AB205" s="26">
        <f>+$AB$21*0.9*Precios!$P$12/0.61/Precios!$Q$12</f>
        <v>11.866737176097304</v>
      </c>
      <c r="AC205" s="29">
        <f t="shared" si="210"/>
        <v>71.577149090599974</v>
      </c>
      <c r="AI205" s="1">
        <v>7241</v>
      </c>
      <c r="AJ205" s="1">
        <v>5762594</v>
      </c>
      <c r="AK205">
        <f t="shared" si="195"/>
        <v>1.44</v>
      </c>
      <c r="AL205" s="40">
        <f t="shared" si="196"/>
        <v>8140.0083333333323</v>
      </c>
      <c r="AM205">
        <v>4100000</v>
      </c>
      <c r="AN205" s="17">
        <v>101.31462148797209</v>
      </c>
      <c r="AO205" s="64">
        <f t="shared" si="168"/>
        <v>6.4337369504381163</v>
      </c>
      <c r="AP205">
        <v>0</v>
      </c>
      <c r="AQ205" s="1">
        <v>0.85</v>
      </c>
    </row>
    <row r="206" spans="1:43" hidden="1" x14ac:dyDescent="0.3">
      <c r="A206" s="3">
        <v>1382.7578000000001</v>
      </c>
      <c r="B206" s="42">
        <v>1378.9690000000007</v>
      </c>
      <c r="C206" s="53">
        <v>2026</v>
      </c>
      <c r="D206" s="52">
        <f>+'Fisico ASIG'!B206</f>
        <v>46082</v>
      </c>
      <c r="E206" s="1">
        <v>30</v>
      </c>
      <c r="F206" s="56" t="s">
        <v>46</v>
      </c>
      <c r="G206" s="56">
        <v>46112</v>
      </c>
      <c r="H206" s="17">
        <v>28</v>
      </c>
      <c r="I206" s="17">
        <f t="shared" ref="I206:I211" si="211">AI206/A206</f>
        <v>5.2366365244875128</v>
      </c>
      <c r="J206" s="17">
        <f t="shared" ref="J206:J226" si="212">+AL206/A206</f>
        <v>5.8867925629009878</v>
      </c>
      <c r="K206" s="83">
        <f t="shared" si="181"/>
        <v>6.8583333333333334</v>
      </c>
      <c r="L206" s="17">
        <v>27</v>
      </c>
      <c r="M206" s="17">
        <v>71.5</v>
      </c>
      <c r="N206" s="17">
        <f t="shared" ref="N206:N213" si="213">+AN206+AO206+AP206+AQ206</f>
        <v>132.26879712965976</v>
      </c>
      <c r="O206" s="17">
        <v>99.482206655337862</v>
      </c>
      <c r="P206" s="18">
        <f>SUMPRODUCT(H206:O206,'Fisico ASIG'!F206:M206)*24</f>
        <v>18646286.201593645</v>
      </c>
      <c r="Q206" s="43">
        <v>0</v>
      </c>
      <c r="R206" s="43">
        <f t="shared" ref="R206:R213" si="214">+AJ206*AK206/A206</f>
        <v>6001.1488345970629</v>
      </c>
      <c r="S206" s="43">
        <f t="shared" ref="S206:S213" si="215">+AM206/A206</f>
        <v>2965.0890416239199</v>
      </c>
      <c r="T206" s="43">
        <f t="shared" si="115"/>
        <v>1795.6376259798433</v>
      </c>
      <c r="U206" s="43">
        <v>18000</v>
      </c>
      <c r="V206" s="20">
        <v>0</v>
      </c>
      <c r="W206" s="20">
        <v>21900</v>
      </c>
      <c r="X206" s="20">
        <v>0</v>
      </c>
      <c r="Y206" s="18">
        <f>SUMPRODUCT(Q206:X206,'Fisico ASIG'!O206:V206)/E206</f>
        <v>4985121.5608865917</v>
      </c>
      <c r="Z206" s="25">
        <f t="shared" ref="Z206:Z213" si="216">+(P206+Y206)</f>
        <v>23631407.762480237</v>
      </c>
      <c r="AA206" s="26">
        <f>+Z206/'Fisico ASIG'!N206/24</f>
        <v>95.476746645387735</v>
      </c>
      <c r="AB206" s="26">
        <f>+$AB$21*0.9*Precios!$P$12/0.61/Precios!$Q$12</f>
        <v>11.866737176097304</v>
      </c>
      <c r="AC206" s="29">
        <f t="shared" ref="AC206:AC213" si="217">+AA206-AB206</f>
        <v>83.610009469290432</v>
      </c>
      <c r="AI206" s="1">
        <v>7241</v>
      </c>
      <c r="AJ206" s="1">
        <v>5762594</v>
      </c>
      <c r="AK206">
        <f t="shared" si="195"/>
        <v>1.44</v>
      </c>
      <c r="AL206" s="40">
        <f t="shared" si="196"/>
        <v>8140.0083333333323</v>
      </c>
      <c r="AM206">
        <v>4100000</v>
      </c>
      <c r="AN206" s="17">
        <v>123.48833454769064</v>
      </c>
      <c r="AO206" s="64">
        <f t="shared" si="168"/>
        <v>7.9304625819691186</v>
      </c>
      <c r="AP206">
        <v>0</v>
      </c>
      <c r="AQ206" s="1">
        <v>0.85</v>
      </c>
    </row>
    <row r="207" spans="1:43" hidden="1" x14ac:dyDescent="0.3">
      <c r="A207" s="3">
        <v>1381.0953999999999</v>
      </c>
      <c r="B207" s="42">
        <v>1378.9690000000001</v>
      </c>
      <c r="C207" s="53">
        <v>2026</v>
      </c>
      <c r="D207" s="52">
        <f>+'Fisico ASIG'!B207</f>
        <v>46113</v>
      </c>
      <c r="E207" s="1">
        <v>30</v>
      </c>
      <c r="F207" s="56" t="s">
        <v>47</v>
      </c>
      <c r="G207" s="56">
        <v>46113</v>
      </c>
      <c r="H207" s="17">
        <v>28</v>
      </c>
      <c r="I207" s="17">
        <f t="shared" si="211"/>
        <v>5.2429397708514562</v>
      </c>
      <c r="J207" s="17">
        <f t="shared" si="212"/>
        <v>5.8938783905393741</v>
      </c>
      <c r="K207" s="83">
        <f t="shared" si="181"/>
        <v>6.8583333333333334</v>
      </c>
      <c r="L207" s="17">
        <v>27</v>
      </c>
      <c r="M207" s="17">
        <v>71.5</v>
      </c>
      <c r="N207" s="17">
        <f t="shared" si="213"/>
        <v>113.23739958165383</v>
      </c>
      <c r="O207" s="17">
        <v>65.185286984963795</v>
      </c>
      <c r="P207" s="18">
        <f>SUMPRODUCT(H207:O207,'Fisico ASIG'!F207:M207)*24</f>
        <v>15097589.002274383</v>
      </c>
      <c r="Q207" s="43">
        <v>0</v>
      </c>
      <c r="R207" s="43">
        <f t="shared" si="214"/>
        <v>6008.3723108483309</v>
      </c>
      <c r="S207" s="43">
        <f t="shared" si="215"/>
        <v>2968.6580666331956</v>
      </c>
      <c r="T207" s="43">
        <f t="shared" ref="T207:T329" si="218">+(4000*1759+465*1759*1.2)/(4000+465)</f>
        <v>1795.6376259798433</v>
      </c>
      <c r="U207" s="43">
        <v>18000</v>
      </c>
      <c r="V207" s="20">
        <v>0</v>
      </c>
      <c r="W207" s="20">
        <v>21900</v>
      </c>
      <c r="X207" s="20">
        <v>0</v>
      </c>
      <c r="Y207" s="18">
        <f>SUMPRODUCT(Q207:X207,'Fisico ASIG'!O207:V207)/E207</f>
        <v>5104710.2919215383</v>
      </c>
      <c r="Z207" s="25">
        <f t="shared" si="216"/>
        <v>20202299.29419592</v>
      </c>
      <c r="AA207" s="26">
        <f>+Z207/'Fisico ASIG'!N207/24</f>
        <v>90.828920104855911</v>
      </c>
      <c r="AB207" s="26">
        <f>+$AB$21*0.9*Precios!$P$13/0.61/Precios!$Q$13</f>
        <v>12.065573770491804</v>
      </c>
      <c r="AC207" s="29">
        <f t="shared" si="217"/>
        <v>78.763346334364101</v>
      </c>
      <c r="AI207" s="1">
        <v>7241</v>
      </c>
      <c r="AJ207" s="1">
        <v>5762594</v>
      </c>
      <c r="AK207">
        <f t="shared" si="195"/>
        <v>1.44</v>
      </c>
      <c r="AL207" s="40">
        <f t="shared" si="196"/>
        <v>8140.0083333333323</v>
      </c>
      <c r="AM207">
        <v>4100000</v>
      </c>
      <c r="AN207" s="17">
        <v>105.6603274769591</v>
      </c>
      <c r="AO207" s="64">
        <f t="shared" si="168"/>
        <v>6.7270721046947397</v>
      </c>
      <c r="AP207">
        <v>0</v>
      </c>
      <c r="AQ207" s="1">
        <v>0.85</v>
      </c>
    </row>
    <row r="208" spans="1:43" hidden="1" x14ac:dyDescent="0.3">
      <c r="A208" s="3">
        <v>1381.0953999999999</v>
      </c>
      <c r="B208" s="42">
        <v>1378.9690000000001</v>
      </c>
      <c r="C208" s="53">
        <v>2026</v>
      </c>
      <c r="D208" s="52">
        <f>+'Fisico ASIG'!B208</f>
        <v>46113</v>
      </c>
      <c r="E208" s="1">
        <v>30</v>
      </c>
      <c r="F208" s="56" t="s">
        <v>48</v>
      </c>
      <c r="G208" s="56">
        <v>46114</v>
      </c>
      <c r="H208" s="17">
        <v>28</v>
      </c>
      <c r="I208" s="17">
        <f t="shared" si="211"/>
        <v>5.2429397708514562</v>
      </c>
      <c r="J208" s="17">
        <f t="shared" si="212"/>
        <v>5.8938783905393741</v>
      </c>
      <c r="K208" s="83">
        <f t="shared" si="181"/>
        <v>6.8583333333333334</v>
      </c>
      <c r="L208" s="17">
        <v>27</v>
      </c>
      <c r="M208" s="17">
        <v>71.5</v>
      </c>
      <c r="N208" s="17">
        <f t="shared" si="213"/>
        <v>54.391271190586103</v>
      </c>
      <c r="O208" s="17">
        <v>62.658578269354166</v>
      </c>
      <c r="P208" s="18">
        <f>SUMPRODUCT(H208:O208,'Fisico ASIG'!F208:M208)*24</f>
        <v>9125562.7056583744</v>
      </c>
      <c r="Q208" s="43">
        <v>0</v>
      </c>
      <c r="R208" s="43">
        <f t="shared" si="214"/>
        <v>6008.3723108483309</v>
      </c>
      <c r="S208" s="43">
        <f t="shared" si="215"/>
        <v>2968.6580666331956</v>
      </c>
      <c r="T208" s="43">
        <f t="shared" si="218"/>
        <v>1795.6376259798433</v>
      </c>
      <c r="U208" s="43">
        <v>18000</v>
      </c>
      <c r="V208" s="20">
        <v>0</v>
      </c>
      <c r="W208" s="20">
        <v>21900</v>
      </c>
      <c r="X208" s="20">
        <v>0</v>
      </c>
      <c r="Y208" s="18">
        <f>SUMPRODUCT(Q208:X208,'Fisico ASIG'!O208:V208)/E208</f>
        <v>5213967.6165905884</v>
      </c>
      <c r="Z208" s="25">
        <f t="shared" si="216"/>
        <v>14339530.322248962</v>
      </c>
      <c r="AA208" s="26">
        <f>+Z208/'Fisico ASIG'!N208/24</f>
        <v>73.904738280983722</v>
      </c>
      <c r="AB208" s="26">
        <f>+$AB$21*0.9*Precios!$P$13/0.61/Precios!$Q$13</f>
        <v>12.065573770491804</v>
      </c>
      <c r="AC208" s="29">
        <f t="shared" si="217"/>
        <v>61.839164510491919</v>
      </c>
      <c r="AI208" s="1">
        <v>7241</v>
      </c>
      <c r="AJ208" s="1">
        <v>5762594</v>
      </c>
      <c r="AK208">
        <f t="shared" si="195"/>
        <v>1.44</v>
      </c>
      <c r="AL208" s="40">
        <f t="shared" si="196"/>
        <v>8140.0083333333323</v>
      </c>
      <c r="AM208">
        <v>4100000</v>
      </c>
      <c r="AN208" s="17">
        <v>50.535148656286744</v>
      </c>
      <c r="AO208" s="64">
        <f t="shared" si="168"/>
        <v>3.0061225342993554</v>
      </c>
      <c r="AP208">
        <v>0</v>
      </c>
      <c r="AQ208" s="1">
        <v>0.85</v>
      </c>
    </row>
    <row r="209" spans="1:43" hidden="1" x14ac:dyDescent="0.3">
      <c r="A209" s="3">
        <v>1381.0953999999999</v>
      </c>
      <c r="B209" s="42">
        <v>1378.9690000000001</v>
      </c>
      <c r="C209" s="53">
        <v>2026</v>
      </c>
      <c r="D209" s="52">
        <f>+'Fisico ASIG'!B209</f>
        <v>46113</v>
      </c>
      <c r="E209" s="1">
        <v>30</v>
      </c>
      <c r="F209" s="56" t="s">
        <v>49</v>
      </c>
      <c r="G209" s="56">
        <v>46115</v>
      </c>
      <c r="H209" s="17">
        <v>28</v>
      </c>
      <c r="I209" s="17">
        <f t="shared" si="211"/>
        <v>5.2429397708514562</v>
      </c>
      <c r="J209" s="17">
        <f t="shared" si="212"/>
        <v>5.8938783905393741</v>
      </c>
      <c r="K209" s="83">
        <f t="shared" si="181"/>
        <v>6.8583333333333334</v>
      </c>
      <c r="L209" s="17">
        <v>27</v>
      </c>
      <c r="M209" s="17">
        <v>71.5</v>
      </c>
      <c r="N209" s="17">
        <f t="shared" si="213"/>
        <v>56.803694200833903</v>
      </c>
      <c r="O209" s="17">
        <v>70.344361298764383</v>
      </c>
      <c r="P209" s="18">
        <f>SUMPRODUCT(H209:O209,'Fisico ASIG'!F209:M209)*24</f>
        <v>8703693.2531043105</v>
      </c>
      <c r="Q209" s="43">
        <v>0</v>
      </c>
      <c r="R209" s="43">
        <f t="shared" si="214"/>
        <v>6008.3723108483309</v>
      </c>
      <c r="S209" s="43">
        <f t="shared" si="215"/>
        <v>2968.6580666331956</v>
      </c>
      <c r="T209" s="43">
        <f t="shared" si="218"/>
        <v>1795.6376259798433</v>
      </c>
      <c r="U209" s="43">
        <v>18000</v>
      </c>
      <c r="V209" s="20">
        <v>0</v>
      </c>
      <c r="W209" s="20">
        <v>21900</v>
      </c>
      <c r="X209" s="20">
        <v>0</v>
      </c>
      <c r="Y209" s="18">
        <f>SUMPRODUCT(Q209:X209,'Fisico ASIG'!O209:V209)/E209</f>
        <v>4915039.0907844426</v>
      </c>
      <c r="Z209" s="25">
        <f t="shared" si="216"/>
        <v>13618732.343888752</v>
      </c>
      <c r="AA209" s="26">
        <f>+Z209/'Fisico ASIG'!N209/24</f>
        <v>78.128705202971759</v>
      </c>
      <c r="AB209" s="26">
        <f>+$AB$21*0.9*Precios!$P$13/0.61/Precios!$Q$13</f>
        <v>12.065573770491804</v>
      </c>
      <c r="AC209" s="29">
        <f t="shared" si="217"/>
        <v>66.063131432479949</v>
      </c>
      <c r="AI209" s="1">
        <v>7241</v>
      </c>
      <c r="AJ209" s="1">
        <v>5762594</v>
      </c>
      <c r="AK209">
        <f t="shared" si="195"/>
        <v>1.44</v>
      </c>
      <c r="AL209" s="40">
        <f t="shared" si="196"/>
        <v>8140.0083333333323</v>
      </c>
      <c r="AM209">
        <v>4100000</v>
      </c>
      <c r="AN209" s="17">
        <v>52.795029696331525</v>
      </c>
      <c r="AO209" s="64">
        <f t="shared" si="168"/>
        <v>3.158664504502378</v>
      </c>
      <c r="AP209">
        <v>0</v>
      </c>
      <c r="AQ209" s="1">
        <v>0.85</v>
      </c>
    </row>
    <row r="210" spans="1:43" hidden="1" x14ac:dyDescent="0.3">
      <c r="A210" s="3">
        <v>1381.0953999999999</v>
      </c>
      <c r="B210" s="42">
        <v>1378.9690000000001</v>
      </c>
      <c r="C210" s="53">
        <v>2026</v>
      </c>
      <c r="D210" s="52">
        <f>+'Fisico ASIG'!B210</f>
        <v>46113</v>
      </c>
      <c r="E210" s="1">
        <v>30</v>
      </c>
      <c r="F210" s="56" t="str">
        <f>+F203</f>
        <v>sáb</v>
      </c>
      <c r="G210" s="56">
        <v>46116</v>
      </c>
      <c r="H210" s="17">
        <v>28</v>
      </c>
      <c r="I210" s="17">
        <f t="shared" si="211"/>
        <v>5.2429397708514562</v>
      </c>
      <c r="J210" s="17">
        <f t="shared" si="212"/>
        <v>5.8938783905393741</v>
      </c>
      <c r="K210" s="83">
        <f t="shared" si="181"/>
        <v>6.8583333333333334</v>
      </c>
      <c r="L210" s="17">
        <v>27</v>
      </c>
      <c r="M210" s="17">
        <v>71.5</v>
      </c>
      <c r="N210" s="17">
        <f t="shared" si="213"/>
        <v>59.130656742494175</v>
      </c>
      <c r="O210" s="17">
        <v>65.33627498764389</v>
      </c>
      <c r="P210" s="18">
        <f>SUMPRODUCT(H210:O210,'Fisico ASIG'!F210:M210)*24</f>
        <v>7023484.0054616891</v>
      </c>
      <c r="Q210" s="43">
        <v>0</v>
      </c>
      <c r="R210" s="43">
        <f t="shared" si="214"/>
        <v>6008.3723108483309</v>
      </c>
      <c r="S210" s="43">
        <f t="shared" si="215"/>
        <v>2968.6580666331956</v>
      </c>
      <c r="T210" s="43">
        <f t="shared" si="218"/>
        <v>1795.6376259798433</v>
      </c>
      <c r="U210" s="43">
        <v>18000</v>
      </c>
      <c r="V210" s="20">
        <v>0</v>
      </c>
      <c r="W210" s="20">
        <v>21900</v>
      </c>
      <c r="X210" s="20">
        <v>0</v>
      </c>
      <c r="Y210" s="18">
        <f>SUMPRODUCT(Q210:X210,'Fisico ASIG'!O210:V210)/E210</f>
        <v>4918013.824991798</v>
      </c>
      <c r="Z210" s="25">
        <f t="shared" si="216"/>
        <v>11941497.830453487</v>
      </c>
      <c r="AA210" s="26">
        <f>+Z210/'Fisico ASIG'!N210/24</f>
        <v>76.325843990460996</v>
      </c>
      <c r="AB210" s="26">
        <f>+$AB$21*0.9*Precios!$P$13/0.61/Precios!$Q$13</f>
        <v>12.065573770491804</v>
      </c>
      <c r="AC210" s="29">
        <f t="shared" si="217"/>
        <v>64.260270219969186</v>
      </c>
      <c r="AI210" s="1">
        <v>7241</v>
      </c>
      <c r="AJ210" s="1">
        <v>5762594</v>
      </c>
      <c r="AK210">
        <f t="shared" si="195"/>
        <v>1.44</v>
      </c>
      <c r="AL210" s="40">
        <f t="shared" si="196"/>
        <v>8140.0083333333323</v>
      </c>
      <c r="AM210">
        <v>4100000</v>
      </c>
      <c r="AN210" s="17">
        <v>54.974854091329433</v>
      </c>
      <c r="AO210" s="64">
        <f t="shared" si="168"/>
        <v>3.3058026511647371</v>
      </c>
      <c r="AP210">
        <v>0</v>
      </c>
      <c r="AQ210" s="1">
        <v>0.85</v>
      </c>
    </row>
    <row r="211" spans="1:43" hidden="1" x14ac:dyDescent="0.3">
      <c r="A211" s="3">
        <v>1381.0953999999999</v>
      </c>
      <c r="B211" s="42">
        <v>1378.9690000000001</v>
      </c>
      <c r="C211" s="53">
        <v>2026</v>
      </c>
      <c r="D211" s="52">
        <f>+'Fisico ASIG'!B211</f>
        <v>46113</v>
      </c>
      <c r="E211" s="1">
        <v>30</v>
      </c>
      <c r="F211" s="56" t="str">
        <f t="shared" ref="F211:F277" si="219">+F204</f>
        <v>dom</v>
      </c>
      <c r="G211" s="56">
        <v>46117</v>
      </c>
      <c r="H211" s="17">
        <v>28</v>
      </c>
      <c r="I211" s="17">
        <f t="shared" si="211"/>
        <v>5.2429397708514562</v>
      </c>
      <c r="J211" s="17">
        <f t="shared" si="212"/>
        <v>5.8938783905393741</v>
      </c>
      <c r="K211" s="83">
        <f t="shared" si="181"/>
        <v>6.8583333333333334</v>
      </c>
      <c r="L211" s="17">
        <v>27</v>
      </c>
      <c r="M211" s="17">
        <v>71.5</v>
      </c>
      <c r="N211" s="17">
        <f t="shared" si="213"/>
        <v>60.728899644867205</v>
      </c>
      <c r="O211" s="17">
        <v>49.896760130037904</v>
      </c>
      <c r="P211" s="18">
        <f>SUMPRODUCT(H211:O211,'Fisico ASIG'!F211:M211)*24</f>
        <v>6640086.6885230858</v>
      </c>
      <c r="Q211" s="43">
        <v>0</v>
      </c>
      <c r="R211" s="43">
        <f t="shared" si="214"/>
        <v>6008.3723108483309</v>
      </c>
      <c r="S211" s="43">
        <f t="shared" si="215"/>
        <v>2968.6580666331956</v>
      </c>
      <c r="T211" s="43">
        <f t="shared" si="218"/>
        <v>1795.6376259798433</v>
      </c>
      <c r="U211" s="43">
        <v>18000</v>
      </c>
      <c r="V211" s="20">
        <v>0</v>
      </c>
      <c r="W211" s="20">
        <v>21900</v>
      </c>
      <c r="X211" s="20">
        <v>0</v>
      </c>
      <c r="Y211" s="18">
        <f>SUMPRODUCT(Q211:X211,'Fisico ASIG'!O211:V211)/E211</f>
        <v>5178075.9933623848</v>
      </c>
      <c r="Z211" s="25">
        <f t="shared" si="216"/>
        <v>11818162.68188547</v>
      </c>
      <c r="AA211" s="26">
        <f>+Z211/'Fisico ASIG'!N211/24</f>
        <v>75.259330635580994</v>
      </c>
      <c r="AB211" s="26">
        <f>+$AB$21*0.9*Precios!$P$13/0.61/Precios!$Q$13</f>
        <v>12.065573770491804</v>
      </c>
      <c r="AC211" s="29">
        <f t="shared" si="217"/>
        <v>63.193756865089192</v>
      </c>
      <c r="AI211" s="1">
        <v>7241</v>
      </c>
      <c r="AJ211" s="1">
        <v>5762594</v>
      </c>
      <c r="AK211">
        <f t="shared" si="195"/>
        <v>1.44</v>
      </c>
      <c r="AL211" s="40">
        <f t="shared" si="196"/>
        <v>8140.0083333333323</v>
      </c>
      <c r="AM211">
        <v>4100000</v>
      </c>
      <c r="AN211" s="17">
        <v>56.472037138048904</v>
      </c>
      <c r="AO211" s="64">
        <f t="shared" si="168"/>
        <v>3.4068625068183014</v>
      </c>
      <c r="AP211">
        <v>0</v>
      </c>
      <c r="AQ211" s="1">
        <v>0.85</v>
      </c>
    </row>
    <row r="212" spans="1:43" hidden="1" x14ac:dyDescent="0.3">
      <c r="A212" s="3">
        <v>1381.0953999999999</v>
      </c>
      <c r="B212" s="42">
        <v>1378.9690000000001</v>
      </c>
      <c r="C212" s="53">
        <v>2026</v>
      </c>
      <c r="D212" s="52">
        <f>+'Fisico ASIG'!B212</f>
        <v>46113</v>
      </c>
      <c r="E212" s="1">
        <v>30</v>
      </c>
      <c r="F212" s="56" t="str">
        <f t="shared" si="219"/>
        <v>lun</v>
      </c>
      <c r="G212" s="56">
        <v>46118</v>
      </c>
      <c r="H212" s="17">
        <v>28</v>
      </c>
      <c r="I212" s="17">
        <f>AI212/A212</f>
        <v>5.2429397708514562</v>
      </c>
      <c r="J212" s="17">
        <f t="shared" si="212"/>
        <v>5.8938783905393741</v>
      </c>
      <c r="K212" s="83">
        <f t="shared" si="181"/>
        <v>6.8583333333333334</v>
      </c>
      <c r="L212" s="17">
        <v>27</v>
      </c>
      <c r="M212" s="17">
        <v>71.5</v>
      </c>
      <c r="N212" s="17">
        <f t="shared" si="213"/>
        <v>56.270567413896991</v>
      </c>
      <c r="O212" s="17">
        <v>82.408969515148655</v>
      </c>
      <c r="P212" s="18">
        <f>SUMPRODUCT(H212:O212,'Fisico ASIG'!F212:M212)*24</f>
        <v>7546847.4622473624</v>
      </c>
      <c r="Q212" s="43">
        <v>0</v>
      </c>
      <c r="R212" s="43">
        <f t="shared" si="214"/>
        <v>6008.3723108483309</v>
      </c>
      <c r="S212" s="43">
        <f t="shared" si="215"/>
        <v>2968.6580666331956</v>
      </c>
      <c r="T212" s="43">
        <f t="shared" si="218"/>
        <v>1795.6376259798433</v>
      </c>
      <c r="U212" s="43">
        <v>18000</v>
      </c>
      <c r="V212" s="20">
        <v>0</v>
      </c>
      <c r="W212" s="20">
        <v>21900</v>
      </c>
      <c r="X212" s="20">
        <v>0</v>
      </c>
      <c r="Y212" s="18">
        <f>SUMPRODUCT(Q212:X212,'Fisico ASIG'!O212:V212)/E212</f>
        <v>5211440.2938053897</v>
      </c>
      <c r="Z212" s="25">
        <f t="shared" si="216"/>
        <v>12758287.756052751</v>
      </c>
      <c r="AA212" s="26">
        <f>+Z212/'Fisico ASIG'!N212/24</f>
        <v>74.068679961321919</v>
      </c>
      <c r="AB212" s="26">
        <f>+$AB$21*0.9*Precios!$P$13/0.61/Precios!$Q$13</f>
        <v>12.065573770491804</v>
      </c>
      <c r="AC212" s="29">
        <f t="shared" si="217"/>
        <v>62.003106190830117</v>
      </c>
      <c r="AI212" s="1">
        <v>7241</v>
      </c>
      <c r="AJ212" s="1">
        <v>5762594</v>
      </c>
      <c r="AK212">
        <f t="shared" si="195"/>
        <v>1.44</v>
      </c>
      <c r="AL212" s="40">
        <f t="shared" si="196"/>
        <v>8140.0083333333323</v>
      </c>
      <c r="AM212">
        <v>4100000</v>
      </c>
      <c r="AN212" s="17">
        <v>52.295613502479618</v>
      </c>
      <c r="AO212" s="64">
        <f t="shared" si="168"/>
        <v>3.1249539114173746</v>
      </c>
      <c r="AP212">
        <v>0</v>
      </c>
      <c r="AQ212" s="1">
        <v>0.85</v>
      </c>
    </row>
    <row r="213" spans="1:43" hidden="1" x14ac:dyDescent="0.3">
      <c r="A213" s="3">
        <v>1381.0953999999999</v>
      </c>
      <c r="B213" s="42">
        <v>1378.9690000000001</v>
      </c>
      <c r="C213" s="53">
        <v>2026</v>
      </c>
      <c r="D213" s="52">
        <f>+'Fisico ASIG'!B213</f>
        <v>46113</v>
      </c>
      <c r="E213" s="1">
        <v>30</v>
      </c>
      <c r="F213" s="56" t="str">
        <f t="shared" si="219"/>
        <v>mar</v>
      </c>
      <c r="G213" s="56">
        <v>46119</v>
      </c>
      <c r="H213" s="17">
        <v>28</v>
      </c>
      <c r="I213" s="17">
        <f t="shared" ref="I213:I226" si="220">AI213/A213</f>
        <v>5.2429397708514562</v>
      </c>
      <c r="J213" s="17">
        <f t="shared" si="212"/>
        <v>5.8938783905393741</v>
      </c>
      <c r="K213" s="83">
        <f t="shared" si="181"/>
        <v>6.8583333333333334</v>
      </c>
      <c r="L213" s="17">
        <v>27</v>
      </c>
      <c r="M213" s="17">
        <v>71.5</v>
      </c>
      <c r="N213" s="17">
        <f t="shared" si="213"/>
        <v>54.092522294606233</v>
      </c>
      <c r="O213" s="17">
        <v>77.667039301997391</v>
      </c>
      <c r="P213" s="18">
        <f>SUMPRODUCT(H213:O213,'Fisico ASIG'!F213:M213)*24</f>
        <v>6825199.2183309188</v>
      </c>
      <c r="Q213" s="43">
        <v>0</v>
      </c>
      <c r="R213" s="43">
        <f t="shared" si="214"/>
        <v>6008.3723108483309</v>
      </c>
      <c r="S213" s="43">
        <f t="shared" si="215"/>
        <v>2968.6580666331956</v>
      </c>
      <c r="T213" s="43">
        <f t="shared" si="218"/>
        <v>1795.6376259798433</v>
      </c>
      <c r="U213" s="43">
        <v>18000</v>
      </c>
      <c r="V213" s="20">
        <v>0</v>
      </c>
      <c r="W213" s="20">
        <v>21900</v>
      </c>
      <c r="X213" s="20">
        <v>0</v>
      </c>
      <c r="Y213" s="18">
        <f>SUMPRODUCT(Q213:X213,'Fisico ASIG'!O213:V213)/E213</f>
        <v>5351891.7146885358</v>
      </c>
      <c r="Z213" s="25">
        <f t="shared" si="216"/>
        <v>12177090.933019456</v>
      </c>
      <c r="AA213" s="26">
        <f>+Z213/'Fisico ASIG'!N213/24</f>
        <v>76.752460508875117</v>
      </c>
      <c r="AB213" s="26">
        <f>+$AB$21*0.9*Precios!$P$13/0.61/Precios!$Q$13</f>
        <v>12.065573770491804</v>
      </c>
      <c r="AC213" s="29">
        <f t="shared" si="217"/>
        <v>64.686886738383308</v>
      </c>
      <c r="AI213" s="1">
        <v>7241</v>
      </c>
      <c r="AJ213" s="1">
        <v>5762594</v>
      </c>
      <c r="AK213">
        <f t="shared" si="195"/>
        <v>1.44</v>
      </c>
      <c r="AL213" s="40">
        <f t="shared" si="196"/>
        <v>8140.0083333333323</v>
      </c>
      <c r="AM213">
        <v>4100000</v>
      </c>
      <c r="AN213" s="17">
        <v>50.255290205720122</v>
      </c>
      <c r="AO213" s="64">
        <f t="shared" si="168"/>
        <v>2.9872320888861084</v>
      </c>
      <c r="AP213">
        <v>0</v>
      </c>
      <c r="AQ213" s="1">
        <v>0.85</v>
      </c>
    </row>
    <row r="214" spans="1:43" hidden="1" x14ac:dyDescent="0.3">
      <c r="A214" s="3">
        <v>1381.0953999999999</v>
      </c>
      <c r="B214" s="42">
        <v>1378.9690000000001</v>
      </c>
      <c r="C214" s="53">
        <v>2026</v>
      </c>
      <c r="D214" s="52">
        <f>+'Fisico ASIG'!B214</f>
        <v>46113</v>
      </c>
      <c r="E214" s="1">
        <v>30</v>
      </c>
      <c r="F214" s="56" t="str">
        <f t="shared" si="219"/>
        <v>mié</v>
      </c>
      <c r="G214" s="56">
        <f>+G213+1</f>
        <v>46120</v>
      </c>
      <c r="H214" s="17">
        <v>28</v>
      </c>
      <c r="I214" s="17">
        <f t="shared" si="220"/>
        <v>5.2429397708514562</v>
      </c>
      <c r="J214" s="17">
        <f t="shared" si="212"/>
        <v>5.8938783905393741</v>
      </c>
      <c r="K214" s="83">
        <f t="shared" si="181"/>
        <v>6.8583333333333334</v>
      </c>
      <c r="L214" s="17">
        <v>27</v>
      </c>
      <c r="M214" s="17">
        <v>71.5</v>
      </c>
      <c r="N214" s="17">
        <f t="shared" ref="N214:N217" si="221">+AN214+AO214+AP214+AQ214</f>
        <v>44.55031462626404</v>
      </c>
      <c r="O214" s="17">
        <v>77.87657534697189</v>
      </c>
      <c r="P214" s="18">
        <f>SUMPRODUCT(H214:O214,'Fisico ASIG'!F214:M214)*24</f>
        <v>6198584.219566565</v>
      </c>
      <c r="Q214" s="43">
        <v>0</v>
      </c>
      <c r="R214" s="43">
        <f t="shared" ref="R214:R217" si="222">+AJ214*AK214/A214</f>
        <v>6008.3723108483309</v>
      </c>
      <c r="S214" s="43">
        <f t="shared" ref="S214:S217" si="223">+AM214/A214</f>
        <v>2968.6580666331956</v>
      </c>
      <c r="T214" s="43">
        <f t="shared" si="218"/>
        <v>1795.6376259798433</v>
      </c>
      <c r="U214" s="43">
        <v>18000</v>
      </c>
      <c r="V214" s="20">
        <v>0</v>
      </c>
      <c r="W214" s="20">
        <v>21900</v>
      </c>
      <c r="X214" s="20">
        <v>0</v>
      </c>
      <c r="Y214" s="18">
        <f>SUMPRODUCT(Q214:X214,'Fisico ASIG'!O214:V214)/E214</f>
        <v>5400726.1417417126</v>
      </c>
      <c r="Z214" s="25">
        <f t="shared" ref="Z214:Z217" si="224">+(P214+Y214)</f>
        <v>11599310.361308277</v>
      </c>
      <c r="AA214" s="26">
        <f>+Z214/'Fisico ASIG'!N214/24</f>
        <v>73.021211551767905</v>
      </c>
      <c r="AB214" s="26">
        <f>+$AB$21*0.9*Precios!$P$13/0.61/Precios!$Q$13</f>
        <v>12.065573770491804</v>
      </c>
      <c r="AC214" s="29">
        <f t="shared" ref="AC214:AC217" si="225">+AA214-AB214</f>
        <v>60.955637781276103</v>
      </c>
      <c r="AI214" s="1">
        <v>7241</v>
      </c>
      <c r="AJ214" s="1">
        <v>5762594</v>
      </c>
      <c r="AK214">
        <f t="shared" si="195"/>
        <v>1.44</v>
      </c>
      <c r="AL214" s="40">
        <f t="shared" si="196"/>
        <v>8140.0083333333323</v>
      </c>
      <c r="AM214">
        <v>4100000</v>
      </c>
      <c r="AN214" s="17">
        <v>41.316453982448749</v>
      </c>
      <c r="AO214" s="64">
        <f t="shared" si="168"/>
        <v>2.3838606438152907</v>
      </c>
      <c r="AP214">
        <v>0</v>
      </c>
      <c r="AQ214" s="1">
        <v>0.85</v>
      </c>
    </row>
    <row r="215" spans="1:43" hidden="1" x14ac:dyDescent="0.3">
      <c r="A215" s="3">
        <v>1381.0953999999999</v>
      </c>
      <c r="B215" s="42">
        <v>1378.9690000000001</v>
      </c>
      <c r="C215" s="53">
        <v>2026</v>
      </c>
      <c r="D215" s="52">
        <f>+'Fisico ASIG'!B215</f>
        <v>46113</v>
      </c>
      <c r="E215" s="1">
        <v>30</v>
      </c>
      <c r="F215" s="56" t="str">
        <f t="shared" si="219"/>
        <v>jue</v>
      </c>
      <c r="G215" s="56">
        <f t="shared" ref="G215:G278" si="226">+G214+1</f>
        <v>46121</v>
      </c>
      <c r="H215" s="17">
        <v>28</v>
      </c>
      <c r="I215" s="17">
        <f t="shared" si="220"/>
        <v>5.2429397708514562</v>
      </c>
      <c r="J215" s="17">
        <f t="shared" si="212"/>
        <v>5.8938783905393741</v>
      </c>
      <c r="K215" s="83">
        <f t="shared" si="181"/>
        <v>6.8583333333333334</v>
      </c>
      <c r="L215" s="17">
        <v>27</v>
      </c>
      <c r="M215" s="17">
        <v>71.5</v>
      </c>
      <c r="N215" s="17">
        <f t="shared" si="221"/>
        <v>40.53463515178408</v>
      </c>
      <c r="O215" s="17">
        <v>117.84999773683973</v>
      </c>
      <c r="P215" s="18">
        <f>SUMPRODUCT(H215:O215,'Fisico ASIG'!F215:M215)*24</f>
        <v>7083784.2677385835</v>
      </c>
      <c r="Q215" s="43">
        <v>0</v>
      </c>
      <c r="R215" s="43">
        <f t="shared" si="222"/>
        <v>6008.3723108483309</v>
      </c>
      <c r="S215" s="43">
        <f t="shared" si="223"/>
        <v>2968.6580666331956</v>
      </c>
      <c r="T215" s="43">
        <f t="shared" si="218"/>
        <v>1795.6376259798433</v>
      </c>
      <c r="U215" s="43">
        <v>18000</v>
      </c>
      <c r="V215" s="20">
        <v>0</v>
      </c>
      <c r="W215" s="20">
        <v>21900</v>
      </c>
      <c r="X215" s="20">
        <v>0</v>
      </c>
      <c r="Y215" s="18">
        <f>SUMPRODUCT(Q215:X215,'Fisico ASIG'!O215:V215)/E215</f>
        <v>5475258.7357537858</v>
      </c>
      <c r="Z215" s="25">
        <f t="shared" si="224"/>
        <v>12559043.00349237</v>
      </c>
      <c r="AA215" s="26">
        <f>+Z215/'Fisico ASIG'!N215/24</f>
        <v>71.781585845743805</v>
      </c>
      <c r="AB215" s="26">
        <f>+$AB$21*0.9*Precios!$P$13/0.61/Precios!$Q$13</f>
        <v>12.065573770491804</v>
      </c>
      <c r="AC215" s="29">
        <f t="shared" si="225"/>
        <v>59.716012075252003</v>
      </c>
      <c r="AI215" s="1">
        <v>7241</v>
      </c>
      <c r="AJ215" s="1">
        <v>5762594</v>
      </c>
      <c r="AK215">
        <f t="shared" si="195"/>
        <v>1.44</v>
      </c>
      <c r="AL215" s="40">
        <f t="shared" si="196"/>
        <v>8140.0083333333323</v>
      </c>
      <c r="AM215">
        <v>4100000</v>
      </c>
      <c r="AN215" s="17">
        <v>37.554693350617406</v>
      </c>
      <c r="AO215" s="64">
        <f t="shared" si="168"/>
        <v>2.1299418011666749</v>
      </c>
      <c r="AP215">
        <v>0</v>
      </c>
      <c r="AQ215" s="1">
        <v>0.85</v>
      </c>
    </row>
    <row r="216" spans="1:43" hidden="1" x14ac:dyDescent="0.3">
      <c r="A216" s="3">
        <v>1381.0953999999999</v>
      </c>
      <c r="B216" s="42">
        <v>1378.9690000000001</v>
      </c>
      <c r="C216" s="53">
        <v>2026</v>
      </c>
      <c r="D216" s="52">
        <f>+'Fisico ASIG'!B216</f>
        <v>46113</v>
      </c>
      <c r="E216" s="1">
        <v>30</v>
      </c>
      <c r="F216" s="56" t="str">
        <f t="shared" si="219"/>
        <v>vie</v>
      </c>
      <c r="G216" s="56">
        <f t="shared" si="226"/>
        <v>46122</v>
      </c>
      <c r="H216" s="17">
        <v>28</v>
      </c>
      <c r="I216" s="17">
        <f t="shared" si="220"/>
        <v>5.2429397708514562</v>
      </c>
      <c r="J216" s="17">
        <f t="shared" si="212"/>
        <v>5.8938783905393741</v>
      </c>
      <c r="K216" s="83">
        <f t="shared" si="181"/>
        <v>6.8583333333333334</v>
      </c>
      <c r="L216" s="17">
        <v>27</v>
      </c>
      <c r="M216" s="17">
        <v>71.5</v>
      </c>
      <c r="N216" s="17">
        <f t="shared" si="221"/>
        <v>41.358864696304529</v>
      </c>
      <c r="O216" s="17">
        <v>120</v>
      </c>
      <c r="P216" s="18">
        <f>SUMPRODUCT(H216:O216,'Fisico ASIG'!F216:M216)*24</f>
        <v>7350104.020439852</v>
      </c>
      <c r="Q216" s="43">
        <v>0</v>
      </c>
      <c r="R216" s="43">
        <f t="shared" si="222"/>
        <v>6008.3723108483309</v>
      </c>
      <c r="S216" s="43">
        <f t="shared" si="223"/>
        <v>2968.6580666331956</v>
      </c>
      <c r="T216" s="43">
        <f t="shared" si="218"/>
        <v>1795.6376259798433</v>
      </c>
      <c r="U216" s="43">
        <v>18000</v>
      </c>
      <c r="V216" s="20">
        <v>0</v>
      </c>
      <c r="W216" s="20">
        <v>21900</v>
      </c>
      <c r="X216" s="20">
        <v>0</v>
      </c>
      <c r="Y216" s="18">
        <f>SUMPRODUCT(Q216:X216,'Fisico ASIG'!O216:V216)/E216</f>
        <v>5551277.1012303438</v>
      </c>
      <c r="Z216" s="25">
        <f t="shared" si="224"/>
        <v>12901381.121670196</v>
      </c>
      <c r="AA216" s="26">
        <f>+Z216/'Fisico ASIG'!N216/24</f>
        <v>73.233364588637443</v>
      </c>
      <c r="AB216" s="26">
        <f>+$AB$21*0.9*Precios!$P$13/0.61/Precios!$Q$13</f>
        <v>12.065573770491804</v>
      </c>
      <c r="AC216" s="29">
        <f t="shared" si="225"/>
        <v>61.16779081814564</v>
      </c>
      <c r="AI216" s="1">
        <v>7241</v>
      </c>
      <c r="AJ216" s="1">
        <v>5762594</v>
      </c>
      <c r="AK216">
        <f t="shared" si="195"/>
        <v>1.44</v>
      </c>
      <c r="AL216" s="40">
        <f t="shared" si="196"/>
        <v>8140.0083333333323</v>
      </c>
      <c r="AM216">
        <v>4100000</v>
      </c>
      <c r="AN216" s="17">
        <v>38.326805336116657</v>
      </c>
      <c r="AO216" s="64">
        <f t="shared" si="168"/>
        <v>2.1820593601878744</v>
      </c>
      <c r="AP216">
        <v>0</v>
      </c>
      <c r="AQ216" s="1">
        <v>0.85</v>
      </c>
    </row>
    <row r="217" spans="1:43" hidden="1" x14ac:dyDescent="0.3">
      <c r="A217" s="3">
        <v>1381.0953999999999</v>
      </c>
      <c r="B217" s="42">
        <v>1378.9690000000001</v>
      </c>
      <c r="C217" s="53">
        <v>2026</v>
      </c>
      <c r="D217" s="52">
        <f>+'Fisico ASIG'!B217</f>
        <v>46113</v>
      </c>
      <c r="E217" s="1">
        <v>30</v>
      </c>
      <c r="F217" s="56" t="str">
        <f t="shared" si="219"/>
        <v>sáb</v>
      </c>
      <c r="G217" s="56">
        <f t="shared" si="226"/>
        <v>46123</v>
      </c>
      <c r="H217" s="17">
        <v>28</v>
      </c>
      <c r="I217" s="17">
        <f t="shared" si="220"/>
        <v>5.2429397708514562</v>
      </c>
      <c r="J217" s="17">
        <f t="shared" si="212"/>
        <v>5.8938783905393741</v>
      </c>
      <c r="K217" s="83">
        <f t="shared" si="181"/>
        <v>6.8583333333333334</v>
      </c>
      <c r="L217" s="17">
        <v>27</v>
      </c>
      <c r="M217" s="17">
        <v>71.5</v>
      </c>
      <c r="N217" s="17">
        <f t="shared" si="221"/>
        <v>39.539847554179538</v>
      </c>
      <c r="O217" s="17">
        <v>120.71151288196675</v>
      </c>
      <c r="P217" s="18">
        <f>SUMPRODUCT(H217:O217,'Fisico ASIG'!F217:M217)*24</f>
        <v>8299550.0691045355</v>
      </c>
      <c r="Q217" s="43">
        <v>0</v>
      </c>
      <c r="R217" s="43">
        <f t="shared" si="222"/>
        <v>6008.3723108483309</v>
      </c>
      <c r="S217" s="43">
        <f t="shared" si="223"/>
        <v>2968.6580666331956</v>
      </c>
      <c r="T217" s="43">
        <f t="shared" si="218"/>
        <v>1795.6376259798433</v>
      </c>
      <c r="U217" s="43">
        <v>18000</v>
      </c>
      <c r="V217" s="20">
        <v>0</v>
      </c>
      <c r="W217" s="20">
        <v>21900</v>
      </c>
      <c r="X217" s="20">
        <v>0</v>
      </c>
      <c r="Y217" s="18">
        <f>SUMPRODUCT(Q217:X217,'Fisico ASIG'!O217:V217)/E217</f>
        <v>5423485.691803664</v>
      </c>
      <c r="Z217" s="25">
        <f t="shared" si="224"/>
        <v>13723035.760908199</v>
      </c>
      <c r="AA217" s="26">
        <f>+Z217/'Fisico ASIG'!N217/24</f>
        <v>73.242690067516165</v>
      </c>
      <c r="AB217" s="26">
        <f>+$AB$21*0.9*Precios!$P$13/0.61/Precios!$Q$13</f>
        <v>12.065573770491804</v>
      </c>
      <c r="AC217" s="29">
        <f t="shared" si="225"/>
        <v>61.177116297024362</v>
      </c>
      <c r="AI217" s="1">
        <v>7241</v>
      </c>
      <c r="AJ217" s="1">
        <v>5762594</v>
      </c>
      <c r="AK217">
        <f t="shared" si="195"/>
        <v>1.44</v>
      </c>
      <c r="AL217" s="40">
        <f t="shared" si="196"/>
        <v>8140.0083333333323</v>
      </c>
      <c r="AM217">
        <v>4100000</v>
      </c>
      <c r="AN217" s="17">
        <v>36.622808013282935</v>
      </c>
      <c r="AO217" s="64">
        <f t="shared" si="168"/>
        <v>2.067039540896598</v>
      </c>
      <c r="AP217">
        <v>0</v>
      </c>
      <c r="AQ217" s="1">
        <v>0.85</v>
      </c>
    </row>
    <row r="218" spans="1:43" hidden="1" x14ac:dyDescent="0.3">
      <c r="A218" s="3">
        <v>1381.0953999999999</v>
      </c>
      <c r="B218" s="42">
        <v>1378.9690000000001</v>
      </c>
      <c r="C218" s="53">
        <v>2026</v>
      </c>
      <c r="D218" s="52">
        <f>+'Fisico ASIG'!B218</f>
        <v>46113</v>
      </c>
      <c r="E218" s="1">
        <v>30</v>
      </c>
      <c r="F218" s="56" t="str">
        <f t="shared" si="219"/>
        <v>dom</v>
      </c>
      <c r="G218" s="56">
        <f t="shared" si="226"/>
        <v>46124</v>
      </c>
      <c r="H218" s="17">
        <v>28</v>
      </c>
      <c r="I218" s="17">
        <f t="shared" si="220"/>
        <v>5.2429397708514562</v>
      </c>
      <c r="J218" s="17">
        <f t="shared" si="212"/>
        <v>5.8938783905393741</v>
      </c>
      <c r="K218" s="83">
        <f t="shared" si="181"/>
        <v>6.8583333333333334</v>
      </c>
      <c r="L218" s="17">
        <v>27</v>
      </c>
      <c r="M218" s="17">
        <v>71.5</v>
      </c>
      <c r="N218" s="17">
        <f t="shared" ref="N218:N226" si="227">+AN218+AO218+AP218+AQ218</f>
        <v>45.85059074195658</v>
      </c>
      <c r="O218" s="17">
        <v>118.71240587316915</v>
      </c>
      <c r="P218" s="18">
        <f>SUMPRODUCT(H218:O218,'Fisico ASIG'!F218:M218)*24</f>
        <v>7771433.1074772161</v>
      </c>
      <c r="Q218" s="43">
        <v>0</v>
      </c>
      <c r="R218" s="43">
        <f t="shared" ref="R218:R226" si="228">+AJ218*AK218/A218</f>
        <v>6008.3723108483309</v>
      </c>
      <c r="S218" s="43">
        <f t="shared" ref="S218:S226" si="229">+AM218/A218</f>
        <v>2968.6580666331956</v>
      </c>
      <c r="T218" s="43">
        <f t="shared" si="218"/>
        <v>1795.6376259798433</v>
      </c>
      <c r="U218" s="43">
        <v>18000</v>
      </c>
      <c r="V218" s="20">
        <v>0</v>
      </c>
      <c r="W218" s="20">
        <v>21900</v>
      </c>
      <c r="X218" s="20">
        <v>0</v>
      </c>
      <c r="Y218" s="18">
        <f>SUMPRODUCT(Q218:X218,'Fisico ASIG'!O218:V218)/E218</f>
        <v>5510172.9199356735</v>
      </c>
      <c r="Z218" s="25">
        <f t="shared" ref="Z218:Z226" si="230">+(P218+Y218)</f>
        <v>13281606.02741289</v>
      </c>
      <c r="AA218" s="26">
        <f>+Z218/'Fisico ASIG'!N218/24</f>
        <v>74.755069830607226</v>
      </c>
      <c r="AB218" s="26">
        <f>+$AB$21*0.9*Precios!$P$13/0.61/Precios!$Q$13</f>
        <v>12.065573770491804</v>
      </c>
      <c r="AC218" s="29">
        <f t="shared" ref="AC218:AC226" si="231">+AA218-AB218</f>
        <v>62.689496060115424</v>
      </c>
      <c r="AI218" s="1">
        <v>7241</v>
      </c>
      <c r="AJ218" s="1">
        <v>5762594</v>
      </c>
      <c r="AK218">
        <f t="shared" si="195"/>
        <v>1.44</v>
      </c>
      <c r="AL218" s="40">
        <f t="shared" si="196"/>
        <v>8140.0083333333323</v>
      </c>
      <c r="AM218">
        <v>4100000</v>
      </c>
      <c r="AN218" s="17">
        <v>42.534511233682977</v>
      </c>
      <c r="AO218" s="64">
        <f t="shared" si="168"/>
        <v>2.4660795082736011</v>
      </c>
      <c r="AP218">
        <v>0</v>
      </c>
      <c r="AQ218" s="1">
        <v>0.85</v>
      </c>
    </row>
    <row r="219" spans="1:43" hidden="1" x14ac:dyDescent="0.3">
      <c r="A219" s="3">
        <v>1381.0953999999999</v>
      </c>
      <c r="B219" s="42">
        <v>1391.6890000000001</v>
      </c>
      <c r="C219" s="53">
        <v>2026</v>
      </c>
      <c r="D219" s="52">
        <f>+'Fisico ASIG'!B219</f>
        <v>46113</v>
      </c>
      <c r="E219" s="1">
        <v>30</v>
      </c>
      <c r="F219" s="56" t="str">
        <f t="shared" si="219"/>
        <v>lun</v>
      </c>
      <c r="G219" s="56">
        <f t="shared" si="226"/>
        <v>46125</v>
      </c>
      <c r="H219" s="17">
        <v>28</v>
      </c>
      <c r="I219" s="17">
        <f t="shared" si="220"/>
        <v>5.2429397708514562</v>
      </c>
      <c r="J219" s="17">
        <f t="shared" si="212"/>
        <v>5.8938783905393741</v>
      </c>
      <c r="K219" s="83">
        <f t="shared" si="181"/>
        <v>6.8583333333333334</v>
      </c>
      <c r="L219" s="17">
        <v>27</v>
      </c>
      <c r="M219" s="17">
        <v>71.5</v>
      </c>
      <c r="N219" s="17">
        <f t="shared" si="227"/>
        <v>43.39357680645557</v>
      </c>
      <c r="O219" s="17">
        <v>88.507704935003076</v>
      </c>
      <c r="P219" s="18">
        <f>SUMPRODUCT(H219:O219,'Fisico ASIG'!F219:M219)*24</f>
        <v>8104367.5740435142</v>
      </c>
      <c r="Q219" s="43">
        <v>0</v>
      </c>
      <c r="R219" s="43">
        <f t="shared" si="228"/>
        <v>6008.3723108483309</v>
      </c>
      <c r="S219" s="43">
        <f t="shared" si="229"/>
        <v>2968.6580666331956</v>
      </c>
      <c r="T219" s="43">
        <f t="shared" si="218"/>
        <v>1795.6376259798433</v>
      </c>
      <c r="U219" s="43">
        <v>18000</v>
      </c>
      <c r="V219" s="20">
        <v>0</v>
      </c>
      <c r="W219" s="20">
        <v>21900</v>
      </c>
      <c r="X219" s="20">
        <v>0</v>
      </c>
      <c r="Y219" s="18">
        <f>SUMPRODUCT(Q219:X219,'Fisico ASIG'!O219:V219)/E219</f>
        <v>5443790.2639019387</v>
      </c>
      <c r="Z219" s="25">
        <f t="shared" si="230"/>
        <v>13548157.837945454</v>
      </c>
      <c r="AA219" s="26">
        <f>+Z219/'Fisico ASIG'!N219/24</f>
        <v>65.923820627607441</v>
      </c>
      <c r="AB219" s="26">
        <f>+$AB$21*0.9*Precios!$P$13/0.61/Precios!$Q$13</f>
        <v>12.065573770491804</v>
      </c>
      <c r="AC219" s="29">
        <f t="shared" si="231"/>
        <v>53.858246857115638</v>
      </c>
      <c r="AI219" s="1">
        <v>7241</v>
      </c>
      <c r="AJ219" s="1">
        <v>5762594</v>
      </c>
      <c r="AK219">
        <f t="shared" si="195"/>
        <v>1.44</v>
      </c>
      <c r="AL219" s="40">
        <f t="shared" si="196"/>
        <v>8140.0083333333323</v>
      </c>
      <c r="AM219">
        <v>4100000</v>
      </c>
      <c r="AN219" s="17">
        <v>40.232858835087185</v>
      </c>
      <c r="AO219" s="64">
        <f t="shared" si="168"/>
        <v>2.3107179713683852</v>
      </c>
      <c r="AP219">
        <v>0</v>
      </c>
      <c r="AQ219" s="1">
        <v>0.85</v>
      </c>
    </row>
    <row r="220" spans="1:43" hidden="1" x14ac:dyDescent="0.3">
      <c r="A220" s="3">
        <v>1381.0953999999999</v>
      </c>
      <c r="B220" s="42">
        <v>1391.6890000000001</v>
      </c>
      <c r="C220" s="53">
        <v>2026</v>
      </c>
      <c r="D220" s="52">
        <f>+'Fisico ASIG'!B220</f>
        <v>46113</v>
      </c>
      <c r="E220" s="1">
        <v>30</v>
      </c>
      <c r="F220" s="56" t="str">
        <f t="shared" si="219"/>
        <v>mar</v>
      </c>
      <c r="G220" s="56">
        <f t="shared" si="226"/>
        <v>46126</v>
      </c>
      <c r="H220" s="17">
        <v>28</v>
      </c>
      <c r="I220" s="17">
        <f t="shared" si="220"/>
        <v>5.2429397708514562</v>
      </c>
      <c r="J220" s="17">
        <f t="shared" si="212"/>
        <v>5.8938783905393741</v>
      </c>
      <c r="K220" s="83">
        <f t="shared" si="181"/>
        <v>6.8583333333333334</v>
      </c>
      <c r="L220" s="17">
        <v>27</v>
      </c>
      <c r="M220" s="17">
        <v>71.5</v>
      </c>
      <c r="N220" s="17">
        <f t="shared" si="227"/>
        <v>44.0254846989627</v>
      </c>
      <c r="O220" s="17">
        <v>50.990291438979696</v>
      </c>
      <c r="P220" s="18">
        <f>SUMPRODUCT(H220:O220,'Fisico ASIG'!F220:M220)*24</f>
        <v>8481734.8988902215</v>
      </c>
      <c r="Q220" s="43">
        <v>0</v>
      </c>
      <c r="R220" s="43">
        <f t="shared" si="228"/>
        <v>6008.3723108483309</v>
      </c>
      <c r="S220" s="43">
        <f t="shared" si="229"/>
        <v>2968.6580666331956</v>
      </c>
      <c r="T220" s="43">
        <f t="shared" si="218"/>
        <v>1795.6376259798433</v>
      </c>
      <c r="U220" s="43">
        <v>18000</v>
      </c>
      <c r="V220" s="20">
        <v>0</v>
      </c>
      <c r="W220" s="20">
        <v>21900</v>
      </c>
      <c r="X220" s="20">
        <v>0</v>
      </c>
      <c r="Y220" s="18">
        <f>SUMPRODUCT(Q220:X220,'Fisico ASIG'!O220:V220)/E220</f>
        <v>5381523.5480970303</v>
      </c>
      <c r="Z220" s="25">
        <f t="shared" si="230"/>
        <v>13863258.446987253</v>
      </c>
      <c r="AA220" s="26">
        <f>+Z220/'Fisico ASIG'!N220/24</f>
        <v>66.933929692539536</v>
      </c>
      <c r="AB220" s="26">
        <f>+$AB$21*0.9*Precios!$P$13/0.61/Precios!$Q$13</f>
        <v>12.065573770491804</v>
      </c>
      <c r="AC220" s="29">
        <f t="shared" si="231"/>
        <v>54.868355922047733</v>
      </c>
      <c r="AI220" s="1">
        <v>7241</v>
      </c>
      <c r="AJ220" s="1">
        <v>5762594</v>
      </c>
      <c r="AK220">
        <f t="shared" si="195"/>
        <v>1.44</v>
      </c>
      <c r="AL220" s="40">
        <f t="shared" si="196"/>
        <v>8140.0083333333323</v>
      </c>
      <c r="AM220">
        <v>4100000</v>
      </c>
      <c r="AN220" s="17">
        <v>40.824810022447494</v>
      </c>
      <c r="AO220" s="64">
        <f t="shared" si="168"/>
        <v>2.3506746765152058</v>
      </c>
      <c r="AP220">
        <v>0</v>
      </c>
      <c r="AQ220" s="1">
        <v>0.85</v>
      </c>
    </row>
    <row r="221" spans="1:43" hidden="1" x14ac:dyDescent="0.3">
      <c r="A221" s="3">
        <v>1381.0953999999999</v>
      </c>
      <c r="B221" s="42">
        <v>1391.6890000000001</v>
      </c>
      <c r="C221" s="53">
        <v>2026</v>
      </c>
      <c r="D221" s="52">
        <f>+'Fisico ASIG'!B221</f>
        <v>46113</v>
      </c>
      <c r="E221" s="1">
        <v>30</v>
      </c>
      <c r="F221" s="56" t="str">
        <f t="shared" si="219"/>
        <v>mié</v>
      </c>
      <c r="G221" s="56">
        <f t="shared" si="226"/>
        <v>46127</v>
      </c>
      <c r="H221" s="17">
        <v>28</v>
      </c>
      <c r="I221" s="17">
        <f t="shared" si="220"/>
        <v>5.2429397708514562</v>
      </c>
      <c r="J221" s="17">
        <f t="shared" si="212"/>
        <v>5.8938783905393741</v>
      </c>
      <c r="K221" s="83">
        <f t="shared" si="181"/>
        <v>6.8583333333333334</v>
      </c>
      <c r="L221" s="17">
        <v>27</v>
      </c>
      <c r="M221" s="17">
        <v>71.5</v>
      </c>
      <c r="N221" s="17">
        <f t="shared" si="227"/>
        <v>43.701200185587034</v>
      </c>
      <c r="O221" s="17">
        <v>50.647231360349195</v>
      </c>
      <c r="P221" s="18">
        <f>SUMPRODUCT(H221:O221,'Fisico ASIG'!F221:M221)*24</f>
        <v>7178562.8285564985</v>
      </c>
      <c r="Q221" s="43">
        <v>0</v>
      </c>
      <c r="R221" s="43">
        <f t="shared" si="228"/>
        <v>6008.3723108483309</v>
      </c>
      <c r="S221" s="43">
        <f t="shared" si="229"/>
        <v>2968.6580666331956</v>
      </c>
      <c r="T221" s="43">
        <f t="shared" si="218"/>
        <v>1795.6376259798433</v>
      </c>
      <c r="U221" s="43">
        <v>18000</v>
      </c>
      <c r="V221" s="20">
        <v>0</v>
      </c>
      <c r="W221" s="20">
        <v>21900</v>
      </c>
      <c r="X221" s="20">
        <v>0</v>
      </c>
      <c r="Y221" s="18">
        <f>SUMPRODUCT(Q221:X221,'Fisico ASIG'!O221:V221)/E221</f>
        <v>5419268.0193562265</v>
      </c>
      <c r="Z221" s="25">
        <f t="shared" si="230"/>
        <v>12597830.847912725</v>
      </c>
      <c r="AA221" s="26">
        <f>+Z221/'Fisico ASIG'!N221/24</f>
        <v>67.166405336432462</v>
      </c>
      <c r="AB221" s="26">
        <f>+$AB$21*0.9*Precios!$P$13/0.61/Precios!$Q$13</f>
        <v>12.065573770491804</v>
      </c>
      <c r="AC221" s="29">
        <f t="shared" si="231"/>
        <v>55.100831565940659</v>
      </c>
      <c r="AI221" s="1">
        <v>7241</v>
      </c>
      <c r="AJ221" s="1">
        <v>5762594</v>
      </c>
      <c r="AK221">
        <f t="shared" si="195"/>
        <v>1.44</v>
      </c>
      <c r="AL221" s="40">
        <f t="shared" si="196"/>
        <v>8140.0083333333323</v>
      </c>
      <c r="AM221">
        <v>4100000</v>
      </c>
      <c r="AN221" s="17">
        <v>40.521030618816894</v>
      </c>
      <c r="AO221" s="64">
        <f t="shared" si="168"/>
        <v>2.3301695667701403</v>
      </c>
      <c r="AP221">
        <v>0</v>
      </c>
      <c r="AQ221" s="1">
        <v>0.85</v>
      </c>
    </row>
    <row r="222" spans="1:43" hidden="1" x14ac:dyDescent="0.3">
      <c r="A222" s="3">
        <v>1381.0953999999999</v>
      </c>
      <c r="B222" s="42">
        <v>1391.6890000000001</v>
      </c>
      <c r="C222" s="53">
        <v>2026</v>
      </c>
      <c r="D222" s="52">
        <f>+'Fisico ASIG'!B222</f>
        <v>46113</v>
      </c>
      <c r="E222" s="1">
        <v>30</v>
      </c>
      <c r="F222" s="56" t="str">
        <f t="shared" si="219"/>
        <v>jue</v>
      </c>
      <c r="G222" s="56">
        <f t="shared" si="226"/>
        <v>46128</v>
      </c>
      <c r="H222" s="17">
        <v>28</v>
      </c>
      <c r="I222" s="17">
        <f t="shared" si="220"/>
        <v>5.2429397708514562</v>
      </c>
      <c r="J222" s="17">
        <f t="shared" si="212"/>
        <v>5.8938783905393741</v>
      </c>
      <c r="K222" s="83">
        <f t="shared" si="181"/>
        <v>6.8583333333333334</v>
      </c>
      <c r="L222" s="17">
        <v>27</v>
      </c>
      <c r="M222" s="17">
        <v>71.5</v>
      </c>
      <c r="N222" s="17">
        <f t="shared" si="227"/>
        <v>40.919071657441457</v>
      </c>
      <c r="O222" s="17">
        <v>93.276970882574005</v>
      </c>
      <c r="P222" s="18">
        <f>SUMPRODUCT(H222:O222,'Fisico ASIG'!F222:M222)*24</f>
        <v>6900940.1941788942</v>
      </c>
      <c r="Q222" s="43">
        <v>0</v>
      </c>
      <c r="R222" s="43">
        <f t="shared" si="228"/>
        <v>6008.3723108483309</v>
      </c>
      <c r="S222" s="43">
        <f t="shared" si="229"/>
        <v>2968.6580666331956</v>
      </c>
      <c r="T222" s="43">
        <f t="shared" si="218"/>
        <v>1795.6376259798433</v>
      </c>
      <c r="U222" s="43">
        <v>18000</v>
      </c>
      <c r="V222" s="20">
        <v>0</v>
      </c>
      <c r="W222" s="20">
        <v>21900</v>
      </c>
      <c r="X222" s="20">
        <v>0</v>
      </c>
      <c r="Y222" s="18">
        <f>SUMPRODUCT(Q222:X222,'Fisico ASIG'!O222:V222)/E222</f>
        <v>5559588.1726771602</v>
      </c>
      <c r="Z222" s="25">
        <f t="shared" si="230"/>
        <v>12460528.366856053</v>
      </c>
      <c r="AA222" s="26">
        <f>+Z222/'Fisico ASIG'!N222/24</f>
        <v>67.391438407832183</v>
      </c>
      <c r="AB222" s="26">
        <f>+$AB$21*0.9*Precios!$P$13/0.61/Precios!$Q$13</f>
        <v>12.065573770491804</v>
      </c>
      <c r="AC222" s="29">
        <f t="shared" si="231"/>
        <v>55.325864637340381</v>
      </c>
      <c r="AI222" s="1">
        <v>7241</v>
      </c>
      <c r="AJ222" s="1">
        <v>5762594</v>
      </c>
      <c r="AK222">
        <f t="shared" si="195"/>
        <v>1.44</v>
      </c>
      <c r="AL222" s="40">
        <f t="shared" si="196"/>
        <v>8140.0083333333323</v>
      </c>
      <c r="AM222">
        <v>4100000</v>
      </c>
      <c r="AN222" s="17">
        <v>37.914821224769511</v>
      </c>
      <c r="AO222" s="64">
        <f t="shared" si="168"/>
        <v>2.1542504326719421</v>
      </c>
      <c r="AP222">
        <v>0</v>
      </c>
      <c r="AQ222" s="1">
        <v>0.85</v>
      </c>
    </row>
    <row r="223" spans="1:43" hidden="1" x14ac:dyDescent="0.3">
      <c r="A223" s="3">
        <v>1381.0953999999999</v>
      </c>
      <c r="B223" s="42">
        <v>1391.6890000000001</v>
      </c>
      <c r="C223" s="53">
        <v>2026</v>
      </c>
      <c r="D223" s="52">
        <f>+'Fisico ASIG'!B223</f>
        <v>46113</v>
      </c>
      <c r="E223" s="1">
        <v>30</v>
      </c>
      <c r="F223" s="56" t="str">
        <f t="shared" si="219"/>
        <v>vie</v>
      </c>
      <c r="G223" s="56">
        <f t="shared" si="226"/>
        <v>46129</v>
      </c>
      <c r="H223" s="17">
        <v>28</v>
      </c>
      <c r="I223" s="17">
        <f t="shared" si="220"/>
        <v>5.2429397708514562</v>
      </c>
      <c r="J223" s="17">
        <f t="shared" si="212"/>
        <v>5.8938783905393741</v>
      </c>
      <c r="K223" s="83">
        <f t="shared" si="181"/>
        <v>6.8583333333333334</v>
      </c>
      <c r="L223" s="17">
        <v>27</v>
      </c>
      <c r="M223" s="17">
        <v>71.5</v>
      </c>
      <c r="N223" s="17">
        <f t="shared" si="227"/>
        <v>41.186394609002932</v>
      </c>
      <c r="O223" s="17">
        <v>36.152777092861371</v>
      </c>
      <c r="P223" s="18">
        <f>SUMPRODUCT(H223:O223,'Fisico ASIG'!F223:M223)*24</f>
        <v>7189998.9876607377</v>
      </c>
      <c r="Q223" s="43">
        <v>0</v>
      </c>
      <c r="R223" s="43">
        <f t="shared" si="228"/>
        <v>6008.3723108483309</v>
      </c>
      <c r="S223" s="43">
        <f t="shared" si="229"/>
        <v>2968.6580666331956</v>
      </c>
      <c r="T223" s="43">
        <f t="shared" si="218"/>
        <v>1795.6376259798433</v>
      </c>
      <c r="U223" s="43">
        <v>18000</v>
      </c>
      <c r="V223" s="20">
        <v>0</v>
      </c>
      <c r="W223" s="20">
        <v>21900</v>
      </c>
      <c r="X223" s="20">
        <v>0</v>
      </c>
      <c r="Y223" s="18">
        <f>SUMPRODUCT(Q223:X223,'Fisico ASIG'!O223:V223)/E223</f>
        <v>5582508.6676740507</v>
      </c>
      <c r="Z223" s="25">
        <f t="shared" si="230"/>
        <v>12772507.655334789</v>
      </c>
      <c r="AA223" s="26">
        <f>+Z223/'Fisico ASIG'!N223/24</f>
        <v>67.281796659860689</v>
      </c>
      <c r="AB223" s="26">
        <f>+$AB$21*0.9*Precios!$P$13/0.61/Precios!$Q$13</f>
        <v>12.065573770491804</v>
      </c>
      <c r="AC223" s="29">
        <f t="shared" si="231"/>
        <v>55.216222889368886</v>
      </c>
      <c r="AI223" s="1">
        <v>7241</v>
      </c>
      <c r="AJ223" s="1">
        <v>5762594</v>
      </c>
      <c r="AK223">
        <f t="shared" si="195"/>
        <v>1.44</v>
      </c>
      <c r="AL223" s="40">
        <f t="shared" si="196"/>
        <v>8140.0083333333323</v>
      </c>
      <c r="AM223">
        <v>4100000</v>
      </c>
      <c r="AN223" s="17">
        <v>38.165240851524992</v>
      </c>
      <c r="AO223" s="64">
        <f t="shared" si="168"/>
        <v>2.1711537574779372</v>
      </c>
      <c r="AP223">
        <v>0</v>
      </c>
      <c r="AQ223" s="1">
        <v>0.85</v>
      </c>
    </row>
    <row r="224" spans="1:43" hidden="1" x14ac:dyDescent="0.3">
      <c r="A224" s="3">
        <v>1381.0953999999999</v>
      </c>
      <c r="B224" s="42">
        <v>1391.6890000000001</v>
      </c>
      <c r="C224" s="53">
        <v>2026</v>
      </c>
      <c r="D224" s="52">
        <f>+'Fisico ASIG'!B224</f>
        <v>46113</v>
      </c>
      <c r="E224" s="1">
        <v>30</v>
      </c>
      <c r="F224" s="56" t="str">
        <f t="shared" si="219"/>
        <v>sáb</v>
      </c>
      <c r="G224" s="56">
        <f t="shared" si="226"/>
        <v>46130</v>
      </c>
      <c r="H224" s="17">
        <v>28</v>
      </c>
      <c r="I224" s="17">
        <f t="shared" si="220"/>
        <v>5.2429397708514562</v>
      </c>
      <c r="J224" s="17">
        <f t="shared" si="212"/>
        <v>5.8938783905393741</v>
      </c>
      <c r="K224" s="83">
        <f t="shared" si="181"/>
        <v>6.8583333333333334</v>
      </c>
      <c r="L224" s="17">
        <v>27</v>
      </c>
      <c r="M224" s="17">
        <v>71.5</v>
      </c>
      <c r="N224" s="17">
        <f t="shared" si="227"/>
        <v>40.109988677429655</v>
      </c>
      <c r="O224" s="17">
        <v>88.564213920034376</v>
      </c>
      <c r="P224" s="18">
        <f>SUMPRODUCT(H224:O224,'Fisico ASIG'!F224:M224)*24</f>
        <v>6574683.1363658682</v>
      </c>
      <c r="Q224" s="43">
        <v>0</v>
      </c>
      <c r="R224" s="43">
        <f t="shared" si="228"/>
        <v>6008.3723108483309</v>
      </c>
      <c r="S224" s="43">
        <f t="shared" si="229"/>
        <v>2968.6580666331956</v>
      </c>
      <c r="T224" s="43">
        <f t="shared" si="218"/>
        <v>1795.6376259798433</v>
      </c>
      <c r="U224" s="43">
        <v>18000</v>
      </c>
      <c r="V224" s="20">
        <v>0</v>
      </c>
      <c r="W224" s="20">
        <v>21900</v>
      </c>
      <c r="X224" s="20">
        <v>0</v>
      </c>
      <c r="Y224" s="18">
        <f>SUMPRODUCT(Q224:X224,'Fisico ASIG'!O224:V224)/E224</f>
        <v>5762682.8142817644</v>
      </c>
      <c r="Z224" s="25">
        <f t="shared" si="230"/>
        <v>12337365.950647634</v>
      </c>
      <c r="AA224" s="26">
        <f>+Z224/'Fisico ASIG'!N224/24</f>
        <v>73.789530725284138</v>
      </c>
      <c r="AB224" s="26">
        <f>+$AB$21*0.9*Precios!$P$13/0.61/Precios!$Q$13</f>
        <v>12.065573770491804</v>
      </c>
      <c r="AC224" s="29">
        <f t="shared" si="231"/>
        <v>61.723956954792335</v>
      </c>
      <c r="AI224" s="1">
        <v>7241</v>
      </c>
      <c r="AJ224" s="1">
        <v>5762594</v>
      </c>
      <c r="AK224">
        <f t="shared" si="195"/>
        <v>1.44</v>
      </c>
      <c r="AL224" s="40">
        <f t="shared" si="196"/>
        <v>8140.0083333333323</v>
      </c>
      <c r="AM224">
        <v>4100000</v>
      </c>
      <c r="AN224" s="17">
        <v>37.156898058482113</v>
      </c>
      <c r="AO224" s="64">
        <f t="shared" ref="AO224:AO226" si="232">0.075*0.9*(AN224-6)</f>
        <v>2.1030906189475429</v>
      </c>
      <c r="AP224">
        <v>0</v>
      </c>
      <c r="AQ224" s="1">
        <v>0.85</v>
      </c>
    </row>
    <row r="225" spans="1:43" hidden="1" x14ac:dyDescent="0.3">
      <c r="A225" s="3">
        <v>1381.0953999999999</v>
      </c>
      <c r="B225" s="42">
        <v>1391.6890000000001</v>
      </c>
      <c r="C225" s="53">
        <v>2026</v>
      </c>
      <c r="D225" s="52">
        <f>+'Fisico ASIG'!B225</f>
        <v>46113</v>
      </c>
      <c r="E225" s="1">
        <v>30</v>
      </c>
      <c r="F225" s="56" t="str">
        <f t="shared" si="219"/>
        <v>dom</v>
      </c>
      <c r="G225" s="56">
        <f t="shared" si="226"/>
        <v>46131</v>
      </c>
      <c r="H225" s="17">
        <v>28</v>
      </c>
      <c r="I225" s="17">
        <f t="shared" si="220"/>
        <v>5.2429397708514562</v>
      </c>
      <c r="J225" s="17">
        <f t="shared" si="212"/>
        <v>5.8938783905393741</v>
      </c>
      <c r="K225" s="83">
        <f t="shared" si="181"/>
        <v>6.8583333333333334</v>
      </c>
      <c r="L225" s="17">
        <v>27</v>
      </c>
      <c r="M225" s="17">
        <v>71.5</v>
      </c>
      <c r="N225" s="17">
        <f t="shared" si="227"/>
        <v>40.160324371172351</v>
      </c>
      <c r="O225" s="17">
        <v>79.483092573220091</v>
      </c>
      <c r="P225" s="18">
        <f>SUMPRODUCT(H225:O225,'Fisico ASIG'!F225:M225)*24</f>
        <v>6346925.10053958</v>
      </c>
      <c r="Q225" s="43">
        <v>0</v>
      </c>
      <c r="R225" s="43">
        <f t="shared" si="228"/>
        <v>6008.3723108483309</v>
      </c>
      <c r="S225" s="43">
        <f t="shared" si="229"/>
        <v>2968.6580666331956</v>
      </c>
      <c r="T225" s="43">
        <f t="shared" si="218"/>
        <v>1795.6376259798433</v>
      </c>
      <c r="U225" s="43">
        <v>18000</v>
      </c>
      <c r="V225" s="20">
        <v>0</v>
      </c>
      <c r="W225" s="20">
        <v>21900</v>
      </c>
      <c r="X225" s="20">
        <v>0</v>
      </c>
      <c r="Y225" s="18">
        <f>SUMPRODUCT(Q225:X225,'Fisico ASIG'!O225:V225)/E225</f>
        <v>5778916.757373346</v>
      </c>
      <c r="Z225" s="25">
        <f t="shared" si="230"/>
        <v>12125841.857912926</v>
      </c>
      <c r="AA225" s="26">
        <f>+Z225/'Fisico ASIG'!N225/24</f>
        <v>76.563313854578681</v>
      </c>
      <c r="AB225" s="26">
        <f>+$AB$21*0.9*Precios!$P$13/0.61/Precios!$Q$13</f>
        <v>12.065573770491804</v>
      </c>
      <c r="AC225" s="29">
        <f t="shared" si="231"/>
        <v>64.497740084086871</v>
      </c>
      <c r="AI225" s="1">
        <v>7241</v>
      </c>
      <c r="AJ225" s="1">
        <v>5762594</v>
      </c>
      <c r="AK225">
        <f t="shared" si="195"/>
        <v>1.44</v>
      </c>
      <c r="AL225" s="40">
        <f t="shared" si="196"/>
        <v>8140.0083333333323</v>
      </c>
      <c r="AM225">
        <v>4100000</v>
      </c>
      <c r="AN225" s="17">
        <v>37.204050933182529</v>
      </c>
      <c r="AO225" s="64">
        <f t="shared" si="232"/>
        <v>2.1062734379898207</v>
      </c>
      <c r="AP225">
        <v>0</v>
      </c>
      <c r="AQ225" s="1">
        <v>0.85</v>
      </c>
    </row>
    <row r="226" spans="1:43" hidden="1" x14ac:dyDescent="0.3">
      <c r="A226" s="3">
        <v>1381.0953999999999</v>
      </c>
      <c r="B226" s="42">
        <v>1391.6890000000001</v>
      </c>
      <c r="C226" s="53">
        <v>2026</v>
      </c>
      <c r="D226" s="52">
        <f>+'Fisico ASIG'!B226</f>
        <v>46113</v>
      </c>
      <c r="E226" s="1">
        <v>30</v>
      </c>
      <c r="F226" s="56" t="str">
        <f t="shared" si="219"/>
        <v>lun</v>
      </c>
      <c r="G226" s="56">
        <f t="shared" si="226"/>
        <v>46132</v>
      </c>
      <c r="H226" s="17">
        <v>28</v>
      </c>
      <c r="I226" s="17">
        <f t="shared" si="220"/>
        <v>5.2429397708514562</v>
      </c>
      <c r="J226" s="17">
        <f t="shared" si="212"/>
        <v>5.8938783905393741</v>
      </c>
      <c r="K226" s="83">
        <f t="shared" si="181"/>
        <v>6.8583333333333334</v>
      </c>
      <c r="L226" s="17">
        <v>27</v>
      </c>
      <c r="M226" s="17">
        <v>71.5</v>
      </c>
      <c r="N226" s="17">
        <f t="shared" si="227"/>
        <v>41.107192927643005</v>
      </c>
      <c r="O226" s="17">
        <v>100.2140528801113</v>
      </c>
      <c r="P226" s="18">
        <f>SUMPRODUCT(H226:O226,'Fisico ASIG'!F226:M226)*24</f>
        <v>6665599.7659177417</v>
      </c>
      <c r="Q226" s="43">
        <v>0</v>
      </c>
      <c r="R226" s="43">
        <f t="shared" si="228"/>
        <v>6008.3723108483309</v>
      </c>
      <c r="S226" s="43">
        <f t="shared" si="229"/>
        <v>2968.6580666331956</v>
      </c>
      <c r="T226" s="43">
        <f t="shared" si="218"/>
        <v>1795.6376259798433</v>
      </c>
      <c r="U226" s="43">
        <v>18000</v>
      </c>
      <c r="V226" s="20">
        <v>0</v>
      </c>
      <c r="W226" s="20">
        <v>21900</v>
      </c>
      <c r="X226" s="20">
        <v>0</v>
      </c>
      <c r="Y226" s="18">
        <f>SUMPRODUCT(Q226:X226,'Fisico ASIG'!O226:V226)/E226</f>
        <v>5288389.4467975581</v>
      </c>
      <c r="Z226" s="25">
        <f t="shared" si="230"/>
        <v>11953989.2127153</v>
      </c>
      <c r="AA226" s="26">
        <f>+Z226/'Fisico ASIG'!N226/24</f>
        <v>64.268338077767993</v>
      </c>
      <c r="AB226" s="26">
        <f>+$AB$21*0.9*Precios!$P$13/0.61/Precios!$Q$13</f>
        <v>12.065573770491804</v>
      </c>
      <c r="AC226" s="29">
        <f t="shared" si="231"/>
        <v>52.20276430727619</v>
      </c>
      <c r="AI226" s="1">
        <v>7241</v>
      </c>
      <c r="AJ226" s="1">
        <v>5762594</v>
      </c>
      <c r="AK226">
        <f t="shared" si="195"/>
        <v>1.44</v>
      </c>
      <c r="AL226" s="40">
        <f t="shared" si="196"/>
        <v>8140.0083333333323</v>
      </c>
      <c r="AM226">
        <v>4100000</v>
      </c>
      <c r="AN226" s="17">
        <v>38.091047239009839</v>
      </c>
      <c r="AO226" s="64">
        <f t="shared" si="232"/>
        <v>2.1661456886331645</v>
      </c>
      <c r="AP226">
        <v>0</v>
      </c>
      <c r="AQ226" s="1">
        <v>0.85</v>
      </c>
    </row>
    <row r="227" spans="1:43" hidden="1" x14ac:dyDescent="0.3">
      <c r="A227" s="3">
        <v>1381.0953999999999</v>
      </c>
      <c r="B227" s="42">
        <v>1391.6890000000001</v>
      </c>
      <c r="C227" s="53">
        <v>2026</v>
      </c>
      <c r="D227" s="52">
        <f>+'Fisico ASIG'!B227</f>
        <v>46113</v>
      </c>
      <c r="E227" s="1">
        <v>30</v>
      </c>
      <c r="F227" s="56" t="str">
        <f t="shared" si="219"/>
        <v>mar</v>
      </c>
      <c r="G227" s="56">
        <f t="shared" si="226"/>
        <v>46133</v>
      </c>
      <c r="H227" s="17">
        <v>28</v>
      </c>
      <c r="I227" s="17">
        <f t="shared" ref="I227:I231" si="233">AI227/A227</f>
        <v>5.2429397708514562</v>
      </c>
      <c r="J227" s="17">
        <f t="shared" ref="J227:J231" si="234">+AL227/A227</f>
        <v>5.8938783905393741</v>
      </c>
      <c r="K227" s="83">
        <f t="shared" si="181"/>
        <v>6.8583333333333334</v>
      </c>
      <c r="L227" s="17">
        <v>27</v>
      </c>
      <c r="M227" s="17">
        <v>71.5</v>
      </c>
      <c r="N227" s="17">
        <f t="shared" ref="N227:N231" si="235">+AN227+AO227+AP227+AQ227</f>
        <v>40.743394812154719</v>
      </c>
      <c r="O227" s="17">
        <v>85.958366438996848</v>
      </c>
      <c r="P227" s="18">
        <f>SUMPRODUCT(H227:O227,'Fisico ASIG'!F227:M227)*24</f>
        <v>6389229.4264532588</v>
      </c>
      <c r="Q227" s="43">
        <v>0</v>
      </c>
      <c r="R227" s="43">
        <f t="shared" ref="R227:R231" si="236">+AJ227*AK227/A227</f>
        <v>6008.3723108483309</v>
      </c>
      <c r="S227" s="43">
        <f t="shared" ref="S227:S231" si="237">+AM227/A227</f>
        <v>2968.6580666331956</v>
      </c>
      <c r="T227" s="43">
        <f t="shared" si="218"/>
        <v>1795.6376259798433</v>
      </c>
      <c r="U227" s="43">
        <v>18000</v>
      </c>
      <c r="V227" s="20">
        <v>0</v>
      </c>
      <c r="W227" s="20">
        <v>21900</v>
      </c>
      <c r="X227" s="20">
        <v>0</v>
      </c>
      <c r="Y227" s="18">
        <f>SUMPRODUCT(Q227:X227,'Fisico ASIG'!O227:V227)/E227</f>
        <v>5319383.2435740987</v>
      </c>
      <c r="Z227" s="25">
        <f t="shared" ref="Z227:Z231" si="238">+(P227+Y227)</f>
        <v>11708612.670027357</v>
      </c>
      <c r="AA227" s="26">
        <f>+Z227/'Fisico ASIG'!N227/24</f>
        <v>65.076014059920638</v>
      </c>
      <c r="AB227" s="26">
        <f>+$AB$21*0.9*Precios!$P$13/0.61/Precios!$Q$13</f>
        <v>12.065573770491804</v>
      </c>
      <c r="AC227" s="29">
        <f t="shared" ref="AC227:AC231" si="239">+AA227-AB227</f>
        <v>53.010440289428836</v>
      </c>
      <c r="AI227" s="1">
        <v>7241</v>
      </c>
      <c r="AJ227" s="1">
        <v>5762594</v>
      </c>
      <c r="AK227">
        <f t="shared" si="195"/>
        <v>1.44</v>
      </c>
      <c r="AL227" s="40">
        <f t="shared" si="196"/>
        <v>8140.0083333333323</v>
      </c>
      <c r="AM227">
        <v>4100000</v>
      </c>
      <c r="AN227" s="17">
        <v>37.750252751432988</v>
      </c>
      <c r="AO227" s="64">
        <f t="shared" ref="AO227:AO231" si="240">0.075*0.9*(AN227-6)</f>
        <v>2.1431420607217269</v>
      </c>
      <c r="AP227">
        <v>0</v>
      </c>
      <c r="AQ227" s="1">
        <v>0.85</v>
      </c>
    </row>
    <row r="228" spans="1:43" hidden="1" x14ac:dyDescent="0.3">
      <c r="A228" s="3">
        <v>1381.0953999999999</v>
      </c>
      <c r="B228" s="42">
        <v>1391.6890000000001</v>
      </c>
      <c r="C228" s="53">
        <v>2026</v>
      </c>
      <c r="D228" s="52">
        <f>+'Fisico ASIG'!B228</f>
        <v>46113</v>
      </c>
      <c r="E228" s="1">
        <v>30</v>
      </c>
      <c r="F228" s="56" t="str">
        <f t="shared" si="219"/>
        <v>mié</v>
      </c>
      <c r="G228" s="56">
        <f t="shared" si="226"/>
        <v>46134</v>
      </c>
      <c r="H228" s="17">
        <v>28</v>
      </c>
      <c r="I228" s="17">
        <f t="shared" si="233"/>
        <v>5.2429397708514562</v>
      </c>
      <c r="J228" s="17">
        <f t="shared" si="234"/>
        <v>5.8938783905393741</v>
      </c>
      <c r="K228" s="83">
        <f t="shared" si="181"/>
        <v>6.8583333333333334</v>
      </c>
      <c r="L228" s="17">
        <v>27</v>
      </c>
      <c r="M228" s="17">
        <v>71.5</v>
      </c>
      <c r="N228" s="17">
        <f t="shared" si="235"/>
        <v>56.780684567046031</v>
      </c>
      <c r="O228" s="17">
        <v>95.135280298708679</v>
      </c>
      <c r="P228" s="18">
        <f>SUMPRODUCT(H228:O228,'Fisico ASIG'!F228:M228)*24</f>
        <v>8080663.5560937356</v>
      </c>
      <c r="Q228" s="43">
        <v>0</v>
      </c>
      <c r="R228" s="43">
        <f t="shared" si="236"/>
        <v>6008.3723108483309</v>
      </c>
      <c r="S228" s="43">
        <f t="shared" si="237"/>
        <v>2968.6580666331956</v>
      </c>
      <c r="T228" s="43">
        <f t="shared" si="218"/>
        <v>1795.6376259798433</v>
      </c>
      <c r="U228" s="43">
        <v>18000</v>
      </c>
      <c r="V228" s="20">
        <v>0</v>
      </c>
      <c r="W228" s="20">
        <v>21900</v>
      </c>
      <c r="X228" s="20">
        <v>0</v>
      </c>
      <c r="Y228" s="18">
        <f>SUMPRODUCT(Q228:X228,'Fisico ASIG'!O228:V228)/E228</f>
        <v>5365395.9151548445</v>
      </c>
      <c r="Z228" s="25">
        <f t="shared" si="238"/>
        <v>13446059.47124858</v>
      </c>
      <c r="AA228" s="26">
        <f>+Z228/'Fisico ASIG'!N228/24</f>
        <v>75.191070010532783</v>
      </c>
      <c r="AB228" s="26">
        <f>+$AB$21*0.9*Precios!$P$13/0.61/Precios!$Q$13</f>
        <v>12.065573770491804</v>
      </c>
      <c r="AC228" s="29">
        <f t="shared" si="239"/>
        <v>63.125496240040981</v>
      </c>
      <c r="AI228" s="1">
        <v>7241</v>
      </c>
      <c r="AJ228" s="1">
        <v>5762594</v>
      </c>
      <c r="AK228">
        <f t="shared" si="195"/>
        <v>1.44</v>
      </c>
      <c r="AL228" s="40">
        <f t="shared" si="196"/>
        <v>8140.0083333333323</v>
      </c>
      <c r="AM228">
        <v>4100000</v>
      </c>
      <c r="AN228" s="17">
        <v>52.773475004258572</v>
      </c>
      <c r="AO228" s="64">
        <f t="shared" si="240"/>
        <v>3.1572095627874539</v>
      </c>
      <c r="AP228">
        <v>0</v>
      </c>
      <c r="AQ228" s="1">
        <v>0.85</v>
      </c>
    </row>
    <row r="229" spans="1:43" hidden="1" x14ac:dyDescent="0.3">
      <c r="A229" s="3">
        <v>1381.0953999999999</v>
      </c>
      <c r="B229" s="42">
        <v>1391.6890000000001</v>
      </c>
      <c r="C229" s="53">
        <v>2026</v>
      </c>
      <c r="D229" s="52">
        <f>+'Fisico ASIG'!B229</f>
        <v>46113</v>
      </c>
      <c r="E229" s="1">
        <v>30</v>
      </c>
      <c r="F229" s="56" t="str">
        <f t="shared" si="219"/>
        <v>jue</v>
      </c>
      <c r="G229" s="56">
        <f t="shared" si="226"/>
        <v>46135</v>
      </c>
      <c r="H229" s="17">
        <v>28</v>
      </c>
      <c r="I229" s="17">
        <f t="shared" si="233"/>
        <v>5.2429397708514562</v>
      </c>
      <c r="J229" s="17">
        <f t="shared" si="234"/>
        <v>5.8938783905393741</v>
      </c>
      <c r="K229" s="83">
        <f t="shared" si="181"/>
        <v>6.8583333333333334</v>
      </c>
      <c r="L229" s="17">
        <v>27</v>
      </c>
      <c r="M229" s="17">
        <v>71.5</v>
      </c>
      <c r="N229" s="17">
        <f t="shared" si="235"/>
        <v>48.844995219754104</v>
      </c>
      <c r="O229" s="17">
        <v>94.825169776900594</v>
      </c>
      <c r="P229" s="18">
        <f>SUMPRODUCT(H229:O229,'Fisico ASIG'!F229:M229)*24</f>
        <v>6995087.476488864</v>
      </c>
      <c r="Q229" s="43">
        <v>0</v>
      </c>
      <c r="R229" s="43">
        <f t="shared" si="236"/>
        <v>6008.3723108483309</v>
      </c>
      <c r="S229" s="43">
        <f t="shared" si="237"/>
        <v>2968.6580666331956</v>
      </c>
      <c r="T229" s="43">
        <f t="shared" si="218"/>
        <v>1795.6376259798433</v>
      </c>
      <c r="U229" s="43">
        <v>18000</v>
      </c>
      <c r="V229" s="20">
        <v>0</v>
      </c>
      <c r="W229" s="20">
        <v>21900</v>
      </c>
      <c r="X229" s="20">
        <v>0</v>
      </c>
      <c r="Y229" s="18">
        <f>SUMPRODUCT(Q229:X229,'Fisico ASIG'!O229:V229)/E229</f>
        <v>5172763.7419131603</v>
      </c>
      <c r="Z229" s="25">
        <f t="shared" si="238"/>
        <v>12167851.218402024</v>
      </c>
      <c r="AA229" s="26">
        <f>+Z229/'Fisico ASIG'!N229/24</f>
        <v>76.537133856190181</v>
      </c>
      <c r="AB229" s="26">
        <f>+$AB$21*0.9*Precios!$P$13/0.61/Precios!$Q$13</f>
        <v>12.065573770491804</v>
      </c>
      <c r="AC229" s="29">
        <f t="shared" si="239"/>
        <v>64.471560085698371</v>
      </c>
      <c r="AI229" s="1">
        <v>7241</v>
      </c>
      <c r="AJ229" s="1">
        <v>5762594</v>
      </c>
      <c r="AK229">
        <f t="shared" si="195"/>
        <v>1.44</v>
      </c>
      <c r="AL229" s="40">
        <f t="shared" si="196"/>
        <v>8140.0083333333323</v>
      </c>
      <c r="AM229">
        <v>4100000</v>
      </c>
      <c r="AN229" s="17">
        <v>45.339573976350444</v>
      </c>
      <c r="AO229" s="64">
        <f t="shared" si="240"/>
        <v>2.655421243403655</v>
      </c>
      <c r="AP229">
        <v>0</v>
      </c>
      <c r="AQ229" s="1">
        <v>0.85</v>
      </c>
    </row>
    <row r="230" spans="1:43" hidden="1" x14ac:dyDescent="0.3">
      <c r="A230" s="3">
        <v>1381.0953999999999</v>
      </c>
      <c r="B230" s="42">
        <v>1391.6890000000001</v>
      </c>
      <c r="C230" s="53">
        <v>2026</v>
      </c>
      <c r="D230" s="52">
        <f>+'Fisico ASIG'!B230</f>
        <v>46113</v>
      </c>
      <c r="E230" s="1">
        <v>30</v>
      </c>
      <c r="F230" s="56" t="str">
        <f t="shared" si="219"/>
        <v>vie</v>
      </c>
      <c r="G230" s="56">
        <f t="shared" si="226"/>
        <v>46136</v>
      </c>
      <c r="H230" s="17">
        <v>28</v>
      </c>
      <c r="I230" s="17">
        <f t="shared" si="233"/>
        <v>5.2429397708514562</v>
      </c>
      <c r="J230" s="17">
        <f t="shared" si="234"/>
        <v>5.8938783905393741</v>
      </c>
      <c r="K230" s="83">
        <f t="shared" si="181"/>
        <v>6.8583333333333334</v>
      </c>
      <c r="L230" s="17">
        <v>27</v>
      </c>
      <c r="M230" s="17">
        <v>71.5</v>
      </c>
      <c r="N230" s="17">
        <f t="shared" si="235"/>
        <v>50.276853430155235</v>
      </c>
      <c r="O230" s="17">
        <v>97.257269082663854</v>
      </c>
      <c r="P230" s="18">
        <f>SUMPRODUCT(H230:O230,'Fisico ASIG'!F230:M230)*24</f>
        <v>6803197.48350906</v>
      </c>
      <c r="Q230" s="43">
        <v>0</v>
      </c>
      <c r="R230" s="43">
        <f t="shared" si="236"/>
        <v>6008.3723108483309</v>
      </c>
      <c r="S230" s="43">
        <f t="shared" si="237"/>
        <v>2968.6580666331956</v>
      </c>
      <c r="T230" s="43">
        <f t="shared" si="218"/>
        <v>1795.6376259798433</v>
      </c>
      <c r="U230" s="43">
        <v>18000</v>
      </c>
      <c r="V230" s="20">
        <v>0</v>
      </c>
      <c r="W230" s="20">
        <v>21900</v>
      </c>
      <c r="X230" s="20">
        <v>0</v>
      </c>
      <c r="Y230" s="18">
        <f>SUMPRODUCT(Q230:X230,'Fisico ASIG'!O230:V230)/E230</f>
        <v>4875886.2204255266</v>
      </c>
      <c r="Z230" s="25">
        <f t="shared" si="238"/>
        <v>11679083.703934588</v>
      </c>
      <c r="AA230" s="26">
        <f>+Z230/'Fisico ASIG'!N230/24</f>
        <v>72.682071219329856</v>
      </c>
      <c r="AB230" s="26">
        <f>+$AB$21*0.9*Precios!$P$13/0.61/Precios!$Q$13</f>
        <v>12.065573770491804</v>
      </c>
      <c r="AC230" s="29">
        <f t="shared" si="239"/>
        <v>60.616497448838054</v>
      </c>
      <c r="AI230" s="1">
        <v>7241</v>
      </c>
      <c r="AJ230" s="1">
        <v>5762594</v>
      </c>
      <c r="AK230">
        <f t="shared" si="195"/>
        <v>1.44</v>
      </c>
      <c r="AL230" s="40">
        <f t="shared" si="196"/>
        <v>8140.0083333333323</v>
      </c>
      <c r="AM230">
        <v>4100000</v>
      </c>
      <c r="AN230" s="17">
        <v>46.680893143002564</v>
      </c>
      <c r="AO230" s="64">
        <f t="shared" si="240"/>
        <v>2.7459602871526734</v>
      </c>
      <c r="AP230">
        <v>0</v>
      </c>
      <c r="AQ230" s="1">
        <v>0.85</v>
      </c>
    </row>
    <row r="231" spans="1:43" hidden="1" x14ac:dyDescent="0.3">
      <c r="A231" s="3">
        <v>1381.0953999999999</v>
      </c>
      <c r="B231" s="42">
        <v>1391.6890000000001</v>
      </c>
      <c r="C231" s="53">
        <v>2026</v>
      </c>
      <c r="D231" s="52">
        <f>+'Fisico ASIG'!B231</f>
        <v>46113</v>
      </c>
      <c r="E231" s="1">
        <v>30</v>
      </c>
      <c r="F231" s="56" t="str">
        <f t="shared" si="219"/>
        <v>sáb</v>
      </c>
      <c r="G231" s="56">
        <f t="shared" si="226"/>
        <v>46137</v>
      </c>
      <c r="H231" s="17">
        <v>28</v>
      </c>
      <c r="I231" s="17">
        <f t="shared" si="233"/>
        <v>5.2429397708514562</v>
      </c>
      <c r="J231" s="17">
        <f t="shared" si="234"/>
        <v>5.8938783905393741</v>
      </c>
      <c r="K231" s="83">
        <f t="shared" si="181"/>
        <v>6.8583333333333334</v>
      </c>
      <c r="L231" s="17">
        <v>27</v>
      </c>
      <c r="M231" s="17">
        <v>71.5</v>
      </c>
      <c r="N231" s="17">
        <f t="shared" si="235"/>
        <v>59.195804494748955</v>
      </c>
      <c r="O231" s="17">
        <v>82.478530353675538</v>
      </c>
      <c r="P231" s="18">
        <f>SUMPRODUCT(H231:O231,'Fisico ASIG'!F231:M231)*24</f>
        <v>6511715.0716590649</v>
      </c>
      <c r="Q231" s="43">
        <v>0</v>
      </c>
      <c r="R231" s="43">
        <f t="shared" si="236"/>
        <v>6008.3723108483309</v>
      </c>
      <c r="S231" s="43">
        <f t="shared" si="237"/>
        <v>2968.6580666331956</v>
      </c>
      <c r="T231" s="43">
        <f t="shared" si="218"/>
        <v>1795.6376259798433</v>
      </c>
      <c r="U231" s="43">
        <v>18000</v>
      </c>
      <c r="V231" s="20">
        <v>0</v>
      </c>
      <c r="W231" s="20">
        <v>21900</v>
      </c>
      <c r="X231" s="20">
        <v>0</v>
      </c>
      <c r="Y231" s="18">
        <f>SUMPRODUCT(Q231:X231,'Fisico ASIG'!O231:V231)/E231</f>
        <v>4773044.8269200511</v>
      </c>
      <c r="Z231" s="25">
        <f t="shared" si="238"/>
        <v>11284759.898579117</v>
      </c>
      <c r="AA231" s="26">
        <f>+Z231/'Fisico ASIG'!N231/24</f>
        <v>73.579401079921652</v>
      </c>
      <c r="AB231" s="26">
        <f>+$AB$21*0.9*Precios!$P$13/0.61/Precios!$Q$13</f>
        <v>12.065573770491804</v>
      </c>
      <c r="AC231" s="29">
        <f t="shared" si="239"/>
        <v>61.51382730942985</v>
      </c>
      <c r="AI231" s="1">
        <v>7241</v>
      </c>
      <c r="AJ231" s="1">
        <v>5762594</v>
      </c>
      <c r="AK231">
        <f t="shared" si="195"/>
        <v>1.44</v>
      </c>
      <c r="AL231" s="40">
        <f t="shared" si="196"/>
        <v>8140.0083333333323</v>
      </c>
      <c r="AM231">
        <v>4100000</v>
      </c>
      <c r="AN231" s="17">
        <v>55.035882430678178</v>
      </c>
      <c r="AO231" s="64">
        <f t="shared" si="240"/>
        <v>3.3099220640707774</v>
      </c>
      <c r="AP231">
        <v>0</v>
      </c>
      <c r="AQ231" s="1">
        <v>0.85</v>
      </c>
    </row>
    <row r="232" spans="1:43" hidden="1" x14ac:dyDescent="0.3">
      <c r="A232" s="3">
        <v>1381.0953999999999</v>
      </c>
      <c r="B232" s="42">
        <v>1391.6890000000001</v>
      </c>
      <c r="C232" s="53">
        <v>2026</v>
      </c>
      <c r="D232" s="52">
        <f>+'Fisico ASIG'!B232</f>
        <v>46113</v>
      </c>
      <c r="E232" s="1">
        <v>30</v>
      </c>
      <c r="F232" s="56" t="str">
        <f t="shared" si="219"/>
        <v>dom</v>
      </c>
      <c r="G232" s="56">
        <f t="shared" si="226"/>
        <v>46138</v>
      </c>
      <c r="H232" s="17">
        <v>28</v>
      </c>
      <c r="I232" s="17">
        <f t="shared" ref="I232:I235" si="241">AI232/A232</f>
        <v>5.2429397708514562</v>
      </c>
      <c r="J232" s="17">
        <f t="shared" ref="J232:J235" si="242">+AL232/A232</f>
        <v>5.8938783905393741</v>
      </c>
      <c r="K232" s="83">
        <f t="shared" si="181"/>
        <v>6.8583333333333334</v>
      </c>
      <c r="L232" s="17">
        <v>27</v>
      </c>
      <c r="M232" s="17">
        <v>71.5</v>
      </c>
      <c r="N232" s="17">
        <f t="shared" ref="N232:N261" si="243">+AN232+AO232+AP232+AQ232</f>
        <v>63.706370696078906</v>
      </c>
      <c r="O232" s="17">
        <v>47.450047461655274</v>
      </c>
      <c r="P232" s="18">
        <f>SUMPRODUCT(H232:O232,'Fisico ASIG'!F232:M232)*24</f>
        <v>7657676.3636867795</v>
      </c>
      <c r="Q232" s="43">
        <v>0</v>
      </c>
      <c r="R232" s="43">
        <f t="shared" ref="R232:R235" si="244">+AJ232*AK232/A232</f>
        <v>6008.3723108483309</v>
      </c>
      <c r="S232" s="43">
        <f t="shared" ref="S232:S235" si="245">+AM232/A232</f>
        <v>2968.6580666331956</v>
      </c>
      <c r="T232" s="43">
        <f t="shared" si="218"/>
        <v>1795.6376259798433</v>
      </c>
      <c r="U232" s="43">
        <v>18000</v>
      </c>
      <c r="V232" s="20">
        <v>0</v>
      </c>
      <c r="W232" s="20">
        <v>21900</v>
      </c>
      <c r="X232" s="20">
        <v>0</v>
      </c>
      <c r="Y232" s="18">
        <f>SUMPRODUCT(Q232:X232,'Fisico ASIG'!O232:V232)/E232</f>
        <v>4969535.074792413</v>
      </c>
      <c r="Z232" s="25">
        <f t="shared" ref="Z232:Z235" si="246">+(P232+Y232)</f>
        <v>12627211.438479193</v>
      </c>
      <c r="AA232" s="26">
        <f>+Z232/'Fisico ASIG'!N232/24</f>
        <v>81.876395766165444</v>
      </c>
      <c r="AB232" s="26">
        <f>+$AB$21*0.9*Precios!$P$13/0.61/Precios!$Q$13</f>
        <v>12.065573770491804</v>
      </c>
      <c r="AC232" s="29">
        <f t="shared" ref="AC232:AC235" si="247">+AA232-AB232</f>
        <v>69.810821995673635</v>
      </c>
      <c r="AI232" s="1">
        <v>7241</v>
      </c>
      <c r="AJ232" s="1">
        <v>5762594</v>
      </c>
      <c r="AK232">
        <f t="shared" si="195"/>
        <v>1.44</v>
      </c>
      <c r="AL232" s="40">
        <f t="shared" si="196"/>
        <v>8140.0083333333323</v>
      </c>
      <c r="AM232">
        <v>4100000</v>
      </c>
      <c r="AN232" s="17">
        <v>59.261237186022392</v>
      </c>
      <c r="AO232" s="64">
        <f t="shared" ref="AO232:AO235" si="248">0.075*0.9*(AN232-6)</f>
        <v>3.5951335100565118</v>
      </c>
      <c r="AP232">
        <v>0</v>
      </c>
      <c r="AQ232" s="1">
        <v>0.85</v>
      </c>
    </row>
    <row r="233" spans="1:43" hidden="1" x14ac:dyDescent="0.3">
      <c r="A233" s="3">
        <v>1381.0953999999999</v>
      </c>
      <c r="B233" s="42">
        <v>1391.6890000000001</v>
      </c>
      <c r="C233" s="53">
        <v>2026</v>
      </c>
      <c r="D233" s="52">
        <f>+'Fisico ASIG'!B233</f>
        <v>46113</v>
      </c>
      <c r="E233" s="1">
        <v>30</v>
      </c>
      <c r="F233" s="56" t="str">
        <f t="shared" si="219"/>
        <v>lun</v>
      </c>
      <c r="G233" s="56">
        <f t="shared" si="226"/>
        <v>46139</v>
      </c>
      <c r="H233" s="17">
        <v>28</v>
      </c>
      <c r="I233" s="17">
        <f t="shared" si="241"/>
        <v>5.2429397708514562</v>
      </c>
      <c r="J233" s="17">
        <f t="shared" si="242"/>
        <v>5.8938783905393741</v>
      </c>
      <c r="K233" s="83">
        <f t="shared" si="181"/>
        <v>6.8583333333333334</v>
      </c>
      <c r="L233" s="17">
        <v>27</v>
      </c>
      <c r="M233" s="17">
        <v>71.5</v>
      </c>
      <c r="N233" s="17">
        <f t="shared" si="243"/>
        <v>61.255212638133735</v>
      </c>
      <c r="O233" s="17">
        <v>40.199336505935058</v>
      </c>
      <c r="P233" s="18">
        <f>SUMPRODUCT(H233:O233,'Fisico ASIG'!F233:M233)*24</f>
        <v>7479359.8353074193</v>
      </c>
      <c r="Q233" s="43">
        <v>0</v>
      </c>
      <c r="R233" s="43">
        <f t="shared" si="244"/>
        <v>6008.3723108483309</v>
      </c>
      <c r="S233" s="43">
        <f t="shared" si="245"/>
        <v>2968.6580666331956</v>
      </c>
      <c r="T233" s="43">
        <f t="shared" si="218"/>
        <v>1795.6376259798433</v>
      </c>
      <c r="U233" s="43">
        <v>18000</v>
      </c>
      <c r="V233" s="20">
        <v>0</v>
      </c>
      <c r="W233" s="20">
        <v>21900</v>
      </c>
      <c r="X233" s="20">
        <v>0</v>
      </c>
      <c r="Y233" s="18">
        <f>SUMPRODUCT(Q233:X233,'Fisico ASIG'!O233:V233)/E233</f>
        <v>5024660.8435956175</v>
      </c>
      <c r="Z233" s="25">
        <f t="shared" si="246"/>
        <v>12504020.678903036</v>
      </c>
      <c r="AA233" s="26">
        <f>+Z233/'Fisico ASIG'!N233/24</f>
        <v>68.141270785759787</v>
      </c>
      <c r="AB233" s="26">
        <f>+$AB$21*0.9*Precios!$P$13/0.61/Precios!$Q$13</f>
        <v>12.065573770491804</v>
      </c>
      <c r="AC233" s="29">
        <f t="shared" si="247"/>
        <v>56.075697015267984</v>
      </c>
      <c r="AI233" s="1">
        <v>7241</v>
      </c>
      <c r="AJ233" s="1">
        <v>5762594</v>
      </c>
      <c r="AK233">
        <f t="shared" si="195"/>
        <v>1.44</v>
      </c>
      <c r="AL233" s="40">
        <f t="shared" si="196"/>
        <v>8140.0083333333323</v>
      </c>
      <c r="AM233">
        <v>4100000</v>
      </c>
      <c r="AN233" s="17">
        <v>56.96507038701052</v>
      </c>
      <c r="AO233" s="64">
        <f t="shared" si="248"/>
        <v>3.4401422511232105</v>
      </c>
      <c r="AP233">
        <v>0</v>
      </c>
      <c r="AQ233" s="1">
        <v>0.85</v>
      </c>
    </row>
    <row r="234" spans="1:43" hidden="1" x14ac:dyDescent="0.3">
      <c r="A234" s="3">
        <v>1381.0953999999999</v>
      </c>
      <c r="B234" s="42">
        <v>1391.6890000000001</v>
      </c>
      <c r="C234" s="53">
        <v>2026</v>
      </c>
      <c r="D234" s="52">
        <f>+'Fisico ASIG'!B234</f>
        <v>46113</v>
      </c>
      <c r="E234" s="1">
        <v>30</v>
      </c>
      <c r="F234" s="56" t="str">
        <f t="shared" si="219"/>
        <v>mar</v>
      </c>
      <c r="G234" s="56">
        <f t="shared" si="226"/>
        <v>46140</v>
      </c>
      <c r="H234" s="17">
        <v>28</v>
      </c>
      <c r="I234" s="17">
        <f t="shared" si="241"/>
        <v>5.2429397708514562</v>
      </c>
      <c r="J234" s="17">
        <f t="shared" si="242"/>
        <v>5.8938783905393741</v>
      </c>
      <c r="K234" s="83">
        <f t="shared" si="181"/>
        <v>6.8583333333333334</v>
      </c>
      <c r="L234" s="17">
        <v>27</v>
      </c>
      <c r="M234" s="17">
        <v>71.5</v>
      </c>
      <c r="N234" s="17">
        <f t="shared" si="243"/>
        <v>60.044050779609222</v>
      </c>
      <c r="O234" s="17">
        <v>76.043017983070456</v>
      </c>
      <c r="P234" s="18">
        <f>SUMPRODUCT(H234:O234,'Fisico ASIG'!F234:M234)*24</f>
        <v>8085141.3262126492</v>
      </c>
      <c r="Q234" s="43">
        <v>0</v>
      </c>
      <c r="R234" s="43">
        <f t="shared" si="244"/>
        <v>6008.3723108483309</v>
      </c>
      <c r="S234" s="43">
        <f t="shared" si="245"/>
        <v>2968.6580666331956</v>
      </c>
      <c r="T234" s="43">
        <f t="shared" si="218"/>
        <v>1795.6376259798433</v>
      </c>
      <c r="U234" s="43">
        <v>18000</v>
      </c>
      <c r="V234" s="20">
        <v>0</v>
      </c>
      <c r="W234" s="20">
        <v>21900</v>
      </c>
      <c r="X234" s="20">
        <v>0</v>
      </c>
      <c r="Y234" s="18">
        <f>SUMPRODUCT(Q234:X234,'Fisico ASIG'!O234:V234)/E234</f>
        <v>5051486.0641999645</v>
      </c>
      <c r="Z234" s="25">
        <f t="shared" si="246"/>
        <v>13136627.390412614</v>
      </c>
      <c r="AA234" s="26">
        <f>+Z234/'Fisico ASIG'!N234/24</f>
        <v>66.39993638330931</v>
      </c>
      <c r="AB234" s="26">
        <f>+$AB$21*0.9*Precios!$P$13/0.61/Precios!$Q$13</f>
        <v>12.065573770491804</v>
      </c>
      <c r="AC234" s="29">
        <f t="shared" si="247"/>
        <v>54.334362612817507</v>
      </c>
      <c r="AI234" s="1">
        <v>7241</v>
      </c>
      <c r="AJ234" s="1">
        <v>5762594</v>
      </c>
      <c r="AK234">
        <f t="shared" si="195"/>
        <v>1.44</v>
      </c>
      <c r="AL234" s="40">
        <f t="shared" si="196"/>
        <v>8140.0083333333323</v>
      </c>
      <c r="AM234">
        <v>4100000</v>
      </c>
      <c r="AN234" s="17">
        <v>55.830492533591773</v>
      </c>
      <c r="AO234" s="64">
        <f t="shared" si="248"/>
        <v>3.3635582460174449</v>
      </c>
      <c r="AP234">
        <v>0</v>
      </c>
      <c r="AQ234" s="1">
        <v>0.85</v>
      </c>
    </row>
    <row r="235" spans="1:43" hidden="1" x14ac:dyDescent="0.3">
      <c r="A235" s="3">
        <v>1381.0953999999999</v>
      </c>
      <c r="B235" s="42">
        <v>1391.6890000000001</v>
      </c>
      <c r="C235" s="53">
        <v>2026</v>
      </c>
      <c r="D235" s="52">
        <f>+'Fisico ASIG'!B235</f>
        <v>46113</v>
      </c>
      <c r="E235" s="1">
        <v>30</v>
      </c>
      <c r="F235" s="56" t="str">
        <f t="shared" si="219"/>
        <v>mié</v>
      </c>
      <c r="G235" s="56">
        <f t="shared" si="226"/>
        <v>46141</v>
      </c>
      <c r="H235" s="17">
        <v>28</v>
      </c>
      <c r="I235" s="17">
        <f t="shared" si="241"/>
        <v>5.2429397708514562</v>
      </c>
      <c r="J235" s="17">
        <f t="shared" si="242"/>
        <v>5.8938783905393741</v>
      </c>
      <c r="K235" s="83">
        <f t="shared" si="181"/>
        <v>6.8583333333333334</v>
      </c>
      <c r="L235" s="17">
        <v>27</v>
      </c>
      <c r="M235" s="17">
        <v>71.5</v>
      </c>
      <c r="N235" s="17">
        <f t="shared" si="243"/>
        <v>60.833237960940551</v>
      </c>
      <c r="O235" s="17">
        <v>55.180205586592656</v>
      </c>
      <c r="P235" s="18">
        <f>SUMPRODUCT(H235:O235,'Fisico ASIG'!F235:M235)*24</f>
        <v>9114247.3719522301</v>
      </c>
      <c r="Q235" s="43">
        <v>0</v>
      </c>
      <c r="R235" s="43">
        <f t="shared" si="244"/>
        <v>6008.3723108483309</v>
      </c>
      <c r="S235" s="43">
        <f t="shared" si="245"/>
        <v>2968.6580666331956</v>
      </c>
      <c r="T235" s="43">
        <f t="shared" si="218"/>
        <v>1795.6376259798433</v>
      </c>
      <c r="U235" s="43">
        <v>18000</v>
      </c>
      <c r="V235" s="20">
        <v>0</v>
      </c>
      <c r="W235" s="20">
        <v>21900</v>
      </c>
      <c r="X235" s="20">
        <v>0</v>
      </c>
      <c r="Y235" s="18">
        <f>SUMPRODUCT(Q235:X235,'Fisico ASIG'!O235:V235)/E235</f>
        <v>5109707.21721048</v>
      </c>
      <c r="Z235" s="25">
        <f t="shared" si="246"/>
        <v>14223954.589162711</v>
      </c>
      <c r="AA235" s="26">
        <f>+Z235/'Fisico ASIG'!N235/24</f>
        <v>70.3802580151402</v>
      </c>
      <c r="AB235" s="26">
        <f>+$AB$21*0.9*Precios!$P$13/0.61/Precios!$Q$13</f>
        <v>12.065573770491804</v>
      </c>
      <c r="AC235" s="29">
        <f t="shared" si="247"/>
        <v>58.314684244648397</v>
      </c>
      <c r="AI235" s="1">
        <v>7241</v>
      </c>
      <c r="AJ235" s="1">
        <v>5762594</v>
      </c>
      <c r="AK235">
        <f t="shared" si="195"/>
        <v>1.44</v>
      </c>
      <c r="AL235" s="40">
        <f t="shared" si="196"/>
        <v>8140.0083333333323</v>
      </c>
      <c r="AM235">
        <v>4100000</v>
      </c>
      <c r="AN235" s="17">
        <v>56.56977794935883</v>
      </c>
      <c r="AO235" s="64">
        <f t="shared" si="248"/>
        <v>3.4134600115817211</v>
      </c>
      <c r="AP235">
        <v>0</v>
      </c>
      <c r="AQ235" s="1">
        <v>0.85</v>
      </c>
    </row>
    <row r="236" spans="1:43" hidden="1" x14ac:dyDescent="0.3">
      <c r="A236" s="3">
        <v>1381.0953999999999</v>
      </c>
      <c r="B236" s="42">
        <v>1391.6890000000001</v>
      </c>
      <c r="C236" s="53">
        <v>2026</v>
      </c>
      <c r="D236" s="52">
        <f>+'Fisico ASIG'!B236</f>
        <v>46113</v>
      </c>
      <c r="E236" s="1">
        <v>30</v>
      </c>
      <c r="F236" s="56" t="str">
        <f t="shared" si="219"/>
        <v>jue</v>
      </c>
      <c r="G236" s="56">
        <f t="shared" si="226"/>
        <v>46142</v>
      </c>
      <c r="H236" s="17">
        <v>28</v>
      </c>
      <c r="I236" s="17">
        <f t="shared" ref="I236:I247" si="249">AI236/A236</f>
        <v>5.2429397708514562</v>
      </c>
      <c r="J236" s="17">
        <f t="shared" ref="J236:J247" si="250">+AL236/A236</f>
        <v>5.8938783905393741</v>
      </c>
      <c r="K236" s="83">
        <f t="shared" si="181"/>
        <v>6.8583333333333334</v>
      </c>
      <c r="L236" s="17">
        <v>27</v>
      </c>
      <c r="M236" s="17">
        <v>71.5</v>
      </c>
      <c r="N236" s="17">
        <f t="shared" si="243"/>
        <v>60.60022103770374</v>
      </c>
      <c r="O236" s="17">
        <v>66.43498079822136</v>
      </c>
      <c r="P236" s="18">
        <f>SUMPRODUCT(H236:O236,'Fisico ASIG'!F236:M236)*24</f>
        <v>8404089.0399089418</v>
      </c>
      <c r="Q236" s="43">
        <v>0</v>
      </c>
      <c r="R236" s="43">
        <f t="shared" ref="R236:R247" si="251">+AJ236*AK236/A236</f>
        <v>6008.3723108483309</v>
      </c>
      <c r="S236" s="43">
        <f t="shared" ref="S236:S247" si="252">+AM236/A236</f>
        <v>2968.6580666331956</v>
      </c>
      <c r="T236" s="43">
        <f t="shared" si="218"/>
        <v>1795.6376259798433</v>
      </c>
      <c r="U236" s="43">
        <v>18000</v>
      </c>
      <c r="V236" s="20">
        <v>0</v>
      </c>
      <c r="W236" s="20">
        <v>21900</v>
      </c>
      <c r="X236" s="20">
        <v>0</v>
      </c>
      <c r="Y236" s="18">
        <f>SUMPRODUCT(Q236:X236,'Fisico ASIG'!O236:V236)/E236</f>
        <v>5170449.3698134907</v>
      </c>
      <c r="Z236" s="25">
        <f t="shared" ref="Z236:Z247" si="253">+(P236+Y236)</f>
        <v>13574538.409722432</v>
      </c>
      <c r="AA236" s="26">
        <f>+Z236/'Fisico ASIG'!N236/24</f>
        <v>75.380871498479124</v>
      </c>
      <c r="AB236" s="26">
        <f>+$AB$21*0.9*Precios!$P$13/0.61/Precios!$Q$13</f>
        <v>12.065573770491804</v>
      </c>
      <c r="AC236" s="29">
        <f t="shared" ref="AC236:AC247" si="254">+AA236-AB236</f>
        <v>63.315297727987321</v>
      </c>
      <c r="AI236" s="1">
        <v>7241</v>
      </c>
      <c r="AJ236" s="1">
        <v>5762594</v>
      </c>
      <c r="AK236">
        <f t="shared" si="195"/>
        <v>1.44</v>
      </c>
      <c r="AL236" s="40">
        <f t="shared" si="196"/>
        <v>8140.0083333333323</v>
      </c>
      <c r="AM236">
        <v>4100000</v>
      </c>
      <c r="AN236" s="17">
        <v>56.351495117286873</v>
      </c>
      <c r="AO236" s="64">
        <f t="shared" ref="AO236:AO247" si="255">0.075*0.9*(AN236-6)</f>
        <v>3.3987259204168643</v>
      </c>
      <c r="AP236">
        <v>0</v>
      </c>
      <c r="AQ236" s="1">
        <v>0.85</v>
      </c>
    </row>
    <row r="237" spans="1:43" hidden="1" x14ac:dyDescent="0.3">
      <c r="A237" s="3">
        <v>1410.2904000000001</v>
      </c>
      <c r="B237" s="42">
        <v>1391.6890000000001</v>
      </c>
      <c r="C237" s="53">
        <v>2026</v>
      </c>
      <c r="D237" s="52">
        <f>+'Fisico ASIG'!B237</f>
        <v>46143</v>
      </c>
      <c r="E237" s="1">
        <v>31</v>
      </c>
      <c r="F237" s="56" t="str">
        <f t="shared" si="219"/>
        <v>vie</v>
      </c>
      <c r="G237" s="56">
        <f t="shared" si="226"/>
        <v>46143</v>
      </c>
      <c r="H237" s="17">
        <v>28</v>
      </c>
      <c r="I237" s="17">
        <f t="shared" si="249"/>
        <v>5.134403524267058</v>
      </c>
      <c r="J237" s="17">
        <f t="shared" si="250"/>
        <v>5.7718667966068065</v>
      </c>
      <c r="K237" s="83">
        <f t="shared" si="181"/>
        <v>6.8583333333333334</v>
      </c>
      <c r="L237" s="17">
        <v>27</v>
      </c>
      <c r="M237" s="17">
        <v>71.5</v>
      </c>
      <c r="N237" s="17">
        <f t="shared" si="243"/>
        <v>74.112872178704748</v>
      </c>
      <c r="O237" s="17">
        <v>141.06279427486024</v>
      </c>
      <c r="P237" s="18">
        <f>SUMPRODUCT(H237:O237,'Fisico ASIG'!F237:M237)*24</f>
        <v>9108116.4917593114</v>
      </c>
      <c r="Q237" s="43">
        <v>0</v>
      </c>
      <c r="R237" s="43">
        <f t="shared" si="251"/>
        <v>5883.9905313118479</v>
      </c>
      <c r="S237" s="43">
        <f t="shared" si="252"/>
        <v>2907.2026584028367</v>
      </c>
      <c r="T237" s="43">
        <f t="shared" si="218"/>
        <v>1795.6376259798433</v>
      </c>
      <c r="U237" s="43">
        <v>18000</v>
      </c>
      <c r="V237" s="20">
        <v>0</v>
      </c>
      <c r="W237" s="20">
        <v>21900</v>
      </c>
      <c r="X237" s="20">
        <v>0</v>
      </c>
      <c r="Y237" s="18">
        <f>SUMPRODUCT(Q237:X237,'Fisico ASIG'!O237:V237)/E237</f>
        <v>4919835.3979843967</v>
      </c>
      <c r="Z237" s="25">
        <f t="shared" si="253"/>
        <v>14027951.889743708</v>
      </c>
      <c r="AA237" s="26">
        <f>+Z237/'Fisico ASIG'!N237/24</f>
        <v>89.522448237676883</v>
      </c>
      <c r="AB237" s="26">
        <f>+$AB$21*0.9*Precios!$P$14/0.61/Precios!$Q$14</f>
        <v>11.485986250661025</v>
      </c>
      <c r="AC237" s="29">
        <f t="shared" si="254"/>
        <v>78.036461987015855</v>
      </c>
      <c r="AI237" s="1">
        <v>7241</v>
      </c>
      <c r="AJ237" s="1">
        <v>5762594</v>
      </c>
      <c r="AK237">
        <f t="shared" si="195"/>
        <v>1.44</v>
      </c>
      <c r="AL237" s="40">
        <f t="shared" si="196"/>
        <v>8140.0083333333323</v>
      </c>
      <c r="AM237">
        <v>4100000</v>
      </c>
      <c r="AN237" s="17">
        <v>69.009716326655507</v>
      </c>
      <c r="AO237" s="64">
        <f t="shared" si="255"/>
        <v>4.2531558520492467</v>
      </c>
      <c r="AP237">
        <v>0</v>
      </c>
      <c r="AQ237" s="1">
        <v>0.85</v>
      </c>
    </row>
    <row r="238" spans="1:43" hidden="1" x14ac:dyDescent="0.3">
      <c r="A238" s="3">
        <v>1410.2904000000001</v>
      </c>
      <c r="B238" s="42">
        <v>1391.6890000000001</v>
      </c>
      <c r="C238" s="53">
        <v>2026</v>
      </c>
      <c r="D238" s="52">
        <f>+'Fisico ASIG'!B238</f>
        <v>46143</v>
      </c>
      <c r="E238" s="1">
        <v>31</v>
      </c>
      <c r="F238" s="56" t="str">
        <f t="shared" si="219"/>
        <v>sáb</v>
      </c>
      <c r="G238" s="56">
        <f t="shared" si="226"/>
        <v>46144</v>
      </c>
      <c r="H238" s="17">
        <v>28</v>
      </c>
      <c r="I238" s="17">
        <f t="shared" si="249"/>
        <v>5.134403524267058</v>
      </c>
      <c r="J238" s="17">
        <f t="shared" si="250"/>
        <v>5.7718667966068065</v>
      </c>
      <c r="K238" s="83">
        <f t="shared" si="181"/>
        <v>6.8583333333333334</v>
      </c>
      <c r="L238" s="17">
        <v>27</v>
      </c>
      <c r="M238" s="17">
        <v>71.5</v>
      </c>
      <c r="N238" s="17">
        <f t="shared" si="243"/>
        <v>70.316158796358152</v>
      </c>
      <c r="O238" s="17">
        <v>128.24309653464056</v>
      </c>
      <c r="P238" s="18">
        <f>SUMPRODUCT(H238:O238,'Fisico ASIG'!F238:M238)*24</f>
        <v>8943279.981070146</v>
      </c>
      <c r="Q238" s="43">
        <v>0</v>
      </c>
      <c r="R238" s="43">
        <f t="shared" si="251"/>
        <v>5883.9905313118479</v>
      </c>
      <c r="S238" s="43">
        <f t="shared" si="252"/>
        <v>2907.2026584028367</v>
      </c>
      <c r="T238" s="43">
        <f t="shared" si="218"/>
        <v>1795.6376259798433</v>
      </c>
      <c r="U238" s="43">
        <v>18000</v>
      </c>
      <c r="V238" s="20">
        <v>0</v>
      </c>
      <c r="W238" s="20">
        <v>21900</v>
      </c>
      <c r="X238" s="20">
        <v>0</v>
      </c>
      <c r="Y238" s="18">
        <f>SUMPRODUCT(Q238:X238,'Fisico ASIG'!O238:V238)/E238</f>
        <v>5132233.1976626413</v>
      </c>
      <c r="Z238" s="25">
        <f t="shared" si="253"/>
        <v>14075513.178732786</v>
      </c>
      <c r="AA238" s="26">
        <f>+Z238/'Fisico ASIG'!N238/24</f>
        <v>87.987451132341945</v>
      </c>
      <c r="AB238" s="26">
        <f>+$AB$21*0.9*Precios!$P$14/0.61/Precios!$Q$14</f>
        <v>11.485986250661025</v>
      </c>
      <c r="AC238" s="29">
        <f t="shared" si="254"/>
        <v>76.501464881680917</v>
      </c>
      <c r="AI238" s="1">
        <v>7241</v>
      </c>
      <c r="AJ238" s="1">
        <v>5762594</v>
      </c>
      <c r="AK238">
        <f t="shared" si="195"/>
        <v>1.44</v>
      </c>
      <c r="AL238" s="40">
        <f t="shared" si="196"/>
        <v>8140.0083333333323</v>
      </c>
      <c r="AM238">
        <v>4100000</v>
      </c>
      <c r="AN238" s="17">
        <v>65.453076155839028</v>
      </c>
      <c r="AO238" s="64">
        <f t="shared" si="255"/>
        <v>4.0130826405191344</v>
      </c>
      <c r="AP238">
        <v>0</v>
      </c>
      <c r="AQ238" s="1">
        <v>0.85</v>
      </c>
    </row>
    <row r="239" spans="1:43" hidden="1" x14ac:dyDescent="0.3">
      <c r="A239" s="3">
        <v>1410.2904000000001</v>
      </c>
      <c r="B239" s="42">
        <v>1391.6890000000001</v>
      </c>
      <c r="C239" s="53">
        <v>2026</v>
      </c>
      <c r="D239" s="52">
        <f>+'Fisico ASIG'!B239</f>
        <v>46143</v>
      </c>
      <c r="E239" s="1">
        <v>31</v>
      </c>
      <c r="F239" s="56" t="str">
        <f t="shared" si="219"/>
        <v>dom</v>
      </c>
      <c r="G239" s="56">
        <f t="shared" si="226"/>
        <v>46145</v>
      </c>
      <c r="H239" s="17">
        <v>28</v>
      </c>
      <c r="I239" s="17">
        <f t="shared" si="249"/>
        <v>5.134403524267058</v>
      </c>
      <c r="J239" s="17">
        <f t="shared" si="250"/>
        <v>5.7718667966068065</v>
      </c>
      <c r="K239" s="83">
        <f t="shared" si="181"/>
        <v>6.8583333333333334</v>
      </c>
      <c r="L239" s="17">
        <v>27</v>
      </c>
      <c r="M239" s="17">
        <v>71.5</v>
      </c>
      <c r="N239" s="17">
        <f t="shared" si="243"/>
        <v>70.470413049918776</v>
      </c>
      <c r="O239" s="17">
        <v>144.8524695777709</v>
      </c>
      <c r="P239" s="18">
        <f>SUMPRODUCT(H239:O239,'Fisico ASIG'!F239:M239)*24</f>
        <v>8862950.6868988313</v>
      </c>
      <c r="Q239" s="43">
        <v>0</v>
      </c>
      <c r="R239" s="43">
        <f t="shared" si="251"/>
        <v>5883.9905313118479</v>
      </c>
      <c r="S239" s="43">
        <f t="shared" si="252"/>
        <v>2907.2026584028367</v>
      </c>
      <c r="T239" s="43">
        <f t="shared" si="218"/>
        <v>1795.6376259798433</v>
      </c>
      <c r="U239" s="43">
        <v>18000</v>
      </c>
      <c r="V239" s="20">
        <v>0</v>
      </c>
      <c r="W239" s="20">
        <v>21900</v>
      </c>
      <c r="X239" s="20">
        <v>0</v>
      </c>
      <c r="Y239" s="18">
        <f>SUMPRODUCT(Q239:X239,'Fisico ASIG'!O239:V239)/E239</f>
        <v>5273350.2984886607</v>
      </c>
      <c r="Z239" s="25">
        <f t="shared" si="253"/>
        <v>14136300.985387493</v>
      </c>
      <c r="AA239" s="26">
        <f>+Z239/'Fisico ASIG'!N239/24</f>
        <v>92.498456905803948</v>
      </c>
      <c r="AB239" s="26">
        <f>+$AB$21*0.9*Precios!$P$14/0.61/Precios!$Q$14</f>
        <v>11.485986250661025</v>
      </c>
      <c r="AC239" s="29">
        <f t="shared" si="254"/>
        <v>81.01247065514292</v>
      </c>
      <c r="AI239" s="1">
        <v>7241</v>
      </c>
      <c r="AJ239" s="1">
        <v>5762594</v>
      </c>
      <c r="AK239">
        <f t="shared" si="195"/>
        <v>1.44</v>
      </c>
      <c r="AL239" s="40">
        <f t="shared" si="196"/>
        <v>8140.0083333333323</v>
      </c>
      <c r="AM239">
        <v>4100000</v>
      </c>
      <c r="AN239" s="17">
        <v>65.597576627558581</v>
      </c>
      <c r="AO239" s="64">
        <f t="shared" si="255"/>
        <v>4.0228364223602044</v>
      </c>
      <c r="AP239">
        <v>0</v>
      </c>
      <c r="AQ239" s="1">
        <v>0.85</v>
      </c>
    </row>
    <row r="240" spans="1:43" hidden="1" x14ac:dyDescent="0.3">
      <c r="A240" s="3">
        <v>1410.2904000000001</v>
      </c>
      <c r="B240" s="42">
        <v>1412.9870000000001</v>
      </c>
      <c r="C240" s="53">
        <v>2026</v>
      </c>
      <c r="D240" s="52">
        <f>+'Fisico ASIG'!B240</f>
        <v>46143</v>
      </c>
      <c r="E240" s="1">
        <v>31</v>
      </c>
      <c r="F240" s="56" t="str">
        <f t="shared" si="219"/>
        <v>lun</v>
      </c>
      <c r="G240" s="56">
        <f t="shared" si="226"/>
        <v>46146</v>
      </c>
      <c r="H240" s="17">
        <v>28</v>
      </c>
      <c r="I240" s="17">
        <f t="shared" si="249"/>
        <v>5.134403524267058</v>
      </c>
      <c r="J240" s="17">
        <f t="shared" si="250"/>
        <v>5.7718667966068065</v>
      </c>
      <c r="K240" s="83">
        <f t="shared" si="181"/>
        <v>6.8583333333333334</v>
      </c>
      <c r="L240" s="17">
        <v>27</v>
      </c>
      <c r="M240" s="17">
        <v>71.5</v>
      </c>
      <c r="N240" s="17">
        <f t="shared" si="243"/>
        <v>68.479613988820063</v>
      </c>
      <c r="O240" s="17">
        <v>135.7224063460456</v>
      </c>
      <c r="P240" s="18">
        <f>SUMPRODUCT(H240:O240,'Fisico ASIG'!F240:M240)*24</f>
        <v>9324650.4018080551</v>
      </c>
      <c r="Q240" s="43">
        <v>0</v>
      </c>
      <c r="R240" s="43">
        <f t="shared" si="251"/>
        <v>5883.9905313118479</v>
      </c>
      <c r="S240" s="43">
        <f t="shared" si="252"/>
        <v>2907.2026584028367</v>
      </c>
      <c r="T240" s="43">
        <f t="shared" si="218"/>
        <v>1795.6376259798433</v>
      </c>
      <c r="U240" s="43">
        <v>18000</v>
      </c>
      <c r="V240" s="20">
        <v>0</v>
      </c>
      <c r="W240" s="20">
        <v>21900</v>
      </c>
      <c r="X240" s="20">
        <v>0</v>
      </c>
      <c r="Y240" s="18">
        <f>SUMPRODUCT(Q240:X240,'Fisico ASIG'!O240:V240)/E240</f>
        <v>5014218.5116020944</v>
      </c>
      <c r="Z240" s="25">
        <f t="shared" si="253"/>
        <v>14338868.91341015</v>
      </c>
      <c r="AA240" s="26">
        <f>+Z240/'Fisico ASIG'!N240/24</f>
        <v>79.377983548612548</v>
      </c>
      <c r="AB240" s="26">
        <f>+$AB$21*0.9*Precios!$P$14/0.61/Precios!$Q$14</f>
        <v>11.485986250661025</v>
      </c>
      <c r="AC240" s="29">
        <f t="shared" si="254"/>
        <v>67.891997297951519</v>
      </c>
      <c r="AI240" s="1">
        <v>7241</v>
      </c>
      <c r="AJ240" s="1">
        <v>5762594</v>
      </c>
      <c r="AK240">
        <f t="shared" si="195"/>
        <v>1.44</v>
      </c>
      <c r="AL240" s="40">
        <f t="shared" si="196"/>
        <v>8140.0083333333323</v>
      </c>
      <c r="AM240">
        <v>4100000</v>
      </c>
      <c r="AN240" s="17">
        <v>63.732659474304519</v>
      </c>
      <c r="AO240" s="64">
        <f t="shared" si="255"/>
        <v>3.8969545145155551</v>
      </c>
      <c r="AP240">
        <v>0</v>
      </c>
      <c r="AQ240" s="1">
        <v>0.85</v>
      </c>
    </row>
    <row r="241" spans="1:43" hidden="1" x14ac:dyDescent="0.3">
      <c r="A241" s="3">
        <v>1410.2904000000001</v>
      </c>
      <c r="B241" s="42">
        <v>1412.9870000000001</v>
      </c>
      <c r="C241" s="53">
        <v>2026</v>
      </c>
      <c r="D241" s="52">
        <f>+'Fisico ASIG'!B241</f>
        <v>46143</v>
      </c>
      <c r="E241" s="1">
        <v>31</v>
      </c>
      <c r="F241" s="56" t="str">
        <f t="shared" si="219"/>
        <v>mar</v>
      </c>
      <c r="G241" s="56">
        <f t="shared" si="226"/>
        <v>46147</v>
      </c>
      <c r="H241" s="17">
        <v>28</v>
      </c>
      <c r="I241" s="17">
        <f t="shared" si="249"/>
        <v>5.134403524267058</v>
      </c>
      <c r="J241" s="17">
        <f t="shared" si="250"/>
        <v>5.7718667966068065</v>
      </c>
      <c r="K241" s="83">
        <f t="shared" si="181"/>
        <v>6.8583333333333334</v>
      </c>
      <c r="L241" s="17">
        <v>27</v>
      </c>
      <c r="M241" s="17">
        <v>71.5</v>
      </c>
      <c r="N241" s="17">
        <f t="shared" si="243"/>
        <v>78.120187724776983</v>
      </c>
      <c r="O241" s="17">
        <v>154.00418182981076</v>
      </c>
      <c r="P241" s="18">
        <f>SUMPRODUCT(H241:O241,'Fisico ASIG'!F241:M241)*24</f>
        <v>10306606.670057129</v>
      </c>
      <c r="Q241" s="43">
        <v>0</v>
      </c>
      <c r="R241" s="43">
        <f t="shared" si="251"/>
        <v>5883.9905313118479</v>
      </c>
      <c r="S241" s="43">
        <f t="shared" si="252"/>
        <v>2907.2026584028367</v>
      </c>
      <c r="T241" s="43">
        <f t="shared" si="218"/>
        <v>1795.6376259798433</v>
      </c>
      <c r="U241" s="43">
        <v>18000</v>
      </c>
      <c r="V241" s="20">
        <v>0</v>
      </c>
      <c r="W241" s="20">
        <v>21900</v>
      </c>
      <c r="X241" s="20">
        <v>0</v>
      </c>
      <c r="Y241" s="18">
        <f>SUMPRODUCT(Q241:X241,'Fisico ASIG'!O241:V241)/E241</f>
        <v>4949797.7989234384</v>
      </c>
      <c r="Z241" s="25">
        <f t="shared" si="253"/>
        <v>15256404.468980568</v>
      </c>
      <c r="AA241" s="26">
        <f>+Z241/'Fisico ASIG'!N241/24</f>
        <v>77.057210562728883</v>
      </c>
      <c r="AB241" s="26">
        <f>+$AB$21*0.9*Precios!$P$14/0.61/Precios!$Q$14</f>
        <v>11.485986250661025</v>
      </c>
      <c r="AC241" s="29">
        <f t="shared" si="254"/>
        <v>65.571224312067855</v>
      </c>
      <c r="AI241" s="1">
        <v>7241</v>
      </c>
      <c r="AJ241" s="1">
        <v>5762594</v>
      </c>
      <c r="AK241">
        <f t="shared" si="195"/>
        <v>1.44</v>
      </c>
      <c r="AL241" s="40">
        <f t="shared" si="196"/>
        <v>8140.0083333333323</v>
      </c>
      <c r="AM241">
        <v>4100000</v>
      </c>
      <c r="AN241" s="17">
        <v>72.763641896746591</v>
      </c>
      <c r="AO241" s="64">
        <f t="shared" si="255"/>
        <v>4.5065458280303954</v>
      </c>
      <c r="AP241">
        <v>0</v>
      </c>
      <c r="AQ241" s="1">
        <v>0.85</v>
      </c>
    </row>
    <row r="242" spans="1:43" hidden="1" x14ac:dyDescent="0.3">
      <c r="A242" s="3">
        <v>1410.2904000000001</v>
      </c>
      <c r="B242" s="42">
        <v>1412.9870000000001</v>
      </c>
      <c r="C242" s="53">
        <v>2026</v>
      </c>
      <c r="D242" s="52">
        <f>+'Fisico ASIG'!B242</f>
        <v>46143</v>
      </c>
      <c r="E242" s="1">
        <v>31</v>
      </c>
      <c r="F242" s="56" t="str">
        <f t="shared" si="219"/>
        <v>mié</v>
      </c>
      <c r="G242" s="56">
        <f t="shared" si="226"/>
        <v>46148</v>
      </c>
      <c r="H242" s="17">
        <v>28</v>
      </c>
      <c r="I242" s="17">
        <f t="shared" si="249"/>
        <v>5.134403524267058</v>
      </c>
      <c r="J242" s="17">
        <f t="shared" si="250"/>
        <v>5.7718667966068065</v>
      </c>
      <c r="K242" s="83">
        <f t="shared" si="181"/>
        <v>6.8583333333333334</v>
      </c>
      <c r="L242" s="17">
        <v>27</v>
      </c>
      <c r="M242" s="17">
        <v>71.5</v>
      </c>
      <c r="N242" s="17">
        <f t="shared" si="243"/>
        <v>74.675186155597004</v>
      </c>
      <c r="O242" s="17">
        <v>118.5949188057417</v>
      </c>
      <c r="P242" s="18">
        <f>SUMPRODUCT(H242:O242,'Fisico ASIG'!F242:M242)*24</f>
        <v>10293595.422824372</v>
      </c>
      <c r="Q242" s="43">
        <v>0</v>
      </c>
      <c r="R242" s="43">
        <f t="shared" si="251"/>
        <v>5883.9905313118479</v>
      </c>
      <c r="S242" s="43">
        <f t="shared" si="252"/>
        <v>2907.2026584028367</v>
      </c>
      <c r="T242" s="43">
        <f t="shared" si="218"/>
        <v>1795.6376259798433</v>
      </c>
      <c r="U242" s="43">
        <v>18000</v>
      </c>
      <c r="V242" s="20">
        <v>0</v>
      </c>
      <c r="W242" s="20">
        <v>21900</v>
      </c>
      <c r="X242" s="20">
        <v>0</v>
      </c>
      <c r="Y242" s="18">
        <f>SUMPRODUCT(Q242:X242,'Fisico ASIG'!O242:V242)/E242</f>
        <v>4977092.0708527528</v>
      </c>
      <c r="Z242" s="25">
        <f t="shared" si="253"/>
        <v>15270687.493677124</v>
      </c>
      <c r="AA242" s="26">
        <f>+Z242/'Fisico ASIG'!N242/24</f>
        <v>79.719466586123474</v>
      </c>
      <c r="AB242" s="26">
        <f>+$AB$21*0.9*Precios!$P$14/0.61/Precios!$Q$14</f>
        <v>11.485986250661025</v>
      </c>
      <c r="AC242" s="29">
        <f t="shared" si="254"/>
        <v>68.233480335462446</v>
      </c>
      <c r="AI242" s="1">
        <v>7241</v>
      </c>
      <c r="AJ242" s="1">
        <v>5762594</v>
      </c>
      <c r="AK242">
        <f t="shared" si="195"/>
        <v>1.44</v>
      </c>
      <c r="AL242" s="40">
        <f t="shared" si="196"/>
        <v>8140.0083333333323</v>
      </c>
      <c r="AM242">
        <v>4100000</v>
      </c>
      <c r="AN242" s="17">
        <v>69.53647415044216</v>
      </c>
      <c r="AO242" s="64">
        <f t="shared" si="255"/>
        <v>4.2887120051548457</v>
      </c>
      <c r="AP242">
        <v>0</v>
      </c>
      <c r="AQ242" s="1">
        <v>0.85</v>
      </c>
    </row>
    <row r="243" spans="1:43" hidden="1" x14ac:dyDescent="0.3">
      <c r="A243" s="3">
        <v>1410.2904000000001</v>
      </c>
      <c r="B243" s="42">
        <v>1412.9870000000001</v>
      </c>
      <c r="C243" s="53">
        <v>2026</v>
      </c>
      <c r="D243" s="52">
        <f>+'Fisico ASIG'!B243</f>
        <v>46143</v>
      </c>
      <c r="E243" s="1">
        <v>31</v>
      </c>
      <c r="F243" s="56" t="str">
        <f t="shared" si="219"/>
        <v>jue</v>
      </c>
      <c r="G243" s="56">
        <f t="shared" si="226"/>
        <v>46149</v>
      </c>
      <c r="H243" s="17">
        <v>28</v>
      </c>
      <c r="I243" s="17">
        <f t="shared" si="249"/>
        <v>5.134403524267058</v>
      </c>
      <c r="J243" s="17">
        <f t="shared" si="250"/>
        <v>5.7718667966068065</v>
      </c>
      <c r="K243" s="83">
        <f t="shared" si="181"/>
        <v>6.8583333333333334</v>
      </c>
      <c r="L243" s="17">
        <v>27</v>
      </c>
      <c r="M243" s="17">
        <v>71.5</v>
      </c>
      <c r="N243" s="17">
        <f t="shared" si="243"/>
        <v>75.761882352715219</v>
      </c>
      <c r="O243" s="17">
        <v>111.48642291688638</v>
      </c>
      <c r="P243" s="18">
        <f>SUMPRODUCT(H243:O243,'Fisico ASIG'!F243:M243)*24</f>
        <v>10943830.32022341</v>
      </c>
      <c r="Q243" s="43">
        <v>0</v>
      </c>
      <c r="R243" s="43">
        <f t="shared" si="251"/>
        <v>5883.9905313118479</v>
      </c>
      <c r="S243" s="43">
        <f t="shared" si="252"/>
        <v>2907.2026584028367</v>
      </c>
      <c r="T243" s="43">
        <f t="shared" si="218"/>
        <v>1795.6376259798433</v>
      </c>
      <c r="U243" s="43">
        <v>18000</v>
      </c>
      <c r="V243" s="20">
        <v>0</v>
      </c>
      <c r="W243" s="20">
        <v>21900</v>
      </c>
      <c r="X243" s="20">
        <v>0</v>
      </c>
      <c r="Y243" s="18">
        <f>SUMPRODUCT(Q243:X243,'Fisico ASIG'!O243:V243)/E243</f>
        <v>5211834.234629686</v>
      </c>
      <c r="Z243" s="25">
        <f t="shared" si="253"/>
        <v>16155664.554853097</v>
      </c>
      <c r="AA243" s="26">
        <f>+Z243/'Fisico ASIG'!N243/24</f>
        <v>84.676182533799931</v>
      </c>
      <c r="AB243" s="26">
        <f>+$AB$21*0.9*Precios!$P$14/0.61/Precios!$Q$14</f>
        <v>11.485986250661025</v>
      </c>
      <c r="AC243" s="29">
        <f t="shared" si="254"/>
        <v>73.190196283138903</v>
      </c>
      <c r="AI243" s="1">
        <v>7241</v>
      </c>
      <c r="AJ243" s="1">
        <v>5762594</v>
      </c>
      <c r="AK243">
        <f t="shared" si="195"/>
        <v>1.44</v>
      </c>
      <c r="AL243" s="40">
        <f t="shared" si="196"/>
        <v>8140.0083333333323</v>
      </c>
      <c r="AM243">
        <v>4100000</v>
      </c>
      <c r="AN243" s="17">
        <v>70.554456536501377</v>
      </c>
      <c r="AO243" s="64">
        <f t="shared" si="255"/>
        <v>4.3574258162138433</v>
      </c>
      <c r="AP243">
        <v>0</v>
      </c>
      <c r="AQ243" s="1">
        <v>0.85</v>
      </c>
    </row>
    <row r="244" spans="1:43" hidden="1" x14ac:dyDescent="0.3">
      <c r="A244" s="3">
        <v>1410.2904000000001</v>
      </c>
      <c r="B244" s="42">
        <v>1412.9870000000001</v>
      </c>
      <c r="C244" s="53">
        <v>2026</v>
      </c>
      <c r="D244" s="52">
        <f>+'Fisico ASIG'!B244</f>
        <v>46143</v>
      </c>
      <c r="E244" s="1">
        <v>31</v>
      </c>
      <c r="F244" s="56" t="str">
        <f t="shared" si="219"/>
        <v>vie</v>
      </c>
      <c r="G244" s="56">
        <f t="shared" si="226"/>
        <v>46150</v>
      </c>
      <c r="H244" s="17">
        <v>28</v>
      </c>
      <c r="I244" s="17">
        <f t="shared" si="249"/>
        <v>5.134403524267058</v>
      </c>
      <c r="J244" s="17">
        <f t="shared" si="250"/>
        <v>5.7718667966068065</v>
      </c>
      <c r="K244" s="83">
        <f t="shared" si="181"/>
        <v>6.8583333333333334</v>
      </c>
      <c r="L244" s="17">
        <v>27</v>
      </c>
      <c r="M244" s="17">
        <v>71.5</v>
      </c>
      <c r="N244" s="17">
        <f t="shared" si="243"/>
        <v>76.561947158243214</v>
      </c>
      <c r="O244" s="17">
        <v>107.8188082612369</v>
      </c>
      <c r="P244" s="18">
        <f>SUMPRODUCT(H244:O244,'Fisico ASIG'!F244:M244)*24</f>
        <v>11835816.803446712</v>
      </c>
      <c r="Q244" s="43">
        <v>0</v>
      </c>
      <c r="R244" s="43">
        <f t="shared" si="251"/>
        <v>5883.9905313118479</v>
      </c>
      <c r="S244" s="43">
        <f t="shared" si="252"/>
        <v>2907.2026584028367</v>
      </c>
      <c r="T244" s="43">
        <f t="shared" si="218"/>
        <v>1795.6376259798433</v>
      </c>
      <c r="U244" s="43">
        <v>18000</v>
      </c>
      <c r="V244" s="20">
        <v>0</v>
      </c>
      <c r="W244" s="20">
        <v>21900</v>
      </c>
      <c r="X244" s="20">
        <v>0</v>
      </c>
      <c r="Y244" s="18">
        <f>SUMPRODUCT(Q244:X244,'Fisico ASIG'!O244:V244)/E244</f>
        <v>5220069.8385283742</v>
      </c>
      <c r="Z244" s="25">
        <f t="shared" si="253"/>
        <v>17055886.641975086</v>
      </c>
      <c r="AA244" s="26">
        <f>+Z244/'Fisico ASIG'!N244/24</f>
        <v>80.071760106562877</v>
      </c>
      <c r="AB244" s="26">
        <f>+$AB$21*0.9*Precios!$P$14/0.61/Precios!$Q$14</f>
        <v>11.485986250661025</v>
      </c>
      <c r="AC244" s="29">
        <f t="shared" si="254"/>
        <v>68.585773855901849</v>
      </c>
      <c r="AI244" s="1">
        <v>7241</v>
      </c>
      <c r="AJ244" s="1">
        <v>5762594</v>
      </c>
      <c r="AK244">
        <f t="shared" si="195"/>
        <v>1.44</v>
      </c>
      <c r="AL244" s="40">
        <f t="shared" si="196"/>
        <v>8140.0083333333323</v>
      </c>
      <c r="AM244">
        <v>4100000</v>
      </c>
      <c r="AN244" s="17">
        <v>71.303931764162272</v>
      </c>
      <c r="AO244" s="64">
        <f t="shared" si="255"/>
        <v>4.4080153940809534</v>
      </c>
      <c r="AP244">
        <v>0</v>
      </c>
      <c r="AQ244" s="1">
        <v>0.85</v>
      </c>
    </row>
    <row r="245" spans="1:43" hidden="1" x14ac:dyDescent="0.3">
      <c r="A245" s="3">
        <v>1410.2904000000001</v>
      </c>
      <c r="B245" s="42">
        <v>1412.9870000000001</v>
      </c>
      <c r="C245" s="53">
        <v>2026</v>
      </c>
      <c r="D245" s="52">
        <f>+'Fisico ASIG'!B245</f>
        <v>46143</v>
      </c>
      <c r="E245" s="1">
        <v>31</v>
      </c>
      <c r="F245" s="56" t="str">
        <f t="shared" si="219"/>
        <v>sáb</v>
      </c>
      <c r="G245" s="56">
        <f t="shared" si="226"/>
        <v>46151</v>
      </c>
      <c r="H245" s="17">
        <v>28</v>
      </c>
      <c r="I245" s="17">
        <f t="shared" si="249"/>
        <v>5.134403524267058</v>
      </c>
      <c r="J245" s="17">
        <f t="shared" si="250"/>
        <v>5.7718667966068065</v>
      </c>
      <c r="K245" s="83">
        <f t="shared" si="181"/>
        <v>6.8583333333333334</v>
      </c>
      <c r="L245" s="17">
        <v>27</v>
      </c>
      <c r="M245" s="17">
        <v>71.5</v>
      </c>
      <c r="N245" s="17">
        <f t="shared" si="243"/>
        <v>85.084711387581066</v>
      </c>
      <c r="O245" s="17">
        <v>94.758953027903601</v>
      </c>
      <c r="P245" s="18">
        <f>SUMPRODUCT(H245:O245,'Fisico ASIG'!F245:M245)*24</f>
        <v>11785561.252167743</v>
      </c>
      <c r="Q245" s="43">
        <v>0</v>
      </c>
      <c r="R245" s="43">
        <f t="shared" si="251"/>
        <v>5883.9905313118479</v>
      </c>
      <c r="S245" s="43">
        <f t="shared" si="252"/>
        <v>2907.2026584028367</v>
      </c>
      <c r="T245" s="43">
        <f t="shared" si="218"/>
        <v>1795.6376259798433</v>
      </c>
      <c r="U245" s="43">
        <v>18000</v>
      </c>
      <c r="V245" s="20">
        <v>0</v>
      </c>
      <c r="W245" s="20">
        <v>21900</v>
      </c>
      <c r="X245" s="20">
        <v>0</v>
      </c>
      <c r="Y245" s="18">
        <f>SUMPRODUCT(Q245:X245,'Fisico ASIG'!O245:V245)/E245</f>
        <v>4897297.8319653627</v>
      </c>
      <c r="Z245" s="25">
        <f t="shared" si="253"/>
        <v>16682859.084133105</v>
      </c>
      <c r="AA245" s="26">
        <f>+Z245/'Fisico ASIG'!N245/24</f>
        <v>77.803514428530676</v>
      </c>
      <c r="AB245" s="26">
        <f>+$AB$21*0.9*Precios!$P$14/0.61/Precios!$Q$14</f>
        <v>11.485986250661025</v>
      </c>
      <c r="AC245" s="29">
        <f t="shared" si="254"/>
        <v>66.317528177869647</v>
      </c>
      <c r="AI245" s="1">
        <v>7241</v>
      </c>
      <c r="AJ245" s="1">
        <v>5762594</v>
      </c>
      <c r="AK245">
        <f t="shared" si="195"/>
        <v>1.44</v>
      </c>
      <c r="AL245" s="40">
        <f t="shared" si="196"/>
        <v>8140.0083333333323</v>
      </c>
      <c r="AM245">
        <v>4100000</v>
      </c>
      <c r="AN245" s="17">
        <v>79.287785843167285</v>
      </c>
      <c r="AO245" s="64">
        <f t="shared" si="255"/>
        <v>4.9469255444137916</v>
      </c>
      <c r="AP245">
        <v>0</v>
      </c>
      <c r="AQ245" s="1">
        <v>0.85</v>
      </c>
    </row>
    <row r="246" spans="1:43" hidden="1" x14ac:dyDescent="0.3">
      <c r="A246" s="3">
        <v>1410.2904000000001</v>
      </c>
      <c r="B246" s="42">
        <v>1412.9870000000001</v>
      </c>
      <c r="C246" s="53">
        <v>2026</v>
      </c>
      <c r="D246" s="52">
        <f>+'Fisico ASIG'!B246</f>
        <v>46143</v>
      </c>
      <c r="E246" s="1">
        <v>31</v>
      </c>
      <c r="F246" s="56" t="str">
        <f t="shared" si="219"/>
        <v>dom</v>
      </c>
      <c r="G246" s="56">
        <f t="shared" si="226"/>
        <v>46152</v>
      </c>
      <c r="H246" s="17">
        <v>28</v>
      </c>
      <c r="I246" s="17">
        <f t="shared" si="249"/>
        <v>5.134403524267058</v>
      </c>
      <c r="J246" s="17">
        <f t="shared" si="250"/>
        <v>5.7718667966068065</v>
      </c>
      <c r="K246" s="83">
        <f t="shared" si="181"/>
        <v>6.8583333333333334</v>
      </c>
      <c r="L246" s="17">
        <v>27</v>
      </c>
      <c r="M246" s="17">
        <v>71.5</v>
      </c>
      <c r="N246" s="17">
        <f t="shared" si="243"/>
        <v>80.518805500421109</v>
      </c>
      <c r="O246" s="17">
        <v>119.15465139416638</v>
      </c>
      <c r="P246" s="18">
        <f>SUMPRODUCT(H246:O246,'Fisico ASIG'!F246:M246)*24</f>
        <v>12637665.286251921</v>
      </c>
      <c r="Q246" s="43">
        <v>0</v>
      </c>
      <c r="R246" s="43">
        <f t="shared" si="251"/>
        <v>5883.9905313118479</v>
      </c>
      <c r="S246" s="43">
        <f t="shared" si="252"/>
        <v>2907.2026584028367</v>
      </c>
      <c r="T246" s="43">
        <f t="shared" si="218"/>
        <v>1795.6376259798433</v>
      </c>
      <c r="U246" s="43">
        <v>18000</v>
      </c>
      <c r="V246" s="20">
        <v>0</v>
      </c>
      <c r="W246" s="20">
        <v>21900</v>
      </c>
      <c r="X246" s="20">
        <v>0</v>
      </c>
      <c r="Y246" s="18">
        <f>SUMPRODUCT(Q246:X246,'Fisico ASIG'!O246:V246)/E246</f>
        <v>5113207.4076410234</v>
      </c>
      <c r="Z246" s="25">
        <f t="shared" si="253"/>
        <v>17750872.693892945</v>
      </c>
      <c r="AA246" s="26">
        <f>+Z246/'Fisico ASIG'!N246/24</f>
        <v>83.244516514882292</v>
      </c>
      <c r="AB246" s="26">
        <f>+$AB$21*0.9*Precios!$P$14/0.61/Precios!$Q$14</f>
        <v>11.485986250661025</v>
      </c>
      <c r="AC246" s="29">
        <f t="shared" si="254"/>
        <v>71.758530264221264</v>
      </c>
      <c r="AI246" s="1">
        <v>7241</v>
      </c>
      <c r="AJ246" s="1">
        <v>5762594</v>
      </c>
      <c r="AK246">
        <f t="shared" si="195"/>
        <v>1.44</v>
      </c>
      <c r="AL246" s="40">
        <f t="shared" si="196"/>
        <v>8140.0083333333323</v>
      </c>
      <c r="AM246">
        <v>4100000</v>
      </c>
      <c r="AN246" s="17">
        <v>75.01059063271299</v>
      </c>
      <c r="AO246" s="64">
        <f t="shared" si="255"/>
        <v>4.6582148677081268</v>
      </c>
      <c r="AP246">
        <v>0</v>
      </c>
      <c r="AQ246" s="1">
        <v>0.85</v>
      </c>
    </row>
    <row r="247" spans="1:43" hidden="1" x14ac:dyDescent="0.3">
      <c r="A247" s="3">
        <v>1410.2904000000001</v>
      </c>
      <c r="B247" s="42">
        <v>1412.9870000000001</v>
      </c>
      <c r="C247" s="53">
        <v>2026</v>
      </c>
      <c r="D247" s="52">
        <f>+'Fisico ASIG'!B247</f>
        <v>46143</v>
      </c>
      <c r="E247" s="1">
        <v>31</v>
      </c>
      <c r="F247" s="56" t="str">
        <f t="shared" si="219"/>
        <v>lun</v>
      </c>
      <c r="G247" s="56">
        <f t="shared" si="226"/>
        <v>46153</v>
      </c>
      <c r="H247" s="17">
        <v>28</v>
      </c>
      <c r="I247" s="17">
        <f t="shared" si="249"/>
        <v>5.134403524267058</v>
      </c>
      <c r="J247" s="17">
        <f t="shared" si="250"/>
        <v>5.7718667966068065</v>
      </c>
      <c r="K247" s="83">
        <f t="shared" si="181"/>
        <v>6.8583333333333334</v>
      </c>
      <c r="L247" s="17">
        <v>27</v>
      </c>
      <c r="M247" s="17">
        <v>71.5</v>
      </c>
      <c r="N247" s="17">
        <f t="shared" si="243"/>
        <v>86.140881250460339</v>
      </c>
      <c r="O247" s="17">
        <v>130.7111262397257</v>
      </c>
      <c r="P247" s="18">
        <f>SUMPRODUCT(H247:O247,'Fisico ASIG'!F247:M247)*24</f>
        <v>13771476.292508276</v>
      </c>
      <c r="Q247" s="43">
        <v>0</v>
      </c>
      <c r="R247" s="43">
        <f t="shared" si="251"/>
        <v>5883.9905313118479</v>
      </c>
      <c r="S247" s="43">
        <f t="shared" si="252"/>
        <v>2907.2026584028367</v>
      </c>
      <c r="T247" s="43">
        <f t="shared" si="218"/>
        <v>1795.6376259798433</v>
      </c>
      <c r="U247" s="43">
        <v>18000</v>
      </c>
      <c r="V247" s="20">
        <v>0</v>
      </c>
      <c r="W247" s="20">
        <v>21900</v>
      </c>
      <c r="X247" s="20">
        <v>0</v>
      </c>
      <c r="Y247" s="18">
        <f>SUMPRODUCT(Q247:X247,'Fisico ASIG'!O247:V247)/E247</f>
        <v>5096254.3281401899</v>
      </c>
      <c r="Z247" s="25">
        <f t="shared" si="253"/>
        <v>18867730.620648466</v>
      </c>
      <c r="AA247" s="26">
        <f>+Z247/'Fisico ASIG'!N247/24</f>
        <v>76.845446846742604</v>
      </c>
      <c r="AB247" s="26">
        <f>+$AB$21*0.9*Precios!$P$14/0.61/Precios!$Q$14</f>
        <v>11.485986250661025</v>
      </c>
      <c r="AC247" s="29">
        <f t="shared" si="254"/>
        <v>65.359460596081576</v>
      </c>
      <c r="AI247" s="1">
        <v>7241</v>
      </c>
      <c r="AJ247" s="1">
        <v>5762594</v>
      </c>
      <c r="AK247">
        <f t="shared" si="195"/>
        <v>1.44</v>
      </c>
      <c r="AL247" s="40">
        <f t="shared" si="196"/>
        <v>8140.0083333333323</v>
      </c>
      <c r="AM247">
        <v>4100000</v>
      </c>
      <c r="AN247" s="17">
        <v>80.27717213157878</v>
      </c>
      <c r="AO247" s="64">
        <f t="shared" si="255"/>
        <v>5.0137091188815681</v>
      </c>
      <c r="AP247">
        <v>0</v>
      </c>
      <c r="AQ247" s="1">
        <v>0.85</v>
      </c>
    </row>
    <row r="248" spans="1:43" hidden="1" x14ac:dyDescent="0.3">
      <c r="A248" s="3">
        <v>1410.2904000000001</v>
      </c>
      <c r="B248" s="42">
        <v>1412.9870000000001</v>
      </c>
      <c r="C248" s="53">
        <v>2026</v>
      </c>
      <c r="D248" s="52">
        <f>+'Fisico ASIG'!B248</f>
        <v>46143</v>
      </c>
      <c r="E248" s="1">
        <v>31</v>
      </c>
      <c r="F248" s="56" t="str">
        <f t="shared" si="219"/>
        <v>mar</v>
      </c>
      <c r="G248" s="56">
        <f t="shared" si="226"/>
        <v>46154</v>
      </c>
      <c r="H248" s="17">
        <v>28</v>
      </c>
      <c r="I248" s="17">
        <f t="shared" ref="I248" si="256">AI248/A248</f>
        <v>5.134403524267058</v>
      </c>
      <c r="J248" s="17">
        <f t="shared" ref="J248" si="257">+AL248/A248</f>
        <v>5.7718667966068065</v>
      </c>
      <c r="K248" s="83">
        <f t="shared" si="181"/>
        <v>6.8583333333333334</v>
      </c>
      <c r="L248" s="17">
        <v>27</v>
      </c>
      <c r="M248" s="17">
        <v>71.5</v>
      </c>
      <c r="N248" s="17">
        <f t="shared" si="243"/>
        <v>90.277817881984433</v>
      </c>
      <c r="O248" s="17">
        <v>108.33807995538764</v>
      </c>
      <c r="P248" s="18">
        <f>SUMPRODUCT(H248:O248,'Fisico ASIG'!F248:M248)*24</f>
        <v>12771018.842933126</v>
      </c>
      <c r="Q248" s="43">
        <v>0</v>
      </c>
      <c r="R248" s="43">
        <f t="shared" ref="R248" si="258">+AJ248*AK248/A248</f>
        <v>5883.9905313118479</v>
      </c>
      <c r="S248" s="43">
        <f t="shared" ref="S248" si="259">+AM248/A248</f>
        <v>2907.2026584028367</v>
      </c>
      <c r="T248" s="43">
        <f t="shared" si="218"/>
        <v>1795.6376259798433</v>
      </c>
      <c r="U248" s="43">
        <v>18000</v>
      </c>
      <c r="V248" s="20">
        <v>0</v>
      </c>
      <c r="W248" s="20">
        <v>21900</v>
      </c>
      <c r="X248" s="20">
        <v>0</v>
      </c>
      <c r="Y248" s="18">
        <f>SUMPRODUCT(Q248:X248,'Fisico ASIG'!O248:V248)/E248</f>
        <v>4989373.8401917331</v>
      </c>
      <c r="Z248" s="25">
        <f t="shared" ref="Z248" si="260">+(P248+Y248)</f>
        <v>17760392.683124859</v>
      </c>
      <c r="AA248" s="26">
        <f>+Z248/'Fisico ASIG'!N248/24</f>
        <v>76.849113244339335</v>
      </c>
      <c r="AB248" s="26">
        <f>+$AB$21*0.9*Precios!$P$14/0.61/Precios!$Q$14</f>
        <v>11.485986250661025</v>
      </c>
      <c r="AC248" s="29">
        <f t="shared" ref="AC248" si="261">+AA248-AB248</f>
        <v>65.363126993678307</v>
      </c>
      <c r="AI248" s="1">
        <v>7241</v>
      </c>
      <c r="AJ248" s="1">
        <v>5762594</v>
      </c>
      <c r="AK248">
        <f t="shared" si="195"/>
        <v>1.44</v>
      </c>
      <c r="AL248" s="40">
        <f t="shared" si="196"/>
        <v>8140.0083333333323</v>
      </c>
      <c r="AM248">
        <v>4100000</v>
      </c>
      <c r="AN248" s="17">
        <v>84.152522606074413</v>
      </c>
      <c r="AO248" s="64">
        <f t="shared" ref="AO248" si="262">0.075*0.9*(AN248-6)</f>
        <v>5.2752952759100236</v>
      </c>
      <c r="AP248">
        <v>0</v>
      </c>
      <c r="AQ248" s="1">
        <v>0.85</v>
      </c>
    </row>
    <row r="249" spans="1:43" hidden="1" x14ac:dyDescent="0.3">
      <c r="A249" s="3">
        <v>1410.2904000000001</v>
      </c>
      <c r="B249" s="42">
        <v>1412.9870000000001</v>
      </c>
      <c r="C249" s="53">
        <v>2026</v>
      </c>
      <c r="D249" s="52">
        <f>+'Fisico ASIG'!B249</f>
        <v>46143</v>
      </c>
      <c r="E249" s="1">
        <v>31</v>
      </c>
      <c r="F249" s="56" t="str">
        <f t="shared" si="219"/>
        <v>mié</v>
      </c>
      <c r="G249" s="56">
        <f t="shared" si="226"/>
        <v>46155</v>
      </c>
      <c r="H249" s="17">
        <v>28</v>
      </c>
      <c r="I249" s="17">
        <f t="shared" ref="I249:I255" si="263">AI249/A249</f>
        <v>5.134403524267058</v>
      </c>
      <c r="J249" s="17">
        <f t="shared" ref="J249:J255" si="264">+AL249/A249</f>
        <v>5.7718667966068065</v>
      </c>
      <c r="K249" s="83">
        <f t="shared" si="181"/>
        <v>6.8583333333333334</v>
      </c>
      <c r="L249" s="17">
        <v>27</v>
      </c>
      <c r="M249" s="17">
        <v>71.5</v>
      </c>
      <c r="N249" s="17">
        <f t="shared" si="243"/>
        <v>100.53092388399527</v>
      </c>
      <c r="O249" s="17">
        <v>152.27304542804356</v>
      </c>
      <c r="P249" s="18">
        <f>SUMPRODUCT(H249:O249,'Fisico ASIG'!F249:M249)*24</f>
        <v>13964589.660308378</v>
      </c>
      <c r="Q249" s="43">
        <v>0</v>
      </c>
      <c r="R249" s="43">
        <f t="shared" ref="R249:R255" si="265">+AJ249*AK249/A249</f>
        <v>5883.9905313118479</v>
      </c>
      <c r="S249" s="43">
        <f t="shared" ref="S249:S255" si="266">+AM249/A249</f>
        <v>2907.2026584028367</v>
      </c>
      <c r="T249" s="43">
        <f t="shared" si="218"/>
        <v>1795.6376259798433</v>
      </c>
      <c r="U249" s="43">
        <v>18000</v>
      </c>
      <c r="V249" s="20">
        <v>0</v>
      </c>
      <c r="W249" s="20">
        <v>21900</v>
      </c>
      <c r="X249" s="20">
        <v>0</v>
      </c>
      <c r="Y249" s="18">
        <f>SUMPRODUCT(Q249:X249,'Fisico ASIG'!O249:V249)/E249</f>
        <v>5047611.7160554491</v>
      </c>
      <c r="Z249" s="25">
        <f t="shared" ref="Z249:Z255" si="267">+(P249+Y249)</f>
        <v>19012201.376363829</v>
      </c>
      <c r="AA249" s="26">
        <f>+Z249/'Fisico ASIG'!N249/24</f>
        <v>80.06743911581593</v>
      </c>
      <c r="AB249" s="26">
        <f>+$AB$21*0.9*Precios!$P$14/0.61/Precios!$Q$14</f>
        <v>11.485986250661025</v>
      </c>
      <c r="AC249" s="29">
        <f t="shared" ref="AC249:AC255" si="268">+AA249-AB249</f>
        <v>68.581452865154901</v>
      </c>
      <c r="AI249" s="1">
        <v>7241</v>
      </c>
      <c r="AJ249" s="1">
        <v>5762594</v>
      </c>
      <c r="AK249">
        <f t="shared" si="195"/>
        <v>1.44</v>
      </c>
      <c r="AL249" s="40">
        <f t="shared" si="196"/>
        <v>8140.0083333333323</v>
      </c>
      <c r="AM249">
        <v>4100000</v>
      </c>
      <c r="AN249" s="17">
        <v>93.757305746131408</v>
      </c>
      <c r="AO249" s="64">
        <f t="shared" ref="AO249:AO255" si="269">0.075*0.9*(AN249-6)</f>
        <v>5.9236181378638708</v>
      </c>
      <c r="AP249">
        <v>0</v>
      </c>
      <c r="AQ249" s="1">
        <v>0.85</v>
      </c>
    </row>
    <row r="250" spans="1:43" hidden="1" x14ac:dyDescent="0.3">
      <c r="A250" s="3">
        <v>1410.2904000000001</v>
      </c>
      <c r="B250" s="42">
        <v>1412.9870000000001</v>
      </c>
      <c r="C250" s="53">
        <v>2026</v>
      </c>
      <c r="D250" s="52">
        <f>+'Fisico ASIG'!B250</f>
        <v>46143</v>
      </c>
      <c r="E250" s="1">
        <v>31</v>
      </c>
      <c r="F250" s="56" t="str">
        <f t="shared" si="219"/>
        <v>jue</v>
      </c>
      <c r="G250" s="56">
        <f t="shared" si="226"/>
        <v>46156</v>
      </c>
      <c r="H250" s="17">
        <v>28</v>
      </c>
      <c r="I250" s="17">
        <f t="shared" si="263"/>
        <v>5.134403524267058</v>
      </c>
      <c r="J250" s="17">
        <f t="shared" si="264"/>
        <v>5.7718667966068065</v>
      </c>
      <c r="K250" s="83">
        <f t="shared" si="181"/>
        <v>6.8583333333333334</v>
      </c>
      <c r="L250" s="17">
        <v>27</v>
      </c>
      <c r="M250" s="17">
        <v>71.5</v>
      </c>
      <c r="N250" s="17">
        <f t="shared" si="243"/>
        <v>106.62388555169279</v>
      </c>
      <c r="O250" s="17">
        <v>154.85243269931658</v>
      </c>
      <c r="P250" s="18">
        <f>SUMPRODUCT(H250:O250,'Fisico ASIG'!F250:M250)*24</f>
        <v>14644731.814042877</v>
      </c>
      <c r="Q250" s="43">
        <v>0</v>
      </c>
      <c r="R250" s="43">
        <f t="shared" si="265"/>
        <v>5883.9905313118479</v>
      </c>
      <c r="S250" s="43">
        <f t="shared" si="266"/>
        <v>2907.2026584028367</v>
      </c>
      <c r="T250" s="43">
        <f t="shared" si="218"/>
        <v>1795.6376259798433</v>
      </c>
      <c r="U250" s="43">
        <v>18000</v>
      </c>
      <c r="V250" s="20">
        <v>0</v>
      </c>
      <c r="W250" s="20">
        <v>21900</v>
      </c>
      <c r="X250" s="20">
        <v>0</v>
      </c>
      <c r="Y250" s="18">
        <f>SUMPRODUCT(Q250:X250,'Fisico ASIG'!O250:V250)/E250</f>
        <v>5003499.5034588939</v>
      </c>
      <c r="Z250" s="25">
        <f t="shared" si="267"/>
        <v>19648231.317501772</v>
      </c>
      <c r="AA250" s="26">
        <f>+Z250/'Fisico ASIG'!N250/24</f>
        <v>77.846725482890903</v>
      </c>
      <c r="AB250" s="26">
        <f>+$AB$21*0.9*Precios!$P$14/0.61/Precios!$Q$14</f>
        <v>11.485986250661025</v>
      </c>
      <c r="AC250" s="29">
        <f t="shared" si="268"/>
        <v>66.360739232229875</v>
      </c>
      <c r="AI250" s="1">
        <v>7241</v>
      </c>
      <c r="AJ250" s="1">
        <v>5762594</v>
      </c>
      <c r="AK250">
        <f t="shared" si="195"/>
        <v>1.44</v>
      </c>
      <c r="AL250" s="40">
        <f t="shared" si="196"/>
        <v>8140.0083333333323</v>
      </c>
      <c r="AM250">
        <v>4100000</v>
      </c>
      <c r="AN250" s="17">
        <v>99.464998174887867</v>
      </c>
      <c r="AO250" s="64">
        <f t="shared" si="269"/>
        <v>6.3088873768049316</v>
      </c>
      <c r="AP250">
        <v>0</v>
      </c>
      <c r="AQ250" s="1">
        <v>0.85</v>
      </c>
    </row>
    <row r="251" spans="1:43" hidden="1" x14ac:dyDescent="0.3">
      <c r="A251" s="3">
        <v>1410.2904000000001</v>
      </c>
      <c r="B251" s="42">
        <v>1412.9870000000001</v>
      </c>
      <c r="C251" s="53">
        <v>2026</v>
      </c>
      <c r="D251" s="52">
        <f>+'Fisico ASIG'!B251</f>
        <v>46143</v>
      </c>
      <c r="E251" s="1">
        <v>31</v>
      </c>
      <c r="F251" s="56" t="str">
        <f t="shared" si="219"/>
        <v>vie</v>
      </c>
      <c r="G251" s="56">
        <f t="shared" si="226"/>
        <v>46157</v>
      </c>
      <c r="H251" s="17">
        <v>28</v>
      </c>
      <c r="I251" s="17">
        <f t="shared" si="263"/>
        <v>5.134403524267058</v>
      </c>
      <c r="J251" s="17">
        <f t="shared" si="264"/>
        <v>5.7718667966068065</v>
      </c>
      <c r="K251" s="83">
        <f t="shared" si="181"/>
        <v>6.8583333333333334</v>
      </c>
      <c r="L251" s="17">
        <v>27</v>
      </c>
      <c r="M251" s="17">
        <v>71.5</v>
      </c>
      <c r="N251" s="17">
        <f t="shared" si="243"/>
        <v>98.582828547726734</v>
      </c>
      <c r="O251" s="17">
        <v>156.87313538742822</v>
      </c>
      <c r="P251" s="18">
        <f>SUMPRODUCT(H251:O251,'Fisico ASIG'!F251:M251)*24</f>
        <v>12502907.130282372</v>
      </c>
      <c r="Q251" s="43">
        <v>0</v>
      </c>
      <c r="R251" s="43">
        <f t="shared" si="265"/>
        <v>5883.9905313118479</v>
      </c>
      <c r="S251" s="43">
        <f t="shared" si="266"/>
        <v>2907.2026584028367</v>
      </c>
      <c r="T251" s="43">
        <f t="shared" si="218"/>
        <v>1795.6376259798433</v>
      </c>
      <c r="U251" s="43">
        <v>18000</v>
      </c>
      <c r="V251" s="20">
        <v>0</v>
      </c>
      <c r="W251" s="20">
        <v>21900</v>
      </c>
      <c r="X251" s="20">
        <v>0</v>
      </c>
      <c r="Y251" s="18">
        <f>SUMPRODUCT(Q251:X251,'Fisico ASIG'!O251:V251)/E251</f>
        <v>4995581.3909192523</v>
      </c>
      <c r="Z251" s="25">
        <f t="shared" si="267"/>
        <v>17498488.521201625</v>
      </c>
      <c r="AA251" s="26">
        <f>+Z251/'Fisico ASIG'!N251/24</f>
        <v>75.121184516137774</v>
      </c>
      <c r="AB251" s="26">
        <f>+$AB$21*0.9*Precios!$P$14/0.61/Precios!$Q$14</f>
        <v>11.485986250661025</v>
      </c>
      <c r="AC251" s="29">
        <f t="shared" si="268"/>
        <v>63.635198265476745</v>
      </c>
      <c r="AI251" s="1">
        <v>7241</v>
      </c>
      <c r="AJ251" s="1">
        <v>5762594</v>
      </c>
      <c r="AK251">
        <f t="shared" si="195"/>
        <v>1.44</v>
      </c>
      <c r="AL251" s="40">
        <f t="shared" si="196"/>
        <v>8140.0083333333323</v>
      </c>
      <c r="AM251">
        <v>4100000</v>
      </c>
      <c r="AN251" s="17">
        <v>91.932392082179618</v>
      </c>
      <c r="AO251" s="64">
        <f t="shared" si="269"/>
        <v>5.8004364655471248</v>
      </c>
      <c r="AP251">
        <v>0</v>
      </c>
      <c r="AQ251" s="1">
        <v>0.85</v>
      </c>
    </row>
    <row r="252" spans="1:43" hidden="1" x14ac:dyDescent="0.3">
      <c r="A252" s="3">
        <v>1410.2904000000001</v>
      </c>
      <c r="B252" s="42">
        <v>1412.9870000000001</v>
      </c>
      <c r="C252" s="53">
        <v>2026</v>
      </c>
      <c r="D252" s="52">
        <f>+'Fisico ASIG'!B252</f>
        <v>46143</v>
      </c>
      <c r="E252" s="1">
        <v>31</v>
      </c>
      <c r="F252" s="56" t="str">
        <f t="shared" si="219"/>
        <v>sáb</v>
      </c>
      <c r="G252" s="56">
        <f t="shared" si="226"/>
        <v>46158</v>
      </c>
      <c r="H252" s="17">
        <v>28</v>
      </c>
      <c r="I252" s="17">
        <f t="shared" si="263"/>
        <v>5.134403524267058</v>
      </c>
      <c r="J252" s="17">
        <f t="shared" si="264"/>
        <v>5.7718667966068065</v>
      </c>
      <c r="K252" s="83">
        <f t="shared" si="181"/>
        <v>6.8583333333333334</v>
      </c>
      <c r="L252" s="17">
        <v>27</v>
      </c>
      <c r="M252" s="17">
        <v>71.5</v>
      </c>
      <c r="N252" s="17">
        <f t="shared" si="243"/>
        <v>109.72375432478836</v>
      </c>
      <c r="O252" s="17">
        <v>162.10528462723116</v>
      </c>
      <c r="P252" s="18">
        <f>SUMPRODUCT(H252:O252,'Fisico ASIG'!F252:M252)*24</f>
        <v>14724922.75894437</v>
      </c>
      <c r="Q252" s="43">
        <v>0</v>
      </c>
      <c r="R252" s="43">
        <f t="shared" si="265"/>
        <v>5883.9905313118479</v>
      </c>
      <c r="S252" s="43">
        <f t="shared" si="266"/>
        <v>2907.2026584028367</v>
      </c>
      <c r="T252" s="43">
        <f t="shared" si="218"/>
        <v>1795.6376259798433</v>
      </c>
      <c r="U252" s="43">
        <v>18000</v>
      </c>
      <c r="V252" s="20">
        <v>0</v>
      </c>
      <c r="W252" s="20">
        <v>21900</v>
      </c>
      <c r="X252" s="20">
        <v>0</v>
      </c>
      <c r="Y252" s="18">
        <f>SUMPRODUCT(Q252:X252,'Fisico ASIG'!O252:V252)/E252</f>
        <v>5067184.8467175495</v>
      </c>
      <c r="Z252" s="25">
        <f t="shared" si="267"/>
        <v>19792107.605661921</v>
      </c>
      <c r="AA252" s="26">
        <f>+Z252/'Fisico ASIG'!N252/24</f>
        <v>87.526546179792703</v>
      </c>
      <c r="AB252" s="26">
        <f>+$AB$21*0.9*Precios!$P$14/0.61/Precios!$Q$14</f>
        <v>11.485986250661025</v>
      </c>
      <c r="AC252" s="29">
        <f t="shared" si="268"/>
        <v>76.040559929131675</v>
      </c>
      <c r="AI252" s="1">
        <v>7241</v>
      </c>
      <c r="AJ252" s="1">
        <v>5762594</v>
      </c>
      <c r="AK252">
        <f t="shared" si="195"/>
        <v>1.44</v>
      </c>
      <c r="AL252" s="40">
        <f t="shared" si="196"/>
        <v>8140.0083333333323</v>
      </c>
      <c r="AM252">
        <v>4100000</v>
      </c>
      <c r="AN252" s="17">
        <v>102.36885651034039</v>
      </c>
      <c r="AO252" s="64">
        <f t="shared" si="269"/>
        <v>6.5048978144479772</v>
      </c>
      <c r="AP252">
        <v>0</v>
      </c>
      <c r="AQ252" s="1">
        <v>0.85</v>
      </c>
    </row>
    <row r="253" spans="1:43" hidden="1" x14ac:dyDescent="0.3">
      <c r="A253" s="3">
        <v>1410.2904000000001</v>
      </c>
      <c r="B253" s="42">
        <v>1412.9870000000001</v>
      </c>
      <c r="C253" s="53">
        <v>2026</v>
      </c>
      <c r="D253" s="52">
        <f>+'Fisico ASIG'!B253</f>
        <v>46143</v>
      </c>
      <c r="E253" s="1">
        <v>31</v>
      </c>
      <c r="F253" s="56" t="str">
        <f t="shared" si="219"/>
        <v>dom</v>
      </c>
      <c r="G253" s="56">
        <f t="shared" si="226"/>
        <v>46159</v>
      </c>
      <c r="H253" s="17">
        <v>28</v>
      </c>
      <c r="I253" s="17">
        <f t="shared" si="263"/>
        <v>5.134403524267058</v>
      </c>
      <c r="J253" s="17">
        <f t="shared" si="264"/>
        <v>5.7718667966068065</v>
      </c>
      <c r="K253" s="83">
        <f t="shared" si="181"/>
        <v>6.8583333333333334</v>
      </c>
      <c r="L253" s="17">
        <v>27</v>
      </c>
      <c r="M253" s="17">
        <v>71.5</v>
      </c>
      <c r="N253" s="17">
        <f t="shared" si="243"/>
        <v>106.10293855049878</v>
      </c>
      <c r="O253" s="17">
        <v>162.39786797723474</v>
      </c>
      <c r="P253" s="18">
        <f>SUMPRODUCT(H253:O253,'Fisico ASIG'!F253:M253)*24</f>
        <v>14708269.7006339</v>
      </c>
      <c r="Q253" s="43">
        <v>0</v>
      </c>
      <c r="R253" s="43">
        <f t="shared" si="265"/>
        <v>5883.9905313118479</v>
      </c>
      <c r="S253" s="43">
        <f t="shared" si="266"/>
        <v>2907.2026584028367</v>
      </c>
      <c r="T253" s="43">
        <f t="shared" si="218"/>
        <v>1795.6376259798433</v>
      </c>
      <c r="U253" s="43">
        <v>18000</v>
      </c>
      <c r="V253" s="20">
        <v>0</v>
      </c>
      <c r="W253" s="20">
        <v>21900</v>
      </c>
      <c r="X253" s="20">
        <v>0</v>
      </c>
      <c r="Y253" s="18">
        <f>SUMPRODUCT(Q253:X253,'Fisico ASIG'!O253:V253)/E253</f>
        <v>5076368.231232903</v>
      </c>
      <c r="Z253" s="25">
        <f t="shared" si="267"/>
        <v>19784637.931866802</v>
      </c>
      <c r="AA253" s="26">
        <f>+Z253/'Fisico ASIG'!N253/24</f>
        <v>90.830684753761844</v>
      </c>
      <c r="AB253" s="26">
        <f>+$AB$21*0.9*Precios!$P$14/0.61/Precios!$Q$14</f>
        <v>11.485986250661025</v>
      </c>
      <c r="AC253" s="29">
        <f t="shared" si="268"/>
        <v>79.344698503100815</v>
      </c>
      <c r="AI253" s="1">
        <v>7241</v>
      </c>
      <c r="AJ253" s="1">
        <v>5762594</v>
      </c>
      <c r="AK253">
        <f t="shared" si="195"/>
        <v>1.44</v>
      </c>
      <c r="AL253" s="40">
        <f t="shared" si="196"/>
        <v>8140.0083333333323</v>
      </c>
      <c r="AM253">
        <v>4100000</v>
      </c>
      <c r="AN253" s="17">
        <v>98.976991616392297</v>
      </c>
      <c r="AO253" s="64">
        <f t="shared" si="269"/>
        <v>6.2759469341064804</v>
      </c>
      <c r="AP253">
        <v>0</v>
      </c>
      <c r="AQ253" s="1">
        <v>0.85</v>
      </c>
    </row>
    <row r="254" spans="1:43" hidden="1" x14ac:dyDescent="0.3">
      <c r="A254" s="3">
        <v>1410.2904000000001</v>
      </c>
      <c r="B254" s="42">
        <v>1399.4749999999999</v>
      </c>
      <c r="C254" s="53">
        <v>2026</v>
      </c>
      <c r="D254" s="52">
        <f>+'Fisico ASIG'!B254</f>
        <v>46143</v>
      </c>
      <c r="E254" s="1">
        <v>31</v>
      </c>
      <c r="F254" s="56" t="str">
        <f t="shared" si="219"/>
        <v>lun</v>
      </c>
      <c r="G254" s="56">
        <f t="shared" si="226"/>
        <v>46160</v>
      </c>
      <c r="H254" s="17">
        <v>28</v>
      </c>
      <c r="I254" s="17">
        <f t="shared" si="263"/>
        <v>5.134403524267058</v>
      </c>
      <c r="J254" s="17">
        <f t="shared" si="264"/>
        <v>5.7718667966068065</v>
      </c>
      <c r="K254" s="83">
        <f t="shared" si="181"/>
        <v>6.8583333333333334</v>
      </c>
      <c r="L254" s="17">
        <v>27</v>
      </c>
      <c r="M254" s="17">
        <v>71.5</v>
      </c>
      <c r="N254" s="17">
        <f t="shared" si="243"/>
        <v>106.63970973876266</v>
      </c>
      <c r="O254" s="17">
        <v>161.43301595519824</v>
      </c>
      <c r="P254" s="18">
        <f>SUMPRODUCT(H254:O254,'Fisico ASIG'!F254:M254)*24</f>
        <v>15465804.585525138</v>
      </c>
      <c r="Q254" s="43">
        <v>0</v>
      </c>
      <c r="R254" s="43">
        <f t="shared" si="265"/>
        <v>5883.9905313118479</v>
      </c>
      <c r="S254" s="43">
        <f t="shared" si="266"/>
        <v>2907.2026584028367</v>
      </c>
      <c r="T254" s="43">
        <f t="shared" si="218"/>
        <v>1795.6376259798433</v>
      </c>
      <c r="U254" s="43">
        <v>18000</v>
      </c>
      <c r="V254" s="20">
        <v>0</v>
      </c>
      <c r="W254" s="20">
        <v>21900</v>
      </c>
      <c r="X254" s="20">
        <v>0</v>
      </c>
      <c r="Y254" s="18">
        <f>SUMPRODUCT(Q254:X254,'Fisico ASIG'!O254:V254)/E254</f>
        <v>4931104.6018199371</v>
      </c>
      <c r="Z254" s="25">
        <f t="shared" si="267"/>
        <v>20396909.187345076</v>
      </c>
      <c r="AA254" s="26">
        <f>+Z254/'Fisico ASIG'!N254/24</f>
        <v>83.284391489451522</v>
      </c>
      <c r="AB254" s="26">
        <f>+$AB$21*0.9*Precios!$P$14/0.61/Precios!$Q$14</f>
        <v>11.485986250661025</v>
      </c>
      <c r="AC254" s="29">
        <f t="shared" si="268"/>
        <v>71.798405238790494</v>
      </c>
      <c r="AI254" s="1">
        <v>7241</v>
      </c>
      <c r="AJ254" s="1">
        <v>5762594</v>
      </c>
      <c r="AK254">
        <f t="shared" si="195"/>
        <v>1.44</v>
      </c>
      <c r="AL254" s="40">
        <f t="shared" si="196"/>
        <v>8140.0083333333323</v>
      </c>
      <c r="AM254">
        <v>4100000</v>
      </c>
      <c r="AN254" s="17">
        <v>99.479821769332716</v>
      </c>
      <c r="AO254" s="64">
        <f t="shared" si="269"/>
        <v>6.3098879694299583</v>
      </c>
      <c r="AP254">
        <v>0</v>
      </c>
      <c r="AQ254" s="1">
        <v>0.85</v>
      </c>
    </row>
    <row r="255" spans="1:43" hidden="1" x14ac:dyDescent="0.3">
      <c r="A255" s="3">
        <v>1410.2904000000001</v>
      </c>
      <c r="B255" s="42">
        <v>1399.4749999999999</v>
      </c>
      <c r="C255" s="53">
        <v>2026</v>
      </c>
      <c r="D255" s="52">
        <f>+'Fisico ASIG'!B255</f>
        <v>46143</v>
      </c>
      <c r="E255" s="1">
        <v>31</v>
      </c>
      <c r="F255" s="56" t="str">
        <f t="shared" si="219"/>
        <v>mar</v>
      </c>
      <c r="G255" s="56">
        <f t="shared" si="226"/>
        <v>46161</v>
      </c>
      <c r="H255" s="17">
        <v>28</v>
      </c>
      <c r="I255" s="17">
        <f t="shared" si="263"/>
        <v>5.134403524267058</v>
      </c>
      <c r="J255" s="17">
        <f t="shared" si="264"/>
        <v>5.7718667966068065</v>
      </c>
      <c r="K255" s="83">
        <f t="shared" si="181"/>
        <v>6.8583333333333334</v>
      </c>
      <c r="L255" s="17">
        <v>27</v>
      </c>
      <c r="M255" s="17">
        <v>71.5</v>
      </c>
      <c r="N255" s="17">
        <f t="shared" si="243"/>
        <v>113.84011867063344</v>
      </c>
      <c r="O255" s="17">
        <v>160.57074469048388</v>
      </c>
      <c r="P255" s="18">
        <f>SUMPRODUCT(H255:O255,'Fisico ASIG'!F255:M255)*24</f>
        <v>15666356.037050486</v>
      </c>
      <c r="Q255" s="43">
        <v>0</v>
      </c>
      <c r="R255" s="43">
        <f t="shared" si="265"/>
        <v>5883.9905313118479</v>
      </c>
      <c r="S255" s="43">
        <f t="shared" si="266"/>
        <v>2907.2026584028367</v>
      </c>
      <c r="T255" s="43">
        <f t="shared" si="218"/>
        <v>1795.6376259798433</v>
      </c>
      <c r="U255" s="43">
        <v>18000</v>
      </c>
      <c r="V255" s="20">
        <v>0</v>
      </c>
      <c r="W255" s="20">
        <v>21900</v>
      </c>
      <c r="X255" s="20">
        <v>0</v>
      </c>
      <c r="Y255" s="18">
        <f>SUMPRODUCT(Q255:X255,'Fisico ASIG'!O255:V255)/E255</f>
        <v>4997760.8474610262</v>
      </c>
      <c r="Z255" s="25">
        <f t="shared" si="267"/>
        <v>20664116.884511512</v>
      </c>
      <c r="AA255" s="26">
        <f>+Z255/'Fisico ASIG'!N255/24</f>
        <v>87.425835362317173</v>
      </c>
      <c r="AB255" s="26">
        <f>+$AB$21*0.9*Precios!$P$14/0.61/Precios!$Q$14</f>
        <v>11.485986250661025</v>
      </c>
      <c r="AC255" s="29">
        <f t="shared" si="268"/>
        <v>75.939849111656144</v>
      </c>
      <c r="AI255" s="1">
        <v>7241</v>
      </c>
      <c r="AJ255" s="1">
        <v>5762594</v>
      </c>
      <c r="AK255">
        <f t="shared" si="195"/>
        <v>1.44</v>
      </c>
      <c r="AL255" s="40">
        <f t="shared" si="196"/>
        <v>8140.0083333333323</v>
      </c>
      <c r="AM255">
        <v>4100000</v>
      </c>
      <c r="AN255" s="17">
        <v>106.22493552284163</v>
      </c>
      <c r="AO255" s="64">
        <f t="shared" si="269"/>
        <v>6.7651831477918103</v>
      </c>
      <c r="AP255">
        <v>0</v>
      </c>
      <c r="AQ255" s="1">
        <v>0.85</v>
      </c>
    </row>
    <row r="256" spans="1:43" hidden="1" x14ac:dyDescent="0.3">
      <c r="A256" s="3">
        <v>1410.2904000000001</v>
      </c>
      <c r="B256" s="42">
        <v>1399.4749999999999</v>
      </c>
      <c r="C256" s="53">
        <v>2026</v>
      </c>
      <c r="D256" s="52">
        <f>+'Fisico ASIG'!B256</f>
        <v>46143</v>
      </c>
      <c r="E256" s="1">
        <v>31</v>
      </c>
      <c r="F256" s="56" t="str">
        <f t="shared" si="219"/>
        <v>mié</v>
      </c>
      <c r="G256" s="56">
        <f t="shared" si="226"/>
        <v>46162</v>
      </c>
      <c r="H256" s="17">
        <v>28</v>
      </c>
      <c r="I256" s="17">
        <f t="shared" ref="I256:I261" si="270">AI256/A256</f>
        <v>5.134403524267058</v>
      </c>
      <c r="J256" s="17">
        <f t="shared" ref="J256:J261" si="271">+AL256/A256</f>
        <v>5.7718667966068065</v>
      </c>
      <c r="K256" s="83">
        <f t="shared" si="181"/>
        <v>6.8583333333333334</v>
      </c>
      <c r="L256" s="17">
        <v>27</v>
      </c>
      <c r="M256" s="17">
        <v>71.5</v>
      </c>
      <c r="N256" s="17">
        <f t="shared" si="243"/>
        <v>126.62788628688351</v>
      </c>
      <c r="O256" s="17">
        <v>159.5803107345784</v>
      </c>
      <c r="P256" s="18">
        <f>SUMPRODUCT(H256:O256,'Fisico ASIG'!F256:M256)*24</f>
        <v>17330062.902909163</v>
      </c>
      <c r="Q256" s="43">
        <v>0</v>
      </c>
      <c r="R256" s="43">
        <f t="shared" ref="R256:R261" si="272">+AJ256*AK256/A256</f>
        <v>5883.9905313118479</v>
      </c>
      <c r="S256" s="43">
        <f t="shared" ref="S256:S261" si="273">+AM256/A256</f>
        <v>2907.2026584028367</v>
      </c>
      <c r="T256" s="43">
        <f t="shared" si="218"/>
        <v>1795.6376259798433</v>
      </c>
      <c r="U256" s="43">
        <v>18000</v>
      </c>
      <c r="V256" s="20">
        <v>0</v>
      </c>
      <c r="W256" s="20">
        <v>21900</v>
      </c>
      <c r="X256" s="20">
        <v>0</v>
      </c>
      <c r="Y256" s="18">
        <f>SUMPRODUCT(Q256:X256,'Fisico ASIG'!O256:V256)/E256</f>
        <v>4992149.6545092901</v>
      </c>
      <c r="Z256" s="25">
        <f t="shared" ref="Z256:Z261" si="274">+(P256+Y256)</f>
        <v>22322212.557418454</v>
      </c>
      <c r="AA256" s="26">
        <f>+Z256/'Fisico ASIG'!N256/24</f>
        <v>91.463885387732134</v>
      </c>
      <c r="AB256" s="26">
        <f>+$AB$21*0.9*Precios!$P$14/0.61/Precios!$Q$14</f>
        <v>11.485986250661025</v>
      </c>
      <c r="AC256" s="29">
        <f t="shared" ref="AC256:AC261" si="275">+AA256-AB256</f>
        <v>79.977899137071105</v>
      </c>
      <c r="AI256" s="1">
        <v>7241</v>
      </c>
      <c r="AJ256" s="1">
        <v>5762594</v>
      </c>
      <c r="AK256">
        <f t="shared" si="195"/>
        <v>1.44</v>
      </c>
      <c r="AL256" s="40">
        <f t="shared" si="196"/>
        <v>8140.0083333333323</v>
      </c>
      <c r="AM256">
        <v>4100000</v>
      </c>
      <c r="AN256" s="17">
        <v>118.20410893384873</v>
      </c>
      <c r="AO256" s="64">
        <f t="shared" ref="AO256:AO266" si="276">0.075*0.9*(AN256-6)</f>
        <v>7.5737773530347896</v>
      </c>
      <c r="AP256">
        <v>0</v>
      </c>
      <c r="AQ256" s="1">
        <v>0.85</v>
      </c>
    </row>
    <row r="257" spans="1:43" hidden="1" x14ac:dyDescent="0.3">
      <c r="A257" s="3">
        <v>1410.2904000000001</v>
      </c>
      <c r="B257" s="42">
        <v>1399.4749999999999</v>
      </c>
      <c r="C257" s="53">
        <v>2026</v>
      </c>
      <c r="D257" s="52">
        <f>+'Fisico ASIG'!B257</f>
        <v>46143</v>
      </c>
      <c r="E257" s="1">
        <v>31</v>
      </c>
      <c r="F257" s="56" t="str">
        <f t="shared" si="219"/>
        <v>jue</v>
      </c>
      <c r="G257" s="56">
        <f t="shared" si="226"/>
        <v>46163</v>
      </c>
      <c r="H257" s="17">
        <v>28</v>
      </c>
      <c r="I257" s="17">
        <f t="shared" si="270"/>
        <v>5.134403524267058</v>
      </c>
      <c r="J257" s="17">
        <f t="shared" si="271"/>
        <v>5.7718667966068065</v>
      </c>
      <c r="K257" s="83">
        <f t="shared" si="181"/>
        <v>6.8583333333333334</v>
      </c>
      <c r="L257" s="17">
        <v>27</v>
      </c>
      <c r="M257" s="17">
        <v>71.5</v>
      </c>
      <c r="N257" s="17">
        <f t="shared" si="243"/>
        <v>127.72004988942763</v>
      </c>
      <c r="O257" s="17">
        <v>162.47275899900029</v>
      </c>
      <c r="P257" s="18">
        <f>SUMPRODUCT(H257:O257,'Fisico ASIG'!F257:M257)*24</f>
        <v>18501928.435092255</v>
      </c>
      <c r="Q257" s="43">
        <v>0</v>
      </c>
      <c r="R257" s="43">
        <f t="shared" si="272"/>
        <v>5883.9905313118479</v>
      </c>
      <c r="S257" s="43">
        <f t="shared" si="273"/>
        <v>2907.2026584028367</v>
      </c>
      <c r="T257" s="43">
        <f t="shared" si="218"/>
        <v>1795.6376259798433</v>
      </c>
      <c r="U257" s="43">
        <v>18000</v>
      </c>
      <c r="V257" s="20">
        <v>0</v>
      </c>
      <c r="W257" s="20">
        <v>21900</v>
      </c>
      <c r="X257" s="20">
        <v>0</v>
      </c>
      <c r="Y257" s="18">
        <f>SUMPRODUCT(Q257:X257,'Fisico ASIG'!O257:V257)/E257</f>
        <v>5042968.1478104014</v>
      </c>
      <c r="Z257" s="25">
        <f t="shared" si="274"/>
        <v>23544896.582902655</v>
      </c>
      <c r="AA257" s="26">
        <f>+Z257/'Fisico ASIG'!N257/24</f>
        <v>89.862332964850324</v>
      </c>
      <c r="AB257" s="26">
        <f>+$AB$21*0.9*Precios!$P$14/0.61/Precios!$Q$14</f>
        <v>11.485986250661025</v>
      </c>
      <c r="AC257" s="29">
        <f t="shared" si="275"/>
        <v>78.376346714189296</v>
      </c>
      <c r="AI257" s="1">
        <v>7241</v>
      </c>
      <c r="AJ257" s="1">
        <v>5762594</v>
      </c>
      <c r="AK257">
        <f t="shared" si="195"/>
        <v>1.44</v>
      </c>
      <c r="AL257" s="40">
        <f t="shared" si="196"/>
        <v>8140.0083333333323</v>
      </c>
      <c r="AM257">
        <v>4100000</v>
      </c>
      <c r="AN257" s="17">
        <v>119.22721301117343</v>
      </c>
      <c r="AO257" s="64">
        <f t="shared" si="276"/>
        <v>7.6428368782542071</v>
      </c>
      <c r="AP257">
        <v>0</v>
      </c>
      <c r="AQ257" s="1">
        <v>0.85</v>
      </c>
    </row>
    <row r="258" spans="1:43" hidden="1" x14ac:dyDescent="0.3">
      <c r="A258" s="3">
        <v>1410.2904000000001</v>
      </c>
      <c r="B258" s="42">
        <v>1399.4749999999999</v>
      </c>
      <c r="C258" s="53">
        <v>2026</v>
      </c>
      <c r="D258" s="52">
        <f>+'Fisico ASIG'!B258</f>
        <v>46143</v>
      </c>
      <c r="E258" s="1">
        <v>31</v>
      </c>
      <c r="F258" s="56" t="str">
        <f t="shared" si="219"/>
        <v>vie</v>
      </c>
      <c r="G258" s="56">
        <f t="shared" si="226"/>
        <v>46164</v>
      </c>
      <c r="H258" s="17">
        <v>28</v>
      </c>
      <c r="I258" s="17">
        <f t="shared" si="270"/>
        <v>5.134403524267058</v>
      </c>
      <c r="J258" s="17">
        <f t="shared" si="271"/>
        <v>5.7718667966068065</v>
      </c>
      <c r="K258" s="83">
        <f t="shared" si="181"/>
        <v>6.8583333333333334</v>
      </c>
      <c r="L258" s="17">
        <v>27</v>
      </c>
      <c r="M258" s="17">
        <v>71.5</v>
      </c>
      <c r="N258" s="17">
        <f t="shared" si="243"/>
        <v>120.90838927590121</v>
      </c>
      <c r="O258" s="17">
        <v>161.96391875179933</v>
      </c>
      <c r="P258" s="18">
        <f>SUMPRODUCT(H258:O258,'Fisico ASIG'!F258:M258)*24</f>
        <v>18373380.773649573</v>
      </c>
      <c r="Q258" s="43">
        <v>0</v>
      </c>
      <c r="R258" s="43">
        <f t="shared" si="272"/>
        <v>5883.9905313118479</v>
      </c>
      <c r="S258" s="43">
        <f t="shared" si="273"/>
        <v>2907.2026584028367</v>
      </c>
      <c r="T258" s="43">
        <f t="shared" si="218"/>
        <v>1795.6376259798433</v>
      </c>
      <c r="U258" s="43">
        <v>18000</v>
      </c>
      <c r="V258" s="20">
        <v>0</v>
      </c>
      <c r="W258" s="20">
        <v>21900</v>
      </c>
      <c r="X258" s="20">
        <v>0</v>
      </c>
      <c r="Y258" s="18">
        <f>SUMPRODUCT(Q258:X258,'Fisico ASIG'!O258:V258)/E258</f>
        <v>5022309.7256211648</v>
      </c>
      <c r="Z258" s="25">
        <f t="shared" si="274"/>
        <v>23395690.499270737</v>
      </c>
      <c r="AA258" s="26">
        <f>+Z258/'Fisico ASIG'!N258/24</f>
        <v>88.37810020132919</v>
      </c>
      <c r="AB258" s="26">
        <f>+$AB$21*0.9*Precios!$P$14/0.61/Precios!$Q$14</f>
        <v>11.485986250661025</v>
      </c>
      <c r="AC258" s="29">
        <f t="shared" si="275"/>
        <v>76.892113950668161</v>
      </c>
      <c r="AI258" s="1">
        <v>7241</v>
      </c>
      <c r="AJ258" s="1">
        <v>5762594</v>
      </c>
      <c r="AK258">
        <f t="shared" si="195"/>
        <v>1.44</v>
      </c>
      <c r="AL258" s="40">
        <f t="shared" si="196"/>
        <v>8140.0083333333323</v>
      </c>
      <c r="AM258">
        <v>4100000</v>
      </c>
      <c r="AN258" s="17">
        <v>112.84626630061004</v>
      </c>
      <c r="AO258" s="64">
        <f t="shared" si="276"/>
        <v>7.2121229752911784</v>
      </c>
      <c r="AP258">
        <v>0</v>
      </c>
      <c r="AQ258" s="1">
        <v>0.85</v>
      </c>
    </row>
    <row r="259" spans="1:43" hidden="1" x14ac:dyDescent="0.3">
      <c r="A259" s="3">
        <v>1410.2904000000001</v>
      </c>
      <c r="B259" s="42">
        <v>1399.4749999999999</v>
      </c>
      <c r="C259" s="53">
        <v>2026</v>
      </c>
      <c r="D259" s="52">
        <f>+'Fisico ASIG'!B259</f>
        <v>46143</v>
      </c>
      <c r="E259" s="1">
        <v>31</v>
      </c>
      <c r="F259" s="56" t="str">
        <f t="shared" si="219"/>
        <v>sáb</v>
      </c>
      <c r="G259" s="56">
        <f t="shared" si="226"/>
        <v>46165</v>
      </c>
      <c r="H259" s="17">
        <v>28</v>
      </c>
      <c r="I259" s="17">
        <f t="shared" si="270"/>
        <v>5.134403524267058</v>
      </c>
      <c r="J259" s="17">
        <f t="shared" si="271"/>
        <v>5.7718667966068065</v>
      </c>
      <c r="K259" s="83">
        <f t="shared" si="181"/>
        <v>6.8583333333333334</v>
      </c>
      <c r="L259" s="17">
        <v>27</v>
      </c>
      <c r="M259" s="17">
        <v>71.5</v>
      </c>
      <c r="N259" s="17">
        <f t="shared" si="243"/>
        <v>100.62978162827132</v>
      </c>
      <c r="O259" s="17">
        <v>162.49109278249156</v>
      </c>
      <c r="P259" s="18">
        <f>SUMPRODUCT(H259:O259,'Fisico ASIG'!F259:M259)*24</f>
        <v>14718189.402018957</v>
      </c>
      <c r="Q259" s="43">
        <v>0</v>
      </c>
      <c r="R259" s="43">
        <f t="shared" si="272"/>
        <v>5883.9905313118479</v>
      </c>
      <c r="S259" s="43">
        <f t="shared" si="273"/>
        <v>2907.2026584028367</v>
      </c>
      <c r="T259" s="43">
        <f t="shared" si="218"/>
        <v>1795.6376259798433</v>
      </c>
      <c r="U259" s="43">
        <v>18000</v>
      </c>
      <c r="V259" s="20">
        <v>0</v>
      </c>
      <c r="W259" s="20">
        <v>21900</v>
      </c>
      <c r="X259" s="20">
        <v>0</v>
      </c>
      <c r="Y259" s="18">
        <f>SUMPRODUCT(Q259:X259,'Fisico ASIG'!O259:V259)/E259</f>
        <v>4959574.0695107384</v>
      </c>
      <c r="Z259" s="25">
        <f t="shared" si="274"/>
        <v>19677763.471529696</v>
      </c>
      <c r="AA259" s="26">
        <f>+Z259/'Fisico ASIG'!N259/24</f>
        <v>82.818644657766228</v>
      </c>
      <c r="AB259" s="26">
        <f>+$AB$21*0.9*Precios!$P$14/0.61/Precios!$Q$14</f>
        <v>11.485986250661025</v>
      </c>
      <c r="AC259" s="29">
        <f t="shared" si="275"/>
        <v>71.3326584071052</v>
      </c>
      <c r="AI259" s="1">
        <v>7241</v>
      </c>
      <c r="AJ259" s="1">
        <v>5762594</v>
      </c>
      <c r="AK259">
        <f t="shared" si="195"/>
        <v>1.44</v>
      </c>
      <c r="AL259" s="40">
        <f t="shared" si="196"/>
        <v>8140.0083333333323</v>
      </c>
      <c r="AM259">
        <v>4100000</v>
      </c>
      <c r="AN259" s="17">
        <v>93.849912532338479</v>
      </c>
      <c r="AO259" s="64">
        <f t="shared" si="276"/>
        <v>5.9298690959328475</v>
      </c>
      <c r="AP259">
        <v>0</v>
      </c>
      <c r="AQ259" s="1">
        <v>0.85</v>
      </c>
    </row>
    <row r="260" spans="1:43" hidden="1" x14ac:dyDescent="0.3">
      <c r="A260" s="3">
        <v>1410.2904000000001</v>
      </c>
      <c r="B260" s="42">
        <v>1399.4749999999999</v>
      </c>
      <c r="C260" s="53">
        <v>2026</v>
      </c>
      <c r="D260" s="52">
        <f>+'Fisico ASIG'!B260</f>
        <v>46143</v>
      </c>
      <c r="E260" s="1">
        <v>31</v>
      </c>
      <c r="F260" s="56" t="str">
        <f t="shared" si="219"/>
        <v>dom</v>
      </c>
      <c r="G260" s="56">
        <f t="shared" si="226"/>
        <v>46166</v>
      </c>
      <c r="H260" s="17">
        <v>28</v>
      </c>
      <c r="I260" s="17">
        <f t="shared" si="270"/>
        <v>5.134403524267058</v>
      </c>
      <c r="J260" s="17">
        <f t="shared" si="271"/>
        <v>5.7718667966068065</v>
      </c>
      <c r="K260" s="83">
        <f t="shared" si="181"/>
        <v>6.8583333333333334</v>
      </c>
      <c r="L260" s="17">
        <v>27</v>
      </c>
      <c r="M260" s="17">
        <v>71.5</v>
      </c>
      <c r="N260" s="17">
        <f t="shared" si="243"/>
        <v>90.691004526225825</v>
      </c>
      <c r="O260" s="17">
        <v>162.06202736793045</v>
      </c>
      <c r="P260" s="18">
        <f>SUMPRODUCT(H260:O260,'Fisico ASIG'!F260:M260)*24</f>
        <v>13827040.729936309</v>
      </c>
      <c r="Q260" s="43">
        <v>0</v>
      </c>
      <c r="R260" s="43">
        <f t="shared" si="272"/>
        <v>5883.9905313118479</v>
      </c>
      <c r="S260" s="43">
        <f t="shared" si="273"/>
        <v>2907.2026584028367</v>
      </c>
      <c r="T260" s="43">
        <f t="shared" si="218"/>
        <v>1795.6376259798433</v>
      </c>
      <c r="U260" s="43">
        <v>18000</v>
      </c>
      <c r="V260" s="20">
        <v>0</v>
      </c>
      <c r="W260" s="20">
        <v>21900</v>
      </c>
      <c r="X260" s="20">
        <v>0</v>
      </c>
      <c r="Y260" s="18">
        <f>SUMPRODUCT(Q260:X260,'Fisico ASIG'!O260:V260)/E260</f>
        <v>5170783.3380714627</v>
      </c>
      <c r="Z260" s="25">
        <f t="shared" si="274"/>
        <v>18997824.068007771</v>
      </c>
      <c r="AA260" s="26">
        <f>+Z260/'Fisico ASIG'!N260/24</f>
        <v>88.154391982374136</v>
      </c>
      <c r="AB260" s="26">
        <f>+$AB$21*0.9*Precios!$P$14/0.61/Precios!$Q$14</f>
        <v>11.485986250661025</v>
      </c>
      <c r="AC260" s="29">
        <f t="shared" si="275"/>
        <v>76.668405731713108</v>
      </c>
      <c r="AI260" s="1">
        <v>7241</v>
      </c>
      <c r="AJ260" s="1">
        <v>5762594</v>
      </c>
      <c r="AK260">
        <f t="shared" si="195"/>
        <v>1.44</v>
      </c>
      <c r="AL260" s="40">
        <f t="shared" si="196"/>
        <v>8140.0083333333323</v>
      </c>
      <c r="AM260">
        <v>4100000</v>
      </c>
      <c r="AN260" s="17">
        <v>84.539582694356753</v>
      </c>
      <c r="AO260" s="64">
        <f t="shared" si="276"/>
        <v>5.3014218318690816</v>
      </c>
      <c r="AP260">
        <v>0</v>
      </c>
      <c r="AQ260" s="1">
        <v>0.85</v>
      </c>
    </row>
    <row r="261" spans="1:43" hidden="1" x14ac:dyDescent="0.3">
      <c r="A261" s="3">
        <v>1410.2904000000001</v>
      </c>
      <c r="B261" s="42">
        <v>1399.4749999999999</v>
      </c>
      <c r="C261" s="53">
        <v>2026</v>
      </c>
      <c r="D261" s="52">
        <f>+'Fisico ASIG'!B261</f>
        <v>46143</v>
      </c>
      <c r="E261" s="1">
        <v>31</v>
      </c>
      <c r="F261" s="56" t="str">
        <f t="shared" si="219"/>
        <v>lun</v>
      </c>
      <c r="G261" s="56">
        <f t="shared" si="226"/>
        <v>46167</v>
      </c>
      <c r="H261" s="17">
        <v>28</v>
      </c>
      <c r="I261" s="17">
        <f t="shared" si="270"/>
        <v>5.134403524267058</v>
      </c>
      <c r="J261" s="17">
        <f t="shared" si="271"/>
        <v>5.7718667966068065</v>
      </c>
      <c r="K261" s="83">
        <f t="shared" si="181"/>
        <v>6.8583333333333334</v>
      </c>
      <c r="L261" s="17">
        <v>27</v>
      </c>
      <c r="M261" s="17">
        <v>71.5</v>
      </c>
      <c r="N261" s="17">
        <f t="shared" si="243"/>
        <v>88.615602228714337</v>
      </c>
      <c r="O261" s="17">
        <v>161.93567124848425</v>
      </c>
      <c r="P261" s="18">
        <f>SUMPRODUCT(H261:O261,'Fisico ASIG'!F261:M261)*24</f>
        <v>12084357.452533796</v>
      </c>
      <c r="Q261" s="43">
        <v>0</v>
      </c>
      <c r="R261" s="43">
        <f t="shared" si="272"/>
        <v>5883.9905313118479</v>
      </c>
      <c r="S261" s="43">
        <f t="shared" si="273"/>
        <v>2907.2026584028367</v>
      </c>
      <c r="T261" s="43">
        <f t="shared" si="218"/>
        <v>1795.6376259798433</v>
      </c>
      <c r="U261" s="43">
        <v>18000</v>
      </c>
      <c r="V261" s="20">
        <v>0</v>
      </c>
      <c r="W261" s="20">
        <v>21900</v>
      </c>
      <c r="X261" s="20">
        <v>0</v>
      </c>
      <c r="Y261" s="18">
        <f>SUMPRODUCT(Q261:X261,'Fisico ASIG'!O261:V261)/E261</f>
        <v>5469008.9491001628</v>
      </c>
      <c r="Z261" s="25">
        <f t="shared" si="274"/>
        <v>17553366.401633959</v>
      </c>
      <c r="AA261" s="26">
        <f>+Z261/'Fisico ASIG'!N261/24</f>
        <v>84.430552194823548</v>
      </c>
      <c r="AB261" s="26">
        <f>+$AB$21*0.9*Precios!$P$14/0.61/Precios!$Q$14</f>
        <v>11.485986250661025</v>
      </c>
      <c r="AC261" s="29">
        <f t="shared" si="275"/>
        <v>72.94456594416252</v>
      </c>
      <c r="AI261" s="1">
        <v>7241</v>
      </c>
      <c r="AJ261" s="1">
        <v>5762594</v>
      </c>
      <c r="AK261">
        <f t="shared" si="195"/>
        <v>1.44</v>
      </c>
      <c r="AL261" s="40">
        <f t="shared" si="196"/>
        <v>8140.0083333333323</v>
      </c>
      <c r="AM261">
        <v>4100000</v>
      </c>
      <c r="AN261" s="17">
        <v>82.595411923854186</v>
      </c>
      <c r="AO261" s="64">
        <f t="shared" si="276"/>
        <v>5.1701903048601583</v>
      </c>
      <c r="AP261">
        <v>0</v>
      </c>
      <c r="AQ261" s="1">
        <v>0.85</v>
      </c>
    </row>
    <row r="262" spans="1:43" hidden="1" x14ac:dyDescent="0.3">
      <c r="A262" s="3">
        <v>1410.2904000000001</v>
      </c>
      <c r="B262" s="42">
        <v>1399.4749999999999</v>
      </c>
      <c r="C262" s="53">
        <v>2026</v>
      </c>
      <c r="D262" s="52">
        <f>+'Fisico ASIG'!B262</f>
        <v>46143</v>
      </c>
      <c r="E262" s="1">
        <v>31</v>
      </c>
      <c r="F262" s="56" t="str">
        <f t="shared" si="219"/>
        <v>mar</v>
      </c>
      <c r="G262" s="56">
        <f t="shared" si="226"/>
        <v>46168</v>
      </c>
      <c r="H262" s="17">
        <v>28</v>
      </c>
      <c r="I262" s="17">
        <f t="shared" ref="I262:I266" si="277">AI262/A262</f>
        <v>5.134403524267058</v>
      </c>
      <c r="J262" s="17">
        <f t="shared" ref="J262:J266" si="278">+AL262/A262</f>
        <v>5.7718667966068065</v>
      </c>
      <c r="K262" s="83">
        <f t="shared" si="181"/>
        <v>6.8583333333333334</v>
      </c>
      <c r="L262" s="17">
        <v>27</v>
      </c>
      <c r="M262" s="17">
        <v>71.5</v>
      </c>
      <c r="N262" s="17">
        <f t="shared" ref="N262:N266" si="279">+AN262+AO262+AP262+AQ262</f>
        <v>119.07536141221998</v>
      </c>
      <c r="O262" s="17">
        <v>162.59397778748229</v>
      </c>
      <c r="P262" s="18">
        <f>SUMPRODUCT(H262:O262,'Fisico ASIG'!F262:M262)*24</f>
        <v>16124152.842732728</v>
      </c>
      <c r="Q262" s="43">
        <v>0</v>
      </c>
      <c r="R262" s="43">
        <f t="shared" ref="R262:R266" si="280">+AJ262*AK262/A262</f>
        <v>5883.9905313118479</v>
      </c>
      <c r="S262" s="43">
        <f t="shared" ref="S262:S266" si="281">+AM262/A262</f>
        <v>2907.2026584028367</v>
      </c>
      <c r="T262" s="43">
        <f t="shared" si="218"/>
        <v>1795.6376259798433</v>
      </c>
      <c r="U262" s="43">
        <v>18000</v>
      </c>
      <c r="V262" s="20">
        <v>0</v>
      </c>
      <c r="W262" s="20">
        <v>21900</v>
      </c>
      <c r="X262" s="20">
        <v>0</v>
      </c>
      <c r="Y262" s="18">
        <f>SUMPRODUCT(Q262:X262,'Fisico ASIG'!O262:V262)/E262</f>
        <v>5336699.5757785989</v>
      </c>
      <c r="Z262" s="25">
        <f t="shared" ref="Z262:Z266" si="282">+(P262+Y262)</f>
        <v>21460852.418511327</v>
      </c>
      <c r="AA262" s="26">
        <f>+Z262/'Fisico ASIG'!N262/24</f>
        <v>88.82098908793192</v>
      </c>
      <c r="AB262" s="26">
        <f>+$AB$21*0.9*Precios!$P$14/0.61/Precios!$Q$14</f>
        <v>11.485986250661025</v>
      </c>
      <c r="AC262" s="29">
        <f t="shared" ref="AC262:AC266" si="283">+AA262-AB262</f>
        <v>77.335002837270892</v>
      </c>
      <c r="AI262" s="1">
        <v>7241</v>
      </c>
      <c r="AJ262" s="1">
        <v>5762594</v>
      </c>
      <c r="AK262">
        <f t="shared" si="195"/>
        <v>1.44</v>
      </c>
      <c r="AL262" s="40">
        <f t="shared" si="196"/>
        <v>8140.0083333333323</v>
      </c>
      <c r="AM262">
        <v>4100000</v>
      </c>
      <c r="AN262" s="17">
        <v>111.12914418006555</v>
      </c>
      <c r="AO262" s="64">
        <f t="shared" si="276"/>
        <v>7.0962172321544248</v>
      </c>
      <c r="AP262">
        <v>0</v>
      </c>
      <c r="AQ262" s="1">
        <v>0.85</v>
      </c>
    </row>
    <row r="263" spans="1:43" hidden="1" x14ac:dyDescent="0.3">
      <c r="A263" s="3">
        <v>1410.2904000000001</v>
      </c>
      <c r="B263" s="42">
        <v>1399.4749999999999</v>
      </c>
      <c r="C263" s="53">
        <v>2026</v>
      </c>
      <c r="D263" s="52">
        <f>+'Fisico ASIG'!B263</f>
        <v>46143</v>
      </c>
      <c r="E263" s="1">
        <v>31</v>
      </c>
      <c r="F263" s="56" t="str">
        <f t="shared" si="219"/>
        <v>mié</v>
      </c>
      <c r="G263" s="56">
        <f t="shared" si="226"/>
        <v>46169</v>
      </c>
      <c r="H263" s="17">
        <v>28</v>
      </c>
      <c r="I263" s="17">
        <f t="shared" si="277"/>
        <v>5.134403524267058</v>
      </c>
      <c r="J263" s="17">
        <f t="shared" si="278"/>
        <v>5.7718667966068065</v>
      </c>
      <c r="K263" s="83">
        <f t="shared" si="181"/>
        <v>6.8583333333333334</v>
      </c>
      <c r="L263" s="17">
        <v>27</v>
      </c>
      <c r="M263" s="17">
        <v>71.5</v>
      </c>
      <c r="N263" s="17">
        <f t="shared" si="279"/>
        <v>141.82710569918885</v>
      </c>
      <c r="O263" s="17">
        <v>161.93083337059034</v>
      </c>
      <c r="P263" s="18">
        <f>SUMPRODUCT(H263:O263,'Fisico ASIG'!F263:M263)*24</f>
        <v>17578613.378743041</v>
      </c>
      <c r="Q263" s="43">
        <v>0</v>
      </c>
      <c r="R263" s="43">
        <f t="shared" si="280"/>
        <v>5883.9905313118479</v>
      </c>
      <c r="S263" s="43">
        <f t="shared" si="281"/>
        <v>2907.2026584028367</v>
      </c>
      <c r="T263" s="43">
        <f t="shared" si="218"/>
        <v>1795.6376259798433</v>
      </c>
      <c r="U263" s="43">
        <v>18000</v>
      </c>
      <c r="V263" s="20">
        <v>0</v>
      </c>
      <c r="W263" s="20">
        <v>21900</v>
      </c>
      <c r="X263" s="20">
        <v>0</v>
      </c>
      <c r="Y263" s="18">
        <f>SUMPRODUCT(Q263:X263,'Fisico ASIG'!O263:V263)/E263</f>
        <v>5104680.6365637472</v>
      </c>
      <c r="Z263" s="25">
        <f t="shared" si="282"/>
        <v>22683294.015306789</v>
      </c>
      <c r="AA263" s="26">
        <f>+Z263/'Fisico ASIG'!N263/24</f>
        <v>92.004024150667476</v>
      </c>
      <c r="AB263" s="26">
        <f>+$AB$21*0.9*Precios!$P$14/0.61/Precios!$Q$14</f>
        <v>11.485986250661025</v>
      </c>
      <c r="AC263" s="29">
        <f t="shared" si="283"/>
        <v>80.518037900006448</v>
      </c>
      <c r="AI263" s="1">
        <v>7241</v>
      </c>
      <c r="AJ263" s="1">
        <v>5762594</v>
      </c>
      <c r="AK263">
        <f t="shared" si="195"/>
        <v>1.44</v>
      </c>
      <c r="AL263" s="40">
        <f t="shared" si="196"/>
        <v>8140.0083333333323</v>
      </c>
      <c r="AM263">
        <v>4100000</v>
      </c>
      <c r="AN263" s="17">
        <v>132.44225358237833</v>
      </c>
      <c r="AO263" s="64">
        <f t="shared" si="276"/>
        <v>8.5348521168105371</v>
      </c>
      <c r="AP263">
        <v>0</v>
      </c>
      <c r="AQ263" s="1">
        <v>0.85</v>
      </c>
    </row>
    <row r="264" spans="1:43" hidden="1" x14ac:dyDescent="0.3">
      <c r="A264" s="3">
        <v>1410.2904000000001</v>
      </c>
      <c r="B264" s="42">
        <v>1399.4749999999999</v>
      </c>
      <c r="C264" s="53">
        <v>2026</v>
      </c>
      <c r="D264" s="52">
        <f>+'Fisico ASIG'!B264</f>
        <v>46143</v>
      </c>
      <c r="E264" s="1">
        <v>31</v>
      </c>
      <c r="F264" s="56" t="str">
        <f t="shared" si="219"/>
        <v>jue</v>
      </c>
      <c r="G264" s="56">
        <f t="shared" si="226"/>
        <v>46170</v>
      </c>
      <c r="H264" s="17">
        <v>28</v>
      </c>
      <c r="I264" s="17">
        <f t="shared" si="277"/>
        <v>5.134403524267058</v>
      </c>
      <c r="J264" s="17">
        <f t="shared" si="278"/>
        <v>5.7718667966068065</v>
      </c>
      <c r="K264" s="83">
        <f t="shared" si="181"/>
        <v>6.8583333333333334</v>
      </c>
      <c r="L264" s="17">
        <v>27</v>
      </c>
      <c r="M264" s="17">
        <v>71.5</v>
      </c>
      <c r="N264" s="17">
        <f t="shared" si="279"/>
        <v>143.23735785978081</v>
      </c>
      <c r="O264" s="17">
        <v>161.90578278954749</v>
      </c>
      <c r="P264" s="18">
        <f>SUMPRODUCT(H264:O264,'Fisico ASIG'!F264:M264)*24</f>
        <v>17816082.925857656</v>
      </c>
      <c r="Q264" s="43">
        <v>0</v>
      </c>
      <c r="R264" s="43">
        <f t="shared" si="280"/>
        <v>5883.9905313118479</v>
      </c>
      <c r="S264" s="43">
        <f t="shared" si="281"/>
        <v>2907.2026584028367</v>
      </c>
      <c r="T264" s="43">
        <f t="shared" si="218"/>
        <v>1795.6376259798433</v>
      </c>
      <c r="U264" s="43">
        <v>18000</v>
      </c>
      <c r="V264" s="20">
        <v>0</v>
      </c>
      <c r="W264" s="20">
        <v>21900</v>
      </c>
      <c r="X264" s="20">
        <v>0</v>
      </c>
      <c r="Y264" s="18">
        <f>SUMPRODUCT(Q264:X264,'Fisico ASIG'!O264:V264)/E264</f>
        <v>5369143.5375766298</v>
      </c>
      <c r="Z264" s="25">
        <f t="shared" si="282"/>
        <v>23185226.463434286</v>
      </c>
      <c r="AA264" s="26">
        <f>+Z264/'Fisico ASIG'!N264/24</f>
        <v>95.791095297735168</v>
      </c>
      <c r="AB264" s="26">
        <f>+$AB$21*0.9*Precios!$P$14/0.61/Precios!$Q$14</f>
        <v>11.485986250661025</v>
      </c>
      <c r="AC264" s="29">
        <f t="shared" si="283"/>
        <v>84.30510904707414</v>
      </c>
      <c r="AI264" s="1">
        <v>7241</v>
      </c>
      <c r="AJ264" s="1">
        <v>5762594</v>
      </c>
      <c r="AK264">
        <f t="shared" si="195"/>
        <v>1.44</v>
      </c>
      <c r="AL264" s="40">
        <f t="shared" si="196"/>
        <v>8140.0083333333323</v>
      </c>
      <c r="AM264">
        <v>4100000</v>
      </c>
      <c r="AN264" s="17">
        <v>133.76333288972441</v>
      </c>
      <c r="AO264" s="64">
        <f t="shared" si="276"/>
        <v>8.6240249700563982</v>
      </c>
      <c r="AP264">
        <v>0</v>
      </c>
      <c r="AQ264" s="1">
        <v>0.85</v>
      </c>
    </row>
    <row r="265" spans="1:43" hidden="1" x14ac:dyDescent="0.3">
      <c r="A265" s="3">
        <v>1410.2904000000001</v>
      </c>
      <c r="B265" s="42">
        <v>1399.4749999999999</v>
      </c>
      <c r="C265" s="53">
        <v>2026</v>
      </c>
      <c r="D265" s="52">
        <f>+'Fisico ASIG'!B265</f>
        <v>46143</v>
      </c>
      <c r="E265" s="1">
        <v>31</v>
      </c>
      <c r="F265" s="56" t="str">
        <f t="shared" si="219"/>
        <v>vie</v>
      </c>
      <c r="G265" s="56">
        <f t="shared" si="226"/>
        <v>46171</v>
      </c>
      <c r="H265" s="17">
        <v>28</v>
      </c>
      <c r="I265" s="17">
        <f t="shared" si="277"/>
        <v>5.134403524267058</v>
      </c>
      <c r="J265" s="17">
        <f t="shared" si="278"/>
        <v>5.7718667966068065</v>
      </c>
      <c r="K265" s="83">
        <f t="shared" si="181"/>
        <v>6.8583333333333334</v>
      </c>
      <c r="L265" s="17">
        <v>27</v>
      </c>
      <c r="M265" s="17">
        <v>71.5</v>
      </c>
      <c r="N265" s="17">
        <f t="shared" si="279"/>
        <v>125.37224180028254</v>
      </c>
      <c r="O265" s="17">
        <v>162.38645994844902</v>
      </c>
      <c r="P265" s="18">
        <f>SUMPRODUCT(H265:O265,'Fisico ASIG'!F265:M265)*24</f>
        <v>16599756.724122606</v>
      </c>
      <c r="Q265" s="43">
        <v>0</v>
      </c>
      <c r="R265" s="43">
        <f t="shared" si="280"/>
        <v>5883.9905313118479</v>
      </c>
      <c r="S265" s="43">
        <f t="shared" si="281"/>
        <v>2907.2026584028367</v>
      </c>
      <c r="T265" s="43">
        <f t="shared" si="218"/>
        <v>1795.6376259798433</v>
      </c>
      <c r="U265" s="43">
        <v>18000</v>
      </c>
      <c r="V265" s="20">
        <v>0</v>
      </c>
      <c r="W265" s="20">
        <v>21900</v>
      </c>
      <c r="X265" s="20">
        <v>0</v>
      </c>
      <c r="Y265" s="18">
        <f>SUMPRODUCT(Q265:X265,'Fisico ASIG'!O265:V265)/E265</f>
        <v>5463619.9184357049</v>
      </c>
      <c r="Z265" s="25">
        <f t="shared" si="282"/>
        <v>22063376.64255831</v>
      </c>
      <c r="AA265" s="26">
        <f>+Z265/'Fisico ASIG'!N265/24</f>
        <v>91.600441231325192</v>
      </c>
      <c r="AB265" s="26">
        <f>+$AB$21*0.9*Precios!$P$14/0.61/Precios!$Q$14</f>
        <v>11.485986250661025</v>
      </c>
      <c r="AC265" s="29">
        <f t="shared" si="283"/>
        <v>80.114454980664163</v>
      </c>
      <c r="AI265" s="1">
        <v>7241</v>
      </c>
      <c r="AJ265" s="1">
        <v>5762594</v>
      </c>
      <c r="AK265">
        <f t="shared" si="195"/>
        <v>1.44</v>
      </c>
      <c r="AL265" s="40">
        <f t="shared" si="196"/>
        <v>8140.0083333333323</v>
      </c>
      <c r="AM265">
        <v>4100000</v>
      </c>
      <c r="AN265" s="17">
        <v>117.02786117122487</v>
      </c>
      <c r="AO265" s="64">
        <f t="shared" si="276"/>
        <v>7.4943806290576793</v>
      </c>
      <c r="AP265">
        <v>0</v>
      </c>
      <c r="AQ265" s="1">
        <v>0.85</v>
      </c>
    </row>
    <row r="266" spans="1:43" hidden="1" x14ac:dyDescent="0.3">
      <c r="A266" s="3">
        <v>1410.2904000000001</v>
      </c>
      <c r="B266" s="42">
        <v>1399.4749999999999</v>
      </c>
      <c r="C266" s="53">
        <v>2026</v>
      </c>
      <c r="D266" s="52">
        <f>+'Fisico ASIG'!B266</f>
        <v>46143</v>
      </c>
      <c r="E266" s="1">
        <v>31</v>
      </c>
      <c r="F266" s="56" t="str">
        <f t="shared" si="219"/>
        <v>sáb</v>
      </c>
      <c r="G266" s="56">
        <f t="shared" si="226"/>
        <v>46172</v>
      </c>
      <c r="H266" s="17">
        <v>28</v>
      </c>
      <c r="I266" s="17">
        <f t="shared" si="277"/>
        <v>5.134403524267058</v>
      </c>
      <c r="J266" s="17">
        <f t="shared" si="278"/>
        <v>5.7718667966068065</v>
      </c>
      <c r="K266" s="83">
        <f t="shared" si="181"/>
        <v>6.8583333333333334</v>
      </c>
      <c r="L266" s="17">
        <v>27</v>
      </c>
      <c r="M266" s="17">
        <v>71.5</v>
      </c>
      <c r="N266" s="17">
        <f t="shared" si="279"/>
        <v>120.90234533371805</v>
      </c>
      <c r="O266" s="17">
        <v>162.63834255666498</v>
      </c>
      <c r="P266" s="18">
        <f>SUMPRODUCT(H266:O266,'Fisico ASIG'!F266:M266)*24</f>
        <v>15013426.268728413</v>
      </c>
      <c r="Q266" s="43">
        <v>0</v>
      </c>
      <c r="R266" s="43">
        <f t="shared" si="280"/>
        <v>5883.9905313118479</v>
      </c>
      <c r="S266" s="43">
        <f t="shared" si="281"/>
        <v>2907.2026584028367</v>
      </c>
      <c r="T266" s="43">
        <f t="shared" si="218"/>
        <v>1795.6376259798433</v>
      </c>
      <c r="U266" s="43">
        <v>18000</v>
      </c>
      <c r="V266" s="20">
        <v>0</v>
      </c>
      <c r="W266" s="20">
        <v>21900</v>
      </c>
      <c r="X266" s="20">
        <v>0</v>
      </c>
      <c r="Y266" s="18">
        <f>SUMPRODUCT(Q266:X266,'Fisico ASIG'!O266:V266)/E266</f>
        <v>5519287.0111745698</v>
      </c>
      <c r="Z266" s="25">
        <f t="shared" si="282"/>
        <v>20532713.279902983</v>
      </c>
      <c r="AA266" s="26">
        <f>+Z266/'Fisico ASIG'!N266/24</f>
        <v>92.993491700308809</v>
      </c>
      <c r="AB266" s="26">
        <f>+$AB$21*0.9*Precios!$P$14/0.61/Precios!$Q$14</f>
        <v>11.485986250661025</v>
      </c>
      <c r="AC266" s="29">
        <f t="shared" si="283"/>
        <v>81.50750544964778</v>
      </c>
      <c r="AI266" s="1">
        <v>7241</v>
      </c>
      <c r="AJ266" s="1">
        <v>5762594</v>
      </c>
      <c r="AK266">
        <f t="shared" si="195"/>
        <v>1.44</v>
      </c>
      <c r="AL266" s="40">
        <f t="shared" si="196"/>
        <v>8140.0083333333323</v>
      </c>
      <c r="AM266">
        <v>4100000</v>
      </c>
      <c r="AN266" s="17">
        <v>112.84060452807311</v>
      </c>
      <c r="AO266" s="64">
        <f t="shared" si="276"/>
        <v>7.2117408056449355</v>
      </c>
      <c r="AP266">
        <v>0</v>
      </c>
      <c r="AQ266" s="1">
        <v>0.85</v>
      </c>
    </row>
    <row r="267" spans="1:43" hidden="1" x14ac:dyDescent="0.3">
      <c r="A267" s="3">
        <v>1410.2904000000001</v>
      </c>
      <c r="B267" s="42">
        <v>1399.4749999999999</v>
      </c>
      <c r="C267" s="53">
        <v>2026</v>
      </c>
      <c r="D267" s="52">
        <f>+'Fisico ASIG'!B267</f>
        <v>46143</v>
      </c>
      <c r="E267" s="1">
        <v>31</v>
      </c>
      <c r="F267" s="56" t="str">
        <f t="shared" si="219"/>
        <v>dom</v>
      </c>
      <c r="G267" s="56">
        <f t="shared" si="226"/>
        <v>46173</v>
      </c>
      <c r="H267" s="17">
        <v>28</v>
      </c>
      <c r="I267" s="17">
        <f t="shared" ref="I267:I274" si="284">AI267/A267</f>
        <v>5.134403524267058</v>
      </c>
      <c r="J267" s="17">
        <f t="shared" ref="J267:J274" si="285">+AL267/A267</f>
        <v>5.7718667966068065</v>
      </c>
      <c r="K267" s="83">
        <f t="shared" si="181"/>
        <v>6.8583333333333334</v>
      </c>
      <c r="L267" s="17">
        <v>27</v>
      </c>
      <c r="M267" s="17">
        <v>71.5</v>
      </c>
      <c r="N267" s="17">
        <f t="shared" ref="N267:N274" si="286">+AN267+AO267+AP267+AQ267</f>
        <v>120.90234533371805</v>
      </c>
      <c r="O267" s="17">
        <v>162.86435561785626</v>
      </c>
      <c r="P267" s="18">
        <f>SUMPRODUCT(H267:O267,'Fisico ASIG'!F267:M267)*24</f>
        <v>14617199.539847892</v>
      </c>
      <c r="Q267" s="43">
        <v>0</v>
      </c>
      <c r="R267" s="43">
        <f t="shared" ref="R267:R274" si="287">+AJ267*AK267/A267</f>
        <v>5883.9905313118479</v>
      </c>
      <c r="S267" s="43">
        <f t="shared" ref="S267:S274" si="288">+AM267/A267</f>
        <v>2907.2026584028367</v>
      </c>
      <c r="T267" s="43">
        <f t="shared" si="218"/>
        <v>1795.6376259798433</v>
      </c>
      <c r="U267" s="43">
        <v>18000</v>
      </c>
      <c r="V267" s="20">
        <v>0</v>
      </c>
      <c r="W267" s="20">
        <v>21900</v>
      </c>
      <c r="X267" s="20">
        <v>0</v>
      </c>
      <c r="Y267" s="18">
        <f>SUMPRODUCT(Q267:X267,'Fisico ASIG'!O267:V267)/E267</f>
        <v>5532101.8546555638</v>
      </c>
      <c r="Z267" s="25">
        <f t="shared" ref="Z267:Z274" si="289">+(P267+Y267)</f>
        <v>20149301.394503456</v>
      </c>
      <c r="AA267" s="26">
        <f>+Z267/'Fisico ASIG'!N267/24</f>
        <v>98.316341583976865</v>
      </c>
      <c r="AB267" s="26">
        <f>+$AB$21*0.9*Precios!$P$14/0.61/Precios!$Q$14</f>
        <v>11.485986250661025</v>
      </c>
      <c r="AC267" s="29">
        <f t="shared" ref="AC267:AC274" si="290">+AA267-AB267</f>
        <v>86.830355333315836</v>
      </c>
      <c r="AI267" s="1">
        <v>7241</v>
      </c>
      <c r="AJ267" s="1">
        <v>5762594</v>
      </c>
      <c r="AK267">
        <f t="shared" si="195"/>
        <v>1.44</v>
      </c>
      <c r="AL267" s="40">
        <f t="shared" si="196"/>
        <v>8140.0083333333323</v>
      </c>
      <c r="AM267">
        <v>4100000</v>
      </c>
      <c r="AN267" s="17">
        <v>112.84060452807311</v>
      </c>
      <c r="AO267" s="64">
        <f t="shared" ref="AO267:AO274" si="291">0.075*0.9*(AN267-6)</f>
        <v>7.2117408056449355</v>
      </c>
      <c r="AP267">
        <v>0</v>
      </c>
      <c r="AQ267" s="1">
        <v>0.85</v>
      </c>
    </row>
    <row r="268" spans="1:43" hidden="1" x14ac:dyDescent="0.3">
      <c r="A268" s="3">
        <v>1483.0198</v>
      </c>
      <c r="B268" s="42">
        <v>1407.8889999999999</v>
      </c>
      <c r="C268" s="53">
        <v>2026</v>
      </c>
      <c r="D268" s="52">
        <f>+'Fisico ASIG'!B268</f>
        <v>46174</v>
      </c>
      <c r="E268" s="1">
        <v>30</v>
      </c>
      <c r="F268" s="56" t="str">
        <f t="shared" si="219"/>
        <v>lun</v>
      </c>
      <c r="G268" s="56">
        <f t="shared" si="226"/>
        <v>46174</v>
      </c>
      <c r="H268" s="17">
        <v>28</v>
      </c>
      <c r="I268" s="17">
        <f t="shared" si="284"/>
        <v>4.8826050737825613</v>
      </c>
      <c r="J268" s="17">
        <f t="shared" si="285"/>
        <v>5.4888062407078664</v>
      </c>
      <c r="K268" s="83">
        <f t="shared" si="181"/>
        <v>6.8583333333333334</v>
      </c>
      <c r="L268" s="17">
        <v>27</v>
      </c>
      <c r="M268" s="17">
        <v>71.5</v>
      </c>
      <c r="N268" s="17">
        <f t="shared" si="286"/>
        <v>120.8067851303729</v>
      </c>
      <c r="O268" s="17">
        <v>151.88856033023021</v>
      </c>
      <c r="P268" s="18">
        <f>SUMPRODUCT(H268:O268,'Fisico ASIG'!F268:M268)*24</f>
        <v>15713967.552825052</v>
      </c>
      <c r="Q268" s="43">
        <v>0</v>
      </c>
      <c r="R268" s="43">
        <f t="shared" si="287"/>
        <v>5595.4312680113908</v>
      </c>
      <c r="S268" s="43">
        <f t="shared" si="288"/>
        <v>2764.6293056909963</v>
      </c>
      <c r="T268" s="43">
        <f t="shared" si="218"/>
        <v>1795.6376259798433</v>
      </c>
      <c r="U268" s="43">
        <v>18000</v>
      </c>
      <c r="V268" s="20">
        <v>0</v>
      </c>
      <c r="W268" s="20">
        <v>21900</v>
      </c>
      <c r="X268" s="20">
        <v>0</v>
      </c>
      <c r="Y268" s="18">
        <f>SUMPRODUCT(Q268:X268,'Fisico ASIG'!O268:V268)/E268</f>
        <v>5722476.1155762831</v>
      </c>
      <c r="Z268" s="25">
        <f t="shared" si="289"/>
        <v>21436443.668401334</v>
      </c>
      <c r="AA268" s="26">
        <f>+Z268/'Fisico ASIG'!N268/24</f>
        <v>96.105461341191798</v>
      </c>
      <c r="AB268" s="26">
        <f>+$AB$21*1.1*Precios!$P$15/0.61/Precios!$Q$15</f>
        <v>15.147540983606559</v>
      </c>
      <c r="AC268" s="29">
        <f t="shared" si="290"/>
        <v>80.957920357585238</v>
      </c>
      <c r="AI268" s="1">
        <v>7241</v>
      </c>
      <c r="AJ268" s="1">
        <v>5762594</v>
      </c>
      <c r="AK268">
        <f t="shared" si="195"/>
        <v>1.44</v>
      </c>
      <c r="AL268" s="40">
        <f t="shared" si="196"/>
        <v>8140.0083333333323</v>
      </c>
      <c r="AM268">
        <v>4100000</v>
      </c>
      <c r="AN268" s="117">
        <v>112.75108677318305</v>
      </c>
      <c r="AO268" s="64">
        <f t="shared" si="291"/>
        <v>7.2056983571898563</v>
      </c>
      <c r="AP268">
        <v>0</v>
      </c>
      <c r="AQ268" s="1">
        <v>0.85</v>
      </c>
    </row>
    <row r="269" spans="1:43" hidden="1" x14ac:dyDescent="0.3">
      <c r="A269" s="3">
        <v>1483.0198</v>
      </c>
      <c r="B269" s="42">
        <v>1407.8889999999999</v>
      </c>
      <c r="C269" s="53">
        <v>2026</v>
      </c>
      <c r="D269" s="52">
        <f>+'Fisico ASIG'!B269</f>
        <v>46174</v>
      </c>
      <c r="E269" s="1">
        <v>30</v>
      </c>
      <c r="F269" s="56" t="str">
        <f t="shared" si="219"/>
        <v>mar</v>
      </c>
      <c r="G269" s="56">
        <f t="shared" si="226"/>
        <v>46175</v>
      </c>
      <c r="H269" s="17">
        <v>28</v>
      </c>
      <c r="I269" s="17">
        <f t="shared" si="284"/>
        <v>4.8826050737825613</v>
      </c>
      <c r="J269" s="17">
        <f t="shared" si="285"/>
        <v>5.4888062407078664</v>
      </c>
      <c r="K269" s="83">
        <f t="shared" si="181"/>
        <v>6.8583333333333334</v>
      </c>
      <c r="L269" s="17">
        <v>27</v>
      </c>
      <c r="M269" s="17">
        <v>71.5</v>
      </c>
      <c r="N269" s="17">
        <f t="shared" si="286"/>
        <v>108.03912804426676</v>
      </c>
      <c r="O269" s="17">
        <v>165.63930147082914</v>
      </c>
      <c r="P269" s="18">
        <f>SUMPRODUCT(H269:O269,'Fisico ASIG'!F269:M269)*24</f>
        <v>16333133.792038098</v>
      </c>
      <c r="Q269" s="43">
        <v>0</v>
      </c>
      <c r="R269" s="43">
        <f t="shared" si="287"/>
        <v>5595.4312680113908</v>
      </c>
      <c r="S269" s="43">
        <f t="shared" si="288"/>
        <v>2764.6293056909963</v>
      </c>
      <c r="T269" s="43">
        <f t="shared" si="218"/>
        <v>1795.6376259798433</v>
      </c>
      <c r="U269" s="43">
        <v>18000</v>
      </c>
      <c r="V269" s="20">
        <v>0</v>
      </c>
      <c r="W269" s="20">
        <v>21900</v>
      </c>
      <c r="X269" s="20">
        <v>0</v>
      </c>
      <c r="Y269" s="18">
        <f>SUMPRODUCT(Q269:X269,'Fisico ASIG'!O269:V269)/E269</f>
        <v>5697163.6815352729</v>
      </c>
      <c r="Z269" s="25">
        <f t="shared" si="289"/>
        <v>22030297.473573372</v>
      </c>
      <c r="AA269" s="26">
        <f>+Z269/'Fisico ASIG'!N269/24</f>
        <v>98.122447087932684</v>
      </c>
      <c r="AB269" s="26">
        <f>+$AB$21*1.1*Precios!$P$15/0.61/Precios!$Q$15</f>
        <v>15.147540983606559</v>
      </c>
      <c r="AC269" s="29">
        <f t="shared" si="290"/>
        <v>82.974906104326124</v>
      </c>
      <c r="AI269" s="1">
        <v>7241</v>
      </c>
      <c r="AJ269" s="1">
        <v>5762594</v>
      </c>
      <c r="AK269">
        <f t="shared" si="195"/>
        <v>1.44</v>
      </c>
      <c r="AL269" s="40">
        <f t="shared" si="196"/>
        <v>8140.0083333333323</v>
      </c>
      <c r="AM269">
        <v>4100000</v>
      </c>
      <c r="AN269" s="117">
        <v>100.79075226629205</v>
      </c>
      <c r="AO269" s="64">
        <f t="shared" si="291"/>
        <v>6.3983757779747137</v>
      </c>
      <c r="AP269">
        <v>0</v>
      </c>
      <c r="AQ269" s="1">
        <v>0.85</v>
      </c>
    </row>
    <row r="270" spans="1:43" hidden="1" x14ac:dyDescent="0.3">
      <c r="A270" s="3">
        <v>1483.0198</v>
      </c>
      <c r="B270" s="42">
        <v>1407.8889999999999</v>
      </c>
      <c r="C270" s="53">
        <v>2026</v>
      </c>
      <c r="D270" s="52">
        <f>+'Fisico ASIG'!B270</f>
        <v>46174</v>
      </c>
      <c r="E270" s="1">
        <v>30</v>
      </c>
      <c r="F270" s="56" t="str">
        <f t="shared" si="219"/>
        <v>mié</v>
      </c>
      <c r="G270" s="56">
        <f t="shared" si="226"/>
        <v>46176</v>
      </c>
      <c r="H270" s="17">
        <v>28</v>
      </c>
      <c r="I270" s="17">
        <f t="shared" si="284"/>
        <v>4.8826050737825613</v>
      </c>
      <c r="J270" s="17">
        <f t="shared" si="285"/>
        <v>5.4888062407078664</v>
      </c>
      <c r="K270" s="83">
        <f t="shared" si="181"/>
        <v>6.8583333333333334</v>
      </c>
      <c r="L270" s="17">
        <v>27</v>
      </c>
      <c r="M270" s="17">
        <v>71.5</v>
      </c>
      <c r="N270" s="17">
        <f t="shared" si="286"/>
        <v>85.507155004416603</v>
      </c>
      <c r="O270" s="17">
        <v>170.50352601165162</v>
      </c>
      <c r="P270" s="18">
        <f>SUMPRODUCT(H270:O270,'Fisico ASIG'!F270:M270)*24</f>
        <v>14342072.835995184</v>
      </c>
      <c r="Q270" s="43">
        <v>0</v>
      </c>
      <c r="R270" s="43">
        <f t="shared" si="287"/>
        <v>5595.4312680113908</v>
      </c>
      <c r="S270" s="43">
        <f t="shared" si="288"/>
        <v>2764.6293056909963</v>
      </c>
      <c r="T270" s="43">
        <f t="shared" si="218"/>
        <v>1795.6376259798433</v>
      </c>
      <c r="U270" s="43">
        <v>18000</v>
      </c>
      <c r="V270" s="20">
        <v>0</v>
      </c>
      <c r="W270" s="20">
        <v>21900</v>
      </c>
      <c r="X270" s="20">
        <v>0</v>
      </c>
      <c r="Y270" s="18">
        <f>SUMPRODUCT(Q270:X270,'Fisico ASIG'!O270:V270)/E270</f>
        <v>5780767.994130699</v>
      </c>
      <c r="Z270" s="25">
        <f t="shared" si="289"/>
        <v>20122840.830125883</v>
      </c>
      <c r="AA270" s="26">
        <f>+Z270/'Fisico ASIG'!N270/24</f>
        <v>92.661372302459597</v>
      </c>
      <c r="AB270" s="26">
        <f>+$AB$21*1.1*Precios!$P$15/0.61/Precios!$Q$15</f>
        <v>15.147540983606559</v>
      </c>
      <c r="AC270" s="29">
        <f t="shared" si="290"/>
        <v>77.513831318853036</v>
      </c>
      <c r="AI270" s="1">
        <v>7241</v>
      </c>
      <c r="AJ270" s="1">
        <v>5762594</v>
      </c>
      <c r="AK270">
        <f t="shared" si="195"/>
        <v>1.44</v>
      </c>
      <c r="AL270" s="40">
        <f t="shared" si="196"/>
        <v>8140.0083333333323</v>
      </c>
      <c r="AM270">
        <v>4100000</v>
      </c>
      <c r="AN270" s="117">
        <v>79.683517568540154</v>
      </c>
      <c r="AO270" s="64">
        <f t="shared" si="291"/>
        <v>4.9736374358764603</v>
      </c>
      <c r="AP270">
        <v>0</v>
      </c>
      <c r="AQ270" s="1">
        <v>0.85</v>
      </c>
    </row>
    <row r="271" spans="1:43" hidden="1" x14ac:dyDescent="0.3">
      <c r="A271" s="3">
        <v>1483.0198</v>
      </c>
      <c r="B271" s="42">
        <v>1407.8889999999999</v>
      </c>
      <c r="C271" s="53">
        <v>2026</v>
      </c>
      <c r="D271" s="52">
        <f>+'Fisico ASIG'!B271</f>
        <v>46174</v>
      </c>
      <c r="E271" s="1">
        <v>30</v>
      </c>
      <c r="F271" s="56" t="str">
        <f t="shared" si="219"/>
        <v>jue</v>
      </c>
      <c r="G271" s="56">
        <f t="shared" si="226"/>
        <v>46177</v>
      </c>
      <c r="H271" s="17">
        <v>28</v>
      </c>
      <c r="I271" s="17">
        <f t="shared" si="284"/>
        <v>4.8826050737825613</v>
      </c>
      <c r="J271" s="17">
        <f t="shared" si="285"/>
        <v>5.4888062407078664</v>
      </c>
      <c r="K271" s="83">
        <f t="shared" si="181"/>
        <v>6.8583333333333334</v>
      </c>
      <c r="L271" s="17">
        <v>27</v>
      </c>
      <c r="M271" s="17">
        <v>71.5</v>
      </c>
      <c r="N271" s="17">
        <f t="shared" si="286"/>
        <v>89.954266046227559</v>
      </c>
      <c r="O271" s="17">
        <v>188.85098030397475</v>
      </c>
      <c r="P271" s="18">
        <f>SUMPRODUCT(H271:O271,'Fisico ASIG'!F271:M271)*24</f>
        <v>14553218.218476372</v>
      </c>
      <c r="Q271" s="43">
        <v>0</v>
      </c>
      <c r="R271" s="43">
        <f t="shared" si="287"/>
        <v>5595.4312680113908</v>
      </c>
      <c r="S271" s="43">
        <f t="shared" si="288"/>
        <v>2764.6293056909963</v>
      </c>
      <c r="T271" s="43">
        <f t="shared" si="218"/>
        <v>1795.6376259798433</v>
      </c>
      <c r="U271" s="43">
        <v>18000</v>
      </c>
      <c r="V271" s="20">
        <v>0</v>
      </c>
      <c r="W271" s="20">
        <v>21900</v>
      </c>
      <c r="X271" s="20">
        <v>0</v>
      </c>
      <c r="Y271" s="18">
        <f>SUMPRODUCT(Q271:X271,'Fisico ASIG'!O271:V271)/E271</f>
        <v>5793887.3756206837</v>
      </c>
      <c r="Z271" s="25">
        <f t="shared" si="289"/>
        <v>20347105.594097055</v>
      </c>
      <c r="AA271" s="26">
        <f>+Z271/'Fisico ASIG'!N271/24</f>
        <v>97.10191790848836</v>
      </c>
      <c r="AB271" s="26">
        <f>+$AB$21*1.1*Precios!$P$15/0.61/Precios!$Q$15</f>
        <v>15.147540983606559</v>
      </c>
      <c r="AC271" s="29">
        <f t="shared" si="290"/>
        <v>81.954376924881799</v>
      </c>
      <c r="AI271" s="1">
        <v>7241</v>
      </c>
      <c r="AJ271" s="1">
        <v>5762594</v>
      </c>
      <c r="AK271">
        <f t="shared" si="195"/>
        <v>1.44</v>
      </c>
      <c r="AL271" s="40">
        <f t="shared" si="196"/>
        <v>8140.0083333333323</v>
      </c>
      <c r="AM271">
        <v>4100000</v>
      </c>
      <c r="AN271" s="117">
        <v>83.849429551501231</v>
      </c>
      <c r="AO271" s="64">
        <f t="shared" si="291"/>
        <v>5.2548364947263337</v>
      </c>
      <c r="AP271">
        <v>0</v>
      </c>
      <c r="AQ271" s="1">
        <v>0.85</v>
      </c>
    </row>
    <row r="272" spans="1:43" hidden="1" x14ac:dyDescent="0.3">
      <c r="A272" s="3">
        <v>1483.0198</v>
      </c>
      <c r="B272" s="42">
        <v>1407.8889999999999</v>
      </c>
      <c r="C272" s="53">
        <v>2026</v>
      </c>
      <c r="D272" s="52">
        <f>+'Fisico ASIG'!B272</f>
        <v>46174</v>
      </c>
      <c r="E272" s="1">
        <v>30</v>
      </c>
      <c r="F272" s="56" t="str">
        <f t="shared" si="219"/>
        <v>vie</v>
      </c>
      <c r="G272" s="56">
        <f t="shared" si="226"/>
        <v>46178</v>
      </c>
      <c r="H272" s="17">
        <v>28</v>
      </c>
      <c r="I272" s="17">
        <f t="shared" si="284"/>
        <v>4.8826050737825613</v>
      </c>
      <c r="J272" s="17">
        <f t="shared" si="285"/>
        <v>5.4888062407078664</v>
      </c>
      <c r="K272" s="83">
        <f t="shared" si="181"/>
        <v>6.8583333333333334</v>
      </c>
      <c r="L272" s="17">
        <v>27</v>
      </c>
      <c r="M272" s="17">
        <v>71.5</v>
      </c>
      <c r="N272" s="17">
        <f t="shared" si="286"/>
        <v>91.695117836256856</v>
      </c>
      <c r="O272" s="17">
        <v>175.2907003941591</v>
      </c>
      <c r="P272" s="18">
        <f>SUMPRODUCT(H272:O272,'Fisico ASIG'!F272:M272)*24</f>
        <v>15271122.204042297</v>
      </c>
      <c r="Q272" s="43">
        <v>0</v>
      </c>
      <c r="R272" s="43">
        <f t="shared" si="287"/>
        <v>5595.4312680113908</v>
      </c>
      <c r="S272" s="43">
        <f t="shared" si="288"/>
        <v>2764.6293056909963</v>
      </c>
      <c r="T272" s="43">
        <f t="shared" si="218"/>
        <v>1795.6376259798433</v>
      </c>
      <c r="U272" s="43">
        <v>18000</v>
      </c>
      <c r="V272" s="20">
        <v>0</v>
      </c>
      <c r="W272" s="20">
        <v>21900</v>
      </c>
      <c r="X272" s="20">
        <v>0</v>
      </c>
      <c r="Y272" s="18">
        <f>SUMPRODUCT(Q272:X272,'Fisico ASIG'!O272:V272)/E272</f>
        <v>5786439.828972945</v>
      </c>
      <c r="Z272" s="25">
        <f t="shared" si="289"/>
        <v>21057562.033015244</v>
      </c>
      <c r="AA272" s="26">
        <f>+Z272/'Fisico ASIG'!N272/24</f>
        <v>102.0239766855842</v>
      </c>
      <c r="AB272" s="26">
        <f>+$AB$21*1.1*Precios!$P$15/0.61/Precios!$Q$15</f>
        <v>15.147540983606559</v>
      </c>
      <c r="AC272" s="29">
        <f t="shared" si="290"/>
        <v>86.876435701977641</v>
      </c>
      <c r="AI272" s="1">
        <v>7241</v>
      </c>
      <c r="AJ272" s="1">
        <v>5762594</v>
      </c>
      <c r="AK272">
        <f t="shared" si="195"/>
        <v>1.44</v>
      </c>
      <c r="AL272" s="40">
        <f t="shared" si="196"/>
        <v>8140.0083333333323</v>
      </c>
      <c r="AM272">
        <v>4100000</v>
      </c>
      <c r="AN272" s="117">
        <v>85.480204062067315</v>
      </c>
      <c r="AO272" s="64">
        <f t="shared" si="291"/>
        <v>5.3649137741895441</v>
      </c>
      <c r="AP272">
        <v>0</v>
      </c>
      <c r="AQ272" s="1">
        <v>0.85</v>
      </c>
    </row>
    <row r="273" spans="1:43" hidden="1" x14ac:dyDescent="0.3">
      <c r="A273" s="3">
        <v>1483.0198</v>
      </c>
      <c r="B273" s="42">
        <v>1407.8889999999999</v>
      </c>
      <c r="C273" s="53">
        <v>2026</v>
      </c>
      <c r="D273" s="52">
        <f>+'Fisico ASIG'!B273</f>
        <v>46174</v>
      </c>
      <c r="E273" s="1">
        <v>30</v>
      </c>
      <c r="F273" s="56" t="str">
        <f t="shared" si="219"/>
        <v>sáb</v>
      </c>
      <c r="G273" s="56">
        <f t="shared" si="226"/>
        <v>46179</v>
      </c>
      <c r="H273" s="17">
        <v>28</v>
      </c>
      <c r="I273" s="17">
        <f t="shared" si="284"/>
        <v>4.8826050737825613</v>
      </c>
      <c r="J273" s="17">
        <f t="shared" si="285"/>
        <v>5.4888062407078664</v>
      </c>
      <c r="K273" s="83">
        <f t="shared" si="181"/>
        <v>6.8583333333333334</v>
      </c>
      <c r="L273" s="17">
        <v>27</v>
      </c>
      <c r="M273" s="17">
        <v>71.5</v>
      </c>
      <c r="N273" s="17">
        <f t="shared" si="286"/>
        <v>86.523739775833576</v>
      </c>
      <c r="O273" s="17">
        <v>167.1302367367658</v>
      </c>
      <c r="P273" s="18">
        <f>SUMPRODUCT(H273:O273,'Fisico ASIG'!F273:M273)*24</f>
        <v>13205852.8607798</v>
      </c>
      <c r="Q273" s="43">
        <v>0</v>
      </c>
      <c r="R273" s="43">
        <f t="shared" si="287"/>
        <v>5595.4312680113908</v>
      </c>
      <c r="S273" s="43">
        <f t="shared" si="288"/>
        <v>2764.6293056909963</v>
      </c>
      <c r="T273" s="43">
        <f t="shared" si="218"/>
        <v>1795.6376259798433</v>
      </c>
      <c r="U273" s="43">
        <v>18000</v>
      </c>
      <c r="V273" s="20">
        <v>0</v>
      </c>
      <c r="W273" s="20">
        <v>21900</v>
      </c>
      <c r="X273" s="20">
        <v>0</v>
      </c>
      <c r="Y273" s="18">
        <f>SUMPRODUCT(Q273:X273,'Fisico ASIG'!O273:V273)/E273</f>
        <v>5726199.7343534809</v>
      </c>
      <c r="Z273" s="25">
        <f t="shared" si="289"/>
        <v>18932052.595133282</v>
      </c>
      <c r="AA273" s="26">
        <f>+Z273/'Fisico ASIG'!N273/24</f>
        <v>102.27361963103783</v>
      </c>
      <c r="AB273" s="26">
        <f>+$AB$21*1.1*Precios!$P$15/0.61/Precios!$Q$15</f>
        <v>15.147540983606559</v>
      </c>
      <c r="AC273" s="29">
        <f t="shared" si="290"/>
        <v>87.126078647431271</v>
      </c>
      <c r="AI273" s="1">
        <v>7241</v>
      </c>
      <c r="AJ273" s="1">
        <v>5762594</v>
      </c>
      <c r="AK273">
        <f t="shared" si="195"/>
        <v>1.44</v>
      </c>
      <c r="AL273" s="40">
        <f t="shared" si="196"/>
        <v>8140.0083333333323</v>
      </c>
      <c r="AM273">
        <v>4100000</v>
      </c>
      <c r="AN273" s="117">
        <v>80.63582180405956</v>
      </c>
      <c r="AO273" s="64">
        <f t="shared" si="291"/>
        <v>5.0379179717740206</v>
      </c>
      <c r="AP273">
        <v>0</v>
      </c>
      <c r="AQ273" s="1">
        <v>0.85</v>
      </c>
    </row>
    <row r="274" spans="1:43" hidden="1" x14ac:dyDescent="0.3">
      <c r="A274" s="3">
        <v>1483.0198</v>
      </c>
      <c r="B274" s="42">
        <v>1407.8889999999999</v>
      </c>
      <c r="C274" s="53">
        <v>2026</v>
      </c>
      <c r="D274" s="52">
        <f>+'Fisico ASIG'!B274</f>
        <v>46174</v>
      </c>
      <c r="E274" s="1">
        <v>30</v>
      </c>
      <c r="F274" s="56" t="str">
        <f t="shared" si="219"/>
        <v>dom</v>
      </c>
      <c r="G274" s="56">
        <f t="shared" si="226"/>
        <v>46180</v>
      </c>
      <c r="H274" s="17">
        <v>28</v>
      </c>
      <c r="I274" s="17">
        <f t="shared" si="284"/>
        <v>4.8826050737825613</v>
      </c>
      <c r="J274" s="17">
        <f t="shared" si="285"/>
        <v>5.4888062407078664</v>
      </c>
      <c r="K274" s="83">
        <f t="shared" si="181"/>
        <v>6.8583333333333334</v>
      </c>
      <c r="L274" s="17">
        <v>27</v>
      </c>
      <c r="M274" s="17">
        <v>71.5</v>
      </c>
      <c r="N274" s="17">
        <f t="shared" si="286"/>
        <v>72.533489234567895</v>
      </c>
      <c r="O274" s="17">
        <v>169.80050796359851</v>
      </c>
      <c r="P274" s="18">
        <f>SUMPRODUCT(H274:O274,'Fisico ASIG'!F274:M274)*24</f>
        <v>11623626.269363936</v>
      </c>
      <c r="Q274" s="43">
        <v>0</v>
      </c>
      <c r="R274" s="43">
        <f t="shared" si="287"/>
        <v>5595.4312680113908</v>
      </c>
      <c r="S274" s="43">
        <f t="shared" si="288"/>
        <v>2764.6293056909963</v>
      </c>
      <c r="T274" s="43">
        <f t="shared" si="218"/>
        <v>1795.6376259798433</v>
      </c>
      <c r="U274" s="43">
        <v>18000</v>
      </c>
      <c r="V274" s="20">
        <v>0</v>
      </c>
      <c r="W274" s="20">
        <v>21900</v>
      </c>
      <c r="X274" s="20">
        <v>0</v>
      </c>
      <c r="Y274" s="18">
        <f>SUMPRODUCT(Q274:X274,'Fisico ASIG'!O274:V274)/E274</f>
        <v>5618969.7838711822</v>
      </c>
      <c r="Z274" s="25">
        <f t="shared" si="289"/>
        <v>17242596.053235117</v>
      </c>
      <c r="AA274" s="26">
        <f>+Z274/'Fisico ASIG'!N274/24</f>
        <v>97.830812628672106</v>
      </c>
      <c r="AB274" s="26">
        <f>+$AB$21*1.1*Precios!$P$15/0.61/Precios!$Q$15</f>
        <v>15.147540983606559</v>
      </c>
      <c r="AC274" s="29">
        <f t="shared" si="290"/>
        <v>82.683271645065545</v>
      </c>
      <c r="AI274" s="1">
        <v>7241</v>
      </c>
      <c r="AJ274" s="1">
        <v>5762594</v>
      </c>
      <c r="AK274">
        <f t="shared" si="195"/>
        <v>1.44</v>
      </c>
      <c r="AL274" s="40">
        <f t="shared" si="196"/>
        <v>8140.0083333333323</v>
      </c>
      <c r="AM274">
        <v>4100000</v>
      </c>
      <c r="AN274" s="117">
        <v>67.53020068811982</v>
      </c>
      <c r="AO274" s="64">
        <f t="shared" si="291"/>
        <v>4.1532885464480884</v>
      </c>
      <c r="AP274">
        <v>0</v>
      </c>
      <c r="AQ274" s="1">
        <v>0.85</v>
      </c>
    </row>
    <row r="275" spans="1:43" hidden="1" x14ac:dyDescent="0.3">
      <c r="A275" s="3">
        <v>1483.0198</v>
      </c>
      <c r="B275" s="42">
        <v>1407.8889999999999</v>
      </c>
      <c r="C275" s="53">
        <v>2026</v>
      </c>
      <c r="D275" s="52">
        <f>+'Fisico ASIG'!B275</f>
        <v>46174</v>
      </c>
      <c r="E275" s="1">
        <v>30</v>
      </c>
      <c r="F275" s="56" t="str">
        <f t="shared" si="219"/>
        <v>lun</v>
      </c>
      <c r="G275" s="56">
        <f t="shared" si="226"/>
        <v>46181</v>
      </c>
      <c r="H275" s="17">
        <v>28</v>
      </c>
      <c r="I275" s="17">
        <f t="shared" ref="I275:I276" si="292">AI275/A275</f>
        <v>4.8826050737825613</v>
      </c>
      <c r="J275" s="17">
        <f t="shared" ref="J275:J276" si="293">+AL275/A275</f>
        <v>5.4888062407078664</v>
      </c>
      <c r="K275" s="83">
        <f t="shared" si="181"/>
        <v>6.8583333333333334</v>
      </c>
      <c r="L275" s="17">
        <v>27</v>
      </c>
      <c r="M275" s="17">
        <v>71.5</v>
      </c>
      <c r="N275" s="17">
        <f t="shared" ref="N275:N276" si="294">+AN275+AO275+AP275+AQ275</f>
        <v>107.46434013427661</v>
      </c>
      <c r="O275" s="17">
        <v>171.56017581844779</v>
      </c>
      <c r="P275" s="18">
        <f>SUMPRODUCT(H275:O275,'Fisico ASIG'!F275:M275)*24</f>
        <v>15391626.307461433</v>
      </c>
      <c r="Q275" s="43">
        <v>0</v>
      </c>
      <c r="R275" s="43">
        <f t="shared" ref="R275:R276" si="295">+AJ275*AK275/A275</f>
        <v>5595.4312680113908</v>
      </c>
      <c r="S275" s="43">
        <f t="shared" ref="S275:S276" si="296">+AM275/A275</f>
        <v>2764.6293056909963</v>
      </c>
      <c r="T275" s="43">
        <f t="shared" si="218"/>
        <v>1795.6376259798433</v>
      </c>
      <c r="U275" s="43">
        <v>18000</v>
      </c>
      <c r="V275" s="20">
        <v>0</v>
      </c>
      <c r="W275" s="20">
        <v>21900</v>
      </c>
      <c r="X275" s="20">
        <v>0</v>
      </c>
      <c r="Y275" s="18">
        <f>SUMPRODUCT(Q275:X275,'Fisico ASIG'!O275:V275)/E275</f>
        <v>5779597.9164149361</v>
      </c>
      <c r="Z275" s="25">
        <f t="shared" ref="Z275:Z276" si="297">+(P275+Y275)</f>
        <v>21171224.223876368</v>
      </c>
      <c r="AA275" s="26">
        <f>+Z275/'Fisico ASIG'!N275/24</f>
        <v>98.189442331227369</v>
      </c>
      <c r="AB275" s="26">
        <f>+$AB$21*1.1*Precios!$P$15/0.61/Precios!$Q$15</f>
        <v>15.147540983606559</v>
      </c>
      <c r="AC275" s="29">
        <f t="shared" ref="AC275:AC276" si="298">+AA275-AB275</f>
        <v>83.041901347620808</v>
      </c>
      <c r="AI275" s="1">
        <v>7241</v>
      </c>
      <c r="AJ275" s="1">
        <v>5762594</v>
      </c>
      <c r="AK275">
        <f t="shared" si="195"/>
        <v>1.44</v>
      </c>
      <c r="AL275" s="40">
        <f t="shared" si="196"/>
        <v>8140.0083333333323</v>
      </c>
      <c r="AM275">
        <v>4100000</v>
      </c>
      <c r="AN275" s="117">
        <v>100.25230925927552</v>
      </c>
      <c r="AO275" s="64">
        <f t="shared" ref="AO275:AO276" si="299">0.075*0.9*(AN275-6)</f>
        <v>6.3620308750010981</v>
      </c>
      <c r="AP275">
        <v>0</v>
      </c>
      <c r="AQ275" s="1">
        <v>0.85</v>
      </c>
    </row>
    <row r="276" spans="1:43" hidden="1" x14ac:dyDescent="0.3">
      <c r="A276" s="3">
        <v>1483.0198</v>
      </c>
      <c r="B276" s="42">
        <v>1407.8889999999999</v>
      </c>
      <c r="C276" s="53">
        <v>2026</v>
      </c>
      <c r="D276" s="52">
        <f>+'Fisico ASIG'!B276</f>
        <v>46174</v>
      </c>
      <c r="E276" s="1">
        <v>30</v>
      </c>
      <c r="F276" s="56" t="str">
        <f t="shared" si="219"/>
        <v>mar</v>
      </c>
      <c r="G276" s="56">
        <f t="shared" si="226"/>
        <v>46182</v>
      </c>
      <c r="H276" s="17">
        <v>28</v>
      </c>
      <c r="I276" s="17">
        <f t="shared" si="292"/>
        <v>4.8826050737825613</v>
      </c>
      <c r="J276" s="17">
        <f t="shared" si="293"/>
        <v>5.4888062407078664</v>
      </c>
      <c r="K276" s="83">
        <f t="shared" si="181"/>
        <v>6.8583333333333334</v>
      </c>
      <c r="L276" s="17">
        <v>27</v>
      </c>
      <c r="M276" s="17">
        <v>71.5</v>
      </c>
      <c r="N276" s="17">
        <f t="shared" si="294"/>
        <v>107.25768388655648</v>
      </c>
      <c r="O276" s="17">
        <v>171.98409690621585</v>
      </c>
      <c r="P276" s="18">
        <f>SUMPRODUCT(H276:O276,'Fisico ASIG'!F276:M276)*24</f>
        <v>15732416.994297907</v>
      </c>
      <c r="Q276" s="43">
        <v>0</v>
      </c>
      <c r="R276" s="43">
        <f t="shared" si="295"/>
        <v>5595.4312680113908</v>
      </c>
      <c r="S276" s="43">
        <f t="shared" si="296"/>
        <v>2764.6293056909963</v>
      </c>
      <c r="T276" s="43">
        <f t="shared" si="218"/>
        <v>1795.6376259798433</v>
      </c>
      <c r="U276" s="43">
        <v>18000</v>
      </c>
      <c r="V276" s="20">
        <v>0</v>
      </c>
      <c r="W276" s="20">
        <v>21900</v>
      </c>
      <c r="X276" s="20">
        <v>0</v>
      </c>
      <c r="Y276" s="18">
        <f>SUMPRODUCT(Q276:X276,'Fisico ASIG'!O276:V276)/E276</f>
        <v>5810159.5430004718</v>
      </c>
      <c r="Z276" s="25">
        <f t="shared" si="297"/>
        <v>21542576.537298378</v>
      </c>
      <c r="AA276" s="26">
        <f>+Z276/'Fisico ASIG'!N276/24</f>
        <v>97.332934523708573</v>
      </c>
      <c r="AB276" s="26">
        <f>+$AB$21*1.1*Precios!$P$15/0.61/Precios!$Q$15</f>
        <v>15.147540983606559</v>
      </c>
      <c r="AC276" s="29">
        <f t="shared" si="298"/>
        <v>82.185393540102012</v>
      </c>
      <c r="AI276" s="1">
        <v>7241</v>
      </c>
      <c r="AJ276" s="1">
        <v>5762594</v>
      </c>
      <c r="AK276">
        <f t="shared" si="195"/>
        <v>1.44</v>
      </c>
      <c r="AL276" s="40">
        <f t="shared" si="196"/>
        <v>8140.0083333333323</v>
      </c>
      <c r="AM276">
        <v>4100000</v>
      </c>
      <c r="AN276" s="117">
        <v>100.05872026843699</v>
      </c>
      <c r="AO276" s="64">
        <f t="shared" si="299"/>
        <v>6.3489636181194973</v>
      </c>
      <c r="AP276">
        <v>0</v>
      </c>
      <c r="AQ276" s="1">
        <v>0.85</v>
      </c>
    </row>
    <row r="277" spans="1:43" hidden="1" x14ac:dyDescent="0.3">
      <c r="A277" s="3">
        <v>1483.0198</v>
      </c>
      <c r="B277" s="42">
        <v>1407.8889999999999</v>
      </c>
      <c r="C277" s="53">
        <v>2026</v>
      </c>
      <c r="D277" s="52">
        <f>+'Fisico ASIG'!B277</f>
        <v>46174</v>
      </c>
      <c r="E277" s="1">
        <v>30</v>
      </c>
      <c r="F277" s="56" t="str">
        <f t="shared" si="219"/>
        <v>mié</v>
      </c>
      <c r="G277" s="56">
        <f t="shared" si="226"/>
        <v>46183</v>
      </c>
      <c r="H277" s="17">
        <v>28</v>
      </c>
      <c r="I277" s="17">
        <f t="shared" ref="I277:I288" si="300">AI277/A277</f>
        <v>4.8826050737825613</v>
      </c>
      <c r="J277" s="17">
        <f t="shared" ref="J277:J288" si="301">+AL277/A277</f>
        <v>5.4888062407078664</v>
      </c>
      <c r="K277" s="83">
        <f t="shared" si="181"/>
        <v>6.8583333333333334</v>
      </c>
      <c r="L277" s="17">
        <v>27</v>
      </c>
      <c r="M277" s="17">
        <v>71.5</v>
      </c>
      <c r="N277" s="17">
        <f t="shared" ref="N277:N288" si="302">+AN277+AO277+AP277+AQ277</f>
        <v>105.31625871369756</v>
      </c>
      <c r="O277" s="17">
        <v>171.6352486394299</v>
      </c>
      <c r="P277" s="18">
        <f>SUMPRODUCT(H277:O277,'Fisico ASIG'!F277:M277)*24</f>
        <v>14553623.951895196</v>
      </c>
      <c r="Q277" s="43">
        <v>0</v>
      </c>
      <c r="R277" s="43">
        <f t="shared" ref="R277:R282" si="303">+AJ277*AK277/A277</f>
        <v>5595.4312680113908</v>
      </c>
      <c r="S277" s="43">
        <f t="shared" ref="S277:S282" si="304">+AM277/A277</f>
        <v>2764.6293056909963</v>
      </c>
      <c r="T277" s="43">
        <f t="shared" si="218"/>
        <v>1795.6376259798433</v>
      </c>
      <c r="U277" s="43">
        <v>18000</v>
      </c>
      <c r="V277" s="20">
        <v>0</v>
      </c>
      <c r="W277" s="20">
        <v>21900</v>
      </c>
      <c r="X277" s="20">
        <v>0</v>
      </c>
      <c r="Y277" s="18">
        <f>SUMPRODUCT(Q277:X277,'Fisico ASIG'!O277:V277)/E277</f>
        <v>5807122.1757895248</v>
      </c>
      <c r="Z277" s="25">
        <f t="shared" ref="Z277:Z282" si="305">+(P277+Y277)</f>
        <v>20360746.12768472</v>
      </c>
      <c r="AA277" s="26">
        <f>+Z277/'Fisico ASIG'!N277/24</f>
        <v>89.168654852696974</v>
      </c>
      <c r="AB277" s="26">
        <f>+$AB$21*1.1*Precios!$P$15/0.61/Precios!$Q$15</f>
        <v>15.147540983606559</v>
      </c>
      <c r="AC277" s="29">
        <f t="shared" ref="AC277:AC282" si="306">+AA277-AB277</f>
        <v>74.021113869090414</v>
      </c>
      <c r="AI277" s="1">
        <v>7241</v>
      </c>
      <c r="AJ277" s="1">
        <v>5762594</v>
      </c>
      <c r="AK277">
        <f t="shared" si="195"/>
        <v>1.44</v>
      </c>
      <c r="AL277" s="40">
        <f t="shared" si="196"/>
        <v>8140.0083333333323</v>
      </c>
      <c r="AM277">
        <v>4100000</v>
      </c>
      <c r="AN277" s="117">
        <v>98.240055001121846</v>
      </c>
      <c r="AO277" s="64">
        <f t="shared" ref="AO277:AO282" si="307">0.075*0.9*(AN277-6)</f>
        <v>6.2262037125757246</v>
      </c>
      <c r="AP277">
        <v>0</v>
      </c>
      <c r="AQ277" s="1">
        <v>0.85</v>
      </c>
    </row>
    <row r="278" spans="1:43" hidden="1" x14ac:dyDescent="0.3">
      <c r="A278" s="3">
        <v>1483.0198</v>
      </c>
      <c r="B278" s="42">
        <v>1407.8889999999999</v>
      </c>
      <c r="C278" s="53">
        <v>2026</v>
      </c>
      <c r="D278" s="52">
        <f>+'Fisico ASIG'!B278</f>
        <v>46174</v>
      </c>
      <c r="E278" s="1">
        <v>30</v>
      </c>
      <c r="F278" s="56" t="str">
        <f t="shared" ref="F278:F341" si="308">+F271</f>
        <v>jue</v>
      </c>
      <c r="G278" s="56">
        <f t="shared" si="226"/>
        <v>46184</v>
      </c>
      <c r="H278" s="17">
        <v>28</v>
      </c>
      <c r="I278" s="17">
        <f t="shared" si="300"/>
        <v>4.8826050737825613</v>
      </c>
      <c r="J278" s="17">
        <f t="shared" si="301"/>
        <v>5.4888062407078664</v>
      </c>
      <c r="K278" s="83">
        <f t="shared" si="181"/>
        <v>6.8583333333333334</v>
      </c>
      <c r="L278" s="17">
        <v>27</v>
      </c>
      <c r="M278" s="17">
        <v>71.5</v>
      </c>
      <c r="N278" s="17">
        <f t="shared" si="302"/>
        <v>101.07386580709715</v>
      </c>
      <c r="O278" s="17">
        <v>159.17725963402049</v>
      </c>
      <c r="P278" s="18">
        <f>SUMPRODUCT(H278:O278,'Fisico ASIG'!F278:M278)*24</f>
        <v>14311720.045659442</v>
      </c>
      <c r="Q278" s="43">
        <v>0</v>
      </c>
      <c r="R278" s="43">
        <f t="shared" si="303"/>
        <v>5595.4312680113908</v>
      </c>
      <c r="S278" s="43">
        <f t="shared" si="304"/>
        <v>2764.6293056909963</v>
      </c>
      <c r="T278" s="43">
        <f t="shared" si="218"/>
        <v>1795.6376259798433</v>
      </c>
      <c r="U278" s="43">
        <v>18000</v>
      </c>
      <c r="V278" s="20">
        <v>0</v>
      </c>
      <c r="W278" s="20">
        <v>21900</v>
      </c>
      <c r="X278" s="20">
        <v>0</v>
      </c>
      <c r="Y278" s="18">
        <f>SUMPRODUCT(Q278:X278,'Fisico ASIG'!O278:V278)/E278</f>
        <v>5793833.7828591466</v>
      </c>
      <c r="Z278" s="25">
        <f t="shared" si="305"/>
        <v>20105553.828518588</v>
      </c>
      <c r="AA278" s="26">
        <f>+Z278/'Fisico ASIG'!N278/24</f>
        <v>91.015579604704158</v>
      </c>
      <c r="AB278" s="26">
        <f>+$AB$21*1.1*Precios!$P$15/0.61/Precios!$Q$15</f>
        <v>15.147540983606559</v>
      </c>
      <c r="AC278" s="29">
        <f t="shared" si="306"/>
        <v>75.868038621097597</v>
      </c>
      <c r="AI278" s="1">
        <v>7241</v>
      </c>
      <c r="AJ278" s="1">
        <v>5762594</v>
      </c>
      <c r="AK278">
        <f t="shared" si="195"/>
        <v>1.44</v>
      </c>
      <c r="AL278" s="40">
        <f t="shared" si="196"/>
        <v>8140.0083333333323</v>
      </c>
      <c r="AM278">
        <v>4100000</v>
      </c>
      <c r="AN278" s="117">
        <v>94.265916446929424</v>
      </c>
      <c r="AO278" s="64">
        <f t="shared" si="307"/>
        <v>5.9579493601677367</v>
      </c>
      <c r="AP278">
        <v>0</v>
      </c>
      <c r="AQ278" s="1">
        <v>0.85</v>
      </c>
    </row>
    <row r="279" spans="1:43" hidden="1" x14ac:dyDescent="0.3">
      <c r="A279" s="3">
        <v>1483.0198</v>
      </c>
      <c r="B279" s="42">
        <v>1407.8889999999999</v>
      </c>
      <c r="C279" s="53">
        <v>2026</v>
      </c>
      <c r="D279" s="52">
        <f>+'Fisico ASIG'!B279</f>
        <v>46174</v>
      </c>
      <c r="E279" s="1">
        <v>30</v>
      </c>
      <c r="F279" s="56" t="str">
        <f t="shared" si="308"/>
        <v>vie</v>
      </c>
      <c r="G279" s="56">
        <f t="shared" ref="G279:G342" si="309">+G278+1</f>
        <v>46185</v>
      </c>
      <c r="H279" s="17">
        <v>28</v>
      </c>
      <c r="I279" s="17">
        <f t="shared" si="300"/>
        <v>4.8826050737825613</v>
      </c>
      <c r="J279" s="17">
        <f t="shared" si="301"/>
        <v>5.4888062407078664</v>
      </c>
      <c r="K279" s="83">
        <f t="shared" si="181"/>
        <v>6.8583333333333334</v>
      </c>
      <c r="L279" s="17">
        <v>27</v>
      </c>
      <c r="M279" s="17">
        <v>71.5</v>
      </c>
      <c r="N279" s="17">
        <f t="shared" si="302"/>
        <v>94.211657129561502</v>
      </c>
      <c r="O279" s="17">
        <v>175.09805916979104</v>
      </c>
      <c r="P279" s="18">
        <f>SUMPRODUCT(H279:O279,'Fisico ASIG'!F279:M279)*24</f>
        <v>15002729.005077168</v>
      </c>
      <c r="Q279" s="43">
        <v>0</v>
      </c>
      <c r="R279" s="43">
        <f t="shared" si="303"/>
        <v>5595.4312680113908</v>
      </c>
      <c r="S279" s="43">
        <f t="shared" si="304"/>
        <v>2764.6293056909963</v>
      </c>
      <c r="T279" s="43">
        <f t="shared" si="218"/>
        <v>1795.6376259798433</v>
      </c>
      <c r="U279" s="43">
        <v>18000</v>
      </c>
      <c r="V279" s="20">
        <v>0</v>
      </c>
      <c r="W279" s="20">
        <v>21900</v>
      </c>
      <c r="X279" s="20">
        <v>0</v>
      </c>
      <c r="Y279" s="18">
        <f>SUMPRODUCT(Q279:X279,'Fisico ASIG'!O279:V279)/E279</f>
        <v>5783087.57543601</v>
      </c>
      <c r="Z279" s="25">
        <f t="shared" si="305"/>
        <v>20785816.580513179</v>
      </c>
      <c r="AA279" s="26">
        <f>+Z279/'Fisico ASIG'!N279/24</f>
        <v>95.177485072766899</v>
      </c>
      <c r="AB279" s="26">
        <f>+$AB$21*1.1*Precios!$P$15/0.61/Precios!$Q$15</f>
        <v>15.147540983606559</v>
      </c>
      <c r="AC279" s="29">
        <f t="shared" si="306"/>
        <v>80.029944089160338</v>
      </c>
      <c r="AI279" s="1">
        <v>7241</v>
      </c>
      <c r="AJ279" s="1">
        <v>5762594</v>
      </c>
      <c r="AK279">
        <f t="shared" si="195"/>
        <v>1.44</v>
      </c>
      <c r="AL279" s="40">
        <f t="shared" si="196"/>
        <v>8140.0083333333323</v>
      </c>
      <c r="AM279">
        <v>4100000</v>
      </c>
      <c r="AN279" s="117">
        <v>87.837617919963947</v>
      </c>
      <c r="AO279" s="64">
        <f t="shared" si="307"/>
        <v>5.524039209597567</v>
      </c>
      <c r="AP279">
        <v>0</v>
      </c>
      <c r="AQ279" s="1">
        <v>0.85</v>
      </c>
    </row>
    <row r="280" spans="1:43" hidden="1" x14ac:dyDescent="0.3">
      <c r="A280" s="3">
        <v>1483.0198</v>
      </c>
      <c r="B280" s="42">
        <v>1407.8889999999999</v>
      </c>
      <c r="C280" s="53">
        <v>2026</v>
      </c>
      <c r="D280" s="52">
        <f>+'Fisico ASIG'!B280</f>
        <v>46174</v>
      </c>
      <c r="E280" s="1">
        <v>30</v>
      </c>
      <c r="F280" s="56" t="str">
        <f t="shared" si="308"/>
        <v>sáb</v>
      </c>
      <c r="G280" s="56">
        <f t="shared" si="309"/>
        <v>46186</v>
      </c>
      <c r="H280" s="17">
        <v>28</v>
      </c>
      <c r="I280" s="17">
        <f t="shared" si="300"/>
        <v>4.8826050737825613</v>
      </c>
      <c r="J280" s="17">
        <f t="shared" si="301"/>
        <v>5.4888062407078664</v>
      </c>
      <c r="K280" s="83">
        <f t="shared" si="181"/>
        <v>6.8583333333333334</v>
      </c>
      <c r="L280" s="17">
        <v>27</v>
      </c>
      <c r="M280" s="17">
        <v>71.5</v>
      </c>
      <c r="N280" s="17">
        <f t="shared" si="302"/>
        <v>96.327287538043379</v>
      </c>
      <c r="O280" s="17">
        <v>168.27773837546852</v>
      </c>
      <c r="P280" s="18">
        <f>SUMPRODUCT(H280:O280,'Fisico ASIG'!F280:M280)*24</f>
        <v>15255224.817448419</v>
      </c>
      <c r="Q280" s="43">
        <v>0</v>
      </c>
      <c r="R280" s="43">
        <f t="shared" si="303"/>
        <v>5595.4312680113908</v>
      </c>
      <c r="S280" s="43">
        <f t="shared" si="304"/>
        <v>2764.6293056909963</v>
      </c>
      <c r="T280" s="43">
        <f t="shared" si="218"/>
        <v>1795.6376259798433</v>
      </c>
      <c r="U280" s="43">
        <v>18000</v>
      </c>
      <c r="V280" s="20">
        <v>0</v>
      </c>
      <c r="W280" s="20">
        <v>21900</v>
      </c>
      <c r="X280" s="20">
        <v>0</v>
      </c>
      <c r="Y280" s="18">
        <f>SUMPRODUCT(Q280:X280,'Fisico ASIG'!O280:V280)/E280</f>
        <v>5802351.4353283243</v>
      </c>
      <c r="Z280" s="25">
        <f t="shared" si="305"/>
        <v>21057576.252776742</v>
      </c>
      <c r="AA280" s="26">
        <f>+Z280/'Fisico ASIG'!N280/24</f>
        <v>94.240298831702304</v>
      </c>
      <c r="AB280" s="26">
        <f>+$AB$21*1.1*Precios!$P$15/0.61/Precios!$Q$15</f>
        <v>15.147540983606559</v>
      </c>
      <c r="AC280" s="29">
        <f t="shared" si="306"/>
        <v>79.092757848095744</v>
      </c>
      <c r="AI280" s="1">
        <v>7241</v>
      </c>
      <c r="AJ280" s="1">
        <v>5762594</v>
      </c>
      <c r="AK280">
        <f t="shared" si="195"/>
        <v>1.44</v>
      </c>
      <c r="AL280" s="40">
        <f t="shared" si="196"/>
        <v>8140.0083333333323</v>
      </c>
      <c r="AM280">
        <v>4100000</v>
      </c>
      <c r="AN280" s="117">
        <v>89.81947310355352</v>
      </c>
      <c r="AO280" s="64">
        <f t="shared" si="307"/>
        <v>5.6578144344898629</v>
      </c>
      <c r="AP280">
        <v>0</v>
      </c>
      <c r="AQ280" s="1">
        <v>0.85</v>
      </c>
    </row>
    <row r="281" spans="1:43" hidden="1" x14ac:dyDescent="0.3">
      <c r="A281" s="3">
        <v>1483.0198</v>
      </c>
      <c r="B281" s="42">
        <v>1407.8889999999999</v>
      </c>
      <c r="C281" s="53">
        <v>2026</v>
      </c>
      <c r="D281" s="52">
        <f>+'Fisico ASIG'!B281</f>
        <v>46174</v>
      </c>
      <c r="E281" s="1">
        <v>30</v>
      </c>
      <c r="F281" s="56" t="str">
        <f t="shared" si="308"/>
        <v>dom</v>
      </c>
      <c r="G281" s="56">
        <f t="shared" si="309"/>
        <v>46187</v>
      </c>
      <c r="H281" s="17">
        <v>28</v>
      </c>
      <c r="I281" s="17">
        <f t="shared" si="300"/>
        <v>4.8826050737825613</v>
      </c>
      <c r="J281" s="17">
        <f t="shared" si="301"/>
        <v>5.4888062407078664</v>
      </c>
      <c r="K281" s="83">
        <f t="shared" si="181"/>
        <v>6.8583333333333334</v>
      </c>
      <c r="L281" s="17">
        <v>27</v>
      </c>
      <c r="M281" s="17">
        <v>71.5</v>
      </c>
      <c r="N281" s="17">
        <f t="shared" si="302"/>
        <v>97.864700681767474</v>
      </c>
      <c r="O281" s="17">
        <v>165.93918392822744</v>
      </c>
      <c r="P281" s="18">
        <f>SUMPRODUCT(H281:O281,'Fisico ASIG'!F281:M281)*24</f>
        <v>15308264.898494035</v>
      </c>
      <c r="Q281" s="43">
        <v>0</v>
      </c>
      <c r="R281" s="43">
        <f t="shared" si="303"/>
        <v>5595.4312680113908</v>
      </c>
      <c r="S281" s="43">
        <f t="shared" si="304"/>
        <v>2764.6293056909963</v>
      </c>
      <c r="T281" s="43">
        <f t="shared" si="218"/>
        <v>1795.6376259798433</v>
      </c>
      <c r="U281" s="43">
        <v>18000</v>
      </c>
      <c r="V281" s="20">
        <v>0</v>
      </c>
      <c r="W281" s="20">
        <v>21900</v>
      </c>
      <c r="X281" s="20">
        <v>0</v>
      </c>
      <c r="Y281" s="18">
        <f>SUMPRODUCT(Q281:X281,'Fisico ASIG'!O281:V281)/E281</f>
        <v>5781339.5571923321</v>
      </c>
      <c r="Z281" s="25">
        <f t="shared" si="305"/>
        <v>21089604.455686368</v>
      </c>
      <c r="AA281" s="26">
        <f>+Z281/'Fisico ASIG'!N281/24</f>
        <v>96.933628943791916</v>
      </c>
      <c r="AB281" s="26">
        <f>+$AB$21*1.1*Precios!$P$15/0.61/Precios!$Q$15</f>
        <v>15.147540983606559</v>
      </c>
      <c r="AC281" s="29">
        <f t="shared" si="306"/>
        <v>81.786087960185355</v>
      </c>
      <c r="AI281" s="1">
        <v>7241</v>
      </c>
      <c r="AJ281" s="1">
        <v>5762594</v>
      </c>
      <c r="AK281">
        <f t="shared" si="195"/>
        <v>1.44</v>
      </c>
      <c r="AL281" s="40">
        <f t="shared" si="196"/>
        <v>8140.0083333333323</v>
      </c>
      <c r="AM281">
        <v>4100000</v>
      </c>
      <c r="AN281" s="117">
        <v>91.259672769805604</v>
      </c>
      <c r="AO281" s="64">
        <f t="shared" si="307"/>
        <v>5.7550279119618786</v>
      </c>
      <c r="AP281">
        <v>0</v>
      </c>
      <c r="AQ281" s="1">
        <v>0.85</v>
      </c>
    </row>
    <row r="282" spans="1:43" hidden="1" x14ac:dyDescent="0.3">
      <c r="A282" s="3">
        <v>1483.0198</v>
      </c>
      <c r="B282" s="42">
        <v>1445.3979999999999</v>
      </c>
      <c r="C282" s="53">
        <v>2026</v>
      </c>
      <c r="D282" s="52">
        <f>+'Fisico ASIG'!B282</f>
        <v>46174</v>
      </c>
      <c r="E282" s="1">
        <v>30</v>
      </c>
      <c r="F282" s="56" t="str">
        <f t="shared" si="308"/>
        <v>lun</v>
      </c>
      <c r="G282" s="56">
        <f t="shared" si="309"/>
        <v>46188</v>
      </c>
      <c r="H282" s="17">
        <v>28</v>
      </c>
      <c r="I282" s="17">
        <f t="shared" si="300"/>
        <v>4.8826050737825613</v>
      </c>
      <c r="J282" s="17">
        <f t="shared" si="301"/>
        <v>5.4888062407078664</v>
      </c>
      <c r="K282" s="83">
        <f t="shared" si="181"/>
        <v>6.8583333333333334</v>
      </c>
      <c r="L282" s="17">
        <v>27</v>
      </c>
      <c r="M282" s="17">
        <v>71.5</v>
      </c>
      <c r="N282" s="17">
        <f t="shared" si="302"/>
        <v>104.15422985251222</v>
      </c>
      <c r="O282" s="17">
        <v>170.51972926196598</v>
      </c>
      <c r="P282" s="18">
        <f>SUMPRODUCT(H282:O282,'Fisico ASIG'!F282:M282)*24</f>
        <v>15816024.204023939</v>
      </c>
      <c r="Q282" s="43">
        <v>0</v>
      </c>
      <c r="R282" s="43">
        <f t="shared" si="303"/>
        <v>5595.4312680113908</v>
      </c>
      <c r="S282" s="43">
        <f t="shared" si="304"/>
        <v>2764.6293056909963</v>
      </c>
      <c r="T282" s="43">
        <f t="shared" si="218"/>
        <v>1795.6376259798433</v>
      </c>
      <c r="U282" s="43">
        <v>18000</v>
      </c>
      <c r="V282" s="20">
        <v>0</v>
      </c>
      <c r="W282" s="20">
        <v>21900</v>
      </c>
      <c r="X282" s="20">
        <v>0</v>
      </c>
      <c r="Y282" s="18">
        <f>SUMPRODUCT(Q282:X282,'Fisico ASIG'!O282:V282)/E282</f>
        <v>5790327.0861761831</v>
      </c>
      <c r="Z282" s="25">
        <f t="shared" si="305"/>
        <v>21606351.290200122</v>
      </c>
      <c r="AA282" s="26">
        <f>+Z282/'Fisico ASIG'!N282/24</f>
        <v>93.684087616655901</v>
      </c>
      <c r="AB282" s="26">
        <f>+$AB$21*1.1*Precios!$P$15/0.61/Precios!$Q$15</f>
        <v>15.147540983606559</v>
      </c>
      <c r="AC282" s="29">
        <f t="shared" si="306"/>
        <v>78.53654663304934</v>
      </c>
      <c r="AI282" s="1">
        <v>7241</v>
      </c>
      <c r="AJ282" s="1">
        <v>5762594</v>
      </c>
      <c r="AK282">
        <f t="shared" si="195"/>
        <v>1.44</v>
      </c>
      <c r="AL282" s="40">
        <f t="shared" si="196"/>
        <v>8140.0083333333323</v>
      </c>
      <c r="AM282">
        <v>4100000</v>
      </c>
      <c r="AN282" s="117">
        <v>97.151503374718715</v>
      </c>
      <c r="AO282" s="64">
        <f t="shared" si="307"/>
        <v>6.1527264777935136</v>
      </c>
      <c r="AP282">
        <v>0</v>
      </c>
      <c r="AQ282" s="1">
        <v>0.85</v>
      </c>
    </row>
    <row r="283" spans="1:43" hidden="1" x14ac:dyDescent="0.3">
      <c r="A283" s="3">
        <v>1483.0198</v>
      </c>
      <c r="B283" s="42">
        <v>1445.3979999999999</v>
      </c>
      <c r="C283" s="53">
        <v>2026</v>
      </c>
      <c r="D283" s="52">
        <f>+'Fisico ASIG'!B283</f>
        <v>46174</v>
      </c>
      <c r="E283" s="1">
        <v>30</v>
      </c>
      <c r="F283" s="56" t="str">
        <f t="shared" si="308"/>
        <v>mar</v>
      </c>
      <c r="G283" s="56">
        <f t="shared" si="309"/>
        <v>46189</v>
      </c>
      <c r="H283" s="17">
        <v>28</v>
      </c>
      <c r="I283" s="17">
        <f t="shared" si="300"/>
        <v>4.8826050737825613</v>
      </c>
      <c r="J283" s="17">
        <f t="shared" si="301"/>
        <v>5.4888062407078664</v>
      </c>
      <c r="K283" s="83">
        <f t="shared" si="181"/>
        <v>6.8583333333333334</v>
      </c>
      <c r="L283" s="17">
        <v>27</v>
      </c>
      <c r="M283" s="17">
        <v>71.5</v>
      </c>
      <c r="N283" s="17">
        <f t="shared" si="302"/>
        <v>119.96455826235503</v>
      </c>
      <c r="O283" s="17">
        <v>166.93624281663503</v>
      </c>
      <c r="P283" s="18">
        <f>SUMPRODUCT(H283:O283,'Fisico ASIG'!F283:M283)*24</f>
        <v>16850450.218438096</v>
      </c>
      <c r="Q283" s="43">
        <v>0</v>
      </c>
      <c r="R283" s="43">
        <f t="shared" ref="R283:R288" si="310">+AJ283*AK283/A283</f>
        <v>5595.4312680113908</v>
      </c>
      <c r="S283" s="43">
        <f t="shared" ref="S283:S288" si="311">+AM283/A283</f>
        <v>2764.6293056909963</v>
      </c>
      <c r="T283" s="43">
        <f t="shared" si="218"/>
        <v>1795.6376259798433</v>
      </c>
      <c r="U283" s="43">
        <v>18000</v>
      </c>
      <c r="V283" s="20">
        <v>0</v>
      </c>
      <c r="W283" s="20">
        <v>21900</v>
      </c>
      <c r="X283" s="20">
        <v>0</v>
      </c>
      <c r="Y283" s="18">
        <f>SUMPRODUCT(Q283:X283,'Fisico ASIG'!O283:V283)/E283</f>
        <v>5762617.6524530435</v>
      </c>
      <c r="Z283" s="25">
        <f t="shared" ref="Z283:Z288" si="312">+(P283+Y283)</f>
        <v>22613067.870891139</v>
      </c>
      <c r="AA283" s="26">
        <f>+Z283/'Fisico ASIG'!N283/24</f>
        <v>97.599898339353032</v>
      </c>
      <c r="AB283" s="26">
        <f>+$AB$21*1.1*Precios!$P$15/0.61/Precios!$Q$15</f>
        <v>15.147540983606559</v>
      </c>
      <c r="AC283" s="29">
        <f t="shared" ref="AC283:AC288" si="313">+AA283-AB283</f>
        <v>82.452357355746472</v>
      </c>
      <c r="AI283" s="1">
        <v>7241</v>
      </c>
      <c r="AJ283" s="1">
        <v>5762594</v>
      </c>
      <c r="AK283">
        <f t="shared" si="195"/>
        <v>1.44</v>
      </c>
      <c r="AL283" s="40">
        <f t="shared" si="196"/>
        <v>8140.0083333333323</v>
      </c>
      <c r="AM283">
        <v>4100000</v>
      </c>
      <c r="AN283" s="117">
        <v>111.96211546824827</v>
      </c>
      <c r="AO283" s="64">
        <f t="shared" ref="AO283:AO288" si="314">0.075*0.9*(AN283-6)</f>
        <v>7.1524427941067588</v>
      </c>
      <c r="AP283">
        <v>0</v>
      </c>
      <c r="AQ283" s="1">
        <v>0.85</v>
      </c>
    </row>
    <row r="284" spans="1:43" hidden="1" x14ac:dyDescent="0.3">
      <c r="A284" s="3">
        <v>1483.0198</v>
      </c>
      <c r="B284" s="42">
        <v>1445.3979999999999</v>
      </c>
      <c r="C284" s="53">
        <v>2026</v>
      </c>
      <c r="D284" s="52">
        <f>+'Fisico ASIG'!B284</f>
        <v>46174</v>
      </c>
      <c r="E284" s="1">
        <v>30</v>
      </c>
      <c r="F284" s="56" t="str">
        <f t="shared" si="308"/>
        <v>mié</v>
      </c>
      <c r="G284" s="56">
        <f t="shared" si="309"/>
        <v>46190</v>
      </c>
      <c r="H284" s="17">
        <v>28</v>
      </c>
      <c r="I284" s="17">
        <f t="shared" si="300"/>
        <v>4.8826050737825613</v>
      </c>
      <c r="J284" s="17">
        <f t="shared" si="301"/>
        <v>5.4888062407078664</v>
      </c>
      <c r="K284" s="83">
        <f t="shared" si="181"/>
        <v>6.8583333333333334</v>
      </c>
      <c r="L284" s="17">
        <v>27</v>
      </c>
      <c r="M284" s="17">
        <v>71.5</v>
      </c>
      <c r="N284" s="17">
        <f t="shared" si="302"/>
        <v>124.14803886002171</v>
      </c>
      <c r="O284" s="17">
        <v>149.0712907674891</v>
      </c>
      <c r="P284" s="18">
        <f>SUMPRODUCT(H284:O284,'Fisico ASIG'!F284:M284)*24</f>
        <v>16719210.403369244</v>
      </c>
      <c r="Q284" s="43">
        <v>0</v>
      </c>
      <c r="R284" s="43">
        <f t="shared" si="310"/>
        <v>5595.4312680113908</v>
      </c>
      <c r="S284" s="43">
        <f t="shared" si="311"/>
        <v>2764.6293056909963</v>
      </c>
      <c r="T284" s="43">
        <f t="shared" si="218"/>
        <v>1795.6376259798433</v>
      </c>
      <c r="U284" s="43">
        <v>18000</v>
      </c>
      <c r="V284" s="20">
        <v>0</v>
      </c>
      <c r="W284" s="20">
        <v>21900</v>
      </c>
      <c r="X284" s="20">
        <v>0</v>
      </c>
      <c r="Y284" s="18">
        <f>SUMPRODUCT(Q284:X284,'Fisico ASIG'!O284:V284)/E284</f>
        <v>5714011.9834383391</v>
      </c>
      <c r="Z284" s="25">
        <f t="shared" si="312"/>
        <v>22433222.386807583</v>
      </c>
      <c r="AA284" s="26">
        <f>+Z284/'Fisico ASIG'!N284/24</f>
        <v>92.620178762181808</v>
      </c>
      <c r="AB284" s="26">
        <f>+$AB$21*1.1*Precios!$P$15/0.61/Precios!$Q$15</f>
        <v>15.147540983606559</v>
      </c>
      <c r="AC284" s="29">
        <f t="shared" si="313"/>
        <v>77.472637778575248</v>
      </c>
      <c r="AI284" s="1">
        <v>7241</v>
      </c>
      <c r="AJ284" s="1">
        <v>5762594</v>
      </c>
      <c r="AK284">
        <f t="shared" si="195"/>
        <v>1.44</v>
      </c>
      <c r="AL284" s="40">
        <f t="shared" si="196"/>
        <v>8140.0083333333323</v>
      </c>
      <c r="AM284">
        <v>4100000</v>
      </c>
      <c r="AN284" s="117">
        <v>115.88106684779552</v>
      </c>
      <c r="AO284" s="64">
        <f t="shared" si="314"/>
        <v>7.4169720122261982</v>
      </c>
      <c r="AP284">
        <v>0</v>
      </c>
      <c r="AQ284" s="1">
        <v>0.85</v>
      </c>
    </row>
    <row r="285" spans="1:43" hidden="1" x14ac:dyDescent="0.3">
      <c r="A285" s="3">
        <v>1483.0198</v>
      </c>
      <c r="B285" s="42">
        <v>1445.3979999999999</v>
      </c>
      <c r="C285" s="53">
        <v>2026</v>
      </c>
      <c r="D285" s="52">
        <f>+'Fisico ASIG'!B285</f>
        <v>46174</v>
      </c>
      <c r="E285" s="1">
        <v>30</v>
      </c>
      <c r="F285" s="56" t="str">
        <f t="shared" si="308"/>
        <v>jue</v>
      </c>
      <c r="G285" s="56">
        <f t="shared" si="309"/>
        <v>46191</v>
      </c>
      <c r="H285" s="17">
        <v>28</v>
      </c>
      <c r="I285" s="17">
        <f t="shared" si="300"/>
        <v>4.8826050737825613</v>
      </c>
      <c r="J285" s="17">
        <f t="shared" si="301"/>
        <v>5.4888062407078664</v>
      </c>
      <c r="K285" s="83">
        <f t="shared" si="181"/>
        <v>6.8583333333333334</v>
      </c>
      <c r="L285" s="17">
        <v>27</v>
      </c>
      <c r="M285" s="17">
        <v>71.5</v>
      </c>
      <c r="N285" s="17">
        <f t="shared" si="302"/>
        <v>131.96046543520947</v>
      </c>
      <c r="O285" s="17">
        <v>146.19342949610532</v>
      </c>
      <c r="P285" s="18">
        <f>SUMPRODUCT(H285:O285,'Fisico ASIG'!F285:M285)*24</f>
        <v>18138258.162836939</v>
      </c>
      <c r="Q285" s="43">
        <v>0</v>
      </c>
      <c r="R285" s="43">
        <f t="shared" si="310"/>
        <v>5595.4312680113908</v>
      </c>
      <c r="S285" s="43">
        <f t="shared" si="311"/>
        <v>2764.6293056909963</v>
      </c>
      <c r="T285" s="43">
        <f t="shared" si="218"/>
        <v>1795.6376259798433</v>
      </c>
      <c r="U285" s="43">
        <v>18000</v>
      </c>
      <c r="V285" s="20">
        <v>0</v>
      </c>
      <c r="W285" s="20">
        <v>21900</v>
      </c>
      <c r="X285" s="20">
        <v>0</v>
      </c>
      <c r="Y285" s="18">
        <f>SUMPRODUCT(Q285:X285,'Fisico ASIG'!O285:V285)/E285</f>
        <v>5719386.0410824716</v>
      </c>
      <c r="Z285" s="25">
        <f t="shared" si="312"/>
        <v>23857644.203919411</v>
      </c>
      <c r="AA285" s="26">
        <f>+Z285/'Fisico ASIG'!N285/24</f>
        <v>92.656704167957912</v>
      </c>
      <c r="AB285" s="26">
        <f>+$AB$21*1.1*Precios!$P$15/0.61/Precios!$Q$15</f>
        <v>15.147540983606559</v>
      </c>
      <c r="AC285" s="29">
        <f t="shared" si="313"/>
        <v>77.509163184351351</v>
      </c>
      <c r="AI285" s="1">
        <v>7241</v>
      </c>
      <c r="AJ285" s="1">
        <v>5762594</v>
      </c>
      <c r="AK285">
        <f t="shared" si="195"/>
        <v>1.44</v>
      </c>
      <c r="AL285" s="40">
        <f t="shared" si="196"/>
        <v>8140.0083333333323</v>
      </c>
      <c r="AM285">
        <v>4100000</v>
      </c>
      <c r="AN285" s="117">
        <v>123.19949923673019</v>
      </c>
      <c r="AO285" s="64">
        <f t="shared" si="314"/>
        <v>7.9109661984792883</v>
      </c>
      <c r="AP285">
        <v>0</v>
      </c>
      <c r="AQ285" s="1">
        <v>0.85</v>
      </c>
    </row>
    <row r="286" spans="1:43" hidden="1" x14ac:dyDescent="0.3">
      <c r="A286" s="3">
        <v>1483.0198</v>
      </c>
      <c r="B286" s="42">
        <v>1445.3979999999999</v>
      </c>
      <c r="C286" s="53">
        <v>2026</v>
      </c>
      <c r="D286" s="52">
        <f>+'Fisico ASIG'!B286</f>
        <v>46174</v>
      </c>
      <c r="E286" s="1">
        <v>30</v>
      </c>
      <c r="F286" s="56" t="str">
        <f t="shared" si="308"/>
        <v>vie</v>
      </c>
      <c r="G286" s="56">
        <f t="shared" si="309"/>
        <v>46192</v>
      </c>
      <c r="H286" s="17">
        <v>28</v>
      </c>
      <c r="I286" s="17">
        <f t="shared" si="300"/>
        <v>4.8826050737825613</v>
      </c>
      <c r="J286" s="17">
        <f t="shared" si="301"/>
        <v>5.4888062407078664</v>
      </c>
      <c r="K286" s="83">
        <f t="shared" si="181"/>
        <v>6.8583333333333334</v>
      </c>
      <c r="L286" s="17">
        <v>27</v>
      </c>
      <c r="M286" s="17">
        <v>71.5</v>
      </c>
      <c r="N286" s="17">
        <f t="shared" si="302"/>
        <v>122.67120036947419</v>
      </c>
      <c r="O286" s="17">
        <v>161.86842789203428</v>
      </c>
      <c r="P286" s="18">
        <f>SUMPRODUCT(H286:O286,'Fisico ASIG'!F286:M286)*24</f>
        <v>16945033.844943419</v>
      </c>
      <c r="Q286" s="43">
        <v>0</v>
      </c>
      <c r="R286" s="43">
        <f t="shared" si="310"/>
        <v>5595.4312680113908</v>
      </c>
      <c r="S286" s="43">
        <f t="shared" si="311"/>
        <v>2764.6293056909963</v>
      </c>
      <c r="T286" s="43">
        <f t="shared" si="218"/>
        <v>1795.6376259798433</v>
      </c>
      <c r="U286" s="43">
        <v>18000</v>
      </c>
      <c r="V286" s="20">
        <v>0</v>
      </c>
      <c r="W286" s="20">
        <v>21900</v>
      </c>
      <c r="X286" s="20">
        <v>0</v>
      </c>
      <c r="Y286" s="18">
        <f>SUMPRODUCT(Q286:X286,'Fisico ASIG'!O286:V286)/E286</f>
        <v>5744641.5203519603</v>
      </c>
      <c r="Z286" s="25">
        <f t="shared" si="312"/>
        <v>22689675.36529538</v>
      </c>
      <c r="AA286" s="26">
        <f>+Z286/'Fisico ASIG'!N286/24</f>
        <v>90.21116425844798</v>
      </c>
      <c r="AB286" s="26">
        <f>+$AB$21*1.1*Precios!$P$15/0.61/Precios!$Q$15</f>
        <v>15.147540983606559</v>
      </c>
      <c r="AC286" s="29">
        <f t="shared" si="313"/>
        <v>75.063623274841419</v>
      </c>
      <c r="AI286" s="1">
        <v>7241</v>
      </c>
      <c r="AJ286" s="1">
        <v>5762594</v>
      </c>
      <c r="AK286">
        <f t="shared" si="195"/>
        <v>1.44</v>
      </c>
      <c r="AL286" s="40">
        <f t="shared" si="196"/>
        <v>8140.0083333333323</v>
      </c>
      <c r="AM286">
        <v>4100000</v>
      </c>
      <c r="AN286" s="117">
        <v>114.49761158732946</v>
      </c>
      <c r="AO286" s="64">
        <f t="shared" si="314"/>
        <v>7.3235887821447392</v>
      </c>
      <c r="AP286">
        <v>0</v>
      </c>
      <c r="AQ286" s="1">
        <v>0.85</v>
      </c>
    </row>
    <row r="287" spans="1:43" hidden="1" x14ac:dyDescent="0.3">
      <c r="A287" s="3">
        <v>1483.0198</v>
      </c>
      <c r="B287" s="42">
        <v>1445.3979999999999</v>
      </c>
      <c r="C287" s="53">
        <v>2026</v>
      </c>
      <c r="D287" s="52">
        <f>+'Fisico ASIG'!B287</f>
        <v>46174</v>
      </c>
      <c r="E287" s="1">
        <v>30</v>
      </c>
      <c r="F287" s="56" t="str">
        <f t="shared" si="308"/>
        <v>sáb</v>
      </c>
      <c r="G287" s="56">
        <f t="shared" si="309"/>
        <v>46193</v>
      </c>
      <c r="H287" s="17">
        <v>28</v>
      </c>
      <c r="I287" s="17">
        <f t="shared" si="300"/>
        <v>4.8826050737825613</v>
      </c>
      <c r="J287" s="17">
        <f t="shared" si="301"/>
        <v>5.4888062407078664</v>
      </c>
      <c r="K287" s="83">
        <f t="shared" si="181"/>
        <v>6.8583333333333334</v>
      </c>
      <c r="L287" s="17">
        <v>27</v>
      </c>
      <c r="M287" s="17">
        <v>71.5</v>
      </c>
      <c r="N287" s="17">
        <f t="shared" si="302"/>
        <v>133.18388824162327</v>
      </c>
      <c r="O287" s="17">
        <v>171.89576311637185</v>
      </c>
      <c r="P287" s="18">
        <f>SUMPRODUCT(H287:O287,'Fisico ASIG'!F287:M287)*24</f>
        <v>16904714.093866836</v>
      </c>
      <c r="Q287" s="43">
        <v>0</v>
      </c>
      <c r="R287" s="43">
        <f t="shared" si="310"/>
        <v>5595.4312680113908</v>
      </c>
      <c r="S287" s="43">
        <f t="shared" si="311"/>
        <v>2764.6293056909963</v>
      </c>
      <c r="T287" s="43">
        <f t="shared" si="218"/>
        <v>1795.6376259798433</v>
      </c>
      <c r="U287" s="43">
        <v>18000</v>
      </c>
      <c r="V287" s="20">
        <v>0</v>
      </c>
      <c r="W287" s="20">
        <v>21900</v>
      </c>
      <c r="X287" s="20">
        <v>0</v>
      </c>
      <c r="Y287" s="18">
        <f>SUMPRODUCT(Q287:X287,'Fisico ASIG'!O287:V287)/E287</f>
        <v>5637137.675639987</v>
      </c>
      <c r="Z287" s="25">
        <f t="shared" si="312"/>
        <v>22541851.769506823</v>
      </c>
      <c r="AA287" s="26">
        <f>+Z287/'Fisico ASIG'!N287/24</f>
        <v>105.44367038436546</v>
      </c>
      <c r="AB287" s="26">
        <f>+$AB$21*1.1*Precios!$P$15/0.61/Precios!$Q$15</f>
        <v>15.147540983606559</v>
      </c>
      <c r="AC287" s="29">
        <f t="shared" si="313"/>
        <v>90.2961294007589</v>
      </c>
      <c r="AI287" s="1">
        <v>7241</v>
      </c>
      <c r="AJ287" s="1">
        <v>5762594</v>
      </c>
      <c r="AK287">
        <f t="shared" si="195"/>
        <v>1.44</v>
      </c>
      <c r="AL287" s="40">
        <f t="shared" si="196"/>
        <v>8140.0083333333323</v>
      </c>
      <c r="AM287">
        <v>4100000</v>
      </c>
      <c r="AN287" s="117">
        <v>124.345562755619</v>
      </c>
      <c r="AO287" s="64">
        <f t="shared" si="314"/>
        <v>7.9883254860042827</v>
      </c>
      <c r="AP287">
        <v>0</v>
      </c>
      <c r="AQ287" s="1">
        <v>0.85</v>
      </c>
    </row>
    <row r="288" spans="1:43" hidden="1" x14ac:dyDescent="0.3">
      <c r="A288" s="3">
        <v>1483.0198</v>
      </c>
      <c r="B288" s="42">
        <v>1445.3979999999999</v>
      </c>
      <c r="C288" s="53">
        <v>2026</v>
      </c>
      <c r="D288" s="52">
        <f>+'Fisico ASIG'!B288</f>
        <v>46174</v>
      </c>
      <c r="E288" s="1">
        <v>30</v>
      </c>
      <c r="F288" s="56" t="str">
        <f t="shared" si="308"/>
        <v>dom</v>
      </c>
      <c r="G288" s="56">
        <f t="shared" si="309"/>
        <v>46194</v>
      </c>
      <c r="H288" s="17">
        <v>28</v>
      </c>
      <c r="I288" s="17">
        <f t="shared" si="300"/>
        <v>4.8826050737825613</v>
      </c>
      <c r="J288" s="17">
        <f t="shared" si="301"/>
        <v>5.4888062407078664</v>
      </c>
      <c r="K288" s="83">
        <f t="shared" si="181"/>
        <v>6.8583333333333334</v>
      </c>
      <c r="L288" s="17">
        <v>27</v>
      </c>
      <c r="M288" s="17">
        <v>71.5</v>
      </c>
      <c r="N288" s="17">
        <f t="shared" si="302"/>
        <v>136.58987944460077</v>
      </c>
      <c r="O288" s="17">
        <v>164.30294077141272</v>
      </c>
      <c r="P288" s="18">
        <f>SUMPRODUCT(H288:O288,'Fisico ASIG'!F288:M288)*24</f>
        <v>16426880.331410503</v>
      </c>
      <c r="Q288" s="43">
        <v>0</v>
      </c>
      <c r="R288" s="43">
        <f t="shared" si="310"/>
        <v>5595.4312680113908</v>
      </c>
      <c r="S288" s="43">
        <f t="shared" si="311"/>
        <v>2764.6293056909963</v>
      </c>
      <c r="T288" s="43">
        <f t="shared" si="218"/>
        <v>1795.6376259798433</v>
      </c>
      <c r="U288" s="43">
        <v>18000</v>
      </c>
      <c r="V288" s="20">
        <v>0</v>
      </c>
      <c r="W288" s="20">
        <v>21900</v>
      </c>
      <c r="X288" s="20">
        <v>0</v>
      </c>
      <c r="Y288" s="18">
        <f>SUMPRODUCT(Q288:X288,'Fisico ASIG'!O288:V288)/E288</f>
        <v>5662160.9962388333</v>
      </c>
      <c r="Z288" s="25">
        <f t="shared" si="312"/>
        <v>22089041.327649336</v>
      </c>
      <c r="AA288" s="26">
        <f>+Z288/'Fisico ASIG'!N288/24</f>
        <v>106.04148305699606</v>
      </c>
      <c r="AB288" s="26">
        <f>+$AB$21*1.1*Precios!$P$15/0.61/Precios!$Q$15</f>
        <v>15.147540983606559</v>
      </c>
      <c r="AC288" s="29">
        <f t="shared" si="313"/>
        <v>90.893942073389496</v>
      </c>
      <c r="AI288" s="1">
        <v>7241</v>
      </c>
      <c r="AJ288" s="1">
        <v>5762594</v>
      </c>
      <c r="AK288">
        <f t="shared" si="195"/>
        <v>1.44</v>
      </c>
      <c r="AL288" s="40">
        <f t="shared" si="196"/>
        <v>8140.0083333333323</v>
      </c>
      <c r="AM288">
        <v>4100000</v>
      </c>
      <c r="AN288" s="117">
        <v>127.53618683334966</v>
      </c>
      <c r="AO288" s="64">
        <f t="shared" si="314"/>
        <v>8.2036926112511033</v>
      </c>
      <c r="AP288">
        <v>0</v>
      </c>
      <c r="AQ288" s="1">
        <v>0.85</v>
      </c>
    </row>
    <row r="289" spans="1:43" hidden="1" x14ac:dyDescent="0.3">
      <c r="A289" s="3">
        <v>1483.0198</v>
      </c>
      <c r="B289" s="42">
        <v>1445.3979999999999</v>
      </c>
      <c r="C289" s="53">
        <v>2026</v>
      </c>
      <c r="D289" s="52">
        <f>+'Fisico ASIG'!B289</f>
        <v>46174</v>
      </c>
      <c r="E289" s="1">
        <v>30</v>
      </c>
      <c r="F289" s="56" t="str">
        <f t="shared" si="308"/>
        <v>lun</v>
      </c>
      <c r="G289" s="56">
        <f t="shared" si="309"/>
        <v>46195</v>
      </c>
      <c r="H289" s="17">
        <v>28</v>
      </c>
      <c r="I289" s="17">
        <f t="shared" ref="I289:I294" si="315">AI289/A289</f>
        <v>4.8826050737825613</v>
      </c>
      <c r="J289" s="17">
        <f t="shared" ref="J289:J294" si="316">+AL289/A289</f>
        <v>5.4888062407078664</v>
      </c>
      <c r="K289" s="83">
        <f t="shared" si="181"/>
        <v>6.8583333333333334</v>
      </c>
      <c r="L289" s="17">
        <v>27</v>
      </c>
      <c r="M289" s="17">
        <v>71.5</v>
      </c>
      <c r="N289" s="17">
        <f t="shared" ref="N289:N294" si="317">+AN289+AO289+AP289+AQ289</f>
        <v>153.95947058617352</v>
      </c>
      <c r="O289" s="17">
        <v>148.81805941932319</v>
      </c>
      <c r="P289" s="18">
        <f>SUMPRODUCT(H289:O289,'Fisico ASIG'!F289:M289)*24</f>
        <v>18740282.454230364</v>
      </c>
      <c r="Q289" s="43">
        <v>0</v>
      </c>
      <c r="R289" s="43">
        <f t="shared" ref="R289:R294" si="318">+AJ289*AK289/A289</f>
        <v>5595.4312680113908</v>
      </c>
      <c r="S289" s="43">
        <f t="shared" ref="S289:S294" si="319">+AM289/A289</f>
        <v>2764.6293056909963</v>
      </c>
      <c r="T289" s="43">
        <f t="shared" si="218"/>
        <v>1795.6376259798433</v>
      </c>
      <c r="U289" s="43">
        <v>18000</v>
      </c>
      <c r="V289" s="20">
        <v>0</v>
      </c>
      <c r="W289" s="20">
        <v>21900</v>
      </c>
      <c r="X289" s="20">
        <v>0</v>
      </c>
      <c r="Y289" s="18">
        <f>SUMPRODUCT(Q289:X289,'Fisico ASIG'!O289:V289)/E289</f>
        <v>5756742.8952058274</v>
      </c>
      <c r="Z289" s="25">
        <f t="shared" ref="Z289:Z294" si="320">+(P289+Y289)</f>
        <v>24497025.349436194</v>
      </c>
      <c r="AA289" s="26">
        <f>+Z289/'Fisico ASIG'!N289/24</f>
        <v>101.79555525767888</v>
      </c>
      <c r="AB289" s="26">
        <f>+$AB$21*1.1*Precios!$P$15/0.61/Precios!$Q$15</f>
        <v>15.147540983606559</v>
      </c>
      <c r="AC289" s="29">
        <f t="shared" ref="AC289:AC294" si="321">+AA289-AB289</f>
        <v>86.648014274072324</v>
      </c>
      <c r="AI289" s="1">
        <v>7241</v>
      </c>
      <c r="AJ289" s="1">
        <v>5762594</v>
      </c>
      <c r="AK289">
        <f t="shared" si="195"/>
        <v>1.44</v>
      </c>
      <c r="AL289" s="40">
        <f t="shared" si="196"/>
        <v>8140.0083333333323</v>
      </c>
      <c r="AM289">
        <v>4100000</v>
      </c>
      <c r="AN289" s="117">
        <v>143.80746659126325</v>
      </c>
      <c r="AO289" s="64">
        <f t="shared" ref="AO289:AO294" si="322">0.075*0.9*(AN289-6)</f>
        <v>9.3020039949102706</v>
      </c>
      <c r="AP289">
        <v>0</v>
      </c>
      <c r="AQ289" s="1">
        <v>0.85</v>
      </c>
    </row>
    <row r="290" spans="1:43" hidden="1" x14ac:dyDescent="0.3">
      <c r="A290" s="3">
        <v>1483.0198</v>
      </c>
      <c r="B290" s="42">
        <v>1445.3979999999999</v>
      </c>
      <c r="C290" s="53">
        <v>2026</v>
      </c>
      <c r="D290" s="52">
        <f>+'Fisico ASIG'!B290</f>
        <v>46174</v>
      </c>
      <c r="E290" s="1">
        <v>30</v>
      </c>
      <c r="F290" s="56" t="str">
        <f t="shared" si="308"/>
        <v>mar</v>
      </c>
      <c r="G290" s="56">
        <f t="shared" si="309"/>
        <v>46196</v>
      </c>
      <c r="H290" s="17">
        <v>28</v>
      </c>
      <c r="I290" s="17">
        <f t="shared" si="315"/>
        <v>4.8826050737825613</v>
      </c>
      <c r="J290" s="17">
        <f t="shared" si="316"/>
        <v>5.4888062407078664</v>
      </c>
      <c r="K290" s="83">
        <f t="shared" si="181"/>
        <v>6.8583333333333334</v>
      </c>
      <c r="L290" s="17">
        <v>27</v>
      </c>
      <c r="M290" s="17">
        <v>71.5</v>
      </c>
      <c r="N290" s="17">
        <f t="shared" si="317"/>
        <v>167.51856554678176</v>
      </c>
      <c r="O290" s="17">
        <v>155.22882291299746</v>
      </c>
      <c r="P290" s="18">
        <f>SUMPRODUCT(H290:O290,'Fisico ASIG'!F290:M290)*24</f>
        <v>20795365.556333251</v>
      </c>
      <c r="Q290" s="43">
        <v>0</v>
      </c>
      <c r="R290" s="43">
        <f t="shared" si="318"/>
        <v>5595.4312680113908</v>
      </c>
      <c r="S290" s="43">
        <f t="shared" si="319"/>
        <v>2764.6293056909963</v>
      </c>
      <c r="T290" s="43">
        <f t="shared" si="218"/>
        <v>1795.6376259798433</v>
      </c>
      <c r="U290" s="43">
        <v>18000</v>
      </c>
      <c r="V290" s="20">
        <v>0</v>
      </c>
      <c r="W290" s="20">
        <v>21900</v>
      </c>
      <c r="X290" s="20">
        <v>0</v>
      </c>
      <c r="Y290" s="18">
        <f>SUMPRODUCT(Q290:X290,'Fisico ASIG'!O290:V290)/E290</f>
        <v>5768153.8440542957</v>
      </c>
      <c r="Z290" s="25">
        <f t="shared" si="320"/>
        <v>26563519.400387548</v>
      </c>
      <c r="AA290" s="26">
        <f>+Z290/'Fisico ASIG'!N290/24</f>
        <v>108.27351795108201</v>
      </c>
      <c r="AB290" s="26">
        <f>+$AB$21*1.1*Precios!$P$15/0.61/Precios!$Q$15</f>
        <v>15.147540983606559</v>
      </c>
      <c r="AC290" s="29">
        <f t="shared" si="321"/>
        <v>93.125976967475452</v>
      </c>
      <c r="AI290" s="1">
        <v>7241</v>
      </c>
      <c r="AJ290" s="1">
        <v>5762594</v>
      </c>
      <c r="AK290">
        <f t="shared" si="195"/>
        <v>1.44</v>
      </c>
      <c r="AL290" s="40">
        <f t="shared" si="196"/>
        <v>8140.0083333333323</v>
      </c>
      <c r="AM290">
        <v>4100000</v>
      </c>
      <c r="AN290" s="117">
        <v>156.50919489159884</v>
      </c>
      <c r="AO290" s="64">
        <f t="shared" si="322"/>
        <v>10.159370655182922</v>
      </c>
      <c r="AP290">
        <v>0</v>
      </c>
      <c r="AQ290" s="1">
        <v>0.85</v>
      </c>
    </row>
    <row r="291" spans="1:43" hidden="1" x14ac:dyDescent="0.3">
      <c r="A291" s="3">
        <v>1483.0198</v>
      </c>
      <c r="B291" s="42">
        <v>1445.3979999999999</v>
      </c>
      <c r="C291" s="53">
        <v>2026</v>
      </c>
      <c r="D291" s="52">
        <f>+'Fisico ASIG'!B291</f>
        <v>46174</v>
      </c>
      <c r="E291" s="1">
        <v>30</v>
      </c>
      <c r="F291" s="56" t="str">
        <f t="shared" si="308"/>
        <v>mié</v>
      </c>
      <c r="G291" s="56">
        <f t="shared" si="309"/>
        <v>46197</v>
      </c>
      <c r="H291" s="17">
        <v>28</v>
      </c>
      <c r="I291" s="17">
        <f t="shared" si="315"/>
        <v>4.8826050737825613</v>
      </c>
      <c r="J291" s="17">
        <f t="shared" si="316"/>
        <v>5.4888062407078664</v>
      </c>
      <c r="K291" s="83">
        <f t="shared" si="181"/>
        <v>6.8583333333333334</v>
      </c>
      <c r="L291" s="17">
        <v>27</v>
      </c>
      <c r="M291" s="17">
        <v>71.5</v>
      </c>
      <c r="N291" s="17">
        <f t="shared" si="317"/>
        <v>165.94035456050514</v>
      </c>
      <c r="O291" s="17">
        <v>158.87574679413859</v>
      </c>
      <c r="P291" s="18">
        <f>SUMPRODUCT(H291:O291,'Fisico ASIG'!F291:M291)*24</f>
        <v>20379095.63499473</v>
      </c>
      <c r="Q291" s="43">
        <v>0</v>
      </c>
      <c r="R291" s="43">
        <f t="shared" si="318"/>
        <v>5595.4312680113908</v>
      </c>
      <c r="S291" s="43">
        <f t="shared" si="319"/>
        <v>2764.6293056909963</v>
      </c>
      <c r="T291" s="43">
        <f t="shared" si="218"/>
        <v>1795.6376259798433</v>
      </c>
      <c r="U291" s="43">
        <v>18000</v>
      </c>
      <c r="V291" s="20">
        <v>0</v>
      </c>
      <c r="W291" s="20">
        <v>21900</v>
      </c>
      <c r="X291" s="20">
        <v>0</v>
      </c>
      <c r="Y291" s="18">
        <f>SUMPRODUCT(Q291:X291,'Fisico ASIG'!O291:V291)/E291</f>
        <v>5726835.3357424028</v>
      </c>
      <c r="Z291" s="25">
        <f t="shared" si="320"/>
        <v>26105930.970737133</v>
      </c>
      <c r="AA291" s="26">
        <f>+Z291/'Fisico ASIG'!N291/24</f>
        <v>100.94025489290196</v>
      </c>
      <c r="AB291" s="26">
        <f>+$AB$21*1.1*Precios!$P$15/0.61/Precios!$Q$15</f>
        <v>15.147540983606559</v>
      </c>
      <c r="AC291" s="29">
        <f t="shared" si="321"/>
        <v>85.792713909295401</v>
      </c>
      <c r="AI291" s="1">
        <v>7241</v>
      </c>
      <c r="AJ291" s="1">
        <v>5762594</v>
      </c>
      <c r="AK291">
        <f t="shared" si="195"/>
        <v>1.44</v>
      </c>
      <c r="AL291" s="40">
        <f t="shared" si="196"/>
        <v>8140.0083333333323</v>
      </c>
      <c r="AM291">
        <v>4100000</v>
      </c>
      <c r="AN291" s="117">
        <v>155.03077710585961</v>
      </c>
      <c r="AO291" s="64">
        <f t="shared" si="322"/>
        <v>10.059577454645524</v>
      </c>
      <c r="AP291">
        <v>0</v>
      </c>
      <c r="AQ291" s="1">
        <v>0.85</v>
      </c>
    </row>
    <row r="292" spans="1:43" hidden="1" x14ac:dyDescent="0.3">
      <c r="A292" s="3">
        <v>1483.0198</v>
      </c>
      <c r="B292" s="42">
        <v>1445.3979999999999</v>
      </c>
      <c r="C292" s="53">
        <v>2026</v>
      </c>
      <c r="D292" s="52">
        <f>+'Fisico ASIG'!B292</f>
        <v>46174</v>
      </c>
      <c r="E292" s="1">
        <v>30</v>
      </c>
      <c r="F292" s="56" t="str">
        <f t="shared" si="308"/>
        <v>jue</v>
      </c>
      <c r="G292" s="56">
        <f t="shared" si="309"/>
        <v>46198</v>
      </c>
      <c r="H292" s="17">
        <v>28</v>
      </c>
      <c r="I292" s="17">
        <f t="shared" si="315"/>
        <v>4.8826050737825613</v>
      </c>
      <c r="J292" s="17">
        <f t="shared" si="316"/>
        <v>5.4888062407078664</v>
      </c>
      <c r="K292" s="83">
        <f t="shared" si="181"/>
        <v>6.8583333333333334</v>
      </c>
      <c r="L292" s="17">
        <v>27</v>
      </c>
      <c r="M292" s="17">
        <v>71.5</v>
      </c>
      <c r="N292" s="17">
        <f t="shared" si="317"/>
        <v>164.46746197749755</v>
      </c>
      <c r="O292" s="17">
        <v>158.99486741128129</v>
      </c>
      <c r="P292" s="18">
        <f>SUMPRODUCT(H292:O292,'Fisico ASIG'!F292:M292)*24</f>
        <v>19773335.178396255</v>
      </c>
      <c r="Q292" s="43">
        <v>0</v>
      </c>
      <c r="R292" s="43">
        <f t="shared" si="318"/>
        <v>5595.4312680113908</v>
      </c>
      <c r="S292" s="43">
        <f t="shared" si="319"/>
        <v>2764.6293056909963</v>
      </c>
      <c r="T292" s="43">
        <f t="shared" si="218"/>
        <v>1795.6376259798433</v>
      </c>
      <c r="U292" s="43">
        <v>18000</v>
      </c>
      <c r="V292" s="20">
        <v>0</v>
      </c>
      <c r="W292" s="20">
        <v>21900</v>
      </c>
      <c r="X292" s="20">
        <v>0</v>
      </c>
      <c r="Y292" s="18">
        <f>SUMPRODUCT(Q292:X292,'Fisico ASIG'!O292:V292)/E292</f>
        <v>5694415.7812741864</v>
      </c>
      <c r="Z292" s="25">
        <f t="shared" si="320"/>
        <v>25467750.959670439</v>
      </c>
      <c r="AA292" s="26">
        <f>+Z292/'Fisico ASIG'!N292/24</f>
        <v>104.43192528324778</v>
      </c>
      <c r="AB292" s="26">
        <f>+$AB$21*1.1*Precios!$P$15/0.61/Precios!$Q$15</f>
        <v>15.147540983606559</v>
      </c>
      <c r="AC292" s="29">
        <f t="shared" si="321"/>
        <v>89.284384299641218</v>
      </c>
      <c r="AI292" s="1">
        <v>7241</v>
      </c>
      <c r="AJ292" s="1">
        <v>5762594</v>
      </c>
      <c r="AK292">
        <f t="shared" si="195"/>
        <v>1.44</v>
      </c>
      <c r="AL292" s="40">
        <f t="shared" si="196"/>
        <v>8140.0083333333323</v>
      </c>
      <c r="AM292">
        <v>4100000</v>
      </c>
      <c r="AN292" s="117">
        <v>153.65101824589934</v>
      </c>
      <c r="AO292" s="64">
        <f t="shared" si="322"/>
        <v>9.966443731598206</v>
      </c>
      <c r="AP292">
        <v>0</v>
      </c>
      <c r="AQ292" s="1">
        <v>0.85</v>
      </c>
    </row>
    <row r="293" spans="1:43" hidden="1" x14ac:dyDescent="0.3">
      <c r="A293" s="3">
        <v>1483.0198</v>
      </c>
      <c r="B293" s="42">
        <v>1445.3979999999999</v>
      </c>
      <c r="C293" s="53">
        <v>2026</v>
      </c>
      <c r="D293" s="52">
        <f>+'Fisico ASIG'!B293</f>
        <v>46174</v>
      </c>
      <c r="E293" s="1">
        <v>30</v>
      </c>
      <c r="F293" s="56" t="str">
        <f t="shared" si="308"/>
        <v>vie</v>
      </c>
      <c r="G293" s="56">
        <f t="shared" si="309"/>
        <v>46199</v>
      </c>
      <c r="H293" s="17">
        <v>28</v>
      </c>
      <c r="I293" s="17">
        <f t="shared" si="315"/>
        <v>4.8826050737825613</v>
      </c>
      <c r="J293" s="17">
        <f t="shared" si="316"/>
        <v>5.4888062407078664</v>
      </c>
      <c r="K293" s="83">
        <f t="shared" si="181"/>
        <v>6.8583333333333334</v>
      </c>
      <c r="L293" s="17">
        <v>27</v>
      </c>
      <c r="M293" s="17">
        <v>71.5</v>
      </c>
      <c r="N293" s="17">
        <f t="shared" si="317"/>
        <v>147.2689046416815</v>
      </c>
      <c r="O293" s="17">
        <v>151.30698387340325</v>
      </c>
      <c r="P293" s="18">
        <f>SUMPRODUCT(H293:O293,'Fisico ASIG'!F293:M293)*24</f>
        <v>18953925.009776957</v>
      </c>
      <c r="Q293" s="43">
        <v>0</v>
      </c>
      <c r="R293" s="43">
        <f t="shared" si="318"/>
        <v>5595.4312680113908</v>
      </c>
      <c r="S293" s="43">
        <f t="shared" si="319"/>
        <v>2764.6293056909963</v>
      </c>
      <c r="T293" s="43">
        <f t="shared" si="218"/>
        <v>1795.6376259798433</v>
      </c>
      <c r="U293" s="43">
        <v>18000</v>
      </c>
      <c r="V293" s="20">
        <v>0</v>
      </c>
      <c r="W293" s="20">
        <v>21900</v>
      </c>
      <c r="X293" s="20">
        <v>0</v>
      </c>
      <c r="Y293" s="18">
        <f>SUMPRODUCT(Q293:X293,'Fisico ASIG'!O293:V293)/E293</f>
        <v>5705954.4207193339</v>
      </c>
      <c r="Z293" s="25">
        <f t="shared" si="320"/>
        <v>24659879.43049629</v>
      </c>
      <c r="AA293" s="26">
        <f>+Z293/'Fisico ASIG'!N293/24</f>
        <v>102.19720964114003</v>
      </c>
      <c r="AB293" s="26">
        <f>+$AB$21*1.1*Precios!$P$15/0.61/Precios!$Q$15</f>
        <v>15.147540983606559</v>
      </c>
      <c r="AC293" s="29">
        <f t="shared" si="321"/>
        <v>87.049668657533473</v>
      </c>
      <c r="AI293" s="1">
        <v>7241</v>
      </c>
      <c r="AJ293" s="1">
        <v>5762594</v>
      </c>
      <c r="AK293">
        <f t="shared" si="195"/>
        <v>1.44</v>
      </c>
      <c r="AL293" s="40">
        <f t="shared" si="196"/>
        <v>8140.0083333333323</v>
      </c>
      <c r="AM293">
        <v>4100000</v>
      </c>
      <c r="AN293" s="117">
        <v>137.53995750977191</v>
      </c>
      <c r="AO293" s="64">
        <f t="shared" si="322"/>
        <v>8.8789471319096052</v>
      </c>
      <c r="AP293">
        <v>0</v>
      </c>
      <c r="AQ293" s="1">
        <v>0.85</v>
      </c>
    </row>
    <row r="294" spans="1:43" hidden="1" x14ac:dyDescent="0.3">
      <c r="A294" s="3">
        <v>1483.0198</v>
      </c>
      <c r="B294" s="42">
        <v>1445.3979999999999</v>
      </c>
      <c r="C294" s="53">
        <v>2026</v>
      </c>
      <c r="D294" s="52">
        <f>+'Fisico ASIG'!B294</f>
        <v>46174</v>
      </c>
      <c r="E294" s="1">
        <v>30</v>
      </c>
      <c r="F294" s="56" t="str">
        <f t="shared" si="308"/>
        <v>sáb</v>
      </c>
      <c r="G294" s="56">
        <f t="shared" si="309"/>
        <v>46200</v>
      </c>
      <c r="H294" s="17">
        <v>28</v>
      </c>
      <c r="I294" s="17">
        <f t="shared" si="315"/>
        <v>4.8826050737825613</v>
      </c>
      <c r="J294" s="17">
        <f t="shared" si="316"/>
        <v>5.4888062407078664</v>
      </c>
      <c r="K294" s="83">
        <f t="shared" si="181"/>
        <v>6.8583333333333334</v>
      </c>
      <c r="L294" s="17">
        <v>27</v>
      </c>
      <c r="M294" s="17">
        <v>71.5</v>
      </c>
      <c r="N294" s="17">
        <f t="shared" si="317"/>
        <v>147.94039545928132</v>
      </c>
      <c r="O294" s="17">
        <v>120.47192743747729</v>
      </c>
      <c r="P294" s="18">
        <f>SUMPRODUCT(H294:O294,'Fisico ASIG'!F294:M294)*24</f>
        <v>16174790.462784899</v>
      </c>
      <c r="Q294" s="43">
        <v>0</v>
      </c>
      <c r="R294" s="43">
        <f t="shared" si="318"/>
        <v>5595.4312680113908</v>
      </c>
      <c r="S294" s="43">
        <f t="shared" si="319"/>
        <v>2764.6293056909963</v>
      </c>
      <c r="T294" s="43">
        <f t="shared" si="218"/>
        <v>1795.6376259798433</v>
      </c>
      <c r="U294" s="43">
        <v>18000</v>
      </c>
      <c r="V294" s="20">
        <v>0</v>
      </c>
      <c r="W294" s="20">
        <v>21900</v>
      </c>
      <c r="X294" s="20">
        <v>0</v>
      </c>
      <c r="Y294" s="18">
        <f>SUMPRODUCT(Q294:X294,'Fisico ASIG'!O294:V294)/E294</f>
        <v>5605384.7219840707</v>
      </c>
      <c r="Z294" s="25">
        <f t="shared" si="320"/>
        <v>21780175.184768971</v>
      </c>
      <c r="AA294" s="26">
        <f>+Z294/'Fisico ASIG'!N294/24</f>
        <v>97.575015531209999</v>
      </c>
      <c r="AB294" s="26">
        <f>+$AB$21*1.1*Precios!$P$15/0.61/Precios!$Q$15</f>
        <v>15.147540983606559</v>
      </c>
      <c r="AC294" s="29">
        <f t="shared" si="321"/>
        <v>82.427474547603438</v>
      </c>
      <c r="AI294" s="1">
        <v>7241</v>
      </c>
      <c r="AJ294" s="1">
        <v>5762594</v>
      </c>
      <c r="AK294">
        <f t="shared" si="195"/>
        <v>1.44</v>
      </c>
      <c r="AL294" s="40">
        <f t="shared" si="196"/>
        <v>8140.0083333333323</v>
      </c>
      <c r="AM294">
        <v>4100000</v>
      </c>
      <c r="AN294" s="117">
        <v>138.16898872063825</v>
      </c>
      <c r="AO294" s="64">
        <f t="shared" si="322"/>
        <v>8.921406738643082</v>
      </c>
      <c r="AP294">
        <v>0</v>
      </c>
      <c r="AQ294" s="1">
        <v>0.85</v>
      </c>
    </row>
    <row r="295" spans="1:43" hidden="1" x14ac:dyDescent="0.3">
      <c r="A295" s="3">
        <v>1483.0198</v>
      </c>
      <c r="B295" s="42">
        <v>1445.3979999999999</v>
      </c>
      <c r="C295" s="53">
        <v>2026</v>
      </c>
      <c r="D295" s="52">
        <f>+'Fisico ASIG'!B295</f>
        <v>46174</v>
      </c>
      <c r="E295" s="1">
        <v>30</v>
      </c>
      <c r="F295" s="56" t="str">
        <f t="shared" si="308"/>
        <v>dom</v>
      </c>
      <c r="G295" s="56">
        <f t="shared" si="309"/>
        <v>46201</v>
      </c>
      <c r="H295" s="17">
        <v>28</v>
      </c>
      <c r="I295" s="17">
        <f t="shared" ref="I295:I296" si="323">AI295/A295</f>
        <v>4.8826050737825613</v>
      </c>
      <c r="J295" s="17">
        <f t="shared" ref="J295:J301" si="324">+AL295/A295</f>
        <v>5.4888062407078664</v>
      </c>
      <c r="K295" s="83">
        <f t="shared" si="181"/>
        <v>6.8583333333333334</v>
      </c>
      <c r="L295" s="17">
        <v>27</v>
      </c>
      <c r="M295" s="17">
        <v>71.5</v>
      </c>
      <c r="N295" s="17">
        <f t="shared" ref="N295:N296" si="325">+AN295+AO295+AP295+AQ295</f>
        <v>132.92133425155899</v>
      </c>
      <c r="O295" s="17">
        <v>123.74960192357636</v>
      </c>
      <c r="P295" s="18">
        <f>SUMPRODUCT(H295:O295,'Fisico ASIG'!F295:M295)*24</f>
        <v>14152185.853608061</v>
      </c>
      <c r="Q295" s="43">
        <v>0</v>
      </c>
      <c r="R295" s="43">
        <f t="shared" ref="R295:R296" si="326">+AJ295*AK295/A295</f>
        <v>5595.4312680113908</v>
      </c>
      <c r="S295" s="43">
        <f t="shared" ref="S295:S296" si="327">+AM295/A295</f>
        <v>2764.6293056909963</v>
      </c>
      <c r="T295" s="43">
        <f t="shared" si="218"/>
        <v>1795.6376259798433</v>
      </c>
      <c r="U295" s="43">
        <v>18000</v>
      </c>
      <c r="V295" s="20">
        <v>0</v>
      </c>
      <c r="W295" s="20">
        <v>21900</v>
      </c>
      <c r="X295" s="20">
        <v>0</v>
      </c>
      <c r="Y295" s="18">
        <f>SUMPRODUCT(Q295:X295,'Fisico ASIG'!O295:V295)/E295</f>
        <v>5585090.32542961</v>
      </c>
      <c r="Z295" s="25">
        <f t="shared" ref="Z295:Z296" si="328">+(P295+Y295)</f>
        <v>19737276.179037672</v>
      </c>
      <c r="AA295" s="26">
        <f>+Z295/'Fisico ASIG'!N295/24</f>
        <v>94.292750993925139</v>
      </c>
      <c r="AB295" s="26">
        <f>+$AB$21*1.1*Precios!$P$15/0.61/Precios!$Q$15</f>
        <v>15.147540983606559</v>
      </c>
      <c r="AC295" s="29">
        <f t="shared" ref="AC295:AC296" si="329">+AA295-AB295</f>
        <v>79.145210010318578</v>
      </c>
      <c r="AI295" s="1">
        <v>7241</v>
      </c>
      <c r="AJ295" s="1">
        <v>5762594</v>
      </c>
      <c r="AK295">
        <f t="shared" si="195"/>
        <v>1.44</v>
      </c>
      <c r="AL295" s="40">
        <f t="shared" si="196"/>
        <v>8140.0083333333323</v>
      </c>
      <c r="AM295">
        <v>4100000</v>
      </c>
      <c r="AN295" s="117">
        <v>124.09961054010211</v>
      </c>
      <c r="AO295" s="64">
        <f t="shared" ref="AO295:AO297" si="330">0.075*0.9*(AN295-6)</f>
        <v>7.9717237114568924</v>
      </c>
      <c r="AP295">
        <v>0</v>
      </c>
      <c r="AQ295" s="1">
        <v>0.85</v>
      </c>
    </row>
    <row r="296" spans="1:43" hidden="1" x14ac:dyDescent="0.3">
      <c r="A296" s="3">
        <v>1483.0198</v>
      </c>
      <c r="B296" s="42">
        <v>1457.306</v>
      </c>
      <c r="C296" s="53">
        <v>2026</v>
      </c>
      <c r="D296" s="52">
        <f>+'Fisico ASIG'!B296</f>
        <v>46174</v>
      </c>
      <c r="E296" s="1">
        <v>30</v>
      </c>
      <c r="F296" s="56" t="str">
        <f t="shared" si="308"/>
        <v>lun</v>
      </c>
      <c r="G296" s="56">
        <f t="shared" si="309"/>
        <v>46202</v>
      </c>
      <c r="H296" s="17">
        <v>28</v>
      </c>
      <c r="I296" s="17">
        <f t="shared" si="323"/>
        <v>4.8826050737825613</v>
      </c>
      <c r="J296" s="17">
        <f t="shared" si="324"/>
        <v>5.4888062407078664</v>
      </c>
      <c r="K296" s="83">
        <f t="shared" si="181"/>
        <v>6.8583333333333334</v>
      </c>
      <c r="L296" s="17">
        <v>27</v>
      </c>
      <c r="M296" s="17">
        <v>71.5</v>
      </c>
      <c r="N296" s="17">
        <f t="shared" si="325"/>
        <v>143.15883569416977</v>
      </c>
      <c r="O296" s="17">
        <v>127.39825570041901</v>
      </c>
      <c r="P296" s="18">
        <f>SUMPRODUCT(H296:O296,'Fisico ASIG'!F296:M296)*24</f>
        <v>17341655.947317608</v>
      </c>
      <c r="Q296" s="43">
        <v>0</v>
      </c>
      <c r="R296" s="43">
        <f t="shared" si="326"/>
        <v>5595.4312680113908</v>
      </c>
      <c r="S296" s="43">
        <f t="shared" si="327"/>
        <v>2764.6293056909963</v>
      </c>
      <c r="T296" s="43">
        <f t="shared" si="218"/>
        <v>1795.6376259798433</v>
      </c>
      <c r="U296" s="43">
        <v>18000</v>
      </c>
      <c r="V296" s="20">
        <v>0</v>
      </c>
      <c r="W296" s="20">
        <v>21900</v>
      </c>
      <c r="X296" s="20">
        <v>0</v>
      </c>
      <c r="Y296" s="18">
        <f>SUMPRODUCT(Q296:X296,'Fisico ASIG'!O296:V296)/E296</f>
        <v>5686097.7433680557</v>
      </c>
      <c r="Z296" s="25">
        <f t="shared" si="328"/>
        <v>23027753.690685663</v>
      </c>
      <c r="AA296" s="26">
        <f>+Z296/'Fisico ASIG'!N296/24</f>
        <v>89.884954188651179</v>
      </c>
      <c r="AB296" s="26">
        <f>+$AB$21*1.1*Precios!$P$15/0.61/Precios!$Q$15</f>
        <v>15.147540983606559</v>
      </c>
      <c r="AC296" s="29">
        <f t="shared" si="329"/>
        <v>74.737413205044618</v>
      </c>
      <c r="AI296" s="1">
        <v>7241</v>
      </c>
      <c r="AJ296" s="1">
        <v>5762594</v>
      </c>
      <c r="AK296">
        <f t="shared" si="195"/>
        <v>1.44</v>
      </c>
      <c r="AL296" s="40">
        <f t="shared" si="196"/>
        <v>8140.0083333333323</v>
      </c>
      <c r="AM296">
        <v>4100000</v>
      </c>
      <c r="AN296" s="117">
        <v>133.68977582592015</v>
      </c>
      <c r="AO296" s="64">
        <f t="shared" si="330"/>
        <v>8.6190598682496109</v>
      </c>
      <c r="AP296">
        <v>0</v>
      </c>
      <c r="AQ296" s="1">
        <v>0.85</v>
      </c>
    </row>
    <row r="297" spans="1:43" hidden="1" x14ac:dyDescent="0.3">
      <c r="A297" s="3">
        <v>1483.0198</v>
      </c>
      <c r="B297" s="42">
        <v>1457.306</v>
      </c>
      <c r="C297" s="53">
        <v>2026</v>
      </c>
      <c r="D297" s="52">
        <f>+'Fisico ASIG'!B297</f>
        <v>46174</v>
      </c>
      <c r="E297" s="1">
        <v>30</v>
      </c>
      <c r="F297" s="56" t="str">
        <f t="shared" si="308"/>
        <v>mar</v>
      </c>
      <c r="G297" s="56">
        <f t="shared" si="309"/>
        <v>46203</v>
      </c>
      <c r="H297" s="17">
        <v>28</v>
      </c>
      <c r="I297" s="17">
        <f t="shared" ref="I297:I301" si="331">AI297/A297</f>
        <v>4.8826050737825613</v>
      </c>
      <c r="J297" s="17">
        <f t="shared" si="324"/>
        <v>5.4888062407078664</v>
      </c>
      <c r="K297" s="83">
        <f t="shared" si="181"/>
        <v>6.8583333333333334</v>
      </c>
      <c r="L297" s="17">
        <v>27</v>
      </c>
      <c r="M297" s="17">
        <v>71.5</v>
      </c>
      <c r="N297" s="17">
        <f t="shared" ref="N297:N301" si="332">+AN297+AO297+AP297+AQ297</f>
        <v>140.03397333632054</v>
      </c>
      <c r="O297" s="17">
        <v>131.13654228404744</v>
      </c>
      <c r="P297" s="18">
        <f>SUMPRODUCT(H297:O297,'Fisico ASIG'!F297:M297)*24</f>
        <v>17223262.648650251</v>
      </c>
      <c r="Q297" s="43">
        <v>0</v>
      </c>
      <c r="R297" s="43">
        <f t="shared" ref="R297:R301" si="333">+AJ297*AK297/A297</f>
        <v>5595.4312680113908</v>
      </c>
      <c r="S297" s="43">
        <f t="shared" ref="S297:S301" si="334">+AM297/A297</f>
        <v>2764.6293056909963</v>
      </c>
      <c r="T297" s="43">
        <f t="shared" si="218"/>
        <v>1795.6376259798433</v>
      </c>
      <c r="U297" s="43">
        <v>18000</v>
      </c>
      <c r="V297" s="20">
        <v>0</v>
      </c>
      <c r="W297" s="20">
        <v>21900</v>
      </c>
      <c r="X297" s="20">
        <v>0</v>
      </c>
      <c r="Y297" s="18">
        <f>SUMPRODUCT(Q297:X297,'Fisico ASIG'!O297:V297)/E297</f>
        <v>5716135.6196952714</v>
      </c>
      <c r="Z297" s="25">
        <f t="shared" ref="Z297:Z301" si="335">+(P297+Y297)</f>
        <v>22939398.268345524</v>
      </c>
      <c r="AA297" s="26">
        <f>+Z297/'Fisico ASIG'!N297/24</f>
        <v>90.030049134778167</v>
      </c>
      <c r="AB297" s="26">
        <f>+$AB$21*1.1*Precios!$P$15/0.61/Precios!$Q$15</f>
        <v>15.147540983606559</v>
      </c>
      <c r="AC297" s="29">
        <f t="shared" ref="AC297:AC301" si="336">+AA297-AB297</f>
        <v>74.882508151171606</v>
      </c>
      <c r="AI297" s="1">
        <v>7241</v>
      </c>
      <c r="AJ297" s="1">
        <v>5762594</v>
      </c>
      <c r="AK297">
        <f t="shared" si="195"/>
        <v>1.44</v>
      </c>
      <c r="AL297" s="40">
        <f t="shared" si="196"/>
        <v>8140.0083333333323</v>
      </c>
      <c r="AM297">
        <v>4100000</v>
      </c>
      <c r="AN297" s="117">
        <v>130.76250429631901</v>
      </c>
      <c r="AO297" s="64">
        <f t="shared" si="330"/>
        <v>8.4214690400015328</v>
      </c>
      <c r="AP297">
        <v>0</v>
      </c>
      <c r="AQ297" s="1">
        <v>0.85</v>
      </c>
    </row>
    <row r="298" spans="1:43" hidden="1" x14ac:dyDescent="0.3">
      <c r="A298" s="3">
        <v>1488.4530999999999</v>
      </c>
      <c r="B298" s="42">
        <v>1457.306</v>
      </c>
      <c r="C298" s="53">
        <v>2026</v>
      </c>
      <c r="D298" s="52">
        <f>+'Fisico ASIG'!B298</f>
        <v>46204</v>
      </c>
      <c r="E298" s="1">
        <f>+'Fisico ASIG'!C298</f>
        <v>31</v>
      </c>
      <c r="F298" s="56" t="str">
        <f t="shared" si="308"/>
        <v>mié</v>
      </c>
      <c r="G298" s="56">
        <f t="shared" si="309"/>
        <v>46204</v>
      </c>
      <c r="H298" s="17">
        <v>28</v>
      </c>
      <c r="I298" s="17">
        <f t="shared" si="331"/>
        <v>4.8647821016328967</v>
      </c>
      <c r="J298" s="17">
        <f t="shared" si="324"/>
        <v>5.4687704525814969</v>
      </c>
      <c r="K298" s="83">
        <f>3.5+1.9+(3.5*1*5+3.5*5)/24</f>
        <v>6.8583333333333334</v>
      </c>
      <c r="L298" s="17">
        <v>27</v>
      </c>
      <c r="M298" s="17">
        <v>71.5</v>
      </c>
      <c r="N298" s="17">
        <f t="shared" si="332"/>
        <v>151.79159609344231</v>
      </c>
      <c r="O298" s="17">
        <v>158.69961946802204</v>
      </c>
      <c r="P298" s="18">
        <f>SUMPRODUCT(H298:O298,'Fisico ASIG'!F298:M298)*24</f>
        <v>20115737.230617054</v>
      </c>
      <c r="Q298" s="43">
        <v>0</v>
      </c>
      <c r="R298" s="43">
        <f t="shared" si="333"/>
        <v>5575.0062665729938</v>
      </c>
      <c r="S298" s="43">
        <f t="shared" si="334"/>
        <v>2754.5375799882445</v>
      </c>
      <c r="T298" s="43">
        <f t="shared" si="218"/>
        <v>1795.6376259798433</v>
      </c>
      <c r="U298" s="43">
        <v>18000</v>
      </c>
      <c r="V298" s="20">
        <v>0</v>
      </c>
      <c r="W298" s="20">
        <v>21900</v>
      </c>
      <c r="X298" s="20">
        <v>0</v>
      </c>
      <c r="Y298" s="18">
        <f>SUMPRODUCT(Q298:X298,'Fisico ASIG'!O298:V298)/E298</f>
        <v>5643142.7373061916</v>
      </c>
      <c r="Z298" s="25">
        <f t="shared" si="335"/>
        <v>25758879.967923246</v>
      </c>
      <c r="AA298" s="26">
        <f>+Z298/'Fisico ASIG'!N298/24</f>
        <v>97.15498218050088</v>
      </c>
      <c r="AB298" s="26">
        <f>+$AB$21*1.1*Precios!$P$16/Precios!$W$16/Precios!$Q$16</f>
        <v>14.137513192195948</v>
      </c>
      <c r="AC298" s="29">
        <f t="shared" si="336"/>
        <v>83.017468988304927</v>
      </c>
      <c r="AI298" s="1">
        <v>7241</v>
      </c>
      <c r="AJ298" s="1">
        <v>5762594</v>
      </c>
      <c r="AK298">
        <f t="shared" si="195"/>
        <v>1.44</v>
      </c>
      <c r="AL298" s="40">
        <f t="shared" si="196"/>
        <v>8140.0083333333323</v>
      </c>
      <c r="AM298">
        <v>4100000</v>
      </c>
      <c r="AN298" s="117">
        <v>141.77667081352911</v>
      </c>
      <c r="AO298" s="64">
        <f t="shared" ref="AO298:AO301" si="337">0.075*0.9*(AN298-6)</f>
        <v>9.1649252799132146</v>
      </c>
      <c r="AP298">
        <v>0</v>
      </c>
      <c r="AQ298" s="1">
        <v>0.85</v>
      </c>
    </row>
    <row r="299" spans="1:43" hidden="1" x14ac:dyDescent="0.3">
      <c r="A299" s="3">
        <v>1488.4530999999999</v>
      </c>
      <c r="B299" s="42">
        <v>1457.306</v>
      </c>
      <c r="C299" s="53">
        <f>+'Fisico ASIG'!A299</f>
        <v>2026</v>
      </c>
      <c r="D299" s="52">
        <f>+'Fisico ASIG'!B299</f>
        <v>46204</v>
      </c>
      <c r="E299" s="1">
        <f>+'Fisico ASIG'!C299</f>
        <v>31</v>
      </c>
      <c r="F299" s="56" t="str">
        <f t="shared" si="308"/>
        <v>jue</v>
      </c>
      <c r="G299" s="56">
        <f t="shared" si="309"/>
        <v>46205</v>
      </c>
      <c r="H299" s="17">
        <v>28</v>
      </c>
      <c r="I299" s="17">
        <f t="shared" si="331"/>
        <v>4.8647821016328967</v>
      </c>
      <c r="J299" s="17">
        <f t="shared" si="324"/>
        <v>5.4687704525814969</v>
      </c>
      <c r="K299" s="83">
        <f t="shared" si="181"/>
        <v>6.8583333333333334</v>
      </c>
      <c r="L299" s="17">
        <v>27</v>
      </c>
      <c r="M299" s="17">
        <v>71.5</v>
      </c>
      <c r="N299" s="17">
        <f t="shared" si="332"/>
        <v>154.1885772798347</v>
      </c>
      <c r="O299" s="17">
        <v>145.14507833319919</v>
      </c>
      <c r="P299" s="18">
        <f>SUMPRODUCT(H299:O299,'Fisico ASIG'!F299:M299)*24</f>
        <v>19458558.041039683</v>
      </c>
      <c r="Q299" s="43">
        <v>0</v>
      </c>
      <c r="R299" s="43">
        <f t="shared" si="333"/>
        <v>5575.0062665729938</v>
      </c>
      <c r="S299" s="43">
        <f t="shared" si="334"/>
        <v>2754.5375799882445</v>
      </c>
      <c r="T299" s="43">
        <f t="shared" si="218"/>
        <v>1795.6376259798433</v>
      </c>
      <c r="U299" s="43">
        <v>18000</v>
      </c>
      <c r="V299" s="20">
        <v>0</v>
      </c>
      <c r="W299" s="20">
        <v>21900</v>
      </c>
      <c r="X299" s="20">
        <v>0</v>
      </c>
      <c r="Y299" s="18">
        <f>SUMPRODUCT(Q299:X299,'Fisico ASIG'!O299:V299)/E299</f>
        <v>5540799.5734256571</v>
      </c>
      <c r="Z299" s="25">
        <f t="shared" si="335"/>
        <v>24999357.614465341</v>
      </c>
      <c r="AA299" s="26">
        <f>+Z299/'Fisico ASIG'!N299/24</f>
        <v>90.917739147020981</v>
      </c>
      <c r="AB299" s="26">
        <f>+$AB$21*1.1*Precios!$P$16/Precios!$W$16/Precios!$Q$16</f>
        <v>14.137513192195948</v>
      </c>
      <c r="AC299" s="29">
        <f t="shared" si="336"/>
        <v>76.780225954825028</v>
      </c>
      <c r="AI299" s="1">
        <v>7241</v>
      </c>
      <c r="AJ299" s="1">
        <v>5762594</v>
      </c>
      <c r="AK299">
        <f t="shared" si="195"/>
        <v>1.44</v>
      </c>
      <c r="AL299" s="40">
        <f t="shared" si="196"/>
        <v>8140.0083333333323</v>
      </c>
      <c r="AM299">
        <v>4100000</v>
      </c>
      <c r="AN299" s="117">
        <v>144.02208644481004</v>
      </c>
      <c r="AO299" s="64">
        <f t="shared" si="337"/>
        <v>9.3164908350246787</v>
      </c>
      <c r="AP299">
        <v>0</v>
      </c>
      <c r="AQ299" s="1">
        <v>0.85</v>
      </c>
    </row>
    <row r="300" spans="1:43" hidden="1" x14ac:dyDescent="0.3">
      <c r="A300" s="3">
        <v>1488.4530999999999</v>
      </c>
      <c r="B300" s="42">
        <v>1457.306</v>
      </c>
      <c r="C300" s="53">
        <f>+'Fisico ASIG'!A300</f>
        <v>2026</v>
      </c>
      <c r="D300" s="52">
        <f>+'Fisico ASIG'!B300</f>
        <v>46204</v>
      </c>
      <c r="E300" s="1">
        <f>+'Fisico ASIG'!C300</f>
        <v>31</v>
      </c>
      <c r="F300" s="56" t="str">
        <f t="shared" si="308"/>
        <v>vie</v>
      </c>
      <c r="G300" s="56">
        <f t="shared" si="309"/>
        <v>46206</v>
      </c>
      <c r="H300" s="17">
        <v>28</v>
      </c>
      <c r="I300" s="17">
        <f t="shared" si="331"/>
        <v>4.8647821016328967</v>
      </c>
      <c r="J300" s="17">
        <f t="shared" si="324"/>
        <v>5.4687704525814969</v>
      </c>
      <c r="K300" s="83">
        <f t="shared" si="181"/>
        <v>6.8583333333333334</v>
      </c>
      <c r="L300" s="17">
        <v>27</v>
      </c>
      <c r="M300" s="17">
        <v>71.5</v>
      </c>
      <c r="N300" s="17">
        <f t="shared" si="332"/>
        <v>158.33499092271916</v>
      </c>
      <c r="O300" s="17">
        <v>148.31712442183667</v>
      </c>
      <c r="P300" s="18">
        <f>SUMPRODUCT(H300:O300,'Fisico ASIG'!F300:M300)*24</f>
        <v>20427596.659444705</v>
      </c>
      <c r="Q300" s="43">
        <v>0</v>
      </c>
      <c r="R300" s="43">
        <f t="shared" si="333"/>
        <v>5575.0062665729938</v>
      </c>
      <c r="S300" s="43">
        <f t="shared" si="334"/>
        <v>2754.5375799882445</v>
      </c>
      <c r="T300" s="43">
        <f t="shared" si="218"/>
        <v>1795.6376259798433</v>
      </c>
      <c r="U300" s="43">
        <v>18000</v>
      </c>
      <c r="V300" s="20">
        <v>0</v>
      </c>
      <c r="W300" s="20">
        <v>21900</v>
      </c>
      <c r="X300" s="20">
        <v>0</v>
      </c>
      <c r="Y300" s="18">
        <f>SUMPRODUCT(Q300:X300,'Fisico ASIG'!O300:V300)/E300</f>
        <v>5596964.6920327637</v>
      </c>
      <c r="Z300" s="25">
        <f t="shared" si="335"/>
        <v>26024561.351477467</v>
      </c>
      <c r="AA300" s="26">
        <f>+Z300/'Fisico ASIG'!N300/24</f>
        <v>95.01219100513886</v>
      </c>
      <c r="AB300" s="26">
        <f>+$AB$21*1.1*Precios!$P$16/Precios!$W$16/Precios!$Q$16</f>
        <v>14.137513192195948</v>
      </c>
      <c r="AC300" s="29">
        <f t="shared" si="336"/>
        <v>80.874677812942906</v>
      </c>
      <c r="AI300" s="1">
        <v>7241</v>
      </c>
      <c r="AJ300" s="1">
        <v>5762594</v>
      </c>
      <c r="AK300">
        <f t="shared" si="195"/>
        <v>1.44</v>
      </c>
      <c r="AL300" s="40">
        <f t="shared" si="196"/>
        <v>8140.0083333333323</v>
      </c>
      <c r="AM300">
        <v>4100000</v>
      </c>
      <c r="AN300" s="117">
        <v>147.90631468170415</v>
      </c>
      <c r="AO300" s="64">
        <f t="shared" si="337"/>
        <v>9.5786762410150299</v>
      </c>
      <c r="AP300">
        <v>0</v>
      </c>
      <c r="AQ300" s="1">
        <v>0.85</v>
      </c>
    </row>
    <row r="301" spans="1:43" hidden="1" x14ac:dyDescent="0.3">
      <c r="A301" s="3">
        <v>1488.4530999999999</v>
      </c>
      <c r="B301" s="42">
        <v>1457.306</v>
      </c>
      <c r="C301" s="53">
        <f>+'Fisico ASIG'!A301</f>
        <v>2026</v>
      </c>
      <c r="D301" s="52">
        <f>+'Fisico ASIG'!B301</f>
        <v>46204</v>
      </c>
      <c r="E301" s="1">
        <f>+'Fisico ASIG'!C301</f>
        <v>31</v>
      </c>
      <c r="F301" s="56" t="str">
        <f t="shared" si="308"/>
        <v>sáb</v>
      </c>
      <c r="G301" s="56">
        <f t="shared" si="309"/>
        <v>46207</v>
      </c>
      <c r="H301" s="17">
        <v>28</v>
      </c>
      <c r="I301" s="17">
        <f t="shared" si="331"/>
        <v>4.8647821016328967</v>
      </c>
      <c r="J301" s="17">
        <f t="shared" si="324"/>
        <v>5.4687704525814969</v>
      </c>
      <c r="K301" s="83">
        <f t="shared" si="181"/>
        <v>6.8583333333333334</v>
      </c>
      <c r="L301" s="17">
        <v>27</v>
      </c>
      <c r="M301" s="17">
        <v>71.5</v>
      </c>
      <c r="N301" s="17">
        <f t="shared" si="332"/>
        <v>149.38700442969477</v>
      </c>
      <c r="O301" s="17">
        <v>114.00868498499575</v>
      </c>
      <c r="P301" s="18">
        <f>SUMPRODUCT(H301:O301,'Fisico ASIG'!F301:M301)*24</f>
        <v>18738868.895159736</v>
      </c>
      <c r="Q301" s="43">
        <v>0</v>
      </c>
      <c r="R301" s="43">
        <f t="shared" si="333"/>
        <v>5575.0062665729938</v>
      </c>
      <c r="S301" s="43">
        <f t="shared" si="334"/>
        <v>2754.5375799882445</v>
      </c>
      <c r="T301" s="43">
        <f t="shared" si="218"/>
        <v>1795.6376259798433</v>
      </c>
      <c r="U301" s="43">
        <v>18000</v>
      </c>
      <c r="V301" s="20">
        <v>0</v>
      </c>
      <c r="W301" s="20">
        <v>21900</v>
      </c>
      <c r="X301" s="20">
        <v>0</v>
      </c>
      <c r="Y301" s="18">
        <f>SUMPRODUCT(Q301:X301,'Fisico ASIG'!O301:V301)/E301</f>
        <v>5491538.6624615081</v>
      </c>
      <c r="Z301" s="25">
        <f t="shared" si="335"/>
        <v>24230407.557621244</v>
      </c>
      <c r="AA301" s="26">
        <f>+Z301/'Fisico ASIG'!N301/24</f>
        <v>89.098171903468042</v>
      </c>
      <c r="AB301" s="26">
        <f>+$AB$21*1.1*Precios!$P$16/Precios!$W$16/Precios!$Q$16</f>
        <v>14.137513192195948</v>
      </c>
      <c r="AC301" s="29">
        <f t="shared" si="336"/>
        <v>74.960658711272089</v>
      </c>
      <c r="AI301" s="1">
        <v>7241</v>
      </c>
      <c r="AJ301" s="1">
        <v>5762594</v>
      </c>
      <c r="AK301">
        <f t="shared" si="195"/>
        <v>1.44</v>
      </c>
      <c r="AL301" s="40">
        <f t="shared" si="196"/>
        <v>8140.0083333333323</v>
      </c>
      <c r="AM301">
        <v>4100000</v>
      </c>
      <c r="AN301" s="117">
        <v>139.52412592945646</v>
      </c>
      <c r="AO301" s="64">
        <f t="shared" si="337"/>
        <v>9.0128785002383118</v>
      </c>
      <c r="AP301">
        <v>0</v>
      </c>
      <c r="AQ301" s="1">
        <v>0.85</v>
      </c>
    </row>
    <row r="302" spans="1:43" hidden="1" x14ac:dyDescent="0.3">
      <c r="A302" s="3">
        <v>1488.4530999999999</v>
      </c>
      <c r="B302" s="42">
        <v>1457.306</v>
      </c>
      <c r="C302" s="53">
        <f>+'Fisico ASIG'!A302</f>
        <v>2026</v>
      </c>
      <c r="D302" s="52">
        <f>+'Fisico ASIG'!B302</f>
        <v>46204</v>
      </c>
      <c r="E302" s="1">
        <f>+'Fisico ASIG'!C302</f>
        <v>31</v>
      </c>
      <c r="F302" s="56" t="str">
        <f t="shared" si="308"/>
        <v>dom</v>
      </c>
      <c r="G302" s="56">
        <f t="shared" si="309"/>
        <v>46208</v>
      </c>
      <c r="H302" s="17">
        <v>28</v>
      </c>
      <c r="I302" s="17">
        <f t="shared" ref="I302:I308" si="338">AI302/A302</f>
        <v>4.8647821016328967</v>
      </c>
      <c r="J302" s="17">
        <f t="shared" ref="J302:J308" si="339">+AL302/A302</f>
        <v>5.4687704525814969</v>
      </c>
      <c r="K302" s="83">
        <f t="shared" si="181"/>
        <v>6.8583333333333334</v>
      </c>
      <c r="L302" s="17">
        <v>27</v>
      </c>
      <c r="M302" s="17">
        <v>71.5</v>
      </c>
      <c r="N302" s="17">
        <f t="shared" ref="N302:N308" si="340">+AN302+AO302+AP302+AQ302</f>
        <v>147.63724614116526</v>
      </c>
      <c r="O302" s="17">
        <v>101.93207639500018</v>
      </c>
      <c r="P302" s="18">
        <f>SUMPRODUCT(H302:O302,'Fisico ASIG'!F302:M302)*24</f>
        <v>16915272.24681145</v>
      </c>
      <c r="Q302" s="43">
        <v>0</v>
      </c>
      <c r="R302" s="43">
        <f t="shared" ref="R302:R308" si="341">+AJ302*AK302/A302</f>
        <v>5575.0062665729938</v>
      </c>
      <c r="S302" s="43">
        <f t="shared" ref="S302:S308" si="342">+AM302/A302</f>
        <v>2754.5375799882445</v>
      </c>
      <c r="T302" s="43">
        <f t="shared" si="218"/>
        <v>1795.6376259798433</v>
      </c>
      <c r="U302" s="43">
        <v>18000</v>
      </c>
      <c r="V302" s="20">
        <v>0</v>
      </c>
      <c r="W302" s="20">
        <v>21900</v>
      </c>
      <c r="X302" s="20">
        <v>0</v>
      </c>
      <c r="Y302" s="18">
        <f>SUMPRODUCT(Q302:X302,'Fisico ASIG'!O302:V302)/E302</f>
        <v>5511318.7602877058</v>
      </c>
      <c r="Z302" s="25">
        <f t="shared" ref="Z302:Z308" si="343">+(P302+Y302)</f>
        <v>22426591.007099155</v>
      </c>
      <c r="AA302" s="26">
        <f>+Z302/'Fisico ASIG'!N302/24</f>
        <v>88.258026686862237</v>
      </c>
      <c r="AB302" s="26">
        <f>+$AB$21*1.1*Precios!$P$16/Precios!$W$16/Precios!$Q$16</f>
        <v>14.137513192195948</v>
      </c>
      <c r="AC302" s="29">
        <f t="shared" ref="AC302:AC308" si="344">+AA302-AB302</f>
        <v>74.120513494666284</v>
      </c>
      <c r="AI302" s="1">
        <v>7241</v>
      </c>
      <c r="AJ302" s="1">
        <v>5762594</v>
      </c>
      <c r="AK302">
        <f t="shared" si="195"/>
        <v>1.44</v>
      </c>
      <c r="AL302" s="40">
        <f t="shared" si="196"/>
        <v>8140.0083333333323</v>
      </c>
      <c r="AM302">
        <v>4100000</v>
      </c>
      <c r="AN302" s="117">
        <v>137.88500809476841</v>
      </c>
      <c r="AO302" s="64">
        <f t="shared" ref="AO302:AO308" si="345">0.075*0.9*(AN302-6)</f>
        <v>8.9022380463968673</v>
      </c>
      <c r="AP302">
        <v>0</v>
      </c>
      <c r="AQ302" s="1">
        <v>0.85</v>
      </c>
    </row>
    <row r="303" spans="1:43" hidden="1" x14ac:dyDescent="0.3">
      <c r="A303" s="3">
        <v>1488.4530999999999</v>
      </c>
      <c r="B303" s="42">
        <v>1457.306</v>
      </c>
      <c r="C303" s="53">
        <f>+'Fisico ASIG'!A303</f>
        <v>2026</v>
      </c>
      <c r="D303" s="52">
        <f>+'Fisico ASIG'!B303</f>
        <v>46204</v>
      </c>
      <c r="E303" s="1">
        <f>+'Fisico ASIG'!C303</f>
        <v>31</v>
      </c>
      <c r="F303" s="56" t="str">
        <f t="shared" si="308"/>
        <v>lun</v>
      </c>
      <c r="G303" s="56">
        <f t="shared" si="309"/>
        <v>46209</v>
      </c>
      <c r="H303" s="17">
        <v>28</v>
      </c>
      <c r="I303" s="17">
        <f t="shared" si="338"/>
        <v>4.8647821016328967</v>
      </c>
      <c r="J303" s="17">
        <f t="shared" si="339"/>
        <v>5.4687704525814969</v>
      </c>
      <c r="K303" s="83">
        <f t="shared" si="181"/>
        <v>6.8583333333333334</v>
      </c>
      <c r="L303" s="17">
        <v>27</v>
      </c>
      <c r="M303" s="17">
        <v>71.5</v>
      </c>
      <c r="N303" s="17">
        <f t="shared" si="340"/>
        <v>168.84553885231375</v>
      </c>
      <c r="O303" s="17">
        <v>101.17179068942717</v>
      </c>
      <c r="P303" s="18">
        <f>SUMPRODUCT(H303:O303,'Fisico ASIG'!F303:M303)*24</f>
        <v>20231849.507528652</v>
      </c>
      <c r="Q303" s="43">
        <v>0</v>
      </c>
      <c r="R303" s="43">
        <f t="shared" si="341"/>
        <v>5575.0062665729938</v>
      </c>
      <c r="S303" s="43">
        <f t="shared" si="342"/>
        <v>2754.5375799882445</v>
      </c>
      <c r="T303" s="43">
        <f t="shared" si="218"/>
        <v>1795.6376259798433</v>
      </c>
      <c r="U303" s="43">
        <v>18000</v>
      </c>
      <c r="V303" s="20">
        <v>0</v>
      </c>
      <c r="W303" s="20">
        <v>21900</v>
      </c>
      <c r="X303" s="20">
        <v>0</v>
      </c>
      <c r="Y303" s="18">
        <f>SUMPRODUCT(Q303:X303,'Fisico ASIG'!O303:V303)/E303</f>
        <v>5531212.4752809498</v>
      </c>
      <c r="Z303" s="25">
        <f t="shared" si="343"/>
        <v>25763061.982809603</v>
      </c>
      <c r="AA303" s="26">
        <f>+Z303/'Fisico ASIG'!N303/24</f>
        <v>92.396805501948904</v>
      </c>
      <c r="AB303" s="26">
        <f>+$AB$21*1.1*Precios!$P$16/Precios!$W$16/Precios!$Q$16</f>
        <v>14.137513192195948</v>
      </c>
      <c r="AC303" s="29">
        <f t="shared" si="344"/>
        <v>78.259292309752951</v>
      </c>
      <c r="AI303" s="1">
        <v>7241</v>
      </c>
      <c r="AJ303" s="1">
        <v>5762594</v>
      </c>
      <c r="AK303">
        <f t="shared" si="195"/>
        <v>1.44</v>
      </c>
      <c r="AL303" s="40">
        <f t="shared" si="196"/>
        <v>8140.0083333333323</v>
      </c>
      <c r="AM303">
        <v>4100000</v>
      </c>
      <c r="AN303" s="117">
        <v>157.75226121996604</v>
      </c>
      <c r="AO303" s="64">
        <f t="shared" si="345"/>
        <v>10.243277632347709</v>
      </c>
      <c r="AP303">
        <v>0</v>
      </c>
      <c r="AQ303" s="1">
        <v>0.85</v>
      </c>
    </row>
    <row r="304" spans="1:43" hidden="1" x14ac:dyDescent="0.3">
      <c r="A304" s="3">
        <v>1488.4530999999999</v>
      </c>
      <c r="B304" s="42">
        <v>1457.306</v>
      </c>
      <c r="C304" s="53">
        <f>+'Fisico ASIG'!A304</f>
        <v>2026</v>
      </c>
      <c r="D304" s="52">
        <f>+'Fisico ASIG'!B304</f>
        <v>46204</v>
      </c>
      <c r="E304" s="1">
        <f>+'Fisico ASIG'!C304</f>
        <v>31</v>
      </c>
      <c r="F304" s="56" t="str">
        <f t="shared" si="308"/>
        <v>mar</v>
      </c>
      <c r="G304" s="56">
        <f t="shared" si="309"/>
        <v>46210</v>
      </c>
      <c r="H304" s="17">
        <v>28</v>
      </c>
      <c r="I304" s="17">
        <f t="shared" si="338"/>
        <v>4.8647821016328967</v>
      </c>
      <c r="J304" s="17">
        <f t="shared" si="339"/>
        <v>5.4687704525814969</v>
      </c>
      <c r="K304" s="83">
        <f t="shared" si="181"/>
        <v>6.8583333333333334</v>
      </c>
      <c r="L304" s="17">
        <v>27</v>
      </c>
      <c r="M304" s="17">
        <v>71.5</v>
      </c>
      <c r="N304" s="17">
        <f t="shared" si="340"/>
        <v>144.51337743895019</v>
      </c>
      <c r="O304" s="17">
        <v>103.05757553990031</v>
      </c>
      <c r="P304" s="18">
        <f>SUMPRODUCT(H304:O304,'Fisico ASIG'!F304:M304)*24</f>
        <v>17221227.515768014</v>
      </c>
      <c r="Q304" s="43">
        <v>0</v>
      </c>
      <c r="R304" s="43">
        <f t="shared" si="341"/>
        <v>5575.0062665729938</v>
      </c>
      <c r="S304" s="43">
        <f t="shared" si="342"/>
        <v>2754.5375799882445</v>
      </c>
      <c r="T304" s="43">
        <f t="shared" si="218"/>
        <v>1795.6376259798433</v>
      </c>
      <c r="U304" s="43">
        <v>18000</v>
      </c>
      <c r="V304" s="20">
        <v>0</v>
      </c>
      <c r="W304" s="20">
        <v>21900</v>
      </c>
      <c r="X304" s="20">
        <v>0</v>
      </c>
      <c r="Y304" s="18">
        <f>SUMPRODUCT(Q304:X304,'Fisico ASIG'!O304:V304)/E304</f>
        <v>5498249.0947012138</v>
      </c>
      <c r="Z304" s="25">
        <f t="shared" si="343"/>
        <v>22719476.61046923</v>
      </c>
      <c r="AA304" s="26">
        <f>+Z304/'Fisico ASIG'!N304/24</f>
        <v>86.79436323206302</v>
      </c>
      <c r="AB304" s="26">
        <f>+$AB$21*1.1*Precios!$P$16/Precios!$W$16/Precios!$Q$16</f>
        <v>14.137513192195948</v>
      </c>
      <c r="AC304" s="29">
        <f t="shared" si="344"/>
        <v>72.656850039867066</v>
      </c>
      <c r="AI304" s="1">
        <v>7241</v>
      </c>
      <c r="AJ304" s="1">
        <v>5762594</v>
      </c>
      <c r="AK304">
        <f t="shared" si="195"/>
        <v>1.44</v>
      </c>
      <c r="AL304" s="40">
        <f>4403+1752*1.4+(4403*1*5*1.4)/24</f>
        <v>8140.0083333333323</v>
      </c>
      <c r="AM304">
        <v>4100000</v>
      </c>
      <c r="AN304" s="117">
        <v>134.95866739011728</v>
      </c>
      <c r="AO304" s="64">
        <f t="shared" si="345"/>
        <v>8.7047100488329168</v>
      </c>
      <c r="AP304">
        <v>0</v>
      </c>
      <c r="AQ304" s="1">
        <v>0.85</v>
      </c>
    </row>
    <row r="305" spans="1:43" hidden="1" x14ac:dyDescent="0.3">
      <c r="A305" s="3">
        <v>1488.4530999999999</v>
      </c>
      <c r="B305" s="42">
        <v>1457.306</v>
      </c>
      <c r="C305" s="53">
        <f>+'Fisico ASIG'!A305</f>
        <v>2026</v>
      </c>
      <c r="D305" s="52">
        <f>+'Fisico ASIG'!B305</f>
        <v>46204</v>
      </c>
      <c r="E305" s="1">
        <f>+'Fisico ASIG'!C305</f>
        <v>31</v>
      </c>
      <c r="F305" s="56" t="str">
        <f t="shared" si="308"/>
        <v>mié</v>
      </c>
      <c r="G305" s="56">
        <f t="shared" si="309"/>
        <v>46211</v>
      </c>
      <c r="H305" s="17">
        <v>28</v>
      </c>
      <c r="I305" s="17">
        <f t="shared" si="338"/>
        <v>4.8647821016328967</v>
      </c>
      <c r="J305" s="17">
        <f t="shared" si="339"/>
        <v>5.4687704525814969</v>
      </c>
      <c r="K305" s="83">
        <f t="shared" si="181"/>
        <v>6.8583333333333334</v>
      </c>
      <c r="L305" s="17">
        <v>27</v>
      </c>
      <c r="M305" s="17">
        <v>71.5</v>
      </c>
      <c r="N305" s="17">
        <f t="shared" si="340"/>
        <v>138.40695027222642</v>
      </c>
      <c r="O305" s="17">
        <v>103.47189164603112</v>
      </c>
      <c r="P305" s="18">
        <f>SUMPRODUCT(H305:O305,'Fisico ASIG'!F305:M305)*24</f>
        <v>15454963.292916985</v>
      </c>
      <c r="Q305" s="43">
        <v>0</v>
      </c>
      <c r="R305" s="43">
        <f t="shared" si="341"/>
        <v>5575.0062665729938</v>
      </c>
      <c r="S305" s="43">
        <f t="shared" si="342"/>
        <v>2754.5375799882445</v>
      </c>
      <c r="T305" s="43">
        <f t="shared" si="218"/>
        <v>1795.6376259798433</v>
      </c>
      <c r="U305" s="43">
        <v>18000</v>
      </c>
      <c r="V305" s="20">
        <v>0</v>
      </c>
      <c r="W305" s="20">
        <v>21900</v>
      </c>
      <c r="X305" s="20">
        <v>0</v>
      </c>
      <c r="Y305" s="18">
        <f>SUMPRODUCT(Q305:X305,'Fisico ASIG'!O305:V305)/E305</f>
        <v>5254648.8931120904</v>
      </c>
      <c r="Z305" s="25">
        <f t="shared" si="343"/>
        <v>20709612.186029077</v>
      </c>
      <c r="AA305" s="26">
        <f>+Z305/'Fisico ASIG'!N305/24</f>
        <v>84.216662853378153</v>
      </c>
      <c r="AB305" s="26">
        <f>+$AB$21*1.1*Precios!$P$16/Precios!$W$16/Precios!$Q$16</f>
        <v>14.137513192195948</v>
      </c>
      <c r="AC305" s="29">
        <f t="shared" si="344"/>
        <v>70.0791496611822</v>
      </c>
      <c r="AI305" s="1">
        <v>7241</v>
      </c>
      <c r="AJ305" s="1">
        <v>5762594</v>
      </c>
      <c r="AK305">
        <f t="shared" si="195"/>
        <v>1.44</v>
      </c>
      <c r="AL305" s="40">
        <f t="shared" si="196"/>
        <v>8140.0083333333323</v>
      </c>
      <c r="AM305">
        <v>4100000</v>
      </c>
      <c r="AN305" s="117">
        <v>129.23836091075074</v>
      </c>
      <c r="AO305" s="64">
        <f t="shared" si="345"/>
        <v>8.3185893614756754</v>
      </c>
      <c r="AP305">
        <v>0</v>
      </c>
      <c r="AQ305" s="1">
        <v>0.85</v>
      </c>
    </row>
    <row r="306" spans="1:43" hidden="1" x14ac:dyDescent="0.3">
      <c r="A306" s="3">
        <v>1488.4530999999999</v>
      </c>
      <c r="B306" s="42">
        <v>1457.306</v>
      </c>
      <c r="C306" s="53">
        <f>+'Fisico ASIG'!A306</f>
        <v>2026</v>
      </c>
      <c r="D306" s="52">
        <f>+'Fisico ASIG'!B306</f>
        <v>46204</v>
      </c>
      <c r="E306" s="1">
        <f>+'Fisico ASIG'!C306</f>
        <v>31</v>
      </c>
      <c r="F306" s="56" t="str">
        <f t="shared" si="308"/>
        <v>jue</v>
      </c>
      <c r="G306" s="56">
        <f t="shared" si="309"/>
        <v>46212</v>
      </c>
      <c r="H306" s="17">
        <v>28</v>
      </c>
      <c r="I306" s="17">
        <f t="shared" si="338"/>
        <v>4.8647821016328967</v>
      </c>
      <c r="J306" s="17">
        <f t="shared" si="339"/>
        <v>5.4687704525814969</v>
      </c>
      <c r="K306" s="83">
        <f t="shared" si="181"/>
        <v>6.8583333333333334</v>
      </c>
      <c r="L306" s="17">
        <v>27</v>
      </c>
      <c r="M306" s="17">
        <v>71.5</v>
      </c>
      <c r="N306" s="17">
        <f t="shared" si="340"/>
        <v>79.631309385293562</v>
      </c>
      <c r="O306" s="17">
        <v>89.5480648430798</v>
      </c>
      <c r="P306" s="18">
        <f>SUMPRODUCT(H306:O306,'Fisico ASIG'!F306:M306)*24</f>
        <v>9943807.6923080869</v>
      </c>
      <c r="Q306" s="43">
        <v>0</v>
      </c>
      <c r="R306" s="43">
        <f t="shared" si="341"/>
        <v>5575.0062665729938</v>
      </c>
      <c r="S306" s="43">
        <f t="shared" si="342"/>
        <v>2754.5375799882445</v>
      </c>
      <c r="T306" s="43">
        <f t="shared" si="218"/>
        <v>1795.6376259798433</v>
      </c>
      <c r="U306" s="43">
        <v>18000</v>
      </c>
      <c r="V306" s="20">
        <v>0</v>
      </c>
      <c r="W306" s="20">
        <v>21900</v>
      </c>
      <c r="X306" s="20">
        <v>0</v>
      </c>
      <c r="Y306" s="18">
        <f>SUMPRODUCT(Q306:X306,'Fisico ASIG'!O306:V306)/E306</f>
        <v>5298333.6701423051</v>
      </c>
      <c r="Z306" s="25">
        <f t="shared" si="343"/>
        <v>15242141.362450391</v>
      </c>
      <c r="AA306" s="26">
        <f>+Z306/'Fisico ASIG'!N306/24</f>
        <v>72.580371277538191</v>
      </c>
      <c r="AB306" s="26">
        <f>+$AB$21*1.1*Precios!$P$16/Precios!$W$16/Precios!$Q$16</f>
        <v>14.137513192195948</v>
      </c>
      <c r="AC306" s="29">
        <f t="shared" si="344"/>
        <v>58.442858085342245</v>
      </c>
      <c r="AI306" s="1">
        <v>7241</v>
      </c>
      <c r="AJ306" s="1">
        <v>5762594</v>
      </c>
      <c r="AK306">
        <f t="shared" si="195"/>
        <v>1.44</v>
      </c>
      <c r="AL306" s="40">
        <f t="shared" si="196"/>
        <v>8140.0083333333323</v>
      </c>
      <c r="AM306">
        <v>4100000</v>
      </c>
      <c r="AN306" s="117">
        <v>74.179212538916687</v>
      </c>
      <c r="AO306" s="64">
        <f t="shared" si="345"/>
        <v>4.6020968463768765</v>
      </c>
      <c r="AP306">
        <v>0</v>
      </c>
      <c r="AQ306" s="1">
        <v>0.85</v>
      </c>
    </row>
    <row r="307" spans="1:43" hidden="1" x14ac:dyDescent="0.3">
      <c r="A307" s="3">
        <v>1488.4530999999999</v>
      </c>
      <c r="B307" s="42">
        <v>1457.306</v>
      </c>
      <c r="C307" s="53">
        <f>+'Fisico ASIG'!A307</f>
        <v>2026</v>
      </c>
      <c r="D307" s="52">
        <f>+'Fisico ASIG'!B307</f>
        <v>46204</v>
      </c>
      <c r="E307" s="1">
        <f>+'Fisico ASIG'!C307</f>
        <v>31</v>
      </c>
      <c r="F307" s="56" t="str">
        <f t="shared" si="308"/>
        <v>vie</v>
      </c>
      <c r="G307" s="56">
        <f t="shared" si="309"/>
        <v>46213</v>
      </c>
      <c r="H307" s="17">
        <v>28</v>
      </c>
      <c r="I307" s="17">
        <f t="shared" si="338"/>
        <v>4.8647821016328967</v>
      </c>
      <c r="J307" s="17">
        <f t="shared" si="339"/>
        <v>5.4687704525814969</v>
      </c>
      <c r="K307" s="83">
        <f t="shared" si="181"/>
        <v>6.8583333333333334</v>
      </c>
      <c r="L307" s="17">
        <v>27</v>
      </c>
      <c r="M307" s="17">
        <v>71.5</v>
      </c>
      <c r="N307" s="17">
        <f t="shared" si="340"/>
        <v>84.201708479276988</v>
      </c>
      <c r="O307" s="17">
        <v>106.95091820996181</v>
      </c>
      <c r="P307" s="18">
        <f>SUMPRODUCT(H307:O307,'Fisico ASIG'!F307:M307)*24</f>
        <v>10795239.875409635</v>
      </c>
      <c r="Q307" s="43">
        <v>0</v>
      </c>
      <c r="R307" s="43">
        <f t="shared" si="341"/>
        <v>5575.0062665729938</v>
      </c>
      <c r="S307" s="43">
        <f t="shared" si="342"/>
        <v>2754.5375799882445</v>
      </c>
      <c r="T307" s="43">
        <f t="shared" si="218"/>
        <v>1795.6376259798433</v>
      </c>
      <c r="U307" s="43">
        <v>18000</v>
      </c>
      <c r="V307" s="20">
        <v>0</v>
      </c>
      <c r="W307" s="20">
        <v>21900</v>
      </c>
      <c r="X307" s="20">
        <v>0</v>
      </c>
      <c r="Y307" s="18">
        <f>SUMPRODUCT(Q307:X307,'Fisico ASIG'!O307:V307)/E307</f>
        <v>5505486.2031432912</v>
      </c>
      <c r="Z307" s="25">
        <f t="shared" si="343"/>
        <v>16300726.078552926</v>
      </c>
      <c r="AA307" s="26">
        <f>+Z307/'Fisico ASIG'!N307/24</f>
        <v>72.956966697203015</v>
      </c>
      <c r="AB307" s="26">
        <f>+$AB$21*1.1*Precios!$P$16/Precios!$W$16/Precios!$Q$16</f>
        <v>14.137513192195948</v>
      </c>
      <c r="AC307" s="29">
        <f t="shared" si="344"/>
        <v>58.819453505007068</v>
      </c>
      <c r="AI307" s="1">
        <v>7241</v>
      </c>
      <c r="AJ307" s="1">
        <v>5762594</v>
      </c>
      <c r="AK307">
        <f t="shared" si="195"/>
        <v>1.44</v>
      </c>
      <c r="AL307" s="40">
        <f t="shared" si="196"/>
        <v>8140.0083333333323</v>
      </c>
      <c r="AM307">
        <v>4100000</v>
      </c>
      <c r="AN307" s="117">
        <v>78.460616842414041</v>
      </c>
      <c r="AO307" s="64">
        <f t="shared" si="345"/>
        <v>4.8910916368629485</v>
      </c>
      <c r="AP307">
        <v>0</v>
      </c>
      <c r="AQ307" s="1">
        <v>0.85</v>
      </c>
    </row>
    <row r="308" spans="1:43" hidden="1" x14ac:dyDescent="0.3">
      <c r="A308" s="3">
        <v>1488.4530999999999</v>
      </c>
      <c r="B308" s="42">
        <v>1457.306</v>
      </c>
      <c r="C308" s="53">
        <f>+'Fisico ASIG'!A308</f>
        <v>2026</v>
      </c>
      <c r="D308" s="52">
        <f>+'Fisico ASIG'!B308</f>
        <v>46204</v>
      </c>
      <c r="E308" s="1">
        <f>+'Fisico ASIG'!C308</f>
        <v>31</v>
      </c>
      <c r="F308" s="56" t="str">
        <f t="shared" si="308"/>
        <v>sáb</v>
      </c>
      <c r="G308" s="56">
        <f t="shared" si="309"/>
        <v>46214</v>
      </c>
      <c r="H308" s="17">
        <v>28</v>
      </c>
      <c r="I308" s="17">
        <f t="shared" si="338"/>
        <v>4.8647821016328967</v>
      </c>
      <c r="J308" s="17">
        <f t="shared" si="339"/>
        <v>5.4687704525814969</v>
      </c>
      <c r="K308" s="83">
        <f t="shared" si="181"/>
        <v>6.8583333333333334</v>
      </c>
      <c r="L308" s="17">
        <v>27</v>
      </c>
      <c r="M308" s="17">
        <v>71.5</v>
      </c>
      <c r="N308" s="17">
        <f t="shared" si="340"/>
        <v>90.224297389925397</v>
      </c>
      <c r="O308" s="17">
        <v>102.62270323143964</v>
      </c>
      <c r="P308" s="18">
        <f>SUMPRODUCT(H308:O308,'Fisico ASIG'!F308:M308)*24</f>
        <v>10532975.677589258</v>
      </c>
      <c r="Q308" s="43">
        <v>0</v>
      </c>
      <c r="R308" s="43">
        <f t="shared" si="341"/>
        <v>5575.0062665729938</v>
      </c>
      <c r="S308" s="43">
        <f t="shared" si="342"/>
        <v>2754.5375799882445</v>
      </c>
      <c r="T308" s="43">
        <f t="shared" si="218"/>
        <v>1795.6376259798433</v>
      </c>
      <c r="U308" s="43">
        <v>18000</v>
      </c>
      <c r="V308" s="20">
        <v>0</v>
      </c>
      <c r="W308" s="20">
        <v>21900</v>
      </c>
      <c r="X308" s="20">
        <v>0</v>
      </c>
      <c r="Y308" s="18">
        <f>SUMPRODUCT(Q308:X308,'Fisico ASIG'!O308:V308)/E308</f>
        <v>5511927.8253487851</v>
      </c>
      <c r="Z308" s="25">
        <f t="shared" si="343"/>
        <v>16044903.502938043</v>
      </c>
      <c r="AA308" s="26">
        <f>+Z308/'Fisico ASIG'!N308/24</f>
        <v>74.602882922595086</v>
      </c>
      <c r="AB308" s="26">
        <f>+$AB$21*1.1*Precios!$P$16/Precios!$W$16/Precios!$Q$16</f>
        <v>14.137513192195948</v>
      </c>
      <c r="AC308" s="29">
        <f t="shared" si="344"/>
        <v>60.465369730399139</v>
      </c>
      <c r="AI308" s="1">
        <v>7241</v>
      </c>
      <c r="AJ308" s="1">
        <v>5762594</v>
      </c>
      <c r="AK308">
        <f t="shared" si="195"/>
        <v>1.44</v>
      </c>
      <c r="AL308" s="40">
        <f t="shared" si="196"/>
        <v>8140.0083333333323</v>
      </c>
      <c r="AM308">
        <v>4100000</v>
      </c>
      <c r="AN308" s="117">
        <v>84.102386313747445</v>
      </c>
      <c r="AO308" s="64">
        <f t="shared" si="345"/>
        <v>5.2719110761779531</v>
      </c>
      <c r="AP308">
        <v>0</v>
      </c>
      <c r="AQ308" s="1">
        <v>0.85</v>
      </c>
    </row>
    <row r="309" spans="1:43" hidden="1" x14ac:dyDescent="0.3">
      <c r="A309" s="3">
        <v>1488.4530999999999</v>
      </c>
      <c r="B309" s="42">
        <v>1457.306</v>
      </c>
      <c r="C309" s="53">
        <f>+'Fisico ASIG'!A309</f>
        <v>2026</v>
      </c>
      <c r="D309" s="52">
        <f>+'Fisico ASIG'!B309</f>
        <v>46204</v>
      </c>
      <c r="E309" s="1">
        <f>+'Fisico ASIG'!C309</f>
        <v>31</v>
      </c>
      <c r="F309" s="56" t="str">
        <f t="shared" si="308"/>
        <v>dom</v>
      </c>
      <c r="G309" s="56">
        <f t="shared" si="309"/>
        <v>46215</v>
      </c>
      <c r="H309" s="17">
        <v>28</v>
      </c>
      <c r="I309" s="17">
        <f t="shared" ref="I309:I315" si="346">AI309/A309</f>
        <v>4.8647821016328967</v>
      </c>
      <c r="J309" s="17">
        <f t="shared" ref="J309:J315" si="347">+AL309/A309</f>
        <v>5.4687704525814969</v>
      </c>
      <c r="K309" s="83">
        <f t="shared" si="181"/>
        <v>6.8583333333333334</v>
      </c>
      <c r="L309" s="17">
        <v>27</v>
      </c>
      <c r="M309" s="17">
        <v>71.5</v>
      </c>
      <c r="N309" s="17">
        <f t="shared" ref="N309:N315" si="348">+AN309+AO309+AP309+AQ309</f>
        <v>109.33291091828171</v>
      </c>
      <c r="O309" s="17">
        <v>104.33863337951016</v>
      </c>
      <c r="P309" s="18">
        <f>SUMPRODUCT(H309:O309,'Fisico ASIG'!F309:M309)*24</f>
        <v>12041863.117334403</v>
      </c>
      <c r="Q309" s="43">
        <v>0</v>
      </c>
      <c r="R309" s="43">
        <f t="shared" ref="R309:R315" si="349">+AJ309*AK309/A309</f>
        <v>5575.0062665729938</v>
      </c>
      <c r="S309" s="43">
        <f t="shared" ref="S309:S315" si="350">+AM309/A309</f>
        <v>2754.5375799882445</v>
      </c>
      <c r="T309" s="43">
        <f t="shared" si="218"/>
        <v>1795.6376259798433</v>
      </c>
      <c r="U309" s="43">
        <v>18000</v>
      </c>
      <c r="V309" s="20">
        <v>0</v>
      </c>
      <c r="W309" s="20">
        <v>21900</v>
      </c>
      <c r="X309" s="20">
        <v>0</v>
      </c>
      <c r="Y309" s="18">
        <f>SUMPRODUCT(Q309:X309,'Fisico ASIG'!O309:V309)/E309</f>
        <v>5816902.4361715401</v>
      </c>
      <c r="Z309" s="25">
        <f t="shared" ref="Z309:Z315" si="351">+(P309+Y309)</f>
        <v>17858765.553505942</v>
      </c>
      <c r="AA309" s="26">
        <f>+Z309/'Fisico ASIG'!N309/24</f>
        <v>86.316243220249248</v>
      </c>
      <c r="AB309" s="26">
        <f>+$AB$21*1.1*Precios!$P$16/Precios!$W$16/Precios!$Q$16</f>
        <v>14.137513192195948</v>
      </c>
      <c r="AC309" s="29">
        <f t="shared" ref="AC309:AC315" si="352">+AA309-AB309</f>
        <v>72.178730028053295</v>
      </c>
      <c r="AI309" s="1">
        <v>7241</v>
      </c>
      <c r="AJ309" s="1">
        <v>5762594</v>
      </c>
      <c r="AK309">
        <f t="shared" si="195"/>
        <v>1.44</v>
      </c>
      <c r="AL309" s="40">
        <f t="shared" si="196"/>
        <v>8140.0083333333323</v>
      </c>
      <c r="AM309">
        <v>4100000</v>
      </c>
      <c r="AN309" s="117">
        <v>102.00272685553323</v>
      </c>
      <c r="AO309" s="64">
        <f t="shared" ref="AO309:AO315" si="353">0.075*0.9*(AN309-6)</f>
        <v>6.480184062748493</v>
      </c>
      <c r="AP309">
        <v>0</v>
      </c>
      <c r="AQ309" s="1">
        <v>0.85</v>
      </c>
    </row>
    <row r="310" spans="1:43" hidden="1" x14ac:dyDescent="0.3">
      <c r="A310" s="3">
        <v>1488.4530999999999</v>
      </c>
      <c r="B310" s="42">
        <v>1489.595</v>
      </c>
      <c r="C310" s="53">
        <f>+'Fisico ASIG'!A310</f>
        <v>2026</v>
      </c>
      <c r="D310" s="52">
        <f>+'Fisico ASIG'!B310</f>
        <v>46204</v>
      </c>
      <c r="E310" s="1">
        <f>+'Fisico ASIG'!C310</f>
        <v>31</v>
      </c>
      <c r="F310" s="56" t="str">
        <f t="shared" si="308"/>
        <v>lun</v>
      </c>
      <c r="G310" s="56">
        <f t="shared" si="309"/>
        <v>46216</v>
      </c>
      <c r="H310" s="17">
        <v>28</v>
      </c>
      <c r="I310" s="17">
        <f t="shared" si="346"/>
        <v>4.8647821016328967</v>
      </c>
      <c r="J310" s="17">
        <f t="shared" si="347"/>
        <v>5.4687704525814969</v>
      </c>
      <c r="K310" s="83">
        <f t="shared" si="181"/>
        <v>6.8583333333333334</v>
      </c>
      <c r="L310" s="17">
        <v>27</v>
      </c>
      <c r="M310" s="17">
        <v>71.5</v>
      </c>
      <c r="N310" s="17">
        <f t="shared" si="348"/>
        <v>115.94258340010428</v>
      </c>
      <c r="O310" s="17">
        <v>107.54395965078082</v>
      </c>
      <c r="P310" s="18">
        <f>SUMPRODUCT(H310:O310,'Fisico ASIG'!F310:M310)*24</f>
        <v>14109511.46808536</v>
      </c>
      <c r="Q310" s="43">
        <v>0</v>
      </c>
      <c r="R310" s="43">
        <f t="shared" si="349"/>
        <v>5575.0062665729938</v>
      </c>
      <c r="S310" s="43">
        <f t="shared" si="350"/>
        <v>2754.5375799882445</v>
      </c>
      <c r="T310" s="43">
        <f t="shared" si="218"/>
        <v>1795.6376259798433</v>
      </c>
      <c r="U310" s="43">
        <v>18000</v>
      </c>
      <c r="V310" s="20">
        <v>0</v>
      </c>
      <c r="W310" s="20">
        <v>21900</v>
      </c>
      <c r="X310" s="20">
        <v>0</v>
      </c>
      <c r="Y310" s="18">
        <f>SUMPRODUCT(Q310:X310,'Fisico ASIG'!O310:V310)/E310</f>
        <v>5819950.3360343557</v>
      </c>
      <c r="Z310" s="25">
        <f t="shared" si="351"/>
        <v>19929461.804119714</v>
      </c>
      <c r="AA310" s="26">
        <f>+Z310/'Fisico ASIG'!N310/24</f>
        <v>82.56591622283652</v>
      </c>
      <c r="AB310" s="26">
        <f>+$AB$21*1.1*Precios!$P$16/Precios!$W$16/Precios!$Q$16</f>
        <v>14.137513192195948</v>
      </c>
      <c r="AC310" s="29">
        <f t="shared" si="352"/>
        <v>68.428403030640567</v>
      </c>
      <c r="AI310" s="1">
        <v>7241</v>
      </c>
      <c r="AJ310" s="1">
        <v>5762594</v>
      </c>
      <c r="AK310">
        <f t="shared" si="195"/>
        <v>1.44</v>
      </c>
      <c r="AL310" s="40">
        <f t="shared" si="196"/>
        <v>8140.0083333333323</v>
      </c>
      <c r="AM310">
        <v>4100000</v>
      </c>
      <c r="AN310" s="117">
        <v>108.1944575176621</v>
      </c>
      <c r="AO310" s="64">
        <f t="shared" si="353"/>
        <v>6.8981258824421925</v>
      </c>
      <c r="AP310">
        <v>0</v>
      </c>
      <c r="AQ310" s="1">
        <v>0.85</v>
      </c>
    </row>
    <row r="311" spans="1:43" hidden="1" x14ac:dyDescent="0.3">
      <c r="A311" s="3">
        <v>1488.4530999999999</v>
      </c>
      <c r="B311" s="42">
        <v>1489.595</v>
      </c>
      <c r="C311" s="53">
        <f>+'Fisico ASIG'!A311</f>
        <v>2026</v>
      </c>
      <c r="D311" s="52">
        <f>+'Fisico ASIG'!B311</f>
        <v>46204</v>
      </c>
      <c r="E311" s="1">
        <f>+'Fisico ASIG'!C311</f>
        <v>31</v>
      </c>
      <c r="F311" s="56" t="str">
        <f t="shared" si="308"/>
        <v>mar</v>
      </c>
      <c r="G311" s="56">
        <f t="shared" si="309"/>
        <v>46217</v>
      </c>
      <c r="H311" s="17">
        <v>28</v>
      </c>
      <c r="I311" s="17">
        <f t="shared" si="346"/>
        <v>4.8647821016328967</v>
      </c>
      <c r="J311" s="17">
        <f t="shared" si="347"/>
        <v>5.4687704525814969</v>
      </c>
      <c r="K311" s="83">
        <f t="shared" si="181"/>
        <v>6.8583333333333334</v>
      </c>
      <c r="L311" s="17">
        <v>27</v>
      </c>
      <c r="M311" s="17">
        <v>71.5</v>
      </c>
      <c r="N311" s="17">
        <f t="shared" si="348"/>
        <v>99.653540237959319</v>
      </c>
      <c r="O311" s="17">
        <v>106.62069375836151</v>
      </c>
      <c r="P311" s="18">
        <f>SUMPRODUCT(H311:O311,'Fisico ASIG'!F311:M311)*24</f>
        <v>12795948.947575666</v>
      </c>
      <c r="Q311" s="43">
        <v>0</v>
      </c>
      <c r="R311" s="43">
        <f t="shared" si="349"/>
        <v>5575.0062665729938</v>
      </c>
      <c r="S311" s="43">
        <f t="shared" si="350"/>
        <v>2754.5375799882445</v>
      </c>
      <c r="T311" s="43">
        <f t="shared" si="218"/>
        <v>1795.6376259798433</v>
      </c>
      <c r="U311" s="43">
        <v>18000</v>
      </c>
      <c r="V311" s="20">
        <v>0</v>
      </c>
      <c r="W311" s="20">
        <v>21900</v>
      </c>
      <c r="X311" s="20">
        <v>0</v>
      </c>
      <c r="Y311" s="18">
        <f>SUMPRODUCT(Q311:X311,'Fisico ASIG'!O311:V311)/E311</f>
        <v>5796414.9397029337</v>
      </c>
      <c r="Z311" s="25">
        <f t="shared" si="351"/>
        <v>18592363.887278602</v>
      </c>
      <c r="AA311" s="26">
        <f>+Z311/'Fisico ASIG'!N311/24</f>
        <v>79.44539078505386</v>
      </c>
      <c r="AB311" s="26">
        <f>+$AB$21*1.1*Precios!$P$16/Precios!$W$16/Precios!$Q$16</f>
        <v>14.137513192195948</v>
      </c>
      <c r="AC311" s="29">
        <f t="shared" si="352"/>
        <v>65.307877592857906</v>
      </c>
      <c r="AI311" s="1">
        <v>7241</v>
      </c>
      <c r="AJ311" s="1">
        <v>5762594</v>
      </c>
      <c r="AK311">
        <f t="shared" si="195"/>
        <v>1.44</v>
      </c>
      <c r="AL311" s="40">
        <f t="shared" si="196"/>
        <v>8140.0083333333323</v>
      </c>
      <c r="AM311">
        <v>4100000</v>
      </c>
      <c r="AN311" s="117">
        <v>92.935400691296792</v>
      </c>
      <c r="AO311" s="64">
        <f t="shared" si="353"/>
        <v>5.8681395466625341</v>
      </c>
      <c r="AP311">
        <v>0</v>
      </c>
      <c r="AQ311" s="1">
        <v>0.85</v>
      </c>
    </row>
    <row r="312" spans="1:43" hidden="1" x14ac:dyDescent="0.3">
      <c r="A312" s="3">
        <v>1488.4530999999999</v>
      </c>
      <c r="B312" s="42">
        <v>1489.595</v>
      </c>
      <c r="C312" s="53">
        <f>+'Fisico ASIG'!A312</f>
        <v>2026</v>
      </c>
      <c r="D312" s="52">
        <f>+'Fisico ASIG'!B312</f>
        <v>46204</v>
      </c>
      <c r="E312" s="1">
        <f>+'Fisico ASIG'!C312</f>
        <v>31</v>
      </c>
      <c r="F312" s="56" t="str">
        <f t="shared" si="308"/>
        <v>mié</v>
      </c>
      <c r="G312" s="56">
        <f t="shared" si="309"/>
        <v>46218</v>
      </c>
      <c r="H312" s="17">
        <v>28</v>
      </c>
      <c r="I312" s="17">
        <f t="shared" si="346"/>
        <v>4.8647821016328967</v>
      </c>
      <c r="J312" s="17">
        <f t="shared" si="347"/>
        <v>5.4687704525814969</v>
      </c>
      <c r="K312" s="83">
        <f t="shared" si="181"/>
        <v>6.8583333333333334</v>
      </c>
      <c r="L312" s="17">
        <v>27</v>
      </c>
      <c r="M312" s="17">
        <v>71.5</v>
      </c>
      <c r="N312" s="17">
        <f t="shared" si="348"/>
        <v>100.84443022350784</v>
      </c>
      <c r="O312" s="17">
        <v>103.3971727656905</v>
      </c>
      <c r="P312" s="18">
        <f>SUMPRODUCT(H312:O312,'Fisico ASIG'!F312:M312)*24</f>
        <v>12067112.834687583</v>
      </c>
      <c r="Q312" s="43">
        <v>0</v>
      </c>
      <c r="R312" s="43">
        <f t="shared" si="349"/>
        <v>5575.0062665729938</v>
      </c>
      <c r="S312" s="43">
        <f t="shared" si="350"/>
        <v>2754.5375799882445</v>
      </c>
      <c r="T312" s="43">
        <f t="shared" si="218"/>
        <v>1795.6376259798433</v>
      </c>
      <c r="U312" s="43">
        <v>18000</v>
      </c>
      <c r="V312" s="20">
        <v>0</v>
      </c>
      <c r="W312" s="20">
        <v>21900</v>
      </c>
      <c r="X312" s="20">
        <v>0</v>
      </c>
      <c r="Y312" s="18">
        <f>SUMPRODUCT(Q312:X312,'Fisico ASIG'!O312:V312)/E312</f>
        <v>5813073.2591591291</v>
      </c>
      <c r="Z312" s="25">
        <f t="shared" si="351"/>
        <v>17880186.093846712</v>
      </c>
      <c r="AA312" s="26">
        <f>+Z312/'Fisico ASIG'!N312/24</f>
        <v>79.863888220997552</v>
      </c>
      <c r="AB312" s="26">
        <f>+$AB$21*1.1*Precios!$P$16/Precios!$W$16/Precios!$Q$16</f>
        <v>14.137513192195948</v>
      </c>
      <c r="AC312" s="29">
        <f t="shared" si="352"/>
        <v>65.726375028801598</v>
      </c>
      <c r="AI312" s="1">
        <v>7241</v>
      </c>
      <c r="AJ312" s="1">
        <v>5762594</v>
      </c>
      <c r="AK312">
        <f t="shared" si="195"/>
        <v>1.44</v>
      </c>
      <c r="AL312" s="40">
        <f t="shared" si="196"/>
        <v>8140.0083333333323</v>
      </c>
      <c r="AM312">
        <v>4100000</v>
      </c>
      <c r="AN312" s="117">
        <v>94.050988499773155</v>
      </c>
      <c r="AO312" s="64">
        <f t="shared" si="353"/>
        <v>5.9434417237346882</v>
      </c>
      <c r="AP312">
        <v>0</v>
      </c>
      <c r="AQ312" s="1">
        <v>0.85</v>
      </c>
    </row>
    <row r="313" spans="1:43" hidden="1" x14ac:dyDescent="0.3">
      <c r="A313" s="3">
        <v>1488.4530999999999</v>
      </c>
      <c r="B313" s="42">
        <v>1489.595</v>
      </c>
      <c r="C313" s="53">
        <f>+'Fisico ASIG'!A313</f>
        <v>2026</v>
      </c>
      <c r="D313" s="52">
        <f>+'Fisico ASIG'!B313</f>
        <v>46204</v>
      </c>
      <c r="E313" s="1">
        <f>+'Fisico ASIG'!C313</f>
        <v>31</v>
      </c>
      <c r="F313" s="56" t="str">
        <f t="shared" si="308"/>
        <v>jue</v>
      </c>
      <c r="G313" s="56">
        <f t="shared" si="309"/>
        <v>46219</v>
      </c>
      <c r="H313" s="17">
        <v>28</v>
      </c>
      <c r="I313" s="17">
        <f t="shared" si="346"/>
        <v>4.8647821016328967</v>
      </c>
      <c r="J313" s="17">
        <f t="shared" si="347"/>
        <v>5.4687704525814969</v>
      </c>
      <c r="K313" s="83">
        <f t="shared" si="181"/>
        <v>6.8583333333333334</v>
      </c>
      <c r="L313" s="17">
        <v>27</v>
      </c>
      <c r="M313" s="17">
        <v>71.5</v>
      </c>
      <c r="N313" s="17">
        <f t="shared" si="348"/>
        <v>96.566151053172916</v>
      </c>
      <c r="O313" s="17">
        <v>107.81914087475468</v>
      </c>
      <c r="P313" s="18">
        <f>SUMPRODUCT(H313:O313,'Fisico ASIG'!F313:M313)*24</f>
        <v>10952138.916258838</v>
      </c>
      <c r="Q313" s="43">
        <v>0</v>
      </c>
      <c r="R313" s="43">
        <f t="shared" si="349"/>
        <v>5575.0062665729938</v>
      </c>
      <c r="S313" s="43">
        <f t="shared" si="350"/>
        <v>2754.5375799882445</v>
      </c>
      <c r="T313" s="43">
        <f t="shared" si="218"/>
        <v>1795.6376259798433</v>
      </c>
      <c r="U313" s="43">
        <v>18000</v>
      </c>
      <c r="V313" s="20">
        <v>0</v>
      </c>
      <c r="W313" s="20">
        <v>21900</v>
      </c>
      <c r="X313" s="20">
        <v>0</v>
      </c>
      <c r="Y313" s="18">
        <f>SUMPRODUCT(Q313:X313,'Fisico ASIG'!O313:V313)/E313</f>
        <v>5729581.1594501873</v>
      </c>
      <c r="Z313" s="25">
        <f t="shared" si="351"/>
        <v>16681720.075709026</v>
      </c>
      <c r="AA313" s="26">
        <f>+Z313/'Fisico ASIG'!N313/24</f>
        <v>80.297080093720083</v>
      </c>
      <c r="AB313" s="26">
        <f>+$AB$21*1.1*Precios!$P$16/Precios!$W$16/Precios!$Q$16</f>
        <v>14.137513192195948</v>
      </c>
      <c r="AC313" s="29">
        <f t="shared" si="352"/>
        <v>66.15956690152413</v>
      </c>
      <c r="AI313" s="1">
        <v>7241</v>
      </c>
      <c r="AJ313" s="1">
        <v>5762594</v>
      </c>
      <c r="AK313">
        <f t="shared" si="195"/>
        <v>1.44</v>
      </c>
      <c r="AL313" s="40">
        <f t="shared" si="196"/>
        <v>8140.0083333333323</v>
      </c>
      <c r="AM313">
        <v>4100000</v>
      </c>
      <c r="AN313" s="117">
        <v>90.04323283669595</v>
      </c>
      <c r="AO313" s="64">
        <f t="shared" si="353"/>
        <v>5.6729182164769769</v>
      </c>
      <c r="AP313">
        <v>0</v>
      </c>
      <c r="AQ313" s="1">
        <v>0.85</v>
      </c>
    </row>
    <row r="314" spans="1:43" hidden="1" x14ac:dyDescent="0.3">
      <c r="A314" s="3">
        <v>1488.4530999999999</v>
      </c>
      <c r="B314" s="42">
        <v>1489.595</v>
      </c>
      <c r="C314" s="53">
        <f>+'Fisico ASIG'!A314</f>
        <v>2026</v>
      </c>
      <c r="D314" s="52">
        <f>+'Fisico ASIG'!B314</f>
        <v>46204</v>
      </c>
      <c r="E314" s="1">
        <f>+'Fisico ASIG'!C314</f>
        <v>31</v>
      </c>
      <c r="F314" s="56" t="str">
        <f t="shared" si="308"/>
        <v>vie</v>
      </c>
      <c r="G314" s="56">
        <f t="shared" si="309"/>
        <v>46220</v>
      </c>
      <c r="H314" s="17">
        <v>28</v>
      </c>
      <c r="I314" s="17">
        <f t="shared" si="346"/>
        <v>4.8647821016328967</v>
      </c>
      <c r="J314" s="17">
        <f t="shared" si="347"/>
        <v>5.4687704525814969</v>
      </c>
      <c r="K314" s="83">
        <f t="shared" si="181"/>
        <v>6.8583333333333334</v>
      </c>
      <c r="L314" s="17">
        <v>27</v>
      </c>
      <c r="M314" s="17">
        <v>71.5</v>
      </c>
      <c r="N314" s="17">
        <f t="shared" si="348"/>
        <v>84.065844312058275</v>
      </c>
      <c r="O314" s="17">
        <v>88.330627801552808</v>
      </c>
      <c r="P314" s="18">
        <f>SUMPRODUCT(H314:O314,'Fisico ASIG'!F314:M314)*24</f>
        <v>9807572.14907787</v>
      </c>
      <c r="Q314" s="43">
        <v>0</v>
      </c>
      <c r="R314" s="43">
        <f t="shared" si="349"/>
        <v>5575.0062665729938</v>
      </c>
      <c r="S314" s="43">
        <f t="shared" si="350"/>
        <v>2754.5375799882445</v>
      </c>
      <c r="T314" s="43">
        <f t="shared" si="218"/>
        <v>1795.6376259798433</v>
      </c>
      <c r="U314" s="43">
        <v>18000</v>
      </c>
      <c r="V314" s="20">
        <v>0</v>
      </c>
      <c r="W314" s="20">
        <v>21900</v>
      </c>
      <c r="X314" s="20">
        <v>0</v>
      </c>
      <c r="Y314" s="18">
        <f>SUMPRODUCT(Q314:X314,'Fisico ASIG'!O314:V314)/E314</f>
        <v>5645698.0993539318</v>
      </c>
      <c r="Z314" s="25">
        <f t="shared" si="351"/>
        <v>15453270.248431802</v>
      </c>
      <c r="AA314" s="26">
        <f>+Z314/'Fisico ASIG'!N314/24</f>
        <v>75.90679059852512</v>
      </c>
      <c r="AB314" s="26">
        <f>+$AB$21*1.1*Precios!$P$16/Precios!$W$16/Precios!$Q$16</f>
        <v>14.137513192195948</v>
      </c>
      <c r="AC314" s="29">
        <f t="shared" si="352"/>
        <v>61.769277406329174</v>
      </c>
      <c r="AI314" s="1">
        <v>7241</v>
      </c>
      <c r="AJ314" s="1">
        <v>5762594</v>
      </c>
      <c r="AK314">
        <f t="shared" si="195"/>
        <v>1.44</v>
      </c>
      <c r="AL314" s="40">
        <f t="shared" si="196"/>
        <v>8140.0083333333323</v>
      </c>
      <c r="AM314">
        <v>4100000</v>
      </c>
      <c r="AN314" s="117">
        <v>78.333343617853188</v>
      </c>
      <c r="AO314" s="64">
        <f t="shared" si="353"/>
        <v>4.8825006942050901</v>
      </c>
      <c r="AP314">
        <v>0</v>
      </c>
      <c r="AQ314" s="1">
        <v>0.85</v>
      </c>
    </row>
    <row r="315" spans="1:43" hidden="1" x14ac:dyDescent="0.3">
      <c r="A315" s="3">
        <v>1488.4530999999999</v>
      </c>
      <c r="B315" s="42">
        <v>1489.595</v>
      </c>
      <c r="C315" s="53">
        <f>+'Fisico ASIG'!A315</f>
        <v>2026</v>
      </c>
      <c r="D315" s="52">
        <f>+'Fisico ASIG'!B315</f>
        <v>46204</v>
      </c>
      <c r="E315" s="1">
        <f>+'Fisico ASIG'!C315</f>
        <v>31</v>
      </c>
      <c r="F315" s="56" t="str">
        <f t="shared" si="308"/>
        <v>sáb</v>
      </c>
      <c r="G315" s="56">
        <f t="shared" si="309"/>
        <v>46221</v>
      </c>
      <c r="H315" s="17">
        <v>28</v>
      </c>
      <c r="I315" s="17">
        <f t="shared" si="346"/>
        <v>4.8647821016328967</v>
      </c>
      <c r="J315" s="17">
        <f t="shared" si="347"/>
        <v>5.4687704525814969</v>
      </c>
      <c r="K315" s="83">
        <f t="shared" si="181"/>
        <v>6.8583333333333334</v>
      </c>
      <c r="L315" s="17">
        <v>27</v>
      </c>
      <c r="M315" s="17">
        <v>71.5</v>
      </c>
      <c r="N315" s="17">
        <f t="shared" si="348"/>
        <v>66.836156001976633</v>
      </c>
      <c r="O315" s="17">
        <v>77.0175371107091</v>
      </c>
      <c r="P315" s="18">
        <f>SUMPRODUCT(H315:O315,'Fisico ASIG'!F315:M315)*24</f>
        <v>7694651.9436762445</v>
      </c>
      <c r="Q315" s="43">
        <v>0</v>
      </c>
      <c r="R315" s="43">
        <f t="shared" si="349"/>
        <v>5575.0062665729938</v>
      </c>
      <c r="S315" s="43">
        <f t="shared" si="350"/>
        <v>2754.5375799882445</v>
      </c>
      <c r="T315" s="43">
        <f t="shared" si="218"/>
        <v>1795.6376259798433</v>
      </c>
      <c r="U315" s="43">
        <v>18000</v>
      </c>
      <c r="V315" s="20">
        <v>0</v>
      </c>
      <c r="W315" s="20">
        <v>21900</v>
      </c>
      <c r="X315" s="20">
        <v>0</v>
      </c>
      <c r="Y315" s="18">
        <f>SUMPRODUCT(Q315:X315,'Fisico ASIG'!O315:V315)/E315</f>
        <v>5687761.8023133222</v>
      </c>
      <c r="Z315" s="25">
        <f t="shared" si="351"/>
        <v>13382413.745989567</v>
      </c>
      <c r="AA315" s="26">
        <f>+Z315/'Fisico ASIG'!N315/24</f>
        <v>69.152778853483753</v>
      </c>
      <c r="AB315" s="26">
        <f>+$AB$21*1.1*Precios!$P$16/Precios!$W$16/Precios!$Q$16</f>
        <v>14.137513192195948</v>
      </c>
      <c r="AC315" s="29">
        <f t="shared" si="352"/>
        <v>55.015265661287806</v>
      </c>
      <c r="AI315" s="1">
        <v>7241</v>
      </c>
      <c r="AJ315" s="1">
        <v>5762594</v>
      </c>
      <c r="AK315">
        <f t="shared" si="195"/>
        <v>1.44</v>
      </c>
      <c r="AL315" s="40">
        <f t="shared" si="196"/>
        <v>8140.0083333333323</v>
      </c>
      <c r="AM315">
        <v>4100000</v>
      </c>
      <c r="AN315" s="117">
        <v>62.193120376558909</v>
      </c>
      <c r="AO315" s="64">
        <f t="shared" si="353"/>
        <v>3.7930356254177267</v>
      </c>
      <c r="AP315">
        <v>0</v>
      </c>
      <c r="AQ315" s="1">
        <v>0.85</v>
      </c>
    </row>
    <row r="316" spans="1:43" hidden="1" x14ac:dyDescent="0.3">
      <c r="A316" s="3">
        <v>1488.4530999999999</v>
      </c>
      <c r="B316" s="42">
        <v>1489.595</v>
      </c>
      <c r="C316" s="53">
        <f>+'Fisico ASIG'!A316</f>
        <v>2026</v>
      </c>
      <c r="D316" s="52">
        <f>+'Fisico ASIG'!B316</f>
        <v>46204</v>
      </c>
      <c r="E316" s="1">
        <f>+'Fisico ASIG'!C316</f>
        <v>31</v>
      </c>
      <c r="F316" s="56" t="str">
        <f t="shared" si="308"/>
        <v>dom</v>
      </c>
      <c r="G316" s="56">
        <f t="shared" si="309"/>
        <v>46222</v>
      </c>
      <c r="H316" s="17">
        <v>28</v>
      </c>
      <c r="I316" s="17">
        <f t="shared" ref="I316:I322" si="354">AI316/A316</f>
        <v>4.8647821016328967</v>
      </c>
      <c r="J316" s="17">
        <f t="shared" ref="J316:J322" si="355">+AL316/A316</f>
        <v>5.4687704525814969</v>
      </c>
      <c r="K316" s="83">
        <f t="shared" si="181"/>
        <v>6.8583333333333334</v>
      </c>
      <c r="L316" s="17">
        <v>27</v>
      </c>
      <c r="M316" s="17">
        <v>71.5</v>
      </c>
      <c r="N316" s="17">
        <f t="shared" ref="N316:N322" si="356">+AN316+AO316+AP316+AQ316</f>
        <v>71.269664795998381</v>
      </c>
      <c r="O316" s="17">
        <v>75.871274969963864</v>
      </c>
      <c r="P316" s="18">
        <f>SUMPRODUCT(H316:O316,'Fisico ASIG'!F316:M316)*24</f>
        <v>7949243.0942644365</v>
      </c>
      <c r="Q316" s="43">
        <v>0</v>
      </c>
      <c r="R316" s="43">
        <f t="shared" ref="R316:R322" si="357">+AJ316*AK316/A316</f>
        <v>5575.0062665729938</v>
      </c>
      <c r="S316" s="43">
        <f t="shared" ref="S316:S322" si="358">+AM316/A316</f>
        <v>2754.5375799882445</v>
      </c>
      <c r="T316" s="43">
        <f t="shared" si="218"/>
        <v>1795.6376259798433</v>
      </c>
      <c r="U316" s="43">
        <v>18000</v>
      </c>
      <c r="V316" s="20">
        <v>0</v>
      </c>
      <c r="W316" s="20">
        <v>21900</v>
      </c>
      <c r="X316" s="20">
        <v>0</v>
      </c>
      <c r="Y316" s="18">
        <f>SUMPRODUCT(Q316:X316,'Fisico ASIG'!O316:V316)/E316</f>
        <v>5813925.823693308</v>
      </c>
      <c r="Z316" s="25">
        <f t="shared" ref="Z316:Z322" si="359">+(P316+Y316)</f>
        <v>13763168.917957745</v>
      </c>
      <c r="AA316" s="26">
        <f>+Z316/'Fisico ASIG'!N316/24</f>
        <v>70.989654288586664</v>
      </c>
      <c r="AB316" s="26">
        <f>+$AB$21*1.1*Precios!$P$16/Precios!$W$16/Precios!$Q$16</f>
        <v>14.137513192195948</v>
      </c>
      <c r="AC316" s="29">
        <f t="shared" ref="AC316:AC322" si="360">+AA316-AB316</f>
        <v>56.852141096390717</v>
      </c>
      <c r="AI316" s="1">
        <v>7241</v>
      </c>
      <c r="AJ316" s="1">
        <v>5762594</v>
      </c>
      <c r="AK316">
        <f t="shared" si="195"/>
        <v>1.44</v>
      </c>
      <c r="AL316" s="40">
        <f t="shared" si="196"/>
        <v>8140.0083333333323</v>
      </c>
      <c r="AM316">
        <v>4100000</v>
      </c>
      <c r="AN316" s="117">
        <v>66.346290207024254</v>
      </c>
      <c r="AO316" s="64">
        <f t="shared" ref="AO316:AO322" si="361">0.075*0.9*(AN316-6)</f>
        <v>4.0733745889741373</v>
      </c>
      <c r="AP316">
        <v>0</v>
      </c>
      <c r="AQ316" s="1">
        <v>0.85</v>
      </c>
    </row>
    <row r="317" spans="1:43" hidden="1" x14ac:dyDescent="0.3">
      <c r="A317" s="3">
        <v>1488.4530999999999</v>
      </c>
      <c r="B317" s="42">
        <v>1489.595</v>
      </c>
      <c r="C317" s="53">
        <f>+'Fisico ASIG'!A317</f>
        <v>2026</v>
      </c>
      <c r="D317" s="52">
        <f>+'Fisico ASIG'!B317</f>
        <v>46204</v>
      </c>
      <c r="E317" s="1">
        <f>+'Fisico ASIG'!C317</f>
        <v>31</v>
      </c>
      <c r="F317" s="56" t="str">
        <f t="shared" si="308"/>
        <v>lun</v>
      </c>
      <c r="G317" s="56">
        <f t="shared" si="309"/>
        <v>46223</v>
      </c>
      <c r="H317" s="17">
        <v>28</v>
      </c>
      <c r="I317" s="17">
        <f t="shared" si="354"/>
        <v>4.8647821016328967</v>
      </c>
      <c r="J317" s="17">
        <f t="shared" si="355"/>
        <v>5.4687704525814969</v>
      </c>
      <c r="K317" s="83">
        <f t="shared" si="181"/>
        <v>6.8583333333333334</v>
      </c>
      <c r="L317" s="17">
        <v>27</v>
      </c>
      <c r="M317" s="17">
        <v>71.5</v>
      </c>
      <c r="N317" s="17">
        <f t="shared" si="356"/>
        <v>104.88074507483434</v>
      </c>
      <c r="O317" s="17">
        <v>94.144329523763261</v>
      </c>
      <c r="P317" s="18">
        <f>SUMPRODUCT(H317:O317,'Fisico ASIG'!F317:M317)*24</f>
        <v>11188809.530278269</v>
      </c>
      <c r="Q317" s="43">
        <v>0</v>
      </c>
      <c r="R317" s="43">
        <f t="shared" si="357"/>
        <v>5575.0062665729938</v>
      </c>
      <c r="S317" s="43">
        <f t="shared" si="358"/>
        <v>2754.5375799882445</v>
      </c>
      <c r="T317" s="43">
        <f t="shared" si="218"/>
        <v>1795.6376259798433</v>
      </c>
      <c r="U317" s="43">
        <v>18000</v>
      </c>
      <c r="V317" s="20">
        <v>0</v>
      </c>
      <c r="W317" s="20">
        <v>21900</v>
      </c>
      <c r="X317" s="20">
        <v>0</v>
      </c>
      <c r="Y317" s="18">
        <f>SUMPRODUCT(Q317:X317,'Fisico ASIG'!O317:V317)/E317</f>
        <v>5847469.472178732</v>
      </c>
      <c r="Z317" s="25">
        <f t="shared" si="359"/>
        <v>17036279.002457</v>
      </c>
      <c r="AA317" s="26">
        <f>+Z317/'Fisico ASIG'!N317/24</f>
        <v>74.258996900855706</v>
      </c>
      <c r="AB317" s="26">
        <f>+$AB$21*1.1*Precios!$P$16/Precios!$W$16/Precios!$Q$16</f>
        <v>14.137513192195948</v>
      </c>
      <c r="AC317" s="29">
        <f t="shared" si="360"/>
        <v>60.12148370865976</v>
      </c>
      <c r="AI317" s="1">
        <v>7241</v>
      </c>
      <c r="AJ317" s="1">
        <v>5762594</v>
      </c>
      <c r="AK317">
        <f t="shared" si="195"/>
        <v>1.44</v>
      </c>
      <c r="AL317" s="40">
        <f t="shared" si="196"/>
        <v>8140.0083333333323</v>
      </c>
      <c r="AM317">
        <v>4100000</v>
      </c>
      <c r="AN317" s="117">
        <v>97.832079695395166</v>
      </c>
      <c r="AO317" s="64">
        <f t="shared" si="361"/>
        <v>6.1986653794391744</v>
      </c>
      <c r="AP317">
        <v>0</v>
      </c>
      <c r="AQ317" s="1">
        <v>0.85</v>
      </c>
    </row>
    <row r="318" spans="1:43" hidden="1" x14ac:dyDescent="0.3">
      <c r="A318" s="3">
        <v>1488.4530999999999</v>
      </c>
      <c r="B318" s="42">
        <v>1489.595</v>
      </c>
      <c r="C318" s="53">
        <f>+'Fisico ASIG'!A318</f>
        <v>2026</v>
      </c>
      <c r="D318" s="52">
        <f>+'Fisico ASIG'!B318</f>
        <v>46204</v>
      </c>
      <c r="E318" s="1">
        <f>+'Fisico ASIG'!C318</f>
        <v>31</v>
      </c>
      <c r="F318" s="56" t="str">
        <f t="shared" si="308"/>
        <v>mar</v>
      </c>
      <c r="G318" s="56">
        <f t="shared" si="309"/>
        <v>46224</v>
      </c>
      <c r="H318" s="17">
        <v>28</v>
      </c>
      <c r="I318" s="17">
        <f t="shared" si="354"/>
        <v>4.8647821016328967</v>
      </c>
      <c r="J318" s="17">
        <f t="shared" si="355"/>
        <v>5.4687704525814969</v>
      </c>
      <c r="K318" s="83">
        <f t="shared" si="181"/>
        <v>6.8583333333333334</v>
      </c>
      <c r="L318" s="17">
        <v>27</v>
      </c>
      <c r="M318" s="17">
        <v>71.5</v>
      </c>
      <c r="N318" s="17">
        <f t="shared" si="356"/>
        <v>118.40046622894428</v>
      </c>
      <c r="O318" s="17">
        <v>105.8196307272807</v>
      </c>
      <c r="P318" s="18">
        <f>SUMPRODUCT(H318:O318,'Fisico ASIG'!F318:M318)*24</f>
        <v>11819228.453232627</v>
      </c>
      <c r="Q318" s="43">
        <v>0</v>
      </c>
      <c r="R318" s="43">
        <f t="shared" si="357"/>
        <v>5575.0062665729938</v>
      </c>
      <c r="S318" s="43">
        <f t="shared" si="358"/>
        <v>2754.5375799882445</v>
      </c>
      <c r="T318" s="43">
        <f t="shared" si="218"/>
        <v>1795.6376259798433</v>
      </c>
      <c r="U318" s="43">
        <v>18000</v>
      </c>
      <c r="V318" s="20">
        <v>0</v>
      </c>
      <c r="W318" s="20">
        <v>21900</v>
      </c>
      <c r="X318" s="20">
        <v>0</v>
      </c>
      <c r="Y318" s="18">
        <f>SUMPRODUCT(Q318:X318,'Fisico ASIG'!O318:V318)/E318</f>
        <v>5785472.8705799961</v>
      </c>
      <c r="Z318" s="25">
        <f t="shared" si="359"/>
        <v>17604701.323812623</v>
      </c>
      <c r="AA318" s="26">
        <f>+Z318/'Fisico ASIG'!N318/24</f>
        <v>72.58442236217185</v>
      </c>
      <c r="AB318" s="26">
        <f>+$AB$21*1.1*Precios!$P$16/Precios!$W$16/Precios!$Q$16</f>
        <v>14.137513192195948</v>
      </c>
      <c r="AC318" s="29">
        <f t="shared" si="360"/>
        <v>58.446909169975903</v>
      </c>
      <c r="AI318" s="1">
        <v>7241</v>
      </c>
      <c r="AJ318" s="1">
        <v>5762594</v>
      </c>
      <c r="AK318">
        <f t="shared" si="195"/>
        <v>1.44</v>
      </c>
      <c r="AL318" s="40">
        <f t="shared" si="196"/>
        <v>8140.0083333333323</v>
      </c>
      <c r="AM318">
        <v>4100000</v>
      </c>
      <c r="AN318" s="117">
        <v>110.4969238678635</v>
      </c>
      <c r="AO318" s="64">
        <f t="shared" si="361"/>
        <v>7.0535423610807868</v>
      </c>
      <c r="AP318">
        <v>0</v>
      </c>
      <c r="AQ318" s="1">
        <v>0.85</v>
      </c>
    </row>
    <row r="319" spans="1:43" hidden="1" x14ac:dyDescent="0.3">
      <c r="A319" s="3">
        <v>1488.4530999999999</v>
      </c>
      <c r="B319" s="42">
        <v>1489.595</v>
      </c>
      <c r="C319" s="53">
        <f>+'Fisico ASIG'!A319</f>
        <v>2026</v>
      </c>
      <c r="D319" s="52">
        <f>+'Fisico ASIG'!B319</f>
        <v>46204</v>
      </c>
      <c r="E319" s="1">
        <f>+'Fisico ASIG'!C319</f>
        <v>31</v>
      </c>
      <c r="F319" s="56" t="str">
        <f t="shared" si="308"/>
        <v>mié</v>
      </c>
      <c r="G319" s="56">
        <f t="shared" si="309"/>
        <v>46225</v>
      </c>
      <c r="H319" s="17">
        <v>28</v>
      </c>
      <c r="I319" s="17">
        <f t="shared" si="354"/>
        <v>4.8647821016328967</v>
      </c>
      <c r="J319" s="17">
        <f t="shared" si="355"/>
        <v>5.4687704525814969</v>
      </c>
      <c r="K319" s="83">
        <f t="shared" si="181"/>
        <v>6.8583333333333334</v>
      </c>
      <c r="L319" s="17">
        <v>27</v>
      </c>
      <c r="M319" s="17">
        <v>71.5</v>
      </c>
      <c r="N319" s="17">
        <f t="shared" si="356"/>
        <v>118.8600638679432</v>
      </c>
      <c r="O319" s="17">
        <v>107.17042884175771</v>
      </c>
      <c r="P319" s="18">
        <f>SUMPRODUCT(H319:O319,'Fisico ASIG'!F319:M319)*24</f>
        <v>12993725.310295556</v>
      </c>
      <c r="Q319" s="43">
        <v>0</v>
      </c>
      <c r="R319" s="43">
        <f t="shared" si="357"/>
        <v>5575.0062665729938</v>
      </c>
      <c r="S319" s="43">
        <f t="shared" si="358"/>
        <v>2754.5375799882445</v>
      </c>
      <c r="T319" s="43">
        <f t="shared" si="218"/>
        <v>1795.6376259798433</v>
      </c>
      <c r="U319" s="43">
        <v>18000</v>
      </c>
      <c r="V319" s="20">
        <v>0</v>
      </c>
      <c r="W319" s="20">
        <v>21900</v>
      </c>
      <c r="X319" s="20">
        <v>0</v>
      </c>
      <c r="Y319" s="18">
        <f>SUMPRODUCT(Q319:X319,'Fisico ASIG'!O319:V319)/E319</f>
        <v>5691949.4152283696</v>
      </c>
      <c r="Z319" s="25">
        <f t="shared" si="359"/>
        <v>18685674.725523926</v>
      </c>
      <c r="AA319" s="26">
        <f>+Z319/'Fisico ASIG'!N319/24</f>
        <v>74.205838214076422</v>
      </c>
      <c r="AB319" s="26">
        <f>+$AB$21*1.1*Precios!$P$16/Precios!$W$16/Precios!$Q$16</f>
        <v>14.137513192195948</v>
      </c>
      <c r="AC319" s="29">
        <f t="shared" si="360"/>
        <v>60.068325021880476</v>
      </c>
      <c r="AI319" s="1">
        <v>7241</v>
      </c>
      <c r="AJ319" s="1">
        <v>5762594</v>
      </c>
      <c r="AK319">
        <f t="shared" si="195"/>
        <v>1.44</v>
      </c>
      <c r="AL319" s="40">
        <f t="shared" si="196"/>
        <v>8140.0083333333323</v>
      </c>
      <c r="AM319">
        <v>4100000</v>
      </c>
      <c r="AN319" s="117">
        <v>110.92746029783906</v>
      </c>
      <c r="AO319" s="64">
        <f t="shared" si="361"/>
        <v>7.082603570104137</v>
      </c>
      <c r="AP319">
        <v>0</v>
      </c>
      <c r="AQ319" s="1">
        <v>0.85</v>
      </c>
    </row>
    <row r="320" spans="1:43" hidden="1" x14ac:dyDescent="0.3">
      <c r="A320" s="3">
        <v>1488.4530999999999</v>
      </c>
      <c r="B320" s="42">
        <v>1489.595</v>
      </c>
      <c r="C320" s="53">
        <f>+'Fisico ASIG'!A320</f>
        <v>2026</v>
      </c>
      <c r="D320" s="52">
        <f>+'Fisico ASIG'!B320</f>
        <v>46204</v>
      </c>
      <c r="E320" s="1">
        <f>+'Fisico ASIG'!C320</f>
        <v>31</v>
      </c>
      <c r="F320" s="56" t="str">
        <f t="shared" si="308"/>
        <v>jue</v>
      </c>
      <c r="G320" s="56">
        <f t="shared" si="309"/>
        <v>46226</v>
      </c>
      <c r="H320" s="17">
        <v>28</v>
      </c>
      <c r="I320" s="17">
        <f t="shared" si="354"/>
        <v>4.8647821016328967</v>
      </c>
      <c r="J320" s="17">
        <f t="shared" si="355"/>
        <v>5.4687704525814969</v>
      </c>
      <c r="K320" s="83">
        <f t="shared" si="181"/>
        <v>6.8583333333333334</v>
      </c>
      <c r="L320" s="17">
        <v>27</v>
      </c>
      <c r="M320" s="17">
        <v>71.5</v>
      </c>
      <c r="N320" s="17">
        <f t="shared" si="356"/>
        <v>124.64015572587572</v>
      </c>
      <c r="O320" s="17">
        <v>110.48934985514875</v>
      </c>
      <c r="P320" s="18">
        <f>SUMPRODUCT(H320:O320,'Fisico ASIG'!F320:M320)*24</f>
        <v>13954615.439983793</v>
      </c>
      <c r="Q320" s="43">
        <v>0</v>
      </c>
      <c r="R320" s="43">
        <f t="shared" si="357"/>
        <v>5575.0062665729938</v>
      </c>
      <c r="S320" s="43">
        <f t="shared" si="358"/>
        <v>2754.5375799882445</v>
      </c>
      <c r="T320" s="43">
        <f t="shared" si="218"/>
        <v>1795.6376259798433</v>
      </c>
      <c r="U320" s="43">
        <v>18000</v>
      </c>
      <c r="V320" s="20">
        <v>0</v>
      </c>
      <c r="W320" s="20">
        <v>21900</v>
      </c>
      <c r="X320" s="20">
        <v>0</v>
      </c>
      <c r="Y320" s="18">
        <f>SUMPRODUCT(Q320:X320,'Fisico ASIG'!O320:V320)/E320</f>
        <v>5848893.2138409149</v>
      </c>
      <c r="Z320" s="25">
        <f t="shared" si="359"/>
        <v>19803508.653824709</v>
      </c>
      <c r="AA320" s="26">
        <f>+Z320/'Fisico ASIG'!N320/24</f>
        <v>80.162296545934652</v>
      </c>
      <c r="AB320" s="26">
        <f>+$AB$21*1.1*Precios!$P$16/Precios!$W$16/Precios!$Q$16</f>
        <v>14.137513192195948</v>
      </c>
      <c r="AC320" s="29">
        <f t="shared" si="360"/>
        <v>66.024783353738698</v>
      </c>
      <c r="AI320" s="1">
        <v>7241</v>
      </c>
      <c r="AJ320" s="1">
        <v>5762594</v>
      </c>
      <c r="AK320">
        <f t="shared" si="195"/>
        <v>1.44</v>
      </c>
      <c r="AL320" s="40">
        <f t="shared" si="196"/>
        <v>8140.0083333333323</v>
      </c>
      <c r="AM320">
        <v>4100000</v>
      </c>
      <c r="AN320" s="117">
        <v>116.34206625374775</v>
      </c>
      <c r="AO320" s="64">
        <f t="shared" si="361"/>
        <v>7.4480894721279736</v>
      </c>
      <c r="AP320">
        <v>0</v>
      </c>
      <c r="AQ320" s="1">
        <v>0.85</v>
      </c>
    </row>
    <row r="321" spans="1:43" hidden="1" x14ac:dyDescent="0.3">
      <c r="A321" s="3">
        <v>1488.4530999999999</v>
      </c>
      <c r="B321" s="42">
        <v>1489.595</v>
      </c>
      <c r="C321" s="53">
        <f>+'Fisico ASIG'!A321</f>
        <v>2026</v>
      </c>
      <c r="D321" s="52">
        <f>+'Fisico ASIG'!B321</f>
        <v>46204</v>
      </c>
      <c r="E321" s="1">
        <f>+'Fisico ASIG'!C321</f>
        <v>31</v>
      </c>
      <c r="F321" s="56" t="str">
        <f t="shared" si="308"/>
        <v>vie</v>
      </c>
      <c r="G321" s="56">
        <f t="shared" si="309"/>
        <v>46227</v>
      </c>
      <c r="H321" s="17">
        <v>28</v>
      </c>
      <c r="I321" s="17">
        <f t="shared" si="354"/>
        <v>4.8647821016328967</v>
      </c>
      <c r="J321" s="17">
        <f t="shared" si="355"/>
        <v>5.4687704525814969</v>
      </c>
      <c r="K321" s="83">
        <f t="shared" si="181"/>
        <v>6.8583333333333334</v>
      </c>
      <c r="L321" s="17">
        <v>27</v>
      </c>
      <c r="M321" s="17">
        <v>71.5</v>
      </c>
      <c r="N321" s="17">
        <f t="shared" si="356"/>
        <v>105.22406995426253</v>
      </c>
      <c r="O321" s="17">
        <v>108.20715599168916</v>
      </c>
      <c r="P321" s="18">
        <f>SUMPRODUCT(H321:O321,'Fisico ASIG'!F321:M321)*24</f>
        <v>12089207.029804092</v>
      </c>
      <c r="Q321" s="43">
        <v>0</v>
      </c>
      <c r="R321" s="43">
        <f t="shared" si="357"/>
        <v>5575.0062665729938</v>
      </c>
      <c r="S321" s="43">
        <f t="shared" si="358"/>
        <v>2754.5375799882445</v>
      </c>
      <c r="T321" s="43">
        <f t="shared" si="218"/>
        <v>1795.6376259798433</v>
      </c>
      <c r="U321" s="43">
        <v>18000</v>
      </c>
      <c r="V321" s="20">
        <v>0</v>
      </c>
      <c r="W321" s="20">
        <v>21900</v>
      </c>
      <c r="X321" s="20">
        <v>0</v>
      </c>
      <c r="Y321" s="18">
        <f>SUMPRODUCT(Q321:X321,'Fisico ASIG'!O321:V321)/E321</f>
        <v>5823747.0576027352</v>
      </c>
      <c r="Z321" s="25">
        <f t="shared" si="359"/>
        <v>17912954.087406829</v>
      </c>
      <c r="AA321" s="26">
        <f>+Z321/'Fisico ASIG'!N321/24</f>
        <v>80.184027436010638</v>
      </c>
      <c r="AB321" s="26">
        <f>+$AB$21*1.1*Precios!$P$16/Precios!$W$16/Precios!$Q$16</f>
        <v>14.137513192195948</v>
      </c>
      <c r="AC321" s="29">
        <f t="shared" si="360"/>
        <v>66.046514243814684</v>
      </c>
      <c r="AI321" s="1">
        <v>7241</v>
      </c>
      <c r="AJ321" s="1">
        <v>5762594</v>
      </c>
      <c r="AK321">
        <f t="shared" si="195"/>
        <v>1.44</v>
      </c>
      <c r="AL321" s="40">
        <f t="shared" si="196"/>
        <v>8140.0083333333323</v>
      </c>
      <c r="AM321">
        <v>4100000</v>
      </c>
      <c r="AN321" s="117">
        <v>98.153695507505887</v>
      </c>
      <c r="AO321" s="64">
        <f t="shared" si="361"/>
        <v>6.2203744467566482</v>
      </c>
      <c r="AP321">
        <v>0</v>
      </c>
      <c r="AQ321" s="1">
        <v>0.85</v>
      </c>
    </row>
    <row r="322" spans="1:43" hidden="1" x14ac:dyDescent="0.3">
      <c r="A322" s="3">
        <v>1488.4530999999999</v>
      </c>
      <c r="B322" s="42">
        <v>1489.595</v>
      </c>
      <c r="C322" s="53">
        <f>+'Fisico ASIG'!A322</f>
        <v>2026</v>
      </c>
      <c r="D322" s="52">
        <f>+'Fisico ASIG'!B322</f>
        <v>46204</v>
      </c>
      <c r="E322" s="1">
        <f>+'Fisico ASIG'!C322</f>
        <v>31</v>
      </c>
      <c r="F322" s="56" t="str">
        <f t="shared" si="308"/>
        <v>sáb</v>
      </c>
      <c r="G322" s="56">
        <f t="shared" si="309"/>
        <v>46228</v>
      </c>
      <c r="H322" s="17">
        <v>28</v>
      </c>
      <c r="I322" s="17">
        <f t="shared" si="354"/>
        <v>4.8647821016328967</v>
      </c>
      <c r="J322" s="17">
        <f t="shared" si="355"/>
        <v>5.4687704525814969</v>
      </c>
      <c r="K322" s="83">
        <f t="shared" si="181"/>
        <v>6.8583333333333334</v>
      </c>
      <c r="L322" s="17">
        <v>27</v>
      </c>
      <c r="M322" s="17">
        <v>71.5</v>
      </c>
      <c r="N322" s="17">
        <f t="shared" si="356"/>
        <v>69.391732211185769</v>
      </c>
      <c r="O322" s="17">
        <v>113.44566825425566</v>
      </c>
      <c r="P322" s="18">
        <f>SUMPRODUCT(H322:O322,'Fisico ASIG'!F322:M322)*24</f>
        <v>9923336.0996514317</v>
      </c>
      <c r="Q322" s="43">
        <v>0</v>
      </c>
      <c r="R322" s="43">
        <f t="shared" si="357"/>
        <v>5575.0062665729938</v>
      </c>
      <c r="S322" s="43">
        <f t="shared" si="358"/>
        <v>2754.5375799882445</v>
      </c>
      <c r="T322" s="43">
        <f t="shared" si="218"/>
        <v>1795.6376259798433</v>
      </c>
      <c r="U322" s="43">
        <v>18000</v>
      </c>
      <c r="V322" s="20">
        <v>0</v>
      </c>
      <c r="W322" s="20">
        <v>21900</v>
      </c>
      <c r="X322" s="20">
        <v>0</v>
      </c>
      <c r="Y322" s="18">
        <f>SUMPRODUCT(Q322:X322,'Fisico ASIG'!O322:V322)/E322</f>
        <v>5797194.1904387316</v>
      </c>
      <c r="Z322" s="25">
        <f t="shared" si="359"/>
        <v>15720530.290090162</v>
      </c>
      <c r="AA322" s="26">
        <f>+Z322/'Fisico ASIG'!N322/24</f>
        <v>76.872808019612179</v>
      </c>
      <c r="AB322" s="26">
        <f>+$AB$21*1.1*Precios!$P$16/Precios!$W$16/Precios!$Q$16</f>
        <v>14.137513192195948</v>
      </c>
      <c r="AC322" s="29">
        <f t="shared" si="360"/>
        <v>62.735294827416233</v>
      </c>
      <c r="AI322" s="1">
        <v>7241</v>
      </c>
      <c r="AJ322" s="1">
        <v>5762594</v>
      </c>
      <c r="AK322">
        <f t="shared" si="195"/>
        <v>1.44</v>
      </c>
      <c r="AL322" s="40">
        <f t="shared" si="196"/>
        <v>8140.0083333333323</v>
      </c>
      <c r="AM322">
        <v>4100000</v>
      </c>
      <c r="AN322" s="117">
        <v>64.587102773944522</v>
      </c>
      <c r="AO322" s="64">
        <f t="shared" si="361"/>
        <v>3.9546294372412554</v>
      </c>
      <c r="AP322">
        <v>0</v>
      </c>
      <c r="AQ322" s="1">
        <v>0.85</v>
      </c>
    </row>
    <row r="323" spans="1:43" hidden="1" x14ac:dyDescent="0.3">
      <c r="A323" s="3">
        <v>1488.4530999999999</v>
      </c>
      <c r="B323" s="42">
        <v>1489.595</v>
      </c>
      <c r="C323" s="53">
        <f>+'Fisico ASIG'!A323</f>
        <v>2026</v>
      </c>
      <c r="D323" s="52">
        <f>+'Fisico ASIG'!B323</f>
        <v>46204</v>
      </c>
      <c r="E323" s="1">
        <f>+'Fisico ASIG'!C323</f>
        <v>31</v>
      </c>
      <c r="F323" s="56" t="str">
        <f t="shared" si="308"/>
        <v>dom</v>
      </c>
      <c r="G323" s="56">
        <f t="shared" si="309"/>
        <v>46229</v>
      </c>
      <c r="H323" s="17">
        <v>28</v>
      </c>
      <c r="I323" s="17">
        <f t="shared" ref="I323:I328" si="362">AI323/A323</f>
        <v>4.8647821016328967</v>
      </c>
      <c r="J323" s="17">
        <f t="shared" ref="J323:J328" si="363">+AL323/A323</f>
        <v>5.4687704525814969</v>
      </c>
      <c r="K323" s="83">
        <f t="shared" si="181"/>
        <v>6.8583333333333334</v>
      </c>
      <c r="L323" s="17">
        <v>27</v>
      </c>
      <c r="M323" s="17">
        <v>71.5</v>
      </c>
      <c r="N323" s="17">
        <f t="shared" ref="N323:N357" si="364">+AN323+AO323+AP323+AQ323</f>
        <v>57.846723914531218</v>
      </c>
      <c r="O323" s="17">
        <v>99.960052497440472</v>
      </c>
      <c r="P323" s="18">
        <f>SUMPRODUCT(H323:O323,'Fisico ASIG'!F323:M323)*24</f>
        <v>8277343.8231364572</v>
      </c>
      <c r="Q323" s="43">
        <v>0</v>
      </c>
      <c r="R323" s="43">
        <f t="shared" ref="R323:R328" si="365">+AJ323*AK323/A323</f>
        <v>5575.0062665729938</v>
      </c>
      <c r="S323" s="43">
        <f t="shared" ref="S323:S328" si="366">+AM323/A323</f>
        <v>2754.5375799882445</v>
      </c>
      <c r="T323" s="43">
        <f t="shared" si="218"/>
        <v>1795.6376259798433</v>
      </c>
      <c r="U323" s="43">
        <v>18000</v>
      </c>
      <c r="V323" s="20">
        <v>0</v>
      </c>
      <c r="W323" s="20">
        <v>21900</v>
      </c>
      <c r="X323" s="20">
        <v>0</v>
      </c>
      <c r="Y323" s="18">
        <f>SUMPRODUCT(Q323:X323,'Fisico ASIG'!O323:V323)/E323</f>
        <v>5791837.0579407569</v>
      </c>
      <c r="Z323" s="25">
        <f t="shared" ref="Z323:Z328" si="367">+(P323+Y323)</f>
        <v>14069180.881077215</v>
      </c>
      <c r="AA323" s="26">
        <f>+Z323/'Fisico ASIG'!N323/24</f>
        <v>74.563017358659451</v>
      </c>
      <c r="AB323" s="26">
        <f>+$AB$21*1.1*Precios!$P$16/Precios!$W$16/Precios!$Q$16</f>
        <v>14.137513192195948</v>
      </c>
      <c r="AC323" s="29">
        <f t="shared" ref="AC323:AC328" si="368">+AA323-AB323</f>
        <v>60.425504166463504</v>
      </c>
      <c r="AI323" s="1">
        <v>7241</v>
      </c>
      <c r="AJ323" s="1">
        <v>5762594</v>
      </c>
      <c r="AK323">
        <f t="shared" si="195"/>
        <v>1.44</v>
      </c>
      <c r="AL323" s="40">
        <f t="shared" si="196"/>
        <v>8140.0083333333323</v>
      </c>
      <c r="AM323">
        <v>4100000</v>
      </c>
      <c r="AN323" s="117">
        <v>53.772106711504655</v>
      </c>
      <c r="AO323" s="64">
        <f t="shared" ref="AO323:AO328" si="369">0.075*0.9*(AN323-6)</f>
        <v>3.2246172030265643</v>
      </c>
      <c r="AP323">
        <v>0</v>
      </c>
      <c r="AQ323" s="1">
        <v>0.85</v>
      </c>
    </row>
    <row r="324" spans="1:43" hidden="1" x14ac:dyDescent="0.3">
      <c r="A324" s="3">
        <v>1488.4530999999999</v>
      </c>
      <c r="B324" s="42">
        <v>1489.595</v>
      </c>
      <c r="C324" s="53">
        <f>+'Fisico ASIG'!A324</f>
        <v>2026</v>
      </c>
      <c r="D324" s="52">
        <f>+'Fisico ASIG'!B324</f>
        <v>46204</v>
      </c>
      <c r="E324" s="1">
        <f>+'Fisico ASIG'!C324</f>
        <v>31</v>
      </c>
      <c r="F324" s="56" t="str">
        <f t="shared" si="308"/>
        <v>lun</v>
      </c>
      <c r="G324" s="56">
        <f t="shared" si="309"/>
        <v>46230</v>
      </c>
      <c r="H324" s="17">
        <v>28</v>
      </c>
      <c r="I324" s="17">
        <f t="shared" si="362"/>
        <v>4.8647821016328967</v>
      </c>
      <c r="J324" s="17">
        <f t="shared" si="363"/>
        <v>5.4687704525814969</v>
      </c>
      <c r="K324" s="83">
        <f t="shared" si="181"/>
        <v>6.8583333333333334</v>
      </c>
      <c r="L324" s="17">
        <v>27</v>
      </c>
      <c r="M324" s="17">
        <v>71.5</v>
      </c>
      <c r="N324" s="17">
        <f t="shared" si="364"/>
        <v>63.714186169097623</v>
      </c>
      <c r="O324" s="17">
        <v>109.95431925494563</v>
      </c>
      <c r="P324" s="18">
        <f>SUMPRODUCT(H324:O324,'Fisico ASIG'!F324:M324)*24</f>
        <v>9962634.56138888</v>
      </c>
      <c r="Q324" s="43">
        <v>0</v>
      </c>
      <c r="R324" s="43">
        <f t="shared" si="365"/>
        <v>5575.0062665729938</v>
      </c>
      <c r="S324" s="43">
        <f t="shared" si="366"/>
        <v>2754.5375799882445</v>
      </c>
      <c r="T324" s="43">
        <f t="shared" si="218"/>
        <v>1795.6376259798433</v>
      </c>
      <c r="U324" s="43">
        <v>18000</v>
      </c>
      <c r="V324" s="20">
        <v>0</v>
      </c>
      <c r="W324" s="20">
        <v>21900</v>
      </c>
      <c r="X324" s="20">
        <v>0</v>
      </c>
      <c r="Y324" s="18">
        <f>SUMPRODUCT(Q324:X324,'Fisico ASIG'!O324:V324)/E324</f>
        <v>5790894.8147461433</v>
      </c>
      <c r="Z324" s="25">
        <f t="shared" si="367"/>
        <v>15753529.376135023</v>
      </c>
      <c r="AA324" s="26">
        <f>+Z324/'Fisico ASIG'!N324/24</f>
        <v>72.983255173239527</v>
      </c>
      <c r="AB324" s="26">
        <f>+$AB$21*1.1*Precios!$P$16/Precios!$W$16/Precios!$Q$16</f>
        <v>14.137513192195948</v>
      </c>
      <c r="AC324" s="29">
        <f t="shared" si="368"/>
        <v>58.845741981043581</v>
      </c>
      <c r="AI324" s="1">
        <v>7241</v>
      </c>
      <c r="AJ324" s="1">
        <v>5762594</v>
      </c>
      <c r="AK324">
        <f t="shared" si="195"/>
        <v>1.44</v>
      </c>
      <c r="AL324" s="40">
        <f t="shared" si="196"/>
        <v>8140.0083333333323</v>
      </c>
      <c r="AM324">
        <v>4100000</v>
      </c>
      <c r="AN324" s="117">
        <v>59.268558472222594</v>
      </c>
      <c r="AO324" s="64">
        <f t="shared" si="369"/>
        <v>3.5956276968750251</v>
      </c>
      <c r="AP324">
        <v>0</v>
      </c>
      <c r="AQ324" s="1">
        <v>0.85</v>
      </c>
    </row>
    <row r="325" spans="1:43" hidden="1" x14ac:dyDescent="0.3">
      <c r="A325" s="3">
        <v>1488.4530999999999</v>
      </c>
      <c r="B325" s="42">
        <v>1489.595</v>
      </c>
      <c r="C325" s="53">
        <f>+'Fisico ASIG'!A325</f>
        <v>2026</v>
      </c>
      <c r="D325" s="52">
        <f>+'Fisico ASIG'!B325</f>
        <v>46204</v>
      </c>
      <c r="E325" s="1">
        <f>+'Fisico ASIG'!C325</f>
        <v>31</v>
      </c>
      <c r="F325" s="56" t="str">
        <f t="shared" si="308"/>
        <v>mar</v>
      </c>
      <c r="G325" s="56">
        <f t="shared" si="309"/>
        <v>46231</v>
      </c>
      <c r="H325" s="17">
        <v>28</v>
      </c>
      <c r="I325" s="17">
        <f t="shared" si="362"/>
        <v>4.8647821016328967</v>
      </c>
      <c r="J325" s="17">
        <f t="shared" si="363"/>
        <v>5.4687704525814969</v>
      </c>
      <c r="K325" s="83">
        <f t="shared" si="181"/>
        <v>6.8583333333333334</v>
      </c>
      <c r="L325" s="17">
        <v>27</v>
      </c>
      <c r="M325" s="17">
        <v>71.5</v>
      </c>
      <c r="N325" s="17">
        <f t="shared" si="364"/>
        <v>65.845101348808655</v>
      </c>
      <c r="O325" s="17">
        <v>104.25532883809649</v>
      </c>
      <c r="P325" s="18">
        <f>SUMPRODUCT(H325:O325,'Fisico ASIG'!F325:M325)*24</f>
        <v>9690738.5437579826</v>
      </c>
      <c r="Q325" s="43">
        <v>0</v>
      </c>
      <c r="R325" s="43">
        <f t="shared" si="365"/>
        <v>5575.0062665729938</v>
      </c>
      <c r="S325" s="43">
        <f t="shared" si="366"/>
        <v>2754.5375799882445</v>
      </c>
      <c r="T325" s="43">
        <f t="shared" si="218"/>
        <v>1795.6376259798433</v>
      </c>
      <c r="U325" s="43">
        <v>18000</v>
      </c>
      <c r="V325" s="20">
        <v>0</v>
      </c>
      <c r="W325" s="20">
        <v>21900</v>
      </c>
      <c r="X325" s="20">
        <v>0</v>
      </c>
      <c r="Y325" s="18">
        <f>SUMPRODUCT(Q325:X325,'Fisico ASIG'!O325:V325)/E325</f>
        <v>5793077.9415009655</v>
      </c>
      <c r="Z325" s="25">
        <f t="shared" si="367"/>
        <v>15483816.485258948</v>
      </c>
      <c r="AA325" s="26">
        <f>+Z325/'Fisico ASIG'!N325/24</f>
        <v>73.057594275163552</v>
      </c>
      <c r="AB325" s="26">
        <f>+$AB$21*1.1*Precios!$P$16/Precios!$W$16/Precios!$Q$16</f>
        <v>14.137513192195948</v>
      </c>
      <c r="AC325" s="29">
        <f t="shared" si="368"/>
        <v>58.920081082967606</v>
      </c>
      <c r="AI325" s="1">
        <v>7241</v>
      </c>
      <c r="AJ325" s="1">
        <v>5762594</v>
      </c>
      <c r="AK325">
        <f t="shared" si="195"/>
        <v>1.44</v>
      </c>
      <c r="AL325" s="40">
        <f t="shared" si="196"/>
        <v>8140.0083333333323</v>
      </c>
      <c r="AM325">
        <v>4100000</v>
      </c>
      <c r="AN325" s="117">
        <v>61.264731942677898</v>
      </c>
      <c r="AO325" s="64">
        <f t="shared" si="369"/>
        <v>3.7303694061307584</v>
      </c>
      <c r="AP325">
        <v>0</v>
      </c>
      <c r="AQ325" s="1">
        <v>0.85</v>
      </c>
    </row>
    <row r="326" spans="1:43" hidden="1" x14ac:dyDescent="0.3">
      <c r="A326" s="3">
        <v>1488.4530999999999</v>
      </c>
      <c r="B326" s="42">
        <v>1489.595</v>
      </c>
      <c r="C326" s="53">
        <f>+'Fisico ASIG'!A326</f>
        <v>2026</v>
      </c>
      <c r="D326" s="52">
        <f>+'Fisico ASIG'!B326</f>
        <v>46204</v>
      </c>
      <c r="E326" s="1">
        <f>+'Fisico ASIG'!C326</f>
        <v>31</v>
      </c>
      <c r="F326" s="56" t="str">
        <f t="shared" si="308"/>
        <v>mié</v>
      </c>
      <c r="G326" s="56">
        <f t="shared" si="309"/>
        <v>46232</v>
      </c>
      <c r="H326" s="17">
        <v>28</v>
      </c>
      <c r="I326" s="17">
        <f t="shared" si="362"/>
        <v>4.8647821016328967</v>
      </c>
      <c r="J326" s="17">
        <f t="shared" si="363"/>
        <v>5.4687704525814969</v>
      </c>
      <c r="K326" s="83">
        <f t="shared" si="181"/>
        <v>6.8583333333333334</v>
      </c>
      <c r="L326" s="17">
        <v>27</v>
      </c>
      <c r="M326" s="17">
        <v>71.5</v>
      </c>
      <c r="N326" s="17">
        <f t="shared" si="364"/>
        <v>73.36322415962799</v>
      </c>
      <c r="O326" s="17">
        <v>94.950691212454714</v>
      </c>
      <c r="P326" s="18">
        <f>SUMPRODUCT(H326:O326,'Fisico ASIG'!F326:M326)*24</f>
        <v>9630771.3354518767</v>
      </c>
      <c r="Q326" s="43">
        <v>0</v>
      </c>
      <c r="R326" s="43">
        <f t="shared" si="365"/>
        <v>5575.0062665729938</v>
      </c>
      <c r="S326" s="43">
        <f t="shared" si="366"/>
        <v>2754.5375799882445</v>
      </c>
      <c r="T326" s="43">
        <f t="shared" si="218"/>
        <v>1795.6376259798433</v>
      </c>
      <c r="U326" s="43">
        <v>18000</v>
      </c>
      <c r="V326" s="20">
        <v>0</v>
      </c>
      <c r="W326" s="20">
        <v>21900</v>
      </c>
      <c r="X326" s="20">
        <v>0</v>
      </c>
      <c r="Y326" s="18">
        <f>SUMPRODUCT(Q326:X326,'Fisico ASIG'!O326:V326)/E326</f>
        <v>5846622.7173675308</v>
      </c>
      <c r="Z326" s="25">
        <f t="shared" si="367"/>
        <v>15477394.052819408</v>
      </c>
      <c r="AA326" s="26">
        <f>+Z326/'Fisico ASIG'!N326/24</f>
        <v>70.92890466559696</v>
      </c>
      <c r="AB326" s="26">
        <f>+$AB$21*1.1*Precios!$P$16/Precios!$W$16/Precios!$Q$16</f>
        <v>14.137513192195948</v>
      </c>
      <c r="AC326" s="29">
        <f t="shared" si="368"/>
        <v>56.791391473401013</v>
      </c>
      <c r="AI326" s="1">
        <v>7241</v>
      </c>
      <c r="AJ326" s="1">
        <v>5762594</v>
      </c>
      <c r="AK326">
        <f t="shared" si="195"/>
        <v>1.44</v>
      </c>
      <c r="AL326" s="40">
        <f t="shared" si="196"/>
        <v>8140.0083333333323</v>
      </c>
      <c r="AM326">
        <v>4100000</v>
      </c>
      <c r="AN326" s="117">
        <v>68.307469938761585</v>
      </c>
      <c r="AO326" s="64">
        <f t="shared" si="369"/>
        <v>4.2057542208664076</v>
      </c>
      <c r="AP326">
        <v>0</v>
      </c>
      <c r="AQ326" s="1">
        <v>0.85</v>
      </c>
    </row>
    <row r="327" spans="1:43" hidden="1" x14ac:dyDescent="0.3">
      <c r="A327" s="3">
        <v>1488.4530999999999</v>
      </c>
      <c r="B327" s="42">
        <v>1489.595</v>
      </c>
      <c r="C327" s="53">
        <f>+'Fisico ASIG'!A327</f>
        <v>2026</v>
      </c>
      <c r="D327" s="52">
        <f>+'Fisico ASIG'!B327</f>
        <v>46204</v>
      </c>
      <c r="E327" s="1">
        <f>+'Fisico ASIG'!C327</f>
        <v>31</v>
      </c>
      <c r="F327" s="56" t="str">
        <f t="shared" si="308"/>
        <v>jue</v>
      </c>
      <c r="G327" s="56">
        <f t="shared" si="309"/>
        <v>46233</v>
      </c>
      <c r="H327" s="17">
        <v>28</v>
      </c>
      <c r="I327" s="17">
        <f t="shared" si="362"/>
        <v>4.8647821016328967</v>
      </c>
      <c r="J327" s="17">
        <f t="shared" si="363"/>
        <v>5.4687704525814969</v>
      </c>
      <c r="K327" s="83">
        <f t="shared" si="181"/>
        <v>6.8583333333333334</v>
      </c>
      <c r="L327" s="17">
        <v>27</v>
      </c>
      <c r="M327" s="17">
        <v>71.5</v>
      </c>
      <c r="N327" s="17">
        <f t="shared" si="364"/>
        <v>70.387972396849023</v>
      </c>
      <c r="O327" s="17">
        <v>104.38878964615117</v>
      </c>
      <c r="P327" s="18">
        <f>SUMPRODUCT(H327:O327,'Fisico ASIG'!F327:M327)*24</f>
        <v>10152402.272407677</v>
      </c>
      <c r="Q327" s="43">
        <v>0</v>
      </c>
      <c r="R327" s="43">
        <f t="shared" si="365"/>
        <v>5575.0062665729938</v>
      </c>
      <c r="S327" s="43">
        <f t="shared" si="366"/>
        <v>2754.5375799882445</v>
      </c>
      <c r="T327" s="43">
        <f t="shared" si="218"/>
        <v>1795.6376259798433</v>
      </c>
      <c r="U327" s="43">
        <v>18000</v>
      </c>
      <c r="V327" s="20">
        <v>0</v>
      </c>
      <c r="W327" s="20">
        <v>21900</v>
      </c>
      <c r="X327" s="20">
        <v>0</v>
      </c>
      <c r="Y327" s="18">
        <f>SUMPRODUCT(Q327:X327,'Fisico ASIG'!O327:V327)/E327</f>
        <v>5808367.0702999253</v>
      </c>
      <c r="Z327" s="25">
        <f t="shared" si="367"/>
        <v>15960769.342707602</v>
      </c>
      <c r="AA327" s="26">
        <f>+Z327/'Fisico ASIG'!N327/24</f>
        <v>69.860376095154876</v>
      </c>
      <c r="AB327" s="26">
        <f>+$AB$21*1.1*Precios!$P$16/Precios!$W$16/Precios!$Q$16</f>
        <v>14.137513192195948</v>
      </c>
      <c r="AC327" s="29">
        <f t="shared" si="368"/>
        <v>55.72286290295893</v>
      </c>
      <c r="AI327" s="1">
        <v>7241</v>
      </c>
      <c r="AJ327" s="1">
        <v>5762594</v>
      </c>
      <c r="AK327">
        <f t="shared" si="195"/>
        <v>1.44</v>
      </c>
      <c r="AL327" s="40">
        <f t="shared" si="196"/>
        <v>8140.0083333333323</v>
      </c>
      <c r="AM327">
        <v>4100000</v>
      </c>
      <c r="AN327" s="117">
        <v>65.520348849507286</v>
      </c>
      <c r="AO327" s="64">
        <f t="shared" si="369"/>
        <v>4.0176235473417421</v>
      </c>
      <c r="AP327">
        <v>0</v>
      </c>
      <c r="AQ327" s="1">
        <v>0.85</v>
      </c>
    </row>
    <row r="328" spans="1:43" hidden="1" x14ac:dyDescent="0.3">
      <c r="A328" s="3">
        <v>1488.4530999999999</v>
      </c>
      <c r="B328" s="42">
        <v>1489.595</v>
      </c>
      <c r="C328" s="53">
        <f>+'Fisico ASIG'!A328</f>
        <v>2026</v>
      </c>
      <c r="D328" s="52">
        <f>+'Fisico ASIG'!B328</f>
        <v>46204</v>
      </c>
      <c r="E328" s="1">
        <f>+'Fisico ASIG'!C328</f>
        <v>31</v>
      </c>
      <c r="F328" s="56" t="str">
        <f t="shared" si="308"/>
        <v>vie</v>
      </c>
      <c r="G328" s="56">
        <f t="shared" si="309"/>
        <v>46234</v>
      </c>
      <c r="H328" s="17">
        <v>28</v>
      </c>
      <c r="I328" s="17">
        <f t="shared" si="362"/>
        <v>4.8647821016328967</v>
      </c>
      <c r="J328" s="17">
        <f t="shared" si="363"/>
        <v>5.4687704525814969</v>
      </c>
      <c r="K328" s="83">
        <f t="shared" si="181"/>
        <v>6.8583333333333334</v>
      </c>
      <c r="L328" s="17">
        <v>27</v>
      </c>
      <c r="M328" s="17">
        <v>71.5</v>
      </c>
      <c r="N328" s="17">
        <f t="shared" si="364"/>
        <v>64.228168372979283</v>
      </c>
      <c r="O328" s="17">
        <v>34.304246677629465</v>
      </c>
      <c r="P328" s="18">
        <f>SUMPRODUCT(H328:O328,'Fisico ASIG'!F328:M328)*24</f>
        <v>8258190.3092550477</v>
      </c>
      <c r="Q328" s="43">
        <v>0</v>
      </c>
      <c r="R328" s="43">
        <f t="shared" si="365"/>
        <v>5575.0062665729938</v>
      </c>
      <c r="S328" s="43">
        <f t="shared" si="366"/>
        <v>2754.5375799882445</v>
      </c>
      <c r="T328" s="43">
        <f t="shared" si="218"/>
        <v>1795.6376259798433</v>
      </c>
      <c r="U328" s="43">
        <v>18000</v>
      </c>
      <c r="V328" s="20">
        <v>0</v>
      </c>
      <c r="W328" s="20">
        <v>21900</v>
      </c>
      <c r="X328" s="20">
        <v>0</v>
      </c>
      <c r="Y328" s="18">
        <f>SUMPRODUCT(Q328:X328,'Fisico ASIG'!O328:V328)/E328</f>
        <v>5720829.0213317191</v>
      </c>
      <c r="Z328" s="25">
        <f t="shared" si="367"/>
        <v>13979019.330586767</v>
      </c>
      <c r="AA328" s="26">
        <f>+Z328/'Fisico ASIG'!N328/24</f>
        <v>58.863337680606399</v>
      </c>
      <c r="AB328" s="26">
        <f>+$AB$21*1.1*Precios!$P$16/Precios!$W$16/Precios!$Q$16</f>
        <v>14.137513192195948</v>
      </c>
      <c r="AC328" s="29">
        <f t="shared" si="368"/>
        <v>44.725824488410453</v>
      </c>
      <c r="AI328" s="1">
        <v>7241</v>
      </c>
      <c r="AJ328" s="1">
        <v>5762594</v>
      </c>
      <c r="AK328">
        <f t="shared" si="195"/>
        <v>1.44</v>
      </c>
      <c r="AL328" s="40">
        <f t="shared" si="196"/>
        <v>8140.0083333333323</v>
      </c>
      <c r="AM328">
        <v>4100000</v>
      </c>
      <c r="AN328" s="117">
        <v>59.750040630425566</v>
      </c>
      <c r="AO328" s="64">
        <f t="shared" si="369"/>
        <v>3.6281277425537262</v>
      </c>
      <c r="AP328">
        <v>0</v>
      </c>
      <c r="AQ328" s="1">
        <v>0.85</v>
      </c>
    </row>
    <row r="329" spans="1:43" x14ac:dyDescent="0.3">
      <c r="A329" s="42">
        <v>1509.4685999999999</v>
      </c>
      <c r="B329" s="42">
        <v>1489.595</v>
      </c>
      <c r="C329" s="53">
        <f>+'Fisico ASIG'!A329</f>
        <v>2026</v>
      </c>
      <c r="D329" s="52">
        <f>+'Fisico ASIG'!B329</f>
        <v>46235</v>
      </c>
      <c r="E329" s="1">
        <f>+'Fisico ASIG'!C329</f>
        <v>31</v>
      </c>
      <c r="F329" s="56" t="str">
        <f t="shared" si="308"/>
        <v>sáb</v>
      </c>
      <c r="G329" s="56">
        <f t="shared" si="309"/>
        <v>46235</v>
      </c>
      <c r="H329" s="17">
        <v>28</v>
      </c>
      <c r="I329" s="17">
        <f t="shared" ref="I329:I336" si="370">AI329/A329</f>
        <v>4.7970524196396003</v>
      </c>
      <c r="J329" s="17">
        <f t="shared" ref="J329:J336" si="371">+AL329/A329</f>
        <v>5.3926317734157125</v>
      </c>
      <c r="K329" s="83">
        <f t="shared" si="181"/>
        <v>6.8583333333333334</v>
      </c>
      <c r="L329" s="17">
        <v>27</v>
      </c>
      <c r="M329" s="17">
        <v>71.5</v>
      </c>
      <c r="N329" s="17">
        <f t="shared" si="364"/>
        <v>79.79052693434268</v>
      </c>
      <c r="O329" s="17">
        <v>77.305763848671106</v>
      </c>
      <c r="P329" s="18">
        <f>SUMPRODUCT(H329:O329,'Fisico ASIG'!F329:M329)*24</f>
        <v>9212783.4871296734</v>
      </c>
      <c r="Q329" s="43">
        <v>0</v>
      </c>
      <c r="R329" s="43">
        <f t="shared" ref="R329:R336" si="372">+AJ329*AK329/A329</f>
        <v>5497.3885246768295</v>
      </c>
      <c r="S329" s="43">
        <f t="shared" ref="S329:S336" si="373">+AM329/A329</f>
        <v>2716.1876702834361</v>
      </c>
      <c r="T329" s="43">
        <f t="shared" si="218"/>
        <v>1795.6376259798433</v>
      </c>
      <c r="U329" s="43">
        <v>18000</v>
      </c>
      <c r="V329" s="20">
        <v>0</v>
      </c>
      <c r="W329" s="20">
        <v>21900</v>
      </c>
      <c r="X329" s="20">
        <v>0</v>
      </c>
      <c r="Y329" s="18">
        <f>SUMPRODUCT(Q329:X329,'Fisico ASIG'!O329:V329)/E329</f>
        <v>5647810.2398707774</v>
      </c>
      <c r="Z329" s="25">
        <f t="shared" ref="Z329:Z336" si="374">+(P329+Y329)</f>
        <v>14860593.727000451</v>
      </c>
      <c r="AA329" s="26">
        <f>+Z329/'Fisico ASIG'!N329/24</f>
        <v>73.823378379412475</v>
      </c>
      <c r="AB329" s="26">
        <f>+$AB$21*1.1*Precios!$P$17/Precios!$W$17/Precios!$Q$17</f>
        <v>13.898389988279444</v>
      </c>
      <c r="AC329" s="29">
        <f t="shared" ref="AC329:AC336" si="375">+AA329-AB329</f>
        <v>59.924988391133027</v>
      </c>
      <c r="AI329" s="1">
        <v>7241</v>
      </c>
      <c r="AJ329" s="1">
        <v>5762594</v>
      </c>
      <c r="AK329">
        <f t="shared" si="195"/>
        <v>1.44</v>
      </c>
      <c r="AL329" s="40">
        <f t="shared" si="196"/>
        <v>8140.0083333333323</v>
      </c>
      <c r="AM329">
        <v>4100000</v>
      </c>
      <c r="AN329" s="117">
        <v>74.328362467768329</v>
      </c>
      <c r="AO329" s="64">
        <f t="shared" ref="AO329:AO336" si="376">0.075*0.9*(AN329-6)</f>
        <v>4.6121644665743622</v>
      </c>
      <c r="AP329">
        <v>0</v>
      </c>
      <c r="AQ329" s="1">
        <v>0.85</v>
      </c>
    </row>
    <row r="330" spans="1:43" x14ac:dyDescent="0.3">
      <c r="A330" s="42">
        <v>1509.4685999999999</v>
      </c>
      <c r="B330" s="42">
        <v>1489.595</v>
      </c>
      <c r="C330" s="53">
        <f>+'Fisico ASIG'!A330</f>
        <v>2026</v>
      </c>
      <c r="D330" s="52">
        <f>+'Fisico ASIG'!B330</f>
        <v>46235</v>
      </c>
      <c r="E330" s="1">
        <f>+'Fisico ASIG'!C330</f>
        <v>31</v>
      </c>
      <c r="F330" s="56" t="str">
        <f t="shared" si="308"/>
        <v>dom</v>
      </c>
      <c r="G330" s="56">
        <f t="shared" si="309"/>
        <v>46236</v>
      </c>
      <c r="H330" s="17">
        <v>28</v>
      </c>
      <c r="I330" s="17">
        <f t="shared" si="370"/>
        <v>4.7970524196396003</v>
      </c>
      <c r="J330" s="17">
        <f t="shared" si="371"/>
        <v>5.3926317734157125</v>
      </c>
      <c r="K330" s="83">
        <f t="shared" ref="K330:K393" si="377">3.5+1.9+(3.5*1*5+3.5*5)/24</f>
        <v>6.8583333333333334</v>
      </c>
      <c r="L330" s="17">
        <v>27</v>
      </c>
      <c r="M330" s="17">
        <v>71.5</v>
      </c>
      <c r="N330" s="17">
        <f t="shared" si="364"/>
        <v>65.547730832459891</v>
      </c>
      <c r="O330" s="17">
        <v>104.63341745209961</v>
      </c>
      <c r="P330" s="18">
        <f>SUMPRODUCT(H330:O330,'Fisico ASIG'!F330:M330)*24</f>
        <v>8537968.1491745096</v>
      </c>
      <c r="Q330" s="43">
        <v>0</v>
      </c>
      <c r="R330" s="43">
        <f t="shared" si="372"/>
        <v>5497.3885246768295</v>
      </c>
      <c r="S330" s="43">
        <f t="shared" si="373"/>
        <v>2716.1876702834361</v>
      </c>
      <c r="T330" s="43">
        <f t="shared" ref="T330:T393" si="378">+(4000*1759+465*1759*1.2)/(4000+465)</f>
        <v>1795.6376259798433</v>
      </c>
      <c r="U330" s="43">
        <v>18000</v>
      </c>
      <c r="V330" s="20">
        <v>0</v>
      </c>
      <c r="W330" s="20">
        <v>21900</v>
      </c>
      <c r="X330" s="20">
        <v>0</v>
      </c>
      <c r="Y330" s="18">
        <f>SUMPRODUCT(Q330:X330,'Fisico ASIG'!O330:V330)/E330</f>
        <v>5747696.6581148868</v>
      </c>
      <c r="Z330" s="25">
        <f t="shared" si="374"/>
        <v>14285664.807289395</v>
      </c>
      <c r="AA330" s="26">
        <f>+Z330/'Fisico ASIG'!N330/24</f>
        <v>74.433627136599696</v>
      </c>
      <c r="AB330" s="26">
        <f>+$AB$21*1.1*Precios!$P$17/Precios!$W$17/Precios!$Q$17</f>
        <v>13.898389988279444</v>
      </c>
      <c r="AC330" s="29">
        <f t="shared" si="375"/>
        <v>60.535237148320249</v>
      </c>
      <c r="AI330" s="1">
        <v>7241</v>
      </c>
      <c r="AJ330" s="1">
        <v>5762594</v>
      </c>
      <c r="AK330">
        <f t="shared" ref="AK330:AK393" si="379">1.2*1.2</f>
        <v>1.44</v>
      </c>
      <c r="AL330" s="40">
        <f t="shared" ref="AL330:AL393" si="380">4403+1752*1.4+(4403*1*5*1.4)/24</f>
        <v>8140.0083333333323</v>
      </c>
      <c r="AM330">
        <v>4100000</v>
      </c>
      <c r="AN330" s="117">
        <v>60.98616471424814</v>
      </c>
      <c r="AO330" s="64">
        <f t="shared" si="376"/>
        <v>3.7115661182117496</v>
      </c>
      <c r="AP330">
        <v>0</v>
      </c>
      <c r="AQ330" s="1">
        <v>0.85</v>
      </c>
    </row>
    <row r="331" spans="1:43" x14ac:dyDescent="0.3">
      <c r="A331" s="42">
        <v>1509.4685999999999</v>
      </c>
      <c r="B331" s="42">
        <v>1498.5119999999999</v>
      </c>
      <c r="C331" s="53">
        <f>+'Fisico ASIG'!A331</f>
        <v>2026</v>
      </c>
      <c r="D331" s="52">
        <f>+'Fisico ASIG'!B331</f>
        <v>46235</v>
      </c>
      <c r="E331" s="1">
        <f>+'Fisico ASIG'!C331</f>
        <v>31</v>
      </c>
      <c r="F331" s="56" t="str">
        <f t="shared" si="308"/>
        <v>lun</v>
      </c>
      <c r="G331" s="56">
        <f t="shared" si="309"/>
        <v>46237</v>
      </c>
      <c r="H331" s="17">
        <v>28</v>
      </c>
      <c r="I331" s="17">
        <f t="shared" si="370"/>
        <v>4.7970524196396003</v>
      </c>
      <c r="J331" s="17">
        <f t="shared" si="371"/>
        <v>5.3926317734157125</v>
      </c>
      <c r="K331" s="83">
        <f t="shared" si="377"/>
        <v>6.8583333333333334</v>
      </c>
      <c r="L331" s="17">
        <v>27</v>
      </c>
      <c r="M331" s="17">
        <v>71.5</v>
      </c>
      <c r="N331" s="17">
        <f t="shared" si="364"/>
        <v>79.715985562217284</v>
      </c>
      <c r="O331" s="17">
        <v>94.624223917971051</v>
      </c>
      <c r="P331" s="18">
        <f>SUMPRODUCT(H331:O331,'Fisico ASIG'!F331:M331)*24</f>
        <v>10247612.586955123</v>
      </c>
      <c r="Q331" s="43">
        <v>0</v>
      </c>
      <c r="R331" s="43">
        <f t="shared" si="372"/>
        <v>5497.3885246768295</v>
      </c>
      <c r="S331" s="43">
        <f t="shared" si="373"/>
        <v>2716.1876702834361</v>
      </c>
      <c r="T331" s="43">
        <f t="shared" si="378"/>
        <v>1795.6376259798433</v>
      </c>
      <c r="U331" s="43">
        <v>18000</v>
      </c>
      <c r="V331" s="20">
        <v>0</v>
      </c>
      <c r="W331" s="20">
        <v>21900</v>
      </c>
      <c r="X331" s="20">
        <v>0</v>
      </c>
      <c r="Y331" s="18">
        <f>SUMPRODUCT(Q331:X331,'Fisico ASIG'!O331:V331)/E331</f>
        <v>5802567.0688621011</v>
      </c>
      <c r="Z331" s="25">
        <f t="shared" si="374"/>
        <v>16050179.655817224</v>
      </c>
      <c r="AA331" s="26">
        <f>+Z331/'Fisico ASIG'!N331/24</f>
        <v>69.599818923754029</v>
      </c>
      <c r="AB331" s="26">
        <f>+$AB$21*1.1*Precios!$P$17/Precios!$W$17/Precios!$Q$17</f>
        <v>13.898389988279444</v>
      </c>
      <c r="AC331" s="29">
        <f t="shared" si="375"/>
        <v>55.701428935474581</v>
      </c>
      <c r="AI331" s="1">
        <v>7241</v>
      </c>
      <c r="AJ331" s="1">
        <v>5762594</v>
      </c>
      <c r="AK331">
        <f t="shared" si="379"/>
        <v>1.44</v>
      </c>
      <c r="AL331" s="40">
        <f t="shared" si="380"/>
        <v>8140.0083333333323</v>
      </c>
      <c r="AM331">
        <v>4100000</v>
      </c>
      <c r="AN331" s="117">
        <v>74.25853448451268</v>
      </c>
      <c r="AO331" s="64">
        <f t="shared" si="376"/>
        <v>4.6074510777046065</v>
      </c>
      <c r="AP331">
        <v>0</v>
      </c>
      <c r="AQ331" s="1">
        <v>0.85</v>
      </c>
    </row>
    <row r="332" spans="1:43" x14ac:dyDescent="0.3">
      <c r="A332" s="42">
        <v>1509.4685999999999</v>
      </c>
      <c r="B332" s="42">
        <v>1498.5119999999999</v>
      </c>
      <c r="C332" s="53">
        <f>+'Fisico ASIG'!A332</f>
        <v>2026</v>
      </c>
      <c r="D332" s="52">
        <f>+'Fisico ASIG'!B332</f>
        <v>46235</v>
      </c>
      <c r="E332" s="1">
        <f>+'Fisico ASIG'!C332</f>
        <v>31</v>
      </c>
      <c r="F332" s="56" t="str">
        <f t="shared" si="308"/>
        <v>mar</v>
      </c>
      <c r="G332" s="56">
        <f t="shared" si="309"/>
        <v>46238</v>
      </c>
      <c r="H332" s="17">
        <v>28</v>
      </c>
      <c r="I332" s="17">
        <f t="shared" si="370"/>
        <v>4.7970524196396003</v>
      </c>
      <c r="J332" s="17">
        <f t="shared" si="371"/>
        <v>5.3926317734157125</v>
      </c>
      <c r="K332" s="83">
        <f t="shared" si="377"/>
        <v>6.8583333333333334</v>
      </c>
      <c r="L332" s="17">
        <v>27</v>
      </c>
      <c r="M332" s="17">
        <v>71.5</v>
      </c>
      <c r="N332" s="17">
        <f t="shared" si="364"/>
        <v>84.108514836935939</v>
      </c>
      <c r="O332" s="17">
        <v>106.34902687853125</v>
      </c>
      <c r="P332" s="18">
        <f>SUMPRODUCT(H332:O332,'Fisico ASIG'!F332:M332)*24</f>
        <v>11330141.266716782</v>
      </c>
      <c r="Q332" s="43">
        <v>0</v>
      </c>
      <c r="R332" s="43">
        <f t="shared" si="372"/>
        <v>5497.3885246768295</v>
      </c>
      <c r="S332" s="43">
        <f t="shared" si="373"/>
        <v>2716.1876702834361</v>
      </c>
      <c r="T332" s="43">
        <f t="shared" si="378"/>
        <v>1795.6376259798433</v>
      </c>
      <c r="U332" s="43">
        <v>18000</v>
      </c>
      <c r="V332" s="20">
        <v>0</v>
      </c>
      <c r="W332" s="20">
        <v>21900</v>
      </c>
      <c r="X332" s="20">
        <v>0</v>
      </c>
      <c r="Y332" s="18">
        <f>SUMPRODUCT(Q332:X332,'Fisico ASIG'!O332:V332)/E332</f>
        <v>5822511.0521001089</v>
      </c>
      <c r="Z332" s="25">
        <f t="shared" si="374"/>
        <v>17152652.318816893</v>
      </c>
      <c r="AA332" s="26">
        <f>+Z332/'Fisico ASIG'!N332/24</f>
        <v>74.558318071853407</v>
      </c>
      <c r="AB332" s="26">
        <f>+$AB$21*1.1*Precios!$P$17/Precios!$W$17/Precios!$Q$17</f>
        <v>13.898389988279444</v>
      </c>
      <c r="AC332" s="29">
        <f t="shared" si="375"/>
        <v>60.659928083573959</v>
      </c>
      <c r="AI332" s="1">
        <v>7241</v>
      </c>
      <c r="AJ332" s="1">
        <v>5762594</v>
      </c>
      <c r="AK332">
        <f t="shared" si="379"/>
        <v>1.44</v>
      </c>
      <c r="AL332" s="40">
        <f t="shared" si="380"/>
        <v>8140.0083333333323</v>
      </c>
      <c r="AM332">
        <v>4100000</v>
      </c>
      <c r="AN332" s="117">
        <v>78.373316006497376</v>
      </c>
      <c r="AO332" s="64">
        <f t="shared" si="376"/>
        <v>4.8851988304385729</v>
      </c>
      <c r="AP332">
        <v>0</v>
      </c>
      <c r="AQ332" s="1">
        <v>0.85</v>
      </c>
    </row>
    <row r="333" spans="1:43" x14ac:dyDescent="0.3">
      <c r="A333" s="42">
        <v>1509.4685999999999</v>
      </c>
      <c r="B333" s="42">
        <v>1498.5119999999999</v>
      </c>
      <c r="C333" s="53">
        <f>+'Fisico ASIG'!A333</f>
        <v>2026</v>
      </c>
      <c r="D333" s="52">
        <f>+'Fisico ASIG'!B333</f>
        <v>46235</v>
      </c>
      <c r="E333" s="1">
        <f>+'Fisico ASIG'!C333</f>
        <v>31</v>
      </c>
      <c r="F333" s="56" t="str">
        <f t="shared" si="308"/>
        <v>mié</v>
      </c>
      <c r="G333" s="56">
        <f t="shared" si="309"/>
        <v>46239</v>
      </c>
      <c r="H333" s="17">
        <v>28</v>
      </c>
      <c r="I333" s="17">
        <f t="shared" si="370"/>
        <v>4.7970524196396003</v>
      </c>
      <c r="J333" s="17">
        <f t="shared" si="371"/>
        <v>5.3926317734157125</v>
      </c>
      <c r="K333" s="83">
        <f t="shared" si="377"/>
        <v>6.8583333333333334</v>
      </c>
      <c r="L333" s="17">
        <v>27</v>
      </c>
      <c r="M333" s="17">
        <v>71.5</v>
      </c>
      <c r="N333" s="17">
        <f t="shared" si="364"/>
        <v>97.782697578649191</v>
      </c>
      <c r="O333" s="17">
        <v>104.98820442433632</v>
      </c>
      <c r="P333" s="18">
        <f>SUMPRODUCT(H333:O333,'Fisico ASIG'!F333:M333)*24</f>
        <v>12003906.58850888</v>
      </c>
      <c r="Q333" s="43">
        <v>0</v>
      </c>
      <c r="R333" s="43">
        <f t="shared" si="372"/>
        <v>5497.3885246768295</v>
      </c>
      <c r="S333" s="43">
        <f t="shared" si="373"/>
        <v>2716.1876702834361</v>
      </c>
      <c r="T333" s="43">
        <f t="shared" si="378"/>
        <v>1795.6376259798433</v>
      </c>
      <c r="U333" s="43">
        <v>18000</v>
      </c>
      <c r="V333" s="20">
        <v>0</v>
      </c>
      <c r="W333" s="20">
        <v>21900</v>
      </c>
      <c r="X333" s="20">
        <v>0</v>
      </c>
      <c r="Y333" s="18">
        <f>SUMPRODUCT(Q333:X333,'Fisico ASIG'!O333:V333)/E333</f>
        <v>5857548.6606849683</v>
      </c>
      <c r="Z333" s="25">
        <f t="shared" si="374"/>
        <v>17861455.249193847</v>
      </c>
      <c r="AA333" s="26">
        <f>+Z333/'Fisico ASIG'!N333/24</f>
        <v>74.721289390913043</v>
      </c>
      <c r="AB333" s="26">
        <f>+$AB$21*1.1*Precios!$P$17/Precios!$W$17/Precios!$Q$17</f>
        <v>13.898389988279444</v>
      </c>
      <c r="AC333" s="29">
        <f t="shared" si="375"/>
        <v>60.822899402633595</v>
      </c>
      <c r="AI333" s="1">
        <v>7241</v>
      </c>
      <c r="AJ333" s="1">
        <v>5762594</v>
      </c>
      <c r="AK333">
        <f t="shared" si="379"/>
        <v>1.44</v>
      </c>
      <c r="AL333" s="40">
        <f t="shared" si="380"/>
        <v>8140.0083333333323</v>
      </c>
      <c r="AM333">
        <v>4100000</v>
      </c>
      <c r="AN333" s="117">
        <v>91.182854874612829</v>
      </c>
      <c r="AO333" s="64">
        <f t="shared" si="376"/>
        <v>5.7498427040363662</v>
      </c>
      <c r="AP333">
        <v>0</v>
      </c>
      <c r="AQ333" s="1">
        <v>0.85</v>
      </c>
    </row>
    <row r="334" spans="1:43" x14ac:dyDescent="0.3">
      <c r="A334" s="42">
        <v>1509.4685999999999</v>
      </c>
      <c r="B334" s="42">
        <v>1498.5119999999999</v>
      </c>
      <c r="C334" s="53">
        <f>+'Fisico ASIG'!A334</f>
        <v>2026</v>
      </c>
      <c r="D334" s="52">
        <f>+'Fisico ASIG'!B334</f>
        <v>46235</v>
      </c>
      <c r="E334" s="1">
        <f>+'Fisico ASIG'!C334</f>
        <v>31</v>
      </c>
      <c r="F334" s="56" t="str">
        <f t="shared" si="308"/>
        <v>jue</v>
      </c>
      <c r="G334" s="56">
        <f t="shared" si="309"/>
        <v>46240</v>
      </c>
      <c r="H334" s="17">
        <v>28</v>
      </c>
      <c r="I334" s="17">
        <f t="shared" si="370"/>
        <v>4.7970524196396003</v>
      </c>
      <c r="J334" s="17">
        <f t="shared" si="371"/>
        <v>5.3926317734157125</v>
      </c>
      <c r="K334" s="83">
        <f t="shared" si="377"/>
        <v>6.8583333333333334</v>
      </c>
      <c r="L334" s="17">
        <v>27</v>
      </c>
      <c r="M334" s="17">
        <v>71.5</v>
      </c>
      <c r="N334" s="17">
        <f t="shared" si="364"/>
        <v>116.70958863342301</v>
      </c>
      <c r="O334" s="17">
        <v>101.48361712622317</v>
      </c>
      <c r="P334" s="18">
        <f>SUMPRODUCT(H334:O334,'Fisico ASIG'!F334:M334)*24</f>
        <v>13805342.660178831</v>
      </c>
      <c r="Q334" s="43">
        <v>0</v>
      </c>
      <c r="R334" s="43">
        <f t="shared" si="372"/>
        <v>5497.3885246768295</v>
      </c>
      <c r="S334" s="43">
        <f t="shared" si="373"/>
        <v>2716.1876702834361</v>
      </c>
      <c r="T334" s="43">
        <f t="shared" si="378"/>
        <v>1795.6376259798433</v>
      </c>
      <c r="U334" s="43">
        <v>18000</v>
      </c>
      <c r="V334" s="20">
        <v>0</v>
      </c>
      <c r="W334" s="20">
        <v>21900</v>
      </c>
      <c r="X334" s="20">
        <v>0</v>
      </c>
      <c r="Y334" s="18">
        <f>SUMPRODUCT(Q334:X334,'Fisico ASIG'!O334:V334)/E334</f>
        <v>5872856.6052138172</v>
      </c>
      <c r="Z334" s="25">
        <f t="shared" si="374"/>
        <v>19678199.265392646</v>
      </c>
      <c r="AA334" s="26">
        <f>+Z334/'Fisico ASIG'!N334/24</f>
        <v>81.438169207846229</v>
      </c>
      <c r="AB334" s="26">
        <f>+$AB$21*1.1*Precios!$P$17/Precios!$W$17/Precios!$Q$17</f>
        <v>13.898389988279444</v>
      </c>
      <c r="AC334" s="29">
        <f t="shared" si="375"/>
        <v>67.539779219566782</v>
      </c>
      <c r="AI334" s="1">
        <v>7241</v>
      </c>
      <c r="AJ334" s="1">
        <v>5762594</v>
      </c>
      <c r="AK334">
        <f t="shared" si="379"/>
        <v>1.44</v>
      </c>
      <c r="AL334" s="40">
        <f t="shared" si="380"/>
        <v>8140.0083333333323</v>
      </c>
      <c r="AM334">
        <v>4100000</v>
      </c>
      <c r="AN334" s="117">
        <v>108.91296359102859</v>
      </c>
      <c r="AO334" s="64">
        <f t="shared" si="376"/>
        <v>6.9466250423944302</v>
      </c>
      <c r="AP334">
        <v>0</v>
      </c>
      <c r="AQ334" s="1">
        <v>0.85</v>
      </c>
    </row>
    <row r="335" spans="1:43" x14ac:dyDescent="0.3">
      <c r="A335" s="42">
        <v>1509.4685999999999</v>
      </c>
      <c r="B335" s="42">
        <v>1498.5119999999999</v>
      </c>
      <c r="C335" s="53">
        <f>+'Fisico ASIG'!A335</f>
        <v>2026</v>
      </c>
      <c r="D335" s="52">
        <f>+'Fisico ASIG'!B335</f>
        <v>46235</v>
      </c>
      <c r="E335" s="1">
        <f>+'Fisico ASIG'!C335</f>
        <v>31</v>
      </c>
      <c r="F335" s="56" t="str">
        <f t="shared" si="308"/>
        <v>vie</v>
      </c>
      <c r="G335" s="56">
        <f t="shared" si="309"/>
        <v>46241</v>
      </c>
      <c r="H335" s="17">
        <v>28</v>
      </c>
      <c r="I335" s="17">
        <f t="shared" si="370"/>
        <v>4.7970524196396003</v>
      </c>
      <c r="J335" s="17">
        <f t="shared" si="371"/>
        <v>5.3926317734157125</v>
      </c>
      <c r="K335" s="83">
        <f t="shared" si="377"/>
        <v>6.8583333333333334</v>
      </c>
      <c r="L335" s="17">
        <v>27</v>
      </c>
      <c r="M335" s="17">
        <v>71.5</v>
      </c>
      <c r="N335" s="17">
        <f t="shared" si="364"/>
        <v>148.8666656152906</v>
      </c>
      <c r="O335" s="17">
        <v>103.25367439796055</v>
      </c>
      <c r="P335" s="18">
        <f>SUMPRODUCT(H335:O335,'Fisico ASIG'!F335:M335)*24</f>
        <v>16158650.008368602</v>
      </c>
      <c r="Q335" s="43">
        <v>0</v>
      </c>
      <c r="R335" s="43">
        <f t="shared" si="372"/>
        <v>5497.3885246768295</v>
      </c>
      <c r="S335" s="43">
        <f t="shared" si="373"/>
        <v>2716.1876702834361</v>
      </c>
      <c r="T335" s="43">
        <f t="shared" si="378"/>
        <v>1795.6376259798433</v>
      </c>
      <c r="U335" s="43">
        <v>18000</v>
      </c>
      <c r="V335" s="20">
        <v>0</v>
      </c>
      <c r="W335" s="20">
        <v>21900</v>
      </c>
      <c r="X335" s="20">
        <v>0</v>
      </c>
      <c r="Y335" s="18">
        <f>SUMPRODUCT(Q335:X335,'Fisico ASIG'!O335:V335)/E335</f>
        <v>5871416.9053241611</v>
      </c>
      <c r="Z335" s="25">
        <f t="shared" si="374"/>
        <v>22030066.913692765</v>
      </c>
      <c r="AA335" s="26">
        <f>+Z335/'Fisico ASIG'!N335/24</f>
        <v>84.311306424114235</v>
      </c>
      <c r="AB335" s="26">
        <f>+$AB$21*1.1*Precios!$P$17/Precios!$W$17/Precios!$Q$17</f>
        <v>13.898389988279444</v>
      </c>
      <c r="AC335" s="29">
        <f t="shared" si="375"/>
        <v>70.412916435834788</v>
      </c>
      <c r="AI335" s="1">
        <v>7241</v>
      </c>
      <c r="AJ335" s="1">
        <v>5762594</v>
      </c>
      <c r="AK335">
        <f t="shared" si="379"/>
        <v>1.44</v>
      </c>
      <c r="AL335" s="40">
        <f t="shared" si="380"/>
        <v>8140.0083333333323</v>
      </c>
      <c r="AM335">
        <v>4100000</v>
      </c>
      <c r="AN335" s="117">
        <v>139.0366891009748</v>
      </c>
      <c r="AO335" s="64">
        <f t="shared" si="376"/>
        <v>8.9799765143157995</v>
      </c>
      <c r="AP335">
        <v>0</v>
      </c>
      <c r="AQ335" s="1">
        <v>0.85</v>
      </c>
    </row>
    <row r="336" spans="1:43" x14ac:dyDescent="0.3">
      <c r="A336" s="42">
        <v>1509.4685999999999</v>
      </c>
      <c r="B336" s="42">
        <v>1498.5119999999999</v>
      </c>
      <c r="C336" s="53">
        <f>+'Fisico ASIG'!A336</f>
        <v>2026</v>
      </c>
      <c r="D336" s="52">
        <f>+'Fisico ASIG'!B336</f>
        <v>46235</v>
      </c>
      <c r="E336" s="1">
        <f>+'Fisico ASIG'!C336</f>
        <v>31</v>
      </c>
      <c r="F336" s="56" t="str">
        <f t="shared" si="308"/>
        <v>sáb</v>
      </c>
      <c r="G336" s="56">
        <f t="shared" si="309"/>
        <v>46242</v>
      </c>
      <c r="H336" s="17">
        <v>28</v>
      </c>
      <c r="I336" s="17">
        <f t="shared" si="370"/>
        <v>4.7970524196396003</v>
      </c>
      <c r="J336" s="17">
        <f t="shared" si="371"/>
        <v>5.3926317734157125</v>
      </c>
      <c r="K336" s="83">
        <f t="shared" si="377"/>
        <v>6.8583333333333334</v>
      </c>
      <c r="L336" s="17">
        <v>27</v>
      </c>
      <c r="M336" s="17">
        <v>71.5</v>
      </c>
      <c r="N336" s="17">
        <f t="shared" si="364"/>
        <v>116.13555443112249</v>
      </c>
      <c r="O336" s="17">
        <v>92.969796679984583</v>
      </c>
      <c r="P336" s="18">
        <f>SUMPRODUCT(H336:O336,'Fisico ASIG'!F336:M336)*24</f>
        <v>13062968.84733182</v>
      </c>
      <c r="Q336" s="43">
        <v>0</v>
      </c>
      <c r="R336" s="43">
        <f t="shared" si="372"/>
        <v>5497.3885246768295</v>
      </c>
      <c r="S336" s="43">
        <f t="shared" si="373"/>
        <v>2716.1876702834361</v>
      </c>
      <c r="T336" s="43">
        <f t="shared" si="378"/>
        <v>1795.6376259798433</v>
      </c>
      <c r="U336" s="43">
        <v>18000</v>
      </c>
      <c r="V336" s="20">
        <v>0</v>
      </c>
      <c r="W336" s="20">
        <v>21900</v>
      </c>
      <c r="X336" s="20">
        <v>0</v>
      </c>
      <c r="Y336" s="18">
        <f>SUMPRODUCT(Q336:X336,'Fisico ASIG'!O336:V336)/E336</f>
        <v>5872005.7660111384</v>
      </c>
      <c r="Z336" s="25">
        <f t="shared" si="374"/>
        <v>18934974.613342959</v>
      </c>
      <c r="AA336" s="26">
        <f>+Z336/'Fisico ASIG'!N336/24</f>
        <v>77.749882187697636</v>
      </c>
      <c r="AB336" s="26">
        <f>+$AB$21*1.1*Precios!$P$17/Precios!$W$17/Precios!$Q$17</f>
        <v>13.898389988279444</v>
      </c>
      <c r="AC336" s="29">
        <f t="shared" si="375"/>
        <v>63.851492199418189</v>
      </c>
      <c r="AI336" s="1">
        <v>7241</v>
      </c>
      <c r="AJ336" s="1">
        <v>5762594</v>
      </c>
      <c r="AK336">
        <f t="shared" si="379"/>
        <v>1.44</v>
      </c>
      <c r="AL336" s="40">
        <f t="shared" si="380"/>
        <v>8140.0083333333323</v>
      </c>
      <c r="AM336">
        <v>4100000</v>
      </c>
      <c r="AN336" s="117">
        <v>108.37522663337002</v>
      </c>
      <c r="AO336" s="64">
        <f t="shared" si="376"/>
        <v>6.9103277977524771</v>
      </c>
      <c r="AP336">
        <v>0</v>
      </c>
      <c r="AQ336" s="1">
        <v>0.85</v>
      </c>
    </row>
    <row r="337" spans="1:43" x14ac:dyDescent="0.3">
      <c r="A337" s="42">
        <v>1509.4685999999999</v>
      </c>
      <c r="B337" s="42">
        <v>1498.5119999999999</v>
      </c>
      <c r="C337" s="53">
        <f>+'Fisico ASIG'!A337</f>
        <v>2026</v>
      </c>
      <c r="D337" s="52">
        <f>+'Fisico ASIG'!B337</f>
        <v>46235</v>
      </c>
      <c r="E337" s="1">
        <f>+'Fisico ASIG'!C337</f>
        <v>31</v>
      </c>
      <c r="F337" s="56" t="str">
        <f t="shared" si="308"/>
        <v>dom</v>
      </c>
      <c r="G337" s="56">
        <f t="shared" si="309"/>
        <v>46243</v>
      </c>
      <c r="H337" s="17">
        <v>28</v>
      </c>
      <c r="I337" s="17">
        <f t="shared" ref="I337:I344" si="381">AI337/A337</f>
        <v>4.7970524196396003</v>
      </c>
      <c r="J337" s="17">
        <f t="shared" ref="J337:J344" si="382">+AL337/A337</f>
        <v>5.3926317734157125</v>
      </c>
      <c r="K337" s="83">
        <f t="shared" si="377"/>
        <v>6.8583333333333334</v>
      </c>
      <c r="L337" s="17">
        <v>27</v>
      </c>
      <c r="M337" s="17">
        <v>71.5</v>
      </c>
      <c r="N337" s="17">
        <f t="shared" si="364"/>
        <v>125.47412948846296</v>
      </c>
      <c r="O337" s="17">
        <v>69.110786940294361</v>
      </c>
      <c r="P337" s="18">
        <f>SUMPRODUCT(H337:O337,'Fisico ASIG'!F337:M337)*24</f>
        <v>12445678.438879374</v>
      </c>
      <c r="Q337" s="43">
        <v>0</v>
      </c>
      <c r="R337" s="43">
        <f t="shared" ref="R337:R344" si="383">+AJ337*AK337/A337</f>
        <v>5497.3885246768295</v>
      </c>
      <c r="S337" s="43">
        <f t="shared" ref="S337:S344" si="384">+AM337/A337</f>
        <v>2716.1876702834361</v>
      </c>
      <c r="T337" s="43">
        <f t="shared" si="378"/>
        <v>1795.6376259798433</v>
      </c>
      <c r="U337" s="43">
        <v>18000</v>
      </c>
      <c r="V337" s="20">
        <v>0</v>
      </c>
      <c r="W337" s="20">
        <v>21900</v>
      </c>
      <c r="X337" s="20">
        <v>0</v>
      </c>
      <c r="Y337" s="18">
        <f>SUMPRODUCT(Q337:X337,'Fisico ASIG'!O337:V337)/E337</f>
        <v>5888590.9900350226</v>
      </c>
      <c r="Z337" s="25">
        <f t="shared" ref="Z337:Z344" si="385">+(P337+Y337)</f>
        <v>18334269.428914398</v>
      </c>
      <c r="AA337" s="26">
        <f>+Z337/'Fisico ASIG'!N337/24</f>
        <v>77.240558973016974</v>
      </c>
      <c r="AB337" s="26">
        <f>+$AB$21*1.1*Precios!$P$17/Precios!$W$17/Precios!$Q$17</f>
        <v>13.898389988279444</v>
      </c>
      <c r="AC337" s="29">
        <f t="shared" ref="AC337:AC344" si="386">+AA337-AB337</f>
        <v>63.342168984737526</v>
      </c>
      <c r="AI337" s="1">
        <v>7241</v>
      </c>
      <c r="AJ337" s="1">
        <v>5762594</v>
      </c>
      <c r="AK337">
        <f t="shared" si="379"/>
        <v>1.44</v>
      </c>
      <c r="AL337" s="40">
        <f t="shared" si="380"/>
        <v>8140.0083333333323</v>
      </c>
      <c r="AM337">
        <v>4100000</v>
      </c>
      <c r="AN337" s="117">
        <v>117.12330631237749</v>
      </c>
      <c r="AO337" s="64">
        <f t="shared" ref="AO337:AO344" si="387">0.075*0.9*(AN337-6)</f>
        <v>7.5008231760854818</v>
      </c>
      <c r="AP337">
        <v>0</v>
      </c>
      <c r="AQ337" s="1">
        <v>0.85</v>
      </c>
    </row>
    <row r="338" spans="1:43" x14ac:dyDescent="0.3">
      <c r="A338" s="42">
        <v>1509.4685999999999</v>
      </c>
      <c r="B338" s="42">
        <v>1498.5119999999999</v>
      </c>
      <c r="C338" s="53">
        <f>+'Fisico ASIG'!A338</f>
        <v>2026</v>
      </c>
      <c r="D338" s="52">
        <f>+'Fisico ASIG'!B338</f>
        <v>46235</v>
      </c>
      <c r="E338" s="1">
        <f>+'Fisico ASIG'!C338</f>
        <v>31</v>
      </c>
      <c r="F338" s="56" t="str">
        <f t="shared" si="308"/>
        <v>lun</v>
      </c>
      <c r="G338" s="56">
        <f t="shared" si="309"/>
        <v>46244</v>
      </c>
      <c r="H338" s="17">
        <v>28</v>
      </c>
      <c r="I338" s="17">
        <f t="shared" si="381"/>
        <v>4.7970524196396003</v>
      </c>
      <c r="J338" s="17">
        <f t="shared" si="382"/>
        <v>5.3926317734157125</v>
      </c>
      <c r="K338" s="83">
        <f t="shared" si="377"/>
        <v>6.8583333333333334</v>
      </c>
      <c r="L338" s="17">
        <v>27</v>
      </c>
      <c r="M338" s="17">
        <v>71.5</v>
      </c>
      <c r="N338" s="17">
        <f t="shared" si="364"/>
        <v>156.46670789944415</v>
      </c>
      <c r="O338" s="17">
        <v>90.338389290986512</v>
      </c>
      <c r="P338" s="18">
        <f>SUMPRODUCT(H338:O338,'Fisico ASIG'!F338:M338)*24</f>
        <v>17982304.761268783</v>
      </c>
      <c r="Q338" s="43">
        <v>0</v>
      </c>
      <c r="R338" s="43">
        <f t="shared" si="383"/>
        <v>5497.3885246768295</v>
      </c>
      <c r="S338" s="43">
        <f t="shared" si="384"/>
        <v>2716.1876702834361</v>
      </c>
      <c r="T338" s="43">
        <f t="shared" si="378"/>
        <v>1795.6376259798433</v>
      </c>
      <c r="U338" s="43">
        <v>18000</v>
      </c>
      <c r="V338" s="20">
        <v>0</v>
      </c>
      <c r="W338" s="20">
        <v>21900</v>
      </c>
      <c r="X338" s="20">
        <v>0</v>
      </c>
      <c r="Y338" s="18">
        <f>SUMPRODUCT(Q338:X338,'Fisico ASIG'!O338:V338)/E338</f>
        <v>5911784.6356384</v>
      </c>
      <c r="Z338" s="25">
        <f t="shared" si="385"/>
        <v>23894089.396907184</v>
      </c>
      <c r="AA338" s="26">
        <f>+Z338/'Fisico ASIG'!N338/24</f>
        <v>87.076269760316663</v>
      </c>
      <c r="AB338" s="26">
        <f>+$AB$21*1.1*Precios!$P$17/Precios!$W$17/Precios!$Q$17</f>
        <v>13.898389988279444</v>
      </c>
      <c r="AC338" s="29">
        <f t="shared" si="386"/>
        <v>73.177879772037215</v>
      </c>
      <c r="AI338" s="1">
        <v>7241</v>
      </c>
      <c r="AJ338" s="1">
        <v>5762594</v>
      </c>
      <c r="AK338">
        <f t="shared" si="379"/>
        <v>1.44</v>
      </c>
      <c r="AL338" s="40">
        <f t="shared" si="380"/>
        <v>8140.0083333333323</v>
      </c>
      <c r="AM338">
        <v>4100000</v>
      </c>
      <c r="AN338" s="117">
        <v>146.15616665053315</v>
      </c>
      <c r="AO338" s="64">
        <f t="shared" si="387"/>
        <v>9.4605412489109888</v>
      </c>
      <c r="AP338">
        <v>0</v>
      </c>
      <c r="AQ338" s="1">
        <v>0.85</v>
      </c>
    </row>
    <row r="339" spans="1:43" x14ac:dyDescent="0.3">
      <c r="A339" s="42">
        <v>1509.4685999999999</v>
      </c>
      <c r="B339" s="42">
        <v>1498.5119999999999</v>
      </c>
      <c r="C339" s="53">
        <f>+'Fisico ASIG'!A339</f>
        <v>2026</v>
      </c>
      <c r="D339" s="52">
        <f>+'Fisico ASIG'!B339</f>
        <v>46235</v>
      </c>
      <c r="E339" s="1">
        <f>+'Fisico ASIG'!C339</f>
        <v>31</v>
      </c>
      <c r="F339" s="56" t="str">
        <f t="shared" si="308"/>
        <v>mar</v>
      </c>
      <c r="G339" s="56">
        <f t="shared" si="309"/>
        <v>46245</v>
      </c>
      <c r="H339" s="17">
        <v>28</v>
      </c>
      <c r="I339" s="17">
        <f t="shared" si="381"/>
        <v>4.7970524196396003</v>
      </c>
      <c r="J339" s="17">
        <f t="shared" si="382"/>
        <v>5.3926317734157125</v>
      </c>
      <c r="K339" s="83">
        <f t="shared" si="377"/>
        <v>6.8583333333333334</v>
      </c>
      <c r="L339" s="17">
        <v>27</v>
      </c>
      <c r="M339" s="17">
        <v>71.5</v>
      </c>
      <c r="N339" s="17">
        <f t="shared" si="364"/>
        <v>163.80156592385515</v>
      </c>
      <c r="O339" s="17">
        <v>108.31213865864436</v>
      </c>
      <c r="P339" s="18">
        <f>SUMPRODUCT(H339:O339,'Fisico ASIG'!F339:M339)*24</f>
        <v>19219945.338150326</v>
      </c>
      <c r="Q339" s="43">
        <v>0</v>
      </c>
      <c r="R339" s="43">
        <f t="shared" si="383"/>
        <v>5497.3885246768295</v>
      </c>
      <c r="S339" s="43">
        <f t="shared" si="384"/>
        <v>2716.1876702834361</v>
      </c>
      <c r="T339" s="43">
        <f t="shared" si="378"/>
        <v>1795.6376259798433</v>
      </c>
      <c r="U339" s="43">
        <v>18000</v>
      </c>
      <c r="V339" s="20">
        <v>0</v>
      </c>
      <c r="W339" s="20">
        <v>21900</v>
      </c>
      <c r="X339" s="20">
        <v>0</v>
      </c>
      <c r="Y339" s="18">
        <f>SUMPRODUCT(Q339:X339,'Fisico ASIG'!O339:V339)/E339</f>
        <v>5903793.4655525954</v>
      </c>
      <c r="Z339" s="25">
        <f t="shared" si="385"/>
        <v>25123738.803702921</v>
      </c>
      <c r="AA339" s="26">
        <f>+Z339/'Fisico ASIG'!N339/24</f>
        <v>91.03359961464507</v>
      </c>
      <c r="AB339" s="26">
        <f>+$AB$21*1.1*Precios!$P$17/Precios!$W$17/Precios!$Q$17</f>
        <v>13.898389988279444</v>
      </c>
      <c r="AC339" s="29">
        <f t="shared" si="386"/>
        <v>77.135209626365622</v>
      </c>
      <c r="AI339" s="1">
        <v>7241</v>
      </c>
      <c r="AJ339" s="1">
        <v>5762594</v>
      </c>
      <c r="AK339">
        <f t="shared" si="379"/>
        <v>1.44</v>
      </c>
      <c r="AL339" s="40">
        <f t="shared" si="380"/>
        <v>8140.0083333333323</v>
      </c>
      <c r="AM339">
        <v>4100000</v>
      </c>
      <c r="AN339" s="117">
        <v>153.02722803171443</v>
      </c>
      <c r="AO339" s="64">
        <f t="shared" si="387"/>
        <v>9.9243378921407253</v>
      </c>
      <c r="AP339">
        <v>0</v>
      </c>
      <c r="AQ339" s="1">
        <v>0.85</v>
      </c>
    </row>
    <row r="340" spans="1:43" x14ac:dyDescent="0.3">
      <c r="A340" s="42">
        <v>1509.4685999999999</v>
      </c>
      <c r="B340" s="42">
        <v>1498.5119999999999</v>
      </c>
      <c r="C340" s="53">
        <f>+'Fisico ASIG'!A340</f>
        <v>2026</v>
      </c>
      <c r="D340" s="52">
        <f>+'Fisico ASIG'!B340</f>
        <v>46235</v>
      </c>
      <c r="E340" s="1">
        <f>+'Fisico ASIG'!C340</f>
        <v>31</v>
      </c>
      <c r="F340" s="56" t="str">
        <f t="shared" si="308"/>
        <v>mié</v>
      </c>
      <c r="G340" s="56">
        <f t="shared" si="309"/>
        <v>46246</v>
      </c>
      <c r="H340" s="17">
        <v>28</v>
      </c>
      <c r="I340" s="17">
        <f t="shared" si="381"/>
        <v>4.7970524196396003</v>
      </c>
      <c r="J340" s="17">
        <f t="shared" si="382"/>
        <v>5.3926317734157125</v>
      </c>
      <c r="K340" s="83">
        <f t="shared" si="377"/>
        <v>6.8583333333333334</v>
      </c>
      <c r="L340" s="17">
        <v>27</v>
      </c>
      <c r="M340" s="17">
        <v>71.5</v>
      </c>
      <c r="N340" s="17">
        <f t="shared" si="364"/>
        <v>193.06809024508726</v>
      </c>
      <c r="O340" s="17">
        <v>110.39903636429278</v>
      </c>
      <c r="P340" s="18">
        <f>SUMPRODUCT(H340:O340,'Fisico ASIG'!F340:M340)*24</f>
        <v>22040891.677120626</v>
      </c>
      <c r="Q340" s="43">
        <v>0</v>
      </c>
      <c r="R340" s="43">
        <f t="shared" si="383"/>
        <v>5497.3885246768295</v>
      </c>
      <c r="S340" s="43">
        <f t="shared" si="384"/>
        <v>2716.1876702834361</v>
      </c>
      <c r="T340" s="43">
        <f t="shared" si="378"/>
        <v>1795.6376259798433</v>
      </c>
      <c r="U340" s="43">
        <v>18000</v>
      </c>
      <c r="V340" s="20">
        <v>0</v>
      </c>
      <c r="W340" s="20">
        <v>21900</v>
      </c>
      <c r="X340" s="20">
        <v>0</v>
      </c>
      <c r="Y340" s="18">
        <f>SUMPRODUCT(Q340:X340,'Fisico ASIG'!O340:V340)/E340</f>
        <v>5864169.1058303593</v>
      </c>
      <c r="Z340" s="25">
        <f t="shared" si="385"/>
        <v>27905060.782950986</v>
      </c>
      <c r="AA340" s="26">
        <f>+Z340/'Fisico ASIG'!N340/24</f>
        <v>100.29980782969265</v>
      </c>
      <c r="AB340" s="26">
        <f>+$AB$21*1.1*Precios!$P$17/Precios!$W$17/Precios!$Q$17</f>
        <v>13.898389988279444</v>
      </c>
      <c r="AC340" s="29">
        <f t="shared" si="386"/>
        <v>86.401417841413206</v>
      </c>
      <c r="AI340" s="1">
        <v>7241</v>
      </c>
      <c r="AJ340" s="1">
        <v>5762594</v>
      </c>
      <c r="AK340">
        <f t="shared" si="379"/>
        <v>1.44</v>
      </c>
      <c r="AL340" s="40">
        <f t="shared" si="380"/>
        <v>8140.0083333333323</v>
      </c>
      <c r="AM340">
        <v>4100000</v>
      </c>
      <c r="AN340" s="117">
        <v>180.44317587361806</v>
      </c>
      <c r="AO340" s="64">
        <f t="shared" si="387"/>
        <v>11.774914371469221</v>
      </c>
      <c r="AP340">
        <v>0</v>
      </c>
      <c r="AQ340" s="1">
        <v>0.85</v>
      </c>
    </row>
    <row r="341" spans="1:43" x14ac:dyDescent="0.3">
      <c r="A341" s="42">
        <v>1509.4685999999999</v>
      </c>
      <c r="B341" s="42">
        <v>1498.5119999999999</v>
      </c>
      <c r="C341" s="53">
        <f>+'Fisico ASIG'!A341</f>
        <v>2026</v>
      </c>
      <c r="D341" s="52">
        <f>+'Fisico ASIG'!B341</f>
        <v>46235</v>
      </c>
      <c r="E341" s="1">
        <f>+'Fisico ASIG'!C341</f>
        <v>31</v>
      </c>
      <c r="F341" s="56" t="str">
        <f t="shared" si="308"/>
        <v>jue</v>
      </c>
      <c r="G341" s="56">
        <f t="shared" si="309"/>
        <v>46247</v>
      </c>
      <c r="H341" s="17">
        <v>28</v>
      </c>
      <c r="I341" s="17">
        <f t="shared" si="381"/>
        <v>4.7970524196396003</v>
      </c>
      <c r="J341" s="17">
        <f t="shared" si="382"/>
        <v>5.3926317734157125</v>
      </c>
      <c r="K341" s="83">
        <f t="shared" si="377"/>
        <v>6.8583333333333334</v>
      </c>
      <c r="L341" s="17">
        <v>27</v>
      </c>
      <c r="M341" s="17">
        <v>71.5</v>
      </c>
      <c r="N341" s="17">
        <f t="shared" si="364"/>
        <v>164.13276050518985</v>
      </c>
      <c r="O341" s="17">
        <v>95.61178248060672</v>
      </c>
      <c r="P341" s="18">
        <f>SUMPRODUCT(H341:O341,'Fisico ASIG'!F341:M341)*24</f>
        <v>18501998.053954355</v>
      </c>
      <c r="Q341" s="43">
        <v>0</v>
      </c>
      <c r="R341" s="43">
        <f t="shared" si="383"/>
        <v>5497.3885246768295</v>
      </c>
      <c r="S341" s="43">
        <f t="shared" si="384"/>
        <v>2716.1876702834361</v>
      </c>
      <c r="T341" s="43">
        <f t="shared" si="378"/>
        <v>1795.6376259798433</v>
      </c>
      <c r="U341" s="43">
        <v>18000</v>
      </c>
      <c r="V341" s="20">
        <v>0</v>
      </c>
      <c r="W341" s="20">
        <v>21900</v>
      </c>
      <c r="X341" s="20">
        <v>0</v>
      </c>
      <c r="Y341" s="18">
        <f>SUMPRODUCT(Q341:X341,'Fisico ASIG'!O341:V341)/E341</f>
        <v>5832151.7897997694</v>
      </c>
      <c r="Z341" s="25">
        <f t="shared" si="385"/>
        <v>24334149.843754124</v>
      </c>
      <c r="AA341" s="26">
        <f>+Z341/'Fisico ASIG'!N341/24</f>
        <v>87.851542435110034</v>
      </c>
      <c r="AB341" s="26">
        <f>+$AB$21*1.1*Precios!$P$17/Precios!$W$17/Precios!$Q$17</f>
        <v>13.898389988279444</v>
      </c>
      <c r="AC341" s="29">
        <f t="shared" si="386"/>
        <v>73.953152446830586</v>
      </c>
      <c r="AI341" s="1">
        <v>7241</v>
      </c>
      <c r="AJ341" s="1">
        <v>5762594</v>
      </c>
      <c r="AK341">
        <f t="shared" si="379"/>
        <v>1.44</v>
      </c>
      <c r="AL341" s="40">
        <f t="shared" si="380"/>
        <v>8140.0083333333323</v>
      </c>
      <c r="AM341">
        <v>4100000</v>
      </c>
      <c r="AN341" s="117">
        <v>153.33748056692258</v>
      </c>
      <c r="AO341" s="64">
        <f t="shared" si="387"/>
        <v>9.9452799382672747</v>
      </c>
      <c r="AP341">
        <v>0</v>
      </c>
      <c r="AQ341" s="1">
        <v>0.85</v>
      </c>
    </row>
    <row r="342" spans="1:43" x14ac:dyDescent="0.3">
      <c r="A342" s="42">
        <v>1509.4685999999999</v>
      </c>
      <c r="B342" s="42">
        <v>1498.5119999999999</v>
      </c>
      <c r="C342" s="53">
        <f>+'Fisico ASIG'!A342</f>
        <v>2026</v>
      </c>
      <c r="D342" s="52">
        <f>+'Fisico ASIG'!B342</f>
        <v>46235</v>
      </c>
      <c r="E342" s="1">
        <f>+'Fisico ASIG'!C342</f>
        <v>31</v>
      </c>
      <c r="F342" s="56" t="str">
        <f t="shared" ref="F342:F405" si="388">+F335</f>
        <v>vie</v>
      </c>
      <c r="G342" s="56">
        <f t="shared" si="309"/>
        <v>46248</v>
      </c>
      <c r="H342" s="17">
        <v>28</v>
      </c>
      <c r="I342" s="17">
        <f t="shared" si="381"/>
        <v>4.7970524196396003</v>
      </c>
      <c r="J342" s="17">
        <f t="shared" si="382"/>
        <v>5.3926317734157125</v>
      </c>
      <c r="K342" s="83">
        <f t="shared" si="377"/>
        <v>6.8583333333333334</v>
      </c>
      <c r="L342" s="17">
        <v>27</v>
      </c>
      <c r="M342" s="17">
        <v>71.5</v>
      </c>
      <c r="N342" s="17">
        <f t="shared" si="364"/>
        <v>186.66692353884883</v>
      </c>
      <c r="O342" s="17">
        <v>98.297575753771341</v>
      </c>
      <c r="P342" s="18">
        <f>SUMPRODUCT(H342:O342,'Fisico ASIG'!F342:M342)*24</f>
        <v>19106528.771816671</v>
      </c>
      <c r="Q342" s="43">
        <v>0</v>
      </c>
      <c r="R342" s="43">
        <f t="shared" si="383"/>
        <v>5497.3885246768295</v>
      </c>
      <c r="S342" s="43">
        <f t="shared" si="384"/>
        <v>2716.1876702834361</v>
      </c>
      <c r="T342" s="43">
        <f t="shared" si="378"/>
        <v>1795.6376259798433</v>
      </c>
      <c r="U342" s="43">
        <v>18000</v>
      </c>
      <c r="V342" s="20">
        <v>0</v>
      </c>
      <c r="W342" s="20">
        <v>21900</v>
      </c>
      <c r="X342" s="20">
        <v>0</v>
      </c>
      <c r="Y342" s="18">
        <f>SUMPRODUCT(Q342:X342,'Fisico ASIG'!O342:V342)/E342</f>
        <v>5935589.0864824262</v>
      </c>
      <c r="Z342" s="25">
        <f t="shared" si="385"/>
        <v>25042117.858299099</v>
      </c>
      <c r="AA342" s="26">
        <f>+Z342/'Fisico ASIG'!N342/24</f>
        <v>94.680866500221327</v>
      </c>
      <c r="AB342" s="26">
        <f>+$AB$21*1.1*Precios!$P$17/Precios!$W$17/Precios!$Q$17</f>
        <v>13.898389988279444</v>
      </c>
      <c r="AC342" s="29">
        <f t="shared" si="386"/>
        <v>80.78247651194188</v>
      </c>
      <c r="AI342" s="1">
        <v>7241</v>
      </c>
      <c r="AJ342" s="1">
        <v>5762594</v>
      </c>
      <c r="AK342">
        <f t="shared" si="379"/>
        <v>1.44</v>
      </c>
      <c r="AL342" s="40">
        <f t="shared" si="380"/>
        <v>8140.0083333333323</v>
      </c>
      <c r="AM342">
        <v>4100000</v>
      </c>
      <c r="AN342" s="117">
        <v>174.44676678112305</v>
      </c>
      <c r="AO342" s="64">
        <f t="shared" si="387"/>
        <v>11.370156757725807</v>
      </c>
      <c r="AP342">
        <v>0</v>
      </c>
      <c r="AQ342" s="1">
        <v>0.85</v>
      </c>
    </row>
    <row r="343" spans="1:43" x14ac:dyDescent="0.3">
      <c r="A343" s="42">
        <v>1509.4685999999999</v>
      </c>
      <c r="B343" s="42">
        <v>1498.5119999999999</v>
      </c>
      <c r="C343" s="53">
        <f>+'Fisico ASIG'!A343</f>
        <v>2026</v>
      </c>
      <c r="D343" s="52">
        <f>+'Fisico ASIG'!B343</f>
        <v>46235</v>
      </c>
      <c r="E343" s="1">
        <f>+'Fisico ASIG'!C343</f>
        <v>31</v>
      </c>
      <c r="F343" s="56" t="str">
        <f t="shared" si="388"/>
        <v>sáb</v>
      </c>
      <c r="G343" s="56">
        <f t="shared" ref="G343:G407" si="389">+G342+1</f>
        <v>46249</v>
      </c>
      <c r="H343" s="17">
        <v>28</v>
      </c>
      <c r="I343" s="17">
        <f t="shared" si="381"/>
        <v>4.7970524196396003</v>
      </c>
      <c r="J343" s="17">
        <f t="shared" si="382"/>
        <v>5.3926317734157125</v>
      </c>
      <c r="K343" s="83">
        <f t="shared" si="377"/>
        <v>6.8583333333333334</v>
      </c>
      <c r="L343" s="17">
        <v>27</v>
      </c>
      <c r="M343" s="17">
        <v>71.5</v>
      </c>
      <c r="N343" s="17">
        <f t="shared" si="364"/>
        <v>147.23450966502358</v>
      </c>
      <c r="O343" s="17">
        <v>82.730074122876829</v>
      </c>
      <c r="P343" s="18">
        <f>SUMPRODUCT(H343:O343,'Fisico ASIG'!F343:M343)*24</f>
        <v>15028163.074341841</v>
      </c>
      <c r="Q343" s="43">
        <v>0</v>
      </c>
      <c r="R343" s="43">
        <f t="shared" si="383"/>
        <v>5497.3885246768295</v>
      </c>
      <c r="S343" s="43">
        <f t="shared" si="384"/>
        <v>2716.1876702834361</v>
      </c>
      <c r="T343" s="43">
        <f t="shared" si="378"/>
        <v>1795.6376259798433</v>
      </c>
      <c r="U343" s="43">
        <v>18000</v>
      </c>
      <c r="V343" s="20">
        <v>0</v>
      </c>
      <c r="W343" s="20">
        <v>21900</v>
      </c>
      <c r="X343" s="20">
        <v>0</v>
      </c>
      <c r="Y343" s="18">
        <f>SUMPRODUCT(Q343:X343,'Fisico ASIG'!O343:V343)/E343</f>
        <v>5873687.700451212</v>
      </c>
      <c r="Z343" s="25">
        <f t="shared" si="385"/>
        <v>20901850.774793051</v>
      </c>
      <c r="AA343" s="26">
        <f>+Z343/'Fisico ASIG'!N343/24</f>
        <v>83.730689170675404</v>
      </c>
      <c r="AB343" s="26">
        <f>+$AB$21*1.1*Precios!$P$17/Precios!$W$17/Precios!$Q$17</f>
        <v>13.898389988279444</v>
      </c>
      <c r="AC343" s="29">
        <f t="shared" si="386"/>
        <v>69.832299182395957</v>
      </c>
      <c r="AI343" s="1">
        <v>7241</v>
      </c>
      <c r="AJ343" s="1">
        <v>5762594</v>
      </c>
      <c r="AK343">
        <f t="shared" si="379"/>
        <v>1.44</v>
      </c>
      <c r="AL343" s="40">
        <f t="shared" si="380"/>
        <v>8140.0083333333323</v>
      </c>
      <c r="AM343">
        <v>4100000</v>
      </c>
      <c r="AN343" s="117">
        <v>137.50773739112279</v>
      </c>
      <c r="AO343" s="64">
        <f t="shared" si="387"/>
        <v>8.876772273900789</v>
      </c>
      <c r="AP343">
        <v>0</v>
      </c>
      <c r="AQ343" s="1">
        <v>0.85</v>
      </c>
    </row>
    <row r="344" spans="1:43" x14ac:dyDescent="0.3">
      <c r="A344" s="42">
        <v>1509.4685999999999</v>
      </c>
      <c r="B344" s="42">
        <v>1498.5119999999999</v>
      </c>
      <c r="C344" s="53">
        <f>+'Fisico ASIG'!A344</f>
        <v>2026</v>
      </c>
      <c r="D344" s="52">
        <f>+'Fisico ASIG'!B344</f>
        <v>46235</v>
      </c>
      <c r="E344" s="1">
        <f>+'Fisico ASIG'!C344</f>
        <v>31</v>
      </c>
      <c r="F344" s="56" t="str">
        <f t="shared" si="388"/>
        <v>dom</v>
      </c>
      <c r="G344" s="56">
        <f t="shared" si="389"/>
        <v>46250</v>
      </c>
      <c r="H344" s="17">
        <v>28</v>
      </c>
      <c r="I344" s="17">
        <f t="shared" si="381"/>
        <v>4.7970524196396003</v>
      </c>
      <c r="J344" s="17">
        <f t="shared" si="382"/>
        <v>5.3926317734157125</v>
      </c>
      <c r="K344" s="83">
        <f t="shared" si="377"/>
        <v>6.8583333333333334</v>
      </c>
      <c r="L344" s="17">
        <v>27</v>
      </c>
      <c r="M344" s="17">
        <v>71.5</v>
      </c>
      <c r="N344" s="17">
        <f t="shared" si="364"/>
        <v>111.62861295781495</v>
      </c>
      <c r="O344" s="17">
        <v>92.496933691130891</v>
      </c>
      <c r="P344" s="18">
        <f>SUMPRODUCT(H344:O344,'Fisico ASIG'!F344:M344)*24</f>
        <v>12760053.345609091</v>
      </c>
      <c r="Q344" s="43">
        <v>0</v>
      </c>
      <c r="R344" s="43">
        <f t="shared" si="383"/>
        <v>5497.3885246768295</v>
      </c>
      <c r="S344" s="43">
        <f t="shared" si="384"/>
        <v>2716.1876702834361</v>
      </c>
      <c r="T344" s="43">
        <f t="shared" si="378"/>
        <v>1795.6376259798433</v>
      </c>
      <c r="U344" s="43">
        <v>18000</v>
      </c>
      <c r="V344" s="20">
        <v>0</v>
      </c>
      <c r="W344" s="20">
        <v>21900</v>
      </c>
      <c r="X344" s="20">
        <v>0</v>
      </c>
      <c r="Y344" s="18">
        <f>SUMPRODUCT(Q344:X344,'Fisico ASIG'!O344:V344)/E344</f>
        <v>5899126.3412617352</v>
      </c>
      <c r="Z344" s="25">
        <f t="shared" si="385"/>
        <v>18659179.686870828</v>
      </c>
      <c r="AA344" s="26">
        <f>+Z344/'Fisico ASIG'!N344/24</f>
        <v>80.882926002293132</v>
      </c>
      <c r="AB344" s="26">
        <f>+$AB$21*1.1*Precios!$P$17/Precios!$W$17/Precios!$Q$17</f>
        <v>13.898389988279444</v>
      </c>
      <c r="AC344" s="29">
        <f t="shared" si="386"/>
        <v>66.984536014013685</v>
      </c>
      <c r="AI344" s="1">
        <v>7241</v>
      </c>
      <c r="AJ344" s="1">
        <v>5762594</v>
      </c>
      <c r="AK344">
        <f t="shared" si="379"/>
        <v>1.44</v>
      </c>
      <c r="AL344" s="40">
        <f t="shared" si="380"/>
        <v>8140.0083333333323</v>
      </c>
      <c r="AM344">
        <v>4100000</v>
      </c>
      <c r="AN344" s="117">
        <v>104.15326740778919</v>
      </c>
      <c r="AO344" s="64">
        <f t="shared" si="387"/>
        <v>6.625345550025771</v>
      </c>
      <c r="AP344">
        <v>0</v>
      </c>
      <c r="AQ344" s="1">
        <v>0.85</v>
      </c>
    </row>
    <row r="345" spans="1:43" x14ac:dyDescent="0.3">
      <c r="A345" s="42">
        <v>1509.4685999999999</v>
      </c>
      <c r="B345" s="42">
        <v>1498.0940000000001</v>
      </c>
      <c r="C345" s="53">
        <f>+'Fisico ASIG'!A345</f>
        <v>2026</v>
      </c>
      <c r="D345" s="52">
        <f>+'Fisico ASIG'!B345</f>
        <v>46235</v>
      </c>
      <c r="E345" s="1">
        <f>+'Fisico ASIG'!C345</f>
        <v>31</v>
      </c>
      <c r="F345" s="56" t="str">
        <f t="shared" si="388"/>
        <v>lun</v>
      </c>
      <c r="G345" s="56">
        <f t="shared" si="389"/>
        <v>46251</v>
      </c>
      <c r="H345" s="17">
        <v>28</v>
      </c>
      <c r="I345" s="17">
        <f t="shared" ref="I345:I350" si="390">AI345/A345</f>
        <v>4.7970524196396003</v>
      </c>
      <c r="J345" s="17">
        <f t="shared" ref="J345:J350" si="391">+AL345/A345</f>
        <v>5.3926317734157125</v>
      </c>
      <c r="K345" s="83">
        <f t="shared" si="377"/>
        <v>6.8583333333333334</v>
      </c>
      <c r="L345" s="17">
        <v>27</v>
      </c>
      <c r="M345" s="17">
        <v>71.5</v>
      </c>
      <c r="N345" s="17">
        <f t="shared" si="364"/>
        <v>116.60471262290643</v>
      </c>
      <c r="O345" s="17">
        <v>97.189982127844573</v>
      </c>
      <c r="P345" s="18">
        <f>SUMPRODUCT(H345:O345,'Fisico ASIG'!F345:M345)*24</f>
        <v>13996889.535346672</v>
      </c>
      <c r="Q345" s="43">
        <v>0</v>
      </c>
      <c r="R345" s="43">
        <f t="shared" ref="R345:R350" si="392">+AJ345*AK345/A345</f>
        <v>5497.3885246768295</v>
      </c>
      <c r="S345" s="43">
        <f t="shared" ref="S345:S350" si="393">+AM345/A345</f>
        <v>2716.1876702834361</v>
      </c>
      <c r="T345" s="43">
        <f t="shared" si="378"/>
        <v>1795.6376259798433</v>
      </c>
      <c r="U345" s="43">
        <v>18000</v>
      </c>
      <c r="V345" s="20">
        <v>0</v>
      </c>
      <c r="W345" s="20">
        <v>21900</v>
      </c>
      <c r="X345" s="20">
        <v>0</v>
      </c>
      <c r="Y345" s="18">
        <f>SUMPRODUCT(Q345:X345,'Fisico ASIG'!O345:V345)/E345</f>
        <v>5917614.3999228934</v>
      </c>
      <c r="Z345" s="25">
        <f t="shared" ref="Z345:Z350" si="394">+(P345+Y345)</f>
        <v>19914503.935269564</v>
      </c>
      <c r="AA345" s="26">
        <f>+Z345/'Fisico ASIG'!N345/24</f>
        <v>81.046107993536225</v>
      </c>
      <c r="AB345" s="26">
        <f>+$AB$21*1.1*Precios!$P$17/Precios!$W$17/Precios!$Q$17</f>
        <v>13.898389988279444</v>
      </c>
      <c r="AC345" s="29">
        <f t="shared" ref="AC345:AC350" si="395">+AA345-AB345</f>
        <v>67.147718005256777</v>
      </c>
      <c r="AI345" s="1">
        <v>7241</v>
      </c>
      <c r="AJ345" s="1">
        <v>5762594</v>
      </c>
      <c r="AK345">
        <f t="shared" si="379"/>
        <v>1.44</v>
      </c>
      <c r="AL345" s="40">
        <f t="shared" si="380"/>
        <v>8140.0083333333323</v>
      </c>
      <c r="AM345">
        <v>4100000</v>
      </c>
      <c r="AN345" s="117">
        <v>108.81471908468987</v>
      </c>
      <c r="AO345" s="64">
        <f t="shared" ref="AO345:AO350" si="396">0.075*0.9*(AN345-6)</f>
        <v>6.9399935382165667</v>
      </c>
      <c r="AP345">
        <v>0</v>
      </c>
      <c r="AQ345" s="1">
        <v>0.85</v>
      </c>
    </row>
    <row r="346" spans="1:43" x14ac:dyDescent="0.3">
      <c r="A346" s="42">
        <v>1509.4685999999999</v>
      </c>
      <c r="B346" s="42">
        <v>1498.0940000000001</v>
      </c>
      <c r="C346" s="53">
        <f>+'Fisico ASIG'!A346</f>
        <v>2026</v>
      </c>
      <c r="D346" s="52">
        <f>+'Fisico ASIG'!B346</f>
        <v>46235</v>
      </c>
      <c r="E346" s="1">
        <f>+'Fisico ASIG'!C346</f>
        <v>31</v>
      </c>
      <c r="F346" s="56" t="str">
        <f t="shared" si="388"/>
        <v>mar</v>
      </c>
      <c r="G346" s="56">
        <f t="shared" si="389"/>
        <v>46252</v>
      </c>
      <c r="H346" s="17">
        <v>28</v>
      </c>
      <c r="I346" s="17">
        <f t="shared" si="390"/>
        <v>4.7970524196396003</v>
      </c>
      <c r="J346" s="17">
        <f t="shared" si="391"/>
        <v>5.3926317734157125</v>
      </c>
      <c r="K346" s="83">
        <f t="shared" si="377"/>
        <v>6.8583333333333334</v>
      </c>
      <c r="L346" s="17">
        <v>27</v>
      </c>
      <c r="M346" s="17">
        <v>71.5</v>
      </c>
      <c r="N346" s="17">
        <f t="shared" si="364"/>
        <v>160.5382943150442</v>
      </c>
      <c r="O346" s="17">
        <v>97.090308741006751</v>
      </c>
      <c r="P346" s="18">
        <f>SUMPRODUCT(H346:O346,'Fisico ASIG'!F346:M346)*24</f>
        <v>18903515.620872851</v>
      </c>
      <c r="Q346" s="43">
        <v>0</v>
      </c>
      <c r="R346" s="43">
        <f t="shared" si="392"/>
        <v>5497.3885246768295</v>
      </c>
      <c r="S346" s="43">
        <f t="shared" si="393"/>
        <v>2716.1876702834361</v>
      </c>
      <c r="T346" s="43">
        <f t="shared" si="378"/>
        <v>1795.6376259798433</v>
      </c>
      <c r="U346" s="43">
        <v>18000</v>
      </c>
      <c r="V346" s="20">
        <v>0</v>
      </c>
      <c r="W346" s="20">
        <v>21900</v>
      </c>
      <c r="X346" s="20">
        <v>0</v>
      </c>
      <c r="Y346" s="18">
        <f>SUMPRODUCT(Q346:X346,'Fisico ASIG'!O346:V346)/E346</f>
        <v>5859816.113519216</v>
      </c>
      <c r="Z346" s="25">
        <f t="shared" si="394"/>
        <v>24763331.734392069</v>
      </c>
      <c r="AA346" s="26">
        <f>+Z346/'Fisico ASIG'!N346/24</f>
        <v>86.58136041281476</v>
      </c>
      <c r="AB346" s="26">
        <f>+$AB$21*1.1*Precios!$P$17/Precios!$W$17/Precios!$Q$17</f>
        <v>13.898389988279444</v>
      </c>
      <c r="AC346" s="29">
        <f t="shared" si="395"/>
        <v>72.682970424535313</v>
      </c>
      <c r="AI346" s="1">
        <v>7241</v>
      </c>
      <c r="AJ346" s="1">
        <v>5762594</v>
      </c>
      <c r="AK346">
        <f t="shared" si="379"/>
        <v>1.44</v>
      </c>
      <c r="AL346" s="40">
        <f t="shared" si="380"/>
        <v>8140.0083333333323</v>
      </c>
      <c r="AM346">
        <v>4100000</v>
      </c>
      <c r="AN346" s="117">
        <v>149.97029912416318</v>
      </c>
      <c r="AO346" s="64">
        <f t="shared" si="396"/>
        <v>9.7179951908810143</v>
      </c>
      <c r="AP346">
        <v>0</v>
      </c>
      <c r="AQ346" s="1">
        <v>0.85</v>
      </c>
    </row>
    <row r="347" spans="1:43" x14ac:dyDescent="0.3">
      <c r="A347" s="42">
        <v>1509.4685999999999</v>
      </c>
      <c r="B347" s="42">
        <v>1498.0940000000001</v>
      </c>
      <c r="C347" s="53">
        <f>+'Fisico ASIG'!A347</f>
        <v>2026</v>
      </c>
      <c r="D347" s="52">
        <f>+'Fisico ASIG'!B347</f>
        <v>46235</v>
      </c>
      <c r="E347" s="1">
        <f>+'Fisico ASIG'!C347</f>
        <v>31</v>
      </c>
      <c r="F347" s="56" t="str">
        <f t="shared" si="388"/>
        <v>mié</v>
      </c>
      <c r="G347" s="56">
        <f t="shared" si="389"/>
        <v>46253</v>
      </c>
      <c r="H347" s="17">
        <v>28</v>
      </c>
      <c r="I347" s="17">
        <f t="shared" si="390"/>
        <v>4.7970524196396003</v>
      </c>
      <c r="J347" s="17">
        <f t="shared" si="391"/>
        <v>5.3926317734157125</v>
      </c>
      <c r="K347" s="83">
        <f t="shared" si="377"/>
        <v>6.8583333333333334</v>
      </c>
      <c r="L347" s="17">
        <v>27</v>
      </c>
      <c r="M347" s="17">
        <v>71.5</v>
      </c>
      <c r="N347" s="17">
        <f t="shared" si="364"/>
        <v>136.63125198612775</v>
      </c>
      <c r="O347" s="17">
        <v>115.5320173289694</v>
      </c>
      <c r="P347" s="18">
        <f>SUMPRODUCT(H347:O347,'Fisico ASIG'!F347:M347)*24</f>
        <v>15704984.196240054</v>
      </c>
      <c r="Q347" s="43">
        <v>0</v>
      </c>
      <c r="R347" s="43">
        <f t="shared" si="392"/>
        <v>5497.3885246768295</v>
      </c>
      <c r="S347" s="43">
        <f t="shared" si="393"/>
        <v>2716.1876702834361</v>
      </c>
      <c r="T347" s="43">
        <f t="shared" si="378"/>
        <v>1795.6376259798433</v>
      </c>
      <c r="U347" s="43">
        <v>18000</v>
      </c>
      <c r="V347" s="20">
        <v>0</v>
      </c>
      <c r="W347" s="20">
        <v>21900</v>
      </c>
      <c r="X347" s="20">
        <v>0</v>
      </c>
      <c r="Y347" s="18">
        <f>SUMPRODUCT(Q347:X347,'Fisico ASIG'!O347:V347)/E347</f>
        <v>5830409.4851401076</v>
      </c>
      <c r="Z347" s="25">
        <f t="shared" si="394"/>
        <v>21535393.68138016</v>
      </c>
      <c r="AA347" s="26">
        <f>+Z347/'Fisico ASIG'!N347/24</f>
        <v>82.941344969979966</v>
      </c>
      <c r="AB347" s="26">
        <f>+$AB$21*1.1*Precios!$P$17/Precios!$W$17/Precios!$Q$17</f>
        <v>13.898389988279444</v>
      </c>
      <c r="AC347" s="29">
        <f t="shared" si="395"/>
        <v>69.042954981700518</v>
      </c>
      <c r="AI347" s="1">
        <v>7241</v>
      </c>
      <c r="AJ347" s="1">
        <v>5762594</v>
      </c>
      <c r="AK347">
        <f t="shared" si="379"/>
        <v>1.44</v>
      </c>
      <c r="AL347" s="40">
        <f t="shared" si="380"/>
        <v>8140.0083333333323</v>
      </c>
      <c r="AM347">
        <v>4100000</v>
      </c>
      <c r="AN347" s="117">
        <v>127.57494331253186</v>
      </c>
      <c r="AO347" s="64">
        <f t="shared" si="396"/>
        <v>8.2063086735959008</v>
      </c>
      <c r="AP347">
        <v>0</v>
      </c>
      <c r="AQ347" s="1">
        <v>0.85</v>
      </c>
    </row>
    <row r="348" spans="1:43" x14ac:dyDescent="0.3">
      <c r="A348" s="42">
        <v>1509.4685999999999</v>
      </c>
      <c r="B348" s="42">
        <v>1498.0940000000001</v>
      </c>
      <c r="C348" s="53">
        <f>+'Fisico ASIG'!A348</f>
        <v>2026</v>
      </c>
      <c r="D348" s="52">
        <f>+'Fisico ASIG'!B348</f>
        <v>46235</v>
      </c>
      <c r="E348" s="1">
        <f>+'Fisico ASIG'!C348</f>
        <v>31</v>
      </c>
      <c r="F348" s="56" t="str">
        <f t="shared" si="388"/>
        <v>jue</v>
      </c>
      <c r="G348" s="56">
        <f t="shared" si="389"/>
        <v>46254</v>
      </c>
      <c r="H348" s="17">
        <v>28</v>
      </c>
      <c r="I348" s="17">
        <f t="shared" si="390"/>
        <v>4.7970524196396003</v>
      </c>
      <c r="J348" s="17">
        <f t="shared" si="391"/>
        <v>5.3926317734157125</v>
      </c>
      <c r="K348" s="83">
        <f t="shared" si="377"/>
        <v>6.8583333333333334</v>
      </c>
      <c r="L348" s="17">
        <v>27</v>
      </c>
      <c r="M348" s="17">
        <v>71.5</v>
      </c>
      <c r="N348" s="17">
        <f t="shared" si="364"/>
        <v>117.48737805298305</v>
      </c>
      <c r="O348" s="17">
        <v>112.74827301776509</v>
      </c>
      <c r="P348" s="18">
        <f>SUMPRODUCT(H348:O348,'Fisico ASIG'!F348:M348)*24</f>
        <v>14760644.272021879</v>
      </c>
      <c r="Q348" s="43">
        <v>0</v>
      </c>
      <c r="R348" s="43">
        <f t="shared" si="392"/>
        <v>5497.3885246768295</v>
      </c>
      <c r="S348" s="43">
        <f t="shared" si="393"/>
        <v>2716.1876702834361</v>
      </c>
      <c r="T348" s="43">
        <f t="shared" si="378"/>
        <v>1795.6376259798433</v>
      </c>
      <c r="U348" s="43">
        <v>18000</v>
      </c>
      <c r="V348" s="20">
        <v>0</v>
      </c>
      <c r="W348" s="20">
        <v>21900</v>
      </c>
      <c r="X348" s="20">
        <v>0</v>
      </c>
      <c r="Y348" s="18">
        <f>SUMPRODUCT(Q348:X348,'Fisico ASIG'!O348:V348)/E348</f>
        <v>5822453.1418835716</v>
      </c>
      <c r="Z348" s="25">
        <f t="shared" si="394"/>
        <v>20583097.413905449</v>
      </c>
      <c r="AA348" s="26">
        <f>+Z348/'Fisico ASIG'!N348/24</f>
        <v>81.868127457556611</v>
      </c>
      <c r="AB348" s="26">
        <f>+$AB$21*1.1*Precios!$P$17/Precios!$W$17/Precios!$Q$17</f>
        <v>13.898389988279444</v>
      </c>
      <c r="AC348" s="29">
        <f t="shared" si="395"/>
        <v>67.969737469277163</v>
      </c>
      <c r="AI348" s="1">
        <v>7241</v>
      </c>
      <c r="AJ348" s="1">
        <v>5762594</v>
      </c>
      <c r="AK348">
        <f t="shared" si="379"/>
        <v>1.44</v>
      </c>
      <c r="AL348" s="40">
        <f t="shared" si="380"/>
        <v>8140.0083333333323</v>
      </c>
      <c r="AM348">
        <v>4100000</v>
      </c>
      <c r="AN348" s="117">
        <v>109.64157194658834</v>
      </c>
      <c r="AO348" s="64">
        <f t="shared" si="396"/>
        <v>6.9958061063947135</v>
      </c>
      <c r="AP348">
        <v>0</v>
      </c>
      <c r="AQ348" s="1">
        <v>0.85</v>
      </c>
    </row>
    <row r="349" spans="1:43" x14ac:dyDescent="0.3">
      <c r="A349" s="42">
        <v>1509.4685999999999</v>
      </c>
      <c r="B349" s="42">
        <v>1498.0940000000001</v>
      </c>
      <c r="C349" s="53">
        <f>+'Fisico ASIG'!A349</f>
        <v>2026</v>
      </c>
      <c r="D349" s="52">
        <f>+'Fisico ASIG'!B349</f>
        <v>46235</v>
      </c>
      <c r="E349" s="1">
        <f>+'Fisico ASIG'!C349</f>
        <v>31</v>
      </c>
      <c r="F349" s="56" t="str">
        <f t="shared" si="388"/>
        <v>vie</v>
      </c>
      <c r="G349" s="56">
        <f t="shared" si="389"/>
        <v>46255</v>
      </c>
      <c r="H349" s="17">
        <v>28</v>
      </c>
      <c r="I349" s="17">
        <f t="shared" si="390"/>
        <v>4.7970524196396003</v>
      </c>
      <c r="J349" s="17">
        <f t="shared" si="391"/>
        <v>5.3926317734157125</v>
      </c>
      <c r="K349" s="83">
        <f t="shared" si="377"/>
        <v>6.8583333333333334</v>
      </c>
      <c r="L349" s="17">
        <v>27</v>
      </c>
      <c r="M349" s="17">
        <v>71.5</v>
      </c>
      <c r="N349" s="17">
        <f t="shared" si="364"/>
        <v>129.66416192036809</v>
      </c>
      <c r="O349" s="17">
        <v>100.72748434352157</v>
      </c>
      <c r="P349" s="18">
        <f>SUMPRODUCT(H349:O349,'Fisico ASIG'!F349:M349)*24</f>
        <v>15882751.854833705</v>
      </c>
      <c r="Q349" s="43">
        <v>0</v>
      </c>
      <c r="R349" s="43">
        <f t="shared" si="392"/>
        <v>5497.3885246768295</v>
      </c>
      <c r="S349" s="43">
        <f t="shared" si="393"/>
        <v>2716.1876702834361</v>
      </c>
      <c r="T349" s="43">
        <f t="shared" si="378"/>
        <v>1795.6376259798433</v>
      </c>
      <c r="U349" s="43">
        <v>18000</v>
      </c>
      <c r="V349" s="20">
        <v>0</v>
      </c>
      <c r="W349" s="20">
        <v>21900</v>
      </c>
      <c r="X349" s="20">
        <v>0</v>
      </c>
      <c r="Y349" s="18">
        <f>SUMPRODUCT(Q349:X349,'Fisico ASIG'!O349:V349)/E349</f>
        <v>5717430.4076013174</v>
      </c>
      <c r="Z349" s="25">
        <f t="shared" si="394"/>
        <v>21600182.262435023</v>
      </c>
      <c r="AA349" s="26">
        <f>+Z349/'Fisico ASIG'!N349/24</f>
        <v>83.2515081492799</v>
      </c>
      <c r="AB349" s="26">
        <f>+$AB$21*1.1*Precios!$P$17/Precios!$W$17/Precios!$Q$17</f>
        <v>13.898389988279444</v>
      </c>
      <c r="AC349" s="29">
        <f t="shared" si="395"/>
        <v>69.353118161000452</v>
      </c>
      <c r="AI349" s="1">
        <v>7241</v>
      </c>
      <c r="AJ349" s="1">
        <v>5762594</v>
      </c>
      <c r="AK349">
        <f t="shared" si="379"/>
        <v>1.44</v>
      </c>
      <c r="AL349" s="40">
        <f t="shared" si="380"/>
        <v>8140.0083333333323</v>
      </c>
      <c r="AM349">
        <v>4100000</v>
      </c>
      <c r="AN349" s="117">
        <v>121.04839524156262</v>
      </c>
      <c r="AO349" s="64">
        <f t="shared" si="396"/>
        <v>7.7657666788054769</v>
      </c>
      <c r="AP349">
        <v>0</v>
      </c>
      <c r="AQ349" s="1">
        <v>0.85</v>
      </c>
    </row>
    <row r="350" spans="1:43" x14ac:dyDescent="0.3">
      <c r="A350" s="42">
        <v>1509.4685999999999</v>
      </c>
      <c r="B350" s="42">
        <v>1498.0940000000001</v>
      </c>
      <c r="C350" s="53">
        <f>+'Fisico ASIG'!A350</f>
        <v>2026</v>
      </c>
      <c r="D350" s="52">
        <f>+'Fisico ASIG'!B350</f>
        <v>46235</v>
      </c>
      <c r="E350" s="1">
        <f>+'Fisico ASIG'!C350</f>
        <v>31</v>
      </c>
      <c r="F350" s="56" t="str">
        <f t="shared" si="388"/>
        <v>sáb</v>
      </c>
      <c r="G350" s="56">
        <f t="shared" si="389"/>
        <v>46256</v>
      </c>
      <c r="H350" s="17">
        <v>28</v>
      </c>
      <c r="I350" s="17">
        <f t="shared" si="390"/>
        <v>4.7970524196396003</v>
      </c>
      <c r="J350" s="17">
        <f t="shared" si="391"/>
        <v>5.3926317734157125</v>
      </c>
      <c r="K350" s="83">
        <f t="shared" si="377"/>
        <v>6.8583333333333334</v>
      </c>
      <c r="L350" s="17">
        <v>27</v>
      </c>
      <c r="M350" s="17">
        <v>71.5</v>
      </c>
      <c r="N350" s="17">
        <f t="shared" si="364"/>
        <v>118.21067363293696</v>
      </c>
      <c r="O350" s="17">
        <v>96.508411104775774</v>
      </c>
      <c r="P350" s="18">
        <f>SUMPRODUCT(H350:O350,'Fisico ASIG'!F350:M350)*24</f>
        <v>14063714.247223977</v>
      </c>
      <c r="Q350" s="43">
        <v>0</v>
      </c>
      <c r="R350" s="43">
        <f t="shared" si="392"/>
        <v>5497.3885246768295</v>
      </c>
      <c r="S350" s="43">
        <f t="shared" si="393"/>
        <v>2716.1876702834361</v>
      </c>
      <c r="T350" s="43">
        <f t="shared" si="378"/>
        <v>1795.6376259798433</v>
      </c>
      <c r="U350" s="43">
        <v>18000</v>
      </c>
      <c r="V350" s="20">
        <v>0</v>
      </c>
      <c r="W350" s="20">
        <v>21900</v>
      </c>
      <c r="X350" s="20">
        <v>0</v>
      </c>
      <c r="Y350" s="18">
        <f>SUMPRODUCT(Q350:X350,'Fisico ASIG'!O350:V350)/E350</f>
        <v>5299353.1098447097</v>
      </c>
      <c r="Z350" s="25">
        <f t="shared" si="394"/>
        <v>19363067.357068688</v>
      </c>
      <c r="AA350" s="26">
        <f>+Z350/'Fisico ASIG'!N350/24</f>
        <v>78.885458063814397</v>
      </c>
      <c r="AB350" s="26">
        <f>+$AB$21*1.1*Precios!$P$17/Precios!$W$17/Precios!$Q$17</f>
        <v>13.898389988279444</v>
      </c>
      <c r="AC350" s="29">
        <f t="shared" si="395"/>
        <v>64.98706807553495</v>
      </c>
      <c r="AI350" s="1">
        <v>7241</v>
      </c>
      <c r="AJ350" s="1">
        <v>5762594</v>
      </c>
      <c r="AK350">
        <f t="shared" si="379"/>
        <v>1.44</v>
      </c>
      <c r="AL350" s="40">
        <f t="shared" si="380"/>
        <v>8140.0083333333323</v>
      </c>
      <c r="AM350">
        <v>4100000</v>
      </c>
      <c r="AN350" s="117">
        <v>110.31913220884024</v>
      </c>
      <c r="AO350" s="64">
        <f t="shared" si="396"/>
        <v>7.0415414240967173</v>
      </c>
      <c r="AP350">
        <v>0</v>
      </c>
      <c r="AQ350" s="1">
        <v>0.85</v>
      </c>
    </row>
    <row r="351" spans="1:43" x14ac:dyDescent="0.3">
      <c r="A351" s="42">
        <v>1509.4685999999999</v>
      </c>
      <c r="B351" s="42">
        <v>1498.0940000000001</v>
      </c>
      <c r="C351" s="53">
        <f>+'Fisico ASIG'!A351</f>
        <v>2026</v>
      </c>
      <c r="D351" s="52">
        <f>+'Fisico ASIG'!B351</f>
        <v>46235</v>
      </c>
      <c r="E351" s="1">
        <f>+'Fisico ASIG'!C351</f>
        <v>31</v>
      </c>
      <c r="F351" s="56" t="str">
        <f t="shared" si="388"/>
        <v>dom</v>
      </c>
      <c r="G351" s="56">
        <f t="shared" si="389"/>
        <v>46257</v>
      </c>
      <c r="H351" s="17">
        <v>28</v>
      </c>
      <c r="I351" s="17">
        <f t="shared" ref="I351:I357" si="397">AI351/A351</f>
        <v>4.7970524196396003</v>
      </c>
      <c r="J351" s="17">
        <f t="shared" ref="J351:J357" si="398">+AL351/A351</f>
        <v>5.3926317734157125</v>
      </c>
      <c r="K351" s="83">
        <f t="shared" si="377"/>
        <v>6.8583333333333334</v>
      </c>
      <c r="L351" s="17">
        <v>27</v>
      </c>
      <c r="M351" s="17">
        <v>71.5</v>
      </c>
      <c r="N351" s="17">
        <f t="shared" si="364"/>
        <v>111.51423911496109</v>
      </c>
      <c r="O351" s="17">
        <v>93.886545461263609</v>
      </c>
      <c r="P351" s="18">
        <f>SUMPRODUCT(H351:O351,'Fisico ASIG'!F351:M351)*24</f>
        <v>12891891.891169492</v>
      </c>
      <c r="Q351" s="43">
        <v>0</v>
      </c>
      <c r="R351" s="43">
        <f t="shared" ref="R351:R357" si="399">+AJ351*AK351/A351</f>
        <v>5497.3885246768295</v>
      </c>
      <c r="S351" s="43">
        <f t="shared" ref="S351:S357" si="400">+AM351/A351</f>
        <v>2716.1876702834361</v>
      </c>
      <c r="T351" s="43">
        <f t="shared" si="378"/>
        <v>1795.6376259798433</v>
      </c>
      <c r="U351" s="43">
        <v>18000</v>
      </c>
      <c r="V351" s="20">
        <v>0</v>
      </c>
      <c r="W351" s="20">
        <v>21900</v>
      </c>
      <c r="X351" s="20">
        <v>0</v>
      </c>
      <c r="Y351" s="18">
        <f>SUMPRODUCT(Q351:X351,'Fisico ASIG'!O351:V351)/E351</f>
        <v>5382288.4036730528</v>
      </c>
      <c r="Z351" s="25">
        <f t="shared" ref="Z351:Z357" si="401">+(P351+Y351)</f>
        <v>18274180.294842545</v>
      </c>
      <c r="AA351" s="26">
        <f>+Z351/'Fisico ASIG'!N351/24</f>
        <v>76.86855994959781</v>
      </c>
      <c r="AB351" s="26">
        <f>+$AB$21*1.1*Precios!$P$17/Precios!$W$17/Precios!$Q$17</f>
        <v>13.898389988279444</v>
      </c>
      <c r="AC351" s="29">
        <f t="shared" ref="AC351:AC357" si="402">+AA351-AB351</f>
        <v>62.970169961318362</v>
      </c>
      <c r="AI351" s="1">
        <v>7241</v>
      </c>
      <c r="AJ351" s="1">
        <v>5762594</v>
      </c>
      <c r="AK351">
        <f t="shared" si="379"/>
        <v>1.44</v>
      </c>
      <c r="AL351" s="40">
        <f t="shared" si="380"/>
        <v>8140.0083333333323</v>
      </c>
      <c r="AM351">
        <v>4100000</v>
      </c>
      <c r="AN351" s="117">
        <v>104.04612563462398</v>
      </c>
      <c r="AO351" s="64">
        <f t="shared" ref="AO351:AO357" si="403">0.075*0.9*(AN351-6)</f>
        <v>6.6181134803371187</v>
      </c>
      <c r="AP351">
        <v>0</v>
      </c>
      <c r="AQ351" s="1">
        <v>0.85</v>
      </c>
    </row>
    <row r="352" spans="1:43" x14ac:dyDescent="0.3">
      <c r="A352" s="42">
        <v>1509.4685999999999</v>
      </c>
      <c r="B352" s="42">
        <v>1498.0940000000001</v>
      </c>
      <c r="C352" s="53">
        <f>+'Fisico ASIG'!A352</f>
        <v>2026</v>
      </c>
      <c r="D352" s="52">
        <f>+'Fisico ASIG'!B352</f>
        <v>46235</v>
      </c>
      <c r="E352" s="1">
        <f>+'Fisico ASIG'!C352</f>
        <v>31</v>
      </c>
      <c r="F352" s="56" t="str">
        <f t="shared" si="388"/>
        <v>lun</v>
      </c>
      <c r="G352" s="56">
        <f t="shared" si="389"/>
        <v>46258</v>
      </c>
      <c r="H352" s="17">
        <v>28</v>
      </c>
      <c r="I352" s="17">
        <f t="shared" si="397"/>
        <v>4.7970524196396003</v>
      </c>
      <c r="J352" s="17">
        <f t="shared" si="398"/>
        <v>5.3926317734157125</v>
      </c>
      <c r="K352" s="83">
        <f t="shared" si="377"/>
        <v>6.8583333333333334</v>
      </c>
      <c r="L352" s="17">
        <v>27</v>
      </c>
      <c r="M352" s="17">
        <v>71.5</v>
      </c>
      <c r="N352" s="17">
        <f t="shared" si="364"/>
        <v>121.5095052497487</v>
      </c>
      <c r="O352" s="17">
        <v>106.65717677093083</v>
      </c>
      <c r="P352" s="18">
        <f>SUMPRODUCT(H352:O352,'Fisico ASIG'!F352:M352)*24</f>
        <v>15660138.2676121</v>
      </c>
      <c r="Q352" s="43">
        <v>0</v>
      </c>
      <c r="R352" s="43">
        <f t="shared" si="399"/>
        <v>5497.3885246768295</v>
      </c>
      <c r="S352" s="43">
        <f t="shared" si="400"/>
        <v>2716.1876702834361</v>
      </c>
      <c r="T352" s="43">
        <f t="shared" si="378"/>
        <v>1795.6376259798433</v>
      </c>
      <c r="U352" s="43">
        <v>18000</v>
      </c>
      <c r="V352" s="20">
        <v>0</v>
      </c>
      <c r="W352" s="20">
        <v>21900</v>
      </c>
      <c r="X352" s="20">
        <v>0</v>
      </c>
      <c r="Y352" s="18">
        <f>SUMPRODUCT(Q352:X352,'Fisico ASIG'!O352:V352)/E352</f>
        <v>5376701.1221404541</v>
      </c>
      <c r="Z352" s="25">
        <f t="shared" si="401"/>
        <v>21036839.389752552</v>
      </c>
      <c r="AA352" s="26">
        <f>+Z352/'Fisico ASIG'!N352/24</f>
        <v>79.491743173780733</v>
      </c>
      <c r="AB352" s="26">
        <f>+$AB$21*1.1*Precios!$P$17/Precios!$W$17/Precios!$Q$17</f>
        <v>13.898389988279444</v>
      </c>
      <c r="AC352" s="29">
        <f t="shared" si="402"/>
        <v>65.593353185501286</v>
      </c>
      <c r="AI352" s="1">
        <v>7241</v>
      </c>
      <c r="AJ352" s="1">
        <v>5762594</v>
      </c>
      <c r="AK352">
        <f t="shared" si="379"/>
        <v>1.44</v>
      </c>
      <c r="AL352" s="40">
        <f t="shared" si="380"/>
        <v>8140.0083333333323</v>
      </c>
      <c r="AM352">
        <v>4100000</v>
      </c>
      <c r="AN352" s="117">
        <v>113.4093725992962</v>
      </c>
      <c r="AO352" s="64">
        <f t="shared" si="403"/>
        <v>7.2501326504524943</v>
      </c>
      <c r="AP352">
        <v>0</v>
      </c>
      <c r="AQ352" s="1">
        <v>0.85</v>
      </c>
    </row>
    <row r="353" spans="1:43" x14ac:dyDescent="0.3">
      <c r="A353" s="42">
        <v>1509.4685999999999</v>
      </c>
      <c r="B353" s="42">
        <v>1498.0940000000001</v>
      </c>
      <c r="C353" s="53">
        <f>+'Fisico ASIG'!A353</f>
        <v>2026</v>
      </c>
      <c r="D353" s="52">
        <f>+'Fisico ASIG'!B353</f>
        <v>46235</v>
      </c>
      <c r="E353" s="1">
        <f>+'Fisico ASIG'!C353</f>
        <v>31</v>
      </c>
      <c r="F353" s="56" t="str">
        <f t="shared" si="388"/>
        <v>mar</v>
      </c>
      <c r="G353" s="56">
        <f t="shared" si="389"/>
        <v>46259</v>
      </c>
      <c r="H353" s="17">
        <v>28</v>
      </c>
      <c r="I353" s="17">
        <f t="shared" si="397"/>
        <v>4.7970524196396003</v>
      </c>
      <c r="J353" s="17">
        <f t="shared" si="398"/>
        <v>5.3926317734157125</v>
      </c>
      <c r="K353" s="83">
        <f t="shared" si="377"/>
        <v>6.8583333333333334</v>
      </c>
      <c r="L353" s="17">
        <v>27</v>
      </c>
      <c r="M353" s="17">
        <v>71.5</v>
      </c>
      <c r="N353" s="17">
        <f t="shared" si="364"/>
        <v>126.82422898219505</v>
      </c>
      <c r="O353" s="17">
        <v>98.716495747555939</v>
      </c>
      <c r="P353" s="18">
        <f>SUMPRODUCT(H353:O353,'Fisico ASIG'!F353:M353)*24</f>
        <v>14940759.669118561</v>
      </c>
      <c r="Q353" s="43">
        <v>0</v>
      </c>
      <c r="R353" s="43">
        <f t="shared" si="399"/>
        <v>5497.3885246768295</v>
      </c>
      <c r="S353" s="43">
        <f t="shared" si="400"/>
        <v>2716.1876702834361</v>
      </c>
      <c r="T353" s="43">
        <f t="shared" si="378"/>
        <v>1795.6376259798433</v>
      </c>
      <c r="U353" s="43">
        <v>18000</v>
      </c>
      <c r="V353" s="20">
        <v>0</v>
      </c>
      <c r="W353" s="20">
        <v>21900</v>
      </c>
      <c r="X353" s="20">
        <v>0</v>
      </c>
      <c r="Y353" s="18">
        <f>SUMPRODUCT(Q353:X353,'Fisico ASIG'!O353:V353)/E353</f>
        <v>5278199.1349387765</v>
      </c>
      <c r="Z353" s="25">
        <f t="shared" si="401"/>
        <v>20218958.804057337</v>
      </c>
      <c r="AA353" s="26">
        <f>+Z353/'Fisico ASIG'!N353/24</f>
        <v>78.217240897075669</v>
      </c>
      <c r="AB353" s="26">
        <f>+$AB$21*1.1*Precios!$P$17/Precios!$W$17/Precios!$Q$17</f>
        <v>13.898389988279444</v>
      </c>
      <c r="AC353" s="29">
        <f t="shared" si="402"/>
        <v>64.318850908796222</v>
      </c>
      <c r="AI353" s="1">
        <v>7241</v>
      </c>
      <c r="AJ353" s="1">
        <v>5762594</v>
      </c>
      <c r="AK353">
        <f t="shared" si="379"/>
        <v>1.44</v>
      </c>
      <c r="AL353" s="40">
        <f t="shared" si="380"/>
        <v>8140.0083333333323</v>
      </c>
      <c r="AM353">
        <v>4100000</v>
      </c>
      <c r="AN353" s="117">
        <v>118.38803651727875</v>
      </c>
      <c r="AO353" s="64">
        <f t="shared" si="403"/>
        <v>7.5861924649163157</v>
      </c>
      <c r="AP353">
        <v>0</v>
      </c>
      <c r="AQ353" s="1">
        <v>0.85</v>
      </c>
    </row>
    <row r="354" spans="1:43" x14ac:dyDescent="0.3">
      <c r="A354" s="42">
        <v>1509.4685999999999</v>
      </c>
      <c r="B354" s="42">
        <v>1498.0940000000001</v>
      </c>
      <c r="C354" s="53">
        <f>+'Fisico ASIG'!A354</f>
        <v>2026</v>
      </c>
      <c r="D354" s="52">
        <f>+'Fisico ASIG'!B354</f>
        <v>46235</v>
      </c>
      <c r="E354" s="1">
        <f>+'Fisico ASIG'!C354</f>
        <v>31</v>
      </c>
      <c r="F354" s="56" t="str">
        <f t="shared" si="388"/>
        <v>mié</v>
      </c>
      <c r="G354" s="56">
        <f t="shared" si="389"/>
        <v>46260</v>
      </c>
      <c r="H354" s="17">
        <v>28</v>
      </c>
      <c r="I354" s="17">
        <f t="shared" si="397"/>
        <v>4.7970524196396003</v>
      </c>
      <c r="J354" s="17">
        <f t="shared" si="398"/>
        <v>5.3926317734157125</v>
      </c>
      <c r="K354" s="83">
        <f t="shared" si="377"/>
        <v>6.8583333333333334</v>
      </c>
      <c r="L354" s="17">
        <v>27</v>
      </c>
      <c r="M354" s="17">
        <v>71.5</v>
      </c>
      <c r="N354" s="17">
        <f t="shared" si="364"/>
        <v>116.27184080855919</v>
      </c>
      <c r="O354" s="17">
        <v>89.663468416961834</v>
      </c>
      <c r="P354" s="18">
        <f>SUMPRODUCT(H354:O354,'Fisico ASIG'!F354:M354)*24</f>
        <v>14107681.533773711</v>
      </c>
      <c r="Q354" s="43">
        <v>0</v>
      </c>
      <c r="R354" s="43">
        <f t="shared" si="399"/>
        <v>5497.3885246768295</v>
      </c>
      <c r="S354" s="43">
        <f t="shared" si="400"/>
        <v>2716.1876702834361</v>
      </c>
      <c r="T354" s="43">
        <f t="shared" si="378"/>
        <v>1795.6376259798433</v>
      </c>
      <c r="U354" s="43">
        <v>18000</v>
      </c>
      <c r="V354" s="20">
        <v>0</v>
      </c>
      <c r="W354" s="20">
        <v>21900</v>
      </c>
      <c r="X354" s="20">
        <v>0</v>
      </c>
      <c r="Y354" s="18">
        <f>SUMPRODUCT(Q354:X354,'Fisico ASIG'!O354:V354)/E354</f>
        <v>5451937.1219899366</v>
      </c>
      <c r="Z354" s="25">
        <f t="shared" si="401"/>
        <v>19559618.655763648</v>
      </c>
      <c r="AA354" s="26">
        <f>+Z354/'Fisico ASIG'!N354/24</f>
        <v>75.920876001786084</v>
      </c>
      <c r="AB354" s="26">
        <f>+$AB$21*1.1*Precios!$P$17/Precios!$W$17/Precios!$Q$17</f>
        <v>13.898389988279444</v>
      </c>
      <c r="AC354" s="29">
        <f t="shared" si="402"/>
        <v>62.022486013506636</v>
      </c>
      <c r="AI354" s="1">
        <v>7241</v>
      </c>
      <c r="AJ354" s="1">
        <v>5762594</v>
      </c>
      <c r="AK354">
        <f t="shared" si="379"/>
        <v>1.44</v>
      </c>
      <c r="AL354" s="40">
        <f t="shared" si="380"/>
        <v>8140.0083333333323</v>
      </c>
      <c r="AM354">
        <v>4100000</v>
      </c>
      <c r="AN354" s="117">
        <v>108.50289537101564</v>
      </c>
      <c r="AO354" s="64">
        <f t="shared" si="403"/>
        <v>6.918945437543556</v>
      </c>
      <c r="AP354">
        <v>0</v>
      </c>
      <c r="AQ354" s="1">
        <v>0.85</v>
      </c>
    </row>
    <row r="355" spans="1:43" x14ac:dyDescent="0.3">
      <c r="A355" s="42">
        <v>1509.4685999999999</v>
      </c>
      <c r="B355" s="42">
        <v>1498.0940000000001</v>
      </c>
      <c r="C355" s="53">
        <f>+'Fisico ASIG'!A355</f>
        <v>2026</v>
      </c>
      <c r="D355" s="52">
        <f>+'Fisico ASIG'!B355</f>
        <v>46235</v>
      </c>
      <c r="E355" s="1">
        <f>+'Fisico ASIG'!C355</f>
        <v>31</v>
      </c>
      <c r="F355" s="56" t="str">
        <f t="shared" si="388"/>
        <v>jue</v>
      </c>
      <c r="G355" s="56">
        <f t="shared" si="389"/>
        <v>46261</v>
      </c>
      <c r="H355" s="17">
        <v>28</v>
      </c>
      <c r="I355" s="17">
        <f t="shared" si="397"/>
        <v>4.7970524196396003</v>
      </c>
      <c r="J355" s="17">
        <f t="shared" si="398"/>
        <v>5.3926317734157125</v>
      </c>
      <c r="K355" s="83">
        <f t="shared" si="377"/>
        <v>6.8583333333333334</v>
      </c>
      <c r="L355" s="17">
        <v>27</v>
      </c>
      <c r="M355" s="17">
        <v>71.5</v>
      </c>
      <c r="N355" s="17">
        <f t="shared" si="364"/>
        <v>108.35730084091428</v>
      </c>
      <c r="O355" s="17">
        <v>96.896968285665878</v>
      </c>
      <c r="P355" s="18">
        <f>SUMPRODUCT(H355:O355,'Fisico ASIG'!F355:M355)*24</f>
        <v>13609033.360714724</v>
      </c>
      <c r="Q355" s="43">
        <v>0</v>
      </c>
      <c r="R355" s="43">
        <f t="shared" si="399"/>
        <v>5497.3885246768295</v>
      </c>
      <c r="S355" s="43">
        <f t="shared" si="400"/>
        <v>2716.1876702834361</v>
      </c>
      <c r="T355" s="43">
        <f t="shared" si="378"/>
        <v>1795.6376259798433</v>
      </c>
      <c r="U355" s="43">
        <v>18000</v>
      </c>
      <c r="V355" s="20">
        <v>0</v>
      </c>
      <c r="W355" s="20">
        <v>21900</v>
      </c>
      <c r="X355" s="20">
        <v>0</v>
      </c>
      <c r="Y355" s="18">
        <f>SUMPRODUCT(Q355:X355,'Fisico ASIG'!O355:V355)/E355</f>
        <v>5327372.4594874764</v>
      </c>
      <c r="Z355" s="25">
        <f t="shared" si="401"/>
        <v>18936405.820202202</v>
      </c>
      <c r="AA355" s="26">
        <f>+Z355/'Fisico ASIG'!N355/24</f>
        <v>72.210176776330925</v>
      </c>
      <c r="AB355" s="26">
        <f>+$AB$21*1.1*Precios!$P$17/Precios!$W$17/Precios!$Q$17</f>
        <v>13.898389988279444</v>
      </c>
      <c r="AC355" s="29">
        <f t="shared" si="402"/>
        <v>58.311786788051478</v>
      </c>
      <c r="AI355" s="1">
        <v>7241</v>
      </c>
      <c r="AJ355" s="1">
        <v>5762594</v>
      </c>
      <c r="AK355">
        <f t="shared" si="379"/>
        <v>1.44</v>
      </c>
      <c r="AL355" s="40">
        <f t="shared" si="380"/>
        <v>8140.0083333333323</v>
      </c>
      <c r="AM355">
        <v>4100000</v>
      </c>
      <c r="AN355" s="117">
        <v>101.08880640835062</v>
      </c>
      <c r="AO355" s="64">
        <f t="shared" si="403"/>
        <v>6.4184944325636675</v>
      </c>
      <c r="AP355">
        <v>0</v>
      </c>
      <c r="AQ355" s="1">
        <v>0.85</v>
      </c>
    </row>
    <row r="356" spans="1:43" x14ac:dyDescent="0.3">
      <c r="A356" s="42">
        <v>1509.4685999999999</v>
      </c>
      <c r="B356" s="42">
        <v>1498.0940000000001</v>
      </c>
      <c r="C356" s="53">
        <f>+'Fisico ASIG'!A356</f>
        <v>2026</v>
      </c>
      <c r="D356" s="52">
        <f>+'Fisico ASIG'!B356</f>
        <v>46235</v>
      </c>
      <c r="E356" s="1">
        <f>+'Fisico ASIG'!C356</f>
        <v>31</v>
      </c>
      <c r="F356" s="56" t="str">
        <f t="shared" si="388"/>
        <v>vie</v>
      </c>
      <c r="G356" s="56">
        <f t="shared" si="389"/>
        <v>46262</v>
      </c>
      <c r="H356" s="17">
        <v>28</v>
      </c>
      <c r="I356" s="17">
        <f t="shared" si="397"/>
        <v>4.7970524196396003</v>
      </c>
      <c r="J356" s="17">
        <f t="shared" si="398"/>
        <v>5.3926317734157125</v>
      </c>
      <c r="K356" s="83">
        <f t="shared" si="377"/>
        <v>6.8583333333333334</v>
      </c>
      <c r="L356" s="17">
        <v>27</v>
      </c>
      <c r="M356" s="17">
        <v>71.5</v>
      </c>
      <c r="N356" s="17">
        <f t="shared" si="364"/>
        <v>113.44550331094422</v>
      </c>
      <c r="O356" s="17">
        <v>94.682487546111503</v>
      </c>
      <c r="P356" s="18">
        <f>SUMPRODUCT(H356:O356,'Fisico ASIG'!F356:M356)*24</f>
        <v>13812708.475900495</v>
      </c>
      <c r="Q356" s="43">
        <v>0</v>
      </c>
      <c r="R356" s="43">
        <f t="shared" si="399"/>
        <v>5497.3885246768295</v>
      </c>
      <c r="S356" s="43">
        <f t="shared" si="400"/>
        <v>2716.1876702834361</v>
      </c>
      <c r="T356" s="43">
        <f t="shared" si="378"/>
        <v>1795.6376259798433</v>
      </c>
      <c r="U356" s="43">
        <v>18000</v>
      </c>
      <c r="V356" s="20">
        <v>0</v>
      </c>
      <c r="W356" s="20">
        <v>21900</v>
      </c>
      <c r="X356" s="20">
        <v>0</v>
      </c>
      <c r="Y356" s="18">
        <f>SUMPRODUCT(Q356:X356,'Fisico ASIG'!O356:V356)/E356</f>
        <v>5400999.0347390808</v>
      </c>
      <c r="Z356" s="25">
        <f t="shared" si="401"/>
        <v>19213707.510639578</v>
      </c>
      <c r="AA356" s="26">
        <f>+Z356/'Fisico ASIG'!N356/24</f>
        <v>75.323801319247735</v>
      </c>
      <c r="AB356" s="26">
        <f>+$AB$21*1.1*Precios!$P$17/Precios!$W$17/Precios!$Q$17</f>
        <v>13.898389988279444</v>
      </c>
      <c r="AC356" s="29">
        <f t="shared" si="402"/>
        <v>61.425411330968288</v>
      </c>
      <c r="AI356" s="1">
        <v>7241</v>
      </c>
      <c r="AJ356" s="1">
        <v>5762594</v>
      </c>
      <c r="AK356">
        <f t="shared" si="379"/>
        <v>1.44</v>
      </c>
      <c r="AL356" s="40">
        <f t="shared" si="380"/>
        <v>8140.0083333333323</v>
      </c>
      <c r="AM356">
        <v>4100000</v>
      </c>
      <c r="AN356" s="117">
        <v>105.85527242243019</v>
      </c>
      <c r="AO356" s="64">
        <f t="shared" si="403"/>
        <v>6.7402308885140378</v>
      </c>
      <c r="AP356">
        <v>0</v>
      </c>
      <c r="AQ356" s="1">
        <v>0.85</v>
      </c>
    </row>
    <row r="357" spans="1:43" x14ac:dyDescent="0.3">
      <c r="A357" s="42">
        <v>1509.4685999999999</v>
      </c>
      <c r="B357" s="42">
        <v>1498.0940000000001</v>
      </c>
      <c r="C357" s="53">
        <f>+'Fisico ASIG'!A357</f>
        <v>2026</v>
      </c>
      <c r="D357" s="52">
        <f>+'Fisico ASIG'!B357</f>
        <v>46235</v>
      </c>
      <c r="E357" s="1">
        <f>+'Fisico ASIG'!C357</f>
        <v>31</v>
      </c>
      <c r="F357" s="56" t="str">
        <f t="shared" si="388"/>
        <v>sáb</v>
      </c>
      <c r="G357" s="56">
        <f t="shared" si="389"/>
        <v>46263</v>
      </c>
      <c r="H357" s="17">
        <v>28</v>
      </c>
      <c r="I357" s="17">
        <f t="shared" si="397"/>
        <v>4.7970524196396003</v>
      </c>
      <c r="J357" s="17">
        <f t="shared" si="398"/>
        <v>5.3926317734157125</v>
      </c>
      <c r="K357" s="83">
        <f t="shared" si="377"/>
        <v>6.8583333333333334</v>
      </c>
      <c r="L357" s="17">
        <v>27</v>
      </c>
      <c r="M357" s="17">
        <v>71.5</v>
      </c>
      <c r="N357" s="17">
        <f t="shared" si="364"/>
        <v>98.923297785084188</v>
      </c>
      <c r="O357" s="17">
        <v>96.780535322708516</v>
      </c>
      <c r="P357" s="18">
        <f>SUMPRODUCT(H357:O357,'Fisico ASIG'!F357:M357)*24</f>
        <v>11061372.622991735</v>
      </c>
      <c r="Q357" s="43">
        <v>0</v>
      </c>
      <c r="R357" s="43">
        <f t="shared" si="399"/>
        <v>5497.3885246768295</v>
      </c>
      <c r="S357" s="43">
        <f t="shared" si="400"/>
        <v>2716.1876702834361</v>
      </c>
      <c r="T357" s="43">
        <f t="shared" si="378"/>
        <v>1795.6376259798433</v>
      </c>
      <c r="U357" s="43">
        <v>18000</v>
      </c>
      <c r="V357" s="20">
        <v>0</v>
      </c>
      <c r="W357" s="20">
        <v>21900</v>
      </c>
      <c r="X357" s="20">
        <v>0</v>
      </c>
      <c r="Y357" s="18">
        <f>SUMPRODUCT(Q357:X357,'Fisico ASIG'!O357:V357)/E357</f>
        <v>5488423.6142561454</v>
      </c>
      <c r="Z357" s="25">
        <f t="shared" si="401"/>
        <v>16549796.237247881</v>
      </c>
      <c r="AA357" s="26">
        <f>+Z357/'Fisico ASIG'!N357/24</f>
        <v>76.101092442553139</v>
      </c>
      <c r="AB357" s="26">
        <f>+$AB$21*1.1*Precios!$P$17/Precios!$W$17/Precios!$Q$17</f>
        <v>13.898389988279444</v>
      </c>
      <c r="AC357" s="29">
        <f t="shared" si="402"/>
        <v>62.202702454273691</v>
      </c>
      <c r="AI357" s="1">
        <v>7241</v>
      </c>
      <c r="AJ357" s="1">
        <v>5762594</v>
      </c>
      <c r="AK357">
        <f t="shared" si="379"/>
        <v>1.44</v>
      </c>
      <c r="AL357" s="40">
        <f t="shared" si="380"/>
        <v>8140.0083333333323</v>
      </c>
      <c r="AM357">
        <v>4100000</v>
      </c>
      <c r="AN357" s="117">
        <v>92.251332819750999</v>
      </c>
      <c r="AO357" s="64">
        <f t="shared" si="403"/>
        <v>5.8219649653331924</v>
      </c>
      <c r="AP357">
        <v>0</v>
      </c>
      <c r="AQ357" s="1">
        <v>0.85</v>
      </c>
    </row>
    <row r="358" spans="1:43" x14ac:dyDescent="0.3">
      <c r="A358" s="42">
        <v>1509.4685999999999</v>
      </c>
      <c r="B358" s="42">
        <v>1498.0940000000001</v>
      </c>
      <c r="C358" s="53">
        <f>+'Fisico ASIG'!A358</f>
        <v>2026</v>
      </c>
      <c r="D358" s="52">
        <f>+'Fisico ASIG'!B358</f>
        <v>46235</v>
      </c>
      <c r="E358" s="1">
        <f>+'Fisico ASIG'!C358</f>
        <v>31</v>
      </c>
      <c r="F358" s="56" t="str">
        <f t="shared" si="388"/>
        <v>dom</v>
      </c>
      <c r="G358" s="56">
        <f t="shared" si="389"/>
        <v>46264</v>
      </c>
      <c r="H358" s="17">
        <v>28</v>
      </c>
      <c r="I358" s="17">
        <f t="shared" ref="I358:I359" si="404">AI358/A358</f>
        <v>4.7970524196396003</v>
      </c>
      <c r="J358" s="17">
        <f t="shared" ref="J358:J359" si="405">+AL358/A358</f>
        <v>5.3926317734157125</v>
      </c>
      <c r="K358" s="83">
        <f t="shared" si="377"/>
        <v>6.8583333333333334</v>
      </c>
      <c r="L358" s="17">
        <v>27</v>
      </c>
      <c r="M358" s="17">
        <v>71.5</v>
      </c>
      <c r="N358" s="17">
        <f t="shared" ref="N358:N359" si="406">+AN358+AO358+AP358+AQ358</f>
        <v>104.79795168955413</v>
      </c>
      <c r="O358" s="17">
        <v>80.297931572920163</v>
      </c>
      <c r="P358" s="18">
        <f>SUMPRODUCT(H358:O358,'Fisico ASIG'!F358:M358)*24</f>
        <v>9902200.8457215521</v>
      </c>
      <c r="Q358" s="43">
        <v>0</v>
      </c>
      <c r="R358" s="43">
        <f t="shared" ref="R358:R359" si="407">+AJ358*AK358/A358</f>
        <v>5497.3885246768295</v>
      </c>
      <c r="S358" s="43">
        <f t="shared" ref="S358:S359" si="408">+AM358/A358</f>
        <v>2716.1876702834361</v>
      </c>
      <c r="T358" s="43">
        <f t="shared" si="378"/>
        <v>1795.6376259798433</v>
      </c>
      <c r="U358" s="43">
        <v>18000</v>
      </c>
      <c r="V358" s="20">
        <v>0</v>
      </c>
      <c r="W358" s="20">
        <v>21900</v>
      </c>
      <c r="X358" s="20">
        <v>0</v>
      </c>
      <c r="Y358" s="18">
        <f>SUMPRODUCT(Q358:X358,'Fisico ASIG'!O358:V358)/E358</f>
        <v>5595859.9643431064</v>
      </c>
      <c r="Z358" s="25">
        <f t="shared" ref="Z358:Z359" si="409">+(P358+Y358)</f>
        <v>15498060.810064659</v>
      </c>
      <c r="AA358" s="26">
        <f>+Z358/'Fisico ASIG'!N358/24</f>
        <v>77.679054442737367</v>
      </c>
      <c r="AB358" s="26">
        <f>+$AB$21*1.1*Precios!$P$17/Precios!$W$17/Precios!$Q$17</f>
        <v>13.898389988279444</v>
      </c>
      <c r="AC358" s="29">
        <f t="shared" ref="AC358:AC359" si="410">+AA358-AB358</f>
        <v>63.78066445445792</v>
      </c>
      <c r="AI358" s="1">
        <v>7241</v>
      </c>
      <c r="AJ358" s="1">
        <v>5762594</v>
      </c>
      <c r="AK358">
        <f t="shared" si="379"/>
        <v>1.44</v>
      </c>
      <c r="AL358" s="40">
        <f t="shared" si="380"/>
        <v>8140.0083333333323</v>
      </c>
      <c r="AM358">
        <v>4100000</v>
      </c>
      <c r="AN358" s="117">
        <v>97.754521489043682</v>
      </c>
      <c r="AO358" s="64">
        <f t="shared" ref="AO358:AO359" si="411">0.075*0.9*(AN358-6)</f>
        <v>6.1934302005104493</v>
      </c>
      <c r="AP358">
        <v>0</v>
      </c>
      <c r="AQ358" s="1">
        <v>0.85</v>
      </c>
    </row>
    <row r="359" spans="1:43" x14ac:dyDescent="0.3">
      <c r="A359" s="42">
        <v>1509.4685999999999</v>
      </c>
      <c r="B359" s="42">
        <v>1506.9</v>
      </c>
      <c r="C359" s="53">
        <f>+'Fisico ASIG'!A359</f>
        <v>2026</v>
      </c>
      <c r="D359" s="52">
        <f>+'Fisico ASIG'!B359</f>
        <v>46235</v>
      </c>
      <c r="E359" s="1">
        <f>+'Fisico ASIG'!C359</f>
        <v>31</v>
      </c>
      <c r="F359" s="56" t="str">
        <f t="shared" si="388"/>
        <v>lun</v>
      </c>
      <c r="G359" s="56">
        <f t="shared" si="389"/>
        <v>46265</v>
      </c>
      <c r="H359" s="17">
        <v>28</v>
      </c>
      <c r="I359" s="17">
        <f t="shared" si="404"/>
        <v>4.7970524196396003</v>
      </c>
      <c r="J359" s="17">
        <f t="shared" si="405"/>
        <v>5.3926317734157125</v>
      </c>
      <c r="K359" s="83">
        <f t="shared" si="377"/>
        <v>6.8583333333333334</v>
      </c>
      <c r="L359" s="17">
        <v>27</v>
      </c>
      <c r="M359" s="17">
        <v>71.5</v>
      </c>
      <c r="N359" s="17">
        <f t="shared" si="406"/>
        <v>68.566111210800656</v>
      </c>
      <c r="O359" s="17">
        <v>83.593970360128523</v>
      </c>
      <c r="P359" s="18">
        <f>SUMPRODUCT(H359:O359,'Fisico ASIG'!F359:M359)*24</f>
        <v>10506873.168371383</v>
      </c>
      <c r="Q359" s="43">
        <v>0</v>
      </c>
      <c r="R359" s="43">
        <f t="shared" si="407"/>
        <v>5497.3885246768295</v>
      </c>
      <c r="S359" s="43">
        <f t="shared" si="408"/>
        <v>2716.1876702834361</v>
      </c>
      <c r="T359" s="43">
        <f t="shared" si="378"/>
        <v>1795.6376259798433</v>
      </c>
      <c r="U359" s="43">
        <v>18000</v>
      </c>
      <c r="V359" s="20">
        <v>0</v>
      </c>
      <c r="W359" s="20">
        <v>21900</v>
      </c>
      <c r="X359" s="20">
        <v>0</v>
      </c>
      <c r="Y359" s="18">
        <f>SUMPRODUCT(Q359:X359,'Fisico ASIG'!O359:V359)/E359</f>
        <v>5592771.1360490518</v>
      </c>
      <c r="Z359" s="25">
        <f t="shared" si="409"/>
        <v>16099644.304420434</v>
      </c>
      <c r="AA359" s="26">
        <f>+Z359/'Fisico ASIG'!N359/24</f>
        <v>71.160594963985758</v>
      </c>
      <c r="AB359" s="26">
        <f>+$AB$21*1.1*Precios!$P$17/Precios!$W$17/Precios!$Q$17</f>
        <v>13.898389988279444</v>
      </c>
      <c r="AC359" s="29">
        <f t="shared" si="410"/>
        <v>57.262204975706311</v>
      </c>
      <c r="AI359" s="1">
        <v>7241</v>
      </c>
      <c r="AJ359" s="1">
        <v>5762594</v>
      </c>
      <c r="AK359">
        <f t="shared" si="379"/>
        <v>1.44</v>
      </c>
      <c r="AL359" s="40">
        <f t="shared" si="380"/>
        <v>8140.0083333333323</v>
      </c>
      <c r="AM359">
        <v>4100000</v>
      </c>
      <c r="AN359" s="117">
        <v>63.813687316909281</v>
      </c>
      <c r="AO359" s="64">
        <f t="shared" si="411"/>
        <v>3.9024238938913767</v>
      </c>
      <c r="AP359">
        <v>0</v>
      </c>
      <c r="AQ359" s="1">
        <v>0.85</v>
      </c>
    </row>
    <row r="360" spans="1:43" x14ac:dyDescent="0.3">
      <c r="A360" s="42">
        <v>1517.5209</v>
      </c>
      <c r="B360" s="42">
        <v>1506.9</v>
      </c>
      <c r="C360" s="53">
        <f>+'Fisico ASIG'!A360</f>
        <v>2026</v>
      </c>
      <c r="D360" s="52">
        <f>+'Fisico ASIG'!B360</f>
        <v>46266</v>
      </c>
      <c r="E360" s="1">
        <f>+'Fisico ASIG'!C360</f>
        <v>30</v>
      </c>
      <c r="F360" s="56" t="str">
        <f t="shared" si="388"/>
        <v>mar</v>
      </c>
      <c r="G360" s="56">
        <f t="shared" si="389"/>
        <v>46266</v>
      </c>
      <c r="H360" s="17">
        <v>28</v>
      </c>
      <c r="I360" s="17">
        <f t="shared" ref="I360:I366" si="412">AI360/A360</f>
        <v>4.7715982033591766</v>
      </c>
      <c r="J360" s="17">
        <f t="shared" ref="J360:J366" si="413">+AL360/A360</f>
        <v>5.3640172819585761</v>
      </c>
      <c r="K360" s="83">
        <f t="shared" si="377"/>
        <v>6.8583333333333334</v>
      </c>
      <c r="L360" s="17">
        <v>27</v>
      </c>
      <c r="M360" s="17">
        <v>71.5</v>
      </c>
      <c r="N360" s="17">
        <f t="shared" ref="N360:N366" si="414">+AN360+AO360+AP360+AQ360</f>
        <v>60.087021798899606</v>
      </c>
      <c r="O360" s="17">
        <v>42.519619986749774</v>
      </c>
      <c r="P360" s="18">
        <f>SUMPRODUCT(H360:O360,'Fisico ASIG'!F360:M360)*24</f>
        <v>8296878.0786434188</v>
      </c>
      <c r="Q360" s="43">
        <v>0</v>
      </c>
      <c r="R360" s="43">
        <f t="shared" ref="R360:R366" si="415">+AJ360*AK360/A360</f>
        <v>5468.2181708337584</v>
      </c>
      <c r="S360" s="43">
        <f t="shared" ref="S360:S366" si="416">+AM360/A360</f>
        <v>2701.77498049615</v>
      </c>
      <c r="T360" s="43">
        <f t="shared" si="378"/>
        <v>1795.6376259798433</v>
      </c>
      <c r="U360" s="43">
        <v>18000</v>
      </c>
      <c r="V360" s="20">
        <v>0</v>
      </c>
      <c r="W360" s="20">
        <v>21900</v>
      </c>
      <c r="X360" s="20">
        <v>0</v>
      </c>
      <c r="Y360" s="18">
        <f>SUMPRODUCT(Q360:X360,'Fisico ASIG'!O360:V360)/E360</f>
        <v>5789267.4825423341</v>
      </c>
      <c r="Z360" s="25">
        <f t="shared" ref="Z360:Z366" si="417">+(P360+Y360)</f>
        <v>14086145.561185753</v>
      </c>
      <c r="AA360" s="26">
        <f>+Z360/'Fisico ASIG'!N360/24</f>
        <v>63.08189970689633</v>
      </c>
      <c r="AB360" s="26">
        <f>+$AB$21*0.9*Precios!$P$18/Precios!$W$18/Precios!$Q$18</f>
        <v>12.315987005656668</v>
      </c>
      <c r="AC360" s="29">
        <f t="shared" ref="AC360:AC366" si="418">+AA360-AB360</f>
        <v>50.765912701239664</v>
      </c>
      <c r="AI360" s="1">
        <v>7241</v>
      </c>
      <c r="AJ360" s="1">
        <v>5762594</v>
      </c>
      <c r="AK360">
        <f t="shared" si="379"/>
        <v>1.44</v>
      </c>
      <c r="AL360" s="40">
        <f t="shared" si="380"/>
        <v>8140.0083333333323</v>
      </c>
      <c r="AM360">
        <v>4100000</v>
      </c>
      <c r="AN360" s="179">
        <v>55.870746415831015</v>
      </c>
      <c r="AO360" s="64">
        <f t="shared" ref="AO360:AO366" si="419">0.075*0.9*(AN360-6)</f>
        <v>3.3662753830685936</v>
      </c>
      <c r="AP360">
        <v>0</v>
      </c>
      <c r="AQ360" s="1">
        <v>0.85</v>
      </c>
    </row>
    <row r="361" spans="1:43" x14ac:dyDescent="0.3">
      <c r="A361" s="42">
        <v>1517.5209</v>
      </c>
      <c r="B361" s="42">
        <v>1506.9</v>
      </c>
      <c r="C361" s="53">
        <f>+'Fisico ASIG'!A361</f>
        <v>2026</v>
      </c>
      <c r="D361" s="52">
        <f>+'Fisico ASIG'!B361</f>
        <v>46266</v>
      </c>
      <c r="E361" s="1">
        <f>+'Fisico ASIG'!C361</f>
        <v>30</v>
      </c>
      <c r="F361" s="56" t="str">
        <f t="shared" si="388"/>
        <v>mié</v>
      </c>
      <c r="G361" s="56">
        <f t="shared" si="389"/>
        <v>46267</v>
      </c>
      <c r="H361" s="17">
        <v>28</v>
      </c>
      <c r="I361" s="17">
        <f t="shared" si="412"/>
        <v>4.7715982033591766</v>
      </c>
      <c r="J361" s="17">
        <f t="shared" si="413"/>
        <v>5.3640172819585761</v>
      </c>
      <c r="K361" s="83">
        <f t="shared" si="377"/>
        <v>6.8583333333333334</v>
      </c>
      <c r="L361" s="17">
        <v>27</v>
      </c>
      <c r="M361" s="17">
        <v>71.5</v>
      </c>
      <c r="N361" s="17">
        <f t="shared" si="414"/>
        <v>56.149038068566632</v>
      </c>
      <c r="O361" s="17">
        <v>36.495460983954089</v>
      </c>
      <c r="P361" s="18">
        <f>SUMPRODUCT(H361:O361,'Fisico ASIG'!F361:M361)*24</f>
        <v>8535048.9661153704</v>
      </c>
      <c r="Q361" s="43">
        <v>0</v>
      </c>
      <c r="R361" s="43">
        <f t="shared" si="415"/>
        <v>5468.2181708337584</v>
      </c>
      <c r="S361" s="43">
        <f t="shared" si="416"/>
        <v>2701.77498049615</v>
      </c>
      <c r="T361" s="43">
        <f t="shared" si="378"/>
        <v>1795.6376259798433</v>
      </c>
      <c r="U361" s="43">
        <v>18000</v>
      </c>
      <c r="V361" s="20">
        <v>0</v>
      </c>
      <c r="W361" s="20">
        <v>21900</v>
      </c>
      <c r="X361" s="20">
        <v>0</v>
      </c>
      <c r="Y361" s="18">
        <f>SUMPRODUCT(Q361:X361,'Fisico ASIG'!O361:V361)/E361</f>
        <v>5773375.3898938717</v>
      </c>
      <c r="Z361" s="25">
        <f t="shared" si="417"/>
        <v>14308424.356009241</v>
      </c>
      <c r="AA361" s="26">
        <f>+Z361/'Fisico ASIG'!N361/24</f>
        <v>64.136437141856774</v>
      </c>
      <c r="AB361" s="26">
        <f>+$AB$21*0.9*Precios!$P$18/Precios!$W$18/Precios!$Q$18</f>
        <v>12.315987005656668</v>
      </c>
      <c r="AC361" s="29">
        <f t="shared" si="418"/>
        <v>51.820450136200108</v>
      </c>
      <c r="AI361" s="1">
        <v>7241</v>
      </c>
      <c r="AJ361" s="1">
        <v>5762594</v>
      </c>
      <c r="AK361">
        <f t="shared" si="379"/>
        <v>1.44</v>
      </c>
      <c r="AL361" s="40">
        <f t="shared" si="380"/>
        <v>8140.0083333333323</v>
      </c>
      <c r="AM361">
        <v>4100000</v>
      </c>
      <c r="AN361" s="179">
        <v>52.181768682498017</v>
      </c>
      <c r="AO361" s="64">
        <f t="shared" si="419"/>
        <v>3.1172693860686165</v>
      </c>
      <c r="AP361">
        <v>0</v>
      </c>
      <c r="AQ361" s="1">
        <v>0.85</v>
      </c>
    </row>
    <row r="362" spans="1:43" x14ac:dyDescent="0.3">
      <c r="A362" s="42">
        <v>1517.5209</v>
      </c>
      <c r="B362" s="42">
        <v>1506.9</v>
      </c>
      <c r="C362" s="53">
        <f>+'Fisico ASIG'!A362</f>
        <v>2026</v>
      </c>
      <c r="D362" s="52">
        <f>+'Fisico ASIG'!B362</f>
        <v>46266</v>
      </c>
      <c r="E362" s="1">
        <f>+'Fisico ASIG'!C362</f>
        <v>30</v>
      </c>
      <c r="F362" s="56" t="str">
        <f t="shared" si="388"/>
        <v>jue</v>
      </c>
      <c r="G362" s="56">
        <f t="shared" si="389"/>
        <v>46268</v>
      </c>
      <c r="H362" s="17">
        <v>28</v>
      </c>
      <c r="I362" s="17">
        <f t="shared" si="412"/>
        <v>4.7715982033591766</v>
      </c>
      <c r="J362" s="17">
        <f t="shared" si="413"/>
        <v>5.3640172819585761</v>
      </c>
      <c r="K362" s="83">
        <f t="shared" si="377"/>
        <v>6.8583333333333334</v>
      </c>
      <c r="L362" s="17">
        <v>27</v>
      </c>
      <c r="M362" s="17">
        <v>71.5</v>
      </c>
      <c r="N362" s="17">
        <f t="shared" si="414"/>
        <v>57.412006445397495</v>
      </c>
      <c r="O362" s="17">
        <v>38.567306350301799</v>
      </c>
      <c r="P362" s="18">
        <f>SUMPRODUCT(H362:O362,'Fisico ASIG'!F362:M362)*24</f>
        <v>8681379.9012596346</v>
      </c>
      <c r="Q362" s="43">
        <v>0</v>
      </c>
      <c r="R362" s="43">
        <f t="shared" si="415"/>
        <v>5468.2181708337584</v>
      </c>
      <c r="S362" s="43">
        <f t="shared" si="416"/>
        <v>2701.77498049615</v>
      </c>
      <c r="T362" s="43">
        <f t="shared" si="378"/>
        <v>1795.6376259798433</v>
      </c>
      <c r="U362" s="43">
        <v>18000</v>
      </c>
      <c r="V362" s="20">
        <v>0</v>
      </c>
      <c r="W362" s="20">
        <v>21900</v>
      </c>
      <c r="X362" s="20">
        <v>0</v>
      </c>
      <c r="Y362" s="18">
        <f>SUMPRODUCT(Q362:X362,'Fisico ASIG'!O362:V362)/E362</f>
        <v>5793829.5859470461</v>
      </c>
      <c r="Z362" s="25">
        <f t="shared" si="417"/>
        <v>14475209.487206681</v>
      </c>
      <c r="AA362" s="26">
        <f>+Z362/'Fisico ASIG'!N362/24</f>
        <v>65.818051624653066</v>
      </c>
      <c r="AB362" s="26">
        <f>+$AB$21*0.9*Precios!$P$18/Precios!$W$18/Precios!$Q$18</f>
        <v>12.315987005656668</v>
      </c>
      <c r="AC362" s="29">
        <f t="shared" si="418"/>
        <v>53.5020646189964</v>
      </c>
      <c r="AI362" s="1">
        <v>7241</v>
      </c>
      <c r="AJ362" s="1">
        <v>5762594</v>
      </c>
      <c r="AK362">
        <f t="shared" si="379"/>
        <v>1.44</v>
      </c>
      <c r="AL362" s="40">
        <f t="shared" si="380"/>
        <v>8140.0083333333323</v>
      </c>
      <c r="AM362">
        <v>4100000</v>
      </c>
      <c r="AN362" s="179">
        <v>53.364877232222476</v>
      </c>
      <c r="AO362" s="64">
        <f t="shared" si="419"/>
        <v>3.1971292131750175</v>
      </c>
      <c r="AP362">
        <v>0</v>
      </c>
      <c r="AQ362" s="1">
        <v>0.85</v>
      </c>
    </row>
    <row r="363" spans="1:43" x14ac:dyDescent="0.3">
      <c r="A363" s="42">
        <v>1517.5209</v>
      </c>
      <c r="B363" s="42">
        <v>1506.9</v>
      </c>
      <c r="C363" s="53">
        <f>+'Fisico ASIG'!A363</f>
        <v>2026</v>
      </c>
      <c r="D363" s="52">
        <f>+'Fisico ASIG'!B363</f>
        <v>46266</v>
      </c>
      <c r="E363" s="1">
        <f>+'Fisico ASIG'!C363</f>
        <v>30</v>
      </c>
      <c r="F363" s="56" t="str">
        <f t="shared" si="388"/>
        <v>vie</v>
      </c>
      <c r="G363" s="56">
        <f t="shared" si="389"/>
        <v>46269</v>
      </c>
      <c r="H363" s="17">
        <v>28</v>
      </c>
      <c r="I363" s="17">
        <f t="shared" si="412"/>
        <v>4.7715982033591766</v>
      </c>
      <c r="J363" s="17">
        <f t="shared" si="413"/>
        <v>5.3640172819585761</v>
      </c>
      <c r="K363" s="83">
        <f t="shared" si="377"/>
        <v>6.8583333333333334</v>
      </c>
      <c r="L363" s="17">
        <v>27</v>
      </c>
      <c r="M363" s="17">
        <v>71.5</v>
      </c>
      <c r="N363" s="17">
        <f t="shared" si="414"/>
        <v>58.771991751948555</v>
      </c>
      <c r="O363" s="17">
        <v>42.894511909910683</v>
      </c>
      <c r="P363" s="18">
        <f>SUMPRODUCT(H363:O363,'Fisico ASIG'!F363:M363)*24</f>
        <v>8956357.1407992728</v>
      </c>
      <c r="Q363" s="43">
        <v>0</v>
      </c>
      <c r="R363" s="43">
        <f t="shared" si="415"/>
        <v>5468.2181708337584</v>
      </c>
      <c r="S363" s="43">
        <f t="shared" si="416"/>
        <v>2701.77498049615</v>
      </c>
      <c r="T363" s="43">
        <f t="shared" si="378"/>
        <v>1795.6376259798433</v>
      </c>
      <c r="U363" s="43">
        <v>18000</v>
      </c>
      <c r="V363" s="20">
        <v>0</v>
      </c>
      <c r="W363" s="20">
        <v>21900</v>
      </c>
      <c r="X363" s="20">
        <v>0</v>
      </c>
      <c r="Y363" s="18">
        <f>SUMPRODUCT(Q363:X363,'Fisico ASIG'!O363:V363)/E363</f>
        <v>5800099.6278048111</v>
      </c>
      <c r="Z363" s="25">
        <f t="shared" si="417"/>
        <v>14756456.768604085</v>
      </c>
      <c r="AA363" s="26">
        <f>+Z363/'Fisico ASIG'!N363/24</f>
        <v>65.263166084497541</v>
      </c>
      <c r="AB363" s="26">
        <f>+$AB$21*0.9*Precios!$P$18/Precios!$W$18/Precios!$Q$18</f>
        <v>12.315987005656668</v>
      </c>
      <c r="AC363" s="29">
        <f t="shared" si="418"/>
        <v>52.947179078840875</v>
      </c>
      <c r="AI363" s="1">
        <v>7241</v>
      </c>
      <c r="AJ363" s="1">
        <v>5762594</v>
      </c>
      <c r="AK363">
        <f t="shared" si="379"/>
        <v>1.44</v>
      </c>
      <c r="AL363" s="40">
        <f t="shared" si="380"/>
        <v>8140.0083333333323</v>
      </c>
      <c r="AM363">
        <v>4100000</v>
      </c>
      <c r="AN363" s="179">
        <v>54.638868151708245</v>
      </c>
      <c r="AO363" s="64">
        <f t="shared" si="419"/>
        <v>3.2831236002403066</v>
      </c>
      <c r="AP363">
        <v>0</v>
      </c>
      <c r="AQ363" s="1">
        <v>0.85</v>
      </c>
    </row>
    <row r="364" spans="1:43" x14ac:dyDescent="0.3">
      <c r="A364" s="42">
        <v>1517.5209</v>
      </c>
      <c r="B364" s="42">
        <v>1506.9</v>
      </c>
      <c r="C364" s="53">
        <f>+'Fisico ASIG'!A364</f>
        <v>2026</v>
      </c>
      <c r="D364" s="52">
        <f>+'Fisico ASIG'!B364</f>
        <v>46266</v>
      </c>
      <c r="E364" s="1">
        <f>+'Fisico ASIG'!C364</f>
        <v>30</v>
      </c>
      <c r="F364" s="56" t="str">
        <f t="shared" si="388"/>
        <v>sáb</v>
      </c>
      <c r="G364" s="56">
        <f t="shared" si="389"/>
        <v>46270</v>
      </c>
      <c r="H364" s="17">
        <v>28</v>
      </c>
      <c r="I364" s="17">
        <f t="shared" si="412"/>
        <v>4.7715982033591766</v>
      </c>
      <c r="J364" s="17">
        <f t="shared" si="413"/>
        <v>5.3640172819585761</v>
      </c>
      <c r="K364" s="83">
        <f t="shared" si="377"/>
        <v>6.8583333333333334</v>
      </c>
      <c r="L364" s="17">
        <v>27</v>
      </c>
      <c r="M364" s="17">
        <v>71.5</v>
      </c>
      <c r="N364" s="17">
        <f t="shared" si="414"/>
        <v>61.476941966226015</v>
      </c>
      <c r="O364" s="17">
        <v>43.787574743097913</v>
      </c>
      <c r="P364" s="18">
        <f>SUMPRODUCT(H364:O364,'Fisico ASIG'!F364:M364)*24</f>
        <v>9256215.508860698</v>
      </c>
      <c r="Q364" s="43">
        <v>0</v>
      </c>
      <c r="R364" s="43">
        <f t="shared" si="415"/>
        <v>5468.2181708337584</v>
      </c>
      <c r="S364" s="43">
        <f t="shared" si="416"/>
        <v>2701.77498049615</v>
      </c>
      <c r="T364" s="43">
        <f t="shared" si="378"/>
        <v>1795.6376259798433</v>
      </c>
      <c r="U364" s="43">
        <v>18000</v>
      </c>
      <c r="V364" s="20">
        <v>0</v>
      </c>
      <c r="W364" s="20">
        <v>21900</v>
      </c>
      <c r="X364" s="20">
        <v>0</v>
      </c>
      <c r="Y364" s="18">
        <f>SUMPRODUCT(Q364:X364,'Fisico ASIG'!O364:V364)/E364</f>
        <v>5785761.9521311605</v>
      </c>
      <c r="Z364" s="25">
        <f t="shared" si="417"/>
        <v>15041977.460991859</v>
      </c>
      <c r="AA364" s="26">
        <f>+Z364/'Fisico ASIG'!N364/24</f>
        <v>65.162502965113291</v>
      </c>
      <c r="AB364" s="26">
        <f>+$AB$21*0.9*Precios!$P$18/Precios!$W$18/Precios!$Q$18</f>
        <v>12.315987005656668</v>
      </c>
      <c r="AC364" s="29">
        <f t="shared" si="418"/>
        <v>52.846515959456625</v>
      </c>
      <c r="AI364" s="1">
        <v>7241</v>
      </c>
      <c r="AJ364" s="1">
        <v>5762594</v>
      </c>
      <c r="AK364">
        <f t="shared" si="379"/>
        <v>1.44</v>
      </c>
      <c r="AL364" s="40">
        <f t="shared" si="380"/>
        <v>8140.0083333333323</v>
      </c>
      <c r="AM364">
        <v>4100000</v>
      </c>
      <c r="AN364" s="179">
        <v>57.172779359462311</v>
      </c>
      <c r="AO364" s="64">
        <f t="shared" si="419"/>
        <v>3.4541626067637061</v>
      </c>
      <c r="AP364">
        <v>0</v>
      </c>
      <c r="AQ364" s="1">
        <v>0.85</v>
      </c>
    </row>
    <row r="365" spans="1:43" x14ac:dyDescent="0.3">
      <c r="A365" s="42">
        <v>1517.5209</v>
      </c>
      <c r="B365" s="42">
        <v>1506.9</v>
      </c>
      <c r="C365" s="53">
        <f>+'Fisico ASIG'!A365</f>
        <v>2026</v>
      </c>
      <c r="D365" s="52">
        <f>+'Fisico ASIG'!B365</f>
        <v>46266</v>
      </c>
      <c r="E365" s="1">
        <f>+'Fisico ASIG'!C365</f>
        <v>30</v>
      </c>
      <c r="F365" s="56" t="str">
        <f t="shared" si="388"/>
        <v>dom</v>
      </c>
      <c r="G365" s="56">
        <f t="shared" si="389"/>
        <v>46271</v>
      </c>
      <c r="H365" s="17">
        <v>28</v>
      </c>
      <c r="I365" s="17">
        <f t="shared" si="412"/>
        <v>4.7715982033591766</v>
      </c>
      <c r="J365" s="17">
        <f t="shared" si="413"/>
        <v>5.3640172819585761</v>
      </c>
      <c r="K365" s="83">
        <f t="shared" si="377"/>
        <v>6.8583333333333334</v>
      </c>
      <c r="L365" s="17">
        <v>27</v>
      </c>
      <c r="M365" s="17">
        <v>71.5</v>
      </c>
      <c r="N365" s="17">
        <f t="shared" si="414"/>
        <v>74.331617696757576</v>
      </c>
      <c r="O365" s="17">
        <v>40.582802092811804</v>
      </c>
      <c r="P365" s="18">
        <f>SUMPRODUCT(H365:O365,'Fisico ASIG'!F365:M365)*24</f>
        <v>9464525.1265282631</v>
      </c>
      <c r="Q365" s="43">
        <v>0</v>
      </c>
      <c r="R365" s="43">
        <f t="shared" si="415"/>
        <v>5468.2181708337584</v>
      </c>
      <c r="S365" s="43">
        <f t="shared" si="416"/>
        <v>2701.77498049615</v>
      </c>
      <c r="T365" s="43">
        <f t="shared" si="378"/>
        <v>1795.6376259798433</v>
      </c>
      <c r="U365" s="43">
        <v>18000</v>
      </c>
      <c r="V365" s="20">
        <v>0</v>
      </c>
      <c r="W365" s="20">
        <v>21900</v>
      </c>
      <c r="X365" s="20">
        <v>0</v>
      </c>
      <c r="Y365" s="18">
        <f>SUMPRODUCT(Q365:X365,'Fisico ASIG'!O365:V365)/E365</f>
        <v>5810560.1548960004</v>
      </c>
      <c r="Z365" s="25">
        <f t="shared" si="417"/>
        <v>15275085.281424263</v>
      </c>
      <c r="AA365" s="26">
        <f>+Z365/'Fisico ASIG'!N365/24</f>
        <v>61.951994324345947</v>
      </c>
      <c r="AB365" s="26">
        <f>+$AB$21*0.9*Precios!$P$18/Precios!$W$18/Precios!$Q$18</f>
        <v>12.315987005656668</v>
      </c>
      <c r="AC365" s="29">
        <f t="shared" si="418"/>
        <v>49.636007318689281</v>
      </c>
      <c r="AI365" s="1">
        <v>7241</v>
      </c>
      <c r="AJ365" s="1">
        <v>5762594</v>
      </c>
      <c r="AK365">
        <f t="shared" si="379"/>
        <v>1.44</v>
      </c>
      <c r="AL365" s="40">
        <f t="shared" si="380"/>
        <v>8140.0083333333323</v>
      </c>
      <c r="AM365">
        <v>4100000</v>
      </c>
      <c r="AN365" s="179">
        <v>69.21463016089703</v>
      </c>
      <c r="AO365" s="64">
        <f t="shared" si="419"/>
        <v>4.26698753586055</v>
      </c>
      <c r="AP365">
        <v>0</v>
      </c>
      <c r="AQ365" s="1">
        <v>0.85</v>
      </c>
    </row>
    <row r="366" spans="1:43" x14ac:dyDescent="0.3">
      <c r="A366" s="42">
        <v>1517.5209</v>
      </c>
      <c r="B366" s="42">
        <v>1506.9</v>
      </c>
      <c r="C366" s="53">
        <f>+'Fisico ASIG'!A366</f>
        <v>2026</v>
      </c>
      <c r="D366" s="52">
        <f>+'Fisico ASIG'!B366</f>
        <v>46266</v>
      </c>
      <c r="E366" s="1">
        <f>+'Fisico ASIG'!C366</f>
        <v>30</v>
      </c>
      <c r="F366" s="56" t="str">
        <f t="shared" si="388"/>
        <v>lun</v>
      </c>
      <c r="G366" s="56">
        <f t="shared" si="389"/>
        <v>46272</v>
      </c>
      <c r="H366" s="17">
        <v>28</v>
      </c>
      <c r="I366" s="17">
        <f t="shared" si="412"/>
        <v>4.7715982033591766</v>
      </c>
      <c r="J366" s="17">
        <f t="shared" si="413"/>
        <v>5.3640172819585761</v>
      </c>
      <c r="K366" s="83">
        <f t="shared" si="377"/>
        <v>6.8583333333333334</v>
      </c>
      <c r="L366" s="17">
        <v>27</v>
      </c>
      <c r="M366" s="17">
        <v>71.5</v>
      </c>
      <c r="N366" s="17">
        <f t="shared" si="414"/>
        <v>88.620173368654747</v>
      </c>
      <c r="O366" s="17">
        <v>60.064624948661312</v>
      </c>
      <c r="P366" s="18">
        <f>SUMPRODUCT(H366:O366,'Fisico ASIG'!F366:M366)*24</f>
        <v>11115353.909494441</v>
      </c>
      <c r="Q366" s="43">
        <v>0</v>
      </c>
      <c r="R366" s="43">
        <f t="shared" si="415"/>
        <v>5468.2181708337584</v>
      </c>
      <c r="S366" s="43">
        <f t="shared" si="416"/>
        <v>2701.77498049615</v>
      </c>
      <c r="T366" s="43">
        <f t="shared" si="378"/>
        <v>1795.6376259798433</v>
      </c>
      <c r="U366" s="43">
        <v>18000</v>
      </c>
      <c r="V366" s="20">
        <v>0</v>
      </c>
      <c r="W366" s="20">
        <v>21900</v>
      </c>
      <c r="X366" s="20">
        <v>0</v>
      </c>
      <c r="Y366" s="18">
        <f>SUMPRODUCT(Q366:X366,'Fisico ASIG'!O366:V366)/E366</f>
        <v>5814138.1795079345</v>
      </c>
      <c r="Z366" s="25">
        <f t="shared" si="417"/>
        <v>16929492.089002375</v>
      </c>
      <c r="AA366" s="26">
        <f>+Z366/'Fisico ASIG'!N366/24</f>
        <v>67.988661813587257</v>
      </c>
      <c r="AB366" s="26">
        <f>+$AB$21*0.9*Precios!$P$18/Precios!$W$18/Precios!$Q$18</f>
        <v>12.315987005656668</v>
      </c>
      <c r="AC366" s="29">
        <f t="shared" si="418"/>
        <v>55.672674807930591</v>
      </c>
      <c r="AI366" s="1">
        <v>7241</v>
      </c>
      <c r="AJ366" s="1">
        <v>5762594</v>
      </c>
      <c r="AK366">
        <f t="shared" si="379"/>
        <v>1.44</v>
      </c>
      <c r="AL366" s="40">
        <f t="shared" si="380"/>
        <v>8140.0083333333323</v>
      </c>
      <c r="AM366">
        <v>4100000</v>
      </c>
      <c r="AN366" s="179">
        <v>82.599694022159014</v>
      </c>
      <c r="AO366" s="64">
        <f t="shared" si="419"/>
        <v>5.1704793464957337</v>
      </c>
      <c r="AP366">
        <v>0</v>
      </c>
      <c r="AQ366" s="1">
        <v>0.85</v>
      </c>
    </row>
    <row r="367" spans="1:43" x14ac:dyDescent="0.3">
      <c r="A367" s="42">
        <v>1517.5209</v>
      </c>
      <c r="B367" s="42">
        <v>1506.9</v>
      </c>
      <c r="C367" s="53">
        <f>+'Fisico ASIG'!A367</f>
        <v>2026</v>
      </c>
      <c r="D367" s="52">
        <f>+'Fisico ASIG'!B367</f>
        <v>46266</v>
      </c>
      <c r="E367" s="1">
        <f>+'Fisico ASIG'!C367</f>
        <v>30</v>
      </c>
      <c r="F367" s="56" t="str">
        <f t="shared" si="388"/>
        <v>mar</v>
      </c>
      <c r="G367" s="56">
        <f t="shared" si="389"/>
        <v>46273</v>
      </c>
      <c r="H367" s="17">
        <v>28</v>
      </c>
      <c r="I367" s="17">
        <f t="shared" ref="I367:I372" si="420">AI367/A367</f>
        <v>4.7715982033591766</v>
      </c>
      <c r="J367" s="17">
        <f t="shared" ref="J367:J372" si="421">+AL367/A367</f>
        <v>5.3640172819585761</v>
      </c>
      <c r="K367" s="83">
        <f t="shared" si="377"/>
        <v>6.8583333333333334</v>
      </c>
      <c r="L367" s="17">
        <v>27</v>
      </c>
      <c r="M367" s="17">
        <v>71.5</v>
      </c>
      <c r="N367" s="17">
        <f t="shared" ref="N367:N372" si="422">+AN367+AO367+AP367+AQ367</f>
        <v>101.22630216654062</v>
      </c>
      <c r="O367" s="17">
        <v>61.720701099142403</v>
      </c>
      <c r="P367" s="18">
        <f>SUMPRODUCT(H367:O367,'Fisico ASIG'!F367:M367)*24</f>
        <v>11393535.554146025</v>
      </c>
      <c r="Q367" s="43">
        <v>0</v>
      </c>
      <c r="R367" s="43">
        <f t="shared" ref="R367:R372" si="423">+AJ367*AK367/A367</f>
        <v>5468.2181708337584</v>
      </c>
      <c r="S367" s="43">
        <f t="shared" ref="S367:S372" si="424">+AM367/A367</f>
        <v>2701.77498049615</v>
      </c>
      <c r="T367" s="43">
        <f t="shared" si="378"/>
        <v>1795.6376259798433</v>
      </c>
      <c r="U367" s="43">
        <v>18000</v>
      </c>
      <c r="V367" s="20">
        <v>0</v>
      </c>
      <c r="W367" s="20">
        <v>21900</v>
      </c>
      <c r="X367" s="20">
        <v>0</v>
      </c>
      <c r="Y367" s="18">
        <f>SUMPRODUCT(Q367:X367,'Fisico ASIG'!O367:V367)/E367</f>
        <v>5786745.869328632</v>
      </c>
      <c r="Z367" s="25">
        <f t="shared" ref="Z367:Z372" si="425">+(P367+Y367)</f>
        <v>17180281.423474658</v>
      </c>
      <c r="AA367" s="26">
        <f>+Z367/'Fisico ASIG'!N367/24</f>
        <v>71.414901936629931</v>
      </c>
      <c r="AB367" s="26">
        <f>+$AB$21*0.9*Precios!$P$18/Precios!$W$18/Precios!$Q$18</f>
        <v>12.315987005656668</v>
      </c>
      <c r="AC367" s="29">
        <f t="shared" ref="AC367:AC372" si="426">+AA367-AB367</f>
        <v>59.098914930973265</v>
      </c>
      <c r="AI367" s="1">
        <v>7241</v>
      </c>
      <c r="AJ367" s="1">
        <v>5762594</v>
      </c>
      <c r="AK367">
        <f t="shared" si="379"/>
        <v>1.44</v>
      </c>
      <c r="AL367" s="40">
        <f t="shared" si="380"/>
        <v>8140.0083333333323</v>
      </c>
      <c r="AM367">
        <v>4100000</v>
      </c>
      <c r="AN367" s="179">
        <v>94.40871397334017</v>
      </c>
      <c r="AO367" s="64">
        <f t="shared" ref="AO367:AO372" si="427">0.075*0.9*(AN367-6)</f>
        <v>5.967588193200462</v>
      </c>
      <c r="AP367">
        <v>0</v>
      </c>
      <c r="AQ367" s="1">
        <v>0.85</v>
      </c>
    </row>
    <row r="368" spans="1:43" x14ac:dyDescent="0.3">
      <c r="A368" s="42">
        <v>1517.5209</v>
      </c>
      <c r="B368" s="42">
        <v>1506.9</v>
      </c>
      <c r="C368" s="53">
        <f>+'Fisico ASIG'!A368</f>
        <v>2026</v>
      </c>
      <c r="D368" s="52">
        <f>+'Fisico ASIG'!B368</f>
        <v>46266</v>
      </c>
      <c r="E368" s="1">
        <f>+'Fisico ASIG'!C368</f>
        <v>30</v>
      </c>
      <c r="F368" s="56" t="str">
        <f t="shared" si="388"/>
        <v>mié</v>
      </c>
      <c r="G368" s="56">
        <f t="shared" si="389"/>
        <v>46274</v>
      </c>
      <c r="H368" s="17">
        <v>28</v>
      </c>
      <c r="I368" s="17">
        <f t="shared" si="420"/>
        <v>4.7715982033591766</v>
      </c>
      <c r="J368" s="17">
        <f t="shared" si="421"/>
        <v>5.3640172819585761</v>
      </c>
      <c r="K368" s="83">
        <f t="shared" si="377"/>
        <v>6.8583333333333334</v>
      </c>
      <c r="L368" s="17">
        <v>27</v>
      </c>
      <c r="M368" s="17">
        <v>71.5</v>
      </c>
      <c r="N368" s="17">
        <f t="shared" si="422"/>
        <v>93.004723383512811</v>
      </c>
      <c r="O368" s="17">
        <v>79.049898748750493</v>
      </c>
      <c r="P368" s="18">
        <f>SUMPRODUCT(H368:O368,'Fisico ASIG'!F368:M368)*24</f>
        <v>11181884.684141614</v>
      </c>
      <c r="Q368" s="43">
        <v>0</v>
      </c>
      <c r="R368" s="43">
        <f t="shared" si="423"/>
        <v>5468.2181708337584</v>
      </c>
      <c r="S368" s="43">
        <f t="shared" si="424"/>
        <v>2701.77498049615</v>
      </c>
      <c r="T368" s="43">
        <f t="shared" si="378"/>
        <v>1795.6376259798433</v>
      </c>
      <c r="U368" s="43">
        <v>18000</v>
      </c>
      <c r="V368" s="20">
        <v>0</v>
      </c>
      <c r="W368" s="20">
        <v>21900</v>
      </c>
      <c r="X368" s="20">
        <v>0</v>
      </c>
      <c r="Y368" s="18">
        <f>SUMPRODUCT(Q368:X368,'Fisico ASIG'!O368:V368)/E368</f>
        <v>5789380.0343392771</v>
      </c>
      <c r="Z368" s="25">
        <f t="shared" si="425"/>
        <v>16971264.718480892</v>
      </c>
      <c r="AA368" s="26">
        <f>+Z368/'Fisico ASIG'!N368/24</f>
        <v>71.481358201197665</v>
      </c>
      <c r="AB368" s="26">
        <f>+$AB$21*0.9*Precios!$P$18/Precios!$W$18/Precios!$Q$18</f>
        <v>12.315987005656668</v>
      </c>
      <c r="AC368" s="29">
        <f t="shared" si="426"/>
        <v>59.165371195540999</v>
      </c>
      <c r="AI368" s="1">
        <v>7241</v>
      </c>
      <c r="AJ368" s="1">
        <v>5762594</v>
      </c>
      <c r="AK368">
        <f t="shared" si="379"/>
        <v>1.44</v>
      </c>
      <c r="AL368" s="40">
        <f t="shared" si="380"/>
        <v>8140.0083333333323</v>
      </c>
      <c r="AM368">
        <v>4100000</v>
      </c>
      <c r="AN368" s="179">
        <v>86.707000827646667</v>
      </c>
      <c r="AO368" s="64">
        <f t="shared" si="427"/>
        <v>5.4477225558661502</v>
      </c>
      <c r="AP368">
        <v>0</v>
      </c>
      <c r="AQ368" s="1">
        <v>0.85</v>
      </c>
    </row>
    <row r="369" spans="1:43" x14ac:dyDescent="0.3">
      <c r="A369" s="42">
        <v>1517.5209</v>
      </c>
      <c r="B369" s="42">
        <v>1506.9</v>
      </c>
      <c r="C369" s="53">
        <f>+'Fisico ASIG'!A369</f>
        <v>2026</v>
      </c>
      <c r="D369" s="52">
        <f>+'Fisico ASIG'!B369</f>
        <v>46266</v>
      </c>
      <c r="E369" s="1">
        <f>+'Fisico ASIG'!C369</f>
        <v>30</v>
      </c>
      <c r="F369" s="56" t="str">
        <f t="shared" si="388"/>
        <v>jue</v>
      </c>
      <c r="G369" s="56">
        <f t="shared" si="389"/>
        <v>46275</v>
      </c>
      <c r="H369" s="17">
        <v>28</v>
      </c>
      <c r="I369" s="17">
        <f t="shared" si="420"/>
        <v>4.7715982033591766</v>
      </c>
      <c r="J369" s="17">
        <f t="shared" si="421"/>
        <v>5.3640172819585761</v>
      </c>
      <c r="K369" s="83">
        <f t="shared" si="377"/>
        <v>6.8583333333333334</v>
      </c>
      <c r="L369" s="17">
        <v>27</v>
      </c>
      <c r="M369" s="17">
        <v>71.5</v>
      </c>
      <c r="N369" s="17">
        <f t="shared" si="422"/>
        <v>83.324532285495479</v>
      </c>
      <c r="O369" s="17">
        <v>75.011405840820657</v>
      </c>
      <c r="P369" s="18">
        <f>SUMPRODUCT(H369:O369,'Fisico ASIG'!F369:M369)*24</f>
        <v>10081182.560628904</v>
      </c>
      <c r="Q369" s="43">
        <v>0</v>
      </c>
      <c r="R369" s="43">
        <f t="shared" si="423"/>
        <v>5468.2181708337584</v>
      </c>
      <c r="S369" s="43">
        <f t="shared" si="424"/>
        <v>2701.77498049615</v>
      </c>
      <c r="T369" s="43">
        <f t="shared" si="378"/>
        <v>1795.6376259798433</v>
      </c>
      <c r="U369" s="43">
        <v>18000</v>
      </c>
      <c r="V369" s="20">
        <v>0</v>
      </c>
      <c r="W369" s="20">
        <v>21900</v>
      </c>
      <c r="X369" s="20">
        <v>0</v>
      </c>
      <c r="Y369" s="18">
        <f>SUMPRODUCT(Q369:X369,'Fisico ASIG'!O369:V369)/E369</f>
        <v>5793832.5722167492</v>
      </c>
      <c r="Z369" s="25">
        <f t="shared" si="425"/>
        <v>15875015.132845653</v>
      </c>
      <c r="AA369" s="26">
        <f>+Z369/'Fisico ASIG'!N369/24</f>
        <v>68.960832306043372</v>
      </c>
      <c r="AB369" s="26">
        <f>+$AB$21*0.9*Precios!$P$18/Precios!$W$18/Precios!$Q$18</f>
        <v>12.315987005656668</v>
      </c>
      <c r="AC369" s="29">
        <f t="shared" si="426"/>
        <v>56.644845300386706</v>
      </c>
      <c r="AI369" s="1">
        <v>7241</v>
      </c>
      <c r="AJ369" s="1">
        <v>5762594</v>
      </c>
      <c r="AK369">
        <f t="shared" si="379"/>
        <v>1.44</v>
      </c>
      <c r="AL369" s="40">
        <f t="shared" si="380"/>
        <v>8140.0083333333323</v>
      </c>
      <c r="AM369">
        <v>4100000</v>
      </c>
      <c r="AN369" s="179">
        <v>77.638906122244009</v>
      </c>
      <c r="AO369" s="64">
        <f t="shared" si="427"/>
        <v>4.8356261632514705</v>
      </c>
      <c r="AP369">
        <v>0</v>
      </c>
      <c r="AQ369" s="1">
        <v>0.85</v>
      </c>
    </row>
    <row r="370" spans="1:43" x14ac:dyDescent="0.3">
      <c r="A370" s="42">
        <v>1517.5209</v>
      </c>
      <c r="B370" s="42">
        <v>1506.9</v>
      </c>
      <c r="C370" s="53">
        <f>+'Fisico ASIG'!A370</f>
        <v>2026</v>
      </c>
      <c r="D370" s="52">
        <f>+'Fisico ASIG'!B370</f>
        <v>46266</v>
      </c>
      <c r="E370" s="1">
        <f>+'Fisico ASIG'!C370</f>
        <v>30</v>
      </c>
      <c r="F370" s="56" t="str">
        <f t="shared" si="388"/>
        <v>vie</v>
      </c>
      <c r="G370" s="56">
        <f t="shared" si="389"/>
        <v>46276</v>
      </c>
      <c r="H370" s="17">
        <v>28</v>
      </c>
      <c r="I370" s="17">
        <f t="shared" si="420"/>
        <v>4.7715982033591766</v>
      </c>
      <c r="J370" s="17">
        <f t="shared" si="421"/>
        <v>5.3640172819585761</v>
      </c>
      <c r="K370" s="83">
        <f t="shared" si="377"/>
        <v>6.8583333333333334</v>
      </c>
      <c r="L370" s="17">
        <v>27</v>
      </c>
      <c r="M370" s="17">
        <v>71.5</v>
      </c>
      <c r="N370" s="17">
        <f t="shared" si="422"/>
        <v>87.584066924256462</v>
      </c>
      <c r="O370" s="17">
        <v>89.930434726861918</v>
      </c>
      <c r="P370" s="18">
        <f>SUMPRODUCT(H370:O370,'Fisico ASIG'!F370:M370)*24</f>
        <v>11133992.189872369</v>
      </c>
      <c r="Q370" s="43">
        <v>0</v>
      </c>
      <c r="R370" s="43">
        <f t="shared" si="423"/>
        <v>5468.2181708337584</v>
      </c>
      <c r="S370" s="43">
        <f t="shared" si="424"/>
        <v>2701.77498049615</v>
      </c>
      <c r="T370" s="43">
        <f t="shared" si="378"/>
        <v>1795.6376259798433</v>
      </c>
      <c r="U370" s="43">
        <v>18000</v>
      </c>
      <c r="V370" s="20">
        <v>0</v>
      </c>
      <c r="W370" s="20">
        <v>21900</v>
      </c>
      <c r="X370" s="20">
        <v>0</v>
      </c>
      <c r="Y370" s="18">
        <f>SUMPRODUCT(Q370:X370,'Fisico ASIG'!O370:V370)/E370</f>
        <v>5809952.6078179721</v>
      </c>
      <c r="Z370" s="25">
        <f t="shared" si="425"/>
        <v>16943944.797690339</v>
      </c>
      <c r="AA370" s="26">
        <f>+Z370/'Fisico ASIG'!N370/24</f>
        <v>73.811416516552924</v>
      </c>
      <c r="AB370" s="26">
        <f>+$AB$21*0.9*Precios!$P$18/Precios!$W$18/Precios!$Q$18</f>
        <v>12.315987005656668</v>
      </c>
      <c r="AC370" s="29">
        <f t="shared" si="426"/>
        <v>61.495429510896258</v>
      </c>
      <c r="AI370" s="1">
        <v>7241</v>
      </c>
      <c r="AJ370" s="1">
        <v>5762594</v>
      </c>
      <c r="AK370">
        <f t="shared" si="379"/>
        <v>1.44</v>
      </c>
      <c r="AL370" s="40">
        <f t="shared" si="380"/>
        <v>8140.0083333333323</v>
      </c>
      <c r="AM370">
        <v>4100000</v>
      </c>
      <c r="AN370" s="179">
        <v>81.629102505158286</v>
      </c>
      <c r="AO370" s="64">
        <f t="shared" si="427"/>
        <v>5.1049644190981844</v>
      </c>
      <c r="AP370">
        <v>0</v>
      </c>
      <c r="AQ370" s="1">
        <v>0.85</v>
      </c>
    </row>
    <row r="371" spans="1:43" x14ac:dyDescent="0.3">
      <c r="A371" s="42">
        <v>1517.5209</v>
      </c>
      <c r="B371" s="42">
        <v>1506.9</v>
      </c>
      <c r="C371" s="53">
        <f>+'Fisico ASIG'!A371</f>
        <v>2026</v>
      </c>
      <c r="D371" s="52">
        <f>+'Fisico ASIG'!B371</f>
        <v>46266</v>
      </c>
      <c r="E371" s="1">
        <f>+'Fisico ASIG'!C371</f>
        <v>30</v>
      </c>
      <c r="F371" s="56" t="str">
        <f t="shared" si="388"/>
        <v>sáb</v>
      </c>
      <c r="G371" s="56">
        <f t="shared" si="389"/>
        <v>46277</v>
      </c>
      <c r="H371" s="17">
        <v>28</v>
      </c>
      <c r="I371" s="17">
        <f t="shared" si="420"/>
        <v>4.7715982033591766</v>
      </c>
      <c r="J371" s="17">
        <f t="shared" si="421"/>
        <v>5.3640172819585761</v>
      </c>
      <c r="K371" s="83">
        <f t="shared" si="377"/>
        <v>6.8583333333333334</v>
      </c>
      <c r="L371" s="17">
        <v>27</v>
      </c>
      <c r="M371" s="17">
        <v>71.5</v>
      </c>
      <c r="N371" s="17">
        <f t="shared" si="422"/>
        <v>88.447814460857657</v>
      </c>
      <c r="O371" s="17">
        <v>60.309104797176893</v>
      </c>
      <c r="P371" s="18">
        <f>SUMPRODUCT(H371:O371,'Fisico ASIG'!F371:M371)*24</f>
        <v>11578958.549504425</v>
      </c>
      <c r="Q371" s="43">
        <v>0</v>
      </c>
      <c r="R371" s="43">
        <f t="shared" si="423"/>
        <v>5468.2181708337584</v>
      </c>
      <c r="S371" s="43">
        <f t="shared" si="424"/>
        <v>2701.77498049615</v>
      </c>
      <c r="T371" s="43">
        <f t="shared" si="378"/>
        <v>1795.6376259798433</v>
      </c>
      <c r="U371" s="43">
        <v>18000</v>
      </c>
      <c r="V371" s="20">
        <v>0</v>
      </c>
      <c r="W371" s="20">
        <v>21900</v>
      </c>
      <c r="X371" s="20">
        <v>0</v>
      </c>
      <c r="Y371" s="18">
        <f>SUMPRODUCT(Q371:X371,'Fisico ASIG'!O371:V371)/E371</f>
        <v>5743381.8975316603</v>
      </c>
      <c r="Z371" s="25">
        <f t="shared" si="425"/>
        <v>17322340.447036088</v>
      </c>
      <c r="AA371" s="26">
        <f>+Z371/'Fisico ASIG'!N371/24</f>
        <v>66.84788929588143</v>
      </c>
      <c r="AB371" s="26">
        <f>+$AB$21*0.9*Precios!$P$18/Precios!$W$18/Precios!$Q$18</f>
        <v>12.315987005656668</v>
      </c>
      <c r="AC371" s="29">
        <f t="shared" si="426"/>
        <v>54.531902290224764</v>
      </c>
      <c r="AI371" s="1">
        <v>7241</v>
      </c>
      <c r="AJ371" s="1">
        <v>5762594</v>
      </c>
      <c r="AK371">
        <f t="shared" si="379"/>
        <v>1.44</v>
      </c>
      <c r="AL371" s="40">
        <f t="shared" si="380"/>
        <v>8140.0083333333323</v>
      </c>
      <c r="AM371">
        <v>4100000</v>
      </c>
      <c r="AN371" s="179">
        <v>82.438233686986095</v>
      </c>
      <c r="AO371" s="64">
        <f t="shared" si="427"/>
        <v>5.1595807738715616</v>
      </c>
      <c r="AP371">
        <v>0</v>
      </c>
      <c r="AQ371" s="1">
        <v>0.85</v>
      </c>
    </row>
    <row r="372" spans="1:43" x14ac:dyDescent="0.3">
      <c r="A372" s="42">
        <v>1517.5209</v>
      </c>
      <c r="B372" s="42">
        <v>1506.9</v>
      </c>
      <c r="C372" s="53">
        <f>+'Fisico ASIG'!A372</f>
        <v>2026</v>
      </c>
      <c r="D372" s="52">
        <f>+'Fisico ASIG'!B372</f>
        <v>46266</v>
      </c>
      <c r="E372" s="1">
        <f>+'Fisico ASIG'!C372</f>
        <v>30</v>
      </c>
      <c r="F372" s="56" t="str">
        <f t="shared" si="388"/>
        <v>dom</v>
      </c>
      <c r="G372" s="56">
        <f t="shared" si="389"/>
        <v>46278</v>
      </c>
      <c r="H372" s="17">
        <v>28</v>
      </c>
      <c r="I372" s="17">
        <f t="shared" si="420"/>
        <v>4.7715982033591766</v>
      </c>
      <c r="J372" s="17">
        <f t="shared" si="421"/>
        <v>5.3640172819585761</v>
      </c>
      <c r="K372" s="83">
        <f t="shared" si="377"/>
        <v>6.8583333333333334</v>
      </c>
      <c r="L372" s="17">
        <v>27</v>
      </c>
      <c r="M372" s="17">
        <v>71.5</v>
      </c>
      <c r="N372" s="17">
        <f t="shared" si="422"/>
        <v>92.110362944542686</v>
      </c>
      <c r="O372" s="17">
        <v>55.335109259834915</v>
      </c>
      <c r="P372" s="18">
        <f>SUMPRODUCT(H372:O372,'Fisico ASIG'!F372:M372)*24</f>
        <v>11577343.429290021</v>
      </c>
      <c r="Q372" s="43">
        <v>0</v>
      </c>
      <c r="R372" s="43">
        <f t="shared" si="423"/>
        <v>5468.2181708337584</v>
      </c>
      <c r="S372" s="43">
        <f t="shared" si="424"/>
        <v>2701.77498049615</v>
      </c>
      <c r="T372" s="43">
        <f t="shared" si="378"/>
        <v>1795.6376259798433</v>
      </c>
      <c r="U372" s="43">
        <v>18000</v>
      </c>
      <c r="V372" s="20">
        <v>0</v>
      </c>
      <c r="W372" s="20">
        <v>21900</v>
      </c>
      <c r="X372" s="20">
        <v>0</v>
      </c>
      <c r="Y372" s="18">
        <f>SUMPRODUCT(Q372:X372,'Fisico ASIG'!O372:V372)/E372</f>
        <v>5799123.1903956393</v>
      </c>
      <c r="Z372" s="25">
        <f t="shared" si="425"/>
        <v>17376466.619685661</v>
      </c>
      <c r="AA372" s="26">
        <f>+Z372/'Fisico ASIG'!N372/24</f>
        <v>68.66065437269998</v>
      </c>
      <c r="AB372" s="26">
        <f>+$AB$21*0.9*Precios!$P$18/Precios!$W$18/Precios!$Q$18</f>
        <v>12.315987005656668</v>
      </c>
      <c r="AC372" s="29">
        <f t="shared" si="426"/>
        <v>56.344667367043314</v>
      </c>
      <c r="AI372" s="1">
        <v>7241</v>
      </c>
      <c r="AJ372" s="1">
        <v>5762594</v>
      </c>
      <c r="AK372">
        <f t="shared" si="379"/>
        <v>1.44</v>
      </c>
      <c r="AL372" s="40">
        <f t="shared" si="380"/>
        <v>8140.0083333333323</v>
      </c>
      <c r="AM372">
        <v>4100000</v>
      </c>
      <c r="AN372" s="179">
        <v>85.869192453904162</v>
      </c>
      <c r="AO372" s="64">
        <f t="shared" si="427"/>
        <v>5.3911704906385314</v>
      </c>
      <c r="AP372">
        <v>0</v>
      </c>
      <c r="AQ372" s="1">
        <v>0.85</v>
      </c>
    </row>
    <row r="373" spans="1:43" x14ac:dyDescent="0.3">
      <c r="A373" s="42">
        <v>1517.5209</v>
      </c>
      <c r="B373" s="42">
        <v>1511.154</v>
      </c>
      <c r="C373" s="53">
        <f>+'Fisico ASIG'!A373</f>
        <v>2026</v>
      </c>
      <c r="D373" s="52">
        <f>+'Fisico ASIG'!B373</f>
        <v>46266</v>
      </c>
      <c r="E373" s="1">
        <f>+'Fisico ASIG'!C373</f>
        <v>30</v>
      </c>
      <c r="F373" s="56" t="str">
        <f t="shared" si="388"/>
        <v>lun</v>
      </c>
      <c r="G373" s="56">
        <f t="shared" si="389"/>
        <v>46279</v>
      </c>
      <c r="H373" s="17">
        <v>28</v>
      </c>
      <c r="I373" s="17">
        <f t="shared" ref="I373:I378" si="428">AI373/A373</f>
        <v>4.7715982033591766</v>
      </c>
      <c r="J373" s="17">
        <f t="shared" ref="J373:J378" si="429">+AL373/A373</f>
        <v>5.3640172819585761</v>
      </c>
      <c r="K373" s="83">
        <f t="shared" si="377"/>
        <v>6.8583333333333334</v>
      </c>
      <c r="L373" s="17">
        <v>27</v>
      </c>
      <c r="M373" s="17">
        <v>71.5</v>
      </c>
      <c r="N373" s="17">
        <f t="shared" ref="N373:N389" si="430">+AN373+AO373+AP373+AQ373</f>
        <v>105.52783604766779</v>
      </c>
      <c r="O373" s="17">
        <v>80.257366458856353</v>
      </c>
      <c r="P373" s="18">
        <f>SUMPRODUCT(H373:O373,'Fisico ASIG'!F373:M373)*24</f>
        <v>12975696.32377727</v>
      </c>
      <c r="Q373" s="43">
        <v>0</v>
      </c>
      <c r="R373" s="43">
        <f t="shared" ref="R373:R378" si="431">+AJ373*AK373/A373</f>
        <v>5468.2181708337584</v>
      </c>
      <c r="S373" s="43">
        <f t="shared" ref="S373:S378" si="432">+AM373/A373</f>
        <v>2701.77498049615</v>
      </c>
      <c r="T373" s="43">
        <f t="shared" si="378"/>
        <v>1795.6376259798433</v>
      </c>
      <c r="U373" s="43">
        <v>18000</v>
      </c>
      <c r="V373" s="20">
        <v>0</v>
      </c>
      <c r="W373" s="20">
        <v>21900</v>
      </c>
      <c r="X373" s="20">
        <v>0</v>
      </c>
      <c r="Y373" s="18">
        <f>SUMPRODUCT(Q373:X373,'Fisico ASIG'!O373:V373)/E373</f>
        <v>5774354.6593118114</v>
      </c>
      <c r="Z373" s="25">
        <f t="shared" ref="Z373:Z378" si="433">+(P373+Y373)</f>
        <v>18750050.983089082</v>
      </c>
      <c r="AA373" s="26">
        <f>+Z373/'Fisico ASIG'!N373/24</f>
        <v>75.517097318715656</v>
      </c>
      <c r="AB373" s="26">
        <f>+$AB$21*0.9*Precios!$P$18/Precios!$W$18/Precios!$Q$18</f>
        <v>12.315987005656668</v>
      </c>
      <c r="AC373" s="29">
        <f t="shared" ref="AC373:AC378" si="434">+AA373-AB373</f>
        <v>63.20111031305899</v>
      </c>
      <c r="AI373" s="1">
        <v>7241</v>
      </c>
      <c r="AJ373" s="1">
        <v>5762594</v>
      </c>
      <c r="AK373">
        <f t="shared" si="379"/>
        <v>1.44</v>
      </c>
      <c r="AL373" s="40">
        <f t="shared" si="380"/>
        <v>8140.0083333333323</v>
      </c>
      <c r="AM373">
        <v>4100000</v>
      </c>
      <c r="AN373" s="179">
        <v>98.43825390882229</v>
      </c>
      <c r="AO373" s="64">
        <f t="shared" ref="AO373:AO378" si="435">0.075*0.9*(AN373-6)</f>
        <v>6.2395821388455053</v>
      </c>
      <c r="AP373">
        <v>0</v>
      </c>
      <c r="AQ373" s="1">
        <v>0.85</v>
      </c>
    </row>
    <row r="374" spans="1:43" x14ac:dyDescent="0.3">
      <c r="A374" s="42">
        <v>1517.5209</v>
      </c>
      <c r="B374" s="42">
        <v>1511.154</v>
      </c>
      <c r="C374" s="53">
        <f>+'Fisico ASIG'!A374</f>
        <v>2026</v>
      </c>
      <c r="D374" s="52">
        <f>+'Fisico ASIG'!B374</f>
        <v>46266</v>
      </c>
      <c r="E374" s="1">
        <f>+'Fisico ASIG'!C374</f>
        <v>30</v>
      </c>
      <c r="F374" s="56" t="str">
        <f t="shared" si="388"/>
        <v>mar</v>
      </c>
      <c r="G374" s="56">
        <f t="shared" si="389"/>
        <v>46280</v>
      </c>
      <c r="H374" s="17">
        <v>28</v>
      </c>
      <c r="I374" s="17">
        <f t="shared" si="428"/>
        <v>4.7715982033591766</v>
      </c>
      <c r="J374" s="17">
        <f t="shared" si="429"/>
        <v>5.3640172819585761</v>
      </c>
      <c r="K374" s="83">
        <f t="shared" si="377"/>
        <v>6.8583333333333334</v>
      </c>
      <c r="L374" s="17">
        <v>27</v>
      </c>
      <c r="M374" s="17">
        <v>71.5</v>
      </c>
      <c r="N374" s="17">
        <f t="shared" si="430"/>
        <v>87.045116357621566</v>
      </c>
      <c r="O374" s="17">
        <v>59.666868472903907</v>
      </c>
      <c r="P374" s="18">
        <f>SUMPRODUCT(H374:O374,'Fisico ASIG'!F374:M374)*24</f>
        <v>11356484.759222366</v>
      </c>
      <c r="Q374" s="43">
        <v>0</v>
      </c>
      <c r="R374" s="43">
        <f t="shared" si="431"/>
        <v>5468.2181708337584</v>
      </c>
      <c r="S374" s="43">
        <f t="shared" si="432"/>
        <v>2701.77498049615</v>
      </c>
      <c r="T374" s="43">
        <f t="shared" si="378"/>
        <v>1795.6376259798433</v>
      </c>
      <c r="U374" s="43">
        <v>18000</v>
      </c>
      <c r="V374" s="20">
        <v>0</v>
      </c>
      <c r="W374" s="20">
        <v>21900</v>
      </c>
      <c r="X374" s="20">
        <v>0</v>
      </c>
      <c r="Y374" s="18">
        <f>SUMPRODUCT(Q374:X374,'Fisico ASIG'!O374:V374)/E374</f>
        <v>5747481.6102869986</v>
      </c>
      <c r="Z374" s="25">
        <f t="shared" si="433"/>
        <v>17103966.369509365</v>
      </c>
      <c r="AA374" s="26">
        <f>+Z374/'Fisico ASIG'!N374/24</f>
        <v>66.042582480989651</v>
      </c>
      <c r="AB374" s="26">
        <f>+$AB$21*0.9*Precios!$P$18/Precios!$W$18/Precios!$Q$18</f>
        <v>12.315987005656668</v>
      </c>
      <c r="AC374" s="29">
        <f t="shared" si="434"/>
        <v>53.726595475332985</v>
      </c>
      <c r="AI374" s="1">
        <v>7241</v>
      </c>
      <c r="AJ374" s="1">
        <v>5762594</v>
      </c>
      <c r="AK374">
        <f t="shared" si="379"/>
        <v>1.44</v>
      </c>
      <c r="AL374" s="40">
        <f t="shared" si="380"/>
        <v>8140.0083333333323</v>
      </c>
      <c r="AM374">
        <v>4100000</v>
      </c>
      <c r="AN374" s="179">
        <v>81.124230779973374</v>
      </c>
      <c r="AO374" s="64">
        <f t="shared" si="435"/>
        <v>5.0708855776482027</v>
      </c>
      <c r="AP374">
        <v>0</v>
      </c>
      <c r="AQ374" s="1">
        <v>0.85</v>
      </c>
    </row>
    <row r="375" spans="1:43" x14ac:dyDescent="0.3">
      <c r="A375" s="42">
        <v>1517.5209</v>
      </c>
      <c r="B375" s="42">
        <v>1511.154</v>
      </c>
      <c r="C375" s="53">
        <f>+'Fisico ASIG'!A375</f>
        <v>2026</v>
      </c>
      <c r="D375" s="52">
        <f>+'Fisico ASIG'!B375</f>
        <v>46266</v>
      </c>
      <c r="E375" s="1">
        <f>+'Fisico ASIG'!C375</f>
        <v>30</v>
      </c>
      <c r="F375" s="56" t="str">
        <f t="shared" si="388"/>
        <v>mié</v>
      </c>
      <c r="G375" s="56">
        <f t="shared" si="389"/>
        <v>46281</v>
      </c>
      <c r="H375" s="17">
        <v>28</v>
      </c>
      <c r="I375" s="17">
        <f t="shared" si="428"/>
        <v>4.7715982033591766</v>
      </c>
      <c r="J375" s="17">
        <f t="shared" si="429"/>
        <v>5.3640172819585761</v>
      </c>
      <c r="K375" s="83">
        <f t="shared" si="377"/>
        <v>6.8583333333333334</v>
      </c>
      <c r="L375" s="17">
        <v>27</v>
      </c>
      <c r="M375" s="17">
        <v>71.5</v>
      </c>
      <c r="N375" s="17">
        <f t="shared" si="430"/>
        <v>83.556441466788328</v>
      </c>
      <c r="O375" s="17">
        <v>68.079157742554145</v>
      </c>
      <c r="P375" s="18">
        <f>SUMPRODUCT(H375:O375,'Fisico ASIG'!F375:M375)*24</f>
        <v>11695631.668265827</v>
      </c>
      <c r="Q375" s="43">
        <v>0</v>
      </c>
      <c r="R375" s="43">
        <f t="shared" si="431"/>
        <v>5468.2181708337584</v>
      </c>
      <c r="S375" s="43">
        <f t="shared" si="432"/>
        <v>2701.77498049615</v>
      </c>
      <c r="T375" s="43">
        <f t="shared" si="378"/>
        <v>1795.6376259798433</v>
      </c>
      <c r="U375" s="43">
        <v>18000</v>
      </c>
      <c r="V375" s="20">
        <v>0</v>
      </c>
      <c r="W375" s="20">
        <v>21900</v>
      </c>
      <c r="X375" s="20">
        <v>0</v>
      </c>
      <c r="Y375" s="18">
        <f>SUMPRODUCT(Q375:X375,'Fisico ASIG'!O375:V375)/E375</f>
        <v>5677491.8900269736</v>
      </c>
      <c r="Z375" s="25">
        <f t="shared" si="433"/>
        <v>17373123.558292799</v>
      </c>
      <c r="AA375" s="26">
        <f>+Z375/'Fisico ASIG'!N375/24</f>
        <v>68.77706815496235</v>
      </c>
      <c r="AB375" s="26">
        <f>+$AB$21*0.9*Precios!$P$18/Precios!$W$18/Precios!$Q$18</f>
        <v>12.315987005656668</v>
      </c>
      <c r="AC375" s="29">
        <f t="shared" si="434"/>
        <v>56.461081149305684</v>
      </c>
      <c r="AI375" s="1">
        <v>7241</v>
      </c>
      <c r="AJ375" s="1">
        <v>5762594</v>
      </c>
      <c r="AK375">
        <f t="shared" si="379"/>
        <v>1.44</v>
      </c>
      <c r="AL375" s="40">
        <f t="shared" si="380"/>
        <v>8140.0083333333323</v>
      </c>
      <c r="AM375">
        <v>4100000</v>
      </c>
      <c r="AN375" s="179">
        <v>77.856151256944571</v>
      </c>
      <c r="AO375" s="64">
        <f t="shared" si="435"/>
        <v>4.8502902098437586</v>
      </c>
      <c r="AP375">
        <v>0</v>
      </c>
      <c r="AQ375" s="1">
        <v>0.85</v>
      </c>
    </row>
    <row r="376" spans="1:43" x14ac:dyDescent="0.3">
      <c r="A376" s="42">
        <v>1517.5209</v>
      </c>
      <c r="B376" s="42">
        <v>1511.154</v>
      </c>
      <c r="C376" s="53">
        <f>+'Fisico ASIG'!A376</f>
        <v>2026</v>
      </c>
      <c r="D376" s="52">
        <f>+'Fisico ASIG'!B376</f>
        <v>46266</v>
      </c>
      <c r="E376" s="1">
        <f>+'Fisico ASIG'!C376</f>
        <v>30</v>
      </c>
      <c r="F376" s="56" t="str">
        <f t="shared" si="388"/>
        <v>jue</v>
      </c>
      <c r="G376" s="56">
        <f t="shared" si="389"/>
        <v>46282</v>
      </c>
      <c r="H376" s="17">
        <v>28</v>
      </c>
      <c r="I376" s="17">
        <f t="shared" si="428"/>
        <v>4.7715982033591766</v>
      </c>
      <c r="J376" s="17">
        <f t="shared" si="429"/>
        <v>5.3640172819585761</v>
      </c>
      <c r="K376" s="83">
        <f t="shared" si="377"/>
        <v>6.8583333333333334</v>
      </c>
      <c r="L376" s="17">
        <v>27</v>
      </c>
      <c r="M376" s="17">
        <v>71.5</v>
      </c>
      <c r="N376" s="17">
        <f t="shared" si="430"/>
        <v>75.132879260624065</v>
      </c>
      <c r="O376" s="17">
        <v>51.248925187536145</v>
      </c>
      <c r="P376" s="18">
        <f>SUMPRODUCT(H376:O376,'Fisico ASIG'!F376:M376)*24</f>
        <v>9208881.1836648062</v>
      </c>
      <c r="Q376" s="43">
        <v>0</v>
      </c>
      <c r="R376" s="43">
        <f t="shared" si="431"/>
        <v>5468.2181708337584</v>
      </c>
      <c r="S376" s="43">
        <f t="shared" si="432"/>
        <v>2701.77498049615</v>
      </c>
      <c r="T376" s="43">
        <f t="shared" si="378"/>
        <v>1795.6376259798433</v>
      </c>
      <c r="U376" s="43">
        <v>18000</v>
      </c>
      <c r="V376" s="20">
        <v>0</v>
      </c>
      <c r="W376" s="20">
        <v>21900</v>
      </c>
      <c r="X376" s="20">
        <v>0</v>
      </c>
      <c r="Y376" s="18">
        <f>SUMPRODUCT(Q376:X376,'Fisico ASIG'!O376:V376)/E376</f>
        <v>5445736.0323714372</v>
      </c>
      <c r="Z376" s="25">
        <f t="shared" si="433"/>
        <v>14654617.216036243</v>
      </c>
      <c r="AA376" s="26">
        <f>+Z376/'Fisico ASIG'!N376/24</f>
        <v>63.782849184900975</v>
      </c>
      <c r="AB376" s="26">
        <f>+$AB$21*0.9*Precios!$P$18/Precios!$W$18/Precios!$Q$18</f>
        <v>12.315987005656668</v>
      </c>
      <c r="AC376" s="29">
        <f t="shared" si="434"/>
        <v>51.466862179244309</v>
      </c>
      <c r="AI376" s="1">
        <v>7241</v>
      </c>
      <c r="AJ376" s="1">
        <v>5762594</v>
      </c>
      <c r="AK376">
        <f t="shared" si="379"/>
        <v>1.44</v>
      </c>
      <c r="AL376" s="40">
        <f t="shared" si="380"/>
        <v>8140.0083333333323</v>
      </c>
      <c r="AM376">
        <v>4100000</v>
      </c>
      <c r="AN376" s="179">
        <v>69.965226473652521</v>
      </c>
      <c r="AO376" s="64">
        <f t="shared" si="435"/>
        <v>4.3176527869715455</v>
      </c>
      <c r="AP376">
        <v>0</v>
      </c>
      <c r="AQ376" s="1">
        <v>0.85</v>
      </c>
    </row>
    <row r="377" spans="1:43" x14ac:dyDescent="0.3">
      <c r="A377" s="42">
        <v>1517.5209</v>
      </c>
      <c r="B377" s="42">
        <v>1511.154</v>
      </c>
      <c r="C377" s="53">
        <f>+'Fisico ASIG'!A377</f>
        <v>2026</v>
      </c>
      <c r="D377" s="52">
        <f>+'Fisico ASIG'!B377</f>
        <v>46266</v>
      </c>
      <c r="E377" s="1">
        <f>+'Fisico ASIG'!C377</f>
        <v>30</v>
      </c>
      <c r="F377" s="56" t="str">
        <f t="shared" si="388"/>
        <v>vie</v>
      </c>
      <c r="G377" s="56">
        <f t="shared" si="389"/>
        <v>46283</v>
      </c>
      <c r="H377" s="17">
        <v>28</v>
      </c>
      <c r="I377" s="17">
        <f t="shared" si="428"/>
        <v>4.7715982033591766</v>
      </c>
      <c r="J377" s="17">
        <f t="shared" si="429"/>
        <v>5.3640172819585761</v>
      </c>
      <c r="K377" s="83">
        <f t="shared" si="377"/>
        <v>6.8583333333333334</v>
      </c>
      <c r="L377" s="17">
        <v>27</v>
      </c>
      <c r="M377" s="17">
        <v>71.5</v>
      </c>
      <c r="N377" s="17">
        <f t="shared" si="430"/>
        <v>63.455699184065459</v>
      </c>
      <c r="O377" s="17">
        <v>35.545514395637781</v>
      </c>
      <c r="P377" s="18">
        <f>SUMPRODUCT(H377:O377,'Fisico ASIG'!F377:M377)*24</f>
        <v>8672077.4633232187</v>
      </c>
      <c r="Q377" s="43">
        <v>0</v>
      </c>
      <c r="R377" s="43">
        <f t="shared" si="431"/>
        <v>5468.2181708337584</v>
      </c>
      <c r="S377" s="43">
        <f t="shared" si="432"/>
        <v>2701.77498049615</v>
      </c>
      <c r="T377" s="43">
        <f t="shared" si="378"/>
        <v>1795.6376259798433</v>
      </c>
      <c r="U377" s="43">
        <v>18000</v>
      </c>
      <c r="V377" s="20">
        <v>0</v>
      </c>
      <c r="W377" s="20">
        <v>21900</v>
      </c>
      <c r="X377" s="20">
        <v>0</v>
      </c>
      <c r="Y377" s="18">
        <f>SUMPRODUCT(Q377:X377,'Fisico ASIG'!O377:V377)/E377</f>
        <v>5421379.368694393</v>
      </c>
      <c r="Z377" s="25">
        <f t="shared" si="433"/>
        <v>14093456.832017612</v>
      </c>
      <c r="AA377" s="26">
        <f>+Z377/'Fisico ASIG'!N377/24</f>
        <v>64.074414366561129</v>
      </c>
      <c r="AB377" s="26">
        <f>+$AB$21*0.9*Precios!$P$18/Precios!$W$18/Precios!$Q$18</f>
        <v>12.315987005656668</v>
      </c>
      <c r="AC377" s="29">
        <f t="shared" si="434"/>
        <v>51.758427360904463</v>
      </c>
      <c r="AI377" s="1">
        <v>7241</v>
      </c>
      <c r="AJ377" s="1">
        <v>5762594</v>
      </c>
      <c r="AK377">
        <f t="shared" si="379"/>
        <v>1.44</v>
      </c>
      <c r="AL377" s="40">
        <f t="shared" si="380"/>
        <v>8140.0083333333323</v>
      </c>
      <c r="AM377">
        <v>4100000</v>
      </c>
      <c r="AN377" s="179">
        <v>59.026416097485203</v>
      </c>
      <c r="AO377" s="64">
        <f t="shared" si="435"/>
        <v>3.5792830865802516</v>
      </c>
      <c r="AP377">
        <v>0</v>
      </c>
      <c r="AQ377" s="1">
        <v>0.85</v>
      </c>
    </row>
    <row r="378" spans="1:43" x14ac:dyDescent="0.3">
      <c r="A378" s="42">
        <v>1517.5209</v>
      </c>
      <c r="B378" s="42">
        <v>1511.154</v>
      </c>
      <c r="C378" s="53">
        <f>+'Fisico ASIG'!A378</f>
        <v>2026</v>
      </c>
      <c r="D378" s="52">
        <f>+'Fisico ASIG'!B378</f>
        <v>46266</v>
      </c>
      <c r="E378" s="1">
        <f>+'Fisico ASIG'!C378</f>
        <v>30</v>
      </c>
      <c r="F378" s="56" t="str">
        <f t="shared" si="388"/>
        <v>sáb</v>
      </c>
      <c r="G378" s="56">
        <f t="shared" si="389"/>
        <v>46284</v>
      </c>
      <c r="H378" s="17">
        <v>28</v>
      </c>
      <c r="I378" s="17">
        <f t="shared" si="428"/>
        <v>4.7715982033591766</v>
      </c>
      <c r="J378" s="17">
        <f t="shared" si="429"/>
        <v>5.3640172819585761</v>
      </c>
      <c r="K378" s="83">
        <f t="shared" si="377"/>
        <v>6.8583333333333334</v>
      </c>
      <c r="L378" s="17">
        <v>27</v>
      </c>
      <c r="M378" s="17">
        <v>71.5</v>
      </c>
      <c r="N378" s="17">
        <f t="shared" si="430"/>
        <v>56.505554959912516</v>
      </c>
      <c r="O378" s="17">
        <v>30.57281561784696</v>
      </c>
      <c r="P378" s="18">
        <f>SUMPRODUCT(H378:O378,'Fisico ASIG'!F378:M378)*24</f>
        <v>7838253.2965172939</v>
      </c>
      <c r="Q378" s="43">
        <v>0</v>
      </c>
      <c r="R378" s="43">
        <f t="shared" si="431"/>
        <v>5468.2181708337584</v>
      </c>
      <c r="S378" s="43">
        <f t="shared" si="432"/>
        <v>2701.77498049615</v>
      </c>
      <c r="T378" s="43">
        <f t="shared" si="378"/>
        <v>1795.6376259798433</v>
      </c>
      <c r="U378" s="43">
        <v>18000</v>
      </c>
      <c r="V378" s="20">
        <v>0</v>
      </c>
      <c r="W378" s="20">
        <v>21900</v>
      </c>
      <c r="X378" s="20">
        <v>0</v>
      </c>
      <c r="Y378" s="18">
        <f>SUMPRODUCT(Q378:X378,'Fisico ASIG'!O378:V378)/E378</f>
        <v>5478343.8387037618</v>
      </c>
      <c r="Z378" s="25">
        <f t="shared" si="433"/>
        <v>13316597.135221057</v>
      </c>
      <c r="AA378" s="26">
        <f>+Z378/'Fisico ASIG'!N378/24</f>
        <v>63.909418246026512</v>
      </c>
      <c r="AB378" s="26">
        <f>+$AB$21*0.9*Precios!$P$18/Precios!$W$18/Precios!$Q$18</f>
        <v>12.315987005656668</v>
      </c>
      <c r="AC378" s="29">
        <f t="shared" si="434"/>
        <v>51.593431240369846</v>
      </c>
      <c r="AI378" s="1">
        <v>7241</v>
      </c>
      <c r="AJ378" s="1">
        <v>5762594</v>
      </c>
      <c r="AK378">
        <f t="shared" si="379"/>
        <v>1.44</v>
      </c>
      <c r="AL378" s="40">
        <f t="shared" si="380"/>
        <v>8140.0083333333323</v>
      </c>
      <c r="AM378">
        <v>4100000</v>
      </c>
      <c r="AN378" s="179">
        <v>52.5157423512061</v>
      </c>
      <c r="AO378" s="64">
        <f t="shared" si="435"/>
        <v>3.139812608706412</v>
      </c>
      <c r="AP378">
        <v>0</v>
      </c>
      <c r="AQ378" s="1">
        <v>0.85</v>
      </c>
    </row>
    <row r="379" spans="1:43" x14ac:dyDescent="0.3">
      <c r="A379" s="42">
        <v>1517.5209</v>
      </c>
      <c r="B379" s="42">
        <v>1511.154</v>
      </c>
      <c r="C379" s="53">
        <f>+'Fisico ASIG'!A379</f>
        <v>2026</v>
      </c>
      <c r="D379" s="52">
        <f>+'Fisico ASIG'!B379</f>
        <v>46266</v>
      </c>
      <c r="E379" s="1">
        <f>+'Fisico ASIG'!C379</f>
        <v>30</v>
      </c>
      <c r="F379" s="56" t="str">
        <f t="shared" si="388"/>
        <v>dom</v>
      </c>
      <c r="G379" s="56">
        <f t="shared" si="389"/>
        <v>46285</v>
      </c>
      <c r="H379" s="17">
        <v>28</v>
      </c>
      <c r="I379" s="17">
        <f t="shared" ref="I379:I385" si="436">AI379/A379</f>
        <v>4.7715982033591766</v>
      </c>
      <c r="J379" s="17">
        <f t="shared" ref="J379:J385" si="437">+AL379/A379</f>
        <v>5.3640172819585761</v>
      </c>
      <c r="K379" s="83">
        <f t="shared" si="377"/>
        <v>6.8583333333333334</v>
      </c>
      <c r="L379" s="17">
        <v>27</v>
      </c>
      <c r="M379" s="17">
        <v>71.5</v>
      </c>
      <c r="N379" s="17">
        <f t="shared" si="430"/>
        <v>56.07499182835155</v>
      </c>
      <c r="O379" s="17">
        <v>32.590661005672082</v>
      </c>
      <c r="P379" s="18">
        <f>SUMPRODUCT(H379:O379,'Fisico ASIG'!F379:M379)*24</f>
        <v>7747684.3276534164</v>
      </c>
      <c r="Q379" s="43">
        <v>0</v>
      </c>
      <c r="R379" s="43">
        <f t="shared" ref="R379:R385" si="438">+AJ379*AK379/A379</f>
        <v>5468.2181708337584</v>
      </c>
      <c r="S379" s="43">
        <f t="shared" ref="S379:S385" si="439">+AM379/A379</f>
        <v>2701.77498049615</v>
      </c>
      <c r="T379" s="43">
        <f t="shared" si="378"/>
        <v>1795.6376259798433</v>
      </c>
      <c r="U379" s="43">
        <v>18000</v>
      </c>
      <c r="V379" s="20">
        <v>0</v>
      </c>
      <c r="W379" s="20">
        <v>21900</v>
      </c>
      <c r="X379" s="20">
        <v>0</v>
      </c>
      <c r="Y379" s="18">
        <f>SUMPRODUCT(Q379:X379,'Fisico ASIG'!O379:V379)/E379</f>
        <v>5660848.292903563</v>
      </c>
      <c r="Z379" s="25">
        <f t="shared" ref="Z379:Z385" si="440">+(P379+Y379)</f>
        <v>13408532.62055698</v>
      </c>
      <c r="AA379" s="26">
        <f>+Z379/'Fisico ASIG'!N379/24</f>
        <v>65.622720321046131</v>
      </c>
      <c r="AB379" s="26">
        <f>+$AB$21*0.9*Precios!$P$18/Precios!$W$18/Precios!$Q$18</f>
        <v>12.315987005656668</v>
      </c>
      <c r="AC379" s="29">
        <f t="shared" ref="AC379:AC385" si="441">+AA379-AB379</f>
        <v>53.306733315389465</v>
      </c>
      <c r="AI379" s="1">
        <v>7241</v>
      </c>
      <c r="AJ379" s="1">
        <v>5762594</v>
      </c>
      <c r="AK379">
        <f t="shared" si="379"/>
        <v>1.44</v>
      </c>
      <c r="AL379" s="40">
        <f t="shared" si="380"/>
        <v>8140.0083333333323</v>
      </c>
      <c r="AM379">
        <v>4100000</v>
      </c>
      <c r="AN379" s="179">
        <v>52.112404523045946</v>
      </c>
      <c r="AO379" s="64">
        <f t="shared" ref="AO379:AO385" si="442">0.075*0.9*(AN379-6)</f>
        <v>3.1125873053056017</v>
      </c>
      <c r="AP379">
        <v>0</v>
      </c>
      <c r="AQ379" s="1">
        <v>0.85</v>
      </c>
    </row>
    <row r="380" spans="1:43" x14ac:dyDescent="0.3">
      <c r="A380" s="42">
        <v>1517.5209</v>
      </c>
      <c r="B380" s="42">
        <v>1511.154</v>
      </c>
      <c r="C380" s="53">
        <f>+'Fisico ASIG'!A380</f>
        <v>2026</v>
      </c>
      <c r="D380" s="52">
        <f>+'Fisico ASIG'!B380</f>
        <v>46266</v>
      </c>
      <c r="E380" s="1">
        <f>+'Fisico ASIG'!C380</f>
        <v>30</v>
      </c>
      <c r="F380" s="56" t="str">
        <f t="shared" si="388"/>
        <v>lun</v>
      </c>
      <c r="G380" s="56">
        <f t="shared" si="389"/>
        <v>46286</v>
      </c>
      <c r="H380" s="17">
        <v>28</v>
      </c>
      <c r="I380" s="17">
        <f t="shared" si="436"/>
        <v>4.7715982033591766</v>
      </c>
      <c r="J380" s="17">
        <f t="shared" si="437"/>
        <v>5.3640172819585761</v>
      </c>
      <c r="K380" s="83">
        <f t="shared" si="377"/>
        <v>6.8583333333333334</v>
      </c>
      <c r="L380" s="17">
        <v>27</v>
      </c>
      <c r="M380" s="17">
        <v>71.5</v>
      </c>
      <c r="N380" s="17">
        <f t="shared" si="430"/>
        <v>60.208292196078688</v>
      </c>
      <c r="O380" s="17">
        <v>31.511272327545154</v>
      </c>
      <c r="P380" s="18">
        <f>SUMPRODUCT(H380:O380,'Fisico ASIG'!F380:M380)*24</f>
        <v>8969378.4849532135</v>
      </c>
      <c r="Q380" s="43">
        <v>0</v>
      </c>
      <c r="R380" s="43">
        <f t="shared" si="438"/>
        <v>5468.2181708337584</v>
      </c>
      <c r="S380" s="43">
        <f t="shared" si="439"/>
        <v>2701.77498049615</v>
      </c>
      <c r="T380" s="43">
        <f t="shared" si="378"/>
        <v>1795.6376259798433</v>
      </c>
      <c r="U380" s="43">
        <v>18000</v>
      </c>
      <c r="V380" s="20">
        <v>0</v>
      </c>
      <c r="W380" s="20">
        <v>21900</v>
      </c>
      <c r="X380" s="20">
        <v>0</v>
      </c>
      <c r="Y380" s="18">
        <f>SUMPRODUCT(Q380:X380,'Fisico ASIG'!O380:V380)/E380</f>
        <v>5595176.5770668453</v>
      </c>
      <c r="Z380" s="25">
        <f t="shared" si="440"/>
        <v>14564555.06202006</v>
      </c>
      <c r="AA380" s="26">
        <f>+Z380/'Fisico ASIG'!N380/24</f>
        <v>63.914749040089525</v>
      </c>
      <c r="AB380" s="26">
        <f>+$AB$21*0.9*Precios!$P$18/Precios!$W$18/Precios!$Q$18</f>
        <v>12.315987005656668</v>
      </c>
      <c r="AC380" s="29">
        <f t="shared" si="441"/>
        <v>51.598762034432859</v>
      </c>
      <c r="AI380" s="1">
        <v>7241</v>
      </c>
      <c r="AJ380" s="1">
        <v>5762594</v>
      </c>
      <c r="AK380">
        <f t="shared" si="379"/>
        <v>1.44</v>
      </c>
      <c r="AL380" s="40">
        <f t="shared" si="380"/>
        <v>8140.0083333333323</v>
      </c>
      <c r="AM380">
        <v>4100000</v>
      </c>
      <c r="AN380" s="179">
        <v>55.984348661432023</v>
      </c>
      <c r="AO380" s="64">
        <f t="shared" si="442"/>
        <v>3.3739435346466617</v>
      </c>
      <c r="AP380">
        <v>0</v>
      </c>
      <c r="AQ380" s="1">
        <v>0.85</v>
      </c>
    </row>
    <row r="381" spans="1:43" x14ac:dyDescent="0.3">
      <c r="A381" s="42">
        <v>1517.5209</v>
      </c>
      <c r="B381" s="42">
        <v>1511.154</v>
      </c>
      <c r="C381" s="53">
        <f>+'Fisico ASIG'!A381</f>
        <v>2026</v>
      </c>
      <c r="D381" s="52">
        <f>+'Fisico ASIG'!B381</f>
        <v>46266</v>
      </c>
      <c r="E381" s="1">
        <f>+'Fisico ASIG'!C381</f>
        <v>30</v>
      </c>
      <c r="F381" s="56" t="str">
        <f t="shared" si="388"/>
        <v>mar</v>
      </c>
      <c r="G381" s="56">
        <f t="shared" si="389"/>
        <v>46287</v>
      </c>
      <c r="H381" s="17">
        <v>28</v>
      </c>
      <c r="I381" s="17">
        <f t="shared" si="436"/>
        <v>4.7715982033591766</v>
      </c>
      <c r="J381" s="17">
        <f t="shared" si="437"/>
        <v>5.3640172819585761</v>
      </c>
      <c r="K381" s="83">
        <f t="shared" si="377"/>
        <v>6.8583333333333334</v>
      </c>
      <c r="L381" s="17">
        <v>27</v>
      </c>
      <c r="M381" s="17">
        <v>71.5</v>
      </c>
      <c r="N381" s="17">
        <f t="shared" si="430"/>
        <v>61.380596044075993</v>
      </c>
      <c r="O381" s="17">
        <v>26.541272768321939</v>
      </c>
      <c r="P381" s="18">
        <f>SUMPRODUCT(H381:O381,'Fisico ASIG'!F381:M381)*24</f>
        <v>8787885.1481858864</v>
      </c>
      <c r="Q381" s="43">
        <v>0</v>
      </c>
      <c r="R381" s="43">
        <f t="shared" si="438"/>
        <v>5468.2181708337584</v>
      </c>
      <c r="S381" s="43">
        <f t="shared" si="439"/>
        <v>2701.77498049615</v>
      </c>
      <c r="T381" s="43">
        <f t="shared" si="378"/>
        <v>1795.6376259798433</v>
      </c>
      <c r="U381" s="43">
        <v>18000</v>
      </c>
      <c r="V381" s="20">
        <v>0</v>
      </c>
      <c r="W381" s="20">
        <v>21900</v>
      </c>
      <c r="X381" s="20">
        <v>0</v>
      </c>
      <c r="Y381" s="18">
        <f>SUMPRODUCT(Q381:X381,'Fisico ASIG'!O381:V381)/E381</f>
        <v>5543428.950381442</v>
      </c>
      <c r="Z381" s="25">
        <f t="shared" si="440"/>
        <v>14331314.098567329</v>
      </c>
      <c r="AA381" s="26">
        <f>+Z381/'Fisico ASIG'!N381/24</f>
        <v>55.074386062667109</v>
      </c>
      <c r="AB381" s="26">
        <f>+$AB$21*0.9*Precios!$P$18/Precios!$W$18/Precios!$Q$18</f>
        <v>12.315987005656668</v>
      </c>
      <c r="AC381" s="29">
        <f t="shared" si="441"/>
        <v>42.758399057010443</v>
      </c>
      <c r="AI381" s="1">
        <v>7241</v>
      </c>
      <c r="AJ381" s="1">
        <v>5762594</v>
      </c>
      <c r="AK381">
        <f t="shared" si="379"/>
        <v>1.44</v>
      </c>
      <c r="AL381" s="40">
        <f t="shared" si="380"/>
        <v>8140.0083333333323</v>
      </c>
      <c r="AM381">
        <v>4100000</v>
      </c>
      <c r="AN381" s="179">
        <v>57.082525568221072</v>
      </c>
      <c r="AO381" s="64">
        <f t="shared" si="442"/>
        <v>3.4480704758549225</v>
      </c>
      <c r="AP381">
        <v>0</v>
      </c>
      <c r="AQ381" s="1">
        <v>0.85</v>
      </c>
    </row>
    <row r="382" spans="1:43" x14ac:dyDescent="0.3">
      <c r="A382" s="42">
        <v>1517.5209</v>
      </c>
      <c r="B382" s="42">
        <v>1511.154</v>
      </c>
      <c r="C382" s="53">
        <f>+'Fisico ASIG'!A382</f>
        <v>2026</v>
      </c>
      <c r="D382" s="52">
        <f>+'Fisico ASIG'!B382</f>
        <v>46266</v>
      </c>
      <c r="E382" s="1">
        <f>+'Fisico ASIG'!C382</f>
        <v>30</v>
      </c>
      <c r="F382" s="56" t="str">
        <f t="shared" si="388"/>
        <v>mié</v>
      </c>
      <c r="G382" s="56">
        <f t="shared" si="389"/>
        <v>46288</v>
      </c>
      <c r="H382" s="17">
        <v>28</v>
      </c>
      <c r="I382" s="17">
        <f t="shared" si="436"/>
        <v>4.7715982033591766</v>
      </c>
      <c r="J382" s="17">
        <f t="shared" si="437"/>
        <v>5.3640172819585761</v>
      </c>
      <c r="K382" s="83">
        <f t="shared" si="377"/>
        <v>6.8583333333333334</v>
      </c>
      <c r="L382" s="17">
        <v>27</v>
      </c>
      <c r="M382" s="17">
        <v>71.5</v>
      </c>
      <c r="N382" s="17">
        <f t="shared" si="430"/>
        <v>60.892207114392015</v>
      </c>
      <c r="O382" s="17">
        <v>30.607893307678054</v>
      </c>
      <c r="P382" s="18">
        <f>SUMPRODUCT(H382:O382,'Fisico ASIG'!F382:M382)*24</f>
        <v>9122744.1489578821</v>
      </c>
      <c r="Q382" s="43">
        <v>0</v>
      </c>
      <c r="R382" s="43">
        <f t="shared" si="438"/>
        <v>5468.2181708337584</v>
      </c>
      <c r="S382" s="43">
        <f t="shared" si="439"/>
        <v>2701.77498049615</v>
      </c>
      <c r="T382" s="43">
        <f t="shared" si="378"/>
        <v>1795.6376259798433</v>
      </c>
      <c r="U382" s="43">
        <v>18000</v>
      </c>
      <c r="V382" s="20">
        <v>0</v>
      </c>
      <c r="W382" s="20">
        <v>21900</v>
      </c>
      <c r="X382" s="20">
        <v>0</v>
      </c>
      <c r="Y382" s="18">
        <f>SUMPRODUCT(Q382:X382,'Fisico ASIG'!O382:V382)/E382</f>
        <v>5547620.6480884533</v>
      </c>
      <c r="Z382" s="25">
        <f t="shared" si="440"/>
        <v>14670364.797046335</v>
      </c>
      <c r="AA382" s="26">
        <f>+Z382/'Fisico ASIG'!N382/24</f>
        <v>60.508033093558389</v>
      </c>
      <c r="AB382" s="26">
        <f>+$AB$21*0.9*Precios!$P$18/Precios!$W$18/Precios!$Q$18</f>
        <v>12.315987005656668</v>
      </c>
      <c r="AC382" s="29">
        <f t="shared" si="441"/>
        <v>48.192046087901723</v>
      </c>
      <c r="AI382" s="1">
        <v>7241</v>
      </c>
      <c r="AJ382" s="1">
        <v>5762594</v>
      </c>
      <c r="AK382">
        <f t="shared" si="379"/>
        <v>1.44</v>
      </c>
      <c r="AL382" s="40">
        <f t="shared" si="380"/>
        <v>8140.0083333333323</v>
      </c>
      <c r="AM382">
        <v>4100000</v>
      </c>
      <c r="AN382" s="179">
        <v>56.625018374137717</v>
      </c>
      <c r="AO382" s="64">
        <f t="shared" si="442"/>
        <v>3.417188740254296</v>
      </c>
      <c r="AP382">
        <v>0</v>
      </c>
      <c r="AQ382" s="1">
        <v>0.85</v>
      </c>
    </row>
    <row r="383" spans="1:43" x14ac:dyDescent="0.3">
      <c r="A383" s="42">
        <v>1517.5209</v>
      </c>
      <c r="B383" s="42">
        <v>1511.154</v>
      </c>
      <c r="C383" s="53">
        <f>+'Fisico ASIG'!A383</f>
        <v>2026</v>
      </c>
      <c r="D383" s="52">
        <f>+'Fisico ASIG'!B383</f>
        <v>46266</v>
      </c>
      <c r="E383" s="1">
        <f>+'Fisico ASIG'!C383</f>
        <v>30</v>
      </c>
      <c r="F383" s="56" t="str">
        <f t="shared" si="388"/>
        <v>jue</v>
      </c>
      <c r="G383" s="56">
        <f t="shared" si="389"/>
        <v>46289</v>
      </c>
      <c r="H383" s="17">
        <v>28</v>
      </c>
      <c r="I383" s="17">
        <f t="shared" si="436"/>
        <v>4.7715982033591766</v>
      </c>
      <c r="J383" s="17">
        <f t="shared" si="437"/>
        <v>5.3640172819585761</v>
      </c>
      <c r="K383" s="83">
        <f t="shared" si="377"/>
        <v>6.8583333333333334</v>
      </c>
      <c r="L383" s="17">
        <v>27</v>
      </c>
      <c r="M383" s="17">
        <v>71.5</v>
      </c>
      <c r="N383" s="17">
        <f t="shared" si="430"/>
        <v>61.392768252994586</v>
      </c>
      <c r="O383" s="17">
        <v>29.085474591837155</v>
      </c>
      <c r="P383" s="18">
        <f>SUMPRODUCT(H383:O383,'Fisico ASIG'!F383:M383)*24</f>
        <v>8245317.8363018828</v>
      </c>
      <c r="Q383" s="43">
        <v>0</v>
      </c>
      <c r="R383" s="43">
        <f t="shared" si="438"/>
        <v>5468.2181708337584</v>
      </c>
      <c r="S383" s="43">
        <f t="shared" si="439"/>
        <v>2701.77498049615</v>
      </c>
      <c r="T383" s="43">
        <f t="shared" si="378"/>
        <v>1795.6376259798433</v>
      </c>
      <c r="U383" s="43">
        <v>18000</v>
      </c>
      <c r="V383" s="20">
        <v>0</v>
      </c>
      <c r="W383" s="20">
        <v>21900</v>
      </c>
      <c r="X383" s="20">
        <v>0</v>
      </c>
      <c r="Y383" s="18">
        <f>SUMPRODUCT(Q383:X383,'Fisico ASIG'!O383:V383)/E383</f>
        <v>5462801.2945291894</v>
      </c>
      <c r="Z383" s="25">
        <f t="shared" si="440"/>
        <v>13708119.130831072</v>
      </c>
      <c r="AA383" s="26">
        <f>+Z383/'Fisico ASIG'!N383/24</f>
        <v>57.426593923697347</v>
      </c>
      <c r="AB383" s="26">
        <f>+$AB$21*0.9*Precios!$P$18/Precios!$W$18/Precios!$Q$18</f>
        <v>12.315987005656668</v>
      </c>
      <c r="AC383" s="29">
        <f t="shared" si="441"/>
        <v>45.110606918040681</v>
      </c>
      <c r="AI383" s="1">
        <v>7241</v>
      </c>
      <c r="AJ383" s="1">
        <v>5762594</v>
      </c>
      <c r="AK383">
        <f t="shared" si="379"/>
        <v>1.44</v>
      </c>
      <c r="AL383" s="40">
        <f t="shared" si="380"/>
        <v>8140.0083333333323</v>
      </c>
      <c r="AM383">
        <v>4100000</v>
      </c>
      <c r="AN383" s="179">
        <v>57.093928105849727</v>
      </c>
      <c r="AO383" s="64">
        <f t="shared" si="442"/>
        <v>3.4488401471448569</v>
      </c>
      <c r="AP383">
        <v>0</v>
      </c>
      <c r="AQ383" s="1">
        <v>0.85</v>
      </c>
    </row>
    <row r="384" spans="1:43" x14ac:dyDescent="0.3">
      <c r="A384" s="42">
        <v>1517.5209</v>
      </c>
      <c r="B384" s="42">
        <v>1511.154</v>
      </c>
      <c r="C384" s="53">
        <f>+'Fisico ASIG'!A384</f>
        <v>2026</v>
      </c>
      <c r="D384" s="52">
        <f>+'Fisico ASIG'!B384</f>
        <v>46266</v>
      </c>
      <c r="E384" s="1">
        <f>+'Fisico ASIG'!C384</f>
        <v>30</v>
      </c>
      <c r="F384" s="56" t="str">
        <f t="shared" si="388"/>
        <v>vie</v>
      </c>
      <c r="G384" s="56">
        <f t="shared" si="389"/>
        <v>46290</v>
      </c>
      <c r="H384" s="17">
        <v>28</v>
      </c>
      <c r="I384" s="17">
        <f t="shared" si="436"/>
        <v>4.7715982033591766</v>
      </c>
      <c r="J384" s="17">
        <f t="shared" si="437"/>
        <v>5.3640172819585761</v>
      </c>
      <c r="K384" s="83">
        <f t="shared" si="377"/>
        <v>6.8583333333333334</v>
      </c>
      <c r="L384" s="17">
        <v>27</v>
      </c>
      <c r="M384" s="17">
        <v>71.5</v>
      </c>
      <c r="N384" s="17">
        <f t="shared" si="430"/>
        <v>64.312148663534316</v>
      </c>
      <c r="O384" s="17">
        <v>19.942514784616407</v>
      </c>
      <c r="P384" s="18">
        <f>SUMPRODUCT(H384:O384,'Fisico ASIG'!F384:M384)*24</f>
        <v>8149058.6555784643</v>
      </c>
      <c r="Q384" s="43">
        <v>0</v>
      </c>
      <c r="R384" s="43">
        <f t="shared" si="438"/>
        <v>5468.2181708337584</v>
      </c>
      <c r="S384" s="43">
        <f t="shared" si="439"/>
        <v>2701.77498049615</v>
      </c>
      <c r="T384" s="43">
        <f t="shared" si="378"/>
        <v>1795.6376259798433</v>
      </c>
      <c r="U384" s="43">
        <v>18000</v>
      </c>
      <c r="V384" s="20">
        <v>0</v>
      </c>
      <c r="W384" s="20">
        <v>21900</v>
      </c>
      <c r="X384" s="20">
        <v>0</v>
      </c>
      <c r="Y384" s="18">
        <f>SUMPRODUCT(Q384:X384,'Fisico ASIG'!O384:V384)/E384</f>
        <v>5487900.6665779613</v>
      </c>
      <c r="Z384" s="25">
        <f t="shared" si="440"/>
        <v>13636959.322156426</v>
      </c>
      <c r="AA384" s="26">
        <f>+Z384/'Fisico ASIG'!N384/24</f>
        <v>60.299698807949063</v>
      </c>
      <c r="AB384" s="26">
        <f>+$AB$21*0.9*Precios!$P$18/Precios!$W$18/Precios!$Q$18</f>
        <v>12.315987005656668</v>
      </c>
      <c r="AC384" s="29">
        <f t="shared" si="441"/>
        <v>47.983711802292397</v>
      </c>
      <c r="AI384" s="1">
        <v>7241</v>
      </c>
      <c r="AJ384" s="1">
        <v>5762594</v>
      </c>
      <c r="AK384">
        <f t="shared" si="379"/>
        <v>1.44</v>
      </c>
      <c r="AL384" s="40">
        <f t="shared" si="380"/>
        <v>8140.0083333333323</v>
      </c>
      <c r="AM384">
        <v>4100000</v>
      </c>
      <c r="AN384" s="179">
        <v>59.828710691835425</v>
      </c>
      <c r="AO384" s="64">
        <f t="shared" si="442"/>
        <v>3.6334379716988914</v>
      </c>
      <c r="AP384">
        <v>0</v>
      </c>
      <c r="AQ384" s="1">
        <v>0.85</v>
      </c>
    </row>
    <row r="385" spans="1:43" x14ac:dyDescent="0.3">
      <c r="A385" s="42">
        <v>1517.5209</v>
      </c>
      <c r="B385" s="42">
        <v>1511.154</v>
      </c>
      <c r="C385" s="53">
        <f>+'Fisico ASIG'!A385</f>
        <v>2026</v>
      </c>
      <c r="D385" s="52">
        <f>+'Fisico ASIG'!B385</f>
        <v>46266</v>
      </c>
      <c r="E385" s="1">
        <f>+'Fisico ASIG'!C385</f>
        <v>30</v>
      </c>
      <c r="F385" s="56" t="str">
        <f t="shared" si="388"/>
        <v>sáb</v>
      </c>
      <c r="G385" s="56">
        <f t="shared" si="389"/>
        <v>46291</v>
      </c>
      <c r="H385" s="17">
        <v>28</v>
      </c>
      <c r="I385" s="17">
        <f t="shared" si="436"/>
        <v>4.7715982033591766</v>
      </c>
      <c r="J385" s="17">
        <f t="shared" si="437"/>
        <v>5.3640172819585761</v>
      </c>
      <c r="K385" s="83">
        <f t="shared" si="377"/>
        <v>6.8583333333333334</v>
      </c>
      <c r="L385" s="17">
        <v>27</v>
      </c>
      <c r="M385" s="17">
        <v>71.5</v>
      </c>
      <c r="N385" s="17">
        <f t="shared" si="430"/>
        <v>62.839596266549414</v>
      </c>
      <c r="O385" s="17">
        <v>19.365814977218065</v>
      </c>
      <c r="P385" s="18">
        <f>SUMPRODUCT(H385:O385,'Fisico ASIG'!F385:M385)*24</f>
        <v>7519832.7170520136</v>
      </c>
      <c r="Q385" s="43">
        <v>0</v>
      </c>
      <c r="R385" s="43">
        <f t="shared" si="438"/>
        <v>5468.2181708337584</v>
      </c>
      <c r="S385" s="43">
        <f t="shared" si="439"/>
        <v>2701.77498049615</v>
      </c>
      <c r="T385" s="43">
        <f t="shared" si="378"/>
        <v>1795.6376259798433</v>
      </c>
      <c r="U385" s="43">
        <v>18000</v>
      </c>
      <c r="V385" s="20">
        <v>0</v>
      </c>
      <c r="W385" s="20">
        <v>21900</v>
      </c>
      <c r="X385" s="20">
        <v>0</v>
      </c>
      <c r="Y385" s="18">
        <f>SUMPRODUCT(Q385:X385,'Fisico ASIG'!O385:V385)/E385</f>
        <v>5416797.6234470205</v>
      </c>
      <c r="Z385" s="25">
        <f t="shared" si="440"/>
        <v>12936630.340499034</v>
      </c>
      <c r="AA385" s="26">
        <f>+Z385/'Fisico ASIG'!N385/24</f>
        <v>55.758071981969579</v>
      </c>
      <c r="AB385" s="26">
        <f>+$AB$21*0.9*Precios!$P$18/Precios!$W$18/Precios!$Q$18</f>
        <v>12.315987005656668</v>
      </c>
      <c r="AC385" s="29">
        <f t="shared" si="441"/>
        <v>43.442084976312913</v>
      </c>
      <c r="AI385" s="1">
        <v>7241</v>
      </c>
      <c r="AJ385" s="1">
        <v>5762594</v>
      </c>
      <c r="AK385">
        <f t="shared" si="379"/>
        <v>1.44</v>
      </c>
      <c r="AL385" s="40">
        <f t="shared" si="380"/>
        <v>8140.0083333333323</v>
      </c>
      <c r="AM385">
        <v>4100000</v>
      </c>
      <c r="AN385" s="179">
        <v>58.449270507306238</v>
      </c>
      <c r="AO385" s="64">
        <f t="shared" si="442"/>
        <v>3.5403257592431712</v>
      </c>
      <c r="AP385">
        <v>0</v>
      </c>
      <c r="AQ385" s="1">
        <v>0.85</v>
      </c>
    </row>
    <row r="386" spans="1:43" x14ac:dyDescent="0.3">
      <c r="A386" s="42">
        <v>1517.5209</v>
      </c>
      <c r="B386" s="42">
        <v>1511.154</v>
      </c>
      <c r="C386" s="53">
        <f>+'Fisico ASIG'!A386</f>
        <v>2026</v>
      </c>
      <c r="D386" s="52">
        <f>+'Fisico ASIG'!B386</f>
        <v>46266</v>
      </c>
      <c r="E386" s="1">
        <f>+'Fisico ASIG'!C386</f>
        <v>30</v>
      </c>
      <c r="F386" s="56" t="str">
        <f t="shared" si="388"/>
        <v>dom</v>
      </c>
      <c r="G386" s="56">
        <f t="shared" si="389"/>
        <v>46292</v>
      </c>
      <c r="H386" s="17">
        <v>28</v>
      </c>
      <c r="I386" s="17">
        <f t="shared" ref="I386:I389" si="443">AI386/A386</f>
        <v>4.7715982033591766</v>
      </c>
      <c r="J386" s="17">
        <f t="shared" ref="J386:J389" si="444">+AL386/A386</f>
        <v>5.3640172819585761</v>
      </c>
      <c r="K386" s="83">
        <f t="shared" si="377"/>
        <v>6.8583333333333334</v>
      </c>
      <c r="L386" s="17">
        <v>27</v>
      </c>
      <c r="M386" s="17">
        <v>71.5</v>
      </c>
      <c r="N386" s="17">
        <f t="shared" si="430"/>
        <v>63.571854752054961</v>
      </c>
      <c r="O386" s="17">
        <v>18.9672487776796</v>
      </c>
      <c r="P386" s="18">
        <f>SUMPRODUCT(H386:O386,'Fisico ASIG'!F386:M386)*24</f>
        <v>7869848.1198768895</v>
      </c>
      <c r="Q386" s="43">
        <v>0</v>
      </c>
      <c r="R386" s="43">
        <f t="shared" ref="R386:R389" si="445">+AJ386*AK386/A386</f>
        <v>5468.2181708337584</v>
      </c>
      <c r="S386" s="43">
        <f t="shared" ref="S386:S389" si="446">+AM386/A386</f>
        <v>2701.77498049615</v>
      </c>
      <c r="T386" s="43">
        <f t="shared" si="378"/>
        <v>1795.6376259798433</v>
      </c>
      <c r="U386" s="43">
        <v>18000</v>
      </c>
      <c r="V386" s="20">
        <v>0</v>
      </c>
      <c r="W386" s="20">
        <v>21900</v>
      </c>
      <c r="X386" s="20">
        <v>0</v>
      </c>
      <c r="Y386" s="18">
        <f>SUMPRODUCT(Q386:X386,'Fisico ASIG'!O386:V386)/E386</f>
        <v>5409085.6418398917</v>
      </c>
      <c r="Z386" s="25">
        <f t="shared" ref="Z386:Z389" si="447">+(P386+Y386)</f>
        <v>13278933.761716781</v>
      </c>
      <c r="AA386" s="26">
        <f>+Z386/'Fisico ASIG'!N386/24</f>
        <v>58.52739745961393</v>
      </c>
      <c r="AB386" s="26">
        <f>+$AB$21*0.9*Precios!$P$18/Precios!$W$18/Precios!$Q$18</f>
        <v>12.315987005656668</v>
      </c>
      <c r="AC386" s="29">
        <f t="shared" ref="AC386:AC389" si="448">+AA386-AB386</f>
        <v>46.211410453957264</v>
      </c>
      <c r="AI386" s="1">
        <v>7241</v>
      </c>
      <c r="AJ386" s="1">
        <v>5762594</v>
      </c>
      <c r="AK386">
        <f t="shared" si="379"/>
        <v>1.44</v>
      </c>
      <c r="AL386" s="40">
        <f t="shared" si="380"/>
        <v>8140.0083333333323</v>
      </c>
      <c r="AM386">
        <v>4100000</v>
      </c>
      <c r="AN386" s="179">
        <v>59.135226934009332</v>
      </c>
      <c r="AO386" s="64">
        <f t="shared" ref="AO386:AO389" si="449">0.075*0.9*(AN386-6)</f>
        <v>3.5866278180456299</v>
      </c>
      <c r="AP386">
        <v>0</v>
      </c>
      <c r="AQ386" s="1">
        <v>0.85</v>
      </c>
    </row>
    <row r="387" spans="1:43" x14ac:dyDescent="0.3">
      <c r="A387" s="42">
        <v>1517.5209</v>
      </c>
      <c r="B387" s="42">
        <v>1514.913</v>
      </c>
      <c r="C387" s="53">
        <f>+'Fisico ASIG'!A387</f>
        <v>2026</v>
      </c>
      <c r="D387" s="52">
        <f>+'Fisico ASIG'!B387</f>
        <v>46266</v>
      </c>
      <c r="E387" s="1">
        <f>+'Fisico ASIG'!C387</f>
        <v>30</v>
      </c>
      <c r="F387" s="56" t="str">
        <f t="shared" si="388"/>
        <v>lun</v>
      </c>
      <c r="G387" s="56">
        <f t="shared" si="389"/>
        <v>46293</v>
      </c>
      <c r="H387" s="17">
        <v>28</v>
      </c>
      <c r="I387" s="17">
        <f t="shared" si="443"/>
        <v>4.7715982033591766</v>
      </c>
      <c r="J387" s="17">
        <f t="shared" si="444"/>
        <v>5.3640172819585761</v>
      </c>
      <c r="K387" s="83">
        <f t="shared" si="377"/>
        <v>6.8583333333333334</v>
      </c>
      <c r="L387" s="17">
        <v>27</v>
      </c>
      <c r="M387" s="17">
        <v>71.5</v>
      </c>
      <c r="N387" s="17">
        <f t="shared" si="430"/>
        <v>57.369912718034243</v>
      </c>
      <c r="O387" s="17">
        <v>18.102367702528873</v>
      </c>
      <c r="P387" s="18">
        <f>SUMPRODUCT(H387:O387,'Fisico ASIG'!F387:M387)*24</f>
        <v>7897691.4077041391</v>
      </c>
      <c r="Q387" s="43">
        <v>0</v>
      </c>
      <c r="R387" s="43">
        <f t="shared" si="445"/>
        <v>5468.2181708337584</v>
      </c>
      <c r="S387" s="43">
        <f t="shared" si="446"/>
        <v>2701.77498049615</v>
      </c>
      <c r="T387" s="43">
        <f t="shared" si="378"/>
        <v>1795.6376259798433</v>
      </c>
      <c r="U387" s="43">
        <v>18000</v>
      </c>
      <c r="V387" s="20">
        <v>0</v>
      </c>
      <c r="W387" s="20">
        <v>21900</v>
      </c>
      <c r="X387" s="20">
        <v>0</v>
      </c>
      <c r="Y387" s="18">
        <f>SUMPRODUCT(Q387:X387,'Fisico ASIG'!O387:V387)/E387</f>
        <v>5210981.8605681211</v>
      </c>
      <c r="Z387" s="25">
        <f t="shared" si="447"/>
        <v>13108673.26827226</v>
      </c>
      <c r="AA387" s="26">
        <f>+Z387/'Fisico ASIG'!N387/24</f>
        <v>49.745856407836548</v>
      </c>
      <c r="AB387" s="26">
        <f>+$AB$21*0.9*Precios!$P$18/Precios!$W$18/Precios!$Q$18</f>
        <v>12.315987005656668</v>
      </c>
      <c r="AC387" s="29">
        <f t="shared" si="448"/>
        <v>37.429869402179882</v>
      </c>
      <c r="AI387" s="1">
        <v>7241</v>
      </c>
      <c r="AJ387" s="1">
        <v>5762594</v>
      </c>
      <c r="AK387">
        <f t="shared" si="379"/>
        <v>1.44</v>
      </c>
      <c r="AL387" s="40">
        <f t="shared" si="380"/>
        <v>8140.0083333333323</v>
      </c>
      <c r="AM387">
        <v>4100000</v>
      </c>
      <c r="AN387" s="179">
        <v>53.32544516911873</v>
      </c>
      <c r="AO387" s="64">
        <f t="shared" si="449"/>
        <v>3.1944675489155143</v>
      </c>
      <c r="AP387">
        <v>0</v>
      </c>
      <c r="AQ387" s="1">
        <v>0.85</v>
      </c>
    </row>
    <row r="388" spans="1:43" x14ac:dyDescent="0.3">
      <c r="A388" s="42">
        <v>1517.5209</v>
      </c>
      <c r="B388" s="42">
        <v>1514.913</v>
      </c>
      <c r="C388" s="53">
        <f>+'Fisico ASIG'!A388</f>
        <v>2026</v>
      </c>
      <c r="D388" s="52">
        <f>+'Fisico ASIG'!B388</f>
        <v>46266</v>
      </c>
      <c r="E388" s="1">
        <f>+'Fisico ASIG'!C388</f>
        <v>30</v>
      </c>
      <c r="F388" s="56" t="str">
        <f t="shared" si="388"/>
        <v>mar</v>
      </c>
      <c r="G388" s="56">
        <f t="shared" si="389"/>
        <v>46294</v>
      </c>
      <c r="H388" s="17">
        <v>28</v>
      </c>
      <c r="I388" s="17">
        <f t="shared" si="443"/>
        <v>4.7715982033591766</v>
      </c>
      <c r="J388" s="17">
        <f t="shared" si="444"/>
        <v>5.3640172819585761</v>
      </c>
      <c r="K388" s="83">
        <f t="shared" si="377"/>
        <v>6.8583333333333334</v>
      </c>
      <c r="L388" s="17">
        <v>27</v>
      </c>
      <c r="M388" s="17">
        <v>71.5</v>
      </c>
      <c r="N388" s="17">
        <f t="shared" si="430"/>
        <v>60.158795473398172</v>
      </c>
      <c r="O388" s="17">
        <v>28.890865452376598</v>
      </c>
      <c r="P388" s="18">
        <f>SUMPRODUCT(H388:O388,'Fisico ASIG'!F388:M388)*24</f>
        <v>8313063.8998300536</v>
      </c>
      <c r="Q388" s="43">
        <v>0</v>
      </c>
      <c r="R388" s="43">
        <f t="shared" si="445"/>
        <v>5468.2181708337584</v>
      </c>
      <c r="S388" s="43">
        <f t="shared" si="446"/>
        <v>2701.77498049615</v>
      </c>
      <c r="T388" s="43">
        <f t="shared" si="378"/>
        <v>1795.6376259798433</v>
      </c>
      <c r="U388" s="43">
        <v>18000</v>
      </c>
      <c r="V388" s="20">
        <v>0</v>
      </c>
      <c r="W388" s="20">
        <v>21900</v>
      </c>
      <c r="X388" s="20">
        <v>0</v>
      </c>
      <c r="Y388" s="18">
        <f>SUMPRODUCT(Q388:X388,'Fisico ASIG'!O388:V388)/E388</f>
        <v>5311314.9051494952</v>
      </c>
      <c r="Z388" s="25">
        <f t="shared" si="447"/>
        <v>13624378.804979548</v>
      </c>
      <c r="AA388" s="26">
        <f>+Z388/'Fisico ASIG'!N388/24</f>
        <v>52.613785336694519</v>
      </c>
      <c r="AB388" s="26">
        <f>+$AB$21*0.9*Precios!$P$18/Precios!$W$18/Precios!$Q$18</f>
        <v>12.315987005656668</v>
      </c>
      <c r="AC388" s="29">
        <f t="shared" si="448"/>
        <v>40.297798331037853</v>
      </c>
      <c r="AI388" s="1">
        <v>7241</v>
      </c>
      <c r="AJ388" s="1">
        <v>5762594</v>
      </c>
      <c r="AK388">
        <f t="shared" si="379"/>
        <v>1.44</v>
      </c>
      <c r="AL388" s="40">
        <f t="shared" si="380"/>
        <v>8140.0083333333323</v>
      </c>
      <c r="AM388">
        <v>4100000</v>
      </c>
      <c r="AN388" s="179">
        <v>55.937981708101333</v>
      </c>
      <c r="AO388" s="64">
        <f t="shared" si="449"/>
        <v>3.3708137652968402</v>
      </c>
      <c r="AP388">
        <v>0</v>
      </c>
      <c r="AQ388" s="1">
        <v>0.85</v>
      </c>
    </row>
    <row r="389" spans="1:43" x14ac:dyDescent="0.3">
      <c r="A389" s="42">
        <v>1517.5209</v>
      </c>
      <c r="B389" s="42">
        <v>1514.913</v>
      </c>
      <c r="C389" s="53">
        <f>+'Fisico ASIG'!A389</f>
        <v>2026</v>
      </c>
      <c r="D389" s="52">
        <f>+'Fisico ASIG'!B389</f>
        <v>46266</v>
      </c>
      <c r="E389" s="1">
        <f>+'Fisico ASIG'!C389</f>
        <v>30</v>
      </c>
      <c r="F389" s="56" t="str">
        <f t="shared" si="388"/>
        <v>mié</v>
      </c>
      <c r="G389" s="56">
        <f t="shared" si="389"/>
        <v>46295</v>
      </c>
      <c r="H389" s="17">
        <v>28</v>
      </c>
      <c r="I389" s="17">
        <f t="shared" si="443"/>
        <v>4.7715982033591766</v>
      </c>
      <c r="J389" s="17">
        <f t="shared" si="444"/>
        <v>5.3640172819585761</v>
      </c>
      <c r="K389" s="83">
        <f t="shared" si="377"/>
        <v>6.8583333333333334</v>
      </c>
      <c r="L389" s="17">
        <v>27</v>
      </c>
      <c r="M389" s="17">
        <v>71.5</v>
      </c>
      <c r="N389" s="17">
        <f t="shared" si="430"/>
        <v>59.892707358260246</v>
      </c>
      <c r="O389" s="17">
        <v>24.979603886562401</v>
      </c>
      <c r="P389" s="18">
        <f>SUMPRODUCT(H389:O389,'Fisico ASIG'!F389:M389)*24</f>
        <v>7870284.9104756238</v>
      </c>
      <c r="Q389" s="43">
        <v>0</v>
      </c>
      <c r="R389" s="43">
        <f t="shared" si="445"/>
        <v>5468.2181708337584</v>
      </c>
      <c r="S389" s="43">
        <f t="shared" si="446"/>
        <v>2701.77498049615</v>
      </c>
      <c r="T389" s="43">
        <f t="shared" si="378"/>
        <v>1795.6376259798433</v>
      </c>
      <c r="U389" s="43">
        <v>18000</v>
      </c>
      <c r="V389" s="20">
        <v>0</v>
      </c>
      <c r="W389" s="20">
        <v>21900</v>
      </c>
      <c r="X389" s="20">
        <v>0</v>
      </c>
      <c r="Y389" s="18">
        <f>SUMPRODUCT(Q389:X389,'Fisico ASIG'!O389:V389)/E389</f>
        <v>5465501.7722979775</v>
      </c>
      <c r="Z389" s="25">
        <f t="shared" si="447"/>
        <v>13335786.682773601</v>
      </c>
      <c r="AA389" s="26">
        <f>+Z389/'Fisico ASIG'!N389/24</f>
        <v>52.777204313817123</v>
      </c>
      <c r="AB389" s="26">
        <f>+$AB$21*0.9*Precios!$P$18/Precios!$W$18/Precios!$Q$18</f>
        <v>12.315987005656668</v>
      </c>
      <c r="AC389" s="29">
        <f t="shared" si="448"/>
        <v>40.461217308160457</v>
      </c>
      <c r="AI389" s="1">
        <v>7241</v>
      </c>
      <c r="AJ389" s="1">
        <v>5762594</v>
      </c>
      <c r="AK389">
        <f t="shared" si="379"/>
        <v>1.44</v>
      </c>
      <c r="AL389" s="40">
        <f t="shared" si="380"/>
        <v>8140.0083333333323</v>
      </c>
      <c r="AM389">
        <v>4100000</v>
      </c>
      <c r="AN389" s="179">
        <v>55.688718836777745</v>
      </c>
      <c r="AO389" s="64">
        <f t="shared" si="449"/>
        <v>3.3539885214824978</v>
      </c>
      <c r="AP389">
        <v>0</v>
      </c>
      <c r="AQ389" s="1">
        <v>0.85</v>
      </c>
    </row>
    <row r="390" spans="1:43" x14ac:dyDescent="0.3">
      <c r="A390" s="42">
        <v>1530</v>
      </c>
      <c r="B390" s="42">
        <v>1514.9</v>
      </c>
      <c r="C390" s="53">
        <f>+'Fisico ASIG'!A390</f>
        <v>2026</v>
      </c>
      <c r="D390" s="52">
        <f>+'Fisico ASIG'!B390</f>
        <v>46296</v>
      </c>
      <c r="E390" s="1">
        <f>+'Fisico ASIG'!C390</f>
        <v>30</v>
      </c>
      <c r="F390" s="56" t="str">
        <f t="shared" si="388"/>
        <v>jue</v>
      </c>
      <c r="G390" s="56">
        <f t="shared" si="389"/>
        <v>46296</v>
      </c>
      <c r="H390" s="17">
        <v>28</v>
      </c>
      <c r="I390" s="17">
        <f t="shared" ref="I390:I394" si="450">AI390/A390</f>
        <v>4.7326797385620916</v>
      </c>
      <c r="J390" s="17">
        <f t="shared" ref="J390:J394" si="451">+AL390/A390</f>
        <v>5.3202668845315895</v>
      </c>
      <c r="K390" s="83">
        <f t="shared" si="377"/>
        <v>6.8583333333333334</v>
      </c>
      <c r="L390" s="17">
        <v>27</v>
      </c>
      <c r="M390" s="17">
        <v>71.5</v>
      </c>
      <c r="N390" s="17">
        <f t="shared" ref="N390:N394" si="452">+AN390+AO390+AP390+AQ390</f>
        <v>46.027250000000002</v>
      </c>
      <c r="O390" s="17">
        <v>18.399999999999999</v>
      </c>
      <c r="P390" s="18">
        <f>SUMPRODUCT(H390:O390,'Fisico ASIG'!F390:M390)*24</f>
        <v>7581308.9975163396</v>
      </c>
      <c r="Q390" s="43">
        <v>0</v>
      </c>
      <c r="R390" s="43">
        <f t="shared" ref="R390:R394" si="453">+AJ390*AK390/A390</f>
        <v>5423.6178823529408</v>
      </c>
      <c r="S390" s="43">
        <f t="shared" ref="S390:S394" si="454">+AM390/A390</f>
        <v>2679.7385620915034</v>
      </c>
      <c r="T390" s="43">
        <f t="shared" si="378"/>
        <v>1795.6376259798433</v>
      </c>
      <c r="U390" s="43">
        <v>18000</v>
      </c>
      <c r="V390" s="20">
        <v>0</v>
      </c>
      <c r="W390" s="20">
        <v>21900</v>
      </c>
      <c r="X390" s="20">
        <v>0</v>
      </c>
      <c r="Y390" s="18">
        <f>SUMPRODUCT(Q390:X390,'Fisico ASIG'!O390:V390)/E390</f>
        <v>5261249.2849250995</v>
      </c>
      <c r="Z390" s="25">
        <f t="shared" ref="Z390:Z394" si="455">+(P390+Y390)</f>
        <v>12842558.282441439</v>
      </c>
      <c r="AA390" s="26">
        <f>+Z390/'Fisico ASIG'!N390/24</f>
        <v>51.393257309040202</v>
      </c>
      <c r="AB390" s="26">
        <f>+$AB$21*0.9*Precios!$P$18/Precios!$W$18/Precios!$Q$18</f>
        <v>12.315987005656668</v>
      </c>
      <c r="AC390" s="29">
        <f t="shared" ref="AC390:AC394" si="456">+AA390-AB390</f>
        <v>39.077270303383536</v>
      </c>
      <c r="AI390" s="1">
        <v>7241</v>
      </c>
      <c r="AJ390" s="1">
        <v>5762594</v>
      </c>
      <c r="AK390">
        <f t="shared" si="379"/>
        <v>1.44</v>
      </c>
      <c r="AL390" s="40">
        <f t="shared" si="380"/>
        <v>8140.0083333333323</v>
      </c>
      <c r="AM390">
        <v>4100000</v>
      </c>
      <c r="AN390" s="180">
        <v>42.7</v>
      </c>
      <c r="AO390" s="64">
        <f t="shared" ref="AO390:AO394" si="457">0.075*0.9*(AN390-6)</f>
        <v>2.4772500000000002</v>
      </c>
      <c r="AP390">
        <v>0</v>
      </c>
      <c r="AQ390" s="1">
        <v>0.85</v>
      </c>
    </row>
    <row r="391" spans="1:43" x14ac:dyDescent="0.3">
      <c r="A391" s="199">
        <v>1530</v>
      </c>
      <c r="B391" s="42">
        <v>1514.9</v>
      </c>
      <c r="C391" s="53">
        <f>+'Fisico ASIG'!A391</f>
        <v>2026</v>
      </c>
      <c r="D391" s="52">
        <f>+'Fisico ASIG'!B391</f>
        <v>46296</v>
      </c>
      <c r="E391" s="1">
        <f>+'Fisico ASIG'!C391</f>
        <v>30</v>
      </c>
      <c r="F391" s="56" t="str">
        <f t="shared" si="388"/>
        <v>vie</v>
      </c>
      <c r="G391" s="56">
        <f t="shared" si="389"/>
        <v>46297</v>
      </c>
      <c r="H391" s="17">
        <v>28</v>
      </c>
      <c r="I391" s="17">
        <f t="shared" si="450"/>
        <v>4.7326797385620916</v>
      </c>
      <c r="J391" s="17">
        <f t="shared" si="451"/>
        <v>5.3202668845315895</v>
      </c>
      <c r="K391" s="83">
        <f t="shared" si="377"/>
        <v>6.8583333333333334</v>
      </c>
      <c r="L391" s="17">
        <v>27</v>
      </c>
      <c r="M391" s="17">
        <v>71.5</v>
      </c>
      <c r="N391" s="17">
        <f t="shared" si="452"/>
        <v>43.678750000000001</v>
      </c>
      <c r="O391" s="17">
        <v>23.8</v>
      </c>
      <c r="P391" s="18">
        <f>SUMPRODUCT(H391:O391,'Fisico ASIG'!F391:M391)*24</f>
        <v>7815316.3204575162</v>
      </c>
      <c r="Q391" s="43">
        <v>0</v>
      </c>
      <c r="R391" s="43">
        <f t="shared" si="453"/>
        <v>5423.6178823529408</v>
      </c>
      <c r="S391" s="43">
        <f t="shared" si="454"/>
        <v>2679.7385620915034</v>
      </c>
      <c r="T391" s="43">
        <f t="shared" si="378"/>
        <v>1795.6376259798433</v>
      </c>
      <c r="U391" s="43">
        <v>18000</v>
      </c>
      <c r="V391" s="20">
        <v>0</v>
      </c>
      <c r="W391" s="20">
        <v>21900</v>
      </c>
      <c r="X391" s="20">
        <v>0</v>
      </c>
      <c r="Y391" s="18">
        <f>SUMPRODUCT(Q391:X391,'Fisico ASIG'!O391:V391)/E391</f>
        <v>5355456.2919776188</v>
      </c>
      <c r="Z391" s="25">
        <f t="shared" si="455"/>
        <v>13170772.612435136</v>
      </c>
      <c r="AA391" s="26">
        <f>+Z391/'Fisico ASIG'!N391/24</f>
        <v>55.16507762211473</v>
      </c>
      <c r="AB391" s="26">
        <f>+$AB$21*0.9*Precios!$P$18/Precios!$W$18/Precios!$Q$18</f>
        <v>12.315987005656668</v>
      </c>
      <c r="AC391" s="29">
        <f t="shared" si="456"/>
        <v>42.849090616458064</v>
      </c>
      <c r="AI391" s="1">
        <v>7241</v>
      </c>
      <c r="AJ391" s="1">
        <v>5762594</v>
      </c>
      <c r="AK391">
        <f t="shared" si="379"/>
        <v>1.44</v>
      </c>
      <c r="AL391" s="40">
        <f t="shared" si="380"/>
        <v>8140.0083333333323</v>
      </c>
      <c r="AM391">
        <v>4100000</v>
      </c>
      <c r="AN391" s="180">
        <v>40.5</v>
      </c>
      <c r="AO391" s="64">
        <f t="shared" si="457"/>
        <v>2.3287500000000003</v>
      </c>
      <c r="AP391">
        <v>0</v>
      </c>
      <c r="AQ391" s="1">
        <v>0.85</v>
      </c>
    </row>
    <row r="392" spans="1:43" x14ac:dyDescent="0.3">
      <c r="A392" s="199">
        <v>1530</v>
      </c>
      <c r="B392" s="42">
        <v>1514.9</v>
      </c>
      <c r="C392" s="53">
        <f>+'Fisico ASIG'!A392</f>
        <v>2026</v>
      </c>
      <c r="D392" s="52">
        <f>+'Fisico ASIG'!B392</f>
        <v>46296</v>
      </c>
      <c r="E392" s="1">
        <f>+'Fisico ASIG'!C392</f>
        <v>30</v>
      </c>
      <c r="F392" s="56" t="str">
        <f t="shared" si="388"/>
        <v>sáb</v>
      </c>
      <c r="G392" s="56">
        <f t="shared" si="389"/>
        <v>46298</v>
      </c>
      <c r="H392" s="17">
        <v>28</v>
      </c>
      <c r="I392" s="17">
        <f t="shared" si="450"/>
        <v>4.7326797385620916</v>
      </c>
      <c r="J392" s="17">
        <f t="shared" si="451"/>
        <v>5.3202668845315895</v>
      </c>
      <c r="K392" s="83">
        <f t="shared" si="377"/>
        <v>6.8583333333333334</v>
      </c>
      <c r="L392" s="17">
        <v>27</v>
      </c>
      <c r="M392" s="17">
        <v>71.5</v>
      </c>
      <c r="N392" s="17">
        <f t="shared" si="452"/>
        <v>45.066499999999998</v>
      </c>
      <c r="O392" s="17">
        <v>19.2</v>
      </c>
      <c r="P392" s="18">
        <f>SUMPRODUCT(H392:O392,'Fisico ASIG'!F392:M392)*24</f>
        <v>6946211.6761568636</v>
      </c>
      <c r="Q392" s="43">
        <v>0</v>
      </c>
      <c r="R392" s="43">
        <f t="shared" si="453"/>
        <v>5423.6178823529408</v>
      </c>
      <c r="S392" s="43">
        <f t="shared" si="454"/>
        <v>2679.7385620915034</v>
      </c>
      <c r="T392" s="43">
        <f t="shared" si="378"/>
        <v>1795.6376259798433</v>
      </c>
      <c r="U392" s="43">
        <v>18000</v>
      </c>
      <c r="V392" s="20">
        <v>0</v>
      </c>
      <c r="W392" s="20">
        <v>21900</v>
      </c>
      <c r="X392" s="20">
        <v>0</v>
      </c>
      <c r="Y392" s="18">
        <f>SUMPRODUCT(Q392:X392,'Fisico ASIG'!O392:V392)/E392</f>
        <v>5422237.329394686</v>
      </c>
      <c r="Z392" s="25">
        <f t="shared" si="455"/>
        <v>12368449.005551551</v>
      </c>
      <c r="AA392" s="26">
        <f>+Z392/'Fisico ASIG'!N392/24</f>
        <v>59.475134667972448</v>
      </c>
      <c r="AB392" s="26">
        <f>+$AB$21*0.9*Precios!$P$18/Precios!$W$18/Precios!$Q$18</f>
        <v>12.315987005656668</v>
      </c>
      <c r="AC392" s="29">
        <f t="shared" si="456"/>
        <v>47.159147662315782</v>
      </c>
      <c r="AI392" s="1">
        <v>7241</v>
      </c>
      <c r="AJ392" s="1">
        <v>5762594</v>
      </c>
      <c r="AK392">
        <f t="shared" si="379"/>
        <v>1.44</v>
      </c>
      <c r="AL392" s="40">
        <f t="shared" si="380"/>
        <v>8140.0083333333323</v>
      </c>
      <c r="AM392">
        <v>4100000</v>
      </c>
      <c r="AN392" s="180">
        <v>41.8</v>
      </c>
      <c r="AO392" s="64">
        <f t="shared" si="457"/>
        <v>2.4165000000000001</v>
      </c>
      <c r="AP392">
        <v>0</v>
      </c>
      <c r="AQ392" s="1">
        <v>0.85</v>
      </c>
    </row>
    <row r="393" spans="1:43" x14ac:dyDescent="0.3">
      <c r="A393" s="199">
        <v>1530</v>
      </c>
      <c r="B393" s="42">
        <v>1514.9</v>
      </c>
      <c r="C393" s="53">
        <f>+'Fisico ASIG'!A393</f>
        <v>2026</v>
      </c>
      <c r="D393" s="52">
        <f>+'Fisico ASIG'!B393</f>
        <v>46296</v>
      </c>
      <c r="E393" s="1">
        <f>+'Fisico ASIG'!C393</f>
        <v>30</v>
      </c>
      <c r="F393" s="56" t="str">
        <f t="shared" si="388"/>
        <v>dom</v>
      </c>
      <c r="G393" s="56">
        <f t="shared" si="389"/>
        <v>46299</v>
      </c>
      <c r="H393" s="17">
        <v>28</v>
      </c>
      <c r="I393" s="17">
        <f t="shared" si="450"/>
        <v>4.7326797385620916</v>
      </c>
      <c r="J393" s="17">
        <f t="shared" si="451"/>
        <v>5.3202668845315895</v>
      </c>
      <c r="K393" s="83">
        <f t="shared" si="377"/>
        <v>6.8583333333333334</v>
      </c>
      <c r="L393" s="17">
        <v>27</v>
      </c>
      <c r="M393" s="17">
        <v>71.5</v>
      </c>
      <c r="N393" s="17">
        <f t="shared" si="452"/>
        <v>43.678750000000001</v>
      </c>
      <c r="O393" s="17">
        <v>24.6</v>
      </c>
      <c r="P393" s="18">
        <f>SUMPRODUCT(H393:O393,'Fisico ASIG'!F393:M393)*24</f>
        <v>7035034.3201307189</v>
      </c>
      <c r="Q393" s="43">
        <v>0</v>
      </c>
      <c r="R393" s="43">
        <f t="shared" si="453"/>
        <v>5423.6178823529408</v>
      </c>
      <c r="S393" s="43">
        <f t="shared" si="454"/>
        <v>2679.7385620915034</v>
      </c>
      <c r="T393" s="43">
        <f t="shared" si="378"/>
        <v>1795.6376259798433</v>
      </c>
      <c r="U393" s="43">
        <v>18000</v>
      </c>
      <c r="V393" s="20">
        <v>0</v>
      </c>
      <c r="W393" s="20">
        <v>21900</v>
      </c>
      <c r="X393" s="20">
        <v>0</v>
      </c>
      <c r="Y393" s="18">
        <f>SUMPRODUCT(Q393:X393,'Fisico ASIG'!O393:V393)/E393</f>
        <v>5479829.3063672362</v>
      </c>
      <c r="Z393" s="25">
        <f t="shared" si="455"/>
        <v>12514863.626497954</v>
      </c>
      <c r="AA393" s="26">
        <f>+Z393/'Fisico ASIG'!N393/24</f>
        <v>62.984980203416036</v>
      </c>
      <c r="AB393" s="26">
        <f>+$AB$21*0.9*Precios!$P$18/Precios!$W$18/Precios!$Q$18</f>
        <v>12.315987005656668</v>
      </c>
      <c r="AC393" s="29">
        <f t="shared" si="456"/>
        <v>50.66899319775937</v>
      </c>
      <c r="AI393" s="1">
        <v>7241</v>
      </c>
      <c r="AJ393" s="1">
        <v>5762594</v>
      </c>
      <c r="AK393">
        <f t="shared" si="379"/>
        <v>1.44</v>
      </c>
      <c r="AL393" s="40">
        <f t="shared" si="380"/>
        <v>8140.0083333333323</v>
      </c>
      <c r="AM393">
        <v>4100000</v>
      </c>
      <c r="AN393" s="180">
        <v>40.5</v>
      </c>
      <c r="AO393" s="64">
        <f t="shared" si="457"/>
        <v>2.3287500000000003</v>
      </c>
      <c r="AP393">
        <v>0</v>
      </c>
      <c r="AQ393" s="1">
        <v>0.85</v>
      </c>
    </row>
    <row r="394" spans="1:43" x14ac:dyDescent="0.3">
      <c r="A394" s="199">
        <v>1530</v>
      </c>
      <c r="B394" s="42">
        <v>1514.9</v>
      </c>
      <c r="C394" s="53">
        <f>+'Fisico ASIG'!A394</f>
        <v>2026</v>
      </c>
      <c r="D394" s="52">
        <f>+'Fisico ASIG'!B394</f>
        <v>46296</v>
      </c>
      <c r="E394" s="1">
        <f>+'Fisico ASIG'!C394</f>
        <v>30</v>
      </c>
      <c r="F394" s="56" t="str">
        <f t="shared" si="388"/>
        <v>lun</v>
      </c>
      <c r="G394" s="56">
        <f t="shared" si="389"/>
        <v>46300</v>
      </c>
      <c r="H394" s="17">
        <v>28</v>
      </c>
      <c r="I394" s="17">
        <f t="shared" si="450"/>
        <v>4.7326797385620916</v>
      </c>
      <c r="J394" s="17">
        <f t="shared" si="451"/>
        <v>5.3202668845315895</v>
      </c>
      <c r="K394" s="83">
        <f t="shared" ref="K394:K414" si="458">3.5+1.9+(3.5*1*5+3.5*5)/24</f>
        <v>6.8583333333333334</v>
      </c>
      <c r="L394" s="17">
        <v>27</v>
      </c>
      <c r="M394" s="17">
        <v>71.5</v>
      </c>
      <c r="N394" s="17">
        <f t="shared" si="452"/>
        <v>45.173250000000003</v>
      </c>
      <c r="O394" s="17">
        <v>100.7</v>
      </c>
      <c r="P394" s="18">
        <f>SUMPRODUCT(H394:O394,'Fisico ASIG'!F394:M394)*24</f>
        <v>7004036.1508104578</v>
      </c>
      <c r="Q394" s="43">
        <v>0</v>
      </c>
      <c r="R394" s="43">
        <f t="shared" si="453"/>
        <v>5423.6178823529408</v>
      </c>
      <c r="S394" s="43">
        <f t="shared" si="454"/>
        <v>2679.7385620915034</v>
      </c>
      <c r="T394" s="43">
        <f t="shared" ref="T394:T414" si="459">+(4000*1759+465*1759*1.2)/(4000+465)</f>
        <v>1795.6376259798433</v>
      </c>
      <c r="U394" s="43">
        <v>18000</v>
      </c>
      <c r="V394" s="20">
        <v>0</v>
      </c>
      <c r="W394" s="20">
        <v>21900</v>
      </c>
      <c r="X394" s="20">
        <v>0</v>
      </c>
      <c r="Y394" s="18">
        <f>SUMPRODUCT(Q394:X394,'Fisico ASIG'!O394:V394)/E394</f>
        <v>5162210.791097519</v>
      </c>
      <c r="Z394" s="25">
        <f t="shared" si="455"/>
        <v>12166246.941907976</v>
      </c>
      <c r="AA394" s="26">
        <f>+Z394/'Fisico ASIG'!N394/24</f>
        <v>56.779452947225842</v>
      </c>
      <c r="AB394" s="26">
        <f>+$AB$21*0.9*Precios!$P$18/Precios!$W$18/Precios!$Q$18</f>
        <v>12.315987005656668</v>
      </c>
      <c r="AC394" s="29">
        <f t="shared" si="456"/>
        <v>44.463465941569176</v>
      </c>
      <c r="AI394" s="1">
        <v>7241</v>
      </c>
      <c r="AJ394" s="1">
        <v>5762594</v>
      </c>
      <c r="AK394">
        <f t="shared" ref="AK394:AK414" si="460">1.2*1.2</f>
        <v>1.44</v>
      </c>
      <c r="AL394" s="40">
        <f t="shared" ref="AL394:AL414" si="461">4403+1752*1.4+(4403*1*5*1.4)/24</f>
        <v>8140.0083333333323</v>
      </c>
      <c r="AM394">
        <v>4100000</v>
      </c>
      <c r="AN394" s="180">
        <v>41.9</v>
      </c>
      <c r="AO394" s="64">
        <f t="shared" si="457"/>
        <v>2.4232499999999999</v>
      </c>
      <c r="AP394">
        <v>0</v>
      </c>
      <c r="AQ394" s="1">
        <v>0.85</v>
      </c>
    </row>
    <row r="395" spans="1:43" x14ac:dyDescent="0.3">
      <c r="A395" s="199">
        <v>1530</v>
      </c>
      <c r="B395" s="42">
        <v>1514.9</v>
      </c>
      <c r="C395" s="53">
        <f>+'Fisico ASIG'!A395</f>
        <v>2026</v>
      </c>
      <c r="D395" s="52">
        <f>+'Fisico ASIG'!B395</f>
        <v>46296</v>
      </c>
      <c r="E395" s="1">
        <f>+'Fisico ASIG'!C395</f>
        <v>30</v>
      </c>
      <c r="F395" s="56" t="str">
        <f t="shared" si="388"/>
        <v>mar</v>
      </c>
      <c r="G395" s="56">
        <f t="shared" si="389"/>
        <v>46301</v>
      </c>
      <c r="H395" s="17">
        <v>28</v>
      </c>
      <c r="I395" s="17">
        <f t="shared" ref="I395:I400" si="462">AI395/A395</f>
        <v>4.7326797385620916</v>
      </c>
      <c r="J395" s="17">
        <f t="shared" ref="J395:J400" si="463">+AL395/A395</f>
        <v>5.3202668845315895</v>
      </c>
      <c r="K395" s="83">
        <f t="shared" si="458"/>
        <v>6.8583333333333334</v>
      </c>
      <c r="L395" s="17">
        <v>27</v>
      </c>
      <c r="M395" s="17">
        <v>71.5</v>
      </c>
      <c r="N395" s="17">
        <f t="shared" ref="N395:N400" si="464">+AN395+AO395+AP395+AQ395</f>
        <v>45.066499999999998</v>
      </c>
      <c r="O395" s="17">
        <v>19.3</v>
      </c>
      <c r="P395" s="18">
        <f>SUMPRODUCT(H395:O395,'Fisico ASIG'!F395:M395)*24</f>
        <v>7062611.7082875818</v>
      </c>
      <c r="Q395" s="43">
        <v>0</v>
      </c>
      <c r="R395" s="43">
        <f t="shared" ref="R395:R400" si="465">+AJ395*AK395/A395</f>
        <v>5423.6178823529408</v>
      </c>
      <c r="S395" s="43">
        <f t="shared" ref="S395:S400" si="466">+AM395/A395</f>
        <v>2679.7385620915034</v>
      </c>
      <c r="T395" s="43">
        <f t="shared" si="459"/>
        <v>1795.6376259798433</v>
      </c>
      <c r="U395" s="43">
        <v>18000</v>
      </c>
      <c r="V395" s="20">
        <v>0</v>
      </c>
      <c r="W395" s="20">
        <v>21900</v>
      </c>
      <c r="X395" s="20">
        <v>0</v>
      </c>
      <c r="Y395" s="18">
        <f>SUMPRODUCT(Q395:X395,'Fisico ASIG'!O395:V395)/E395</f>
        <v>5075617.8821790004</v>
      </c>
      <c r="Z395" s="25">
        <f t="shared" ref="Z395:Z400" si="467">+(P395+Y395)</f>
        <v>12138229.590466581</v>
      </c>
      <c r="AA395" s="26">
        <f>+Z395/'Fisico ASIG'!N395/24</f>
        <v>51.23172267721241</v>
      </c>
      <c r="AB395" s="26">
        <f>+$AB$21*0.9*Precios!$P$18/Precios!$W$18/Precios!$Q$18</f>
        <v>12.315987005656668</v>
      </c>
      <c r="AC395" s="29">
        <f t="shared" ref="AC395:AC400" si="468">+AA395-AB395</f>
        <v>38.915735671555744</v>
      </c>
      <c r="AI395" s="1">
        <v>7241</v>
      </c>
      <c r="AJ395" s="1">
        <v>5762594</v>
      </c>
      <c r="AK395">
        <f t="shared" si="460"/>
        <v>1.44</v>
      </c>
      <c r="AL395" s="40">
        <f t="shared" si="461"/>
        <v>8140.0083333333323</v>
      </c>
      <c r="AM395">
        <v>4100000</v>
      </c>
      <c r="AN395" s="180">
        <v>41.8</v>
      </c>
      <c r="AO395" s="64">
        <f t="shared" ref="AO395:AO400" si="469">0.075*0.9*(AN395-6)</f>
        <v>2.4165000000000001</v>
      </c>
      <c r="AP395">
        <v>0</v>
      </c>
      <c r="AQ395" s="1">
        <v>0.85</v>
      </c>
    </row>
    <row r="396" spans="1:43" x14ac:dyDescent="0.3">
      <c r="A396" s="199">
        <v>1530</v>
      </c>
      <c r="B396" s="42">
        <v>1514.9</v>
      </c>
      <c r="C396" s="53">
        <f>+'Fisico ASIG'!A396</f>
        <v>2026</v>
      </c>
      <c r="D396" s="52">
        <f>+'Fisico ASIG'!B396</f>
        <v>46296</v>
      </c>
      <c r="E396" s="1">
        <f>+'Fisico ASIG'!C396</f>
        <v>30</v>
      </c>
      <c r="F396" s="56" t="str">
        <f t="shared" si="388"/>
        <v>mié</v>
      </c>
      <c r="G396" s="56">
        <f t="shared" si="389"/>
        <v>46302</v>
      </c>
      <c r="H396" s="17">
        <v>28</v>
      </c>
      <c r="I396" s="17">
        <f t="shared" si="462"/>
        <v>4.7326797385620916</v>
      </c>
      <c r="J396" s="17">
        <f t="shared" si="463"/>
        <v>5.3202668845315895</v>
      </c>
      <c r="K396" s="83">
        <f t="shared" si="458"/>
        <v>6.8583333333333334</v>
      </c>
      <c r="L396" s="17">
        <v>27</v>
      </c>
      <c r="M396" s="17">
        <v>71.5</v>
      </c>
      <c r="N396" s="17">
        <f t="shared" si="464"/>
        <v>43.892250000000004</v>
      </c>
      <c r="O396" s="17">
        <v>74.7</v>
      </c>
      <c r="P396" s="18">
        <f>SUMPRODUCT(H396:O396,'Fisico ASIG'!F396:M396)*24</f>
        <v>7395593.9582614377</v>
      </c>
      <c r="Q396" s="43">
        <v>0</v>
      </c>
      <c r="R396" s="43">
        <f t="shared" si="465"/>
        <v>5423.6178823529408</v>
      </c>
      <c r="S396" s="43">
        <f t="shared" si="466"/>
        <v>2679.7385620915034</v>
      </c>
      <c r="T396" s="43">
        <f t="shared" si="459"/>
        <v>1795.6376259798433</v>
      </c>
      <c r="U396" s="43">
        <v>18000</v>
      </c>
      <c r="V396" s="20">
        <v>0</v>
      </c>
      <c r="W396" s="20">
        <v>21900</v>
      </c>
      <c r="X396" s="20">
        <v>0</v>
      </c>
      <c r="Y396" s="18">
        <f>SUMPRODUCT(Q396:X396,'Fisico ASIG'!O396:V396)/E396</f>
        <v>5099268.1563750785</v>
      </c>
      <c r="Z396" s="25">
        <f t="shared" si="467"/>
        <v>12494862.114636516</v>
      </c>
      <c r="AA396" s="26">
        <f>+Z396/'Fisico ASIG'!N396/24</f>
        <v>57.77596879109106</v>
      </c>
      <c r="AB396" s="26">
        <f>+$AB$21*0.9*Precios!$P$18/Precios!$W$18/Precios!$Q$18</f>
        <v>12.315987005656668</v>
      </c>
      <c r="AC396" s="29">
        <f t="shared" si="468"/>
        <v>45.459981785434394</v>
      </c>
      <c r="AI396" s="1">
        <v>7241</v>
      </c>
      <c r="AJ396" s="1">
        <v>5762594</v>
      </c>
      <c r="AK396">
        <f t="shared" si="460"/>
        <v>1.44</v>
      </c>
      <c r="AL396" s="40">
        <f t="shared" si="461"/>
        <v>8140.0083333333323</v>
      </c>
      <c r="AM396">
        <v>4100000</v>
      </c>
      <c r="AN396" s="180">
        <v>40.700000000000003</v>
      </c>
      <c r="AO396" s="64">
        <f t="shared" si="469"/>
        <v>2.3422500000000004</v>
      </c>
      <c r="AP396">
        <v>0</v>
      </c>
      <c r="AQ396" s="1">
        <v>0.85</v>
      </c>
    </row>
    <row r="397" spans="1:43" x14ac:dyDescent="0.3">
      <c r="A397" s="199">
        <v>1530</v>
      </c>
      <c r="B397" s="42">
        <v>1514.9</v>
      </c>
      <c r="C397" s="53">
        <f>+'Fisico ASIG'!A397</f>
        <v>2026</v>
      </c>
      <c r="D397" s="52">
        <f>+'Fisico ASIG'!B397</f>
        <v>46296</v>
      </c>
      <c r="E397" s="1">
        <f>+'Fisico ASIG'!C397</f>
        <v>30</v>
      </c>
      <c r="F397" s="56" t="str">
        <f t="shared" si="388"/>
        <v>jue</v>
      </c>
      <c r="G397" s="56">
        <f t="shared" si="389"/>
        <v>46303</v>
      </c>
      <c r="H397" s="17">
        <v>28</v>
      </c>
      <c r="I397" s="17">
        <f t="shared" si="462"/>
        <v>4.7326797385620916</v>
      </c>
      <c r="J397" s="17">
        <f t="shared" si="463"/>
        <v>5.3202668845315895</v>
      </c>
      <c r="K397" s="83">
        <f t="shared" si="458"/>
        <v>6.8583333333333334</v>
      </c>
      <c r="L397" s="17">
        <v>27</v>
      </c>
      <c r="M397" s="17">
        <v>71.5</v>
      </c>
      <c r="N397" s="17">
        <f t="shared" si="464"/>
        <v>42.9315</v>
      </c>
      <c r="O397" s="17">
        <v>88.2</v>
      </c>
      <c r="P397" s="18">
        <f>SUMPRODUCT(H397:O397,'Fisico ASIG'!F397:M397)*24</f>
        <v>7259657.0233725496</v>
      </c>
      <c r="Q397" s="43">
        <v>0</v>
      </c>
      <c r="R397" s="43">
        <f t="shared" si="465"/>
        <v>5423.6178823529408</v>
      </c>
      <c r="S397" s="43">
        <f t="shared" si="466"/>
        <v>2679.7385620915034</v>
      </c>
      <c r="T397" s="43">
        <f t="shared" si="459"/>
        <v>1795.6376259798433</v>
      </c>
      <c r="U397" s="43">
        <v>18000</v>
      </c>
      <c r="V397" s="20">
        <v>0</v>
      </c>
      <c r="W397" s="20">
        <v>21900</v>
      </c>
      <c r="X397" s="20">
        <v>0</v>
      </c>
      <c r="Y397" s="18">
        <f>SUMPRODUCT(Q397:X397,'Fisico ASIG'!O397:V397)/E397</f>
        <v>5141079.4145746427</v>
      </c>
      <c r="Z397" s="25">
        <f t="shared" si="467"/>
        <v>12400736.437947191</v>
      </c>
      <c r="AA397" s="26">
        <f>+Z397/'Fisico ASIG'!N397/24</f>
        <v>55.756701368418362</v>
      </c>
      <c r="AB397" s="26">
        <f>+$AB$21*0.9*Precios!$P$18/Precios!$W$18/Precios!$Q$18</f>
        <v>12.315987005656668</v>
      </c>
      <c r="AC397" s="29">
        <f t="shared" si="468"/>
        <v>43.440714362761696</v>
      </c>
      <c r="AI397" s="1">
        <v>7241</v>
      </c>
      <c r="AJ397" s="1">
        <v>5762594</v>
      </c>
      <c r="AK397">
        <f t="shared" si="460"/>
        <v>1.44</v>
      </c>
      <c r="AL397" s="40">
        <f t="shared" si="461"/>
        <v>8140.0083333333323</v>
      </c>
      <c r="AM397">
        <v>4100000</v>
      </c>
      <c r="AN397" s="180">
        <v>39.799999999999997</v>
      </c>
      <c r="AO397" s="64">
        <f t="shared" si="469"/>
        <v>2.2814999999999999</v>
      </c>
      <c r="AP397">
        <v>0</v>
      </c>
      <c r="AQ397" s="1">
        <v>0.85</v>
      </c>
    </row>
    <row r="398" spans="1:43" x14ac:dyDescent="0.3">
      <c r="A398" s="199">
        <v>1530</v>
      </c>
      <c r="B398" s="42">
        <v>1514.9</v>
      </c>
      <c r="C398" s="53">
        <f>+'Fisico ASIG'!A398</f>
        <v>2026</v>
      </c>
      <c r="D398" s="52">
        <f>+'Fisico ASIG'!B398</f>
        <v>46296</v>
      </c>
      <c r="E398" s="1">
        <f>+'Fisico ASIG'!C398</f>
        <v>30</v>
      </c>
      <c r="F398" s="56" t="str">
        <f t="shared" si="388"/>
        <v>vie</v>
      </c>
      <c r="G398" s="56">
        <f t="shared" si="389"/>
        <v>46304</v>
      </c>
      <c r="H398" s="17">
        <v>28</v>
      </c>
      <c r="I398" s="17">
        <f t="shared" si="462"/>
        <v>4.7326797385620916</v>
      </c>
      <c r="J398" s="17">
        <f t="shared" si="463"/>
        <v>5.3202668845315895</v>
      </c>
      <c r="K398" s="83">
        <f t="shared" si="458"/>
        <v>6.8583333333333334</v>
      </c>
      <c r="L398" s="17">
        <v>27</v>
      </c>
      <c r="M398" s="17">
        <v>71.5</v>
      </c>
      <c r="N398" s="17">
        <f t="shared" si="464"/>
        <v>41.223500000000001</v>
      </c>
      <c r="O398" s="17">
        <v>19.5</v>
      </c>
      <c r="P398" s="18">
        <f>SUMPRODUCT(H398:O398,'Fisico ASIG'!F398:M398)*24</f>
        <v>7585475.546928104</v>
      </c>
      <c r="Q398" s="43">
        <v>0</v>
      </c>
      <c r="R398" s="43">
        <f t="shared" si="465"/>
        <v>5423.6178823529408</v>
      </c>
      <c r="S398" s="43">
        <f t="shared" si="466"/>
        <v>2679.7385620915034</v>
      </c>
      <c r="T398" s="43">
        <f t="shared" si="459"/>
        <v>1795.6376259798433</v>
      </c>
      <c r="U398" s="43">
        <v>18000</v>
      </c>
      <c r="V398" s="20">
        <v>0</v>
      </c>
      <c r="W398" s="20">
        <v>21900</v>
      </c>
      <c r="X398" s="20">
        <v>0</v>
      </c>
      <c r="Y398" s="18">
        <f>SUMPRODUCT(Q398:X398,'Fisico ASIG'!O398:V398)/E398</f>
        <v>5200362.7980413102</v>
      </c>
      <c r="Z398" s="25">
        <f t="shared" si="467"/>
        <v>12785838.344969414</v>
      </c>
      <c r="AA398" s="26">
        <f>+Z398/'Fisico ASIG'!N398/24</f>
        <v>50.430070463245507</v>
      </c>
      <c r="AB398" s="26">
        <f>+$AB$21*0.9*Precios!$P$18/Precios!$W$18/Precios!$Q$18</f>
        <v>12.315987005656668</v>
      </c>
      <c r="AC398" s="29">
        <f t="shared" si="468"/>
        <v>38.114083457588841</v>
      </c>
      <c r="AI398" s="1">
        <v>7241</v>
      </c>
      <c r="AJ398" s="1">
        <v>5762594</v>
      </c>
      <c r="AK398">
        <f t="shared" si="460"/>
        <v>1.44</v>
      </c>
      <c r="AL398" s="40">
        <f t="shared" si="461"/>
        <v>8140.0083333333323</v>
      </c>
      <c r="AM398">
        <v>4100000</v>
      </c>
      <c r="AN398" s="180">
        <v>38.200000000000003</v>
      </c>
      <c r="AO398" s="64">
        <f t="shared" si="469"/>
        <v>2.1735000000000002</v>
      </c>
      <c r="AP398">
        <v>0</v>
      </c>
      <c r="AQ398" s="1">
        <v>0.85</v>
      </c>
    </row>
    <row r="399" spans="1:43" x14ac:dyDescent="0.3">
      <c r="A399" s="199">
        <v>1530</v>
      </c>
      <c r="B399" s="42">
        <v>1514.9</v>
      </c>
      <c r="C399" s="53">
        <f>+'Fisico ASIG'!A399</f>
        <v>2026</v>
      </c>
      <c r="D399" s="52">
        <f>+'Fisico ASIG'!B399</f>
        <v>46296</v>
      </c>
      <c r="E399" s="1">
        <f>+'Fisico ASIG'!C399</f>
        <v>30</v>
      </c>
      <c r="F399" s="56" t="str">
        <f t="shared" si="388"/>
        <v>sáb</v>
      </c>
      <c r="G399" s="56">
        <f t="shared" si="389"/>
        <v>46305</v>
      </c>
      <c r="H399" s="17">
        <v>28</v>
      </c>
      <c r="I399" s="17">
        <f t="shared" si="462"/>
        <v>4.7326797385620916</v>
      </c>
      <c r="J399" s="17">
        <f t="shared" si="463"/>
        <v>5.3202668845315895</v>
      </c>
      <c r="K399" s="83">
        <f t="shared" si="458"/>
        <v>6.8583333333333334</v>
      </c>
      <c r="L399" s="17">
        <v>27</v>
      </c>
      <c r="M399" s="17">
        <v>71.5</v>
      </c>
      <c r="N399" s="17">
        <f t="shared" si="464"/>
        <v>43.038249999999998</v>
      </c>
      <c r="O399" s="17">
        <v>18.8</v>
      </c>
      <c r="P399" s="18">
        <f>SUMPRODUCT(H399:O399,'Fisico ASIG'!F399:M399)*24</f>
        <v>7409939.5123529416</v>
      </c>
      <c r="Q399" s="43">
        <v>0</v>
      </c>
      <c r="R399" s="43">
        <f t="shared" si="465"/>
        <v>5423.6178823529408</v>
      </c>
      <c r="S399" s="43">
        <f t="shared" si="466"/>
        <v>2679.7385620915034</v>
      </c>
      <c r="T399" s="43">
        <f t="shared" si="459"/>
        <v>1795.6376259798433</v>
      </c>
      <c r="U399" s="43">
        <v>18000</v>
      </c>
      <c r="V399" s="20">
        <v>0</v>
      </c>
      <c r="W399" s="20">
        <v>21900</v>
      </c>
      <c r="X399" s="20">
        <v>0</v>
      </c>
      <c r="Y399" s="18">
        <f>SUMPRODUCT(Q399:X399,'Fisico ASIG'!O399:V399)/E399</f>
        <v>5233958.201091419</v>
      </c>
      <c r="Z399" s="25">
        <f t="shared" si="467"/>
        <v>12643897.71344436</v>
      </c>
      <c r="AA399" s="26">
        <f>+Z399/'Fisico ASIG'!N399/24</f>
        <v>51.705669976790169</v>
      </c>
      <c r="AB399" s="26">
        <f>+$AB$21*0.9*Precios!$P$18/Precios!$W$18/Precios!$Q$18</f>
        <v>12.315987005656668</v>
      </c>
      <c r="AC399" s="29">
        <f t="shared" si="468"/>
        <v>39.389682971133503</v>
      </c>
      <c r="AI399" s="1">
        <v>7241</v>
      </c>
      <c r="AJ399" s="1">
        <v>5762594</v>
      </c>
      <c r="AK399">
        <f t="shared" si="460"/>
        <v>1.44</v>
      </c>
      <c r="AL399" s="40">
        <f t="shared" si="461"/>
        <v>8140.0083333333323</v>
      </c>
      <c r="AM399">
        <v>4100000</v>
      </c>
      <c r="AN399" s="180">
        <v>39.9</v>
      </c>
      <c r="AO399" s="64">
        <f t="shared" si="469"/>
        <v>2.2882500000000001</v>
      </c>
      <c r="AP399">
        <v>0</v>
      </c>
      <c r="AQ399" s="1">
        <v>0.85</v>
      </c>
    </row>
    <row r="400" spans="1:43" x14ac:dyDescent="0.3">
      <c r="A400" s="199">
        <v>1530</v>
      </c>
      <c r="B400" s="42">
        <v>1514.9</v>
      </c>
      <c r="C400" s="53">
        <f>+'Fisico ASIG'!A400</f>
        <v>2026</v>
      </c>
      <c r="D400" s="52">
        <f>+'Fisico ASIG'!B400</f>
        <v>46296</v>
      </c>
      <c r="E400" s="1">
        <f>+'Fisico ASIG'!C400</f>
        <v>30</v>
      </c>
      <c r="F400" s="56" t="str">
        <f t="shared" si="388"/>
        <v>dom</v>
      </c>
      <c r="G400" s="56">
        <f t="shared" si="389"/>
        <v>46306</v>
      </c>
      <c r="H400" s="17">
        <v>28</v>
      </c>
      <c r="I400" s="17">
        <f t="shared" si="462"/>
        <v>4.7326797385620916</v>
      </c>
      <c r="J400" s="17">
        <f t="shared" si="463"/>
        <v>5.3202668845315895</v>
      </c>
      <c r="K400" s="83">
        <f t="shared" si="458"/>
        <v>6.8583333333333334</v>
      </c>
      <c r="L400" s="17">
        <v>27</v>
      </c>
      <c r="M400" s="17">
        <v>71.5</v>
      </c>
      <c r="N400" s="17">
        <f t="shared" si="464"/>
        <v>43.038249999999998</v>
      </c>
      <c r="O400" s="17">
        <v>18.2</v>
      </c>
      <c r="P400" s="18">
        <f>SUMPRODUCT(H400:O400,'Fisico ASIG'!F400:M400)*24</f>
        <v>7068733.6108496729</v>
      </c>
      <c r="Q400" s="43">
        <v>0</v>
      </c>
      <c r="R400" s="43">
        <f t="shared" si="465"/>
        <v>5423.6178823529408</v>
      </c>
      <c r="S400" s="43">
        <f t="shared" si="466"/>
        <v>2679.7385620915034</v>
      </c>
      <c r="T400" s="43">
        <f t="shared" si="459"/>
        <v>1795.6376259798433</v>
      </c>
      <c r="U400" s="43">
        <v>18000</v>
      </c>
      <c r="V400" s="20">
        <v>0</v>
      </c>
      <c r="W400" s="20">
        <v>21900</v>
      </c>
      <c r="X400" s="20">
        <v>0</v>
      </c>
      <c r="Y400" s="18">
        <f>SUMPRODUCT(Q400:X400,'Fisico ASIG'!O400:V400)/E400</f>
        <v>5160123.4734225729</v>
      </c>
      <c r="Z400" s="25">
        <f t="shared" si="467"/>
        <v>12228857.084272247</v>
      </c>
      <c r="AA400" s="26">
        <f>+Z400/'Fisico ASIG'!N400/24</f>
        <v>54.027750169088847</v>
      </c>
      <c r="AB400" s="26">
        <f>+$AB$21*0.9*Precios!$P$18/Precios!$W$18/Precios!$Q$18</f>
        <v>12.315987005656668</v>
      </c>
      <c r="AC400" s="29">
        <f t="shared" si="468"/>
        <v>41.711763163432181</v>
      </c>
      <c r="AI400" s="1">
        <v>7241</v>
      </c>
      <c r="AJ400" s="1">
        <v>5762594</v>
      </c>
      <c r="AK400">
        <f t="shared" si="460"/>
        <v>1.44</v>
      </c>
      <c r="AL400" s="40">
        <f t="shared" si="461"/>
        <v>8140.0083333333323</v>
      </c>
      <c r="AM400">
        <v>4100000</v>
      </c>
      <c r="AN400" s="180">
        <v>39.9</v>
      </c>
      <c r="AO400" s="64">
        <f t="shared" si="469"/>
        <v>2.2882500000000001</v>
      </c>
      <c r="AP400">
        <v>0</v>
      </c>
      <c r="AQ400" s="1">
        <v>0.85</v>
      </c>
    </row>
    <row r="401" spans="1:43" x14ac:dyDescent="0.3">
      <c r="A401" s="199">
        <v>1530</v>
      </c>
      <c r="B401" s="42">
        <v>1519.2</v>
      </c>
      <c r="C401" s="53">
        <f>+'Fisico ASIG'!A401</f>
        <v>2026</v>
      </c>
      <c r="D401" s="52">
        <f>+'Fisico ASIG'!B401</f>
        <v>46296</v>
      </c>
      <c r="E401" s="1">
        <f>+'Fisico ASIG'!C401</f>
        <v>30</v>
      </c>
      <c r="F401" s="56" t="str">
        <f t="shared" si="388"/>
        <v>lun</v>
      </c>
      <c r="G401" s="56">
        <f t="shared" si="389"/>
        <v>46307</v>
      </c>
      <c r="H401" s="17">
        <v>28</v>
      </c>
      <c r="I401" s="17">
        <f t="shared" ref="I401:I414" si="470">AI401/A401</f>
        <v>4.7326797385620916</v>
      </c>
      <c r="J401" s="17">
        <f t="shared" ref="J401:J414" si="471">+AL401/A401</f>
        <v>5.3202668845315895</v>
      </c>
      <c r="K401" s="83">
        <f t="shared" si="458"/>
        <v>6.8583333333333334</v>
      </c>
      <c r="L401" s="17">
        <v>27</v>
      </c>
      <c r="M401" s="17">
        <v>71.5</v>
      </c>
      <c r="N401" s="17">
        <f t="shared" ref="N401:N414" si="472">+AN401+AO401+AP401+AQ401</f>
        <v>43.785500000000006</v>
      </c>
      <c r="O401" s="17">
        <v>19.8</v>
      </c>
      <c r="P401" s="18">
        <f>SUMPRODUCT(H401:O401,'Fisico ASIG'!F401:M401)*24</f>
        <v>7183908.3198954258</v>
      </c>
      <c r="Q401" s="43">
        <v>0</v>
      </c>
      <c r="R401" s="43">
        <f t="shared" ref="R401:R414" si="473">+AJ401*AK401/A401</f>
        <v>5423.6178823529408</v>
      </c>
      <c r="S401" s="43">
        <f t="shared" ref="S401:S414" si="474">+AM401/A401</f>
        <v>2679.7385620915034</v>
      </c>
      <c r="T401" s="43">
        <f t="shared" si="459"/>
        <v>1795.6376259798433</v>
      </c>
      <c r="U401" s="43">
        <v>18000</v>
      </c>
      <c r="V401" s="20">
        <v>0</v>
      </c>
      <c r="W401" s="20">
        <v>21900</v>
      </c>
      <c r="X401" s="20">
        <v>0</v>
      </c>
      <c r="Y401" s="18">
        <f>SUMPRODUCT(Q401:X401,'Fisico ASIG'!O401:V401)/E401</f>
        <v>5140986.5130600464</v>
      </c>
      <c r="Z401" s="25">
        <f t="shared" ref="Z401:Z414" si="475">+(P401+Y401)</f>
        <v>12324894.832955472</v>
      </c>
      <c r="AA401" s="26">
        <f>+Z401/'Fisico ASIG'!N401/24</f>
        <v>53.582771776552384</v>
      </c>
      <c r="AB401" s="26">
        <f>+$AB$21*0.9*Precios!$P$18/Precios!$W$18/Precios!$Q$18</f>
        <v>12.315987005656668</v>
      </c>
      <c r="AC401" s="29">
        <f t="shared" ref="AC401:AC414" si="476">+AA401-AB401</f>
        <v>41.266784770895718</v>
      </c>
      <c r="AI401" s="1">
        <v>7241</v>
      </c>
      <c r="AJ401" s="1">
        <v>5762594</v>
      </c>
      <c r="AK401">
        <f t="shared" si="460"/>
        <v>1.44</v>
      </c>
      <c r="AL401" s="40">
        <f t="shared" si="461"/>
        <v>8140.0083333333323</v>
      </c>
      <c r="AM401">
        <v>4100000</v>
      </c>
      <c r="AN401" s="180">
        <v>40.6</v>
      </c>
      <c r="AO401" s="64">
        <f t="shared" ref="AO401:AO414" si="477">0.075*0.9*(AN401-6)</f>
        <v>2.3355000000000001</v>
      </c>
      <c r="AP401">
        <v>0</v>
      </c>
      <c r="AQ401" s="1">
        <v>0.85</v>
      </c>
    </row>
    <row r="402" spans="1:43" x14ac:dyDescent="0.3">
      <c r="A402" s="199">
        <v>1530</v>
      </c>
      <c r="B402" s="42">
        <v>1519.2</v>
      </c>
      <c r="C402" s="53">
        <f>+'Fisico ASIG'!A402</f>
        <v>2026</v>
      </c>
      <c r="D402" s="52">
        <f>+'Fisico ASIG'!B402</f>
        <v>46296</v>
      </c>
      <c r="E402" s="1">
        <f>+'Fisico ASIG'!C402</f>
        <v>30</v>
      </c>
      <c r="F402" s="56" t="str">
        <f t="shared" si="388"/>
        <v>mar</v>
      </c>
      <c r="G402" s="56">
        <f t="shared" si="389"/>
        <v>46308</v>
      </c>
      <c r="H402" s="17">
        <v>28</v>
      </c>
      <c r="I402" s="17">
        <f t="shared" si="470"/>
        <v>4.7326797385620916</v>
      </c>
      <c r="J402" s="17">
        <f t="shared" si="471"/>
        <v>5.3202668845315895</v>
      </c>
      <c r="K402" s="83">
        <f t="shared" si="458"/>
        <v>6.8583333333333334</v>
      </c>
      <c r="L402" s="17">
        <v>27</v>
      </c>
      <c r="M402" s="17">
        <v>71.5</v>
      </c>
      <c r="N402" s="17">
        <f t="shared" si="472"/>
        <v>42.611249999999998</v>
      </c>
      <c r="O402" s="17">
        <v>19.5</v>
      </c>
      <c r="P402" s="18">
        <f>SUMPRODUCT(H402:O402,'Fisico ASIG'!F402:M402)*24</f>
        <v>7215061.279673202</v>
      </c>
      <c r="Q402" s="43">
        <v>0</v>
      </c>
      <c r="R402" s="43">
        <f t="shared" si="473"/>
        <v>5423.6178823529408</v>
      </c>
      <c r="S402" s="43">
        <f t="shared" si="474"/>
        <v>2679.7385620915034</v>
      </c>
      <c r="T402" s="43">
        <f t="shared" si="459"/>
        <v>1795.6376259798433</v>
      </c>
      <c r="U402" s="43">
        <v>18000</v>
      </c>
      <c r="V402" s="20">
        <v>0</v>
      </c>
      <c r="W402" s="20">
        <v>21900</v>
      </c>
      <c r="X402" s="20">
        <v>0</v>
      </c>
      <c r="Y402" s="18">
        <f>SUMPRODUCT(Q402:X402,'Fisico ASIG'!O402:V402)/E402</f>
        <v>5107469.9915105542</v>
      </c>
      <c r="Z402" s="25">
        <f t="shared" si="475"/>
        <v>12322531.271183755</v>
      </c>
      <c r="AA402" s="26">
        <f>+Z402/'Fisico ASIG'!N402/24</f>
        <v>52.035958545250814</v>
      </c>
      <c r="AB402" s="26">
        <f>+$AB$21*0.9*Precios!$P$18/Precios!$W$18/Precios!$Q$18</f>
        <v>12.315987005656668</v>
      </c>
      <c r="AC402" s="29">
        <f t="shared" si="476"/>
        <v>39.719971539594148</v>
      </c>
      <c r="AI402" s="1">
        <v>7241</v>
      </c>
      <c r="AJ402" s="1">
        <v>5762594</v>
      </c>
      <c r="AK402">
        <f t="shared" si="460"/>
        <v>1.44</v>
      </c>
      <c r="AL402" s="40">
        <f t="shared" si="461"/>
        <v>8140.0083333333323</v>
      </c>
      <c r="AM402">
        <v>4100000</v>
      </c>
      <c r="AN402" s="180">
        <v>39.5</v>
      </c>
      <c r="AO402" s="64">
        <f t="shared" si="477"/>
        <v>2.26125</v>
      </c>
      <c r="AP402">
        <v>0</v>
      </c>
      <c r="AQ402" s="1">
        <v>0.85</v>
      </c>
    </row>
    <row r="403" spans="1:43" x14ac:dyDescent="0.3">
      <c r="A403" s="199">
        <v>1530</v>
      </c>
      <c r="B403" s="42">
        <v>1519.2</v>
      </c>
      <c r="C403" s="53">
        <f>+'Fisico ASIG'!A403</f>
        <v>2026</v>
      </c>
      <c r="D403" s="52">
        <f>+'Fisico ASIG'!B403</f>
        <v>46296</v>
      </c>
      <c r="E403" s="1">
        <f>+'Fisico ASIG'!C403</f>
        <v>30</v>
      </c>
      <c r="F403" s="56" t="str">
        <f t="shared" si="388"/>
        <v>mié</v>
      </c>
      <c r="G403" s="56">
        <f t="shared" si="389"/>
        <v>46309</v>
      </c>
      <c r="H403" s="17">
        <v>28</v>
      </c>
      <c r="I403" s="17">
        <f t="shared" si="470"/>
        <v>4.7326797385620916</v>
      </c>
      <c r="J403" s="17">
        <f t="shared" si="471"/>
        <v>5.3202668845315895</v>
      </c>
      <c r="K403" s="83">
        <f t="shared" si="458"/>
        <v>6.8583333333333334</v>
      </c>
      <c r="L403" s="17">
        <v>27</v>
      </c>
      <c r="M403" s="17">
        <v>71.5</v>
      </c>
      <c r="N403" s="17">
        <f t="shared" si="472"/>
        <v>44.639499999999998</v>
      </c>
      <c r="O403" s="17">
        <v>105.3</v>
      </c>
      <c r="P403" s="18">
        <f>SUMPRODUCT(H403:O403,'Fisico ASIG'!F403:M403)*24</f>
        <v>6497284.3498039208</v>
      </c>
      <c r="Q403" s="43">
        <v>0</v>
      </c>
      <c r="R403" s="43">
        <f t="shared" si="473"/>
        <v>5423.6178823529408</v>
      </c>
      <c r="S403" s="43">
        <f t="shared" si="474"/>
        <v>2679.7385620915034</v>
      </c>
      <c r="T403" s="43">
        <f t="shared" si="459"/>
        <v>1795.6376259798433</v>
      </c>
      <c r="U403" s="43">
        <v>18000</v>
      </c>
      <c r="V403" s="20">
        <v>0</v>
      </c>
      <c r="W403" s="20">
        <v>21900</v>
      </c>
      <c r="X403" s="20">
        <v>0</v>
      </c>
      <c r="Y403" s="18">
        <f>SUMPRODUCT(Q403:X403,'Fisico ASIG'!O403:V403)/E403</f>
        <v>5095886.866232994</v>
      </c>
      <c r="Z403" s="25">
        <f t="shared" si="475"/>
        <v>11593171.216036916</v>
      </c>
      <c r="AA403" s="26">
        <f>+Z403/'Fisico ASIG'!N403/24</f>
        <v>52.35733803037121</v>
      </c>
      <c r="AB403" s="26">
        <f>+$AB$21*0.9*Precios!$P$18/Precios!$W$18/Precios!$Q$18</f>
        <v>12.315987005656668</v>
      </c>
      <c r="AC403" s="29">
        <f t="shared" si="476"/>
        <v>40.041351024714544</v>
      </c>
      <c r="AI403" s="1">
        <v>7241</v>
      </c>
      <c r="AJ403" s="1">
        <v>5762594</v>
      </c>
      <c r="AK403">
        <f t="shared" si="460"/>
        <v>1.44</v>
      </c>
      <c r="AL403" s="40">
        <f t="shared" si="461"/>
        <v>8140.0083333333323</v>
      </c>
      <c r="AM403">
        <v>4100000</v>
      </c>
      <c r="AN403" s="180">
        <v>41.4</v>
      </c>
      <c r="AO403" s="64">
        <f t="shared" si="477"/>
        <v>2.3895</v>
      </c>
      <c r="AP403">
        <v>0</v>
      </c>
      <c r="AQ403" s="1">
        <v>0.85</v>
      </c>
    </row>
    <row r="404" spans="1:43" x14ac:dyDescent="0.3">
      <c r="A404" s="199">
        <v>1530</v>
      </c>
      <c r="B404" s="42">
        <v>1519.2</v>
      </c>
      <c r="C404" s="53">
        <f>+'Fisico ASIG'!A404</f>
        <v>2026</v>
      </c>
      <c r="D404" s="52">
        <f>+'Fisico ASIG'!B404</f>
        <v>46296</v>
      </c>
      <c r="E404" s="1">
        <f>+'Fisico ASIG'!C404</f>
        <v>30</v>
      </c>
      <c r="F404" s="56" t="str">
        <f t="shared" si="388"/>
        <v>jue</v>
      </c>
      <c r="G404" s="56">
        <f t="shared" si="389"/>
        <v>46310</v>
      </c>
      <c r="H404" s="17">
        <v>28</v>
      </c>
      <c r="I404" s="17">
        <f t="shared" si="470"/>
        <v>4.7326797385620916</v>
      </c>
      <c r="J404" s="17">
        <f t="shared" si="471"/>
        <v>5.3202668845315895</v>
      </c>
      <c r="K404" s="83">
        <f t="shared" si="458"/>
        <v>6.8583333333333334</v>
      </c>
      <c r="L404" s="17">
        <v>27</v>
      </c>
      <c r="M404" s="17">
        <v>71.5</v>
      </c>
      <c r="N404" s="17">
        <f t="shared" si="472"/>
        <v>49.229750000000003</v>
      </c>
      <c r="O404" s="17">
        <v>25.5</v>
      </c>
      <c r="P404" s="18">
        <f>SUMPRODUCT(H404:O404,'Fisico ASIG'!F404:M404)*24</f>
        <v>6748171.5999477133</v>
      </c>
      <c r="Q404" s="43">
        <v>0</v>
      </c>
      <c r="R404" s="43">
        <f t="shared" si="473"/>
        <v>5423.6178823529408</v>
      </c>
      <c r="S404" s="43">
        <f t="shared" si="474"/>
        <v>2679.7385620915034</v>
      </c>
      <c r="T404" s="43">
        <f t="shared" si="459"/>
        <v>1795.6376259798433</v>
      </c>
      <c r="U404" s="43">
        <v>18000</v>
      </c>
      <c r="V404" s="20">
        <v>0</v>
      </c>
      <c r="W404" s="20">
        <v>21900</v>
      </c>
      <c r="X404" s="20">
        <v>0</v>
      </c>
      <c r="Y404" s="18">
        <f>SUMPRODUCT(Q404:X404,'Fisico ASIG'!O404:V404)/E404</f>
        <v>5093960.0335608749</v>
      </c>
      <c r="Z404" s="25">
        <f t="shared" si="475"/>
        <v>11842131.633508589</v>
      </c>
      <c r="AA404" s="26">
        <f>+Z404/'Fisico ASIG'!N404/24</f>
        <v>53.273823299092122</v>
      </c>
      <c r="AB404" s="26">
        <f>+$AB$21*0.9*Precios!$P$18/Precios!$W$18/Precios!$Q$18</f>
        <v>12.315987005656668</v>
      </c>
      <c r="AC404" s="29">
        <f t="shared" si="476"/>
        <v>40.957836293435456</v>
      </c>
      <c r="AI404" s="1">
        <v>7241</v>
      </c>
      <c r="AJ404" s="1">
        <v>5762594</v>
      </c>
      <c r="AK404">
        <f t="shared" si="460"/>
        <v>1.44</v>
      </c>
      <c r="AL404" s="40">
        <f t="shared" si="461"/>
        <v>8140.0083333333323</v>
      </c>
      <c r="AM404">
        <v>4100000</v>
      </c>
      <c r="AN404" s="180">
        <v>45.7</v>
      </c>
      <c r="AO404" s="64">
        <f t="shared" si="477"/>
        <v>2.6797500000000003</v>
      </c>
      <c r="AP404">
        <v>0</v>
      </c>
      <c r="AQ404" s="1">
        <v>0.85</v>
      </c>
    </row>
    <row r="405" spans="1:43" x14ac:dyDescent="0.3">
      <c r="A405" s="199">
        <v>1530</v>
      </c>
      <c r="B405" s="42">
        <v>1519.2</v>
      </c>
      <c r="C405" s="53">
        <f>+'Fisico ASIG'!A405</f>
        <v>2026</v>
      </c>
      <c r="D405" s="52">
        <f>+'Fisico ASIG'!B405</f>
        <v>46296</v>
      </c>
      <c r="E405" s="1">
        <f>+'Fisico ASIG'!C405</f>
        <v>30</v>
      </c>
      <c r="F405" s="56" t="str">
        <f t="shared" si="388"/>
        <v>vie</v>
      </c>
      <c r="G405" s="56">
        <f t="shared" si="389"/>
        <v>46311</v>
      </c>
      <c r="H405" s="17">
        <v>28</v>
      </c>
      <c r="I405" s="17">
        <f t="shared" si="470"/>
        <v>4.7326797385620916</v>
      </c>
      <c r="J405" s="17">
        <f t="shared" si="471"/>
        <v>5.3202668845315895</v>
      </c>
      <c r="K405" s="83">
        <f t="shared" si="458"/>
        <v>6.8583333333333334</v>
      </c>
      <c r="L405" s="17">
        <v>27</v>
      </c>
      <c r="M405" s="17">
        <v>71.5</v>
      </c>
      <c r="N405" s="17">
        <f t="shared" si="472"/>
        <v>49.229750000000003</v>
      </c>
      <c r="O405" s="17">
        <v>56.7</v>
      </c>
      <c r="P405" s="18">
        <f>SUMPRODUCT(H405:O405,'Fisico ASIG'!F405:M405)*24</f>
        <v>6214170.7826274512</v>
      </c>
      <c r="Q405" s="43">
        <v>0</v>
      </c>
      <c r="R405" s="43">
        <f t="shared" si="473"/>
        <v>5423.6178823529408</v>
      </c>
      <c r="S405" s="43">
        <f t="shared" si="474"/>
        <v>2679.7385620915034</v>
      </c>
      <c r="T405" s="43">
        <f t="shared" si="459"/>
        <v>1795.6376259798433</v>
      </c>
      <c r="U405" s="43">
        <v>18000</v>
      </c>
      <c r="V405" s="20">
        <v>0</v>
      </c>
      <c r="W405" s="20">
        <v>21900</v>
      </c>
      <c r="X405" s="20">
        <v>0</v>
      </c>
      <c r="Y405" s="18">
        <f>SUMPRODUCT(Q405:X405,'Fisico ASIG'!O405:V405)/E405</f>
        <v>5192814.8370606573</v>
      </c>
      <c r="Z405" s="25">
        <f t="shared" si="475"/>
        <v>11406985.619688109</v>
      </c>
      <c r="AA405" s="26">
        <f>+Z405/'Fisico ASIG'!N405/24</f>
        <v>54.480865140647012</v>
      </c>
      <c r="AB405" s="26">
        <f>+$AB$21*0.9*Precios!$P$18/Precios!$W$18/Precios!$Q$18</f>
        <v>12.315987005656668</v>
      </c>
      <c r="AC405" s="29">
        <f t="shared" si="476"/>
        <v>42.164878134990346</v>
      </c>
      <c r="AI405" s="1">
        <v>7241</v>
      </c>
      <c r="AJ405" s="1">
        <v>5762594</v>
      </c>
      <c r="AK405">
        <f t="shared" si="460"/>
        <v>1.44</v>
      </c>
      <c r="AL405" s="40">
        <f t="shared" si="461"/>
        <v>8140.0083333333323</v>
      </c>
      <c r="AM405">
        <v>4100000</v>
      </c>
      <c r="AN405" s="180">
        <v>45.7</v>
      </c>
      <c r="AO405" s="64">
        <f t="shared" si="477"/>
        <v>2.6797500000000003</v>
      </c>
      <c r="AP405">
        <v>0</v>
      </c>
      <c r="AQ405" s="1">
        <v>0.85</v>
      </c>
    </row>
    <row r="406" spans="1:43" x14ac:dyDescent="0.3">
      <c r="A406" s="199">
        <v>1530</v>
      </c>
      <c r="B406" s="42">
        <v>1519.2</v>
      </c>
      <c r="C406" s="53">
        <f>+'Fisico ASIG'!A406</f>
        <v>2026</v>
      </c>
      <c r="D406" s="52">
        <f>+'Fisico ASIG'!B406</f>
        <v>46296</v>
      </c>
      <c r="E406" s="1">
        <f>+'Fisico ASIG'!C406</f>
        <v>30</v>
      </c>
      <c r="F406" s="56" t="str">
        <f t="shared" ref="F406:F414" si="478">+F399</f>
        <v>sáb</v>
      </c>
      <c r="G406" s="56">
        <f t="shared" si="389"/>
        <v>46312</v>
      </c>
      <c r="H406" s="17">
        <v>28</v>
      </c>
      <c r="I406" s="17">
        <f t="shared" si="470"/>
        <v>4.7326797385620916</v>
      </c>
      <c r="J406" s="17">
        <f t="shared" si="471"/>
        <v>5.3202668845315895</v>
      </c>
      <c r="K406" s="83">
        <f t="shared" si="458"/>
        <v>6.8583333333333334</v>
      </c>
      <c r="L406" s="17">
        <v>27</v>
      </c>
      <c r="M406" s="17">
        <v>71.5</v>
      </c>
      <c r="N406" s="17">
        <f>+AN406+AO406+AP406+AQ406</f>
        <v>63.854500000000002</v>
      </c>
      <c r="O406" s="17">
        <v>31.9</v>
      </c>
      <c r="P406" s="18">
        <f>SUMPRODUCT(H406:O406,'Fisico ASIG'!F406:M406)*24</f>
        <v>6794311.6260392163</v>
      </c>
      <c r="Q406" s="43">
        <v>0</v>
      </c>
      <c r="R406" s="43">
        <f t="shared" si="473"/>
        <v>5423.6178823529408</v>
      </c>
      <c r="S406" s="43">
        <f t="shared" si="474"/>
        <v>2679.7385620915034</v>
      </c>
      <c r="T406" s="43">
        <f t="shared" si="459"/>
        <v>1795.6376259798433</v>
      </c>
      <c r="U406" s="43">
        <v>18000</v>
      </c>
      <c r="V406" s="20">
        <v>0</v>
      </c>
      <c r="W406" s="20">
        <v>21900</v>
      </c>
      <c r="X406" s="20">
        <v>0</v>
      </c>
      <c r="Y406" s="18">
        <f>SUMPRODUCT(Q406:X406,'Fisico ASIG'!O406:V406)/E406</f>
        <v>5237648.0613917299</v>
      </c>
      <c r="Z406" s="25">
        <f t="shared" si="475"/>
        <v>12031959.687430946</v>
      </c>
      <c r="AA406" s="26">
        <f>+Z406/'Fisico ASIG'!N406/24</f>
        <v>56.692485993775428</v>
      </c>
      <c r="AB406" s="26">
        <f>+$AB$21*0.9*Precios!$P$18/Precios!$W$18/Precios!$Q$18</f>
        <v>12.315987005656668</v>
      </c>
      <c r="AC406" s="29">
        <f t="shared" si="476"/>
        <v>44.376498988118762</v>
      </c>
      <c r="AI406" s="1">
        <v>7241</v>
      </c>
      <c r="AJ406" s="1">
        <v>5762594</v>
      </c>
      <c r="AK406">
        <f t="shared" si="460"/>
        <v>1.44</v>
      </c>
      <c r="AL406" s="40">
        <f t="shared" si="461"/>
        <v>8140.0083333333323</v>
      </c>
      <c r="AM406">
        <v>4100000</v>
      </c>
      <c r="AN406" s="180">
        <v>59.4</v>
      </c>
      <c r="AO406" s="64">
        <f t="shared" si="477"/>
        <v>3.6045000000000003</v>
      </c>
      <c r="AP406">
        <v>0</v>
      </c>
      <c r="AQ406" s="1">
        <v>0.85</v>
      </c>
    </row>
    <row r="407" spans="1:43" x14ac:dyDescent="0.3">
      <c r="A407" s="199">
        <v>1530</v>
      </c>
      <c r="B407" s="42">
        <v>1519.2</v>
      </c>
      <c r="C407" s="53">
        <f>+'Fisico ASIG'!A407</f>
        <v>2026</v>
      </c>
      <c r="D407" s="52">
        <f>+'Fisico ASIG'!B407</f>
        <v>46296</v>
      </c>
      <c r="E407" s="1">
        <f>+'Fisico ASIG'!C407</f>
        <v>30</v>
      </c>
      <c r="F407" s="56" t="str">
        <f t="shared" si="478"/>
        <v>dom</v>
      </c>
      <c r="G407" s="56">
        <f t="shared" si="389"/>
        <v>46313</v>
      </c>
      <c r="H407" s="17">
        <v>28</v>
      </c>
      <c r="I407" s="17">
        <f t="shared" ref="I407:I414" si="479">AI407/A407</f>
        <v>4.7326797385620916</v>
      </c>
      <c r="J407" s="17">
        <f t="shared" ref="J407:J414" si="480">+AL407/A407</f>
        <v>5.3202668845315895</v>
      </c>
      <c r="K407" s="83">
        <f t="shared" si="458"/>
        <v>6.8583333333333334</v>
      </c>
      <c r="L407" s="17">
        <v>27</v>
      </c>
      <c r="M407" s="17">
        <v>71.5</v>
      </c>
      <c r="N407" s="17">
        <f t="shared" ref="N407:N414" si="481">+AN407+AO407+AP407+AQ407</f>
        <v>57.983249999999998</v>
      </c>
      <c r="O407" s="17">
        <v>28.4</v>
      </c>
      <c r="P407" s="18">
        <f>SUMPRODUCT(H407:O407,'Fisico ASIG'!F407:M407)*24</f>
        <v>6456780.7959215697</v>
      </c>
      <c r="Q407" s="43">
        <v>0</v>
      </c>
      <c r="R407" s="43">
        <f t="shared" ref="R407:R414" si="482">+AJ407*AK407/A407</f>
        <v>5423.6178823529408</v>
      </c>
      <c r="S407" s="43">
        <f t="shared" ref="S407:S414" si="483">+AM407/A407</f>
        <v>2679.7385620915034</v>
      </c>
      <c r="T407" s="43">
        <f t="shared" si="459"/>
        <v>1795.6376259798433</v>
      </c>
      <c r="U407" s="43">
        <v>18000</v>
      </c>
      <c r="V407" s="20">
        <v>0</v>
      </c>
      <c r="W407" s="20">
        <v>21900</v>
      </c>
      <c r="X407" s="20">
        <v>0</v>
      </c>
      <c r="Y407" s="18">
        <f>SUMPRODUCT(Q407:X407,'Fisico ASIG'!O407:V407)/E407</f>
        <v>5325396.2979908194</v>
      </c>
      <c r="Z407" s="25">
        <f t="shared" ref="Z407:Z414" si="484">+(P407+Y407)</f>
        <v>11782177.093912389</v>
      </c>
      <c r="AA407" s="26">
        <f>+Z407/'Fisico ASIG'!N407/24</f>
        <v>57.640489090017951</v>
      </c>
      <c r="AB407" s="26">
        <f>+$AB$21*0.9*Precios!$P$18/Precios!$W$18/Precios!$Q$18</f>
        <v>12.315987005656668</v>
      </c>
      <c r="AC407" s="29">
        <f t="shared" ref="AC407:AC414" si="485">+AA407-AB407</f>
        <v>45.324502084361285</v>
      </c>
      <c r="AI407" s="1">
        <v>7241</v>
      </c>
      <c r="AJ407" s="1">
        <v>5762594</v>
      </c>
      <c r="AK407">
        <f t="shared" si="460"/>
        <v>1.44</v>
      </c>
      <c r="AL407" s="40">
        <f t="shared" si="461"/>
        <v>8140.0083333333323</v>
      </c>
      <c r="AM407">
        <v>4100000</v>
      </c>
      <c r="AN407" s="180">
        <v>53.9</v>
      </c>
      <c r="AO407" s="64">
        <f t="shared" ref="AO407:AO414" si="486">0.075*0.9*(AN407-6)</f>
        <v>3.23325</v>
      </c>
      <c r="AP407">
        <v>0</v>
      </c>
      <c r="AQ407" s="1">
        <v>0.85</v>
      </c>
    </row>
    <row r="408" spans="1:43" x14ac:dyDescent="0.3">
      <c r="A408" s="199">
        <v>1530</v>
      </c>
      <c r="B408" s="42">
        <v>1519.2</v>
      </c>
      <c r="C408" s="53">
        <f>+'Fisico ASIG'!A408</f>
        <v>2026</v>
      </c>
      <c r="D408" s="52">
        <f>+'Fisico ASIG'!B408</f>
        <v>46296</v>
      </c>
      <c r="E408" s="1">
        <f>+'Fisico ASIG'!C408</f>
        <v>30</v>
      </c>
      <c r="F408" s="56" t="str">
        <f t="shared" si="478"/>
        <v>lun</v>
      </c>
      <c r="G408" s="56">
        <f t="shared" ref="G408:G414" si="487">+G407+1</f>
        <v>46314</v>
      </c>
      <c r="H408" s="17">
        <v>28</v>
      </c>
      <c r="I408" s="17">
        <f t="shared" si="479"/>
        <v>4.7326797385620916</v>
      </c>
      <c r="J408" s="17">
        <f t="shared" si="480"/>
        <v>5.3202668845315895</v>
      </c>
      <c r="K408" s="83">
        <f t="shared" si="458"/>
        <v>6.8583333333333334</v>
      </c>
      <c r="L408" s="17">
        <v>27</v>
      </c>
      <c r="M408" s="17">
        <v>71.5</v>
      </c>
      <c r="N408" s="17">
        <f t="shared" si="481"/>
        <v>52.112000000000002</v>
      </c>
      <c r="O408" s="17">
        <v>54.1</v>
      </c>
      <c r="P408" s="18">
        <f>SUMPRODUCT(H408:O408,'Fisico ASIG'!F408:M408)*24</f>
        <v>7364034.8317385623</v>
      </c>
      <c r="Q408" s="43">
        <v>0</v>
      </c>
      <c r="R408" s="43">
        <f t="shared" si="482"/>
        <v>5423.6178823529408</v>
      </c>
      <c r="S408" s="43">
        <f t="shared" si="483"/>
        <v>2679.7385620915034</v>
      </c>
      <c r="T408" s="43">
        <f t="shared" si="459"/>
        <v>1795.6376259798433</v>
      </c>
      <c r="U408" s="43">
        <v>18000</v>
      </c>
      <c r="V408" s="20">
        <v>0</v>
      </c>
      <c r="W408" s="20">
        <v>21900</v>
      </c>
      <c r="X408" s="20">
        <v>0</v>
      </c>
      <c r="Y408" s="18">
        <f>SUMPRODUCT(Q408:X408,'Fisico ASIG'!O408:V408)/E408</f>
        <v>5235827.6669879416</v>
      </c>
      <c r="Z408" s="25">
        <f t="shared" si="484"/>
        <v>12599862.498726504</v>
      </c>
      <c r="AA408" s="26">
        <f>+Z408/'Fisico ASIG'!N408/24</f>
        <v>57.220084008748877</v>
      </c>
      <c r="AB408" s="26">
        <f>+$AB$21*0.9*Precios!$P$18/Precios!$W$18/Precios!$Q$18</f>
        <v>12.315987005656668</v>
      </c>
      <c r="AC408" s="29">
        <f t="shared" si="485"/>
        <v>44.904097003092211</v>
      </c>
      <c r="AI408" s="1">
        <v>7241</v>
      </c>
      <c r="AJ408" s="1">
        <v>5762594</v>
      </c>
      <c r="AK408">
        <f t="shared" si="460"/>
        <v>1.44</v>
      </c>
      <c r="AL408" s="40">
        <f t="shared" si="461"/>
        <v>8140.0083333333323</v>
      </c>
      <c r="AM408">
        <v>4100000</v>
      </c>
      <c r="AN408" s="180">
        <v>48.4</v>
      </c>
      <c r="AO408" s="64">
        <f t="shared" si="486"/>
        <v>2.8620000000000001</v>
      </c>
      <c r="AP408">
        <v>0</v>
      </c>
      <c r="AQ408" s="1">
        <v>0.85</v>
      </c>
    </row>
    <row r="409" spans="1:43" x14ac:dyDescent="0.3">
      <c r="A409" s="199">
        <v>1530</v>
      </c>
      <c r="B409" s="42">
        <v>1519.2</v>
      </c>
      <c r="C409" s="53">
        <f>+'Fisico ASIG'!A409</f>
        <v>2026</v>
      </c>
      <c r="D409" s="52">
        <f>+'Fisico ASIG'!B409</f>
        <v>46296</v>
      </c>
      <c r="E409" s="1">
        <f>+'Fisico ASIG'!C409</f>
        <v>30</v>
      </c>
      <c r="F409" s="56" t="str">
        <f t="shared" si="478"/>
        <v>mar</v>
      </c>
      <c r="G409" s="56">
        <f t="shared" si="487"/>
        <v>46315</v>
      </c>
      <c r="H409" s="17">
        <v>28</v>
      </c>
      <c r="I409" s="17">
        <f t="shared" si="479"/>
        <v>4.7326797385620916</v>
      </c>
      <c r="J409" s="17">
        <f t="shared" si="480"/>
        <v>5.3202668845315895</v>
      </c>
      <c r="K409" s="83">
        <f t="shared" si="458"/>
        <v>6.8583333333333334</v>
      </c>
      <c r="L409" s="17">
        <v>27</v>
      </c>
      <c r="M409" s="17">
        <v>71.5</v>
      </c>
      <c r="N409" s="17">
        <f t="shared" si="481"/>
        <v>49.763500000000008</v>
      </c>
      <c r="O409" s="17">
        <v>42.1</v>
      </c>
      <c r="P409" s="18">
        <f>SUMPRODUCT(H409:O409,'Fisico ASIG'!F409:M409)*24</f>
        <v>8109429.2264313726</v>
      </c>
      <c r="Q409" s="43">
        <v>0</v>
      </c>
      <c r="R409" s="43">
        <f t="shared" si="482"/>
        <v>5423.6178823529408</v>
      </c>
      <c r="S409" s="43">
        <f t="shared" si="483"/>
        <v>2679.7385620915034</v>
      </c>
      <c r="T409" s="43">
        <f t="shared" si="459"/>
        <v>1795.6376259798433</v>
      </c>
      <c r="U409" s="43">
        <v>18000</v>
      </c>
      <c r="V409" s="20">
        <v>0</v>
      </c>
      <c r="W409" s="20">
        <v>21900</v>
      </c>
      <c r="X409" s="20">
        <v>0</v>
      </c>
      <c r="Y409" s="18">
        <f>SUMPRODUCT(Q409:X409,'Fisico ASIG'!O409:V409)/E409</f>
        <v>5222982.2554135593</v>
      </c>
      <c r="Z409" s="25">
        <f t="shared" si="484"/>
        <v>13332411.481844932</v>
      </c>
      <c r="AA409" s="26">
        <f>+Z409/'Fisico ASIG'!N409/24</f>
        <v>59.458112498862477</v>
      </c>
      <c r="AB409" s="26">
        <f>+$AB$21*0.9*Precios!$P$18/Precios!$W$18/Precios!$Q$18</f>
        <v>12.315987005656668</v>
      </c>
      <c r="AC409" s="29">
        <f t="shared" si="485"/>
        <v>47.14212549320581</v>
      </c>
      <c r="AI409" s="1">
        <v>7241</v>
      </c>
      <c r="AJ409" s="1">
        <v>5762594</v>
      </c>
      <c r="AK409">
        <f t="shared" si="460"/>
        <v>1.44</v>
      </c>
      <c r="AL409" s="40">
        <f t="shared" si="461"/>
        <v>8140.0083333333323</v>
      </c>
      <c r="AM409">
        <v>4100000</v>
      </c>
      <c r="AN409" s="180">
        <v>46.2</v>
      </c>
      <c r="AO409" s="64">
        <f t="shared" si="486"/>
        <v>2.7135000000000002</v>
      </c>
      <c r="AP409">
        <v>0</v>
      </c>
      <c r="AQ409" s="1">
        <v>0.85</v>
      </c>
    </row>
    <row r="410" spans="1:43" x14ac:dyDescent="0.3">
      <c r="A410" s="199">
        <v>1530</v>
      </c>
      <c r="B410" s="42">
        <v>1519.2</v>
      </c>
      <c r="C410" s="53">
        <f>+'Fisico ASIG'!A410</f>
        <v>2026</v>
      </c>
      <c r="D410" s="52">
        <f>+'Fisico ASIG'!B410</f>
        <v>46296</v>
      </c>
      <c r="E410" s="1">
        <f>+'Fisico ASIG'!C410</f>
        <v>30</v>
      </c>
      <c r="F410" s="56" t="str">
        <f t="shared" si="478"/>
        <v>mié</v>
      </c>
      <c r="G410" s="56">
        <f t="shared" si="487"/>
        <v>46316</v>
      </c>
      <c r="H410" s="17">
        <v>28</v>
      </c>
      <c r="I410" s="17">
        <f t="shared" si="479"/>
        <v>4.7326797385620916</v>
      </c>
      <c r="J410" s="17">
        <f t="shared" si="480"/>
        <v>5.3202668845315895</v>
      </c>
      <c r="K410" s="83">
        <f t="shared" si="458"/>
        <v>6.8583333333333334</v>
      </c>
      <c r="L410" s="17">
        <v>27</v>
      </c>
      <c r="M410" s="17">
        <v>71.5</v>
      </c>
      <c r="N410" s="17">
        <f t="shared" si="481"/>
        <v>49.976999999999997</v>
      </c>
      <c r="O410" s="17">
        <v>57</v>
      </c>
      <c r="P410" s="18">
        <f>SUMPRODUCT(H410:O410,'Fisico ASIG'!F410:M410)*24</f>
        <v>7497106.1252810452</v>
      </c>
      <c r="Q410" s="43">
        <v>0</v>
      </c>
      <c r="R410" s="43">
        <f t="shared" si="482"/>
        <v>5423.6178823529408</v>
      </c>
      <c r="S410" s="43">
        <f t="shared" si="483"/>
        <v>2679.7385620915034</v>
      </c>
      <c r="T410" s="43">
        <f t="shared" si="459"/>
        <v>1795.6376259798433</v>
      </c>
      <c r="U410" s="43">
        <v>18000</v>
      </c>
      <c r="V410" s="20">
        <v>0</v>
      </c>
      <c r="W410" s="20">
        <v>21900</v>
      </c>
      <c r="X410" s="20">
        <v>0</v>
      </c>
      <c r="Y410" s="18">
        <f>SUMPRODUCT(Q410:X410,'Fisico ASIG'!O410:V410)/E410</f>
        <v>5234957.2148041306</v>
      </c>
      <c r="Z410" s="25">
        <f t="shared" si="484"/>
        <v>12732063.340085175</v>
      </c>
      <c r="AA410" s="26">
        <f>+Z410/'Fisico ASIG'!N410/24</f>
        <v>57.444790381181981</v>
      </c>
      <c r="AB410" s="26">
        <f>+$AB$21*0.9*Precios!$P$18/Precios!$W$18/Precios!$Q$18</f>
        <v>12.315987005656668</v>
      </c>
      <c r="AC410" s="29">
        <f t="shared" si="485"/>
        <v>45.128803375525315</v>
      </c>
      <c r="AI410" s="1">
        <v>7241</v>
      </c>
      <c r="AJ410" s="1">
        <v>5762594</v>
      </c>
      <c r="AK410">
        <f t="shared" si="460"/>
        <v>1.44</v>
      </c>
      <c r="AL410" s="40">
        <f t="shared" si="461"/>
        <v>8140.0083333333323</v>
      </c>
      <c r="AM410">
        <v>4100000</v>
      </c>
      <c r="AN410" s="180">
        <v>46.4</v>
      </c>
      <c r="AO410" s="64">
        <f t="shared" si="486"/>
        <v>2.7269999999999999</v>
      </c>
      <c r="AP410">
        <v>0</v>
      </c>
      <c r="AQ410" s="1">
        <v>0.85</v>
      </c>
    </row>
    <row r="411" spans="1:43" x14ac:dyDescent="0.3">
      <c r="A411" s="199">
        <v>1530</v>
      </c>
      <c r="B411" s="42">
        <v>1519.2</v>
      </c>
      <c r="C411" s="53">
        <f>+'Fisico ASIG'!A411</f>
        <v>2026</v>
      </c>
      <c r="D411" s="52">
        <f>+'Fisico ASIG'!B411</f>
        <v>46296</v>
      </c>
      <c r="E411" s="1">
        <f>+'Fisico ASIG'!C411</f>
        <v>30</v>
      </c>
      <c r="F411" s="56" t="str">
        <f t="shared" si="478"/>
        <v>jue</v>
      </c>
      <c r="G411" s="56">
        <f t="shared" si="487"/>
        <v>46317</v>
      </c>
      <c r="H411" s="17">
        <v>28</v>
      </c>
      <c r="I411" s="17">
        <f t="shared" si="479"/>
        <v>4.7326797385620916</v>
      </c>
      <c r="J411" s="17">
        <f t="shared" si="480"/>
        <v>5.3202668845315895</v>
      </c>
      <c r="K411" s="83">
        <f t="shared" si="458"/>
        <v>6.8583333333333334</v>
      </c>
      <c r="L411" s="17">
        <v>27</v>
      </c>
      <c r="M411" s="17">
        <v>71.5</v>
      </c>
      <c r="N411" s="17">
        <f t="shared" si="481"/>
        <v>52.859250000000003</v>
      </c>
      <c r="O411" s="17">
        <v>28.5</v>
      </c>
      <c r="P411" s="18">
        <f>SUMPRODUCT(H411:O411,'Fisico ASIG'!F411:M411)*24</f>
        <v>7599148.2164052278</v>
      </c>
      <c r="Q411" s="43">
        <v>0</v>
      </c>
      <c r="R411" s="43">
        <f t="shared" si="482"/>
        <v>5423.6178823529408</v>
      </c>
      <c r="S411" s="43">
        <f t="shared" si="483"/>
        <v>2679.7385620915034</v>
      </c>
      <c r="T411" s="43">
        <f t="shared" si="459"/>
        <v>1795.6376259798433</v>
      </c>
      <c r="U411" s="43">
        <v>18000</v>
      </c>
      <c r="V411" s="20">
        <v>0</v>
      </c>
      <c r="W411" s="20">
        <v>21900</v>
      </c>
      <c r="X411" s="20">
        <v>0</v>
      </c>
      <c r="Y411" s="18">
        <f>SUMPRODUCT(Q411:X411,'Fisico ASIG'!O411:V411)/E411</f>
        <v>5280475.2727609826</v>
      </c>
      <c r="Z411" s="25">
        <f t="shared" si="484"/>
        <v>12879623.489166211</v>
      </c>
      <c r="AA411" s="26">
        <f>+Z411/'Fisico ASIG'!N411/24</f>
        <v>53.913098122891178</v>
      </c>
      <c r="AB411" s="26">
        <f>+$AB$21*0.9*Precios!$P$18/Precios!$W$18/Precios!$Q$18</f>
        <v>12.315987005656668</v>
      </c>
      <c r="AC411" s="29">
        <f t="shared" si="485"/>
        <v>41.597111117234512</v>
      </c>
      <c r="AI411" s="1">
        <v>7241</v>
      </c>
      <c r="AJ411" s="1">
        <v>5762594</v>
      </c>
      <c r="AK411">
        <f t="shared" si="460"/>
        <v>1.44</v>
      </c>
      <c r="AL411" s="40">
        <f t="shared" si="461"/>
        <v>8140.0083333333323</v>
      </c>
      <c r="AM411">
        <v>4100000</v>
      </c>
      <c r="AN411" s="180">
        <v>49.1</v>
      </c>
      <c r="AO411" s="64">
        <f t="shared" si="486"/>
        <v>2.9092500000000001</v>
      </c>
      <c r="AP411">
        <v>0</v>
      </c>
      <c r="AQ411" s="1">
        <v>0.85</v>
      </c>
    </row>
    <row r="412" spans="1:43" x14ac:dyDescent="0.3">
      <c r="A412" s="199">
        <v>1530</v>
      </c>
      <c r="B412" s="42">
        <v>1519.2</v>
      </c>
      <c r="C412" s="53">
        <f>+'Fisico ASIG'!A412</f>
        <v>2026</v>
      </c>
      <c r="D412" s="52">
        <f>+'Fisico ASIG'!B412</f>
        <v>46296</v>
      </c>
      <c r="E412" s="1">
        <f>+'Fisico ASIG'!C412</f>
        <v>30</v>
      </c>
      <c r="F412" s="56" t="str">
        <f t="shared" si="478"/>
        <v>vie</v>
      </c>
      <c r="G412" s="56">
        <f t="shared" si="487"/>
        <v>46318</v>
      </c>
      <c r="H412" s="17">
        <v>28</v>
      </c>
      <c r="I412" s="17">
        <f t="shared" si="479"/>
        <v>4.7326797385620916</v>
      </c>
      <c r="J412" s="17">
        <f t="shared" si="480"/>
        <v>5.3202668845315895</v>
      </c>
      <c r="K412" s="83">
        <f t="shared" si="458"/>
        <v>6.8583333333333334</v>
      </c>
      <c r="L412" s="17">
        <v>27</v>
      </c>
      <c r="M412" s="17">
        <v>71.5</v>
      </c>
      <c r="N412" s="17">
        <f t="shared" si="481"/>
        <v>51.258000000000003</v>
      </c>
      <c r="O412" s="17">
        <v>17</v>
      </c>
      <c r="P412" s="18">
        <f>SUMPRODUCT(H412:O412,'Fisico ASIG'!F412:M412)*24</f>
        <v>7280605.6195294121</v>
      </c>
      <c r="Q412" s="43">
        <v>0</v>
      </c>
      <c r="R412" s="43">
        <f t="shared" si="482"/>
        <v>5423.6178823529408</v>
      </c>
      <c r="S412" s="43">
        <f t="shared" si="483"/>
        <v>2679.7385620915034</v>
      </c>
      <c r="T412" s="43">
        <f t="shared" si="459"/>
        <v>1795.6376259798433</v>
      </c>
      <c r="U412" s="43">
        <v>18000</v>
      </c>
      <c r="V412" s="20">
        <v>0</v>
      </c>
      <c r="W412" s="20">
        <v>21900</v>
      </c>
      <c r="X412" s="20">
        <v>0</v>
      </c>
      <c r="Y412" s="18">
        <f>SUMPRODUCT(Q412:X412,'Fisico ASIG'!O412:V412)/E412</f>
        <v>5318217.5057892501</v>
      </c>
      <c r="Z412" s="25">
        <f t="shared" si="484"/>
        <v>12598823.125318661</v>
      </c>
      <c r="AA412" s="26">
        <f>+Z412/'Fisico ASIG'!N412/24</f>
        <v>54.224869698888988</v>
      </c>
      <c r="AB412" s="26">
        <f>+$AB$21*0.9*Precios!$P$18/Precios!$W$18/Precios!$Q$18</f>
        <v>12.315987005656668</v>
      </c>
      <c r="AC412" s="29">
        <f t="shared" si="485"/>
        <v>41.908882693232322</v>
      </c>
      <c r="AI412" s="1">
        <v>7241</v>
      </c>
      <c r="AJ412" s="1">
        <v>5762594</v>
      </c>
      <c r="AK412">
        <f t="shared" si="460"/>
        <v>1.44</v>
      </c>
      <c r="AL412" s="40">
        <f t="shared" si="461"/>
        <v>8140.0083333333323</v>
      </c>
      <c r="AM412">
        <v>4100000</v>
      </c>
      <c r="AN412" s="180">
        <v>47.6</v>
      </c>
      <c r="AO412" s="64">
        <f t="shared" si="486"/>
        <v>2.8080000000000003</v>
      </c>
      <c r="AP412">
        <v>0</v>
      </c>
      <c r="AQ412" s="1">
        <v>0.85</v>
      </c>
    </row>
    <row r="413" spans="1:43" x14ac:dyDescent="0.3">
      <c r="A413" s="199">
        <v>1530</v>
      </c>
      <c r="B413" s="42">
        <v>1519.2</v>
      </c>
      <c r="C413" s="53">
        <f>+'Fisico ASIG'!A413</f>
        <v>2026</v>
      </c>
      <c r="D413" s="52">
        <f>+'Fisico ASIG'!B413</f>
        <v>46296</v>
      </c>
      <c r="E413" s="1">
        <f>+'Fisico ASIG'!C413</f>
        <v>30</v>
      </c>
      <c r="F413" s="56" t="str">
        <f t="shared" si="478"/>
        <v>sáb</v>
      </c>
      <c r="G413" s="56">
        <f t="shared" si="487"/>
        <v>46319</v>
      </c>
      <c r="H413" s="17">
        <v>28</v>
      </c>
      <c r="I413" s="17">
        <f t="shared" si="479"/>
        <v>4.7326797385620916</v>
      </c>
      <c r="J413" s="17">
        <f t="shared" si="480"/>
        <v>5.3202668845315895</v>
      </c>
      <c r="K413" s="83">
        <f t="shared" si="458"/>
        <v>6.8583333333333334</v>
      </c>
      <c r="L413" s="17">
        <v>27</v>
      </c>
      <c r="M413" s="17">
        <v>71.5</v>
      </c>
      <c r="N413" s="17">
        <f t="shared" si="481"/>
        <v>49.123000000000005</v>
      </c>
      <c r="O413" s="17">
        <v>26.7</v>
      </c>
      <c r="P413" s="18">
        <f>SUMPRODUCT(H413:O413,'Fisico ASIG'!F413:M413)*24</f>
        <v>7054909.322535947</v>
      </c>
      <c r="Q413" s="43">
        <v>0</v>
      </c>
      <c r="R413" s="43">
        <f t="shared" si="482"/>
        <v>5423.6178823529408</v>
      </c>
      <c r="S413" s="43">
        <f t="shared" si="483"/>
        <v>2679.7385620915034</v>
      </c>
      <c r="T413" s="43">
        <f t="shared" si="459"/>
        <v>1795.6376259798433</v>
      </c>
      <c r="U413" s="43">
        <v>18000</v>
      </c>
      <c r="V413" s="20">
        <v>0</v>
      </c>
      <c r="W413" s="20">
        <v>21900</v>
      </c>
      <c r="X413" s="20">
        <v>0</v>
      </c>
      <c r="Y413" s="18">
        <f>SUMPRODUCT(Q413:X413,'Fisico ASIG'!O413:V413)/E413</f>
        <v>4837019.6565071922</v>
      </c>
      <c r="Z413" s="25">
        <f t="shared" si="484"/>
        <v>11891928.979043139</v>
      </c>
      <c r="AA413" s="26">
        <f>+Z413/'Fisico ASIG'!N413/24</f>
        <v>52.522476234202259</v>
      </c>
      <c r="AB413" s="26">
        <f>+$AB$21*0.9*Precios!$P$18/Precios!$W$18/Precios!$Q$18</f>
        <v>12.315987005656668</v>
      </c>
      <c r="AC413" s="29">
        <f t="shared" si="485"/>
        <v>40.206489228545593</v>
      </c>
      <c r="AI413" s="1">
        <v>7241</v>
      </c>
      <c r="AJ413" s="1">
        <v>5762594</v>
      </c>
      <c r="AK413">
        <f t="shared" si="460"/>
        <v>1.44</v>
      </c>
      <c r="AL413" s="40">
        <f t="shared" si="461"/>
        <v>8140.0083333333323</v>
      </c>
      <c r="AM413">
        <v>4100000</v>
      </c>
      <c r="AN413" s="180">
        <v>45.6</v>
      </c>
      <c r="AO413" s="64">
        <f t="shared" si="486"/>
        <v>2.6730000000000005</v>
      </c>
      <c r="AP413">
        <v>0</v>
      </c>
      <c r="AQ413" s="1">
        <v>0.85</v>
      </c>
    </row>
    <row r="414" spans="1:43" x14ac:dyDescent="0.3">
      <c r="A414" s="199">
        <v>1530</v>
      </c>
      <c r="B414" s="42">
        <v>1519.2</v>
      </c>
      <c r="C414" s="53">
        <f>+'Fisico ASIG'!A414</f>
        <v>2026</v>
      </c>
      <c r="D414" s="52">
        <f>+'Fisico ASIG'!B414</f>
        <v>46296</v>
      </c>
      <c r="E414" s="1">
        <f>+'Fisico ASIG'!C414</f>
        <v>30</v>
      </c>
      <c r="F414" s="56" t="str">
        <f t="shared" si="478"/>
        <v>dom</v>
      </c>
      <c r="G414" s="56">
        <f t="shared" si="487"/>
        <v>46320</v>
      </c>
      <c r="H414" s="17">
        <v>28</v>
      </c>
      <c r="I414" s="17">
        <f t="shared" si="479"/>
        <v>4.7326797385620916</v>
      </c>
      <c r="J414" s="17">
        <f t="shared" si="480"/>
        <v>5.3202668845315895</v>
      </c>
      <c r="K414" s="83">
        <f t="shared" si="458"/>
        <v>6.8583333333333334</v>
      </c>
      <c r="L414" s="17">
        <v>27</v>
      </c>
      <c r="M414" s="17">
        <v>71.5</v>
      </c>
      <c r="N414" s="17">
        <f t="shared" si="481"/>
        <v>46.988000000000007</v>
      </c>
      <c r="O414" s="17">
        <v>20.9</v>
      </c>
      <c r="P414" s="18">
        <f>SUMPRODUCT(H414:O414,'Fisico ASIG'!F414:M414)*24</f>
        <v>6393558.5910849683</v>
      </c>
      <c r="Q414" s="43">
        <v>0</v>
      </c>
      <c r="R414" s="43">
        <f t="shared" si="482"/>
        <v>5423.6178823529408</v>
      </c>
      <c r="S414" s="43">
        <f t="shared" si="483"/>
        <v>2679.7385620915034</v>
      </c>
      <c r="T414" s="43">
        <f t="shared" si="459"/>
        <v>1795.6376259798433</v>
      </c>
      <c r="U414" s="43">
        <v>18000</v>
      </c>
      <c r="V414" s="20">
        <v>0</v>
      </c>
      <c r="W414" s="20">
        <v>21900</v>
      </c>
      <c r="X414" s="20">
        <v>0</v>
      </c>
      <c r="Y414" s="18">
        <f>SUMPRODUCT(Q414:X414,'Fisico ASIG'!O414:V414)/E414</f>
        <v>4869731.788306701</v>
      </c>
      <c r="Z414" s="25">
        <f t="shared" si="484"/>
        <v>11263290.37939167</v>
      </c>
      <c r="AA414" s="26">
        <f>+Z414/'Fisico ASIG'!N414/24</f>
        <v>52.772266480151387</v>
      </c>
      <c r="AB414" s="26">
        <f>+$AB$21*0.9*Precios!$P$18/Precios!$W$18/Precios!$Q$18</f>
        <v>12.315987005656668</v>
      </c>
      <c r="AC414" s="29">
        <f t="shared" si="485"/>
        <v>40.456279474494721</v>
      </c>
      <c r="AI414" s="1">
        <v>7241</v>
      </c>
      <c r="AJ414" s="1">
        <v>5762594</v>
      </c>
      <c r="AK414">
        <f t="shared" si="460"/>
        <v>1.44</v>
      </c>
      <c r="AL414" s="40">
        <f t="shared" si="461"/>
        <v>8140.0083333333323</v>
      </c>
      <c r="AM414">
        <v>4100000</v>
      </c>
      <c r="AN414" s="180">
        <v>43.6</v>
      </c>
      <c r="AO414" s="64">
        <f t="shared" si="486"/>
        <v>2.5380000000000003</v>
      </c>
      <c r="AP414">
        <v>0</v>
      </c>
      <c r="AQ414" s="1">
        <v>0.85</v>
      </c>
    </row>
    <row r="415" spans="1:43" x14ac:dyDescent="0.3">
      <c r="A415" s="3"/>
      <c r="B415" s="42"/>
      <c r="C415" s="53"/>
      <c r="D415" s="52"/>
      <c r="E415" s="1"/>
      <c r="F415" s="56"/>
      <c r="G415" s="56"/>
      <c r="H415" s="17"/>
      <c r="I415" s="17"/>
      <c r="J415" s="17"/>
      <c r="K415" s="83"/>
      <c r="L415" s="17"/>
      <c r="M415" s="17"/>
      <c r="N415" s="17"/>
      <c r="O415" s="17"/>
      <c r="V415" s="20"/>
      <c r="W415" s="20"/>
      <c r="X415" s="20"/>
      <c r="Y415" s="18"/>
      <c r="AI415" s="1"/>
      <c r="AJ415" s="1"/>
      <c r="AL415" s="40"/>
      <c r="AN415" s="117"/>
      <c r="AO415" s="64"/>
      <c r="AQ415" s="1"/>
    </row>
    <row r="416" spans="1:43" x14ac:dyDescent="0.3">
      <c r="A416" s="3"/>
      <c r="B416" s="42"/>
      <c r="C416" s="53"/>
      <c r="D416" s="52"/>
      <c r="E416" s="1"/>
      <c r="F416" s="56"/>
      <c r="G416" s="56"/>
      <c r="H416" s="17"/>
      <c r="I416" s="17"/>
      <c r="J416" s="17"/>
      <c r="K416" s="83"/>
      <c r="L416" s="17"/>
      <c r="M416" s="17"/>
      <c r="N416" s="17"/>
      <c r="O416" s="17"/>
      <c r="V416" s="20"/>
      <c r="W416" s="20"/>
      <c r="X416" s="20"/>
      <c r="Y416" s="18"/>
      <c r="AI416" s="1"/>
      <c r="AJ416" s="1"/>
      <c r="AL416" s="40"/>
      <c r="AN416" s="117"/>
      <c r="AO416" s="64"/>
      <c r="AQ416" s="1"/>
    </row>
    <row r="417" spans="1:43" x14ac:dyDescent="0.3">
      <c r="A417" s="3"/>
      <c r="B417" s="42"/>
      <c r="C417" s="53"/>
      <c r="D417" s="52"/>
      <c r="E417" s="1"/>
      <c r="F417" s="56"/>
      <c r="G417" s="17"/>
      <c r="H417" s="17"/>
      <c r="I417" s="17"/>
      <c r="J417" s="17"/>
      <c r="K417" s="83"/>
      <c r="L417" s="17"/>
      <c r="M417" s="17"/>
      <c r="N417" s="17"/>
      <c r="O417" s="17"/>
      <c r="V417" s="20"/>
      <c r="W417" s="20"/>
      <c r="X417" s="20"/>
      <c r="Y417" s="18"/>
      <c r="AI417" s="1"/>
      <c r="AJ417" s="1"/>
      <c r="AL417" s="40"/>
      <c r="AN417" s="117"/>
      <c r="AO417" s="64"/>
      <c r="AQ417" s="1"/>
    </row>
    <row r="418" spans="1:43" x14ac:dyDescent="0.3">
      <c r="G418" s="17"/>
    </row>
    <row r="419" spans="1:43" x14ac:dyDescent="0.3">
      <c r="A419" s="65" t="s">
        <v>5</v>
      </c>
    </row>
  </sheetData>
  <autoFilter ref="A24:AM414" xr:uid="{847498D4-0BD4-478A-90F6-ACC112F10BC4}">
    <filterColumn colId="2">
      <filters>
        <filter val="2026"/>
      </filters>
    </filterColumn>
    <filterColumn colId="3">
      <filters>
        <dateGroupItem year="2026" month="8" dateTimeGrouping="month"/>
        <dateGroupItem year="2026" month="9" dateTimeGrouping="month"/>
        <dateGroupItem year="2026" month="10" dateTimeGrouping="month"/>
      </filters>
    </filterColumn>
  </autoFilter>
  <phoneticPr fontId="2" type="noConversion"/>
  <pageMargins left="0.7" right="0.7" top="0.75" bottom="0.75" header="0.3" footer="0.3"/>
  <pageSetup paperSize="9" orientation="portrait" r:id="rId1"/>
  <ignoredErrors>
    <ignoredError sqref="P148:P170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E54B6-0047-4CA6-A34B-E7D7D9A54E88}">
  <sheetPr filterMode="1"/>
  <dimension ref="A1:AN419"/>
  <sheetViews>
    <sheetView zoomScaleNormal="100" workbookViewId="0"/>
  </sheetViews>
  <sheetFormatPr baseColWidth="10" defaultColWidth="11" defaultRowHeight="14.4" x14ac:dyDescent="0.3"/>
  <cols>
    <col min="1" max="1" width="11" bestFit="1" customWidth="1"/>
    <col min="2" max="2" width="3.1796875" customWidth="1"/>
    <col min="3" max="3" width="5.08984375" customWidth="1"/>
    <col min="4" max="4" width="9.1796875" bestFit="1" customWidth="1"/>
    <col min="5" max="5" width="10.81640625" customWidth="1"/>
    <col min="6" max="6" width="10.90625" style="1" bestFit="1" customWidth="1"/>
    <col min="7" max="7" width="14" style="1" bestFit="1" customWidth="1"/>
    <col min="11" max="11" width="13" customWidth="1"/>
    <col min="30" max="30" width="14.81640625" bestFit="1" customWidth="1"/>
  </cols>
  <sheetData>
    <row r="1" spans="3:34" s="47" customFormat="1" ht="31.8" x14ac:dyDescent="0.65">
      <c r="C1" s="101" t="s">
        <v>136</v>
      </c>
      <c r="F1" s="48"/>
      <c r="G1" s="48"/>
      <c r="H1" s="46" t="s">
        <v>86</v>
      </c>
      <c r="N1" s="46" t="s">
        <v>87</v>
      </c>
      <c r="T1" s="46" t="s">
        <v>88</v>
      </c>
      <c r="Y1" s="46" t="s">
        <v>89</v>
      </c>
      <c r="AC1"/>
      <c r="AD1"/>
      <c r="AE1"/>
      <c r="AF1"/>
      <c r="AG1"/>
      <c r="AH1"/>
    </row>
    <row r="2" spans="3:34" s="47" customFormat="1" ht="31.8" x14ac:dyDescent="0.65">
      <c r="C2" s="60" t="s">
        <v>135</v>
      </c>
      <c r="F2" s="48"/>
      <c r="G2" s="48"/>
      <c r="H2" s="46"/>
      <c r="N2" s="46"/>
      <c r="T2" s="46"/>
      <c r="Y2" s="46"/>
      <c r="AC2"/>
      <c r="AD2"/>
      <c r="AE2"/>
      <c r="AF2"/>
      <c r="AG2"/>
      <c r="AH2"/>
    </row>
    <row r="3" spans="3:34" s="47" customFormat="1" ht="31.8" x14ac:dyDescent="0.65">
      <c r="C3" s="60" t="s">
        <v>134</v>
      </c>
      <c r="F3" s="48"/>
      <c r="G3" s="48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C3"/>
      <c r="AD3"/>
      <c r="AE3"/>
      <c r="AF3"/>
      <c r="AG3"/>
      <c r="AH3"/>
    </row>
    <row r="4" spans="3:34" x14ac:dyDescent="0.3">
      <c r="F4"/>
    </row>
    <row r="5" spans="3:34" x14ac:dyDescent="0.3">
      <c r="H5" s="8" t="s">
        <v>17</v>
      </c>
      <c r="I5" s="8" t="s">
        <v>17</v>
      </c>
      <c r="J5" s="8" t="s">
        <v>17</v>
      </c>
      <c r="K5" s="8" t="s">
        <v>17</v>
      </c>
      <c r="L5" s="8" t="s">
        <v>17</v>
      </c>
      <c r="M5" s="8" t="s">
        <v>17</v>
      </c>
      <c r="N5" s="8" t="s">
        <v>18</v>
      </c>
      <c r="O5" s="8" t="s">
        <v>18</v>
      </c>
      <c r="P5" s="8" t="s">
        <v>18</v>
      </c>
      <c r="Q5" s="8" t="s">
        <v>18</v>
      </c>
      <c r="R5" s="8" t="s">
        <v>18</v>
      </c>
      <c r="S5" s="8" t="s">
        <v>18</v>
      </c>
      <c r="T5" s="10" t="s">
        <v>17</v>
      </c>
      <c r="U5" s="10" t="s">
        <v>17</v>
      </c>
      <c r="V5" s="10" t="s">
        <v>17</v>
      </c>
      <c r="W5" s="10" t="s">
        <v>17</v>
      </c>
      <c r="X5" s="10" t="s">
        <v>17</v>
      </c>
      <c r="Y5" s="10" t="s">
        <v>18</v>
      </c>
      <c r="Z5" s="10" t="s">
        <v>18</v>
      </c>
      <c r="AA5" s="10" t="s">
        <v>18</v>
      </c>
      <c r="AB5" s="10" t="s">
        <v>18</v>
      </c>
      <c r="AC5" s="10" t="s">
        <v>17</v>
      </c>
    </row>
    <row r="6" spans="3:34" x14ac:dyDescent="0.3">
      <c r="E6" t="s">
        <v>127</v>
      </c>
      <c r="F6"/>
      <c r="G6" s="1" t="s">
        <v>126</v>
      </c>
      <c r="H6" s="9" t="s">
        <v>13</v>
      </c>
      <c r="I6" s="9" t="s">
        <v>13</v>
      </c>
      <c r="J6" s="9" t="s">
        <v>13</v>
      </c>
      <c r="K6" s="9" t="s">
        <v>13</v>
      </c>
      <c r="L6" s="9" t="s">
        <v>13</v>
      </c>
      <c r="M6" s="9" t="s">
        <v>13</v>
      </c>
      <c r="N6" s="9" t="s">
        <v>13</v>
      </c>
      <c r="O6" s="9" t="s">
        <v>13</v>
      </c>
      <c r="P6" s="9" t="s">
        <v>13</v>
      </c>
      <c r="Q6" s="9" t="s">
        <v>13</v>
      </c>
      <c r="R6" s="9" t="s">
        <v>13</v>
      </c>
      <c r="S6" s="9" t="s">
        <v>13</v>
      </c>
      <c r="T6" s="11" t="s">
        <v>52</v>
      </c>
      <c r="U6" s="11" t="s">
        <v>52</v>
      </c>
      <c r="V6" s="11" t="s">
        <v>52</v>
      </c>
      <c r="W6" s="11" t="s">
        <v>52</v>
      </c>
      <c r="X6" s="11" t="s">
        <v>52</v>
      </c>
      <c r="Y6" s="11" t="s">
        <v>139</v>
      </c>
      <c r="Z6" s="11" t="s">
        <v>139</v>
      </c>
      <c r="AA6" s="11" t="s">
        <v>139</v>
      </c>
      <c r="AB6" s="11" t="s">
        <v>139</v>
      </c>
      <c r="AC6" s="11" t="s">
        <v>139</v>
      </c>
    </row>
    <row r="7" spans="3:34" x14ac:dyDescent="0.3">
      <c r="E7" s="51" t="s">
        <v>21</v>
      </c>
      <c r="G7" s="1" t="s">
        <v>25</v>
      </c>
      <c r="H7" s="8" t="s">
        <v>90</v>
      </c>
      <c r="I7" s="8" t="s">
        <v>91</v>
      </c>
      <c r="J7" s="8" t="s">
        <v>92</v>
      </c>
      <c r="K7" s="8" t="s">
        <v>115</v>
      </c>
      <c r="L7" s="8" t="s">
        <v>93</v>
      </c>
      <c r="M7" s="8" t="s">
        <v>94</v>
      </c>
      <c r="N7" s="8" t="s">
        <v>90</v>
      </c>
      <c r="O7" s="8" t="s">
        <v>91</v>
      </c>
      <c r="P7" s="8" t="s">
        <v>92</v>
      </c>
      <c r="Q7" s="8" t="s">
        <v>115</v>
      </c>
      <c r="R7" s="8" t="s">
        <v>93</v>
      </c>
      <c r="S7" s="8" t="s">
        <v>94</v>
      </c>
      <c r="T7" s="10" t="s">
        <v>140</v>
      </c>
      <c r="U7" s="10" t="s">
        <v>150</v>
      </c>
      <c r="V7" s="10" t="s">
        <v>149</v>
      </c>
      <c r="W7" s="10" t="s">
        <v>97</v>
      </c>
      <c r="X7" s="10" t="s">
        <v>98</v>
      </c>
      <c r="Y7" s="10" t="s">
        <v>95</v>
      </c>
      <c r="Z7" s="10" t="s">
        <v>96</v>
      </c>
      <c r="AA7" s="10" t="s">
        <v>97</v>
      </c>
      <c r="AB7" s="10" t="s">
        <v>98</v>
      </c>
      <c r="AC7" s="10" t="s">
        <v>152</v>
      </c>
    </row>
    <row r="8" spans="3:34" x14ac:dyDescent="0.3">
      <c r="E8" s="77">
        <f>SUMIFS(E$25:E$1048576,$D$25:$D$1048576,$G8)</f>
        <v>348</v>
      </c>
      <c r="F8"/>
      <c r="G8" s="52">
        <f>+'Fisico ASIG'!E8</f>
        <v>45962</v>
      </c>
      <c r="H8" s="77">
        <f>AVERAGEIFS(H$25:H$1048576,$D$25:$D$1048576,$G8)</f>
        <v>4121.9221569444444</v>
      </c>
      <c r="I8" s="77">
        <f>AVERAGEIFS(I$25:I$1048576,$D$25:$D$1048576,$G8)</f>
        <v>901.46539166666651</v>
      </c>
      <c r="J8" s="77">
        <f>AVERAGEIFS(J$25:J$1048576,$D$25:$D$1048576,$G8)</f>
        <v>320.07785694444448</v>
      </c>
      <c r="K8" s="77"/>
      <c r="L8" s="77">
        <f>AVERAGEIFS(L$25:L$1048576,$D$25:$D$1048576,$G8)</f>
        <v>0</v>
      </c>
      <c r="M8" s="81">
        <f t="shared" ref="M8:M13" si="0">SUM(H8:L8)</f>
        <v>5343.4654055555557</v>
      </c>
      <c r="N8" s="77">
        <f>AVERAGEIFS(N$25:N$1048576,$D$25:$D$1048576,$G8)</f>
        <v>11446.159627777773</v>
      </c>
      <c r="O8" s="77">
        <f>AVERAGEIFS(O$25:O$1048576,$D$25:$D$1048576,$G8)</f>
        <v>1125.6524263888887</v>
      </c>
      <c r="P8" s="77">
        <f>AVERAGEIFS(P$25:P$1048576,$D$25:$D$1048576,$G8)</f>
        <v>924.23670833333313</v>
      </c>
      <c r="Q8" s="77"/>
      <c r="R8" s="77">
        <f>AVERAGEIFS(R$25:R$1048576,$D$25:$D$1048576,$G8)</f>
        <v>0</v>
      </c>
      <c r="S8" s="81">
        <f>SUM(N8:R8)</f>
        <v>13496.048762499995</v>
      </c>
      <c r="T8" s="77">
        <f>AVERAGEIFS(T$25:T$1048576,$D$25:$D$1048576,$G8)</f>
        <v>0</v>
      </c>
      <c r="U8" s="77">
        <f>AVERAGEIFS(U$25:U$1048576,$D$25:$D$1048576,$G8)</f>
        <v>287.79044166666671</v>
      </c>
      <c r="V8" s="77"/>
      <c r="W8" s="77">
        <f>AVERAGEIFS(W$25:W$1048576,$D$25:$D$1048576,$G8)</f>
        <v>1356.7028847222223</v>
      </c>
      <c r="X8" s="82">
        <f t="shared" ref="X8:X15" si="1">SUM(T8:W8)</f>
        <v>1644.493326388889</v>
      </c>
      <c r="Y8" s="77">
        <f>AVERAGEIFS(Y$25:Y$1048576,$D$25:$D$1048576,$G8)</f>
        <v>0</v>
      </c>
      <c r="Z8" s="77">
        <f>AVERAGEIFS(Z$25:Z$1048576,$D$25:$D$1048576,$G8)</f>
        <v>420.5636527777778</v>
      </c>
      <c r="AA8" s="77">
        <f>AVERAGEIFS(AA$25:AA$1048576,$D$25:$D$1048576,$G8)</f>
        <v>0</v>
      </c>
      <c r="AB8" s="45">
        <f t="shared" ref="AB8:AB11" si="2">SUM(Y8:AA8)</f>
        <v>420.5636527777778</v>
      </c>
      <c r="AC8" s="84">
        <f>+T8+V8+W8</f>
        <v>1356.7028847222223</v>
      </c>
    </row>
    <row r="9" spans="3:34" x14ac:dyDescent="0.3">
      <c r="E9" s="77">
        <f>SUMIFS(E$25:E$1048576,$D$25:$D$1048576,$G9)</f>
        <v>384</v>
      </c>
      <c r="F9"/>
      <c r="G9" s="52">
        <f>+'Fisico ASIG'!E9</f>
        <v>45992</v>
      </c>
      <c r="H9" s="77">
        <f>AVERAGEIFS(H$25:H$1048576,$D$25:$D$1048576,$G9)</f>
        <v>6325.7779556451624</v>
      </c>
      <c r="I9" s="77">
        <f>AVERAGEIFS(I$25:I$1048576,$D$25:$D$1048576,$G9)</f>
        <v>856.23293682795713</v>
      </c>
      <c r="J9" s="77">
        <f>AVERAGEIFS(J$25:J$1048576,$D$25:$D$1048576,$G9)</f>
        <v>342.06468682795708</v>
      </c>
      <c r="K9" s="77"/>
      <c r="L9" s="77">
        <f>AVERAGEIFS(L$25:L$1048576,$D$25:$D$1048576,$G9)</f>
        <v>0</v>
      </c>
      <c r="M9" s="81">
        <f t="shared" si="0"/>
        <v>7524.0755793010767</v>
      </c>
      <c r="N9" s="77">
        <f>AVERAGEIFS(N$25:N$1048576,$D$25:$D$1048576,$G9)</f>
        <v>12168.723419354837</v>
      </c>
      <c r="O9" s="77">
        <f>AVERAGEIFS(O$25:O$1048576,$D$25:$D$1048576,$G9)</f>
        <v>1173.5580819892473</v>
      </c>
      <c r="P9" s="77">
        <f>AVERAGEIFS(P$25:P$1048576,$D$25:$D$1048576,$G9)</f>
        <v>983.24265188172046</v>
      </c>
      <c r="Q9" s="77"/>
      <c r="R9" s="77">
        <f>AVERAGEIFS(R$25:R$1048576,$D$25:$D$1048576,$G9)</f>
        <v>0</v>
      </c>
      <c r="S9" s="81">
        <f t="shared" ref="S9:S15" si="3">SUM(N9:R9)</f>
        <v>14325.524153225806</v>
      </c>
      <c r="T9" s="77">
        <f>AVERAGEIFS(T$25:T$1048576,$D$25:$D$1048576,$G9)</f>
        <v>0</v>
      </c>
      <c r="U9" s="77">
        <f>AVERAGEIFS(U$25:U$1048576,$D$25:$D$1048576,$G9)</f>
        <v>227.45209274193545</v>
      </c>
      <c r="V9" s="77"/>
      <c r="W9" s="77">
        <f>AVERAGEIFS(W$25:W$1048576,$D$25:$D$1048576,$G9)</f>
        <v>1436.1624368279572</v>
      </c>
      <c r="X9" s="82">
        <f t="shared" si="1"/>
        <v>1663.6145295698927</v>
      </c>
      <c r="Y9" s="77">
        <f>AVERAGEIFS(Y$25:Y$1048576,$D$25:$D$1048576,$G9)</f>
        <v>0</v>
      </c>
      <c r="Z9" s="77">
        <f>AVERAGEIFS(Z$25:Z$1048576,$D$25:$D$1048576,$G9)</f>
        <v>525</v>
      </c>
      <c r="AA9" s="77">
        <f>AVERAGEIFS(AA$25:AA$1048576,$D$25:$D$1048576,$G9)</f>
        <v>0</v>
      </c>
      <c r="AB9" s="45">
        <f t="shared" si="2"/>
        <v>525</v>
      </c>
      <c r="AC9" s="84">
        <f t="shared" ref="AC9:AC15" si="4">+T9+V9+W9</f>
        <v>1436.1624368279572</v>
      </c>
    </row>
    <row r="10" spans="3:34" x14ac:dyDescent="0.3">
      <c r="E10" s="77">
        <f>SUMIFS(E$25:E$1048576,$D$25:$D$1048576,$G10)</f>
        <v>386</v>
      </c>
      <c r="F10"/>
      <c r="G10" s="52">
        <f>+'Fisico ASIG'!E10</f>
        <v>46023</v>
      </c>
      <c r="H10" s="77">
        <f>AVERAGEIFS(H$25:H$1048576,$D$25:$D$1048576,$G10)</f>
        <v>6366.2179287634408</v>
      </c>
      <c r="I10" s="77">
        <f>AVERAGEIFS(I$25:I$1048576,$D$25:$D$1048576,$G10)</f>
        <v>1051.2111626344085</v>
      </c>
      <c r="J10" s="77">
        <f>AVERAGEIFS(J$25:J$1048576,$D$25:$D$1048576,$G10)</f>
        <v>363.69673521505371</v>
      </c>
      <c r="K10" s="77">
        <f>AVERAGEIFS(K$25:K$1048576,$D$25:$D$1048576,$G10)</f>
        <v>35.346139809782606</v>
      </c>
      <c r="L10" s="77">
        <f>AVERAGEIFS(L$25:L$1048576,$D$25:$D$1048576,$G10)</f>
        <v>0</v>
      </c>
      <c r="M10" s="81">
        <f t="shared" si="0"/>
        <v>7816.4719664226859</v>
      </c>
      <c r="N10" s="77">
        <f>AVERAGEIFS(N$25:N$1048576,$D$25:$D$1048576,$G10)</f>
        <v>12460.846709677415</v>
      </c>
      <c r="O10" s="77">
        <f>AVERAGEIFS(O$25:O$1048576,$D$25:$D$1048576,$G10)</f>
        <v>1372.7496801075267</v>
      </c>
      <c r="P10" s="77">
        <f>AVERAGEIFS(P$25:P$1048576,$D$25:$D$1048576,$G10)</f>
        <v>989.72004838709665</v>
      </c>
      <c r="Q10" s="77">
        <f>AVERAGEIFS(Q$25:Q$1048576,$D$25:$D$1048576,$G10)</f>
        <v>200.35268659420285</v>
      </c>
      <c r="R10" s="77">
        <f>AVERAGEIFS(R$25:R$1048576,$D$25:$D$1048576,$G10)</f>
        <v>0</v>
      </c>
      <c r="S10" s="81">
        <f t="shared" si="3"/>
        <v>15023.66912476624</v>
      </c>
      <c r="T10" s="77">
        <f>AVERAGEIFS(T$25:T$1048576,$D$25:$D$1048576,$G10)</f>
        <v>0</v>
      </c>
      <c r="U10" s="77">
        <f>AVERAGEIFS(U$25:U$1048576,$D$25:$D$1048576,$G10)</f>
        <v>249.12408870967744</v>
      </c>
      <c r="V10" s="77"/>
      <c r="W10" s="77">
        <f>AVERAGEIFS(W$25:W$1048576,$D$25:$D$1048576,$G10)</f>
        <v>1441.0388534946237</v>
      </c>
      <c r="X10" s="82">
        <f t="shared" si="1"/>
        <v>1690.1629422043011</v>
      </c>
      <c r="Y10" s="77">
        <f>AVERAGEIFS(Y$25:Y$1048576,$D$25:$D$1048576,$G10)</f>
        <v>0</v>
      </c>
      <c r="Z10" s="77">
        <f>AVERAGEIFS(Z$25:Z$1048576,$D$25:$D$1048576,$G10)</f>
        <v>525</v>
      </c>
      <c r="AA10" s="77">
        <f>AVERAGEIFS(AA$25:AA$1048576,$D$25:$D$1048576,$G10)</f>
        <v>0</v>
      </c>
      <c r="AB10" s="45">
        <f t="shared" si="2"/>
        <v>525</v>
      </c>
      <c r="AC10" s="84">
        <f t="shared" si="4"/>
        <v>1441.0388534946237</v>
      </c>
    </row>
    <row r="11" spans="3:34" x14ac:dyDescent="0.3">
      <c r="E11" s="77">
        <f>SUMIFS(E$25:E$1048576,$D$25:$D$1048576,$G11)</f>
        <v>336</v>
      </c>
      <c r="F11"/>
      <c r="G11" s="52">
        <f>+'Fisico ASIG'!E11</f>
        <v>46054</v>
      </c>
      <c r="H11" s="77">
        <f>AVERAGEIFS(H$25:H$1048576,$D$25:$D$1048576,$G11)</f>
        <v>6811.9966160714275</v>
      </c>
      <c r="I11" s="77">
        <f>AVERAGEIFS(I$25:I$1048576,$D$25:$D$1048576,$G11)</f>
        <v>1214.4693511904759</v>
      </c>
      <c r="J11" s="77">
        <f>AVERAGEIFS(J$25:J$1048576,$D$25:$D$1048576,$G11)</f>
        <v>308.25451636904762</v>
      </c>
      <c r="K11" s="77">
        <f>AVERAGEIFS(K$25:K$1048576,$D$25:$D$1048576,$G11)</f>
        <v>25.335641443452385</v>
      </c>
      <c r="L11" s="77">
        <f>AVERAGEIFS(L$25:L$1048576,$D$25:$D$1048576,$G11)</f>
        <v>0</v>
      </c>
      <c r="M11" s="81">
        <f t="shared" si="0"/>
        <v>8360.0561250744049</v>
      </c>
      <c r="N11" s="77">
        <f>AVERAGEIFS(N$25:N$1048576,$D$25:$D$1048576,$G11)</f>
        <v>12737.164345238098</v>
      </c>
      <c r="O11" s="77">
        <f>AVERAGEIFS(O$25:O$1048576,$D$25:$D$1048576,$G11)</f>
        <v>1436.3410654761904</v>
      </c>
      <c r="P11" s="77">
        <f>AVERAGEIFS(P$25:P$1048576,$D$25:$D$1048576,$G11)</f>
        <v>987.00428422619041</v>
      </c>
      <c r="Q11" s="77">
        <f>AVERAGEIFS(Q$25:Q$1048576,$D$25:$D$1048576,$G11)</f>
        <v>202.97178571428569</v>
      </c>
      <c r="R11" s="77">
        <f>AVERAGEIFS(R$25:R$1048576,$D$25:$D$1048576,$G11)</f>
        <v>0</v>
      </c>
      <c r="S11" s="81">
        <f t="shared" si="3"/>
        <v>15363.481480654764</v>
      </c>
      <c r="T11" s="77">
        <f>AVERAGEIFS(T$25:T$1048576,$D$25:$D$1048576,$G11)</f>
        <v>0</v>
      </c>
      <c r="U11" s="77">
        <f>AVERAGEIFS(U$25:U$1048576,$D$25:$D$1048576,$G11)</f>
        <v>227.16436160714287</v>
      </c>
      <c r="V11" s="77"/>
      <c r="W11" s="77">
        <f>AVERAGEIFS(W$25:W$1048576,$D$25:$D$1048576,$G11)</f>
        <v>1396.5483333333334</v>
      </c>
      <c r="X11" s="82">
        <f t="shared" si="1"/>
        <v>1623.7126949404762</v>
      </c>
      <c r="Y11" s="77">
        <f>AVERAGEIFS(Y$25:Y$1048576,$D$25:$D$1048576,$G11)</f>
        <v>0</v>
      </c>
      <c r="Z11" s="77">
        <f>AVERAGEIFS(Z$25:Z$1048576,$D$25:$D$1048576,$G11)</f>
        <v>515.35714285714289</v>
      </c>
      <c r="AA11" s="77">
        <f>AVERAGEIFS(AA$25:AA$1048576,$D$25:$D$1048576,$G11)</f>
        <v>0</v>
      </c>
      <c r="AB11" s="45">
        <f t="shared" si="2"/>
        <v>515.35714285714289</v>
      </c>
      <c r="AC11" s="84">
        <f t="shared" si="4"/>
        <v>1396.5483333333334</v>
      </c>
    </row>
    <row r="12" spans="3:34" ht="15.75" customHeight="1" x14ac:dyDescent="0.3">
      <c r="E12" s="77">
        <f>SUMIFS(E$25:E$1048576,$D$25:$D$1048576,$G12)</f>
        <v>374</v>
      </c>
      <c r="F12" s="52"/>
      <c r="G12" s="52">
        <f>+'Fisico ASIG'!E12</f>
        <v>46082</v>
      </c>
      <c r="H12" s="77">
        <f>AVERAGEIFS(H$25:H$1048576,$D$25:$D$1048576,$G12)</f>
        <v>5927.8688817204311</v>
      </c>
      <c r="I12" s="77">
        <f>AVERAGEIFS(I$25:I$1048576,$D$25:$D$1048576,$G12)</f>
        <v>1193.5380470430102</v>
      </c>
      <c r="J12" s="77">
        <f>AVERAGEIFS(J$25:J$1048576,$D$25:$D$1048576,$G12)</f>
        <v>348.60928897849459</v>
      </c>
      <c r="K12" s="77">
        <f>AVERAGEIFS(K$25:K$1048576,$D$25:$D$1048576,$G12)</f>
        <v>31.366695295698925</v>
      </c>
      <c r="L12" s="77">
        <f>AVERAGEIFS(L$25:L$1048576,$D$25:$D$1048576,$G12)</f>
        <v>0</v>
      </c>
      <c r="M12" s="81">
        <f t="shared" si="0"/>
        <v>7501.3829130376353</v>
      </c>
      <c r="N12" s="77">
        <f>AVERAGEIFS(N$25:N$1048576,$D$25:$D$1048576,$G12)</f>
        <v>12404.800967741936</v>
      </c>
      <c r="O12" s="77">
        <f>AVERAGEIFS(O$25:O$1048576,$D$25:$D$1048576,$G12)</f>
        <v>1380.0867204301078</v>
      </c>
      <c r="P12" s="77">
        <f>AVERAGEIFS(P$25:P$1048576,$D$25:$D$1048576,$G12)</f>
        <v>948.1403561827957</v>
      </c>
      <c r="Q12" s="77">
        <f>AVERAGEIFS(Q$25:Q$1048576,$D$25:$D$1048576,$G12)</f>
        <v>200.03557728494624</v>
      </c>
      <c r="R12" s="77">
        <f>AVERAGEIFS(R$25:R$1048576,$D$25:$D$1048576,$G12)</f>
        <v>0</v>
      </c>
      <c r="S12" s="81">
        <f t="shared" si="3"/>
        <v>14933.063621639787</v>
      </c>
      <c r="T12" s="77">
        <f>AVERAGEIFS(T$25:T$1048576,$D$25:$D$1048576,$G12)</f>
        <v>0</v>
      </c>
      <c r="U12" s="77">
        <f>AVERAGEIFS(U$25:U$1048576,$D$25:$D$1048576,$G12)</f>
        <v>218.14891263440859</v>
      </c>
      <c r="V12" s="77"/>
      <c r="W12" s="77">
        <f>AVERAGEIFS(W$25:W$1048576,$D$25:$D$1048576,$G12)</f>
        <v>1364.0994623655913</v>
      </c>
      <c r="X12" s="82">
        <f t="shared" si="1"/>
        <v>1582.2483749999999</v>
      </c>
      <c r="Y12" s="77">
        <f>AVERAGEIFS(Y$25:Y$1048576,$D$25:$D$1048576,$G12)</f>
        <v>0</v>
      </c>
      <c r="Z12" s="77">
        <f>AVERAGEIFS(Z$25:Z$1048576,$D$25:$D$1048576,$G12)</f>
        <v>508.50806451612902</v>
      </c>
      <c r="AA12" s="77">
        <f>AVERAGEIFS(AA$25:AA$1048576,$D$25:$D$1048576,$G12)</f>
        <v>0</v>
      </c>
      <c r="AB12" s="45">
        <f t="shared" ref="AB12" si="5">SUM(Y12:AA12)</f>
        <v>508.50806451612902</v>
      </c>
      <c r="AC12" s="84">
        <f t="shared" si="4"/>
        <v>1364.0994623655913</v>
      </c>
      <c r="AD12" s="55"/>
      <c r="AE12" s="55"/>
    </row>
    <row r="13" spans="3:34" ht="15.75" customHeight="1" x14ac:dyDescent="0.3">
      <c r="E13" s="77">
        <f>SUMIFS(E$25:E$1048576,$D$25:$D$1048576,$G13)</f>
        <v>368</v>
      </c>
      <c r="F13" s="52"/>
      <c r="G13" s="52">
        <f>+'Fisico ASIG'!E13</f>
        <v>46113</v>
      </c>
      <c r="H13" s="77">
        <f>AVERAGEIFS(H$25:H$1048576,$D$25:$D$1048576,$G13)</f>
        <v>5177.9283236111132</v>
      </c>
      <c r="I13" s="77">
        <f>AVERAGEIFS(I$25:I$1048576,$D$25:$D$1048576,$G13)</f>
        <v>947.88149583333336</v>
      </c>
      <c r="J13" s="77">
        <f>AVERAGEIFS(J$25:J$1048576,$D$25:$D$1048576,$G13)</f>
        <v>98.63862083333332</v>
      </c>
      <c r="K13" s="77">
        <f>AVERAGEIFS(K$25:K$1048576,$D$25:$D$1048576,$G13)</f>
        <v>30.736814444444448</v>
      </c>
      <c r="L13" s="77">
        <f>AVERAGEIFS(L$25:L$1048576,$D$25:$D$1048576,$G13)</f>
        <v>0</v>
      </c>
      <c r="M13" s="81">
        <f t="shared" si="0"/>
        <v>6255.1852547222243</v>
      </c>
      <c r="N13" s="77">
        <f>AVERAGEIFS(N$25:N$1048576,$D$25:$D$1048576,$G13)</f>
        <v>11526.652223611109</v>
      </c>
      <c r="O13" s="77">
        <f>AVERAGEIFS(O$25:O$1048576,$D$25:$D$1048576,$G13)</f>
        <v>1329.4508402777778</v>
      </c>
      <c r="P13" s="77">
        <f>AVERAGEIFS(P$25:P$1048576,$D$25:$D$1048576,$G13)</f>
        <v>902.09298194444455</v>
      </c>
      <c r="Q13" s="77">
        <f>AVERAGEIFS(Q$25:Q$1048576,$D$25:$D$1048576,$G13)</f>
        <v>195.67144868055553</v>
      </c>
      <c r="R13" s="77">
        <f>AVERAGEIFS(R$25:R$1048576,$D$25:$D$1048576,$G13)</f>
        <v>0</v>
      </c>
      <c r="S13" s="81">
        <f t="shared" si="3"/>
        <v>13953.867494513886</v>
      </c>
      <c r="T13" s="77">
        <f>AVERAGEIFS(T$25:T$1048576,$D$25:$D$1048576,$G13)</f>
        <v>0</v>
      </c>
      <c r="U13" s="77">
        <f>AVERAGEIFS(U$25:U$1048576,$D$25:$D$1048576,$G13)</f>
        <v>242.99861388888888</v>
      </c>
      <c r="V13" s="77">
        <f>AVERAGEIFS(V$25:V$1048576,$D$25:$D$1048576,$G13)</f>
        <v>198.73023472222221</v>
      </c>
      <c r="W13" s="77">
        <f>AVERAGEIFS(W$25:W$1048576,$D$25:$D$1048576,$G13)</f>
        <v>1202.4212833333329</v>
      </c>
      <c r="X13" s="82">
        <f t="shared" si="1"/>
        <v>1644.150131944444</v>
      </c>
      <c r="Y13" s="77">
        <f>AVERAGEIFS(Y$25:Y$1048576,$D$25:$D$1048576,$G13)</f>
        <v>0</v>
      </c>
      <c r="Z13" s="77">
        <f>AVERAGEIFS(Z$25:Z$1048576,$D$25:$D$1048576,$G13)</f>
        <v>436.07638888888891</v>
      </c>
      <c r="AA13" s="77">
        <f>AVERAGEIFS(AA$25:AA$1048576,$D$25:$D$1048576,$G13)</f>
        <v>0</v>
      </c>
      <c r="AB13" s="45">
        <f t="shared" ref="AB13" si="6">SUM(Y13:AA13)</f>
        <v>436.07638888888891</v>
      </c>
      <c r="AC13" s="84">
        <f t="shared" si="4"/>
        <v>1401.151518055555</v>
      </c>
      <c r="AD13" s="55"/>
      <c r="AE13" s="55"/>
    </row>
    <row r="14" spans="3:34" ht="15.75" customHeight="1" x14ac:dyDescent="0.3">
      <c r="E14" s="77">
        <f>SUMIFS(E$25:E$1048576,$D$25:$D$1048576,$G14)</f>
        <v>362</v>
      </c>
      <c r="F14" s="52"/>
      <c r="G14" s="52">
        <f>+'Fisico ASIG'!E14</f>
        <v>46143</v>
      </c>
      <c r="H14" s="77">
        <f>AVERAGEIFS(H$25:H$1048576,$D$25:$D$1048576,$G14)</f>
        <v>4412.1912096774195</v>
      </c>
      <c r="I14" s="77">
        <f>AVERAGEIFS(I$25:I$1048576,$D$25:$D$1048576,$G14)</f>
        <v>801.81793010752688</v>
      </c>
      <c r="J14" s="77">
        <f>AVERAGEIFS(J$25:J$1048576,$D$25:$D$1048576,$G14)</f>
        <v>60.411182795698977</v>
      </c>
      <c r="K14" s="77">
        <f>AVERAGEIFS(K$25:K$1048576,$D$25:$D$1048576,$G14)</f>
        <v>56.502343413978494</v>
      </c>
      <c r="L14" s="77">
        <f>AVERAGEIFS(L$25:L$1048576,$D$25:$D$1048576,$G14)</f>
        <v>0</v>
      </c>
      <c r="M14" s="81">
        <f t="shared" ref="M14" si="7">SUM(H14:L14)</f>
        <v>5330.9226659946235</v>
      </c>
      <c r="N14" s="77">
        <f>AVERAGEIFS(N$25:N$1048576,$D$25:$D$1048576,$G14)</f>
        <v>12586.967795698924</v>
      </c>
      <c r="O14" s="77">
        <f>AVERAGEIFS(O$25:O$1048576,$D$25:$D$1048576,$G14)</f>
        <v>1439.4026747311827</v>
      </c>
      <c r="P14" s="77">
        <f>AVERAGEIFS(P$25:P$1048576,$D$25:$D$1048576,$G14)</f>
        <v>893.67126344086034</v>
      </c>
      <c r="Q14" s="77">
        <f>AVERAGEIFS(Q$25:Q$1048576,$D$25:$D$1048576,$G14)</f>
        <v>188.40308467741937</v>
      </c>
      <c r="R14" s="77">
        <f>AVERAGEIFS(R$25:R$1048576,$D$25:$D$1048576,$G14)</f>
        <v>0</v>
      </c>
      <c r="S14" s="81">
        <f t="shared" si="3"/>
        <v>15108.444818548383</v>
      </c>
      <c r="T14" s="77">
        <f>AVERAGEIFS(T$25:T$1048576,$D$25:$D$1048576,$G14)</f>
        <v>700</v>
      </c>
      <c r="U14" s="77">
        <f>AVERAGEIFS(U$25:U$1048576,$D$25:$D$1048576,$G14)</f>
        <v>345.82524193548386</v>
      </c>
      <c r="V14" s="77">
        <f>AVERAGEIFS(V$25:V$1048576,$D$25:$D$1048576,$G14)</f>
        <v>160.00026881720433</v>
      </c>
      <c r="W14" s="77">
        <f>AVERAGEIFS(W$25:W$1048576,$D$25:$D$1048576,$G14)</f>
        <v>1246.163252688172</v>
      </c>
      <c r="X14" s="82">
        <f t="shared" si="1"/>
        <v>2451.9887634408606</v>
      </c>
      <c r="Y14" s="77">
        <f>AVERAGEIFS(Y$25:Y$1048576,$D$25:$D$1048576,$G14)</f>
        <v>0</v>
      </c>
      <c r="Z14" s="77">
        <f>AVERAGEIFS(Z$25:Z$1048576,$D$25:$D$1048576,$G14)</f>
        <v>478.94712365591403</v>
      </c>
      <c r="AA14" s="77">
        <f>AVERAGEIFS(AA$25:AA$1048576,$D$25:$D$1048576,$G14)</f>
        <v>0</v>
      </c>
      <c r="AB14" s="45">
        <f t="shared" ref="AB14" si="8">SUM(Y14:AA14)</f>
        <v>478.94712365591403</v>
      </c>
      <c r="AC14" s="84">
        <f t="shared" si="4"/>
        <v>2106.1635215053761</v>
      </c>
      <c r="AD14" s="55"/>
      <c r="AE14" s="55"/>
    </row>
    <row r="15" spans="3:34" ht="15.75" customHeight="1" x14ac:dyDescent="0.3">
      <c r="D15" s="5"/>
      <c r="E15" s="77">
        <f>SUMIFS(E$25:E$1048576,$D$25:$D$1048576,$G15)</f>
        <v>378</v>
      </c>
      <c r="F15" s="52"/>
      <c r="G15" s="52">
        <f>+'Fisico ASIG'!E15</f>
        <v>46174</v>
      </c>
      <c r="H15" s="77">
        <f>AVERAGEIFS(H$25:H$1048576,$D$25:$D$1048576,$G15)</f>
        <v>5905.6749166666705</v>
      </c>
      <c r="I15" s="77">
        <f>AVERAGEIFS(I$25:I$1048576,$D$25:$D$1048576,$G15)</f>
        <v>461.3084027777777</v>
      </c>
      <c r="J15" s="77">
        <f>AVERAGEIFS(J$25:J$1048576,$D$25:$D$1048576,$G15)</f>
        <v>37.92869027777774</v>
      </c>
      <c r="K15" s="77"/>
      <c r="L15" s="77">
        <f>AVERAGEIFS(L$25:L$1048576,$D$25:$D$1048576,$G15)</f>
        <v>65</v>
      </c>
      <c r="M15" s="81">
        <f t="shared" ref="M15" si="9">SUM(H15:L15)</f>
        <v>6469.9120097222258</v>
      </c>
      <c r="N15" s="77">
        <f>AVERAGEIFS(N$25:N$1048576,$D$25:$D$1048576,$G15)</f>
        <v>12808.179301388884</v>
      </c>
      <c r="O15" s="77">
        <f>AVERAGEIFS(O$25:O$1048576,$D$25:$D$1048576,$G15)</f>
        <v>1512.1151597222224</v>
      </c>
      <c r="P15" s="77">
        <f>AVERAGEIFS(P$25:P$1048576,$D$25:$D$1048576,$G15)</f>
        <v>95.115330138888893</v>
      </c>
      <c r="Q15" s="77"/>
      <c r="R15" s="77">
        <f>AVERAGEIFS(R$25:R$1048576,$D$25:$D$1048576,$G15)</f>
        <v>0</v>
      </c>
      <c r="S15" s="81">
        <f t="shared" si="3"/>
        <v>14415.409791249995</v>
      </c>
      <c r="T15" s="77">
        <f>AVERAGEIFS(T$25:T$1048576,$D$25:$D$1048576,$G15)</f>
        <v>700</v>
      </c>
      <c r="U15" s="77">
        <f>AVERAGEIFS(U$25:U$1048576,$D$25:$D$1048576,$G15)</f>
        <v>266.58148750000004</v>
      </c>
      <c r="V15" s="77">
        <f>AVERAGEIFS(V$25:V$1048576,$D$25:$D$1048576,$G15)</f>
        <v>174.45394236111107</v>
      </c>
      <c r="W15" s="77">
        <f>AVERAGEIFS(W$25:W$1048576,$D$25:$D$1048576,$G15)</f>
        <v>1171.8809583333339</v>
      </c>
      <c r="X15" s="82">
        <f t="shared" si="1"/>
        <v>2312.9163881944451</v>
      </c>
      <c r="Y15" s="77">
        <f>AVERAGEIFS(Y$25:Y$1048576,$D$25:$D$1048576,$G15)</f>
        <v>0</v>
      </c>
      <c r="Z15" s="77">
        <f>AVERAGEIFS(Z$25:Z$1048576,$D$25:$D$1048576,$G15)</f>
        <v>1296.7713045833332</v>
      </c>
      <c r="AA15" s="77">
        <f>AVERAGEIFS(AA$25:AA$1048576,$D$25:$D$1048576,$G15)</f>
        <v>0</v>
      </c>
      <c r="AB15" s="45">
        <f t="shared" ref="AB15" si="10">SUM(Y15:AA15)</f>
        <v>1296.7713045833332</v>
      </c>
      <c r="AC15" s="84">
        <f t="shared" si="4"/>
        <v>2046.334900694445</v>
      </c>
      <c r="AD15" s="55"/>
      <c r="AE15" s="55"/>
    </row>
    <row r="16" spans="3:34" ht="15.75" customHeight="1" x14ac:dyDescent="0.3">
      <c r="E16" s="77">
        <f>SUMIFS(E$25:E$1048576,$D$25:$D$1048576,$G16)</f>
        <v>386</v>
      </c>
      <c r="F16" s="52"/>
      <c r="G16" s="52">
        <f>+'Fisico ASIG'!E16</f>
        <v>46204</v>
      </c>
      <c r="H16" s="77">
        <f>AVERAGEIFS(H$25:H$1048576,$D$25:$D$1048576,$G16)</f>
        <v>5775.6603225806448</v>
      </c>
      <c r="I16" s="77">
        <f>AVERAGEIFS(I$25:I$1048576,$D$25:$D$1048576,$G16)</f>
        <v>499.09219086021488</v>
      </c>
      <c r="J16" s="77">
        <f>AVERAGEIFS(J$25:J$1048576,$D$25:$D$1048576,$G16)</f>
        <v>44.4218682795699</v>
      </c>
      <c r="K16" s="77"/>
      <c r="L16" s="77">
        <f>AVERAGEIFS(L$25:L$1048576,$D$25:$D$1048576,$G16)</f>
        <v>65</v>
      </c>
      <c r="M16" s="81">
        <f t="shared" ref="M16" si="11">SUM(H16:L16)</f>
        <v>6384.1743817204297</v>
      </c>
      <c r="N16" s="77">
        <f>AVERAGEIFS(N$25:N$1048576,$D$25:$D$1048576,$G16)</f>
        <v>13046.643979838705</v>
      </c>
      <c r="O16" s="77">
        <f>AVERAGEIFS(O$25:O$1048576,$D$25:$D$1048576,$G16)</f>
        <v>1503.2357782258064</v>
      </c>
      <c r="P16" s="77">
        <f>AVERAGEIFS(P$25:P$1048576,$D$25:$D$1048576,$G16)</f>
        <v>250.49941263440869</v>
      </c>
      <c r="Q16" s="77"/>
      <c r="R16" s="77">
        <f>AVERAGEIFS(R$25:R$1048576,$D$25:$D$1048576,$G16)</f>
        <v>0</v>
      </c>
      <c r="S16" s="81">
        <f t="shared" ref="S16" si="12">SUM(N16:R16)</f>
        <v>14800.37917069892</v>
      </c>
      <c r="T16" s="77">
        <f>AVERAGEIFS(T$25:T$1048576,$D$25:$D$1048576,$G16)</f>
        <v>700</v>
      </c>
      <c r="U16" s="77">
        <f>AVERAGEIFS(U$25:U$1048576,$D$25:$D$1048576,$G16)</f>
        <v>252.26529569892475</v>
      </c>
      <c r="V16" s="77">
        <f>AVERAGEIFS(V$25:V$1048576,$D$25:$D$1048576,$G16)</f>
        <v>180.9252943548388</v>
      </c>
      <c r="W16" s="77">
        <f>AVERAGEIFS(W$25:W$1048576,$D$25:$D$1048576,$G16)</f>
        <v>1002.9267741935486</v>
      </c>
      <c r="X16" s="82">
        <f t="shared" ref="X16" si="13">SUM(T16:W16)</f>
        <v>2136.1173642473123</v>
      </c>
      <c r="Y16" s="77">
        <f>AVERAGEIFS(Y$25:Y$1048576,$D$25:$D$1048576,$G16)</f>
        <v>0</v>
      </c>
      <c r="Z16" s="77">
        <f>AVERAGEIFS(Z$25:Z$1048576,$D$25:$D$1048576,$G16)</f>
        <v>1093.8305806451615</v>
      </c>
      <c r="AA16" s="77">
        <f>AVERAGEIFS(AA$25:AA$1048576,$D$25:$D$1048576,$G16)</f>
        <v>0</v>
      </c>
      <c r="AB16" s="45">
        <f t="shared" ref="AB16" si="14">SUM(Y16:AA16)</f>
        <v>1093.8305806451615</v>
      </c>
      <c r="AC16" s="84">
        <f>+T16+V16+W16</f>
        <v>1883.8520685483873</v>
      </c>
      <c r="AD16" s="55"/>
      <c r="AE16" s="55"/>
    </row>
    <row r="17" spans="3:40" ht="15.75" customHeight="1" x14ac:dyDescent="0.3">
      <c r="E17" s="77">
        <f>SUMIFS(E$25:E$1048576,$D$25:$D$1048576,$G17)</f>
        <v>374</v>
      </c>
      <c r="F17" s="52"/>
      <c r="G17" s="52">
        <f>+'Fisico ASIG'!E17</f>
        <v>46235</v>
      </c>
      <c r="H17" s="77">
        <f>AVERAGEIFS(H$25:H$1048576,$D$25:$D$1048576,$G17)</f>
        <v>4356.7921908602139</v>
      </c>
      <c r="I17" s="77">
        <f>AVERAGEIFS(I$25:I$1048576,$D$25:$D$1048576,$G17)</f>
        <v>59.408427419354844</v>
      </c>
      <c r="J17" s="77">
        <f>AVERAGEIFS(J$25:J$1048576,$D$25:$D$1048576,$G17)</f>
        <v>71.091518817204289</v>
      </c>
      <c r="K17" s="77"/>
      <c r="L17" s="77">
        <f>AVERAGEIFS(L$25:L$1048576,$D$25:$D$1048576,$G17)</f>
        <v>90</v>
      </c>
      <c r="M17" s="81">
        <f t="shared" ref="M17" si="15">SUM(H17:L17)</f>
        <v>4577.2921370967724</v>
      </c>
      <c r="N17" s="77">
        <f>AVERAGEIFS(N$25:N$1048576,$D$25:$D$1048576,$G17)</f>
        <v>12918.03405913978</v>
      </c>
      <c r="O17" s="77">
        <f>AVERAGEIFS(O$25:O$1048576,$D$25:$D$1048576,$G17)</f>
        <v>987.11170698924741</v>
      </c>
      <c r="P17" s="77">
        <f>AVERAGEIFS(P$25:P$1048576,$D$25:$D$1048576,$G17)</f>
        <v>377.58240591397822</v>
      </c>
      <c r="Q17" s="77"/>
      <c r="R17" s="77">
        <f>AVERAGEIFS(R$25:R$1048576,$D$25:$D$1048576,$G17)</f>
        <v>0</v>
      </c>
      <c r="S17" s="81">
        <f t="shared" ref="S17" si="16">SUM(N17:R17)</f>
        <v>14282.728172043006</v>
      </c>
      <c r="T17" s="77">
        <f>AVERAGEIFS(T$25:T$1048576,$D$25:$D$1048576,$G17)</f>
        <v>700</v>
      </c>
      <c r="U17" s="77">
        <f>AVERAGEIFS(U$25:U$1048576,$D$25:$D$1048576,$G17)</f>
        <v>234.73576612903227</v>
      </c>
      <c r="V17" s="77">
        <f>AVERAGEIFS(V$25:V$1048576,$D$25:$D$1048576,$G17)</f>
        <v>236.11318682795709</v>
      </c>
      <c r="W17" s="77">
        <f>AVERAGEIFS(W$25:W$1048576,$D$25:$D$1048576,$G17)</f>
        <v>1430.0408198924727</v>
      </c>
      <c r="X17" s="82">
        <f t="shared" ref="X17" si="17">SUM(T17:W17)</f>
        <v>2600.8897728494621</v>
      </c>
      <c r="Y17" s="77">
        <f>AVERAGEIFS(Y$25:Y$1048576,$D$25:$D$1048576,$G17)</f>
        <v>0</v>
      </c>
      <c r="Z17" s="77">
        <f>AVERAGEIFS(Z$25:Z$1048576,$D$25:$D$1048576,$G17)</f>
        <v>1281.1942170698924</v>
      </c>
      <c r="AA17" s="77">
        <f>AVERAGEIFS(AA$25:AA$1048576,$D$25:$D$1048576,$G17)</f>
        <v>0</v>
      </c>
      <c r="AB17" s="45">
        <f t="shared" ref="AB17" si="18">SUM(Y17:AA17)</f>
        <v>1281.1942170698924</v>
      </c>
      <c r="AC17" s="84">
        <f>+T17+V17+W17</f>
        <v>2366.1540067204296</v>
      </c>
      <c r="AD17" s="55"/>
      <c r="AE17" s="55"/>
    </row>
    <row r="18" spans="3:40" ht="15.75" customHeight="1" x14ac:dyDescent="0.3">
      <c r="E18" s="77">
        <f>SUMIFS(E$25:E$1048576,$D$25:$D$1048576,$G18)</f>
        <v>392</v>
      </c>
      <c r="F18" s="52"/>
      <c r="G18" s="52">
        <f>+'Fisico ASIG'!E18</f>
        <v>46266</v>
      </c>
      <c r="H18" s="77">
        <f>AVERAGEIFS(H$25:H$1048576,$D$25:$D$1048576,$G18)</f>
        <v>3168.6059861111094</v>
      </c>
      <c r="I18" s="77">
        <f>AVERAGEIFS(I$25:I$1048576,$D$25:$D$1048576,$G18)</f>
        <v>174.49340277777776</v>
      </c>
      <c r="J18" s="77">
        <f>AVERAGEIFS(J$25:J$1048576,$D$25:$D$1048576,$G18)</f>
        <v>108.09993055555552</v>
      </c>
      <c r="K18" s="77"/>
      <c r="L18" s="77">
        <f>AVERAGEIFS(L$25:L$1048576,$D$25:$D$1048576,$G18)</f>
        <v>150</v>
      </c>
      <c r="M18" s="81">
        <f t="shared" ref="M18" si="19">SUM(H18:L18)</f>
        <v>3601.1993194444426</v>
      </c>
      <c r="N18" s="77">
        <f>AVERAGEIFS(N$25:N$1048576,$D$25:$D$1048576,$G18)</f>
        <v>12541.028049999994</v>
      </c>
      <c r="O18" s="77">
        <f>AVERAGEIFS(O$25:O$1048576,$D$25:$D$1048576,$G18)</f>
        <v>761.58684305555551</v>
      </c>
      <c r="P18" s="77">
        <f>AVERAGEIFS(P$25:P$1048576,$D$25:$D$1048576,$G18)</f>
        <v>439.14581111111119</v>
      </c>
      <c r="Q18" s="77"/>
      <c r="R18" s="77">
        <f>AVERAGEIFS(R$25:R$1048576,$D$25:$D$1048576,$G18)</f>
        <v>0</v>
      </c>
      <c r="S18" s="81">
        <f t="shared" ref="S18" si="20">SUM(N18:R18)</f>
        <v>13741.76070416666</v>
      </c>
      <c r="T18" s="77">
        <f>AVERAGEIFS(T$25:T$1048576,$D$25:$D$1048576,$G18)</f>
        <v>650</v>
      </c>
      <c r="U18" s="77">
        <f>AVERAGEIFS(U$25:U$1048576,$D$25:$D$1048576,$G18)</f>
        <v>197.07356944444444</v>
      </c>
      <c r="V18" s="77">
        <f>AVERAGEIFS(V$25:V$1048576,$D$25:$D$1048576,$G18)</f>
        <v>346.33617291666661</v>
      </c>
      <c r="W18" s="77">
        <f>AVERAGEIFS(W$25:W$1048576,$D$25:$D$1048576,$G18)</f>
        <v>1603.5083611111111</v>
      </c>
      <c r="X18" s="82">
        <f t="shared" ref="X18" si="21">SUM(T18:W18)</f>
        <v>2796.9181034722224</v>
      </c>
      <c r="Y18" s="77">
        <f>AVERAGEIFS(Y$25:Y$1048576,$D$25:$D$1048576,$G18)</f>
        <v>0</v>
      </c>
      <c r="Z18" s="77">
        <f>AVERAGEIFS(Z$25:Z$1048576,$D$25:$D$1048576,$G18)</f>
        <v>1238.5384576388888</v>
      </c>
      <c r="AA18" s="77">
        <f>AVERAGEIFS(AA$25:AA$1048576,$D$25:$D$1048576,$G18)</f>
        <v>0</v>
      </c>
      <c r="AB18" s="45">
        <f t="shared" ref="AB18" si="22">SUM(Y18:AA18)</f>
        <v>1238.5384576388888</v>
      </c>
      <c r="AC18" s="84">
        <f>+T18+V18+W18</f>
        <v>2599.8445340277776</v>
      </c>
      <c r="AD18" s="55"/>
      <c r="AE18" s="55"/>
    </row>
    <row r="19" spans="3:40" ht="15.75" customHeight="1" x14ac:dyDescent="0.3">
      <c r="C19" t="s">
        <v>138</v>
      </c>
      <c r="D19" s="5">
        <f>+MAX(G208:G415)</f>
        <v>46320</v>
      </c>
      <c r="E19" s="77">
        <f>SUMIFS(E$25:E$1048576,$D$25:$D$1048576,$G19)</f>
        <v>300</v>
      </c>
      <c r="F19" s="52"/>
      <c r="G19" s="52">
        <f>+'Fisico ASIG'!E19</f>
        <v>46296</v>
      </c>
      <c r="H19" s="77">
        <f>AVERAGEIFS(H$25:H$1048576,$D$25:$D$1048576,$G19)</f>
        <v>2777.4</v>
      </c>
      <c r="I19" s="77">
        <f>AVERAGEIFS(I$25:I$1048576,$D$25:$D$1048576,$G19)</f>
        <v>287.2</v>
      </c>
      <c r="J19" s="77">
        <f>AVERAGEIFS(J$25:J$1048576,$D$25:$D$1048576,$G19)</f>
        <v>124.04</v>
      </c>
      <c r="K19" s="77"/>
      <c r="L19" s="77">
        <f>AVERAGEIFS(L$25:L$1048576,$D$25:$D$1048576,$G19)</f>
        <v>150</v>
      </c>
      <c r="M19" s="81">
        <f t="shared" ref="M19" si="23">SUM(H19:L19)</f>
        <v>3338.64</v>
      </c>
      <c r="N19" s="77">
        <f>AVERAGEIFS(N$25:N$1048576,$D$25:$D$1048576,$G19)</f>
        <v>12138.64</v>
      </c>
      <c r="O19" s="77">
        <f>AVERAGEIFS(O$25:O$1048576,$D$25:$D$1048576,$G19)</f>
        <v>1297.76</v>
      </c>
      <c r="P19" s="77">
        <f>AVERAGEIFS(P$25:P$1048576,$D$25:$D$1048576,$G19)</f>
        <v>449.32</v>
      </c>
      <c r="Q19" s="77"/>
      <c r="R19" s="77">
        <f>AVERAGEIFS(R$25:R$1048576,$D$25:$D$1048576,$G19)</f>
        <v>0</v>
      </c>
      <c r="S19" s="81">
        <f t="shared" ref="S19" si="24">SUM(N19:R19)</f>
        <v>13885.72</v>
      </c>
      <c r="T19" s="77">
        <f>AVERAGEIFS(T$25:T$1048576,$D$25:$D$1048576,$G19)</f>
        <v>650</v>
      </c>
      <c r="U19" s="77">
        <f>AVERAGEIFS(U$25:U$1048576,$D$25:$D$1048576,$G19)</f>
        <v>207.72</v>
      </c>
      <c r="V19" s="77">
        <f>AVERAGEIFS(V$25:V$1048576,$D$25:$D$1048576,$G19)</f>
        <v>386.6</v>
      </c>
      <c r="W19" s="77">
        <f>AVERAGEIFS(W$25:W$1048576,$D$25:$D$1048576,$G19)</f>
        <v>1334.32</v>
      </c>
      <c r="X19" s="82">
        <f t="shared" ref="X19" si="25">SUM(T19:W19)</f>
        <v>2578.6400000000003</v>
      </c>
      <c r="Y19" s="77">
        <f>AVERAGEIFS(Y$25:Y$1048576,$D$25:$D$1048576,$G19)</f>
        <v>0</v>
      </c>
      <c r="Z19" s="77">
        <f>AVERAGEIFS(Z$25:Z$1048576,$D$25:$D$1048576,$G19)</f>
        <v>1319.04</v>
      </c>
      <c r="AA19" s="77">
        <f>AVERAGEIFS(AA$25:AA$1048576,$D$25:$D$1048576,$G19)</f>
        <v>0</v>
      </c>
      <c r="AB19" s="45">
        <f t="shared" ref="AB19" si="26">SUM(Y19:AA19)</f>
        <v>1319.04</v>
      </c>
      <c r="AC19" s="84">
        <f>+T19+V19+W19</f>
        <v>2370.92</v>
      </c>
      <c r="AD19" s="55"/>
      <c r="AE19" s="55"/>
    </row>
    <row r="20" spans="3:40" ht="15.75" customHeight="1" x14ac:dyDescent="0.3">
      <c r="D20" s="5"/>
      <c r="F20"/>
      <c r="G20"/>
      <c r="W20" s="77"/>
      <c r="AD20" s="55"/>
      <c r="AE20" s="55"/>
    </row>
    <row r="21" spans="3:40" x14ac:dyDescent="0.3">
      <c r="F21" s="2"/>
      <c r="H21" s="80"/>
      <c r="I21" s="80"/>
      <c r="J21" s="80"/>
      <c r="K21" s="80"/>
      <c r="L21" s="80"/>
      <c r="M21" s="2"/>
      <c r="N21" s="32"/>
      <c r="X21" s="2"/>
    </row>
    <row r="22" spans="3:40" x14ac:dyDescent="0.3">
      <c r="E22" t="s">
        <v>31</v>
      </c>
      <c r="H22" s="8" t="s">
        <v>17</v>
      </c>
      <c r="I22" s="8" t="s">
        <v>17</v>
      </c>
      <c r="J22" s="8" t="s">
        <v>17</v>
      </c>
      <c r="K22" s="8" t="s">
        <v>17</v>
      </c>
      <c r="L22" s="8" t="s">
        <v>17</v>
      </c>
      <c r="M22" s="8" t="s">
        <v>17</v>
      </c>
      <c r="N22" s="8" t="s">
        <v>18</v>
      </c>
      <c r="O22" s="8" t="s">
        <v>18</v>
      </c>
      <c r="P22" s="8" t="s">
        <v>18</v>
      </c>
      <c r="Q22" s="8" t="s">
        <v>18</v>
      </c>
      <c r="R22" s="8" t="s">
        <v>18</v>
      </c>
      <c r="S22" s="8" t="s">
        <v>18</v>
      </c>
      <c r="T22" s="10" t="s">
        <v>17</v>
      </c>
      <c r="U22" s="10" t="s">
        <v>17</v>
      </c>
      <c r="V22" s="10" t="s">
        <v>17</v>
      </c>
      <c r="W22" s="10" t="s">
        <v>17</v>
      </c>
      <c r="X22" s="10" t="s">
        <v>17</v>
      </c>
      <c r="Y22" s="10" t="s">
        <v>18</v>
      </c>
      <c r="Z22" s="10" t="s">
        <v>18</v>
      </c>
      <c r="AA22" s="10" t="s">
        <v>18</v>
      </c>
      <c r="AB22" s="10" t="s">
        <v>18</v>
      </c>
      <c r="AC22" s="10" t="s">
        <v>17</v>
      </c>
      <c r="AD22" t="s">
        <v>99</v>
      </c>
      <c r="AE22" t="s">
        <v>99</v>
      </c>
      <c r="AF22" t="s">
        <v>100</v>
      </c>
      <c r="AG22" t="s">
        <v>100</v>
      </c>
    </row>
    <row r="23" spans="3:40" x14ac:dyDescent="0.3">
      <c r="H23" s="9" t="s">
        <v>13</v>
      </c>
      <c r="I23" s="9" t="s">
        <v>13</v>
      </c>
      <c r="J23" s="9" t="s">
        <v>13</v>
      </c>
      <c r="K23" s="9" t="s">
        <v>13</v>
      </c>
      <c r="L23" s="9" t="s">
        <v>13</v>
      </c>
      <c r="M23" s="9" t="s">
        <v>13</v>
      </c>
      <c r="N23" s="9" t="s">
        <v>13</v>
      </c>
      <c r="O23" s="9" t="s">
        <v>13</v>
      </c>
      <c r="P23" s="9" t="s">
        <v>13</v>
      </c>
      <c r="Q23" s="9" t="s">
        <v>13</v>
      </c>
      <c r="R23" s="9" t="s">
        <v>13</v>
      </c>
      <c r="S23" s="9" t="s">
        <v>13</v>
      </c>
      <c r="T23" s="11" t="s">
        <v>13</v>
      </c>
      <c r="U23" s="11" t="s">
        <v>52</v>
      </c>
      <c r="V23" s="11" t="s">
        <v>52</v>
      </c>
      <c r="W23" s="11" t="s">
        <v>13</v>
      </c>
      <c r="X23" s="11" t="s">
        <v>13</v>
      </c>
      <c r="Y23" s="11" t="s">
        <v>139</v>
      </c>
      <c r="Z23" s="11" t="s">
        <v>139</v>
      </c>
      <c r="AA23" s="11" t="s">
        <v>139</v>
      </c>
      <c r="AB23" s="11" t="s">
        <v>139</v>
      </c>
      <c r="AC23" s="11" t="s">
        <v>139</v>
      </c>
      <c r="AD23" s="38" t="s">
        <v>101</v>
      </c>
      <c r="AE23" s="38" t="s">
        <v>102</v>
      </c>
      <c r="AF23" t="s">
        <v>101</v>
      </c>
      <c r="AG23" s="38" t="s">
        <v>102</v>
      </c>
    </row>
    <row r="24" spans="3:40" x14ac:dyDescent="0.3">
      <c r="C24" s="1" t="s">
        <v>32</v>
      </c>
      <c r="D24" s="1" t="s">
        <v>25</v>
      </c>
      <c r="E24" s="1" t="s">
        <v>103</v>
      </c>
      <c r="F24" s="1" t="s">
        <v>33</v>
      </c>
      <c r="G24" s="1" t="s">
        <v>34</v>
      </c>
      <c r="H24" s="8" t="s">
        <v>90</v>
      </c>
      <c r="I24" s="8" t="s">
        <v>91</v>
      </c>
      <c r="J24" s="8" t="s">
        <v>92</v>
      </c>
      <c r="K24" s="8" t="s">
        <v>115</v>
      </c>
      <c r="L24" s="8" t="s">
        <v>93</v>
      </c>
      <c r="M24" s="8" t="s">
        <v>94</v>
      </c>
      <c r="N24" s="8" t="s">
        <v>90</v>
      </c>
      <c r="O24" s="8" t="s">
        <v>91</v>
      </c>
      <c r="P24" s="8" t="s">
        <v>92</v>
      </c>
      <c r="Q24" s="8" t="s">
        <v>115</v>
      </c>
      <c r="R24" s="8" t="s">
        <v>93</v>
      </c>
      <c r="S24" s="8" t="s">
        <v>94</v>
      </c>
      <c r="T24" s="10" t="s">
        <v>95</v>
      </c>
      <c r="U24" s="10" t="s">
        <v>150</v>
      </c>
      <c r="V24" s="10" t="s">
        <v>149</v>
      </c>
      <c r="W24" s="10" t="s">
        <v>97</v>
      </c>
      <c r="X24" s="10" t="s">
        <v>98</v>
      </c>
      <c r="Y24" s="10" t="s">
        <v>95</v>
      </c>
      <c r="Z24" s="10" t="s">
        <v>96</v>
      </c>
      <c r="AA24" s="10" t="s">
        <v>97</v>
      </c>
      <c r="AB24" s="10" t="s">
        <v>98</v>
      </c>
      <c r="AC24" s="10" t="s">
        <v>152</v>
      </c>
      <c r="AD24" s="38" t="s">
        <v>104</v>
      </c>
      <c r="AE24" s="38" t="s">
        <v>104</v>
      </c>
      <c r="AF24" s="38" t="s">
        <v>104</v>
      </c>
      <c r="AG24" s="38" t="s">
        <v>104</v>
      </c>
    </row>
    <row r="25" spans="3:40" hidden="1" x14ac:dyDescent="0.3">
      <c r="C25" s="1">
        <f>YEAR(G25)</f>
        <v>2025</v>
      </c>
      <c r="D25" s="52">
        <f>+'Fisico ASIG'!B25</f>
        <v>45931</v>
      </c>
      <c r="E25" s="1">
        <v>16</v>
      </c>
      <c r="F25" s="1" t="s">
        <v>36</v>
      </c>
      <c r="G25" s="5">
        <v>45931</v>
      </c>
      <c r="H25" s="2">
        <v>3788.3379166666664</v>
      </c>
      <c r="I25" s="2">
        <v>654.25558333333333</v>
      </c>
      <c r="J25" s="2">
        <v>347.80670833333323</v>
      </c>
      <c r="K25" s="2"/>
      <c r="L25" s="1">
        <v>0</v>
      </c>
      <c r="M25" s="35">
        <f>SUM(H25:L25)</f>
        <v>4790.4002083333335</v>
      </c>
      <c r="N25" s="2">
        <v>11861.323458333334</v>
      </c>
      <c r="O25" s="3">
        <v>757.9595833333334</v>
      </c>
      <c r="P25" s="2">
        <v>989.47608333333346</v>
      </c>
      <c r="Q25" s="2"/>
      <c r="R25" s="1">
        <v>0</v>
      </c>
      <c r="S25" s="35">
        <f>SUM(N25:R25)</f>
        <v>13608.759125</v>
      </c>
      <c r="T25" s="2">
        <v>0</v>
      </c>
      <c r="U25" s="2">
        <v>201.28450000000001</v>
      </c>
      <c r="V25" s="2"/>
      <c r="W25" s="2">
        <v>1709.4028750000002</v>
      </c>
      <c r="X25" s="45">
        <f>SUM(T25:W25)</f>
        <v>1910.6873750000002</v>
      </c>
      <c r="Y25" s="2">
        <v>0</v>
      </c>
      <c r="Z25" s="2">
        <v>420</v>
      </c>
      <c r="AA25" s="2">
        <v>0</v>
      </c>
      <c r="AB25" s="45">
        <f>SUM(Y25:AA25)</f>
        <v>420</v>
      </c>
      <c r="AC25" s="84">
        <f t="shared" ref="AC25:AC88" si="27">+T25+V25+W25</f>
        <v>1709.4028750000002</v>
      </c>
      <c r="AD25" s="39">
        <v>3000</v>
      </c>
      <c r="AE25" s="40">
        <f t="shared" ref="AE25:AE64" si="28">+N25-AD25</f>
        <v>8861.3234583333342</v>
      </c>
      <c r="AF25" s="1">
        <f>12*AJ25</f>
        <v>10.8</v>
      </c>
      <c r="AG25" s="1">
        <f>12*AK25</f>
        <v>12</v>
      </c>
      <c r="AH25" s="41">
        <f>+(AD25*AF25+AG25*AE25)/SUM(AD25:AE25)</f>
        <v>11.696492553074188</v>
      </c>
      <c r="AJ25">
        <v>0.9</v>
      </c>
      <c r="AK25">
        <v>1</v>
      </c>
      <c r="AL25" s="32">
        <f>+AD25+AE25</f>
        <v>11861.323458333334</v>
      </c>
      <c r="AM25" s="4">
        <f>+AD25/AL25</f>
        <v>0.25292287243817713</v>
      </c>
      <c r="AN25" s="4">
        <f>+AE25/AL25</f>
        <v>0.74707712756182287</v>
      </c>
    </row>
    <row r="26" spans="3:40" hidden="1" x14ac:dyDescent="0.3">
      <c r="C26" s="1">
        <f t="shared" ref="C26:C89" si="29">YEAR(G26)</f>
        <v>2025</v>
      </c>
      <c r="D26" s="52">
        <f>+'Fisico ASIG'!B26</f>
        <v>45931</v>
      </c>
      <c r="E26" s="1">
        <v>16</v>
      </c>
      <c r="F26" s="1" t="s">
        <v>37</v>
      </c>
      <c r="G26" s="5">
        <f>+ G25+1</f>
        <v>45932</v>
      </c>
      <c r="H26" s="2">
        <v>3659.9447083333334</v>
      </c>
      <c r="I26" s="2">
        <v>591.15916666666658</v>
      </c>
      <c r="J26" s="2">
        <v>378.92295833333321</v>
      </c>
      <c r="K26" s="2"/>
      <c r="L26" s="1">
        <v>0</v>
      </c>
      <c r="M26" s="35">
        <f t="shared" ref="M26:M54" si="30">SUM(H26:L26)</f>
        <v>4630.0268333333333</v>
      </c>
      <c r="N26" s="2">
        <v>12550.744250000002</v>
      </c>
      <c r="O26" s="3">
        <v>737.01525000000004</v>
      </c>
      <c r="P26" s="2">
        <v>989.24079166666672</v>
      </c>
      <c r="Q26" s="2"/>
      <c r="R26" s="1">
        <v>0</v>
      </c>
      <c r="S26" s="35">
        <f t="shared" ref="S26:S54" si="31">SUM(N26:R26)</f>
        <v>14277.000291666669</v>
      </c>
      <c r="T26" s="2">
        <v>0</v>
      </c>
      <c r="U26" s="2">
        <v>191.34416666666672</v>
      </c>
      <c r="V26" s="2"/>
      <c r="W26" s="2">
        <v>1840.7855416666666</v>
      </c>
      <c r="X26" s="45">
        <f t="shared" ref="X26:X89" si="32">SUM(T26:W26)</f>
        <v>2032.1297083333334</v>
      </c>
      <c r="Y26" s="2">
        <v>0</v>
      </c>
      <c r="Z26" s="2">
        <v>420</v>
      </c>
      <c r="AA26" s="2">
        <v>0</v>
      </c>
      <c r="AB26" s="45">
        <f t="shared" ref="AB26:AB54" si="33">SUM(Y26:AA26)</f>
        <v>420</v>
      </c>
      <c r="AC26" s="84">
        <f t="shared" si="27"/>
        <v>1840.7855416666666</v>
      </c>
      <c r="AD26" s="39">
        <v>3000</v>
      </c>
      <c r="AE26" s="40">
        <f t="shared" si="28"/>
        <v>9550.7442500000016</v>
      </c>
      <c r="AF26" s="1">
        <f t="shared" ref="AF26:AF89" si="34">12*AJ26</f>
        <v>10.8</v>
      </c>
      <c r="AG26" s="1">
        <f t="shared" ref="AG26:AG89" si="35">12*AK26</f>
        <v>12</v>
      </c>
      <c r="AH26" s="41">
        <f t="shared" ref="AH26:AH55" si="36">+(AD26*AF26+AG26*AE26)/SUM(AD26:AE26)</f>
        <v>11.713164420508368</v>
      </c>
      <c r="AJ26">
        <v>0.9</v>
      </c>
      <c r="AK26">
        <v>1</v>
      </c>
      <c r="AL26" s="32">
        <f t="shared" ref="AL26:AL64" si="37">+AD26+AE26</f>
        <v>12550.744250000002</v>
      </c>
      <c r="AM26" s="4">
        <f t="shared" ref="AM26:AM64" si="38">+AD26/AL26</f>
        <v>0.23902964957635875</v>
      </c>
      <c r="AN26" s="4">
        <f t="shared" ref="AN26:AN64" si="39">+AE26/AL26</f>
        <v>0.76097035042364125</v>
      </c>
    </row>
    <row r="27" spans="3:40" hidden="1" x14ac:dyDescent="0.3">
      <c r="C27" s="1">
        <f t="shared" si="29"/>
        <v>2025</v>
      </c>
      <c r="D27" s="52">
        <f>+'Fisico ASIG'!B27</f>
        <v>45931</v>
      </c>
      <c r="E27" s="1">
        <v>16</v>
      </c>
      <c r="F27" s="1" t="s">
        <v>38</v>
      </c>
      <c r="G27" s="5">
        <f t="shared" ref="G27:G55" si="40">+ G26+1</f>
        <v>45933</v>
      </c>
      <c r="H27" s="2">
        <v>3755.1647500000004</v>
      </c>
      <c r="I27" s="2">
        <v>619.50137499999994</v>
      </c>
      <c r="J27" s="2">
        <v>359.48854166666666</v>
      </c>
      <c r="K27" s="2"/>
      <c r="L27" s="1">
        <v>0</v>
      </c>
      <c r="M27" s="35">
        <f t="shared" si="30"/>
        <v>4734.1546666666673</v>
      </c>
      <c r="N27" s="2">
        <v>12674.504250000002</v>
      </c>
      <c r="O27" s="3">
        <v>743.2908749999998</v>
      </c>
      <c r="P27" s="2">
        <v>989.26883333333342</v>
      </c>
      <c r="Q27" s="2"/>
      <c r="R27" s="1">
        <v>0</v>
      </c>
      <c r="S27" s="35">
        <f t="shared" si="31"/>
        <v>14407.063958333336</v>
      </c>
      <c r="T27" s="2">
        <v>0</v>
      </c>
      <c r="U27" s="2">
        <v>189.87004166666668</v>
      </c>
      <c r="V27" s="2"/>
      <c r="W27" s="2">
        <v>1953.778708333333</v>
      </c>
      <c r="X27" s="45">
        <f t="shared" si="32"/>
        <v>2143.6487499999998</v>
      </c>
      <c r="Y27" s="2">
        <v>0</v>
      </c>
      <c r="Z27" s="2">
        <v>420</v>
      </c>
      <c r="AA27" s="2">
        <v>0</v>
      </c>
      <c r="AB27" s="45">
        <f t="shared" si="33"/>
        <v>420</v>
      </c>
      <c r="AC27" s="84">
        <f t="shared" si="27"/>
        <v>1953.778708333333</v>
      </c>
      <c r="AD27" s="39">
        <v>3000</v>
      </c>
      <c r="AE27" s="40">
        <f t="shared" si="28"/>
        <v>9674.5042500000018</v>
      </c>
      <c r="AF27" s="1">
        <f t="shared" si="34"/>
        <v>10.8</v>
      </c>
      <c r="AG27" s="1">
        <f t="shared" si="35"/>
        <v>12</v>
      </c>
      <c r="AH27" s="41">
        <f t="shared" si="36"/>
        <v>11.715965222071704</v>
      </c>
      <c r="AJ27">
        <v>0.9</v>
      </c>
      <c r="AK27">
        <v>1</v>
      </c>
      <c r="AL27" s="32">
        <f t="shared" si="37"/>
        <v>12674.504250000002</v>
      </c>
      <c r="AM27" s="4">
        <f t="shared" si="38"/>
        <v>0.23669564827358036</v>
      </c>
      <c r="AN27" s="4">
        <f t="shared" si="39"/>
        <v>0.76330435172641964</v>
      </c>
    </row>
    <row r="28" spans="3:40" hidden="1" x14ac:dyDescent="0.3">
      <c r="C28" s="1">
        <f t="shared" si="29"/>
        <v>2025</v>
      </c>
      <c r="D28" s="52">
        <f>+'Fisico ASIG'!B28</f>
        <v>45931</v>
      </c>
      <c r="E28" s="1">
        <v>6</v>
      </c>
      <c r="F28" s="1" t="s">
        <v>39</v>
      </c>
      <c r="G28" s="5">
        <f t="shared" si="40"/>
        <v>45934</v>
      </c>
      <c r="H28" s="2">
        <v>4065.4599583333343</v>
      </c>
      <c r="I28" s="2">
        <v>599.1688333333334</v>
      </c>
      <c r="J28" s="2">
        <v>329.31066666666663</v>
      </c>
      <c r="K28" s="2"/>
      <c r="L28" s="1">
        <v>0</v>
      </c>
      <c r="M28" s="35">
        <f t="shared" si="30"/>
        <v>4993.9394583333342</v>
      </c>
      <c r="N28" s="2">
        <v>11921.217791666662</v>
      </c>
      <c r="O28" s="3">
        <v>717.40766666666661</v>
      </c>
      <c r="P28" s="2">
        <v>989.19358333333344</v>
      </c>
      <c r="Q28" s="2"/>
      <c r="R28" s="1">
        <v>0</v>
      </c>
      <c r="S28" s="35">
        <f t="shared" si="31"/>
        <v>13627.819041666662</v>
      </c>
      <c r="T28" s="2">
        <v>0</v>
      </c>
      <c r="U28" s="2">
        <v>194.56195833333334</v>
      </c>
      <c r="V28" s="2"/>
      <c r="W28" s="2">
        <v>1594.0311249999993</v>
      </c>
      <c r="X28" s="45">
        <f t="shared" si="32"/>
        <v>1788.5930833333327</v>
      </c>
      <c r="Y28" s="2">
        <v>0</v>
      </c>
      <c r="Z28" s="2">
        <v>468.8125</v>
      </c>
      <c r="AA28" s="2">
        <v>0</v>
      </c>
      <c r="AB28" s="45">
        <f t="shared" si="33"/>
        <v>468.8125</v>
      </c>
      <c r="AC28" s="84">
        <f t="shared" si="27"/>
        <v>1594.0311249999993</v>
      </c>
      <c r="AD28" s="39">
        <v>3000</v>
      </c>
      <c r="AE28" s="40">
        <f t="shared" si="28"/>
        <v>8921.2177916666624</v>
      </c>
      <c r="AF28" s="1">
        <f t="shared" si="34"/>
        <v>10.8</v>
      </c>
      <c r="AG28" s="1">
        <f t="shared" si="35"/>
        <v>12</v>
      </c>
      <c r="AH28" s="41">
        <f t="shared" si="36"/>
        <v>11.6980174288472</v>
      </c>
      <c r="AJ28">
        <v>0.9</v>
      </c>
      <c r="AK28">
        <v>1</v>
      </c>
      <c r="AL28" s="32">
        <f t="shared" si="37"/>
        <v>11921.217791666662</v>
      </c>
      <c r="AM28" s="4">
        <f t="shared" si="38"/>
        <v>0.2516521426273331</v>
      </c>
      <c r="AN28" s="4">
        <f t="shared" si="39"/>
        <v>0.74834785737266685</v>
      </c>
    </row>
    <row r="29" spans="3:40" hidden="1" x14ac:dyDescent="0.3">
      <c r="C29" s="1">
        <f t="shared" si="29"/>
        <v>2025</v>
      </c>
      <c r="D29" s="52">
        <f>+'Fisico ASIG'!B29</f>
        <v>45931</v>
      </c>
      <c r="E29" s="1">
        <v>4</v>
      </c>
      <c r="F29" s="1" t="s">
        <v>40</v>
      </c>
      <c r="G29" s="5">
        <f t="shared" si="40"/>
        <v>45935</v>
      </c>
      <c r="H29" s="2">
        <v>3878.330375</v>
      </c>
      <c r="I29" s="2">
        <v>572.14716666666664</v>
      </c>
      <c r="J29" s="2">
        <v>333.13879166666663</v>
      </c>
      <c r="K29" s="2"/>
      <c r="L29" s="1">
        <v>0</v>
      </c>
      <c r="M29" s="35">
        <f t="shared" si="30"/>
        <v>4783.6163333333334</v>
      </c>
      <c r="N29" s="2">
        <v>11826.973291666665</v>
      </c>
      <c r="O29" s="3">
        <v>727.99125000000004</v>
      </c>
      <c r="P29" s="2">
        <v>989.16000000000008</v>
      </c>
      <c r="Q29" s="2"/>
      <c r="R29" s="1">
        <v>0</v>
      </c>
      <c r="S29" s="35">
        <f t="shared" si="31"/>
        <v>13544.124541666664</v>
      </c>
      <c r="T29" s="2">
        <v>0</v>
      </c>
      <c r="U29" s="2">
        <v>200.00950000000003</v>
      </c>
      <c r="V29" s="2"/>
      <c r="W29" s="2">
        <v>1358.6642916666665</v>
      </c>
      <c r="X29" s="45">
        <f t="shared" si="32"/>
        <v>1558.6737916666666</v>
      </c>
      <c r="Y29" s="2">
        <v>0</v>
      </c>
      <c r="Z29" s="2">
        <v>510</v>
      </c>
      <c r="AA29" s="2">
        <v>0</v>
      </c>
      <c r="AB29" s="45">
        <f t="shared" si="33"/>
        <v>510</v>
      </c>
      <c r="AC29" s="84">
        <f t="shared" si="27"/>
        <v>1358.6642916666665</v>
      </c>
      <c r="AD29" s="39">
        <v>3000</v>
      </c>
      <c r="AE29" s="40">
        <f t="shared" si="28"/>
        <v>8826.9732916666653</v>
      </c>
      <c r="AF29" s="1">
        <f t="shared" si="34"/>
        <v>10.8</v>
      </c>
      <c r="AG29" s="1">
        <f t="shared" si="35"/>
        <v>12</v>
      </c>
      <c r="AH29" s="41">
        <f t="shared" si="36"/>
        <v>11.695611048472008</v>
      </c>
      <c r="AJ29">
        <v>0.9</v>
      </c>
      <c r="AK29">
        <v>1</v>
      </c>
      <c r="AL29" s="32">
        <f t="shared" si="37"/>
        <v>11826.973291666665</v>
      </c>
      <c r="AM29" s="4">
        <f t="shared" si="38"/>
        <v>0.25365745960666136</v>
      </c>
      <c r="AN29" s="4">
        <f t="shared" si="39"/>
        <v>0.74634254039333858</v>
      </c>
    </row>
    <row r="30" spans="3:40" hidden="1" x14ac:dyDescent="0.3">
      <c r="C30" s="1">
        <f t="shared" si="29"/>
        <v>2025</v>
      </c>
      <c r="D30" s="52">
        <f>+'Fisico ASIG'!B30</f>
        <v>45931</v>
      </c>
      <c r="E30" s="1">
        <v>16</v>
      </c>
      <c r="F30" s="1" t="s">
        <v>41</v>
      </c>
      <c r="G30" s="5">
        <f t="shared" si="40"/>
        <v>45936</v>
      </c>
      <c r="H30" s="2">
        <v>3961.0921250000006</v>
      </c>
      <c r="I30" s="2">
        <v>565.208125</v>
      </c>
      <c r="J30" s="2">
        <v>346.53779166666658</v>
      </c>
      <c r="K30" s="2"/>
      <c r="L30" s="1">
        <v>0</v>
      </c>
      <c r="M30" s="35">
        <f t="shared" si="30"/>
        <v>4872.8380416666669</v>
      </c>
      <c r="N30" s="2">
        <v>11738.134458333334</v>
      </c>
      <c r="O30" s="3">
        <v>789.32220833333326</v>
      </c>
      <c r="P30" s="2">
        <v>989.16000000000008</v>
      </c>
      <c r="Q30" s="2"/>
      <c r="R30" s="1">
        <v>0</v>
      </c>
      <c r="S30" s="35">
        <f t="shared" si="31"/>
        <v>13516.616666666667</v>
      </c>
      <c r="T30" s="2">
        <v>0</v>
      </c>
      <c r="U30" s="2">
        <v>219.09712499999998</v>
      </c>
      <c r="V30" s="2"/>
      <c r="W30" s="2">
        <v>1213.6954166666669</v>
      </c>
      <c r="X30" s="45">
        <f t="shared" si="32"/>
        <v>1432.7925416666669</v>
      </c>
      <c r="Y30" s="2">
        <v>0</v>
      </c>
      <c r="Z30" s="2">
        <v>510</v>
      </c>
      <c r="AA30" s="2">
        <v>0</v>
      </c>
      <c r="AB30" s="45">
        <f t="shared" si="33"/>
        <v>510</v>
      </c>
      <c r="AC30" s="84">
        <f t="shared" si="27"/>
        <v>1213.6954166666669</v>
      </c>
      <c r="AD30" s="39">
        <v>3000</v>
      </c>
      <c r="AE30" s="40">
        <f t="shared" si="28"/>
        <v>8738.1344583333339</v>
      </c>
      <c r="AF30" s="1">
        <f t="shared" si="34"/>
        <v>10.8</v>
      </c>
      <c r="AG30" s="1">
        <f t="shared" si="35"/>
        <v>12</v>
      </c>
      <c r="AH30" s="41">
        <f t="shared" si="36"/>
        <v>11.69330731277795</v>
      </c>
      <c r="AJ30">
        <v>0.9</v>
      </c>
      <c r="AK30">
        <v>1</v>
      </c>
      <c r="AL30" s="32">
        <f t="shared" si="37"/>
        <v>11738.134458333334</v>
      </c>
      <c r="AM30" s="4">
        <f t="shared" si="38"/>
        <v>0.25557723935170884</v>
      </c>
      <c r="AN30" s="4">
        <f t="shared" si="39"/>
        <v>0.74442276064829116</v>
      </c>
    </row>
    <row r="31" spans="3:40" hidden="1" x14ac:dyDescent="0.3">
      <c r="C31" s="1">
        <f t="shared" si="29"/>
        <v>2025</v>
      </c>
      <c r="D31" s="52">
        <f>+'Fisico ASIG'!B31</f>
        <v>45931</v>
      </c>
      <c r="E31" s="1">
        <v>16</v>
      </c>
      <c r="F31" s="1" t="s">
        <v>42</v>
      </c>
      <c r="G31" s="5">
        <f t="shared" si="40"/>
        <v>45937</v>
      </c>
      <c r="H31" s="2">
        <v>3849.5487916666666</v>
      </c>
      <c r="I31" s="2">
        <v>634.4932500000001</v>
      </c>
      <c r="J31" s="2">
        <v>337.95387500000004</v>
      </c>
      <c r="K31" s="2"/>
      <c r="L31" s="1">
        <v>0</v>
      </c>
      <c r="M31" s="35">
        <f t="shared" si="30"/>
        <v>4821.9959166666667</v>
      </c>
      <c r="N31" s="2">
        <v>11735.382916666667</v>
      </c>
      <c r="O31" s="3">
        <v>764.05549999999994</v>
      </c>
      <c r="P31" s="2">
        <v>989.23937500000011</v>
      </c>
      <c r="Q31" s="2"/>
      <c r="R31" s="1">
        <v>0</v>
      </c>
      <c r="S31" s="35">
        <f t="shared" si="31"/>
        <v>13488.677791666669</v>
      </c>
      <c r="T31" s="2">
        <v>0</v>
      </c>
      <c r="U31" s="2">
        <v>262.34029166666664</v>
      </c>
      <c r="V31" s="2"/>
      <c r="W31" s="2">
        <v>1599.7162916666668</v>
      </c>
      <c r="X31" s="45">
        <f t="shared" si="32"/>
        <v>1862.0565833333335</v>
      </c>
      <c r="Y31" s="2">
        <v>0</v>
      </c>
      <c r="Z31" s="2">
        <v>510</v>
      </c>
      <c r="AA31" s="2">
        <v>0</v>
      </c>
      <c r="AB31" s="45">
        <f t="shared" si="33"/>
        <v>510</v>
      </c>
      <c r="AC31" s="84">
        <f t="shared" si="27"/>
        <v>1599.7162916666668</v>
      </c>
      <c r="AD31" s="39">
        <v>3000</v>
      </c>
      <c r="AE31" s="40">
        <f t="shared" si="28"/>
        <v>8735.3829166666674</v>
      </c>
      <c r="AF31" s="1">
        <f t="shared" si="34"/>
        <v>10.8</v>
      </c>
      <c r="AG31" s="1">
        <f t="shared" si="35"/>
        <v>12</v>
      </c>
      <c r="AH31" s="41">
        <f t="shared" si="36"/>
        <v>11.693235403943465</v>
      </c>
      <c r="AJ31">
        <v>0.9</v>
      </c>
      <c r="AK31">
        <v>1</v>
      </c>
      <c r="AL31" s="32">
        <f t="shared" si="37"/>
        <v>11735.382916666667</v>
      </c>
      <c r="AM31" s="4">
        <f t="shared" si="38"/>
        <v>0.25563716338044501</v>
      </c>
      <c r="AN31" s="4">
        <f t="shared" si="39"/>
        <v>0.74436283661955505</v>
      </c>
    </row>
    <row r="32" spans="3:40" hidden="1" x14ac:dyDescent="0.3">
      <c r="C32" s="1">
        <f t="shared" si="29"/>
        <v>2025</v>
      </c>
      <c r="D32" s="52">
        <f>+'Fisico ASIG'!B32</f>
        <v>45931</v>
      </c>
      <c r="E32" s="1">
        <v>16</v>
      </c>
      <c r="F32" s="1" t="s">
        <v>36</v>
      </c>
      <c r="G32" s="5">
        <f t="shared" si="40"/>
        <v>45938</v>
      </c>
      <c r="H32" s="2">
        <v>3591.0038749999999</v>
      </c>
      <c r="I32" s="2">
        <v>487.69033333333334</v>
      </c>
      <c r="J32" s="2">
        <v>325.61962500000004</v>
      </c>
      <c r="K32" s="2"/>
      <c r="L32" s="1">
        <v>0</v>
      </c>
      <c r="M32" s="35">
        <f t="shared" si="30"/>
        <v>4404.3138333333336</v>
      </c>
      <c r="N32" s="2">
        <v>11851.680624999999</v>
      </c>
      <c r="O32" s="3">
        <v>750.06666666666661</v>
      </c>
      <c r="P32" s="2">
        <v>989.16000000000008</v>
      </c>
      <c r="Q32" s="2"/>
      <c r="R32" s="1">
        <v>0</v>
      </c>
      <c r="S32" s="35">
        <f t="shared" si="31"/>
        <v>13590.907291666666</v>
      </c>
      <c r="T32" s="2">
        <v>0</v>
      </c>
      <c r="U32" s="2">
        <v>201.34400000000005</v>
      </c>
      <c r="V32" s="2"/>
      <c r="W32" s="2">
        <v>1941.0047916666667</v>
      </c>
      <c r="X32" s="45">
        <f t="shared" si="32"/>
        <v>2142.3487916666668</v>
      </c>
      <c r="Y32" s="2">
        <v>0</v>
      </c>
      <c r="Z32" s="2">
        <v>510</v>
      </c>
      <c r="AA32" s="2">
        <v>0</v>
      </c>
      <c r="AB32" s="45">
        <f t="shared" si="33"/>
        <v>510</v>
      </c>
      <c r="AC32" s="84">
        <f t="shared" si="27"/>
        <v>1941.0047916666667</v>
      </c>
      <c r="AD32" s="39">
        <v>3000</v>
      </c>
      <c r="AE32" s="40">
        <f t="shared" si="28"/>
        <v>8851.6806249999991</v>
      </c>
      <c r="AF32" s="1">
        <f t="shared" si="34"/>
        <v>10.8</v>
      </c>
      <c r="AG32" s="1">
        <f t="shared" si="35"/>
        <v>12</v>
      </c>
      <c r="AH32" s="41">
        <f t="shared" si="36"/>
        <v>11.696245611579664</v>
      </c>
      <c r="AJ32">
        <v>0.9</v>
      </c>
      <c r="AK32">
        <v>1</v>
      </c>
      <c r="AL32" s="32">
        <f t="shared" si="37"/>
        <v>11851.680624999999</v>
      </c>
      <c r="AM32" s="4">
        <f t="shared" si="38"/>
        <v>0.25312865701694526</v>
      </c>
      <c r="AN32" s="4">
        <f t="shared" si="39"/>
        <v>0.7468713429830548</v>
      </c>
    </row>
    <row r="33" spans="3:40" hidden="1" x14ac:dyDescent="0.3">
      <c r="C33" s="1">
        <f t="shared" si="29"/>
        <v>2025</v>
      </c>
      <c r="D33" s="52">
        <f>+'Fisico ASIG'!B33</f>
        <v>45931</v>
      </c>
      <c r="E33" s="1">
        <v>16</v>
      </c>
      <c r="F33" s="1" t="s">
        <v>37</v>
      </c>
      <c r="G33" s="5">
        <f t="shared" si="40"/>
        <v>45939</v>
      </c>
      <c r="H33" s="2">
        <v>3569.68075</v>
      </c>
      <c r="I33" s="2">
        <v>298.57166666666672</v>
      </c>
      <c r="J33" s="2">
        <v>385.64100000000002</v>
      </c>
      <c r="K33" s="2"/>
      <c r="L33" s="1">
        <v>0</v>
      </c>
      <c r="M33" s="35">
        <f t="shared" si="30"/>
        <v>4253.8934166666668</v>
      </c>
      <c r="N33" s="2">
        <v>11798.680583333333</v>
      </c>
      <c r="O33" s="3">
        <v>738.3216666666666</v>
      </c>
      <c r="P33" s="2">
        <v>989.16000000000008</v>
      </c>
      <c r="Q33" s="2"/>
      <c r="R33" s="1">
        <v>0</v>
      </c>
      <c r="S33" s="35">
        <f t="shared" si="31"/>
        <v>13526.162249999999</v>
      </c>
      <c r="T33" s="2">
        <v>0</v>
      </c>
      <c r="U33" s="2">
        <v>253.31254166666665</v>
      </c>
      <c r="V33" s="2"/>
      <c r="W33" s="2">
        <v>1997.1086666666663</v>
      </c>
      <c r="X33" s="45">
        <f t="shared" si="32"/>
        <v>2250.4212083333327</v>
      </c>
      <c r="Y33" s="2">
        <v>0</v>
      </c>
      <c r="Z33" s="2">
        <v>510</v>
      </c>
      <c r="AA33" s="2">
        <v>0</v>
      </c>
      <c r="AB33" s="45">
        <f t="shared" si="33"/>
        <v>510</v>
      </c>
      <c r="AC33" s="84">
        <f t="shared" si="27"/>
        <v>1997.1086666666663</v>
      </c>
      <c r="AD33" s="39">
        <v>3000</v>
      </c>
      <c r="AE33" s="40">
        <f t="shared" si="28"/>
        <v>8798.6805833333328</v>
      </c>
      <c r="AF33" s="1">
        <f t="shared" si="34"/>
        <v>10.8</v>
      </c>
      <c r="AG33" s="1">
        <f t="shared" si="35"/>
        <v>12</v>
      </c>
      <c r="AH33" s="41">
        <f t="shared" si="36"/>
        <v>11.694881137380284</v>
      </c>
      <c r="AJ33">
        <v>0.9</v>
      </c>
      <c r="AK33">
        <v>1</v>
      </c>
      <c r="AL33" s="32">
        <f t="shared" si="37"/>
        <v>11798.680583333333</v>
      </c>
      <c r="AM33" s="4">
        <f t="shared" si="38"/>
        <v>0.25426571884976379</v>
      </c>
      <c r="AN33" s="4">
        <f t="shared" si="39"/>
        <v>0.74573428115023621</v>
      </c>
    </row>
    <row r="34" spans="3:40" hidden="1" x14ac:dyDescent="0.3">
      <c r="C34" s="1">
        <f t="shared" si="29"/>
        <v>2025</v>
      </c>
      <c r="D34" s="52">
        <f>+'Fisico ASIG'!B34</f>
        <v>45931</v>
      </c>
      <c r="E34" s="1">
        <v>16</v>
      </c>
      <c r="F34" s="1" t="s">
        <v>38</v>
      </c>
      <c r="G34" s="5">
        <f t="shared" si="40"/>
        <v>45940</v>
      </c>
      <c r="H34" s="2">
        <v>3707.8788749999994</v>
      </c>
      <c r="I34" s="2">
        <v>297.26279166666671</v>
      </c>
      <c r="J34" s="2">
        <v>354.75412500000004</v>
      </c>
      <c r="K34" s="2"/>
      <c r="L34" s="1">
        <v>0</v>
      </c>
      <c r="M34" s="35">
        <f t="shared" si="30"/>
        <v>4359.8957916666659</v>
      </c>
      <c r="N34" s="2">
        <v>11799.591708333335</v>
      </c>
      <c r="O34" s="3">
        <v>733.76316666666673</v>
      </c>
      <c r="P34" s="2">
        <v>989.16000000000008</v>
      </c>
      <c r="Q34" s="2"/>
      <c r="R34" s="1">
        <v>0</v>
      </c>
      <c r="S34" s="35">
        <f t="shared" si="31"/>
        <v>13522.514875000003</v>
      </c>
      <c r="T34" s="2">
        <v>0</v>
      </c>
      <c r="U34" s="2">
        <v>323.4205</v>
      </c>
      <c r="V34" s="2"/>
      <c r="W34" s="2">
        <v>1533.1634166666665</v>
      </c>
      <c r="X34" s="45">
        <f t="shared" si="32"/>
        <v>1856.5839166666665</v>
      </c>
      <c r="Y34" s="2">
        <v>0</v>
      </c>
      <c r="Z34" s="2">
        <v>510</v>
      </c>
      <c r="AA34" s="2">
        <v>0</v>
      </c>
      <c r="AB34" s="45">
        <f t="shared" si="33"/>
        <v>510</v>
      </c>
      <c r="AC34" s="84">
        <f t="shared" si="27"/>
        <v>1533.1634166666665</v>
      </c>
      <c r="AD34" s="39">
        <v>3000</v>
      </c>
      <c r="AE34" s="40">
        <f t="shared" si="28"/>
        <v>8799.5917083333352</v>
      </c>
      <c r="AF34" s="1">
        <f t="shared" si="34"/>
        <v>10.8</v>
      </c>
      <c r="AG34" s="1">
        <f t="shared" si="35"/>
        <v>12</v>
      </c>
      <c r="AH34" s="41">
        <f t="shared" si="36"/>
        <v>11.694904697638179</v>
      </c>
      <c r="AJ34">
        <v>0.9</v>
      </c>
      <c r="AK34">
        <v>1</v>
      </c>
      <c r="AL34" s="32">
        <f t="shared" si="37"/>
        <v>11799.591708333335</v>
      </c>
      <c r="AM34" s="4">
        <f t="shared" si="38"/>
        <v>0.25424608530151788</v>
      </c>
      <c r="AN34" s="4">
        <f t="shared" si="39"/>
        <v>0.74575391469848218</v>
      </c>
    </row>
    <row r="35" spans="3:40" hidden="1" x14ac:dyDescent="0.3">
      <c r="C35" s="1">
        <f t="shared" si="29"/>
        <v>2025</v>
      </c>
      <c r="D35" s="52">
        <f>+'Fisico ASIG'!B35</f>
        <v>45931</v>
      </c>
      <c r="E35" s="1">
        <v>6</v>
      </c>
      <c r="F35" s="1" t="s">
        <v>39</v>
      </c>
      <c r="G35" s="5">
        <f t="shared" si="40"/>
        <v>45941</v>
      </c>
      <c r="H35" s="2">
        <v>3874.9389166666665</v>
      </c>
      <c r="I35" s="2">
        <v>288.87341666666663</v>
      </c>
      <c r="J35" s="2">
        <v>356.23791666666671</v>
      </c>
      <c r="K35" s="2"/>
      <c r="L35" s="1">
        <v>0</v>
      </c>
      <c r="M35" s="35">
        <f t="shared" si="30"/>
        <v>4520.0502500000002</v>
      </c>
      <c r="N35" s="2">
        <v>11766.072000000002</v>
      </c>
      <c r="O35" s="3">
        <v>737.03954166666665</v>
      </c>
      <c r="P35" s="2">
        <v>989.17575000000011</v>
      </c>
      <c r="Q35" s="2"/>
      <c r="R35" s="1">
        <v>0</v>
      </c>
      <c r="S35" s="35">
        <f t="shared" si="31"/>
        <v>13492.287291666669</v>
      </c>
      <c r="T35" s="2">
        <v>0</v>
      </c>
      <c r="U35" s="2">
        <v>354.28820833333333</v>
      </c>
      <c r="V35" s="2"/>
      <c r="W35" s="2">
        <v>1506.2818750000004</v>
      </c>
      <c r="X35" s="45">
        <f t="shared" si="32"/>
        <v>1860.5700833333337</v>
      </c>
      <c r="Y35" s="2">
        <v>0</v>
      </c>
      <c r="Z35" s="2">
        <v>510</v>
      </c>
      <c r="AA35" s="2">
        <v>0</v>
      </c>
      <c r="AB35" s="45">
        <f t="shared" si="33"/>
        <v>510</v>
      </c>
      <c r="AC35" s="84">
        <f t="shared" si="27"/>
        <v>1506.2818750000004</v>
      </c>
      <c r="AD35" s="39">
        <v>3000</v>
      </c>
      <c r="AE35" s="40">
        <f t="shared" si="28"/>
        <v>8766.0720000000019</v>
      </c>
      <c r="AF35" s="1">
        <f t="shared" si="34"/>
        <v>10.8</v>
      </c>
      <c r="AG35" s="1">
        <f t="shared" si="35"/>
        <v>12</v>
      </c>
      <c r="AH35" s="41">
        <f t="shared" si="36"/>
        <v>11.694035528594421</v>
      </c>
      <c r="AJ35">
        <v>0.9</v>
      </c>
      <c r="AK35">
        <v>1</v>
      </c>
      <c r="AL35" s="32">
        <f t="shared" si="37"/>
        <v>11766.072000000002</v>
      </c>
      <c r="AM35" s="4">
        <f t="shared" si="38"/>
        <v>0.25497039283798362</v>
      </c>
      <c r="AN35" s="4">
        <f t="shared" si="39"/>
        <v>0.74502960716201638</v>
      </c>
    </row>
    <row r="36" spans="3:40" hidden="1" x14ac:dyDescent="0.3">
      <c r="C36" s="1">
        <f t="shared" si="29"/>
        <v>2025</v>
      </c>
      <c r="D36" s="52">
        <f>+'Fisico ASIG'!B36</f>
        <v>45931</v>
      </c>
      <c r="E36" s="1">
        <v>4</v>
      </c>
      <c r="F36" s="1" t="s">
        <v>40</v>
      </c>
      <c r="G36" s="5">
        <f t="shared" si="40"/>
        <v>45942</v>
      </c>
      <c r="H36" s="2">
        <v>3029.145958333334</v>
      </c>
      <c r="I36" s="2">
        <v>281.58670833333332</v>
      </c>
      <c r="J36" s="2">
        <v>287.05766666666665</v>
      </c>
      <c r="K36" s="2"/>
      <c r="L36" s="1">
        <v>0</v>
      </c>
      <c r="M36" s="35">
        <f t="shared" si="30"/>
        <v>3597.7903333333338</v>
      </c>
      <c r="N36" s="2">
        <v>11566.593000000003</v>
      </c>
      <c r="O36" s="3">
        <v>750.5621666666666</v>
      </c>
      <c r="P36" s="2">
        <v>989.16000000000008</v>
      </c>
      <c r="Q36" s="2"/>
      <c r="R36" s="1">
        <v>0</v>
      </c>
      <c r="S36" s="35">
        <f t="shared" si="31"/>
        <v>13306.315166666669</v>
      </c>
      <c r="T36" s="2">
        <v>0</v>
      </c>
      <c r="U36" s="2">
        <v>222.90420833333346</v>
      </c>
      <c r="V36" s="2"/>
      <c r="W36" s="2">
        <v>1665.6064166666665</v>
      </c>
      <c r="X36" s="45">
        <f t="shared" si="32"/>
        <v>1888.5106249999999</v>
      </c>
      <c r="Y36" s="2">
        <v>0</v>
      </c>
      <c r="Z36" s="2">
        <v>510</v>
      </c>
      <c r="AA36" s="2">
        <v>0</v>
      </c>
      <c r="AB36" s="45">
        <f t="shared" si="33"/>
        <v>510</v>
      </c>
      <c r="AC36" s="84">
        <f t="shared" si="27"/>
        <v>1665.6064166666665</v>
      </c>
      <c r="AD36" s="39">
        <v>3000</v>
      </c>
      <c r="AE36" s="40">
        <f t="shared" si="28"/>
        <v>8566.5930000000026</v>
      </c>
      <c r="AF36" s="1">
        <f t="shared" si="34"/>
        <v>10.8</v>
      </c>
      <c r="AG36" s="1">
        <f t="shared" si="35"/>
        <v>12</v>
      </c>
      <c r="AH36" s="41">
        <f t="shared" si="36"/>
        <v>11.688758824659951</v>
      </c>
      <c r="AJ36">
        <v>0.9</v>
      </c>
      <c r="AK36">
        <v>1</v>
      </c>
      <c r="AL36" s="32">
        <f t="shared" si="37"/>
        <v>11566.593000000003</v>
      </c>
      <c r="AM36" s="4">
        <f t="shared" si="38"/>
        <v>0.25936764611670865</v>
      </c>
      <c r="AN36" s="4">
        <f t="shared" si="39"/>
        <v>0.74063235388329141</v>
      </c>
    </row>
    <row r="37" spans="3:40" hidden="1" x14ac:dyDescent="0.3">
      <c r="C37" s="1">
        <f t="shared" si="29"/>
        <v>2025</v>
      </c>
      <c r="D37" s="52">
        <f>+'Fisico ASIG'!B37</f>
        <v>45931</v>
      </c>
      <c r="E37" s="1">
        <v>16</v>
      </c>
      <c r="F37" s="1" t="s">
        <v>41</v>
      </c>
      <c r="G37" s="5">
        <f t="shared" si="40"/>
        <v>45943</v>
      </c>
      <c r="H37" s="2">
        <v>3500.7538750000017</v>
      </c>
      <c r="I37" s="2">
        <v>312.61916666666673</v>
      </c>
      <c r="J37" s="2">
        <v>347.44950000000006</v>
      </c>
      <c r="K37" s="2"/>
      <c r="L37" s="1">
        <v>0</v>
      </c>
      <c r="M37" s="35">
        <f t="shared" si="30"/>
        <v>4160.8225416666683</v>
      </c>
      <c r="N37" s="2">
        <v>11604.505958333331</v>
      </c>
      <c r="O37" s="3">
        <v>763.54454166666676</v>
      </c>
      <c r="P37" s="2">
        <v>989.16162500000007</v>
      </c>
      <c r="Q37" s="2"/>
      <c r="R37" s="1">
        <v>0</v>
      </c>
      <c r="S37" s="35">
        <f t="shared" si="31"/>
        <v>13357.212124999998</v>
      </c>
      <c r="T37" s="2">
        <v>0</v>
      </c>
      <c r="U37" s="2">
        <v>200.92720833333331</v>
      </c>
      <c r="V37" s="2"/>
      <c r="W37" s="2">
        <v>1618.2008333333338</v>
      </c>
      <c r="X37" s="45">
        <f t="shared" si="32"/>
        <v>1819.1280416666671</v>
      </c>
      <c r="Y37" s="2">
        <v>0</v>
      </c>
      <c r="Z37" s="2">
        <v>510</v>
      </c>
      <c r="AA37" s="2">
        <v>0</v>
      </c>
      <c r="AB37" s="45">
        <f t="shared" si="33"/>
        <v>510</v>
      </c>
      <c r="AC37" s="84">
        <f t="shared" si="27"/>
        <v>1618.2008333333338</v>
      </c>
      <c r="AD37" s="39">
        <v>3000</v>
      </c>
      <c r="AE37" s="40">
        <f t="shared" si="28"/>
        <v>8604.5059583333314</v>
      </c>
      <c r="AF37" s="1">
        <f t="shared" si="34"/>
        <v>10.8</v>
      </c>
      <c r="AG37" s="1">
        <f t="shared" si="35"/>
        <v>12</v>
      </c>
      <c r="AH37" s="41">
        <f t="shared" si="36"/>
        <v>11.689775677402727</v>
      </c>
      <c r="AJ37">
        <v>0.9</v>
      </c>
      <c r="AK37">
        <v>1</v>
      </c>
      <c r="AL37" s="32">
        <f t="shared" si="37"/>
        <v>11604.505958333331</v>
      </c>
      <c r="AM37" s="4">
        <f t="shared" si="38"/>
        <v>0.25852026883106255</v>
      </c>
      <c r="AN37" s="4">
        <f t="shared" si="39"/>
        <v>0.74147973116893739</v>
      </c>
    </row>
    <row r="38" spans="3:40" hidden="1" x14ac:dyDescent="0.3">
      <c r="C38" s="1">
        <f t="shared" si="29"/>
        <v>2025</v>
      </c>
      <c r="D38" s="52">
        <f>+'Fisico ASIG'!B38</f>
        <v>45931</v>
      </c>
      <c r="E38" s="1">
        <v>16</v>
      </c>
      <c r="F38" s="1" t="s">
        <v>42</v>
      </c>
      <c r="G38" s="5">
        <f t="shared" si="40"/>
        <v>45944</v>
      </c>
      <c r="H38" s="2">
        <v>3948.3516249999998</v>
      </c>
      <c r="I38" s="2">
        <v>330.61666666666667</v>
      </c>
      <c r="J38" s="2">
        <v>329.9656250000001</v>
      </c>
      <c r="K38" s="2"/>
      <c r="L38" s="1">
        <v>0</v>
      </c>
      <c r="M38" s="35">
        <f t="shared" si="30"/>
        <v>4608.9339166666659</v>
      </c>
      <c r="N38" s="2">
        <v>11672.541583333334</v>
      </c>
      <c r="O38" s="3">
        <v>756.59516666666673</v>
      </c>
      <c r="P38" s="2">
        <v>970.81558333333328</v>
      </c>
      <c r="Q38" s="2"/>
      <c r="R38" s="1">
        <v>0</v>
      </c>
      <c r="S38" s="35">
        <f t="shared" si="31"/>
        <v>13399.952333333333</v>
      </c>
      <c r="T38" s="2">
        <v>0</v>
      </c>
      <c r="U38" s="2">
        <v>329.47620833333343</v>
      </c>
      <c r="V38" s="2"/>
      <c r="W38" s="2">
        <v>1623.6262083333336</v>
      </c>
      <c r="X38" s="45">
        <f t="shared" si="32"/>
        <v>1953.1024166666671</v>
      </c>
      <c r="Y38" s="2">
        <v>0</v>
      </c>
      <c r="Z38" s="2">
        <v>510</v>
      </c>
      <c r="AA38" s="2">
        <v>0</v>
      </c>
      <c r="AB38" s="45">
        <f t="shared" si="33"/>
        <v>510</v>
      </c>
      <c r="AC38" s="84">
        <f t="shared" si="27"/>
        <v>1623.6262083333336</v>
      </c>
      <c r="AD38" s="39">
        <v>3000</v>
      </c>
      <c r="AE38" s="40">
        <f t="shared" si="28"/>
        <v>8672.5415833333336</v>
      </c>
      <c r="AF38" s="1">
        <f t="shared" si="34"/>
        <v>10.8</v>
      </c>
      <c r="AG38" s="1">
        <f t="shared" si="35"/>
        <v>12</v>
      </c>
      <c r="AH38" s="41">
        <f t="shared" si="36"/>
        <v>11.691583878772361</v>
      </c>
      <c r="AJ38">
        <v>0.9</v>
      </c>
      <c r="AK38">
        <v>1</v>
      </c>
      <c r="AL38" s="32">
        <f t="shared" si="37"/>
        <v>11672.541583333334</v>
      </c>
      <c r="AM38" s="4">
        <f t="shared" si="38"/>
        <v>0.25701343435636648</v>
      </c>
      <c r="AN38" s="4">
        <f t="shared" si="39"/>
        <v>0.74298656564363352</v>
      </c>
    </row>
    <row r="39" spans="3:40" hidden="1" x14ac:dyDescent="0.3">
      <c r="C39" s="1">
        <f t="shared" si="29"/>
        <v>2025</v>
      </c>
      <c r="D39" s="52">
        <f>+'Fisico ASIG'!B39</f>
        <v>45931</v>
      </c>
      <c r="E39" s="1">
        <v>16</v>
      </c>
      <c r="F39" s="1" t="s">
        <v>36</v>
      </c>
      <c r="G39" s="5">
        <f t="shared" si="40"/>
        <v>45945</v>
      </c>
      <c r="H39" s="2">
        <v>4006.5431250000006</v>
      </c>
      <c r="I39" s="2">
        <v>543.59308333333331</v>
      </c>
      <c r="J39" s="2">
        <v>387.61483333333325</v>
      </c>
      <c r="K39" s="2"/>
      <c r="L39" s="1">
        <v>0</v>
      </c>
      <c r="M39" s="35">
        <f t="shared" si="30"/>
        <v>4937.7510416666673</v>
      </c>
      <c r="N39" s="2">
        <v>11621.719041666665</v>
      </c>
      <c r="O39" s="3">
        <v>731.94866666666655</v>
      </c>
      <c r="P39" s="2">
        <v>989.17483333333337</v>
      </c>
      <c r="Q39" s="2"/>
      <c r="R39" s="1">
        <v>0</v>
      </c>
      <c r="S39" s="35">
        <f t="shared" si="31"/>
        <v>13342.842541666665</v>
      </c>
      <c r="T39" s="2">
        <v>0</v>
      </c>
      <c r="U39" s="2">
        <v>200.49008333333336</v>
      </c>
      <c r="V39" s="2"/>
      <c r="W39" s="2">
        <v>1809.0374166666663</v>
      </c>
      <c r="X39" s="45">
        <f t="shared" si="32"/>
        <v>2009.5274999999997</v>
      </c>
      <c r="Y39" s="2">
        <v>0</v>
      </c>
      <c r="Z39" s="2">
        <v>510</v>
      </c>
      <c r="AA39" s="2">
        <v>0</v>
      </c>
      <c r="AB39" s="45">
        <f t="shared" si="33"/>
        <v>510</v>
      </c>
      <c r="AC39" s="84">
        <f t="shared" si="27"/>
        <v>1809.0374166666663</v>
      </c>
      <c r="AD39" s="39">
        <v>3000</v>
      </c>
      <c r="AE39" s="40">
        <f t="shared" si="28"/>
        <v>8621.7190416666654</v>
      </c>
      <c r="AF39" s="1">
        <f t="shared" si="34"/>
        <v>10.8</v>
      </c>
      <c r="AG39" s="1">
        <f t="shared" si="35"/>
        <v>12</v>
      </c>
      <c r="AH39" s="41">
        <f t="shared" si="36"/>
        <v>11.690235154791376</v>
      </c>
      <c r="AJ39">
        <v>0.9</v>
      </c>
      <c r="AK39">
        <v>1</v>
      </c>
      <c r="AL39" s="32">
        <f t="shared" si="37"/>
        <v>11621.719041666665</v>
      </c>
      <c r="AM39" s="4">
        <f t="shared" si="38"/>
        <v>0.2581373710071872</v>
      </c>
      <c r="AN39" s="4">
        <f t="shared" si="39"/>
        <v>0.74186262899281286</v>
      </c>
    </row>
    <row r="40" spans="3:40" hidden="1" x14ac:dyDescent="0.3">
      <c r="C40" s="1">
        <f t="shared" si="29"/>
        <v>2025</v>
      </c>
      <c r="D40" s="52">
        <f>+'Fisico ASIG'!B40</f>
        <v>45931</v>
      </c>
      <c r="E40" s="1">
        <v>16</v>
      </c>
      <c r="F40" s="1" t="s">
        <v>37</v>
      </c>
      <c r="G40" s="5">
        <f t="shared" si="40"/>
        <v>45946</v>
      </c>
      <c r="H40" s="2">
        <v>4437.891291666665</v>
      </c>
      <c r="I40" s="2">
        <v>690.49483333333342</v>
      </c>
      <c r="J40" s="2">
        <v>449.21870833333332</v>
      </c>
      <c r="K40" s="2"/>
      <c r="L40" s="1">
        <v>0</v>
      </c>
      <c r="M40" s="35">
        <f t="shared" si="30"/>
        <v>5577.604833333331</v>
      </c>
      <c r="N40" s="2">
        <v>11686.533333333333</v>
      </c>
      <c r="O40" s="3">
        <v>730.39229166666678</v>
      </c>
      <c r="P40" s="2">
        <v>989.2094166666667</v>
      </c>
      <c r="Q40" s="2"/>
      <c r="R40" s="1">
        <v>0</v>
      </c>
      <c r="S40" s="35">
        <f t="shared" si="31"/>
        <v>13406.135041666666</v>
      </c>
      <c r="T40" s="2">
        <v>0</v>
      </c>
      <c r="U40" s="2">
        <v>446.2821666666668</v>
      </c>
      <c r="V40" s="2"/>
      <c r="W40" s="2">
        <v>1092.6128749999998</v>
      </c>
      <c r="X40" s="45">
        <f t="shared" si="32"/>
        <v>1538.8950416666667</v>
      </c>
      <c r="Y40" s="2">
        <v>0</v>
      </c>
      <c r="Z40" s="2">
        <v>525</v>
      </c>
      <c r="AA40" s="2">
        <v>0</v>
      </c>
      <c r="AB40" s="45">
        <f t="shared" si="33"/>
        <v>525</v>
      </c>
      <c r="AC40" s="84">
        <f t="shared" si="27"/>
        <v>1092.6128749999998</v>
      </c>
      <c r="AD40" s="39">
        <v>3000</v>
      </c>
      <c r="AE40" s="40">
        <f t="shared" si="28"/>
        <v>8686.5333333333328</v>
      </c>
      <c r="AF40" s="1">
        <f t="shared" si="34"/>
        <v>10.8</v>
      </c>
      <c r="AG40" s="1">
        <f t="shared" si="35"/>
        <v>12</v>
      </c>
      <c r="AH40" s="41">
        <f t="shared" si="36"/>
        <v>11.691953131239375</v>
      </c>
      <c r="AJ40">
        <v>0.9</v>
      </c>
      <c r="AK40">
        <v>1</v>
      </c>
      <c r="AL40" s="32">
        <f t="shared" si="37"/>
        <v>11686.533333333333</v>
      </c>
      <c r="AM40" s="4">
        <f t="shared" si="38"/>
        <v>0.25670572396718733</v>
      </c>
      <c r="AN40" s="4">
        <f t="shared" si="39"/>
        <v>0.74329427603281273</v>
      </c>
    </row>
    <row r="41" spans="3:40" hidden="1" x14ac:dyDescent="0.3">
      <c r="C41" s="1">
        <f t="shared" si="29"/>
        <v>2025</v>
      </c>
      <c r="D41" s="52">
        <f>+'Fisico ASIG'!B41</f>
        <v>45931</v>
      </c>
      <c r="E41" s="1">
        <v>16</v>
      </c>
      <c r="F41" s="1" t="s">
        <v>38</v>
      </c>
      <c r="G41" s="5">
        <f t="shared" si="40"/>
        <v>45947</v>
      </c>
      <c r="H41" s="2">
        <v>4202.7323333333343</v>
      </c>
      <c r="I41" s="2">
        <v>690.34679166666683</v>
      </c>
      <c r="J41" s="2">
        <v>404.18879166666653</v>
      </c>
      <c r="K41" s="2"/>
      <c r="L41" s="1">
        <v>0</v>
      </c>
      <c r="M41" s="35">
        <f t="shared" si="30"/>
        <v>5297.2679166666676</v>
      </c>
      <c r="N41" s="2">
        <v>11677.488791666668</v>
      </c>
      <c r="O41" s="3">
        <v>740.46016666666674</v>
      </c>
      <c r="P41" s="2">
        <v>989.16000000000008</v>
      </c>
      <c r="Q41" s="2"/>
      <c r="R41" s="1">
        <v>0</v>
      </c>
      <c r="S41" s="35">
        <f t="shared" si="31"/>
        <v>13407.108958333334</v>
      </c>
      <c r="T41" s="2">
        <v>0</v>
      </c>
      <c r="U41" s="2">
        <v>524.69166666666672</v>
      </c>
      <c r="V41" s="2"/>
      <c r="W41" s="2">
        <v>909.30437500000016</v>
      </c>
      <c r="X41" s="45">
        <f t="shared" si="32"/>
        <v>1433.9960416666668</v>
      </c>
      <c r="Y41" s="2">
        <v>0</v>
      </c>
      <c r="Z41" s="2">
        <v>525.3200833333334</v>
      </c>
      <c r="AA41" s="2">
        <v>0</v>
      </c>
      <c r="AB41" s="45">
        <f t="shared" si="33"/>
        <v>525.3200833333334</v>
      </c>
      <c r="AC41" s="84">
        <f t="shared" si="27"/>
        <v>909.30437500000016</v>
      </c>
      <c r="AD41" s="39">
        <v>3000</v>
      </c>
      <c r="AE41" s="40">
        <f t="shared" si="28"/>
        <v>8677.4887916666685</v>
      </c>
      <c r="AF41" s="1">
        <f t="shared" si="34"/>
        <v>10.8</v>
      </c>
      <c r="AG41" s="1">
        <f t="shared" si="35"/>
        <v>12</v>
      </c>
      <c r="AH41" s="41">
        <f t="shared" si="36"/>
        <v>11.691714540324025</v>
      </c>
      <c r="AJ41">
        <v>0.9</v>
      </c>
      <c r="AK41">
        <v>1</v>
      </c>
      <c r="AL41" s="32">
        <f t="shared" si="37"/>
        <v>11677.488791666668</v>
      </c>
      <c r="AM41" s="4">
        <f t="shared" si="38"/>
        <v>0.25690454972997884</v>
      </c>
      <c r="AN41" s="4">
        <f t="shared" si="39"/>
        <v>0.74309545027002122</v>
      </c>
    </row>
    <row r="42" spans="3:40" hidden="1" x14ac:dyDescent="0.3">
      <c r="C42" s="1">
        <f t="shared" si="29"/>
        <v>2025</v>
      </c>
      <c r="D42" s="52">
        <f>+'Fisico ASIG'!B42</f>
        <v>45931</v>
      </c>
      <c r="E42" s="1">
        <v>6</v>
      </c>
      <c r="F42" s="1" t="s">
        <v>39</v>
      </c>
      <c r="G42" s="5">
        <f t="shared" si="40"/>
        <v>45948</v>
      </c>
      <c r="H42" s="2">
        <v>3399.31925</v>
      </c>
      <c r="I42" s="2">
        <v>335.88983333333334</v>
      </c>
      <c r="J42" s="2">
        <v>306.85300000000001</v>
      </c>
      <c r="K42" s="2"/>
      <c r="L42" s="1">
        <v>0</v>
      </c>
      <c r="M42" s="35">
        <f t="shared" si="30"/>
        <v>4042.0620833333332</v>
      </c>
      <c r="N42" s="2">
        <v>11523.380124999998</v>
      </c>
      <c r="O42" s="3">
        <v>720.63687500000003</v>
      </c>
      <c r="P42" s="2">
        <v>951.88616666666678</v>
      </c>
      <c r="Q42" s="2"/>
      <c r="R42" s="1">
        <v>0</v>
      </c>
      <c r="S42" s="35">
        <f t="shared" si="31"/>
        <v>13195.903166666665</v>
      </c>
      <c r="T42" s="2">
        <v>0</v>
      </c>
      <c r="U42" s="2">
        <v>523.18949999999995</v>
      </c>
      <c r="V42" s="2"/>
      <c r="W42" s="2">
        <v>1172.5989583333333</v>
      </c>
      <c r="X42" s="45">
        <f t="shared" si="32"/>
        <v>1695.7884583333332</v>
      </c>
      <c r="Y42" s="2">
        <v>0</v>
      </c>
      <c r="Z42" s="2">
        <v>525.05712499999993</v>
      </c>
      <c r="AA42" s="2">
        <v>0</v>
      </c>
      <c r="AB42" s="45">
        <f t="shared" si="33"/>
        <v>525.05712499999993</v>
      </c>
      <c r="AC42" s="84">
        <f t="shared" si="27"/>
        <v>1172.5989583333333</v>
      </c>
      <c r="AD42" s="39">
        <v>3000</v>
      </c>
      <c r="AE42" s="40">
        <f t="shared" si="28"/>
        <v>8523.3801249999979</v>
      </c>
      <c r="AF42" s="1">
        <f t="shared" si="34"/>
        <v>10.8</v>
      </c>
      <c r="AG42" s="1">
        <f t="shared" si="35"/>
        <v>12</v>
      </c>
      <c r="AH42" s="41">
        <f t="shared" si="36"/>
        <v>11.687591664863177</v>
      </c>
      <c r="AJ42">
        <v>0.9</v>
      </c>
      <c r="AK42">
        <v>1</v>
      </c>
      <c r="AL42" s="32">
        <f t="shared" si="37"/>
        <v>11523.380124999998</v>
      </c>
      <c r="AM42" s="4">
        <f t="shared" si="38"/>
        <v>0.26034027928068548</v>
      </c>
      <c r="AN42" s="4">
        <f t="shared" si="39"/>
        <v>0.73965972071931452</v>
      </c>
    </row>
    <row r="43" spans="3:40" hidden="1" x14ac:dyDescent="0.3">
      <c r="C43" s="1">
        <f t="shared" si="29"/>
        <v>2025</v>
      </c>
      <c r="D43" s="52">
        <f>+'Fisico ASIG'!B43</f>
        <v>45931</v>
      </c>
      <c r="E43" s="1">
        <v>4</v>
      </c>
      <c r="F43" s="1" t="s">
        <v>40</v>
      </c>
      <c r="G43" s="5">
        <f t="shared" si="40"/>
        <v>45949</v>
      </c>
      <c r="H43" s="2">
        <v>2032.815041666667</v>
      </c>
      <c r="I43" s="2">
        <v>231.10762500000001</v>
      </c>
      <c r="J43" s="2">
        <v>278.90562499999993</v>
      </c>
      <c r="K43" s="2"/>
      <c r="L43" s="1">
        <v>0</v>
      </c>
      <c r="M43" s="35">
        <f t="shared" si="30"/>
        <v>2542.8282916666667</v>
      </c>
      <c r="N43" s="2">
        <v>11737.139083333332</v>
      </c>
      <c r="O43" s="3">
        <v>753.22699999999998</v>
      </c>
      <c r="P43" s="2">
        <v>989.16000000000008</v>
      </c>
      <c r="Q43" s="2"/>
      <c r="R43" s="1">
        <v>0</v>
      </c>
      <c r="S43" s="35">
        <f t="shared" si="31"/>
        <v>13479.526083333332</v>
      </c>
      <c r="T43" s="2">
        <v>0</v>
      </c>
      <c r="U43" s="2">
        <v>498.37808333333345</v>
      </c>
      <c r="V43" s="2"/>
      <c r="W43" s="2">
        <v>2037.6833333333341</v>
      </c>
      <c r="X43" s="45">
        <f t="shared" si="32"/>
        <v>2536.0614166666674</v>
      </c>
      <c r="Y43" s="2">
        <v>0</v>
      </c>
      <c r="Z43" s="2">
        <v>525</v>
      </c>
      <c r="AA43" s="2">
        <v>0</v>
      </c>
      <c r="AB43" s="45">
        <f t="shared" si="33"/>
        <v>525</v>
      </c>
      <c r="AC43" s="84">
        <f t="shared" si="27"/>
        <v>2037.6833333333341</v>
      </c>
      <c r="AD43" s="39">
        <v>3000</v>
      </c>
      <c r="AE43" s="40">
        <f t="shared" si="28"/>
        <v>8737.1390833333317</v>
      </c>
      <c r="AF43" s="1">
        <f t="shared" si="34"/>
        <v>10.8</v>
      </c>
      <c r="AG43" s="1">
        <f t="shared" si="35"/>
        <v>12</v>
      </c>
      <c r="AH43" s="41">
        <f t="shared" si="36"/>
        <v>11.69328130352379</v>
      </c>
      <c r="AJ43">
        <v>0.9</v>
      </c>
      <c r="AK43">
        <v>1</v>
      </c>
      <c r="AL43" s="32">
        <f t="shared" si="37"/>
        <v>11737.139083333332</v>
      </c>
      <c r="AM43" s="4">
        <f t="shared" si="38"/>
        <v>0.25559891373017657</v>
      </c>
      <c r="AN43" s="4">
        <f t="shared" si="39"/>
        <v>0.74440108626982338</v>
      </c>
    </row>
    <row r="44" spans="3:40" hidden="1" x14ac:dyDescent="0.3">
      <c r="C44" s="1">
        <f t="shared" si="29"/>
        <v>2025</v>
      </c>
      <c r="D44" s="52">
        <f>+'Fisico ASIG'!B44</f>
        <v>45931</v>
      </c>
      <c r="E44" s="1">
        <v>16</v>
      </c>
      <c r="F44" s="1" t="s">
        <v>41</v>
      </c>
      <c r="G44" s="5">
        <f t="shared" si="40"/>
        <v>45950</v>
      </c>
      <c r="H44" s="2">
        <v>2974.9417916666671</v>
      </c>
      <c r="I44" s="2">
        <v>627.45949999999993</v>
      </c>
      <c r="J44" s="2">
        <v>349.0270000000001</v>
      </c>
      <c r="K44" s="2"/>
      <c r="L44" s="1">
        <v>0</v>
      </c>
      <c r="M44" s="35">
        <f t="shared" si="30"/>
        <v>3951.4282916666671</v>
      </c>
      <c r="N44" s="2">
        <v>11727.148000000003</v>
      </c>
      <c r="O44" s="3">
        <v>752.40949999999998</v>
      </c>
      <c r="P44" s="2">
        <v>989.3764583333334</v>
      </c>
      <c r="Q44" s="2"/>
      <c r="R44" s="1">
        <v>0</v>
      </c>
      <c r="S44" s="35">
        <f t="shared" si="31"/>
        <v>13468.933958333337</v>
      </c>
      <c r="T44" s="2">
        <v>0</v>
      </c>
      <c r="U44" s="2">
        <v>462.37737499999997</v>
      </c>
      <c r="V44" s="2"/>
      <c r="W44" s="2">
        <v>2124.4673749999997</v>
      </c>
      <c r="X44" s="45">
        <f t="shared" si="32"/>
        <v>2586.8447499999997</v>
      </c>
      <c r="Y44" s="2">
        <v>0</v>
      </c>
      <c r="Z44" s="2">
        <v>466.74458333333337</v>
      </c>
      <c r="AA44" s="2">
        <v>0</v>
      </c>
      <c r="AB44" s="45">
        <f t="shared" si="33"/>
        <v>466.74458333333337</v>
      </c>
      <c r="AC44" s="84">
        <f t="shared" si="27"/>
        <v>2124.4673749999997</v>
      </c>
      <c r="AD44" s="39">
        <v>3000</v>
      </c>
      <c r="AE44" s="40">
        <f t="shared" si="28"/>
        <v>8727.1480000000029</v>
      </c>
      <c r="AF44" s="1">
        <f t="shared" si="34"/>
        <v>10.8</v>
      </c>
      <c r="AG44" s="1">
        <f t="shared" si="35"/>
        <v>12</v>
      </c>
      <c r="AH44" s="41">
        <f t="shared" si="36"/>
        <v>11.693019990879284</v>
      </c>
      <c r="AJ44">
        <v>0.9</v>
      </c>
      <c r="AK44">
        <v>1</v>
      </c>
      <c r="AL44" s="32">
        <f t="shared" si="37"/>
        <v>11727.148000000003</v>
      </c>
      <c r="AM44" s="4">
        <f t="shared" si="38"/>
        <v>0.25581667426726423</v>
      </c>
      <c r="AN44" s="4">
        <f t="shared" si="39"/>
        <v>0.74418332573273571</v>
      </c>
    </row>
    <row r="45" spans="3:40" hidden="1" x14ac:dyDescent="0.3">
      <c r="C45" s="1">
        <f t="shared" si="29"/>
        <v>2025</v>
      </c>
      <c r="D45" s="52">
        <f>+'Fisico ASIG'!B45</f>
        <v>45931</v>
      </c>
      <c r="E45" s="1">
        <v>16</v>
      </c>
      <c r="F45" s="1" t="s">
        <v>42</v>
      </c>
      <c r="G45" s="5">
        <f t="shared" si="40"/>
        <v>45951</v>
      </c>
      <c r="H45" s="2">
        <v>3360.0556250000009</v>
      </c>
      <c r="I45" s="2">
        <v>625.76279166666666</v>
      </c>
      <c r="J45" s="2">
        <v>340.82491666666664</v>
      </c>
      <c r="K45" s="2"/>
      <c r="L45" s="1">
        <v>0</v>
      </c>
      <c r="M45" s="35">
        <f t="shared" si="30"/>
        <v>4326.6433333333343</v>
      </c>
      <c r="N45" s="2">
        <v>10964.984083333331</v>
      </c>
      <c r="O45" s="3">
        <v>730.40966666666645</v>
      </c>
      <c r="P45" s="2">
        <v>964.64012500000001</v>
      </c>
      <c r="Q45" s="2"/>
      <c r="R45" s="1">
        <v>0</v>
      </c>
      <c r="S45" s="35">
        <f t="shared" si="31"/>
        <v>12660.033874999997</v>
      </c>
      <c r="T45" s="2">
        <v>0</v>
      </c>
      <c r="U45" s="2">
        <v>411.89579166666681</v>
      </c>
      <c r="V45" s="2"/>
      <c r="W45" s="2">
        <v>1784.2966666666664</v>
      </c>
      <c r="X45" s="45">
        <f t="shared" si="32"/>
        <v>2196.192458333333</v>
      </c>
      <c r="Y45" s="2">
        <v>0</v>
      </c>
      <c r="Z45" s="2">
        <v>413.16720833333335</v>
      </c>
      <c r="AA45" s="2">
        <v>0</v>
      </c>
      <c r="AB45" s="45">
        <f t="shared" si="33"/>
        <v>413.16720833333335</v>
      </c>
      <c r="AC45" s="84">
        <f t="shared" si="27"/>
        <v>1784.2966666666664</v>
      </c>
      <c r="AD45" s="39">
        <v>3000</v>
      </c>
      <c r="AE45" s="40">
        <f t="shared" si="28"/>
        <v>7964.984083333331</v>
      </c>
      <c r="AF45" s="1">
        <f t="shared" si="34"/>
        <v>10.8</v>
      </c>
      <c r="AG45" s="1">
        <f t="shared" si="35"/>
        <v>12</v>
      </c>
      <c r="AH45" s="41">
        <f t="shared" si="36"/>
        <v>11.671682149956609</v>
      </c>
      <c r="AJ45">
        <v>0.9</v>
      </c>
      <c r="AK45">
        <v>1</v>
      </c>
      <c r="AL45" s="32">
        <f t="shared" si="37"/>
        <v>10964.984083333331</v>
      </c>
      <c r="AM45" s="4">
        <f t="shared" si="38"/>
        <v>0.27359820836949239</v>
      </c>
      <c r="AN45" s="4">
        <f t="shared" si="39"/>
        <v>0.72640179163050766</v>
      </c>
    </row>
    <row r="46" spans="3:40" hidden="1" x14ac:dyDescent="0.3">
      <c r="C46" s="1">
        <f t="shared" si="29"/>
        <v>2025</v>
      </c>
      <c r="D46" s="52">
        <f>+'Fisico ASIG'!B46</f>
        <v>45931</v>
      </c>
      <c r="E46" s="1">
        <v>16</v>
      </c>
      <c r="F46" s="1" t="s">
        <v>36</v>
      </c>
      <c r="G46" s="5">
        <f t="shared" si="40"/>
        <v>45952</v>
      </c>
      <c r="H46" s="2">
        <v>3948.9204583333353</v>
      </c>
      <c r="I46" s="2">
        <v>665.19904166666674</v>
      </c>
      <c r="J46" s="2">
        <v>345.81216666666666</v>
      </c>
      <c r="K46" s="2"/>
      <c r="L46" s="1">
        <v>0</v>
      </c>
      <c r="M46" s="35">
        <f t="shared" si="30"/>
        <v>4959.9316666666691</v>
      </c>
      <c r="N46" s="2">
        <v>10706.211000000005</v>
      </c>
      <c r="O46" s="3">
        <v>858.53824999999995</v>
      </c>
      <c r="P46" s="2">
        <v>989.16000000000008</v>
      </c>
      <c r="Q46" s="2"/>
      <c r="R46" s="1">
        <v>0</v>
      </c>
      <c r="S46" s="35">
        <f t="shared" si="31"/>
        <v>12553.909250000004</v>
      </c>
      <c r="T46" s="2">
        <v>0</v>
      </c>
      <c r="U46" s="2">
        <v>413.55254166666668</v>
      </c>
      <c r="V46" s="2"/>
      <c r="W46" s="2">
        <v>1264.8808750000001</v>
      </c>
      <c r="X46" s="45">
        <f t="shared" si="32"/>
        <v>1678.4334166666667</v>
      </c>
      <c r="Y46" s="2">
        <v>0</v>
      </c>
      <c r="Z46" s="2">
        <v>415.06837500000006</v>
      </c>
      <c r="AA46" s="2">
        <v>0</v>
      </c>
      <c r="AB46" s="45">
        <f t="shared" si="33"/>
        <v>415.06837500000006</v>
      </c>
      <c r="AC46" s="84">
        <f t="shared" si="27"/>
        <v>1264.8808750000001</v>
      </c>
      <c r="AD46" s="39">
        <v>3000</v>
      </c>
      <c r="AE46" s="40">
        <f t="shared" si="28"/>
        <v>7706.2110000000048</v>
      </c>
      <c r="AF46" s="1">
        <f t="shared" si="34"/>
        <v>10.8</v>
      </c>
      <c r="AG46" s="1">
        <f t="shared" si="35"/>
        <v>12</v>
      </c>
      <c r="AH46" s="41">
        <f t="shared" si="36"/>
        <v>11.663746585977057</v>
      </c>
      <c r="AJ46">
        <v>0.9</v>
      </c>
      <c r="AK46">
        <v>1</v>
      </c>
      <c r="AL46" s="32">
        <f t="shared" si="37"/>
        <v>10706.211000000005</v>
      </c>
      <c r="AM46" s="4">
        <f t="shared" si="38"/>
        <v>0.2802111783524534</v>
      </c>
      <c r="AN46" s="4">
        <f t="shared" si="39"/>
        <v>0.71978882164754654</v>
      </c>
    </row>
    <row r="47" spans="3:40" hidden="1" x14ac:dyDescent="0.3">
      <c r="C47" s="1">
        <f t="shared" si="29"/>
        <v>2025</v>
      </c>
      <c r="D47" s="52">
        <f>+'Fisico ASIG'!B47</f>
        <v>45931</v>
      </c>
      <c r="E47" s="1">
        <v>16</v>
      </c>
      <c r="F47" s="1" t="s">
        <v>37</v>
      </c>
      <c r="G47" s="5">
        <f t="shared" si="40"/>
        <v>45953</v>
      </c>
      <c r="H47" s="2">
        <v>4147.9129999999986</v>
      </c>
      <c r="I47" s="2">
        <v>645.13308333333339</v>
      </c>
      <c r="J47" s="2">
        <v>348.70804166666676</v>
      </c>
      <c r="K47" s="2"/>
      <c r="L47" s="1">
        <v>0</v>
      </c>
      <c r="M47" s="35">
        <f t="shared" si="30"/>
        <v>5141.7541249999986</v>
      </c>
      <c r="N47" s="2">
        <v>10679.160125000006</v>
      </c>
      <c r="O47" s="3">
        <v>922.92770833333338</v>
      </c>
      <c r="P47" s="2">
        <v>989.16000000000008</v>
      </c>
      <c r="Q47" s="2"/>
      <c r="R47" s="1">
        <v>0</v>
      </c>
      <c r="S47" s="35">
        <f t="shared" si="31"/>
        <v>12591.247833333338</v>
      </c>
      <c r="T47" s="2">
        <v>0</v>
      </c>
      <c r="U47" s="2">
        <v>407.83387500000003</v>
      </c>
      <c r="V47" s="2"/>
      <c r="W47" s="2">
        <v>1471.0011666666664</v>
      </c>
      <c r="X47" s="45">
        <f t="shared" si="32"/>
        <v>1878.8350416666665</v>
      </c>
      <c r="Y47" s="2">
        <v>0</v>
      </c>
      <c r="Z47" s="2">
        <v>415.01866666666666</v>
      </c>
      <c r="AA47" s="2">
        <v>0</v>
      </c>
      <c r="AB47" s="45">
        <f t="shared" si="33"/>
        <v>415.01866666666666</v>
      </c>
      <c r="AC47" s="84">
        <f t="shared" si="27"/>
        <v>1471.0011666666664</v>
      </c>
      <c r="AD47" s="39">
        <v>3000</v>
      </c>
      <c r="AE47" s="40">
        <f t="shared" si="28"/>
        <v>7679.1601250000058</v>
      </c>
      <c r="AF47" s="1">
        <f t="shared" si="34"/>
        <v>10.8</v>
      </c>
      <c r="AG47" s="1">
        <f t="shared" si="35"/>
        <v>12</v>
      </c>
      <c r="AH47" s="41">
        <f t="shared" si="36"/>
        <v>11.66289483837101</v>
      </c>
      <c r="AJ47">
        <v>0.9</v>
      </c>
      <c r="AK47">
        <v>1</v>
      </c>
      <c r="AL47" s="32">
        <f t="shared" si="37"/>
        <v>10679.160125000006</v>
      </c>
      <c r="AM47" s="4">
        <f t="shared" si="38"/>
        <v>0.28092096802415895</v>
      </c>
      <c r="AN47" s="4">
        <f t="shared" si="39"/>
        <v>0.719079031975841</v>
      </c>
    </row>
    <row r="48" spans="3:40" hidden="1" x14ac:dyDescent="0.3">
      <c r="C48" s="1">
        <f t="shared" si="29"/>
        <v>2025</v>
      </c>
      <c r="D48" s="52">
        <f>+'Fisico ASIG'!B48</f>
        <v>45931</v>
      </c>
      <c r="E48" s="1">
        <v>16</v>
      </c>
      <c r="F48" s="1" t="s">
        <v>38</v>
      </c>
      <c r="G48" s="5">
        <f t="shared" si="40"/>
        <v>45954</v>
      </c>
      <c r="H48" s="2">
        <v>4408.5186666666668</v>
      </c>
      <c r="I48" s="2">
        <v>656.05849999999998</v>
      </c>
      <c r="J48" s="2">
        <v>313.87312500000002</v>
      </c>
      <c r="K48" s="2"/>
      <c r="L48" s="1">
        <v>0</v>
      </c>
      <c r="M48" s="35">
        <f t="shared" si="30"/>
        <v>5378.450291666667</v>
      </c>
      <c r="N48" s="2">
        <v>10732.079416666669</v>
      </c>
      <c r="O48" s="3">
        <v>737.53708333333327</v>
      </c>
      <c r="P48" s="2">
        <v>988.97845833333338</v>
      </c>
      <c r="Q48" s="2"/>
      <c r="R48" s="1">
        <v>0</v>
      </c>
      <c r="S48" s="35">
        <f t="shared" si="31"/>
        <v>12458.594958333335</v>
      </c>
      <c r="T48" s="2">
        <v>0</v>
      </c>
      <c r="U48" s="2">
        <v>358.41345833333338</v>
      </c>
      <c r="V48" s="2"/>
      <c r="W48" s="2">
        <v>1348.5842499999999</v>
      </c>
      <c r="X48" s="45">
        <f t="shared" si="32"/>
        <v>1706.9977083333333</v>
      </c>
      <c r="Y48" s="2">
        <v>0</v>
      </c>
      <c r="Z48" s="2">
        <v>415</v>
      </c>
      <c r="AA48" s="2">
        <v>0</v>
      </c>
      <c r="AB48" s="45">
        <f t="shared" si="33"/>
        <v>415</v>
      </c>
      <c r="AC48" s="84">
        <f t="shared" si="27"/>
        <v>1348.5842499999999</v>
      </c>
      <c r="AD48" s="39">
        <v>3000</v>
      </c>
      <c r="AE48" s="40">
        <f t="shared" si="28"/>
        <v>7732.0794166666692</v>
      </c>
      <c r="AF48" s="1">
        <f t="shared" si="34"/>
        <v>10.8</v>
      </c>
      <c r="AG48" s="1">
        <f t="shared" si="35"/>
        <v>12</v>
      </c>
      <c r="AH48" s="41">
        <f t="shared" si="36"/>
        <v>11.664557085329681</v>
      </c>
      <c r="AJ48">
        <v>0.9</v>
      </c>
      <c r="AK48">
        <v>1</v>
      </c>
      <c r="AL48" s="32">
        <f t="shared" si="37"/>
        <v>10732.079416666669</v>
      </c>
      <c r="AM48" s="4">
        <f t="shared" si="38"/>
        <v>0.27953576222526549</v>
      </c>
      <c r="AN48" s="4">
        <f t="shared" si="39"/>
        <v>0.72046423777473456</v>
      </c>
    </row>
    <row r="49" spans="3:40" hidden="1" x14ac:dyDescent="0.3">
      <c r="C49" s="1">
        <f t="shared" si="29"/>
        <v>2025</v>
      </c>
      <c r="D49" s="52">
        <f>+'Fisico ASIG'!B49</f>
        <v>45931</v>
      </c>
      <c r="E49" s="1">
        <v>6</v>
      </c>
      <c r="F49" s="1" t="s">
        <v>39</v>
      </c>
      <c r="G49" s="5">
        <f t="shared" si="40"/>
        <v>45955</v>
      </c>
      <c r="H49" s="2">
        <v>3613.3969583333333</v>
      </c>
      <c r="I49" s="2">
        <v>346.47145833333332</v>
      </c>
      <c r="J49" s="2">
        <v>254.10441666666665</v>
      </c>
      <c r="K49" s="2"/>
      <c r="L49" s="1">
        <v>0</v>
      </c>
      <c r="M49" s="35">
        <f t="shared" si="30"/>
        <v>4213.9728333333333</v>
      </c>
      <c r="N49" s="2">
        <v>10993.674291666663</v>
      </c>
      <c r="O49" s="3">
        <v>751.78641666666658</v>
      </c>
      <c r="P49" s="2">
        <v>989.33391666666671</v>
      </c>
      <c r="Q49" s="2"/>
      <c r="R49" s="1">
        <v>0</v>
      </c>
      <c r="S49" s="35">
        <f t="shared" si="31"/>
        <v>12734.794624999995</v>
      </c>
      <c r="T49" s="2">
        <v>0</v>
      </c>
      <c r="U49" s="2">
        <v>229.68224999999998</v>
      </c>
      <c r="V49" s="2"/>
      <c r="W49" s="2">
        <v>1329.9649166666668</v>
      </c>
      <c r="X49" s="45">
        <f t="shared" si="32"/>
        <v>1559.6471666666669</v>
      </c>
      <c r="Y49" s="2">
        <v>0</v>
      </c>
      <c r="Z49" s="2">
        <v>415</v>
      </c>
      <c r="AA49" s="2">
        <v>0</v>
      </c>
      <c r="AB49" s="45">
        <f t="shared" si="33"/>
        <v>415</v>
      </c>
      <c r="AC49" s="84">
        <f t="shared" si="27"/>
        <v>1329.9649166666668</v>
      </c>
      <c r="AD49" s="39">
        <v>3000</v>
      </c>
      <c r="AE49" s="40">
        <f t="shared" si="28"/>
        <v>7993.6742916666626</v>
      </c>
      <c r="AF49" s="1">
        <f t="shared" si="34"/>
        <v>10.8</v>
      </c>
      <c r="AG49" s="1">
        <f t="shared" si="35"/>
        <v>12</v>
      </c>
      <c r="AH49" s="41">
        <f t="shared" si="36"/>
        <v>11.672538961543655</v>
      </c>
      <c r="AJ49">
        <v>0.9</v>
      </c>
      <c r="AK49">
        <v>1</v>
      </c>
      <c r="AL49" s="32">
        <f t="shared" si="37"/>
        <v>10993.674291666663</v>
      </c>
      <c r="AM49" s="4">
        <f t="shared" si="38"/>
        <v>0.27288419871362174</v>
      </c>
      <c r="AN49" s="4">
        <f t="shared" si="39"/>
        <v>0.72711580128637832</v>
      </c>
    </row>
    <row r="50" spans="3:40" hidden="1" x14ac:dyDescent="0.3">
      <c r="C50" s="1">
        <f t="shared" si="29"/>
        <v>2025</v>
      </c>
      <c r="D50" s="52">
        <f>+'Fisico ASIG'!B50</f>
        <v>45931</v>
      </c>
      <c r="E50" s="1">
        <v>4</v>
      </c>
      <c r="F50" s="1" t="s">
        <v>40</v>
      </c>
      <c r="G50" s="5">
        <f t="shared" si="40"/>
        <v>45956</v>
      </c>
      <c r="H50" s="2">
        <v>2285.256041666667</v>
      </c>
      <c r="I50" s="2">
        <v>368.34716666666662</v>
      </c>
      <c r="J50" s="2">
        <v>251.54116666666673</v>
      </c>
      <c r="K50" s="2"/>
      <c r="L50" s="1">
        <v>0</v>
      </c>
      <c r="M50" s="35">
        <f t="shared" si="30"/>
        <v>2905.1443750000003</v>
      </c>
      <c r="N50" s="2">
        <v>11127.918624999998</v>
      </c>
      <c r="O50" s="3">
        <v>745.34258333333321</v>
      </c>
      <c r="P50" s="2">
        <v>989.25429166666675</v>
      </c>
      <c r="Q50" s="2"/>
      <c r="R50" s="1">
        <v>0</v>
      </c>
      <c r="S50" s="35">
        <f t="shared" si="31"/>
        <v>12862.515499999998</v>
      </c>
      <c r="T50" s="2">
        <v>0</v>
      </c>
      <c r="U50" s="2">
        <v>276.29520833333339</v>
      </c>
      <c r="V50" s="2"/>
      <c r="W50" s="2">
        <v>1679.1830833333338</v>
      </c>
      <c r="X50" s="45">
        <f t="shared" si="32"/>
        <v>1955.4782916666672</v>
      </c>
      <c r="Y50" s="2">
        <v>0</v>
      </c>
      <c r="Z50" s="2">
        <v>415</v>
      </c>
      <c r="AA50" s="2">
        <v>0</v>
      </c>
      <c r="AB50" s="45">
        <f t="shared" si="33"/>
        <v>415</v>
      </c>
      <c r="AC50" s="84">
        <f t="shared" si="27"/>
        <v>1679.1830833333338</v>
      </c>
      <c r="AD50" s="39">
        <v>3000</v>
      </c>
      <c r="AE50" s="40">
        <f t="shared" si="28"/>
        <v>8127.9186249999984</v>
      </c>
      <c r="AF50" s="1">
        <f t="shared" si="34"/>
        <v>10.8</v>
      </c>
      <c r="AG50" s="1">
        <f t="shared" si="35"/>
        <v>12</v>
      </c>
      <c r="AH50" s="41">
        <f t="shared" si="36"/>
        <v>11.676489366851387</v>
      </c>
      <c r="AJ50">
        <v>0.9</v>
      </c>
      <c r="AK50">
        <v>1</v>
      </c>
      <c r="AL50" s="32">
        <f t="shared" si="37"/>
        <v>11127.918624999998</v>
      </c>
      <c r="AM50" s="4">
        <f t="shared" si="38"/>
        <v>0.2695921942905114</v>
      </c>
      <c r="AN50" s="4">
        <f t="shared" si="39"/>
        <v>0.7304078057094886</v>
      </c>
    </row>
    <row r="51" spans="3:40" hidden="1" x14ac:dyDescent="0.3">
      <c r="C51" s="1">
        <f t="shared" si="29"/>
        <v>2025</v>
      </c>
      <c r="D51" s="52">
        <f>+'Fisico ASIG'!B51</f>
        <v>45931</v>
      </c>
      <c r="E51" s="1">
        <v>16</v>
      </c>
      <c r="F51" s="1" t="s">
        <v>41</v>
      </c>
      <c r="G51" s="5">
        <f t="shared" si="40"/>
        <v>45957</v>
      </c>
      <c r="H51" s="2">
        <v>3637.1882916666664</v>
      </c>
      <c r="I51" s="2">
        <v>769.57316666666679</v>
      </c>
      <c r="J51" s="2">
        <v>285.27879166666668</v>
      </c>
      <c r="K51" s="2"/>
      <c r="L51" s="1">
        <v>0</v>
      </c>
      <c r="M51" s="35">
        <f t="shared" si="30"/>
        <v>4692.04025</v>
      </c>
      <c r="N51" s="2">
        <v>11075.87329166667</v>
      </c>
      <c r="O51" s="3">
        <v>825.67412500000012</v>
      </c>
      <c r="P51" s="2">
        <v>989.16000000000008</v>
      </c>
      <c r="Q51" s="2"/>
      <c r="R51" s="1">
        <v>0</v>
      </c>
      <c r="S51" s="35">
        <f t="shared" si="31"/>
        <v>12890.70741666667</v>
      </c>
      <c r="T51" s="2">
        <v>0</v>
      </c>
      <c r="U51" s="2">
        <v>382.8570416666667</v>
      </c>
      <c r="V51" s="2"/>
      <c r="W51" s="2">
        <v>1118.3445833333333</v>
      </c>
      <c r="X51" s="45">
        <f t="shared" si="32"/>
        <v>1501.2016249999999</v>
      </c>
      <c r="Y51" s="2">
        <v>0</v>
      </c>
      <c r="Z51" s="2">
        <v>415</v>
      </c>
      <c r="AA51" s="2">
        <v>0</v>
      </c>
      <c r="AB51" s="45">
        <f t="shared" si="33"/>
        <v>415</v>
      </c>
      <c r="AC51" s="84">
        <f t="shared" si="27"/>
        <v>1118.3445833333333</v>
      </c>
      <c r="AD51" s="39">
        <v>3000</v>
      </c>
      <c r="AE51" s="40">
        <f t="shared" si="28"/>
        <v>8075.8732916666704</v>
      </c>
      <c r="AF51" s="1">
        <f t="shared" si="34"/>
        <v>10.8</v>
      </c>
      <c r="AG51" s="1">
        <f t="shared" si="35"/>
        <v>12</v>
      </c>
      <c r="AH51" s="41">
        <f t="shared" si="36"/>
        <v>11.674969196089613</v>
      </c>
      <c r="AJ51">
        <v>0.9</v>
      </c>
      <c r="AK51">
        <v>1</v>
      </c>
      <c r="AL51" s="32">
        <f t="shared" si="37"/>
        <v>11075.87329166667</v>
      </c>
      <c r="AM51" s="4">
        <f t="shared" si="38"/>
        <v>0.2708590032586557</v>
      </c>
      <c r="AN51" s="4">
        <f t="shared" si="39"/>
        <v>0.72914099674134436</v>
      </c>
    </row>
    <row r="52" spans="3:40" hidden="1" x14ac:dyDescent="0.3">
      <c r="C52" s="1">
        <f t="shared" si="29"/>
        <v>2025</v>
      </c>
      <c r="D52" s="52">
        <f>+'Fisico ASIG'!B52</f>
        <v>45931</v>
      </c>
      <c r="E52" s="1">
        <v>16</v>
      </c>
      <c r="F52" s="1" t="s">
        <v>42</v>
      </c>
      <c r="G52" s="5">
        <f t="shared" si="40"/>
        <v>45958</v>
      </c>
      <c r="H52" s="2">
        <v>4012.0235416666665</v>
      </c>
      <c r="I52" s="2">
        <v>808.8764583333334</v>
      </c>
      <c r="J52" s="2">
        <v>308.60033333333337</v>
      </c>
      <c r="K52" s="2"/>
      <c r="L52" s="1">
        <v>0</v>
      </c>
      <c r="M52" s="35">
        <f t="shared" si="30"/>
        <v>5129.5003333333334</v>
      </c>
      <c r="N52" s="2">
        <v>11140.414708333328</v>
      </c>
      <c r="O52" s="3">
        <v>881.88591666666684</v>
      </c>
      <c r="P52" s="2">
        <v>989.2369583333334</v>
      </c>
      <c r="Q52" s="2"/>
      <c r="R52" s="1">
        <v>0</v>
      </c>
      <c r="S52" s="35">
        <f t="shared" si="31"/>
        <v>13011.537583333327</v>
      </c>
      <c r="T52" s="2">
        <v>0</v>
      </c>
      <c r="U52" s="2">
        <v>352.12308333333334</v>
      </c>
      <c r="V52" s="2"/>
      <c r="W52" s="2">
        <v>822.05245833333333</v>
      </c>
      <c r="X52" s="45">
        <f t="shared" si="32"/>
        <v>1174.1755416666667</v>
      </c>
      <c r="Y52" s="2">
        <v>0</v>
      </c>
      <c r="Z52" s="2">
        <v>415</v>
      </c>
      <c r="AA52" s="2">
        <v>0</v>
      </c>
      <c r="AB52" s="45">
        <f t="shared" si="33"/>
        <v>415</v>
      </c>
      <c r="AC52" s="84">
        <f t="shared" si="27"/>
        <v>822.05245833333333</v>
      </c>
      <c r="AD52" s="39">
        <v>3000</v>
      </c>
      <c r="AE52" s="40">
        <f t="shared" si="28"/>
        <v>8140.4147083333282</v>
      </c>
      <c r="AF52" s="1">
        <f t="shared" si="34"/>
        <v>10.8</v>
      </c>
      <c r="AG52" s="1">
        <f t="shared" si="35"/>
        <v>12</v>
      </c>
      <c r="AH52" s="41">
        <f t="shared" si="36"/>
        <v>11.676852245248364</v>
      </c>
      <c r="AJ52">
        <v>0.9</v>
      </c>
      <c r="AK52">
        <v>1</v>
      </c>
      <c r="AL52" s="32">
        <f t="shared" si="37"/>
        <v>11140.414708333328</v>
      </c>
      <c r="AM52" s="4">
        <f t="shared" si="38"/>
        <v>0.26928979562636207</v>
      </c>
      <c r="AN52" s="4">
        <f t="shared" si="39"/>
        <v>0.73071020437363787</v>
      </c>
    </row>
    <row r="53" spans="3:40" hidden="1" x14ac:dyDescent="0.3">
      <c r="C53" s="1">
        <f t="shared" si="29"/>
        <v>2025</v>
      </c>
      <c r="D53" s="52">
        <f>+'Fisico ASIG'!B53</f>
        <v>45931</v>
      </c>
      <c r="E53" s="1">
        <v>16</v>
      </c>
      <c r="F53" s="1" t="s">
        <v>36</v>
      </c>
      <c r="G53" s="5">
        <f t="shared" si="40"/>
        <v>45959</v>
      </c>
      <c r="H53" s="2">
        <v>3690.1499583333352</v>
      </c>
      <c r="I53" s="2">
        <v>747.26474999999994</v>
      </c>
      <c r="J53" s="2">
        <v>268.87012500000003</v>
      </c>
      <c r="K53" s="2"/>
      <c r="L53" s="1">
        <v>0</v>
      </c>
      <c r="M53" s="35">
        <f t="shared" si="30"/>
        <v>4706.2848333333359</v>
      </c>
      <c r="N53" s="2">
        <v>11025.333625000001</v>
      </c>
      <c r="O53" s="3">
        <v>1055.6619583333336</v>
      </c>
      <c r="P53" s="2">
        <v>989.16000000000008</v>
      </c>
      <c r="Q53" s="2"/>
      <c r="R53" s="1">
        <v>0</v>
      </c>
      <c r="S53" s="35">
        <f t="shared" si="31"/>
        <v>13070.155583333335</v>
      </c>
      <c r="T53" s="2">
        <v>0</v>
      </c>
      <c r="U53" s="2">
        <v>334.26012500000007</v>
      </c>
      <c r="V53" s="2"/>
      <c r="W53" s="2">
        <v>1295.188208333333</v>
      </c>
      <c r="X53" s="45">
        <f t="shared" si="32"/>
        <v>1629.448333333333</v>
      </c>
      <c r="Y53" s="2">
        <v>0</v>
      </c>
      <c r="Z53" s="2">
        <v>415</v>
      </c>
      <c r="AA53" s="2">
        <v>0</v>
      </c>
      <c r="AB53" s="45">
        <f t="shared" si="33"/>
        <v>415</v>
      </c>
      <c r="AC53" s="84">
        <f t="shared" si="27"/>
        <v>1295.188208333333</v>
      </c>
      <c r="AD53" s="39">
        <v>3000</v>
      </c>
      <c r="AE53" s="40">
        <f t="shared" si="28"/>
        <v>8025.3336250000011</v>
      </c>
      <c r="AF53" s="1">
        <f t="shared" si="34"/>
        <v>10.8</v>
      </c>
      <c r="AG53" s="1">
        <f t="shared" si="35"/>
        <v>12</v>
      </c>
      <c r="AH53" s="41">
        <f t="shared" si="36"/>
        <v>11.673479268524176</v>
      </c>
      <c r="AJ53">
        <v>0.9</v>
      </c>
      <c r="AK53">
        <v>1</v>
      </c>
      <c r="AL53" s="32">
        <f t="shared" si="37"/>
        <v>11025.333625000001</v>
      </c>
      <c r="AM53" s="4">
        <f t="shared" si="38"/>
        <v>0.27210060956318677</v>
      </c>
      <c r="AN53" s="4">
        <f t="shared" si="39"/>
        <v>0.72789939043681318</v>
      </c>
    </row>
    <row r="54" spans="3:40" hidden="1" x14ac:dyDescent="0.3">
      <c r="C54" s="1">
        <f t="shared" si="29"/>
        <v>2025</v>
      </c>
      <c r="D54" s="52">
        <f>+'Fisico ASIG'!B54</f>
        <v>45931</v>
      </c>
      <c r="E54" s="1">
        <v>16</v>
      </c>
      <c r="F54" s="1" t="s">
        <v>37</v>
      </c>
      <c r="G54" s="5">
        <f t="shared" si="40"/>
        <v>45960</v>
      </c>
      <c r="H54" s="2">
        <v>3527.3070833333331</v>
      </c>
      <c r="I54" s="2">
        <v>673.70112500000005</v>
      </c>
      <c r="J54" s="2">
        <v>249.17608333333334</v>
      </c>
      <c r="K54" s="2"/>
      <c r="L54" s="1">
        <v>0</v>
      </c>
      <c r="M54" s="35">
        <f t="shared" si="30"/>
        <v>4450.1842916666665</v>
      </c>
      <c r="N54" s="2">
        <v>10991.000416666666</v>
      </c>
      <c r="O54" s="3">
        <v>1046.5911666666668</v>
      </c>
      <c r="P54" s="2">
        <v>989.16000000000008</v>
      </c>
      <c r="Q54" s="2"/>
      <c r="R54" s="1">
        <v>0</v>
      </c>
      <c r="S54" s="35">
        <f t="shared" si="31"/>
        <v>13026.751583333333</v>
      </c>
      <c r="T54" s="2">
        <v>0</v>
      </c>
      <c r="U54" s="2">
        <v>328.95741666666663</v>
      </c>
      <c r="V54" s="2"/>
      <c r="W54" s="2">
        <v>1607.9981250000001</v>
      </c>
      <c r="X54" s="45">
        <f t="shared" si="32"/>
        <v>1936.9555416666667</v>
      </c>
      <c r="Y54" s="2">
        <v>0</v>
      </c>
      <c r="Z54" s="2">
        <v>415</v>
      </c>
      <c r="AA54" s="2">
        <v>0</v>
      </c>
      <c r="AB54" s="45">
        <f t="shared" si="33"/>
        <v>415</v>
      </c>
      <c r="AC54" s="84">
        <f t="shared" si="27"/>
        <v>1607.9981250000001</v>
      </c>
      <c r="AD54" s="39">
        <v>3000</v>
      </c>
      <c r="AE54" s="40">
        <f t="shared" si="28"/>
        <v>7991.0004166666658</v>
      </c>
      <c r="AF54" s="1">
        <f t="shared" si="34"/>
        <v>10.8</v>
      </c>
      <c r="AG54" s="1">
        <f t="shared" si="35"/>
        <v>12</v>
      </c>
      <c r="AH54" s="41">
        <f t="shared" si="36"/>
        <v>11.672459297286442</v>
      </c>
      <c r="AJ54">
        <v>0.9</v>
      </c>
      <c r="AK54">
        <v>1</v>
      </c>
      <c r="AL54" s="32">
        <f t="shared" si="37"/>
        <v>10991.000416666666</v>
      </c>
      <c r="AM54" s="4">
        <f t="shared" si="38"/>
        <v>0.27295058559463103</v>
      </c>
      <c r="AN54" s="4">
        <f t="shared" si="39"/>
        <v>0.72704941440536897</v>
      </c>
    </row>
    <row r="55" spans="3:40" hidden="1" x14ac:dyDescent="0.3">
      <c r="C55" s="1">
        <f t="shared" si="29"/>
        <v>2025</v>
      </c>
      <c r="D55" s="52">
        <f>+'Fisico ASIG'!B55</f>
        <v>45931</v>
      </c>
      <c r="E55" s="1">
        <v>16</v>
      </c>
      <c r="F55" s="1" t="s">
        <v>38</v>
      </c>
      <c r="G55" s="5">
        <f t="shared" si="40"/>
        <v>45961</v>
      </c>
      <c r="H55" s="2">
        <v>3066.6685833333331</v>
      </c>
      <c r="I55" s="2">
        <v>592.00187500000004</v>
      </c>
      <c r="J55" s="2">
        <v>215.40395833333338</v>
      </c>
      <c r="K55" s="2"/>
      <c r="L55" s="1">
        <v>0</v>
      </c>
      <c r="M55" s="35">
        <f t="shared" ref="M55:M118" si="41">SUM(H55:L55)</f>
        <v>3874.0744166666664</v>
      </c>
      <c r="N55" s="2">
        <v>11065.236791666666</v>
      </c>
      <c r="O55" s="3">
        <v>1021.5703333333333</v>
      </c>
      <c r="P55" s="2">
        <v>982.1594583333333</v>
      </c>
      <c r="Q55" s="2"/>
      <c r="R55" s="1">
        <v>0</v>
      </c>
      <c r="S55" s="35">
        <f t="shared" ref="S55:S118" si="42">SUM(N55:R55)</f>
        <v>13068.966583333333</v>
      </c>
      <c r="T55" s="2">
        <v>0</v>
      </c>
      <c r="U55" s="2">
        <v>345.82137500000005</v>
      </c>
      <c r="V55" s="2"/>
      <c r="W55" s="2">
        <v>1933.321833333333</v>
      </c>
      <c r="X55" s="45">
        <f t="shared" si="32"/>
        <v>2279.143208333333</v>
      </c>
      <c r="Y55" s="2">
        <v>0</v>
      </c>
      <c r="Z55" s="2">
        <v>415</v>
      </c>
      <c r="AA55" s="2">
        <v>0</v>
      </c>
      <c r="AB55" s="45">
        <f t="shared" ref="AB55:AB118" si="43">SUM(Y55:AA55)</f>
        <v>415</v>
      </c>
      <c r="AC55" s="84">
        <f t="shared" si="27"/>
        <v>1933.321833333333</v>
      </c>
      <c r="AD55" s="39">
        <v>3000</v>
      </c>
      <c r="AE55" s="40">
        <f t="shared" si="28"/>
        <v>8065.2367916666662</v>
      </c>
      <c r="AF55" s="1">
        <f t="shared" si="34"/>
        <v>10.8</v>
      </c>
      <c r="AG55" s="1">
        <f t="shared" si="35"/>
        <v>12</v>
      </c>
      <c r="AH55" s="41">
        <f t="shared" si="36"/>
        <v>11.674656759021081</v>
      </c>
      <c r="AJ55">
        <v>0.9</v>
      </c>
      <c r="AK55">
        <v>1</v>
      </c>
      <c r="AL55" s="32">
        <f t="shared" si="37"/>
        <v>11065.236791666666</v>
      </c>
      <c r="AM55" s="4">
        <f t="shared" si="38"/>
        <v>0.27111936748243182</v>
      </c>
      <c r="AN55" s="4">
        <f t="shared" si="39"/>
        <v>0.72888063251756818</v>
      </c>
    </row>
    <row r="56" spans="3:40" hidden="1" x14ac:dyDescent="0.3">
      <c r="C56" s="1">
        <f t="shared" si="29"/>
        <v>2025</v>
      </c>
      <c r="D56" s="52">
        <f>+'Fisico ASIG'!B56</f>
        <v>45962</v>
      </c>
      <c r="E56" s="1">
        <v>6</v>
      </c>
      <c r="F56" s="1" t="s">
        <v>39</v>
      </c>
      <c r="G56" s="5">
        <v>45962</v>
      </c>
      <c r="H56" s="2">
        <v>3191.4992500000003</v>
      </c>
      <c r="I56" s="2">
        <v>658.64929166666684</v>
      </c>
      <c r="J56" s="2">
        <v>230.57483333333332</v>
      </c>
      <c r="K56" s="2"/>
      <c r="L56" s="2">
        <v>0</v>
      </c>
      <c r="M56" s="35">
        <f t="shared" si="41"/>
        <v>4080.7233750000005</v>
      </c>
      <c r="N56" s="2">
        <v>10962.503541666671</v>
      </c>
      <c r="O56" s="2">
        <v>1005.3097500000001</v>
      </c>
      <c r="P56" s="2">
        <v>805.05070833333332</v>
      </c>
      <c r="Q56" s="2"/>
      <c r="R56" s="1">
        <v>0</v>
      </c>
      <c r="S56" s="35">
        <f t="shared" si="42"/>
        <v>12772.864000000005</v>
      </c>
      <c r="T56" s="2">
        <v>0</v>
      </c>
      <c r="U56" s="2">
        <v>225.39295833333335</v>
      </c>
      <c r="V56" s="2"/>
      <c r="W56" s="2">
        <v>1306.0842916666666</v>
      </c>
      <c r="X56" s="45">
        <f t="shared" si="32"/>
        <v>1531.4772499999999</v>
      </c>
      <c r="Y56" s="2">
        <v>0</v>
      </c>
      <c r="Z56" s="2">
        <v>415</v>
      </c>
      <c r="AA56" s="2">
        <v>0</v>
      </c>
      <c r="AB56" s="45">
        <f t="shared" si="43"/>
        <v>415</v>
      </c>
      <c r="AC56" s="84">
        <f t="shared" si="27"/>
        <v>1306.0842916666666</v>
      </c>
      <c r="AD56" s="39">
        <v>3000</v>
      </c>
      <c r="AE56" s="40">
        <f t="shared" si="28"/>
        <v>7962.5035416666706</v>
      </c>
      <c r="AF56" s="1">
        <f t="shared" si="34"/>
        <v>10.8</v>
      </c>
      <c r="AG56" s="1">
        <f t="shared" si="35"/>
        <v>12</v>
      </c>
      <c r="AH56" s="41">
        <f t="shared" ref="AH56:AH64" si="44">+(AD56*AF56+AG56*AE56)/SUM(AD56:AE56)</f>
        <v>11.671607859799817</v>
      </c>
      <c r="AJ56">
        <v>0.9</v>
      </c>
      <c r="AK56">
        <v>1</v>
      </c>
      <c r="AL56" s="32">
        <f t="shared" si="37"/>
        <v>10962.503541666671</v>
      </c>
      <c r="AM56" s="4">
        <f t="shared" si="38"/>
        <v>0.27366011683348551</v>
      </c>
      <c r="AN56" s="4">
        <f t="shared" si="39"/>
        <v>0.72633988316651443</v>
      </c>
    </row>
    <row r="57" spans="3:40" hidden="1" x14ac:dyDescent="0.3">
      <c r="C57" s="1">
        <f t="shared" si="29"/>
        <v>2025</v>
      </c>
      <c r="D57" s="52">
        <f>+'Fisico ASIG'!B57</f>
        <v>45962</v>
      </c>
      <c r="E57" s="1">
        <v>4</v>
      </c>
      <c r="F57" s="1" t="s">
        <v>40</v>
      </c>
      <c r="G57" s="5">
        <v>45963</v>
      </c>
      <c r="H57" s="2">
        <v>3477.9965000000002</v>
      </c>
      <c r="I57" s="2">
        <v>648.97950000000003</v>
      </c>
      <c r="J57" s="2">
        <v>208.53829166666665</v>
      </c>
      <c r="K57" s="2"/>
      <c r="L57" s="2">
        <v>0</v>
      </c>
      <c r="M57" s="35">
        <f t="shared" si="41"/>
        <v>4335.5142916666673</v>
      </c>
      <c r="N57" s="2">
        <v>10958.535</v>
      </c>
      <c r="O57" s="2">
        <v>1010.8492083333335</v>
      </c>
      <c r="P57" s="2">
        <v>804.48</v>
      </c>
      <c r="Q57" s="2"/>
      <c r="R57" s="1">
        <v>0</v>
      </c>
      <c r="S57" s="35">
        <f t="shared" si="42"/>
        <v>12773.864208333332</v>
      </c>
      <c r="T57" s="2">
        <v>0</v>
      </c>
      <c r="U57" s="2">
        <v>222.63724999999991</v>
      </c>
      <c r="V57" s="2"/>
      <c r="W57" s="2">
        <v>1103.0210833333333</v>
      </c>
      <c r="X57" s="45">
        <f t="shared" si="32"/>
        <v>1325.6583333333333</v>
      </c>
      <c r="Y57" s="2">
        <v>0</v>
      </c>
      <c r="Z57" s="2">
        <v>415</v>
      </c>
      <c r="AA57" s="2">
        <v>0</v>
      </c>
      <c r="AB57" s="45">
        <f t="shared" si="43"/>
        <v>415</v>
      </c>
      <c r="AC57" s="84">
        <f t="shared" si="27"/>
        <v>1103.0210833333333</v>
      </c>
      <c r="AD57" s="39">
        <v>3000</v>
      </c>
      <c r="AE57" s="40">
        <f t="shared" si="28"/>
        <v>7958.5349999999999</v>
      </c>
      <c r="AF57" s="1">
        <f t="shared" si="34"/>
        <v>10.8</v>
      </c>
      <c r="AG57" s="1">
        <f t="shared" si="35"/>
        <v>12</v>
      </c>
      <c r="AH57" s="41">
        <f t="shared" si="44"/>
        <v>11.671488935336704</v>
      </c>
      <c r="AJ57">
        <v>0.9</v>
      </c>
      <c r="AK57">
        <v>1</v>
      </c>
      <c r="AL57" s="32">
        <f t="shared" si="37"/>
        <v>10958.535</v>
      </c>
      <c r="AM57" s="4">
        <f t="shared" si="38"/>
        <v>0.27375922055274726</v>
      </c>
      <c r="AN57" s="4">
        <f t="shared" si="39"/>
        <v>0.72624077944725274</v>
      </c>
    </row>
    <row r="58" spans="3:40" hidden="1" x14ac:dyDescent="0.3">
      <c r="C58" s="1">
        <f t="shared" si="29"/>
        <v>2025</v>
      </c>
      <c r="D58" s="52">
        <f>+'Fisico ASIG'!B58</f>
        <v>45962</v>
      </c>
      <c r="E58" s="1">
        <v>16</v>
      </c>
      <c r="F58" s="1" t="s">
        <v>41</v>
      </c>
      <c r="G58" s="5">
        <v>45964</v>
      </c>
      <c r="H58" s="2">
        <v>3780.1417916666664</v>
      </c>
      <c r="I58" s="2">
        <v>732.10837500000002</v>
      </c>
      <c r="J58" s="2">
        <v>282.40583333333336</v>
      </c>
      <c r="K58" s="2"/>
      <c r="L58" s="2">
        <v>0</v>
      </c>
      <c r="M58" s="35">
        <f t="shared" si="41"/>
        <v>4794.6559999999999</v>
      </c>
      <c r="N58" s="2">
        <v>11147.124041666661</v>
      </c>
      <c r="O58" s="2">
        <v>987.54791666666677</v>
      </c>
      <c r="P58" s="2">
        <v>804.89670833333332</v>
      </c>
      <c r="Q58" s="2"/>
      <c r="R58" s="1">
        <v>0</v>
      </c>
      <c r="S58" s="35">
        <f t="shared" si="42"/>
        <v>12939.568666666661</v>
      </c>
      <c r="T58" s="2">
        <v>0</v>
      </c>
      <c r="U58" s="2">
        <v>314.59691666666663</v>
      </c>
      <c r="V58" s="2"/>
      <c r="W58" s="2">
        <v>1212.723916666667</v>
      </c>
      <c r="X58" s="45">
        <f>SUM(T58:W58)</f>
        <v>1527.3208333333337</v>
      </c>
      <c r="Y58" s="2">
        <v>0</v>
      </c>
      <c r="Z58" s="2">
        <v>415</v>
      </c>
      <c r="AA58" s="2">
        <v>0</v>
      </c>
      <c r="AB58" s="45">
        <f t="shared" si="43"/>
        <v>415</v>
      </c>
      <c r="AC58" s="84">
        <f t="shared" si="27"/>
        <v>1212.723916666667</v>
      </c>
      <c r="AD58" s="39">
        <v>3000</v>
      </c>
      <c r="AE58" s="40">
        <f t="shared" si="28"/>
        <v>8147.1240416666606</v>
      </c>
      <c r="AF58" s="1">
        <f t="shared" si="34"/>
        <v>10.8</v>
      </c>
      <c r="AG58" s="1">
        <f t="shared" si="35"/>
        <v>12</v>
      </c>
      <c r="AH58" s="41">
        <f t="shared" si="44"/>
        <v>11.677046744385043</v>
      </c>
      <c r="AJ58">
        <v>0.9</v>
      </c>
      <c r="AK58">
        <v>1</v>
      </c>
      <c r="AL58" s="32">
        <f t="shared" si="37"/>
        <v>11147.124041666661</v>
      </c>
      <c r="AM58" s="4">
        <f t="shared" si="38"/>
        <v>0.26912771301246374</v>
      </c>
      <c r="AN58" s="4">
        <f t="shared" si="39"/>
        <v>0.73087228698753626</v>
      </c>
    </row>
    <row r="59" spans="3:40" hidden="1" x14ac:dyDescent="0.3">
      <c r="C59" s="1">
        <f t="shared" si="29"/>
        <v>2025</v>
      </c>
      <c r="D59" s="52">
        <f>+'Fisico ASIG'!B59</f>
        <v>45962</v>
      </c>
      <c r="E59" s="1">
        <v>16</v>
      </c>
      <c r="F59" s="1" t="s">
        <v>42</v>
      </c>
      <c r="G59" s="5">
        <v>45965</v>
      </c>
      <c r="H59" s="2">
        <v>3971.7213333333339</v>
      </c>
      <c r="I59" s="2">
        <v>760.63000000000011</v>
      </c>
      <c r="J59" s="2">
        <v>293.84991666666662</v>
      </c>
      <c r="K59" s="2"/>
      <c r="L59" s="2">
        <v>0</v>
      </c>
      <c r="M59" s="35">
        <f t="shared" si="41"/>
        <v>5026.201250000001</v>
      </c>
      <c r="N59" s="2">
        <v>10964.098291666665</v>
      </c>
      <c r="O59" s="2">
        <v>994.37779166666678</v>
      </c>
      <c r="P59" s="2">
        <v>805.23079166666673</v>
      </c>
      <c r="Q59" s="2"/>
      <c r="R59" s="1">
        <v>0</v>
      </c>
      <c r="S59" s="35">
        <f t="shared" si="42"/>
        <v>12763.706874999998</v>
      </c>
      <c r="T59" s="2">
        <v>0</v>
      </c>
      <c r="U59" s="2">
        <v>386.29370833333343</v>
      </c>
      <c r="V59" s="2"/>
      <c r="W59" s="2">
        <v>1219.2376666666664</v>
      </c>
      <c r="X59" s="45">
        <f t="shared" si="32"/>
        <v>1605.5313749999998</v>
      </c>
      <c r="Y59" s="2">
        <v>0</v>
      </c>
      <c r="Z59" s="2">
        <v>415</v>
      </c>
      <c r="AA59" s="2">
        <v>0</v>
      </c>
      <c r="AB59" s="45">
        <f t="shared" si="43"/>
        <v>415</v>
      </c>
      <c r="AC59" s="84">
        <f t="shared" si="27"/>
        <v>1219.2376666666664</v>
      </c>
      <c r="AD59" s="39">
        <v>3000</v>
      </c>
      <c r="AE59" s="40">
        <f t="shared" si="28"/>
        <v>7964.0982916666653</v>
      </c>
      <c r="AF59" s="1">
        <f t="shared" si="34"/>
        <v>10.8</v>
      </c>
      <c r="AG59" s="1">
        <f t="shared" si="35"/>
        <v>12</v>
      </c>
      <c r="AH59" s="41">
        <f t="shared" si="44"/>
        <v>11.671655625092653</v>
      </c>
      <c r="AJ59">
        <v>0.9</v>
      </c>
      <c r="AK59">
        <v>1</v>
      </c>
      <c r="AL59" s="32">
        <f t="shared" si="37"/>
        <v>10964.098291666665</v>
      </c>
      <c r="AM59" s="4">
        <f t="shared" si="38"/>
        <v>0.273620312422789</v>
      </c>
      <c r="AN59" s="4">
        <f t="shared" si="39"/>
        <v>0.72637968757721105</v>
      </c>
    </row>
    <row r="60" spans="3:40" hidden="1" x14ac:dyDescent="0.3">
      <c r="C60" s="1">
        <f t="shared" si="29"/>
        <v>2025</v>
      </c>
      <c r="D60" s="52">
        <f>+'Fisico ASIG'!B60</f>
        <v>45962</v>
      </c>
      <c r="E60" s="1">
        <v>16</v>
      </c>
      <c r="F60" s="1" t="s">
        <v>36</v>
      </c>
      <c r="G60" s="5">
        <v>45966</v>
      </c>
      <c r="H60" s="2">
        <v>4321.6351250000007</v>
      </c>
      <c r="I60" s="2">
        <v>664.47895833333337</v>
      </c>
      <c r="J60" s="2">
        <v>290.23375000000004</v>
      </c>
      <c r="K60" s="2"/>
      <c r="L60" s="2">
        <v>0</v>
      </c>
      <c r="M60" s="35">
        <f t="shared" si="41"/>
        <v>5276.3478333333342</v>
      </c>
      <c r="N60" s="2">
        <v>11517.778375</v>
      </c>
      <c r="O60" s="2">
        <v>1012.9440000000001</v>
      </c>
      <c r="P60" s="2">
        <v>805.75833333333333</v>
      </c>
      <c r="Q60" s="2"/>
      <c r="R60" s="1">
        <v>0</v>
      </c>
      <c r="S60" s="35">
        <f t="shared" si="42"/>
        <v>13336.480708333333</v>
      </c>
      <c r="T60" s="2">
        <v>0</v>
      </c>
      <c r="U60" s="2">
        <v>374.90404166666667</v>
      </c>
      <c r="V60" s="2"/>
      <c r="W60" s="2">
        <v>1091.35025</v>
      </c>
      <c r="X60" s="45">
        <f t="shared" si="32"/>
        <v>1466.2542916666666</v>
      </c>
      <c r="Y60" s="2">
        <v>0</v>
      </c>
      <c r="Z60" s="2">
        <v>415</v>
      </c>
      <c r="AA60" s="2">
        <v>0</v>
      </c>
      <c r="AB60" s="45">
        <f t="shared" si="43"/>
        <v>415</v>
      </c>
      <c r="AC60" s="84">
        <f t="shared" si="27"/>
        <v>1091.35025</v>
      </c>
      <c r="AD60" s="39">
        <v>3000</v>
      </c>
      <c r="AE60" s="40">
        <f t="shared" si="28"/>
        <v>8517.7783749999999</v>
      </c>
      <c r="AF60" s="1">
        <f t="shared" si="34"/>
        <v>10.8</v>
      </c>
      <c r="AG60" s="1">
        <f t="shared" si="35"/>
        <v>12</v>
      </c>
      <c r="AH60" s="41">
        <f t="shared" si="44"/>
        <v>11.687439722940493</v>
      </c>
      <c r="AJ60">
        <v>0.9</v>
      </c>
      <c r="AK60">
        <v>1</v>
      </c>
      <c r="AL60" s="32">
        <f t="shared" si="37"/>
        <v>11517.778375</v>
      </c>
      <c r="AM60" s="4">
        <f t="shared" si="38"/>
        <v>0.26046689754958929</v>
      </c>
      <c r="AN60" s="4">
        <f t="shared" si="39"/>
        <v>0.73953310245041071</v>
      </c>
    </row>
    <row r="61" spans="3:40" hidden="1" x14ac:dyDescent="0.3">
      <c r="C61" s="1">
        <f t="shared" si="29"/>
        <v>2025</v>
      </c>
      <c r="D61" s="52">
        <f>+'Fisico ASIG'!B61</f>
        <v>45962</v>
      </c>
      <c r="E61" s="1">
        <v>16</v>
      </c>
      <c r="F61" s="1" t="s">
        <v>37</v>
      </c>
      <c r="G61" s="5">
        <v>45967</v>
      </c>
      <c r="H61" s="2">
        <v>4281.5567499999988</v>
      </c>
      <c r="I61" s="2">
        <v>664.28045833333329</v>
      </c>
      <c r="J61" s="2">
        <v>273.01645833333339</v>
      </c>
      <c r="K61" s="2"/>
      <c r="L61" s="2">
        <v>0</v>
      </c>
      <c r="M61" s="35">
        <f t="shared" si="41"/>
        <v>5218.853666666666</v>
      </c>
      <c r="N61" s="2">
        <v>11846.218041666658</v>
      </c>
      <c r="O61" s="2">
        <v>1016.7614166666667</v>
      </c>
      <c r="P61" s="2">
        <v>805.84416666666664</v>
      </c>
      <c r="Q61" s="2"/>
      <c r="R61" s="1">
        <v>0</v>
      </c>
      <c r="S61" s="35">
        <f t="shared" si="42"/>
        <v>13668.82362499999</v>
      </c>
      <c r="T61" s="2">
        <v>0</v>
      </c>
      <c r="U61" s="2">
        <v>311.98925000000003</v>
      </c>
      <c r="V61" s="2"/>
      <c r="W61" s="2">
        <v>1131.0460833333334</v>
      </c>
      <c r="X61" s="45">
        <f t="shared" si="32"/>
        <v>1443.0353333333335</v>
      </c>
      <c r="Y61" s="2">
        <v>0</v>
      </c>
      <c r="Z61" s="2">
        <v>415</v>
      </c>
      <c r="AA61" s="2">
        <v>0</v>
      </c>
      <c r="AB61" s="45">
        <f t="shared" si="43"/>
        <v>415</v>
      </c>
      <c r="AC61" s="84">
        <f t="shared" si="27"/>
        <v>1131.0460833333334</v>
      </c>
      <c r="AD61" s="39">
        <v>3000</v>
      </c>
      <c r="AE61" s="40">
        <f t="shared" si="28"/>
        <v>8846.2180416666579</v>
      </c>
      <c r="AF61" s="1">
        <f t="shared" si="34"/>
        <v>10.8</v>
      </c>
      <c r="AG61" s="1">
        <f t="shared" si="35"/>
        <v>12</v>
      </c>
      <c r="AH61" s="41">
        <f t="shared" si="44"/>
        <v>11.696105542938874</v>
      </c>
      <c r="AJ61">
        <v>0.9</v>
      </c>
      <c r="AK61">
        <v>1</v>
      </c>
      <c r="AL61" s="32">
        <f t="shared" si="37"/>
        <v>11846.218041666658</v>
      </c>
      <c r="AM61" s="4">
        <f t="shared" si="38"/>
        <v>0.25324538088427134</v>
      </c>
      <c r="AN61" s="4">
        <f t="shared" si="39"/>
        <v>0.7467546191157286</v>
      </c>
    </row>
    <row r="62" spans="3:40" hidden="1" x14ac:dyDescent="0.3">
      <c r="C62" s="1">
        <f t="shared" si="29"/>
        <v>2025</v>
      </c>
      <c r="D62" s="52">
        <f>+'Fisico ASIG'!B62</f>
        <v>45962</v>
      </c>
      <c r="E62" s="1">
        <v>16</v>
      </c>
      <c r="F62" s="1" t="s">
        <v>49</v>
      </c>
      <c r="G62" s="5">
        <v>45968</v>
      </c>
      <c r="H62" s="2">
        <v>4149.9799583333315</v>
      </c>
      <c r="I62" s="2">
        <v>705.82704166666667</v>
      </c>
      <c r="J62" s="2">
        <v>296.25925000000007</v>
      </c>
      <c r="K62" s="2"/>
      <c r="L62" s="1">
        <v>0</v>
      </c>
      <c r="M62" s="35">
        <f t="shared" si="41"/>
        <v>5152.066249999998</v>
      </c>
      <c r="N62" s="2">
        <v>12201.625916666664</v>
      </c>
      <c r="O62" s="2">
        <v>1027.0706250000001</v>
      </c>
      <c r="P62" s="2">
        <v>805.78420833333337</v>
      </c>
      <c r="Q62" s="2"/>
      <c r="R62" s="1">
        <v>0</v>
      </c>
      <c r="S62" s="35">
        <f t="shared" si="42"/>
        <v>14034.480749999997</v>
      </c>
      <c r="T62" s="2">
        <v>0</v>
      </c>
      <c r="U62" s="2">
        <v>304.94262500000008</v>
      </c>
      <c r="V62" s="2"/>
      <c r="W62" s="2">
        <v>799.10270833333323</v>
      </c>
      <c r="X62" s="45">
        <f t="shared" si="32"/>
        <v>1104.0453333333332</v>
      </c>
      <c r="Y62" s="2">
        <v>0</v>
      </c>
      <c r="Z62" s="2">
        <v>415</v>
      </c>
      <c r="AA62" s="2">
        <v>0</v>
      </c>
      <c r="AB62" s="45">
        <f t="shared" si="43"/>
        <v>415</v>
      </c>
      <c r="AC62" s="84">
        <f t="shared" si="27"/>
        <v>799.10270833333323</v>
      </c>
      <c r="AD62" s="39">
        <v>3000</v>
      </c>
      <c r="AE62" s="40">
        <f t="shared" si="28"/>
        <v>9201.6259166666641</v>
      </c>
      <c r="AF62" s="1">
        <f t="shared" si="34"/>
        <v>10.8</v>
      </c>
      <c r="AG62" s="1">
        <f t="shared" si="35"/>
        <v>12</v>
      </c>
      <c r="AH62" s="41">
        <f t="shared" si="44"/>
        <v>11.704957353668528</v>
      </c>
      <c r="AJ62">
        <v>0.9</v>
      </c>
      <c r="AK62">
        <v>1</v>
      </c>
      <c r="AL62" s="32">
        <f t="shared" si="37"/>
        <v>12201.625916666664</v>
      </c>
      <c r="AM62" s="4">
        <f t="shared" si="38"/>
        <v>0.24586887194289297</v>
      </c>
      <c r="AN62" s="4">
        <f t="shared" si="39"/>
        <v>0.75413112805710703</v>
      </c>
    </row>
    <row r="63" spans="3:40" hidden="1" x14ac:dyDescent="0.3">
      <c r="C63" s="1">
        <f t="shared" si="29"/>
        <v>2025</v>
      </c>
      <c r="D63" s="52">
        <f>+'Fisico ASIG'!B63</f>
        <v>45962</v>
      </c>
      <c r="E63" s="1">
        <v>6</v>
      </c>
      <c r="F63" s="1" t="s">
        <v>43</v>
      </c>
      <c r="G63" s="5">
        <v>45969</v>
      </c>
      <c r="H63" s="2">
        <v>3206.6552916666656</v>
      </c>
      <c r="I63" s="2">
        <v>908.75500000000011</v>
      </c>
      <c r="J63" s="2">
        <v>255.95504166666669</v>
      </c>
      <c r="K63" s="2"/>
      <c r="L63" s="1">
        <v>0</v>
      </c>
      <c r="M63" s="35">
        <f t="shared" si="41"/>
        <v>4371.3653333333323</v>
      </c>
      <c r="N63" s="2">
        <v>11294.693208333332</v>
      </c>
      <c r="O63" s="2">
        <v>1038.9903333333334</v>
      </c>
      <c r="P63" s="2">
        <v>805.84087499999998</v>
      </c>
      <c r="Q63" s="2"/>
      <c r="R63" s="1">
        <v>0</v>
      </c>
      <c r="S63" s="35">
        <f t="shared" si="42"/>
        <v>13139.524416666665</v>
      </c>
      <c r="T63" s="2">
        <v>0</v>
      </c>
      <c r="U63" s="2">
        <v>310.04870833333331</v>
      </c>
      <c r="V63" s="2"/>
      <c r="W63" s="2">
        <v>645.55154166666671</v>
      </c>
      <c r="X63" s="45">
        <f t="shared" si="32"/>
        <v>955.60024999999996</v>
      </c>
      <c r="Y63" s="2">
        <v>0</v>
      </c>
      <c r="Z63" s="2">
        <v>415</v>
      </c>
      <c r="AA63" s="2">
        <v>0</v>
      </c>
      <c r="AB63" s="45">
        <f t="shared" si="43"/>
        <v>415</v>
      </c>
      <c r="AC63" s="84">
        <f t="shared" si="27"/>
        <v>645.55154166666671</v>
      </c>
      <c r="AD63" s="39">
        <v>3000</v>
      </c>
      <c r="AE63" s="40">
        <f t="shared" si="28"/>
        <v>8294.6932083333322</v>
      </c>
      <c r="AF63" s="1">
        <f t="shared" si="34"/>
        <v>10.8</v>
      </c>
      <c r="AG63" s="1">
        <f t="shared" si="35"/>
        <v>12</v>
      </c>
      <c r="AH63" s="41">
        <f t="shared" si="44"/>
        <v>11.681266243040238</v>
      </c>
      <c r="AJ63">
        <v>0.9</v>
      </c>
      <c r="AK63">
        <v>1</v>
      </c>
      <c r="AL63" s="32">
        <f t="shared" si="37"/>
        <v>11294.693208333332</v>
      </c>
      <c r="AM63" s="4">
        <f t="shared" si="38"/>
        <v>0.26561146413313569</v>
      </c>
      <c r="AN63" s="4">
        <f t="shared" si="39"/>
        <v>0.73438853586686437</v>
      </c>
    </row>
    <row r="64" spans="3:40" hidden="1" x14ac:dyDescent="0.3">
      <c r="C64" s="1">
        <f t="shared" si="29"/>
        <v>2025</v>
      </c>
      <c r="D64" s="52">
        <f>+'Fisico ASIG'!B64</f>
        <v>45962</v>
      </c>
      <c r="E64" s="1">
        <v>4</v>
      </c>
      <c r="F64" s="1" t="s">
        <v>44</v>
      </c>
      <c r="G64" s="5">
        <v>45970</v>
      </c>
      <c r="H64" s="2">
        <v>2570.9611250000007</v>
      </c>
      <c r="I64" s="2">
        <v>899.08941666666669</v>
      </c>
      <c r="J64" s="2">
        <v>268.37662499999999</v>
      </c>
      <c r="K64" s="2"/>
      <c r="L64" s="1">
        <v>0</v>
      </c>
      <c r="M64" s="35">
        <f t="shared" si="41"/>
        <v>3738.4271666666673</v>
      </c>
      <c r="N64" s="2">
        <v>11451.83845833333</v>
      </c>
      <c r="O64" s="2">
        <v>1047.1405416666666</v>
      </c>
      <c r="P64" s="2">
        <v>805.94233333333341</v>
      </c>
      <c r="Q64" s="2"/>
      <c r="R64" s="1">
        <v>0</v>
      </c>
      <c r="S64" s="35">
        <f t="shared" si="42"/>
        <v>13304.921333333328</v>
      </c>
      <c r="T64" s="2">
        <v>0</v>
      </c>
      <c r="U64" s="2">
        <v>276.50208333333336</v>
      </c>
      <c r="V64" s="2"/>
      <c r="W64" s="2">
        <v>849.82241666666641</v>
      </c>
      <c r="X64" s="45">
        <f t="shared" si="32"/>
        <v>1126.3244999999997</v>
      </c>
      <c r="Y64" s="2">
        <v>0</v>
      </c>
      <c r="Z64" s="2">
        <v>415</v>
      </c>
      <c r="AA64" s="2">
        <v>0</v>
      </c>
      <c r="AB64" s="45">
        <f t="shared" si="43"/>
        <v>415</v>
      </c>
      <c r="AC64" s="84">
        <f t="shared" si="27"/>
        <v>849.82241666666641</v>
      </c>
      <c r="AD64" s="39">
        <v>3000</v>
      </c>
      <c r="AE64" s="40">
        <f t="shared" si="28"/>
        <v>8451.83845833333</v>
      </c>
      <c r="AF64" s="1">
        <f t="shared" si="34"/>
        <v>10.8</v>
      </c>
      <c r="AG64" s="1">
        <f t="shared" si="35"/>
        <v>12</v>
      </c>
      <c r="AH64" s="41">
        <f t="shared" si="44"/>
        <v>11.685639994565209</v>
      </c>
      <c r="AJ64">
        <v>0.9</v>
      </c>
      <c r="AK64">
        <v>1</v>
      </c>
      <c r="AL64" s="32">
        <f t="shared" si="37"/>
        <v>11451.83845833333</v>
      </c>
      <c r="AM64" s="4">
        <f t="shared" si="38"/>
        <v>0.26196667119565814</v>
      </c>
      <c r="AN64" s="4">
        <f t="shared" si="39"/>
        <v>0.73803332880434191</v>
      </c>
    </row>
    <row r="65" spans="3:40" hidden="1" x14ac:dyDescent="0.3">
      <c r="C65" s="1">
        <f t="shared" si="29"/>
        <v>2025</v>
      </c>
      <c r="D65" s="52">
        <f>+'Fisico ASIG'!B65</f>
        <v>45962</v>
      </c>
      <c r="E65" s="1">
        <v>16</v>
      </c>
      <c r="F65" s="1" t="s">
        <v>45</v>
      </c>
      <c r="G65" s="5">
        <v>45971</v>
      </c>
      <c r="H65" s="2">
        <v>3412.117291666666</v>
      </c>
      <c r="I65" s="2">
        <v>954.71170833333338</v>
      </c>
      <c r="J65" s="2">
        <v>240.68641666666667</v>
      </c>
      <c r="K65" s="2"/>
      <c r="L65" s="1">
        <v>0</v>
      </c>
      <c r="M65" s="35">
        <f t="shared" si="41"/>
        <v>4607.5154166666662</v>
      </c>
      <c r="N65" s="2">
        <v>11452.920458333327</v>
      </c>
      <c r="O65" s="2">
        <v>1101.8494583333331</v>
      </c>
      <c r="P65" s="2">
        <v>823.1586666666667</v>
      </c>
      <c r="Q65" s="2"/>
      <c r="R65" s="1">
        <v>0</v>
      </c>
      <c r="S65" s="35">
        <f t="shared" si="42"/>
        <v>13377.928583333327</v>
      </c>
      <c r="T65" s="2">
        <v>0</v>
      </c>
      <c r="U65" s="2">
        <v>315.05816666666664</v>
      </c>
      <c r="V65" s="2"/>
      <c r="W65" s="2">
        <v>1245.0960000000002</v>
      </c>
      <c r="X65" s="45">
        <f t="shared" si="32"/>
        <v>1560.1541666666669</v>
      </c>
      <c r="Y65" s="2">
        <v>0</v>
      </c>
      <c r="Z65" s="2">
        <v>415</v>
      </c>
      <c r="AA65" s="2">
        <v>0</v>
      </c>
      <c r="AB65" s="45">
        <f t="shared" si="43"/>
        <v>415</v>
      </c>
      <c r="AC65" s="84">
        <f t="shared" si="27"/>
        <v>1245.0960000000002</v>
      </c>
      <c r="AD65" s="39">
        <v>3000</v>
      </c>
      <c r="AE65" s="40">
        <f t="shared" ref="AE65:AE71" si="45">+N65-AD65</f>
        <v>8452.9204583333267</v>
      </c>
      <c r="AF65" s="1">
        <f t="shared" si="34"/>
        <v>10.8</v>
      </c>
      <c r="AG65" s="1">
        <f t="shared" si="35"/>
        <v>12</v>
      </c>
      <c r="AH65" s="41">
        <f t="shared" ref="AH65:AH71" si="46">+(AD65*AF65+AG65*AE65)/SUM(AD65:AE65)</f>
        <v>11.685669693324327</v>
      </c>
      <c r="AJ65">
        <v>0.9</v>
      </c>
      <c r="AK65">
        <v>1</v>
      </c>
      <c r="AL65" s="32">
        <f t="shared" ref="AL65:AL71" si="47">+AD65+AE65</f>
        <v>11452.920458333327</v>
      </c>
      <c r="AM65" s="4">
        <f t="shared" ref="AM65:AM71" si="48">+AD65/AL65</f>
        <v>0.26194192222972723</v>
      </c>
      <c r="AN65" s="4">
        <f t="shared" ref="AN65:AN71" si="49">+AE65/AL65</f>
        <v>0.73805807777027277</v>
      </c>
    </row>
    <row r="66" spans="3:40" hidden="1" x14ac:dyDescent="0.3">
      <c r="C66" s="1">
        <f t="shared" si="29"/>
        <v>2025</v>
      </c>
      <c r="D66" s="52">
        <f>+'Fisico ASIG'!B66</f>
        <v>45962</v>
      </c>
      <c r="E66" s="1">
        <v>16</v>
      </c>
      <c r="F66" s="1" t="s">
        <v>46</v>
      </c>
      <c r="G66" s="5">
        <v>45972</v>
      </c>
      <c r="H66" s="2">
        <v>3634.1379166666666</v>
      </c>
      <c r="I66" s="2">
        <v>904.44608333333349</v>
      </c>
      <c r="J66" s="2">
        <v>309.01429166666662</v>
      </c>
      <c r="K66" s="2"/>
      <c r="L66" s="1">
        <v>0</v>
      </c>
      <c r="M66" s="35">
        <f t="shared" si="41"/>
        <v>4847.5982916666662</v>
      </c>
      <c r="N66" s="2">
        <v>11425.372291666667</v>
      </c>
      <c r="O66" s="2">
        <v>1098.2405000000001</v>
      </c>
      <c r="P66" s="2">
        <v>916.08754166666665</v>
      </c>
      <c r="Q66" s="2"/>
      <c r="R66" s="1">
        <v>0</v>
      </c>
      <c r="S66" s="35">
        <f t="shared" si="42"/>
        <v>13439.700333333332</v>
      </c>
      <c r="T66" s="2">
        <v>0</v>
      </c>
      <c r="U66" s="2">
        <v>236.22212499999998</v>
      </c>
      <c r="V66" s="2"/>
      <c r="W66" s="2">
        <v>1752.3092916666674</v>
      </c>
      <c r="X66" s="45">
        <f t="shared" si="32"/>
        <v>1988.5314166666674</v>
      </c>
      <c r="Y66" s="2">
        <v>0</v>
      </c>
      <c r="Z66" s="2">
        <v>415</v>
      </c>
      <c r="AA66" s="2">
        <v>0</v>
      </c>
      <c r="AB66" s="45">
        <f t="shared" si="43"/>
        <v>415</v>
      </c>
      <c r="AC66" s="84">
        <f t="shared" si="27"/>
        <v>1752.3092916666674</v>
      </c>
      <c r="AD66" s="39">
        <v>3000</v>
      </c>
      <c r="AE66" s="40">
        <f t="shared" si="45"/>
        <v>8425.3722916666666</v>
      </c>
      <c r="AF66" s="1">
        <f t="shared" si="34"/>
        <v>10.8</v>
      </c>
      <c r="AG66" s="1">
        <f t="shared" si="35"/>
        <v>12</v>
      </c>
      <c r="AH66" s="41">
        <f t="shared" si="46"/>
        <v>11.684911799099471</v>
      </c>
      <c r="AJ66">
        <v>0.9</v>
      </c>
      <c r="AK66">
        <v>1</v>
      </c>
      <c r="AL66" s="32">
        <f t="shared" si="47"/>
        <v>11425.372291666667</v>
      </c>
      <c r="AM66" s="4">
        <f t="shared" si="48"/>
        <v>0.26257350075044056</v>
      </c>
      <c r="AN66" s="4">
        <f t="shared" si="49"/>
        <v>0.7374264992495595</v>
      </c>
    </row>
    <row r="67" spans="3:40" hidden="1" x14ac:dyDescent="0.3">
      <c r="C67" s="1">
        <f t="shared" si="29"/>
        <v>2025</v>
      </c>
      <c r="D67" s="52">
        <f>+'Fisico ASIG'!B67</f>
        <v>45962</v>
      </c>
      <c r="E67" s="1">
        <v>16</v>
      </c>
      <c r="F67" s="1" t="s">
        <v>47</v>
      </c>
      <c r="G67" s="5">
        <v>45973</v>
      </c>
      <c r="H67" s="2">
        <v>3407.1494583333338</v>
      </c>
      <c r="I67" s="2">
        <v>965.06704166666657</v>
      </c>
      <c r="J67" s="2">
        <v>341.95641666666666</v>
      </c>
      <c r="K67" s="2"/>
      <c r="L67" s="1">
        <v>0</v>
      </c>
      <c r="M67" s="35">
        <f t="shared" si="41"/>
        <v>4714.1729166666673</v>
      </c>
      <c r="N67" s="2">
        <v>11497.257833333331</v>
      </c>
      <c r="O67" s="2">
        <v>1102.6429583333334</v>
      </c>
      <c r="P67" s="2">
        <v>983.89266666666674</v>
      </c>
      <c r="Q67" s="2"/>
      <c r="R67" s="1">
        <v>0</v>
      </c>
      <c r="S67" s="35">
        <f t="shared" si="42"/>
        <v>13583.793458333332</v>
      </c>
      <c r="T67" s="2">
        <v>0</v>
      </c>
      <c r="U67" s="2">
        <v>210.31341666666665</v>
      </c>
      <c r="V67" s="2"/>
      <c r="W67" s="2">
        <v>1403.6190833333333</v>
      </c>
      <c r="X67" s="45">
        <f t="shared" si="32"/>
        <v>1613.9324999999999</v>
      </c>
      <c r="Y67" s="2">
        <v>0</v>
      </c>
      <c r="Z67" s="2">
        <v>415</v>
      </c>
      <c r="AA67" s="2">
        <v>0</v>
      </c>
      <c r="AB67" s="45">
        <f t="shared" si="43"/>
        <v>415</v>
      </c>
      <c r="AC67" s="84">
        <f t="shared" si="27"/>
        <v>1403.6190833333333</v>
      </c>
      <c r="AD67" s="39">
        <v>3000</v>
      </c>
      <c r="AE67" s="40">
        <f t="shared" si="45"/>
        <v>8497.2578333333313</v>
      </c>
      <c r="AF67" s="1">
        <f t="shared" si="34"/>
        <v>10.8</v>
      </c>
      <c r="AG67" s="1">
        <f t="shared" si="35"/>
        <v>12</v>
      </c>
      <c r="AH67" s="41">
        <f t="shared" si="46"/>
        <v>11.686881858945293</v>
      </c>
      <c r="AJ67">
        <v>0.9</v>
      </c>
      <c r="AK67">
        <v>1</v>
      </c>
      <c r="AL67" s="32">
        <f t="shared" si="47"/>
        <v>11497.257833333331</v>
      </c>
      <c r="AM67" s="4">
        <f t="shared" si="48"/>
        <v>0.26093178421225577</v>
      </c>
      <c r="AN67" s="4">
        <f t="shared" si="49"/>
        <v>0.73906821578774429</v>
      </c>
    </row>
    <row r="68" spans="3:40" hidden="1" x14ac:dyDescent="0.3">
      <c r="C68" s="1">
        <f t="shared" si="29"/>
        <v>2025</v>
      </c>
      <c r="D68" s="52">
        <f>+'Fisico ASIG'!B68</f>
        <v>45962</v>
      </c>
      <c r="E68" s="1">
        <v>16</v>
      </c>
      <c r="F68" s="1" t="s">
        <v>48</v>
      </c>
      <c r="G68" s="5">
        <v>45974</v>
      </c>
      <c r="H68" s="2">
        <v>3476.1490416666666</v>
      </c>
      <c r="I68" s="2">
        <v>958.6582083333335</v>
      </c>
      <c r="J68" s="2">
        <v>346.1502500000002</v>
      </c>
      <c r="K68" s="2"/>
      <c r="L68" s="1">
        <v>0</v>
      </c>
      <c r="M68" s="35">
        <f t="shared" si="41"/>
        <v>4780.9575000000004</v>
      </c>
      <c r="N68" s="2">
        <v>11492.795874999998</v>
      </c>
      <c r="O68" s="2">
        <v>1098.5929583333334</v>
      </c>
      <c r="P68" s="2">
        <v>990.66000000000008</v>
      </c>
      <c r="Q68" s="2"/>
      <c r="R68" s="1">
        <v>0</v>
      </c>
      <c r="S68" s="35">
        <f t="shared" si="42"/>
        <v>13582.048833333331</v>
      </c>
      <c r="T68" s="2">
        <v>0</v>
      </c>
      <c r="U68" s="2">
        <v>302.9487083333334</v>
      </c>
      <c r="V68" s="2"/>
      <c r="W68" s="2">
        <v>1287.2944583333335</v>
      </c>
      <c r="X68" s="45">
        <f t="shared" si="32"/>
        <v>1590.2431666666669</v>
      </c>
      <c r="Y68" s="2">
        <v>0</v>
      </c>
      <c r="Z68" s="2">
        <v>415</v>
      </c>
      <c r="AA68" s="2">
        <v>0</v>
      </c>
      <c r="AB68" s="45">
        <f t="shared" si="43"/>
        <v>415</v>
      </c>
      <c r="AC68" s="84">
        <f t="shared" si="27"/>
        <v>1287.2944583333335</v>
      </c>
      <c r="AD68" s="39">
        <v>3000</v>
      </c>
      <c r="AE68" s="40">
        <f t="shared" si="45"/>
        <v>8492.795874999998</v>
      </c>
      <c r="AF68" s="1">
        <f t="shared" si="34"/>
        <v>10.8</v>
      </c>
      <c r="AG68" s="1">
        <f t="shared" si="35"/>
        <v>12</v>
      </c>
      <c r="AH68" s="41">
        <f t="shared" si="46"/>
        <v>11.686760294087273</v>
      </c>
      <c r="AJ68">
        <v>0.9</v>
      </c>
      <c r="AK68">
        <v>1</v>
      </c>
      <c r="AL68" s="32">
        <f t="shared" si="47"/>
        <v>11492.795874999998</v>
      </c>
      <c r="AM68" s="4">
        <f t="shared" si="48"/>
        <v>0.26103308826060573</v>
      </c>
      <c r="AN68" s="4">
        <f t="shared" si="49"/>
        <v>0.73896691173939422</v>
      </c>
    </row>
    <row r="69" spans="3:40" hidden="1" x14ac:dyDescent="0.3">
      <c r="C69" s="1">
        <f t="shared" si="29"/>
        <v>2025</v>
      </c>
      <c r="D69" s="52">
        <f>+'Fisico ASIG'!B69</f>
        <v>45962</v>
      </c>
      <c r="E69" s="1">
        <v>16</v>
      </c>
      <c r="F69" s="1" t="s">
        <v>49</v>
      </c>
      <c r="G69" s="5">
        <v>45975</v>
      </c>
      <c r="H69" s="2">
        <v>3455.1753333333336</v>
      </c>
      <c r="I69" s="2">
        <v>924.54499999999996</v>
      </c>
      <c r="J69" s="2">
        <v>349.38458333333341</v>
      </c>
      <c r="K69" s="2"/>
      <c r="L69" s="1">
        <v>0</v>
      </c>
      <c r="M69" s="35">
        <f t="shared" si="41"/>
        <v>4729.1049166666671</v>
      </c>
      <c r="N69" s="2">
        <v>11371.733416666664</v>
      </c>
      <c r="O69" s="2">
        <v>1091.6550833333333</v>
      </c>
      <c r="P69" s="2">
        <v>990.66000000000008</v>
      </c>
      <c r="Q69" s="2"/>
      <c r="R69" s="1">
        <v>0</v>
      </c>
      <c r="S69" s="35">
        <f t="shared" si="42"/>
        <v>13454.048499999997</v>
      </c>
      <c r="T69" s="2">
        <v>0</v>
      </c>
      <c r="U69" s="2">
        <v>224.38420833333336</v>
      </c>
      <c r="V69" s="2"/>
      <c r="W69" s="2">
        <v>1967.559833333333</v>
      </c>
      <c r="X69" s="45">
        <f t="shared" si="32"/>
        <v>2191.9440416666662</v>
      </c>
      <c r="Y69" s="2">
        <v>0</v>
      </c>
      <c r="Z69" s="2">
        <v>415</v>
      </c>
      <c r="AA69" s="2">
        <v>0</v>
      </c>
      <c r="AB69" s="45">
        <f t="shared" si="43"/>
        <v>415</v>
      </c>
      <c r="AC69" s="84">
        <f t="shared" si="27"/>
        <v>1967.559833333333</v>
      </c>
      <c r="AD69" s="39">
        <v>3000</v>
      </c>
      <c r="AE69" s="40">
        <f t="shared" si="45"/>
        <v>8371.7334166666642</v>
      </c>
      <c r="AF69" s="1">
        <f t="shared" si="34"/>
        <v>10.8</v>
      </c>
      <c r="AG69" s="1">
        <f t="shared" si="35"/>
        <v>12</v>
      </c>
      <c r="AH69" s="41">
        <f t="shared" si="46"/>
        <v>11.683425572153867</v>
      </c>
      <c r="AJ69">
        <v>0.9</v>
      </c>
      <c r="AK69">
        <v>1</v>
      </c>
      <c r="AL69" s="32">
        <f t="shared" si="47"/>
        <v>11371.733416666664</v>
      </c>
      <c r="AM69" s="4">
        <f t="shared" si="48"/>
        <v>0.26381202320511082</v>
      </c>
      <c r="AN69" s="4">
        <f t="shared" si="49"/>
        <v>0.73618797679488923</v>
      </c>
    </row>
    <row r="70" spans="3:40" hidden="1" x14ac:dyDescent="0.3">
      <c r="C70" s="1">
        <f t="shared" si="29"/>
        <v>2025</v>
      </c>
      <c r="D70" s="52">
        <f>+'Fisico ASIG'!B70</f>
        <v>45962</v>
      </c>
      <c r="E70" s="1">
        <v>6</v>
      </c>
      <c r="F70" s="1" t="s">
        <v>43</v>
      </c>
      <c r="G70" s="5">
        <v>45976</v>
      </c>
      <c r="H70" s="2">
        <v>3603.1008333333325</v>
      </c>
      <c r="I70" s="2">
        <v>945.02700000000016</v>
      </c>
      <c r="J70" s="2">
        <v>337.37491666666671</v>
      </c>
      <c r="K70" s="2"/>
      <c r="L70" s="1">
        <v>0</v>
      </c>
      <c r="M70" s="35">
        <f t="shared" si="41"/>
        <v>4885.5027499999997</v>
      </c>
      <c r="N70" s="2">
        <v>11384.241749999996</v>
      </c>
      <c r="O70" s="2">
        <v>1054.3181666666667</v>
      </c>
      <c r="P70" s="2">
        <v>990.66</v>
      </c>
      <c r="Q70" s="2"/>
      <c r="R70" s="1">
        <v>0</v>
      </c>
      <c r="S70" s="35">
        <f t="shared" si="42"/>
        <v>13429.219916666661</v>
      </c>
      <c r="T70" s="2">
        <v>0</v>
      </c>
      <c r="U70" s="2">
        <v>189.11962500000004</v>
      </c>
      <c r="V70" s="2"/>
      <c r="W70" s="2">
        <v>1919.4689166666667</v>
      </c>
      <c r="X70" s="45">
        <f t="shared" si="32"/>
        <v>2108.588541666667</v>
      </c>
      <c r="Y70" s="2">
        <v>0</v>
      </c>
      <c r="Z70" s="2">
        <v>415</v>
      </c>
      <c r="AA70" s="2">
        <v>0</v>
      </c>
      <c r="AB70" s="45">
        <f t="shared" si="43"/>
        <v>415</v>
      </c>
      <c r="AC70" s="84">
        <f t="shared" si="27"/>
        <v>1919.4689166666667</v>
      </c>
      <c r="AD70" s="39">
        <v>3000</v>
      </c>
      <c r="AE70" s="40">
        <f t="shared" si="45"/>
        <v>8384.2417499999956</v>
      </c>
      <c r="AF70" s="1">
        <f t="shared" si="34"/>
        <v>10.8</v>
      </c>
      <c r="AG70" s="1">
        <f t="shared" si="35"/>
        <v>12</v>
      </c>
      <c r="AH70" s="41">
        <f t="shared" si="46"/>
        <v>11.683773405461984</v>
      </c>
      <c r="AJ70">
        <v>0.9</v>
      </c>
      <c r="AK70">
        <v>1</v>
      </c>
      <c r="AL70" s="32">
        <f t="shared" si="47"/>
        <v>11384.241749999996</v>
      </c>
      <c r="AM70" s="4">
        <f t="shared" si="48"/>
        <v>0.26352216211501317</v>
      </c>
      <c r="AN70" s="4">
        <f t="shared" si="49"/>
        <v>0.73647783788498689</v>
      </c>
    </row>
    <row r="71" spans="3:40" hidden="1" x14ac:dyDescent="0.3">
      <c r="C71" s="1">
        <f t="shared" si="29"/>
        <v>2025</v>
      </c>
      <c r="D71" s="52">
        <f>+'Fisico ASIG'!B71</f>
        <v>45962</v>
      </c>
      <c r="E71" s="1">
        <v>4</v>
      </c>
      <c r="F71" s="1" t="s">
        <v>44</v>
      </c>
      <c r="G71" s="5">
        <v>45977</v>
      </c>
      <c r="H71" s="2">
        <v>3123.0352499999999</v>
      </c>
      <c r="I71" s="2">
        <v>397.05554166666673</v>
      </c>
      <c r="J71" s="2">
        <v>306.10920833333341</v>
      </c>
      <c r="K71" s="2"/>
      <c r="L71" s="1">
        <v>0</v>
      </c>
      <c r="M71" s="35">
        <f t="shared" si="41"/>
        <v>3826.2</v>
      </c>
      <c r="N71" s="2">
        <v>11399.442666666668</v>
      </c>
      <c r="O71" s="2">
        <v>1070.8793750000002</v>
      </c>
      <c r="P71" s="2">
        <v>990.78720833333341</v>
      </c>
      <c r="Q71" s="2"/>
      <c r="R71" s="1">
        <v>0</v>
      </c>
      <c r="S71" s="35">
        <f t="shared" si="42"/>
        <v>13461.109250000001</v>
      </c>
      <c r="T71" s="2">
        <v>0</v>
      </c>
      <c r="U71" s="2">
        <v>187.43366666666665</v>
      </c>
      <c r="V71" s="2"/>
      <c r="W71" s="2">
        <v>1821.0397916666666</v>
      </c>
      <c r="X71" s="45">
        <f t="shared" si="32"/>
        <v>2008.4734583333332</v>
      </c>
      <c r="Y71" s="2">
        <v>0</v>
      </c>
      <c r="Z71" s="2">
        <v>415</v>
      </c>
      <c r="AA71" s="2">
        <v>0</v>
      </c>
      <c r="AB71" s="45">
        <f t="shared" si="43"/>
        <v>415</v>
      </c>
      <c r="AC71" s="84">
        <f t="shared" si="27"/>
        <v>1821.0397916666666</v>
      </c>
      <c r="AD71" s="39">
        <v>3000</v>
      </c>
      <c r="AE71" s="40">
        <f t="shared" si="45"/>
        <v>8399.4426666666677</v>
      </c>
      <c r="AF71" s="1">
        <f t="shared" si="34"/>
        <v>10.8</v>
      </c>
      <c r="AG71" s="1">
        <f t="shared" si="35"/>
        <v>12</v>
      </c>
      <c r="AH71" s="41">
        <f t="shared" si="46"/>
        <v>11.684195086964484</v>
      </c>
      <c r="AJ71">
        <v>0.9</v>
      </c>
      <c r="AK71">
        <v>1</v>
      </c>
      <c r="AL71" s="32">
        <f t="shared" si="47"/>
        <v>11399.442666666668</v>
      </c>
      <c r="AM71" s="4">
        <f t="shared" si="48"/>
        <v>0.26317076086292873</v>
      </c>
      <c r="AN71" s="4">
        <f t="shared" si="49"/>
        <v>0.73682923913707132</v>
      </c>
    </row>
    <row r="72" spans="3:40" hidden="1" x14ac:dyDescent="0.3">
      <c r="C72" s="1">
        <f t="shared" si="29"/>
        <v>2025</v>
      </c>
      <c r="D72" s="52">
        <f>+'Fisico ASIG'!B72</f>
        <v>45962</v>
      </c>
      <c r="E72" s="1">
        <v>16</v>
      </c>
      <c r="F72" s="1" t="s">
        <v>45</v>
      </c>
      <c r="G72" s="5">
        <v>45978</v>
      </c>
      <c r="H72" s="2">
        <v>3137.1593749999997</v>
      </c>
      <c r="I72" s="2">
        <v>942.41445833333319</v>
      </c>
      <c r="J72" s="2">
        <v>281.05362499999995</v>
      </c>
      <c r="K72" s="2"/>
      <c r="L72" s="1">
        <v>0</v>
      </c>
      <c r="M72" s="35">
        <f t="shared" si="41"/>
        <v>4360.6274583333325</v>
      </c>
      <c r="N72" s="2">
        <v>11463.207333333334</v>
      </c>
      <c r="O72" s="2">
        <v>1116.1643333333332</v>
      </c>
      <c r="P72" s="2">
        <v>988.76987500000007</v>
      </c>
      <c r="Q72" s="2"/>
      <c r="R72" s="1">
        <v>0</v>
      </c>
      <c r="S72" s="35">
        <f t="shared" si="42"/>
        <v>13568.141541666666</v>
      </c>
      <c r="T72" s="2">
        <v>0</v>
      </c>
      <c r="U72" s="2">
        <v>215.87637500000002</v>
      </c>
      <c r="V72" s="2"/>
      <c r="W72" s="2">
        <v>1725.9645416666667</v>
      </c>
      <c r="X72" s="45">
        <f t="shared" si="32"/>
        <v>1941.8409166666668</v>
      </c>
      <c r="Y72" s="2">
        <v>0</v>
      </c>
      <c r="Z72" s="2">
        <v>415</v>
      </c>
      <c r="AA72" s="2">
        <v>0</v>
      </c>
      <c r="AB72" s="45">
        <f t="shared" si="43"/>
        <v>415</v>
      </c>
      <c r="AC72" s="84">
        <f t="shared" si="27"/>
        <v>1725.9645416666667</v>
      </c>
      <c r="AD72" s="39">
        <v>3000</v>
      </c>
      <c r="AE72" s="40">
        <f t="shared" ref="AE72:AE78" si="50">+N72-AD72</f>
        <v>8463.2073333333337</v>
      </c>
      <c r="AF72" s="1">
        <f t="shared" si="34"/>
        <v>10.8</v>
      </c>
      <c r="AG72" s="1">
        <f t="shared" si="35"/>
        <v>12</v>
      </c>
      <c r="AH72" s="41">
        <f t="shared" ref="AH72:AH78" si="51">+(AD72*AF72+AG72*AE72)/SUM(AD72:AE72)</f>
        <v>11.685951767658279</v>
      </c>
      <c r="AJ72">
        <v>0.9</v>
      </c>
      <c r="AK72">
        <v>1</v>
      </c>
      <c r="AL72" s="32">
        <f t="shared" ref="AL72:AL78" si="52">+AD72+AE72</f>
        <v>11463.207333333334</v>
      </c>
      <c r="AM72" s="4">
        <f t="shared" ref="AM72:AM78" si="53">+AD72/AL72</f>
        <v>0.26170686028476847</v>
      </c>
      <c r="AN72" s="4">
        <f t="shared" ref="AN72:AN78" si="54">+AE72/AL72</f>
        <v>0.73829313971523158</v>
      </c>
    </row>
    <row r="73" spans="3:40" hidden="1" x14ac:dyDescent="0.3">
      <c r="C73" s="1">
        <f t="shared" si="29"/>
        <v>2025</v>
      </c>
      <c r="D73" s="52">
        <f>+'Fisico ASIG'!B73</f>
        <v>45962</v>
      </c>
      <c r="E73" s="1">
        <v>16</v>
      </c>
      <c r="F73" s="1" t="s">
        <v>46</v>
      </c>
      <c r="G73" s="5">
        <v>45979</v>
      </c>
      <c r="H73" s="2">
        <v>3889.6255416666677</v>
      </c>
      <c r="I73" s="2">
        <v>1012.3653333333333</v>
      </c>
      <c r="J73" s="2">
        <v>297.70933333333335</v>
      </c>
      <c r="K73" s="2"/>
      <c r="L73" s="1">
        <v>0</v>
      </c>
      <c r="M73" s="35">
        <f t="shared" si="41"/>
        <v>5199.7002083333346</v>
      </c>
      <c r="N73" s="2">
        <v>11420.945416666669</v>
      </c>
      <c r="O73" s="2">
        <v>1097.5725</v>
      </c>
      <c r="P73" s="2">
        <v>991.85316666666665</v>
      </c>
      <c r="Q73" s="2"/>
      <c r="R73" s="1">
        <v>0</v>
      </c>
      <c r="S73" s="35">
        <f t="shared" si="42"/>
        <v>13510.371083333335</v>
      </c>
      <c r="T73" s="2">
        <v>0</v>
      </c>
      <c r="U73" s="2">
        <v>221.05425000000002</v>
      </c>
      <c r="V73" s="2"/>
      <c r="W73" s="2">
        <v>1528.9509583333331</v>
      </c>
      <c r="X73" s="45">
        <f t="shared" si="32"/>
        <v>1750.005208333333</v>
      </c>
      <c r="Y73" s="2">
        <v>0</v>
      </c>
      <c r="Z73" s="2">
        <v>415</v>
      </c>
      <c r="AA73" s="2">
        <v>0</v>
      </c>
      <c r="AB73" s="45">
        <f t="shared" si="43"/>
        <v>415</v>
      </c>
      <c r="AC73" s="84">
        <f t="shared" si="27"/>
        <v>1528.9509583333331</v>
      </c>
      <c r="AD73" s="39">
        <v>3000</v>
      </c>
      <c r="AE73" s="40">
        <f t="shared" si="50"/>
        <v>8420.9454166666692</v>
      </c>
      <c r="AF73" s="1">
        <f t="shared" si="34"/>
        <v>10.8</v>
      </c>
      <c r="AG73" s="1">
        <f t="shared" si="35"/>
        <v>12</v>
      </c>
      <c r="AH73" s="41">
        <f t="shared" si="51"/>
        <v>11.684789667697169</v>
      </c>
      <c r="AJ73">
        <v>0.9</v>
      </c>
      <c r="AK73">
        <v>1</v>
      </c>
      <c r="AL73" s="32">
        <f t="shared" si="52"/>
        <v>11420.945416666669</v>
      </c>
      <c r="AM73" s="4">
        <f t="shared" si="53"/>
        <v>0.26267527691902615</v>
      </c>
      <c r="AN73" s="4">
        <f t="shared" si="54"/>
        <v>0.73732472308097385</v>
      </c>
    </row>
    <row r="74" spans="3:40" hidden="1" x14ac:dyDescent="0.3">
      <c r="C74" s="1">
        <f t="shared" si="29"/>
        <v>2025</v>
      </c>
      <c r="D74" s="52">
        <f>+'Fisico ASIG'!B74</f>
        <v>45962</v>
      </c>
      <c r="E74" s="1">
        <v>16</v>
      </c>
      <c r="F74" s="1" t="s">
        <v>47</v>
      </c>
      <c r="G74" s="5">
        <v>45980</v>
      </c>
      <c r="H74" s="2">
        <v>4954.3772499999995</v>
      </c>
      <c r="I74" s="2">
        <v>1042.0702916666669</v>
      </c>
      <c r="J74" s="2">
        <v>383.88391666666666</v>
      </c>
      <c r="K74" s="2"/>
      <c r="L74" s="1">
        <v>0</v>
      </c>
      <c r="M74" s="35">
        <f t="shared" si="41"/>
        <v>6380.3314583333331</v>
      </c>
      <c r="N74" s="2">
        <v>11417.34991666667</v>
      </c>
      <c r="O74" s="2">
        <v>1102.6021250000001</v>
      </c>
      <c r="P74" s="2">
        <v>991.66404166666666</v>
      </c>
      <c r="Q74" s="2"/>
      <c r="R74" s="1">
        <v>0</v>
      </c>
      <c r="S74" s="35">
        <f t="shared" si="42"/>
        <v>13511.616083333336</v>
      </c>
      <c r="T74" s="2">
        <v>0</v>
      </c>
      <c r="U74" s="2">
        <v>371.66833333333329</v>
      </c>
      <c r="V74" s="2"/>
      <c r="W74" s="2">
        <v>903.30879166666659</v>
      </c>
      <c r="X74" s="45">
        <f t="shared" si="32"/>
        <v>1274.9771249999999</v>
      </c>
      <c r="Y74" s="2">
        <v>0</v>
      </c>
      <c r="Z74" s="2">
        <v>415</v>
      </c>
      <c r="AA74" s="2">
        <v>0</v>
      </c>
      <c r="AB74" s="45">
        <f t="shared" si="43"/>
        <v>415</v>
      </c>
      <c r="AC74" s="84">
        <f t="shared" si="27"/>
        <v>903.30879166666659</v>
      </c>
      <c r="AD74" s="39">
        <v>3000</v>
      </c>
      <c r="AE74" s="40">
        <f t="shared" si="50"/>
        <v>8417.3499166666697</v>
      </c>
      <c r="AF74" s="1">
        <f t="shared" si="34"/>
        <v>10.8</v>
      </c>
      <c r="AG74" s="1">
        <f t="shared" si="35"/>
        <v>12</v>
      </c>
      <c r="AH74" s="41">
        <f t="shared" si="51"/>
        <v>11.684690403090404</v>
      </c>
      <c r="AJ74">
        <v>0.9</v>
      </c>
      <c r="AK74">
        <v>1</v>
      </c>
      <c r="AL74" s="32">
        <f t="shared" si="52"/>
        <v>11417.34991666667</v>
      </c>
      <c r="AM74" s="4">
        <f t="shared" si="53"/>
        <v>0.26275799742466499</v>
      </c>
      <c r="AN74" s="4">
        <f t="shared" si="54"/>
        <v>0.73724200257533501</v>
      </c>
    </row>
    <row r="75" spans="3:40" hidden="1" x14ac:dyDescent="0.3">
      <c r="C75" s="1">
        <f t="shared" si="29"/>
        <v>2025</v>
      </c>
      <c r="D75" s="52">
        <f>+'Fisico ASIG'!B75</f>
        <v>45962</v>
      </c>
      <c r="E75" s="1">
        <v>16</v>
      </c>
      <c r="F75" s="1" t="s">
        <v>48</v>
      </c>
      <c r="G75" s="5">
        <v>45981</v>
      </c>
      <c r="H75" s="2">
        <v>5403.2733750000025</v>
      </c>
      <c r="I75" s="2">
        <v>953.3579166666666</v>
      </c>
      <c r="J75" s="2">
        <v>387.68366666666668</v>
      </c>
      <c r="K75" s="2"/>
      <c r="L75" s="1">
        <v>0</v>
      </c>
      <c r="M75" s="35">
        <f t="shared" si="41"/>
        <v>6744.3149583333361</v>
      </c>
      <c r="N75" s="2">
        <v>11356.519999999999</v>
      </c>
      <c r="O75" s="2">
        <v>1092.1594166666669</v>
      </c>
      <c r="P75" s="2">
        <v>991.43700000000001</v>
      </c>
      <c r="Q75" s="2"/>
      <c r="R75" s="1">
        <v>0</v>
      </c>
      <c r="S75" s="35">
        <f t="shared" si="42"/>
        <v>13440.116416666666</v>
      </c>
      <c r="T75" s="2">
        <v>0</v>
      </c>
      <c r="U75" s="2">
        <v>387.52887499999997</v>
      </c>
      <c r="V75" s="2"/>
      <c r="W75" s="2">
        <v>1451.5166250000002</v>
      </c>
      <c r="X75" s="45">
        <f t="shared" si="32"/>
        <v>1839.0455000000002</v>
      </c>
      <c r="Y75" s="2">
        <v>0</v>
      </c>
      <c r="Z75" s="2">
        <v>415</v>
      </c>
      <c r="AA75" s="2">
        <v>0</v>
      </c>
      <c r="AB75" s="45">
        <f t="shared" si="43"/>
        <v>415</v>
      </c>
      <c r="AC75" s="84">
        <f t="shared" si="27"/>
        <v>1451.5166250000002</v>
      </c>
      <c r="AD75" s="39">
        <v>3000</v>
      </c>
      <c r="AE75" s="40">
        <f t="shared" si="50"/>
        <v>8356.5199999999986</v>
      </c>
      <c r="AF75" s="1">
        <f t="shared" si="34"/>
        <v>10.8</v>
      </c>
      <c r="AG75" s="1">
        <f t="shared" si="35"/>
        <v>12</v>
      </c>
      <c r="AH75" s="41">
        <f t="shared" si="51"/>
        <v>11.683001482848619</v>
      </c>
      <c r="AJ75">
        <v>0.9</v>
      </c>
      <c r="AK75">
        <v>1</v>
      </c>
      <c r="AL75" s="32">
        <f t="shared" si="52"/>
        <v>11356.519999999999</v>
      </c>
      <c r="AM75" s="4">
        <f t="shared" si="53"/>
        <v>0.26416543095948408</v>
      </c>
      <c r="AN75" s="4">
        <f t="shared" si="54"/>
        <v>0.73583456904051592</v>
      </c>
    </row>
    <row r="76" spans="3:40" hidden="1" x14ac:dyDescent="0.3">
      <c r="C76" s="1">
        <f t="shared" si="29"/>
        <v>2025</v>
      </c>
      <c r="D76" s="52">
        <f>+'Fisico ASIG'!B76</f>
        <v>45962</v>
      </c>
      <c r="E76" s="1">
        <v>6</v>
      </c>
      <c r="F76" s="1" t="s">
        <v>49</v>
      </c>
      <c r="G76" s="5">
        <v>45982</v>
      </c>
      <c r="H76" s="2">
        <v>4760.3342499999981</v>
      </c>
      <c r="I76" s="2">
        <v>1084.3257916666666</v>
      </c>
      <c r="J76" s="2">
        <v>390.66125</v>
      </c>
      <c r="K76" s="2"/>
      <c r="L76" s="1">
        <v>0</v>
      </c>
      <c r="M76" s="35">
        <f t="shared" si="41"/>
        <v>6235.3212916666644</v>
      </c>
      <c r="N76" s="2">
        <v>10951.163958333331</v>
      </c>
      <c r="O76" s="2">
        <v>1118.74125</v>
      </c>
      <c r="P76" s="2">
        <v>991.95491666666669</v>
      </c>
      <c r="Q76" s="2"/>
      <c r="R76" s="1">
        <v>0</v>
      </c>
      <c r="S76" s="35">
        <f t="shared" si="42"/>
        <v>13061.860124999997</v>
      </c>
      <c r="T76" s="2">
        <v>0</v>
      </c>
      <c r="U76" s="2">
        <v>261.17424999999997</v>
      </c>
      <c r="V76" s="2"/>
      <c r="W76" s="2">
        <v>1091.2805416666667</v>
      </c>
      <c r="X76" s="45">
        <f t="shared" si="32"/>
        <v>1352.4547916666668</v>
      </c>
      <c r="Y76" s="2">
        <v>0</v>
      </c>
      <c r="Z76" s="2">
        <v>415</v>
      </c>
      <c r="AA76" s="2">
        <v>0</v>
      </c>
      <c r="AB76" s="45">
        <f t="shared" si="43"/>
        <v>415</v>
      </c>
      <c r="AC76" s="84">
        <f t="shared" si="27"/>
        <v>1091.2805416666667</v>
      </c>
      <c r="AD76" s="39">
        <v>3000</v>
      </c>
      <c r="AE76" s="40">
        <f t="shared" si="50"/>
        <v>7951.1639583333308</v>
      </c>
      <c r="AF76" s="1">
        <f t="shared" si="34"/>
        <v>10.8</v>
      </c>
      <c r="AG76" s="1">
        <f t="shared" si="35"/>
        <v>12</v>
      </c>
      <c r="AH76" s="41">
        <f t="shared" si="51"/>
        <v>11.671267820142482</v>
      </c>
      <c r="AJ76">
        <v>0.9</v>
      </c>
      <c r="AK76">
        <v>1</v>
      </c>
      <c r="AL76" s="32">
        <f t="shared" si="52"/>
        <v>10951.163958333331</v>
      </c>
      <c r="AM76" s="4">
        <f t="shared" si="53"/>
        <v>0.27394348321459822</v>
      </c>
      <c r="AN76" s="4">
        <f t="shared" si="54"/>
        <v>0.72605651678540173</v>
      </c>
    </row>
    <row r="77" spans="3:40" hidden="1" x14ac:dyDescent="0.3">
      <c r="C77" s="1">
        <f t="shared" si="29"/>
        <v>2025</v>
      </c>
      <c r="D77" s="52">
        <f>+'Fisico ASIG'!B77</f>
        <v>45962</v>
      </c>
      <c r="E77" s="1">
        <v>6</v>
      </c>
      <c r="F77" s="1" t="s">
        <v>43</v>
      </c>
      <c r="G77" s="5">
        <v>45983</v>
      </c>
      <c r="H77" s="2">
        <v>3922.8581249999993</v>
      </c>
      <c r="I77" s="2">
        <v>713.44650000000001</v>
      </c>
      <c r="J77" s="2">
        <v>361.74983333333336</v>
      </c>
      <c r="K77" s="2"/>
      <c r="L77" s="1">
        <v>0</v>
      </c>
      <c r="M77" s="35">
        <f t="shared" si="41"/>
        <v>4998.0544583333321</v>
      </c>
      <c r="N77" s="2">
        <v>10848.937874999998</v>
      </c>
      <c r="O77" s="2">
        <v>1133.3053749999999</v>
      </c>
      <c r="P77" s="2">
        <v>992.232125</v>
      </c>
      <c r="Q77" s="2"/>
      <c r="R77" s="1">
        <v>0</v>
      </c>
      <c r="S77" s="35">
        <f t="shared" si="42"/>
        <v>12974.475374999998</v>
      </c>
      <c r="T77" s="2">
        <v>0</v>
      </c>
      <c r="U77" s="2">
        <v>380.68616666666668</v>
      </c>
      <c r="V77" s="2"/>
      <c r="W77" s="2">
        <v>1148.8856666666666</v>
      </c>
      <c r="X77" s="45">
        <f t="shared" si="32"/>
        <v>1529.5718333333332</v>
      </c>
      <c r="Y77" s="2">
        <v>0</v>
      </c>
      <c r="Z77" s="2">
        <v>415</v>
      </c>
      <c r="AA77" s="2">
        <v>0</v>
      </c>
      <c r="AB77" s="45">
        <f t="shared" si="43"/>
        <v>415</v>
      </c>
      <c r="AC77" s="84">
        <f t="shared" si="27"/>
        <v>1148.8856666666666</v>
      </c>
      <c r="AD77" s="39">
        <v>3000</v>
      </c>
      <c r="AE77" s="40">
        <f t="shared" si="50"/>
        <v>7848.9378749999978</v>
      </c>
      <c r="AF77" s="1">
        <f t="shared" si="34"/>
        <v>10.8</v>
      </c>
      <c r="AG77" s="1">
        <f t="shared" si="35"/>
        <v>12</v>
      </c>
      <c r="AH77" s="41">
        <f t="shared" si="51"/>
        <v>11.668170281600032</v>
      </c>
      <c r="AJ77">
        <v>0.9</v>
      </c>
      <c r="AK77">
        <v>1</v>
      </c>
      <c r="AL77" s="32">
        <f t="shared" si="52"/>
        <v>10848.937874999998</v>
      </c>
      <c r="AM77" s="4">
        <f t="shared" si="53"/>
        <v>0.27652476533330694</v>
      </c>
      <c r="AN77" s="4">
        <f t="shared" si="54"/>
        <v>0.72347523466669306</v>
      </c>
    </row>
    <row r="78" spans="3:40" hidden="1" x14ac:dyDescent="0.3">
      <c r="C78" s="1">
        <f t="shared" si="29"/>
        <v>2025</v>
      </c>
      <c r="D78" s="52">
        <f>+'Fisico ASIG'!B78</f>
        <v>45962</v>
      </c>
      <c r="E78" s="1">
        <v>4</v>
      </c>
      <c r="F78" s="1" t="s">
        <v>44</v>
      </c>
      <c r="G78" s="5">
        <v>45984</v>
      </c>
      <c r="H78" s="2">
        <v>2851.9209166666669</v>
      </c>
      <c r="I78" s="2">
        <v>833.33095833333346</v>
      </c>
      <c r="J78" s="2">
        <v>316.42862500000001</v>
      </c>
      <c r="K78" s="2"/>
      <c r="L78" s="1">
        <v>0</v>
      </c>
      <c r="M78" s="35">
        <f t="shared" si="41"/>
        <v>4001.6805000000004</v>
      </c>
      <c r="N78" s="2">
        <v>10955.524250000002</v>
      </c>
      <c r="O78" s="2">
        <v>1121.0169583333332</v>
      </c>
      <c r="P78" s="2">
        <v>976.11458333333326</v>
      </c>
      <c r="Q78" s="2"/>
      <c r="R78" s="1">
        <v>0</v>
      </c>
      <c r="S78" s="35">
        <f t="shared" si="42"/>
        <v>13052.65579166667</v>
      </c>
      <c r="T78" s="2">
        <v>0</v>
      </c>
      <c r="U78" s="2">
        <v>207.66879166666661</v>
      </c>
      <c r="V78" s="2"/>
      <c r="W78" s="2">
        <v>1783.9055416666667</v>
      </c>
      <c r="X78" s="45">
        <f t="shared" si="32"/>
        <v>1991.5743333333335</v>
      </c>
      <c r="Y78" s="2">
        <v>0</v>
      </c>
      <c r="Z78" s="2">
        <v>415</v>
      </c>
      <c r="AA78" s="2">
        <v>0</v>
      </c>
      <c r="AB78" s="45">
        <f t="shared" si="43"/>
        <v>415</v>
      </c>
      <c r="AC78" s="84">
        <f t="shared" si="27"/>
        <v>1783.9055416666667</v>
      </c>
      <c r="AD78" s="39">
        <v>3000</v>
      </c>
      <c r="AE78" s="40">
        <f t="shared" si="50"/>
        <v>7955.5242500000022</v>
      </c>
      <c r="AF78" s="1">
        <f t="shared" si="34"/>
        <v>10.8</v>
      </c>
      <c r="AG78" s="1">
        <f t="shared" si="35"/>
        <v>12</v>
      </c>
      <c r="AH78" s="41">
        <f t="shared" si="51"/>
        <v>11.671398655340479</v>
      </c>
      <c r="AJ78">
        <v>0.9</v>
      </c>
      <c r="AK78">
        <v>1</v>
      </c>
      <c r="AL78" s="32">
        <f t="shared" si="52"/>
        <v>10955.524250000002</v>
      </c>
      <c r="AM78" s="4">
        <f t="shared" si="53"/>
        <v>0.27383445388293487</v>
      </c>
      <c r="AN78" s="4">
        <f t="shared" si="54"/>
        <v>0.72616554611706519</v>
      </c>
    </row>
    <row r="79" spans="3:40" hidden="1" x14ac:dyDescent="0.3">
      <c r="C79" s="1">
        <f t="shared" si="29"/>
        <v>2025</v>
      </c>
      <c r="D79" s="52">
        <f>+'Fisico ASIG'!B79</f>
        <v>45962</v>
      </c>
      <c r="E79" s="1">
        <v>4</v>
      </c>
      <c r="F79" s="1" t="s">
        <v>45</v>
      </c>
      <c r="G79" s="5">
        <v>45985</v>
      </c>
      <c r="H79" s="2">
        <v>3420.9237916666675</v>
      </c>
      <c r="I79" s="2">
        <v>1006.1569583333333</v>
      </c>
      <c r="J79" s="2">
        <v>353.67154166666671</v>
      </c>
      <c r="K79" s="2"/>
      <c r="L79" s="1">
        <v>0</v>
      </c>
      <c r="M79" s="35">
        <f t="shared" si="41"/>
        <v>4780.7522916666676</v>
      </c>
      <c r="N79" s="2">
        <v>10920.432708333334</v>
      </c>
      <c r="O79" s="2">
        <v>1159.0691250000002</v>
      </c>
      <c r="P79" s="2">
        <v>935.32412499999987</v>
      </c>
      <c r="Q79" s="2"/>
      <c r="R79" s="1">
        <v>0</v>
      </c>
      <c r="S79" s="35">
        <f t="shared" si="42"/>
        <v>13014.825958333333</v>
      </c>
      <c r="T79" s="2">
        <v>0</v>
      </c>
      <c r="U79" s="2">
        <v>224.99108333333331</v>
      </c>
      <c r="V79" s="2"/>
      <c r="W79" s="2">
        <v>1903.4884583333333</v>
      </c>
      <c r="X79" s="45">
        <f t="shared" si="32"/>
        <v>2128.4795416666666</v>
      </c>
      <c r="Y79" s="2">
        <v>0</v>
      </c>
      <c r="Z79" s="2">
        <v>415</v>
      </c>
      <c r="AA79" s="2">
        <v>0</v>
      </c>
      <c r="AB79" s="45">
        <f t="shared" si="43"/>
        <v>415</v>
      </c>
      <c r="AC79" s="84">
        <f t="shared" si="27"/>
        <v>1903.4884583333333</v>
      </c>
      <c r="AD79" s="39">
        <v>3000</v>
      </c>
      <c r="AE79" s="40">
        <f t="shared" ref="AE79:AE85" si="55">+N79-AD79</f>
        <v>7920.4327083333337</v>
      </c>
      <c r="AF79" s="1">
        <f t="shared" si="34"/>
        <v>10.8</v>
      </c>
      <c r="AG79" s="1">
        <f t="shared" si="35"/>
        <v>12</v>
      </c>
      <c r="AH79" s="41">
        <f t="shared" ref="AH79:AH85" si="56">+(AD79*AF79+AG79*AE79)/SUM(AD79:AE79)</f>
        <v>11.670342733099499</v>
      </c>
      <c r="AJ79">
        <v>0.9</v>
      </c>
      <c r="AK79">
        <v>1</v>
      </c>
      <c r="AL79" s="32">
        <f t="shared" ref="AL79:AL85" si="57">+AD79+AE79</f>
        <v>10920.432708333334</v>
      </c>
      <c r="AM79" s="4">
        <f t="shared" ref="AM79:AM85" si="58">+AD79/AL79</f>
        <v>0.27471438908375062</v>
      </c>
      <c r="AN79" s="4">
        <f t="shared" ref="AN79:AN85" si="59">+AE79/AL79</f>
        <v>0.72528561091624943</v>
      </c>
    </row>
    <row r="80" spans="3:40" hidden="1" x14ac:dyDescent="0.3">
      <c r="C80" s="1">
        <f t="shared" si="29"/>
        <v>2025</v>
      </c>
      <c r="D80" s="52">
        <f>+'Fisico ASIG'!B80</f>
        <v>45962</v>
      </c>
      <c r="E80" s="1">
        <v>16</v>
      </c>
      <c r="F80" s="1" t="s">
        <v>46</v>
      </c>
      <c r="G80" s="5">
        <v>45986</v>
      </c>
      <c r="H80" s="2">
        <v>5561.4225416666686</v>
      </c>
      <c r="I80" s="2">
        <v>1105.7975833333333</v>
      </c>
      <c r="J80" s="2">
        <v>439.46741666666668</v>
      </c>
      <c r="K80" s="2"/>
      <c r="L80" s="1">
        <v>0</v>
      </c>
      <c r="M80" s="35">
        <f t="shared" si="41"/>
        <v>7106.687541666668</v>
      </c>
      <c r="N80" s="2">
        <v>11999.661291666665</v>
      </c>
      <c r="O80" s="2">
        <v>1158.6294583333333</v>
      </c>
      <c r="P80" s="2">
        <v>990.68116666666674</v>
      </c>
      <c r="Q80" s="2"/>
      <c r="R80" s="1">
        <v>0</v>
      </c>
      <c r="S80" s="35">
        <f t="shared" si="42"/>
        <v>14148.971916666665</v>
      </c>
      <c r="T80" s="2">
        <v>0</v>
      </c>
      <c r="U80" s="2">
        <v>365.54629166666672</v>
      </c>
      <c r="V80" s="2"/>
      <c r="W80" s="2">
        <v>1272.8549583333336</v>
      </c>
      <c r="X80" s="45">
        <f t="shared" si="32"/>
        <v>1638.4012500000003</v>
      </c>
      <c r="Y80" s="2">
        <v>0</v>
      </c>
      <c r="Z80" s="2">
        <v>415</v>
      </c>
      <c r="AA80" s="2">
        <v>0</v>
      </c>
      <c r="AB80" s="45">
        <f t="shared" si="43"/>
        <v>415</v>
      </c>
      <c r="AC80" s="84">
        <f t="shared" si="27"/>
        <v>1272.8549583333336</v>
      </c>
      <c r="AD80" s="39">
        <v>3000</v>
      </c>
      <c r="AE80" s="40">
        <f t="shared" si="55"/>
        <v>8999.6612916666654</v>
      </c>
      <c r="AF80" s="1">
        <f t="shared" si="34"/>
        <v>10.8</v>
      </c>
      <c r="AG80" s="1">
        <f t="shared" si="35"/>
        <v>12</v>
      </c>
      <c r="AH80" s="41">
        <f t="shared" si="56"/>
        <v>11.699991532052653</v>
      </c>
      <c r="AJ80">
        <v>0.9</v>
      </c>
      <c r="AK80">
        <v>1</v>
      </c>
      <c r="AL80" s="32">
        <f t="shared" si="57"/>
        <v>11999.661291666665</v>
      </c>
      <c r="AM80" s="4">
        <f t="shared" si="58"/>
        <v>0.25000705662278921</v>
      </c>
      <c r="AN80" s="4">
        <f t="shared" si="59"/>
        <v>0.74999294337721079</v>
      </c>
    </row>
    <row r="81" spans="3:40" hidden="1" x14ac:dyDescent="0.3">
      <c r="C81" s="1">
        <f t="shared" si="29"/>
        <v>2025</v>
      </c>
      <c r="D81" s="52">
        <f>+'Fisico ASIG'!B81</f>
        <v>45962</v>
      </c>
      <c r="E81" s="1">
        <v>16</v>
      </c>
      <c r="F81" s="1" t="s">
        <v>47</v>
      </c>
      <c r="G81" s="5">
        <v>45987</v>
      </c>
      <c r="H81" s="2">
        <v>5887.6274583333334</v>
      </c>
      <c r="I81" s="2">
        <v>905.68208333333348</v>
      </c>
      <c r="J81" s="2">
        <v>401.41995833333328</v>
      </c>
      <c r="K81" s="2"/>
      <c r="L81" s="1">
        <v>0</v>
      </c>
      <c r="M81" s="35">
        <f t="shared" si="41"/>
        <v>7194.7294999999995</v>
      </c>
      <c r="N81" s="2">
        <v>11865.62908333333</v>
      </c>
      <c r="O81" s="2">
        <v>1157.3671666666667</v>
      </c>
      <c r="P81" s="2">
        <v>990.66000000000008</v>
      </c>
      <c r="Q81" s="2"/>
      <c r="R81" s="1">
        <v>0</v>
      </c>
      <c r="S81" s="35">
        <f t="shared" si="42"/>
        <v>14013.656249999996</v>
      </c>
      <c r="T81" s="2">
        <v>0</v>
      </c>
      <c r="U81" s="2">
        <v>383.83429166666673</v>
      </c>
      <c r="V81" s="2"/>
      <c r="W81" s="2">
        <v>1648.3396666666663</v>
      </c>
      <c r="X81" s="45">
        <f t="shared" si="32"/>
        <v>2032.1739583333331</v>
      </c>
      <c r="Y81" s="2">
        <v>0</v>
      </c>
      <c r="Z81" s="2">
        <v>415</v>
      </c>
      <c r="AA81" s="2">
        <v>0</v>
      </c>
      <c r="AB81" s="45">
        <f t="shared" si="43"/>
        <v>415</v>
      </c>
      <c r="AC81" s="84">
        <f t="shared" si="27"/>
        <v>1648.3396666666663</v>
      </c>
      <c r="AD81" s="39">
        <v>3000</v>
      </c>
      <c r="AE81" s="40">
        <f t="shared" si="55"/>
        <v>8865.6290833333296</v>
      </c>
      <c r="AF81" s="1">
        <f t="shared" si="34"/>
        <v>10.8</v>
      </c>
      <c r="AG81" s="1">
        <f t="shared" si="35"/>
        <v>12</v>
      </c>
      <c r="AH81" s="41">
        <f t="shared" si="56"/>
        <v>11.696602685393511</v>
      </c>
      <c r="AJ81">
        <v>0.9</v>
      </c>
      <c r="AK81">
        <v>1</v>
      </c>
      <c r="AL81" s="32">
        <f t="shared" si="57"/>
        <v>11865.62908333333</v>
      </c>
      <c r="AM81" s="4">
        <f t="shared" si="58"/>
        <v>0.25283109550540833</v>
      </c>
      <c r="AN81" s="4">
        <f t="shared" si="59"/>
        <v>0.74716890449459161</v>
      </c>
    </row>
    <row r="82" spans="3:40" hidden="1" x14ac:dyDescent="0.3">
      <c r="C82" s="1">
        <f t="shared" si="29"/>
        <v>2025</v>
      </c>
      <c r="D82" s="52">
        <f>+'Fisico ASIG'!B82</f>
        <v>45962</v>
      </c>
      <c r="E82" s="1">
        <v>16</v>
      </c>
      <c r="F82" s="1" t="s">
        <v>48</v>
      </c>
      <c r="G82" s="5">
        <v>45988</v>
      </c>
      <c r="H82" s="2">
        <v>6048.6578750000035</v>
      </c>
      <c r="I82" s="2">
        <v>1249.923</v>
      </c>
      <c r="J82" s="2">
        <v>397.95795833333335</v>
      </c>
      <c r="K82" s="2"/>
      <c r="L82" s="1">
        <v>0</v>
      </c>
      <c r="M82" s="35">
        <f t="shared" si="41"/>
        <v>7696.5388333333367</v>
      </c>
      <c r="N82" s="2">
        <v>11858.915458333333</v>
      </c>
      <c r="O82" s="2">
        <v>1434.3998750000001</v>
      </c>
      <c r="P82" s="2">
        <v>990.66000000000008</v>
      </c>
      <c r="Q82" s="2"/>
      <c r="R82" s="1">
        <v>0</v>
      </c>
      <c r="S82" s="35">
        <f t="shared" si="42"/>
        <v>14283.975333333332</v>
      </c>
      <c r="T82" s="2">
        <v>0</v>
      </c>
      <c r="U82" s="2">
        <v>356.51600000000002</v>
      </c>
      <c r="V82" s="2"/>
      <c r="W82" s="2">
        <v>1610.3118749999996</v>
      </c>
      <c r="X82" s="45">
        <f t="shared" si="32"/>
        <v>1966.8278749999997</v>
      </c>
      <c r="Y82" s="2">
        <v>0</v>
      </c>
      <c r="Z82" s="2">
        <v>415</v>
      </c>
      <c r="AA82" s="2">
        <v>0</v>
      </c>
      <c r="AB82" s="45">
        <f t="shared" si="43"/>
        <v>415</v>
      </c>
      <c r="AC82" s="84">
        <f t="shared" si="27"/>
        <v>1610.3118749999996</v>
      </c>
      <c r="AD82" s="39">
        <v>3000</v>
      </c>
      <c r="AE82" s="40">
        <f t="shared" si="55"/>
        <v>8858.9154583333329</v>
      </c>
      <c r="AF82" s="1">
        <f t="shared" si="34"/>
        <v>10.8</v>
      </c>
      <c r="AG82" s="1">
        <f t="shared" si="35"/>
        <v>12</v>
      </c>
      <c r="AH82" s="41">
        <f t="shared" si="56"/>
        <v>11.696430924678678</v>
      </c>
      <c r="AJ82">
        <v>0.9</v>
      </c>
      <c r="AK82">
        <v>1</v>
      </c>
      <c r="AL82" s="32">
        <f t="shared" si="57"/>
        <v>11858.915458333333</v>
      </c>
      <c r="AM82" s="4">
        <f t="shared" si="58"/>
        <v>0.25297422943443632</v>
      </c>
      <c r="AN82" s="4">
        <f t="shared" si="59"/>
        <v>0.74702577056556374</v>
      </c>
    </row>
    <row r="83" spans="3:40" hidden="1" x14ac:dyDescent="0.3">
      <c r="C83" s="1">
        <f t="shared" si="29"/>
        <v>2025</v>
      </c>
      <c r="D83" s="52">
        <f>+'Fisico ASIG'!B83</f>
        <v>45962</v>
      </c>
      <c r="E83" s="1">
        <v>16</v>
      </c>
      <c r="F83" s="1" t="s">
        <v>49</v>
      </c>
      <c r="G83" s="5">
        <v>45989</v>
      </c>
      <c r="H83" s="2">
        <v>6468.2855833333333</v>
      </c>
      <c r="I83" s="2">
        <v>1220.7701666666667</v>
      </c>
      <c r="J83" s="2">
        <v>341.66604166666673</v>
      </c>
      <c r="K83" s="2"/>
      <c r="L83" s="1">
        <v>0</v>
      </c>
      <c r="M83" s="35">
        <f t="shared" si="41"/>
        <v>8030.7217916666659</v>
      </c>
      <c r="N83" s="2">
        <v>11943.278999999993</v>
      </c>
      <c r="O83" s="2">
        <v>1446.0370833333336</v>
      </c>
      <c r="P83" s="2">
        <v>985.66000000000008</v>
      </c>
      <c r="Q83" s="2"/>
      <c r="R83" s="1">
        <v>0</v>
      </c>
      <c r="S83" s="35">
        <f t="shared" si="42"/>
        <v>14374.976083333328</v>
      </c>
      <c r="T83" s="2">
        <v>0</v>
      </c>
      <c r="U83" s="2">
        <v>370.84241666666668</v>
      </c>
      <c r="V83" s="2"/>
      <c r="W83" s="2">
        <v>1555.8849583333333</v>
      </c>
      <c r="X83" s="45">
        <f t="shared" si="32"/>
        <v>1926.7273749999999</v>
      </c>
      <c r="Y83" s="2">
        <v>0</v>
      </c>
      <c r="Z83" s="2">
        <v>415</v>
      </c>
      <c r="AA83" s="2">
        <v>0</v>
      </c>
      <c r="AB83" s="45">
        <f t="shared" si="43"/>
        <v>415</v>
      </c>
      <c r="AC83" s="84">
        <f t="shared" si="27"/>
        <v>1555.8849583333333</v>
      </c>
      <c r="AD83" s="39">
        <v>3000</v>
      </c>
      <c r="AE83" s="40">
        <f t="shared" si="55"/>
        <v>8943.2789999999932</v>
      </c>
      <c r="AF83" s="1">
        <f t="shared" si="34"/>
        <v>10.8</v>
      </c>
      <c r="AG83" s="1">
        <f t="shared" si="35"/>
        <v>12</v>
      </c>
      <c r="AH83" s="41">
        <f t="shared" si="56"/>
        <v>11.698575240518117</v>
      </c>
      <c r="AJ83">
        <v>0.9</v>
      </c>
      <c r="AK83">
        <v>1</v>
      </c>
      <c r="AL83" s="32">
        <f t="shared" si="57"/>
        <v>11943.278999999993</v>
      </c>
      <c r="AM83" s="4">
        <f t="shared" si="58"/>
        <v>0.25118729956823427</v>
      </c>
      <c r="AN83" s="4">
        <f t="shared" si="59"/>
        <v>0.74881270043176573</v>
      </c>
    </row>
    <row r="84" spans="3:40" hidden="1" x14ac:dyDescent="0.3">
      <c r="C84" s="1">
        <f t="shared" si="29"/>
        <v>2025</v>
      </c>
      <c r="D84" s="52">
        <f>+'Fisico ASIG'!B84</f>
        <v>45962</v>
      </c>
      <c r="E84" s="1">
        <v>6</v>
      </c>
      <c r="F84" s="1" t="s">
        <v>43</v>
      </c>
      <c r="G84" s="5">
        <v>45990</v>
      </c>
      <c r="H84" s="2">
        <v>5709.7844583333344</v>
      </c>
      <c r="I84" s="2">
        <v>1262.860625</v>
      </c>
      <c r="J84" s="2">
        <v>307.31816666666668</v>
      </c>
      <c r="K84" s="2"/>
      <c r="L84" s="1">
        <v>0</v>
      </c>
      <c r="M84" s="35">
        <f t="shared" si="41"/>
        <v>7279.9632500000016</v>
      </c>
      <c r="N84" s="2">
        <v>12239.759541666666</v>
      </c>
      <c r="O84" s="2">
        <v>1492.2695000000001</v>
      </c>
      <c r="P84" s="2">
        <v>987.66000000000008</v>
      </c>
      <c r="Q84" s="2"/>
      <c r="R84" s="1">
        <v>0</v>
      </c>
      <c r="S84" s="35">
        <f t="shared" si="42"/>
        <v>14719.689041666667</v>
      </c>
      <c r="T84" s="2">
        <v>0</v>
      </c>
      <c r="U84" s="2">
        <v>263.07491666666664</v>
      </c>
      <c r="V84" s="2"/>
      <c r="W84" s="2">
        <v>1199.8408333333334</v>
      </c>
      <c r="X84" s="45">
        <f t="shared" si="32"/>
        <v>1462.9157500000001</v>
      </c>
      <c r="Y84" s="2">
        <v>0</v>
      </c>
      <c r="Z84" s="2">
        <v>471.90958333333333</v>
      </c>
      <c r="AA84" s="2">
        <v>0</v>
      </c>
      <c r="AB84" s="45">
        <f t="shared" si="43"/>
        <v>471.90958333333333</v>
      </c>
      <c r="AC84" s="84">
        <f t="shared" si="27"/>
        <v>1199.8408333333334</v>
      </c>
      <c r="AD84" s="39">
        <v>3000</v>
      </c>
      <c r="AE84" s="40">
        <f t="shared" si="55"/>
        <v>9239.7595416666663</v>
      </c>
      <c r="AF84" s="1">
        <f t="shared" si="34"/>
        <v>10.8</v>
      </c>
      <c r="AG84" s="1">
        <f t="shared" si="35"/>
        <v>12</v>
      </c>
      <c r="AH84" s="41">
        <f t="shared" si="56"/>
        <v>11.705876574801584</v>
      </c>
      <c r="AJ84">
        <v>0.9</v>
      </c>
      <c r="AK84">
        <v>1</v>
      </c>
      <c r="AL84" s="32">
        <f t="shared" si="57"/>
        <v>12239.759541666666</v>
      </c>
      <c r="AM84" s="4">
        <f t="shared" si="58"/>
        <v>0.24510285433201373</v>
      </c>
      <c r="AN84" s="4">
        <f t="shared" si="59"/>
        <v>0.75489714566798627</v>
      </c>
    </row>
    <row r="85" spans="3:40" hidden="1" x14ac:dyDescent="0.3">
      <c r="C85" s="1">
        <f t="shared" si="29"/>
        <v>2025</v>
      </c>
      <c r="D85" s="52">
        <f>+'Fisico ASIG'!B85</f>
        <v>45962</v>
      </c>
      <c r="E85" s="1">
        <v>4</v>
      </c>
      <c r="F85" s="1" t="s">
        <v>44</v>
      </c>
      <c r="G85" s="5">
        <v>45991</v>
      </c>
      <c r="H85" s="2">
        <v>4578.4019166666658</v>
      </c>
      <c r="I85" s="2">
        <v>1019.1514583333334</v>
      </c>
      <c r="J85" s="2">
        <v>311.77829166666669</v>
      </c>
      <c r="K85" s="2"/>
      <c r="L85" s="1">
        <v>0</v>
      </c>
      <c r="M85" s="35">
        <f t="shared" si="41"/>
        <v>5909.331666666666</v>
      </c>
      <c r="N85" s="2">
        <v>11775.283833333337</v>
      </c>
      <c r="O85" s="2">
        <v>1381.0685416666668</v>
      </c>
      <c r="P85" s="2">
        <v>987.6960416666667</v>
      </c>
      <c r="Q85" s="2"/>
      <c r="R85" s="1">
        <v>0</v>
      </c>
      <c r="S85" s="35">
        <f t="shared" si="42"/>
        <v>14144.04841666667</v>
      </c>
      <c r="T85" s="2">
        <v>0</v>
      </c>
      <c r="U85" s="2">
        <v>230.46375000000009</v>
      </c>
      <c r="V85" s="2"/>
      <c r="W85" s="2">
        <v>1122.2257916666665</v>
      </c>
      <c r="X85" s="45">
        <f t="shared" si="32"/>
        <v>1352.6895416666666</v>
      </c>
      <c r="Y85" s="2">
        <v>0</v>
      </c>
      <c r="Z85" s="2">
        <v>525</v>
      </c>
      <c r="AA85" s="2">
        <v>0</v>
      </c>
      <c r="AB85" s="45">
        <f t="shared" si="43"/>
        <v>525</v>
      </c>
      <c r="AC85" s="84">
        <f t="shared" si="27"/>
        <v>1122.2257916666665</v>
      </c>
      <c r="AD85" s="39">
        <v>3000</v>
      </c>
      <c r="AE85" s="40">
        <f t="shared" si="55"/>
        <v>8775.2838333333366</v>
      </c>
      <c r="AF85" s="1">
        <f t="shared" si="34"/>
        <v>10.8</v>
      </c>
      <c r="AG85" s="1">
        <f t="shared" si="35"/>
        <v>12</v>
      </c>
      <c r="AH85" s="41">
        <f t="shared" si="56"/>
        <v>11.694274885348483</v>
      </c>
      <c r="AJ85">
        <v>0.9</v>
      </c>
      <c r="AK85">
        <v>1</v>
      </c>
      <c r="AL85" s="32">
        <f t="shared" si="57"/>
        <v>11775.283833333337</v>
      </c>
      <c r="AM85" s="4">
        <f t="shared" si="58"/>
        <v>0.25477092887626496</v>
      </c>
      <c r="AN85" s="4">
        <f t="shared" si="59"/>
        <v>0.74522907112373504</v>
      </c>
    </row>
    <row r="86" spans="3:40" hidden="1" x14ac:dyDescent="0.3">
      <c r="C86" s="1">
        <f t="shared" si="29"/>
        <v>2025</v>
      </c>
      <c r="D86" s="52">
        <f>+'Fisico ASIG'!B86</f>
        <v>45992</v>
      </c>
      <c r="E86" s="1">
        <v>16</v>
      </c>
      <c r="F86" s="1" t="s">
        <v>45</v>
      </c>
      <c r="G86" s="5">
        <v>45992</v>
      </c>
      <c r="H86" s="2">
        <v>5376.7846249999993</v>
      </c>
      <c r="I86" s="2">
        <v>463.0749166666667</v>
      </c>
      <c r="J86" s="2">
        <v>349.91420833333336</v>
      </c>
      <c r="K86" s="2"/>
      <c r="L86" s="1">
        <v>0</v>
      </c>
      <c r="M86" s="35">
        <f t="shared" si="41"/>
        <v>6189.7737499999994</v>
      </c>
      <c r="N86" s="2">
        <v>12114.549416666661</v>
      </c>
      <c r="O86" s="2">
        <v>1005.1452499999997</v>
      </c>
      <c r="P86" s="2">
        <v>990.66000000000008</v>
      </c>
      <c r="Q86" s="2"/>
      <c r="R86" s="1">
        <v>0</v>
      </c>
      <c r="S86" s="35">
        <f t="shared" si="42"/>
        <v>14110.354666666661</v>
      </c>
      <c r="T86" s="2">
        <v>0</v>
      </c>
      <c r="U86" s="2">
        <v>407.88124999999997</v>
      </c>
      <c r="V86" s="2"/>
      <c r="W86" s="2">
        <v>804.1581249999997</v>
      </c>
      <c r="X86" s="45">
        <f t="shared" si="32"/>
        <v>1212.0393749999996</v>
      </c>
      <c r="Y86" s="2">
        <v>0</v>
      </c>
      <c r="Z86" s="2">
        <v>525</v>
      </c>
      <c r="AA86" s="2">
        <v>0</v>
      </c>
      <c r="AB86" s="45">
        <f t="shared" si="43"/>
        <v>525</v>
      </c>
      <c r="AC86" s="84">
        <f t="shared" si="27"/>
        <v>804.1581249999997</v>
      </c>
      <c r="AD86" s="39">
        <v>3000</v>
      </c>
      <c r="AE86" s="40">
        <f t="shared" ref="AE86:AE93" si="60">+N86-AD86</f>
        <v>9114.5494166666613</v>
      </c>
      <c r="AF86" s="1">
        <f t="shared" si="34"/>
        <v>13.200000000000001</v>
      </c>
      <c r="AG86" s="1">
        <f t="shared" si="35"/>
        <v>18</v>
      </c>
      <c r="AH86" s="41">
        <f t="shared" ref="AH86:AH93" si="61">+(AD86*AF86+AG86*AE86)/SUM(AD86:AE86)</f>
        <v>16.811346629187124</v>
      </c>
      <c r="AJ86">
        <v>1.1000000000000001</v>
      </c>
      <c r="AK86">
        <v>1.5</v>
      </c>
      <c r="AL86" s="32">
        <f t="shared" ref="AL86:AL93" si="62">+AD86+AE86</f>
        <v>12114.549416666661</v>
      </c>
      <c r="AM86" s="4">
        <f t="shared" ref="AM86:AM93" si="63">+AD86/AL86</f>
        <v>0.24763611891934939</v>
      </c>
      <c r="AN86" s="4">
        <f t="shared" ref="AN86:AN93" si="64">+AE86/AL86</f>
        <v>0.75236388108065066</v>
      </c>
    </row>
    <row r="87" spans="3:40" hidden="1" x14ac:dyDescent="0.3">
      <c r="C87" s="1">
        <f t="shared" si="29"/>
        <v>2025</v>
      </c>
      <c r="D87" s="52">
        <f>+'Fisico ASIG'!B87</f>
        <v>45992</v>
      </c>
      <c r="E87" s="1">
        <v>16</v>
      </c>
      <c r="F87" s="1" t="s">
        <v>46</v>
      </c>
      <c r="G87" s="5">
        <v>45993</v>
      </c>
      <c r="H87" s="2">
        <v>5806.4935416666667</v>
      </c>
      <c r="I87" s="2">
        <v>507.64500000000004</v>
      </c>
      <c r="J87" s="2">
        <v>363.61366666666675</v>
      </c>
      <c r="K87" s="2"/>
      <c r="L87" s="1">
        <v>0</v>
      </c>
      <c r="M87" s="35">
        <f t="shared" si="41"/>
        <v>6677.7522083333342</v>
      </c>
      <c r="N87" s="2">
        <v>11790.104166666664</v>
      </c>
      <c r="O87" s="2">
        <v>1123.9960833333332</v>
      </c>
      <c r="P87" s="2">
        <v>991.05725000000007</v>
      </c>
      <c r="Q87" s="2"/>
      <c r="R87" s="1">
        <v>0</v>
      </c>
      <c r="S87" s="35">
        <f t="shared" si="42"/>
        <v>13905.157499999998</v>
      </c>
      <c r="T87" s="2">
        <v>0</v>
      </c>
      <c r="U87" s="2">
        <v>266.423</v>
      </c>
      <c r="V87" s="2"/>
      <c r="W87" s="2">
        <v>1125.7110833333329</v>
      </c>
      <c r="X87" s="45">
        <f t="shared" si="32"/>
        <v>1392.1340833333329</v>
      </c>
      <c r="Y87" s="2">
        <v>0</v>
      </c>
      <c r="Z87" s="2">
        <v>525</v>
      </c>
      <c r="AA87" s="2">
        <v>0</v>
      </c>
      <c r="AB87" s="45">
        <f t="shared" si="43"/>
        <v>525</v>
      </c>
      <c r="AC87" s="84">
        <f t="shared" si="27"/>
        <v>1125.7110833333329</v>
      </c>
      <c r="AD87" s="39">
        <v>3000</v>
      </c>
      <c r="AE87" s="40">
        <f t="shared" si="60"/>
        <v>8790.1041666666642</v>
      </c>
      <c r="AF87" s="1">
        <f t="shared" si="34"/>
        <v>13.200000000000001</v>
      </c>
      <c r="AG87" s="1">
        <f t="shared" si="35"/>
        <v>18</v>
      </c>
      <c r="AH87" s="41">
        <f t="shared" si="61"/>
        <v>16.77863674515174</v>
      </c>
      <c r="AJ87">
        <v>1.1000000000000001</v>
      </c>
      <c r="AK87">
        <v>1.5</v>
      </c>
      <c r="AL87" s="32">
        <f t="shared" si="62"/>
        <v>11790.104166666664</v>
      </c>
      <c r="AM87" s="4">
        <f t="shared" si="63"/>
        <v>0.25445067809338701</v>
      </c>
      <c r="AN87" s="4">
        <f t="shared" si="64"/>
        <v>0.74554932190661305</v>
      </c>
    </row>
    <row r="88" spans="3:40" hidden="1" x14ac:dyDescent="0.3">
      <c r="C88" s="1">
        <f t="shared" si="29"/>
        <v>2025</v>
      </c>
      <c r="D88" s="52">
        <f>+'Fisico ASIG'!B88</f>
        <v>45992</v>
      </c>
      <c r="E88" s="1">
        <v>16</v>
      </c>
      <c r="F88" s="1" t="s">
        <v>47</v>
      </c>
      <c r="G88" s="5">
        <v>45994</v>
      </c>
      <c r="H88" s="2">
        <v>6116.5963333333311</v>
      </c>
      <c r="I88" s="2">
        <v>698.22291666666672</v>
      </c>
      <c r="J88" s="2">
        <v>397.52108333333331</v>
      </c>
      <c r="K88" s="2"/>
      <c r="L88" s="1">
        <v>0</v>
      </c>
      <c r="M88" s="35">
        <f t="shared" si="41"/>
        <v>7212.3403333333308</v>
      </c>
      <c r="N88" s="2">
        <v>11245.043833333337</v>
      </c>
      <c r="O88" s="2">
        <v>1231.5662916666665</v>
      </c>
      <c r="P88" s="2">
        <v>991.66000000000008</v>
      </c>
      <c r="Q88" s="2"/>
      <c r="R88" s="1">
        <v>0</v>
      </c>
      <c r="S88" s="35">
        <f t="shared" si="42"/>
        <v>13468.270125000003</v>
      </c>
      <c r="T88" s="2">
        <v>0</v>
      </c>
      <c r="U88" s="2">
        <v>282.37012500000003</v>
      </c>
      <c r="V88" s="2"/>
      <c r="W88" s="2">
        <v>1416.47325</v>
      </c>
      <c r="X88" s="45">
        <f t="shared" si="32"/>
        <v>1698.8433749999999</v>
      </c>
      <c r="Y88" s="2">
        <v>0</v>
      </c>
      <c r="Z88" s="2">
        <v>525</v>
      </c>
      <c r="AA88" s="2">
        <v>0</v>
      </c>
      <c r="AB88" s="45">
        <f t="shared" si="43"/>
        <v>525</v>
      </c>
      <c r="AC88" s="84">
        <f t="shared" si="27"/>
        <v>1416.47325</v>
      </c>
      <c r="AD88" s="39">
        <v>3000</v>
      </c>
      <c r="AE88" s="40">
        <f t="shared" si="60"/>
        <v>8245.0438333333368</v>
      </c>
      <c r="AF88" s="1">
        <f t="shared" si="34"/>
        <v>13.200000000000001</v>
      </c>
      <c r="AG88" s="1">
        <f t="shared" si="35"/>
        <v>18</v>
      </c>
      <c r="AH88" s="41">
        <f t="shared" si="61"/>
        <v>16.719435849835058</v>
      </c>
      <c r="AJ88">
        <v>1.1000000000000001</v>
      </c>
      <c r="AK88">
        <v>1.5</v>
      </c>
      <c r="AL88" s="32">
        <f t="shared" si="62"/>
        <v>11245.043833333337</v>
      </c>
      <c r="AM88" s="4">
        <f t="shared" si="63"/>
        <v>0.26678419795102909</v>
      </c>
      <c r="AN88" s="4">
        <f t="shared" si="64"/>
        <v>0.73321580204897085</v>
      </c>
    </row>
    <row r="89" spans="3:40" hidden="1" x14ac:dyDescent="0.3">
      <c r="C89" s="1">
        <f t="shared" si="29"/>
        <v>2025</v>
      </c>
      <c r="D89" s="52">
        <f>+'Fisico ASIG'!B89</f>
        <v>45992</v>
      </c>
      <c r="E89" s="1">
        <v>16</v>
      </c>
      <c r="F89" s="1" t="s">
        <v>48</v>
      </c>
      <c r="G89" s="5">
        <v>45995</v>
      </c>
      <c r="H89" s="2">
        <v>6648.795874999998</v>
      </c>
      <c r="I89" s="2">
        <v>793.36433333333332</v>
      </c>
      <c r="J89" s="2">
        <v>442.45295833333336</v>
      </c>
      <c r="K89" s="2"/>
      <c r="L89" s="1">
        <v>0</v>
      </c>
      <c r="M89" s="35">
        <f t="shared" si="41"/>
        <v>7884.6131666666643</v>
      </c>
      <c r="N89" s="2">
        <v>11181.850916666672</v>
      </c>
      <c r="O89" s="2">
        <v>1200.9342083333333</v>
      </c>
      <c r="P89" s="2">
        <v>991.66000000000008</v>
      </c>
      <c r="Q89" s="2"/>
      <c r="R89" s="1">
        <v>0</v>
      </c>
      <c r="S89" s="35">
        <f t="shared" si="42"/>
        <v>13374.445125000006</v>
      </c>
      <c r="T89" s="2">
        <v>0</v>
      </c>
      <c r="U89" s="2">
        <v>419.63670833333327</v>
      </c>
      <c r="V89" s="2"/>
      <c r="W89" s="2">
        <v>1632.2857500000002</v>
      </c>
      <c r="X89" s="45">
        <f t="shared" si="32"/>
        <v>2051.9224583333335</v>
      </c>
      <c r="Y89" s="2">
        <v>0</v>
      </c>
      <c r="Z89" s="2">
        <v>525</v>
      </c>
      <c r="AA89" s="2">
        <v>0</v>
      </c>
      <c r="AB89" s="45">
        <f t="shared" si="43"/>
        <v>525</v>
      </c>
      <c r="AC89" s="84">
        <f t="shared" ref="AC89:AC152" si="65">+T89+V89+W89</f>
        <v>1632.2857500000002</v>
      </c>
      <c r="AD89" s="39">
        <v>3000</v>
      </c>
      <c r="AE89" s="40">
        <f t="shared" si="60"/>
        <v>8181.8509166666718</v>
      </c>
      <c r="AF89" s="1">
        <f t="shared" si="34"/>
        <v>13.200000000000001</v>
      </c>
      <c r="AG89" s="1">
        <f t="shared" si="35"/>
        <v>18</v>
      </c>
      <c r="AH89" s="41">
        <f t="shared" si="61"/>
        <v>16.712198891997691</v>
      </c>
      <c r="AJ89">
        <v>1.1000000000000001</v>
      </c>
      <c r="AK89">
        <v>1.5</v>
      </c>
      <c r="AL89" s="32">
        <f t="shared" si="62"/>
        <v>11181.850916666672</v>
      </c>
      <c r="AM89" s="4">
        <f t="shared" si="63"/>
        <v>0.26829189750048149</v>
      </c>
      <c r="AN89" s="4">
        <f t="shared" si="64"/>
        <v>0.73170810249951845</v>
      </c>
    </row>
    <row r="90" spans="3:40" hidden="1" x14ac:dyDescent="0.3">
      <c r="C90" s="1">
        <f t="shared" ref="C90:C122" si="66">YEAR(G90)</f>
        <v>2025</v>
      </c>
      <c r="D90" s="52">
        <f>+'Fisico ASIG'!B90</f>
        <v>45992</v>
      </c>
      <c r="E90" s="1">
        <v>16</v>
      </c>
      <c r="F90" s="1" t="s">
        <v>49</v>
      </c>
      <c r="G90" s="5">
        <v>45996</v>
      </c>
      <c r="H90" s="2">
        <v>7243.5381666666644</v>
      </c>
      <c r="I90" s="2">
        <v>786.63725000000011</v>
      </c>
      <c r="J90" s="2">
        <v>396.56141666666673</v>
      </c>
      <c r="K90" s="2"/>
      <c r="L90" s="1">
        <v>0</v>
      </c>
      <c r="M90" s="35">
        <f t="shared" si="41"/>
        <v>8426.7368333333307</v>
      </c>
      <c r="N90" s="2">
        <v>12007.342583333333</v>
      </c>
      <c r="O90" s="2">
        <v>1177.3520416666665</v>
      </c>
      <c r="P90" s="2">
        <v>986.66000000000008</v>
      </c>
      <c r="Q90" s="2"/>
      <c r="R90" s="1">
        <v>0</v>
      </c>
      <c r="S90" s="35">
        <f t="shared" si="42"/>
        <v>14171.354625</v>
      </c>
      <c r="T90" s="2">
        <v>0</v>
      </c>
      <c r="U90" s="2">
        <v>323.84787499999999</v>
      </c>
      <c r="V90" s="2"/>
      <c r="W90" s="2">
        <v>1490.2843750000004</v>
      </c>
      <c r="X90" s="45">
        <f t="shared" ref="X90:X153" si="67">SUM(T90:W90)</f>
        <v>1814.1322500000003</v>
      </c>
      <c r="Y90" s="2">
        <v>0</v>
      </c>
      <c r="Z90" s="2">
        <v>525</v>
      </c>
      <c r="AA90" s="2">
        <v>0</v>
      </c>
      <c r="AB90" s="45">
        <f t="shared" si="43"/>
        <v>525</v>
      </c>
      <c r="AC90" s="84">
        <f t="shared" si="65"/>
        <v>1490.2843750000004</v>
      </c>
      <c r="AD90" s="39">
        <v>3000</v>
      </c>
      <c r="AE90" s="40">
        <f t="shared" si="60"/>
        <v>9007.3425833333331</v>
      </c>
      <c r="AF90" s="1">
        <f t="shared" ref="AF90:AF93" si="68">12*AJ90</f>
        <v>13.200000000000001</v>
      </c>
      <c r="AG90" s="1">
        <f t="shared" ref="AG90:AG93" si="69">12*AK90</f>
        <v>18</v>
      </c>
      <c r="AH90" s="41">
        <f t="shared" si="61"/>
        <v>16.800733809328655</v>
      </c>
      <c r="AJ90">
        <v>1.1000000000000001</v>
      </c>
      <c r="AK90">
        <v>1.5</v>
      </c>
      <c r="AL90" s="32">
        <f t="shared" si="62"/>
        <v>12007.342583333333</v>
      </c>
      <c r="AM90" s="4">
        <f t="shared" si="63"/>
        <v>0.24984712305653031</v>
      </c>
      <c r="AN90" s="4">
        <f t="shared" si="64"/>
        <v>0.75015287694346966</v>
      </c>
    </row>
    <row r="91" spans="3:40" hidden="1" x14ac:dyDescent="0.3">
      <c r="C91" s="1">
        <f t="shared" si="66"/>
        <v>2025</v>
      </c>
      <c r="D91" s="52">
        <f>+'Fisico ASIG'!B91</f>
        <v>45992</v>
      </c>
      <c r="E91" s="1">
        <v>6</v>
      </c>
      <c r="F91" s="1" t="s">
        <v>43</v>
      </c>
      <c r="G91" s="5">
        <v>45997</v>
      </c>
      <c r="H91" s="2">
        <v>6620.9236666666684</v>
      </c>
      <c r="I91" s="2">
        <v>719.26087499999994</v>
      </c>
      <c r="J91" s="2">
        <v>342.445875</v>
      </c>
      <c r="K91" s="2"/>
      <c r="L91" s="1">
        <v>0</v>
      </c>
      <c r="M91" s="35">
        <f t="shared" si="41"/>
        <v>7682.6304166666687</v>
      </c>
      <c r="N91" s="2">
        <v>11337.525125000004</v>
      </c>
      <c r="O91" s="2">
        <v>1014.8922083333333</v>
      </c>
      <c r="P91" s="2">
        <v>983.66000000000008</v>
      </c>
      <c r="Q91" s="2"/>
      <c r="R91" s="1">
        <v>0</v>
      </c>
      <c r="S91" s="35">
        <f t="shared" si="42"/>
        <v>13336.077333333336</v>
      </c>
      <c r="T91" s="2">
        <v>0</v>
      </c>
      <c r="U91" s="2">
        <v>428.45387499999998</v>
      </c>
      <c r="V91" s="2"/>
      <c r="W91" s="2">
        <v>1065.3023750000002</v>
      </c>
      <c r="X91" s="45">
        <f t="shared" si="67"/>
        <v>1493.7562500000001</v>
      </c>
      <c r="Y91" s="2">
        <v>0</v>
      </c>
      <c r="Z91" s="2">
        <v>525</v>
      </c>
      <c r="AA91" s="2">
        <v>0</v>
      </c>
      <c r="AB91" s="45">
        <f t="shared" si="43"/>
        <v>525</v>
      </c>
      <c r="AC91" s="84">
        <f t="shared" si="65"/>
        <v>1065.3023750000002</v>
      </c>
      <c r="AD91" s="39">
        <v>3000</v>
      </c>
      <c r="AE91" s="40">
        <f t="shared" si="60"/>
        <v>8337.5251250000038</v>
      </c>
      <c r="AF91" s="1">
        <f t="shared" si="68"/>
        <v>13.200000000000001</v>
      </c>
      <c r="AG91" s="1">
        <f t="shared" si="69"/>
        <v>18</v>
      </c>
      <c r="AH91" s="41">
        <f t="shared" si="61"/>
        <v>16.729881535764182</v>
      </c>
      <c r="AJ91">
        <v>1.1000000000000001</v>
      </c>
      <c r="AK91">
        <v>1.5</v>
      </c>
      <c r="AL91" s="32">
        <f t="shared" si="62"/>
        <v>11337.525125000004</v>
      </c>
      <c r="AM91" s="4">
        <f t="shared" si="63"/>
        <v>0.26460801338246198</v>
      </c>
      <c r="AN91" s="4">
        <f t="shared" si="64"/>
        <v>0.73539198661753802</v>
      </c>
    </row>
    <row r="92" spans="3:40" hidden="1" x14ac:dyDescent="0.3">
      <c r="C92" s="1">
        <f t="shared" si="66"/>
        <v>2025</v>
      </c>
      <c r="D92" s="52">
        <f>+'Fisico ASIG'!B92</f>
        <v>45992</v>
      </c>
      <c r="E92" s="1">
        <v>4</v>
      </c>
      <c r="F92" s="1" t="s">
        <v>44</v>
      </c>
      <c r="G92" s="5">
        <v>45998</v>
      </c>
      <c r="H92" s="2">
        <v>4984.4497916666669</v>
      </c>
      <c r="I92" s="2">
        <v>589.93408333333343</v>
      </c>
      <c r="J92" s="2">
        <v>305.65604166666668</v>
      </c>
      <c r="K92" s="2"/>
      <c r="L92" s="1">
        <v>0</v>
      </c>
      <c r="M92" s="35">
        <f t="shared" si="41"/>
        <v>5880.0399166666675</v>
      </c>
      <c r="N92" s="2">
        <v>11784.659166666666</v>
      </c>
      <c r="O92" s="2">
        <v>920.25274999999988</v>
      </c>
      <c r="P92" s="2">
        <v>984.13995833333342</v>
      </c>
      <c r="Q92" s="2"/>
      <c r="R92" s="1">
        <v>0</v>
      </c>
      <c r="S92" s="35">
        <f t="shared" si="42"/>
        <v>13689.051874999999</v>
      </c>
      <c r="T92" s="2">
        <v>0</v>
      </c>
      <c r="U92" s="2">
        <v>334.77445833333337</v>
      </c>
      <c r="V92" s="2"/>
      <c r="W92" s="2">
        <v>757.16516666666666</v>
      </c>
      <c r="X92" s="45">
        <f t="shared" si="67"/>
        <v>1091.939625</v>
      </c>
      <c r="Y92" s="2">
        <v>0</v>
      </c>
      <c r="Z92" s="2">
        <v>525</v>
      </c>
      <c r="AA92" s="2">
        <v>0</v>
      </c>
      <c r="AB92" s="45">
        <f t="shared" si="43"/>
        <v>525</v>
      </c>
      <c r="AC92" s="84">
        <f t="shared" si="65"/>
        <v>757.16516666666666</v>
      </c>
      <c r="AD92" s="39">
        <v>3000</v>
      </c>
      <c r="AE92" s="40">
        <f t="shared" si="60"/>
        <v>8784.6591666666664</v>
      </c>
      <c r="AF92" s="1">
        <f t="shared" si="68"/>
        <v>13.200000000000001</v>
      </c>
      <c r="AG92" s="1">
        <f t="shared" si="69"/>
        <v>18</v>
      </c>
      <c r="AH92" s="41">
        <f t="shared" si="61"/>
        <v>16.778072424807082</v>
      </c>
      <c r="AJ92">
        <v>1.1000000000000001</v>
      </c>
      <c r="AK92">
        <v>1.5</v>
      </c>
      <c r="AL92" s="32">
        <f t="shared" si="62"/>
        <v>11784.659166666666</v>
      </c>
      <c r="AM92" s="4">
        <f t="shared" si="63"/>
        <v>0.25456824483185803</v>
      </c>
      <c r="AN92" s="4">
        <f t="shared" si="64"/>
        <v>0.74543175516814197</v>
      </c>
    </row>
    <row r="93" spans="3:40" hidden="1" x14ac:dyDescent="0.3">
      <c r="C93" s="1">
        <f t="shared" si="66"/>
        <v>2025</v>
      </c>
      <c r="D93" s="52">
        <f>+'Fisico ASIG'!B93</f>
        <v>45992</v>
      </c>
      <c r="E93" s="1">
        <v>4</v>
      </c>
      <c r="F93" s="1" t="s">
        <v>45</v>
      </c>
      <c r="G93" s="5">
        <v>45999</v>
      </c>
      <c r="H93" s="2">
        <v>4923.9359166666654</v>
      </c>
      <c r="I93" s="2">
        <v>576.54837500000008</v>
      </c>
      <c r="J93" s="2">
        <v>273.61766666666671</v>
      </c>
      <c r="K93" s="2"/>
      <c r="L93" s="1">
        <v>0</v>
      </c>
      <c r="M93" s="35">
        <f t="shared" si="41"/>
        <v>5774.1019583333327</v>
      </c>
      <c r="N93" s="2">
        <v>12267.587958333332</v>
      </c>
      <c r="O93" s="2">
        <v>1169.502583333333</v>
      </c>
      <c r="P93" s="2">
        <v>936.49533333333341</v>
      </c>
      <c r="Q93" s="2"/>
      <c r="R93" s="1">
        <v>0</v>
      </c>
      <c r="S93" s="35">
        <f t="shared" si="42"/>
        <v>14373.585874999999</v>
      </c>
      <c r="T93" s="2">
        <v>0</v>
      </c>
      <c r="U93" s="2">
        <v>238.20620833333339</v>
      </c>
      <c r="V93" s="2"/>
      <c r="W93" s="2">
        <v>1009.8657916666671</v>
      </c>
      <c r="X93" s="45">
        <f t="shared" si="67"/>
        <v>1248.0720000000006</v>
      </c>
      <c r="Y93" s="2">
        <v>0</v>
      </c>
      <c r="Z93" s="2">
        <v>525</v>
      </c>
      <c r="AA93" s="2">
        <v>0</v>
      </c>
      <c r="AB93" s="45">
        <f t="shared" si="43"/>
        <v>525</v>
      </c>
      <c r="AC93" s="84">
        <f t="shared" si="65"/>
        <v>1009.8657916666671</v>
      </c>
      <c r="AD93" s="39">
        <v>3000</v>
      </c>
      <c r="AE93" s="40">
        <f t="shared" si="60"/>
        <v>9267.5879583333317</v>
      </c>
      <c r="AF93" s="1">
        <f t="shared" si="68"/>
        <v>13.200000000000001</v>
      </c>
      <c r="AG93" s="1">
        <f t="shared" si="69"/>
        <v>18</v>
      </c>
      <c r="AH93" s="41">
        <f t="shared" si="61"/>
        <v>16.826175116990449</v>
      </c>
      <c r="AJ93">
        <v>1.1000000000000001</v>
      </c>
      <c r="AK93">
        <v>1.5</v>
      </c>
      <c r="AL93" s="32">
        <f t="shared" si="62"/>
        <v>12267.587958333332</v>
      </c>
      <c r="AM93" s="4">
        <f t="shared" si="63"/>
        <v>0.2445468506269898</v>
      </c>
      <c r="AN93" s="4">
        <f t="shared" si="64"/>
        <v>0.75545314937301022</v>
      </c>
    </row>
    <row r="94" spans="3:40" hidden="1" x14ac:dyDescent="0.3">
      <c r="C94" s="1">
        <f t="shared" si="66"/>
        <v>2025</v>
      </c>
      <c r="D94" s="52">
        <f>+'Fisico ASIG'!B94</f>
        <v>45992</v>
      </c>
      <c r="E94" s="1">
        <v>16</v>
      </c>
      <c r="F94" s="1" t="s">
        <v>46</v>
      </c>
      <c r="G94" s="5">
        <v>46000</v>
      </c>
      <c r="H94" s="2">
        <v>5658.0073749999974</v>
      </c>
      <c r="I94" s="2">
        <v>592.79475000000002</v>
      </c>
      <c r="J94" s="2">
        <v>304.76541666666668</v>
      </c>
      <c r="K94" s="2"/>
      <c r="L94" s="1">
        <v>0</v>
      </c>
      <c r="M94" s="35">
        <f t="shared" si="41"/>
        <v>6555.5675416666645</v>
      </c>
      <c r="N94" s="2">
        <v>12253.627666666671</v>
      </c>
      <c r="O94" s="2">
        <v>1325.1090833333333</v>
      </c>
      <c r="P94" s="2">
        <v>984.39841666666666</v>
      </c>
      <c r="Q94" s="2"/>
      <c r="R94" s="1">
        <v>0</v>
      </c>
      <c r="S94" s="35">
        <f t="shared" si="42"/>
        <v>14563.135166666671</v>
      </c>
      <c r="T94" s="2">
        <v>0</v>
      </c>
      <c r="U94" s="2">
        <v>188.76675</v>
      </c>
      <c r="V94" s="2"/>
      <c r="W94" s="2">
        <v>1172.0859583333336</v>
      </c>
      <c r="X94" s="45">
        <f t="shared" si="67"/>
        <v>1360.8527083333336</v>
      </c>
      <c r="Y94" s="2">
        <v>0</v>
      </c>
      <c r="Z94" s="2">
        <v>525</v>
      </c>
      <c r="AA94" s="2">
        <v>0</v>
      </c>
      <c r="AB94" s="45">
        <f t="shared" si="43"/>
        <v>525</v>
      </c>
      <c r="AC94" s="84">
        <f t="shared" si="65"/>
        <v>1172.0859583333336</v>
      </c>
      <c r="AD94" s="39">
        <v>3000</v>
      </c>
      <c r="AE94" s="40">
        <f t="shared" ref="AE94:AE100" si="70">+N94-AD94</f>
        <v>9253.6276666666708</v>
      </c>
      <c r="AF94" s="1">
        <f t="shared" ref="AF94:AF100" si="71">12*AJ94</f>
        <v>13.200000000000001</v>
      </c>
      <c r="AG94" s="1">
        <f t="shared" ref="AG94:AG100" si="72">12*AK94</f>
        <v>18</v>
      </c>
      <c r="AH94" s="41">
        <f t="shared" ref="AH94:AH100" si="73">+(AD94*AF94+AG94*AE94)/SUM(AD94:AE94)</f>
        <v>16.82483780381445</v>
      </c>
      <c r="AJ94">
        <v>1.1000000000000001</v>
      </c>
      <c r="AK94">
        <v>1.5</v>
      </c>
      <c r="AL94" s="32">
        <f t="shared" ref="AL94:AL100" si="74">+AD94+AE94</f>
        <v>12253.627666666671</v>
      </c>
      <c r="AM94" s="4">
        <f t="shared" ref="AM94:AM100" si="75">+AD94/AL94</f>
        <v>0.24482545753865589</v>
      </c>
      <c r="AN94" s="4">
        <f t="shared" ref="AN94:AN100" si="76">+AE94/AL94</f>
        <v>0.75517454246134408</v>
      </c>
    </row>
    <row r="95" spans="3:40" hidden="1" x14ac:dyDescent="0.3">
      <c r="C95" s="1">
        <f t="shared" si="66"/>
        <v>2025</v>
      </c>
      <c r="D95" s="52">
        <f>+'Fisico ASIG'!B95</f>
        <v>45992</v>
      </c>
      <c r="E95" s="1">
        <v>16</v>
      </c>
      <c r="F95" s="1" t="s">
        <v>47</v>
      </c>
      <c r="G95" s="5">
        <v>46001</v>
      </c>
      <c r="H95" s="2">
        <v>6457.6656666666668</v>
      </c>
      <c r="I95" s="2">
        <v>751.5687916666667</v>
      </c>
      <c r="J95" s="2">
        <v>347.62237500000003</v>
      </c>
      <c r="K95" s="2"/>
      <c r="L95" s="1">
        <v>0</v>
      </c>
      <c r="M95" s="35">
        <f t="shared" si="41"/>
        <v>7556.8568333333333</v>
      </c>
      <c r="N95" s="2">
        <v>12320.577458333337</v>
      </c>
      <c r="O95" s="2">
        <v>1168.8230416666665</v>
      </c>
      <c r="P95" s="2">
        <v>983.92900000000009</v>
      </c>
      <c r="Q95" s="2"/>
      <c r="R95" s="1">
        <v>0</v>
      </c>
      <c r="S95" s="35">
        <f t="shared" si="42"/>
        <v>14473.329500000003</v>
      </c>
      <c r="T95" s="2">
        <v>0</v>
      </c>
      <c r="U95" s="2">
        <v>191.53829166666665</v>
      </c>
      <c r="V95" s="2"/>
      <c r="W95" s="2">
        <v>1147.2692916666665</v>
      </c>
      <c r="X95" s="45">
        <f t="shared" si="67"/>
        <v>1338.8075833333332</v>
      </c>
      <c r="Y95" s="2">
        <v>0</v>
      </c>
      <c r="Z95" s="2">
        <v>525</v>
      </c>
      <c r="AA95" s="2">
        <v>0</v>
      </c>
      <c r="AB95" s="45">
        <f t="shared" si="43"/>
        <v>525</v>
      </c>
      <c r="AC95" s="84">
        <f t="shared" si="65"/>
        <v>1147.2692916666665</v>
      </c>
      <c r="AD95" s="39">
        <v>3000</v>
      </c>
      <c r="AE95" s="40">
        <f t="shared" si="70"/>
        <v>9320.5774583333368</v>
      </c>
      <c r="AF95" s="1">
        <f t="shared" si="71"/>
        <v>13.200000000000001</v>
      </c>
      <c r="AG95" s="1">
        <f t="shared" si="72"/>
        <v>18</v>
      </c>
      <c r="AH95" s="41">
        <f t="shared" si="73"/>
        <v>16.831223613609101</v>
      </c>
      <c r="AJ95">
        <v>1.1000000000000001</v>
      </c>
      <c r="AK95">
        <v>1.5</v>
      </c>
      <c r="AL95" s="32">
        <f t="shared" si="74"/>
        <v>12320.577458333337</v>
      </c>
      <c r="AM95" s="4">
        <f t="shared" si="75"/>
        <v>0.24349508049810389</v>
      </c>
      <c r="AN95" s="4">
        <f t="shared" si="76"/>
        <v>0.75650491950189613</v>
      </c>
    </row>
    <row r="96" spans="3:40" hidden="1" x14ac:dyDescent="0.3">
      <c r="C96" s="1">
        <f t="shared" si="66"/>
        <v>2025</v>
      </c>
      <c r="D96" s="52">
        <f>+'Fisico ASIG'!B96</f>
        <v>45992</v>
      </c>
      <c r="E96" s="1">
        <v>16</v>
      </c>
      <c r="F96" s="1" t="s">
        <v>48</v>
      </c>
      <c r="G96" s="5">
        <v>46002</v>
      </c>
      <c r="H96" s="2">
        <v>6618.6329166666683</v>
      </c>
      <c r="I96" s="2">
        <v>864.0944166666668</v>
      </c>
      <c r="J96" s="2">
        <v>354.23474999999996</v>
      </c>
      <c r="K96" s="2"/>
      <c r="L96" s="1">
        <v>0</v>
      </c>
      <c r="M96" s="35">
        <f t="shared" si="41"/>
        <v>7836.9620833333347</v>
      </c>
      <c r="N96" s="2">
        <v>12390.103708333334</v>
      </c>
      <c r="O96" s="2">
        <v>1209.4585416666666</v>
      </c>
      <c r="P96" s="2">
        <v>983.86558333333335</v>
      </c>
      <c r="Q96" s="2"/>
      <c r="R96" s="1">
        <v>0</v>
      </c>
      <c r="S96" s="35">
        <f t="shared" si="42"/>
        <v>14583.427833333335</v>
      </c>
      <c r="T96" s="2">
        <v>0</v>
      </c>
      <c r="U96" s="2">
        <v>191.08441666666667</v>
      </c>
      <c r="V96" s="2"/>
      <c r="W96" s="2">
        <v>1298.2111666666669</v>
      </c>
      <c r="X96" s="45">
        <f t="shared" si="67"/>
        <v>1489.2955833333335</v>
      </c>
      <c r="Y96" s="2">
        <v>0</v>
      </c>
      <c r="Z96" s="2">
        <v>525</v>
      </c>
      <c r="AA96" s="2">
        <v>0</v>
      </c>
      <c r="AB96" s="45">
        <f t="shared" si="43"/>
        <v>525</v>
      </c>
      <c r="AC96" s="84">
        <f t="shared" si="65"/>
        <v>1298.2111666666669</v>
      </c>
      <c r="AD96" s="39">
        <v>3000</v>
      </c>
      <c r="AE96" s="40">
        <f t="shared" si="70"/>
        <v>9390.103708333334</v>
      </c>
      <c r="AF96" s="1">
        <f t="shared" si="71"/>
        <v>13.200000000000001</v>
      </c>
      <c r="AG96" s="1">
        <f t="shared" si="72"/>
        <v>18</v>
      </c>
      <c r="AH96" s="41">
        <f t="shared" si="73"/>
        <v>16.83778212523638</v>
      </c>
      <c r="AJ96">
        <v>1.1000000000000001</v>
      </c>
      <c r="AK96">
        <v>1.5</v>
      </c>
      <c r="AL96" s="32">
        <f t="shared" si="74"/>
        <v>12390.103708333334</v>
      </c>
      <c r="AM96" s="4">
        <f t="shared" si="75"/>
        <v>0.24212872390908727</v>
      </c>
      <c r="AN96" s="4">
        <f t="shared" si="76"/>
        <v>0.75787127609091276</v>
      </c>
    </row>
    <row r="97" spans="3:40" hidden="1" x14ac:dyDescent="0.3">
      <c r="C97" s="1">
        <f t="shared" si="66"/>
        <v>2025</v>
      </c>
      <c r="D97" s="52">
        <f>+'Fisico ASIG'!B97</f>
        <v>45992</v>
      </c>
      <c r="E97" s="1">
        <v>16</v>
      </c>
      <c r="F97" s="1" t="s">
        <v>49</v>
      </c>
      <c r="G97" s="5">
        <v>46003</v>
      </c>
      <c r="H97" s="2">
        <v>6061.0708750000022</v>
      </c>
      <c r="I97" s="2">
        <v>604.54579166666667</v>
      </c>
      <c r="J97" s="2">
        <v>343.58850000000007</v>
      </c>
      <c r="K97" s="2"/>
      <c r="L97" s="1">
        <v>0</v>
      </c>
      <c r="M97" s="35">
        <f t="shared" si="41"/>
        <v>7009.2051666666684</v>
      </c>
      <c r="N97" s="2">
        <v>12270.679291666667</v>
      </c>
      <c r="O97" s="2">
        <v>1104.3891666666666</v>
      </c>
      <c r="P97" s="2">
        <v>992.20091666666667</v>
      </c>
      <c r="Q97" s="2"/>
      <c r="R97" s="1">
        <v>0</v>
      </c>
      <c r="S97" s="35">
        <f t="shared" si="42"/>
        <v>14367.269375</v>
      </c>
      <c r="T97" s="2">
        <v>0</v>
      </c>
      <c r="U97" s="2">
        <v>189.56454166666671</v>
      </c>
      <c r="V97" s="2"/>
      <c r="W97" s="2">
        <v>1677.1640000000004</v>
      </c>
      <c r="X97" s="45">
        <f t="shared" si="67"/>
        <v>1866.7285416666671</v>
      </c>
      <c r="Y97" s="2">
        <v>0</v>
      </c>
      <c r="Z97" s="2">
        <v>525</v>
      </c>
      <c r="AA97" s="2">
        <v>0</v>
      </c>
      <c r="AB97" s="45">
        <f t="shared" si="43"/>
        <v>525</v>
      </c>
      <c r="AC97" s="84">
        <f t="shared" si="65"/>
        <v>1677.1640000000004</v>
      </c>
      <c r="AD97" s="39">
        <v>3000</v>
      </c>
      <c r="AE97" s="40">
        <f t="shared" si="70"/>
        <v>9270.6792916666673</v>
      </c>
      <c r="AF97" s="1">
        <f t="shared" si="71"/>
        <v>13.200000000000001</v>
      </c>
      <c r="AG97" s="1">
        <f t="shared" si="72"/>
        <v>18</v>
      </c>
      <c r="AH97" s="41">
        <f t="shared" si="73"/>
        <v>16.826470836885175</v>
      </c>
      <c r="AJ97">
        <v>1.1000000000000001</v>
      </c>
      <c r="AK97">
        <v>1.5</v>
      </c>
      <c r="AL97" s="32">
        <f t="shared" si="74"/>
        <v>12270.679291666667</v>
      </c>
      <c r="AM97" s="4">
        <f t="shared" si="75"/>
        <v>0.24448524231558857</v>
      </c>
      <c r="AN97" s="4">
        <f t="shared" si="76"/>
        <v>0.75551475768441145</v>
      </c>
    </row>
    <row r="98" spans="3:40" hidden="1" x14ac:dyDescent="0.3">
      <c r="C98" s="1">
        <f t="shared" si="66"/>
        <v>2025</v>
      </c>
      <c r="D98" s="52">
        <f>+'Fisico ASIG'!B98</f>
        <v>45992</v>
      </c>
      <c r="E98" s="1">
        <v>6</v>
      </c>
      <c r="F98" s="1" t="s">
        <v>43</v>
      </c>
      <c r="G98" s="5">
        <v>46004</v>
      </c>
      <c r="H98" s="2">
        <v>5755.7497916666689</v>
      </c>
      <c r="I98" s="2">
        <v>630.54716666666673</v>
      </c>
      <c r="J98" s="2">
        <v>344.717375</v>
      </c>
      <c r="K98" s="2"/>
      <c r="L98" s="1">
        <v>0</v>
      </c>
      <c r="M98" s="35">
        <f t="shared" si="41"/>
        <v>6731.0143333333363</v>
      </c>
      <c r="N98" s="2">
        <v>12116.732666666667</v>
      </c>
      <c r="O98" s="2">
        <v>855.4757083333335</v>
      </c>
      <c r="P98" s="2">
        <v>908.58483333333334</v>
      </c>
      <c r="Q98" s="2"/>
      <c r="R98" s="1">
        <v>0</v>
      </c>
      <c r="S98" s="35">
        <f t="shared" si="42"/>
        <v>13880.793208333333</v>
      </c>
      <c r="T98" s="2">
        <v>0</v>
      </c>
      <c r="U98" s="2">
        <v>190.36841666666666</v>
      </c>
      <c r="V98" s="2"/>
      <c r="W98" s="2">
        <v>1724.8161250000003</v>
      </c>
      <c r="X98" s="45">
        <f t="shared" si="67"/>
        <v>1915.184541666667</v>
      </c>
      <c r="Y98" s="2">
        <v>0</v>
      </c>
      <c r="Z98" s="2">
        <v>525</v>
      </c>
      <c r="AA98" s="2">
        <v>0</v>
      </c>
      <c r="AB98" s="45">
        <f t="shared" si="43"/>
        <v>525</v>
      </c>
      <c r="AC98" s="84">
        <f t="shared" si="65"/>
        <v>1724.8161250000003</v>
      </c>
      <c r="AD98" s="39">
        <v>3000</v>
      </c>
      <c r="AE98" s="40">
        <f t="shared" si="70"/>
        <v>9116.7326666666668</v>
      </c>
      <c r="AF98" s="1">
        <f t="shared" si="71"/>
        <v>13.200000000000001</v>
      </c>
      <c r="AG98" s="1">
        <f t="shared" si="72"/>
        <v>18</v>
      </c>
      <c r="AH98" s="41">
        <f t="shared" si="73"/>
        <v>16.811560806353793</v>
      </c>
      <c r="AJ98">
        <v>1.1000000000000001</v>
      </c>
      <c r="AK98">
        <v>1.5</v>
      </c>
      <c r="AL98" s="32">
        <f t="shared" si="74"/>
        <v>12116.732666666667</v>
      </c>
      <c r="AM98" s="4">
        <f t="shared" si="75"/>
        <v>0.24759149867629332</v>
      </c>
      <c r="AN98" s="4">
        <f t="shared" si="76"/>
        <v>0.75240850132370674</v>
      </c>
    </row>
    <row r="99" spans="3:40" hidden="1" x14ac:dyDescent="0.3">
      <c r="C99" s="1">
        <f t="shared" si="66"/>
        <v>2025</v>
      </c>
      <c r="D99" s="52">
        <f>+'Fisico ASIG'!B99</f>
        <v>45992</v>
      </c>
      <c r="E99" s="1">
        <v>4</v>
      </c>
      <c r="F99" s="1" t="s">
        <v>44</v>
      </c>
      <c r="G99" s="5">
        <v>46005</v>
      </c>
      <c r="H99" s="2">
        <v>5092.4794999999986</v>
      </c>
      <c r="I99" s="2">
        <v>612.1303333333334</v>
      </c>
      <c r="J99" s="2">
        <v>312.70366666666666</v>
      </c>
      <c r="K99" s="2"/>
      <c r="L99" s="1">
        <v>0</v>
      </c>
      <c r="M99" s="35">
        <f t="shared" si="41"/>
        <v>6017.3134999999984</v>
      </c>
      <c r="N99" s="2">
        <v>12446.437125000002</v>
      </c>
      <c r="O99" s="2">
        <v>720.9853333333333</v>
      </c>
      <c r="P99" s="2">
        <v>965.6781666666667</v>
      </c>
      <c r="Q99" s="2"/>
      <c r="R99" s="1">
        <v>0</v>
      </c>
      <c r="S99" s="35">
        <f t="shared" si="42"/>
        <v>14133.100625000003</v>
      </c>
      <c r="T99" s="2">
        <v>0</v>
      </c>
      <c r="U99" s="2">
        <v>189.32095833333327</v>
      </c>
      <c r="V99" s="2"/>
      <c r="W99" s="2">
        <v>1522.0810000000004</v>
      </c>
      <c r="X99" s="45">
        <f t="shared" si="67"/>
        <v>1711.4019583333336</v>
      </c>
      <c r="Y99" s="2">
        <v>0</v>
      </c>
      <c r="Z99" s="2">
        <v>525</v>
      </c>
      <c r="AA99" s="2">
        <v>0</v>
      </c>
      <c r="AB99" s="45">
        <f t="shared" si="43"/>
        <v>525</v>
      </c>
      <c r="AC99" s="84">
        <f t="shared" si="65"/>
        <v>1522.0810000000004</v>
      </c>
      <c r="AD99" s="39">
        <v>3000</v>
      </c>
      <c r="AE99" s="40">
        <f t="shared" si="70"/>
        <v>9446.4371250000022</v>
      </c>
      <c r="AF99" s="1">
        <f t="shared" si="71"/>
        <v>13.200000000000001</v>
      </c>
      <c r="AG99" s="1">
        <f t="shared" si="72"/>
        <v>18</v>
      </c>
      <c r="AH99" s="41">
        <f t="shared" si="73"/>
        <v>16.843042401983773</v>
      </c>
      <c r="AJ99">
        <v>1.1000000000000001</v>
      </c>
      <c r="AK99">
        <v>1.5</v>
      </c>
      <c r="AL99" s="32">
        <f t="shared" si="74"/>
        <v>12446.437125000002</v>
      </c>
      <c r="AM99" s="4">
        <f t="shared" si="75"/>
        <v>0.24103283292004735</v>
      </c>
      <c r="AN99" s="4">
        <f t="shared" si="76"/>
        <v>0.7589671670799526</v>
      </c>
    </row>
    <row r="100" spans="3:40" hidden="1" x14ac:dyDescent="0.3">
      <c r="C100" s="1">
        <f t="shared" si="66"/>
        <v>2025</v>
      </c>
      <c r="D100" s="52">
        <f>+'Fisico ASIG'!B100</f>
        <v>45992</v>
      </c>
      <c r="E100" s="1">
        <v>16</v>
      </c>
      <c r="F100" s="1" t="s">
        <v>45</v>
      </c>
      <c r="G100" s="5">
        <v>46006</v>
      </c>
      <c r="H100" s="2">
        <v>5707.0602500000005</v>
      </c>
      <c r="I100" s="2">
        <v>575.88279166666678</v>
      </c>
      <c r="J100" s="2">
        <v>324.13566666666668</v>
      </c>
      <c r="K100" s="2"/>
      <c r="L100" s="1">
        <v>0</v>
      </c>
      <c r="M100" s="35">
        <f t="shared" si="41"/>
        <v>6607.0787083333344</v>
      </c>
      <c r="N100" s="2">
        <v>12508.183916666665</v>
      </c>
      <c r="O100" s="2">
        <v>739.96608333333336</v>
      </c>
      <c r="P100" s="2">
        <v>991.77779166666676</v>
      </c>
      <c r="Q100" s="2"/>
      <c r="R100" s="1">
        <v>0</v>
      </c>
      <c r="S100" s="35">
        <f t="shared" si="42"/>
        <v>14239.927791666665</v>
      </c>
      <c r="T100" s="2">
        <v>0</v>
      </c>
      <c r="U100" s="2">
        <v>189.61749999999995</v>
      </c>
      <c r="V100" s="2"/>
      <c r="W100" s="2">
        <v>1666.1215416666664</v>
      </c>
      <c r="X100" s="45">
        <f t="shared" si="67"/>
        <v>1855.7390416666663</v>
      </c>
      <c r="Y100" s="2">
        <v>0</v>
      </c>
      <c r="Z100" s="2">
        <v>525</v>
      </c>
      <c r="AA100" s="2">
        <v>0</v>
      </c>
      <c r="AB100" s="45">
        <f t="shared" si="43"/>
        <v>525</v>
      </c>
      <c r="AC100" s="84">
        <f t="shared" si="65"/>
        <v>1666.1215416666664</v>
      </c>
      <c r="AD100" s="39">
        <v>3000</v>
      </c>
      <c r="AE100" s="40">
        <f t="shared" si="70"/>
        <v>9508.183916666665</v>
      </c>
      <c r="AF100" s="1">
        <f t="shared" si="71"/>
        <v>13.200000000000001</v>
      </c>
      <c r="AG100" s="1">
        <f t="shared" si="72"/>
        <v>18</v>
      </c>
      <c r="AH100" s="41">
        <f t="shared" si="73"/>
        <v>16.848753736278809</v>
      </c>
      <c r="AJ100">
        <v>1.1000000000000001</v>
      </c>
      <c r="AK100">
        <v>1.5</v>
      </c>
      <c r="AL100" s="32">
        <f t="shared" si="74"/>
        <v>12508.183916666665</v>
      </c>
      <c r="AM100" s="4">
        <f t="shared" si="75"/>
        <v>0.23984297160858162</v>
      </c>
      <c r="AN100" s="4">
        <f t="shared" si="76"/>
        <v>0.76015702839141841</v>
      </c>
    </row>
    <row r="101" spans="3:40" hidden="1" x14ac:dyDescent="0.3">
      <c r="C101" s="1">
        <f t="shared" si="66"/>
        <v>2025</v>
      </c>
      <c r="D101" s="52">
        <f>+'Fisico ASIG'!B101</f>
        <v>45992</v>
      </c>
      <c r="E101" s="1">
        <v>16</v>
      </c>
      <c r="F101" s="1" t="s">
        <v>46</v>
      </c>
      <c r="G101" s="5">
        <v>46007</v>
      </c>
      <c r="H101" s="2">
        <v>5634.2773333333325</v>
      </c>
      <c r="I101" s="2">
        <v>653.33291666666673</v>
      </c>
      <c r="J101" s="2">
        <v>308.02687500000002</v>
      </c>
      <c r="K101" s="2"/>
      <c r="L101" s="1">
        <v>0</v>
      </c>
      <c r="M101" s="35">
        <f t="shared" si="41"/>
        <v>6595.6371249999993</v>
      </c>
      <c r="N101" s="2">
        <v>12520.741375000003</v>
      </c>
      <c r="O101" s="2">
        <v>804.65787499999999</v>
      </c>
      <c r="P101" s="2">
        <v>977.94450000000006</v>
      </c>
      <c r="Q101" s="2"/>
      <c r="R101" s="1">
        <v>0</v>
      </c>
      <c r="S101" s="35">
        <f t="shared" si="42"/>
        <v>14303.343750000004</v>
      </c>
      <c r="T101" s="2">
        <v>0</v>
      </c>
      <c r="U101" s="2">
        <v>188.87133333333335</v>
      </c>
      <c r="V101" s="2"/>
      <c r="W101" s="2">
        <v>1266.0113333333334</v>
      </c>
      <c r="X101" s="45">
        <f t="shared" si="67"/>
        <v>1454.8826666666666</v>
      </c>
      <c r="Y101" s="2">
        <v>0</v>
      </c>
      <c r="Z101" s="2">
        <v>525</v>
      </c>
      <c r="AA101" s="2">
        <v>0</v>
      </c>
      <c r="AB101" s="45">
        <f t="shared" si="43"/>
        <v>525</v>
      </c>
      <c r="AC101" s="84">
        <f t="shared" si="65"/>
        <v>1266.0113333333334</v>
      </c>
      <c r="AD101" s="39">
        <v>3000</v>
      </c>
      <c r="AE101" s="40">
        <f t="shared" ref="AE101:AE106" si="77">+N101-AD101</f>
        <v>9520.7413750000032</v>
      </c>
      <c r="AF101" s="1">
        <f t="shared" ref="AF101:AF106" si="78">12*AJ101</f>
        <v>13.200000000000001</v>
      </c>
      <c r="AG101" s="1">
        <f t="shared" ref="AG101:AG106" si="79">12*AK101</f>
        <v>18</v>
      </c>
      <c r="AH101" s="41">
        <f t="shared" ref="AH101:AH106" si="80">+(AD101*AF101+AG101*AE101)/SUM(AD101:AE101)</f>
        <v>16.849908358561553</v>
      </c>
      <c r="AJ101">
        <v>1.1000000000000001</v>
      </c>
      <c r="AK101">
        <v>1.5</v>
      </c>
      <c r="AL101" s="32">
        <f t="shared" ref="AL101:AL106" si="81">+AD101+AE101</f>
        <v>12520.741375000003</v>
      </c>
      <c r="AM101" s="4">
        <f t="shared" ref="AM101:AM106" si="82">+AD101/AL101</f>
        <v>0.23960242529967593</v>
      </c>
      <c r="AN101" s="4">
        <f t="shared" ref="AN101:AN106" si="83">+AE101/AL101</f>
        <v>0.7603975747003241</v>
      </c>
    </row>
    <row r="102" spans="3:40" hidden="1" x14ac:dyDescent="0.3">
      <c r="C102" s="1">
        <f t="shared" si="66"/>
        <v>2025</v>
      </c>
      <c r="D102" s="52">
        <f>+'Fisico ASIG'!B102</f>
        <v>45992</v>
      </c>
      <c r="E102" s="1">
        <v>16</v>
      </c>
      <c r="F102" s="1" t="s">
        <v>47</v>
      </c>
      <c r="G102" s="5">
        <v>46008</v>
      </c>
      <c r="H102" s="2">
        <v>5708.4005416666641</v>
      </c>
      <c r="I102" s="2">
        <v>598.23845833333337</v>
      </c>
      <c r="J102" s="2">
        <v>335.07112499999999</v>
      </c>
      <c r="K102" s="2"/>
      <c r="L102" s="1">
        <v>0</v>
      </c>
      <c r="M102" s="35">
        <f t="shared" si="41"/>
        <v>6641.7101249999978</v>
      </c>
      <c r="N102" s="2">
        <v>12415.442499999997</v>
      </c>
      <c r="O102" s="2">
        <v>1005.7640416666666</v>
      </c>
      <c r="P102" s="2">
        <v>988.73095833333343</v>
      </c>
      <c r="Q102" s="2"/>
      <c r="R102" s="1">
        <v>0</v>
      </c>
      <c r="S102" s="35">
        <f t="shared" si="42"/>
        <v>14409.937499999998</v>
      </c>
      <c r="T102" s="2">
        <v>0</v>
      </c>
      <c r="U102" s="2">
        <v>188.30333333333331</v>
      </c>
      <c r="V102" s="2"/>
      <c r="W102" s="2">
        <v>2116.6709166666665</v>
      </c>
      <c r="X102" s="45">
        <f t="shared" si="67"/>
        <v>2304.9742499999998</v>
      </c>
      <c r="Y102" s="2">
        <v>0</v>
      </c>
      <c r="Z102" s="2">
        <v>525</v>
      </c>
      <c r="AA102" s="2">
        <v>0</v>
      </c>
      <c r="AB102" s="45">
        <f t="shared" si="43"/>
        <v>525</v>
      </c>
      <c r="AC102" s="84">
        <f t="shared" si="65"/>
        <v>2116.6709166666665</v>
      </c>
      <c r="AD102" s="39">
        <v>3000</v>
      </c>
      <c r="AE102" s="40">
        <f t="shared" si="77"/>
        <v>9415.4424999999974</v>
      </c>
      <c r="AF102" s="1">
        <f t="shared" si="78"/>
        <v>13.200000000000001</v>
      </c>
      <c r="AG102" s="1">
        <f t="shared" si="79"/>
        <v>18</v>
      </c>
      <c r="AH102" s="41">
        <f t="shared" si="80"/>
        <v>16.840154106468617</v>
      </c>
      <c r="AJ102">
        <v>1.1000000000000001</v>
      </c>
      <c r="AK102">
        <v>1.5</v>
      </c>
      <c r="AL102" s="32">
        <f t="shared" si="81"/>
        <v>12415.442499999997</v>
      </c>
      <c r="AM102" s="4">
        <f t="shared" si="82"/>
        <v>0.24163456115237139</v>
      </c>
      <c r="AN102" s="4">
        <f t="shared" si="83"/>
        <v>0.75836543884762864</v>
      </c>
    </row>
    <row r="103" spans="3:40" hidden="1" x14ac:dyDescent="0.3">
      <c r="C103" s="1">
        <f t="shared" si="66"/>
        <v>2025</v>
      </c>
      <c r="D103" s="52">
        <f>+'Fisico ASIG'!B103</f>
        <v>45992</v>
      </c>
      <c r="E103" s="1">
        <v>16</v>
      </c>
      <c r="F103" s="1" t="s">
        <v>48</v>
      </c>
      <c r="G103" s="5">
        <v>46009</v>
      </c>
      <c r="H103" s="2">
        <v>6647.253791666667</v>
      </c>
      <c r="I103" s="2">
        <v>809.95920833333332</v>
      </c>
      <c r="J103" s="2">
        <v>404.37012500000003</v>
      </c>
      <c r="K103" s="2"/>
      <c r="L103" s="1">
        <v>0</v>
      </c>
      <c r="M103" s="35">
        <f t="shared" si="41"/>
        <v>7861.583125000001</v>
      </c>
      <c r="N103" s="2">
        <v>12318.264083333328</v>
      </c>
      <c r="O103" s="2">
        <v>1180.856125</v>
      </c>
      <c r="P103" s="2">
        <v>992.32162500000004</v>
      </c>
      <c r="Q103" s="2"/>
      <c r="R103" s="1">
        <v>0</v>
      </c>
      <c r="S103" s="35">
        <f t="shared" si="42"/>
        <v>14491.441833333329</v>
      </c>
      <c r="T103" s="2">
        <v>0</v>
      </c>
      <c r="U103" s="2">
        <v>190.36079166666664</v>
      </c>
      <c r="V103" s="2"/>
      <c r="W103" s="2">
        <v>1687.6618333333333</v>
      </c>
      <c r="X103" s="45">
        <f t="shared" si="67"/>
        <v>1878.0226250000001</v>
      </c>
      <c r="Y103" s="2">
        <v>0</v>
      </c>
      <c r="Z103" s="2">
        <v>525</v>
      </c>
      <c r="AA103" s="2">
        <v>0</v>
      </c>
      <c r="AB103" s="45">
        <f t="shared" si="43"/>
        <v>525</v>
      </c>
      <c r="AC103" s="84">
        <f t="shared" si="65"/>
        <v>1687.6618333333333</v>
      </c>
      <c r="AD103" s="39">
        <v>3000</v>
      </c>
      <c r="AE103" s="40">
        <f t="shared" si="77"/>
        <v>9318.264083333328</v>
      </c>
      <c r="AF103" s="1">
        <f t="shared" si="78"/>
        <v>13.200000000000001</v>
      </c>
      <c r="AG103" s="1">
        <f t="shared" si="79"/>
        <v>18</v>
      </c>
      <c r="AH103" s="41">
        <f t="shared" si="80"/>
        <v>16.831004116928838</v>
      </c>
      <c r="AJ103">
        <v>1.1000000000000001</v>
      </c>
      <c r="AK103">
        <v>1.5</v>
      </c>
      <c r="AL103" s="32">
        <f t="shared" si="81"/>
        <v>12318.264083333328</v>
      </c>
      <c r="AM103" s="4">
        <f t="shared" si="82"/>
        <v>0.24354080897315838</v>
      </c>
      <c r="AN103" s="4">
        <f t="shared" si="83"/>
        <v>0.75645919102684167</v>
      </c>
    </row>
    <row r="104" spans="3:40" hidden="1" x14ac:dyDescent="0.3">
      <c r="C104" s="1">
        <f t="shared" si="66"/>
        <v>2025</v>
      </c>
      <c r="D104" s="52">
        <f>+'Fisico ASIG'!B104</f>
        <v>45992</v>
      </c>
      <c r="E104" s="1">
        <v>16</v>
      </c>
      <c r="F104" s="1" t="s">
        <v>49</v>
      </c>
      <c r="G104" s="5">
        <v>46010</v>
      </c>
      <c r="H104" s="2">
        <v>7457.9463333333297</v>
      </c>
      <c r="I104" s="2">
        <v>823.76083333333338</v>
      </c>
      <c r="J104" s="2">
        <v>407.188625</v>
      </c>
      <c r="K104" s="2"/>
      <c r="L104" s="1">
        <v>0</v>
      </c>
      <c r="M104" s="35">
        <f t="shared" si="41"/>
        <v>8688.8957916666641</v>
      </c>
      <c r="N104" s="2">
        <v>12348.523625</v>
      </c>
      <c r="O104" s="2">
        <v>1181.9343333333334</v>
      </c>
      <c r="P104" s="2">
        <v>992.18937500000004</v>
      </c>
      <c r="Q104" s="2"/>
      <c r="R104" s="1">
        <v>0</v>
      </c>
      <c r="S104" s="35">
        <f t="shared" si="42"/>
        <v>14522.647333333332</v>
      </c>
      <c r="T104" s="2">
        <v>0</v>
      </c>
      <c r="U104" s="2">
        <v>191.98554166666671</v>
      </c>
      <c r="V104" s="2"/>
      <c r="W104" s="2">
        <v>1821.6266250000006</v>
      </c>
      <c r="X104" s="45">
        <f t="shared" si="67"/>
        <v>2013.6121666666672</v>
      </c>
      <c r="Y104" s="2">
        <v>0</v>
      </c>
      <c r="Z104" s="2">
        <v>525</v>
      </c>
      <c r="AA104" s="2">
        <v>0</v>
      </c>
      <c r="AB104" s="45">
        <f t="shared" si="43"/>
        <v>525</v>
      </c>
      <c r="AC104" s="84">
        <f t="shared" si="65"/>
        <v>1821.6266250000006</v>
      </c>
      <c r="AD104" s="39">
        <v>3000</v>
      </c>
      <c r="AE104" s="40">
        <f t="shared" si="77"/>
        <v>9348.5236249999998</v>
      </c>
      <c r="AF104" s="1">
        <f t="shared" si="78"/>
        <v>13.200000000000001</v>
      </c>
      <c r="AG104" s="1">
        <f t="shared" si="79"/>
        <v>18</v>
      </c>
      <c r="AH104" s="41">
        <f t="shared" si="80"/>
        <v>16.833868692541778</v>
      </c>
      <c r="AJ104">
        <v>1.1000000000000001</v>
      </c>
      <c r="AK104">
        <v>1.5</v>
      </c>
      <c r="AL104" s="32">
        <f t="shared" si="81"/>
        <v>12348.523625</v>
      </c>
      <c r="AM104" s="4">
        <f t="shared" si="82"/>
        <v>0.2429440223871297</v>
      </c>
      <c r="AN104" s="4">
        <f t="shared" si="83"/>
        <v>0.75705597761287025</v>
      </c>
    </row>
    <row r="105" spans="3:40" hidden="1" x14ac:dyDescent="0.3">
      <c r="C105" s="1">
        <f t="shared" si="66"/>
        <v>2025</v>
      </c>
      <c r="D105" s="52">
        <f>+'Fisico ASIG'!B105</f>
        <v>45992</v>
      </c>
      <c r="E105" s="1">
        <v>6</v>
      </c>
      <c r="F105" s="1" t="s">
        <v>43</v>
      </c>
      <c r="G105" s="5">
        <v>46011</v>
      </c>
      <c r="H105" s="2">
        <v>7231.5404999999992</v>
      </c>
      <c r="I105" s="2">
        <v>923.32741666666675</v>
      </c>
      <c r="J105" s="2">
        <v>363.10695833333341</v>
      </c>
      <c r="K105" s="2"/>
      <c r="L105" s="1">
        <v>0</v>
      </c>
      <c r="M105" s="35">
        <f t="shared" si="41"/>
        <v>8517.9748749999999</v>
      </c>
      <c r="N105" s="2">
        <v>12142.267999999995</v>
      </c>
      <c r="O105" s="2">
        <v>1346.7820833333333</v>
      </c>
      <c r="P105" s="2">
        <v>992.06545833333337</v>
      </c>
      <c r="Q105" s="2"/>
      <c r="R105" s="1">
        <v>0</v>
      </c>
      <c r="S105" s="35">
        <f t="shared" si="42"/>
        <v>14481.115541666661</v>
      </c>
      <c r="T105" s="2">
        <v>0</v>
      </c>
      <c r="U105" s="2">
        <v>189.46458333333337</v>
      </c>
      <c r="V105" s="2"/>
      <c r="W105" s="2">
        <v>1317.1156666666668</v>
      </c>
      <c r="X105" s="45">
        <f t="shared" si="67"/>
        <v>1506.5802500000002</v>
      </c>
      <c r="Y105" s="2">
        <v>0</v>
      </c>
      <c r="Z105" s="2">
        <v>525</v>
      </c>
      <c r="AA105" s="2">
        <v>0</v>
      </c>
      <c r="AB105" s="45">
        <f t="shared" si="43"/>
        <v>525</v>
      </c>
      <c r="AC105" s="84">
        <f t="shared" si="65"/>
        <v>1317.1156666666668</v>
      </c>
      <c r="AD105" s="39">
        <v>3000</v>
      </c>
      <c r="AE105" s="40">
        <f t="shared" si="77"/>
        <v>9142.2679999999946</v>
      </c>
      <c r="AF105" s="1">
        <f t="shared" si="78"/>
        <v>13.200000000000001</v>
      </c>
      <c r="AG105" s="1">
        <f t="shared" si="79"/>
        <v>18</v>
      </c>
      <c r="AH105" s="41">
        <f t="shared" si="80"/>
        <v>16.814060108045712</v>
      </c>
      <c r="AJ105">
        <v>1.1000000000000001</v>
      </c>
      <c r="AK105">
        <v>1.5</v>
      </c>
      <c r="AL105" s="32">
        <f t="shared" si="81"/>
        <v>12142.267999999995</v>
      </c>
      <c r="AM105" s="4">
        <f t="shared" si="82"/>
        <v>0.24707081082380997</v>
      </c>
      <c r="AN105" s="4">
        <f t="shared" si="83"/>
        <v>0.75292918917619001</v>
      </c>
    </row>
    <row r="106" spans="3:40" hidden="1" x14ac:dyDescent="0.3">
      <c r="C106" s="1">
        <f t="shared" si="66"/>
        <v>2025</v>
      </c>
      <c r="D106" s="52">
        <f>+'Fisico ASIG'!B106</f>
        <v>45992</v>
      </c>
      <c r="E106" s="1">
        <v>4</v>
      </c>
      <c r="F106" s="1" t="s">
        <v>44</v>
      </c>
      <c r="G106" s="5">
        <v>46012</v>
      </c>
      <c r="H106" s="2">
        <v>6098.178291666668</v>
      </c>
      <c r="I106" s="2">
        <v>1041.2055</v>
      </c>
      <c r="J106" s="2">
        <v>334.73558333333335</v>
      </c>
      <c r="K106" s="2"/>
      <c r="L106" s="1">
        <v>0</v>
      </c>
      <c r="M106" s="35">
        <f t="shared" si="41"/>
        <v>7474.1193750000011</v>
      </c>
      <c r="N106" s="2">
        <v>12300.80633333333</v>
      </c>
      <c r="O106" s="2">
        <v>1357.0396666666663</v>
      </c>
      <c r="P106" s="2">
        <v>992.14054166666665</v>
      </c>
      <c r="Q106" s="2"/>
      <c r="R106" s="1">
        <v>0</v>
      </c>
      <c r="S106" s="35">
        <f t="shared" si="42"/>
        <v>14649.986541666662</v>
      </c>
      <c r="T106" s="2">
        <v>0</v>
      </c>
      <c r="U106" s="2">
        <v>189.39470833333337</v>
      </c>
      <c r="V106" s="2"/>
      <c r="W106" s="2">
        <v>1212.8465833333335</v>
      </c>
      <c r="X106" s="45">
        <f t="shared" si="67"/>
        <v>1402.2412916666667</v>
      </c>
      <c r="Y106" s="2">
        <v>0</v>
      </c>
      <c r="Z106" s="2">
        <v>525</v>
      </c>
      <c r="AA106" s="2">
        <v>0</v>
      </c>
      <c r="AB106" s="45">
        <f t="shared" si="43"/>
        <v>525</v>
      </c>
      <c r="AC106" s="84">
        <f t="shared" si="65"/>
        <v>1212.8465833333335</v>
      </c>
      <c r="AD106" s="39">
        <v>3000</v>
      </c>
      <c r="AE106" s="40">
        <f t="shared" si="77"/>
        <v>9300.8063333333303</v>
      </c>
      <c r="AF106" s="1">
        <f t="shared" si="78"/>
        <v>13.200000000000001</v>
      </c>
      <c r="AG106" s="1">
        <f t="shared" si="79"/>
        <v>18</v>
      </c>
      <c r="AH106" s="41">
        <f t="shared" si="80"/>
        <v>16.829345035619479</v>
      </c>
      <c r="AJ106">
        <v>1.1000000000000001</v>
      </c>
      <c r="AK106">
        <v>1.5</v>
      </c>
      <c r="AL106" s="32">
        <f t="shared" si="81"/>
        <v>12300.80633333333</v>
      </c>
      <c r="AM106" s="4">
        <f t="shared" si="82"/>
        <v>0.24388645091260824</v>
      </c>
      <c r="AN106" s="4">
        <f t="shared" si="83"/>
        <v>0.7561135490873917</v>
      </c>
    </row>
    <row r="107" spans="3:40" hidden="1" x14ac:dyDescent="0.3">
      <c r="C107" s="1">
        <f t="shared" si="66"/>
        <v>2025</v>
      </c>
      <c r="D107" s="52">
        <f>+'Fisico ASIG'!B107</f>
        <v>45992</v>
      </c>
      <c r="E107" s="1">
        <v>16</v>
      </c>
      <c r="F107" s="1" t="s">
        <v>45</v>
      </c>
      <c r="G107" s="5">
        <v>46013</v>
      </c>
      <c r="H107" s="2">
        <v>6732.2370416666681</v>
      </c>
      <c r="I107" s="2">
        <v>1215.8863749999998</v>
      </c>
      <c r="J107" s="2">
        <v>347.54700000000003</v>
      </c>
      <c r="K107" s="2"/>
      <c r="L107" s="1">
        <v>0</v>
      </c>
      <c r="M107" s="35">
        <f t="shared" si="41"/>
        <v>8295.6704166666677</v>
      </c>
      <c r="N107" s="2">
        <v>12439.349708333331</v>
      </c>
      <c r="O107" s="2">
        <v>1351.5412916666667</v>
      </c>
      <c r="P107" s="2">
        <v>991.97516666666672</v>
      </c>
      <c r="Q107" s="2"/>
      <c r="R107" s="1">
        <v>0</v>
      </c>
      <c r="S107" s="35">
        <f t="shared" si="42"/>
        <v>14782.866166666665</v>
      </c>
      <c r="T107" s="2">
        <v>0</v>
      </c>
      <c r="U107" s="2">
        <v>189.04620833333334</v>
      </c>
      <c r="V107" s="2"/>
      <c r="W107" s="2">
        <v>1130.0222083333335</v>
      </c>
      <c r="X107" s="45">
        <f t="shared" si="67"/>
        <v>1319.068416666667</v>
      </c>
      <c r="Y107" s="2">
        <v>0</v>
      </c>
      <c r="Z107" s="2">
        <v>525</v>
      </c>
      <c r="AA107" s="2">
        <v>0</v>
      </c>
      <c r="AB107" s="45">
        <f t="shared" si="43"/>
        <v>525</v>
      </c>
      <c r="AC107" s="84">
        <f t="shared" si="65"/>
        <v>1130.0222083333335</v>
      </c>
      <c r="AD107" s="39">
        <v>3000</v>
      </c>
      <c r="AE107" s="40">
        <f t="shared" ref="AE107:AE113" si="84">+N107-AD107</f>
        <v>9439.3497083333314</v>
      </c>
      <c r="AF107" s="1">
        <f t="shared" ref="AF107:AF113" si="85">12*AJ107</f>
        <v>13.200000000000001</v>
      </c>
      <c r="AG107" s="1">
        <f t="shared" ref="AG107:AG113" si="86">12*AK107</f>
        <v>18</v>
      </c>
      <c r="AH107" s="41">
        <f t="shared" ref="AH107:AH113" si="87">+(AD107*AF107+AG107*AE107)/SUM(AD107:AE107)</f>
        <v>16.842383216354694</v>
      </c>
      <c r="AJ107">
        <v>1.1000000000000001</v>
      </c>
      <c r="AK107">
        <v>1.5</v>
      </c>
      <c r="AL107" s="32">
        <f t="shared" ref="AL107:AL113" si="88">+AD107+AE107</f>
        <v>12439.349708333331</v>
      </c>
      <c r="AM107" s="4">
        <f t="shared" ref="AM107:AM113" si="89">+AD107/AL107</f>
        <v>0.24117016325943863</v>
      </c>
      <c r="AN107" s="4">
        <f t="shared" ref="AN107:AN113" si="90">+AE107/AL107</f>
        <v>0.75882983674056137</v>
      </c>
    </row>
    <row r="108" spans="3:40" hidden="1" x14ac:dyDescent="0.3">
      <c r="C108" s="1">
        <f t="shared" si="66"/>
        <v>2025</v>
      </c>
      <c r="D108" s="52">
        <f>+'Fisico ASIG'!B108</f>
        <v>45992</v>
      </c>
      <c r="E108" s="1">
        <v>16</v>
      </c>
      <c r="F108" s="1" t="s">
        <v>46</v>
      </c>
      <c r="G108" s="5">
        <v>46014</v>
      </c>
      <c r="H108" s="2">
        <v>6556.8294583333354</v>
      </c>
      <c r="I108" s="2">
        <v>1153.3941250000003</v>
      </c>
      <c r="J108" s="2">
        <v>348.73766666666671</v>
      </c>
      <c r="K108" s="2"/>
      <c r="L108" s="1">
        <v>0</v>
      </c>
      <c r="M108" s="35">
        <f t="shared" si="41"/>
        <v>8058.961250000003</v>
      </c>
      <c r="N108" s="2">
        <v>12559.24895833333</v>
      </c>
      <c r="O108" s="2">
        <v>1352.0187083333331</v>
      </c>
      <c r="P108" s="2">
        <v>991.77358333333336</v>
      </c>
      <c r="Q108" s="2"/>
      <c r="R108" s="1">
        <v>0</v>
      </c>
      <c r="S108" s="35">
        <f t="shared" si="42"/>
        <v>14903.041249999997</v>
      </c>
      <c r="T108" s="2">
        <v>0</v>
      </c>
      <c r="U108" s="2">
        <v>187.92045833333339</v>
      </c>
      <c r="V108" s="2"/>
      <c r="W108" s="2">
        <v>1468.695166666666</v>
      </c>
      <c r="X108" s="45">
        <f t="shared" si="67"/>
        <v>1656.6156249999995</v>
      </c>
      <c r="Y108" s="2">
        <v>0</v>
      </c>
      <c r="Z108" s="2">
        <v>525</v>
      </c>
      <c r="AA108" s="2">
        <v>0</v>
      </c>
      <c r="AB108" s="45">
        <f t="shared" si="43"/>
        <v>525</v>
      </c>
      <c r="AC108" s="84">
        <f t="shared" si="65"/>
        <v>1468.695166666666</v>
      </c>
      <c r="AD108" s="39">
        <v>3000</v>
      </c>
      <c r="AE108" s="40">
        <f t="shared" si="84"/>
        <v>9559.2489583333299</v>
      </c>
      <c r="AF108" s="1">
        <f t="shared" si="85"/>
        <v>13.200000000000001</v>
      </c>
      <c r="AG108" s="1">
        <f t="shared" si="86"/>
        <v>18</v>
      </c>
      <c r="AH108" s="41">
        <f t="shared" si="87"/>
        <v>16.853434624333545</v>
      </c>
      <c r="AJ108">
        <v>1.1000000000000001</v>
      </c>
      <c r="AK108">
        <v>1.5</v>
      </c>
      <c r="AL108" s="32">
        <f t="shared" si="88"/>
        <v>12559.24895833333</v>
      </c>
      <c r="AM108" s="4">
        <f t="shared" si="89"/>
        <v>0.23886778659717833</v>
      </c>
      <c r="AN108" s="4">
        <f t="shared" si="90"/>
        <v>0.76113221340282167</v>
      </c>
    </row>
    <row r="109" spans="3:40" hidden="1" x14ac:dyDescent="0.3">
      <c r="C109" s="1">
        <f t="shared" si="66"/>
        <v>2025</v>
      </c>
      <c r="D109" s="52">
        <f>+'Fisico ASIG'!B109</f>
        <v>45992</v>
      </c>
      <c r="E109" s="1">
        <v>16</v>
      </c>
      <c r="F109" s="1" t="s">
        <v>47</v>
      </c>
      <c r="G109" s="5">
        <v>46015</v>
      </c>
      <c r="H109" s="2">
        <v>6451.740833333336</v>
      </c>
      <c r="I109" s="2">
        <v>1150.4166666666665</v>
      </c>
      <c r="J109" s="2">
        <v>268.32720833333337</v>
      </c>
      <c r="K109" s="2"/>
      <c r="L109" s="1">
        <v>0</v>
      </c>
      <c r="M109" s="35">
        <f t="shared" si="41"/>
        <v>7870.4847083333361</v>
      </c>
      <c r="N109" s="2">
        <v>12586.543958333328</v>
      </c>
      <c r="O109" s="2">
        <v>1344.2839999999997</v>
      </c>
      <c r="P109" s="2">
        <v>991.70191666666676</v>
      </c>
      <c r="Q109" s="2"/>
      <c r="R109" s="1">
        <v>0</v>
      </c>
      <c r="S109" s="35">
        <f t="shared" si="42"/>
        <v>14922.529874999995</v>
      </c>
      <c r="T109" s="2">
        <v>0</v>
      </c>
      <c r="U109" s="2">
        <v>188.31154166666667</v>
      </c>
      <c r="V109" s="2"/>
      <c r="W109" s="2">
        <v>1849.0798750000001</v>
      </c>
      <c r="X109" s="45">
        <f t="shared" si="67"/>
        <v>2037.3914166666668</v>
      </c>
      <c r="Y109" s="2">
        <v>0</v>
      </c>
      <c r="Z109" s="2">
        <v>525</v>
      </c>
      <c r="AA109" s="2">
        <v>0</v>
      </c>
      <c r="AB109" s="45">
        <f t="shared" si="43"/>
        <v>525</v>
      </c>
      <c r="AC109" s="84">
        <f t="shared" si="65"/>
        <v>1849.0798750000001</v>
      </c>
      <c r="AD109" s="39">
        <v>3000</v>
      </c>
      <c r="AE109" s="40">
        <f t="shared" si="84"/>
        <v>9586.5439583333282</v>
      </c>
      <c r="AF109" s="1">
        <f t="shared" si="85"/>
        <v>13.200000000000001</v>
      </c>
      <c r="AG109" s="1">
        <f t="shared" si="86"/>
        <v>18</v>
      </c>
      <c r="AH109" s="41">
        <f t="shared" si="87"/>
        <v>16.855921049680518</v>
      </c>
      <c r="AJ109">
        <v>1.1000000000000001</v>
      </c>
      <c r="AK109">
        <v>1.5</v>
      </c>
      <c r="AL109" s="32">
        <f t="shared" si="88"/>
        <v>12586.543958333328</v>
      </c>
      <c r="AM109" s="4">
        <f t="shared" si="89"/>
        <v>0.23834978131655854</v>
      </c>
      <c r="AN109" s="4">
        <f t="shared" si="90"/>
        <v>0.7616502186834414</v>
      </c>
    </row>
    <row r="110" spans="3:40" hidden="1" x14ac:dyDescent="0.3">
      <c r="C110" s="1">
        <f t="shared" si="66"/>
        <v>2025</v>
      </c>
      <c r="D110" s="52">
        <f>+'Fisico ASIG'!B110</f>
        <v>45992</v>
      </c>
      <c r="E110" s="1">
        <v>4</v>
      </c>
      <c r="F110" s="1" t="s">
        <v>48</v>
      </c>
      <c r="G110" s="5">
        <v>46016</v>
      </c>
      <c r="H110" s="2">
        <v>5194.6765416666676</v>
      </c>
      <c r="I110" s="2">
        <v>1010.2592083333334</v>
      </c>
      <c r="J110" s="2">
        <v>226.88200000000001</v>
      </c>
      <c r="K110" s="2"/>
      <c r="L110" s="1">
        <v>0</v>
      </c>
      <c r="M110" s="35">
        <f t="shared" si="41"/>
        <v>6431.8177500000002</v>
      </c>
      <c r="N110" s="2">
        <v>12758.090916666659</v>
      </c>
      <c r="O110" s="2">
        <v>1358.9660416666666</v>
      </c>
      <c r="P110" s="2">
        <v>991.66000000000008</v>
      </c>
      <c r="Q110" s="2"/>
      <c r="R110" s="1">
        <v>0</v>
      </c>
      <c r="S110" s="35">
        <f t="shared" si="42"/>
        <v>15108.716958333325</v>
      </c>
      <c r="T110" s="2">
        <v>0</v>
      </c>
      <c r="U110" s="2">
        <v>188.37783333333334</v>
      </c>
      <c r="V110" s="2"/>
      <c r="W110" s="2">
        <v>1565.2208333333331</v>
      </c>
      <c r="X110" s="45">
        <f t="shared" si="67"/>
        <v>1753.5986666666663</v>
      </c>
      <c r="Y110" s="2">
        <v>0</v>
      </c>
      <c r="Z110" s="2">
        <v>525</v>
      </c>
      <c r="AA110" s="2">
        <v>0</v>
      </c>
      <c r="AB110" s="45">
        <f t="shared" si="43"/>
        <v>525</v>
      </c>
      <c r="AC110" s="84">
        <f t="shared" si="65"/>
        <v>1565.2208333333331</v>
      </c>
      <c r="AD110" s="39">
        <v>3000</v>
      </c>
      <c r="AE110" s="40">
        <f t="shared" si="84"/>
        <v>9758.0909166666588</v>
      </c>
      <c r="AF110" s="1">
        <f t="shared" si="85"/>
        <v>13.200000000000001</v>
      </c>
      <c r="AG110" s="1">
        <f t="shared" si="86"/>
        <v>18</v>
      </c>
      <c r="AH110" s="41">
        <f t="shared" si="87"/>
        <v>16.871304484812189</v>
      </c>
      <c r="AJ110">
        <v>1.1000000000000001</v>
      </c>
      <c r="AK110">
        <v>1.5</v>
      </c>
      <c r="AL110" s="32">
        <f t="shared" si="88"/>
        <v>12758.090916666659</v>
      </c>
      <c r="AM110" s="4">
        <f t="shared" si="89"/>
        <v>0.23514489899746052</v>
      </c>
      <c r="AN110" s="4">
        <f t="shared" si="90"/>
        <v>0.76485510100253951</v>
      </c>
    </row>
    <row r="111" spans="3:40" hidden="1" x14ac:dyDescent="0.3">
      <c r="C111" s="1">
        <f t="shared" si="66"/>
        <v>2025</v>
      </c>
      <c r="D111" s="52">
        <f>+'Fisico ASIG'!B111</f>
        <v>45992</v>
      </c>
      <c r="E111" s="1">
        <v>16</v>
      </c>
      <c r="F111" s="1" t="s">
        <v>49</v>
      </c>
      <c r="G111" s="5">
        <v>46017</v>
      </c>
      <c r="H111" s="2">
        <v>6257.8996250000009</v>
      </c>
      <c r="I111" s="2">
        <v>1281.4529166666666</v>
      </c>
      <c r="J111" s="2">
        <v>368.06666666666666</v>
      </c>
      <c r="K111" s="2"/>
      <c r="L111" s="1">
        <v>0</v>
      </c>
      <c r="M111" s="35">
        <f t="shared" si="41"/>
        <v>7907.4192083333337</v>
      </c>
      <c r="N111" s="2">
        <v>12702.743958333331</v>
      </c>
      <c r="O111" s="2">
        <v>1375.9681666666665</v>
      </c>
      <c r="P111" s="2">
        <v>991.66000000000008</v>
      </c>
      <c r="Q111" s="2"/>
      <c r="R111" s="1">
        <v>0</v>
      </c>
      <c r="S111" s="35">
        <f t="shared" si="42"/>
        <v>15070.372124999998</v>
      </c>
      <c r="T111" s="2">
        <v>0</v>
      </c>
      <c r="U111" s="2">
        <v>187.7559583333333</v>
      </c>
      <c r="V111" s="2"/>
      <c r="W111" s="2">
        <v>1934.3798750000005</v>
      </c>
      <c r="X111" s="45">
        <f t="shared" si="67"/>
        <v>2122.1358333333337</v>
      </c>
      <c r="Y111" s="2">
        <v>0</v>
      </c>
      <c r="Z111" s="2">
        <v>525</v>
      </c>
      <c r="AA111" s="2">
        <v>0</v>
      </c>
      <c r="AB111" s="45">
        <f t="shared" si="43"/>
        <v>525</v>
      </c>
      <c r="AC111" s="84">
        <f t="shared" si="65"/>
        <v>1934.3798750000005</v>
      </c>
      <c r="AD111" s="39">
        <v>3000</v>
      </c>
      <c r="AE111" s="40">
        <f t="shared" si="84"/>
        <v>9702.7439583333307</v>
      </c>
      <c r="AF111" s="1">
        <f t="shared" si="85"/>
        <v>13.200000000000001</v>
      </c>
      <c r="AG111" s="1">
        <f t="shared" si="86"/>
        <v>18</v>
      </c>
      <c r="AH111" s="41">
        <f t="shared" si="87"/>
        <v>16.866386660454317</v>
      </c>
      <c r="AJ111">
        <v>1.1000000000000001</v>
      </c>
      <c r="AK111">
        <v>1.5</v>
      </c>
      <c r="AL111" s="32">
        <f t="shared" si="88"/>
        <v>12702.743958333331</v>
      </c>
      <c r="AM111" s="4">
        <f t="shared" si="89"/>
        <v>0.23616944573868404</v>
      </c>
      <c r="AN111" s="4">
        <f t="shared" si="90"/>
        <v>0.76383055426131596</v>
      </c>
    </row>
    <row r="112" spans="3:40" hidden="1" x14ac:dyDescent="0.3">
      <c r="C112" s="1">
        <f t="shared" si="66"/>
        <v>2025</v>
      </c>
      <c r="D112" s="52">
        <f>+'Fisico ASIG'!B112</f>
        <v>45992</v>
      </c>
      <c r="E112" s="1">
        <v>6</v>
      </c>
      <c r="F112" s="1" t="s">
        <v>43</v>
      </c>
      <c r="G112" s="5">
        <v>46018</v>
      </c>
      <c r="H112" s="2">
        <v>6949.8318333333364</v>
      </c>
      <c r="I112" s="2">
        <v>1256.2105416666666</v>
      </c>
      <c r="J112" s="2">
        <v>374.98604166666678</v>
      </c>
      <c r="K112" s="2"/>
      <c r="L112" s="1">
        <v>0</v>
      </c>
      <c r="M112" s="35">
        <f t="shared" si="41"/>
        <v>8581.0284166666697</v>
      </c>
      <c r="N112" s="2">
        <v>12421.425249999993</v>
      </c>
      <c r="O112" s="2">
        <v>1359.2220416666664</v>
      </c>
      <c r="P112" s="2">
        <v>991.66000000000008</v>
      </c>
      <c r="Q112" s="2"/>
      <c r="R112" s="1">
        <v>0</v>
      </c>
      <c r="S112" s="35">
        <f t="shared" si="42"/>
        <v>14772.307291666659</v>
      </c>
      <c r="T112" s="2">
        <v>0</v>
      </c>
      <c r="U112" s="2">
        <v>186.92633333333333</v>
      </c>
      <c r="V112" s="2"/>
      <c r="W112" s="2">
        <v>1526.0379583333331</v>
      </c>
      <c r="X112" s="45">
        <f t="shared" si="67"/>
        <v>1712.9642916666664</v>
      </c>
      <c r="Y112" s="2">
        <v>0</v>
      </c>
      <c r="Z112" s="2">
        <v>525</v>
      </c>
      <c r="AA112" s="2">
        <v>0</v>
      </c>
      <c r="AB112" s="45">
        <f t="shared" si="43"/>
        <v>525</v>
      </c>
      <c r="AC112" s="84">
        <f t="shared" si="65"/>
        <v>1526.0379583333331</v>
      </c>
      <c r="AD112" s="39">
        <v>3000</v>
      </c>
      <c r="AE112" s="40">
        <f t="shared" si="84"/>
        <v>9421.425249999993</v>
      </c>
      <c r="AF112" s="1">
        <f t="shared" si="85"/>
        <v>13.200000000000001</v>
      </c>
      <c r="AG112" s="1">
        <f t="shared" si="86"/>
        <v>18</v>
      </c>
      <c r="AH112" s="41">
        <f t="shared" si="87"/>
        <v>16.840712743491331</v>
      </c>
      <c r="AJ112">
        <v>1.1000000000000001</v>
      </c>
      <c r="AK112">
        <v>1.5</v>
      </c>
      <c r="AL112" s="32">
        <f t="shared" si="88"/>
        <v>12421.425249999993</v>
      </c>
      <c r="AM112" s="4">
        <f t="shared" si="89"/>
        <v>0.24151817843930604</v>
      </c>
      <c r="AN112" s="4">
        <f t="shared" si="90"/>
        <v>0.75848182156069399</v>
      </c>
    </row>
    <row r="113" spans="3:40" hidden="1" x14ac:dyDescent="0.3">
      <c r="C113" s="1">
        <f t="shared" si="66"/>
        <v>2025</v>
      </c>
      <c r="D113" s="52">
        <f>+'Fisico ASIG'!B113</f>
        <v>45992</v>
      </c>
      <c r="E113" s="1">
        <v>4</v>
      </c>
      <c r="F113" s="1" t="s">
        <v>44</v>
      </c>
      <c r="G113" s="5">
        <v>46019</v>
      </c>
      <c r="H113" s="2">
        <v>7004.0959166666671</v>
      </c>
      <c r="I113" s="2">
        <v>1183.8562083333334</v>
      </c>
      <c r="J113" s="2">
        <v>347.41258333333337</v>
      </c>
      <c r="K113" s="2"/>
      <c r="L113" s="1">
        <v>0</v>
      </c>
      <c r="M113" s="35">
        <f t="shared" si="41"/>
        <v>8535.3647083333344</v>
      </c>
      <c r="N113" s="2">
        <v>12497.186499999998</v>
      </c>
      <c r="O113" s="2">
        <v>1361.7164583333333</v>
      </c>
      <c r="P113" s="2">
        <v>991.66000000000008</v>
      </c>
      <c r="Q113" s="2"/>
      <c r="R113" s="1">
        <v>0</v>
      </c>
      <c r="S113" s="35">
        <f t="shared" si="42"/>
        <v>14850.562958333332</v>
      </c>
      <c r="T113" s="2">
        <v>0</v>
      </c>
      <c r="U113" s="2">
        <v>189.02979166666668</v>
      </c>
      <c r="V113" s="2"/>
      <c r="W113" s="2">
        <v>1449.6933333333336</v>
      </c>
      <c r="X113" s="45">
        <f t="shared" si="67"/>
        <v>1638.7231250000002</v>
      </c>
      <c r="Y113" s="2">
        <v>0</v>
      </c>
      <c r="Z113" s="2">
        <v>525</v>
      </c>
      <c r="AA113" s="2">
        <v>0</v>
      </c>
      <c r="AB113" s="45">
        <f t="shared" si="43"/>
        <v>525</v>
      </c>
      <c r="AC113" s="84">
        <f t="shared" si="65"/>
        <v>1449.6933333333336</v>
      </c>
      <c r="AD113" s="39">
        <v>3000</v>
      </c>
      <c r="AE113" s="40">
        <f t="shared" si="84"/>
        <v>9497.186499999998</v>
      </c>
      <c r="AF113" s="1">
        <f t="shared" si="85"/>
        <v>13.200000000000001</v>
      </c>
      <c r="AG113" s="1">
        <f t="shared" si="86"/>
        <v>18</v>
      </c>
      <c r="AH113" s="41">
        <f t="shared" si="87"/>
        <v>16.847740649465383</v>
      </c>
      <c r="AJ113">
        <v>1.1000000000000001</v>
      </c>
      <c r="AK113">
        <v>1.5</v>
      </c>
      <c r="AL113" s="32">
        <f t="shared" si="88"/>
        <v>12497.186499999998</v>
      </c>
      <c r="AM113" s="4">
        <f t="shared" si="89"/>
        <v>0.24005403136137884</v>
      </c>
      <c r="AN113" s="4">
        <f t="shared" si="90"/>
        <v>0.75994596863862118</v>
      </c>
    </row>
    <row r="114" spans="3:40" hidden="1" x14ac:dyDescent="0.3">
      <c r="C114" s="1">
        <f t="shared" si="66"/>
        <v>2025</v>
      </c>
      <c r="D114" s="52">
        <f>+'Fisico ASIG'!B114</f>
        <v>45992</v>
      </c>
      <c r="E114" s="1">
        <v>16</v>
      </c>
      <c r="F114" s="1" t="s">
        <v>45</v>
      </c>
      <c r="G114" s="5">
        <v>46020</v>
      </c>
      <c r="H114" s="2">
        <v>7705.122208333335</v>
      </c>
      <c r="I114" s="2">
        <v>1174.8919166666665</v>
      </c>
      <c r="J114" s="2">
        <v>342.90858333333335</v>
      </c>
      <c r="K114" s="2"/>
      <c r="L114" s="1">
        <v>0</v>
      </c>
      <c r="M114" s="35">
        <f t="shared" si="41"/>
        <v>9222.9227083333353</v>
      </c>
      <c r="N114" s="2">
        <v>12169.251874999994</v>
      </c>
      <c r="O114" s="2">
        <v>1349.5107916666664</v>
      </c>
      <c r="P114" s="2">
        <v>991.66000000000008</v>
      </c>
      <c r="Q114" s="2"/>
      <c r="R114" s="1">
        <v>0</v>
      </c>
      <c r="S114" s="35">
        <f t="shared" si="42"/>
        <v>14510.42266666666</v>
      </c>
      <c r="T114" s="2">
        <v>0</v>
      </c>
      <c r="U114" s="2">
        <v>186.89704166666672</v>
      </c>
      <c r="V114" s="2"/>
      <c r="W114" s="2">
        <v>1469.5885416666665</v>
      </c>
      <c r="X114" s="45">
        <f t="shared" si="67"/>
        <v>1656.4855833333331</v>
      </c>
      <c r="Y114" s="2">
        <v>0</v>
      </c>
      <c r="Z114" s="2">
        <v>525</v>
      </c>
      <c r="AA114" s="2">
        <v>0</v>
      </c>
      <c r="AB114" s="45">
        <f t="shared" si="43"/>
        <v>525</v>
      </c>
      <c r="AC114" s="84">
        <f t="shared" si="65"/>
        <v>1469.5885416666665</v>
      </c>
      <c r="AD114" s="39">
        <v>3000</v>
      </c>
      <c r="AE114" s="40">
        <f t="shared" ref="AE114:AE118" si="91">+N114-AD114</f>
        <v>9169.2518749999945</v>
      </c>
      <c r="AF114" s="1">
        <f t="shared" ref="AF114:AF118" si="92">12*AJ114</f>
        <v>13.200000000000001</v>
      </c>
      <c r="AG114" s="1">
        <f t="shared" ref="AG114:AG118" si="93">12*AK114</f>
        <v>18</v>
      </c>
      <c r="AH114" s="41">
        <f t="shared" ref="AH114:AH118" si="94">+(AD114*AF114+AG114*AE114)/SUM(AD114:AE114)</f>
        <v>16.816689789321991</v>
      </c>
      <c r="AJ114">
        <v>1.1000000000000001</v>
      </c>
      <c r="AK114">
        <v>1.5</v>
      </c>
      <c r="AL114" s="32">
        <f t="shared" ref="AL114:AL118" si="95">+AD114+AE114</f>
        <v>12169.251874999994</v>
      </c>
      <c r="AM114" s="4">
        <f t="shared" ref="AM114:AM118" si="96">+AD114/AL114</f>
        <v>0.24652296055791856</v>
      </c>
      <c r="AN114" s="4">
        <f t="shared" ref="AN114:AN118" si="97">+AE114/AL114</f>
        <v>0.75347703944208144</v>
      </c>
    </row>
    <row r="115" spans="3:40" hidden="1" x14ac:dyDescent="0.3">
      <c r="C115" s="1">
        <f t="shared" si="66"/>
        <v>2025</v>
      </c>
      <c r="D115" s="52">
        <f>+'Fisico ASIG'!B115</f>
        <v>45992</v>
      </c>
      <c r="E115" s="1">
        <v>16</v>
      </c>
      <c r="F115" s="1" t="s">
        <v>46</v>
      </c>
      <c r="G115" s="5">
        <v>46021</v>
      </c>
      <c r="H115" s="2">
        <v>8145.1965000000055</v>
      </c>
      <c r="I115" s="2">
        <v>1206.2672916666668</v>
      </c>
      <c r="J115" s="2">
        <v>321.16779166666663</v>
      </c>
      <c r="K115" s="2"/>
      <c r="L115" s="1">
        <v>0</v>
      </c>
      <c r="M115" s="35">
        <f t="shared" si="41"/>
        <v>9672.6315833333392</v>
      </c>
      <c r="N115" s="2">
        <v>11787.75041666666</v>
      </c>
      <c r="O115" s="2">
        <v>1339.6349583333335</v>
      </c>
      <c r="P115" s="2">
        <v>991.66000000000008</v>
      </c>
      <c r="Q115" s="2"/>
      <c r="R115" s="1">
        <v>0</v>
      </c>
      <c r="S115" s="35">
        <f t="shared" si="42"/>
        <v>14119.045374999994</v>
      </c>
      <c r="T115" s="2">
        <v>0</v>
      </c>
      <c r="U115" s="2">
        <v>188.0086666666667</v>
      </c>
      <c r="V115" s="2"/>
      <c r="W115" s="2">
        <v>1530.8744583333337</v>
      </c>
      <c r="X115" s="45">
        <f t="shared" si="67"/>
        <v>1718.8831250000003</v>
      </c>
      <c r="Y115" s="2">
        <v>0</v>
      </c>
      <c r="Z115" s="2">
        <v>525</v>
      </c>
      <c r="AA115" s="2">
        <v>0</v>
      </c>
      <c r="AB115" s="45">
        <f t="shared" si="43"/>
        <v>525</v>
      </c>
      <c r="AC115" s="84">
        <f t="shared" si="65"/>
        <v>1530.8744583333337</v>
      </c>
      <c r="AD115" s="39">
        <v>3000</v>
      </c>
      <c r="AE115" s="40">
        <f t="shared" si="91"/>
        <v>8787.7504166666604</v>
      </c>
      <c r="AF115" s="1">
        <f t="shared" si="92"/>
        <v>13.200000000000001</v>
      </c>
      <c r="AG115" s="1">
        <f t="shared" si="93"/>
        <v>18</v>
      </c>
      <c r="AH115" s="41">
        <f t="shared" si="94"/>
        <v>16.778392866238509</v>
      </c>
      <c r="AJ115">
        <v>1.1000000000000001</v>
      </c>
      <c r="AK115">
        <v>1.5</v>
      </c>
      <c r="AL115" s="32">
        <f t="shared" si="95"/>
        <v>11787.75041666666</v>
      </c>
      <c r="AM115" s="4">
        <f t="shared" si="96"/>
        <v>0.25450148620031099</v>
      </c>
      <c r="AN115" s="4">
        <f t="shared" si="97"/>
        <v>0.74549851379968901</v>
      </c>
    </row>
    <row r="116" spans="3:40" hidden="1" x14ac:dyDescent="0.3">
      <c r="C116" s="1">
        <f t="shared" si="66"/>
        <v>2025</v>
      </c>
      <c r="D116" s="52">
        <f>+'Fisico ASIG'!B116</f>
        <v>45992</v>
      </c>
      <c r="E116" s="1">
        <v>16</v>
      </c>
      <c r="F116" s="1" t="s">
        <v>47</v>
      </c>
      <c r="G116" s="5">
        <v>46022</v>
      </c>
      <c r="H116" s="2">
        <v>7251.7055833333343</v>
      </c>
      <c r="I116" s="2">
        <v>1294.5096666666668</v>
      </c>
      <c r="J116" s="2">
        <v>301.9197916666667</v>
      </c>
      <c r="K116" s="2"/>
      <c r="L116" s="1">
        <v>0</v>
      </c>
      <c r="M116" s="35">
        <f t="shared" si="41"/>
        <v>8848.1350416666683</v>
      </c>
      <c r="N116" s="2">
        <v>11227.783541666658</v>
      </c>
      <c r="O116" s="2">
        <v>1342.5555833333335</v>
      </c>
      <c r="P116" s="2">
        <v>953.29183333333344</v>
      </c>
      <c r="Q116" s="2"/>
      <c r="R116" s="1">
        <v>0</v>
      </c>
      <c r="S116" s="35">
        <f t="shared" si="42"/>
        <v>13523.630958333324</v>
      </c>
      <c r="T116" s="2">
        <v>0</v>
      </c>
      <c r="U116" s="2">
        <v>188.50637500000002</v>
      </c>
      <c r="V116" s="2"/>
      <c r="W116" s="2">
        <v>1666.515333333333</v>
      </c>
      <c r="X116" s="45">
        <f t="shared" si="67"/>
        <v>1855.021708333333</v>
      </c>
      <c r="Y116" s="2">
        <v>0</v>
      </c>
      <c r="Z116" s="2">
        <v>525</v>
      </c>
      <c r="AA116" s="2">
        <v>0</v>
      </c>
      <c r="AB116" s="45">
        <f t="shared" si="43"/>
        <v>525</v>
      </c>
      <c r="AC116" s="84">
        <f t="shared" si="65"/>
        <v>1666.515333333333</v>
      </c>
      <c r="AD116" s="39">
        <v>3000</v>
      </c>
      <c r="AE116" s="40">
        <f t="shared" si="91"/>
        <v>8227.7835416666585</v>
      </c>
      <c r="AF116" s="1">
        <f t="shared" si="92"/>
        <v>13.200000000000001</v>
      </c>
      <c r="AG116" s="1">
        <f t="shared" si="93"/>
        <v>18</v>
      </c>
      <c r="AH116" s="41">
        <f t="shared" si="94"/>
        <v>16.717467259093379</v>
      </c>
      <c r="AJ116">
        <v>1.1000000000000001</v>
      </c>
      <c r="AK116">
        <v>1.5</v>
      </c>
      <c r="AL116" s="32">
        <f t="shared" si="95"/>
        <v>11227.783541666658</v>
      </c>
      <c r="AM116" s="4">
        <f t="shared" si="96"/>
        <v>0.26719432102221291</v>
      </c>
      <c r="AN116" s="4">
        <f t="shared" si="97"/>
        <v>0.73280567897778703</v>
      </c>
    </row>
    <row r="117" spans="3:40" hidden="1" x14ac:dyDescent="0.3">
      <c r="C117" s="1">
        <f t="shared" si="66"/>
        <v>2026</v>
      </c>
      <c r="D117" s="52">
        <f>+'Fisico ASIG'!B117</f>
        <v>46023</v>
      </c>
      <c r="E117" s="1">
        <v>4</v>
      </c>
      <c r="F117" s="1" t="s">
        <v>48</v>
      </c>
      <c r="G117" s="5">
        <v>46023</v>
      </c>
      <c r="H117" s="77">
        <v>5694.1821666666638</v>
      </c>
      <c r="I117" s="77">
        <v>1141.6510000000001</v>
      </c>
      <c r="J117" s="77">
        <v>272.411</v>
      </c>
      <c r="K117" s="77"/>
      <c r="L117" s="77">
        <v>0</v>
      </c>
      <c r="M117" s="81">
        <f t="shared" si="41"/>
        <v>7108.2441666666637</v>
      </c>
      <c r="N117" s="77">
        <v>12494.390208333332</v>
      </c>
      <c r="O117" s="77">
        <v>1352.1452499999998</v>
      </c>
      <c r="P117" s="77">
        <v>991.78983333333338</v>
      </c>
      <c r="Q117" s="77"/>
      <c r="R117" s="77">
        <v>0</v>
      </c>
      <c r="S117" s="81">
        <f t="shared" si="42"/>
        <v>14838.325291666666</v>
      </c>
      <c r="T117" s="77">
        <v>0</v>
      </c>
      <c r="U117" s="77">
        <v>191.22058333333334</v>
      </c>
      <c r="V117" s="77"/>
      <c r="W117" s="77">
        <v>1459.4038333333333</v>
      </c>
      <c r="X117" s="82">
        <f t="shared" si="67"/>
        <v>1650.6244166666665</v>
      </c>
      <c r="Y117" s="77">
        <v>0</v>
      </c>
      <c r="Z117" s="77">
        <v>525</v>
      </c>
      <c r="AA117" s="77">
        <v>0</v>
      </c>
      <c r="AB117" s="82">
        <f t="shared" si="43"/>
        <v>525</v>
      </c>
      <c r="AC117" s="84">
        <f t="shared" si="65"/>
        <v>1459.4038333333333</v>
      </c>
      <c r="AD117" s="39">
        <v>3000</v>
      </c>
      <c r="AE117" s="40">
        <f t="shared" si="91"/>
        <v>9494.3902083333323</v>
      </c>
      <c r="AF117" s="1">
        <f t="shared" si="92"/>
        <v>13.200000000000001</v>
      </c>
      <c r="AG117" s="1">
        <f t="shared" si="93"/>
        <v>18</v>
      </c>
      <c r="AH117" s="41">
        <f t="shared" si="94"/>
        <v>16.847482769475562</v>
      </c>
      <c r="AJ117">
        <v>1.1000000000000001</v>
      </c>
      <c r="AK117">
        <v>1.5</v>
      </c>
      <c r="AL117" s="32">
        <f t="shared" si="95"/>
        <v>12494.390208333332</v>
      </c>
      <c r="AM117" s="4">
        <f t="shared" si="96"/>
        <v>0.2401077563592581</v>
      </c>
      <c r="AN117" s="4">
        <f t="shared" si="97"/>
        <v>0.75989224364074193</v>
      </c>
    </row>
    <row r="118" spans="3:40" hidden="1" x14ac:dyDescent="0.3">
      <c r="C118" s="1">
        <f t="shared" si="66"/>
        <v>2026</v>
      </c>
      <c r="D118" s="52">
        <f>+'Fisico ASIG'!B118</f>
        <v>46023</v>
      </c>
      <c r="E118" s="1">
        <v>16</v>
      </c>
      <c r="F118" s="1" t="s">
        <v>49</v>
      </c>
      <c r="G118" s="5">
        <v>46024</v>
      </c>
      <c r="H118" s="77">
        <v>6536.1435833333371</v>
      </c>
      <c r="I118" s="77">
        <v>1148.9127916666666</v>
      </c>
      <c r="J118" s="77">
        <v>371.75025000000005</v>
      </c>
      <c r="K118" s="77"/>
      <c r="L118" s="77">
        <v>0</v>
      </c>
      <c r="M118" s="81">
        <f t="shared" si="41"/>
        <v>8056.8066250000038</v>
      </c>
      <c r="N118" s="77">
        <v>12625.99745833333</v>
      </c>
      <c r="O118" s="77">
        <v>1345.8024583333333</v>
      </c>
      <c r="P118" s="77">
        <v>992.05533333333335</v>
      </c>
      <c r="Q118" s="77"/>
      <c r="R118" s="77">
        <v>0</v>
      </c>
      <c r="S118" s="81">
        <f t="shared" si="42"/>
        <v>14963.855249999997</v>
      </c>
      <c r="T118" s="77">
        <v>0</v>
      </c>
      <c r="U118" s="77">
        <v>189.28845833333335</v>
      </c>
      <c r="V118" s="77"/>
      <c r="W118" s="77">
        <v>1540.0257083333333</v>
      </c>
      <c r="X118" s="82">
        <f t="shared" si="67"/>
        <v>1729.3141666666668</v>
      </c>
      <c r="Y118" s="77">
        <v>0</v>
      </c>
      <c r="Z118" s="77">
        <v>525</v>
      </c>
      <c r="AA118" s="77">
        <v>0</v>
      </c>
      <c r="AB118" s="82">
        <f t="shared" si="43"/>
        <v>525</v>
      </c>
      <c r="AC118" s="84">
        <f t="shared" si="65"/>
        <v>1540.0257083333333</v>
      </c>
      <c r="AD118" s="39">
        <v>3000</v>
      </c>
      <c r="AE118" s="40">
        <f t="shared" si="91"/>
        <v>9625.9974583333296</v>
      </c>
      <c r="AF118" s="1">
        <f t="shared" si="92"/>
        <v>13.200000000000001</v>
      </c>
      <c r="AG118" s="1">
        <f t="shared" si="93"/>
        <v>18</v>
      </c>
      <c r="AH118" s="41">
        <f t="shared" si="94"/>
        <v>16.85949604793435</v>
      </c>
      <c r="AJ118">
        <v>1.1000000000000001</v>
      </c>
      <c r="AK118">
        <v>1.5</v>
      </c>
      <c r="AL118" s="32">
        <f t="shared" si="95"/>
        <v>12625.99745833333</v>
      </c>
      <c r="AM118" s="4">
        <f t="shared" si="96"/>
        <v>0.23760499001367685</v>
      </c>
      <c r="AN118" s="4">
        <f t="shared" si="97"/>
        <v>0.76239500998632315</v>
      </c>
    </row>
    <row r="119" spans="3:40" hidden="1" x14ac:dyDescent="0.3">
      <c r="C119" s="1">
        <f t="shared" si="66"/>
        <v>2026</v>
      </c>
      <c r="D119" s="52">
        <f>+'Fisico ASIG'!B119</f>
        <v>46023</v>
      </c>
      <c r="E119" s="1">
        <v>6</v>
      </c>
      <c r="F119" s="1" t="s">
        <v>43</v>
      </c>
      <c r="G119" s="5">
        <v>46025</v>
      </c>
      <c r="H119" s="77">
        <v>5180.3701666666657</v>
      </c>
      <c r="I119" s="77">
        <v>1000.6248333333334</v>
      </c>
      <c r="J119" s="77">
        <v>369.88933333333335</v>
      </c>
      <c r="K119" s="77"/>
      <c r="L119" s="77">
        <v>0</v>
      </c>
      <c r="M119" s="81">
        <f t="shared" ref="M119:M148" si="98">SUM(H119:L119)</f>
        <v>6550.8843333333325</v>
      </c>
      <c r="N119" s="77">
        <v>12734.728624999998</v>
      </c>
      <c r="O119" s="77">
        <v>1349.2882499999998</v>
      </c>
      <c r="P119" s="77">
        <v>992.13887499999998</v>
      </c>
      <c r="Q119" s="77"/>
      <c r="R119" s="77">
        <v>0</v>
      </c>
      <c r="S119" s="81">
        <f t="shared" ref="S119:S182" si="99">SUM(N119:R119)</f>
        <v>15076.155749999998</v>
      </c>
      <c r="T119" s="77">
        <v>0</v>
      </c>
      <c r="U119" s="77">
        <v>193.76908333333336</v>
      </c>
      <c r="V119" s="77"/>
      <c r="W119" s="77">
        <v>1477.1644583333332</v>
      </c>
      <c r="X119" s="82">
        <f t="shared" si="67"/>
        <v>1670.9335416666665</v>
      </c>
      <c r="Y119" s="77">
        <v>0</v>
      </c>
      <c r="Z119" s="77">
        <v>525</v>
      </c>
      <c r="AA119" s="77">
        <v>0</v>
      </c>
      <c r="AB119" s="82">
        <f t="shared" ref="AB119:AB182" si="100">SUM(Y119:AA119)</f>
        <v>525</v>
      </c>
      <c r="AC119" s="84">
        <f t="shared" si="65"/>
        <v>1477.1644583333332</v>
      </c>
      <c r="AD119" s="39">
        <v>3000</v>
      </c>
      <c r="AE119" s="40">
        <f t="shared" ref="AE119:AE127" si="101">+N119-AD119</f>
        <v>9734.7286249999979</v>
      </c>
      <c r="AF119" s="1">
        <f t="shared" ref="AF119:AF127" si="102">12*AJ119</f>
        <v>13.200000000000001</v>
      </c>
      <c r="AG119" s="1">
        <f t="shared" ref="AG119:AG127" si="103">12*AK119</f>
        <v>18</v>
      </c>
      <c r="AH119" s="41">
        <f t="shared" ref="AH119:AH127" si="104">+(AD119*AF119+AG119*AE119)/SUM(AD119:AE119)</f>
        <v>16.869233854600495</v>
      </c>
      <c r="AJ119">
        <v>1.1000000000000001</v>
      </c>
      <c r="AK119">
        <v>1.5</v>
      </c>
      <c r="AL119" s="32">
        <f t="shared" ref="AL119:AL126" si="105">+AD119+AE119</f>
        <v>12734.728624999998</v>
      </c>
      <c r="AM119" s="4">
        <f t="shared" ref="AM119:AM126" si="106">+AD119/AL119</f>
        <v>0.23557628029156377</v>
      </c>
      <c r="AN119" s="4">
        <f t="shared" ref="AN119:AN126" si="107">+AE119/AL119</f>
        <v>0.76442371970843626</v>
      </c>
    </row>
    <row r="120" spans="3:40" hidden="1" x14ac:dyDescent="0.3">
      <c r="C120" s="1">
        <f t="shared" si="66"/>
        <v>2026</v>
      </c>
      <c r="D120" s="52">
        <f>+'Fisico ASIG'!B120</f>
        <v>46023</v>
      </c>
      <c r="E120" s="1">
        <v>4</v>
      </c>
      <c r="F120" s="1" t="s">
        <v>44</v>
      </c>
      <c r="G120" s="5">
        <v>46026</v>
      </c>
      <c r="H120" s="77">
        <v>4426.3187916666657</v>
      </c>
      <c r="I120" s="77">
        <v>708.86991666666665</v>
      </c>
      <c r="J120" s="77">
        <v>400.56058333333334</v>
      </c>
      <c r="K120" s="77"/>
      <c r="L120" s="77">
        <v>0</v>
      </c>
      <c r="M120" s="81">
        <f>SUM(H120:L120)</f>
        <v>5535.7492916666652</v>
      </c>
      <c r="N120" s="77">
        <v>12733.695041666664</v>
      </c>
      <c r="O120" s="77">
        <v>1081.7781249999998</v>
      </c>
      <c r="P120" s="77">
        <v>991.93074999999999</v>
      </c>
      <c r="Q120" s="77"/>
      <c r="R120" s="77">
        <v>0</v>
      </c>
      <c r="S120" s="81">
        <f t="shared" si="99"/>
        <v>14807.403916666663</v>
      </c>
      <c r="T120" s="77">
        <v>0</v>
      </c>
      <c r="U120" s="77">
        <v>190.86699999999999</v>
      </c>
      <c r="V120" s="77"/>
      <c r="W120" s="77">
        <v>1022.6011666666666</v>
      </c>
      <c r="X120" s="82">
        <f t="shared" si="67"/>
        <v>1213.4681666666665</v>
      </c>
      <c r="Y120" s="77">
        <v>0</v>
      </c>
      <c r="Z120" s="77">
        <v>525</v>
      </c>
      <c r="AA120" s="77">
        <v>0</v>
      </c>
      <c r="AB120" s="82">
        <f t="shared" si="100"/>
        <v>525</v>
      </c>
      <c r="AC120" s="84">
        <f t="shared" si="65"/>
        <v>1022.6011666666666</v>
      </c>
      <c r="AD120" s="39">
        <v>3000</v>
      </c>
      <c r="AE120" s="40">
        <f t="shared" si="101"/>
        <v>9733.6950416666641</v>
      </c>
      <c r="AF120" s="1">
        <f t="shared" si="102"/>
        <v>13.200000000000001</v>
      </c>
      <c r="AG120" s="1">
        <f t="shared" si="103"/>
        <v>18</v>
      </c>
      <c r="AH120" s="41">
        <f t="shared" si="104"/>
        <v>16.86914207126204</v>
      </c>
      <c r="AJ120">
        <v>1.1000000000000001</v>
      </c>
      <c r="AK120">
        <v>1.5</v>
      </c>
      <c r="AL120" s="32">
        <f t="shared" si="105"/>
        <v>12733.695041666664</v>
      </c>
      <c r="AM120" s="4">
        <f t="shared" si="106"/>
        <v>0.23559540182040842</v>
      </c>
      <c r="AN120" s="4">
        <f t="shared" si="107"/>
        <v>0.76440459817959161</v>
      </c>
    </row>
    <row r="121" spans="3:40" hidden="1" x14ac:dyDescent="0.3">
      <c r="C121" s="1">
        <f t="shared" si="66"/>
        <v>2026</v>
      </c>
      <c r="D121" s="52">
        <f>+'Fisico ASIG'!B121</f>
        <v>46023</v>
      </c>
      <c r="E121" s="1">
        <v>16</v>
      </c>
      <c r="F121" s="1" t="s">
        <v>45</v>
      </c>
      <c r="G121" s="5">
        <v>46027</v>
      </c>
      <c r="H121" s="77">
        <v>5076.9667083333316</v>
      </c>
      <c r="I121" s="77">
        <v>901.27329166666675</v>
      </c>
      <c r="J121" s="77">
        <v>392.74795833333337</v>
      </c>
      <c r="K121" s="77"/>
      <c r="L121" s="77">
        <v>0</v>
      </c>
      <c r="M121" s="81">
        <f t="shared" si="98"/>
        <v>6370.9879583333313</v>
      </c>
      <c r="N121" s="77">
        <v>12698.565541666661</v>
      </c>
      <c r="O121" s="77">
        <v>1296.8968333333335</v>
      </c>
      <c r="P121" s="77">
        <v>991.75529166666672</v>
      </c>
      <c r="Q121" s="77"/>
      <c r="R121" s="77">
        <v>0</v>
      </c>
      <c r="S121" s="81">
        <f t="shared" si="99"/>
        <v>14987.217666666662</v>
      </c>
      <c r="T121" s="77">
        <v>0</v>
      </c>
      <c r="U121" s="77">
        <v>189.18725000000003</v>
      </c>
      <c r="V121" s="77"/>
      <c r="W121" s="77">
        <v>1768.1955833333336</v>
      </c>
      <c r="X121" s="82">
        <f t="shared" si="67"/>
        <v>1957.3828333333336</v>
      </c>
      <c r="Y121" s="77">
        <v>0</v>
      </c>
      <c r="Z121" s="77">
        <v>525</v>
      </c>
      <c r="AA121" s="77">
        <v>0</v>
      </c>
      <c r="AB121" s="82">
        <f t="shared" si="100"/>
        <v>525</v>
      </c>
      <c r="AC121" s="84">
        <f t="shared" si="65"/>
        <v>1768.1955833333336</v>
      </c>
      <c r="AD121" s="39">
        <v>3000</v>
      </c>
      <c r="AE121" s="40">
        <f t="shared" si="101"/>
        <v>9698.5655416666614</v>
      </c>
      <c r="AF121" s="1">
        <f t="shared" si="102"/>
        <v>13.200000000000001</v>
      </c>
      <c r="AG121" s="1">
        <f t="shared" si="103"/>
        <v>18</v>
      </c>
      <c r="AH121" s="41">
        <f t="shared" si="104"/>
        <v>16.866013649120401</v>
      </c>
      <c r="AJ121">
        <v>1.1000000000000001</v>
      </c>
      <c r="AK121">
        <v>1.5</v>
      </c>
      <c r="AL121" s="32">
        <f t="shared" si="105"/>
        <v>12698.565541666661</v>
      </c>
      <c r="AM121" s="4">
        <f t="shared" si="106"/>
        <v>0.23624715643324987</v>
      </c>
      <c r="AN121" s="4">
        <f t="shared" si="107"/>
        <v>0.76375284356675011</v>
      </c>
    </row>
    <row r="122" spans="3:40" hidden="1" x14ac:dyDescent="0.3">
      <c r="C122" s="1">
        <f t="shared" si="66"/>
        <v>2026</v>
      </c>
      <c r="D122" s="52">
        <f>+'Fisico ASIG'!B122</f>
        <v>46023</v>
      </c>
      <c r="E122" s="1">
        <v>16</v>
      </c>
      <c r="F122" s="1" t="s">
        <v>46</v>
      </c>
      <c r="G122" s="5">
        <v>46028</v>
      </c>
      <c r="H122" s="77">
        <v>5802.1194583333336</v>
      </c>
      <c r="I122" s="77">
        <v>930.18458333333342</v>
      </c>
      <c r="J122" s="77">
        <v>401.51150000000007</v>
      </c>
      <c r="K122" s="77"/>
      <c r="L122" s="77">
        <v>0</v>
      </c>
      <c r="M122" s="81">
        <f t="shared" si="98"/>
        <v>7133.8155416666668</v>
      </c>
      <c r="N122" s="77">
        <v>12717.819166666661</v>
      </c>
      <c r="O122" s="77">
        <v>1277.4840833333333</v>
      </c>
      <c r="P122" s="77">
        <v>989.90350000000001</v>
      </c>
      <c r="Q122" s="77"/>
      <c r="R122" s="77">
        <v>0</v>
      </c>
      <c r="S122" s="81">
        <f t="shared" si="99"/>
        <v>14985.206749999994</v>
      </c>
      <c r="T122" s="77">
        <v>0</v>
      </c>
      <c r="U122" s="77">
        <v>190.22308333333339</v>
      </c>
      <c r="V122" s="77"/>
      <c r="W122" s="77">
        <v>1853.306458333333</v>
      </c>
      <c r="X122" s="82">
        <f t="shared" si="67"/>
        <v>2043.5295416666663</v>
      </c>
      <c r="Y122" s="77">
        <v>0</v>
      </c>
      <c r="Z122" s="77">
        <v>525</v>
      </c>
      <c r="AA122" s="77">
        <v>0</v>
      </c>
      <c r="AB122" s="82">
        <f t="shared" si="100"/>
        <v>525</v>
      </c>
      <c r="AC122" s="84">
        <f t="shared" si="65"/>
        <v>1853.306458333333</v>
      </c>
      <c r="AD122" s="39">
        <v>3000</v>
      </c>
      <c r="AE122" s="40">
        <f t="shared" si="101"/>
        <v>9717.8191666666607</v>
      </c>
      <c r="AF122" s="1">
        <f t="shared" si="102"/>
        <v>13.200000000000001</v>
      </c>
      <c r="AG122" s="1">
        <f t="shared" si="103"/>
        <v>18</v>
      </c>
      <c r="AH122" s="41">
        <f t="shared" si="104"/>
        <v>16.867730401628737</v>
      </c>
      <c r="AJ122">
        <v>1.1000000000000001</v>
      </c>
      <c r="AK122">
        <v>1.5</v>
      </c>
      <c r="AL122" s="32">
        <f t="shared" si="105"/>
        <v>12717.819166666661</v>
      </c>
      <c r="AM122" s="4">
        <f t="shared" si="106"/>
        <v>0.23588949966067962</v>
      </c>
      <c r="AN122" s="4">
        <f t="shared" si="107"/>
        <v>0.76411050033932038</v>
      </c>
    </row>
    <row r="123" spans="3:40" hidden="1" x14ac:dyDescent="0.3">
      <c r="C123" s="1">
        <f t="shared" ref="C123:C129" si="108">YEAR(G123)</f>
        <v>2026</v>
      </c>
      <c r="D123" s="52">
        <f>+'Fisico ASIG'!B123</f>
        <v>46023</v>
      </c>
      <c r="E123" s="1">
        <v>16</v>
      </c>
      <c r="F123" s="1" t="s">
        <v>47</v>
      </c>
      <c r="G123" s="5">
        <v>46029</v>
      </c>
      <c r="H123" s="77">
        <v>6049.6004166666662</v>
      </c>
      <c r="I123" s="77">
        <v>999.26324999999997</v>
      </c>
      <c r="J123" s="77">
        <v>391.0567916666667</v>
      </c>
      <c r="K123" s="77"/>
      <c r="L123" s="77">
        <v>0</v>
      </c>
      <c r="M123" s="81">
        <f t="shared" si="98"/>
        <v>7439.920458333333</v>
      </c>
      <c r="N123" s="77">
        <v>12880.418541666666</v>
      </c>
      <c r="O123" s="77">
        <v>1291.5996250000001</v>
      </c>
      <c r="P123" s="77">
        <v>991.90358333333336</v>
      </c>
      <c r="Q123" s="77"/>
      <c r="R123" s="77">
        <v>0</v>
      </c>
      <c r="S123" s="81">
        <f t="shared" si="99"/>
        <v>15163.92175</v>
      </c>
      <c r="T123" s="77">
        <v>0</v>
      </c>
      <c r="U123" s="77">
        <v>192.69054166666663</v>
      </c>
      <c r="V123" s="77"/>
      <c r="W123" s="77">
        <v>1629.5864166666668</v>
      </c>
      <c r="X123" s="82">
        <f t="shared" si="67"/>
        <v>1822.2769583333334</v>
      </c>
      <c r="Y123" s="77">
        <v>0</v>
      </c>
      <c r="Z123" s="77">
        <v>525</v>
      </c>
      <c r="AA123" s="77">
        <v>0</v>
      </c>
      <c r="AB123" s="82">
        <f t="shared" si="100"/>
        <v>525</v>
      </c>
      <c r="AC123" s="84">
        <f t="shared" si="65"/>
        <v>1629.5864166666668</v>
      </c>
      <c r="AD123" s="39">
        <v>3000</v>
      </c>
      <c r="AE123" s="40">
        <f t="shared" si="101"/>
        <v>9880.418541666666</v>
      </c>
      <c r="AF123" s="1">
        <f t="shared" si="102"/>
        <v>13.200000000000001</v>
      </c>
      <c r="AG123" s="1">
        <f t="shared" si="103"/>
        <v>18</v>
      </c>
      <c r="AH123" s="41">
        <f t="shared" si="104"/>
        <v>16.882023906799486</v>
      </c>
      <c r="AJ123">
        <v>1.1000000000000001</v>
      </c>
      <c r="AK123">
        <v>1.5</v>
      </c>
      <c r="AL123" s="32">
        <f t="shared" si="105"/>
        <v>12880.418541666666</v>
      </c>
      <c r="AM123" s="4">
        <f t="shared" si="106"/>
        <v>0.23291168608344104</v>
      </c>
      <c r="AN123" s="4">
        <f t="shared" si="107"/>
        <v>0.76708831391655896</v>
      </c>
    </row>
    <row r="124" spans="3:40" hidden="1" x14ac:dyDescent="0.3">
      <c r="C124" s="1">
        <f t="shared" si="108"/>
        <v>2026</v>
      </c>
      <c r="D124" s="52">
        <f>+'Fisico ASIG'!B124</f>
        <v>46023</v>
      </c>
      <c r="E124" s="1">
        <v>16</v>
      </c>
      <c r="F124" s="1" t="s">
        <v>48</v>
      </c>
      <c r="G124" s="5">
        <v>46030</v>
      </c>
      <c r="H124" s="77">
        <v>5271.6415416666659</v>
      </c>
      <c r="I124" s="77">
        <v>1038.3004583333334</v>
      </c>
      <c r="J124" s="77">
        <v>300.18212500000004</v>
      </c>
      <c r="K124" s="77"/>
      <c r="L124" s="77">
        <v>0</v>
      </c>
      <c r="M124" s="81">
        <f t="shared" si="98"/>
        <v>6610.1241249999994</v>
      </c>
      <c r="N124" s="77">
        <v>12961.326916666656</v>
      </c>
      <c r="O124" s="77">
        <v>1325.1554583333334</v>
      </c>
      <c r="P124" s="77">
        <v>991.66000000000008</v>
      </c>
      <c r="Q124" s="77"/>
      <c r="R124" s="77">
        <v>0</v>
      </c>
      <c r="S124" s="81">
        <f t="shared" si="99"/>
        <v>15278.142374999989</v>
      </c>
      <c r="T124" s="77">
        <v>0</v>
      </c>
      <c r="U124" s="77">
        <v>190.78183333333337</v>
      </c>
      <c r="V124" s="77"/>
      <c r="W124" s="77">
        <v>1164.5545000000002</v>
      </c>
      <c r="X124" s="82">
        <f t="shared" si="67"/>
        <v>1355.3363333333336</v>
      </c>
      <c r="Y124" s="77">
        <v>0</v>
      </c>
      <c r="Z124" s="77">
        <v>525</v>
      </c>
      <c r="AA124" s="77">
        <v>0</v>
      </c>
      <c r="AB124" s="82">
        <f t="shared" si="100"/>
        <v>525</v>
      </c>
      <c r="AC124" s="84">
        <f t="shared" si="65"/>
        <v>1164.5545000000002</v>
      </c>
      <c r="AD124" s="39">
        <v>3000</v>
      </c>
      <c r="AE124" s="40">
        <f t="shared" si="101"/>
        <v>9961.326916666656</v>
      </c>
      <c r="AF124" s="1">
        <f t="shared" si="102"/>
        <v>13.200000000000001</v>
      </c>
      <c r="AG124" s="1">
        <f t="shared" si="103"/>
        <v>18</v>
      </c>
      <c r="AH124" s="41">
        <f t="shared" si="104"/>
        <v>16.889002638959489</v>
      </c>
      <c r="AJ124">
        <v>1.1000000000000001</v>
      </c>
      <c r="AK124">
        <v>1.5</v>
      </c>
      <c r="AL124" s="32">
        <f t="shared" si="105"/>
        <v>12961.326916666656</v>
      </c>
      <c r="AM124" s="4">
        <f t="shared" si="106"/>
        <v>0.23145778355010649</v>
      </c>
      <c r="AN124" s="4">
        <f t="shared" si="107"/>
        <v>0.76854221644989351</v>
      </c>
    </row>
    <row r="125" spans="3:40" hidden="1" x14ac:dyDescent="0.3">
      <c r="C125" s="1">
        <f t="shared" si="108"/>
        <v>2026</v>
      </c>
      <c r="D125" s="52">
        <f>+'Fisico ASIG'!B125</f>
        <v>46023</v>
      </c>
      <c r="E125" s="1">
        <v>16</v>
      </c>
      <c r="F125" s="1" t="s">
        <v>49</v>
      </c>
      <c r="G125" s="5">
        <v>46031</v>
      </c>
      <c r="H125" s="77">
        <v>4903.1814166666645</v>
      </c>
      <c r="I125" s="77">
        <v>1054.7416666666666</v>
      </c>
      <c r="J125" s="77">
        <v>328.08129166666674</v>
      </c>
      <c r="K125" s="77">
        <v>9.4417968750000014</v>
      </c>
      <c r="L125" s="77">
        <v>0</v>
      </c>
      <c r="M125" s="81">
        <f t="shared" si="98"/>
        <v>6295.4461718749981</v>
      </c>
      <c r="N125" s="77">
        <v>12584.412624999986</v>
      </c>
      <c r="O125" s="77">
        <v>1401.3843750000001</v>
      </c>
      <c r="P125" s="77">
        <v>991.66000000000008</v>
      </c>
      <c r="Q125" s="77">
        <v>102.735</v>
      </c>
      <c r="R125" s="77">
        <v>0</v>
      </c>
      <c r="S125" s="81">
        <f t="shared" si="99"/>
        <v>15080.191999999986</v>
      </c>
      <c r="T125" s="77">
        <v>0</v>
      </c>
      <c r="U125" s="77">
        <v>186.59229166666671</v>
      </c>
      <c r="V125" s="77"/>
      <c r="W125" s="77">
        <v>1124.7836666666669</v>
      </c>
      <c r="X125" s="82">
        <f t="shared" si="67"/>
        <v>1311.3759583333335</v>
      </c>
      <c r="Y125" s="77">
        <v>0</v>
      </c>
      <c r="Z125" s="77">
        <v>525</v>
      </c>
      <c r="AA125" s="77">
        <v>0</v>
      </c>
      <c r="AB125" s="82">
        <f t="shared" si="100"/>
        <v>525</v>
      </c>
      <c r="AC125" s="84">
        <f t="shared" si="65"/>
        <v>1124.7836666666669</v>
      </c>
      <c r="AD125" s="39">
        <v>3000</v>
      </c>
      <c r="AE125" s="40">
        <f t="shared" si="101"/>
        <v>9584.4126249999863</v>
      </c>
      <c r="AF125" s="1">
        <f t="shared" si="102"/>
        <v>13.200000000000001</v>
      </c>
      <c r="AG125" s="1">
        <f t="shared" si="103"/>
        <v>18</v>
      </c>
      <c r="AH125" s="41">
        <f t="shared" si="104"/>
        <v>16.855727285086537</v>
      </c>
      <c r="AJ125">
        <v>1.1000000000000001</v>
      </c>
      <c r="AK125">
        <v>1.5</v>
      </c>
      <c r="AL125" s="32">
        <f t="shared" si="105"/>
        <v>12584.412624999986</v>
      </c>
      <c r="AM125" s="4">
        <f t="shared" si="106"/>
        <v>0.23839014894030489</v>
      </c>
      <c r="AN125" s="4">
        <f t="shared" si="107"/>
        <v>0.76160985105969514</v>
      </c>
    </row>
    <row r="126" spans="3:40" hidden="1" x14ac:dyDescent="0.3">
      <c r="C126" s="1">
        <f t="shared" si="108"/>
        <v>2026</v>
      </c>
      <c r="D126" s="52">
        <f>+'Fisico ASIG'!B126</f>
        <v>46023</v>
      </c>
      <c r="E126" s="1">
        <v>6</v>
      </c>
      <c r="F126" s="1" t="s">
        <v>43</v>
      </c>
      <c r="G126" s="5">
        <v>46032</v>
      </c>
      <c r="H126" s="77">
        <v>4174.5717500000001</v>
      </c>
      <c r="I126" s="77">
        <v>926.46383333333347</v>
      </c>
      <c r="J126" s="77">
        <v>387.14895833333338</v>
      </c>
      <c r="K126" s="77">
        <v>18.445599999999999</v>
      </c>
      <c r="L126" s="77">
        <v>0</v>
      </c>
      <c r="M126" s="81">
        <f t="shared" si="98"/>
        <v>5506.6301416666665</v>
      </c>
      <c r="N126" s="77">
        <v>12059.754583333335</v>
      </c>
      <c r="O126" s="77">
        <v>1430.4726666666666</v>
      </c>
      <c r="P126" s="77">
        <v>991.66000000000008</v>
      </c>
      <c r="Q126" s="77">
        <v>205.47</v>
      </c>
      <c r="R126" s="77">
        <v>0</v>
      </c>
      <c r="S126" s="81">
        <f t="shared" si="99"/>
        <v>14687.357250000001</v>
      </c>
      <c r="T126" s="77">
        <v>0</v>
      </c>
      <c r="U126" s="77">
        <v>188.35495833333331</v>
      </c>
      <c r="V126" s="77"/>
      <c r="W126" s="77">
        <v>1092.1966249999998</v>
      </c>
      <c r="X126" s="82">
        <f t="shared" si="67"/>
        <v>1280.5515833333332</v>
      </c>
      <c r="Y126" s="77">
        <v>0</v>
      </c>
      <c r="Z126" s="77">
        <v>525</v>
      </c>
      <c r="AA126" s="77">
        <v>0</v>
      </c>
      <c r="AB126" s="82">
        <f t="shared" si="100"/>
        <v>525</v>
      </c>
      <c r="AC126" s="84">
        <f t="shared" si="65"/>
        <v>1092.1966249999998</v>
      </c>
      <c r="AD126" s="39">
        <v>3000</v>
      </c>
      <c r="AE126" s="40">
        <f t="shared" si="101"/>
        <v>9059.7545833333352</v>
      </c>
      <c r="AF126" s="1">
        <f t="shared" si="102"/>
        <v>13.200000000000001</v>
      </c>
      <c r="AG126" s="1">
        <f t="shared" si="103"/>
        <v>18</v>
      </c>
      <c r="AH126" s="41">
        <f t="shared" si="104"/>
        <v>16.805945850680832</v>
      </c>
      <c r="AJ126">
        <v>1.1000000000000001</v>
      </c>
      <c r="AK126">
        <v>1.5</v>
      </c>
      <c r="AL126" s="32">
        <f t="shared" si="105"/>
        <v>12059.754583333335</v>
      </c>
      <c r="AM126" s="4">
        <f t="shared" si="106"/>
        <v>0.24876128110815959</v>
      </c>
      <c r="AN126" s="4">
        <f t="shared" si="107"/>
        <v>0.75123871889184035</v>
      </c>
    </row>
    <row r="127" spans="3:40" hidden="1" x14ac:dyDescent="0.3">
      <c r="C127" s="1">
        <f t="shared" si="108"/>
        <v>2026</v>
      </c>
      <c r="D127" s="52">
        <f>+'Fisico ASIG'!B127</f>
        <v>46023</v>
      </c>
      <c r="E127" s="1">
        <v>4</v>
      </c>
      <c r="F127" s="1" t="s">
        <v>44</v>
      </c>
      <c r="G127" s="5">
        <v>46033</v>
      </c>
      <c r="H127" s="77">
        <v>3937.5202499999996</v>
      </c>
      <c r="I127" s="77">
        <v>877.52575000000013</v>
      </c>
      <c r="J127" s="77">
        <v>344.1005833333333</v>
      </c>
      <c r="K127" s="77">
        <v>13.767331250000002</v>
      </c>
      <c r="L127" s="77">
        <v>0</v>
      </c>
      <c r="M127" s="81">
        <f t="shared" si="98"/>
        <v>5172.9139145833324</v>
      </c>
      <c r="N127" s="77">
        <v>12219.693333333333</v>
      </c>
      <c r="O127" s="77">
        <v>1375.1474583333334</v>
      </c>
      <c r="P127" s="77">
        <v>991.66000000000008</v>
      </c>
      <c r="Q127" s="77">
        <v>205.47</v>
      </c>
      <c r="R127" s="77">
        <v>0</v>
      </c>
      <c r="S127" s="81">
        <f t="shared" si="99"/>
        <v>14791.970791666665</v>
      </c>
      <c r="T127" s="77">
        <v>0</v>
      </c>
      <c r="U127" s="77">
        <v>188.99066666666667</v>
      </c>
      <c r="V127" s="77"/>
      <c r="W127" s="77">
        <v>1607.1102916666671</v>
      </c>
      <c r="X127" s="82">
        <f t="shared" si="67"/>
        <v>1796.1009583333337</v>
      </c>
      <c r="Y127" s="77">
        <v>0</v>
      </c>
      <c r="Z127" s="77">
        <v>525</v>
      </c>
      <c r="AA127" s="77">
        <v>0</v>
      </c>
      <c r="AB127" s="82">
        <f t="shared" si="100"/>
        <v>525</v>
      </c>
      <c r="AC127" s="84">
        <f t="shared" si="65"/>
        <v>1607.1102916666671</v>
      </c>
      <c r="AD127" s="39">
        <v>3000</v>
      </c>
      <c r="AE127" s="40">
        <f t="shared" si="101"/>
        <v>9219.6933333333327</v>
      </c>
      <c r="AF127" s="1">
        <f t="shared" si="102"/>
        <v>13.200000000000001</v>
      </c>
      <c r="AG127" s="1">
        <f t="shared" si="103"/>
        <v>18</v>
      </c>
      <c r="AH127" s="41">
        <f t="shared" si="104"/>
        <v>16.821574354839235</v>
      </c>
      <c r="AJ127">
        <v>1.1000000000000001</v>
      </c>
      <c r="AK127">
        <v>1.5</v>
      </c>
      <c r="AL127" s="32">
        <f t="shared" ref="AL127:AL135" si="109">+AD127+AE127</f>
        <v>12219.693333333333</v>
      </c>
      <c r="AM127" s="4">
        <f t="shared" ref="AM127:AM135" si="110">+AD127/AL127</f>
        <v>0.24550534274182551</v>
      </c>
      <c r="AN127" s="4">
        <f t="shared" ref="AN127:AN135" si="111">+AE127/AL127</f>
        <v>0.75449465725817455</v>
      </c>
    </row>
    <row r="128" spans="3:40" hidden="1" x14ac:dyDescent="0.3">
      <c r="C128" s="1">
        <f t="shared" si="108"/>
        <v>2026</v>
      </c>
      <c r="D128" s="52">
        <f>+'Fisico ASIG'!B128</f>
        <v>46023</v>
      </c>
      <c r="E128" s="1">
        <v>16</v>
      </c>
      <c r="F128" s="1" t="s">
        <v>45</v>
      </c>
      <c r="G128" s="5">
        <v>46034</v>
      </c>
      <c r="H128" s="77">
        <v>6133.0717916666672</v>
      </c>
      <c r="I128" s="77">
        <v>1248.6662083333333</v>
      </c>
      <c r="J128" s="77">
        <v>397.41670833333336</v>
      </c>
      <c r="K128" s="77">
        <v>54.563839583333348</v>
      </c>
      <c r="L128" s="77">
        <v>0</v>
      </c>
      <c r="M128" s="81">
        <f t="shared" si="98"/>
        <v>7833.7185479166665</v>
      </c>
      <c r="N128" s="77">
        <v>12110.208416666663</v>
      </c>
      <c r="O128" s="77">
        <v>1363.8689999999999</v>
      </c>
      <c r="P128" s="77">
        <v>991.66000000000008</v>
      </c>
      <c r="Q128" s="77">
        <v>205.47</v>
      </c>
      <c r="R128" s="77">
        <v>0</v>
      </c>
      <c r="S128" s="81">
        <f t="shared" si="99"/>
        <v>14671.207416666663</v>
      </c>
      <c r="T128" s="77">
        <v>0</v>
      </c>
      <c r="U128" s="77">
        <v>189.89129166666666</v>
      </c>
      <c r="V128" s="77"/>
      <c r="W128" s="77">
        <v>1773.8041666666668</v>
      </c>
      <c r="X128" s="82">
        <f t="shared" si="67"/>
        <v>1963.6954583333334</v>
      </c>
      <c r="Y128" s="77">
        <v>0</v>
      </c>
      <c r="Z128" s="77">
        <v>525</v>
      </c>
      <c r="AA128" s="77">
        <v>0</v>
      </c>
      <c r="AB128" s="82">
        <f t="shared" si="100"/>
        <v>525</v>
      </c>
      <c r="AC128" s="84">
        <f t="shared" si="65"/>
        <v>1773.8041666666668</v>
      </c>
      <c r="AD128" s="39">
        <v>3000</v>
      </c>
      <c r="AE128" s="40">
        <f t="shared" ref="AE128:AE135" si="112">+N128-AD128</f>
        <v>9110.2084166666627</v>
      </c>
      <c r="AF128" s="1">
        <f t="shared" ref="AF128:AF135" si="113">12*AJ128</f>
        <v>13.200000000000001</v>
      </c>
      <c r="AG128" s="1">
        <f t="shared" ref="AG128:AG135" si="114">12*AK128</f>
        <v>18</v>
      </c>
      <c r="AH128" s="41">
        <f t="shared" ref="AH128:AH135" si="115">+(AD128*AF128+AG128*AE128)/SUM(AD128:AE128)</f>
        <v>16.810920546983979</v>
      </c>
      <c r="AJ128">
        <v>1.1000000000000001</v>
      </c>
      <c r="AK128">
        <v>1.5</v>
      </c>
      <c r="AL128" s="32">
        <f t="shared" si="109"/>
        <v>12110.208416666663</v>
      </c>
      <c r="AM128" s="4">
        <f t="shared" si="110"/>
        <v>0.24772488604500423</v>
      </c>
      <c r="AN128" s="4">
        <f t="shared" si="111"/>
        <v>0.7522751139549958</v>
      </c>
    </row>
    <row r="129" spans="3:40" hidden="1" x14ac:dyDescent="0.3">
      <c r="C129" s="1">
        <f t="shared" si="108"/>
        <v>2026</v>
      </c>
      <c r="D129" s="52">
        <f>+'Fisico ASIG'!B129</f>
        <v>46023</v>
      </c>
      <c r="E129" s="1">
        <v>16</v>
      </c>
      <c r="F129" s="1" t="s">
        <v>46</v>
      </c>
      <c r="G129" s="5">
        <v>46035</v>
      </c>
      <c r="H129" s="77">
        <v>7042.1345416666663</v>
      </c>
      <c r="I129" s="77">
        <v>1253.4836250000001</v>
      </c>
      <c r="J129" s="77">
        <v>363.29620833333337</v>
      </c>
      <c r="K129" s="77">
        <v>56.942041666666661</v>
      </c>
      <c r="L129" s="77">
        <v>0</v>
      </c>
      <c r="M129" s="81">
        <f t="shared" si="98"/>
        <v>8715.8564166666674</v>
      </c>
      <c r="N129" s="77">
        <v>12266.304500000002</v>
      </c>
      <c r="O129" s="77">
        <v>1378.4243333333336</v>
      </c>
      <c r="P129" s="77">
        <v>991.66000000000008</v>
      </c>
      <c r="Q129" s="77">
        <v>205.47</v>
      </c>
      <c r="R129" s="77">
        <v>0</v>
      </c>
      <c r="S129" s="81">
        <f t="shared" si="99"/>
        <v>14841.858833333335</v>
      </c>
      <c r="T129" s="77">
        <v>0</v>
      </c>
      <c r="U129" s="77">
        <v>188.19325000000001</v>
      </c>
      <c r="V129" s="77"/>
      <c r="W129" s="77">
        <v>1337.6188333333328</v>
      </c>
      <c r="X129" s="82">
        <f t="shared" si="67"/>
        <v>1525.8120833333328</v>
      </c>
      <c r="Y129" s="77">
        <v>0</v>
      </c>
      <c r="Z129" s="77">
        <v>525</v>
      </c>
      <c r="AA129" s="77">
        <v>0</v>
      </c>
      <c r="AB129" s="82">
        <f t="shared" si="100"/>
        <v>525</v>
      </c>
      <c r="AC129" s="84">
        <f t="shared" si="65"/>
        <v>1337.6188333333328</v>
      </c>
      <c r="AD129" s="39">
        <v>3000</v>
      </c>
      <c r="AE129" s="40">
        <f t="shared" si="112"/>
        <v>9266.304500000002</v>
      </c>
      <c r="AF129" s="1">
        <f t="shared" si="113"/>
        <v>13.200000000000001</v>
      </c>
      <c r="AG129" s="1">
        <f t="shared" si="114"/>
        <v>18</v>
      </c>
      <c r="AH129" s="41">
        <f t="shared" si="115"/>
        <v>16.826052296353804</v>
      </c>
      <c r="AJ129">
        <v>1.1000000000000001</v>
      </c>
      <c r="AK129">
        <v>1.5</v>
      </c>
      <c r="AL129" s="32">
        <f t="shared" si="109"/>
        <v>12266.304500000002</v>
      </c>
      <c r="AM129" s="4">
        <f t="shared" si="110"/>
        <v>0.24457243825962413</v>
      </c>
      <c r="AN129" s="4">
        <f t="shared" si="111"/>
        <v>0.75542756174037584</v>
      </c>
    </row>
    <row r="130" spans="3:40" hidden="1" x14ac:dyDescent="0.3">
      <c r="C130" s="1">
        <f t="shared" ref="C130:C136" si="116">YEAR(G130)</f>
        <v>2026</v>
      </c>
      <c r="D130" s="52">
        <f>+'Fisico ASIG'!B130</f>
        <v>46023</v>
      </c>
      <c r="E130" s="1">
        <v>16</v>
      </c>
      <c r="F130" s="1" t="s">
        <v>47</v>
      </c>
      <c r="G130" s="5">
        <v>46036</v>
      </c>
      <c r="H130" s="77">
        <v>7157.944583333332</v>
      </c>
      <c r="I130" s="77">
        <v>1239.81575</v>
      </c>
      <c r="J130" s="77">
        <v>388.22066666666677</v>
      </c>
      <c r="K130" s="77">
        <v>50.404145833333331</v>
      </c>
      <c r="L130" s="77">
        <v>0</v>
      </c>
      <c r="M130" s="81">
        <f t="shared" si="98"/>
        <v>8836.385145833332</v>
      </c>
      <c r="N130" s="77">
        <v>12194.520333333328</v>
      </c>
      <c r="O130" s="77">
        <v>1417.4294583333335</v>
      </c>
      <c r="P130" s="77">
        <v>991.66000000000008</v>
      </c>
      <c r="Q130" s="77">
        <v>205.47</v>
      </c>
      <c r="R130" s="77">
        <v>0</v>
      </c>
      <c r="S130" s="81">
        <f t="shared" si="99"/>
        <v>14809.079791666662</v>
      </c>
      <c r="T130" s="77">
        <v>0</v>
      </c>
      <c r="U130" s="77">
        <v>189.23762499999998</v>
      </c>
      <c r="V130" s="77"/>
      <c r="W130" s="77">
        <v>1693.8299166666668</v>
      </c>
      <c r="X130" s="82">
        <f t="shared" si="67"/>
        <v>1883.0675416666668</v>
      </c>
      <c r="Y130" s="77">
        <v>0</v>
      </c>
      <c r="Z130" s="77">
        <v>525</v>
      </c>
      <c r="AA130" s="77">
        <v>0</v>
      </c>
      <c r="AB130" s="82">
        <f t="shared" si="100"/>
        <v>525</v>
      </c>
      <c r="AC130" s="84">
        <f t="shared" si="65"/>
        <v>1693.8299166666668</v>
      </c>
      <c r="AD130" s="39">
        <v>3000</v>
      </c>
      <c r="AE130" s="40">
        <f t="shared" si="112"/>
        <v>9194.5203333333284</v>
      </c>
      <c r="AF130" s="1">
        <f t="shared" si="113"/>
        <v>13.200000000000001</v>
      </c>
      <c r="AG130" s="1">
        <f t="shared" si="114"/>
        <v>18</v>
      </c>
      <c r="AH130" s="41">
        <f t="shared" si="115"/>
        <v>16.819141745113331</v>
      </c>
      <c r="AJ130">
        <v>1.1000000000000001</v>
      </c>
      <c r="AK130">
        <v>1.5</v>
      </c>
      <c r="AL130" s="32">
        <f t="shared" si="109"/>
        <v>12194.520333333328</v>
      </c>
      <c r="AM130" s="4">
        <f t="shared" si="110"/>
        <v>0.24601213643472278</v>
      </c>
      <c r="AN130" s="4">
        <f t="shared" si="111"/>
        <v>0.75398786356527725</v>
      </c>
    </row>
    <row r="131" spans="3:40" hidden="1" x14ac:dyDescent="0.3">
      <c r="C131" s="1">
        <f t="shared" si="116"/>
        <v>2026</v>
      </c>
      <c r="D131" s="52">
        <f>+'Fisico ASIG'!B131</f>
        <v>46023</v>
      </c>
      <c r="E131" s="1">
        <v>16</v>
      </c>
      <c r="F131" s="1" t="s">
        <v>48</v>
      </c>
      <c r="G131" s="5">
        <v>46037</v>
      </c>
      <c r="H131" s="77">
        <v>6887.5454166666696</v>
      </c>
      <c r="I131" s="77">
        <v>1331.2016666666666</v>
      </c>
      <c r="J131" s="77">
        <v>419.683875</v>
      </c>
      <c r="K131" s="77">
        <v>37.784995833333333</v>
      </c>
      <c r="L131" s="77">
        <v>0</v>
      </c>
      <c r="M131" s="81">
        <f t="shared" si="98"/>
        <v>8676.2159541666697</v>
      </c>
      <c r="N131" s="77">
        <v>11651.823958333336</v>
      </c>
      <c r="O131" s="77">
        <v>1436.7210416666667</v>
      </c>
      <c r="P131" s="77">
        <v>991.66000000000008</v>
      </c>
      <c r="Q131" s="77">
        <v>199.5</v>
      </c>
      <c r="R131" s="77">
        <v>0</v>
      </c>
      <c r="S131" s="81">
        <f t="shared" si="99"/>
        <v>14279.705000000002</v>
      </c>
      <c r="T131" s="77">
        <v>0</v>
      </c>
      <c r="U131" s="77">
        <v>189.76283333333336</v>
      </c>
      <c r="V131" s="77"/>
      <c r="W131" s="77">
        <v>1582.7330000000006</v>
      </c>
      <c r="X131" s="82">
        <f t="shared" si="67"/>
        <v>1772.4958333333341</v>
      </c>
      <c r="Y131" s="77">
        <v>0</v>
      </c>
      <c r="Z131" s="77">
        <v>525</v>
      </c>
      <c r="AA131" s="77">
        <v>0</v>
      </c>
      <c r="AB131" s="82">
        <f t="shared" si="100"/>
        <v>525</v>
      </c>
      <c r="AC131" s="84">
        <f t="shared" si="65"/>
        <v>1582.7330000000006</v>
      </c>
      <c r="AD131" s="39">
        <v>3000</v>
      </c>
      <c r="AE131" s="40">
        <f t="shared" si="112"/>
        <v>8651.8239583333361</v>
      </c>
      <c r="AF131" s="1">
        <f t="shared" si="113"/>
        <v>13.200000000000001</v>
      </c>
      <c r="AG131" s="1">
        <f t="shared" si="114"/>
        <v>18</v>
      </c>
      <c r="AH131" s="41">
        <f t="shared" si="115"/>
        <v>16.764141987426683</v>
      </c>
      <c r="AJ131">
        <v>1.1000000000000001</v>
      </c>
      <c r="AK131">
        <v>1.5</v>
      </c>
      <c r="AL131" s="32">
        <f t="shared" si="109"/>
        <v>11651.823958333336</v>
      </c>
      <c r="AM131" s="4">
        <f t="shared" si="110"/>
        <v>0.25747041928610775</v>
      </c>
      <c r="AN131" s="4">
        <f t="shared" si="111"/>
        <v>0.74252958071389219</v>
      </c>
    </row>
    <row r="132" spans="3:40" hidden="1" x14ac:dyDescent="0.3">
      <c r="C132" s="1">
        <f t="shared" si="116"/>
        <v>2026</v>
      </c>
      <c r="D132" s="52">
        <f>+'Fisico ASIG'!B132</f>
        <v>46023</v>
      </c>
      <c r="E132" s="1">
        <v>16</v>
      </c>
      <c r="F132" s="1" t="s">
        <v>49</v>
      </c>
      <c r="G132" s="5">
        <v>46038</v>
      </c>
      <c r="H132" s="77">
        <v>6451.5671250000005</v>
      </c>
      <c r="I132" s="77">
        <v>1250.7985000000001</v>
      </c>
      <c r="J132" s="77">
        <v>337.27100000000002</v>
      </c>
      <c r="K132" s="77">
        <v>24.371502083333336</v>
      </c>
      <c r="L132" s="77">
        <v>0</v>
      </c>
      <c r="M132" s="81">
        <f t="shared" si="98"/>
        <v>8064.0081270833334</v>
      </c>
      <c r="N132" s="77">
        <v>11851.40124999999</v>
      </c>
      <c r="O132" s="77">
        <v>1440.4376666666669</v>
      </c>
      <c r="P132" s="77">
        <v>991.66000000000008</v>
      </c>
      <c r="Q132" s="77">
        <v>205.47</v>
      </c>
      <c r="R132" s="77">
        <v>0</v>
      </c>
      <c r="S132" s="81">
        <f t="shared" si="99"/>
        <v>14488.968916666656</v>
      </c>
      <c r="T132" s="77">
        <v>0</v>
      </c>
      <c r="U132" s="77">
        <v>187.28970833333338</v>
      </c>
      <c r="V132" s="77"/>
      <c r="W132" s="77">
        <v>1527.8063750000001</v>
      </c>
      <c r="X132" s="82">
        <f t="shared" si="67"/>
        <v>1715.0960833333336</v>
      </c>
      <c r="Y132" s="77">
        <v>0</v>
      </c>
      <c r="Z132" s="77">
        <v>525</v>
      </c>
      <c r="AA132" s="77">
        <v>0</v>
      </c>
      <c r="AB132" s="82">
        <f t="shared" si="100"/>
        <v>525</v>
      </c>
      <c r="AC132" s="84">
        <f t="shared" si="65"/>
        <v>1527.8063750000001</v>
      </c>
      <c r="AD132" s="39">
        <v>3000</v>
      </c>
      <c r="AE132" s="40">
        <f t="shared" si="112"/>
        <v>8851.4012499999899</v>
      </c>
      <c r="AF132" s="1">
        <f t="shared" si="113"/>
        <v>13.200000000000001</v>
      </c>
      <c r="AG132" s="1">
        <f t="shared" si="114"/>
        <v>18</v>
      </c>
      <c r="AH132" s="41">
        <f t="shared" si="115"/>
        <v>16.784953804513201</v>
      </c>
      <c r="AJ132">
        <v>1.1000000000000001</v>
      </c>
      <c r="AK132">
        <v>1.5</v>
      </c>
      <c r="AL132" s="32">
        <f t="shared" si="109"/>
        <v>11851.40124999999</v>
      </c>
      <c r="AM132" s="4">
        <f t="shared" si="110"/>
        <v>0.25313462405975012</v>
      </c>
      <c r="AN132" s="4">
        <f t="shared" si="111"/>
        <v>0.74686537594024993</v>
      </c>
    </row>
    <row r="133" spans="3:40" hidden="1" x14ac:dyDescent="0.3">
      <c r="C133" s="1">
        <f t="shared" si="116"/>
        <v>2026</v>
      </c>
      <c r="D133" s="52">
        <f>+'Fisico ASIG'!B133</f>
        <v>46023</v>
      </c>
      <c r="E133" s="1">
        <v>6</v>
      </c>
      <c r="F133" s="1" t="s">
        <v>43</v>
      </c>
      <c r="G133" s="5">
        <v>46039</v>
      </c>
      <c r="H133" s="77">
        <v>6317.3543750000017</v>
      </c>
      <c r="I133" s="77">
        <v>1086.1023333333335</v>
      </c>
      <c r="J133" s="77">
        <v>403.12204166666675</v>
      </c>
      <c r="K133" s="77">
        <v>30.327968750000004</v>
      </c>
      <c r="L133" s="77">
        <v>0</v>
      </c>
      <c r="M133" s="81">
        <f t="shared" si="98"/>
        <v>7836.9067187500013</v>
      </c>
      <c r="N133" s="77">
        <v>12245.786124999999</v>
      </c>
      <c r="O133" s="77">
        <v>1314.8450833333334</v>
      </c>
      <c r="P133" s="77">
        <v>991.66000000000008</v>
      </c>
      <c r="Q133" s="77">
        <v>205.47</v>
      </c>
      <c r="R133" s="77">
        <v>0</v>
      </c>
      <c r="S133" s="81">
        <f t="shared" si="99"/>
        <v>14757.761208333332</v>
      </c>
      <c r="T133" s="77">
        <v>0</v>
      </c>
      <c r="U133" s="77">
        <v>190.02437500000005</v>
      </c>
      <c r="V133" s="77"/>
      <c r="W133" s="77">
        <v>1901.8370833333336</v>
      </c>
      <c r="X133" s="82">
        <f t="shared" si="67"/>
        <v>2091.8614583333338</v>
      </c>
      <c r="Y133" s="77">
        <v>0</v>
      </c>
      <c r="Z133" s="77">
        <v>525</v>
      </c>
      <c r="AA133" s="77">
        <v>0</v>
      </c>
      <c r="AB133" s="82">
        <f t="shared" si="100"/>
        <v>525</v>
      </c>
      <c r="AC133" s="84">
        <f t="shared" si="65"/>
        <v>1901.8370833333336</v>
      </c>
      <c r="AD133" s="39">
        <v>3000</v>
      </c>
      <c r="AE133" s="40">
        <f t="shared" si="112"/>
        <v>9245.7861249999987</v>
      </c>
      <c r="AF133" s="1">
        <f t="shared" si="113"/>
        <v>13.200000000000001</v>
      </c>
      <c r="AG133" s="1">
        <f t="shared" si="114"/>
        <v>18</v>
      </c>
      <c r="AH133" s="41">
        <f t="shared" si="115"/>
        <v>16.824085293258378</v>
      </c>
      <c r="AJ133">
        <v>1.1000000000000001</v>
      </c>
      <c r="AK133">
        <v>1.5</v>
      </c>
      <c r="AL133" s="32">
        <f t="shared" si="109"/>
        <v>12245.786124999999</v>
      </c>
      <c r="AM133" s="4">
        <f t="shared" si="110"/>
        <v>0.2449822305711713</v>
      </c>
      <c r="AN133" s="4">
        <f t="shared" si="111"/>
        <v>0.7550177694288287</v>
      </c>
    </row>
    <row r="134" spans="3:40" hidden="1" x14ac:dyDescent="0.3">
      <c r="C134" s="1">
        <f t="shared" si="116"/>
        <v>2026</v>
      </c>
      <c r="D134" s="52">
        <f>+'Fisico ASIG'!B134</f>
        <v>46023</v>
      </c>
      <c r="E134" s="1">
        <v>4</v>
      </c>
      <c r="F134" s="1" t="s">
        <v>44</v>
      </c>
      <c r="G134" s="5">
        <v>46040</v>
      </c>
      <c r="H134" s="77">
        <v>5915.7603749999998</v>
      </c>
      <c r="I134" s="77">
        <v>970.9663333333333</v>
      </c>
      <c r="J134" s="77">
        <v>338.06654166666669</v>
      </c>
      <c r="K134" s="77">
        <v>11.903133333333333</v>
      </c>
      <c r="L134" s="77">
        <v>0</v>
      </c>
      <c r="M134" s="81">
        <f t="shared" si="98"/>
        <v>7236.6963833333339</v>
      </c>
      <c r="N134" s="77">
        <v>12426.462041666662</v>
      </c>
      <c r="O134" s="77">
        <v>1432.0659166666667</v>
      </c>
      <c r="P134" s="77">
        <v>991.66000000000008</v>
      </c>
      <c r="Q134" s="77">
        <v>205.47</v>
      </c>
      <c r="R134" s="77">
        <v>0</v>
      </c>
      <c r="S134" s="81">
        <f t="shared" si="99"/>
        <v>15055.657958333328</v>
      </c>
      <c r="T134" s="77">
        <v>0</v>
      </c>
      <c r="U134" s="77">
        <v>190.12537499999999</v>
      </c>
      <c r="V134" s="77"/>
      <c r="W134" s="77">
        <v>1347.2250833333333</v>
      </c>
      <c r="X134" s="82">
        <f t="shared" si="67"/>
        <v>1537.3504583333333</v>
      </c>
      <c r="Y134" s="77">
        <v>0</v>
      </c>
      <c r="Z134" s="77">
        <v>525</v>
      </c>
      <c r="AA134" s="77">
        <v>0</v>
      </c>
      <c r="AB134" s="82">
        <f t="shared" si="100"/>
        <v>525</v>
      </c>
      <c r="AC134" s="84">
        <f t="shared" si="65"/>
        <v>1347.2250833333333</v>
      </c>
      <c r="AD134" s="39">
        <v>3000</v>
      </c>
      <c r="AE134" s="40">
        <f t="shared" si="112"/>
        <v>9426.4620416666621</v>
      </c>
      <c r="AF134" s="1">
        <f t="shared" si="113"/>
        <v>13.200000000000001</v>
      </c>
      <c r="AG134" s="1">
        <f t="shared" si="114"/>
        <v>18</v>
      </c>
      <c r="AH134" s="41">
        <f t="shared" si="115"/>
        <v>16.841182634951448</v>
      </c>
      <c r="AJ134">
        <v>1.1000000000000001</v>
      </c>
      <c r="AK134">
        <v>1.5</v>
      </c>
      <c r="AL134" s="32">
        <f t="shared" si="109"/>
        <v>12426.462041666662</v>
      </c>
      <c r="AM134" s="4">
        <f t="shared" si="110"/>
        <v>0.24142028438511481</v>
      </c>
      <c r="AN134" s="4">
        <f t="shared" si="111"/>
        <v>0.75857971561488524</v>
      </c>
    </row>
    <row r="135" spans="3:40" hidden="1" x14ac:dyDescent="0.3">
      <c r="C135" s="1">
        <f t="shared" si="116"/>
        <v>2026</v>
      </c>
      <c r="D135" s="52">
        <f>+'Fisico ASIG'!B135</f>
        <v>46023</v>
      </c>
      <c r="E135" s="1">
        <v>16</v>
      </c>
      <c r="F135" s="1" t="s">
        <v>45</v>
      </c>
      <c r="G135" s="5">
        <v>46041</v>
      </c>
      <c r="H135" s="77">
        <v>6101.4854166666682</v>
      </c>
      <c r="I135" s="77">
        <v>468.95262499999995</v>
      </c>
      <c r="J135" s="77">
        <v>340.84562500000004</v>
      </c>
      <c r="K135" s="77">
        <v>8.6628541666666674</v>
      </c>
      <c r="L135" s="77">
        <v>0</v>
      </c>
      <c r="M135" s="81">
        <f t="shared" si="98"/>
        <v>6919.9465208333349</v>
      </c>
      <c r="N135" s="77">
        <v>12683.448458333329</v>
      </c>
      <c r="O135" s="77">
        <v>1259.8212500000002</v>
      </c>
      <c r="P135" s="77">
        <v>991.04145833333337</v>
      </c>
      <c r="Q135" s="77">
        <v>205.47</v>
      </c>
      <c r="R135" s="77">
        <v>0</v>
      </c>
      <c r="S135" s="81">
        <f t="shared" si="99"/>
        <v>15139.781166666662</v>
      </c>
      <c r="T135" s="77">
        <v>0</v>
      </c>
      <c r="U135" s="77">
        <v>187.53358333333333</v>
      </c>
      <c r="V135" s="77"/>
      <c r="W135" s="77">
        <v>1390.1142916666668</v>
      </c>
      <c r="X135" s="82">
        <f t="shared" si="67"/>
        <v>1577.6478750000001</v>
      </c>
      <c r="Y135" s="77">
        <v>0</v>
      </c>
      <c r="Z135" s="77">
        <v>525</v>
      </c>
      <c r="AA135" s="77">
        <v>0</v>
      </c>
      <c r="AB135" s="82">
        <f t="shared" si="100"/>
        <v>525</v>
      </c>
      <c r="AC135" s="84">
        <f t="shared" si="65"/>
        <v>1390.1142916666668</v>
      </c>
      <c r="AD135" s="39">
        <v>3000</v>
      </c>
      <c r="AE135" s="40">
        <f t="shared" si="112"/>
        <v>9683.4484583333287</v>
      </c>
      <c r="AF135" s="1">
        <f t="shared" si="113"/>
        <v>13.200000000000001</v>
      </c>
      <c r="AG135" s="1">
        <f t="shared" si="114"/>
        <v>18</v>
      </c>
      <c r="AH135" s="41">
        <f t="shared" si="115"/>
        <v>16.864662079299194</v>
      </c>
      <c r="AJ135">
        <v>1.1000000000000001</v>
      </c>
      <c r="AK135">
        <v>1.5</v>
      </c>
      <c r="AL135" s="32">
        <f t="shared" si="109"/>
        <v>12683.448458333329</v>
      </c>
      <c r="AM135" s="4">
        <f t="shared" si="110"/>
        <v>0.23652873347933451</v>
      </c>
      <c r="AN135" s="4">
        <f t="shared" si="111"/>
        <v>0.76347126652066555</v>
      </c>
    </row>
    <row r="136" spans="3:40" hidden="1" x14ac:dyDescent="0.3">
      <c r="C136" s="1">
        <f t="shared" si="116"/>
        <v>2026</v>
      </c>
      <c r="D136" s="52">
        <f>+'Fisico ASIG'!B136</f>
        <v>46023</v>
      </c>
      <c r="E136" s="1">
        <v>16</v>
      </c>
      <c r="F136" s="1" t="s">
        <v>46</v>
      </c>
      <c r="G136" s="5">
        <v>46042</v>
      </c>
      <c r="H136" s="77">
        <v>6256.5296249999983</v>
      </c>
      <c r="I136" s="77">
        <v>805.39241666666669</v>
      </c>
      <c r="J136" s="77">
        <v>385.28825000000001</v>
      </c>
      <c r="K136" s="77">
        <v>11.924112500000001</v>
      </c>
      <c r="L136" s="77">
        <v>0</v>
      </c>
      <c r="M136" s="81">
        <f t="shared" si="98"/>
        <v>7459.1344041666644</v>
      </c>
      <c r="N136" s="77">
        <v>12842.585333333331</v>
      </c>
      <c r="O136" s="77">
        <v>1436.1853333333336</v>
      </c>
      <c r="P136" s="77">
        <v>992.97091666666665</v>
      </c>
      <c r="Q136" s="77">
        <v>205.47</v>
      </c>
      <c r="R136" s="77">
        <v>0</v>
      </c>
      <c r="S136" s="81">
        <f t="shared" si="99"/>
        <v>15477.21158333333</v>
      </c>
      <c r="T136" s="77">
        <v>0</v>
      </c>
      <c r="U136" s="77">
        <v>189.01062500000003</v>
      </c>
      <c r="V136" s="77"/>
      <c r="W136" s="77">
        <v>1511.1287916666668</v>
      </c>
      <c r="X136" s="82">
        <f t="shared" si="67"/>
        <v>1700.1394166666669</v>
      </c>
      <c r="Y136" s="77">
        <v>0</v>
      </c>
      <c r="Z136" s="77">
        <v>525</v>
      </c>
      <c r="AA136" s="77">
        <v>0</v>
      </c>
      <c r="AB136" s="82">
        <f t="shared" si="100"/>
        <v>525</v>
      </c>
      <c r="AC136" s="84">
        <f t="shared" si="65"/>
        <v>1511.1287916666668</v>
      </c>
      <c r="AD136" s="39">
        <v>3000</v>
      </c>
      <c r="AE136" s="40">
        <f t="shared" ref="AE136:AE138" si="117">+N136-AD136</f>
        <v>9842.5853333333307</v>
      </c>
      <c r="AF136" s="1">
        <f t="shared" ref="AF136:AF138" si="118">12*AJ136</f>
        <v>13.200000000000001</v>
      </c>
      <c r="AG136" s="1">
        <f t="shared" ref="AG136:AG138" si="119">12*AK136</f>
        <v>18</v>
      </c>
      <c r="AH136" s="41">
        <f t="shared" ref="AH136:AH138" si="120">+(AD136*AF136+AG136*AE136)/SUM(AD136:AE136)</f>
        <v>16.878730440464793</v>
      </c>
      <c r="AJ136">
        <v>1.1000000000000001</v>
      </c>
      <c r="AK136">
        <v>1.5</v>
      </c>
      <c r="AL136" s="32">
        <f t="shared" ref="AL136:AL138" si="121">+AD136+AE136</f>
        <v>12842.585333333331</v>
      </c>
      <c r="AM136" s="4">
        <f t="shared" ref="AM136:AM138" si="122">+AD136/AL136</f>
        <v>0.23359782490316855</v>
      </c>
      <c r="AN136" s="4">
        <f t="shared" ref="AN136:AN138" si="123">+AE136/AL136</f>
        <v>0.7664021750968314</v>
      </c>
    </row>
    <row r="137" spans="3:40" hidden="1" x14ac:dyDescent="0.3">
      <c r="C137" s="1">
        <f t="shared" ref="C137" si="124">YEAR(G137)</f>
        <v>2026</v>
      </c>
      <c r="D137" s="52">
        <f>+'Fisico ASIG'!B137</f>
        <v>46023</v>
      </c>
      <c r="E137" s="1">
        <v>16</v>
      </c>
      <c r="F137" s="1" t="s">
        <v>47</v>
      </c>
      <c r="G137" s="5">
        <v>46043</v>
      </c>
      <c r="H137" s="77">
        <v>6246.682291666667</v>
      </c>
      <c r="I137" s="77">
        <v>1092.1165416666668</v>
      </c>
      <c r="J137" s="77">
        <v>369.83304166666665</v>
      </c>
      <c r="K137" s="77">
        <v>11.887402083333335</v>
      </c>
      <c r="L137" s="77">
        <v>0</v>
      </c>
      <c r="M137" s="81">
        <f t="shared" si="98"/>
        <v>7720.5192770833346</v>
      </c>
      <c r="N137" s="77">
        <v>12627.632541666657</v>
      </c>
      <c r="O137" s="77">
        <v>1425.3712083333332</v>
      </c>
      <c r="P137" s="77">
        <v>992.63812500000006</v>
      </c>
      <c r="Q137" s="77">
        <v>205.47</v>
      </c>
      <c r="R137" s="77">
        <v>0</v>
      </c>
      <c r="S137" s="81">
        <f t="shared" si="99"/>
        <v>15251.11187499999</v>
      </c>
      <c r="T137" s="77">
        <v>0</v>
      </c>
      <c r="U137" s="77">
        <v>191.83249999999998</v>
      </c>
      <c r="V137" s="77"/>
      <c r="W137" s="77">
        <v>2088.2160833333332</v>
      </c>
      <c r="X137" s="82">
        <f t="shared" si="67"/>
        <v>2280.0485833333332</v>
      </c>
      <c r="Y137" s="77">
        <v>0</v>
      </c>
      <c r="Z137" s="77">
        <v>525</v>
      </c>
      <c r="AA137" s="77">
        <v>0</v>
      </c>
      <c r="AB137" s="82">
        <f t="shared" si="100"/>
        <v>525</v>
      </c>
      <c r="AC137" s="84">
        <f t="shared" si="65"/>
        <v>2088.2160833333332</v>
      </c>
      <c r="AD137" s="39">
        <v>3000</v>
      </c>
      <c r="AE137" s="40">
        <f t="shared" si="117"/>
        <v>9627.6325416666568</v>
      </c>
      <c r="AF137" s="1">
        <f t="shared" si="118"/>
        <v>13.200000000000001</v>
      </c>
      <c r="AG137" s="1">
        <f t="shared" si="119"/>
        <v>18</v>
      </c>
      <c r="AH137" s="41">
        <f t="shared" si="120"/>
        <v>16.859643725576809</v>
      </c>
      <c r="AJ137">
        <v>1.1000000000000001</v>
      </c>
      <c r="AK137">
        <v>1.5</v>
      </c>
      <c r="AL137" s="32">
        <f t="shared" si="121"/>
        <v>12627.632541666657</v>
      </c>
      <c r="AM137" s="4">
        <f t="shared" si="122"/>
        <v>0.23757422383816415</v>
      </c>
      <c r="AN137" s="4">
        <f t="shared" si="123"/>
        <v>0.76242577616183582</v>
      </c>
    </row>
    <row r="138" spans="3:40" hidden="1" x14ac:dyDescent="0.3">
      <c r="C138" s="1">
        <f t="shared" ref="C138:C144" si="125">YEAR(G138)</f>
        <v>2026</v>
      </c>
      <c r="D138" s="52">
        <f>+'Fisico ASIG'!B138</f>
        <v>46023</v>
      </c>
      <c r="E138" s="1">
        <v>16</v>
      </c>
      <c r="F138" s="1" t="s">
        <v>48</v>
      </c>
      <c r="G138" s="5">
        <v>46044</v>
      </c>
      <c r="H138" s="77">
        <v>7057.8664999999992</v>
      </c>
      <c r="I138" s="77">
        <v>1077.2151666666666</v>
      </c>
      <c r="J138" s="77">
        <v>411.60745833333334</v>
      </c>
      <c r="K138" s="77">
        <v>26.283737500000001</v>
      </c>
      <c r="L138" s="77">
        <v>0</v>
      </c>
      <c r="M138" s="81">
        <f t="shared" si="98"/>
        <v>8572.9728624999989</v>
      </c>
      <c r="N138" s="77">
        <v>12630.829833333328</v>
      </c>
      <c r="O138" s="77">
        <v>1388.4970833333334</v>
      </c>
      <c r="P138" s="77">
        <v>992.85166666666669</v>
      </c>
      <c r="Q138" s="77">
        <v>204.47679166666668</v>
      </c>
      <c r="R138" s="77">
        <v>0</v>
      </c>
      <c r="S138" s="81">
        <f t="shared" si="99"/>
        <v>15216.655374999995</v>
      </c>
      <c r="T138" s="77">
        <v>0</v>
      </c>
      <c r="U138" s="77">
        <v>329.2665416666668</v>
      </c>
      <c r="V138" s="77"/>
      <c r="W138" s="77">
        <v>1664.2072499999997</v>
      </c>
      <c r="X138" s="82">
        <f t="shared" si="67"/>
        <v>1993.4737916666666</v>
      </c>
      <c r="Y138" s="77">
        <v>0</v>
      </c>
      <c r="Z138" s="77">
        <v>525</v>
      </c>
      <c r="AA138" s="77">
        <v>0</v>
      </c>
      <c r="AB138" s="82">
        <f t="shared" si="100"/>
        <v>525</v>
      </c>
      <c r="AC138" s="84">
        <f t="shared" si="65"/>
        <v>1664.2072499999997</v>
      </c>
      <c r="AD138" s="39">
        <v>3000</v>
      </c>
      <c r="AE138" s="40">
        <f t="shared" si="117"/>
        <v>9630.8298333333278</v>
      </c>
      <c r="AF138" s="1">
        <f t="shared" si="118"/>
        <v>13.200000000000001</v>
      </c>
      <c r="AG138" s="1">
        <f t="shared" si="119"/>
        <v>18</v>
      </c>
      <c r="AH138" s="41">
        <f t="shared" si="120"/>
        <v>16.859932388448637</v>
      </c>
      <c r="AJ138">
        <v>1.1000000000000001</v>
      </c>
      <c r="AK138">
        <v>1.5</v>
      </c>
      <c r="AL138" s="32">
        <f t="shared" si="121"/>
        <v>12630.829833333328</v>
      </c>
      <c r="AM138" s="4">
        <f t="shared" si="122"/>
        <v>0.23751408573986685</v>
      </c>
      <c r="AN138" s="4">
        <f t="shared" si="123"/>
        <v>0.76248591426013312</v>
      </c>
    </row>
    <row r="139" spans="3:40" hidden="1" x14ac:dyDescent="0.3">
      <c r="C139" s="1">
        <f t="shared" si="125"/>
        <v>2026</v>
      </c>
      <c r="D139" s="52">
        <f>+'Fisico ASIG'!B139</f>
        <v>46023</v>
      </c>
      <c r="E139" s="1">
        <v>16</v>
      </c>
      <c r="F139" s="1" t="s">
        <v>49</v>
      </c>
      <c r="G139" s="5">
        <v>46045</v>
      </c>
      <c r="H139" s="77">
        <v>7762.5913750000054</v>
      </c>
      <c r="I139" s="77">
        <v>1193.8431250000003</v>
      </c>
      <c r="J139" s="77">
        <v>459.99758333333335</v>
      </c>
      <c r="K139" s="77">
        <v>65.391504166666664</v>
      </c>
      <c r="L139" s="77">
        <v>0</v>
      </c>
      <c r="M139" s="81">
        <f t="shared" si="98"/>
        <v>9481.8235875000064</v>
      </c>
      <c r="N139" s="77">
        <v>12799.194291666659</v>
      </c>
      <c r="O139" s="77">
        <v>1423.800125</v>
      </c>
      <c r="P139" s="77">
        <v>992.45075000000008</v>
      </c>
      <c r="Q139" s="77">
        <v>205.47</v>
      </c>
      <c r="R139" s="77">
        <v>0</v>
      </c>
      <c r="S139" s="81">
        <f t="shared" si="99"/>
        <v>15420.915166666658</v>
      </c>
      <c r="T139" s="77">
        <v>0</v>
      </c>
      <c r="U139" s="77">
        <v>459.71695833333342</v>
      </c>
      <c r="V139" s="77"/>
      <c r="W139" s="77">
        <v>1285.1737500000002</v>
      </c>
      <c r="X139" s="82">
        <f t="shared" si="67"/>
        <v>1744.8907083333336</v>
      </c>
      <c r="Y139" s="77">
        <v>0</v>
      </c>
      <c r="Z139" s="77">
        <v>525</v>
      </c>
      <c r="AA139" s="77">
        <v>0</v>
      </c>
      <c r="AB139" s="82">
        <f t="shared" si="100"/>
        <v>525</v>
      </c>
      <c r="AC139" s="84">
        <f t="shared" si="65"/>
        <v>1285.1737500000002</v>
      </c>
      <c r="AD139" s="39">
        <v>3000</v>
      </c>
      <c r="AE139" s="40">
        <f t="shared" ref="AE139:AE146" si="126">+N139-AD139</f>
        <v>9799.1942916666594</v>
      </c>
      <c r="AF139" s="1">
        <f t="shared" ref="AF139:AF146" si="127">12*AJ139</f>
        <v>13.200000000000001</v>
      </c>
      <c r="AG139" s="1">
        <f t="shared" ref="AG139:AG146" si="128">12*AK139</f>
        <v>18</v>
      </c>
      <c r="AH139" s="41">
        <f t="shared" ref="AH139:AH146" si="129">+(AD139*AF139+AG139*AE139)/SUM(AD139:AE139)</f>
        <v>16.874929181333265</v>
      </c>
      <c r="AJ139">
        <v>1.1000000000000001</v>
      </c>
      <c r="AK139">
        <v>1.5</v>
      </c>
      <c r="AL139" s="32">
        <f t="shared" ref="AL139:AL146" si="130">+AD139+AE139</f>
        <v>12799.194291666659</v>
      </c>
      <c r="AM139" s="4">
        <f t="shared" ref="AM139:AM146" si="131">+AD139/AL139</f>
        <v>0.23438975388890296</v>
      </c>
      <c r="AN139" s="4">
        <f t="shared" ref="AN139:AN146" si="132">+AE139/AL139</f>
        <v>0.76561024611109707</v>
      </c>
    </row>
    <row r="140" spans="3:40" hidden="1" x14ac:dyDescent="0.3">
      <c r="C140" s="1">
        <f t="shared" si="125"/>
        <v>2026</v>
      </c>
      <c r="D140" s="52">
        <f>+'Fisico ASIG'!B140</f>
        <v>46023</v>
      </c>
      <c r="E140" s="1">
        <v>6</v>
      </c>
      <c r="F140" s="1" t="s">
        <v>43</v>
      </c>
      <c r="G140" s="5">
        <v>46046</v>
      </c>
      <c r="H140" s="77">
        <v>7440.0454583333367</v>
      </c>
      <c r="I140" s="77">
        <v>1013.7055416666667</v>
      </c>
      <c r="J140" s="77">
        <v>402.85312499999998</v>
      </c>
      <c r="K140" s="77">
        <v>53.370489583333338</v>
      </c>
      <c r="L140" s="77">
        <v>0</v>
      </c>
      <c r="M140" s="81">
        <f t="shared" si="98"/>
        <v>8909.974614583336</v>
      </c>
      <c r="N140" s="77">
        <v>12833.295041666655</v>
      </c>
      <c r="O140" s="77">
        <v>1433.59375</v>
      </c>
      <c r="P140" s="77">
        <v>992.53654166666672</v>
      </c>
      <c r="Q140" s="77">
        <v>204.47</v>
      </c>
      <c r="R140" s="77">
        <v>0</v>
      </c>
      <c r="S140" s="81">
        <f t="shared" si="99"/>
        <v>15463.895333333321</v>
      </c>
      <c r="T140" s="77">
        <v>0</v>
      </c>
      <c r="U140" s="77">
        <v>379.6579583333334</v>
      </c>
      <c r="V140" s="77"/>
      <c r="W140" s="77">
        <v>1288.4839166666666</v>
      </c>
      <c r="X140" s="82">
        <f t="shared" si="67"/>
        <v>1668.141875</v>
      </c>
      <c r="Y140" s="77">
        <v>0</v>
      </c>
      <c r="Z140" s="77">
        <v>525</v>
      </c>
      <c r="AA140" s="77">
        <v>0</v>
      </c>
      <c r="AB140" s="82">
        <f t="shared" si="100"/>
        <v>525</v>
      </c>
      <c r="AC140" s="84">
        <f t="shared" si="65"/>
        <v>1288.4839166666666</v>
      </c>
      <c r="AD140" s="39">
        <v>3000</v>
      </c>
      <c r="AE140" s="40">
        <f t="shared" si="126"/>
        <v>9833.2950416666554</v>
      </c>
      <c r="AF140" s="1">
        <f t="shared" si="127"/>
        <v>13.200000000000001</v>
      </c>
      <c r="AG140" s="1">
        <f t="shared" si="128"/>
        <v>18</v>
      </c>
      <c r="AH140" s="41">
        <f t="shared" si="129"/>
        <v>16.877918729893871</v>
      </c>
      <c r="AJ140">
        <v>1.1000000000000001</v>
      </c>
      <c r="AK140">
        <v>1.5</v>
      </c>
      <c r="AL140" s="32">
        <f t="shared" si="130"/>
        <v>12833.295041666655</v>
      </c>
      <c r="AM140" s="4">
        <f t="shared" si="131"/>
        <v>0.23376693127211007</v>
      </c>
      <c r="AN140" s="4">
        <f t="shared" si="132"/>
        <v>0.76623306872788988</v>
      </c>
    </row>
    <row r="141" spans="3:40" hidden="1" x14ac:dyDescent="0.3">
      <c r="C141" s="1">
        <f t="shared" si="125"/>
        <v>2026</v>
      </c>
      <c r="D141" s="52">
        <f>+'Fisico ASIG'!B141</f>
        <v>46023</v>
      </c>
      <c r="E141" s="1">
        <v>4</v>
      </c>
      <c r="F141" s="1" t="s">
        <v>44</v>
      </c>
      <c r="G141" s="5">
        <v>46047</v>
      </c>
      <c r="H141" s="77">
        <v>6909.0787499999979</v>
      </c>
      <c r="I141" s="77">
        <v>827.33483333333334</v>
      </c>
      <c r="J141" s="77">
        <v>399.29200000000003</v>
      </c>
      <c r="K141" s="77">
        <v>35.783506249999995</v>
      </c>
      <c r="L141" s="77">
        <v>0</v>
      </c>
      <c r="M141" s="81">
        <f t="shared" si="98"/>
        <v>8171.4890895833314</v>
      </c>
      <c r="N141" s="77">
        <v>12622.62429166666</v>
      </c>
      <c r="O141" s="77">
        <v>1398.31</v>
      </c>
      <c r="P141" s="77">
        <v>944.35337500000003</v>
      </c>
      <c r="Q141" s="77">
        <v>204.47</v>
      </c>
      <c r="R141" s="77">
        <v>0</v>
      </c>
      <c r="S141" s="81">
        <f t="shared" si="99"/>
        <v>15169.757666666659</v>
      </c>
      <c r="T141" s="77">
        <v>0</v>
      </c>
      <c r="U141" s="77">
        <v>261.42725000000002</v>
      </c>
      <c r="V141" s="77"/>
      <c r="W141" s="77">
        <v>1636.8919166666667</v>
      </c>
      <c r="X141" s="82">
        <f t="shared" si="67"/>
        <v>1898.3191666666667</v>
      </c>
      <c r="Y141" s="77">
        <v>0</v>
      </c>
      <c r="Z141" s="77">
        <v>525</v>
      </c>
      <c r="AA141" s="77">
        <v>0</v>
      </c>
      <c r="AB141" s="82">
        <f t="shared" si="100"/>
        <v>525</v>
      </c>
      <c r="AC141" s="84">
        <f t="shared" si="65"/>
        <v>1636.8919166666667</v>
      </c>
      <c r="AD141" s="39">
        <v>3000</v>
      </c>
      <c r="AE141" s="40">
        <f t="shared" si="126"/>
        <v>9622.6242916666597</v>
      </c>
      <c r="AF141" s="1">
        <f t="shared" si="127"/>
        <v>13.200000000000001</v>
      </c>
      <c r="AG141" s="1">
        <f t="shared" si="128"/>
        <v>18</v>
      </c>
      <c r="AH141" s="41">
        <f t="shared" si="129"/>
        <v>16.85919126900523</v>
      </c>
      <c r="AJ141">
        <v>1.1000000000000001</v>
      </c>
      <c r="AK141">
        <v>1.5</v>
      </c>
      <c r="AL141" s="32">
        <f t="shared" si="130"/>
        <v>12622.62429166666</v>
      </c>
      <c r="AM141" s="4">
        <f t="shared" si="131"/>
        <v>0.23766848562391044</v>
      </c>
      <c r="AN141" s="4">
        <f t="shared" si="132"/>
        <v>0.76233151437608959</v>
      </c>
    </row>
    <row r="142" spans="3:40" hidden="1" x14ac:dyDescent="0.3">
      <c r="C142" s="1">
        <f t="shared" si="125"/>
        <v>2026</v>
      </c>
      <c r="D142" s="52">
        <f>+'Fisico ASIG'!B142</f>
        <v>46023</v>
      </c>
      <c r="E142" s="1">
        <v>16</v>
      </c>
      <c r="F142" s="1" t="s">
        <v>45</v>
      </c>
      <c r="G142" s="5">
        <v>46048</v>
      </c>
      <c r="H142" s="77">
        <v>7805.8317916666674</v>
      </c>
      <c r="I142" s="77">
        <v>1209.5900000000001</v>
      </c>
      <c r="J142" s="77">
        <v>337.19658333333331</v>
      </c>
      <c r="K142" s="77">
        <v>62.744662500000004</v>
      </c>
      <c r="L142" s="77">
        <v>0</v>
      </c>
      <c r="M142" s="81">
        <f t="shared" si="98"/>
        <v>9415.3630374999993</v>
      </c>
      <c r="N142" s="77">
        <v>11984.007749999995</v>
      </c>
      <c r="O142" s="77">
        <v>1409.3785416666669</v>
      </c>
      <c r="P142" s="77">
        <v>990.67287500000009</v>
      </c>
      <c r="Q142" s="77">
        <v>204.47</v>
      </c>
      <c r="R142" s="77">
        <v>0</v>
      </c>
      <c r="S142" s="81">
        <f t="shared" si="99"/>
        <v>14588.529166666662</v>
      </c>
      <c r="T142" s="77">
        <v>0</v>
      </c>
      <c r="U142" s="77">
        <v>255.19354166666668</v>
      </c>
      <c r="V142" s="77"/>
      <c r="W142" s="77">
        <v>1283.9072500000002</v>
      </c>
      <c r="X142" s="82">
        <f t="shared" si="67"/>
        <v>1539.100791666667</v>
      </c>
      <c r="Y142" s="77">
        <v>0</v>
      </c>
      <c r="Z142" s="77">
        <v>525</v>
      </c>
      <c r="AA142" s="77">
        <v>0</v>
      </c>
      <c r="AB142" s="82">
        <f t="shared" si="100"/>
        <v>525</v>
      </c>
      <c r="AC142" s="84">
        <f t="shared" si="65"/>
        <v>1283.9072500000002</v>
      </c>
      <c r="AD142" s="39">
        <v>3000</v>
      </c>
      <c r="AE142" s="40">
        <f t="shared" ref="AE142:AE145" si="133">+N142-AD142</f>
        <v>8984.0077499999952</v>
      </c>
      <c r="AF142" s="1">
        <f t="shared" ref="AF142:AF145" si="134">12*AJ142</f>
        <v>13.200000000000001</v>
      </c>
      <c r="AG142" s="1">
        <f t="shared" ref="AG142:AG145" si="135">12*AK142</f>
        <v>18</v>
      </c>
      <c r="AH142" s="41">
        <f t="shared" ref="AH142:AH145" si="136">+(AD142*AF142+AG142*AE142)/SUM(AD142:AE142)</f>
        <v>16.798398640888728</v>
      </c>
      <c r="AJ142">
        <v>1.1000000000000001</v>
      </c>
      <c r="AK142">
        <v>1.5</v>
      </c>
      <c r="AL142" s="32">
        <f t="shared" ref="AL142:AL145" si="137">+AD142+AE142</f>
        <v>11984.007749999995</v>
      </c>
      <c r="AM142" s="4">
        <f t="shared" ref="AM142:AM145" si="138">+AD142/AL142</f>
        <v>0.25033361648151481</v>
      </c>
      <c r="AN142" s="4">
        <f t="shared" ref="AN142:AN145" si="139">+AE142/AL142</f>
        <v>0.74966638351848525</v>
      </c>
    </row>
    <row r="143" spans="3:40" hidden="1" x14ac:dyDescent="0.3">
      <c r="C143" s="1">
        <f t="shared" si="125"/>
        <v>2026</v>
      </c>
      <c r="D143" s="52">
        <f>+'Fisico ASIG'!B143</f>
        <v>46023</v>
      </c>
      <c r="E143" s="1">
        <v>16</v>
      </c>
      <c r="F143" s="1" t="s">
        <v>46</v>
      </c>
      <c r="G143" s="5">
        <v>46049</v>
      </c>
      <c r="H143" s="77">
        <v>8021.9551666666703</v>
      </c>
      <c r="I143" s="77">
        <v>1123.0445416666666</v>
      </c>
      <c r="J143" s="77">
        <v>330.79791666666671</v>
      </c>
      <c r="K143" s="77">
        <v>51.955135416666671</v>
      </c>
      <c r="L143" s="77">
        <v>0</v>
      </c>
      <c r="M143" s="81">
        <f t="shared" si="98"/>
        <v>9527.7527604166698</v>
      </c>
      <c r="N143" s="77">
        <v>12187.368541666665</v>
      </c>
      <c r="O143" s="77">
        <v>1371.8997500000005</v>
      </c>
      <c r="P143" s="77">
        <v>991.66000000000008</v>
      </c>
      <c r="Q143" s="77">
        <v>204.47</v>
      </c>
      <c r="R143" s="77">
        <v>0</v>
      </c>
      <c r="S143" s="81">
        <f t="shared" si="99"/>
        <v>14755.398291666665</v>
      </c>
      <c r="T143" s="77">
        <v>0</v>
      </c>
      <c r="U143" s="77">
        <v>228.86545833333335</v>
      </c>
      <c r="V143" s="77"/>
      <c r="W143" s="77">
        <v>1076.7728333333337</v>
      </c>
      <c r="X143" s="82">
        <f t="shared" si="67"/>
        <v>1305.6382916666671</v>
      </c>
      <c r="Y143" s="77">
        <v>0</v>
      </c>
      <c r="Z143" s="77">
        <v>525</v>
      </c>
      <c r="AA143" s="77">
        <v>0</v>
      </c>
      <c r="AB143" s="82">
        <f t="shared" si="100"/>
        <v>525</v>
      </c>
      <c r="AC143" s="84">
        <f t="shared" si="65"/>
        <v>1076.7728333333337</v>
      </c>
      <c r="AD143" s="39">
        <v>3000</v>
      </c>
      <c r="AE143" s="40">
        <f t="shared" si="133"/>
        <v>9187.3685416666649</v>
      </c>
      <c r="AF143" s="1">
        <f t="shared" si="134"/>
        <v>13.200000000000001</v>
      </c>
      <c r="AG143" s="1">
        <f t="shared" si="135"/>
        <v>18</v>
      </c>
      <c r="AH143" s="41">
        <f t="shared" si="136"/>
        <v>16.818448793866477</v>
      </c>
      <c r="AJ143">
        <v>1.1000000000000001</v>
      </c>
      <c r="AK143">
        <v>1.5</v>
      </c>
      <c r="AL143" s="32">
        <f t="shared" si="137"/>
        <v>12187.368541666665</v>
      </c>
      <c r="AM143" s="4">
        <f t="shared" si="138"/>
        <v>0.24615650127781724</v>
      </c>
      <c r="AN143" s="4">
        <f t="shared" si="139"/>
        <v>0.75384349872218281</v>
      </c>
    </row>
    <row r="144" spans="3:40" hidden="1" x14ac:dyDescent="0.3">
      <c r="C144" s="1">
        <f t="shared" si="125"/>
        <v>2026</v>
      </c>
      <c r="D144" s="52">
        <f>+'Fisico ASIG'!B144</f>
        <v>46023</v>
      </c>
      <c r="E144" s="1">
        <v>16</v>
      </c>
      <c r="F144" s="1" t="s">
        <v>47</v>
      </c>
      <c r="G144" s="5">
        <v>46050</v>
      </c>
      <c r="H144" s="77">
        <v>7875.9607500000011</v>
      </c>
      <c r="I144" s="77">
        <v>1280.4480000000003</v>
      </c>
      <c r="J144" s="77">
        <v>291.66979166666664</v>
      </c>
      <c r="K144" s="77">
        <v>49.668041666666667</v>
      </c>
      <c r="L144" s="77">
        <v>0</v>
      </c>
      <c r="M144" s="81">
        <f t="shared" si="98"/>
        <v>9497.7465833333354</v>
      </c>
      <c r="N144" s="77">
        <v>12290.903208333328</v>
      </c>
      <c r="O144" s="77">
        <v>1426.0433750000002</v>
      </c>
      <c r="P144" s="77">
        <v>991.1647916666667</v>
      </c>
      <c r="Q144" s="77">
        <v>204.47</v>
      </c>
      <c r="R144" s="77">
        <v>0</v>
      </c>
      <c r="S144" s="81">
        <f t="shared" si="99"/>
        <v>14912.581374999992</v>
      </c>
      <c r="T144" s="77">
        <v>0</v>
      </c>
      <c r="U144" s="77">
        <v>463.92987500000004</v>
      </c>
      <c r="V144" s="77"/>
      <c r="W144" s="77">
        <v>969.67258333333325</v>
      </c>
      <c r="X144" s="82">
        <f t="shared" si="67"/>
        <v>1433.6024583333333</v>
      </c>
      <c r="Y144" s="77">
        <v>0</v>
      </c>
      <c r="Z144" s="77">
        <v>525</v>
      </c>
      <c r="AA144" s="77">
        <v>0</v>
      </c>
      <c r="AB144" s="82">
        <f t="shared" si="100"/>
        <v>525</v>
      </c>
      <c r="AC144" s="84">
        <f t="shared" si="65"/>
        <v>969.67258333333325</v>
      </c>
      <c r="AD144" s="39">
        <v>3000</v>
      </c>
      <c r="AE144" s="40">
        <f t="shared" si="133"/>
        <v>9290.9032083333277</v>
      </c>
      <c r="AF144" s="1">
        <f t="shared" si="134"/>
        <v>13.200000000000001</v>
      </c>
      <c r="AG144" s="1">
        <f t="shared" si="135"/>
        <v>18</v>
      </c>
      <c r="AH144" s="41">
        <f t="shared" si="136"/>
        <v>16.828401806123029</v>
      </c>
      <c r="AJ144">
        <v>1.1000000000000001</v>
      </c>
      <c r="AK144">
        <v>1.5</v>
      </c>
      <c r="AL144" s="32">
        <f t="shared" si="137"/>
        <v>12290.903208333328</v>
      </c>
      <c r="AM144" s="4">
        <f t="shared" si="138"/>
        <v>0.24408295705770239</v>
      </c>
      <c r="AN144" s="4">
        <f t="shared" si="139"/>
        <v>0.75591704294229767</v>
      </c>
    </row>
    <row r="145" spans="3:40" hidden="1" x14ac:dyDescent="0.3">
      <c r="C145" s="1">
        <f t="shared" ref="C145:C146" si="140">YEAR(G145)</f>
        <v>2026</v>
      </c>
      <c r="D145" s="52">
        <f>+'Fisico ASIG'!B145</f>
        <v>46023</v>
      </c>
      <c r="E145" s="1">
        <v>16</v>
      </c>
      <c r="F145" s="1" t="s">
        <v>48</v>
      </c>
      <c r="G145" s="5">
        <v>46051</v>
      </c>
      <c r="H145" s="77">
        <v>7996.2107500000002</v>
      </c>
      <c r="I145" s="77">
        <v>1230.194375</v>
      </c>
      <c r="J145" s="77">
        <v>339.65179166666672</v>
      </c>
      <c r="K145" s="77">
        <v>57.511570833333337</v>
      </c>
      <c r="L145" s="77">
        <v>0</v>
      </c>
      <c r="M145" s="81">
        <f t="shared" si="98"/>
        <v>9623.5684875000024</v>
      </c>
      <c r="N145" s="77">
        <v>12471.410083333332</v>
      </c>
      <c r="O145" s="77">
        <v>1426.2517916666668</v>
      </c>
      <c r="P145" s="77">
        <v>991.82383333333337</v>
      </c>
      <c r="Q145" s="77">
        <v>204.47</v>
      </c>
      <c r="R145" s="77">
        <v>0</v>
      </c>
      <c r="S145" s="81">
        <f t="shared" si="99"/>
        <v>15093.955708333333</v>
      </c>
      <c r="T145" s="77">
        <v>0</v>
      </c>
      <c r="U145" s="77">
        <v>476.92729166666663</v>
      </c>
      <c r="V145" s="77"/>
      <c r="W145" s="77">
        <v>1162.1328333333333</v>
      </c>
      <c r="X145" s="82">
        <f t="shared" si="67"/>
        <v>1639.060125</v>
      </c>
      <c r="Y145" s="77">
        <v>0</v>
      </c>
      <c r="Z145" s="77">
        <v>525</v>
      </c>
      <c r="AA145" s="77">
        <v>0</v>
      </c>
      <c r="AB145" s="82">
        <f t="shared" si="100"/>
        <v>525</v>
      </c>
      <c r="AC145" s="84">
        <f t="shared" si="65"/>
        <v>1162.1328333333333</v>
      </c>
      <c r="AD145" s="39">
        <v>3000</v>
      </c>
      <c r="AE145" s="40">
        <f t="shared" si="133"/>
        <v>9471.4100833333323</v>
      </c>
      <c r="AF145" s="1">
        <f t="shared" si="134"/>
        <v>13.200000000000001</v>
      </c>
      <c r="AG145" s="1">
        <f t="shared" si="135"/>
        <v>18</v>
      </c>
      <c r="AH145" s="41">
        <f t="shared" si="136"/>
        <v>16.845359113061001</v>
      </c>
      <c r="AJ145">
        <v>1.1000000000000001</v>
      </c>
      <c r="AK145">
        <v>1.5</v>
      </c>
      <c r="AL145" s="32">
        <f t="shared" si="137"/>
        <v>12471.410083333332</v>
      </c>
      <c r="AM145" s="4">
        <f t="shared" si="138"/>
        <v>0.24055018477895856</v>
      </c>
      <c r="AN145" s="4">
        <f t="shared" si="139"/>
        <v>0.75944981522104149</v>
      </c>
    </row>
    <row r="146" spans="3:40" hidden="1" x14ac:dyDescent="0.3">
      <c r="C146" s="1">
        <f t="shared" si="140"/>
        <v>2026</v>
      </c>
      <c r="D146" s="52">
        <f>+'Fisico ASIG'!B146</f>
        <v>46023</v>
      </c>
      <c r="E146" s="1">
        <v>16</v>
      </c>
      <c r="F146" s="1" t="s">
        <v>49</v>
      </c>
      <c r="G146" s="5">
        <v>46052</v>
      </c>
      <c r="H146" s="77">
        <v>7905.3217083333366</v>
      </c>
      <c r="I146" s="77">
        <v>1206.6380416666668</v>
      </c>
      <c r="J146" s="77">
        <v>343.8969166666667</v>
      </c>
      <c r="K146" s="77">
        <v>36.623502083333328</v>
      </c>
      <c r="L146" s="77">
        <v>0</v>
      </c>
      <c r="M146" s="81">
        <f t="shared" si="98"/>
        <v>9492.4801687500039</v>
      </c>
      <c r="N146" s="77">
        <v>12496.11983333333</v>
      </c>
      <c r="O146" s="77">
        <v>1432.93075</v>
      </c>
      <c r="P146" s="77">
        <v>983.71</v>
      </c>
      <c r="Q146" s="77">
        <v>204.47</v>
      </c>
      <c r="R146" s="77">
        <v>0</v>
      </c>
      <c r="S146" s="81">
        <f t="shared" si="99"/>
        <v>15117.230583333328</v>
      </c>
      <c r="T146" s="77">
        <v>0</v>
      </c>
      <c r="U146" s="77">
        <v>457.28945833333324</v>
      </c>
      <c r="V146" s="77"/>
      <c r="W146" s="77">
        <v>1250.0000833333334</v>
      </c>
      <c r="X146" s="82">
        <f t="shared" si="67"/>
        <v>1707.2895416666665</v>
      </c>
      <c r="Y146" s="77">
        <v>0</v>
      </c>
      <c r="Z146" s="77">
        <v>525</v>
      </c>
      <c r="AA146" s="77">
        <v>0</v>
      </c>
      <c r="AB146" s="82">
        <f t="shared" si="100"/>
        <v>525</v>
      </c>
      <c r="AC146" s="84">
        <f t="shared" si="65"/>
        <v>1250.0000833333334</v>
      </c>
      <c r="AD146" s="39">
        <v>3000</v>
      </c>
      <c r="AE146" s="40">
        <f t="shared" si="126"/>
        <v>9496.1198333333305</v>
      </c>
      <c r="AF146" s="1">
        <f t="shared" si="127"/>
        <v>13.200000000000001</v>
      </c>
      <c r="AG146" s="1">
        <f t="shared" si="128"/>
        <v>18</v>
      </c>
      <c r="AH146" s="41">
        <f t="shared" si="129"/>
        <v>16.847642292802917</v>
      </c>
      <c r="AJ146">
        <v>1.1000000000000001</v>
      </c>
      <c r="AK146">
        <v>1.5</v>
      </c>
      <c r="AL146" s="32">
        <f t="shared" si="130"/>
        <v>12496.11983333333</v>
      </c>
      <c r="AM146" s="4">
        <f t="shared" si="131"/>
        <v>0.24007452233272578</v>
      </c>
      <c r="AN146" s="4">
        <f t="shared" si="132"/>
        <v>0.75992547766727425</v>
      </c>
    </row>
    <row r="147" spans="3:40" hidden="1" x14ac:dyDescent="0.3">
      <c r="C147" s="1">
        <f t="shared" ref="C147" si="141">YEAR(G147)</f>
        <v>2026</v>
      </c>
      <c r="D147" s="52">
        <f>+'Fisico ASIG'!B147</f>
        <v>46023</v>
      </c>
      <c r="E147" s="1">
        <v>6</v>
      </c>
      <c r="F147" s="1" t="s">
        <v>43</v>
      </c>
      <c r="G147" s="5">
        <v>46053</v>
      </c>
      <c r="H147" s="77">
        <v>7015.2017500000038</v>
      </c>
      <c r="I147" s="77">
        <v>950.22504166666681</v>
      </c>
      <c r="J147" s="77">
        <v>255.15129166666668</v>
      </c>
      <c r="K147" s="77">
        <v>33.202341666666669</v>
      </c>
      <c r="L147" s="77">
        <v>0</v>
      </c>
      <c r="M147" s="81">
        <f t="shared" si="98"/>
        <v>8253.7804250000045</v>
      </c>
      <c r="N147" s="77">
        <v>12359.52012499999</v>
      </c>
      <c r="O147" s="77">
        <v>1412.2100416666667</v>
      </c>
      <c r="P147" s="77">
        <v>983.71</v>
      </c>
      <c r="Q147" s="77">
        <v>204.47</v>
      </c>
      <c r="R147" s="77">
        <v>0</v>
      </c>
      <c r="S147" s="81">
        <f t="shared" si="99"/>
        <v>14959.910166666656</v>
      </c>
      <c r="T147" s="77">
        <v>0</v>
      </c>
      <c r="U147" s="77">
        <v>425.70549999999997</v>
      </c>
      <c r="V147" s="77"/>
      <c r="W147" s="77">
        <v>1161.7197083333335</v>
      </c>
      <c r="X147" s="82">
        <f t="shared" si="67"/>
        <v>1587.4252083333336</v>
      </c>
      <c r="Y147" s="77">
        <v>0</v>
      </c>
      <c r="Z147" s="77">
        <v>525</v>
      </c>
      <c r="AA147" s="77">
        <v>0</v>
      </c>
      <c r="AB147" s="82">
        <f t="shared" si="100"/>
        <v>525</v>
      </c>
      <c r="AC147" s="84">
        <f t="shared" si="65"/>
        <v>1161.7197083333335</v>
      </c>
      <c r="AD147" s="39">
        <v>3000</v>
      </c>
      <c r="AE147" s="40">
        <f t="shared" ref="AE147:AE148" si="142">+N147-AD147</f>
        <v>9359.52012499999</v>
      </c>
      <c r="AF147" s="1">
        <f t="shared" ref="AF147:AF148" si="143">12*AJ147</f>
        <v>13.200000000000001</v>
      </c>
      <c r="AG147" s="1">
        <f t="shared" ref="AG147:AG148" si="144">12*AK147</f>
        <v>18</v>
      </c>
      <c r="AH147" s="41">
        <f t="shared" ref="AH147:AH148" si="145">+(AD147*AF147+AG147*AE147)/SUM(AD147:AE147)</f>
        <v>16.834906221733267</v>
      </c>
      <c r="AJ147">
        <v>1.1000000000000001</v>
      </c>
      <c r="AK147">
        <v>1.5</v>
      </c>
      <c r="AL147" s="32">
        <f t="shared" ref="AL147" si="146">+AD147+AE147</f>
        <v>12359.52012499999</v>
      </c>
      <c r="AM147" s="4">
        <f t="shared" ref="AM147" si="147">+AD147/AL147</f>
        <v>0.24272787047223668</v>
      </c>
      <c r="AN147" s="4">
        <f t="shared" ref="AN147" si="148">+AE147/AL147</f>
        <v>0.75727212952776335</v>
      </c>
    </row>
    <row r="148" spans="3:40" hidden="1" x14ac:dyDescent="0.3">
      <c r="C148" s="1">
        <f>+'Fisico ASIG'!A148</f>
        <v>2026</v>
      </c>
      <c r="D148" s="52">
        <f>+'Fisico ASIG'!B148</f>
        <v>46054</v>
      </c>
      <c r="E148" s="1">
        <f>+E141</f>
        <v>4</v>
      </c>
      <c r="F148" s="1" t="s">
        <v>44</v>
      </c>
      <c r="G148" s="5">
        <v>46054</v>
      </c>
      <c r="H148" s="77">
        <v>6722.342041666665</v>
      </c>
      <c r="I148" s="77">
        <v>774.16683333333344</v>
      </c>
      <c r="J148" s="77">
        <v>223.29375000000002</v>
      </c>
      <c r="K148" s="77">
        <v>17.127708333333334</v>
      </c>
      <c r="L148" s="77">
        <v>0</v>
      </c>
      <c r="M148" s="81">
        <f t="shared" si="98"/>
        <v>7736.9303333333319</v>
      </c>
      <c r="N148" s="77">
        <v>12721.431083333338</v>
      </c>
      <c r="O148" s="77">
        <v>1398.8500416666666</v>
      </c>
      <c r="P148" s="77">
        <v>983.66000000000008</v>
      </c>
      <c r="Q148" s="77">
        <v>204.47</v>
      </c>
      <c r="R148" s="77">
        <v>0</v>
      </c>
      <c r="S148" s="81">
        <f t="shared" si="99"/>
        <v>15308.411125000004</v>
      </c>
      <c r="T148" s="77">
        <v>0</v>
      </c>
      <c r="U148" s="77">
        <v>236.82920833333333</v>
      </c>
      <c r="V148" s="77"/>
      <c r="W148" s="77">
        <v>1042.2147500000001</v>
      </c>
      <c r="X148" s="82">
        <f t="shared" si="67"/>
        <v>1279.0439583333334</v>
      </c>
      <c r="Y148" s="77">
        <v>0</v>
      </c>
      <c r="Z148" s="77">
        <v>515</v>
      </c>
      <c r="AA148" s="77">
        <v>0</v>
      </c>
      <c r="AB148" s="82">
        <f t="shared" si="100"/>
        <v>515</v>
      </c>
      <c r="AC148" s="84">
        <f t="shared" si="65"/>
        <v>1042.2147500000001</v>
      </c>
      <c r="AD148" s="39">
        <v>3000</v>
      </c>
      <c r="AE148" s="40">
        <f t="shared" si="142"/>
        <v>9721.4310833333384</v>
      </c>
      <c r="AF148" s="1">
        <f t="shared" si="143"/>
        <v>13.200000000000001</v>
      </c>
      <c r="AG148" s="1">
        <f t="shared" si="144"/>
        <v>18</v>
      </c>
      <c r="AH148" s="41">
        <f t="shared" si="145"/>
        <v>16.868051879881204</v>
      </c>
      <c r="AJ148">
        <v>1.1000000000000001</v>
      </c>
      <c r="AK148">
        <v>1.5</v>
      </c>
      <c r="AL148" s="32">
        <f t="shared" ref="AL148:AL152" si="149">+AD148+AE148</f>
        <v>12721.431083333338</v>
      </c>
      <c r="AM148" s="4">
        <f t="shared" ref="AM148:AM152" si="150">+AD148/AL148</f>
        <v>0.23582252502474932</v>
      </c>
      <c r="AN148" s="4">
        <f t="shared" ref="AN148:AN152" si="151">+AE148/AL148</f>
        <v>0.76417747497525068</v>
      </c>
    </row>
    <row r="149" spans="3:40" hidden="1" x14ac:dyDescent="0.3">
      <c r="C149" s="1">
        <f>+'Fisico ASIG'!A149</f>
        <v>2026</v>
      </c>
      <c r="D149" s="52">
        <f>+'Fisico ASIG'!B149</f>
        <v>46054</v>
      </c>
      <c r="E149" s="1">
        <f t="shared" ref="E149:E162" si="152">+E142</f>
        <v>16</v>
      </c>
      <c r="F149" s="1" t="s">
        <v>45</v>
      </c>
      <c r="G149" s="5">
        <v>46055</v>
      </c>
      <c r="H149" s="77">
        <v>7507.9775416666662</v>
      </c>
      <c r="I149" s="77">
        <v>1119.8006666666665</v>
      </c>
      <c r="J149" s="77">
        <v>285.14</v>
      </c>
      <c r="K149" s="77">
        <v>40.999658333333336</v>
      </c>
      <c r="L149" s="77">
        <v>0</v>
      </c>
      <c r="M149" s="81">
        <v>8953.9178666666667</v>
      </c>
      <c r="N149" s="77">
        <v>12529.231958333334</v>
      </c>
      <c r="O149" s="77">
        <v>1388.2443750000002</v>
      </c>
      <c r="P149" s="77">
        <v>988.66000000000008</v>
      </c>
      <c r="Q149" s="77">
        <v>204.47</v>
      </c>
      <c r="R149" s="77">
        <v>0</v>
      </c>
      <c r="S149" s="81">
        <f t="shared" si="99"/>
        <v>15110.606333333333</v>
      </c>
      <c r="T149" s="77">
        <v>0</v>
      </c>
      <c r="U149" s="77">
        <v>207.14762499999998</v>
      </c>
      <c r="V149" s="77"/>
      <c r="W149" s="77">
        <v>1724.9650000000001</v>
      </c>
      <c r="X149" s="82">
        <f t="shared" si="67"/>
        <v>1932.1126250000002</v>
      </c>
      <c r="Y149" s="77">
        <v>0</v>
      </c>
      <c r="Z149" s="77">
        <v>515</v>
      </c>
      <c r="AA149" s="77">
        <v>0</v>
      </c>
      <c r="AB149" s="82">
        <f t="shared" si="100"/>
        <v>515</v>
      </c>
      <c r="AC149" s="84">
        <f t="shared" si="65"/>
        <v>1724.9650000000001</v>
      </c>
      <c r="AD149" s="39">
        <v>3000</v>
      </c>
      <c r="AE149" s="40">
        <f t="shared" ref="AE149:AE160" si="153">+N149-AD149</f>
        <v>9529.2319583333338</v>
      </c>
      <c r="AF149" s="1">
        <f t="shared" ref="AF149:AF160" si="154">12*AJ149</f>
        <v>13.200000000000001</v>
      </c>
      <c r="AG149" s="1">
        <f t="shared" ref="AG149:AG160" si="155">12*AK149</f>
        <v>18</v>
      </c>
      <c r="AH149" s="41">
        <f t="shared" ref="AH149:AH160" si="156">+(AD149*AF149+AG149*AE149)/SUM(AD149:AE149)</f>
        <v>16.850687731866724</v>
      </c>
      <c r="AJ149">
        <v>1.1000000000000001</v>
      </c>
      <c r="AK149">
        <v>1.5</v>
      </c>
      <c r="AL149" s="32">
        <f t="shared" si="149"/>
        <v>12529.231958333334</v>
      </c>
      <c r="AM149" s="4">
        <f t="shared" si="150"/>
        <v>0.23944005586109898</v>
      </c>
      <c r="AN149" s="4">
        <f t="shared" si="151"/>
        <v>0.76055994413890105</v>
      </c>
    </row>
    <row r="150" spans="3:40" hidden="1" x14ac:dyDescent="0.3">
      <c r="C150" s="1">
        <f>+'Fisico ASIG'!A150</f>
        <v>2026</v>
      </c>
      <c r="D150" s="52">
        <f>+'Fisico ASIG'!B150</f>
        <v>46054</v>
      </c>
      <c r="E150" s="1">
        <f t="shared" si="152"/>
        <v>16</v>
      </c>
      <c r="F150" s="1" t="s">
        <v>46</v>
      </c>
      <c r="G150" s="5">
        <v>46056</v>
      </c>
      <c r="H150" s="77">
        <v>8268.2364166666666</v>
      </c>
      <c r="I150" s="77">
        <v>1227.0300416666669</v>
      </c>
      <c r="J150" s="77">
        <v>309.0664583333334</v>
      </c>
      <c r="K150" s="77">
        <v>79.226950000000016</v>
      </c>
      <c r="L150" s="77">
        <v>0</v>
      </c>
      <c r="M150" s="81">
        <v>9883.5598666666665</v>
      </c>
      <c r="N150" s="77">
        <v>12058.662416666662</v>
      </c>
      <c r="O150" s="77">
        <v>1383.0182500000001</v>
      </c>
      <c r="P150" s="77">
        <v>991.66000000000008</v>
      </c>
      <c r="Q150" s="77">
        <v>204.47</v>
      </c>
      <c r="R150" s="77">
        <v>0</v>
      </c>
      <c r="S150" s="81">
        <f t="shared" si="99"/>
        <v>14637.810666666663</v>
      </c>
      <c r="T150" s="77">
        <v>0</v>
      </c>
      <c r="U150" s="77">
        <v>444.85141666666664</v>
      </c>
      <c r="V150" s="77"/>
      <c r="W150" s="77">
        <v>1416.4802499999998</v>
      </c>
      <c r="X150" s="82">
        <f t="shared" si="67"/>
        <v>1861.3316666666665</v>
      </c>
      <c r="Y150" s="77">
        <v>0</v>
      </c>
      <c r="Z150" s="77">
        <v>525</v>
      </c>
      <c r="AA150" s="77">
        <v>0</v>
      </c>
      <c r="AB150" s="82">
        <f t="shared" si="100"/>
        <v>525</v>
      </c>
      <c r="AC150" s="84">
        <f t="shared" si="65"/>
        <v>1416.4802499999998</v>
      </c>
      <c r="AD150" s="39">
        <v>3000</v>
      </c>
      <c r="AE150" s="40">
        <f t="shared" si="153"/>
        <v>9058.6624166666625</v>
      </c>
      <c r="AF150" s="1">
        <f t="shared" si="154"/>
        <v>13.200000000000001</v>
      </c>
      <c r="AG150" s="1">
        <f t="shared" si="155"/>
        <v>18</v>
      </c>
      <c r="AH150" s="41">
        <f t="shared" si="156"/>
        <v>16.805837703848702</v>
      </c>
      <c r="AJ150">
        <v>1.1000000000000001</v>
      </c>
      <c r="AK150">
        <v>1.5</v>
      </c>
      <c r="AL150" s="32">
        <f t="shared" si="149"/>
        <v>12058.662416666662</v>
      </c>
      <c r="AM150" s="4">
        <f t="shared" si="150"/>
        <v>0.2487838116981867</v>
      </c>
      <c r="AN150" s="4">
        <f t="shared" si="151"/>
        <v>0.75121618830181325</v>
      </c>
    </row>
    <row r="151" spans="3:40" hidden="1" x14ac:dyDescent="0.3">
      <c r="C151" s="1">
        <f>+'Fisico ASIG'!A151</f>
        <v>2026</v>
      </c>
      <c r="D151" s="52">
        <f>+'Fisico ASIG'!B151</f>
        <v>46054</v>
      </c>
      <c r="E151" s="1">
        <f t="shared" si="152"/>
        <v>16</v>
      </c>
      <c r="F151" s="1" t="s">
        <v>47</v>
      </c>
      <c r="G151" s="5">
        <v>46057</v>
      </c>
      <c r="H151" s="77">
        <v>7815.4476666666678</v>
      </c>
      <c r="I151" s="77">
        <v>1154.8561250000002</v>
      </c>
      <c r="J151" s="77">
        <v>285.123875</v>
      </c>
      <c r="K151" s="77">
        <v>25.538006250000002</v>
      </c>
      <c r="L151" s="77">
        <v>0</v>
      </c>
      <c r="M151" s="81">
        <v>9280.9656729166691</v>
      </c>
      <c r="N151" s="77">
        <v>12401.959250000002</v>
      </c>
      <c r="O151" s="77">
        <v>1419.9055416666667</v>
      </c>
      <c r="P151" s="77">
        <v>983.66000000000008</v>
      </c>
      <c r="Q151" s="77">
        <v>204.47</v>
      </c>
      <c r="R151" s="77">
        <v>0</v>
      </c>
      <c r="S151" s="81">
        <f t="shared" si="99"/>
        <v>15009.994791666668</v>
      </c>
      <c r="T151" s="77">
        <v>0</v>
      </c>
      <c r="U151" s="77">
        <v>471.24191666666667</v>
      </c>
      <c r="V151" s="77"/>
      <c r="W151" s="77">
        <v>1317.5642500000001</v>
      </c>
      <c r="X151" s="82">
        <f t="shared" si="67"/>
        <v>1788.8061666666667</v>
      </c>
      <c r="Y151" s="77">
        <v>0</v>
      </c>
      <c r="Z151" s="77">
        <v>515</v>
      </c>
      <c r="AA151" s="77">
        <v>0</v>
      </c>
      <c r="AB151" s="82">
        <f t="shared" si="100"/>
        <v>515</v>
      </c>
      <c r="AC151" s="84">
        <f t="shared" si="65"/>
        <v>1317.5642500000001</v>
      </c>
      <c r="AD151" s="39">
        <v>3000</v>
      </c>
      <c r="AE151" s="40">
        <f t="shared" si="153"/>
        <v>9401.9592500000017</v>
      </c>
      <c r="AF151" s="1">
        <f t="shared" si="154"/>
        <v>13.200000000000001</v>
      </c>
      <c r="AG151" s="1">
        <f t="shared" si="155"/>
        <v>18</v>
      </c>
      <c r="AH151" s="41">
        <f t="shared" si="156"/>
        <v>16.838893136985593</v>
      </c>
      <c r="AJ151">
        <v>1.1000000000000001</v>
      </c>
      <c r="AK151">
        <v>1.5</v>
      </c>
      <c r="AL151" s="32">
        <f t="shared" si="149"/>
        <v>12401.959250000002</v>
      </c>
      <c r="AM151" s="4">
        <f t="shared" si="150"/>
        <v>0.24189726312800131</v>
      </c>
      <c r="AN151" s="4">
        <f t="shared" si="151"/>
        <v>0.75810273687199869</v>
      </c>
    </row>
    <row r="152" spans="3:40" hidden="1" x14ac:dyDescent="0.3">
      <c r="C152" s="1">
        <f>+'Fisico ASIG'!A152</f>
        <v>2026</v>
      </c>
      <c r="D152" s="52">
        <f>+'Fisico ASIG'!B152</f>
        <v>46054</v>
      </c>
      <c r="E152" s="1">
        <f t="shared" si="152"/>
        <v>16</v>
      </c>
      <c r="F152" s="1" t="s">
        <v>48</v>
      </c>
      <c r="G152" s="5">
        <v>46058</v>
      </c>
      <c r="H152" s="77">
        <v>7620.4595000000018</v>
      </c>
      <c r="I152" s="77">
        <v>1170.2295000000001</v>
      </c>
      <c r="J152" s="77">
        <v>246.92537500000003</v>
      </c>
      <c r="K152" s="77">
        <v>16.281968750000001</v>
      </c>
      <c r="L152" s="77">
        <v>0</v>
      </c>
      <c r="M152" s="81">
        <v>9053.8963437500024</v>
      </c>
      <c r="N152" s="77">
        <v>12785.021624999999</v>
      </c>
      <c r="O152" s="77">
        <v>1445.2653749999999</v>
      </c>
      <c r="P152" s="77">
        <v>991.66000000000008</v>
      </c>
      <c r="Q152" s="77">
        <v>204.47</v>
      </c>
      <c r="R152" s="77">
        <v>0</v>
      </c>
      <c r="S152" s="81">
        <f t="shared" si="99"/>
        <v>15426.416999999999</v>
      </c>
      <c r="T152" s="77">
        <v>0</v>
      </c>
      <c r="U152" s="77">
        <v>257.07616666666672</v>
      </c>
      <c r="V152" s="77"/>
      <c r="W152" s="77">
        <v>1292.8390833333335</v>
      </c>
      <c r="X152" s="82">
        <f t="shared" si="67"/>
        <v>1549.9152500000002</v>
      </c>
      <c r="Y152" s="77">
        <v>0</v>
      </c>
      <c r="Z152" s="77">
        <v>515</v>
      </c>
      <c r="AA152" s="77">
        <v>0</v>
      </c>
      <c r="AB152" s="82">
        <f t="shared" si="100"/>
        <v>515</v>
      </c>
      <c r="AC152" s="84">
        <f t="shared" si="65"/>
        <v>1292.8390833333335</v>
      </c>
      <c r="AD152" s="39">
        <v>3000</v>
      </c>
      <c r="AE152" s="40">
        <f t="shared" si="153"/>
        <v>9785.0216249999994</v>
      </c>
      <c r="AF152" s="1">
        <f t="shared" si="154"/>
        <v>13.200000000000001</v>
      </c>
      <c r="AG152" s="1">
        <f t="shared" si="155"/>
        <v>18</v>
      </c>
      <c r="AH152" s="41">
        <f t="shared" si="156"/>
        <v>16.873681998953991</v>
      </c>
      <c r="AJ152">
        <v>1.1000000000000001</v>
      </c>
      <c r="AK152">
        <v>1.5</v>
      </c>
      <c r="AL152" s="32">
        <f t="shared" si="149"/>
        <v>12785.021624999999</v>
      </c>
      <c r="AM152" s="4">
        <f t="shared" si="150"/>
        <v>0.23464958355125193</v>
      </c>
      <c r="AN152" s="4">
        <f t="shared" si="151"/>
        <v>0.76535041644874813</v>
      </c>
    </row>
    <row r="153" spans="3:40" hidden="1" x14ac:dyDescent="0.3">
      <c r="C153" s="1">
        <f>+'Fisico ASIG'!A153</f>
        <v>2026</v>
      </c>
      <c r="D153" s="52">
        <f>+'Fisico ASIG'!B153</f>
        <v>46054</v>
      </c>
      <c r="E153" s="1">
        <f t="shared" si="152"/>
        <v>16</v>
      </c>
      <c r="F153" s="1" t="s">
        <v>49</v>
      </c>
      <c r="G153" s="5">
        <v>46059</v>
      </c>
      <c r="H153" s="77">
        <v>7264.6852083333342</v>
      </c>
      <c r="I153" s="77">
        <v>822.15770833333329</v>
      </c>
      <c r="J153" s="77">
        <v>209.88833333333335</v>
      </c>
      <c r="K153" s="77">
        <v>13.090975</v>
      </c>
      <c r="L153" s="77">
        <v>0</v>
      </c>
      <c r="M153" s="81">
        <v>8309.8222249999999</v>
      </c>
      <c r="N153" s="77">
        <v>12869.018749999996</v>
      </c>
      <c r="O153" s="77">
        <v>1457.4437083333335</v>
      </c>
      <c r="P153" s="77">
        <v>988.66000000000008</v>
      </c>
      <c r="Q153" s="77">
        <v>204.47</v>
      </c>
      <c r="R153" s="77">
        <v>0</v>
      </c>
      <c r="S153" s="81">
        <f t="shared" si="99"/>
        <v>15519.592458333329</v>
      </c>
      <c r="T153" s="77">
        <v>0</v>
      </c>
      <c r="U153" s="77">
        <v>188.36795833333329</v>
      </c>
      <c r="V153" s="77"/>
      <c r="W153" s="77">
        <v>1162.8596250000001</v>
      </c>
      <c r="X153" s="82">
        <f t="shared" si="67"/>
        <v>1351.2275833333333</v>
      </c>
      <c r="Y153" s="77">
        <v>0</v>
      </c>
      <c r="Z153" s="77">
        <v>515</v>
      </c>
      <c r="AA153" s="77">
        <v>0</v>
      </c>
      <c r="AB153" s="82">
        <f t="shared" si="100"/>
        <v>515</v>
      </c>
      <c r="AC153" s="84">
        <f t="shared" ref="AC153:AC216" si="157">+T153+V153+W153</f>
        <v>1162.8596250000001</v>
      </c>
      <c r="AD153" s="39">
        <v>3000</v>
      </c>
      <c r="AE153" s="40">
        <f t="shared" si="153"/>
        <v>9869.0187499999956</v>
      </c>
      <c r="AF153" s="1">
        <f t="shared" si="154"/>
        <v>13.200000000000001</v>
      </c>
      <c r="AG153" s="1">
        <f t="shared" si="155"/>
        <v>18</v>
      </c>
      <c r="AH153" s="41">
        <f t="shared" si="156"/>
        <v>16.881033567535987</v>
      </c>
      <c r="AJ153">
        <v>1.1000000000000001</v>
      </c>
      <c r="AK153">
        <v>1.5</v>
      </c>
      <c r="AL153" s="32">
        <f t="shared" ref="AL153:AL161" si="158">+AD153+AE153</f>
        <v>12869.018749999996</v>
      </c>
      <c r="AM153" s="4">
        <f t="shared" ref="AM153:AM161" si="159">+AD153/AL153</f>
        <v>0.23311800676333624</v>
      </c>
      <c r="AN153" s="4">
        <f t="shared" ref="AN153:AN161" si="160">+AE153/AL153</f>
        <v>0.76688199323666373</v>
      </c>
    </row>
    <row r="154" spans="3:40" hidden="1" x14ac:dyDescent="0.3">
      <c r="C154" s="1">
        <f>+'Fisico ASIG'!A154</f>
        <v>2026</v>
      </c>
      <c r="D154" s="52">
        <f>+'Fisico ASIG'!B154</f>
        <v>46054</v>
      </c>
      <c r="E154" s="1">
        <f t="shared" si="152"/>
        <v>6</v>
      </c>
      <c r="F154" s="1" t="s">
        <v>43</v>
      </c>
      <c r="G154" s="5">
        <v>46060</v>
      </c>
      <c r="H154" s="77">
        <v>7163.4578333333329</v>
      </c>
      <c r="I154" s="77">
        <v>930.79899999999998</v>
      </c>
      <c r="J154" s="77">
        <v>236.77341666666663</v>
      </c>
      <c r="K154" s="77">
        <v>18.564554166666671</v>
      </c>
      <c r="L154" s="77">
        <v>0</v>
      </c>
      <c r="M154" s="81">
        <v>8349.594804166667</v>
      </c>
      <c r="N154" s="77">
        <v>12869.236458333335</v>
      </c>
      <c r="O154" s="77">
        <v>1458.7341249999999</v>
      </c>
      <c r="P154" s="77">
        <v>988.66000000000008</v>
      </c>
      <c r="Q154" s="77">
        <v>204.47</v>
      </c>
      <c r="R154" s="77">
        <v>0</v>
      </c>
      <c r="S154" s="81">
        <f t="shared" si="99"/>
        <v>15521.100583333335</v>
      </c>
      <c r="T154" s="77">
        <v>0</v>
      </c>
      <c r="U154" s="77">
        <v>188.49795833333334</v>
      </c>
      <c r="V154" s="77"/>
      <c r="W154" s="77">
        <v>1083.5829999999999</v>
      </c>
      <c r="X154" s="82">
        <f t="shared" ref="X154:X217" si="161">SUM(T154:W154)</f>
        <v>1272.0809583333332</v>
      </c>
      <c r="Y154" s="77">
        <v>0</v>
      </c>
      <c r="Z154" s="77">
        <v>515</v>
      </c>
      <c r="AA154" s="77">
        <v>0</v>
      </c>
      <c r="AB154" s="82">
        <f t="shared" si="100"/>
        <v>515</v>
      </c>
      <c r="AC154" s="84">
        <f t="shared" si="157"/>
        <v>1083.5829999999999</v>
      </c>
      <c r="AD154" s="39">
        <v>3000</v>
      </c>
      <c r="AE154" s="40">
        <f t="shared" si="153"/>
        <v>9869.2364583333347</v>
      </c>
      <c r="AF154" s="1">
        <f t="shared" si="154"/>
        <v>13.200000000000001</v>
      </c>
      <c r="AG154" s="1">
        <f t="shared" si="155"/>
        <v>18</v>
      </c>
      <c r="AH154" s="41">
        <f t="shared" si="156"/>
        <v>16.881052497044188</v>
      </c>
      <c r="AJ154">
        <v>1.1000000000000001</v>
      </c>
      <c r="AK154">
        <v>1.5</v>
      </c>
      <c r="AL154" s="32">
        <f t="shared" si="158"/>
        <v>12869.236458333335</v>
      </c>
      <c r="AM154" s="4">
        <f t="shared" si="159"/>
        <v>0.23311406311579444</v>
      </c>
      <c r="AN154" s="4">
        <f t="shared" si="160"/>
        <v>0.76688593688420559</v>
      </c>
    </row>
    <row r="155" spans="3:40" hidden="1" x14ac:dyDescent="0.3">
      <c r="C155" s="1">
        <f>+'Fisico ASIG'!A155</f>
        <v>2026</v>
      </c>
      <c r="D155" s="52">
        <f>+'Fisico ASIG'!B155</f>
        <v>46054</v>
      </c>
      <c r="E155" s="1">
        <f>+E148</f>
        <v>4</v>
      </c>
      <c r="F155" s="1" t="s">
        <v>44</v>
      </c>
      <c r="G155" s="5">
        <v>46061</v>
      </c>
      <c r="H155" s="77">
        <v>6819.0458749999998</v>
      </c>
      <c r="I155" s="77">
        <v>1035.5005000000001</v>
      </c>
      <c r="J155" s="77">
        <v>220.52370833333339</v>
      </c>
      <c r="K155" s="77">
        <v>21.659404166666665</v>
      </c>
      <c r="L155" s="77">
        <v>0</v>
      </c>
      <c r="M155" s="81">
        <v>8096.7294874999998</v>
      </c>
      <c r="N155" s="77">
        <v>12552.874875</v>
      </c>
      <c r="O155" s="77">
        <v>1433.1759999999997</v>
      </c>
      <c r="P155" s="77">
        <v>988.66000000000008</v>
      </c>
      <c r="Q155" s="77">
        <v>204.47</v>
      </c>
      <c r="R155" s="77">
        <v>0</v>
      </c>
      <c r="S155" s="81">
        <f t="shared" si="99"/>
        <v>15179.180874999998</v>
      </c>
      <c r="T155" s="77">
        <v>0</v>
      </c>
      <c r="U155" s="77">
        <v>200.66300000000001</v>
      </c>
      <c r="V155" s="77"/>
      <c r="W155" s="77">
        <v>1503.0214999999998</v>
      </c>
      <c r="X155" s="82">
        <f t="shared" si="161"/>
        <v>1703.6844999999998</v>
      </c>
      <c r="Y155" s="77">
        <v>0</v>
      </c>
      <c r="Z155" s="77">
        <v>515</v>
      </c>
      <c r="AA155" s="77">
        <v>0</v>
      </c>
      <c r="AB155" s="82">
        <f t="shared" si="100"/>
        <v>515</v>
      </c>
      <c r="AC155" s="84">
        <f t="shared" si="157"/>
        <v>1503.0214999999998</v>
      </c>
      <c r="AD155" s="39">
        <v>3000</v>
      </c>
      <c r="AE155" s="40">
        <f t="shared" si="153"/>
        <v>9552.8748749999995</v>
      </c>
      <c r="AF155" s="1">
        <f t="shared" si="154"/>
        <v>13.200000000000001</v>
      </c>
      <c r="AG155" s="1">
        <f t="shared" si="155"/>
        <v>18</v>
      </c>
      <c r="AH155" s="41">
        <f t="shared" si="156"/>
        <v>16.852852422780163</v>
      </c>
      <c r="AJ155">
        <v>1.1000000000000001</v>
      </c>
      <c r="AK155">
        <v>1.5</v>
      </c>
      <c r="AL155" s="32">
        <f t="shared" si="158"/>
        <v>12552.874875</v>
      </c>
      <c r="AM155" s="4">
        <f t="shared" si="159"/>
        <v>0.23898907858746582</v>
      </c>
      <c r="AN155" s="4">
        <f t="shared" si="160"/>
        <v>0.76101092141253424</v>
      </c>
    </row>
    <row r="156" spans="3:40" hidden="1" x14ac:dyDescent="0.3">
      <c r="C156" s="1">
        <f>+'Fisico ASIG'!A156</f>
        <v>2026</v>
      </c>
      <c r="D156" s="52">
        <f>+'Fisico ASIG'!B156</f>
        <v>46054</v>
      </c>
      <c r="E156" s="1">
        <f t="shared" si="152"/>
        <v>16</v>
      </c>
      <c r="F156" s="1" t="s">
        <v>45</v>
      </c>
      <c r="G156" s="5">
        <v>46062</v>
      </c>
      <c r="H156" s="77">
        <v>7556.1139999999996</v>
      </c>
      <c r="I156" s="77">
        <v>1276.1500833333337</v>
      </c>
      <c r="J156" s="77">
        <v>345.44083333333333</v>
      </c>
      <c r="K156" s="77">
        <v>29.571393750000006</v>
      </c>
      <c r="L156" s="77">
        <v>0</v>
      </c>
      <c r="M156" s="81">
        <v>9207.2763104166679</v>
      </c>
      <c r="N156" s="77">
        <v>12413.004791666672</v>
      </c>
      <c r="O156" s="77">
        <v>1438.7092083333332</v>
      </c>
      <c r="P156" s="77">
        <v>991.94654166666669</v>
      </c>
      <c r="Q156" s="77">
        <v>204.25</v>
      </c>
      <c r="R156" s="77">
        <v>0</v>
      </c>
      <c r="S156" s="81">
        <f t="shared" si="99"/>
        <v>15047.910541666672</v>
      </c>
      <c r="T156" s="77">
        <v>0</v>
      </c>
      <c r="U156" s="77">
        <v>201.08624999999998</v>
      </c>
      <c r="V156" s="77"/>
      <c r="W156" s="77">
        <v>1664.0740000000003</v>
      </c>
      <c r="X156" s="82">
        <f t="shared" si="161"/>
        <v>1865.1602500000004</v>
      </c>
      <c r="Y156" s="77">
        <v>0</v>
      </c>
      <c r="Z156" s="77">
        <v>515</v>
      </c>
      <c r="AA156" s="77">
        <v>0</v>
      </c>
      <c r="AB156" s="82">
        <f t="shared" si="100"/>
        <v>515</v>
      </c>
      <c r="AC156" s="84">
        <f t="shared" si="157"/>
        <v>1664.0740000000003</v>
      </c>
      <c r="AD156" s="39">
        <v>3000</v>
      </c>
      <c r="AE156" s="40">
        <f t="shared" si="153"/>
        <v>9413.0047916666717</v>
      </c>
      <c r="AF156" s="1">
        <f t="shared" si="154"/>
        <v>13.200000000000001</v>
      </c>
      <c r="AG156" s="1">
        <f t="shared" si="155"/>
        <v>18</v>
      </c>
      <c r="AH156" s="41">
        <f t="shared" si="156"/>
        <v>16.839926331965383</v>
      </c>
      <c r="AJ156">
        <v>1.1000000000000001</v>
      </c>
      <c r="AK156">
        <v>1.5</v>
      </c>
      <c r="AL156" s="32">
        <f t="shared" si="158"/>
        <v>12413.004791666672</v>
      </c>
      <c r="AM156" s="4">
        <f t="shared" si="159"/>
        <v>0.241682014173878</v>
      </c>
      <c r="AN156" s="4">
        <f t="shared" si="160"/>
        <v>0.75831798582612198</v>
      </c>
    </row>
    <row r="157" spans="3:40" hidden="1" x14ac:dyDescent="0.3">
      <c r="C157" s="1">
        <f>+'Fisico ASIG'!A157</f>
        <v>2026</v>
      </c>
      <c r="D157" s="52">
        <f>+'Fisico ASIG'!B157</f>
        <v>46054</v>
      </c>
      <c r="E157" s="1">
        <f t="shared" si="152"/>
        <v>16</v>
      </c>
      <c r="F157" s="1" t="s">
        <v>46</v>
      </c>
      <c r="G157" s="5">
        <v>46063</v>
      </c>
      <c r="H157" s="77">
        <v>7953.4047083333353</v>
      </c>
      <c r="I157" s="77">
        <v>1271.1010416666668</v>
      </c>
      <c r="J157" s="77">
        <v>371.03258333333338</v>
      </c>
      <c r="K157" s="77">
        <v>39.484750000000012</v>
      </c>
      <c r="L157" s="77">
        <v>0</v>
      </c>
      <c r="M157" s="81">
        <v>9635.0230833333353</v>
      </c>
      <c r="N157" s="77">
        <v>12306.580999999996</v>
      </c>
      <c r="O157" s="77">
        <v>1433.0555416666666</v>
      </c>
      <c r="P157" s="77">
        <v>991.82391666666672</v>
      </c>
      <c r="Q157" s="77">
        <v>204.25</v>
      </c>
      <c r="R157" s="77">
        <v>0</v>
      </c>
      <c r="S157" s="81">
        <f t="shared" si="99"/>
        <v>14935.710458333329</v>
      </c>
      <c r="T157" s="77">
        <v>0</v>
      </c>
      <c r="U157" s="77">
        <v>299.62166666666673</v>
      </c>
      <c r="V157" s="77"/>
      <c r="W157" s="77">
        <v>1402.0452083333339</v>
      </c>
      <c r="X157" s="82">
        <f t="shared" si="161"/>
        <v>1701.6668750000006</v>
      </c>
      <c r="Y157" s="77">
        <v>0</v>
      </c>
      <c r="Z157" s="77">
        <v>515</v>
      </c>
      <c r="AA157" s="77">
        <v>0</v>
      </c>
      <c r="AB157" s="82">
        <f t="shared" si="100"/>
        <v>515</v>
      </c>
      <c r="AC157" s="84">
        <f t="shared" si="157"/>
        <v>1402.0452083333339</v>
      </c>
      <c r="AD157" s="39">
        <v>3000</v>
      </c>
      <c r="AE157" s="40">
        <f t="shared" si="153"/>
        <v>9306.5809999999965</v>
      </c>
      <c r="AF157" s="1">
        <f t="shared" si="154"/>
        <v>13.200000000000001</v>
      </c>
      <c r="AG157" s="1">
        <f t="shared" si="155"/>
        <v>18</v>
      </c>
      <c r="AH157" s="41">
        <f t="shared" si="156"/>
        <v>16.829894346772672</v>
      </c>
      <c r="AJ157">
        <v>1.1000000000000001</v>
      </c>
      <c r="AK157">
        <v>1.5</v>
      </c>
      <c r="AL157" s="32">
        <f t="shared" si="158"/>
        <v>12306.580999999996</v>
      </c>
      <c r="AM157" s="4">
        <f t="shared" si="159"/>
        <v>0.24377201108902635</v>
      </c>
      <c r="AN157" s="4">
        <f t="shared" si="160"/>
        <v>0.75622798891097365</v>
      </c>
    </row>
    <row r="158" spans="3:40" hidden="1" x14ac:dyDescent="0.3">
      <c r="C158" s="1">
        <f>+'Fisico ASIG'!A158</f>
        <v>2026</v>
      </c>
      <c r="D158" s="52">
        <f>+'Fisico ASIG'!B158</f>
        <v>46054</v>
      </c>
      <c r="E158" s="1">
        <f t="shared" si="152"/>
        <v>16</v>
      </c>
      <c r="F158" s="1" t="s">
        <v>47</v>
      </c>
      <c r="G158" s="5">
        <v>46064</v>
      </c>
      <c r="H158" s="77">
        <v>7420.6125416666673</v>
      </c>
      <c r="I158" s="77">
        <v>1291.300125</v>
      </c>
      <c r="J158" s="77">
        <v>308.61133333333333</v>
      </c>
      <c r="K158" s="77">
        <v>9.4108979166666682</v>
      </c>
      <c r="L158" s="77">
        <v>0</v>
      </c>
      <c r="M158" s="81">
        <v>9029.934897916668</v>
      </c>
      <c r="N158" s="77">
        <v>12737.927708333333</v>
      </c>
      <c r="O158" s="77">
        <v>1425.5769583333333</v>
      </c>
      <c r="P158" s="77">
        <v>992.00150000000008</v>
      </c>
      <c r="Q158" s="77">
        <v>202.25</v>
      </c>
      <c r="R158" s="77">
        <v>0</v>
      </c>
      <c r="S158" s="81">
        <f t="shared" si="99"/>
        <v>15357.756166666666</v>
      </c>
      <c r="T158" s="77">
        <v>0</v>
      </c>
      <c r="U158" s="77">
        <v>188.76529166666663</v>
      </c>
      <c r="V158" s="77"/>
      <c r="W158" s="77">
        <v>1854.6838333333333</v>
      </c>
      <c r="X158" s="82">
        <f t="shared" si="161"/>
        <v>2043.4491249999999</v>
      </c>
      <c r="Y158" s="77">
        <v>0</v>
      </c>
      <c r="Z158" s="77">
        <v>515</v>
      </c>
      <c r="AA158" s="77">
        <v>0</v>
      </c>
      <c r="AB158" s="82">
        <f t="shared" si="100"/>
        <v>515</v>
      </c>
      <c r="AC158" s="84">
        <f t="shared" si="157"/>
        <v>1854.6838333333333</v>
      </c>
      <c r="AD158" s="39">
        <v>3000</v>
      </c>
      <c r="AE158" s="40">
        <f t="shared" si="153"/>
        <v>9737.9277083333327</v>
      </c>
      <c r="AF158" s="1">
        <f t="shared" si="154"/>
        <v>13.200000000000001</v>
      </c>
      <c r="AG158" s="1">
        <f t="shared" si="155"/>
        <v>18</v>
      </c>
      <c r="AH158" s="41">
        <f t="shared" si="156"/>
        <v>16.86951784232695</v>
      </c>
      <c r="AJ158">
        <v>1.1000000000000001</v>
      </c>
      <c r="AK158">
        <v>1.5</v>
      </c>
      <c r="AL158" s="32">
        <f t="shared" si="158"/>
        <v>12737.927708333333</v>
      </c>
      <c r="AM158" s="4">
        <f t="shared" si="159"/>
        <v>0.23551711618188551</v>
      </c>
      <c r="AN158" s="4">
        <f t="shared" si="160"/>
        <v>0.76448288381811447</v>
      </c>
    </row>
    <row r="159" spans="3:40" hidden="1" x14ac:dyDescent="0.3">
      <c r="C159" s="1">
        <f>+'Fisico ASIG'!A159</f>
        <v>2026</v>
      </c>
      <c r="D159" s="52">
        <f>+'Fisico ASIG'!B159</f>
        <v>46054</v>
      </c>
      <c r="E159" s="1">
        <f t="shared" si="152"/>
        <v>16</v>
      </c>
      <c r="F159" s="1" t="s">
        <v>48</v>
      </c>
      <c r="G159" s="5">
        <v>46065</v>
      </c>
      <c r="H159" s="77">
        <v>6769.559208333334</v>
      </c>
      <c r="I159" s="77">
        <v>1329.3152916666666</v>
      </c>
      <c r="J159" s="77">
        <v>326.55770833333338</v>
      </c>
      <c r="K159" s="77">
        <v>22.522685416666668</v>
      </c>
      <c r="L159" s="77">
        <v>0</v>
      </c>
      <c r="M159" s="81">
        <v>8447.9548937500003</v>
      </c>
      <c r="N159" s="77">
        <v>12897.355791666665</v>
      </c>
      <c r="O159" s="77">
        <v>1455.3534583333333</v>
      </c>
      <c r="P159" s="77">
        <v>991.8094583333334</v>
      </c>
      <c r="Q159" s="77">
        <v>202.25</v>
      </c>
      <c r="R159" s="77">
        <v>0</v>
      </c>
      <c r="S159" s="81">
        <f t="shared" si="99"/>
        <v>15546.768708333331</v>
      </c>
      <c r="T159" s="77">
        <v>0</v>
      </c>
      <c r="U159" s="77">
        <v>187.21520833333338</v>
      </c>
      <c r="V159" s="77"/>
      <c r="W159" s="77">
        <v>1546.1740833333331</v>
      </c>
      <c r="X159" s="82">
        <f t="shared" si="161"/>
        <v>1733.3892916666664</v>
      </c>
      <c r="Y159" s="77">
        <v>0</v>
      </c>
      <c r="Z159" s="77">
        <v>515</v>
      </c>
      <c r="AA159" s="77">
        <v>0</v>
      </c>
      <c r="AB159" s="82">
        <f t="shared" si="100"/>
        <v>515</v>
      </c>
      <c r="AC159" s="84">
        <f t="shared" si="157"/>
        <v>1546.1740833333331</v>
      </c>
      <c r="AD159" s="39">
        <v>3000</v>
      </c>
      <c r="AE159" s="40">
        <f t="shared" si="153"/>
        <v>9897.355791666665</v>
      </c>
      <c r="AF159" s="1">
        <f t="shared" si="154"/>
        <v>13.200000000000001</v>
      </c>
      <c r="AG159" s="1">
        <f t="shared" si="155"/>
        <v>18</v>
      </c>
      <c r="AH159" s="41">
        <f t="shared" si="156"/>
        <v>16.883492071351228</v>
      </c>
      <c r="AJ159">
        <v>1.1000000000000001</v>
      </c>
      <c r="AK159">
        <v>1.5</v>
      </c>
      <c r="AL159" s="32">
        <f t="shared" si="158"/>
        <v>12897.355791666665</v>
      </c>
      <c r="AM159" s="4">
        <f t="shared" si="159"/>
        <v>0.23260581846849432</v>
      </c>
      <c r="AN159" s="4">
        <f t="shared" si="160"/>
        <v>0.76739418153150574</v>
      </c>
    </row>
    <row r="160" spans="3:40" hidden="1" x14ac:dyDescent="0.3">
      <c r="C160" s="1">
        <f>+'Fisico ASIG'!A160</f>
        <v>2026</v>
      </c>
      <c r="D160" s="52">
        <f>+'Fisico ASIG'!B160</f>
        <v>46054</v>
      </c>
      <c r="E160" s="1">
        <f t="shared" si="152"/>
        <v>16</v>
      </c>
      <c r="F160" s="1" t="s">
        <v>49</v>
      </c>
      <c r="G160" s="5">
        <v>46066</v>
      </c>
      <c r="H160" s="77">
        <v>6236.6767083333334</v>
      </c>
      <c r="I160" s="77">
        <v>1380.2383333333332</v>
      </c>
      <c r="J160" s="77">
        <v>302.83812499999999</v>
      </c>
      <c r="K160" s="77">
        <v>26.946968749999996</v>
      </c>
      <c r="L160" s="77">
        <v>0</v>
      </c>
      <c r="M160" s="81">
        <v>7946.7001354166678</v>
      </c>
      <c r="N160" s="77">
        <v>13095.970458333333</v>
      </c>
      <c r="O160" s="77">
        <v>1462.5429166666668</v>
      </c>
      <c r="P160" s="77">
        <v>991.73416666666674</v>
      </c>
      <c r="Q160" s="77">
        <v>202.25</v>
      </c>
      <c r="R160" s="77">
        <v>0</v>
      </c>
      <c r="S160" s="81">
        <f t="shared" si="99"/>
        <v>15752.497541666668</v>
      </c>
      <c r="T160" s="77">
        <v>0</v>
      </c>
      <c r="U160" s="77">
        <v>241.58933333333334</v>
      </c>
      <c r="V160" s="77"/>
      <c r="W160" s="77">
        <v>1305.4271666666664</v>
      </c>
      <c r="X160" s="82">
        <f t="shared" si="161"/>
        <v>1547.0164999999997</v>
      </c>
      <c r="Y160" s="77">
        <v>0</v>
      </c>
      <c r="Z160" s="77">
        <v>515</v>
      </c>
      <c r="AA160" s="77">
        <v>0</v>
      </c>
      <c r="AB160" s="82">
        <f t="shared" si="100"/>
        <v>515</v>
      </c>
      <c r="AC160" s="84">
        <f t="shared" si="157"/>
        <v>1305.4271666666664</v>
      </c>
      <c r="AD160" s="39">
        <v>3000</v>
      </c>
      <c r="AE160" s="40">
        <f t="shared" si="153"/>
        <v>10095.970458333333</v>
      </c>
      <c r="AF160" s="1">
        <f t="shared" si="154"/>
        <v>13.200000000000001</v>
      </c>
      <c r="AG160" s="1">
        <f t="shared" si="155"/>
        <v>18</v>
      </c>
      <c r="AH160" s="41">
        <f t="shared" si="156"/>
        <v>16.900425131087793</v>
      </c>
      <c r="AJ160">
        <v>1.1000000000000001</v>
      </c>
      <c r="AK160">
        <v>1.5</v>
      </c>
      <c r="AL160" s="32">
        <f t="shared" si="158"/>
        <v>13095.970458333333</v>
      </c>
      <c r="AM160" s="4">
        <f t="shared" si="159"/>
        <v>0.22907809769004295</v>
      </c>
      <c r="AN160" s="4">
        <f t="shared" si="160"/>
        <v>0.77092190230995705</v>
      </c>
    </row>
    <row r="161" spans="3:40" hidden="1" x14ac:dyDescent="0.3">
      <c r="C161" s="1">
        <f>+'Fisico ASIG'!A161</f>
        <v>2026</v>
      </c>
      <c r="D161" s="52">
        <f>+'Fisico ASIG'!B161</f>
        <v>46054</v>
      </c>
      <c r="E161" s="1">
        <f t="shared" si="152"/>
        <v>6</v>
      </c>
      <c r="F161" s="1" t="s">
        <v>43</v>
      </c>
      <c r="G161" s="5">
        <v>46067</v>
      </c>
      <c r="H161" s="77">
        <v>4930.7808749999995</v>
      </c>
      <c r="I161" s="77">
        <v>1286.1827916666666</v>
      </c>
      <c r="J161" s="77">
        <v>318.83458333333328</v>
      </c>
      <c r="K161" s="77">
        <v>29.202708333333341</v>
      </c>
      <c r="L161" s="77">
        <v>0</v>
      </c>
      <c r="M161" s="81">
        <v>6565.0009583333331</v>
      </c>
      <c r="N161" s="77">
        <v>12925.864374999997</v>
      </c>
      <c r="O161" s="77">
        <v>1440.6042500000001</v>
      </c>
      <c r="P161" s="77">
        <v>933.95416666666677</v>
      </c>
      <c r="Q161" s="77">
        <v>202.25</v>
      </c>
      <c r="R161" s="77">
        <v>0</v>
      </c>
      <c r="S161" s="81">
        <f t="shared" si="99"/>
        <v>15502.672791666664</v>
      </c>
      <c r="T161" s="77">
        <v>0</v>
      </c>
      <c r="U161" s="77">
        <v>187.23795833333335</v>
      </c>
      <c r="V161" s="77"/>
      <c r="W161" s="77">
        <v>1936.7440833333335</v>
      </c>
      <c r="X161" s="82">
        <f t="shared" si="161"/>
        <v>2123.9820416666666</v>
      </c>
      <c r="Y161" s="77">
        <v>0</v>
      </c>
      <c r="Z161" s="77">
        <v>515</v>
      </c>
      <c r="AA161" s="77">
        <v>0</v>
      </c>
      <c r="AB161" s="82">
        <f t="shared" si="100"/>
        <v>515</v>
      </c>
      <c r="AC161" s="84">
        <f t="shared" si="157"/>
        <v>1936.7440833333335</v>
      </c>
      <c r="AD161" s="39">
        <v>3000</v>
      </c>
      <c r="AE161" s="40">
        <f t="shared" ref="AE161:AE170" si="162">+N161-AD161</f>
        <v>9925.8643749999974</v>
      </c>
      <c r="AF161" s="1">
        <f t="shared" ref="AF161:AF170" si="163">12*AJ161</f>
        <v>13.200000000000001</v>
      </c>
      <c r="AG161" s="1">
        <f t="shared" ref="AG161:AG170" si="164">12*AK161</f>
        <v>18</v>
      </c>
      <c r="AH161" s="41">
        <f t="shared" ref="AH161:AH170" si="165">+(AD161*AF161+AG161*AE161)/SUM(AD161:AE161)</f>
        <v>16.885954580503636</v>
      </c>
      <c r="AJ161">
        <v>1.1000000000000001</v>
      </c>
      <c r="AK161">
        <v>1.5</v>
      </c>
      <c r="AL161" s="32">
        <f t="shared" si="158"/>
        <v>12925.864374999997</v>
      </c>
      <c r="AM161" s="4">
        <f t="shared" si="159"/>
        <v>0.23209279572840952</v>
      </c>
      <c r="AN161" s="4">
        <f t="shared" si="160"/>
        <v>0.76790720427159054</v>
      </c>
    </row>
    <row r="162" spans="3:40" hidden="1" x14ac:dyDescent="0.3">
      <c r="C162" s="1">
        <f>+'Fisico ASIG'!A162</f>
        <v>2026</v>
      </c>
      <c r="D162" s="52">
        <f>+'Fisico ASIG'!B162</f>
        <v>46054</v>
      </c>
      <c r="E162" s="1">
        <f t="shared" si="152"/>
        <v>4</v>
      </c>
      <c r="F162" s="1" t="s">
        <v>44</v>
      </c>
      <c r="G162" s="5">
        <v>46068</v>
      </c>
      <c r="H162" s="77">
        <v>5282.9635833333332</v>
      </c>
      <c r="I162" s="77">
        <v>1381.007625</v>
      </c>
      <c r="J162" s="77">
        <v>335.55533333333335</v>
      </c>
      <c r="K162" s="77">
        <v>28.589856250000004</v>
      </c>
      <c r="L162" s="77">
        <v>0</v>
      </c>
      <c r="M162" s="81">
        <v>7028.1163979166668</v>
      </c>
      <c r="N162" s="77">
        <v>12869.83154166667</v>
      </c>
      <c r="O162" s="77">
        <v>1459.2001250000001</v>
      </c>
      <c r="P162" s="77">
        <v>991.91229166666676</v>
      </c>
      <c r="Q162" s="77">
        <v>202.25</v>
      </c>
      <c r="R162" s="77">
        <v>0</v>
      </c>
      <c r="S162" s="81">
        <f t="shared" si="99"/>
        <v>15523.193958333337</v>
      </c>
      <c r="T162" s="77">
        <v>0</v>
      </c>
      <c r="U162" s="77">
        <v>187.82308333333333</v>
      </c>
      <c r="V162" s="77"/>
      <c r="W162" s="77">
        <v>1341.4687083333336</v>
      </c>
      <c r="X162" s="82">
        <f t="shared" si="161"/>
        <v>1529.291791666667</v>
      </c>
      <c r="Y162" s="77">
        <v>0</v>
      </c>
      <c r="Z162" s="77">
        <v>515</v>
      </c>
      <c r="AA162" s="77">
        <v>0</v>
      </c>
      <c r="AB162" s="82">
        <f t="shared" si="100"/>
        <v>515</v>
      </c>
      <c r="AC162" s="84">
        <f t="shared" si="157"/>
        <v>1341.4687083333336</v>
      </c>
      <c r="AD162" s="39">
        <v>3000</v>
      </c>
      <c r="AE162" s="40">
        <f t="shared" si="162"/>
        <v>9869.8315416666701</v>
      </c>
      <c r="AF162" s="1">
        <f t="shared" si="163"/>
        <v>13.200000000000001</v>
      </c>
      <c r="AG162" s="1">
        <f t="shared" si="164"/>
        <v>18</v>
      </c>
      <c r="AH162" s="41">
        <f t="shared" si="165"/>
        <v>16.88110423563981</v>
      </c>
      <c r="AJ162">
        <v>1.1000000000000001</v>
      </c>
      <c r="AK162">
        <v>1.5</v>
      </c>
      <c r="AL162" s="32">
        <f t="shared" ref="AL162:AL170" si="166">+AD162+AE162</f>
        <v>12869.83154166667</v>
      </c>
      <c r="AM162" s="4">
        <f t="shared" ref="AM162:AM170" si="167">+AD162/AL162</f>
        <v>0.23310328424170607</v>
      </c>
      <c r="AN162" s="4">
        <f t="shared" ref="AN162:AN170" si="168">+AE162/AL162</f>
        <v>0.76689671575829388</v>
      </c>
    </row>
    <row r="163" spans="3:40" hidden="1" x14ac:dyDescent="0.3">
      <c r="C163" s="1">
        <v>2026</v>
      </c>
      <c r="D163" s="52">
        <f>+'Fisico ASIG'!B163</f>
        <v>46054</v>
      </c>
      <c r="E163" s="1">
        <v>4</v>
      </c>
      <c r="F163" s="1" t="s">
        <v>45</v>
      </c>
      <c r="G163" s="5">
        <v>46069</v>
      </c>
      <c r="H163" s="77">
        <v>5250.2102500000019</v>
      </c>
      <c r="I163" s="77">
        <v>1349.9565833333336</v>
      </c>
      <c r="J163" s="77">
        <v>301.90595833333333</v>
      </c>
      <c r="K163" s="77">
        <v>27.943379166666666</v>
      </c>
      <c r="L163" s="77">
        <v>0</v>
      </c>
      <c r="M163" s="81">
        <v>6930.0161708333362</v>
      </c>
      <c r="N163" s="77">
        <v>12603.535125000002</v>
      </c>
      <c r="O163" s="77">
        <v>1442.9009583333334</v>
      </c>
      <c r="P163" s="77">
        <v>992.67370833333337</v>
      </c>
      <c r="Q163" s="77">
        <v>202.25</v>
      </c>
      <c r="R163" s="77">
        <v>0</v>
      </c>
      <c r="S163" s="81">
        <f t="shared" si="99"/>
        <v>15241.359791666669</v>
      </c>
      <c r="T163" s="77">
        <v>0</v>
      </c>
      <c r="U163" s="77">
        <v>187.548125</v>
      </c>
      <c r="V163" s="77"/>
      <c r="W163" s="77">
        <v>1429.1985833333333</v>
      </c>
      <c r="X163" s="82">
        <f t="shared" si="161"/>
        <v>1616.7467083333333</v>
      </c>
      <c r="Y163" s="77">
        <v>0</v>
      </c>
      <c r="Z163" s="77">
        <v>515</v>
      </c>
      <c r="AA163" s="77">
        <v>0</v>
      </c>
      <c r="AB163" s="82">
        <f t="shared" si="100"/>
        <v>515</v>
      </c>
      <c r="AC163" s="84">
        <f t="shared" si="157"/>
        <v>1429.1985833333333</v>
      </c>
      <c r="AD163" s="39">
        <v>3000</v>
      </c>
      <c r="AE163" s="40">
        <f t="shared" si="162"/>
        <v>9603.5351250000022</v>
      </c>
      <c r="AF163" s="1">
        <f t="shared" si="163"/>
        <v>13.200000000000001</v>
      </c>
      <c r="AG163" s="1">
        <f t="shared" si="164"/>
        <v>18</v>
      </c>
      <c r="AH163" s="41">
        <f t="shared" si="165"/>
        <v>16.857463413464323</v>
      </c>
      <c r="AJ163">
        <v>1.1000000000000001</v>
      </c>
      <c r="AK163">
        <v>1.5</v>
      </c>
      <c r="AL163" s="32">
        <f t="shared" si="166"/>
        <v>12603.535125000002</v>
      </c>
      <c r="AM163" s="4">
        <f t="shared" si="167"/>
        <v>0.23802845552826588</v>
      </c>
      <c r="AN163" s="4">
        <f t="shared" si="168"/>
        <v>0.7619715444717341</v>
      </c>
    </row>
    <row r="164" spans="3:40" hidden="1" x14ac:dyDescent="0.3">
      <c r="C164" s="1">
        <v>2026</v>
      </c>
      <c r="D164" s="52">
        <f>+'Fisico ASIG'!B164</f>
        <v>46054</v>
      </c>
      <c r="E164" s="1">
        <v>4</v>
      </c>
      <c r="F164" s="1" t="s">
        <v>46</v>
      </c>
      <c r="G164" s="5">
        <v>46070</v>
      </c>
      <c r="H164" s="77">
        <v>5684.828583333333</v>
      </c>
      <c r="I164" s="77">
        <v>1261.4629583333333</v>
      </c>
      <c r="J164" s="77">
        <v>310.65350000000001</v>
      </c>
      <c r="K164" s="77">
        <v>24.898356250000003</v>
      </c>
      <c r="L164" s="77">
        <v>0</v>
      </c>
      <c r="M164" s="81">
        <v>7281.8433979166666</v>
      </c>
      <c r="N164" s="77">
        <v>12503.407041666671</v>
      </c>
      <c r="O164" s="77">
        <v>1424.6656666666668</v>
      </c>
      <c r="P164" s="77">
        <v>992.39400000000001</v>
      </c>
      <c r="Q164" s="77">
        <v>202.25</v>
      </c>
      <c r="R164" s="77">
        <v>0</v>
      </c>
      <c r="S164" s="81">
        <f t="shared" si="99"/>
        <v>15122.716708333337</v>
      </c>
      <c r="T164" s="77">
        <v>0</v>
      </c>
      <c r="U164" s="77">
        <v>203.05066666666667</v>
      </c>
      <c r="V164" s="77"/>
      <c r="W164" s="77">
        <v>1584.0204999999999</v>
      </c>
      <c r="X164" s="82">
        <f t="shared" si="161"/>
        <v>1787.0711666666666</v>
      </c>
      <c r="Y164" s="77">
        <v>0</v>
      </c>
      <c r="Z164" s="77">
        <v>515</v>
      </c>
      <c r="AA164" s="77">
        <v>0</v>
      </c>
      <c r="AB164" s="82">
        <f t="shared" si="100"/>
        <v>515</v>
      </c>
      <c r="AC164" s="84">
        <f t="shared" si="157"/>
        <v>1584.0204999999999</v>
      </c>
      <c r="AD164" s="39">
        <v>3000</v>
      </c>
      <c r="AE164" s="40">
        <f t="shared" si="162"/>
        <v>9503.4070416666709</v>
      </c>
      <c r="AF164" s="1">
        <f t="shared" si="163"/>
        <v>13.200000000000001</v>
      </c>
      <c r="AG164" s="1">
        <f t="shared" si="164"/>
        <v>18</v>
      </c>
      <c r="AH164" s="41">
        <f t="shared" si="165"/>
        <v>16.848313907400353</v>
      </c>
      <c r="AJ164">
        <v>1.1000000000000001</v>
      </c>
      <c r="AK164">
        <v>1.5</v>
      </c>
      <c r="AL164" s="32">
        <f t="shared" si="166"/>
        <v>12503.407041666671</v>
      </c>
      <c r="AM164" s="4">
        <f t="shared" si="167"/>
        <v>0.23993460262492647</v>
      </c>
      <c r="AN164" s="4">
        <f t="shared" si="168"/>
        <v>0.7600653973750735</v>
      </c>
    </row>
    <row r="165" spans="3:40" hidden="1" x14ac:dyDescent="0.3">
      <c r="C165" s="1">
        <f>+'Fisico ASIG'!A165</f>
        <v>2026</v>
      </c>
      <c r="D165" s="52">
        <f>+'Fisico ASIG'!B165</f>
        <v>46054</v>
      </c>
      <c r="E165" s="1">
        <f t="shared" ref="E165:E169" si="169">+E158</f>
        <v>16</v>
      </c>
      <c r="F165" s="1" t="s">
        <v>47</v>
      </c>
      <c r="G165" s="5">
        <v>46071</v>
      </c>
      <c r="H165" s="77">
        <v>7415.0988333333316</v>
      </c>
      <c r="I165" s="77">
        <v>1302.57375</v>
      </c>
      <c r="J165" s="77">
        <v>432.86120833333342</v>
      </c>
      <c r="K165" s="77">
        <v>47.906558333333344</v>
      </c>
      <c r="L165" s="77">
        <v>0</v>
      </c>
      <c r="M165" s="81">
        <v>9198.4403499999989</v>
      </c>
      <c r="N165" s="77">
        <v>12722.733250000001</v>
      </c>
      <c r="O165" s="77">
        <v>1407.1953750000002</v>
      </c>
      <c r="P165" s="77">
        <v>991.77583333333337</v>
      </c>
      <c r="Q165" s="77">
        <v>202.25</v>
      </c>
      <c r="R165" s="77">
        <v>0</v>
      </c>
      <c r="S165" s="81">
        <f t="shared" si="99"/>
        <v>15323.954458333334</v>
      </c>
      <c r="T165" s="77">
        <v>0</v>
      </c>
      <c r="U165" s="77">
        <v>341.60233333333332</v>
      </c>
      <c r="V165" s="77"/>
      <c r="W165" s="77">
        <v>1312.9017499999995</v>
      </c>
      <c r="X165" s="82">
        <f t="shared" si="161"/>
        <v>1654.5040833333328</v>
      </c>
      <c r="Y165" s="77">
        <v>0</v>
      </c>
      <c r="Z165" s="77">
        <v>515</v>
      </c>
      <c r="AA165" s="77">
        <v>0</v>
      </c>
      <c r="AB165" s="82">
        <f t="shared" si="100"/>
        <v>515</v>
      </c>
      <c r="AC165" s="84">
        <f t="shared" si="157"/>
        <v>1312.9017499999995</v>
      </c>
      <c r="AD165" s="39">
        <v>3000</v>
      </c>
      <c r="AE165" s="40">
        <f t="shared" si="162"/>
        <v>9722.7332500000011</v>
      </c>
      <c r="AF165" s="1">
        <f t="shared" si="163"/>
        <v>13.200000000000001</v>
      </c>
      <c r="AG165" s="1">
        <f t="shared" si="164"/>
        <v>18</v>
      </c>
      <c r="AH165" s="41">
        <f t="shared" si="165"/>
        <v>16.868167734319197</v>
      </c>
      <c r="AJ165">
        <v>1.1000000000000001</v>
      </c>
      <c r="AK165">
        <v>1.5</v>
      </c>
      <c r="AL165" s="32">
        <f t="shared" si="166"/>
        <v>12722.733250000001</v>
      </c>
      <c r="AM165" s="4">
        <f t="shared" si="167"/>
        <v>0.23579838868350084</v>
      </c>
      <c r="AN165" s="4">
        <f t="shared" si="168"/>
        <v>0.76420161131649922</v>
      </c>
    </row>
    <row r="166" spans="3:40" hidden="1" x14ac:dyDescent="0.3">
      <c r="C166" s="1">
        <f>+'Fisico ASIG'!A166</f>
        <v>2026</v>
      </c>
      <c r="D166" s="52">
        <f>+'Fisico ASIG'!B166</f>
        <v>46054</v>
      </c>
      <c r="E166" s="1">
        <f t="shared" si="169"/>
        <v>16</v>
      </c>
      <c r="F166" s="1" t="s">
        <v>48</v>
      </c>
      <c r="G166" s="5">
        <v>46072</v>
      </c>
      <c r="H166" s="77">
        <v>7654.142541666668</v>
      </c>
      <c r="I166" s="77">
        <v>1285.5396250000001</v>
      </c>
      <c r="J166" s="77">
        <v>368.80554166666673</v>
      </c>
      <c r="K166" s="77">
        <v>9.9158541666666693</v>
      </c>
      <c r="L166" s="77">
        <v>0</v>
      </c>
      <c r="M166" s="81">
        <v>9318.4035625000015</v>
      </c>
      <c r="N166" s="77">
        <v>12827.910125</v>
      </c>
      <c r="O166" s="77">
        <v>1439.7306249999999</v>
      </c>
      <c r="P166" s="77">
        <v>986.38833333333343</v>
      </c>
      <c r="Q166" s="77">
        <v>202.25</v>
      </c>
      <c r="R166" s="77">
        <v>0</v>
      </c>
      <c r="S166" s="81">
        <f t="shared" si="99"/>
        <v>15456.279083333335</v>
      </c>
      <c r="T166" s="77">
        <v>0</v>
      </c>
      <c r="U166" s="77">
        <v>235.96370833333333</v>
      </c>
      <c r="V166" s="77"/>
      <c r="W166" s="77">
        <v>1222.5352916666668</v>
      </c>
      <c r="X166" s="82">
        <f t="shared" si="161"/>
        <v>1458.4990000000003</v>
      </c>
      <c r="Y166" s="77">
        <v>0</v>
      </c>
      <c r="Z166" s="77">
        <v>515</v>
      </c>
      <c r="AA166" s="77">
        <v>0</v>
      </c>
      <c r="AB166" s="82">
        <f t="shared" si="100"/>
        <v>515</v>
      </c>
      <c r="AC166" s="84">
        <f t="shared" si="157"/>
        <v>1222.5352916666668</v>
      </c>
      <c r="AD166" s="39">
        <v>3000</v>
      </c>
      <c r="AE166" s="40">
        <f t="shared" si="162"/>
        <v>9827.9101250000003</v>
      </c>
      <c r="AF166" s="1">
        <f t="shared" si="163"/>
        <v>13.200000000000001</v>
      </c>
      <c r="AG166" s="1">
        <f t="shared" si="164"/>
        <v>18</v>
      </c>
      <c r="AH166" s="41">
        <f t="shared" si="165"/>
        <v>16.877447701170261</v>
      </c>
      <c r="AJ166">
        <v>1.1000000000000001</v>
      </c>
      <c r="AK166">
        <v>1.5</v>
      </c>
      <c r="AL166" s="32">
        <f t="shared" si="166"/>
        <v>12827.910125</v>
      </c>
      <c r="AM166" s="4">
        <f t="shared" si="167"/>
        <v>0.23386506225619505</v>
      </c>
      <c r="AN166" s="4">
        <f t="shared" si="168"/>
        <v>0.76613493774380492</v>
      </c>
    </row>
    <row r="167" spans="3:40" hidden="1" x14ac:dyDescent="0.3">
      <c r="C167" s="1">
        <f>+'Fisico ASIG'!A167</f>
        <v>2026</v>
      </c>
      <c r="D167" s="52">
        <f>+'Fisico ASIG'!B167</f>
        <v>46054</v>
      </c>
      <c r="E167" s="1">
        <f t="shared" si="169"/>
        <v>16</v>
      </c>
      <c r="F167" s="1" t="s">
        <v>49</v>
      </c>
      <c r="G167" s="5">
        <v>46073</v>
      </c>
      <c r="H167" s="77">
        <v>7129.9092500000006</v>
      </c>
      <c r="I167" s="77">
        <v>1313.4802083333334</v>
      </c>
      <c r="J167" s="77">
        <v>340.90329166666663</v>
      </c>
      <c r="K167" s="77">
        <v>17.417750000000005</v>
      </c>
      <c r="L167" s="77">
        <v>0</v>
      </c>
      <c r="M167" s="81">
        <v>8801.7105000000029</v>
      </c>
      <c r="N167" s="77">
        <v>13002.152583333333</v>
      </c>
      <c r="O167" s="77">
        <v>1435.0827083333336</v>
      </c>
      <c r="P167" s="77">
        <v>990.36833333333334</v>
      </c>
      <c r="Q167" s="77">
        <v>202.25</v>
      </c>
      <c r="R167" s="77">
        <v>0</v>
      </c>
      <c r="S167" s="81">
        <f t="shared" si="99"/>
        <v>15629.853625</v>
      </c>
      <c r="T167" s="77">
        <v>0</v>
      </c>
      <c r="U167" s="77">
        <v>191.22020833333329</v>
      </c>
      <c r="V167" s="77"/>
      <c r="W167" s="77">
        <v>952.39595833333351</v>
      </c>
      <c r="X167" s="82">
        <f t="shared" si="161"/>
        <v>1143.6161666666667</v>
      </c>
      <c r="Y167" s="77">
        <v>0</v>
      </c>
      <c r="Z167" s="77">
        <v>515</v>
      </c>
      <c r="AA167" s="77">
        <v>0</v>
      </c>
      <c r="AB167" s="82">
        <f t="shared" si="100"/>
        <v>515</v>
      </c>
      <c r="AC167" s="84">
        <f t="shared" si="157"/>
        <v>952.39595833333351</v>
      </c>
      <c r="AD167" s="39">
        <v>3000</v>
      </c>
      <c r="AE167" s="40">
        <f t="shared" si="162"/>
        <v>10002.152583333333</v>
      </c>
      <c r="AF167" s="1">
        <f t="shared" si="163"/>
        <v>13.200000000000001</v>
      </c>
      <c r="AG167" s="1">
        <f t="shared" si="164"/>
        <v>18</v>
      </c>
      <c r="AH167" s="41">
        <f t="shared" si="165"/>
        <v>16.892491077326806</v>
      </c>
      <c r="AJ167">
        <v>1.1000000000000001</v>
      </c>
      <c r="AK167">
        <v>1.5</v>
      </c>
      <c r="AL167" s="32">
        <f t="shared" si="166"/>
        <v>13002.152583333333</v>
      </c>
      <c r="AM167" s="4">
        <f t="shared" si="167"/>
        <v>0.23073102555691566</v>
      </c>
      <c r="AN167" s="4">
        <f t="shared" si="168"/>
        <v>0.7692689744430844</v>
      </c>
    </row>
    <row r="168" spans="3:40" hidden="1" x14ac:dyDescent="0.3">
      <c r="C168" s="1">
        <f>+'Fisico ASIG'!A168</f>
        <v>2026</v>
      </c>
      <c r="D168" s="52">
        <f>+'Fisico ASIG'!B168</f>
        <v>46054</v>
      </c>
      <c r="E168" s="1">
        <f t="shared" si="169"/>
        <v>6</v>
      </c>
      <c r="F168" s="1" t="s">
        <v>43</v>
      </c>
      <c r="G168" s="5">
        <v>46074</v>
      </c>
      <c r="H168" s="77">
        <v>6068.3556666666673</v>
      </c>
      <c r="I168" s="77">
        <v>1230.4409999999998</v>
      </c>
      <c r="J168" s="77">
        <v>314.66958333333338</v>
      </c>
      <c r="K168" s="77">
        <v>14.585777083333333</v>
      </c>
      <c r="L168" s="77">
        <v>0</v>
      </c>
      <c r="M168" s="81">
        <v>7628.052027083334</v>
      </c>
      <c r="N168" s="77">
        <v>12554.187499999996</v>
      </c>
      <c r="O168" s="77">
        <v>1468.3626666666669</v>
      </c>
      <c r="P168" s="77">
        <v>962.09645833333343</v>
      </c>
      <c r="Q168" s="77">
        <v>202.15</v>
      </c>
      <c r="R168" s="77">
        <v>0</v>
      </c>
      <c r="S168" s="81">
        <f t="shared" si="99"/>
        <v>15186.796624999997</v>
      </c>
      <c r="T168" s="77">
        <v>0</v>
      </c>
      <c r="U168" s="77">
        <v>189.20754166666666</v>
      </c>
      <c r="V168" s="77"/>
      <c r="W168" s="77">
        <v>1218.1664583333331</v>
      </c>
      <c r="X168" s="82">
        <f t="shared" si="161"/>
        <v>1407.3739999999998</v>
      </c>
      <c r="Y168" s="77">
        <v>0</v>
      </c>
      <c r="Z168" s="77">
        <v>515</v>
      </c>
      <c r="AA168" s="77">
        <v>0</v>
      </c>
      <c r="AB168" s="82">
        <f t="shared" si="100"/>
        <v>515</v>
      </c>
      <c r="AC168" s="84">
        <f t="shared" si="157"/>
        <v>1218.1664583333331</v>
      </c>
      <c r="AD168" s="39">
        <v>3000</v>
      </c>
      <c r="AE168" s="40">
        <f t="shared" si="162"/>
        <v>9554.1874999999964</v>
      </c>
      <c r="AF168" s="1">
        <f t="shared" si="163"/>
        <v>13.200000000000001</v>
      </c>
      <c r="AG168" s="1">
        <f t="shared" si="164"/>
        <v>18</v>
      </c>
      <c r="AH168" s="41">
        <f t="shared" si="165"/>
        <v>16.8529723647986</v>
      </c>
      <c r="AJ168">
        <v>1.1000000000000001</v>
      </c>
      <c r="AK168">
        <v>1.5</v>
      </c>
      <c r="AL168" s="32">
        <f t="shared" si="166"/>
        <v>12554.187499999996</v>
      </c>
      <c r="AM168" s="4">
        <f t="shared" si="167"/>
        <v>0.23896409066695881</v>
      </c>
      <c r="AN168" s="4">
        <f t="shared" si="168"/>
        <v>0.76103590933304122</v>
      </c>
    </row>
    <row r="169" spans="3:40" hidden="1" x14ac:dyDescent="0.3">
      <c r="C169" s="1">
        <f>+'Fisico ASIG'!A169</f>
        <v>2026</v>
      </c>
      <c r="D169" s="52">
        <f>+'Fisico ASIG'!B169</f>
        <v>46054</v>
      </c>
      <c r="E169" s="1">
        <f t="shared" si="169"/>
        <v>4</v>
      </c>
      <c r="F169" s="1" t="s">
        <v>44</v>
      </c>
      <c r="G169" s="5">
        <v>46075</v>
      </c>
      <c r="H169" s="77">
        <v>5858.6080416666664</v>
      </c>
      <c r="I169" s="77">
        <v>1282.7848333333334</v>
      </c>
      <c r="J169" s="77">
        <v>274.20345833333334</v>
      </c>
      <c r="K169" s="77">
        <v>10.374689583333335</v>
      </c>
      <c r="L169" s="77">
        <v>0</v>
      </c>
      <c r="M169" s="81">
        <v>7425.9710229166667</v>
      </c>
      <c r="N169" s="77">
        <v>12430.131666666663</v>
      </c>
      <c r="O169" s="77">
        <v>1444.5797916666666</v>
      </c>
      <c r="P169" s="77">
        <v>991.66000000000008</v>
      </c>
      <c r="Q169" s="77">
        <v>202.15</v>
      </c>
      <c r="R169" s="77">
        <v>0</v>
      </c>
      <c r="S169" s="81">
        <f t="shared" si="99"/>
        <v>15068.521458333329</v>
      </c>
      <c r="T169" s="77">
        <v>0</v>
      </c>
      <c r="U169" s="77">
        <v>186.98083333333332</v>
      </c>
      <c r="V169" s="77"/>
      <c r="W169" s="77">
        <v>1240.2584583333332</v>
      </c>
      <c r="X169" s="82">
        <f t="shared" si="161"/>
        <v>1427.2392916666665</v>
      </c>
      <c r="Y169" s="77">
        <v>0</v>
      </c>
      <c r="Z169" s="77">
        <v>515</v>
      </c>
      <c r="AA169" s="77">
        <v>0</v>
      </c>
      <c r="AB169" s="82">
        <f t="shared" si="100"/>
        <v>515</v>
      </c>
      <c r="AC169" s="84">
        <f t="shared" si="157"/>
        <v>1240.2584583333332</v>
      </c>
      <c r="AD169" s="39">
        <v>3000</v>
      </c>
      <c r="AE169" s="40">
        <f t="shared" si="162"/>
        <v>9430.1316666666626</v>
      </c>
      <c r="AF169" s="1">
        <f t="shared" si="163"/>
        <v>13.200000000000001</v>
      </c>
      <c r="AG169" s="1">
        <f t="shared" si="164"/>
        <v>18</v>
      </c>
      <c r="AH169" s="41">
        <f t="shared" si="165"/>
        <v>16.841524741156537</v>
      </c>
      <c r="AJ169">
        <v>1.1000000000000001</v>
      </c>
      <c r="AK169">
        <v>1.5</v>
      </c>
      <c r="AL169" s="32">
        <f t="shared" si="166"/>
        <v>12430.131666666663</v>
      </c>
      <c r="AM169" s="4">
        <f t="shared" si="167"/>
        <v>0.241349012259055</v>
      </c>
      <c r="AN169" s="4">
        <f t="shared" si="168"/>
        <v>0.75865098774094497</v>
      </c>
    </row>
    <row r="170" spans="3:40" hidden="1" x14ac:dyDescent="0.3">
      <c r="C170" s="1">
        <f>+'Fisico ASIG'!A170</f>
        <v>2026</v>
      </c>
      <c r="D170" s="52">
        <f>+'Fisico ASIG'!B170</f>
        <v>46054</v>
      </c>
      <c r="E170" s="1">
        <v>16</v>
      </c>
      <c r="F170" s="1" t="s">
        <v>45</v>
      </c>
      <c r="G170" s="5">
        <v>46076</v>
      </c>
      <c r="H170" s="77">
        <v>7049.4504166666693</v>
      </c>
      <c r="I170" s="77">
        <v>1362.8031666666666</v>
      </c>
      <c r="J170" s="77">
        <v>311.45775000000003</v>
      </c>
      <c r="K170" s="77">
        <v>38.233889583333337</v>
      </c>
      <c r="L170" s="77">
        <v>0</v>
      </c>
      <c r="M170" s="81">
        <v>8761.9452229166673</v>
      </c>
      <c r="N170" s="77">
        <v>12585.165541666667</v>
      </c>
      <c r="O170" s="77">
        <v>1435.5795833333336</v>
      </c>
      <c r="P170" s="77">
        <v>991.66000000000008</v>
      </c>
      <c r="Q170" s="77">
        <v>202.15</v>
      </c>
      <c r="R170" s="77">
        <v>0</v>
      </c>
      <c r="S170" s="81">
        <f t="shared" si="99"/>
        <v>15214.555125000001</v>
      </c>
      <c r="T170" s="77">
        <v>0</v>
      </c>
      <c r="U170" s="77">
        <v>190.46120833333336</v>
      </c>
      <c r="V170" s="77"/>
      <c r="W170" s="77">
        <v>1308.1237083333335</v>
      </c>
      <c r="X170" s="82">
        <f t="shared" si="161"/>
        <v>1498.5849166666669</v>
      </c>
      <c r="Y170" s="77">
        <v>0</v>
      </c>
      <c r="Z170" s="77">
        <v>515</v>
      </c>
      <c r="AA170" s="77">
        <v>0</v>
      </c>
      <c r="AB170" s="82">
        <f t="shared" si="100"/>
        <v>515</v>
      </c>
      <c r="AC170" s="84">
        <f t="shared" si="157"/>
        <v>1308.1237083333335</v>
      </c>
      <c r="AD170" s="39">
        <v>3000</v>
      </c>
      <c r="AE170" s="40">
        <f t="shared" si="162"/>
        <v>9585.1655416666672</v>
      </c>
      <c r="AF170" s="1">
        <f t="shared" si="163"/>
        <v>13.200000000000001</v>
      </c>
      <c r="AG170" s="1">
        <f t="shared" si="164"/>
        <v>18</v>
      </c>
      <c r="AH170" s="41">
        <f t="shared" si="165"/>
        <v>16.855795742032566</v>
      </c>
      <c r="AJ170">
        <v>1.1000000000000001</v>
      </c>
      <c r="AK170">
        <v>1.5</v>
      </c>
      <c r="AL170" s="32">
        <f t="shared" si="166"/>
        <v>12585.165541666667</v>
      </c>
      <c r="AM170" s="4">
        <f t="shared" si="167"/>
        <v>0.23837588707654828</v>
      </c>
      <c r="AN170" s="4">
        <f t="shared" si="168"/>
        <v>0.76162411292345167</v>
      </c>
    </row>
    <row r="171" spans="3:40" hidden="1" x14ac:dyDescent="0.3">
      <c r="C171" s="1">
        <f>+'Fisico ASIG'!A171</f>
        <v>2026</v>
      </c>
      <c r="D171" s="52">
        <f>+'Fisico ASIG'!B171</f>
        <v>46054</v>
      </c>
      <c r="E171" s="1">
        <v>16</v>
      </c>
      <c r="F171" s="1" t="s">
        <v>46</v>
      </c>
      <c r="G171" s="5">
        <v>46077</v>
      </c>
      <c r="H171" s="77">
        <v>7214.018750000002</v>
      </c>
      <c r="I171" s="77">
        <v>1201.8606666666667</v>
      </c>
      <c r="J171" s="77">
        <v>348.65658333333334</v>
      </c>
      <c r="K171" s="77">
        <v>23.632818749999998</v>
      </c>
      <c r="L171" s="77">
        <v>0</v>
      </c>
      <c r="M171" s="81">
        <v>8788.1688187500022</v>
      </c>
      <c r="N171" s="77">
        <v>12949.286750000007</v>
      </c>
      <c r="O171" s="77">
        <v>1411.8357916666669</v>
      </c>
      <c r="P171" s="77">
        <v>991.66000000000008</v>
      </c>
      <c r="Q171" s="77">
        <v>202</v>
      </c>
      <c r="R171" s="77">
        <v>0</v>
      </c>
      <c r="S171" s="81">
        <f t="shared" si="99"/>
        <v>15554.782541666673</v>
      </c>
      <c r="T171" s="77">
        <v>0</v>
      </c>
      <c r="U171" s="77">
        <v>189.27612499999998</v>
      </c>
      <c r="V171" s="77"/>
      <c r="W171" s="77">
        <v>1815.7397083333331</v>
      </c>
      <c r="X171" s="82">
        <f t="shared" si="161"/>
        <v>2005.0158333333329</v>
      </c>
      <c r="Y171" s="77">
        <v>0</v>
      </c>
      <c r="Z171" s="77">
        <v>515</v>
      </c>
      <c r="AA171" s="77">
        <v>0</v>
      </c>
      <c r="AB171" s="82">
        <f t="shared" si="100"/>
        <v>515</v>
      </c>
      <c r="AC171" s="84">
        <f t="shared" si="157"/>
        <v>1815.7397083333331</v>
      </c>
      <c r="AD171" s="39">
        <v>3000</v>
      </c>
      <c r="AE171" s="40">
        <f t="shared" ref="AE171:AE176" si="170">+N171-AD171</f>
        <v>9949.2867500000066</v>
      </c>
      <c r="AF171" s="1">
        <f t="shared" ref="AF171:AF176" si="171">12*AJ171</f>
        <v>13.200000000000001</v>
      </c>
      <c r="AG171" s="1">
        <f t="shared" ref="AG171:AG176" si="172">12*AK171</f>
        <v>18</v>
      </c>
      <c r="AH171" s="41">
        <f t="shared" ref="AH171:AH176" si="173">+(AD171*AF171+AG171*AE171)/SUM(AD171:AE171)</f>
        <v>16.887969640490045</v>
      </c>
      <c r="AJ171">
        <v>1.1000000000000001</v>
      </c>
      <c r="AK171">
        <v>1.5</v>
      </c>
      <c r="AL171" s="32">
        <f t="shared" ref="AL171:AL176" si="174">+AD171+AE171</f>
        <v>12949.286750000007</v>
      </c>
      <c r="AM171" s="4">
        <f t="shared" ref="AM171:AM176" si="175">+AD171/AL171</f>
        <v>0.23167299156457388</v>
      </c>
      <c r="AN171" s="4">
        <f t="shared" ref="AN171:AN176" si="176">+AE171/AL171</f>
        <v>0.76832700843542612</v>
      </c>
    </row>
    <row r="172" spans="3:40" hidden="1" x14ac:dyDescent="0.3">
      <c r="C172" s="1">
        <f>+'Fisico ASIG'!A172</f>
        <v>2026</v>
      </c>
      <c r="D172" s="52">
        <f>+'Fisico ASIG'!B172</f>
        <v>46054</v>
      </c>
      <c r="E172" s="1">
        <v>16</v>
      </c>
      <c r="F172" s="1" t="s">
        <v>47</v>
      </c>
      <c r="G172" s="5">
        <v>46078</v>
      </c>
      <c r="H172" s="77">
        <v>6817.4725416666679</v>
      </c>
      <c r="I172" s="77">
        <v>1211.5550833333334</v>
      </c>
      <c r="J172" s="77">
        <v>367.3660000000001</v>
      </c>
      <c r="K172" s="77">
        <v>12.709570833333334</v>
      </c>
      <c r="L172" s="77">
        <v>0</v>
      </c>
      <c r="M172" s="81">
        <v>8409.1031958333351</v>
      </c>
      <c r="N172" s="77">
        <v>13142.442250000002</v>
      </c>
      <c r="O172" s="77">
        <v>1450.1626666666668</v>
      </c>
      <c r="P172" s="77">
        <v>991.66000000000008</v>
      </c>
      <c r="Q172" s="77">
        <v>202</v>
      </c>
      <c r="R172" s="77">
        <v>0</v>
      </c>
      <c r="S172" s="81">
        <f t="shared" si="99"/>
        <v>15786.264916666669</v>
      </c>
      <c r="T172" s="77">
        <v>0</v>
      </c>
      <c r="U172" s="77">
        <v>187.72866666666667</v>
      </c>
      <c r="V172" s="77"/>
      <c r="W172" s="77">
        <v>1273.0078749999998</v>
      </c>
      <c r="X172" s="82">
        <f t="shared" si="161"/>
        <v>1460.7365416666664</v>
      </c>
      <c r="Y172" s="77">
        <v>0</v>
      </c>
      <c r="Z172" s="77">
        <v>515</v>
      </c>
      <c r="AA172" s="77">
        <v>0</v>
      </c>
      <c r="AB172" s="82">
        <f t="shared" si="100"/>
        <v>515</v>
      </c>
      <c r="AC172" s="84">
        <f t="shared" si="157"/>
        <v>1273.0078749999998</v>
      </c>
      <c r="AD172" s="39">
        <v>3000</v>
      </c>
      <c r="AE172" s="40">
        <f t="shared" si="170"/>
        <v>10142.442250000002</v>
      </c>
      <c r="AF172" s="1">
        <f t="shared" si="171"/>
        <v>13.200000000000001</v>
      </c>
      <c r="AG172" s="1">
        <f t="shared" si="172"/>
        <v>18</v>
      </c>
      <c r="AH172" s="41">
        <f t="shared" si="173"/>
        <v>16.904313237518696</v>
      </c>
      <c r="AJ172">
        <v>1.1000000000000001</v>
      </c>
      <c r="AK172">
        <v>1.5</v>
      </c>
      <c r="AL172" s="32">
        <f t="shared" si="174"/>
        <v>13142.442250000002</v>
      </c>
      <c r="AM172" s="4">
        <f t="shared" si="175"/>
        <v>0.22826807551693823</v>
      </c>
      <c r="AN172" s="4">
        <f t="shared" si="176"/>
        <v>0.77173192448306183</v>
      </c>
    </row>
    <row r="173" spans="3:40" hidden="1" x14ac:dyDescent="0.3">
      <c r="C173" s="1">
        <f>+'Fisico ASIG'!A173</f>
        <v>2026</v>
      </c>
      <c r="D173" s="52">
        <f>+'Fisico ASIG'!B173</f>
        <v>46054</v>
      </c>
      <c r="E173" s="1">
        <v>16</v>
      </c>
      <c r="F173" s="1" t="s">
        <v>48</v>
      </c>
      <c r="G173" s="5">
        <v>46079</v>
      </c>
      <c r="H173" s="77">
        <v>6729.724708333335</v>
      </c>
      <c r="I173" s="77">
        <v>1214.9426249999999</v>
      </c>
      <c r="J173" s="77">
        <v>331.7659583333334</v>
      </c>
      <c r="K173" s="77">
        <v>26.628060416666667</v>
      </c>
      <c r="L173" s="77">
        <v>0</v>
      </c>
      <c r="M173" s="81">
        <v>8303.061352083334</v>
      </c>
      <c r="N173" s="77">
        <v>13140.52783333333</v>
      </c>
      <c r="O173" s="77">
        <v>1473.8882083333335</v>
      </c>
      <c r="P173" s="77">
        <v>991.66000000000008</v>
      </c>
      <c r="Q173" s="77">
        <v>202</v>
      </c>
      <c r="R173" s="77">
        <v>0</v>
      </c>
      <c r="S173" s="81">
        <f t="shared" si="99"/>
        <v>15808.076041666664</v>
      </c>
      <c r="T173" s="77">
        <v>0</v>
      </c>
      <c r="U173" s="77">
        <v>192.35525000000004</v>
      </c>
      <c r="V173" s="77"/>
      <c r="W173" s="77">
        <v>1075.7047083333332</v>
      </c>
      <c r="X173" s="82">
        <f t="shared" si="161"/>
        <v>1268.0599583333333</v>
      </c>
      <c r="Y173" s="77">
        <v>0</v>
      </c>
      <c r="Z173" s="77">
        <v>515</v>
      </c>
      <c r="AA173" s="77">
        <v>0</v>
      </c>
      <c r="AB173" s="82">
        <f t="shared" si="100"/>
        <v>515</v>
      </c>
      <c r="AC173" s="84">
        <f t="shared" si="157"/>
        <v>1075.7047083333332</v>
      </c>
      <c r="AD173" s="39">
        <v>3000</v>
      </c>
      <c r="AE173" s="40">
        <f t="shared" si="170"/>
        <v>10140.52783333333</v>
      </c>
      <c r="AF173" s="1">
        <f t="shared" si="171"/>
        <v>13.200000000000001</v>
      </c>
      <c r="AG173" s="1">
        <f t="shared" si="172"/>
        <v>18</v>
      </c>
      <c r="AH173" s="41">
        <f t="shared" si="173"/>
        <v>16.904153609151695</v>
      </c>
      <c r="AJ173">
        <v>1.1000000000000001</v>
      </c>
      <c r="AK173">
        <v>1.5</v>
      </c>
      <c r="AL173" s="32">
        <f t="shared" si="174"/>
        <v>13140.52783333333</v>
      </c>
      <c r="AM173" s="4">
        <f t="shared" si="175"/>
        <v>0.22830133142672979</v>
      </c>
      <c r="AN173" s="4">
        <f t="shared" si="176"/>
        <v>0.77169866857327019</v>
      </c>
    </row>
    <row r="174" spans="3:40" hidden="1" x14ac:dyDescent="0.3">
      <c r="C174" s="1">
        <f>+'Fisico ASIG'!A174</f>
        <v>2026</v>
      </c>
      <c r="D174" s="52">
        <f>+'Fisico ASIG'!B174</f>
        <v>46054</v>
      </c>
      <c r="E174" s="1">
        <v>16</v>
      </c>
      <c r="F174" s="1" t="s">
        <v>49</v>
      </c>
      <c r="G174" s="5">
        <v>46080</v>
      </c>
      <c r="H174" s="77">
        <v>6561.3060833333338</v>
      </c>
      <c r="I174" s="77">
        <v>1304.4632083333336</v>
      </c>
      <c r="J174" s="77">
        <v>315.97458333333333</v>
      </c>
      <c r="K174" s="77">
        <v>19.164170833333337</v>
      </c>
      <c r="L174" s="77">
        <v>0</v>
      </c>
      <c r="M174" s="81">
        <v>8200.9080458333337</v>
      </c>
      <c r="N174" s="77">
        <v>13096.984416666666</v>
      </c>
      <c r="O174" s="77">
        <v>1448.2876666666666</v>
      </c>
      <c r="P174" s="77">
        <v>991.66000000000008</v>
      </c>
      <c r="Q174" s="77">
        <v>202</v>
      </c>
      <c r="R174" s="77">
        <v>0</v>
      </c>
      <c r="S174" s="81">
        <f t="shared" si="99"/>
        <v>15738.932083333333</v>
      </c>
      <c r="T174" s="77">
        <v>0</v>
      </c>
      <c r="U174" s="77">
        <v>188.95600000000005</v>
      </c>
      <c r="V174" s="77"/>
      <c r="W174" s="77">
        <v>1443.4254166666665</v>
      </c>
      <c r="X174" s="82">
        <f t="shared" si="161"/>
        <v>1632.3814166666666</v>
      </c>
      <c r="Y174" s="77">
        <v>0</v>
      </c>
      <c r="Z174" s="77">
        <v>515</v>
      </c>
      <c r="AA174" s="77">
        <v>0</v>
      </c>
      <c r="AB174" s="82">
        <f t="shared" si="100"/>
        <v>515</v>
      </c>
      <c r="AC174" s="84">
        <f t="shared" si="157"/>
        <v>1443.4254166666665</v>
      </c>
      <c r="AD174" s="39">
        <v>3000</v>
      </c>
      <c r="AE174" s="40">
        <f t="shared" si="170"/>
        <v>10096.984416666666</v>
      </c>
      <c r="AF174" s="1">
        <f t="shared" si="171"/>
        <v>13.200000000000001</v>
      </c>
      <c r="AG174" s="1">
        <f t="shared" si="172"/>
        <v>18</v>
      </c>
      <c r="AH174" s="41">
        <f t="shared" si="173"/>
        <v>16.900510259317773</v>
      </c>
      <c r="AJ174">
        <v>1.1000000000000001</v>
      </c>
      <c r="AK174">
        <v>1.5</v>
      </c>
      <c r="AL174" s="32">
        <f t="shared" si="174"/>
        <v>13096.984416666666</v>
      </c>
      <c r="AM174" s="4">
        <f t="shared" si="175"/>
        <v>0.22906036264213062</v>
      </c>
      <c r="AN174" s="4">
        <f t="shared" si="176"/>
        <v>0.77093963735786941</v>
      </c>
    </row>
    <row r="175" spans="3:40" hidden="1" x14ac:dyDescent="0.3">
      <c r="C175" s="1">
        <f>+'Fisico ASIG'!A175</f>
        <v>2026</v>
      </c>
      <c r="D175" s="52">
        <f>+'Fisico ASIG'!B175</f>
        <v>46054</v>
      </c>
      <c r="E175" s="1">
        <f t="shared" ref="E175" si="177">+E168</f>
        <v>6</v>
      </c>
      <c r="F175" s="1" t="s">
        <v>43</v>
      </c>
      <c r="G175" s="5">
        <v>46081</v>
      </c>
      <c r="H175" s="77">
        <v>5971.015875000001</v>
      </c>
      <c r="I175" s="77">
        <v>1233.4424583333334</v>
      </c>
      <c r="J175" s="77">
        <v>286.29762499999998</v>
      </c>
      <c r="K175" s="77">
        <v>17.768600000000003</v>
      </c>
      <c r="L175" s="77">
        <v>0</v>
      </c>
      <c r="M175" s="81">
        <v>7508.5245583333344</v>
      </c>
      <c r="N175" s="77">
        <v>13048.165499999994</v>
      </c>
      <c r="O175" s="77">
        <v>1435.5982500000002</v>
      </c>
      <c r="P175" s="77">
        <v>980.00124999999991</v>
      </c>
      <c r="Q175" s="77">
        <v>202</v>
      </c>
      <c r="R175" s="77">
        <v>0</v>
      </c>
      <c r="S175" s="81">
        <f t="shared" si="99"/>
        <v>15665.764999999994</v>
      </c>
      <c r="T175" s="77">
        <v>0</v>
      </c>
      <c r="U175" s="77">
        <v>188.23741666666669</v>
      </c>
      <c r="V175" s="77"/>
      <c r="W175" s="77">
        <v>1633.7303750000005</v>
      </c>
      <c r="X175" s="82">
        <f t="shared" si="161"/>
        <v>1821.9677916666672</v>
      </c>
      <c r="Y175" s="77">
        <v>0</v>
      </c>
      <c r="Z175" s="77">
        <v>515</v>
      </c>
      <c r="AA175" s="77">
        <v>0</v>
      </c>
      <c r="AB175" s="82">
        <f t="shared" si="100"/>
        <v>515</v>
      </c>
      <c r="AC175" s="84">
        <f t="shared" si="157"/>
        <v>1633.7303750000005</v>
      </c>
      <c r="AD175" s="39">
        <v>3000</v>
      </c>
      <c r="AE175" s="40">
        <f t="shared" si="170"/>
        <v>10048.165499999994</v>
      </c>
      <c r="AF175" s="1">
        <f t="shared" si="171"/>
        <v>13.200000000000001</v>
      </c>
      <c r="AG175" s="1">
        <f t="shared" si="172"/>
        <v>18</v>
      </c>
      <c r="AH175" s="41">
        <f t="shared" si="173"/>
        <v>16.89639658540505</v>
      </c>
      <c r="AJ175">
        <v>1.1000000000000001</v>
      </c>
      <c r="AK175">
        <v>1.5</v>
      </c>
      <c r="AL175" s="32">
        <f t="shared" si="174"/>
        <v>13048.165499999994</v>
      </c>
      <c r="AM175" s="4">
        <f t="shared" si="175"/>
        <v>0.22991737804061432</v>
      </c>
      <c r="AN175" s="4">
        <f t="shared" si="176"/>
        <v>0.7700826219593857</v>
      </c>
    </row>
    <row r="176" spans="3:40" ht="14.25" hidden="1" customHeight="1" x14ac:dyDescent="0.3">
      <c r="C176" s="1">
        <v>2026</v>
      </c>
      <c r="D176" s="52">
        <f>+'Fisico ASIG'!B176</f>
        <v>46082</v>
      </c>
      <c r="E176" s="1">
        <v>4</v>
      </c>
      <c r="F176" s="1" t="s">
        <v>44</v>
      </c>
      <c r="G176" s="5">
        <v>46082</v>
      </c>
      <c r="H176" s="77">
        <v>5889.9942500000006</v>
      </c>
      <c r="I176" s="77">
        <v>1227.1430833333334</v>
      </c>
      <c r="J176" s="77">
        <v>292.17700000000002</v>
      </c>
      <c r="K176" s="77">
        <v>14.51445</v>
      </c>
      <c r="L176" s="77">
        <v>0</v>
      </c>
      <c r="M176" s="81">
        <f>+SUM(H176:L176)</f>
        <v>7423.8287833333334</v>
      </c>
      <c r="N176" s="77">
        <v>12977.528958333334</v>
      </c>
      <c r="O176" s="77">
        <v>1437.0859166666667</v>
      </c>
      <c r="P176" s="77">
        <v>962.96062499999994</v>
      </c>
      <c r="Q176" s="77">
        <v>202</v>
      </c>
      <c r="R176" s="77">
        <v>0</v>
      </c>
      <c r="S176" s="81">
        <f t="shared" si="99"/>
        <v>15579.575500000001</v>
      </c>
      <c r="T176" s="77">
        <v>0</v>
      </c>
      <c r="U176" s="77">
        <v>189.99141666666665</v>
      </c>
      <c r="V176" s="77"/>
      <c r="W176" s="77">
        <v>1877.7291666666667</v>
      </c>
      <c r="X176" s="82">
        <f t="shared" si="161"/>
        <v>2067.7205833333333</v>
      </c>
      <c r="Y176" s="77">
        <v>0</v>
      </c>
      <c r="Z176" s="77">
        <v>515</v>
      </c>
      <c r="AA176" s="77">
        <v>0</v>
      </c>
      <c r="AB176" s="82">
        <f t="shared" si="100"/>
        <v>515</v>
      </c>
      <c r="AC176" s="84">
        <f t="shared" si="157"/>
        <v>1877.7291666666667</v>
      </c>
      <c r="AD176" s="39">
        <v>3000</v>
      </c>
      <c r="AE176" s="40">
        <f t="shared" si="170"/>
        <v>9977.5289583333342</v>
      </c>
      <c r="AF176" s="1">
        <f t="shared" si="171"/>
        <v>10.8</v>
      </c>
      <c r="AG176" s="1">
        <f t="shared" si="172"/>
        <v>18</v>
      </c>
      <c r="AH176" s="41">
        <f t="shared" si="173"/>
        <v>16.335584526965754</v>
      </c>
      <c r="AJ176">
        <v>0.9</v>
      </c>
      <c r="AK176">
        <v>1.5</v>
      </c>
      <c r="AL176" s="32">
        <f t="shared" si="174"/>
        <v>12977.528958333334</v>
      </c>
      <c r="AM176" s="4">
        <f t="shared" si="175"/>
        <v>0.23116881569920081</v>
      </c>
      <c r="AN176" s="4">
        <f t="shared" si="176"/>
        <v>0.76883118430079922</v>
      </c>
    </row>
    <row r="177" spans="3:40" ht="14.25" hidden="1" customHeight="1" x14ac:dyDescent="0.3">
      <c r="C177" s="1">
        <v>2026</v>
      </c>
      <c r="D177" s="52">
        <f>+'Fisico ASIG'!B177</f>
        <v>46082</v>
      </c>
      <c r="E177" s="1">
        <v>16</v>
      </c>
      <c r="F177" s="1" t="s">
        <v>45</v>
      </c>
      <c r="G177" s="5">
        <v>46083</v>
      </c>
      <c r="H177" s="77">
        <v>7338.3305833333343</v>
      </c>
      <c r="I177" s="77">
        <v>1225.5549583333332</v>
      </c>
      <c r="J177" s="77">
        <v>329.33508333333339</v>
      </c>
      <c r="K177" s="77">
        <v>25.706335416666661</v>
      </c>
      <c r="L177" s="77">
        <v>0</v>
      </c>
      <c r="M177" s="81">
        <f t="shared" ref="M177:M235" si="178">+SUM(H177:L177)</f>
        <v>8918.9269604166657</v>
      </c>
      <c r="N177" s="77">
        <v>13033.245458333331</v>
      </c>
      <c r="O177" s="77">
        <v>1423.9416666666668</v>
      </c>
      <c r="P177" s="77">
        <v>982.90783333333343</v>
      </c>
      <c r="Q177" s="77">
        <v>202</v>
      </c>
      <c r="R177" s="77">
        <v>0</v>
      </c>
      <c r="S177" s="81">
        <f t="shared" si="99"/>
        <v>15642.094958333331</v>
      </c>
      <c r="T177" s="77">
        <v>0</v>
      </c>
      <c r="U177" s="77">
        <v>190.76912500000003</v>
      </c>
      <c r="V177" s="77"/>
      <c r="W177" s="77">
        <v>1853.3966249999996</v>
      </c>
      <c r="X177" s="82">
        <f t="shared" si="161"/>
        <v>2044.1657499999997</v>
      </c>
      <c r="Y177" s="77">
        <v>0</v>
      </c>
      <c r="Z177" s="77">
        <v>515</v>
      </c>
      <c r="AA177" s="77">
        <v>0</v>
      </c>
      <c r="AB177" s="82">
        <f t="shared" si="100"/>
        <v>515</v>
      </c>
      <c r="AC177" s="84">
        <f t="shared" si="157"/>
        <v>1853.3966249999996</v>
      </c>
      <c r="AD177" s="39">
        <v>3000</v>
      </c>
      <c r="AE177" s="40">
        <f t="shared" ref="AE177:AE193" si="179">+N177-AD177</f>
        <v>10033.245458333331</v>
      </c>
      <c r="AF177" s="1">
        <f t="shared" ref="AF177:AF193" si="180">12*AJ177</f>
        <v>10.8</v>
      </c>
      <c r="AG177" s="1">
        <f t="shared" ref="AG177:AG193" si="181">12*AK177</f>
        <v>18</v>
      </c>
      <c r="AH177" s="41">
        <f t="shared" ref="AH177:AH193" si="182">+(AD177*AF177+AG177*AE177)/SUM(AD177:AE177)</f>
        <v>16.342699823382119</v>
      </c>
      <c r="AJ177">
        <v>0.9</v>
      </c>
      <c r="AK177">
        <v>1.5</v>
      </c>
      <c r="AL177" s="32">
        <f t="shared" ref="AL177:AL193" si="183">+AD177+AE177</f>
        <v>13033.245458333331</v>
      </c>
      <c r="AM177" s="4">
        <f t="shared" ref="AM177:AM193" si="184">+AD177/AL177</f>
        <v>0.23018058008581654</v>
      </c>
      <c r="AN177" s="4">
        <f t="shared" ref="AN177:AN193" si="185">+AE177/AL177</f>
        <v>0.76981941991418346</v>
      </c>
    </row>
    <row r="178" spans="3:40" ht="14.25" hidden="1" customHeight="1" x14ac:dyDescent="0.3">
      <c r="C178" s="1">
        <v>2026</v>
      </c>
      <c r="D178" s="52">
        <f>+'Fisico ASIG'!B178</f>
        <v>46082</v>
      </c>
      <c r="E178" s="1">
        <v>16</v>
      </c>
      <c r="F178" s="1" t="s">
        <v>46</v>
      </c>
      <c r="G178" s="5">
        <v>46084</v>
      </c>
      <c r="H178" s="77">
        <v>6991.5221666666675</v>
      </c>
      <c r="I178" s="77">
        <v>1318.0171250000001</v>
      </c>
      <c r="J178" s="77">
        <v>328.42583333333334</v>
      </c>
      <c r="K178" s="77">
        <v>16.758700000000001</v>
      </c>
      <c r="L178" s="77">
        <v>0</v>
      </c>
      <c r="M178" s="81">
        <f t="shared" si="178"/>
        <v>8654.7238250000009</v>
      </c>
      <c r="N178" s="77">
        <v>13056.623500000003</v>
      </c>
      <c r="O178" s="77">
        <v>1456.789708333333</v>
      </c>
      <c r="P178" s="77">
        <v>991.92075</v>
      </c>
      <c r="Q178" s="77">
        <v>202</v>
      </c>
      <c r="R178" s="77">
        <v>0</v>
      </c>
      <c r="S178" s="81">
        <f t="shared" si="99"/>
        <v>15707.333958333336</v>
      </c>
      <c r="T178" s="77">
        <v>0</v>
      </c>
      <c r="U178" s="77">
        <v>188.97754166666664</v>
      </c>
      <c r="V178" s="77"/>
      <c r="W178" s="77">
        <v>1166.7212083333334</v>
      </c>
      <c r="X178" s="82">
        <f t="shared" si="161"/>
        <v>1355.69875</v>
      </c>
      <c r="Y178" s="77">
        <v>0</v>
      </c>
      <c r="Z178" s="77">
        <v>515</v>
      </c>
      <c r="AA178" s="77">
        <v>0</v>
      </c>
      <c r="AB178" s="82">
        <f t="shared" si="100"/>
        <v>515</v>
      </c>
      <c r="AC178" s="84">
        <f t="shared" si="157"/>
        <v>1166.7212083333334</v>
      </c>
      <c r="AD178" s="39">
        <v>3000</v>
      </c>
      <c r="AE178" s="40">
        <f t="shared" si="179"/>
        <v>10056.623500000003</v>
      </c>
      <c r="AF178" s="1">
        <f t="shared" si="180"/>
        <v>10.8</v>
      </c>
      <c r="AG178" s="1">
        <f t="shared" si="181"/>
        <v>18</v>
      </c>
      <c r="AH178" s="41">
        <f t="shared" si="182"/>
        <v>16.345667239313443</v>
      </c>
      <c r="AJ178">
        <v>0.9</v>
      </c>
      <c r="AK178">
        <v>1.5</v>
      </c>
      <c r="AL178" s="32">
        <f t="shared" si="183"/>
        <v>13056.623500000003</v>
      </c>
      <c r="AM178" s="4">
        <f t="shared" si="184"/>
        <v>0.22976843898424423</v>
      </c>
      <c r="AN178" s="4">
        <f t="shared" si="185"/>
        <v>0.77023156101575574</v>
      </c>
    </row>
    <row r="179" spans="3:40" ht="14.25" hidden="1" customHeight="1" x14ac:dyDescent="0.3">
      <c r="C179" s="1">
        <v>2026</v>
      </c>
      <c r="D179" s="52">
        <f>+'Fisico ASIG'!B179</f>
        <v>46082</v>
      </c>
      <c r="E179" s="1">
        <v>16</v>
      </c>
      <c r="F179" s="1" t="s">
        <v>47</v>
      </c>
      <c r="G179" s="5">
        <v>46085</v>
      </c>
      <c r="H179" s="77">
        <v>6358.1225833333338</v>
      </c>
      <c r="I179" s="77">
        <v>1305.1382500000002</v>
      </c>
      <c r="J179" s="77">
        <v>329.54320833333338</v>
      </c>
      <c r="K179" s="77">
        <v>32.825406250000007</v>
      </c>
      <c r="L179" s="77">
        <v>0</v>
      </c>
      <c r="M179" s="81">
        <f t="shared" si="178"/>
        <v>8025.6294479166672</v>
      </c>
      <c r="N179" s="77">
        <v>13059.356916666669</v>
      </c>
      <c r="O179" s="77">
        <v>1446.8560416666671</v>
      </c>
      <c r="P179" s="77">
        <v>992.73225000000002</v>
      </c>
      <c r="Q179" s="77">
        <v>201.75</v>
      </c>
      <c r="R179" s="77">
        <v>0</v>
      </c>
      <c r="S179" s="81">
        <f t="shared" si="99"/>
        <v>15700.695208333338</v>
      </c>
      <c r="T179" s="77">
        <v>0</v>
      </c>
      <c r="U179" s="77">
        <v>189.63279166666669</v>
      </c>
      <c r="V179" s="77"/>
      <c r="W179" s="77">
        <v>1523.0722499999999</v>
      </c>
      <c r="X179" s="82">
        <f t="shared" si="161"/>
        <v>1712.7050416666666</v>
      </c>
      <c r="Y179" s="77">
        <v>0</v>
      </c>
      <c r="Z179" s="77">
        <v>515</v>
      </c>
      <c r="AA179" s="77">
        <v>0</v>
      </c>
      <c r="AB179" s="82">
        <f t="shared" si="100"/>
        <v>515</v>
      </c>
      <c r="AC179" s="84">
        <f t="shared" si="157"/>
        <v>1523.0722499999999</v>
      </c>
      <c r="AD179" s="39">
        <v>3000</v>
      </c>
      <c r="AE179" s="40">
        <f>+N179-AD179</f>
        <v>10059.356916666669</v>
      </c>
      <c r="AF179" s="1">
        <f t="shared" si="180"/>
        <v>10.8</v>
      </c>
      <c r="AG179" s="1">
        <f t="shared" si="181"/>
        <v>18</v>
      </c>
      <c r="AH179" s="41">
        <f t="shared" si="182"/>
        <v>16.346013502974749</v>
      </c>
      <c r="AJ179">
        <v>0.9</v>
      </c>
      <c r="AK179">
        <v>1.5</v>
      </c>
      <c r="AL179" s="32">
        <f t="shared" si="183"/>
        <v>13059.356916666669</v>
      </c>
      <c r="AM179" s="4">
        <f t="shared" si="184"/>
        <v>0.22972034680906278</v>
      </c>
      <c r="AN179" s="4">
        <f t="shared" si="185"/>
        <v>0.77027965319093727</v>
      </c>
    </row>
    <row r="180" spans="3:40" ht="14.25" hidden="1" customHeight="1" x14ac:dyDescent="0.3">
      <c r="C180" s="1">
        <v>2026</v>
      </c>
      <c r="D180" s="52">
        <f>+'Fisico ASIG'!B180</f>
        <v>46082</v>
      </c>
      <c r="E180" s="1">
        <v>16</v>
      </c>
      <c r="F180" s="1" t="s">
        <v>48</v>
      </c>
      <c r="G180" s="5">
        <v>46086</v>
      </c>
      <c r="H180" s="77">
        <v>6356.4589999999998</v>
      </c>
      <c r="I180" s="77">
        <v>1394.9024999999999</v>
      </c>
      <c r="J180" s="77">
        <v>443.25887499999999</v>
      </c>
      <c r="K180" s="77">
        <v>56.371283333333331</v>
      </c>
      <c r="L180" s="77">
        <v>0</v>
      </c>
      <c r="M180" s="81">
        <f t="shared" si="178"/>
        <v>8250.9916583333343</v>
      </c>
      <c r="N180" s="77">
        <v>13105.748916666666</v>
      </c>
      <c r="O180" s="77">
        <v>1455.57575</v>
      </c>
      <c r="P180" s="77">
        <v>990.23370833333342</v>
      </c>
      <c r="Q180" s="77">
        <v>201.75</v>
      </c>
      <c r="R180" s="77">
        <v>0</v>
      </c>
      <c r="S180" s="81">
        <f t="shared" si="99"/>
        <v>15753.308374999999</v>
      </c>
      <c r="T180" s="77">
        <v>0</v>
      </c>
      <c r="U180" s="77">
        <v>214.53195833333334</v>
      </c>
      <c r="V180" s="77"/>
      <c r="W180" s="77">
        <v>1145.5229583333332</v>
      </c>
      <c r="X180" s="82">
        <f t="shared" si="161"/>
        <v>1360.0549166666665</v>
      </c>
      <c r="Y180" s="77">
        <v>0</v>
      </c>
      <c r="Z180" s="77">
        <v>515</v>
      </c>
      <c r="AA180" s="77">
        <v>0</v>
      </c>
      <c r="AB180" s="82">
        <f t="shared" si="100"/>
        <v>515</v>
      </c>
      <c r="AC180" s="84">
        <f t="shared" si="157"/>
        <v>1145.5229583333332</v>
      </c>
      <c r="AD180" s="39">
        <v>3000</v>
      </c>
      <c r="AE180" s="40">
        <f t="shared" si="179"/>
        <v>10105.748916666666</v>
      </c>
      <c r="AF180" s="1">
        <f t="shared" si="180"/>
        <v>10.8</v>
      </c>
      <c r="AG180" s="1">
        <f t="shared" si="181"/>
        <v>18</v>
      </c>
      <c r="AH180" s="41">
        <f t="shared" si="182"/>
        <v>16.351868318449842</v>
      </c>
      <c r="AJ180">
        <v>0.9</v>
      </c>
      <c r="AK180">
        <v>1.5</v>
      </c>
      <c r="AL180" s="32">
        <f t="shared" si="183"/>
        <v>13105.748916666666</v>
      </c>
      <c r="AM180" s="4">
        <f t="shared" si="184"/>
        <v>0.22890717799307758</v>
      </c>
      <c r="AN180" s="4">
        <f t="shared" si="185"/>
        <v>0.77109282200692242</v>
      </c>
    </row>
    <row r="181" spans="3:40" ht="14.25" hidden="1" customHeight="1" x14ac:dyDescent="0.3">
      <c r="C181" s="1">
        <v>2026</v>
      </c>
      <c r="D181" s="52">
        <f>+'Fisico ASIG'!B181</f>
        <v>46082</v>
      </c>
      <c r="E181" s="1">
        <v>16</v>
      </c>
      <c r="F181" s="1" t="s">
        <v>49</v>
      </c>
      <c r="G181" s="5">
        <v>46087</v>
      </c>
      <c r="H181" s="77">
        <v>6237.4967916666665</v>
      </c>
      <c r="I181" s="77">
        <v>1399.6624166666666</v>
      </c>
      <c r="J181" s="77">
        <v>487.60450000000003</v>
      </c>
      <c r="K181" s="77">
        <v>23.780904166666673</v>
      </c>
      <c r="L181" s="77">
        <v>0</v>
      </c>
      <c r="M181" s="81">
        <f t="shared" si="178"/>
        <v>8148.5446124999999</v>
      </c>
      <c r="N181" s="77">
        <v>13183.396291666666</v>
      </c>
      <c r="O181" s="77">
        <v>1455.3565833333334</v>
      </c>
      <c r="P181" s="77">
        <v>985.91325000000006</v>
      </c>
      <c r="Q181" s="77">
        <v>201.75</v>
      </c>
      <c r="R181" s="77">
        <v>0</v>
      </c>
      <c r="S181" s="81">
        <f t="shared" si="99"/>
        <v>15826.416125</v>
      </c>
      <c r="T181" s="77">
        <v>0</v>
      </c>
      <c r="U181" s="77">
        <v>209.36108333333337</v>
      </c>
      <c r="V181" s="77"/>
      <c r="W181" s="77">
        <v>1174.0779166666671</v>
      </c>
      <c r="X181" s="82">
        <f t="shared" si="161"/>
        <v>1383.4390000000005</v>
      </c>
      <c r="Y181" s="77">
        <v>0</v>
      </c>
      <c r="Z181" s="77">
        <v>515</v>
      </c>
      <c r="AA181" s="77">
        <v>0</v>
      </c>
      <c r="AB181" s="82">
        <f t="shared" si="100"/>
        <v>515</v>
      </c>
      <c r="AC181" s="84">
        <f t="shared" si="157"/>
        <v>1174.0779166666671</v>
      </c>
      <c r="AD181" s="39">
        <v>3000</v>
      </c>
      <c r="AE181" s="40">
        <f t="shared" si="179"/>
        <v>10183.396291666666</v>
      </c>
      <c r="AF181" s="1">
        <f t="shared" si="180"/>
        <v>10.8</v>
      </c>
      <c r="AG181" s="1">
        <f t="shared" si="181"/>
        <v>18</v>
      </c>
      <c r="AH181" s="41">
        <f t="shared" si="182"/>
        <v>16.361575460364978</v>
      </c>
      <c r="AJ181">
        <v>0.9</v>
      </c>
      <c r="AK181">
        <v>1.5</v>
      </c>
      <c r="AL181" s="32">
        <f t="shared" si="183"/>
        <v>13183.396291666666</v>
      </c>
      <c r="AM181" s="4">
        <f t="shared" si="184"/>
        <v>0.22755896383819735</v>
      </c>
      <c r="AN181" s="4">
        <f t="shared" si="185"/>
        <v>0.7724410361618026</v>
      </c>
    </row>
    <row r="182" spans="3:40" ht="14.25" hidden="1" customHeight="1" x14ac:dyDescent="0.3">
      <c r="C182" s="1">
        <v>2026</v>
      </c>
      <c r="D182" s="52">
        <f>+'Fisico ASIG'!B182</f>
        <v>46082</v>
      </c>
      <c r="E182" s="1">
        <v>6</v>
      </c>
      <c r="F182" s="1" t="s">
        <v>43</v>
      </c>
      <c r="G182" s="5">
        <v>46088</v>
      </c>
      <c r="H182" s="77">
        <v>5141.3220833333326</v>
      </c>
      <c r="I182" s="77">
        <v>1294.7312083333334</v>
      </c>
      <c r="J182" s="77">
        <v>371.98587499999996</v>
      </c>
      <c r="K182" s="77">
        <v>9.3500312500000007</v>
      </c>
      <c r="L182" s="77">
        <v>0</v>
      </c>
      <c r="M182" s="81">
        <f t="shared" si="178"/>
        <v>6817.3891979166665</v>
      </c>
      <c r="N182" s="77">
        <v>12773.172041666661</v>
      </c>
      <c r="O182" s="77">
        <v>1468.2030833333336</v>
      </c>
      <c r="P182" s="77">
        <v>972.02008333333345</v>
      </c>
      <c r="Q182" s="77">
        <v>201.75</v>
      </c>
      <c r="R182" s="77">
        <v>0</v>
      </c>
      <c r="S182" s="81">
        <f t="shared" si="99"/>
        <v>15415.145208333328</v>
      </c>
      <c r="T182" s="77">
        <v>0</v>
      </c>
      <c r="U182" s="77">
        <v>190.84574999999998</v>
      </c>
      <c r="V182" s="77"/>
      <c r="W182" s="77">
        <v>1314.4997500000002</v>
      </c>
      <c r="X182" s="82">
        <f t="shared" si="161"/>
        <v>1505.3455000000001</v>
      </c>
      <c r="Y182" s="77">
        <v>0</v>
      </c>
      <c r="Z182" s="77">
        <v>515</v>
      </c>
      <c r="AA182" s="77">
        <v>0</v>
      </c>
      <c r="AB182" s="82">
        <f t="shared" si="100"/>
        <v>515</v>
      </c>
      <c r="AC182" s="84">
        <f t="shared" si="157"/>
        <v>1314.4997500000002</v>
      </c>
      <c r="AD182" s="39">
        <v>3000</v>
      </c>
      <c r="AE182" s="40">
        <f t="shared" si="179"/>
        <v>9773.1720416666612</v>
      </c>
      <c r="AF182" s="1">
        <f t="shared" si="180"/>
        <v>10.8</v>
      </c>
      <c r="AG182" s="1">
        <f t="shared" si="181"/>
        <v>18</v>
      </c>
      <c r="AH182" s="41">
        <f t="shared" si="182"/>
        <v>16.308955682305083</v>
      </c>
      <c r="AJ182">
        <v>0.9</v>
      </c>
      <c r="AK182">
        <v>1.5</v>
      </c>
      <c r="AL182" s="32">
        <f t="shared" si="183"/>
        <v>12773.172041666661</v>
      </c>
      <c r="AM182" s="4">
        <f t="shared" si="184"/>
        <v>0.23486726634651636</v>
      </c>
      <c r="AN182" s="4">
        <f t="shared" si="185"/>
        <v>0.76513273365348367</v>
      </c>
    </row>
    <row r="183" spans="3:40" ht="14.25" hidden="1" customHeight="1" x14ac:dyDescent="0.3">
      <c r="C183" s="1">
        <v>2026</v>
      </c>
      <c r="D183" s="52">
        <f>+'Fisico ASIG'!B183</f>
        <v>46082</v>
      </c>
      <c r="E183" s="1">
        <v>4</v>
      </c>
      <c r="F183" s="1" t="s">
        <v>44</v>
      </c>
      <c r="G183" s="5">
        <v>46089</v>
      </c>
      <c r="H183" s="77">
        <v>3736.8449583333322</v>
      </c>
      <c r="I183" s="77">
        <v>1246.5004166666668</v>
      </c>
      <c r="J183" s="77">
        <v>312.17616666666669</v>
      </c>
      <c r="K183" s="77">
        <v>14.243081250000001</v>
      </c>
      <c r="L183" s="77">
        <v>0</v>
      </c>
      <c r="M183" s="81">
        <f t="shared" si="178"/>
        <v>5309.7646229166658</v>
      </c>
      <c r="N183" s="77">
        <v>12856.260874999998</v>
      </c>
      <c r="O183" s="77">
        <v>1475.2550833333335</v>
      </c>
      <c r="P183" s="77">
        <v>968.21250000000009</v>
      </c>
      <c r="Q183" s="77">
        <v>201.75</v>
      </c>
      <c r="R183" s="77">
        <v>0</v>
      </c>
      <c r="S183" s="81">
        <f t="shared" ref="S183:S230" si="186">SUM(N183:R183)</f>
        <v>15501.478458333331</v>
      </c>
      <c r="T183" s="77">
        <v>0</v>
      </c>
      <c r="U183" s="77">
        <v>187.63533333333331</v>
      </c>
      <c r="V183" s="77"/>
      <c r="W183" s="77">
        <v>1552.6990833333334</v>
      </c>
      <c r="X183" s="82">
        <f t="shared" si="161"/>
        <v>1740.3344166666668</v>
      </c>
      <c r="Y183" s="77">
        <v>0</v>
      </c>
      <c r="Z183" s="77">
        <v>515</v>
      </c>
      <c r="AA183" s="77">
        <v>0</v>
      </c>
      <c r="AB183" s="82">
        <f t="shared" ref="AB183:AB247" si="187">SUM(Y183:AA183)</f>
        <v>515</v>
      </c>
      <c r="AC183" s="84">
        <f t="shared" si="157"/>
        <v>1552.6990833333334</v>
      </c>
      <c r="AD183" s="39">
        <v>3000</v>
      </c>
      <c r="AE183" s="40">
        <f t="shared" si="179"/>
        <v>9856.2608749999981</v>
      </c>
      <c r="AF183" s="1">
        <f t="shared" si="180"/>
        <v>10.8</v>
      </c>
      <c r="AG183" s="1">
        <f t="shared" si="181"/>
        <v>18</v>
      </c>
      <c r="AH183" s="41">
        <f t="shared" si="182"/>
        <v>16.319884746427096</v>
      </c>
      <c r="AJ183">
        <v>0.9</v>
      </c>
      <c r="AK183">
        <v>1.5</v>
      </c>
      <c r="AL183" s="32">
        <f t="shared" si="183"/>
        <v>12856.260874999998</v>
      </c>
      <c r="AM183" s="4">
        <f t="shared" si="184"/>
        <v>0.23334934077401415</v>
      </c>
      <c r="AN183" s="4">
        <f t="shared" si="185"/>
        <v>0.76665065922598585</v>
      </c>
    </row>
    <row r="184" spans="3:40" ht="14.25" hidden="1" customHeight="1" x14ac:dyDescent="0.3">
      <c r="C184" s="1">
        <v>2026</v>
      </c>
      <c r="D184" s="52">
        <f>+'Fisico ASIG'!B184</f>
        <v>46082</v>
      </c>
      <c r="E184" s="1">
        <v>16</v>
      </c>
      <c r="F184" s="1" t="s">
        <v>45</v>
      </c>
      <c r="G184" s="5">
        <v>46090</v>
      </c>
      <c r="H184" s="77">
        <v>5080.8072499999989</v>
      </c>
      <c r="I184" s="77">
        <v>1341.6150833333334</v>
      </c>
      <c r="J184" s="77">
        <v>422.05995833333338</v>
      </c>
      <c r="K184" s="77">
        <v>26.534018750000008</v>
      </c>
      <c r="L184" s="77">
        <v>0</v>
      </c>
      <c r="M184" s="81">
        <f t="shared" si="178"/>
        <v>6871.016310416665</v>
      </c>
      <c r="N184" s="77">
        <v>12649.735583333326</v>
      </c>
      <c r="O184" s="77">
        <v>1469.7914166666667</v>
      </c>
      <c r="P184" s="77">
        <v>941.24591666666674</v>
      </c>
      <c r="Q184" s="77">
        <v>201.75</v>
      </c>
      <c r="R184" s="77">
        <v>0</v>
      </c>
      <c r="S184" s="81">
        <f t="shared" si="186"/>
        <v>15262.52291666666</v>
      </c>
      <c r="T184" s="77">
        <v>0</v>
      </c>
      <c r="U184" s="77">
        <v>191.36104166666669</v>
      </c>
      <c r="V184" s="77"/>
      <c r="W184" s="77">
        <v>1499.7445416666662</v>
      </c>
      <c r="X184" s="82">
        <f t="shared" si="161"/>
        <v>1691.105583333333</v>
      </c>
      <c r="Y184" s="77">
        <v>0</v>
      </c>
      <c r="Z184" s="77">
        <v>452.22208333333333</v>
      </c>
      <c r="AA184" s="77">
        <v>0</v>
      </c>
      <c r="AB184" s="82">
        <f t="shared" si="187"/>
        <v>452.22208333333333</v>
      </c>
      <c r="AC184" s="84">
        <f t="shared" si="157"/>
        <v>1499.7445416666662</v>
      </c>
      <c r="AD184" s="39">
        <v>3000</v>
      </c>
      <c r="AE184" s="40">
        <f t="shared" si="179"/>
        <v>9649.7355833333258</v>
      </c>
      <c r="AF184" s="1">
        <f t="shared" si="180"/>
        <v>10.8</v>
      </c>
      <c r="AG184" s="1">
        <f t="shared" si="181"/>
        <v>18</v>
      </c>
      <c r="AH184" s="41">
        <f t="shared" si="182"/>
        <v>16.292454426600102</v>
      </c>
      <c r="AJ184">
        <v>0.9</v>
      </c>
      <c r="AK184">
        <v>1.5</v>
      </c>
      <c r="AL184" s="32">
        <f t="shared" si="183"/>
        <v>12649.735583333326</v>
      </c>
      <c r="AM184" s="4">
        <f t="shared" si="184"/>
        <v>0.23715910741665253</v>
      </c>
      <c r="AN184" s="4">
        <f t="shared" si="185"/>
        <v>0.76284089258334742</v>
      </c>
    </row>
    <row r="185" spans="3:40" ht="14.25" hidden="1" customHeight="1" x14ac:dyDescent="0.3">
      <c r="C185" s="1">
        <v>2026</v>
      </c>
      <c r="D185" s="52">
        <f>+'Fisico ASIG'!B185</f>
        <v>46082</v>
      </c>
      <c r="E185" s="1">
        <v>16</v>
      </c>
      <c r="F185" s="1" t="s">
        <v>46</v>
      </c>
      <c r="G185" s="5">
        <v>46091</v>
      </c>
      <c r="H185" s="77">
        <v>5848.3553333333348</v>
      </c>
      <c r="I185" s="77">
        <v>1303.2235833333334</v>
      </c>
      <c r="J185" s="77">
        <v>370.81241666666671</v>
      </c>
      <c r="K185" s="77">
        <v>27.164106250000003</v>
      </c>
      <c r="L185" s="77">
        <v>0</v>
      </c>
      <c r="M185" s="81">
        <f t="shared" si="178"/>
        <v>7549.5554395833351</v>
      </c>
      <c r="N185" s="77">
        <v>12664.879708333336</v>
      </c>
      <c r="O185" s="77">
        <v>1480.0232500000002</v>
      </c>
      <c r="P185" s="77">
        <v>948.12316666666675</v>
      </c>
      <c r="Q185" s="77">
        <v>201.75</v>
      </c>
      <c r="R185" s="77">
        <v>0</v>
      </c>
      <c r="S185" s="81">
        <f t="shared" si="186"/>
        <v>15294.776125000002</v>
      </c>
      <c r="T185" s="77">
        <v>0</v>
      </c>
      <c r="U185" s="77">
        <v>189.43050000000005</v>
      </c>
      <c r="V185" s="77"/>
      <c r="W185" s="77">
        <v>1152.7496666666666</v>
      </c>
      <c r="X185" s="82">
        <f t="shared" si="161"/>
        <v>1342.1801666666665</v>
      </c>
      <c r="Y185" s="77">
        <v>0</v>
      </c>
      <c r="Z185" s="77">
        <v>415</v>
      </c>
      <c r="AA185" s="77">
        <v>0</v>
      </c>
      <c r="AB185" s="82">
        <f t="shared" si="187"/>
        <v>415</v>
      </c>
      <c r="AC185" s="84">
        <f t="shared" si="157"/>
        <v>1152.7496666666666</v>
      </c>
      <c r="AD185" s="39">
        <v>3000</v>
      </c>
      <c r="AE185" s="40">
        <f t="shared" si="179"/>
        <v>9664.8797083333357</v>
      </c>
      <c r="AF185" s="1">
        <f t="shared" si="180"/>
        <v>10.8</v>
      </c>
      <c r="AG185" s="1">
        <f t="shared" si="181"/>
        <v>18</v>
      </c>
      <c r="AH185" s="41">
        <f t="shared" si="182"/>
        <v>16.294496237039862</v>
      </c>
      <c r="AJ185">
        <v>0.9</v>
      </c>
      <c r="AK185">
        <v>1.5</v>
      </c>
      <c r="AL185" s="32">
        <f t="shared" si="183"/>
        <v>12664.879708333336</v>
      </c>
      <c r="AM185" s="4">
        <f t="shared" si="184"/>
        <v>0.23687552263335251</v>
      </c>
      <c r="AN185" s="4">
        <f t="shared" si="185"/>
        <v>0.76312447736664746</v>
      </c>
    </row>
    <row r="186" spans="3:40" ht="14.25" hidden="1" customHeight="1" x14ac:dyDescent="0.3">
      <c r="C186" s="1">
        <v>2026</v>
      </c>
      <c r="D186" s="52">
        <f>+'Fisico ASIG'!B186</f>
        <v>46082</v>
      </c>
      <c r="E186" s="1">
        <v>16</v>
      </c>
      <c r="F186" s="1" t="s">
        <v>47</v>
      </c>
      <c r="G186" s="5">
        <v>46092</v>
      </c>
      <c r="H186" s="77">
        <v>5612.7042500000007</v>
      </c>
      <c r="I186" s="77">
        <v>1304.0572083333334</v>
      </c>
      <c r="J186" s="77">
        <v>446.44020833333332</v>
      </c>
      <c r="K186" s="77">
        <v>9.4236645833333323</v>
      </c>
      <c r="L186" s="77">
        <v>0</v>
      </c>
      <c r="M186" s="81">
        <f t="shared" si="178"/>
        <v>7372.6253312500012</v>
      </c>
      <c r="N186" s="77">
        <v>12659.769083333329</v>
      </c>
      <c r="O186" s="77">
        <v>1481.0348333333336</v>
      </c>
      <c r="P186" s="77">
        <v>945.74258333333341</v>
      </c>
      <c r="Q186" s="77">
        <v>201.75</v>
      </c>
      <c r="R186" s="77">
        <v>0</v>
      </c>
      <c r="S186" s="81">
        <f t="shared" si="186"/>
        <v>15288.296499999995</v>
      </c>
      <c r="T186" s="77">
        <v>0</v>
      </c>
      <c r="U186" s="77">
        <v>186.76220833333332</v>
      </c>
      <c r="V186" s="77"/>
      <c r="W186" s="77">
        <v>1357.8997916666669</v>
      </c>
      <c r="X186" s="82">
        <f t="shared" si="161"/>
        <v>1544.6620000000003</v>
      </c>
      <c r="Y186" s="77">
        <v>0</v>
      </c>
      <c r="Z186" s="77">
        <v>476.52791666666667</v>
      </c>
      <c r="AA186" s="77">
        <v>0</v>
      </c>
      <c r="AB186" s="82">
        <f t="shared" si="187"/>
        <v>476.52791666666667</v>
      </c>
      <c r="AC186" s="84">
        <f t="shared" si="157"/>
        <v>1357.8997916666669</v>
      </c>
      <c r="AD186" s="39">
        <v>3000</v>
      </c>
      <c r="AE186" s="40">
        <f t="shared" si="179"/>
        <v>9659.769083333329</v>
      </c>
      <c r="AF186" s="1">
        <f t="shared" si="180"/>
        <v>10.8</v>
      </c>
      <c r="AG186" s="1">
        <f t="shared" si="181"/>
        <v>18</v>
      </c>
      <c r="AH186" s="41">
        <f t="shared" si="182"/>
        <v>16.293807741846056</v>
      </c>
      <c r="AJ186">
        <v>0.9</v>
      </c>
      <c r="AK186">
        <v>1.5</v>
      </c>
      <c r="AL186" s="32">
        <f t="shared" si="183"/>
        <v>12659.769083333329</v>
      </c>
      <c r="AM186" s="4">
        <f t="shared" si="184"/>
        <v>0.2369711469658258</v>
      </c>
      <c r="AN186" s="4">
        <f t="shared" si="185"/>
        <v>0.76302885303417423</v>
      </c>
    </row>
    <row r="187" spans="3:40" ht="14.25" hidden="1" customHeight="1" x14ac:dyDescent="0.3">
      <c r="C187" s="1">
        <v>2026</v>
      </c>
      <c r="D187" s="52">
        <f>+'Fisico ASIG'!B187</f>
        <v>46082</v>
      </c>
      <c r="E187" s="1">
        <v>16</v>
      </c>
      <c r="F187" s="1" t="s">
        <v>48</v>
      </c>
      <c r="G187" s="5">
        <v>46093</v>
      </c>
      <c r="H187" s="77">
        <v>5730.1950416666677</v>
      </c>
      <c r="I187" s="77">
        <v>1188.6762916666664</v>
      </c>
      <c r="J187" s="77">
        <v>429.29266666666672</v>
      </c>
      <c r="K187" s="77">
        <v>30.13896041666667</v>
      </c>
      <c r="L187" s="77">
        <v>0</v>
      </c>
      <c r="M187" s="81">
        <f t="shared" si="178"/>
        <v>7378.3029604166677</v>
      </c>
      <c r="N187" s="77">
        <v>12694.149333333331</v>
      </c>
      <c r="O187" s="77">
        <v>1369.1645833333334</v>
      </c>
      <c r="P187" s="77">
        <v>946.58404166666685</v>
      </c>
      <c r="Q187" s="77">
        <v>201.75</v>
      </c>
      <c r="R187" s="77">
        <v>0</v>
      </c>
      <c r="S187" s="81">
        <f t="shared" si="186"/>
        <v>15211.647958333331</v>
      </c>
      <c r="T187" s="77">
        <v>0</v>
      </c>
      <c r="U187" s="77">
        <v>185.89525000000003</v>
      </c>
      <c r="V187" s="77"/>
      <c r="W187" s="77">
        <v>1250.4782083333332</v>
      </c>
      <c r="X187" s="82">
        <f t="shared" si="161"/>
        <v>1436.3734583333332</v>
      </c>
      <c r="Y187" s="77">
        <v>0</v>
      </c>
      <c r="Z187" s="77">
        <v>515</v>
      </c>
      <c r="AA187" s="77">
        <v>0</v>
      </c>
      <c r="AB187" s="82">
        <f t="shared" si="187"/>
        <v>515</v>
      </c>
      <c r="AC187" s="84">
        <f t="shared" si="157"/>
        <v>1250.4782083333332</v>
      </c>
      <c r="AD187" s="39">
        <v>3000</v>
      </c>
      <c r="AE187" s="40">
        <f t="shared" si="179"/>
        <v>9694.149333333331</v>
      </c>
      <c r="AF187" s="1">
        <f t="shared" si="180"/>
        <v>10.8</v>
      </c>
      <c r="AG187" s="1">
        <f t="shared" si="181"/>
        <v>18</v>
      </c>
      <c r="AH187" s="41">
        <f t="shared" si="182"/>
        <v>16.298428714456591</v>
      </c>
      <c r="AJ187">
        <v>0.9</v>
      </c>
      <c r="AK187">
        <v>1.5</v>
      </c>
      <c r="AL187" s="32">
        <f t="shared" si="183"/>
        <v>12694.149333333331</v>
      </c>
      <c r="AM187" s="4">
        <f t="shared" si="184"/>
        <v>0.2363293452143623</v>
      </c>
      <c r="AN187" s="4">
        <f t="shared" si="185"/>
        <v>0.76367065478563767</v>
      </c>
    </row>
    <row r="188" spans="3:40" ht="14.25" hidden="1" customHeight="1" x14ac:dyDescent="0.3">
      <c r="C188" s="1">
        <v>2026</v>
      </c>
      <c r="D188" s="52">
        <f>+'Fisico ASIG'!B188</f>
        <v>46082</v>
      </c>
      <c r="E188" s="1">
        <v>16</v>
      </c>
      <c r="F188" s="1" t="s">
        <v>49</v>
      </c>
      <c r="G188" s="5">
        <v>46094</v>
      </c>
      <c r="H188" s="77">
        <v>6143.8750833333343</v>
      </c>
      <c r="I188" s="77">
        <v>1278.3820833333336</v>
      </c>
      <c r="J188" s="77">
        <v>395.9619166666667</v>
      </c>
      <c r="K188" s="77">
        <v>40.810291666666672</v>
      </c>
      <c r="L188" s="77">
        <v>0</v>
      </c>
      <c r="M188" s="81">
        <f t="shared" si="178"/>
        <v>7859.0293750000019</v>
      </c>
      <c r="N188" s="77">
        <v>12718.193999999996</v>
      </c>
      <c r="O188" s="77">
        <v>1460.9689999999998</v>
      </c>
      <c r="P188" s="77">
        <v>953.88354166666682</v>
      </c>
      <c r="Q188" s="77">
        <v>201.75</v>
      </c>
      <c r="R188" s="77">
        <v>0</v>
      </c>
      <c r="S188" s="81">
        <f t="shared" si="186"/>
        <v>15334.796541666661</v>
      </c>
      <c r="T188" s="77">
        <v>0</v>
      </c>
      <c r="U188" s="77">
        <v>189.09175000000005</v>
      </c>
      <c r="V188" s="77"/>
      <c r="W188" s="77">
        <v>1225.9117500000002</v>
      </c>
      <c r="X188" s="82">
        <f t="shared" si="161"/>
        <v>1415.0035000000003</v>
      </c>
      <c r="Y188" s="77">
        <v>0</v>
      </c>
      <c r="Z188" s="77">
        <v>515</v>
      </c>
      <c r="AA188" s="77">
        <v>0</v>
      </c>
      <c r="AB188" s="82">
        <f t="shared" si="187"/>
        <v>515</v>
      </c>
      <c r="AC188" s="84">
        <f t="shared" si="157"/>
        <v>1225.9117500000002</v>
      </c>
      <c r="AD188" s="39">
        <v>3000</v>
      </c>
      <c r="AE188" s="40">
        <f t="shared" si="179"/>
        <v>9718.1939999999959</v>
      </c>
      <c r="AF188" s="1">
        <f t="shared" si="180"/>
        <v>10.8</v>
      </c>
      <c r="AG188" s="1">
        <f t="shared" si="181"/>
        <v>18</v>
      </c>
      <c r="AH188" s="41">
        <f t="shared" si="182"/>
        <v>16.301645658180711</v>
      </c>
      <c r="AJ188">
        <v>0.9</v>
      </c>
      <c r="AK188">
        <v>1.5</v>
      </c>
      <c r="AL188" s="32">
        <f t="shared" si="183"/>
        <v>12718.193999999996</v>
      </c>
      <c r="AM188" s="4">
        <f t="shared" si="184"/>
        <v>0.23588254747490101</v>
      </c>
      <c r="AN188" s="4">
        <f t="shared" si="185"/>
        <v>0.76411745252509899</v>
      </c>
    </row>
    <row r="189" spans="3:40" ht="14.25" hidden="1" customHeight="1" x14ac:dyDescent="0.3">
      <c r="C189" s="1">
        <v>2026</v>
      </c>
      <c r="D189" s="52">
        <f>+'Fisico ASIG'!B189</f>
        <v>46082</v>
      </c>
      <c r="E189" s="1">
        <v>6</v>
      </c>
      <c r="F189" s="1" t="s">
        <v>43</v>
      </c>
      <c r="G189" s="5">
        <v>46095</v>
      </c>
      <c r="H189" s="77">
        <v>5938.4845833333338</v>
      </c>
      <c r="I189" s="77">
        <v>1400.790541666667</v>
      </c>
      <c r="J189" s="77">
        <v>400.65962500000001</v>
      </c>
      <c r="K189" s="77">
        <v>9.9911833333333337</v>
      </c>
      <c r="L189" s="77">
        <v>0</v>
      </c>
      <c r="M189" s="81">
        <f t="shared" si="178"/>
        <v>7749.9259333333348</v>
      </c>
      <c r="N189" s="77">
        <v>12350.911291666665</v>
      </c>
      <c r="O189" s="77">
        <v>1459.5396250000003</v>
      </c>
      <c r="P189" s="77">
        <v>950.7600000000001</v>
      </c>
      <c r="Q189" s="77">
        <v>200.8</v>
      </c>
      <c r="R189" s="77">
        <v>0</v>
      </c>
      <c r="S189" s="81">
        <f t="shared" si="186"/>
        <v>14962.010916666664</v>
      </c>
      <c r="T189" s="77">
        <v>0</v>
      </c>
      <c r="U189" s="77">
        <v>186.46675000000002</v>
      </c>
      <c r="V189" s="77"/>
      <c r="W189" s="77">
        <v>1291.4827499999999</v>
      </c>
      <c r="X189" s="82">
        <f t="shared" si="161"/>
        <v>1477.9494999999999</v>
      </c>
      <c r="Y189" s="77">
        <v>0</v>
      </c>
      <c r="Z189" s="77">
        <v>515</v>
      </c>
      <c r="AA189" s="77">
        <v>0</v>
      </c>
      <c r="AB189" s="82">
        <f t="shared" si="187"/>
        <v>515</v>
      </c>
      <c r="AC189" s="84">
        <f t="shared" si="157"/>
        <v>1291.4827499999999</v>
      </c>
      <c r="AD189" s="39">
        <v>3000</v>
      </c>
      <c r="AE189" s="40">
        <f t="shared" si="179"/>
        <v>9350.9112916666654</v>
      </c>
      <c r="AF189" s="1">
        <f t="shared" si="180"/>
        <v>10.8</v>
      </c>
      <c r="AG189" s="1">
        <f t="shared" si="181"/>
        <v>18</v>
      </c>
      <c r="AH189" s="41">
        <f t="shared" si="182"/>
        <v>16.251141191939915</v>
      </c>
      <c r="AJ189">
        <v>0.9</v>
      </c>
      <c r="AK189">
        <v>1.5</v>
      </c>
      <c r="AL189" s="32">
        <f t="shared" si="183"/>
        <v>12350.911291666665</v>
      </c>
      <c r="AM189" s="4">
        <f t="shared" si="184"/>
        <v>0.24289705667501171</v>
      </c>
      <c r="AN189" s="4">
        <f t="shared" si="185"/>
        <v>0.75710294332498829</v>
      </c>
    </row>
    <row r="190" spans="3:40" ht="14.25" hidden="1" customHeight="1" x14ac:dyDescent="0.3">
      <c r="C190" s="1">
        <v>2026</v>
      </c>
      <c r="D190" s="52">
        <f>+'Fisico ASIG'!B190</f>
        <v>46082</v>
      </c>
      <c r="E190" s="1">
        <v>4</v>
      </c>
      <c r="F190" s="1" t="s">
        <v>44</v>
      </c>
      <c r="G190" s="5">
        <v>46096</v>
      </c>
      <c r="H190" s="77">
        <v>5197.9846666666654</v>
      </c>
      <c r="I190" s="77">
        <v>1179.45225</v>
      </c>
      <c r="J190" s="77">
        <v>321.85575</v>
      </c>
      <c r="K190" s="77">
        <v>16.841302083333336</v>
      </c>
      <c r="L190" s="77">
        <v>0</v>
      </c>
      <c r="M190" s="81">
        <f t="shared" si="178"/>
        <v>6716.1339687499985</v>
      </c>
      <c r="N190" s="77">
        <v>12247.525833333331</v>
      </c>
      <c r="O190" s="77">
        <v>1434.3424166666666</v>
      </c>
      <c r="P190" s="77">
        <v>945.2311666666667</v>
      </c>
      <c r="Q190" s="77">
        <v>200.8</v>
      </c>
      <c r="R190" s="77">
        <v>0</v>
      </c>
      <c r="S190" s="81">
        <f t="shared" si="186"/>
        <v>14827.899416666663</v>
      </c>
      <c r="T190" s="77">
        <v>0</v>
      </c>
      <c r="U190" s="77">
        <v>187.1525</v>
      </c>
      <c r="V190" s="77"/>
      <c r="W190" s="77">
        <v>1753.5567916666669</v>
      </c>
      <c r="X190" s="82">
        <f t="shared" si="161"/>
        <v>1940.7092916666668</v>
      </c>
      <c r="Y190" s="77">
        <v>0</v>
      </c>
      <c r="Z190" s="77">
        <v>515</v>
      </c>
      <c r="AA190" s="77">
        <v>0</v>
      </c>
      <c r="AB190" s="82">
        <f t="shared" si="187"/>
        <v>515</v>
      </c>
      <c r="AC190" s="84">
        <f t="shared" si="157"/>
        <v>1753.5567916666669</v>
      </c>
      <c r="AD190" s="39">
        <v>3000</v>
      </c>
      <c r="AE190" s="40">
        <f t="shared" si="179"/>
        <v>9247.5258333333313</v>
      </c>
      <c r="AF190" s="1">
        <f t="shared" si="180"/>
        <v>10.8</v>
      </c>
      <c r="AG190" s="1">
        <f t="shared" si="181"/>
        <v>18</v>
      </c>
      <c r="AH190" s="41">
        <f t="shared" si="182"/>
        <v>16.236378490322299</v>
      </c>
      <c r="AJ190">
        <v>0.9</v>
      </c>
      <c r="AK190">
        <v>1.5</v>
      </c>
      <c r="AL190" s="32">
        <f t="shared" si="183"/>
        <v>12247.525833333331</v>
      </c>
      <c r="AM190" s="4">
        <f t="shared" si="184"/>
        <v>0.24494743189968099</v>
      </c>
      <c r="AN190" s="4">
        <f t="shared" si="185"/>
        <v>0.75505256810031895</v>
      </c>
    </row>
    <row r="191" spans="3:40" ht="14.25" hidden="1" customHeight="1" x14ac:dyDescent="0.3">
      <c r="C191" s="1">
        <v>2026</v>
      </c>
      <c r="D191" s="52">
        <f>+'Fisico ASIG'!B191</f>
        <v>46082</v>
      </c>
      <c r="E191" s="1">
        <v>16</v>
      </c>
      <c r="F191" s="1" t="s">
        <v>45</v>
      </c>
      <c r="G191" s="5">
        <v>46097</v>
      </c>
      <c r="H191" s="77">
        <v>6943.4073750000007</v>
      </c>
      <c r="I191" s="77">
        <v>1254.1877500000001</v>
      </c>
      <c r="J191" s="77">
        <v>395.24112500000001</v>
      </c>
      <c r="K191" s="77">
        <v>47.37455416666667</v>
      </c>
      <c r="L191" s="77">
        <v>0</v>
      </c>
      <c r="M191" s="81">
        <f t="shared" si="178"/>
        <v>8640.210804166667</v>
      </c>
      <c r="N191" s="77">
        <v>12169.435541666664</v>
      </c>
      <c r="O191" s="77">
        <v>1425.3342916666666</v>
      </c>
      <c r="P191" s="77">
        <v>943.7600000000001</v>
      </c>
      <c r="Q191" s="77">
        <v>200.69089583333334</v>
      </c>
      <c r="R191" s="77">
        <v>0</v>
      </c>
      <c r="S191" s="81">
        <f t="shared" si="186"/>
        <v>14739.220729166664</v>
      </c>
      <c r="T191" s="77">
        <v>0</v>
      </c>
      <c r="U191" s="77">
        <v>189.014375</v>
      </c>
      <c r="V191" s="77"/>
      <c r="W191" s="77">
        <v>1359.3186666666668</v>
      </c>
      <c r="X191" s="82">
        <f t="shared" si="161"/>
        <v>1548.3330416666668</v>
      </c>
      <c r="Y191" s="77">
        <v>0</v>
      </c>
      <c r="Z191" s="77">
        <v>515</v>
      </c>
      <c r="AA191" s="77">
        <v>0</v>
      </c>
      <c r="AB191" s="82">
        <f t="shared" si="187"/>
        <v>515</v>
      </c>
      <c r="AC191" s="84">
        <f t="shared" si="157"/>
        <v>1359.3186666666668</v>
      </c>
      <c r="AD191" s="39">
        <v>3000</v>
      </c>
      <c r="AE191" s="40">
        <f t="shared" si="179"/>
        <v>9169.435541666664</v>
      </c>
      <c r="AF191" s="1">
        <f t="shared" si="180"/>
        <v>10.8</v>
      </c>
      <c r="AG191" s="1">
        <f t="shared" si="181"/>
        <v>18</v>
      </c>
      <c r="AH191" s="41">
        <f t="shared" si="182"/>
        <v>16.225061472568367</v>
      </c>
      <c r="AJ191">
        <v>0.9</v>
      </c>
      <c r="AK191">
        <v>1.5</v>
      </c>
      <c r="AL191" s="32">
        <f t="shared" si="183"/>
        <v>12169.435541666664</v>
      </c>
      <c r="AM191" s="4">
        <f t="shared" si="184"/>
        <v>0.24651923992106006</v>
      </c>
      <c r="AN191" s="4">
        <f t="shared" si="185"/>
        <v>0.75348076007893994</v>
      </c>
    </row>
    <row r="192" spans="3:40" ht="14.25" hidden="1" customHeight="1" x14ac:dyDescent="0.3">
      <c r="C192" s="1">
        <v>2026</v>
      </c>
      <c r="D192" s="52">
        <f>+'Fisico ASIG'!B192</f>
        <v>46082</v>
      </c>
      <c r="E192" s="1">
        <v>16</v>
      </c>
      <c r="F192" s="1" t="s">
        <v>46</v>
      </c>
      <c r="G192" s="5">
        <v>46098</v>
      </c>
      <c r="H192" s="77">
        <v>6756.9755833333338</v>
      </c>
      <c r="I192" s="77">
        <v>1224.0016250000001</v>
      </c>
      <c r="J192" s="77">
        <v>331.50545833333331</v>
      </c>
      <c r="K192" s="77">
        <v>26.09829375</v>
      </c>
      <c r="L192" s="77">
        <v>0</v>
      </c>
      <c r="M192" s="81">
        <f t="shared" si="178"/>
        <v>8338.5809604166661</v>
      </c>
      <c r="N192" s="77">
        <v>12281.064</v>
      </c>
      <c r="O192" s="77">
        <v>1440.3093750000003</v>
      </c>
      <c r="P192" s="77">
        <v>953.7600000000001</v>
      </c>
      <c r="Q192" s="77">
        <v>194.89427083333334</v>
      </c>
      <c r="R192" s="77">
        <v>0</v>
      </c>
      <c r="S192" s="81">
        <f t="shared" si="186"/>
        <v>14870.027645833334</v>
      </c>
      <c r="T192" s="77">
        <v>0</v>
      </c>
      <c r="U192" s="77">
        <v>188.23870833333334</v>
      </c>
      <c r="V192" s="77"/>
      <c r="W192" s="77">
        <v>1605.4288333333334</v>
      </c>
      <c r="X192" s="82">
        <f t="shared" si="161"/>
        <v>1793.6675416666667</v>
      </c>
      <c r="Y192" s="77">
        <v>0</v>
      </c>
      <c r="Z192" s="77">
        <v>515</v>
      </c>
      <c r="AA192" s="77">
        <v>0</v>
      </c>
      <c r="AB192" s="82">
        <f t="shared" si="187"/>
        <v>515</v>
      </c>
      <c r="AC192" s="84">
        <f t="shared" si="157"/>
        <v>1605.4288333333334</v>
      </c>
      <c r="AD192" s="39">
        <v>3000</v>
      </c>
      <c r="AE192" s="40">
        <f t="shared" si="179"/>
        <v>9281.0640000000003</v>
      </c>
      <c r="AF192" s="1">
        <f t="shared" si="180"/>
        <v>10.8</v>
      </c>
      <c r="AG192" s="1">
        <f t="shared" si="181"/>
        <v>18</v>
      </c>
      <c r="AH192" s="41">
        <f t="shared" si="182"/>
        <v>16.241194736872963</v>
      </c>
      <c r="AJ192">
        <v>0.9</v>
      </c>
      <c r="AK192">
        <v>1.5</v>
      </c>
      <c r="AL192" s="32">
        <f t="shared" si="183"/>
        <v>12281.064</v>
      </c>
      <c r="AM192" s="4">
        <f t="shared" si="184"/>
        <v>0.24427850876764423</v>
      </c>
      <c r="AN192" s="4">
        <f t="shared" si="185"/>
        <v>0.75572149123235577</v>
      </c>
    </row>
    <row r="193" spans="1:40" ht="14.25" hidden="1" customHeight="1" x14ac:dyDescent="0.3">
      <c r="C193" s="1">
        <v>2026</v>
      </c>
      <c r="D193" s="52">
        <f>+'Fisico ASIG'!B193</f>
        <v>46082</v>
      </c>
      <c r="E193" s="1">
        <v>16</v>
      </c>
      <c r="F193" s="1" t="s">
        <v>47</v>
      </c>
      <c r="G193" s="5">
        <v>46099</v>
      </c>
      <c r="H193" s="77">
        <v>6133.2352083333317</v>
      </c>
      <c r="I193" s="77">
        <v>1126.7272083333332</v>
      </c>
      <c r="J193" s="77">
        <v>268.87204166666669</v>
      </c>
      <c r="K193" s="77">
        <v>25.110858333333333</v>
      </c>
      <c r="L193" s="77">
        <v>0</v>
      </c>
      <c r="M193" s="81">
        <f t="shared" si="178"/>
        <v>7553.9453166666653</v>
      </c>
      <c r="N193" s="77">
        <v>12192.932291666668</v>
      </c>
      <c r="O193" s="77">
        <v>1480.7905000000003</v>
      </c>
      <c r="P193" s="77">
        <v>945.87137500000006</v>
      </c>
      <c r="Q193" s="77">
        <v>192.96641666666667</v>
      </c>
      <c r="R193" s="77">
        <v>0</v>
      </c>
      <c r="S193" s="81">
        <f t="shared" si="186"/>
        <v>14812.560583333336</v>
      </c>
      <c r="T193" s="77">
        <v>0</v>
      </c>
      <c r="U193" s="77">
        <v>188.63266666666664</v>
      </c>
      <c r="V193" s="77"/>
      <c r="W193" s="77">
        <v>1265.639916666667</v>
      </c>
      <c r="X193" s="82">
        <f t="shared" si="161"/>
        <v>1454.2725833333336</v>
      </c>
      <c r="Y193" s="77">
        <v>0</v>
      </c>
      <c r="Z193" s="77">
        <v>515</v>
      </c>
      <c r="AA193" s="77">
        <v>0</v>
      </c>
      <c r="AB193" s="82">
        <f t="shared" si="187"/>
        <v>515</v>
      </c>
      <c r="AC193" s="84">
        <f t="shared" si="157"/>
        <v>1265.639916666667</v>
      </c>
      <c r="AD193" s="39">
        <v>3000</v>
      </c>
      <c r="AE193" s="40">
        <f t="shared" si="179"/>
        <v>9192.9322916666679</v>
      </c>
      <c r="AF193" s="1">
        <f t="shared" si="180"/>
        <v>10.8</v>
      </c>
      <c r="AG193" s="1">
        <f t="shared" si="181"/>
        <v>18</v>
      </c>
      <c r="AH193" s="41">
        <f t="shared" si="182"/>
        <v>16.228481920238117</v>
      </c>
      <c r="AJ193">
        <v>0.9</v>
      </c>
      <c r="AK193">
        <v>1.5</v>
      </c>
      <c r="AL193" s="32">
        <f t="shared" si="183"/>
        <v>12192.932291666668</v>
      </c>
      <c r="AM193" s="4">
        <f t="shared" si="184"/>
        <v>0.24604417774470608</v>
      </c>
      <c r="AN193" s="4">
        <f t="shared" si="185"/>
        <v>0.75395582225529389</v>
      </c>
    </row>
    <row r="194" spans="1:40" ht="14.25" hidden="1" customHeight="1" x14ac:dyDescent="0.3">
      <c r="C194" s="1">
        <v>2026</v>
      </c>
      <c r="D194" s="52">
        <f>+'Fisico ASIG'!B194</f>
        <v>46082</v>
      </c>
      <c r="E194" s="1">
        <v>16</v>
      </c>
      <c r="F194" s="1" t="s">
        <v>48</v>
      </c>
      <c r="G194" s="5">
        <v>46100</v>
      </c>
      <c r="H194" s="77">
        <v>6190.2548750000014</v>
      </c>
      <c r="I194" s="77">
        <v>1150.8775000000001</v>
      </c>
      <c r="J194" s="77">
        <v>296.08954166666661</v>
      </c>
      <c r="K194" s="77">
        <v>32.661245833333339</v>
      </c>
      <c r="L194" s="77">
        <v>0</v>
      </c>
      <c r="M194" s="81">
        <f t="shared" si="178"/>
        <v>7669.8831625000003</v>
      </c>
      <c r="N194" s="77">
        <v>12430.386625000001</v>
      </c>
      <c r="O194" s="77">
        <v>1451.5252916666666</v>
      </c>
      <c r="P194" s="77">
        <v>916.78770833333328</v>
      </c>
      <c r="Q194" s="77">
        <v>193.86406250000002</v>
      </c>
      <c r="R194" s="77">
        <v>0</v>
      </c>
      <c r="S194" s="81">
        <f t="shared" si="186"/>
        <v>14992.563687500002</v>
      </c>
      <c r="T194" s="77">
        <v>0</v>
      </c>
      <c r="U194" s="77">
        <v>314.743875</v>
      </c>
      <c r="V194" s="77"/>
      <c r="W194" s="77">
        <v>1757.6447499999997</v>
      </c>
      <c r="X194" s="82">
        <f t="shared" si="161"/>
        <v>2072.3886249999996</v>
      </c>
      <c r="Y194" s="77">
        <v>0</v>
      </c>
      <c r="Z194" s="77">
        <v>515</v>
      </c>
      <c r="AA194" s="77">
        <v>0</v>
      </c>
      <c r="AB194" s="82">
        <f t="shared" si="187"/>
        <v>515</v>
      </c>
      <c r="AC194" s="84">
        <f t="shared" si="157"/>
        <v>1757.6447499999997</v>
      </c>
      <c r="AD194" s="39">
        <v>3000</v>
      </c>
      <c r="AE194" s="40">
        <f t="shared" ref="AE194:AE205" si="188">+N194-AD194</f>
        <v>9430.386625000001</v>
      </c>
      <c r="AF194" s="1">
        <f t="shared" ref="AF194:AF205" si="189">12*AJ194</f>
        <v>10.8</v>
      </c>
      <c r="AG194" s="1">
        <f t="shared" ref="AG194:AG205" si="190">12*AK194</f>
        <v>18</v>
      </c>
      <c r="AH194" s="41">
        <f t="shared" ref="AH194:AH205" si="191">+(AD194*AF194+AG194*AE194)/SUM(AD194:AE194)</f>
        <v>16.262322753778385</v>
      </c>
      <c r="AJ194">
        <v>0.9</v>
      </c>
      <c r="AK194">
        <v>1.5</v>
      </c>
      <c r="AL194" s="32">
        <f t="shared" ref="AL194:AL198" si="192">+AD194+AE194</f>
        <v>12430.386625000001</v>
      </c>
      <c r="AM194" s="4">
        <f t="shared" ref="AM194:AM198" si="193">+AD194/AL194</f>
        <v>0.24134406197522434</v>
      </c>
      <c r="AN194" s="4">
        <f t="shared" ref="AN194:AN198" si="194">+AE194/AL194</f>
        <v>0.75865593802477571</v>
      </c>
    </row>
    <row r="195" spans="1:40" ht="14.25" hidden="1" customHeight="1" x14ac:dyDescent="0.3">
      <c r="C195" s="1">
        <v>2026</v>
      </c>
      <c r="D195" s="52">
        <f>+'Fisico ASIG'!B195</f>
        <v>46082</v>
      </c>
      <c r="E195" s="1">
        <v>16</v>
      </c>
      <c r="F195" s="1" t="s">
        <v>49</v>
      </c>
      <c r="G195" s="5">
        <v>46101</v>
      </c>
      <c r="H195" s="77">
        <v>6463.8565000000008</v>
      </c>
      <c r="I195" s="77">
        <v>764.01254166666672</v>
      </c>
      <c r="J195" s="77">
        <v>359.83504166666671</v>
      </c>
      <c r="K195" s="77">
        <v>72.715547916666665</v>
      </c>
      <c r="L195" s="77">
        <v>0</v>
      </c>
      <c r="M195" s="81">
        <f t="shared" si="178"/>
        <v>7660.4196312500007</v>
      </c>
      <c r="N195" s="77">
        <v>12440.905374999998</v>
      </c>
      <c r="O195" s="77">
        <v>1083.0087083333333</v>
      </c>
      <c r="P195" s="77">
        <v>922.15149999999994</v>
      </c>
      <c r="Q195" s="77">
        <v>194.93100000000001</v>
      </c>
      <c r="R195" s="77">
        <v>0</v>
      </c>
      <c r="S195" s="81">
        <f t="shared" si="186"/>
        <v>14640.996583333332</v>
      </c>
      <c r="T195" s="77">
        <v>0</v>
      </c>
      <c r="U195" s="77">
        <v>386.09674999999993</v>
      </c>
      <c r="V195" s="77"/>
      <c r="W195" s="77">
        <v>1147.3831666666667</v>
      </c>
      <c r="X195" s="82">
        <f t="shared" si="161"/>
        <v>1533.4799166666667</v>
      </c>
      <c r="Y195" s="77">
        <v>0</v>
      </c>
      <c r="Z195" s="77">
        <v>515</v>
      </c>
      <c r="AA195" s="77">
        <v>0</v>
      </c>
      <c r="AB195" s="82">
        <f t="shared" si="187"/>
        <v>515</v>
      </c>
      <c r="AC195" s="84">
        <f t="shared" si="157"/>
        <v>1147.3831666666667</v>
      </c>
      <c r="AD195" s="39">
        <v>3000</v>
      </c>
      <c r="AE195" s="40">
        <f t="shared" si="188"/>
        <v>9440.9053749999985</v>
      </c>
      <c r="AF195" s="1">
        <f t="shared" si="189"/>
        <v>10.8</v>
      </c>
      <c r="AG195" s="1">
        <f t="shared" si="190"/>
        <v>18</v>
      </c>
      <c r="AH195" s="41">
        <f t="shared" si="191"/>
        <v>16.26379195493238</v>
      </c>
      <c r="AJ195">
        <v>0.9</v>
      </c>
      <c r="AK195">
        <v>1.5</v>
      </c>
      <c r="AL195" s="32">
        <f t="shared" si="192"/>
        <v>12440.905374999998</v>
      </c>
      <c r="AM195" s="4">
        <f t="shared" si="193"/>
        <v>0.24114000625939175</v>
      </c>
      <c r="AN195" s="4">
        <f t="shared" si="194"/>
        <v>0.75885999374060831</v>
      </c>
    </row>
    <row r="196" spans="1:40" ht="14.25" hidden="1" customHeight="1" x14ac:dyDescent="0.3">
      <c r="C196" s="1">
        <v>2026</v>
      </c>
      <c r="D196" s="52">
        <f>+'Fisico ASIG'!B196</f>
        <v>46082</v>
      </c>
      <c r="E196" s="1">
        <v>6</v>
      </c>
      <c r="F196" s="1" t="s">
        <v>43</v>
      </c>
      <c r="G196" s="5">
        <v>46102</v>
      </c>
      <c r="H196" s="77">
        <v>5691.4000000000015</v>
      </c>
      <c r="I196" s="77">
        <v>797.01158333333331</v>
      </c>
      <c r="J196" s="77">
        <v>333.74704166666663</v>
      </c>
      <c r="K196" s="77">
        <v>32.643975000000005</v>
      </c>
      <c r="L196" s="77">
        <v>0</v>
      </c>
      <c r="M196" s="81">
        <f t="shared" si="178"/>
        <v>6854.8026000000009</v>
      </c>
      <c r="N196" s="77">
        <v>12489.569916666664</v>
      </c>
      <c r="O196" s="77">
        <v>1083.7005833333333</v>
      </c>
      <c r="P196" s="77">
        <v>923.39420833333338</v>
      </c>
      <c r="Q196" s="77">
        <v>200.5</v>
      </c>
      <c r="R196" s="77">
        <v>0</v>
      </c>
      <c r="S196" s="81">
        <f t="shared" si="186"/>
        <v>14697.16470833333</v>
      </c>
      <c r="T196" s="77">
        <v>0</v>
      </c>
      <c r="U196" s="77">
        <v>357.3974583333333</v>
      </c>
      <c r="V196" s="77"/>
      <c r="W196" s="77">
        <v>1230.992</v>
      </c>
      <c r="X196" s="82">
        <f t="shared" si="161"/>
        <v>1588.3894583333333</v>
      </c>
      <c r="Y196" s="77">
        <v>0</v>
      </c>
      <c r="Z196" s="77">
        <v>515</v>
      </c>
      <c r="AA196" s="77">
        <v>0</v>
      </c>
      <c r="AB196" s="82">
        <f t="shared" si="187"/>
        <v>515</v>
      </c>
      <c r="AC196" s="84">
        <f t="shared" si="157"/>
        <v>1230.992</v>
      </c>
      <c r="AD196" s="39">
        <v>3000</v>
      </c>
      <c r="AE196" s="40">
        <f t="shared" si="188"/>
        <v>9489.5699166666636</v>
      </c>
      <c r="AF196" s="1">
        <f t="shared" si="189"/>
        <v>10.8</v>
      </c>
      <c r="AG196" s="1">
        <f t="shared" si="190"/>
        <v>18</v>
      </c>
      <c r="AH196" s="41">
        <f t="shared" si="191"/>
        <v>16.2705569411821</v>
      </c>
      <c r="AJ196">
        <v>0.9</v>
      </c>
      <c r="AK196">
        <v>1.5</v>
      </c>
      <c r="AL196" s="32">
        <f t="shared" si="192"/>
        <v>12489.569916666664</v>
      </c>
      <c r="AM196" s="4">
        <f t="shared" si="193"/>
        <v>0.24020042483581924</v>
      </c>
      <c r="AN196" s="4">
        <f t="shared" si="194"/>
        <v>0.75979957516418073</v>
      </c>
    </row>
    <row r="197" spans="1:40" ht="14.25" hidden="1" customHeight="1" x14ac:dyDescent="0.3">
      <c r="C197" s="1">
        <v>2026</v>
      </c>
      <c r="D197" s="52">
        <f>+'Fisico ASIG'!B197</f>
        <v>46082</v>
      </c>
      <c r="E197" s="1">
        <v>4</v>
      </c>
      <c r="F197" s="1" t="s">
        <v>44</v>
      </c>
      <c r="G197" s="5">
        <v>46103</v>
      </c>
      <c r="H197" s="77">
        <v>5075.5111666666662</v>
      </c>
      <c r="I197" s="77">
        <v>765.24025000000006</v>
      </c>
      <c r="J197" s="77">
        <v>301.08837499999998</v>
      </c>
      <c r="K197" s="77">
        <v>10.429010416666669</v>
      </c>
      <c r="L197" s="77">
        <v>0</v>
      </c>
      <c r="M197" s="81">
        <f t="shared" si="178"/>
        <v>6152.268802083333</v>
      </c>
      <c r="N197" s="77">
        <v>12590.549583333333</v>
      </c>
      <c r="O197" s="77">
        <v>1098.5164583333335</v>
      </c>
      <c r="P197" s="77">
        <v>926.38520833333337</v>
      </c>
      <c r="Q197" s="77">
        <v>200.55</v>
      </c>
      <c r="R197" s="77">
        <v>0</v>
      </c>
      <c r="S197" s="81">
        <f t="shared" si="186"/>
        <v>14816.001249999999</v>
      </c>
      <c r="T197" s="77">
        <v>0</v>
      </c>
      <c r="U197" s="77">
        <v>188.33808333333332</v>
      </c>
      <c r="V197" s="77"/>
      <c r="W197" s="77">
        <v>1154.9136250000001</v>
      </c>
      <c r="X197" s="82">
        <f t="shared" si="161"/>
        <v>1343.2517083333335</v>
      </c>
      <c r="Y197" s="77">
        <v>0</v>
      </c>
      <c r="Z197" s="77">
        <v>515</v>
      </c>
      <c r="AA197" s="77">
        <v>0</v>
      </c>
      <c r="AB197" s="82">
        <f t="shared" si="187"/>
        <v>515</v>
      </c>
      <c r="AC197" s="84">
        <f t="shared" si="157"/>
        <v>1154.9136250000001</v>
      </c>
      <c r="AD197" s="39">
        <v>3000</v>
      </c>
      <c r="AE197" s="40">
        <f t="shared" si="188"/>
        <v>9590.5495833333334</v>
      </c>
      <c r="AF197" s="1">
        <f t="shared" si="189"/>
        <v>10.8</v>
      </c>
      <c r="AG197" s="1">
        <f t="shared" si="190"/>
        <v>18</v>
      </c>
      <c r="AH197" s="41">
        <f t="shared" si="191"/>
        <v>16.284427549644626</v>
      </c>
      <c r="AJ197">
        <v>0.9</v>
      </c>
      <c r="AK197">
        <v>1.5</v>
      </c>
      <c r="AL197" s="32">
        <f t="shared" si="192"/>
        <v>12590.549583333333</v>
      </c>
      <c r="AM197" s="4">
        <f t="shared" si="193"/>
        <v>0.2382739514382464</v>
      </c>
      <c r="AN197" s="4">
        <f t="shared" si="194"/>
        <v>0.76172604856175363</v>
      </c>
    </row>
    <row r="198" spans="1:40" ht="14.25" hidden="1" customHeight="1" x14ac:dyDescent="0.3">
      <c r="C198" s="1">
        <v>2026</v>
      </c>
      <c r="D198" s="52">
        <f>+'Fisico ASIG'!B198</f>
        <v>46082</v>
      </c>
      <c r="E198" s="1">
        <v>6</v>
      </c>
      <c r="F198" s="1" t="s">
        <v>45</v>
      </c>
      <c r="G198" s="5">
        <v>46104</v>
      </c>
      <c r="H198" s="77">
        <v>4944.2925833333329</v>
      </c>
      <c r="I198" s="77">
        <v>898.44454166666674</v>
      </c>
      <c r="J198" s="77">
        <v>286.11158333333339</v>
      </c>
      <c r="K198" s="77">
        <v>22.920552083333334</v>
      </c>
      <c r="L198" s="77">
        <v>0</v>
      </c>
      <c r="M198" s="81">
        <f t="shared" si="178"/>
        <v>6151.7692604166659</v>
      </c>
      <c r="N198" s="77">
        <v>12007.453208333342</v>
      </c>
      <c r="O198" s="77">
        <v>1095.8577500000001</v>
      </c>
      <c r="P198" s="77">
        <v>927.98354166666661</v>
      </c>
      <c r="Q198" s="77">
        <v>200.5</v>
      </c>
      <c r="R198" s="77">
        <v>0</v>
      </c>
      <c r="S198" s="81">
        <f t="shared" si="186"/>
        <v>14231.794500000009</v>
      </c>
      <c r="T198" s="77">
        <v>0</v>
      </c>
      <c r="U198" s="77">
        <v>188.49383333333336</v>
      </c>
      <c r="V198" s="77"/>
      <c r="W198" s="77">
        <v>1393.0950416666667</v>
      </c>
      <c r="X198" s="82">
        <f t="shared" si="161"/>
        <v>1581.5888750000001</v>
      </c>
      <c r="Y198" s="77">
        <v>0</v>
      </c>
      <c r="Z198" s="77">
        <v>515</v>
      </c>
      <c r="AA198" s="77">
        <v>0</v>
      </c>
      <c r="AB198" s="82">
        <f t="shared" si="187"/>
        <v>515</v>
      </c>
      <c r="AC198" s="84">
        <f t="shared" si="157"/>
        <v>1393.0950416666667</v>
      </c>
      <c r="AD198" s="39">
        <v>3000</v>
      </c>
      <c r="AE198" s="40">
        <f t="shared" si="188"/>
        <v>9007.4532083333415</v>
      </c>
      <c r="AF198" s="1">
        <f t="shared" si="189"/>
        <v>10.8</v>
      </c>
      <c r="AG198" s="1">
        <f t="shared" si="190"/>
        <v>18</v>
      </c>
      <c r="AH198" s="41">
        <f t="shared" si="191"/>
        <v>16.201117287302083</v>
      </c>
      <c r="AJ198">
        <v>0.9</v>
      </c>
      <c r="AK198">
        <v>1.5</v>
      </c>
      <c r="AL198" s="32">
        <f t="shared" si="192"/>
        <v>12007.453208333342</v>
      </c>
      <c r="AM198" s="4">
        <f t="shared" si="193"/>
        <v>0.24984482120804416</v>
      </c>
      <c r="AN198" s="4">
        <f t="shared" si="194"/>
        <v>0.75015517879195581</v>
      </c>
    </row>
    <row r="199" spans="1:40" ht="14.25" hidden="1" customHeight="1" x14ac:dyDescent="0.3">
      <c r="C199" s="1">
        <v>2026</v>
      </c>
      <c r="D199" s="52">
        <f>+'Fisico ASIG'!B199</f>
        <v>46082</v>
      </c>
      <c r="E199" s="1">
        <v>4</v>
      </c>
      <c r="F199" s="1" t="s">
        <v>46</v>
      </c>
      <c r="G199" s="5">
        <v>46105</v>
      </c>
      <c r="H199" s="77">
        <v>4650.7855416666662</v>
      </c>
      <c r="I199" s="77">
        <v>931.37845833333336</v>
      </c>
      <c r="J199" s="77">
        <v>269.61125000000004</v>
      </c>
      <c r="K199" s="77">
        <v>6.2807333333333339</v>
      </c>
      <c r="L199" s="77">
        <v>0</v>
      </c>
      <c r="M199" s="81">
        <f t="shared" si="178"/>
        <v>5858.0559833333327</v>
      </c>
      <c r="N199" s="77">
        <v>12051.258083333329</v>
      </c>
      <c r="O199" s="77">
        <v>1100.6883333333333</v>
      </c>
      <c r="P199" s="77">
        <v>930.76</v>
      </c>
      <c r="Q199" s="77">
        <v>200.5</v>
      </c>
      <c r="R199" s="77">
        <v>0</v>
      </c>
      <c r="S199" s="81">
        <f t="shared" si="186"/>
        <v>14283.206416666662</v>
      </c>
      <c r="T199" s="77">
        <v>0</v>
      </c>
      <c r="U199" s="77">
        <v>186.53395833333335</v>
      </c>
      <c r="V199" s="77"/>
      <c r="W199" s="77">
        <v>1590.9067500000001</v>
      </c>
      <c r="X199" s="82">
        <f t="shared" si="161"/>
        <v>1777.4407083333335</v>
      </c>
      <c r="Y199" s="77">
        <v>0</v>
      </c>
      <c r="Z199" s="77">
        <v>515</v>
      </c>
      <c r="AA199" s="77">
        <v>0</v>
      </c>
      <c r="AB199" s="82">
        <f t="shared" si="187"/>
        <v>515</v>
      </c>
      <c r="AC199" s="84">
        <f t="shared" si="157"/>
        <v>1590.9067500000001</v>
      </c>
      <c r="AD199" s="39">
        <v>3000</v>
      </c>
      <c r="AE199" s="40">
        <f t="shared" si="188"/>
        <v>9051.2580833333286</v>
      </c>
      <c r="AF199" s="1">
        <f t="shared" si="189"/>
        <v>10.8</v>
      </c>
      <c r="AG199" s="1">
        <f t="shared" si="190"/>
        <v>18</v>
      </c>
      <c r="AH199" s="41">
        <f t="shared" si="191"/>
        <v>16.207656009800967</v>
      </c>
      <c r="AJ199">
        <v>0.9</v>
      </c>
      <c r="AK199">
        <v>1.5</v>
      </c>
      <c r="AL199" s="32">
        <f t="shared" ref="AL199:AL205" si="195">+AD199+AE199</f>
        <v>12051.258083333329</v>
      </c>
      <c r="AM199" s="4">
        <f t="shared" ref="AM199:AM205" si="196">+AD199/AL199</f>
        <v>0.24893666530542116</v>
      </c>
      <c r="AN199" s="4">
        <f t="shared" ref="AN199:AN205" si="197">+AE199/AL199</f>
        <v>0.75106333469457887</v>
      </c>
    </row>
    <row r="200" spans="1:40" ht="14.25" hidden="1" customHeight="1" x14ac:dyDescent="0.3">
      <c r="C200" s="1">
        <v>2026</v>
      </c>
      <c r="D200" s="52">
        <f>+'Fisico ASIG'!B200</f>
        <v>46082</v>
      </c>
      <c r="E200" s="1">
        <v>16</v>
      </c>
      <c r="F200" s="1" t="s">
        <v>47</v>
      </c>
      <c r="G200" s="5">
        <v>46106</v>
      </c>
      <c r="H200" s="77">
        <v>4920.7378333333336</v>
      </c>
      <c r="I200" s="77">
        <v>1219.4289166666667</v>
      </c>
      <c r="J200" s="77">
        <v>277.47720833333329</v>
      </c>
      <c r="K200" s="77">
        <v>17.729512500000002</v>
      </c>
      <c r="L200" s="77">
        <v>0</v>
      </c>
      <c r="M200" s="81">
        <f t="shared" si="178"/>
        <v>6435.3734708333341</v>
      </c>
      <c r="N200" s="77">
        <v>12089.261291666668</v>
      </c>
      <c r="O200" s="77">
        <v>1404.3802083333335</v>
      </c>
      <c r="P200" s="77">
        <v>930.81908333333331</v>
      </c>
      <c r="Q200" s="77">
        <v>200.45000000000002</v>
      </c>
      <c r="R200" s="77">
        <v>0</v>
      </c>
      <c r="S200" s="81">
        <f t="shared" si="186"/>
        <v>14624.910583333336</v>
      </c>
      <c r="T200" s="77">
        <v>0</v>
      </c>
      <c r="U200" s="77">
        <v>190.0095</v>
      </c>
      <c r="V200" s="77"/>
      <c r="W200" s="77">
        <v>1204.538291666667</v>
      </c>
      <c r="X200" s="82">
        <f t="shared" si="161"/>
        <v>1394.5477916666669</v>
      </c>
      <c r="Y200" s="77">
        <v>0</v>
      </c>
      <c r="Z200" s="77">
        <v>515</v>
      </c>
      <c r="AA200" s="77">
        <v>0</v>
      </c>
      <c r="AB200" s="82">
        <f t="shared" si="187"/>
        <v>515</v>
      </c>
      <c r="AC200" s="84">
        <f t="shared" si="157"/>
        <v>1204.538291666667</v>
      </c>
      <c r="AD200" s="39">
        <v>3000</v>
      </c>
      <c r="AE200" s="40">
        <f t="shared" si="188"/>
        <v>9089.2612916666676</v>
      </c>
      <c r="AF200" s="1">
        <f t="shared" si="189"/>
        <v>10.8</v>
      </c>
      <c r="AG200" s="1">
        <f t="shared" si="190"/>
        <v>18</v>
      </c>
      <c r="AH200" s="41">
        <f t="shared" si="191"/>
        <v>16.213290334382197</v>
      </c>
      <c r="AJ200">
        <v>0.9</v>
      </c>
      <c r="AK200">
        <v>1.5</v>
      </c>
      <c r="AL200" s="32">
        <f t="shared" si="195"/>
        <v>12089.261291666668</v>
      </c>
      <c r="AM200" s="4">
        <f t="shared" si="196"/>
        <v>0.24815412022469485</v>
      </c>
      <c r="AN200" s="4">
        <f t="shared" si="197"/>
        <v>0.75184587977530515</v>
      </c>
    </row>
    <row r="201" spans="1:40" ht="14.25" hidden="1" customHeight="1" x14ac:dyDescent="0.3">
      <c r="C201" s="1">
        <v>2026</v>
      </c>
      <c r="D201" s="52">
        <f>+'Fisico ASIG'!B201</f>
        <v>46082</v>
      </c>
      <c r="E201" s="1">
        <v>16</v>
      </c>
      <c r="F201" s="1" t="s">
        <v>48</v>
      </c>
      <c r="G201" s="5">
        <v>46107</v>
      </c>
      <c r="H201" s="77">
        <v>5417.5829583333325</v>
      </c>
      <c r="I201" s="77">
        <v>1366.4585416666669</v>
      </c>
      <c r="J201" s="77">
        <v>271.39100000000002</v>
      </c>
      <c r="K201" s="77">
        <v>29.201258333333342</v>
      </c>
      <c r="L201" s="77">
        <v>0</v>
      </c>
      <c r="M201" s="81">
        <f t="shared" si="178"/>
        <v>7084.6337583333325</v>
      </c>
      <c r="N201" s="77">
        <v>12081.875083333332</v>
      </c>
      <c r="O201" s="77">
        <v>1491.2301666666667</v>
      </c>
      <c r="P201" s="77">
        <v>930.94579166666665</v>
      </c>
      <c r="Q201" s="77">
        <v>200.45000000000002</v>
      </c>
      <c r="R201" s="77">
        <v>0</v>
      </c>
      <c r="S201" s="81">
        <f t="shared" si="186"/>
        <v>14704.501041666666</v>
      </c>
      <c r="T201" s="77">
        <v>0</v>
      </c>
      <c r="U201" s="77">
        <v>189.15245833333336</v>
      </c>
      <c r="V201" s="77"/>
      <c r="W201" s="77">
        <v>937.09629166666707</v>
      </c>
      <c r="X201" s="82">
        <f t="shared" si="161"/>
        <v>1126.2487500000004</v>
      </c>
      <c r="Y201" s="77">
        <v>0</v>
      </c>
      <c r="Z201" s="77">
        <v>515</v>
      </c>
      <c r="AA201" s="77">
        <v>0</v>
      </c>
      <c r="AB201" s="82">
        <f t="shared" si="187"/>
        <v>515</v>
      </c>
      <c r="AC201" s="84">
        <f t="shared" si="157"/>
        <v>937.09629166666707</v>
      </c>
      <c r="AD201" s="39">
        <v>3000</v>
      </c>
      <c r="AE201" s="40">
        <f t="shared" si="188"/>
        <v>9081.8750833333324</v>
      </c>
      <c r="AF201" s="1">
        <f t="shared" si="189"/>
        <v>10.8</v>
      </c>
      <c r="AG201" s="1">
        <f t="shared" si="190"/>
        <v>18</v>
      </c>
      <c r="AH201" s="41">
        <f t="shared" si="191"/>
        <v>16.212198036230593</v>
      </c>
      <c r="AJ201">
        <v>0.9</v>
      </c>
      <c r="AK201">
        <v>1.5</v>
      </c>
      <c r="AL201" s="32">
        <f t="shared" si="195"/>
        <v>12081.875083333332</v>
      </c>
      <c r="AM201" s="4">
        <f t="shared" si="196"/>
        <v>0.24830582830130654</v>
      </c>
      <c r="AN201" s="4">
        <f t="shared" si="197"/>
        <v>0.75169417169869346</v>
      </c>
    </row>
    <row r="202" spans="1:40" ht="14.25" hidden="1" customHeight="1" x14ac:dyDescent="0.3">
      <c r="C202" s="1">
        <v>2026</v>
      </c>
      <c r="D202" s="52">
        <f>+'Fisico ASIG'!B202</f>
        <v>46082</v>
      </c>
      <c r="E202" s="1">
        <v>16</v>
      </c>
      <c r="F202" s="1" t="s">
        <v>49</v>
      </c>
      <c r="G202" s="5">
        <v>46108</v>
      </c>
      <c r="H202" s="77">
        <v>5795.4518333333335</v>
      </c>
      <c r="I202" s="77">
        <v>1328.9642916666667</v>
      </c>
      <c r="J202" s="77">
        <v>246.71883333333335</v>
      </c>
      <c r="K202" s="77">
        <v>42.447066666666672</v>
      </c>
      <c r="L202" s="77">
        <v>0</v>
      </c>
      <c r="M202" s="81">
        <f t="shared" si="178"/>
        <v>7413.5820249999997</v>
      </c>
      <c r="N202" s="77">
        <v>12039.25370833333</v>
      </c>
      <c r="O202" s="77">
        <v>1427.4629583333335</v>
      </c>
      <c r="P202" s="77">
        <v>930.9685833333333</v>
      </c>
      <c r="Q202" s="77">
        <v>200.45000000000002</v>
      </c>
      <c r="R202" s="77">
        <v>0</v>
      </c>
      <c r="S202" s="81">
        <f t="shared" si="186"/>
        <v>14598.135249999998</v>
      </c>
      <c r="T202" s="77">
        <v>0</v>
      </c>
      <c r="U202" s="77">
        <v>190.88037499999999</v>
      </c>
      <c r="V202" s="77"/>
      <c r="W202" s="77">
        <v>1067.2702916666667</v>
      </c>
      <c r="X202" s="82">
        <f t="shared" si="161"/>
        <v>1258.1506666666667</v>
      </c>
      <c r="Y202" s="77">
        <v>0</v>
      </c>
      <c r="Z202" s="77">
        <v>515</v>
      </c>
      <c r="AA202" s="77">
        <v>0</v>
      </c>
      <c r="AB202" s="82">
        <f t="shared" si="187"/>
        <v>515</v>
      </c>
      <c r="AC202" s="84">
        <f t="shared" si="157"/>
        <v>1067.2702916666667</v>
      </c>
      <c r="AD202" s="39">
        <v>3000</v>
      </c>
      <c r="AE202" s="40">
        <f t="shared" si="188"/>
        <v>9039.25370833333</v>
      </c>
      <c r="AF202" s="1">
        <f t="shared" si="189"/>
        <v>10.8</v>
      </c>
      <c r="AG202" s="1">
        <f t="shared" si="190"/>
        <v>18</v>
      </c>
      <c r="AH202" s="41">
        <f t="shared" si="191"/>
        <v>16.205868858378746</v>
      </c>
      <c r="AJ202">
        <v>0.9</v>
      </c>
      <c r="AK202">
        <v>1.5</v>
      </c>
      <c r="AL202" s="32">
        <f t="shared" si="195"/>
        <v>12039.25370833333</v>
      </c>
      <c r="AM202" s="4">
        <f t="shared" si="196"/>
        <v>0.24918488078072981</v>
      </c>
      <c r="AN202" s="4">
        <f t="shared" si="197"/>
        <v>0.75081511921927024</v>
      </c>
    </row>
    <row r="203" spans="1:40" ht="14.25" hidden="1" customHeight="1" x14ac:dyDescent="0.3">
      <c r="C203" s="1">
        <v>2026</v>
      </c>
      <c r="D203" s="52">
        <f>+'Fisico ASIG'!B203</f>
        <v>46082</v>
      </c>
      <c r="E203" s="1">
        <v>6</v>
      </c>
      <c r="F203" s="1" t="s">
        <v>43</v>
      </c>
      <c r="G203" s="5">
        <v>46109</v>
      </c>
      <c r="H203" s="77">
        <v>5502.9134166666663</v>
      </c>
      <c r="I203" s="77">
        <v>1244.7927083333334</v>
      </c>
      <c r="J203" s="77">
        <v>349.14516666666668</v>
      </c>
      <c r="K203" s="77">
        <v>31.752114583333345</v>
      </c>
      <c r="L203" s="77">
        <v>0</v>
      </c>
      <c r="M203" s="81">
        <f t="shared" si="178"/>
        <v>7128.6034062499994</v>
      </c>
      <c r="N203" s="77">
        <v>11760.282999999999</v>
      </c>
      <c r="O203" s="77">
        <v>1438.7359166666668</v>
      </c>
      <c r="P203" s="77">
        <v>931.32508333333328</v>
      </c>
      <c r="Q203" s="77">
        <v>194.20625000000001</v>
      </c>
      <c r="R203" s="77">
        <v>0</v>
      </c>
      <c r="S203" s="81">
        <f t="shared" si="186"/>
        <v>14324.550249999998</v>
      </c>
      <c r="T203" s="77">
        <v>0</v>
      </c>
      <c r="U203" s="77">
        <v>210.49300000000005</v>
      </c>
      <c r="V203" s="77"/>
      <c r="W203" s="77">
        <v>1193.5726666666667</v>
      </c>
      <c r="X203" s="82">
        <f t="shared" si="161"/>
        <v>1404.0656666666669</v>
      </c>
      <c r="Y203" s="77">
        <v>0</v>
      </c>
      <c r="Z203" s="77">
        <v>515</v>
      </c>
      <c r="AA203" s="77">
        <v>0</v>
      </c>
      <c r="AB203" s="82">
        <f t="shared" si="187"/>
        <v>515</v>
      </c>
      <c r="AC203" s="84">
        <f t="shared" si="157"/>
        <v>1193.5726666666667</v>
      </c>
      <c r="AD203" s="39">
        <v>3000</v>
      </c>
      <c r="AE203" s="40">
        <f t="shared" si="188"/>
        <v>8760.2829999999994</v>
      </c>
      <c r="AF203" s="1">
        <f t="shared" si="189"/>
        <v>10.8</v>
      </c>
      <c r="AG203" s="1">
        <f t="shared" si="190"/>
        <v>18</v>
      </c>
      <c r="AH203" s="41">
        <f t="shared" si="191"/>
        <v>16.163309505392004</v>
      </c>
      <c r="AJ203">
        <v>0.9</v>
      </c>
      <c r="AK203">
        <v>1.5</v>
      </c>
      <c r="AL203" s="32">
        <f t="shared" si="195"/>
        <v>11760.282999999999</v>
      </c>
      <c r="AM203" s="4">
        <f t="shared" si="196"/>
        <v>0.25509590202888827</v>
      </c>
      <c r="AN203" s="4">
        <f t="shared" si="197"/>
        <v>0.74490409797111179</v>
      </c>
    </row>
    <row r="204" spans="1:40" ht="14.25" hidden="1" customHeight="1" x14ac:dyDescent="0.3">
      <c r="C204" s="1">
        <v>2026</v>
      </c>
      <c r="D204" s="52">
        <f>+'Fisico ASIG'!B204</f>
        <v>46082</v>
      </c>
      <c r="E204" s="1">
        <v>4</v>
      </c>
      <c r="F204" s="1" t="s">
        <v>44</v>
      </c>
      <c r="G204" s="5">
        <v>46110</v>
      </c>
      <c r="H204" s="77">
        <v>5952.8121250000013</v>
      </c>
      <c r="I204" s="77">
        <v>1245.0770416666664</v>
      </c>
      <c r="J204" s="77">
        <v>324.19945833333333</v>
      </c>
      <c r="K204" s="77">
        <v>48.319847916666667</v>
      </c>
      <c r="L204" s="77">
        <v>0</v>
      </c>
      <c r="M204" s="81">
        <f t="shared" si="178"/>
        <v>7570.408472916668</v>
      </c>
      <c r="N204" s="77">
        <v>11753.628999999995</v>
      </c>
      <c r="O204" s="77">
        <v>1423.8477500000004</v>
      </c>
      <c r="P204" s="77">
        <v>931.21266666666668</v>
      </c>
      <c r="Q204" s="77">
        <v>200.35000000000002</v>
      </c>
      <c r="R204" s="77">
        <v>0</v>
      </c>
      <c r="S204" s="81">
        <f t="shared" si="186"/>
        <v>14309.039416666663</v>
      </c>
      <c r="T204" s="77">
        <v>0</v>
      </c>
      <c r="U204" s="77">
        <v>319.41437500000001</v>
      </c>
      <c r="V204" s="77"/>
      <c r="W204" s="77">
        <v>1198.5729583333332</v>
      </c>
      <c r="X204" s="82">
        <f t="shared" si="161"/>
        <v>1517.9873333333333</v>
      </c>
      <c r="Y204" s="77">
        <v>0</v>
      </c>
      <c r="Z204" s="77">
        <v>515</v>
      </c>
      <c r="AA204" s="77">
        <v>0</v>
      </c>
      <c r="AB204" s="82">
        <f t="shared" si="187"/>
        <v>515</v>
      </c>
      <c r="AC204" s="84">
        <f t="shared" si="157"/>
        <v>1198.5729583333332</v>
      </c>
      <c r="AD204" s="39">
        <v>3000</v>
      </c>
      <c r="AE204" s="40">
        <f t="shared" si="188"/>
        <v>8753.6289999999954</v>
      </c>
      <c r="AF204" s="1">
        <f t="shared" si="189"/>
        <v>10.8</v>
      </c>
      <c r="AG204" s="1">
        <f t="shared" si="190"/>
        <v>18</v>
      </c>
      <c r="AH204" s="41">
        <f t="shared" si="191"/>
        <v>16.162269712613867</v>
      </c>
      <c r="AJ204">
        <v>0.9</v>
      </c>
      <c r="AK204">
        <v>1.5</v>
      </c>
      <c r="AL204" s="32">
        <f t="shared" si="195"/>
        <v>11753.628999999995</v>
      </c>
      <c r="AM204" s="4">
        <f t="shared" si="196"/>
        <v>0.2552403176925187</v>
      </c>
      <c r="AN204" s="4">
        <f t="shared" si="197"/>
        <v>0.74475968230748124</v>
      </c>
    </row>
    <row r="205" spans="1:40" ht="14.25" hidden="1" customHeight="1" x14ac:dyDescent="0.3">
      <c r="C205" s="1">
        <v>2026</v>
      </c>
      <c r="D205" s="52">
        <f>+'Fisico ASIG'!B205</f>
        <v>46082</v>
      </c>
      <c r="E205" s="1">
        <v>16</v>
      </c>
      <c r="F205" s="1" t="s">
        <v>45</v>
      </c>
      <c r="G205" s="5">
        <v>46111</v>
      </c>
      <c r="H205" s="77">
        <v>7408.6531249999989</v>
      </c>
      <c r="I205" s="77">
        <v>1170.6537916666668</v>
      </c>
      <c r="J205" s="77">
        <v>386.83825000000002</v>
      </c>
      <c r="K205" s="77">
        <v>83.817314583333342</v>
      </c>
      <c r="L205" s="77">
        <v>0</v>
      </c>
      <c r="M205" s="81">
        <f t="shared" si="178"/>
        <v>9049.9624812500006</v>
      </c>
      <c r="N205" s="77">
        <v>11261.067833333334</v>
      </c>
      <c r="O205" s="77">
        <v>1287.5112916666669</v>
      </c>
      <c r="P205" s="77">
        <v>930.90941666666663</v>
      </c>
      <c r="Q205" s="77">
        <v>200.4</v>
      </c>
      <c r="R205" s="77">
        <v>0</v>
      </c>
      <c r="S205" s="81">
        <f t="shared" si="186"/>
        <v>13679.888541666669</v>
      </c>
      <c r="T205" s="77">
        <v>0</v>
      </c>
      <c r="U205" s="77">
        <v>348.72629166666667</v>
      </c>
      <c r="V205" s="77"/>
      <c r="W205" s="77">
        <v>1491.2240000000004</v>
      </c>
      <c r="X205" s="82">
        <f t="shared" si="161"/>
        <v>1839.950291666667</v>
      </c>
      <c r="Y205" s="77">
        <v>0</v>
      </c>
      <c r="Z205" s="77">
        <v>515</v>
      </c>
      <c r="AA205" s="77">
        <v>0</v>
      </c>
      <c r="AB205" s="82">
        <f t="shared" si="187"/>
        <v>515</v>
      </c>
      <c r="AC205" s="84">
        <f t="shared" si="157"/>
        <v>1491.2240000000004</v>
      </c>
      <c r="AD205" s="39">
        <v>3000</v>
      </c>
      <c r="AE205" s="40">
        <f t="shared" si="188"/>
        <v>8261.0678333333344</v>
      </c>
      <c r="AF205" s="1">
        <f t="shared" si="189"/>
        <v>10.8</v>
      </c>
      <c r="AG205" s="1">
        <f t="shared" si="190"/>
        <v>18</v>
      </c>
      <c r="AH205" s="41">
        <f t="shared" si="191"/>
        <v>16.081887053724788</v>
      </c>
      <c r="AJ205">
        <v>0.9</v>
      </c>
      <c r="AK205">
        <v>1.5</v>
      </c>
      <c r="AL205" s="32">
        <f t="shared" si="195"/>
        <v>11261.067833333334</v>
      </c>
      <c r="AM205" s="4">
        <f t="shared" si="196"/>
        <v>0.26640457587155697</v>
      </c>
      <c r="AN205" s="4">
        <f t="shared" si="197"/>
        <v>0.73359542412844303</v>
      </c>
    </row>
    <row r="206" spans="1:40" ht="14.25" hidden="1" customHeight="1" x14ac:dyDescent="0.3">
      <c r="C206" s="1">
        <v>2026</v>
      </c>
      <c r="D206" s="52">
        <f>+'Fisico ASIG'!B206</f>
        <v>46082</v>
      </c>
      <c r="E206" s="1">
        <v>16</v>
      </c>
      <c r="F206" s="1" t="s">
        <v>46</v>
      </c>
      <c r="G206" s="5">
        <v>46112</v>
      </c>
      <c r="H206" s="77">
        <v>8313.5665833333333</v>
      </c>
      <c r="I206" s="77">
        <v>1104.5757083333335</v>
      </c>
      <c r="J206" s="77">
        <v>427.42750000000001</v>
      </c>
      <c r="K206" s="77">
        <v>88.41194999999999</v>
      </c>
      <c r="L206" s="77">
        <v>0</v>
      </c>
      <c r="M206" s="81">
        <f t="shared" si="178"/>
        <v>9933.9817416666665</v>
      </c>
      <c r="N206" s="77">
        <v>10879.407666666666</v>
      </c>
      <c r="O206" s="77">
        <v>1275.8597916666668</v>
      </c>
      <c r="P206" s="77">
        <v>936.84545833333334</v>
      </c>
      <c r="Q206" s="77">
        <v>200.3</v>
      </c>
      <c r="R206" s="77">
        <v>0</v>
      </c>
      <c r="S206" s="81">
        <f t="shared" si="186"/>
        <v>13292.412916666664</v>
      </c>
      <c r="T206" s="77">
        <v>0</v>
      </c>
      <c r="U206" s="77">
        <v>248.54558333333333</v>
      </c>
      <c r="V206" s="77"/>
      <c r="W206" s="77">
        <v>1549.9436249999999</v>
      </c>
      <c r="X206" s="82">
        <f t="shared" si="161"/>
        <v>1798.4892083333332</v>
      </c>
      <c r="Y206" s="77">
        <v>0</v>
      </c>
      <c r="Z206" s="77">
        <v>515</v>
      </c>
      <c r="AA206" s="77">
        <v>0</v>
      </c>
      <c r="AB206" s="82">
        <f t="shared" si="187"/>
        <v>515</v>
      </c>
      <c r="AC206" s="84">
        <f t="shared" si="157"/>
        <v>1549.9436249999999</v>
      </c>
      <c r="AD206" s="39">
        <v>3000</v>
      </c>
      <c r="AE206" s="40">
        <f t="shared" ref="AE206:AE213" si="198">+N206-AD206</f>
        <v>7879.407666666666</v>
      </c>
      <c r="AF206" s="1">
        <f t="shared" ref="AF206:AF213" si="199">12*AJ206</f>
        <v>10.8</v>
      </c>
      <c r="AG206" s="1">
        <f t="shared" ref="AG206:AG213" si="200">12*AK206</f>
        <v>18</v>
      </c>
      <c r="AH206" s="41">
        <f t="shared" ref="AH206:AH213" si="201">+(AD206*AF206+AG206*AE206)/SUM(AD206:AE206)</f>
        <v>16.014597792287894</v>
      </c>
      <c r="AJ206">
        <v>0.9</v>
      </c>
      <c r="AK206">
        <v>1.5</v>
      </c>
      <c r="AL206" s="32">
        <f t="shared" ref="AL206:AL213" si="202">+AD206+AE206</f>
        <v>10879.407666666666</v>
      </c>
      <c r="AM206" s="4">
        <f t="shared" ref="AM206:AM213" si="203">+AD206/AL206</f>
        <v>0.27575030662668126</v>
      </c>
      <c r="AN206" s="4">
        <f t="shared" ref="AN206:AN213" si="204">+AE206/AL206</f>
        <v>0.72424969337331879</v>
      </c>
    </row>
    <row r="207" spans="1:40" ht="14.25" hidden="1" customHeight="1" x14ac:dyDescent="0.3">
      <c r="A207" s="84"/>
      <c r="C207" s="1">
        <v>2026</v>
      </c>
      <c r="D207" s="52">
        <f>+'Fisico ASIG'!B207</f>
        <v>46113</v>
      </c>
      <c r="E207" s="1">
        <v>16</v>
      </c>
      <c r="F207" s="1" t="s">
        <v>47</v>
      </c>
      <c r="G207" s="5">
        <v>46113</v>
      </c>
      <c r="H207" s="77">
        <v>8421.797500000006</v>
      </c>
      <c r="I207" s="77">
        <v>1126.3116666666667</v>
      </c>
      <c r="J207" s="77">
        <v>195.11362500000001</v>
      </c>
      <c r="K207" s="77">
        <v>86.726624999999984</v>
      </c>
      <c r="L207" s="77">
        <v>0</v>
      </c>
      <c r="M207" s="81">
        <f t="shared" si="178"/>
        <v>9829.9494166666718</v>
      </c>
      <c r="N207" s="77">
        <v>10881.337124999998</v>
      </c>
      <c r="O207" s="77">
        <v>1269.2953750000001</v>
      </c>
      <c r="P207" s="77">
        <v>934.76</v>
      </c>
      <c r="Q207" s="77">
        <v>200.10000000000002</v>
      </c>
      <c r="R207" s="77">
        <v>0</v>
      </c>
      <c r="S207" s="81">
        <f t="shared" si="186"/>
        <v>13285.492499999998</v>
      </c>
      <c r="T207" s="77">
        <v>0</v>
      </c>
      <c r="U207" s="77">
        <v>381.25041666666658</v>
      </c>
      <c r="V207" s="77">
        <v>197.9605416666667</v>
      </c>
      <c r="W207" s="77">
        <v>928.39249999999799</v>
      </c>
      <c r="X207" s="82">
        <f t="shared" si="161"/>
        <v>1507.6034583333312</v>
      </c>
      <c r="Y207" s="77">
        <v>0</v>
      </c>
      <c r="Z207" s="77">
        <v>415</v>
      </c>
      <c r="AA207" s="77">
        <v>0</v>
      </c>
      <c r="AB207" s="82">
        <f t="shared" si="187"/>
        <v>415</v>
      </c>
      <c r="AC207" s="84">
        <f t="shared" si="157"/>
        <v>1126.3530416666647</v>
      </c>
      <c r="AD207" s="39">
        <v>3000</v>
      </c>
      <c r="AE207" s="40">
        <f t="shared" si="198"/>
        <v>7881.3371249999982</v>
      </c>
      <c r="AF207" s="1">
        <f t="shared" si="199"/>
        <v>10.8</v>
      </c>
      <c r="AG207" s="1">
        <f t="shared" si="200"/>
        <v>18</v>
      </c>
      <c r="AH207" s="41">
        <f t="shared" si="201"/>
        <v>16.014949840091457</v>
      </c>
      <c r="AJ207">
        <v>0.9</v>
      </c>
      <c r="AK207">
        <v>1.5</v>
      </c>
      <c r="AL207" s="32">
        <f t="shared" si="202"/>
        <v>10881.337124999998</v>
      </c>
      <c r="AM207" s="4">
        <f t="shared" si="203"/>
        <v>0.27570141109840862</v>
      </c>
      <c r="AN207" s="4">
        <f t="shared" si="204"/>
        <v>0.72429858890159138</v>
      </c>
    </row>
    <row r="208" spans="1:40" ht="14.25" hidden="1" customHeight="1" x14ac:dyDescent="0.3">
      <c r="A208" s="84"/>
      <c r="C208" s="1">
        <v>2026</v>
      </c>
      <c r="D208" s="52">
        <f>+'Fisico ASIG'!B208</f>
        <v>46113</v>
      </c>
      <c r="E208" s="1">
        <v>4</v>
      </c>
      <c r="F208" s="1" t="s">
        <v>48</v>
      </c>
      <c r="G208" s="5">
        <v>46114</v>
      </c>
      <c r="H208" s="77">
        <v>7714.3991666666761</v>
      </c>
      <c r="I208" s="77">
        <v>881.25750000000005</v>
      </c>
      <c r="J208" s="77">
        <v>106.43441666666743</v>
      </c>
      <c r="K208" s="77">
        <v>33.642416666666662</v>
      </c>
      <c r="L208" s="77">
        <v>0</v>
      </c>
      <c r="M208" s="81">
        <f t="shared" si="178"/>
        <v>8735.7335000000112</v>
      </c>
      <c r="N208" s="77">
        <v>11190.104208333329</v>
      </c>
      <c r="O208" s="77">
        <v>982.14025000000015</v>
      </c>
      <c r="P208" s="77">
        <v>932.92166666666662</v>
      </c>
      <c r="Q208" s="77">
        <v>200.25</v>
      </c>
      <c r="R208" s="77">
        <v>0</v>
      </c>
      <c r="S208" s="81">
        <f t="shared" si="186"/>
        <v>13305.416124999996</v>
      </c>
      <c r="T208" s="77">
        <v>0</v>
      </c>
      <c r="U208" s="77">
        <v>272.03416666666664</v>
      </c>
      <c r="V208" s="77">
        <v>171.97391666666667</v>
      </c>
      <c r="W208" s="77">
        <v>749.51208333333307</v>
      </c>
      <c r="X208" s="82">
        <f t="shared" si="161"/>
        <v>1193.5201666666662</v>
      </c>
      <c r="Y208" s="77">
        <v>0</v>
      </c>
      <c r="Z208" s="77">
        <v>415</v>
      </c>
      <c r="AA208" s="77">
        <v>0</v>
      </c>
      <c r="AB208" s="82">
        <f t="shared" si="187"/>
        <v>415</v>
      </c>
      <c r="AC208" s="84">
        <f t="shared" si="157"/>
        <v>921.48599999999976</v>
      </c>
      <c r="AD208" s="39">
        <v>3000</v>
      </c>
      <c r="AE208" s="40">
        <f t="shared" si="198"/>
        <v>8190.1042083333286</v>
      </c>
      <c r="AF208" s="1">
        <f t="shared" si="199"/>
        <v>10.8</v>
      </c>
      <c r="AG208" s="1">
        <f t="shared" si="200"/>
        <v>18</v>
      </c>
      <c r="AH208" s="41">
        <f t="shared" si="201"/>
        <v>16.069723069789255</v>
      </c>
      <c r="AJ208">
        <v>0.9</v>
      </c>
      <c r="AK208">
        <v>1.5</v>
      </c>
      <c r="AL208" s="32">
        <f t="shared" si="202"/>
        <v>11190.104208333329</v>
      </c>
      <c r="AM208" s="4">
        <f t="shared" si="203"/>
        <v>0.26809401808482575</v>
      </c>
      <c r="AN208" s="4">
        <f t="shared" si="204"/>
        <v>0.73190598191517431</v>
      </c>
    </row>
    <row r="209" spans="1:40" ht="14.25" hidden="1" customHeight="1" x14ac:dyDescent="0.3">
      <c r="A209" s="84"/>
      <c r="C209" s="1">
        <v>2026</v>
      </c>
      <c r="D209" s="52">
        <f>+'Fisico ASIG'!B209</f>
        <v>46113</v>
      </c>
      <c r="E209" s="1">
        <v>4</v>
      </c>
      <c r="F209" s="1" t="s">
        <v>49</v>
      </c>
      <c r="G209" s="5">
        <v>46115</v>
      </c>
      <c r="H209" s="77">
        <v>6842.5579166666721</v>
      </c>
      <c r="I209" s="77">
        <v>803.15583333333291</v>
      </c>
      <c r="J209" s="77">
        <v>84.9120833333333</v>
      </c>
      <c r="K209" s="77">
        <v>21.027208333333334</v>
      </c>
      <c r="L209" s="77">
        <v>0</v>
      </c>
      <c r="M209" s="81">
        <f t="shared" si="178"/>
        <v>7751.6530416666719</v>
      </c>
      <c r="N209" s="77">
        <v>11539.784749999997</v>
      </c>
      <c r="O209" s="77">
        <v>943.79145833333337</v>
      </c>
      <c r="P209" s="77">
        <v>934.8150416666665</v>
      </c>
      <c r="Q209" s="77">
        <v>200.06133541666668</v>
      </c>
      <c r="R209" s="77">
        <v>0</v>
      </c>
      <c r="S209" s="81">
        <f t="shared" si="186"/>
        <v>13618.452585416664</v>
      </c>
      <c r="T209" s="77">
        <v>0</v>
      </c>
      <c r="U209" s="77">
        <v>191.48249999999996</v>
      </c>
      <c r="V209" s="77">
        <v>196.75291666666666</v>
      </c>
      <c r="W209" s="77">
        <v>1545.9099999999992</v>
      </c>
      <c r="X209" s="82">
        <f t="shared" si="161"/>
        <v>1934.1454166666658</v>
      </c>
      <c r="Y209" s="77">
        <v>0</v>
      </c>
      <c r="Z209" s="77">
        <v>415</v>
      </c>
      <c r="AA209" s="77">
        <v>0</v>
      </c>
      <c r="AB209" s="82">
        <f t="shared" si="187"/>
        <v>415</v>
      </c>
      <c r="AC209" s="84">
        <f t="shared" si="157"/>
        <v>1742.6629166666658</v>
      </c>
      <c r="AD209" s="39">
        <v>3000</v>
      </c>
      <c r="AE209" s="40">
        <f t="shared" si="198"/>
        <v>8539.7847499999971</v>
      </c>
      <c r="AF209" s="1">
        <f t="shared" si="199"/>
        <v>10.8</v>
      </c>
      <c r="AG209" s="1">
        <f t="shared" si="200"/>
        <v>18</v>
      </c>
      <c r="AH209" s="41">
        <f t="shared" si="201"/>
        <v>16.128214653223925</v>
      </c>
      <c r="AJ209">
        <v>0.9</v>
      </c>
      <c r="AK209">
        <v>1.5</v>
      </c>
      <c r="AL209" s="32">
        <f t="shared" si="202"/>
        <v>11539.784749999997</v>
      </c>
      <c r="AM209" s="4">
        <f t="shared" si="203"/>
        <v>0.25997018705223257</v>
      </c>
      <c r="AN209" s="4">
        <f t="shared" si="204"/>
        <v>0.74002981294776748</v>
      </c>
    </row>
    <row r="210" spans="1:40" ht="14.25" hidden="1" customHeight="1" x14ac:dyDescent="0.3">
      <c r="A210" s="84"/>
      <c r="C210" s="1">
        <v>2026</v>
      </c>
      <c r="D210" s="52">
        <f>+'Fisico ASIG'!B210</f>
        <v>46113</v>
      </c>
      <c r="E210" s="1">
        <v>6</v>
      </c>
      <c r="F210" s="1" t="s">
        <v>43</v>
      </c>
      <c r="G210" s="5">
        <v>46116</v>
      </c>
      <c r="H210" s="77">
        <v>6160.6133333333346</v>
      </c>
      <c r="I210" s="77">
        <v>582.50375000000008</v>
      </c>
      <c r="J210" s="77">
        <v>75.635000000000048</v>
      </c>
      <c r="K210" s="77">
        <v>46.286812500000003</v>
      </c>
      <c r="L210" s="77">
        <v>0</v>
      </c>
      <c r="M210" s="81">
        <f t="shared" si="178"/>
        <v>6865.0388958333351</v>
      </c>
      <c r="N210" s="77">
        <v>11472.50083333333</v>
      </c>
      <c r="O210" s="77">
        <v>719.73554166666668</v>
      </c>
      <c r="P210" s="77">
        <v>938.04591666666659</v>
      </c>
      <c r="Q210" s="77">
        <v>199.95000000000002</v>
      </c>
      <c r="R210" s="77">
        <v>0</v>
      </c>
      <c r="S210" s="81">
        <f t="shared" si="186"/>
        <v>13330.232291666664</v>
      </c>
      <c r="T210" s="77">
        <v>0</v>
      </c>
      <c r="U210" s="77">
        <v>192.23249999999999</v>
      </c>
      <c r="V210" s="77">
        <v>199.61250000000007</v>
      </c>
      <c r="W210" s="77">
        <v>1028.4574999999995</v>
      </c>
      <c r="X210" s="82">
        <f t="shared" si="161"/>
        <v>1420.3024999999996</v>
      </c>
      <c r="Y210" s="77">
        <v>0</v>
      </c>
      <c r="Z210" s="77">
        <v>415</v>
      </c>
      <c r="AA210" s="77">
        <v>0</v>
      </c>
      <c r="AB210" s="82">
        <f t="shared" si="187"/>
        <v>415</v>
      </c>
      <c r="AC210" s="84">
        <f t="shared" si="157"/>
        <v>1228.0699999999997</v>
      </c>
      <c r="AD210" s="39">
        <v>3000</v>
      </c>
      <c r="AE210" s="40">
        <f t="shared" si="198"/>
        <v>8472.5008333333299</v>
      </c>
      <c r="AF210" s="1">
        <f t="shared" si="199"/>
        <v>10.8</v>
      </c>
      <c r="AG210" s="1">
        <f t="shared" si="200"/>
        <v>18</v>
      </c>
      <c r="AH210" s="41">
        <f t="shared" si="201"/>
        <v>16.117237007537078</v>
      </c>
      <c r="AJ210">
        <v>0.9</v>
      </c>
      <c r="AK210">
        <v>1.5</v>
      </c>
      <c r="AL210" s="32">
        <f t="shared" si="202"/>
        <v>11472.50083333333</v>
      </c>
      <c r="AM210" s="4">
        <f t="shared" si="203"/>
        <v>0.2614948600642944</v>
      </c>
      <c r="AN210" s="4">
        <f t="shared" si="204"/>
        <v>0.73850513993570555</v>
      </c>
    </row>
    <row r="211" spans="1:40" ht="14.25" hidden="1" customHeight="1" x14ac:dyDescent="0.3">
      <c r="A211" s="84"/>
      <c r="C211" s="1">
        <v>2026</v>
      </c>
      <c r="D211" s="52">
        <f>+'Fisico ASIG'!B211</f>
        <v>46113</v>
      </c>
      <c r="E211" s="1">
        <v>4</v>
      </c>
      <c r="F211" s="1" t="s">
        <v>44</v>
      </c>
      <c r="G211" s="5">
        <v>46117</v>
      </c>
      <c r="H211" s="77">
        <v>4662.3279166666716</v>
      </c>
      <c r="I211" s="77">
        <v>611.86833333333323</v>
      </c>
      <c r="J211" s="77">
        <v>76.382041666666794</v>
      </c>
      <c r="K211" s="77">
        <v>62.13397916666667</v>
      </c>
      <c r="L211" s="77">
        <v>0</v>
      </c>
      <c r="M211" s="81">
        <f t="shared" si="178"/>
        <v>5412.7122708333382</v>
      </c>
      <c r="N211" s="77">
        <v>11657.143249999994</v>
      </c>
      <c r="O211" s="77">
        <v>955.62529166666673</v>
      </c>
      <c r="P211" s="77">
        <v>940.42804166666667</v>
      </c>
      <c r="Q211" s="77">
        <v>199.95000000000002</v>
      </c>
      <c r="R211" s="77">
        <v>0</v>
      </c>
      <c r="S211" s="81">
        <f t="shared" si="186"/>
        <v>13753.146583333328</v>
      </c>
      <c r="T211" s="77">
        <v>0</v>
      </c>
      <c r="U211" s="77">
        <v>253.78333333333339</v>
      </c>
      <c r="V211" s="77">
        <v>203.78420833333337</v>
      </c>
      <c r="W211" s="77">
        <v>803.624583333332</v>
      </c>
      <c r="X211" s="82">
        <f t="shared" si="161"/>
        <v>1261.1921249999987</v>
      </c>
      <c r="Y211" s="77">
        <v>0</v>
      </c>
      <c r="Z211" s="77">
        <v>415</v>
      </c>
      <c r="AA211" s="77">
        <v>0</v>
      </c>
      <c r="AB211" s="82">
        <f t="shared" si="187"/>
        <v>415</v>
      </c>
      <c r="AC211" s="84">
        <f t="shared" si="157"/>
        <v>1007.4087916666654</v>
      </c>
      <c r="AD211" s="39">
        <v>3000</v>
      </c>
      <c r="AE211" s="40">
        <f t="shared" si="198"/>
        <v>8657.1432499999937</v>
      </c>
      <c r="AF211" s="1">
        <f t="shared" si="199"/>
        <v>10.8</v>
      </c>
      <c r="AG211" s="1">
        <f t="shared" si="200"/>
        <v>18</v>
      </c>
      <c r="AH211" s="41">
        <f t="shared" si="201"/>
        <v>16.147058885975344</v>
      </c>
      <c r="AJ211">
        <v>0.9</v>
      </c>
      <c r="AK211">
        <v>1.5</v>
      </c>
      <c r="AL211" s="32">
        <f t="shared" si="202"/>
        <v>11657.143249999994</v>
      </c>
      <c r="AM211" s="4">
        <f t="shared" si="203"/>
        <v>0.25735293250342461</v>
      </c>
      <c r="AN211" s="4">
        <f t="shared" si="204"/>
        <v>0.74264706749657539</v>
      </c>
    </row>
    <row r="212" spans="1:40" ht="14.25" hidden="1" customHeight="1" x14ac:dyDescent="0.3">
      <c r="A212" s="84"/>
      <c r="C212" s="1">
        <v>2026</v>
      </c>
      <c r="D212" s="52">
        <f>+'Fisico ASIG'!B212</f>
        <v>46113</v>
      </c>
      <c r="E212" s="1">
        <v>16</v>
      </c>
      <c r="F212" s="1" t="s">
        <v>45</v>
      </c>
      <c r="G212" s="5">
        <v>46118</v>
      </c>
      <c r="H212" s="77">
        <v>5766.1083333333345</v>
      </c>
      <c r="I212" s="77">
        <v>685.90041666666673</v>
      </c>
      <c r="J212" s="77">
        <v>145.86537500000023</v>
      </c>
      <c r="K212" s="77">
        <v>57.942999999999998</v>
      </c>
      <c r="L212" s="77">
        <v>0</v>
      </c>
      <c r="M212" s="81">
        <f t="shared" si="178"/>
        <v>6655.8171250000014</v>
      </c>
      <c r="N212" s="77">
        <v>11240.129083333331</v>
      </c>
      <c r="O212" s="77">
        <v>1103.046291666667</v>
      </c>
      <c r="P212" s="77">
        <v>940.60516666666661</v>
      </c>
      <c r="Q212" s="77">
        <v>199.95000000000002</v>
      </c>
      <c r="R212" s="77">
        <v>0</v>
      </c>
      <c r="S212" s="81">
        <f t="shared" si="186"/>
        <v>13483.730541666666</v>
      </c>
      <c r="T212" s="77">
        <v>0</v>
      </c>
      <c r="U212" s="77">
        <v>361.54208333333332</v>
      </c>
      <c r="V212" s="77">
        <v>218.97004166666673</v>
      </c>
      <c r="W212" s="77">
        <v>816.907499999999</v>
      </c>
      <c r="X212" s="82">
        <f t="shared" si="161"/>
        <v>1397.4196249999991</v>
      </c>
      <c r="Y212" s="77">
        <v>0</v>
      </c>
      <c r="Z212" s="77">
        <v>415</v>
      </c>
      <c r="AA212" s="77">
        <v>0</v>
      </c>
      <c r="AB212" s="82">
        <f t="shared" si="187"/>
        <v>415</v>
      </c>
      <c r="AC212" s="84">
        <f t="shared" si="157"/>
        <v>1035.8775416666658</v>
      </c>
      <c r="AD212" s="39">
        <v>3000</v>
      </c>
      <c r="AE212" s="40">
        <f t="shared" si="198"/>
        <v>8240.1290833333314</v>
      </c>
      <c r="AF212" s="1">
        <f t="shared" si="199"/>
        <v>10.8</v>
      </c>
      <c r="AG212" s="1">
        <f t="shared" si="200"/>
        <v>18</v>
      </c>
      <c r="AH212" s="41">
        <f t="shared" si="201"/>
        <v>16.078313884132513</v>
      </c>
      <c r="AJ212">
        <v>0.9</v>
      </c>
      <c r="AK212">
        <v>1.5</v>
      </c>
      <c r="AL212" s="32">
        <f t="shared" si="202"/>
        <v>11240.129083333331</v>
      </c>
      <c r="AM212" s="4">
        <f t="shared" si="203"/>
        <v>0.26690084942603975</v>
      </c>
      <c r="AN212" s="4">
        <f t="shared" si="204"/>
        <v>0.73309915057396025</v>
      </c>
    </row>
    <row r="213" spans="1:40" ht="14.25" hidden="1" customHeight="1" x14ac:dyDescent="0.3">
      <c r="A213" s="84"/>
      <c r="C213" s="1">
        <v>2026</v>
      </c>
      <c r="D213" s="52">
        <f>+'Fisico ASIG'!B213</f>
        <v>46113</v>
      </c>
      <c r="E213" s="1">
        <v>16</v>
      </c>
      <c r="F213" s="1" t="s">
        <v>46</v>
      </c>
      <c r="G213" s="5">
        <v>46119</v>
      </c>
      <c r="H213" s="77">
        <v>6067.1954166666592</v>
      </c>
      <c r="I213" s="77">
        <v>889.7891666666668</v>
      </c>
      <c r="J213" s="77">
        <v>141.66783333333302</v>
      </c>
      <c r="K213" s="77">
        <v>26.276708333333335</v>
      </c>
      <c r="L213" s="77">
        <v>0</v>
      </c>
      <c r="M213" s="81">
        <f t="shared" si="178"/>
        <v>7124.9291249999924</v>
      </c>
      <c r="N213" s="77">
        <v>11562.988333333327</v>
      </c>
      <c r="O213" s="77">
        <v>1099.015333333333</v>
      </c>
      <c r="P213" s="77">
        <v>937.98233333333326</v>
      </c>
      <c r="Q213" s="77">
        <v>199.95000000000002</v>
      </c>
      <c r="R213" s="77">
        <v>0</v>
      </c>
      <c r="S213" s="81">
        <f t="shared" si="186"/>
        <v>13799.935999999994</v>
      </c>
      <c r="T213" s="77">
        <v>0</v>
      </c>
      <c r="U213" s="77">
        <v>295.23791666666665</v>
      </c>
      <c r="V213" s="77">
        <v>238.58800000000008</v>
      </c>
      <c r="W213" s="77">
        <v>964.82458333333443</v>
      </c>
      <c r="X213" s="82">
        <f t="shared" si="161"/>
        <v>1498.6505000000011</v>
      </c>
      <c r="Y213" s="77">
        <v>0</v>
      </c>
      <c r="Z213" s="77">
        <v>415</v>
      </c>
      <c r="AA213" s="77">
        <v>0</v>
      </c>
      <c r="AB213" s="82">
        <f t="shared" si="187"/>
        <v>415</v>
      </c>
      <c r="AC213" s="84">
        <f t="shared" si="157"/>
        <v>1203.4125833333346</v>
      </c>
      <c r="AD213" s="39">
        <v>3000</v>
      </c>
      <c r="AE213" s="40">
        <f t="shared" si="198"/>
        <v>8562.9883333333273</v>
      </c>
      <c r="AF213" s="1">
        <f t="shared" si="199"/>
        <v>10.8</v>
      </c>
      <c r="AG213" s="1">
        <f t="shared" si="200"/>
        <v>18</v>
      </c>
      <c r="AH213" s="41">
        <f t="shared" si="201"/>
        <v>16.131970786675243</v>
      </c>
      <c r="AJ213">
        <v>0.9</v>
      </c>
      <c r="AK213">
        <v>1.5</v>
      </c>
      <c r="AL213" s="32">
        <f t="shared" si="202"/>
        <v>11562.988333333327</v>
      </c>
      <c r="AM213" s="4">
        <f t="shared" si="203"/>
        <v>0.25944850185066071</v>
      </c>
      <c r="AN213" s="4">
        <f t="shared" si="204"/>
        <v>0.74055149814933929</v>
      </c>
    </row>
    <row r="214" spans="1:40" ht="14.25" hidden="1" customHeight="1" x14ac:dyDescent="0.3">
      <c r="A214" s="84"/>
      <c r="C214" s="1">
        <v>2026</v>
      </c>
      <c r="D214" s="52">
        <f>+'Fisico ASIG'!B214</f>
        <v>46113</v>
      </c>
      <c r="E214" s="1">
        <v>16</v>
      </c>
      <c r="F214" s="1" t="s">
        <v>47</v>
      </c>
      <c r="G214" s="5">
        <v>46120</v>
      </c>
      <c r="H214" s="77">
        <v>5718.4804166666681</v>
      </c>
      <c r="I214" s="77">
        <v>1034.5387500000004</v>
      </c>
      <c r="J214" s="77">
        <v>130.28433333333325</v>
      </c>
      <c r="K214" s="77">
        <v>13.689750000000002</v>
      </c>
      <c r="L214" s="77">
        <v>0</v>
      </c>
      <c r="M214" s="81">
        <f t="shared" si="178"/>
        <v>6896.9932500000014</v>
      </c>
      <c r="N214" s="77">
        <v>11653.381999999994</v>
      </c>
      <c r="O214" s="77">
        <v>1350.8825416666666</v>
      </c>
      <c r="P214" s="77">
        <v>940.37524999999994</v>
      </c>
      <c r="Q214" s="77">
        <v>199.95000000000002</v>
      </c>
      <c r="R214" s="77">
        <v>0</v>
      </c>
      <c r="S214" s="81">
        <f t="shared" si="186"/>
        <v>14144.58979166666</v>
      </c>
      <c r="T214" s="77">
        <v>0</v>
      </c>
      <c r="U214" s="77">
        <v>189.87416666666664</v>
      </c>
      <c r="V214" s="77">
        <v>252.11608333333336</v>
      </c>
      <c r="W214" s="77">
        <v>798.7649999999993</v>
      </c>
      <c r="X214" s="82">
        <f t="shared" si="161"/>
        <v>1240.7552499999993</v>
      </c>
      <c r="Y214" s="77">
        <v>0</v>
      </c>
      <c r="Z214" s="77">
        <v>415</v>
      </c>
      <c r="AA214" s="77">
        <v>0</v>
      </c>
      <c r="AB214" s="82">
        <f t="shared" si="187"/>
        <v>415</v>
      </c>
      <c r="AC214" s="84">
        <f t="shared" si="157"/>
        <v>1050.8810833333328</v>
      </c>
      <c r="AD214" s="39">
        <v>3000</v>
      </c>
      <c r="AE214" s="40">
        <f t="shared" ref="AE214:AE217" si="205">+N214-AD214</f>
        <v>8653.3819999999942</v>
      </c>
      <c r="AF214" s="1">
        <f t="shared" ref="AF214:AF217" si="206">12*AJ214</f>
        <v>10.8</v>
      </c>
      <c r="AG214" s="1">
        <f t="shared" ref="AG214:AG217" si="207">12*AK214</f>
        <v>18</v>
      </c>
      <c r="AH214" s="41">
        <f t="shared" ref="AH214:AH217" si="208">+(AD214*AF214+AG214*AE214)/SUM(AD214:AE214)</f>
        <v>16.146460829997679</v>
      </c>
      <c r="AJ214">
        <v>0.9</v>
      </c>
      <c r="AK214">
        <v>1.5</v>
      </c>
      <c r="AL214" s="32">
        <f t="shared" ref="AL214:AL217" si="209">+AD214+AE214</f>
        <v>11653.381999999994</v>
      </c>
      <c r="AM214" s="4">
        <f t="shared" ref="AM214:AM217" si="210">+AD214/AL214</f>
        <v>0.25743599583365595</v>
      </c>
      <c r="AN214" s="4">
        <f t="shared" ref="AN214:AN217" si="211">+AE214/AL214</f>
        <v>0.74256400416634405</v>
      </c>
    </row>
    <row r="215" spans="1:40" ht="14.25" hidden="1" customHeight="1" x14ac:dyDescent="0.3">
      <c r="A215" s="84"/>
      <c r="C215" s="1">
        <v>2026</v>
      </c>
      <c r="D215" s="52">
        <f>+'Fisico ASIG'!B215</f>
        <v>46113</v>
      </c>
      <c r="E215" s="1">
        <v>16</v>
      </c>
      <c r="F215" s="1" t="s">
        <v>48</v>
      </c>
      <c r="G215" s="5">
        <v>46121</v>
      </c>
      <c r="H215" s="77">
        <v>5426.5358333333406</v>
      </c>
      <c r="I215" s="77">
        <v>1009.5408333333335</v>
      </c>
      <c r="J215" s="77">
        <v>141.51791666666657</v>
      </c>
      <c r="K215" s="77">
        <v>12.071458333333334</v>
      </c>
      <c r="L215" s="77">
        <v>0</v>
      </c>
      <c r="M215" s="81">
        <f t="shared" si="178"/>
        <v>6589.6660416666737</v>
      </c>
      <c r="N215" s="77">
        <v>11896.747166666662</v>
      </c>
      <c r="O215" s="77">
        <v>1359.7571250000001</v>
      </c>
      <c r="P215" s="77">
        <v>940.45508333333328</v>
      </c>
      <c r="Q215" s="77">
        <v>199.5</v>
      </c>
      <c r="R215" s="77">
        <v>0</v>
      </c>
      <c r="S215" s="81">
        <f t="shared" si="186"/>
        <v>14396.459374999995</v>
      </c>
      <c r="T215" s="77">
        <v>0</v>
      </c>
      <c r="U215" s="77">
        <v>189.0020833333333</v>
      </c>
      <c r="V215" s="77">
        <v>259.72874999999993</v>
      </c>
      <c r="W215" s="77">
        <v>865.76458333333142</v>
      </c>
      <c r="X215" s="82">
        <f t="shared" si="161"/>
        <v>1314.4954166666646</v>
      </c>
      <c r="Y215" s="77">
        <v>0</v>
      </c>
      <c r="Z215" s="77">
        <v>415</v>
      </c>
      <c r="AA215" s="77">
        <v>0</v>
      </c>
      <c r="AB215" s="82">
        <f t="shared" si="187"/>
        <v>415</v>
      </c>
      <c r="AC215" s="84">
        <f t="shared" si="157"/>
        <v>1125.4933333333313</v>
      </c>
      <c r="AD215" s="39">
        <v>3000</v>
      </c>
      <c r="AE215" s="40">
        <f t="shared" si="205"/>
        <v>8896.7471666666625</v>
      </c>
      <c r="AF215" s="1">
        <f t="shared" si="206"/>
        <v>10.8</v>
      </c>
      <c r="AG215" s="1">
        <f t="shared" si="207"/>
        <v>18</v>
      </c>
      <c r="AH215" s="41">
        <f t="shared" si="208"/>
        <v>16.184377654043054</v>
      </c>
      <c r="AJ215">
        <v>0.9</v>
      </c>
      <c r="AK215">
        <v>1.5</v>
      </c>
      <c r="AL215" s="32">
        <f t="shared" si="209"/>
        <v>11896.747166666662</v>
      </c>
      <c r="AM215" s="4">
        <f t="shared" si="210"/>
        <v>0.25216977027179832</v>
      </c>
      <c r="AN215" s="4">
        <f t="shared" si="211"/>
        <v>0.74783022972820168</v>
      </c>
    </row>
    <row r="216" spans="1:40" ht="14.25" hidden="1" customHeight="1" x14ac:dyDescent="0.3">
      <c r="A216" s="84"/>
      <c r="C216" s="1">
        <v>2026</v>
      </c>
      <c r="D216" s="52">
        <f>+'Fisico ASIG'!B216</f>
        <v>46113</v>
      </c>
      <c r="E216" s="1">
        <v>16</v>
      </c>
      <c r="F216" s="1" t="s">
        <v>49</v>
      </c>
      <c r="G216" s="5">
        <v>46122</v>
      </c>
      <c r="H216" s="77">
        <v>4796.497916666659</v>
      </c>
      <c r="I216" s="77">
        <v>944.72541666666632</v>
      </c>
      <c r="J216" s="77">
        <v>153.41408333333302</v>
      </c>
      <c r="K216" s="77">
        <v>12.157145833333335</v>
      </c>
      <c r="L216" s="77">
        <v>0</v>
      </c>
      <c r="M216" s="81">
        <f t="shared" si="178"/>
        <v>5906.794562499992</v>
      </c>
      <c r="N216" s="77">
        <v>11852.717624999997</v>
      </c>
      <c r="O216" s="77">
        <v>1356.9361666666668</v>
      </c>
      <c r="P216" s="77">
        <v>940.27204166666661</v>
      </c>
      <c r="Q216" s="77">
        <v>199.95000000000002</v>
      </c>
      <c r="R216" s="77">
        <v>0</v>
      </c>
      <c r="S216" s="81">
        <f t="shared" si="186"/>
        <v>14349.875833333332</v>
      </c>
      <c r="T216" s="77">
        <v>0</v>
      </c>
      <c r="U216" s="77">
        <v>187.50625000000002</v>
      </c>
      <c r="V216" s="77">
        <v>254.23591666666661</v>
      </c>
      <c r="W216" s="77">
        <v>1400.1362499999984</v>
      </c>
      <c r="X216" s="82">
        <f t="shared" si="161"/>
        <v>1841.8784166666651</v>
      </c>
      <c r="Y216" s="77">
        <v>0</v>
      </c>
      <c r="Z216" s="77">
        <v>415.06958333333336</v>
      </c>
      <c r="AA216" s="77">
        <v>0</v>
      </c>
      <c r="AB216" s="82">
        <f t="shared" si="187"/>
        <v>415.06958333333336</v>
      </c>
      <c r="AC216" s="84">
        <f t="shared" si="157"/>
        <v>1654.372166666665</v>
      </c>
      <c r="AD216" s="39">
        <v>3000</v>
      </c>
      <c r="AE216" s="40">
        <f t="shared" si="205"/>
        <v>8852.7176249999975</v>
      </c>
      <c r="AF216" s="1">
        <f t="shared" si="206"/>
        <v>10.8</v>
      </c>
      <c r="AG216" s="1">
        <f t="shared" si="207"/>
        <v>18</v>
      </c>
      <c r="AH216" s="41">
        <f t="shared" si="208"/>
        <v>16.177633123188489</v>
      </c>
      <c r="AJ216">
        <v>0.9</v>
      </c>
      <c r="AK216">
        <v>1.5</v>
      </c>
      <c r="AL216" s="32">
        <f t="shared" si="209"/>
        <v>11852.717624999997</v>
      </c>
      <c r="AM216" s="4">
        <f t="shared" si="210"/>
        <v>0.25310651066826545</v>
      </c>
      <c r="AN216" s="4">
        <f t="shared" si="211"/>
        <v>0.74689348933173449</v>
      </c>
    </row>
    <row r="217" spans="1:40" ht="14.25" hidden="1" customHeight="1" x14ac:dyDescent="0.3">
      <c r="A217" s="84"/>
      <c r="C217" s="1">
        <v>2026</v>
      </c>
      <c r="D217" s="52">
        <f>+'Fisico ASIG'!B217</f>
        <v>46113</v>
      </c>
      <c r="E217" s="1">
        <v>6</v>
      </c>
      <c r="F217" s="1" t="s">
        <v>43</v>
      </c>
      <c r="G217" s="5">
        <v>46123</v>
      </c>
      <c r="H217" s="77">
        <v>3086.5654166666714</v>
      </c>
      <c r="I217" s="77">
        <v>999.95704166666667</v>
      </c>
      <c r="J217" s="77">
        <v>70.516624999999834</v>
      </c>
      <c r="K217" s="77">
        <v>11.952918750000004</v>
      </c>
      <c r="L217" s="77">
        <v>0</v>
      </c>
      <c r="M217" s="81">
        <f t="shared" si="178"/>
        <v>4168.9920020833379</v>
      </c>
      <c r="N217" s="77">
        <v>10776.768458333327</v>
      </c>
      <c r="O217" s="77">
        <v>1352.0270416666667</v>
      </c>
      <c r="P217" s="77">
        <v>938.08950000000004</v>
      </c>
      <c r="Q217" s="77">
        <v>199.9</v>
      </c>
      <c r="R217" s="77">
        <v>0</v>
      </c>
      <c r="S217" s="81">
        <f t="shared" si="186"/>
        <v>13266.784999999993</v>
      </c>
      <c r="T217" s="77">
        <v>0</v>
      </c>
      <c r="U217" s="77">
        <v>187.83250000000007</v>
      </c>
      <c r="V217" s="77">
        <v>235.58533333333335</v>
      </c>
      <c r="W217" s="77">
        <v>1767.9202916666663</v>
      </c>
      <c r="X217" s="82">
        <f t="shared" si="161"/>
        <v>2191.3381249999998</v>
      </c>
      <c r="Y217" s="77">
        <v>0</v>
      </c>
      <c r="Z217" s="77">
        <v>415</v>
      </c>
      <c r="AA217" s="77">
        <v>0</v>
      </c>
      <c r="AB217" s="82">
        <f t="shared" si="187"/>
        <v>415</v>
      </c>
      <c r="AC217" s="84">
        <f t="shared" ref="AC217:AC280" si="212">+T217+V217+W217</f>
        <v>2003.5056249999998</v>
      </c>
      <c r="AD217" s="39">
        <v>3000</v>
      </c>
      <c r="AE217" s="40">
        <f t="shared" si="205"/>
        <v>7776.7684583333266</v>
      </c>
      <c r="AF217" s="1">
        <f t="shared" si="206"/>
        <v>10.8</v>
      </c>
      <c r="AG217" s="1">
        <f t="shared" si="207"/>
        <v>18</v>
      </c>
      <c r="AH217" s="41">
        <f t="shared" si="208"/>
        <v>15.995688588512133</v>
      </c>
      <c r="AJ217">
        <v>0.9</v>
      </c>
      <c r="AK217">
        <v>1.5</v>
      </c>
      <c r="AL217" s="32">
        <f t="shared" si="209"/>
        <v>10776.768458333327</v>
      </c>
      <c r="AM217" s="4">
        <f t="shared" si="210"/>
        <v>0.27837658492887046</v>
      </c>
      <c r="AN217" s="4">
        <f t="shared" si="211"/>
        <v>0.72162341507112948</v>
      </c>
    </row>
    <row r="218" spans="1:40" ht="14.25" hidden="1" customHeight="1" x14ac:dyDescent="0.3">
      <c r="A218" s="84"/>
      <c r="C218" s="1">
        <v>2026</v>
      </c>
      <c r="D218" s="52">
        <f>+'Fisico ASIG'!B218</f>
        <v>46113</v>
      </c>
      <c r="E218" s="1">
        <v>4</v>
      </c>
      <c r="F218" s="1" t="s">
        <v>44</v>
      </c>
      <c r="G218" s="5">
        <v>46124</v>
      </c>
      <c r="H218" s="77">
        <v>3148.5134583333352</v>
      </c>
      <c r="I218" s="77">
        <v>952.01233333333391</v>
      </c>
      <c r="J218" s="77">
        <v>73.240291666667019</v>
      </c>
      <c r="K218" s="77">
        <v>20.02520625</v>
      </c>
      <c r="L218" s="77">
        <v>0</v>
      </c>
      <c r="M218" s="81">
        <f t="shared" si="178"/>
        <v>4193.791289583336</v>
      </c>
      <c r="N218" s="77">
        <v>10715.268124999995</v>
      </c>
      <c r="O218" s="77">
        <v>1340.3366249999999</v>
      </c>
      <c r="P218" s="77">
        <v>942.0809999999999</v>
      </c>
      <c r="Q218" s="77">
        <v>199.9</v>
      </c>
      <c r="R218" s="77">
        <v>0</v>
      </c>
      <c r="S218" s="81">
        <f t="shared" si="186"/>
        <v>13197.585749999995</v>
      </c>
      <c r="T218" s="77">
        <v>0</v>
      </c>
      <c r="U218" s="77">
        <v>189.03187499999999</v>
      </c>
      <c r="V218" s="77">
        <v>224.5885833333333</v>
      </c>
      <c r="W218" s="77">
        <v>1232.3461249999989</v>
      </c>
      <c r="X218" s="82">
        <f t="shared" ref="X218:X235" si="213">SUM(T218:W218)</f>
        <v>1645.9665833333322</v>
      </c>
      <c r="Y218" s="77">
        <v>0</v>
      </c>
      <c r="Z218" s="77">
        <v>415</v>
      </c>
      <c r="AA218" s="77">
        <v>0</v>
      </c>
      <c r="AB218" s="82">
        <f t="shared" si="187"/>
        <v>415</v>
      </c>
      <c r="AC218" s="84">
        <f t="shared" si="212"/>
        <v>1456.9347083333323</v>
      </c>
      <c r="AD218" s="39">
        <v>3000</v>
      </c>
      <c r="AE218" s="40">
        <f t="shared" ref="AE218:AE225" si="214">+N218-AD218</f>
        <v>7715.2681249999951</v>
      </c>
      <c r="AF218" s="1">
        <f t="shared" ref="AF218:AF225" si="215">12*AJ218</f>
        <v>10.8</v>
      </c>
      <c r="AG218" s="1">
        <f t="shared" ref="AG218:AG225" si="216">12*AK218</f>
        <v>18</v>
      </c>
      <c r="AH218" s="41">
        <f t="shared" ref="AH218:AH225" si="217">+(AD218*AF218+AG218*AE218)/SUM(AD218:AE218)</f>
        <v>15.984184833452312</v>
      </c>
      <c r="AJ218">
        <v>0.9</v>
      </c>
      <c r="AK218">
        <v>1.5</v>
      </c>
      <c r="AL218" s="32">
        <f t="shared" ref="AL218:AL225" si="218">+AD218+AE218</f>
        <v>10715.268124999995</v>
      </c>
      <c r="AM218" s="4">
        <f t="shared" ref="AM218:AM225" si="219">+AD218/AL218</f>
        <v>0.27997432868717892</v>
      </c>
      <c r="AN218" s="4">
        <f t="shared" ref="AN218:AN225" si="220">+AE218/AL218</f>
        <v>0.72002567131282103</v>
      </c>
    </row>
    <row r="219" spans="1:40" ht="14.25" hidden="1" customHeight="1" x14ac:dyDescent="0.3">
      <c r="A219" s="84"/>
      <c r="C219" s="1">
        <v>2026</v>
      </c>
      <c r="D219" s="52">
        <f>+'Fisico ASIG'!B219</f>
        <v>46113</v>
      </c>
      <c r="E219" s="1">
        <v>16</v>
      </c>
      <c r="F219" s="1" t="s">
        <v>45</v>
      </c>
      <c r="G219" s="5">
        <v>46125</v>
      </c>
      <c r="H219" s="77">
        <v>3584.2476666666694</v>
      </c>
      <c r="I219" s="77">
        <v>1070.1498333333336</v>
      </c>
      <c r="J219" s="77">
        <v>66.3041249999998</v>
      </c>
      <c r="K219" s="77">
        <v>29.145172916666667</v>
      </c>
      <c r="L219" s="77">
        <v>0</v>
      </c>
      <c r="M219" s="81">
        <f t="shared" si="178"/>
        <v>4749.8467979166689</v>
      </c>
      <c r="N219" s="77">
        <v>10867.560083333328</v>
      </c>
      <c r="O219" s="77">
        <v>1336.1337916666666</v>
      </c>
      <c r="P219" s="77">
        <v>942.91166666666663</v>
      </c>
      <c r="Q219" s="77">
        <v>190.96822916666667</v>
      </c>
      <c r="R219" s="77">
        <v>0</v>
      </c>
      <c r="S219" s="81">
        <f t="shared" si="186"/>
        <v>13337.573770833329</v>
      </c>
      <c r="T219" s="77">
        <v>0</v>
      </c>
      <c r="U219" s="77">
        <v>190.37125000000003</v>
      </c>
      <c r="V219" s="77">
        <v>210.45204166666664</v>
      </c>
      <c r="W219" s="77">
        <v>1318.8564583333334</v>
      </c>
      <c r="X219" s="82">
        <f t="shared" si="213"/>
        <v>1719.6797500000002</v>
      </c>
      <c r="Y219" s="77">
        <v>0</v>
      </c>
      <c r="Z219" s="77">
        <v>415</v>
      </c>
      <c r="AA219" s="77">
        <v>0</v>
      </c>
      <c r="AB219" s="82">
        <f t="shared" si="187"/>
        <v>415</v>
      </c>
      <c r="AC219" s="84">
        <f t="shared" si="212"/>
        <v>1529.3085000000001</v>
      </c>
      <c r="AD219" s="39">
        <v>3000</v>
      </c>
      <c r="AE219" s="40">
        <f t="shared" si="214"/>
        <v>7867.5600833333283</v>
      </c>
      <c r="AF219" s="1">
        <f t="shared" si="215"/>
        <v>10.8</v>
      </c>
      <c r="AG219" s="1">
        <f t="shared" si="216"/>
        <v>18</v>
      </c>
      <c r="AH219" s="41">
        <f t="shared" si="217"/>
        <v>16.012433348942224</v>
      </c>
      <c r="AJ219">
        <v>0.9</v>
      </c>
      <c r="AK219">
        <v>1.5</v>
      </c>
      <c r="AL219" s="32">
        <f t="shared" si="218"/>
        <v>10867.560083333328</v>
      </c>
      <c r="AM219" s="4">
        <f t="shared" si="219"/>
        <v>0.27605092375802459</v>
      </c>
      <c r="AN219" s="4">
        <f t="shared" si="220"/>
        <v>0.72394907624197535</v>
      </c>
    </row>
    <row r="220" spans="1:40" ht="14.25" hidden="1" customHeight="1" x14ac:dyDescent="0.3">
      <c r="A220" s="84"/>
      <c r="C220" s="1">
        <v>2026</v>
      </c>
      <c r="D220" s="52">
        <f>+'Fisico ASIG'!B220</f>
        <v>46113</v>
      </c>
      <c r="E220" s="1">
        <v>16</v>
      </c>
      <c r="F220" s="1" t="s">
        <v>46</v>
      </c>
      <c r="G220" s="5">
        <v>46126</v>
      </c>
      <c r="H220" s="77">
        <v>3984.8118749999999</v>
      </c>
      <c r="I220" s="77">
        <v>1062.6291666666668</v>
      </c>
      <c r="J220" s="77">
        <v>70.219749999999777</v>
      </c>
      <c r="K220" s="77">
        <v>18.892010416666668</v>
      </c>
      <c r="L220" s="77">
        <v>0</v>
      </c>
      <c r="M220" s="81">
        <f t="shared" si="178"/>
        <v>5136.5528020833335</v>
      </c>
      <c r="N220" s="77">
        <v>11043.420791666658</v>
      </c>
      <c r="O220" s="77">
        <v>1400.7189583333334</v>
      </c>
      <c r="P220" s="77">
        <v>942.96970833333319</v>
      </c>
      <c r="Q220" s="77">
        <v>194.45000000000002</v>
      </c>
      <c r="R220" s="77">
        <v>0</v>
      </c>
      <c r="S220" s="81">
        <f t="shared" si="186"/>
        <v>13581.559458333326</v>
      </c>
      <c r="T220" s="77">
        <v>0</v>
      </c>
      <c r="U220" s="77">
        <v>189.06354166666668</v>
      </c>
      <c r="V220" s="77">
        <v>213.49854166666668</v>
      </c>
      <c r="W220" s="77">
        <v>1436.272833333335</v>
      </c>
      <c r="X220" s="82">
        <f t="shared" si="213"/>
        <v>1838.8349166666685</v>
      </c>
      <c r="Y220" s="77">
        <v>0</v>
      </c>
      <c r="Z220" s="77">
        <v>415</v>
      </c>
      <c r="AA220" s="77">
        <v>0</v>
      </c>
      <c r="AB220" s="82">
        <f t="shared" si="187"/>
        <v>415</v>
      </c>
      <c r="AC220" s="84">
        <f t="shared" si="212"/>
        <v>1649.7713750000016</v>
      </c>
      <c r="AD220" s="39">
        <v>3000</v>
      </c>
      <c r="AE220" s="40">
        <f t="shared" si="214"/>
        <v>8043.4207916666583</v>
      </c>
      <c r="AF220" s="1">
        <f t="shared" si="215"/>
        <v>10.8</v>
      </c>
      <c r="AG220" s="1">
        <f t="shared" si="216"/>
        <v>18</v>
      </c>
      <c r="AH220" s="41">
        <f t="shared" si="217"/>
        <v>16.044084309791103</v>
      </c>
      <c r="AJ220">
        <v>0.9</v>
      </c>
      <c r="AK220">
        <v>1.5</v>
      </c>
      <c r="AL220" s="32">
        <f t="shared" si="218"/>
        <v>11043.420791666658</v>
      </c>
      <c r="AM220" s="4">
        <f t="shared" si="219"/>
        <v>0.27165495697345821</v>
      </c>
      <c r="AN220" s="4">
        <f t="shared" si="220"/>
        <v>0.72834504302654179</v>
      </c>
    </row>
    <row r="221" spans="1:40" ht="14.25" hidden="1" customHeight="1" x14ac:dyDescent="0.3">
      <c r="A221" s="84"/>
      <c r="C221" s="1">
        <v>2026</v>
      </c>
      <c r="D221" s="52">
        <f>+'Fisico ASIG'!B221</f>
        <v>46113</v>
      </c>
      <c r="E221" s="1">
        <v>16</v>
      </c>
      <c r="F221" s="1" t="s">
        <v>47</v>
      </c>
      <c r="G221" s="5">
        <v>46127</v>
      </c>
      <c r="H221" s="77">
        <v>4738.991666666675</v>
      </c>
      <c r="I221" s="77">
        <v>1424.9361249999995</v>
      </c>
      <c r="J221" s="77">
        <v>197.50695833333313</v>
      </c>
      <c r="K221" s="77">
        <v>26.745925000000007</v>
      </c>
      <c r="L221" s="77">
        <v>0</v>
      </c>
      <c r="M221" s="81">
        <f t="shared" si="178"/>
        <v>6388.1806750000078</v>
      </c>
      <c r="N221" s="77">
        <v>11029.569166666663</v>
      </c>
      <c r="O221" s="77">
        <v>1482.2977916666666</v>
      </c>
      <c r="P221" s="77">
        <v>942.83916666666664</v>
      </c>
      <c r="Q221" s="77">
        <v>199.65</v>
      </c>
      <c r="R221" s="77">
        <v>0</v>
      </c>
      <c r="S221" s="81">
        <f t="shared" si="186"/>
        <v>13654.356124999995</v>
      </c>
      <c r="T221" s="77">
        <v>0</v>
      </c>
      <c r="U221" s="77">
        <v>190.68087500000001</v>
      </c>
      <c r="V221" s="77">
        <v>232.61137500000004</v>
      </c>
      <c r="W221" s="77">
        <v>724.1649583333342</v>
      </c>
      <c r="X221" s="82">
        <f t="shared" si="213"/>
        <v>1147.4572083333342</v>
      </c>
      <c r="Y221" s="77">
        <v>0</v>
      </c>
      <c r="Z221" s="77">
        <v>415</v>
      </c>
      <c r="AA221" s="77">
        <v>0</v>
      </c>
      <c r="AB221" s="82">
        <f t="shared" si="187"/>
        <v>415</v>
      </c>
      <c r="AC221" s="84">
        <f t="shared" si="212"/>
        <v>956.77633333333426</v>
      </c>
      <c r="AD221" s="39">
        <v>3000</v>
      </c>
      <c r="AE221" s="40">
        <f t="shared" si="214"/>
        <v>8029.5691666666626</v>
      </c>
      <c r="AF221" s="1">
        <f t="shared" si="215"/>
        <v>10.8</v>
      </c>
      <c r="AG221" s="1">
        <f t="shared" si="216"/>
        <v>18</v>
      </c>
      <c r="AH221" s="41">
        <f t="shared" si="217"/>
        <v>16.041627948145148</v>
      </c>
      <c r="AJ221">
        <v>0.9</v>
      </c>
      <c r="AK221">
        <v>1.5</v>
      </c>
      <c r="AL221" s="32">
        <f t="shared" si="218"/>
        <v>11029.569166666663</v>
      </c>
      <c r="AM221" s="4">
        <f t="shared" si="219"/>
        <v>0.27199611831317388</v>
      </c>
      <c r="AN221" s="4">
        <f t="shared" si="220"/>
        <v>0.72800388168682617</v>
      </c>
    </row>
    <row r="222" spans="1:40" ht="14.25" hidden="1" customHeight="1" x14ac:dyDescent="0.3">
      <c r="A222" s="84"/>
      <c r="C222" s="1">
        <v>2026</v>
      </c>
      <c r="D222" s="52">
        <f>+'Fisico ASIG'!B222</f>
        <v>46113</v>
      </c>
      <c r="E222" s="1">
        <v>16</v>
      </c>
      <c r="F222" s="1" t="s">
        <v>48</v>
      </c>
      <c r="G222" s="5">
        <v>46128</v>
      </c>
      <c r="H222" s="77">
        <v>4848.7845416666687</v>
      </c>
      <c r="I222" s="77">
        <v>1407.9546250000003</v>
      </c>
      <c r="J222" s="77">
        <v>206.00745833333298</v>
      </c>
      <c r="K222" s="77">
        <v>26.37749791666667</v>
      </c>
      <c r="L222" s="77">
        <v>0</v>
      </c>
      <c r="M222" s="81">
        <f t="shared" si="178"/>
        <v>6489.1241229166681</v>
      </c>
      <c r="N222" s="77">
        <v>11021.811083333327</v>
      </c>
      <c r="O222" s="77">
        <v>1467.8113333333333</v>
      </c>
      <c r="P222" s="77">
        <v>940.01479166666661</v>
      </c>
      <c r="Q222" s="77">
        <v>199.65</v>
      </c>
      <c r="R222" s="77">
        <v>0</v>
      </c>
      <c r="S222" s="81">
        <f t="shared" si="186"/>
        <v>13629.287208333326</v>
      </c>
      <c r="T222" s="77">
        <v>0</v>
      </c>
      <c r="U222" s="77">
        <v>189.35408333333336</v>
      </c>
      <c r="V222" s="77">
        <v>252.12620833333335</v>
      </c>
      <c r="W222" s="77">
        <v>781.81983333333312</v>
      </c>
      <c r="X222" s="82">
        <f t="shared" si="213"/>
        <v>1223.3001249999998</v>
      </c>
      <c r="Y222" s="77">
        <v>0</v>
      </c>
      <c r="Z222" s="77">
        <v>415</v>
      </c>
      <c r="AA222" s="77">
        <v>0</v>
      </c>
      <c r="AB222" s="82">
        <f t="shared" si="187"/>
        <v>415</v>
      </c>
      <c r="AC222" s="84">
        <f t="shared" si="212"/>
        <v>1033.9460416666666</v>
      </c>
      <c r="AD222" s="39">
        <v>3000</v>
      </c>
      <c r="AE222" s="40">
        <f t="shared" si="214"/>
        <v>8021.8110833333267</v>
      </c>
      <c r="AF222" s="1">
        <f t="shared" si="215"/>
        <v>10.8</v>
      </c>
      <c r="AG222" s="1">
        <f t="shared" si="216"/>
        <v>18</v>
      </c>
      <c r="AH222" s="41">
        <f t="shared" si="217"/>
        <v>16.040249480172772</v>
      </c>
      <c r="AJ222">
        <v>0.9</v>
      </c>
      <c r="AK222">
        <v>1.5</v>
      </c>
      <c r="AL222" s="32">
        <f t="shared" si="218"/>
        <v>11021.811083333327</v>
      </c>
      <c r="AM222" s="4">
        <f t="shared" si="219"/>
        <v>0.27218757219822626</v>
      </c>
      <c r="AN222" s="4">
        <f t="shared" si="220"/>
        <v>0.7278124278017738</v>
      </c>
    </row>
    <row r="223" spans="1:40" ht="14.25" hidden="1" customHeight="1" x14ac:dyDescent="0.3">
      <c r="A223" s="84"/>
      <c r="C223" s="1">
        <v>2026</v>
      </c>
      <c r="D223" s="52">
        <f>+'Fisico ASIG'!B223</f>
        <v>46113</v>
      </c>
      <c r="E223" s="1">
        <v>16</v>
      </c>
      <c r="F223" s="1" t="s">
        <v>49</v>
      </c>
      <c r="G223" s="5">
        <v>46129</v>
      </c>
      <c r="H223" s="77">
        <v>4469.6445000000031</v>
      </c>
      <c r="I223" s="77">
        <v>1381.1636250000001</v>
      </c>
      <c r="J223" s="77">
        <v>164.31912500000001</v>
      </c>
      <c r="K223" s="77">
        <v>25.771312499999993</v>
      </c>
      <c r="L223" s="77">
        <v>0</v>
      </c>
      <c r="M223" s="81">
        <f t="shared" si="178"/>
        <v>6040.8985625000032</v>
      </c>
      <c r="N223" s="77">
        <v>10621.933624999992</v>
      </c>
      <c r="O223" s="77">
        <v>1471.1241666666667</v>
      </c>
      <c r="P223" s="77">
        <v>937.94654166666658</v>
      </c>
      <c r="Q223" s="77">
        <v>199.5</v>
      </c>
      <c r="R223" s="77">
        <v>0</v>
      </c>
      <c r="S223" s="81">
        <f t="shared" si="186"/>
        <v>13230.504333333325</v>
      </c>
      <c r="T223" s="77">
        <v>0</v>
      </c>
      <c r="U223" s="77">
        <v>188.75424999999998</v>
      </c>
      <c r="V223" s="77">
        <v>247.94466666666668</v>
      </c>
      <c r="W223" s="77">
        <v>1011.6555833333333</v>
      </c>
      <c r="X223" s="82">
        <f t="shared" si="213"/>
        <v>1448.3544999999999</v>
      </c>
      <c r="Y223" s="77">
        <v>0</v>
      </c>
      <c r="Z223" s="77">
        <v>415</v>
      </c>
      <c r="AA223" s="77">
        <v>0</v>
      </c>
      <c r="AB223" s="82">
        <f t="shared" si="187"/>
        <v>415</v>
      </c>
      <c r="AC223" s="84">
        <f t="shared" si="212"/>
        <v>1259.60025</v>
      </c>
      <c r="AD223" s="39">
        <v>3000</v>
      </c>
      <c r="AE223" s="40">
        <f t="shared" si="214"/>
        <v>7621.9336249999924</v>
      </c>
      <c r="AF223" s="1">
        <f t="shared" si="215"/>
        <v>10.8</v>
      </c>
      <c r="AG223" s="1">
        <f t="shared" si="216"/>
        <v>18</v>
      </c>
      <c r="AH223" s="41">
        <f t="shared" si="217"/>
        <v>15.96647194733341</v>
      </c>
      <c r="AJ223">
        <v>0.9</v>
      </c>
      <c r="AK223">
        <v>1.5</v>
      </c>
      <c r="AL223" s="32">
        <f t="shared" si="218"/>
        <v>10621.933624999992</v>
      </c>
      <c r="AM223" s="4">
        <f t="shared" si="219"/>
        <v>0.28243445175924853</v>
      </c>
      <c r="AN223" s="4">
        <f t="shared" si="220"/>
        <v>0.71756554824075147</v>
      </c>
    </row>
    <row r="224" spans="1:40" ht="14.25" hidden="1" customHeight="1" x14ac:dyDescent="0.3">
      <c r="A224" s="84"/>
      <c r="C224" s="1">
        <v>2026</v>
      </c>
      <c r="D224" s="52">
        <f>+'Fisico ASIG'!B224</f>
        <v>46113</v>
      </c>
      <c r="E224" s="1">
        <v>6</v>
      </c>
      <c r="F224" s="1" t="s">
        <v>43</v>
      </c>
      <c r="G224" s="5">
        <v>46130</v>
      </c>
      <c r="H224" s="77">
        <v>4614.2220833333304</v>
      </c>
      <c r="I224" s="77">
        <v>1252.8234999999997</v>
      </c>
      <c r="J224" s="77">
        <v>68.843041666666551</v>
      </c>
      <c r="K224" s="77">
        <v>25.100129166666669</v>
      </c>
      <c r="L224" s="77">
        <v>0</v>
      </c>
      <c r="M224" s="81">
        <f t="shared" si="178"/>
        <v>5960.988754166664</v>
      </c>
      <c r="N224" s="77">
        <v>10624.831333333319</v>
      </c>
      <c r="O224" s="77">
        <v>1459.7753750000002</v>
      </c>
      <c r="P224" s="77">
        <v>938.07333333333327</v>
      </c>
      <c r="Q224" s="77">
        <v>199.5</v>
      </c>
      <c r="R224" s="77">
        <v>0</v>
      </c>
      <c r="S224" s="81">
        <f t="shared" si="186"/>
        <v>13222.180041666652</v>
      </c>
      <c r="T224" s="77">
        <v>0</v>
      </c>
      <c r="U224" s="77">
        <v>189.23445833333335</v>
      </c>
      <c r="V224" s="77">
        <v>205.80270833333336</v>
      </c>
      <c r="W224" s="77">
        <v>1150.973958333333</v>
      </c>
      <c r="X224" s="82">
        <f t="shared" si="213"/>
        <v>1546.0111249999998</v>
      </c>
      <c r="Y224" s="77">
        <v>0</v>
      </c>
      <c r="Z224" s="77">
        <v>415</v>
      </c>
      <c r="AA224" s="77">
        <v>0</v>
      </c>
      <c r="AB224" s="82">
        <f t="shared" si="187"/>
        <v>415</v>
      </c>
      <c r="AC224" s="84">
        <f t="shared" si="212"/>
        <v>1356.7766666666664</v>
      </c>
      <c r="AD224" s="39">
        <v>3000</v>
      </c>
      <c r="AE224" s="40">
        <f t="shared" si="214"/>
        <v>7624.831333333319</v>
      </c>
      <c r="AF224" s="1">
        <f t="shared" si="215"/>
        <v>10.8</v>
      </c>
      <c r="AG224" s="1">
        <f t="shared" si="216"/>
        <v>18</v>
      </c>
      <c r="AH224" s="41">
        <f t="shared" si="217"/>
        <v>15.967026551072463</v>
      </c>
      <c r="AJ224">
        <v>0.9</v>
      </c>
      <c r="AK224">
        <v>1.5</v>
      </c>
      <c r="AL224" s="32">
        <f t="shared" si="218"/>
        <v>10624.831333333319</v>
      </c>
      <c r="AM224" s="4">
        <f t="shared" si="219"/>
        <v>0.28235742346215792</v>
      </c>
      <c r="AN224" s="4">
        <f t="shared" si="220"/>
        <v>0.71764257653784203</v>
      </c>
    </row>
    <row r="225" spans="1:40" ht="14.25" hidden="1" customHeight="1" x14ac:dyDescent="0.3">
      <c r="A225" s="84"/>
      <c r="C225" s="1">
        <v>2026</v>
      </c>
      <c r="D225" s="52">
        <f>+'Fisico ASIG'!B225</f>
        <v>46113</v>
      </c>
      <c r="E225" s="1">
        <v>4</v>
      </c>
      <c r="F225" s="1" t="s">
        <v>44</v>
      </c>
      <c r="G225" s="5">
        <v>46131</v>
      </c>
      <c r="H225" s="77">
        <v>4451.6932500000048</v>
      </c>
      <c r="I225" s="77">
        <v>989.88937500000009</v>
      </c>
      <c r="J225" s="77">
        <v>61.257916666667001</v>
      </c>
      <c r="K225" s="77">
        <v>10.055454166666665</v>
      </c>
      <c r="L225" s="77">
        <v>0</v>
      </c>
      <c r="M225" s="81">
        <f t="shared" si="178"/>
        <v>5512.8959958333389</v>
      </c>
      <c r="N225" s="77">
        <v>11048.201624999991</v>
      </c>
      <c r="O225" s="77">
        <v>1428.7898333333333</v>
      </c>
      <c r="P225" s="77">
        <v>939.91162499999996</v>
      </c>
      <c r="Q225" s="77">
        <v>199.35000000000002</v>
      </c>
      <c r="R225" s="77">
        <v>0</v>
      </c>
      <c r="S225" s="81">
        <f t="shared" si="186"/>
        <v>13616.253083333324</v>
      </c>
      <c r="T225" s="77">
        <v>0</v>
      </c>
      <c r="U225" s="77">
        <v>189.60475</v>
      </c>
      <c r="V225" s="77">
        <v>199.21783333333335</v>
      </c>
      <c r="W225" s="77">
        <v>1122.6085833333339</v>
      </c>
      <c r="X225" s="82">
        <f t="shared" si="213"/>
        <v>1511.4311666666672</v>
      </c>
      <c r="Y225" s="77">
        <v>0</v>
      </c>
      <c r="Z225" s="77">
        <v>415</v>
      </c>
      <c r="AA225" s="77">
        <v>0</v>
      </c>
      <c r="AB225" s="82">
        <f t="shared" si="187"/>
        <v>415</v>
      </c>
      <c r="AC225" s="84">
        <f t="shared" si="212"/>
        <v>1321.8264166666672</v>
      </c>
      <c r="AD225" s="39">
        <v>3000</v>
      </c>
      <c r="AE225" s="40">
        <f t="shared" si="214"/>
        <v>8048.2016249999906</v>
      </c>
      <c r="AF225" s="1">
        <f t="shared" si="215"/>
        <v>10.8</v>
      </c>
      <c r="AG225" s="1">
        <f t="shared" si="216"/>
        <v>18</v>
      </c>
      <c r="AH225" s="41">
        <f t="shared" si="217"/>
        <v>16.044930683458627</v>
      </c>
      <c r="AJ225">
        <v>0.9</v>
      </c>
      <c r="AK225">
        <v>1.5</v>
      </c>
      <c r="AL225" s="32">
        <f t="shared" si="218"/>
        <v>11048.201624999991</v>
      </c>
      <c r="AM225" s="4">
        <f t="shared" si="219"/>
        <v>0.27153740507519047</v>
      </c>
      <c r="AN225" s="4">
        <f t="shared" si="220"/>
        <v>0.72846259492480958</v>
      </c>
    </row>
    <row r="226" spans="1:40" ht="14.25" hidden="1" customHeight="1" x14ac:dyDescent="0.3">
      <c r="A226" s="84"/>
      <c r="C226" s="1">
        <v>2026</v>
      </c>
      <c r="D226" s="52">
        <f>+'Fisico ASIG'!B226</f>
        <v>46113</v>
      </c>
      <c r="E226" s="1">
        <v>16</v>
      </c>
      <c r="F226" s="1" t="str">
        <f>+Precios!C226</f>
        <v>lun</v>
      </c>
      <c r="G226" s="5">
        <f>+Precios!D226</f>
        <v>46132</v>
      </c>
      <c r="H226" s="77">
        <v>4991.3350416666672</v>
      </c>
      <c r="I226" s="77">
        <v>1047.9368750000001</v>
      </c>
      <c r="J226" s="77">
        <v>110.7253750000001</v>
      </c>
      <c r="K226" s="77">
        <v>21.167425000000005</v>
      </c>
      <c r="L226" s="77">
        <v>0</v>
      </c>
      <c r="M226" s="81">
        <f t="shared" si="178"/>
        <v>6171.1647166666671</v>
      </c>
      <c r="N226" s="77">
        <v>10994.774624999995</v>
      </c>
      <c r="O226" s="77">
        <v>1341.0469999999998</v>
      </c>
      <c r="P226" s="77">
        <v>881.8131249999999</v>
      </c>
      <c r="Q226" s="77">
        <v>193.75625000000002</v>
      </c>
      <c r="R226" s="77">
        <v>0</v>
      </c>
      <c r="S226" s="81">
        <f t="shared" si="186"/>
        <v>13411.390999999996</v>
      </c>
      <c r="T226" s="77">
        <v>0</v>
      </c>
      <c r="U226" s="77">
        <v>192.91416666666669</v>
      </c>
      <c r="V226" s="77">
        <v>180.09658333333334</v>
      </c>
      <c r="W226" s="77">
        <v>778.00083333333316</v>
      </c>
      <c r="X226" s="82">
        <f t="shared" si="213"/>
        <v>1151.0115833333332</v>
      </c>
      <c r="Y226" s="77">
        <v>0</v>
      </c>
      <c r="Z226" s="77">
        <v>415</v>
      </c>
      <c r="AA226" s="77">
        <v>0</v>
      </c>
      <c r="AB226" s="82">
        <f t="shared" si="187"/>
        <v>415</v>
      </c>
      <c r="AC226" s="84">
        <f t="shared" si="212"/>
        <v>958.0974166666665</v>
      </c>
      <c r="AD226" s="39">
        <v>3000</v>
      </c>
      <c r="AE226" s="40">
        <f t="shared" ref="AE226:AE231" si="221">+N226-AD226</f>
        <v>7994.7746249999946</v>
      </c>
      <c r="AF226" s="1">
        <f t="shared" ref="AF226:AF231" si="222">12*AJ226</f>
        <v>10.8</v>
      </c>
      <c r="AG226" s="1">
        <f t="shared" ref="AG226:AG231" si="223">12*AK226</f>
        <v>18</v>
      </c>
      <c r="AH226" s="41">
        <f t="shared" ref="AH226:AH231" si="224">+(AD226*AF226+AG226*AE226)/SUM(AD226:AE226)</f>
        <v>16.035430398829114</v>
      </c>
      <c r="AJ226">
        <v>0.9</v>
      </c>
      <c r="AK226">
        <v>1.5</v>
      </c>
      <c r="AL226" s="32">
        <f t="shared" ref="AL226:AL231" si="225">+AD226+AE226</f>
        <v>10994.774624999995</v>
      </c>
      <c r="AM226" s="4">
        <f t="shared" ref="AM226:AM231" si="226">+AD226/AL226</f>
        <v>0.27285688905151173</v>
      </c>
      <c r="AN226" s="4">
        <f t="shared" ref="AN226:AN231" si="227">+AE226/AL226</f>
        <v>0.72714311094848827</v>
      </c>
    </row>
    <row r="227" spans="1:40" ht="14.25" hidden="1" customHeight="1" x14ac:dyDescent="0.3">
      <c r="A227" s="84"/>
      <c r="C227" s="1">
        <v>2026</v>
      </c>
      <c r="D227" s="52">
        <f>+'Fisico ASIG'!B227</f>
        <v>46113</v>
      </c>
      <c r="E227" s="1">
        <v>16</v>
      </c>
      <c r="F227" s="1" t="str">
        <f>+Precios!C227</f>
        <v>mar</v>
      </c>
      <c r="G227" s="5">
        <f>+Precios!D227</f>
        <v>46133</v>
      </c>
      <c r="H227" s="77">
        <v>5437.4477916666638</v>
      </c>
      <c r="I227" s="77">
        <v>948.73937500000011</v>
      </c>
      <c r="J227" s="77">
        <v>51.294249999999892</v>
      </c>
      <c r="K227" s="77">
        <v>35.115614583333333</v>
      </c>
      <c r="L227" s="77">
        <v>0</v>
      </c>
      <c r="M227" s="81">
        <f t="shared" si="178"/>
        <v>6472.5970312499967</v>
      </c>
      <c r="N227" s="77">
        <v>11293.321499999991</v>
      </c>
      <c r="O227" s="77">
        <v>1339.2344166666664</v>
      </c>
      <c r="P227" s="77">
        <v>850.92729166666663</v>
      </c>
      <c r="Q227" s="77">
        <v>183.45764583333334</v>
      </c>
      <c r="R227" s="77">
        <v>0</v>
      </c>
      <c r="S227" s="81">
        <f t="shared" si="186"/>
        <v>13666.940854166658</v>
      </c>
      <c r="T227" s="77">
        <v>0</v>
      </c>
      <c r="U227" s="77">
        <v>188.42258333333336</v>
      </c>
      <c r="V227" s="77">
        <v>187.21120833333339</v>
      </c>
      <c r="W227" s="77">
        <v>989.34675000000072</v>
      </c>
      <c r="X227" s="82">
        <f t="shared" si="213"/>
        <v>1364.9805416666675</v>
      </c>
      <c r="Y227" s="77">
        <v>0</v>
      </c>
      <c r="Z227" s="77">
        <v>415</v>
      </c>
      <c r="AA227" s="77">
        <v>0</v>
      </c>
      <c r="AB227" s="82">
        <f t="shared" si="187"/>
        <v>415</v>
      </c>
      <c r="AC227" s="84">
        <f t="shared" si="212"/>
        <v>1176.5579583333342</v>
      </c>
      <c r="AD227" s="39">
        <v>3000</v>
      </c>
      <c r="AE227" s="40">
        <f t="shared" si="221"/>
        <v>8293.3214999999909</v>
      </c>
      <c r="AF227" s="1">
        <f t="shared" si="222"/>
        <v>10.8</v>
      </c>
      <c r="AG227" s="1">
        <f t="shared" si="223"/>
        <v>18</v>
      </c>
      <c r="AH227" s="41">
        <f t="shared" si="224"/>
        <v>16.087365174187237</v>
      </c>
      <c r="AJ227">
        <v>0.9</v>
      </c>
      <c r="AK227">
        <v>1.5</v>
      </c>
      <c r="AL227" s="32">
        <f t="shared" si="225"/>
        <v>11293.321499999991</v>
      </c>
      <c r="AM227" s="4">
        <f t="shared" si="226"/>
        <v>0.26564372580732803</v>
      </c>
      <c r="AN227" s="4">
        <f t="shared" si="227"/>
        <v>0.73435627419267202</v>
      </c>
    </row>
    <row r="228" spans="1:40" ht="14.25" hidden="1" customHeight="1" x14ac:dyDescent="0.3">
      <c r="A228" s="84"/>
      <c r="C228" s="1">
        <v>2026</v>
      </c>
      <c r="D228" s="52">
        <f>+'Fisico ASIG'!B228</f>
        <v>46113</v>
      </c>
      <c r="E228" s="1">
        <v>16</v>
      </c>
      <c r="F228" s="1" t="str">
        <f>+Precios!C228</f>
        <v>mié</v>
      </c>
      <c r="G228" s="5">
        <f>+Precios!D228</f>
        <v>46134</v>
      </c>
      <c r="H228" s="77">
        <v>4948.8705000000018</v>
      </c>
      <c r="I228" s="77">
        <v>985.97004166666704</v>
      </c>
      <c r="J228" s="77">
        <v>60.641166666666919</v>
      </c>
      <c r="K228" s="77">
        <v>19.458174999999997</v>
      </c>
      <c r="L228" s="77">
        <v>0</v>
      </c>
      <c r="M228" s="81">
        <f t="shared" si="178"/>
        <v>6014.9398833333362</v>
      </c>
      <c r="N228" s="77">
        <v>11820.236916666672</v>
      </c>
      <c r="O228" s="77">
        <v>1381.4738333333332</v>
      </c>
      <c r="P228" s="77">
        <v>852.88474999999994</v>
      </c>
      <c r="Q228" s="77">
        <v>190.4</v>
      </c>
      <c r="R228" s="77">
        <v>0</v>
      </c>
      <c r="S228" s="81">
        <f t="shared" si="186"/>
        <v>14244.995500000005</v>
      </c>
      <c r="T228" s="77">
        <v>0</v>
      </c>
      <c r="U228" s="77">
        <v>189.80983333333339</v>
      </c>
      <c r="V228" s="77">
        <v>198.43733333333333</v>
      </c>
      <c r="W228" s="77">
        <v>1419.2787500000015</v>
      </c>
      <c r="X228" s="82">
        <f t="shared" si="213"/>
        <v>1807.5259166666683</v>
      </c>
      <c r="Y228" s="77">
        <v>0</v>
      </c>
      <c r="Z228" s="77">
        <v>415</v>
      </c>
      <c r="AA228" s="77">
        <v>0</v>
      </c>
      <c r="AB228" s="82">
        <f t="shared" si="187"/>
        <v>415</v>
      </c>
      <c r="AC228" s="84">
        <f t="shared" si="212"/>
        <v>1617.7160833333348</v>
      </c>
      <c r="AD228" s="39">
        <v>3000</v>
      </c>
      <c r="AE228" s="40">
        <f t="shared" si="221"/>
        <v>8820.2369166666722</v>
      </c>
      <c r="AF228" s="1">
        <f t="shared" si="222"/>
        <v>10.8</v>
      </c>
      <c r="AG228" s="1">
        <f t="shared" si="223"/>
        <v>18</v>
      </c>
      <c r="AH228" s="41">
        <f t="shared" si="224"/>
        <v>16.172625459854892</v>
      </c>
      <c r="AJ228">
        <v>0.9</v>
      </c>
      <c r="AK228">
        <v>1.5</v>
      </c>
      <c r="AL228" s="32">
        <f t="shared" si="225"/>
        <v>11820.236916666672</v>
      </c>
      <c r="AM228" s="4">
        <f t="shared" si="226"/>
        <v>0.25380201946459846</v>
      </c>
      <c r="AN228" s="4">
        <f t="shared" si="227"/>
        <v>0.74619798053540154</v>
      </c>
    </row>
    <row r="229" spans="1:40" ht="14.25" hidden="1" customHeight="1" x14ac:dyDescent="0.3">
      <c r="A229" s="84"/>
      <c r="C229" s="1">
        <v>2026</v>
      </c>
      <c r="D229" s="52">
        <f>+'Fisico ASIG'!B229</f>
        <v>46113</v>
      </c>
      <c r="E229" s="1">
        <v>16</v>
      </c>
      <c r="F229" s="1" t="str">
        <f>+Precios!C229</f>
        <v>jue</v>
      </c>
      <c r="G229" s="5">
        <f>+Precios!D229</f>
        <v>46135</v>
      </c>
      <c r="H229" s="77">
        <v>5560.5644166666725</v>
      </c>
      <c r="I229" s="77">
        <v>1010.2081666666667</v>
      </c>
      <c r="J229" s="77">
        <v>55.487874999999775</v>
      </c>
      <c r="K229" s="77">
        <v>16.950568750000002</v>
      </c>
      <c r="L229" s="77">
        <v>0</v>
      </c>
      <c r="M229" s="81">
        <f t="shared" si="178"/>
        <v>6643.2110270833382</v>
      </c>
      <c r="N229" s="77">
        <v>12007.569291666663</v>
      </c>
      <c r="O229" s="77">
        <v>1372.5557916666664</v>
      </c>
      <c r="P229" s="77">
        <v>852.8757916666666</v>
      </c>
      <c r="Q229" s="77">
        <v>190.4</v>
      </c>
      <c r="R229" s="77">
        <v>0</v>
      </c>
      <c r="S229" s="81">
        <f t="shared" si="186"/>
        <v>14423.400874999996</v>
      </c>
      <c r="T229" s="77">
        <v>0</v>
      </c>
      <c r="U229" s="77">
        <v>189.14220833333331</v>
      </c>
      <c r="V229" s="77">
        <v>194.14345833333337</v>
      </c>
      <c r="W229" s="77">
        <v>1649.9782916666675</v>
      </c>
      <c r="X229" s="82">
        <f t="shared" si="213"/>
        <v>2033.2639583333341</v>
      </c>
      <c r="Y229" s="77">
        <v>0</v>
      </c>
      <c r="Z229" s="77">
        <v>415</v>
      </c>
      <c r="AA229" s="77">
        <v>0</v>
      </c>
      <c r="AB229" s="82">
        <f t="shared" si="187"/>
        <v>415</v>
      </c>
      <c r="AC229" s="84">
        <f t="shared" si="212"/>
        <v>1844.1217500000009</v>
      </c>
      <c r="AD229" s="39">
        <v>3000</v>
      </c>
      <c r="AE229" s="40">
        <f t="shared" si="221"/>
        <v>9007.569291666663</v>
      </c>
      <c r="AF229" s="1">
        <f t="shared" si="222"/>
        <v>10.8</v>
      </c>
      <c r="AG229" s="1">
        <f t="shared" si="223"/>
        <v>18</v>
      </c>
      <c r="AH229" s="41">
        <f t="shared" si="224"/>
        <v>16.201134678024257</v>
      </c>
      <c r="AJ229">
        <v>0.9</v>
      </c>
      <c r="AK229">
        <v>1.5</v>
      </c>
      <c r="AL229" s="32">
        <f t="shared" si="225"/>
        <v>12007.569291666663</v>
      </c>
      <c r="AM229" s="4">
        <f t="shared" si="226"/>
        <v>0.24984240582996434</v>
      </c>
      <c r="AN229" s="4">
        <f t="shared" si="227"/>
        <v>0.75015759417003569</v>
      </c>
    </row>
    <row r="230" spans="1:40" ht="14.25" hidden="1" customHeight="1" x14ac:dyDescent="0.3">
      <c r="A230" s="84"/>
      <c r="C230" s="1">
        <v>2026</v>
      </c>
      <c r="D230" s="52">
        <f>+'Fisico ASIG'!B230</f>
        <v>46113</v>
      </c>
      <c r="E230" s="1">
        <v>16</v>
      </c>
      <c r="F230" s="1" t="str">
        <f>+Precios!C230</f>
        <v>vie</v>
      </c>
      <c r="G230" s="5">
        <f>+Precios!D230</f>
        <v>46136</v>
      </c>
      <c r="H230" s="77">
        <v>5714.4098333333213</v>
      </c>
      <c r="I230" s="77">
        <v>978.20016666666686</v>
      </c>
      <c r="J230" s="77">
        <v>32.240249999999946</v>
      </c>
      <c r="K230" s="77">
        <v>24.952150000000003</v>
      </c>
      <c r="L230" s="77">
        <v>0</v>
      </c>
      <c r="M230" s="81">
        <f t="shared" si="178"/>
        <v>6749.8023999999878</v>
      </c>
      <c r="N230" s="77">
        <v>12255.52141666667</v>
      </c>
      <c r="O230" s="77">
        <v>1361.2954583333335</v>
      </c>
      <c r="P230" s="77">
        <v>837.80570833333331</v>
      </c>
      <c r="Q230" s="77">
        <v>190.4</v>
      </c>
      <c r="R230" s="77">
        <v>0</v>
      </c>
      <c r="S230" s="81">
        <f t="shared" si="186"/>
        <v>14645.022583333337</v>
      </c>
      <c r="T230" s="77">
        <v>0</v>
      </c>
      <c r="U230" s="77">
        <v>222.20899999999997</v>
      </c>
      <c r="V230" s="77">
        <v>164.75008333333335</v>
      </c>
      <c r="W230" s="77">
        <v>1426.9676666666671</v>
      </c>
      <c r="X230" s="82">
        <f t="shared" si="213"/>
        <v>1813.9267500000005</v>
      </c>
      <c r="Y230" s="77">
        <v>0</v>
      </c>
      <c r="Z230" s="77">
        <v>447.22208333333333</v>
      </c>
      <c r="AA230" s="77">
        <v>0</v>
      </c>
      <c r="AB230" s="82">
        <f t="shared" si="187"/>
        <v>447.22208333333333</v>
      </c>
      <c r="AC230" s="84">
        <f t="shared" si="212"/>
        <v>1591.7177500000005</v>
      </c>
      <c r="AD230" s="39">
        <v>3000</v>
      </c>
      <c r="AE230" s="40">
        <f t="shared" si="221"/>
        <v>9255.5214166666701</v>
      </c>
      <c r="AF230" s="1">
        <f t="shared" si="222"/>
        <v>10.8</v>
      </c>
      <c r="AG230" s="1">
        <f t="shared" si="223"/>
        <v>18</v>
      </c>
      <c r="AH230" s="41">
        <f t="shared" si="224"/>
        <v>16.237529088674638</v>
      </c>
      <c r="AJ230">
        <v>0.9</v>
      </c>
      <c r="AK230">
        <v>1.5</v>
      </c>
      <c r="AL230" s="32">
        <f t="shared" si="225"/>
        <v>12255.52141666667</v>
      </c>
      <c r="AM230" s="4">
        <f t="shared" si="226"/>
        <v>0.24478762657296696</v>
      </c>
      <c r="AN230" s="4">
        <f t="shared" si="227"/>
        <v>0.75521237342703307</v>
      </c>
    </row>
    <row r="231" spans="1:40" ht="14.25" hidden="1" customHeight="1" x14ac:dyDescent="0.3">
      <c r="A231" s="84"/>
      <c r="C231" s="1">
        <v>2026</v>
      </c>
      <c r="D231" s="52">
        <f>+'Fisico ASIG'!B231</f>
        <v>46113</v>
      </c>
      <c r="E231" s="1">
        <v>6</v>
      </c>
      <c r="F231" s="1" t="str">
        <f>+Precios!C231</f>
        <v>sáb</v>
      </c>
      <c r="G231" s="5">
        <f>+Precios!D231</f>
        <v>46137</v>
      </c>
      <c r="H231" s="77">
        <v>5194.1291666666648</v>
      </c>
      <c r="I231" s="77">
        <v>818.86916666666673</v>
      </c>
      <c r="J231" s="77">
        <v>30.92666666666662</v>
      </c>
      <c r="K231" s="77">
        <v>41.34936041666667</v>
      </c>
      <c r="L231" s="77">
        <v>0</v>
      </c>
      <c r="M231" s="81">
        <f t="shared" si="178"/>
        <v>6085.2743604166644</v>
      </c>
      <c r="N231" s="77">
        <v>12297.209375000011</v>
      </c>
      <c r="O231" s="77">
        <v>1440.998583333333</v>
      </c>
      <c r="P231" s="77">
        <v>825.93074999999999</v>
      </c>
      <c r="Q231" s="77">
        <v>190.4</v>
      </c>
      <c r="R231" s="77">
        <v>0</v>
      </c>
      <c r="S231" s="81">
        <f t="shared" ref="S231:S235" si="228">SUM(N231:R231)</f>
        <v>14754.538708333343</v>
      </c>
      <c r="T231" s="77">
        <v>0</v>
      </c>
      <c r="U231" s="77">
        <v>430.72183333333334</v>
      </c>
      <c r="V231" s="77">
        <v>147.76791666666671</v>
      </c>
      <c r="W231" s="77">
        <v>1169.579875000001</v>
      </c>
      <c r="X231" s="82">
        <f t="shared" si="213"/>
        <v>1748.069625000001</v>
      </c>
      <c r="Y231" s="77">
        <v>0</v>
      </c>
      <c r="Z231" s="77">
        <v>515</v>
      </c>
      <c r="AA231" s="77">
        <v>0</v>
      </c>
      <c r="AB231" s="82">
        <f t="shared" si="187"/>
        <v>515</v>
      </c>
      <c r="AC231" s="84">
        <f t="shared" si="212"/>
        <v>1317.3477916666677</v>
      </c>
      <c r="AD231" s="39">
        <v>3000</v>
      </c>
      <c r="AE231" s="40">
        <f t="shared" si="221"/>
        <v>9297.2093750000113</v>
      </c>
      <c r="AF231" s="1">
        <f t="shared" si="222"/>
        <v>10.8</v>
      </c>
      <c r="AG231" s="1">
        <f t="shared" si="223"/>
        <v>18</v>
      </c>
      <c r="AH231" s="41">
        <f t="shared" si="224"/>
        <v>16.243503925052103</v>
      </c>
      <c r="AJ231">
        <v>0.9</v>
      </c>
      <c r="AK231">
        <v>1.5</v>
      </c>
      <c r="AL231" s="32">
        <f t="shared" si="225"/>
        <v>12297.209375000011</v>
      </c>
      <c r="AM231" s="4">
        <f t="shared" si="226"/>
        <v>0.2439577881872079</v>
      </c>
      <c r="AN231" s="4">
        <f t="shared" si="227"/>
        <v>0.75604221181279208</v>
      </c>
    </row>
    <row r="232" spans="1:40" ht="14.25" hidden="1" customHeight="1" x14ac:dyDescent="0.3">
      <c r="A232" s="84"/>
      <c r="C232" s="1">
        <v>2026</v>
      </c>
      <c r="D232" s="52">
        <f>+'Fisico ASIG'!B232</f>
        <v>46113</v>
      </c>
      <c r="E232" s="1">
        <v>4</v>
      </c>
      <c r="F232" s="1" t="str">
        <f>+Precios!C232</f>
        <v>dom</v>
      </c>
      <c r="G232" s="5">
        <f>+Precios!D232</f>
        <v>46138</v>
      </c>
      <c r="H232" s="77">
        <v>4077.7585833333342</v>
      </c>
      <c r="I232" s="77">
        <v>839.97970833333329</v>
      </c>
      <c r="J232" s="77">
        <v>42.789750000000083</v>
      </c>
      <c r="K232" s="77">
        <v>13.097537500000001</v>
      </c>
      <c r="L232" s="77">
        <v>0</v>
      </c>
      <c r="M232" s="81">
        <f t="shared" si="178"/>
        <v>4973.6255791666672</v>
      </c>
      <c r="N232" s="77">
        <v>12389.074250000003</v>
      </c>
      <c r="O232" s="77">
        <v>1518.3394166666669</v>
      </c>
      <c r="P232" s="77">
        <v>811.76054166666665</v>
      </c>
      <c r="Q232" s="77">
        <v>190.4</v>
      </c>
      <c r="R232" s="77">
        <v>0</v>
      </c>
      <c r="S232" s="81">
        <f t="shared" si="228"/>
        <v>14909.574208333337</v>
      </c>
      <c r="T232" s="77">
        <v>0</v>
      </c>
      <c r="U232" s="77">
        <v>196.85350000000003</v>
      </c>
      <c r="V232" s="77">
        <v>141.94208333333333</v>
      </c>
      <c r="W232" s="77">
        <v>1850.9709583333326</v>
      </c>
      <c r="X232" s="82">
        <f t="shared" si="213"/>
        <v>2189.7665416666659</v>
      </c>
      <c r="Y232" s="77">
        <v>0</v>
      </c>
      <c r="Z232" s="77">
        <v>515</v>
      </c>
      <c r="AA232" s="77">
        <v>0</v>
      </c>
      <c r="AB232" s="82">
        <f t="shared" si="187"/>
        <v>515</v>
      </c>
      <c r="AC232" s="84">
        <f t="shared" si="212"/>
        <v>1992.913041666666</v>
      </c>
      <c r="AD232" s="39">
        <v>3000</v>
      </c>
      <c r="AE232" s="40">
        <f t="shared" ref="AE232:AE235" si="229">+N232-AD232</f>
        <v>9389.0742500000033</v>
      </c>
      <c r="AF232" s="1">
        <f t="shared" ref="AF232:AF235" si="230">12*AJ232</f>
        <v>10.8</v>
      </c>
      <c r="AG232" s="1">
        <f t="shared" ref="AG232:AG235" si="231">12*AK232</f>
        <v>18</v>
      </c>
      <c r="AH232" s="41">
        <f t="shared" ref="AH232:AH235" si="232">+(AD232*AF232+AG232*AE232)/SUM(AD232:AE232)</f>
        <v>16.256528327772351</v>
      </c>
      <c r="AJ232">
        <v>0.9</v>
      </c>
      <c r="AK232">
        <v>1.5</v>
      </c>
      <c r="AL232" s="32">
        <f t="shared" ref="AL232:AL235" si="233">+AD232+AE232</f>
        <v>12389.074250000003</v>
      </c>
      <c r="AM232" s="4">
        <f t="shared" ref="AM232:AM235" si="234">+AD232/AL232</f>
        <v>0.24214884336495113</v>
      </c>
      <c r="AN232" s="4">
        <f t="shared" ref="AN232:AN235" si="235">+AE232/AL232</f>
        <v>0.75785115663504887</v>
      </c>
    </row>
    <row r="233" spans="1:40" ht="14.25" hidden="1" customHeight="1" x14ac:dyDescent="0.3">
      <c r="A233" s="84"/>
      <c r="C233" s="1">
        <v>2026</v>
      </c>
      <c r="D233" s="52">
        <f>+'Fisico ASIG'!B233</f>
        <v>46113</v>
      </c>
      <c r="E233" s="1">
        <v>16</v>
      </c>
      <c r="F233" s="1" t="str">
        <f>+Precios!C233</f>
        <v>lun</v>
      </c>
      <c r="G233" s="5">
        <f>+Precios!D233</f>
        <v>46139</v>
      </c>
      <c r="H233" s="77">
        <v>5428.4480416666656</v>
      </c>
      <c r="I233" s="77">
        <v>1167.003125</v>
      </c>
      <c r="J233" s="77">
        <v>69.809416666666749</v>
      </c>
      <c r="K233" s="77">
        <v>53.784137500000014</v>
      </c>
      <c r="L233" s="77">
        <v>0</v>
      </c>
      <c r="M233" s="81">
        <f t="shared" si="178"/>
        <v>6719.0447208333326</v>
      </c>
      <c r="N233" s="77">
        <v>12505.465125000002</v>
      </c>
      <c r="O233" s="77">
        <v>1559.7582083333334</v>
      </c>
      <c r="P233" s="77">
        <v>825.94195833333333</v>
      </c>
      <c r="Q233" s="77">
        <v>190.4</v>
      </c>
      <c r="R233" s="77">
        <v>0</v>
      </c>
      <c r="S233" s="81">
        <f t="shared" si="228"/>
        <v>15081.565291666668</v>
      </c>
      <c r="T233" s="77">
        <v>0</v>
      </c>
      <c r="U233" s="77">
        <v>220.57025000000002</v>
      </c>
      <c r="V233" s="77">
        <v>144.91216666666668</v>
      </c>
      <c r="W233" s="77">
        <v>1329.178416666666</v>
      </c>
      <c r="X233" s="82">
        <f t="shared" si="213"/>
        <v>1694.6608333333327</v>
      </c>
      <c r="Y233" s="77">
        <v>0</v>
      </c>
      <c r="Z233" s="77">
        <v>515</v>
      </c>
      <c r="AA233" s="77">
        <v>0</v>
      </c>
      <c r="AB233" s="82">
        <f t="shared" si="187"/>
        <v>515</v>
      </c>
      <c r="AC233" s="84">
        <f t="shared" si="212"/>
        <v>1474.0905833333327</v>
      </c>
      <c r="AD233" s="39">
        <v>3000</v>
      </c>
      <c r="AE233" s="40">
        <f t="shared" si="229"/>
        <v>9505.4651250000024</v>
      </c>
      <c r="AF233" s="1">
        <f t="shared" si="230"/>
        <v>10.8</v>
      </c>
      <c r="AG233" s="1">
        <f t="shared" si="231"/>
        <v>18</v>
      </c>
      <c r="AH233" s="41">
        <f t="shared" si="232"/>
        <v>16.272755168712688</v>
      </c>
      <c r="AJ233">
        <v>0.9</v>
      </c>
      <c r="AK233">
        <v>1.5</v>
      </c>
      <c r="AL233" s="32">
        <f t="shared" si="233"/>
        <v>12505.465125000002</v>
      </c>
      <c r="AM233" s="4">
        <f t="shared" si="234"/>
        <v>0.23989511545657119</v>
      </c>
      <c r="AN233" s="4">
        <f t="shared" si="235"/>
        <v>0.76010488454342884</v>
      </c>
    </row>
    <row r="234" spans="1:40" ht="14.25" hidden="1" customHeight="1" x14ac:dyDescent="0.3">
      <c r="A234" s="84"/>
      <c r="C234" s="1">
        <v>2026</v>
      </c>
      <c r="D234" s="52">
        <f>+'Fisico ASIG'!B234</f>
        <v>46113</v>
      </c>
      <c r="E234" s="1">
        <v>16</v>
      </c>
      <c r="F234" s="1" t="str">
        <f>+Precios!C234</f>
        <v>mar</v>
      </c>
      <c r="G234" s="5">
        <f>+Precios!D234</f>
        <v>46140</v>
      </c>
      <c r="H234" s="77">
        <v>5065.2262500000015</v>
      </c>
      <c r="I234" s="77">
        <v>868.19691666666677</v>
      </c>
      <c r="J234" s="77">
        <v>110.26945833333335</v>
      </c>
      <c r="K234" s="77">
        <v>64.208354166666666</v>
      </c>
      <c r="L234" s="77">
        <v>0</v>
      </c>
      <c r="M234" s="81">
        <f t="shared" si="178"/>
        <v>6107.9009791666685</v>
      </c>
      <c r="N234" s="77">
        <v>12405.372500000003</v>
      </c>
      <c r="O234" s="77">
        <v>1566.0477083333335</v>
      </c>
      <c r="P234" s="77">
        <v>826.02845833333333</v>
      </c>
      <c r="Q234" s="77">
        <v>189.35000000000002</v>
      </c>
      <c r="R234" s="77">
        <v>0</v>
      </c>
      <c r="S234" s="81">
        <f t="shared" si="228"/>
        <v>14986.798666666671</v>
      </c>
      <c r="T234" s="77">
        <v>0</v>
      </c>
      <c r="U234" s="77">
        <v>435.83958333333334</v>
      </c>
      <c r="V234" s="77">
        <v>135.78558333333331</v>
      </c>
      <c r="W234" s="77">
        <v>1531.6738333333315</v>
      </c>
      <c r="X234" s="82">
        <f t="shared" si="213"/>
        <v>2103.2989999999982</v>
      </c>
      <c r="Y234" s="77">
        <v>0</v>
      </c>
      <c r="Z234" s="77">
        <v>515</v>
      </c>
      <c r="AA234" s="77">
        <v>0</v>
      </c>
      <c r="AB234" s="82">
        <f t="shared" si="187"/>
        <v>515</v>
      </c>
      <c r="AC234" s="84">
        <f t="shared" si="212"/>
        <v>1667.4594166666648</v>
      </c>
      <c r="AD234" s="39">
        <v>3000</v>
      </c>
      <c r="AE234" s="40">
        <f t="shared" si="229"/>
        <v>9405.3725000000031</v>
      </c>
      <c r="AF234" s="1">
        <f t="shared" si="230"/>
        <v>10.8</v>
      </c>
      <c r="AG234" s="1">
        <f t="shared" si="231"/>
        <v>18</v>
      </c>
      <c r="AH234" s="41">
        <f t="shared" si="232"/>
        <v>16.258818910919441</v>
      </c>
      <c r="AJ234">
        <v>0.9</v>
      </c>
      <c r="AK234">
        <v>1.5</v>
      </c>
      <c r="AL234" s="32">
        <f t="shared" si="233"/>
        <v>12405.372500000003</v>
      </c>
      <c r="AM234" s="4">
        <f t="shared" si="234"/>
        <v>0.24183070681674407</v>
      </c>
      <c r="AN234" s="4">
        <f t="shared" si="235"/>
        <v>0.75816929318325599</v>
      </c>
    </row>
    <row r="235" spans="1:40" ht="14.25" hidden="1" customHeight="1" x14ac:dyDescent="0.3">
      <c r="A235" s="84"/>
      <c r="C235" s="1">
        <v>2026</v>
      </c>
      <c r="D235" s="52">
        <f>+'Fisico ASIG'!B235</f>
        <v>46113</v>
      </c>
      <c r="E235" s="1">
        <v>16</v>
      </c>
      <c r="F235" s="1" t="str">
        <f>+Precios!C235</f>
        <v>mié</v>
      </c>
      <c r="G235" s="5">
        <f>+Precios!D235</f>
        <v>46141</v>
      </c>
      <c r="H235" s="77">
        <v>5033.8133750000079</v>
      </c>
      <c r="I235" s="77">
        <v>303.56600000000003</v>
      </c>
      <c r="J235" s="77">
        <v>87.865750000000105</v>
      </c>
      <c r="K235" s="77">
        <v>39.344333333333338</v>
      </c>
      <c r="L235" s="77">
        <v>0</v>
      </c>
      <c r="M235" s="81">
        <f t="shared" si="178"/>
        <v>5464.5894583333411</v>
      </c>
      <c r="N235" s="77">
        <v>12522.718083333335</v>
      </c>
      <c r="O235" s="77">
        <v>1562.00775</v>
      </c>
      <c r="P235" s="77">
        <v>826.04337499999997</v>
      </c>
      <c r="Q235" s="77">
        <v>189.35000000000002</v>
      </c>
      <c r="R235" s="77">
        <v>0</v>
      </c>
      <c r="S235" s="81">
        <f t="shared" si="228"/>
        <v>15100.119208333335</v>
      </c>
      <c r="T235" s="77">
        <v>0</v>
      </c>
      <c r="U235" s="77">
        <v>399.91391666666681</v>
      </c>
      <c r="V235" s="77">
        <v>138.34754166666667</v>
      </c>
      <c r="W235" s="77">
        <v>1764.708833333332</v>
      </c>
      <c r="X235" s="82">
        <f t="shared" si="213"/>
        <v>2302.9702916666656</v>
      </c>
      <c r="Y235" s="77">
        <v>0</v>
      </c>
      <c r="Z235" s="77">
        <v>515</v>
      </c>
      <c r="AA235" s="77">
        <v>0</v>
      </c>
      <c r="AB235" s="82">
        <f t="shared" si="187"/>
        <v>515</v>
      </c>
      <c r="AC235" s="84">
        <f t="shared" si="212"/>
        <v>1903.0563749999988</v>
      </c>
      <c r="AD235" s="39">
        <v>3000</v>
      </c>
      <c r="AE235" s="40">
        <f t="shared" si="229"/>
        <v>9522.718083333335</v>
      </c>
      <c r="AF235" s="1">
        <f t="shared" si="230"/>
        <v>10.8</v>
      </c>
      <c r="AG235" s="1">
        <f t="shared" si="231"/>
        <v>18</v>
      </c>
      <c r="AH235" s="41">
        <f t="shared" si="232"/>
        <v>16.27513485041656</v>
      </c>
      <c r="AJ235">
        <v>0.9</v>
      </c>
      <c r="AK235">
        <v>1.5</v>
      </c>
      <c r="AL235" s="32">
        <f t="shared" si="233"/>
        <v>12522.718083333335</v>
      </c>
      <c r="AM235" s="4">
        <f t="shared" si="234"/>
        <v>0.23956460410881109</v>
      </c>
      <c r="AN235" s="4">
        <f t="shared" si="235"/>
        <v>0.76043539589118891</v>
      </c>
    </row>
    <row r="236" spans="1:40" ht="14.25" hidden="1" customHeight="1" x14ac:dyDescent="0.3">
      <c r="A236" s="84"/>
      <c r="C236" s="1">
        <v>2026</v>
      </c>
      <c r="D236" s="52">
        <f>+'Fisico ASIG'!B236</f>
        <v>46113</v>
      </c>
      <c r="E236" s="1">
        <v>16</v>
      </c>
      <c r="F236" s="1" t="str">
        <f>+Precios!C236</f>
        <v>jue</v>
      </c>
      <c r="G236" s="5">
        <f>+Precios!D236</f>
        <v>46142</v>
      </c>
      <c r="H236" s="77">
        <v>5381.8585000000021</v>
      </c>
      <c r="I236" s="77">
        <v>356.66804166666674</v>
      </c>
      <c r="J236" s="77">
        <v>77.666666666666757</v>
      </c>
      <c r="K236" s="77">
        <v>26.656045833333334</v>
      </c>
      <c r="L236" s="77">
        <v>0</v>
      </c>
      <c r="M236" s="81">
        <f t="shared" ref="M236:M255" si="236">+SUM(H236:L236)</f>
        <v>5842.8492541666692</v>
      </c>
      <c r="N236" s="77">
        <v>12612.104958333333</v>
      </c>
      <c r="O236" s="77">
        <v>1561.52675</v>
      </c>
      <c r="P236" s="77">
        <v>825.27983333333327</v>
      </c>
      <c r="Q236" s="77">
        <v>189.35000000000002</v>
      </c>
      <c r="R236" s="77">
        <v>0</v>
      </c>
      <c r="S236" s="81">
        <f t="shared" ref="S236:S247" si="237">SUM(N236:R236)</f>
        <v>15188.261541666669</v>
      </c>
      <c r="T236" s="77">
        <v>0</v>
      </c>
      <c r="U236" s="77">
        <v>405.68854166666665</v>
      </c>
      <c r="V236" s="77">
        <v>112.96291666666669</v>
      </c>
      <c r="W236" s="77">
        <v>1714.0410833333337</v>
      </c>
      <c r="X236" s="82">
        <f t="shared" ref="X236:X247" si="238">SUM(T236:W236)</f>
        <v>2232.6925416666672</v>
      </c>
      <c r="Y236" s="77">
        <v>0</v>
      </c>
      <c r="Z236" s="77">
        <v>515</v>
      </c>
      <c r="AA236" s="77">
        <v>0</v>
      </c>
      <c r="AB236" s="82">
        <f t="shared" si="187"/>
        <v>515</v>
      </c>
      <c r="AC236" s="84">
        <f t="shared" si="212"/>
        <v>1827.0040000000004</v>
      </c>
      <c r="AD236" s="39">
        <v>3000</v>
      </c>
      <c r="AE236" s="40">
        <f t="shared" ref="AE236:AE247" si="239">+N236-AD236</f>
        <v>9612.1049583333333</v>
      </c>
      <c r="AF236" s="1">
        <f t="shared" ref="AF236:AF247" si="240">12*AJ236</f>
        <v>10.8</v>
      </c>
      <c r="AG236" s="1">
        <f t="shared" ref="AG236:AG247" si="241">12*AK236</f>
        <v>18</v>
      </c>
      <c r="AH236" s="41">
        <f t="shared" ref="AH236:AH247" si="242">+(AD236*AF236+AG236*AE236)/SUM(AD236:AE236)</f>
        <v>16.287359638112751</v>
      </c>
      <c r="AJ236">
        <v>0.9</v>
      </c>
      <c r="AK236">
        <v>1.5</v>
      </c>
      <c r="AL236" s="32">
        <f t="shared" ref="AL236" si="243">+AD236+AE236</f>
        <v>12612.104958333333</v>
      </c>
      <c r="AM236" s="4">
        <f t="shared" ref="AM236" si="244">+AD236/AL236</f>
        <v>0.23786671692878494</v>
      </c>
      <c r="AN236" s="4">
        <f t="shared" ref="AN236" si="245">+AE236/AL236</f>
        <v>0.76213328307121508</v>
      </c>
    </row>
    <row r="237" spans="1:40" ht="14.25" hidden="1" customHeight="1" x14ac:dyDescent="0.3">
      <c r="A237" s="84"/>
      <c r="C237" s="1">
        <v>2026</v>
      </c>
      <c r="D237" s="52">
        <v>46143</v>
      </c>
      <c r="E237" s="1">
        <v>4</v>
      </c>
      <c r="F237" s="1" t="str">
        <f>+Precios!C237</f>
        <v>vie</v>
      </c>
      <c r="G237" s="5">
        <f>+Precios!D237</f>
        <v>46143</v>
      </c>
      <c r="H237" s="77">
        <v>3613.9975000000031</v>
      </c>
      <c r="I237" s="77">
        <v>316.82875000000001</v>
      </c>
      <c r="J237" s="77">
        <v>73.211666666666716</v>
      </c>
      <c r="K237" s="77">
        <v>8.0170833333333338</v>
      </c>
      <c r="L237" s="77">
        <v>0</v>
      </c>
      <c r="M237" s="81">
        <f t="shared" si="236"/>
        <v>4012.055000000003</v>
      </c>
      <c r="N237" s="77">
        <v>11983.980416666665</v>
      </c>
      <c r="O237" s="77">
        <v>1559.24125</v>
      </c>
      <c r="P237" s="77">
        <v>808.34166666666658</v>
      </c>
      <c r="Q237" s="77">
        <v>189.35000000000002</v>
      </c>
      <c r="R237" s="77">
        <v>0</v>
      </c>
      <c r="S237" s="81">
        <f t="shared" si="237"/>
        <v>14540.913333333332</v>
      </c>
      <c r="T237" s="77">
        <v>700</v>
      </c>
      <c r="U237" s="77">
        <v>211.72041666666664</v>
      </c>
      <c r="V237" s="77">
        <v>105.55500000000002</v>
      </c>
      <c r="W237" s="77">
        <v>1834.3708333333325</v>
      </c>
      <c r="X237" s="82">
        <f t="shared" si="238"/>
        <v>2851.6462499999993</v>
      </c>
      <c r="Y237" s="77">
        <v>0</v>
      </c>
      <c r="Z237" s="77">
        <v>515</v>
      </c>
      <c r="AA237" s="77">
        <v>0</v>
      </c>
      <c r="AB237" s="82">
        <f t="shared" si="187"/>
        <v>515</v>
      </c>
      <c r="AC237" s="84">
        <f t="shared" si="212"/>
        <v>2639.9258333333328</v>
      </c>
      <c r="AD237" s="39">
        <v>3000</v>
      </c>
      <c r="AE237" s="40">
        <f t="shared" si="239"/>
        <v>8983.9804166666654</v>
      </c>
      <c r="AF237" s="1">
        <f t="shared" si="240"/>
        <v>10.8</v>
      </c>
      <c r="AG237" s="1">
        <f t="shared" si="241"/>
        <v>18</v>
      </c>
      <c r="AH237" s="41">
        <f t="shared" si="242"/>
        <v>16.197593850373796</v>
      </c>
      <c r="AJ237">
        <v>0.9</v>
      </c>
      <c r="AK237">
        <v>1.5</v>
      </c>
      <c r="AL237" s="32">
        <f t="shared" ref="AL237:AL247" si="246">+AD237+AE237</f>
        <v>11983.980416666665</v>
      </c>
      <c r="AM237" s="4">
        <f t="shared" ref="AM237:AM247" si="247">+AD237/AL237</f>
        <v>0.25033418744808394</v>
      </c>
      <c r="AN237" s="4">
        <f t="shared" ref="AN237:AN247" si="248">+AE237/AL237</f>
        <v>0.74966581255191611</v>
      </c>
    </row>
    <row r="238" spans="1:40" ht="14.25" hidden="1" customHeight="1" x14ac:dyDescent="0.3">
      <c r="A238" s="84"/>
      <c r="C238" s="1">
        <v>2026</v>
      </c>
      <c r="D238" s="52">
        <v>46143</v>
      </c>
      <c r="E238" s="1">
        <v>6</v>
      </c>
      <c r="F238" s="1" t="str">
        <f>+Precios!C238</f>
        <v>sáb</v>
      </c>
      <c r="G238" s="5">
        <f>+Precios!D238</f>
        <v>46144</v>
      </c>
      <c r="H238" s="77">
        <v>4105.1350000000093</v>
      </c>
      <c r="I238" s="77">
        <v>707.57416666666688</v>
      </c>
      <c r="J238" s="77">
        <v>91.053750000000051</v>
      </c>
      <c r="K238" s="77">
        <v>12.384770833333334</v>
      </c>
      <c r="L238" s="77">
        <v>0</v>
      </c>
      <c r="M238" s="81">
        <f t="shared" si="236"/>
        <v>4916.1476875000099</v>
      </c>
      <c r="N238" s="77">
        <v>12050.304583333334</v>
      </c>
      <c r="O238" s="77">
        <v>1436.0049999999999</v>
      </c>
      <c r="P238" s="77">
        <v>806.71291666666662</v>
      </c>
      <c r="Q238" s="77">
        <v>189.35000000000002</v>
      </c>
      <c r="R238" s="77">
        <v>0</v>
      </c>
      <c r="S238" s="81">
        <f t="shared" si="237"/>
        <v>14482.372500000001</v>
      </c>
      <c r="T238" s="77">
        <v>700</v>
      </c>
      <c r="U238" s="77">
        <v>283.15958333333339</v>
      </c>
      <c r="V238" s="77">
        <v>124.23333333333331</v>
      </c>
      <c r="W238" s="77">
        <v>1469.4804166666684</v>
      </c>
      <c r="X238" s="82">
        <f t="shared" si="238"/>
        <v>2576.8733333333348</v>
      </c>
      <c r="Y238" s="77">
        <v>0</v>
      </c>
      <c r="Z238" s="77">
        <v>515</v>
      </c>
      <c r="AA238" s="77">
        <v>0</v>
      </c>
      <c r="AB238" s="82">
        <f t="shared" si="187"/>
        <v>515</v>
      </c>
      <c r="AC238" s="84">
        <f t="shared" si="212"/>
        <v>2293.7137500000017</v>
      </c>
      <c r="AD238" s="39">
        <v>3000</v>
      </c>
      <c r="AE238" s="40">
        <f t="shared" si="239"/>
        <v>9050.3045833333344</v>
      </c>
      <c r="AF238" s="1">
        <f t="shared" si="240"/>
        <v>10.8</v>
      </c>
      <c r="AG238" s="1">
        <f t="shared" si="241"/>
        <v>18</v>
      </c>
      <c r="AH238" s="41">
        <f t="shared" si="242"/>
        <v>16.207514187660056</v>
      </c>
      <c r="AJ238">
        <v>0.9</v>
      </c>
      <c r="AK238">
        <v>1.5</v>
      </c>
      <c r="AL238" s="32">
        <f t="shared" si="246"/>
        <v>12050.304583333334</v>
      </c>
      <c r="AM238" s="4">
        <f t="shared" si="247"/>
        <v>0.2489563628249922</v>
      </c>
      <c r="AN238" s="4">
        <f t="shared" si="248"/>
        <v>0.75104363717500777</v>
      </c>
    </row>
    <row r="239" spans="1:40" ht="14.25" hidden="1" customHeight="1" x14ac:dyDescent="0.3">
      <c r="A239" s="84"/>
      <c r="C239" s="1">
        <v>2026</v>
      </c>
      <c r="D239" s="52">
        <v>46143</v>
      </c>
      <c r="E239" s="1">
        <v>4</v>
      </c>
      <c r="F239" s="1" t="str">
        <f>+Precios!C239</f>
        <v>dom</v>
      </c>
      <c r="G239" s="5">
        <f>+Precios!D239</f>
        <v>46145</v>
      </c>
      <c r="H239" s="77">
        <v>4127.3333333333403</v>
      </c>
      <c r="I239" s="77">
        <v>866.34</v>
      </c>
      <c r="J239" s="77">
        <v>60.764375000000058</v>
      </c>
      <c r="K239" s="77">
        <v>7.1735416666666687</v>
      </c>
      <c r="L239" s="77">
        <v>0</v>
      </c>
      <c r="M239" s="81">
        <f t="shared" si="236"/>
        <v>5061.6112500000072</v>
      </c>
      <c r="N239" s="77">
        <v>12248.061250000004</v>
      </c>
      <c r="O239" s="77">
        <v>1557.88375</v>
      </c>
      <c r="P239" s="77">
        <v>807.92583333333323</v>
      </c>
      <c r="Q239" s="77">
        <v>189.35000000000002</v>
      </c>
      <c r="R239" s="77">
        <v>0</v>
      </c>
      <c r="S239" s="81">
        <f t="shared" si="237"/>
        <v>14803.220833333336</v>
      </c>
      <c r="T239" s="77">
        <v>700</v>
      </c>
      <c r="U239" s="77">
        <v>200.67000000000004</v>
      </c>
      <c r="V239" s="77">
        <v>130.01687500000003</v>
      </c>
      <c r="W239" s="77">
        <v>1851.910833333334</v>
      </c>
      <c r="X239" s="82">
        <f t="shared" si="238"/>
        <v>2882.5977083333341</v>
      </c>
      <c r="Y239" s="77">
        <v>0</v>
      </c>
      <c r="Z239" s="77">
        <v>515</v>
      </c>
      <c r="AA239" s="77">
        <v>0</v>
      </c>
      <c r="AB239" s="82">
        <f t="shared" si="187"/>
        <v>515</v>
      </c>
      <c r="AC239" s="84">
        <f t="shared" si="212"/>
        <v>2681.9277083333341</v>
      </c>
      <c r="AD239" s="39">
        <v>3000</v>
      </c>
      <c r="AE239" s="40">
        <f t="shared" si="239"/>
        <v>9248.0612500000043</v>
      </c>
      <c r="AF239" s="1">
        <f t="shared" si="240"/>
        <v>10.8</v>
      </c>
      <c r="AG239" s="1">
        <f t="shared" si="241"/>
        <v>18</v>
      </c>
      <c r="AH239" s="41">
        <f t="shared" si="242"/>
        <v>16.236455585981005</v>
      </c>
      <c r="AJ239">
        <v>0.9</v>
      </c>
      <c r="AK239">
        <v>1.5</v>
      </c>
      <c r="AL239" s="32">
        <f t="shared" si="246"/>
        <v>12248.061250000004</v>
      </c>
      <c r="AM239" s="4">
        <f t="shared" si="247"/>
        <v>0.24493672416930468</v>
      </c>
      <c r="AN239" s="4">
        <f t="shared" si="248"/>
        <v>0.75506327583069532</v>
      </c>
    </row>
    <row r="240" spans="1:40" ht="14.25" hidden="1" customHeight="1" x14ac:dyDescent="0.3">
      <c r="A240" s="84"/>
      <c r="C240" s="1">
        <v>2026</v>
      </c>
      <c r="D240" s="52">
        <v>46143</v>
      </c>
      <c r="E240" s="1">
        <v>16</v>
      </c>
      <c r="F240" s="1" t="str">
        <f>+Precios!C240</f>
        <v>lun</v>
      </c>
      <c r="G240" s="5">
        <f>+Precios!D240</f>
        <v>46146</v>
      </c>
      <c r="H240" s="77">
        <v>4101.5508333333382</v>
      </c>
      <c r="I240" s="77">
        <v>1283.7625000000005</v>
      </c>
      <c r="J240" s="77">
        <v>125.84658333333348</v>
      </c>
      <c r="K240" s="77">
        <v>33.550104166666664</v>
      </c>
      <c r="L240" s="77">
        <v>0</v>
      </c>
      <c r="M240" s="81">
        <f>+SUM(H240:L240)</f>
        <v>5544.7100208333395</v>
      </c>
      <c r="N240" s="77">
        <v>12296.917916666669</v>
      </c>
      <c r="O240" s="77">
        <v>1489</v>
      </c>
      <c r="P240" s="77">
        <v>811.37125000000003</v>
      </c>
      <c r="Q240" s="77">
        <v>180.70937500000002</v>
      </c>
      <c r="R240" s="77">
        <v>0</v>
      </c>
      <c r="S240" s="81">
        <f t="shared" si="237"/>
        <v>14777.99854166667</v>
      </c>
      <c r="T240" s="77">
        <v>700</v>
      </c>
      <c r="U240" s="77">
        <v>287.51833333333337</v>
      </c>
      <c r="V240" s="77">
        <v>117.80133333333333</v>
      </c>
      <c r="W240" s="77">
        <v>1528.7016666666686</v>
      </c>
      <c r="X240" s="82">
        <f t="shared" si="238"/>
        <v>2634.0213333333354</v>
      </c>
      <c r="Y240" s="77">
        <v>0</v>
      </c>
      <c r="Z240" s="77">
        <v>515</v>
      </c>
      <c r="AA240" s="77">
        <v>0</v>
      </c>
      <c r="AB240" s="82">
        <f t="shared" si="187"/>
        <v>515</v>
      </c>
      <c r="AC240" s="84">
        <f t="shared" si="212"/>
        <v>2346.503000000002</v>
      </c>
      <c r="AD240" s="39">
        <v>3000</v>
      </c>
      <c r="AE240" s="40">
        <f t="shared" si="239"/>
        <v>9296.917916666669</v>
      </c>
      <c r="AF240" s="1">
        <f t="shared" si="240"/>
        <v>10.8</v>
      </c>
      <c r="AG240" s="1">
        <f t="shared" si="241"/>
        <v>18</v>
      </c>
      <c r="AH240" s="41">
        <f t="shared" si="242"/>
        <v>16.243462293041382</v>
      </c>
      <c r="AJ240">
        <v>0.9</v>
      </c>
      <c r="AK240">
        <v>1.5</v>
      </c>
      <c r="AL240" s="32">
        <f t="shared" si="246"/>
        <v>12296.917916666669</v>
      </c>
      <c r="AM240" s="4">
        <f t="shared" si="247"/>
        <v>0.24396357041091898</v>
      </c>
      <c r="AN240" s="4">
        <f t="shared" si="248"/>
        <v>0.75603642958908102</v>
      </c>
    </row>
    <row r="241" spans="1:40" ht="14.25" hidden="1" customHeight="1" x14ac:dyDescent="0.3">
      <c r="A241" s="84"/>
      <c r="C241" s="1">
        <v>2026</v>
      </c>
      <c r="D241" s="52">
        <v>46143</v>
      </c>
      <c r="E241" s="1">
        <v>16</v>
      </c>
      <c r="F241" s="1" t="str">
        <f>+Precios!C241</f>
        <v>mar</v>
      </c>
      <c r="G241" s="5">
        <f>+Precios!D241</f>
        <v>46147</v>
      </c>
      <c r="H241" s="77">
        <v>4198.3483333333343</v>
      </c>
      <c r="I241" s="77">
        <v>1317.5595833333334</v>
      </c>
      <c r="J241" s="77">
        <v>84.279291666666722</v>
      </c>
      <c r="K241" s="77">
        <v>64.350875000000016</v>
      </c>
      <c r="L241" s="77">
        <v>0</v>
      </c>
      <c r="M241" s="81">
        <f t="shared" si="236"/>
        <v>5664.5380833333347</v>
      </c>
      <c r="N241" s="77">
        <v>12335.28875</v>
      </c>
      <c r="O241" s="77">
        <v>1476.0370833333334</v>
      </c>
      <c r="P241" s="77">
        <v>814.02958333333333</v>
      </c>
      <c r="Q241" s="77">
        <v>182.82395833333334</v>
      </c>
      <c r="R241" s="77">
        <v>0</v>
      </c>
      <c r="S241" s="81">
        <f t="shared" si="237"/>
        <v>14808.179374999998</v>
      </c>
      <c r="T241" s="77">
        <v>700</v>
      </c>
      <c r="U241" s="77">
        <v>334.315</v>
      </c>
      <c r="V241" s="77">
        <v>134.10362499999999</v>
      </c>
      <c r="W241" s="77">
        <v>909.72458333333225</v>
      </c>
      <c r="X241" s="82">
        <f t="shared" si="238"/>
        <v>2078.143208333332</v>
      </c>
      <c r="Y241" s="77">
        <v>0</v>
      </c>
      <c r="Z241" s="77">
        <v>515</v>
      </c>
      <c r="AA241" s="77">
        <v>0</v>
      </c>
      <c r="AB241" s="82">
        <f t="shared" si="187"/>
        <v>515</v>
      </c>
      <c r="AC241" s="84">
        <f t="shared" si="212"/>
        <v>1743.8282083333322</v>
      </c>
      <c r="AD241" s="39">
        <v>3000</v>
      </c>
      <c r="AE241" s="40">
        <f t="shared" si="239"/>
        <v>9335.2887499999997</v>
      </c>
      <c r="AF241" s="1">
        <f t="shared" si="240"/>
        <v>10.8</v>
      </c>
      <c r="AG241" s="1">
        <f t="shared" si="241"/>
        <v>18</v>
      </c>
      <c r="AH241" s="41">
        <f t="shared" si="242"/>
        <v>16.248926276654853</v>
      </c>
      <c r="AJ241">
        <v>0.9</v>
      </c>
      <c r="AK241">
        <v>1.5</v>
      </c>
      <c r="AL241" s="32">
        <f t="shared" si="246"/>
        <v>12335.28875</v>
      </c>
      <c r="AM241" s="4">
        <f t="shared" si="247"/>
        <v>0.24320468379793705</v>
      </c>
      <c r="AN241" s="4">
        <f t="shared" si="248"/>
        <v>0.75679531620206297</v>
      </c>
    </row>
    <row r="242" spans="1:40" ht="14.25" hidden="1" customHeight="1" x14ac:dyDescent="0.3">
      <c r="A242" s="84"/>
      <c r="C242" s="1">
        <v>2026</v>
      </c>
      <c r="D242" s="52">
        <v>46143</v>
      </c>
      <c r="E242" s="1">
        <v>16</v>
      </c>
      <c r="F242" s="1" t="str">
        <f>+Precios!C242</f>
        <v>mié</v>
      </c>
      <c r="G242" s="5">
        <f>+Precios!D242</f>
        <v>46148</v>
      </c>
      <c r="H242" s="77">
        <v>4129.4008333333331</v>
      </c>
      <c r="I242" s="77">
        <v>1144.7562499999999</v>
      </c>
      <c r="J242" s="77">
        <v>58.886624999999839</v>
      </c>
      <c r="K242" s="77">
        <v>43.113145833333334</v>
      </c>
      <c r="L242" s="77">
        <v>0</v>
      </c>
      <c r="M242" s="81">
        <f t="shared" si="236"/>
        <v>5376.1568541666666</v>
      </c>
      <c r="N242" s="77">
        <v>12308.772916666665</v>
      </c>
      <c r="O242" s="77">
        <v>1447.3279166666669</v>
      </c>
      <c r="P242" s="77">
        <v>814.03625</v>
      </c>
      <c r="Q242" s="77">
        <v>189.35000000000002</v>
      </c>
      <c r="R242" s="77">
        <v>0</v>
      </c>
      <c r="S242" s="81">
        <f t="shared" si="237"/>
        <v>14759.487083333332</v>
      </c>
      <c r="T242" s="77">
        <v>700</v>
      </c>
      <c r="U242" s="77">
        <v>458.19916666666683</v>
      </c>
      <c r="V242" s="77">
        <v>132.15504166666668</v>
      </c>
      <c r="W242" s="77">
        <v>1368.3774999999996</v>
      </c>
      <c r="X242" s="82">
        <f t="shared" si="238"/>
        <v>2658.7317083333328</v>
      </c>
      <c r="Y242" s="77">
        <v>0</v>
      </c>
      <c r="Z242" s="77">
        <v>515</v>
      </c>
      <c r="AA242" s="77">
        <v>0</v>
      </c>
      <c r="AB242" s="82">
        <f t="shared" si="187"/>
        <v>515</v>
      </c>
      <c r="AC242" s="84">
        <f t="shared" si="212"/>
        <v>2200.5325416666665</v>
      </c>
      <c r="AD242" s="39">
        <v>3000</v>
      </c>
      <c r="AE242" s="40">
        <f t="shared" si="239"/>
        <v>9308.772916666665</v>
      </c>
      <c r="AF242" s="1">
        <f t="shared" si="240"/>
        <v>10.8</v>
      </c>
      <c r="AG242" s="1">
        <f t="shared" si="241"/>
        <v>18</v>
      </c>
      <c r="AH242" s="41">
        <f t="shared" si="242"/>
        <v>16.245154074558272</v>
      </c>
      <c r="AJ242">
        <v>0.9</v>
      </c>
      <c r="AK242">
        <v>1.5</v>
      </c>
      <c r="AL242" s="32">
        <f t="shared" si="246"/>
        <v>12308.772916666665</v>
      </c>
      <c r="AM242" s="4">
        <f t="shared" si="247"/>
        <v>0.24372860075579567</v>
      </c>
      <c r="AN242" s="4">
        <f t="shared" si="248"/>
        <v>0.75627139924420439</v>
      </c>
    </row>
    <row r="243" spans="1:40" ht="14.25" hidden="1" customHeight="1" x14ac:dyDescent="0.3">
      <c r="A243" s="84"/>
      <c r="C243" s="1">
        <v>2026</v>
      </c>
      <c r="D243" s="52">
        <v>46143</v>
      </c>
      <c r="E243" s="1">
        <v>16</v>
      </c>
      <c r="F243" s="1" t="str">
        <f>+Precios!C243</f>
        <v>jue</v>
      </c>
      <c r="G243" s="5">
        <f>+Precios!D243</f>
        <v>46149</v>
      </c>
      <c r="H243" s="77">
        <v>4076.4758333333293</v>
      </c>
      <c r="I243" s="77">
        <v>1040.0724999999995</v>
      </c>
      <c r="J243" s="77">
        <v>55.787875000000128</v>
      </c>
      <c r="K243" s="77">
        <v>12.467416666666669</v>
      </c>
      <c r="L243" s="77">
        <v>0</v>
      </c>
      <c r="M243" s="81">
        <f t="shared" si="236"/>
        <v>5184.803624999995</v>
      </c>
      <c r="N243" s="77">
        <v>12373.167083333336</v>
      </c>
      <c r="O243" s="77">
        <v>1439.2441666666668</v>
      </c>
      <c r="P243" s="77">
        <v>811.63958333333335</v>
      </c>
      <c r="Q243" s="77">
        <v>189.35000000000002</v>
      </c>
      <c r="R243" s="77">
        <v>0</v>
      </c>
      <c r="S243" s="81">
        <f t="shared" si="237"/>
        <v>14813.400833333337</v>
      </c>
      <c r="T243" s="77">
        <v>700</v>
      </c>
      <c r="U243" s="77">
        <v>228.8329166666667</v>
      </c>
      <c r="V243" s="77">
        <v>134.92754166666666</v>
      </c>
      <c r="W243" s="77">
        <v>1760.0437499999982</v>
      </c>
      <c r="X243" s="82">
        <f t="shared" si="238"/>
        <v>2823.8042083333316</v>
      </c>
      <c r="Y243" s="77">
        <v>0</v>
      </c>
      <c r="Z243" s="77">
        <v>515</v>
      </c>
      <c r="AA243" s="77">
        <v>0</v>
      </c>
      <c r="AB243" s="82">
        <f t="shared" si="187"/>
        <v>515</v>
      </c>
      <c r="AC243" s="84">
        <f t="shared" si="212"/>
        <v>2594.9712916666649</v>
      </c>
      <c r="AD243" s="39">
        <v>3000</v>
      </c>
      <c r="AE243" s="40">
        <f t="shared" si="239"/>
        <v>9373.1670833333355</v>
      </c>
      <c r="AF243" s="1">
        <f t="shared" si="240"/>
        <v>10.8</v>
      </c>
      <c r="AG243" s="1">
        <f t="shared" si="241"/>
        <v>18</v>
      </c>
      <c r="AH243" s="41">
        <f t="shared" si="242"/>
        <v>16.254286889159104</v>
      </c>
      <c r="AJ243">
        <v>0.9</v>
      </c>
      <c r="AK243">
        <v>1.5</v>
      </c>
      <c r="AL243" s="32">
        <f t="shared" si="246"/>
        <v>12373.167083333336</v>
      </c>
      <c r="AM243" s="4">
        <f t="shared" si="247"/>
        <v>0.24246015428345763</v>
      </c>
      <c r="AN243" s="4">
        <f t="shared" si="248"/>
        <v>0.75753984571654231</v>
      </c>
    </row>
    <row r="244" spans="1:40" ht="14.25" hidden="1" customHeight="1" x14ac:dyDescent="0.3">
      <c r="A244" s="84"/>
      <c r="C244" s="1">
        <v>2026</v>
      </c>
      <c r="D244" s="52">
        <v>46143</v>
      </c>
      <c r="E244" s="1">
        <v>16</v>
      </c>
      <c r="F244" s="1" t="str">
        <f>+Precios!C244</f>
        <v>vie</v>
      </c>
      <c r="G244" s="5">
        <f>+Precios!D244</f>
        <v>46150</v>
      </c>
      <c r="H244" s="77">
        <v>4218.6024999999963</v>
      </c>
      <c r="I244" s="77">
        <v>684.53958333333333</v>
      </c>
      <c r="J244" s="77">
        <v>81.02470833333328</v>
      </c>
      <c r="K244" s="77">
        <v>13.091875000000002</v>
      </c>
      <c r="L244" s="77">
        <v>0</v>
      </c>
      <c r="M244" s="81">
        <f t="shared" si="236"/>
        <v>4997.258666666663</v>
      </c>
      <c r="N244" s="77">
        <v>12680.327500000003</v>
      </c>
      <c r="O244" s="77">
        <v>1507.5179166666667</v>
      </c>
      <c r="P244" s="77">
        <v>863.38125000000002</v>
      </c>
      <c r="Q244" s="77">
        <v>188.35000000000002</v>
      </c>
      <c r="R244" s="77">
        <v>0</v>
      </c>
      <c r="S244" s="81">
        <f t="shared" si="237"/>
        <v>15239.576666666671</v>
      </c>
      <c r="T244" s="77">
        <v>700</v>
      </c>
      <c r="U244" s="77">
        <v>190.67625000000001</v>
      </c>
      <c r="V244" s="77">
        <v>157.89362499999999</v>
      </c>
      <c r="W244" s="77">
        <v>2137.3525000000022</v>
      </c>
      <c r="X244" s="82">
        <f t="shared" si="238"/>
        <v>3185.9223750000019</v>
      </c>
      <c r="Y244" s="77">
        <v>0</v>
      </c>
      <c r="Z244" s="77">
        <v>515</v>
      </c>
      <c r="AA244" s="77">
        <v>0</v>
      </c>
      <c r="AB244" s="82">
        <f t="shared" si="187"/>
        <v>515</v>
      </c>
      <c r="AC244" s="84">
        <f t="shared" si="212"/>
        <v>2995.2461250000024</v>
      </c>
      <c r="AD244" s="39">
        <v>3000</v>
      </c>
      <c r="AE244" s="40">
        <f t="shared" si="239"/>
        <v>9680.3275000000031</v>
      </c>
      <c r="AF244" s="1">
        <f t="shared" si="240"/>
        <v>10.8</v>
      </c>
      <c r="AG244" s="1">
        <f t="shared" si="241"/>
        <v>18</v>
      </c>
      <c r="AH244" s="41">
        <f t="shared" si="242"/>
        <v>16.296573964670866</v>
      </c>
      <c r="AJ244">
        <v>0.9</v>
      </c>
      <c r="AK244">
        <v>1.5</v>
      </c>
      <c r="AL244" s="32">
        <f t="shared" si="246"/>
        <v>12680.327500000003</v>
      </c>
      <c r="AM244" s="4">
        <f t="shared" si="247"/>
        <v>0.23658694935126867</v>
      </c>
      <c r="AN244" s="4">
        <f t="shared" si="248"/>
        <v>0.76341305064873133</v>
      </c>
    </row>
    <row r="245" spans="1:40" ht="14.25" hidden="1" customHeight="1" x14ac:dyDescent="0.3">
      <c r="A245" s="84"/>
      <c r="C245" s="1">
        <v>2026</v>
      </c>
      <c r="D245" s="52">
        <v>46143</v>
      </c>
      <c r="E245" s="1">
        <v>6</v>
      </c>
      <c r="F245" s="1" t="str">
        <f>+Precios!C245</f>
        <v>sáb</v>
      </c>
      <c r="G245" s="5">
        <f>+Precios!D245</f>
        <v>46151</v>
      </c>
      <c r="H245" s="77">
        <v>4267.4737499999947</v>
      </c>
      <c r="I245" s="77">
        <v>657.65875000000017</v>
      </c>
      <c r="J245" s="77">
        <v>99.087874999999883</v>
      </c>
      <c r="K245" s="77">
        <v>35.466666666666669</v>
      </c>
      <c r="L245" s="77">
        <v>0</v>
      </c>
      <c r="M245" s="81">
        <f t="shared" si="236"/>
        <v>5059.6870416666616</v>
      </c>
      <c r="N245" s="77">
        <v>12939.116250000003</v>
      </c>
      <c r="O245" s="77">
        <v>1529.0516666666667</v>
      </c>
      <c r="P245" s="77">
        <v>890.17666666666651</v>
      </c>
      <c r="Q245" s="77">
        <v>189.9319375</v>
      </c>
      <c r="R245" s="77">
        <v>0</v>
      </c>
      <c r="S245" s="81">
        <f t="shared" si="237"/>
        <v>15548.276520833335</v>
      </c>
      <c r="T245" s="77">
        <v>700</v>
      </c>
      <c r="U245" s="77">
        <v>314.84458333333339</v>
      </c>
      <c r="V245" s="77">
        <v>199.75170833333334</v>
      </c>
      <c r="W245" s="77">
        <v>1871.9995833333332</v>
      </c>
      <c r="X245" s="82">
        <f t="shared" si="238"/>
        <v>3086.595875</v>
      </c>
      <c r="Y245" s="77">
        <v>0</v>
      </c>
      <c r="Z245" s="77">
        <v>515</v>
      </c>
      <c r="AA245" s="77">
        <v>0</v>
      </c>
      <c r="AB245" s="82">
        <f t="shared" si="187"/>
        <v>515</v>
      </c>
      <c r="AC245" s="84">
        <f t="shared" si="212"/>
        <v>2771.7512916666665</v>
      </c>
      <c r="AD245" s="39">
        <v>3000</v>
      </c>
      <c r="AE245" s="40">
        <f t="shared" si="239"/>
        <v>9939.1162500000028</v>
      </c>
      <c r="AF245" s="1">
        <f t="shared" si="240"/>
        <v>10.8</v>
      </c>
      <c r="AG245" s="1">
        <f t="shared" si="241"/>
        <v>18</v>
      </c>
      <c r="AH245" s="41">
        <f t="shared" si="242"/>
        <v>16.330643331224419</v>
      </c>
      <c r="AJ245">
        <v>0.9</v>
      </c>
      <c r="AK245">
        <v>1.5</v>
      </c>
      <c r="AL245" s="32">
        <f t="shared" si="246"/>
        <v>12939.116250000003</v>
      </c>
      <c r="AM245" s="4">
        <f t="shared" si="247"/>
        <v>0.23185509288549744</v>
      </c>
      <c r="AN245" s="4">
        <f t="shared" si="248"/>
        <v>0.76814490711450256</v>
      </c>
    </row>
    <row r="246" spans="1:40" ht="14.25" hidden="1" customHeight="1" x14ac:dyDescent="0.3">
      <c r="A246" s="84"/>
      <c r="C246" s="1">
        <v>2026</v>
      </c>
      <c r="D246" s="52">
        <v>46143</v>
      </c>
      <c r="E246" s="1">
        <v>4</v>
      </c>
      <c r="F246" s="1" t="str">
        <f>+Precios!C246</f>
        <v>dom</v>
      </c>
      <c r="G246" s="5">
        <f>+Precios!D246</f>
        <v>46152</v>
      </c>
      <c r="H246" s="77">
        <v>3922.9849999999924</v>
      </c>
      <c r="I246" s="77">
        <v>638.58249999999987</v>
      </c>
      <c r="J246" s="77">
        <v>91.01258333333368</v>
      </c>
      <c r="K246" s="77">
        <v>43.352437500000001</v>
      </c>
      <c r="L246" s="77">
        <v>0</v>
      </c>
      <c r="M246" s="81">
        <f t="shared" si="236"/>
        <v>4695.9325208333257</v>
      </c>
      <c r="N246" s="77">
        <v>12918.410833333335</v>
      </c>
      <c r="O246" s="77">
        <v>1542.6241666666667</v>
      </c>
      <c r="P246" s="77">
        <v>890.17374999999993</v>
      </c>
      <c r="Q246" s="77">
        <v>196.35416666666669</v>
      </c>
      <c r="R246" s="77">
        <v>0</v>
      </c>
      <c r="S246" s="81">
        <f t="shared" si="237"/>
        <v>15547.562916666668</v>
      </c>
      <c r="T246" s="77">
        <v>700</v>
      </c>
      <c r="U246" s="77">
        <v>306.11</v>
      </c>
      <c r="V246" s="77">
        <v>201.69074999999998</v>
      </c>
      <c r="W246" s="77">
        <v>1566.8841666666656</v>
      </c>
      <c r="X246" s="82">
        <f t="shared" si="238"/>
        <v>2774.6849166666652</v>
      </c>
      <c r="Y246" s="77">
        <v>0</v>
      </c>
      <c r="Z246" s="77">
        <v>515</v>
      </c>
      <c r="AA246" s="77">
        <v>0</v>
      </c>
      <c r="AB246" s="82">
        <f t="shared" si="187"/>
        <v>515</v>
      </c>
      <c r="AC246" s="84">
        <f t="shared" si="212"/>
        <v>2468.5749166666656</v>
      </c>
      <c r="AD246" s="39">
        <v>3000</v>
      </c>
      <c r="AE246" s="40">
        <f t="shared" si="239"/>
        <v>9918.4108333333352</v>
      </c>
      <c r="AF246" s="1">
        <f t="shared" si="240"/>
        <v>10.8</v>
      </c>
      <c r="AG246" s="1">
        <f t="shared" si="241"/>
        <v>18</v>
      </c>
      <c r="AH246" s="41">
        <f t="shared" si="242"/>
        <v>16.327967713779035</v>
      </c>
      <c r="AJ246">
        <v>0.9</v>
      </c>
      <c r="AK246">
        <v>1.5</v>
      </c>
      <c r="AL246" s="32">
        <f t="shared" si="246"/>
        <v>12918.410833333335</v>
      </c>
      <c r="AM246" s="4">
        <f t="shared" si="247"/>
        <v>0.23222670641957827</v>
      </c>
      <c r="AN246" s="4">
        <f t="shared" si="248"/>
        <v>0.76777329358042168</v>
      </c>
    </row>
    <row r="247" spans="1:40" ht="14.25" hidden="1" customHeight="1" x14ac:dyDescent="0.3">
      <c r="A247" s="84"/>
      <c r="C247" s="1">
        <v>2026</v>
      </c>
      <c r="D247" s="52">
        <v>46143</v>
      </c>
      <c r="E247" s="1">
        <v>16</v>
      </c>
      <c r="F247" s="1" t="str">
        <f>+Precios!C247</f>
        <v>lun</v>
      </c>
      <c r="G247" s="5">
        <f>+Precios!D247</f>
        <v>46153</v>
      </c>
      <c r="H247" s="77">
        <v>4015.2245833333336</v>
      </c>
      <c r="I247" s="77">
        <v>488.18499999999989</v>
      </c>
      <c r="J247" s="77">
        <v>92.486250000000098</v>
      </c>
      <c r="K247" s="77">
        <v>71.912374999999983</v>
      </c>
      <c r="L247" s="77">
        <v>0</v>
      </c>
      <c r="M247" s="81">
        <f>+SUM(H247:L247)</f>
        <v>4667.8082083333329</v>
      </c>
      <c r="N247" s="77">
        <v>12897.548750000005</v>
      </c>
      <c r="O247" s="77">
        <v>1391.3641666666667</v>
      </c>
      <c r="P247" s="77">
        <v>889.06208333333325</v>
      </c>
      <c r="Q247" s="77">
        <v>196.8</v>
      </c>
      <c r="R247" s="77">
        <v>0</v>
      </c>
      <c r="S247" s="81">
        <f t="shared" si="237"/>
        <v>15374.775000000005</v>
      </c>
      <c r="T247" s="77">
        <v>700</v>
      </c>
      <c r="U247" s="77">
        <v>451.78208333333328</v>
      </c>
      <c r="V247" s="77">
        <v>203.39083333333338</v>
      </c>
      <c r="W247" s="77">
        <v>1683.059583333333</v>
      </c>
      <c r="X247" s="82">
        <f t="shared" si="238"/>
        <v>3038.2324999999996</v>
      </c>
      <c r="Y247" s="77">
        <v>0</v>
      </c>
      <c r="Z247" s="77">
        <v>515</v>
      </c>
      <c r="AA247" s="77">
        <v>0</v>
      </c>
      <c r="AB247" s="82">
        <f t="shared" si="187"/>
        <v>515</v>
      </c>
      <c r="AC247" s="84">
        <f t="shared" si="212"/>
        <v>2586.4504166666666</v>
      </c>
      <c r="AD247" s="39">
        <v>3000</v>
      </c>
      <c r="AE247" s="40">
        <f t="shared" si="239"/>
        <v>9897.5487500000054</v>
      </c>
      <c r="AF247" s="1">
        <f t="shared" si="240"/>
        <v>10.8</v>
      </c>
      <c r="AG247" s="1">
        <f t="shared" si="241"/>
        <v>18</v>
      </c>
      <c r="AH247" s="41">
        <f t="shared" si="242"/>
        <v>16.325263162893648</v>
      </c>
      <c r="AJ247">
        <v>0.9</v>
      </c>
      <c r="AK247">
        <v>1.5</v>
      </c>
      <c r="AL247" s="32">
        <f t="shared" si="246"/>
        <v>12897.548750000005</v>
      </c>
      <c r="AM247" s="4">
        <f t="shared" si="247"/>
        <v>0.23260233848699341</v>
      </c>
      <c r="AN247" s="4">
        <f t="shared" si="248"/>
        <v>0.76739766151300659</v>
      </c>
    </row>
    <row r="248" spans="1:40" ht="14.25" hidden="1" customHeight="1" x14ac:dyDescent="0.3">
      <c r="A248" s="84"/>
      <c r="C248" s="1">
        <v>2026</v>
      </c>
      <c r="D248" s="52">
        <v>46143</v>
      </c>
      <c r="E248" s="1">
        <v>16</v>
      </c>
      <c r="F248" s="1" t="str">
        <f>+Precios!C248</f>
        <v>mar</v>
      </c>
      <c r="G248" s="5">
        <f>+Precios!D248</f>
        <v>46154</v>
      </c>
      <c r="H248" s="77">
        <v>4173.7920833333355</v>
      </c>
      <c r="I248" s="77">
        <v>615.0412500000001</v>
      </c>
      <c r="J248" s="77">
        <v>81.215083333333439</v>
      </c>
      <c r="K248" s="77">
        <v>47.979541666666655</v>
      </c>
      <c r="L248" s="77">
        <v>0</v>
      </c>
      <c r="M248" s="81">
        <f t="shared" si="236"/>
        <v>4918.0279583333358</v>
      </c>
      <c r="N248" s="77">
        <v>12830.532083333339</v>
      </c>
      <c r="O248" s="77">
        <v>1518.3237499999998</v>
      </c>
      <c r="P248" s="77">
        <v>889.05791666666653</v>
      </c>
      <c r="Q248" s="77">
        <v>196.85000000000002</v>
      </c>
      <c r="R248" s="77">
        <v>0</v>
      </c>
      <c r="S248" s="81">
        <f t="shared" ref="S248:S255" si="249">SUM(N248:R248)</f>
        <v>15434.763750000006</v>
      </c>
      <c r="T248" s="77">
        <v>700</v>
      </c>
      <c r="U248" s="77">
        <v>427.30833333333334</v>
      </c>
      <c r="V248" s="77">
        <v>162.04158333333331</v>
      </c>
      <c r="W248" s="77">
        <v>1467.2429166666655</v>
      </c>
      <c r="X248" s="82">
        <f t="shared" ref="X248:X255" si="250">SUM(T248:W248)</f>
        <v>2756.5928333333322</v>
      </c>
      <c r="Y248" s="77">
        <v>0</v>
      </c>
      <c r="Z248" s="77">
        <v>515</v>
      </c>
      <c r="AA248" s="77">
        <v>0</v>
      </c>
      <c r="AB248" s="82">
        <f t="shared" ref="AB248:AB255" si="251">SUM(Y248:AA248)</f>
        <v>515</v>
      </c>
      <c r="AC248" s="84">
        <f t="shared" si="212"/>
        <v>2329.2844999999988</v>
      </c>
      <c r="AD248" s="39">
        <v>3000</v>
      </c>
      <c r="AE248" s="40">
        <f t="shared" ref="AE248:AE255" si="252">+N248-AD248</f>
        <v>9830.532083333339</v>
      </c>
      <c r="AF248" s="1">
        <f t="shared" ref="AF248:AF255" si="253">12*AJ248</f>
        <v>10.8</v>
      </c>
      <c r="AG248" s="1">
        <f t="shared" ref="AG248:AG255" si="254">12*AK248</f>
        <v>18</v>
      </c>
      <c r="AH248" s="41">
        <f t="shared" ref="AH248:AH255" si="255">+(AD248*AF248+AG248*AE248)/SUM(AD248:AE248)</f>
        <v>16.3165156472304</v>
      </c>
      <c r="AJ248">
        <v>0.9</v>
      </c>
      <c r="AK248">
        <v>1.5</v>
      </c>
      <c r="AL248" s="32">
        <f t="shared" ref="AL248:AL255" si="256">+AD248+AE248</f>
        <v>12830.532083333339</v>
      </c>
      <c r="AM248" s="4">
        <f t="shared" ref="AM248:AM255" si="257">+AD248/AL248</f>
        <v>0.23381727121799986</v>
      </c>
      <c r="AN248" s="4">
        <f t="shared" ref="AN248:AN255" si="258">+AE248/AL248</f>
        <v>0.76618272878200011</v>
      </c>
    </row>
    <row r="249" spans="1:40" ht="14.25" hidden="1" customHeight="1" x14ac:dyDescent="0.3">
      <c r="A249" s="84"/>
      <c r="C249" s="1">
        <v>2026</v>
      </c>
      <c r="D249" s="52">
        <v>46143</v>
      </c>
      <c r="E249" s="1">
        <v>16</v>
      </c>
      <c r="F249" s="1" t="str">
        <f>+Precios!C249</f>
        <v>mié</v>
      </c>
      <c r="G249" s="5">
        <f>+Precios!D249</f>
        <v>46155</v>
      </c>
      <c r="H249" s="77">
        <v>4329.2616666666645</v>
      </c>
      <c r="I249" s="77">
        <v>665.64958333333345</v>
      </c>
      <c r="J249" s="77">
        <v>126.79141666666689</v>
      </c>
      <c r="K249" s="77">
        <v>62.925520833333337</v>
      </c>
      <c r="L249" s="77">
        <v>0</v>
      </c>
      <c r="M249" s="81">
        <f t="shared" si="236"/>
        <v>5184.6281874999986</v>
      </c>
      <c r="N249" s="77">
        <v>12886.345416666669</v>
      </c>
      <c r="O249" s="77">
        <v>1525.1520833333334</v>
      </c>
      <c r="P249" s="77">
        <v>889.03583333333324</v>
      </c>
      <c r="Q249" s="77">
        <v>190.85000000000002</v>
      </c>
      <c r="R249" s="77">
        <v>0</v>
      </c>
      <c r="S249" s="81">
        <f t="shared" si="249"/>
        <v>15491.383333333335</v>
      </c>
      <c r="T249" s="77">
        <v>700</v>
      </c>
      <c r="U249" s="77">
        <v>375.94041666666664</v>
      </c>
      <c r="V249" s="77">
        <v>154.70149999999998</v>
      </c>
      <c r="W249" s="77">
        <v>1173.6862499999995</v>
      </c>
      <c r="X249" s="82">
        <f t="shared" si="250"/>
        <v>2404.3281666666662</v>
      </c>
      <c r="Y249" s="77">
        <v>0</v>
      </c>
      <c r="Z249" s="77">
        <v>447.63875000000002</v>
      </c>
      <c r="AA249" s="77">
        <v>0</v>
      </c>
      <c r="AB249" s="82">
        <f t="shared" si="251"/>
        <v>447.63875000000002</v>
      </c>
      <c r="AC249" s="84">
        <f t="shared" si="212"/>
        <v>2028.3877499999994</v>
      </c>
      <c r="AD249" s="39">
        <v>3000</v>
      </c>
      <c r="AE249" s="40">
        <f t="shared" si="252"/>
        <v>9886.3454166666688</v>
      </c>
      <c r="AF249" s="1">
        <f t="shared" si="253"/>
        <v>10.8</v>
      </c>
      <c r="AG249" s="1">
        <f t="shared" si="254"/>
        <v>18</v>
      </c>
      <c r="AH249" s="41">
        <f t="shared" si="255"/>
        <v>16.323807153883717</v>
      </c>
      <c r="AJ249">
        <v>0.9</v>
      </c>
      <c r="AK249">
        <v>1.5</v>
      </c>
      <c r="AL249" s="32">
        <f t="shared" si="256"/>
        <v>12886.345416666669</v>
      </c>
      <c r="AM249" s="4">
        <f t="shared" si="257"/>
        <v>0.23280456196059462</v>
      </c>
      <c r="AN249" s="4">
        <f t="shared" si="258"/>
        <v>0.76719543803940538</v>
      </c>
    </row>
    <row r="250" spans="1:40" ht="14.25" hidden="1" customHeight="1" x14ac:dyDescent="0.3">
      <c r="A250" s="84"/>
      <c r="C250" s="1">
        <v>2026</v>
      </c>
      <c r="D250" s="52">
        <v>46143</v>
      </c>
      <c r="E250" s="1">
        <v>16</v>
      </c>
      <c r="F250" s="1" t="str">
        <f>+Precios!C250</f>
        <v>jue</v>
      </c>
      <c r="G250" s="5">
        <f>+Precios!D250</f>
        <v>46156</v>
      </c>
      <c r="H250" s="77">
        <v>4325.4266666666745</v>
      </c>
      <c r="I250" s="77">
        <v>723.43833333333339</v>
      </c>
      <c r="J250" s="77">
        <v>58.515916666666698</v>
      </c>
      <c r="K250" s="77">
        <v>92.193958333333299</v>
      </c>
      <c r="L250" s="77">
        <v>0</v>
      </c>
      <c r="M250" s="81">
        <f t="shared" si="236"/>
        <v>5199.5748750000075</v>
      </c>
      <c r="N250" s="77">
        <v>12872.765416666671</v>
      </c>
      <c r="O250" s="77">
        <v>1531.5670833333334</v>
      </c>
      <c r="P250" s="77">
        <v>884.05333333333328</v>
      </c>
      <c r="Q250" s="77">
        <v>184.57343750000001</v>
      </c>
      <c r="R250" s="77">
        <v>0</v>
      </c>
      <c r="S250" s="81">
        <f t="shared" si="249"/>
        <v>15472.959270833337</v>
      </c>
      <c r="T250" s="77">
        <v>700</v>
      </c>
      <c r="U250" s="77">
        <v>373.60416666666669</v>
      </c>
      <c r="V250" s="77">
        <v>152.55616666666668</v>
      </c>
      <c r="W250" s="77">
        <v>576.44499999999982</v>
      </c>
      <c r="X250" s="82">
        <f t="shared" si="250"/>
        <v>1802.6053333333334</v>
      </c>
      <c r="Y250" s="77">
        <v>0</v>
      </c>
      <c r="Z250" s="77">
        <v>415</v>
      </c>
      <c r="AA250" s="77">
        <v>0</v>
      </c>
      <c r="AB250" s="82">
        <f t="shared" si="251"/>
        <v>415</v>
      </c>
      <c r="AC250" s="84">
        <f t="shared" si="212"/>
        <v>1429.0011666666664</v>
      </c>
      <c r="AD250" s="39">
        <v>3000</v>
      </c>
      <c r="AE250" s="40">
        <f t="shared" si="252"/>
        <v>9872.7654166666707</v>
      </c>
      <c r="AF250" s="1">
        <f t="shared" si="253"/>
        <v>10.8</v>
      </c>
      <c r="AG250" s="1">
        <f t="shared" si="254"/>
        <v>18</v>
      </c>
      <c r="AH250" s="41">
        <f t="shared" si="255"/>
        <v>16.322038870370932</v>
      </c>
      <c r="AJ250">
        <v>0.9</v>
      </c>
      <c r="AK250">
        <v>1.5</v>
      </c>
      <c r="AL250" s="32">
        <f t="shared" si="256"/>
        <v>12872.765416666671</v>
      </c>
      <c r="AM250" s="4">
        <f t="shared" si="257"/>
        <v>0.23305015689292605</v>
      </c>
      <c r="AN250" s="4">
        <f t="shared" si="258"/>
        <v>0.76694984310707393</v>
      </c>
    </row>
    <row r="251" spans="1:40" ht="14.25" hidden="1" customHeight="1" x14ac:dyDescent="0.3">
      <c r="A251" s="84"/>
      <c r="C251" s="1">
        <v>2026</v>
      </c>
      <c r="D251" s="52">
        <v>46143</v>
      </c>
      <c r="E251" s="1">
        <v>16</v>
      </c>
      <c r="F251" s="1" t="str">
        <f>+Precios!C251</f>
        <v>vie</v>
      </c>
      <c r="G251" s="5">
        <f>+Precios!D251</f>
        <v>46157</v>
      </c>
      <c r="H251" s="77">
        <v>4284.4079166666697</v>
      </c>
      <c r="I251" s="77">
        <v>602.8275000000001</v>
      </c>
      <c r="J251" s="77">
        <v>66.199250000000433</v>
      </c>
      <c r="K251" s="77">
        <v>71.606979166666633</v>
      </c>
      <c r="L251" s="77">
        <v>0</v>
      </c>
      <c r="M251" s="81">
        <f t="shared" si="236"/>
        <v>5025.0416458333375</v>
      </c>
      <c r="N251" s="77">
        <v>12663.534583333336</v>
      </c>
      <c r="O251" s="77">
        <v>1526.9075000000003</v>
      </c>
      <c r="P251" s="77">
        <v>906.33624999999995</v>
      </c>
      <c r="Q251" s="77">
        <v>177.67370833333337</v>
      </c>
      <c r="R251" s="77">
        <v>0</v>
      </c>
      <c r="S251" s="81">
        <f t="shared" si="249"/>
        <v>15274.452041666669</v>
      </c>
      <c r="T251" s="77">
        <v>700</v>
      </c>
      <c r="U251" s="77">
        <v>360.89916666666664</v>
      </c>
      <c r="V251" s="77">
        <v>151.75699999999998</v>
      </c>
      <c r="W251" s="77">
        <v>1468.9599999999998</v>
      </c>
      <c r="X251" s="82">
        <f t="shared" si="250"/>
        <v>2681.6161666666667</v>
      </c>
      <c r="Y251" s="77">
        <v>0</v>
      </c>
      <c r="Z251" s="77">
        <v>415</v>
      </c>
      <c r="AA251" s="77">
        <v>0</v>
      </c>
      <c r="AB251" s="82">
        <f t="shared" si="251"/>
        <v>415</v>
      </c>
      <c r="AC251" s="84">
        <f t="shared" si="212"/>
        <v>2320.7169999999996</v>
      </c>
      <c r="AD251" s="39">
        <v>3000</v>
      </c>
      <c r="AE251" s="40">
        <f t="shared" si="252"/>
        <v>9663.5345833333358</v>
      </c>
      <c r="AF251" s="1">
        <f t="shared" si="253"/>
        <v>10.8</v>
      </c>
      <c r="AG251" s="1">
        <f t="shared" si="254"/>
        <v>18</v>
      </c>
      <c r="AH251" s="41">
        <f t="shared" si="255"/>
        <v>16.294315077843429</v>
      </c>
      <c r="AJ251">
        <v>0.9</v>
      </c>
      <c r="AK251">
        <v>1.5</v>
      </c>
      <c r="AL251" s="32">
        <f t="shared" si="256"/>
        <v>12663.534583333336</v>
      </c>
      <c r="AM251" s="4">
        <f t="shared" si="257"/>
        <v>0.23690068363285746</v>
      </c>
      <c r="AN251" s="4">
        <f t="shared" si="258"/>
        <v>0.76309931636714257</v>
      </c>
    </row>
    <row r="252" spans="1:40" ht="14.25" hidden="1" customHeight="1" x14ac:dyDescent="0.3">
      <c r="A252" s="84"/>
      <c r="C252" s="1">
        <v>2026</v>
      </c>
      <c r="D252" s="52">
        <v>46143</v>
      </c>
      <c r="E252" s="1">
        <v>6</v>
      </c>
      <c r="F252" s="1" t="str">
        <f>+Precios!C252</f>
        <v>sáb</v>
      </c>
      <c r="G252" s="5">
        <f>+Precios!D252</f>
        <v>46158</v>
      </c>
      <c r="H252" s="77">
        <v>4281.4012499999926</v>
      </c>
      <c r="I252" s="77">
        <v>391.40874999999988</v>
      </c>
      <c r="J252" s="77">
        <v>58.888208333333381</v>
      </c>
      <c r="K252" s="77">
        <v>59.473666666666681</v>
      </c>
      <c r="L252" s="77">
        <v>0</v>
      </c>
      <c r="M252" s="81">
        <f t="shared" si="236"/>
        <v>4791.1718749999927</v>
      </c>
      <c r="N252" s="77">
        <v>12682.093333333332</v>
      </c>
      <c r="O252" s="77">
        <v>1325.68875</v>
      </c>
      <c r="P252" s="77">
        <v>927.94583333333321</v>
      </c>
      <c r="Q252" s="77">
        <v>186.8</v>
      </c>
      <c r="R252" s="77">
        <v>0</v>
      </c>
      <c r="S252" s="81">
        <f t="shared" si="249"/>
        <v>15122.527916666664</v>
      </c>
      <c r="T252" s="77">
        <v>700</v>
      </c>
      <c r="U252" s="77">
        <v>361.83041666666668</v>
      </c>
      <c r="V252" s="77">
        <v>144.29012500000002</v>
      </c>
      <c r="W252" s="77">
        <v>1113.2683333333323</v>
      </c>
      <c r="X252" s="82">
        <f t="shared" si="250"/>
        <v>2319.3888749999987</v>
      </c>
      <c r="Y252" s="77">
        <v>0</v>
      </c>
      <c r="Z252" s="77">
        <v>415</v>
      </c>
      <c r="AA252" s="77">
        <v>0</v>
      </c>
      <c r="AB252" s="82">
        <f t="shared" si="251"/>
        <v>415</v>
      </c>
      <c r="AC252" s="84">
        <f t="shared" si="212"/>
        <v>1957.5584583333323</v>
      </c>
      <c r="AD252" s="39">
        <v>3000</v>
      </c>
      <c r="AE252" s="40">
        <f t="shared" si="252"/>
        <v>9682.0933333333323</v>
      </c>
      <c r="AF252" s="1">
        <f t="shared" si="253"/>
        <v>10.8</v>
      </c>
      <c r="AG252" s="1">
        <f t="shared" si="254"/>
        <v>18</v>
      </c>
      <c r="AH252" s="41">
        <f t="shared" si="255"/>
        <v>16.296811146845368</v>
      </c>
      <c r="AJ252">
        <v>0.9</v>
      </c>
      <c r="AK252">
        <v>1.5</v>
      </c>
      <c r="AL252" s="32">
        <f t="shared" si="256"/>
        <v>12682.093333333332</v>
      </c>
      <c r="AM252" s="4">
        <f t="shared" si="257"/>
        <v>0.23655400738258775</v>
      </c>
      <c r="AN252" s="4">
        <f t="shared" si="258"/>
        <v>0.76344599261741219</v>
      </c>
    </row>
    <row r="253" spans="1:40" ht="14.25" hidden="1" customHeight="1" x14ac:dyDescent="0.3">
      <c r="A253" s="84"/>
      <c r="C253" s="1">
        <v>2026</v>
      </c>
      <c r="D253" s="52">
        <v>46143</v>
      </c>
      <c r="E253" s="1">
        <v>4</v>
      </c>
      <c r="F253" s="1" t="str">
        <f>+Precios!C253</f>
        <v>dom</v>
      </c>
      <c r="G253" s="5">
        <f>+Precios!D253</f>
        <v>46159</v>
      </c>
      <c r="H253" s="77">
        <v>4176.1016666666592</v>
      </c>
      <c r="I253" s="77">
        <v>576.92583333333312</v>
      </c>
      <c r="J253" s="77">
        <v>65.21441666666658</v>
      </c>
      <c r="K253" s="77">
        <v>55.083375000000018</v>
      </c>
      <c r="L253" s="77">
        <v>0</v>
      </c>
      <c r="M253" s="81">
        <f t="shared" si="236"/>
        <v>4873.3252916666588</v>
      </c>
      <c r="N253" s="77">
        <v>12770.711250000002</v>
      </c>
      <c r="O253" s="77">
        <v>1268.57375</v>
      </c>
      <c r="P253" s="77">
        <v>924.98916666666662</v>
      </c>
      <c r="Q253" s="77">
        <v>186.85000000000002</v>
      </c>
      <c r="R253" s="77">
        <v>0</v>
      </c>
      <c r="S253" s="81">
        <f t="shared" si="249"/>
        <v>15151.124166666668</v>
      </c>
      <c r="T253" s="77">
        <v>700</v>
      </c>
      <c r="U253" s="77">
        <v>360.79625000000004</v>
      </c>
      <c r="V253" s="77">
        <v>143.84850000000003</v>
      </c>
      <c r="W253" s="77">
        <v>991.9237499999989</v>
      </c>
      <c r="X253" s="82">
        <f t="shared" si="250"/>
        <v>2196.5684999999989</v>
      </c>
      <c r="Y253" s="77">
        <v>0</v>
      </c>
      <c r="Z253" s="77">
        <v>415</v>
      </c>
      <c r="AA253" s="77">
        <v>0</v>
      </c>
      <c r="AB253" s="82">
        <f t="shared" si="251"/>
        <v>415</v>
      </c>
      <c r="AC253" s="84">
        <f t="shared" si="212"/>
        <v>1835.7722499999991</v>
      </c>
      <c r="AD253" s="39">
        <v>3000</v>
      </c>
      <c r="AE253" s="40">
        <f t="shared" si="252"/>
        <v>9770.7112500000021</v>
      </c>
      <c r="AF253" s="1">
        <f t="shared" si="253"/>
        <v>10.8</v>
      </c>
      <c r="AG253" s="1">
        <f t="shared" si="254"/>
        <v>18</v>
      </c>
      <c r="AH253" s="41">
        <f t="shared" si="255"/>
        <v>16.308629834536429</v>
      </c>
      <c r="AJ253">
        <v>0.9</v>
      </c>
      <c r="AK253">
        <v>1.5</v>
      </c>
      <c r="AL253" s="32">
        <f t="shared" si="256"/>
        <v>12770.711250000002</v>
      </c>
      <c r="AM253" s="4">
        <f t="shared" si="257"/>
        <v>0.23491252298105161</v>
      </c>
      <c r="AN253" s="4">
        <f t="shared" si="258"/>
        <v>0.76508747701894841</v>
      </c>
    </row>
    <row r="254" spans="1:40" ht="14.25" hidden="1" customHeight="1" x14ac:dyDescent="0.3">
      <c r="A254" s="84"/>
      <c r="C254" s="1">
        <v>2026</v>
      </c>
      <c r="D254" s="52">
        <v>46143</v>
      </c>
      <c r="E254" s="1">
        <v>16</v>
      </c>
      <c r="F254" s="1" t="str">
        <f>+Precios!C254</f>
        <v>lun</v>
      </c>
      <c r="G254" s="5">
        <f>+Precios!D254</f>
        <v>46160</v>
      </c>
      <c r="H254" s="77">
        <v>5034.8787499999935</v>
      </c>
      <c r="I254" s="77">
        <v>684.6945833333333</v>
      </c>
      <c r="J254" s="77">
        <v>49.447124999999971</v>
      </c>
      <c r="K254" s="77">
        <v>83.646062499999985</v>
      </c>
      <c r="L254" s="77">
        <v>0</v>
      </c>
      <c r="M254" s="81">
        <f t="shared" si="236"/>
        <v>5852.6665208333261</v>
      </c>
      <c r="N254" s="77">
        <v>12973.735000000001</v>
      </c>
      <c r="O254" s="77">
        <v>1258.8062499999999</v>
      </c>
      <c r="P254" s="77">
        <v>924.9516666666666</v>
      </c>
      <c r="Q254" s="77">
        <v>186.85000000000002</v>
      </c>
      <c r="R254" s="77">
        <v>0</v>
      </c>
      <c r="S254" s="81">
        <f t="shared" si="249"/>
        <v>15344.342916666666</v>
      </c>
      <c r="T254" s="77">
        <v>700</v>
      </c>
      <c r="U254" s="77">
        <v>360.49416666666656</v>
      </c>
      <c r="V254" s="77">
        <v>167.46745833333333</v>
      </c>
      <c r="W254" s="77">
        <v>1196.017916666666</v>
      </c>
      <c r="X254" s="82">
        <f t="shared" si="250"/>
        <v>2423.9795416666657</v>
      </c>
      <c r="Y254" s="77">
        <v>0</v>
      </c>
      <c r="Z254" s="77">
        <v>415</v>
      </c>
      <c r="AA254" s="77">
        <v>0</v>
      </c>
      <c r="AB254" s="82">
        <f t="shared" si="251"/>
        <v>415</v>
      </c>
      <c r="AC254" s="84">
        <f t="shared" si="212"/>
        <v>2063.4853749999993</v>
      </c>
      <c r="AD254" s="39">
        <v>3000</v>
      </c>
      <c r="AE254" s="40">
        <f t="shared" si="252"/>
        <v>9973.7350000000006</v>
      </c>
      <c r="AF254" s="1">
        <f t="shared" si="253"/>
        <v>10.8</v>
      </c>
      <c r="AG254" s="1">
        <f t="shared" si="254"/>
        <v>18</v>
      </c>
      <c r="AH254" s="41">
        <f t="shared" si="255"/>
        <v>16.335097795661774</v>
      </c>
      <c r="AJ254">
        <v>0.9</v>
      </c>
      <c r="AK254">
        <v>1.5</v>
      </c>
      <c r="AL254" s="32">
        <f t="shared" si="256"/>
        <v>12973.735000000001</v>
      </c>
      <c r="AM254" s="4">
        <f t="shared" si="257"/>
        <v>0.23123641726919811</v>
      </c>
      <c r="AN254" s="4">
        <f t="shared" si="258"/>
        <v>0.76876358273080192</v>
      </c>
    </row>
    <row r="255" spans="1:40" ht="14.25" hidden="1" customHeight="1" x14ac:dyDescent="0.3">
      <c r="A255" s="84"/>
      <c r="C255" s="1">
        <v>2026</v>
      </c>
      <c r="D255" s="52">
        <v>46143</v>
      </c>
      <c r="E255" s="1">
        <v>16</v>
      </c>
      <c r="F255" s="1" t="str">
        <f>+Precios!C255</f>
        <v>mar</v>
      </c>
      <c r="G255" s="5">
        <f>+Precios!D255</f>
        <v>46161</v>
      </c>
      <c r="H255" s="77">
        <v>5411.1866666666656</v>
      </c>
      <c r="I255" s="77">
        <v>708.84666666666669</v>
      </c>
      <c r="J255" s="77">
        <v>54.538541666666475</v>
      </c>
      <c r="K255" s="77">
        <v>67.214791666666684</v>
      </c>
      <c r="L255" s="77">
        <v>0</v>
      </c>
      <c r="M255" s="81">
        <f t="shared" si="236"/>
        <v>6241.786666666665</v>
      </c>
      <c r="N255" s="77">
        <v>12908.61083333333</v>
      </c>
      <c r="O255" s="77">
        <v>1260.3541666666667</v>
      </c>
      <c r="P255" s="77">
        <v>924.9587499999999</v>
      </c>
      <c r="Q255" s="77">
        <v>186.8</v>
      </c>
      <c r="R255" s="77">
        <v>0</v>
      </c>
      <c r="S255" s="81">
        <f t="shared" si="249"/>
        <v>15280.723749999996</v>
      </c>
      <c r="T255" s="77">
        <v>700</v>
      </c>
      <c r="U255" s="77">
        <v>350.06375000000003</v>
      </c>
      <c r="V255" s="77">
        <v>188.15604166666671</v>
      </c>
      <c r="W255" s="77">
        <v>1237.6658333333326</v>
      </c>
      <c r="X255" s="82">
        <f t="shared" si="250"/>
        <v>2475.885624999999</v>
      </c>
      <c r="Y255" s="77">
        <v>0</v>
      </c>
      <c r="Z255" s="77">
        <v>415</v>
      </c>
      <c r="AA255" s="77">
        <v>0</v>
      </c>
      <c r="AB255" s="82">
        <f t="shared" si="251"/>
        <v>415</v>
      </c>
      <c r="AC255" s="84">
        <f t="shared" si="212"/>
        <v>2125.8218749999992</v>
      </c>
      <c r="AD255" s="39">
        <v>3000</v>
      </c>
      <c r="AE255" s="40">
        <f t="shared" si="252"/>
        <v>9908.6108333333304</v>
      </c>
      <c r="AF255" s="1">
        <f t="shared" si="253"/>
        <v>10.8</v>
      </c>
      <c r="AG255" s="1">
        <f t="shared" si="254"/>
        <v>18</v>
      </c>
      <c r="AH255" s="41">
        <f t="shared" si="255"/>
        <v>16.326698335019653</v>
      </c>
      <c r="AJ255">
        <v>0.9</v>
      </c>
      <c r="AK255">
        <v>1.5</v>
      </c>
      <c r="AL255" s="32">
        <f t="shared" si="256"/>
        <v>12908.61083333333</v>
      </c>
      <c r="AM255" s="4">
        <f t="shared" si="257"/>
        <v>0.23240300902504812</v>
      </c>
      <c r="AN255" s="4">
        <f t="shared" si="258"/>
        <v>0.76759699097495182</v>
      </c>
    </row>
    <row r="256" spans="1:40" ht="14.25" hidden="1" customHeight="1" x14ac:dyDescent="0.3">
      <c r="A256" s="84"/>
      <c r="C256" s="1">
        <v>2026</v>
      </c>
      <c r="D256" s="52">
        <v>46143</v>
      </c>
      <c r="E256" s="1">
        <v>16</v>
      </c>
      <c r="F256" s="1" t="str">
        <f>+Precios!C256</f>
        <v>mié</v>
      </c>
      <c r="G256" s="5">
        <f>+Precios!D256</f>
        <v>46162</v>
      </c>
      <c r="H256" s="77">
        <v>5209.0295833333321</v>
      </c>
      <c r="I256" s="77">
        <v>810.15291666666678</v>
      </c>
      <c r="J256" s="77">
        <v>58.822124999999971</v>
      </c>
      <c r="K256" s="77">
        <v>72.912312500000013</v>
      </c>
      <c r="L256" s="77">
        <v>0</v>
      </c>
      <c r="M256" s="81">
        <f t="shared" ref="M256:M261" si="259">+SUM(H256:L256)</f>
        <v>6150.9169374999983</v>
      </c>
      <c r="N256" s="77">
        <v>12947.789583333337</v>
      </c>
      <c r="O256" s="77">
        <v>1262.6554166666667</v>
      </c>
      <c r="P256" s="77">
        <v>924.95749999999998</v>
      </c>
      <c r="Q256" s="77">
        <v>186.85000000000002</v>
      </c>
      <c r="R256" s="77">
        <v>0</v>
      </c>
      <c r="S256" s="81">
        <f t="shared" ref="S256:S261" si="260">SUM(N256:R256)</f>
        <v>15322.252500000004</v>
      </c>
      <c r="T256" s="77">
        <v>700</v>
      </c>
      <c r="U256" s="77">
        <v>350.89083333333332</v>
      </c>
      <c r="V256" s="77">
        <v>247.65245833333336</v>
      </c>
      <c r="W256" s="77">
        <v>1069.3454166666659</v>
      </c>
      <c r="X256" s="82">
        <f t="shared" ref="X256:X261" si="261">SUM(T256:W256)</f>
        <v>2367.8887083333329</v>
      </c>
      <c r="Y256" s="77">
        <v>0</v>
      </c>
      <c r="Z256" s="77">
        <v>415</v>
      </c>
      <c r="AA256" s="77">
        <v>0</v>
      </c>
      <c r="AB256" s="82">
        <f t="shared" ref="AB256:AB261" si="262">SUM(Y256:AA256)</f>
        <v>415</v>
      </c>
      <c r="AC256" s="84">
        <f t="shared" si="212"/>
        <v>2016.9978749999991</v>
      </c>
      <c r="AD256" s="39">
        <v>3000</v>
      </c>
      <c r="AE256" s="40">
        <f t="shared" ref="AE256:AE261" si="263">+N256-AD256</f>
        <v>9947.7895833333369</v>
      </c>
      <c r="AF256" s="1">
        <f t="shared" ref="AF256:AF261" si="264">12*AJ256</f>
        <v>10.8</v>
      </c>
      <c r="AG256" s="1">
        <f t="shared" ref="AG256:AG261" si="265">12*AK256</f>
        <v>18</v>
      </c>
      <c r="AH256" s="41">
        <f t="shared" ref="AH256:AH261" si="266">+(AD256*AF256+AG256*AE256)/SUM(AD256:AE256)</f>
        <v>16.331761582857048</v>
      </c>
      <c r="AJ256">
        <v>0.9</v>
      </c>
      <c r="AK256">
        <v>1.5</v>
      </c>
      <c r="AL256" s="32">
        <f t="shared" ref="AL256:AL261" si="267">+AD256+AE256</f>
        <v>12947.789583333337</v>
      </c>
      <c r="AM256" s="4">
        <f t="shared" ref="AM256:AM261" si="268">+AD256/AL256</f>
        <v>0.23169978015874326</v>
      </c>
      <c r="AN256" s="4">
        <f t="shared" ref="AN256:AN261" si="269">+AE256/AL256</f>
        <v>0.76830021984125674</v>
      </c>
    </row>
    <row r="257" spans="1:40" ht="14.25" hidden="1" customHeight="1" x14ac:dyDescent="0.3">
      <c r="A257" s="84"/>
      <c r="C257" s="1">
        <v>2026</v>
      </c>
      <c r="D257" s="52">
        <v>46143</v>
      </c>
      <c r="E257" s="1">
        <v>16</v>
      </c>
      <c r="F257" s="1" t="str">
        <f>+Precios!C257</f>
        <v>jue</v>
      </c>
      <c r="G257" s="5">
        <f>+Precios!D257</f>
        <v>46163</v>
      </c>
      <c r="H257" s="77">
        <v>5435.7537499999971</v>
      </c>
      <c r="I257" s="77">
        <v>731.21333333333348</v>
      </c>
      <c r="J257" s="77">
        <v>48.753791666666672</v>
      </c>
      <c r="K257" s="77">
        <v>99.20406250000002</v>
      </c>
      <c r="L257" s="77">
        <v>0</v>
      </c>
      <c r="M257" s="81">
        <f t="shared" si="259"/>
        <v>6314.9249374999972</v>
      </c>
      <c r="N257" s="77">
        <v>12866.559166666662</v>
      </c>
      <c r="O257" s="77">
        <v>1284.3491666666666</v>
      </c>
      <c r="P257" s="77">
        <v>929.06291666666664</v>
      </c>
      <c r="Q257" s="77">
        <v>186.8</v>
      </c>
      <c r="R257" s="77">
        <v>0</v>
      </c>
      <c r="S257" s="81">
        <f t="shared" si="260"/>
        <v>15266.771249999994</v>
      </c>
      <c r="T257" s="77">
        <v>700</v>
      </c>
      <c r="U257" s="77">
        <v>357.4375</v>
      </c>
      <c r="V257" s="77">
        <v>252.98037500000007</v>
      </c>
      <c r="W257" s="77">
        <v>683.81916666666712</v>
      </c>
      <c r="X257" s="82">
        <f t="shared" si="261"/>
        <v>1994.2370416666672</v>
      </c>
      <c r="Y257" s="77">
        <v>0</v>
      </c>
      <c r="Z257" s="77">
        <v>415</v>
      </c>
      <c r="AA257" s="77">
        <v>0</v>
      </c>
      <c r="AB257" s="82">
        <f t="shared" si="262"/>
        <v>415</v>
      </c>
      <c r="AC257" s="84">
        <f t="shared" si="212"/>
        <v>1636.7995416666672</v>
      </c>
      <c r="AD257" s="39">
        <v>3000</v>
      </c>
      <c r="AE257" s="40">
        <f t="shared" si="263"/>
        <v>9866.5591666666623</v>
      </c>
      <c r="AF257" s="1">
        <f t="shared" si="264"/>
        <v>10.8</v>
      </c>
      <c r="AG257" s="1">
        <f t="shared" si="265"/>
        <v>18</v>
      </c>
      <c r="AH257" s="41">
        <f t="shared" si="266"/>
        <v>16.321229497318985</v>
      </c>
      <c r="AJ257">
        <v>0.9</v>
      </c>
      <c r="AK257">
        <v>1.5</v>
      </c>
      <c r="AL257" s="32">
        <f t="shared" si="267"/>
        <v>12866.559166666662</v>
      </c>
      <c r="AM257" s="4">
        <f t="shared" si="268"/>
        <v>0.2331625698168075</v>
      </c>
      <c r="AN257" s="4">
        <f t="shared" si="269"/>
        <v>0.7668374301831925</v>
      </c>
    </row>
    <row r="258" spans="1:40" ht="14.25" hidden="1" customHeight="1" x14ac:dyDescent="0.3">
      <c r="A258" s="84"/>
      <c r="C258" s="1">
        <v>2026</v>
      </c>
      <c r="D258" s="52">
        <v>46143</v>
      </c>
      <c r="E258" s="1">
        <v>16</v>
      </c>
      <c r="F258" s="1" t="str">
        <f>+Precios!C258</f>
        <v>vie</v>
      </c>
      <c r="G258" s="5">
        <f>+Precios!D258</f>
        <v>46164</v>
      </c>
      <c r="H258" s="77">
        <v>5296.4254166666697</v>
      </c>
      <c r="I258" s="77">
        <v>672.46291666666684</v>
      </c>
      <c r="J258" s="77">
        <v>35.938916666666984</v>
      </c>
      <c r="K258" s="77">
        <v>82.567770833333313</v>
      </c>
      <c r="L258" s="77">
        <v>0</v>
      </c>
      <c r="M258" s="81">
        <f t="shared" si="259"/>
        <v>6087.3950208333363</v>
      </c>
      <c r="N258" s="77">
        <v>12869.460833333325</v>
      </c>
      <c r="O258" s="77">
        <v>1218.5041666666666</v>
      </c>
      <c r="P258" s="77">
        <v>934.08249999999998</v>
      </c>
      <c r="Q258" s="77">
        <v>185.8</v>
      </c>
      <c r="R258" s="77">
        <v>0</v>
      </c>
      <c r="S258" s="81">
        <f t="shared" si="260"/>
        <v>15207.847499999993</v>
      </c>
      <c r="T258" s="77">
        <v>700</v>
      </c>
      <c r="U258" s="77">
        <v>357.07958333333335</v>
      </c>
      <c r="V258" s="77">
        <v>233.1860833333333</v>
      </c>
      <c r="W258" s="77">
        <v>1022.8458333333328</v>
      </c>
      <c r="X258" s="82">
        <f t="shared" si="261"/>
        <v>2313.1114999999995</v>
      </c>
      <c r="Y258" s="77">
        <v>0</v>
      </c>
      <c r="Z258" s="77">
        <v>415</v>
      </c>
      <c r="AA258" s="77">
        <v>0</v>
      </c>
      <c r="AB258" s="82">
        <f t="shared" si="262"/>
        <v>415</v>
      </c>
      <c r="AC258" s="84">
        <f t="shared" si="212"/>
        <v>1956.0319166666661</v>
      </c>
      <c r="AD258" s="39">
        <v>3000</v>
      </c>
      <c r="AE258" s="40">
        <f t="shared" si="263"/>
        <v>9869.4608333333254</v>
      </c>
      <c r="AF258" s="1">
        <f t="shared" si="264"/>
        <v>10.8</v>
      </c>
      <c r="AG258" s="1">
        <f t="shared" si="265"/>
        <v>18</v>
      </c>
      <c r="AH258" s="41">
        <f t="shared" si="266"/>
        <v>16.321608008312701</v>
      </c>
      <c r="AJ258">
        <v>0.9</v>
      </c>
      <c r="AK258">
        <v>1.5</v>
      </c>
      <c r="AL258" s="32">
        <f t="shared" si="267"/>
        <v>12869.460833333325</v>
      </c>
      <c r="AM258" s="4">
        <f t="shared" si="268"/>
        <v>0.23310999884545813</v>
      </c>
      <c r="AN258" s="4">
        <f t="shared" si="269"/>
        <v>0.76689000115454187</v>
      </c>
    </row>
    <row r="259" spans="1:40" ht="14.25" hidden="1" customHeight="1" x14ac:dyDescent="0.3">
      <c r="A259" s="84"/>
      <c r="C259" s="1">
        <v>2026</v>
      </c>
      <c r="D259" s="52">
        <v>46143</v>
      </c>
      <c r="E259" s="1">
        <v>6</v>
      </c>
      <c r="F259" s="1" t="str">
        <f>+Precios!C259</f>
        <v>sáb</v>
      </c>
      <c r="G259" s="5">
        <f>+Precios!D259</f>
        <v>46165</v>
      </c>
      <c r="H259" s="77">
        <v>4387.7920833333292</v>
      </c>
      <c r="I259" s="77">
        <v>832.36833333333379</v>
      </c>
      <c r="J259" s="77">
        <v>23.266291666666859</v>
      </c>
      <c r="K259" s="77">
        <v>77.030583333333325</v>
      </c>
      <c r="L259" s="77">
        <v>0</v>
      </c>
      <c r="M259" s="81">
        <f t="shared" si="259"/>
        <v>5320.457291666663</v>
      </c>
      <c r="N259" s="77">
        <v>12350.390833333329</v>
      </c>
      <c r="O259" s="77">
        <v>1243.5079166666667</v>
      </c>
      <c r="P259" s="77">
        <v>934.07958333333329</v>
      </c>
      <c r="Q259" s="77">
        <v>185.75</v>
      </c>
      <c r="R259" s="77">
        <v>0</v>
      </c>
      <c r="S259" s="81">
        <f t="shared" si="260"/>
        <v>14713.728333333331</v>
      </c>
      <c r="T259" s="77">
        <v>700</v>
      </c>
      <c r="U259" s="77">
        <v>358.01125000000002</v>
      </c>
      <c r="V259" s="77">
        <v>163.08120833333334</v>
      </c>
      <c r="W259" s="77">
        <v>1310.6241666666656</v>
      </c>
      <c r="X259" s="82">
        <f t="shared" si="261"/>
        <v>2531.7166249999991</v>
      </c>
      <c r="Y259" s="77">
        <v>0</v>
      </c>
      <c r="Z259" s="77">
        <v>415</v>
      </c>
      <c r="AA259" s="77">
        <v>0</v>
      </c>
      <c r="AB259" s="82">
        <f t="shared" si="262"/>
        <v>415</v>
      </c>
      <c r="AC259" s="84">
        <f t="shared" si="212"/>
        <v>2173.7053749999986</v>
      </c>
      <c r="AD259" s="39">
        <v>3000</v>
      </c>
      <c r="AE259" s="40">
        <f t="shared" si="263"/>
        <v>9350.3908333333293</v>
      </c>
      <c r="AF259" s="1">
        <f t="shared" si="264"/>
        <v>10.8</v>
      </c>
      <c r="AG259" s="1">
        <f t="shared" si="265"/>
        <v>18</v>
      </c>
      <c r="AH259" s="41">
        <f t="shared" si="266"/>
        <v>16.251067493208211</v>
      </c>
      <c r="AJ259">
        <v>0.9</v>
      </c>
      <c r="AK259">
        <v>1.5</v>
      </c>
      <c r="AL259" s="32">
        <f t="shared" si="267"/>
        <v>12350.390833333329</v>
      </c>
      <c r="AM259" s="4">
        <f t="shared" si="268"/>
        <v>0.24290729260997079</v>
      </c>
      <c r="AN259" s="4">
        <f t="shared" si="269"/>
        <v>0.75709270739002921</v>
      </c>
    </row>
    <row r="260" spans="1:40" ht="14.25" hidden="1" customHeight="1" x14ac:dyDescent="0.3">
      <c r="A260" s="84"/>
      <c r="C260" s="1">
        <v>2026</v>
      </c>
      <c r="D260" s="52">
        <v>46143</v>
      </c>
      <c r="E260" s="1">
        <v>4</v>
      </c>
      <c r="F260" s="1" t="str">
        <f>+Precios!C260</f>
        <v>dom</v>
      </c>
      <c r="G260" s="5">
        <f>+Precios!D260</f>
        <v>46166</v>
      </c>
      <c r="H260" s="77">
        <v>4335.7037500000015</v>
      </c>
      <c r="I260" s="77">
        <v>665.31999999999982</v>
      </c>
      <c r="J260" s="77">
        <v>14.701541666666657</v>
      </c>
      <c r="K260" s="77">
        <v>41.883812500000005</v>
      </c>
      <c r="L260" s="77">
        <v>0</v>
      </c>
      <c r="M260" s="81">
        <f t="shared" si="259"/>
        <v>5057.6091041666677</v>
      </c>
      <c r="N260" s="77">
        <v>12310.132083333334</v>
      </c>
      <c r="O260" s="77">
        <v>1387.8516666666667</v>
      </c>
      <c r="P260" s="77">
        <v>934.07583333333332</v>
      </c>
      <c r="Q260" s="77">
        <v>185.8</v>
      </c>
      <c r="R260" s="77">
        <v>0</v>
      </c>
      <c r="S260" s="81">
        <f t="shared" si="260"/>
        <v>14817.859583333335</v>
      </c>
      <c r="T260" s="77">
        <v>700</v>
      </c>
      <c r="U260" s="77">
        <v>298.41291666666666</v>
      </c>
      <c r="V260" s="77">
        <v>157.30554166666664</v>
      </c>
      <c r="W260" s="77">
        <v>1399.7825000000018</v>
      </c>
      <c r="X260" s="82">
        <f t="shared" si="261"/>
        <v>2555.5009583333349</v>
      </c>
      <c r="Y260" s="77">
        <v>0</v>
      </c>
      <c r="Z260" s="77">
        <v>464.72208333333333</v>
      </c>
      <c r="AA260" s="77">
        <v>0</v>
      </c>
      <c r="AB260" s="82">
        <f t="shared" si="262"/>
        <v>464.72208333333333</v>
      </c>
      <c r="AC260" s="84">
        <f t="shared" si="212"/>
        <v>2257.0880416666687</v>
      </c>
      <c r="AD260" s="39">
        <v>3000</v>
      </c>
      <c r="AE260" s="40">
        <f t="shared" si="263"/>
        <v>9310.1320833333339</v>
      </c>
      <c r="AF260" s="1">
        <f t="shared" si="264"/>
        <v>10.8</v>
      </c>
      <c r="AG260" s="1">
        <f t="shared" si="265"/>
        <v>18</v>
      </c>
      <c r="AH260" s="41">
        <f t="shared" si="266"/>
        <v>16.24534782780729</v>
      </c>
      <c r="AJ260">
        <v>0.9</v>
      </c>
      <c r="AK260">
        <v>1.5</v>
      </c>
      <c r="AL260" s="32">
        <f t="shared" si="267"/>
        <v>12310.132083333334</v>
      </c>
      <c r="AM260" s="4">
        <f t="shared" si="268"/>
        <v>0.24370169058232077</v>
      </c>
      <c r="AN260" s="4">
        <f t="shared" si="269"/>
        <v>0.75629830941767917</v>
      </c>
    </row>
    <row r="261" spans="1:40" ht="14.25" hidden="1" customHeight="1" x14ac:dyDescent="0.3">
      <c r="A261" s="84"/>
      <c r="C261" s="1">
        <v>2026</v>
      </c>
      <c r="D261" s="52">
        <v>46143</v>
      </c>
      <c r="E261" s="1">
        <v>4</v>
      </c>
      <c r="F261" s="1" t="str">
        <f>+Precios!C261</f>
        <v>lun</v>
      </c>
      <c r="G261" s="5">
        <f>+Precios!D261</f>
        <v>46167</v>
      </c>
      <c r="H261" s="77">
        <v>4271.5679166666769</v>
      </c>
      <c r="I261" s="77">
        <v>960.41750000000013</v>
      </c>
      <c r="J261" s="77">
        <v>29.613916666666654</v>
      </c>
      <c r="K261" s="77">
        <v>63.921854166666677</v>
      </c>
      <c r="L261" s="77">
        <v>0</v>
      </c>
      <c r="M261" s="81">
        <f t="shared" si="259"/>
        <v>5325.5211875000105</v>
      </c>
      <c r="N261" s="77">
        <v>12257.271250000005</v>
      </c>
      <c r="O261" s="77">
        <v>1519.2258333333332</v>
      </c>
      <c r="P261" s="77">
        <v>937.50666666666655</v>
      </c>
      <c r="Q261" s="77">
        <v>185.75</v>
      </c>
      <c r="R261" s="77">
        <v>0</v>
      </c>
      <c r="S261" s="81">
        <f t="shared" si="260"/>
        <v>14899.753750000005</v>
      </c>
      <c r="T261" s="77">
        <v>700</v>
      </c>
      <c r="U261" s="77">
        <v>401.91666666666669</v>
      </c>
      <c r="V261" s="77">
        <v>149.28733333333335</v>
      </c>
      <c r="W261" s="77">
        <v>882.09249999999895</v>
      </c>
      <c r="X261" s="82">
        <f t="shared" si="261"/>
        <v>2133.296499999999</v>
      </c>
      <c r="Y261" s="77">
        <v>0</v>
      </c>
      <c r="Z261" s="77">
        <v>515</v>
      </c>
      <c r="AA261" s="77">
        <v>0</v>
      </c>
      <c r="AB261" s="82">
        <f t="shared" si="262"/>
        <v>515</v>
      </c>
      <c r="AC261" s="84">
        <f t="shared" si="212"/>
        <v>1731.3798333333323</v>
      </c>
      <c r="AD261" s="39">
        <v>3000</v>
      </c>
      <c r="AE261" s="40">
        <f t="shared" si="263"/>
        <v>9257.2712500000052</v>
      </c>
      <c r="AF261" s="1">
        <f t="shared" si="264"/>
        <v>10.8</v>
      </c>
      <c r="AG261" s="1">
        <f t="shared" si="265"/>
        <v>18</v>
      </c>
      <c r="AH261" s="41">
        <f t="shared" si="266"/>
        <v>16.237780696906746</v>
      </c>
      <c r="AJ261">
        <v>0.9</v>
      </c>
      <c r="AK261">
        <v>1.5</v>
      </c>
      <c r="AL261" s="32">
        <f t="shared" si="267"/>
        <v>12257.271250000005</v>
      </c>
      <c r="AM261" s="4">
        <f t="shared" si="268"/>
        <v>0.2447526809851743</v>
      </c>
      <c r="AN261" s="4">
        <f t="shared" si="269"/>
        <v>0.75524731901482567</v>
      </c>
    </row>
    <row r="262" spans="1:40" ht="14.25" hidden="1" customHeight="1" x14ac:dyDescent="0.3">
      <c r="A262" s="84"/>
      <c r="C262" s="1">
        <v>2026</v>
      </c>
      <c r="D262" s="52">
        <v>46143</v>
      </c>
      <c r="E262" s="1">
        <v>16</v>
      </c>
      <c r="F262" s="1" t="str">
        <f>+Precios!C262</f>
        <v>mar</v>
      </c>
      <c r="G262" s="5">
        <f>+Precios!D262</f>
        <v>46168</v>
      </c>
      <c r="H262" s="77">
        <v>4539.1570833333226</v>
      </c>
      <c r="I262" s="77">
        <v>1257.9733333333329</v>
      </c>
      <c r="J262" s="77">
        <v>20.884250000000122</v>
      </c>
      <c r="K262" s="77">
        <v>72.403499999999994</v>
      </c>
      <c r="L262" s="77">
        <v>0</v>
      </c>
      <c r="M262" s="81">
        <f t="shared" ref="M262:M266" si="270">+SUM(H262:L262)</f>
        <v>5890.4181666666564</v>
      </c>
      <c r="N262" s="77">
        <v>12647.852083333333</v>
      </c>
      <c r="O262" s="77">
        <v>1539.7454166666669</v>
      </c>
      <c r="P262" s="77">
        <v>939.22541666666655</v>
      </c>
      <c r="Q262" s="77">
        <v>185.8</v>
      </c>
      <c r="R262" s="77">
        <v>0</v>
      </c>
      <c r="S262" s="81">
        <f t="shared" ref="S262:S266" si="271">SUM(N262:R262)</f>
        <v>15312.622916666665</v>
      </c>
      <c r="T262" s="77">
        <v>700</v>
      </c>
      <c r="U262" s="77">
        <v>432.2091666666667</v>
      </c>
      <c r="V262" s="77">
        <v>165.96158333333332</v>
      </c>
      <c r="W262" s="77">
        <v>907.66041666666752</v>
      </c>
      <c r="X262" s="82">
        <f t="shared" ref="X262:X266" si="272">SUM(T262:W262)</f>
        <v>2205.8311666666677</v>
      </c>
      <c r="Y262" s="77">
        <v>0</v>
      </c>
      <c r="Z262" s="77">
        <v>515</v>
      </c>
      <c r="AA262" s="77">
        <v>0</v>
      </c>
      <c r="AB262" s="82">
        <f t="shared" ref="AB262:AB266" si="273">SUM(Y262:AA262)</f>
        <v>515</v>
      </c>
      <c r="AC262" s="84">
        <f t="shared" si="212"/>
        <v>1773.6220000000008</v>
      </c>
      <c r="AD262" s="39">
        <v>3000</v>
      </c>
      <c r="AE262" s="40">
        <f t="shared" ref="AE262:AE266" si="274">+N262-AD262</f>
        <v>9647.8520833333332</v>
      </c>
      <c r="AF262" s="1">
        <f t="shared" ref="AF262:AF266" si="275">12*AJ262</f>
        <v>10.8</v>
      </c>
      <c r="AG262" s="1">
        <f t="shared" ref="AG262:AG266" si="276">12*AK262</f>
        <v>18</v>
      </c>
      <c r="AH262" s="41">
        <f t="shared" ref="AH262:AH266" si="277">+(AD262*AF262+AG262*AE262)/SUM(AD262:AE262)</f>
        <v>16.292200141361288</v>
      </c>
      <c r="AJ262">
        <v>0.9</v>
      </c>
      <c r="AK262">
        <v>1.5</v>
      </c>
      <c r="AL262" s="32">
        <f t="shared" ref="AL262:AL266" si="278">+AD262+AE262</f>
        <v>12647.852083333333</v>
      </c>
      <c r="AM262" s="4">
        <f t="shared" ref="AM262:AM266" si="279">+AD262/AL262</f>
        <v>0.23719442481093217</v>
      </c>
      <c r="AN262" s="4">
        <f t="shared" ref="AN262:AN266" si="280">+AE262/AL262</f>
        <v>0.76280557518906789</v>
      </c>
    </row>
    <row r="263" spans="1:40" ht="14.25" hidden="1" customHeight="1" x14ac:dyDescent="0.3">
      <c r="A263" s="84"/>
      <c r="C263" s="1">
        <v>2026</v>
      </c>
      <c r="D263" s="52">
        <v>46143</v>
      </c>
      <c r="E263" s="1">
        <v>16</v>
      </c>
      <c r="F263" s="1" t="str">
        <f>+Precios!C263</f>
        <v>mié</v>
      </c>
      <c r="G263" s="5">
        <f>+Precios!D263</f>
        <v>46169</v>
      </c>
      <c r="H263" s="77">
        <v>4544.7483333333421</v>
      </c>
      <c r="I263" s="77">
        <v>1312.5108333333333</v>
      </c>
      <c r="J263" s="77">
        <v>51.261500000000041</v>
      </c>
      <c r="K263" s="77">
        <v>83.471270833333392</v>
      </c>
      <c r="L263" s="77">
        <v>0</v>
      </c>
      <c r="M263" s="81">
        <f t="shared" si="270"/>
        <v>5991.991937500009</v>
      </c>
      <c r="N263" s="77">
        <v>12604.579166666672</v>
      </c>
      <c r="O263" s="77">
        <v>1528.3054166666668</v>
      </c>
      <c r="P263" s="77">
        <v>940.93999999999994</v>
      </c>
      <c r="Q263" s="77">
        <v>189.86654166666668</v>
      </c>
      <c r="R263" s="77">
        <v>0</v>
      </c>
      <c r="S263" s="81">
        <f t="shared" si="271"/>
        <v>15263.691125000005</v>
      </c>
      <c r="T263" s="77">
        <v>700</v>
      </c>
      <c r="U263" s="77">
        <v>426.49291666666659</v>
      </c>
      <c r="V263" s="77">
        <v>172.02141666666671</v>
      </c>
      <c r="W263" s="77">
        <v>954.17541666666602</v>
      </c>
      <c r="X263" s="82">
        <f t="shared" si="272"/>
        <v>2252.6897499999995</v>
      </c>
      <c r="Y263" s="77">
        <v>0</v>
      </c>
      <c r="Z263" s="77">
        <v>515</v>
      </c>
      <c r="AA263" s="77">
        <v>0</v>
      </c>
      <c r="AB263" s="82">
        <f t="shared" si="273"/>
        <v>515</v>
      </c>
      <c r="AC263" s="84">
        <f t="shared" si="212"/>
        <v>1826.1968333333327</v>
      </c>
      <c r="AD263" s="39">
        <v>3000</v>
      </c>
      <c r="AE263" s="40">
        <f t="shared" si="274"/>
        <v>9604.5791666666719</v>
      </c>
      <c r="AF263" s="1">
        <f t="shared" si="275"/>
        <v>10.8</v>
      </c>
      <c r="AG263" s="1">
        <f t="shared" si="276"/>
        <v>18</v>
      </c>
      <c r="AH263" s="41">
        <f t="shared" si="277"/>
        <v>16.286337075249438</v>
      </c>
      <c r="AJ263">
        <v>0.9</v>
      </c>
      <c r="AK263">
        <v>1.5</v>
      </c>
      <c r="AL263" s="32">
        <f t="shared" si="278"/>
        <v>12604.579166666672</v>
      </c>
      <c r="AM263" s="4">
        <f t="shared" si="279"/>
        <v>0.23800873954868906</v>
      </c>
      <c r="AN263" s="4">
        <f t="shared" si="280"/>
        <v>0.76199126045131094</v>
      </c>
    </row>
    <row r="264" spans="1:40" ht="14.25" hidden="1" customHeight="1" x14ac:dyDescent="0.3">
      <c r="A264" s="84"/>
      <c r="C264" s="1">
        <v>2026</v>
      </c>
      <c r="D264" s="52">
        <v>46143</v>
      </c>
      <c r="E264" s="1">
        <v>16</v>
      </c>
      <c r="F264" s="1" t="str">
        <f>+Precios!C264</f>
        <v>jue</v>
      </c>
      <c r="G264" s="5">
        <f>+Precios!D264</f>
        <v>46170</v>
      </c>
      <c r="H264" s="77">
        <v>4811.3450000000021</v>
      </c>
      <c r="I264" s="77">
        <v>1058.8079166666666</v>
      </c>
      <c r="J264" s="77">
        <v>37.265041666666576</v>
      </c>
      <c r="K264" s="77">
        <v>79.496020833333347</v>
      </c>
      <c r="L264" s="77">
        <v>0</v>
      </c>
      <c r="M264" s="81">
        <f t="shared" si="270"/>
        <v>5986.9139791666685</v>
      </c>
      <c r="N264" s="77">
        <v>12287.202916666669</v>
      </c>
      <c r="O264" s="77">
        <v>1465.3566666666666</v>
      </c>
      <c r="P264" s="77">
        <v>940.93208333333325</v>
      </c>
      <c r="Q264" s="77">
        <v>193.8</v>
      </c>
      <c r="R264" s="77">
        <v>0</v>
      </c>
      <c r="S264" s="81">
        <f t="shared" si="271"/>
        <v>14887.291666666668</v>
      </c>
      <c r="T264" s="77">
        <v>700</v>
      </c>
      <c r="U264" s="77">
        <v>432.32249999999999</v>
      </c>
      <c r="V264" s="77">
        <v>159.58329166666667</v>
      </c>
      <c r="W264" s="77">
        <v>782.64666666666574</v>
      </c>
      <c r="X264" s="82">
        <f t="shared" si="272"/>
        <v>2074.5524583333322</v>
      </c>
      <c r="Y264" s="77">
        <v>0</v>
      </c>
      <c r="Z264" s="77">
        <v>515</v>
      </c>
      <c r="AA264" s="77">
        <v>0</v>
      </c>
      <c r="AB264" s="82">
        <f t="shared" si="273"/>
        <v>515</v>
      </c>
      <c r="AC264" s="84">
        <f t="shared" si="212"/>
        <v>1642.2299583333324</v>
      </c>
      <c r="AD264" s="39">
        <v>3000</v>
      </c>
      <c r="AE264" s="40">
        <f t="shared" si="274"/>
        <v>9287.2029166666689</v>
      </c>
      <c r="AF264" s="1">
        <f t="shared" si="275"/>
        <v>10.8</v>
      </c>
      <c r="AG264" s="1">
        <f t="shared" si="276"/>
        <v>18</v>
      </c>
      <c r="AH264" s="41">
        <f t="shared" si="277"/>
        <v>16.242073468917713</v>
      </c>
      <c r="AJ264">
        <v>0.9</v>
      </c>
      <c r="AK264">
        <v>1.5</v>
      </c>
      <c r="AL264" s="32">
        <f t="shared" si="278"/>
        <v>12287.202916666669</v>
      </c>
      <c r="AM264" s="4">
        <f t="shared" si="279"/>
        <v>0.24415646265031768</v>
      </c>
      <c r="AN264" s="4">
        <f t="shared" si="280"/>
        <v>0.75584353734968235</v>
      </c>
    </row>
    <row r="265" spans="1:40" ht="14.25" hidden="1" customHeight="1" x14ac:dyDescent="0.3">
      <c r="A265" s="84"/>
      <c r="C265" s="1">
        <v>2026</v>
      </c>
      <c r="D265" s="52">
        <v>46143</v>
      </c>
      <c r="E265" s="1">
        <v>16</v>
      </c>
      <c r="F265" s="1" t="str">
        <f>+Precios!C265</f>
        <v>vie</v>
      </c>
      <c r="G265" s="5">
        <f>+Precios!D265</f>
        <v>46171</v>
      </c>
      <c r="H265" s="77">
        <v>4665.9100000000008</v>
      </c>
      <c r="I265" s="77">
        <v>1072.8891666666668</v>
      </c>
      <c r="J265" s="77">
        <v>32.605249999999927</v>
      </c>
      <c r="K265" s="77">
        <v>71.675958333333355</v>
      </c>
      <c r="L265" s="77">
        <v>0</v>
      </c>
      <c r="M265" s="81">
        <f t="shared" si="270"/>
        <v>5843.0803750000005</v>
      </c>
      <c r="N265" s="77">
        <v>12366.595416666671</v>
      </c>
      <c r="O265" s="77">
        <v>1526.11625</v>
      </c>
      <c r="P265" s="77">
        <v>938.92791666666653</v>
      </c>
      <c r="Q265" s="77">
        <v>191.28125</v>
      </c>
      <c r="R265" s="77">
        <v>0</v>
      </c>
      <c r="S265" s="81">
        <f t="shared" si="271"/>
        <v>15022.920833333337</v>
      </c>
      <c r="T265" s="77">
        <v>700</v>
      </c>
      <c r="U265" s="77">
        <v>427.64916666666659</v>
      </c>
      <c r="V265" s="77">
        <v>132.10391666666669</v>
      </c>
      <c r="W265" s="77">
        <v>605.82416666666688</v>
      </c>
      <c r="X265" s="82">
        <f t="shared" si="272"/>
        <v>1865.5772500000003</v>
      </c>
      <c r="Y265" s="77">
        <v>0</v>
      </c>
      <c r="Z265" s="77">
        <v>515</v>
      </c>
      <c r="AA265" s="77">
        <v>0</v>
      </c>
      <c r="AB265" s="82">
        <f t="shared" si="273"/>
        <v>515</v>
      </c>
      <c r="AC265" s="84">
        <f t="shared" si="212"/>
        <v>1437.9280833333337</v>
      </c>
      <c r="AD265" s="39">
        <v>3000</v>
      </c>
      <c r="AE265" s="40">
        <f t="shared" si="274"/>
        <v>9366.5954166666706</v>
      </c>
      <c r="AF265" s="1">
        <f t="shared" si="275"/>
        <v>10.8</v>
      </c>
      <c r="AG265" s="1">
        <f t="shared" si="276"/>
        <v>18</v>
      </c>
      <c r="AH265" s="41">
        <f t="shared" si="277"/>
        <v>16.25335920904396</v>
      </c>
      <c r="AJ265">
        <v>0.9</v>
      </c>
      <c r="AK265">
        <v>1.5</v>
      </c>
      <c r="AL265" s="32">
        <f t="shared" si="278"/>
        <v>12366.595416666671</v>
      </c>
      <c r="AM265" s="4">
        <f t="shared" si="279"/>
        <v>0.24258899874389431</v>
      </c>
      <c r="AN265" s="4">
        <f t="shared" si="280"/>
        <v>0.75741100125610572</v>
      </c>
    </row>
    <row r="266" spans="1:40" ht="14.25" hidden="1" customHeight="1" x14ac:dyDescent="0.3">
      <c r="A266" s="84"/>
      <c r="C266" s="1">
        <v>2026</v>
      </c>
      <c r="D266" s="52">
        <v>46143</v>
      </c>
      <c r="E266" s="1">
        <v>6</v>
      </c>
      <c r="F266" s="1" t="str">
        <f>+Precios!C266</f>
        <v>sáb</v>
      </c>
      <c r="G266" s="5">
        <f>+Precios!D266</f>
        <v>46172</v>
      </c>
      <c r="H266" s="77">
        <v>4354.6954166666683</v>
      </c>
      <c r="I266" s="77">
        <v>723.99041666666687</v>
      </c>
      <c r="J266" s="77">
        <v>21.808250000000015</v>
      </c>
      <c r="K266" s="77">
        <v>68.518124999999998</v>
      </c>
      <c r="L266" s="77">
        <v>0</v>
      </c>
      <c r="M266" s="81">
        <f t="shared" si="270"/>
        <v>5169.0122083333345</v>
      </c>
      <c r="N266" s="77">
        <v>12487.147916666665</v>
      </c>
      <c r="O266" s="77">
        <v>1528.2054166666667</v>
      </c>
      <c r="P266" s="77">
        <v>935.9224999999999</v>
      </c>
      <c r="Q266" s="77">
        <v>191.23125000000002</v>
      </c>
      <c r="R266" s="77">
        <v>0</v>
      </c>
      <c r="S266" s="81">
        <f t="shared" si="271"/>
        <v>15142.507083333334</v>
      </c>
      <c r="T266" s="77">
        <v>700</v>
      </c>
      <c r="U266" s="77">
        <v>311.20541666666668</v>
      </c>
      <c r="V266" s="77">
        <v>110.178</v>
      </c>
      <c r="W266" s="77">
        <v>890.3675000000004</v>
      </c>
      <c r="X266" s="82">
        <f t="shared" si="272"/>
        <v>2011.7509166666669</v>
      </c>
      <c r="Y266" s="77">
        <v>0</v>
      </c>
      <c r="Z266" s="77">
        <v>515</v>
      </c>
      <c r="AA266" s="77">
        <v>0</v>
      </c>
      <c r="AB266" s="82">
        <f t="shared" si="273"/>
        <v>515</v>
      </c>
      <c r="AC266" s="84">
        <f t="shared" si="212"/>
        <v>1700.5455000000004</v>
      </c>
      <c r="AD266" s="39">
        <v>3000</v>
      </c>
      <c r="AE266" s="40">
        <f t="shared" si="274"/>
        <v>9487.147916666665</v>
      </c>
      <c r="AF266" s="1">
        <f t="shared" si="275"/>
        <v>10.8</v>
      </c>
      <c r="AG266" s="1">
        <f t="shared" si="276"/>
        <v>18</v>
      </c>
      <c r="AH266" s="41">
        <f t="shared" si="277"/>
        <v>16.270221499404972</v>
      </c>
      <c r="AJ266">
        <v>0.9</v>
      </c>
      <c r="AK266">
        <v>1.5</v>
      </c>
      <c r="AL266" s="32">
        <f t="shared" si="278"/>
        <v>12487.147916666665</v>
      </c>
      <c r="AM266" s="4">
        <f t="shared" si="279"/>
        <v>0.24024701397153175</v>
      </c>
      <c r="AN266" s="4">
        <f t="shared" si="280"/>
        <v>0.75975298602846819</v>
      </c>
    </row>
    <row r="267" spans="1:40" ht="14.25" hidden="1" customHeight="1" x14ac:dyDescent="0.3">
      <c r="A267" s="84"/>
      <c r="C267" s="1">
        <v>2026</v>
      </c>
      <c r="D267" s="52">
        <v>46143</v>
      </c>
      <c r="E267" s="1">
        <v>4</v>
      </c>
      <c r="F267" s="1" t="str">
        <f>+Precios!C267</f>
        <v>dom</v>
      </c>
      <c r="G267" s="5">
        <f>+Precios!D267</f>
        <v>46173</v>
      </c>
      <c r="H267" s="77">
        <v>4132.8150000000032</v>
      </c>
      <c r="I267" s="77">
        <v>643.55708333333325</v>
      </c>
      <c r="J267" s="77">
        <v>23.574250000000163</v>
      </c>
      <c r="K267" s="77">
        <v>53.4831875</v>
      </c>
      <c r="L267" s="77">
        <v>0</v>
      </c>
      <c r="M267" s="81">
        <f t="shared" ref="M267:M294" si="281">+SUM(H267:L267)</f>
        <v>4853.4295208333369</v>
      </c>
      <c r="N267" s="77">
        <v>12580.796250000005</v>
      </c>
      <c r="O267" s="77">
        <v>1526.9891666666667</v>
      </c>
      <c r="P267" s="77">
        <v>935.91666666666652</v>
      </c>
      <c r="Q267" s="77">
        <v>192.8</v>
      </c>
      <c r="R267" s="77">
        <v>0</v>
      </c>
      <c r="S267" s="81">
        <f t="shared" ref="S267" si="282">SUM(N267:R267)</f>
        <v>15236.502083333336</v>
      </c>
      <c r="T267" s="77">
        <v>700</v>
      </c>
      <c r="U267" s="77">
        <v>328.1895833333333</v>
      </c>
      <c r="V267" s="77">
        <v>110.32908333333332</v>
      </c>
      <c r="W267" s="77">
        <v>914.76166666666848</v>
      </c>
      <c r="X267" s="82">
        <f t="shared" ref="X267:X276" si="283">SUM(T267:W267)</f>
        <v>2053.280333333335</v>
      </c>
      <c r="Y267" s="77">
        <v>0</v>
      </c>
      <c r="Z267" s="77">
        <v>515</v>
      </c>
      <c r="AA267" s="77">
        <v>0</v>
      </c>
      <c r="AB267" s="82">
        <f t="shared" ref="AB267:AB276" si="284">SUM(Y267:AA267)</f>
        <v>515</v>
      </c>
      <c r="AC267" s="84">
        <f t="shared" si="212"/>
        <v>1725.0907500000017</v>
      </c>
      <c r="AD267" s="39">
        <v>3000</v>
      </c>
      <c r="AE267" s="40">
        <f t="shared" ref="AE267" si="285">+N267-AD267</f>
        <v>9580.7962500000049</v>
      </c>
      <c r="AF267" s="1">
        <f t="shared" ref="AF267" si="286">12*AJ267</f>
        <v>10.8</v>
      </c>
      <c r="AG267" s="1">
        <f t="shared" ref="AG267" si="287">12*AK267</f>
        <v>18</v>
      </c>
      <c r="AH267" s="41">
        <f t="shared" ref="AH267" si="288">+(AD267*AF267+AG267*AE267)/SUM(AD267:AE267)</f>
        <v>16.283097542415092</v>
      </c>
      <c r="AJ267">
        <v>0.9</v>
      </c>
      <c r="AK267">
        <v>1.5</v>
      </c>
      <c r="AL267" s="32">
        <f t="shared" ref="AL267" si="289">+AD267+AE267</f>
        <v>12580.796250000005</v>
      </c>
      <c r="AM267" s="4">
        <f t="shared" ref="AM267" si="290">+AD267/AL267</f>
        <v>0.23845867466457052</v>
      </c>
      <c r="AN267" s="4">
        <f t="shared" ref="AN267" si="291">+AE267/AL267</f>
        <v>0.76154132533542951</v>
      </c>
    </row>
    <row r="268" spans="1:40" ht="14.25" hidden="1" customHeight="1" x14ac:dyDescent="0.3">
      <c r="A268" s="84"/>
      <c r="C268" s="1">
        <v>2026</v>
      </c>
      <c r="D268" s="52">
        <v>46174</v>
      </c>
      <c r="E268" s="1">
        <v>16</v>
      </c>
      <c r="F268" s="1" t="str">
        <f>+Precios!C268</f>
        <v>lun</v>
      </c>
      <c r="G268" s="5">
        <f>+Precios!D268</f>
        <v>46174</v>
      </c>
      <c r="H268" s="77">
        <v>5342.8424999999952</v>
      </c>
      <c r="I268" s="77">
        <v>617.82791666666662</v>
      </c>
      <c r="J268" s="77">
        <v>32.478541666666729</v>
      </c>
      <c r="K268" s="77"/>
      <c r="L268" s="77">
        <v>65</v>
      </c>
      <c r="M268" s="81">
        <f t="shared" si="281"/>
        <v>6058.1489583333287</v>
      </c>
      <c r="N268" s="2">
        <v>12582.307374999999</v>
      </c>
      <c r="O268" s="2">
        <v>1531.702416666667</v>
      </c>
      <c r="P268" s="2">
        <v>93.191116666666673</v>
      </c>
      <c r="Q268" s="2"/>
      <c r="R268" s="77">
        <v>0</v>
      </c>
      <c r="S268" s="81">
        <f t="shared" ref="S268:S274" si="292">SUM(N268:R268)</f>
        <v>14207.200908333332</v>
      </c>
      <c r="T268" s="77">
        <v>700</v>
      </c>
      <c r="U268" s="77">
        <v>219.23362499999999</v>
      </c>
      <c r="V268" s="77">
        <v>201.24308333333332</v>
      </c>
      <c r="W268" s="77">
        <v>1073.9529166666678</v>
      </c>
      <c r="X268" s="82">
        <f t="shared" si="283"/>
        <v>2194.4296250000011</v>
      </c>
      <c r="Y268" s="77">
        <v>0</v>
      </c>
      <c r="Z268" s="77">
        <v>1291.7200499999999</v>
      </c>
      <c r="AA268" s="77">
        <v>0</v>
      </c>
      <c r="AB268" s="82">
        <f t="shared" si="284"/>
        <v>1291.7200499999999</v>
      </c>
      <c r="AC268" s="84">
        <f t="shared" si="212"/>
        <v>1975.196000000001</v>
      </c>
      <c r="AD268" s="39">
        <v>3000</v>
      </c>
      <c r="AE268" s="40">
        <f t="shared" ref="AE268:AE274" si="293">+N268-AD268</f>
        <v>9582.3073749999985</v>
      </c>
      <c r="AF268" s="1">
        <f t="shared" ref="AF268:AF274" si="294">12*AJ268</f>
        <v>13.200000000000001</v>
      </c>
      <c r="AG268" s="1">
        <f t="shared" ref="AG268:AG274" si="295">12*AK268</f>
        <v>18</v>
      </c>
      <c r="AH268" s="41">
        <f t="shared" ref="AH268:AH274" si="296">+(AD268*AF268+AG268*AE268)/SUM(AD268:AE268)</f>
        <v>16.855535827346614</v>
      </c>
      <c r="AJ268">
        <v>1.1000000000000001</v>
      </c>
      <c r="AK268">
        <v>1.5</v>
      </c>
      <c r="AL268" s="32">
        <f t="shared" ref="AL268" si="297">+AD268+AE268</f>
        <v>12582.307374999999</v>
      </c>
      <c r="AM268" s="4">
        <f t="shared" ref="AM268" si="298">+AD268/AL268</f>
        <v>0.23843003596945592</v>
      </c>
      <c r="AN268" s="4">
        <f t="shared" ref="AN268" si="299">+AE268/AL268</f>
        <v>0.76156996403054411</v>
      </c>
    </row>
    <row r="269" spans="1:40" ht="14.25" hidden="1" customHeight="1" x14ac:dyDescent="0.3">
      <c r="A269" s="84"/>
      <c r="C269" s="1">
        <v>2026</v>
      </c>
      <c r="D269" s="52">
        <v>46174</v>
      </c>
      <c r="E269" s="1">
        <v>16</v>
      </c>
      <c r="F269" s="1" t="str">
        <f>+Precios!C269</f>
        <v>mar</v>
      </c>
      <c r="G269" s="5">
        <f>+Precios!D269</f>
        <v>46175</v>
      </c>
      <c r="H269" s="77">
        <v>5731.4333333333479</v>
      </c>
      <c r="I269" s="77">
        <v>332.05249999999995</v>
      </c>
      <c r="J269" s="77">
        <v>37.79733333333354</v>
      </c>
      <c r="K269" s="77"/>
      <c r="L269" s="77">
        <v>65</v>
      </c>
      <c r="M269" s="81">
        <f t="shared" si="281"/>
        <v>6166.2831666666816</v>
      </c>
      <c r="N269" s="2">
        <v>12787.34270833333</v>
      </c>
      <c r="O269" s="2">
        <v>1534.8683333333336</v>
      </c>
      <c r="P269" s="2">
        <v>93.590587499999998</v>
      </c>
      <c r="Q269" s="2"/>
      <c r="R269" s="77">
        <v>0</v>
      </c>
      <c r="S269" s="81">
        <f t="shared" si="292"/>
        <v>14415.801629166664</v>
      </c>
      <c r="T269" s="77">
        <v>700</v>
      </c>
      <c r="U269" s="77">
        <v>191.58304166666667</v>
      </c>
      <c r="V269" s="77">
        <v>181.78016666666664</v>
      </c>
      <c r="W269" s="77">
        <v>1252.2920833333319</v>
      </c>
      <c r="X269" s="82">
        <f t="shared" si="283"/>
        <v>2325.6552916666651</v>
      </c>
      <c r="Y269" s="77">
        <v>0</v>
      </c>
      <c r="Z269" s="77">
        <v>1295.3152875000001</v>
      </c>
      <c r="AA269" s="77">
        <v>0</v>
      </c>
      <c r="AB269" s="82">
        <f t="shared" si="284"/>
        <v>1295.3152875000001</v>
      </c>
      <c r="AC269" s="84">
        <f t="shared" si="212"/>
        <v>2134.0722499999983</v>
      </c>
      <c r="AD269" s="39">
        <v>3000</v>
      </c>
      <c r="AE269" s="40">
        <f t="shared" si="293"/>
        <v>9787.3427083333299</v>
      </c>
      <c r="AF269" s="1">
        <f t="shared" si="294"/>
        <v>13.200000000000001</v>
      </c>
      <c r="AG269" s="1">
        <f t="shared" si="295"/>
        <v>18</v>
      </c>
      <c r="AH269" s="41">
        <f t="shared" si="296"/>
        <v>16.873886441581352</v>
      </c>
      <c r="AJ269">
        <v>1.1000000000000001</v>
      </c>
      <c r="AK269">
        <v>1.5</v>
      </c>
      <c r="AL269" s="32">
        <f t="shared" ref="AL269:AL274" si="300">+AD269+AE269</f>
        <v>12787.34270833333</v>
      </c>
      <c r="AM269" s="4">
        <f t="shared" ref="AM269:AM274" si="301">+AD269/AL269</f>
        <v>0.23460699133721838</v>
      </c>
      <c r="AN269" s="4">
        <f t="shared" ref="AN269:AN274" si="302">+AE269/AL269</f>
        <v>0.76539300866278159</v>
      </c>
    </row>
    <row r="270" spans="1:40" ht="14.25" hidden="1" customHeight="1" x14ac:dyDescent="0.3">
      <c r="A270" s="84"/>
      <c r="C270" s="1">
        <v>2026</v>
      </c>
      <c r="D270" s="52">
        <v>46174</v>
      </c>
      <c r="E270" s="1">
        <v>16</v>
      </c>
      <c r="F270" s="1" t="str">
        <f>+Precios!C270</f>
        <v>mié</v>
      </c>
      <c r="G270" s="5">
        <f>+Precios!D270</f>
        <v>46176</v>
      </c>
      <c r="H270" s="77">
        <v>5591.6000000000085</v>
      </c>
      <c r="I270" s="77">
        <v>300.60249999999991</v>
      </c>
      <c r="J270" s="77">
        <v>39.565083333333234</v>
      </c>
      <c r="K270" s="77"/>
      <c r="L270" s="77">
        <v>65</v>
      </c>
      <c r="M270" s="81">
        <f t="shared" si="281"/>
        <v>5996.7675833333415</v>
      </c>
      <c r="N270" s="2">
        <v>12840.505291666665</v>
      </c>
      <c r="O270" s="2">
        <v>1535.1557083333335</v>
      </c>
      <c r="P270" s="2">
        <v>93.890033333333335</v>
      </c>
      <c r="Q270" s="2"/>
      <c r="R270" s="77">
        <v>0</v>
      </c>
      <c r="S270" s="81">
        <f t="shared" si="292"/>
        <v>14469.551033333331</v>
      </c>
      <c r="T270" s="77">
        <v>700</v>
      </c>
      <c r="U270" s="77">
        <v>200.23991666666669</v>
      </c>
      <c r="V270" s="77">
        <v>175.62474999999998</v>
      </c>
      <c r="W270" s="77">
        <v>1385.4683333333326</v>
      </c>
      <c r="X270" s="82">
        <f t="shared" si="283"/>
        <v>2461.3329999999992</v>
      </c>
      <c r="Y270" s="77">
        <v>0</v>
      </c>
      <c r="Z270" s="77">
        <v>1298.0102999999999</v>
      </c>
      <c r="AA270" s="77">
        <v>0</v>
      </c>
      <c r="AB270" s="82">
        <f t="shared" si="284"/>
        <v>1298.0102999999999</v>
      </c>
      <c r="AC270" s="84">
        <f t="shared" si="212"/>
        <v>2261.0930833333323</v>
      </c>
      <c r="AD270" s="39">
        <v>3000</v>
      </c>
      <c r="AE270" s="40">
        <f t="shared" si="293"/>
        <v>9840.5052916666646</v>
      </c>
      <c r="AF270" s="1">
        <f t="shared" si="294"/>
        <v>13.200000000000001</v>
      </c>
      <c r="AG270" s="1">
        <f t="shared" si="295"/>
        <v>18</v>
      </c>
      <c r="AH270" s="41">
        <f t="shared" si="296"/>
        <v>16.87854880529153</v>
      </c>
      <c r="AJ270">
        <v>1.1000000000000001</v>
      </c>
      <c r="AK270">
        <v>1.5</v>
      </c>
      <c r="AL270" s="32">
        <f t="shared" si="300"/>
        <v>12840.505291666665</v>
      </c>
      <c r="AM270" s="4">
        <f t="shared" si="301"/>
        <v>0.23363566556426438</v>
      </c>
      <c r="AN270" s="4">
        <f t="shared" si="302"/>
        <v>0.76636433443573559</v>
      </c>
    </row>
    <row r="271" spans="1:40" ht="14.25" hidden="1" customHeight="1" x14ac:dyDescent="0.3">
      <c r="A271" s="84"/>
      <c r="C271" s="1">
        <v>2026</v>
      </c>
      <c r="D271" s="52">
        <v>46174</v>
      </c>
      <c r="E271" s="1">
        <v>16</v>
      </c>
      <c r="F271" s="1" t="str">
        <f>+Precios!C271</f>
        <v>jue</v>
      </c>
      <c r="G271" s="5">
        <f>+Precios!D271</f>
        <v>46177</v>
      </c>
      <c r="H271" s="77">
        <v>6222.0295833333366</v>
      </c>
      <c r="I271" s="77">
        <v>339.49500000000006</v>
      </c>
      <c r="J271" s="77">
        <v>47.688041666666777</v>
      </c>
      <c r="K271" s="77"/>
      <c r="L271" s="77">
        <v>65</v>
      </c>
      <c r="M271" s="81">
        <f t="shared" si="281"/>
        <v>6674.2126250000038</v>
      </c>
      <c r="N271" s="2">
        <v>12880.5635</v>
      </c>
      <c r="O271" s="2">
        <v>1530.9472499999999</v>
      </c>
      <c r="P271" s="2">
        <v>92.998104166666678</v>
      </c>
      <c r="Q271" s="2"/>
      <c r="R271" s="77">
        <v>0</v>
      </c>
      <c r="S271" s="81">
        <f t="shared" si="292"/>
        <v>14504.508854166666</v>
      </c>
      <c r="T271" s="77">
        <v>700</v>
      </c>
      <c r="U271" s="77">
        <v>324.97991666666672</v>
      </c>
      <c r="V271" s="77">
        <v>212.87256249999999</v>
      </c>
      <c r="W271" s="77">
        <v>585.44416666666712</v>
      </c>
      <c r="X271" s="82">
        <f t="shared" si="283"/>
        <v>1823.2966458333337</v>
      </c>
      <c r="Y271" s="77">
        <v>0</v>
      </c>
      <c r="Z271" s="77">
        <v>1289.9829374999999</v>
      </c>
      <c r="AA271" s="77">
        <v>0</v>
      </c>
      <c r="AB271" s="82">
        <f t="shared" si="284"/>
        <v>1289.9829374999999</v>
      </c>
      <c r="AC271" s="84">
        <f t="shared" si="212"/>
        <v>1498.3167291666671</v>
      </c>
      <c r="AD271" s="39">
        <v>3000</v>
      </c>
      <c r="AE271" s="40">
        <f t="shared" si="293"/>
        <v>9880.5635000000002</v>
      </c>
      <c r="AF271" s="1">
        <f t="shared" si="294"/>
        <v>13.200000000000001</v>
      </c>
      <c r="AG271" s="1">
        <f t="shared" si="295"/>
        <v>18</v>
      </c>
      <c r="AH271" s="41">
        <f t="shared" si="296"/>
        <v>16.882036488543378</v>
      </c>
      <c r="AJ271">
        <v>1.1000000000000001</v>
      </c>
      <c r="AK271">
        <v>1.5</v>
      </c>
      <c r="AL271" s="32">
        <f t="shared" si="300"/>
        <v>12880.5635</v>
      </c>
      <c r="AM271" s="4">
        <f t="shared" si="301"/>
        <v>0.2329090648867963</v>
      </c>
      <c r="AN271" s="4">
        <f t="shared" si="302"/>
        <v>0.7670909351132037</v>
      </c>
    </row>
    <row r="272" spans="1:40" ht="14.25" hidden="1" customHeight="1" x14ac:dyDescent="0.3">
      <c r="A272" s="84"/>
      <c r="C272" s="1">
        <v>2026</v>
      </c>
      <c r="D272" s="52">
        <v>46174</v>
      </c>
      <c r="E272" s="1">
        <v>16</v>
      </c>
      <c r="F272" s="1" t="str">
        <f>+Precios!C272</f>
        <v>vie</v>
      </c>
      <c r="G272" s="5">
        <f>+Precios!D272</f>
        <v>46178</v>
      </c>
      <c r="H272" s="77">
        <v>6172.3529166666531</v>
      </c>
      <c r="I272" s="77">
        <v>350.70541666666668</v>
      </c>
      <c r="J272" s="77">
        <v>37.830124999999924</v>
      </c>
      <c r="K272" s="77"/>
      <c r="L272" s="77">
        <v>65</v>
      </c>
      <c r="M272" s="81">
        <f t="shared" si="281"/>
        <v>6625.8884583333192</v>
      </c>
      <c r="N272" s="2">
        <v>12898.141625</v>
      </c>
      <c r="O272" s="2">
        <v>1529.0363333333335</v>
      </c>
      <c r="P272" s="2">
        <v>94.431116666666668</v>
      </c>
      <c r="Q272" s="2"/>
      <c r="R272" s="77">
        <v>0</v>
      </c>
      <c r="S272" s="81">
        <f t="shared" si="292"/>
        <v>14521.609075</v>
      </c>
      <c r="T272" s="77">
        <v>700</v>
      </c>
      <c r="U272" s="77">
        <v>213.21987500000003</v>
      </c>
      <c r="V272" s="77">
        <v>209.6025208333333</v>
      </c>
      <c r="W272" s="77">
        <v>461.77083333333405</v>
      </c>
      <c r="X272" s="82">
        <f t="shared" si="283"/>
        <v>1584.5932291666672</v>
      </c>
      <c r="Y272" s="77">
        <v>0</v>
      </c>
      <c r="Z272" s="77">
        <v>1302.88005</v>
      </c>
      <c r="AA272" s="77">
        <v>0</v>
      </c>
      <c r="AB272" s="82">
        <f t="shared" si="284"/>
        <v>1302.88005</v>
      </c>
      <c r="AC272" s="84">
        <f t="shared" si="212"/>
        <v>1371.3733541666675</v>
      </c>
      <c r="AD272" s="39">
        <v>3000</v>
      </c>
      <c r="AE272" s="40">
        <f t="shared" si="293"/>
        <v>9898.1416250000002</v>
      </c>
      <c r="AF272" s="1">
        <f t="shared" si="294"/>
        <v>13.200000000000001</v>
      </c>
      <c r="AG272" s="1">
        <f t="shared" si="295"/>
        <v>18</v>
      </c>
      <c r="AH272" s="41">
        <f t="shared" si="296"/>
        <v>16.883560095813415</v>
      </c>
      <c r="AJ272">
        <v>1.1000000000000001</v>
      </c>
      <c r="AK272">
        <v>1.5</v>
      </c>
      <c r="AL272" s="32">
        <f t="shared" si="300"/>
        <v>12898.141625</v>
      </c>
      <c r="AM272" s="4">
        <f t="shared" si="301"/>
        <v>0.23259164670553847</v>
      </c>
      <c r="AN272" s="4">
        <f t="shared" si="302"/>
        <v>0.76740835329446155</v>
      </c>
    </row>
    <row r="273" spans="1:40" ht="14.25" hidden="1" customHeight="1" x14ac:dyDescent="0.3">
      <c r="A273" s="84"/>
      <c r="C273" s="1">
        <v>2026</v>
      </c>
      <c r="D273" s="52">
        <v>46174</v>
      </c>
      <c r="E273" s="1">
        <v>6</v>
      </c>
      <c r="F273" s="1" t="str">
        <f>+Precios!C273</f>
        <v>sáb</v>
      </c>
      <c r="G273" s="5">
        <f>+Precios!D273</f>
        <v>46179</v>
      </c>
      <c r="H273" s="77">
        <v>6044.279583333343</v>
      </c>
      <c r="I273" s="77">
        <v>304.83874999999995</v>
      </c>
      <c r="J273" s="77">
        <v>38.905333333333317</v>
      </c>
      <c r="K273" s="77"/>
      <c r="L273" s="77">
        <v>65</v>
      </c>
      <c r="M273" s="81">
        <f t="shared" si="281"/>
        <v>6453.023666666676</v>
      </c>
      <c r="N273" s="2">
        <v>12874.363999999998</v>
      </c>
      <c r="O273" s="2">
        <v>1527.4005416666669</v>
      </c>
      <c r="P273" s="2">
        <v>95.005724999999984</v>
      </c>
      <c r="Q273" s="2"/>
      <c r="R273" s="77">
        <v>0</v>
      </c>
      <c r="S273" s="81">
        <f t="shared" si="292"/>
        <v>14496.770266666663</v>
      </c>
      <c r="T273" s="77">
        <v>700</v>
      </c>
      <c r="U273" s="77">
        <v>194.79516666666666</v>
      </c>
      <c r="V273" s="77">
        <v>183.18083333333334</v>
      </c>
      <c r="W273" s="77">
        <v>295.56458333333268</v>
      </c>
      <c r="X273" s="82">
        <f t="shared" si="283"/>
        <v>1373.5405833333327</v>
      </c>
      <c r="Y273" s="77">
        <v>0</v>
      </c>
      <c r="Z273" s="77">
        <v>1308.0515249999999</v>
      </c>
      <c r="AA273" s="77">
        <v>0</v>
      </c>
      <c r="AB273" s="82">
        <f t="shared" si="284"/>
        <v>1308.0515249999999</v>
      </c>
      <c r="AC273" s="84">
        <f t="shared" si="212"/>
        <v>1178.745416666666</v>
      </c>
      <c r="AD273" s="39">
        <v>3000</v>
      </c>
      <c r="AE273" s="40">
        <f t="shared" si="293"/>
        <v>9874.3639999999978</v>
      </c>
      <c r="AF273" s="1">
        <f t="shared" si="294"/>
        <v>13.200000000000001</v>
      </c>
      <c r="AG273" s="1">
        <f t="shared" si="295"/>
        <v>18</v>
      </c>
      <c r="AH273" s="41">
        <f t="shared" si="296"/>
        <v>16.881498146238524</v>
      </c>
      <c r="AJ273">
        <v>1.1000000000000001</v>
      </c>
      <c r="AK273">
        <v>1.5</v>
      </c>
      <c r="AL273" s="32">
        <f t="shared" si="300"/>
        <v>12874.363999999998</v>
      </c>
      <c r="AM273" s="4">
        <f t="shared" si="301"/>
        <v>0.23302121953364069</v>
      </c>
      <c r="AN273" s="4">
        <f t="shared" si="302"/>
        <v>0.76697878046635926</v>
      </c>
    </row>
    <row r="274" spans="1:40" ht="14.25" hidden="1" customHeight="1" x14ac:dyDescent="0.3">
      <c r="A274" s="84"/>
      <c r="C274" s="1">
        <v>2026</v>
      </c>
      <c r="D274" s="52">
        <v>46174</v>
      </c>
      <c r="E274" s="1">
        <v>4</v>
      </c>
      <c r="F274" s="1" t="str">
        <f>+Precios!C274</f>
        <v>dom</v>
      </c>
      <c r="G274" s="5">
        <f>+Precios!D274</f>
        <v>46180</v>
      </c>
      <c r="H274" s="77">
        <v>5479.887916666662</v>
      </c>
      <c r="I274" s="77">
        <v>478.77250000000004</v>
      </c>
      <c r="J274" s="77">
        <v>29.780499999999847</v>
      </c>
      <c r="K274" s="77"/>
      <c r="L274" s="77">
        <v>65</v>
      </c>
      <c r="M274" s="81">
        <f t="shared" si="281"/>
        <v>6053.4409166666619</v>
      </c>
      <c r="N274" s="2">
        <v>12786.381333333331</v>
      </c>
      <c r="O274" s="2">
        <v>1527.0281666666667</v>
      </c>
      <c r="P274" s="2">
        <v>95.005854166666666</v>
      </c>
      <c r="Q274" s="2"/>
      <c r="R274" s="77">
        <v>0</v>
      </c>
      <c r="S274" s="81">
        <f t="shared" si="292"/>
        <v>14408.415354166664</v>
      </c>
      <c r="T274" s="77">
        <v>700</v>
      </c>
      <c r="U274" s="77">
        <v>209.46995833333338</v>
      </c>
      <c r="V274" s="77">
        <v>165.10435416666667</v>
      </c>
      <c r="W274" s="77">
        <v>449.12708333333273</v>
      </c>
      <c r="X274" s="82">
        <f t="shared" si="283"/>
        <v>1523.7013958333328</v>
      </c>
      <c r="Y274" s="77">
        <v>0</v>
      </c>
      <c r="Z274" s="77">
        <v>1308.0526875</v>
      </c>
      <c r="AA274" s="77">
        <v>0</v>
      </c>
      <c r="AB274" s="82">
        <f t="shared" si="284"/>
        <v>1308.0526875</v>
      </c>
      <c r="AC274" s="84">
        <f t="shared" si="212"/>
        <v>1314.2314374999994</v>
      </c>
      <c r="AD274" s="39">
        <v>3000</v>
      </c>
      <c r="AE274" s="40">
        <f t="shared" si="293"/>
        <v>9786.381333333331</v>
      </c>
      <c r="AF274" s="1">
        <f t="shared" si="294"/>
        <v>13.200000000000001</v>
      </c>
      <c r="AG274" s="1">
        <f t="shared" si="295"/>
        <v>18</v>
      </c>
      <c r="AH274" s="41">
        <f t="shared" si="296"/>
        <v>16.873801772010342</v>
      </c>
      <c r="AJ274">
        <v>1.1000000000000001</v>
      </c>
      <c r="AK274">
        <v>1.5</v>
      </c>
      <c r="AL274" s="32">
        <f t="shared" si="300"/>
        <v>12786.381333333331</v>
      </c>
      <c r="AM274" s="4">
        <f t="shared" si="301"/>
        <v>0.23462463083117813</v>
      </c>
      <c r="AN274" s="4">
        <f t="shared" si="302"/>
        <v>0.76537536916882187</v>
      </c>
    </row>
    <row r="275" spans="1:40" ht="14.25" hidden="1" customHeight="1" x14ac:dyDescent="0.3">
      <c r="A275" s="84"/>
      <c r="C275" s="1">
        <v>2026</v>
      </c>
      <c r="D275" s="52">
        <v>46174</v>
      </c>
      <c r="E275" s="1">
        <v>16</v>
      </c>
      <c r="F275" s="1" t="str">
        <f>+Precios!C275</f>
        <v>lun</v>
      </c>
      <c r="G275" s="5">
        <f>+Precios!D275</f>
        <v>46181</v>
      </c>
      <c r="H275" s="77">
        <v>6587.9087500000142</v>
      </c>
      <c r="I275" s="77">
        <v>357.89375000000001</v>
      </c>
      <c r="J275" s="77">
        <v>31.003000000000071</v>
      </c>
      <c r="K275" s="77"/>
      <c r="L275" s="77">
        <v>65</v>
      </c>
      <c r="M275" s="81">
        <f t="shared" si="281"/>
        <v>7041.805500000014</v>
      </c>
      <c r="N275" s="2">
        <v>12867.5075</v>
      </c>
      <c r="O275" s="2">
        <v>1525.6245000000004</v>
      </c>
      <c r="P275" s="2">
        <v>95.505520833333321</v>
      </c>
      <c r="Q275" s="2"/>
      <c r="R275" s="77">
        <v>0</v>
      </c>
      <c r="S275" s="81">
        <f t="shared" ref="S275:S294" si="303">SUM(N275:R275)</f>
        <v>14488.637520833334</v>
      </c>
      <c r="T275" s="77">
        <v>700</v>
      </c>
      <c r="U275" s="77">
        <v>190.48529166666671</v>
      </c>
      <c r="V275" s="77">
        <v>209.00895833333331</v>
      </c>
      <c r="W275" s="77">
        <v>443.09958333333446</v>
      </c>
      <c r="X275" s="82">
        <f t="shared" si="283"/>
        <v>1542.5938333333345</v>
      </c>
      <c r="Y275" s="77">
        <v>0</v>
      </c>
      <c r="Z275" s="77">
        <v>1312.5496874999999</v>
      </c>
      <c r="AA275" s="77">
        <v>0</v>
      </c>
      <c r="AB275" s="82">
        <f t="shared" si="284"/>
        <v>1312.5496874999999</v>
      </c>
      <c r="AC275" s="84">
        <f t="shared" si="212"/>
        <v>1352.1085416666679</v>
      </c>
      <c r="AD275" s="39">
        <v>3000</v>
      </c>
      <c r="AE275" s="40">
        <f t="shared" ref="AE275:AE276" si="304">+N275-AD275</f>
        <v>9867.5074999999997</v>
      </c>
      <c r="AF275" s="1">
        <f t="shared" ref="AF275:AF276" si="305">12*AJ275</f>
        <v>13.200000000000001</v>
      </c>
      <c r="AG275" s="1">
        <f t="shared" ref="AG275:AG276" si="306">12*AK275</f>
        <v>18</v>
      </c>
      <c r="AH275" s="41">
        <f t="shared" ref="AH275:AH276" si="307">+(AD275*AF275+AG275*AE275)/SUM(AD275:AE275)</f>
        <v>16.88090214829873</v>
      </c>
      <c r="AJ275">
        <v>1.1000000000000001</v>
      </c>
      <c r="AK275">
        <v>1.5</v>
      </c>
      <c r="AL275" s="32">
        <f t="shared" ref="AL275:AL276" si="308">+AD275+AE275</f>
        <v>12867.5075</v>
      </c>
      <c r="AM275" s="4">
        <f t="shared" ref="AM275:AM276" si="309">+AD275/AL275</f>
        <v>0.23314538577109825</v>
      </c>
      <c r="AN275" s="4">
        <f t="shared" ref="AN275:AN276" si="310">+AE275/AL275</f>
        <v>0.76685461422890178</v>
      </c>
    </row>
    <row r="276" spans="1:40" ht="14.25" hidden="1" customHeight="1" x14ac:dyDescent="0.3">
      <c r="A276" s="84"/>
      <c r="C276" s="1">
        <v>2026</v>
      </c>
      <c r="D276" s="52">
        <v>46174</v>
      </c>
      <c r="E276" s="1">
        <v>16</v>
      </c>
      <c r="F276" s="1" t="str">
        <f>+Precios!C276</f>
        <v>mar</v>
      </c>
      <c r="G276" s="5">
        <f>+Precios!D276</f>
        <v>46182</v>
      </c>
      <c r="H276" s="77">
        <v>6744.2833333333438</v>
      </c>
      <c r="I276" s="77">
        <v>198.36208333333332</v>
      </c>
      <c r="J276" s="77">
        <v>35.344041666666442</v>
      </c>
      <c r="K276" s="77"/>
      <c r="L276" s="77">
        <v>65</v>
      </c>
      <c r="M276" s="81">
        <f t="shared" si="281"/>
        <v>7042.9894583333435</v>
      </c>
      <c r="N276" s="2">
        <v>12980.442416666665</v>
      </c>
      <c r="O276" s="2">
        <v>1523.1502083333337</v>
      </c>
      <c r="P276" s="2">
        <v>94.705833333333331</v>
      </c>
      <c r="Q276" s="2"/>
      <c r="R276" s="77">
        <v>0</v>
      </c>
      <c r="S276" s="81">
        <f t="shared" si="303"/>
        <v>14598.298458333333</v>
      </c>
      <c r="T276" s="77">
        <v>700</v>
      </c>
      <c r="U276" s="77">
        <v>321.03112500000009</v>
      </c>
      <c r="V276" s="77">
        <v>209.32408333333333</v>
      </c>
      <c r="W276" s="77">
        <v>752.06958333333284</v>
      </c>
      <c r="X276" s="82">
        <f t="shared" si="283"/>
        <v>1982.4247916666664</v>
      </c>
      <c r="Y276" s="77">
        <v>0</v>
      </c>
      <c r="Z276" s="77">
        <v>1305.3525</v>
      </c>
      <c r="AA276" s="77">
        <v>0</v>
      </c>
      <c r="AB276" s="82">
        <f t="shared" si="284"/>
        <v>1305.3525</v>
      </c>
      <c r="AC276" s="84">
        <f t="shared" si="212"/>
        <v>1661.3936666666661</v>
      </c>
      <c r="AD276" s="39">
        <v>3000</v>
      </c>
      <c r="AE276" s="40">
        <f t="shared" si="304"/>
        <v>9980.4424166666649</v>
      </c>
      <c r="AF276" s="1">
        <f t="shared" si="305"/>
        <v>13.200000000000001</v>
      </c>
      <c r="AG276" s="1">
        <f t="shared" si="306"/>
        <v>18</v>
      </c>
      <c r="AH276" s="41">
        <f t="shared" si="307"/>
        <v>16.890638736510965</v>
      </c>
      <c r="AJ276">
        <v>1.1000000000000001</v>
      </c>
      <c r="AK276">
        <v>1.5</v>
      </c>
      <c r="AL276" s="32">
        <f t="shared" si="308"/>
        <v>12980.442416666665</v>
      </c>
      <c r="AM276" s="4">
        <f t="shared" si="309"/>
        <v>0.23111692989354904</v>
      </c>
      <c r="AN276" s="4">
        <f t="shared" si="310"/>
        <v>0.76888307010645096</v>
      </c>
    </row>
    <row r="277" spans="1:40" ht="14.25" hidden="1" customHeight="1" x14ac:dyDescent="0.3">
      <c r="A277" s="84"/>
      <c r="C277" s="1">
        <v>2026</v>
      </c>
      <c r="D277" s="52">
        <v>46174</v>
      </c>
      <c r="E277" s="1">
        <v>16</v>
      </c>
      <c r="F277" s="1" t="str">
        <f>+Precios!C277</f>
        <v>mié</v>
      </c>
      <c r="G277" s="5">
        <f>+Precios!D277</f>
        <v>46183</v>
      </c>
      <c r="H277" s="77">
        <v>6297.8420833333439</v>
      </c>
      <c r="I277" s="77">
        <v>4.5833333333333334E-3</v>
      </c>
      <c r="J277" s="77">
        <v>25.202541666666519</v>
      </c>
      <c r="K277" s="77"/>
      <c r="L277" s="77">
        <v>65</v>
      </c>
      <c r="M277" s="81">
        <f t="shared" si="281"/>
        <v>6388.0492083333438</v>
      </c>
      <c r="N277" s="2">
        <v>12999.843625000001</v>
      </c>
      <c r="O277" s="2">
        <v>1516.0700000000002</v>
      </c>
      <c r="P277" s="2">
        <v>95.504762499999998</v>
      </c>
      <c r="Q277" s="2"/>
      <c r="R277" s="77">
        <v>0</v>
      </c>
      <c r="S277" s="81">
        <f t="shared" si="303"/>
        <v>14611.418387500002</v>
      </c>
      <c r="T277" s="77">
        <v>700</v>
      </c>
      <c r="U277" s="77">
        <v>256.45154166666663</v>
      </c>
      <c r="V277" s="77">
        <v>197.78320833333333</v>
      </c>
      <c r="W277" s="77">
        <v>1195.0029166666686</v>
      </c>
      <c r="X277" s="82">
        <f t="shared" ref="X277:X294" si="311">SUM(T277:W277)</f>
        <v>2349.2376666666687</v>
      </c>
      <c r="Y277" s="77">
        <v>0</v>
      </c>
      <c r="Z277" s="77">
        <v>1312.5428625</v>
      </c>
      <c r="AA277" s="77">
        <v>0</v>
      </c>
      <c r="AB277" s="82">
        <f t="shared" ref="AB277:AB294" si="312">SUM(Y277:AA277)</f>
        <v>1312.5428625</v>
      </c>
      <c r="AC277" s="84">
        <f t="shared" si="212"/>
        <v>2092.7861250000019</v>
      </c>
      <c r="AD277" s="39">
        <v>3000</v>
      </c>
      <c r="AE277" s="40">
        <f t="shared" ref="AE277:AE282" si="313">+N277-AD277</f>
        <v>9999.8436250000013</v>
      </c>
      <c r="AF277" s="1">
        <f t="shared" ref="AF277:AF282" si="314">12*AJ277</f>
        <v>13.200000000000001</v>
      </c>
      <c r="AG277" s="1">
        <f t="shared" ref="AG277:AG282" si="315">12*AK277</f>
        <v>18</v>
      </c>
      <c r="AH277" s="41">
        <f t="shared" ref="AH277:AH282" si="316">+(AD277*AF277+AG277*AE277)/SUM(AD277:AE277)</f>
        <v>16.892294367887061</v>
      </c>
      <c r="AJ277">
        <v>1.1000000000000001</v>
      </c>
      <c r="AK277">
        <v>1.5</v>
      </c>
      <c r="AL277" s="32">
        <f t="shared" ref="AL277:AL282" si="317">+AD277+AE277</f>
        <v>12999.843625000001</v>
      </c>
      <c r="AM277" s="4">
        <f t="shared" ref="AM277:AM282" si="318">+AD277/AL277</f>
        <v>0.23077200669019585</v>
      </c>
      <c r="AN277" s="4">
        <f t="shared" ref="AN277:AN282" si="319">+AE277/AL277</f>
        <v>0.76922799330980418</v>
      </c>
    </row>
    <row r="278" spans="1:40" ht="14.25" hidden="1" customHeight="1" x14ac:dyDescent="0.3">
      <c r="A278" s="84"/>
      <c r="C278" s="1">
        <v>2026</v>
      </c>
      <c r="D278" s="52">
        <v>46174</v>
      </c>
      <c r="E278" s="1">
        <v>16</v>
      </c>
      <c r="F278" s="1" t="str">
        <f>+Precios!C278</f>
        <v>jue</v>
      </c>
      <c r="G278" s="5">
        <f>+Precios!D278</f>
        <v>46184</v>
      </c>
      <c r="H278" s="77">
        <v>6017.0091666666804</v>
      </c>
      <c r="I278" s="77">
        <v>0</v>
      </c>
      <c r="J278" s="77">
        <v>52.364166666666591</v>
      </c>
      <c r="K278" s="77"/>
      <c r="L278" s="77">
        <v>65</v>
      </c>
      <c r="M278" s="81">
        <f t="shared" si="281"/>
        <v>6134.3733333333466</v>
      </c>
      <c r="N278" s="2">
        <v>13106.110333333334</v>
      </c>
      <c r="O278" s="2">
        <v>1516.0700000000002</v>
      </c>
      <c r="P278" s="2">
        <v>95.504204166666668</v>
      </c>
      <c r="Q278" s="2"/>
      <c r="R278" s="77">
        <v>0</v>
      </c>
      <c r="S278" s="81">
        <f t="shared" si="303"/>
        <v>14717.684537500001</v>
      </c>
      <c r="T278" s="77">
        <v>700</v>
      </c>
      <c r="U278" s="77">
        <v>257.93387500000006</v>
      </c>
      <c r="V278" s="77">
        <v>195.85435416666667</v>
      </c>
      <c r="W278" s="77">
        <v>1276.1749999999986</v>
      </c>
      <c r="X278" s="82">
        <f t="shared" si="311"/>
        <v>2429.9632291666653</v>
      </c>
      <c r="Y278" s="77">
        <v>0</v>
      </c>
      <c r="Z278" s="77">
        <v>1312.5378375</v>
      </c>
      <c r="AA278" s="77">
        <v>0</v>
      </c>
      <c r="AB278" s="82">
        <f t="shared" si="312"/>
        <v>1312.5378375</v>
      </c>
      <c r="AC278" s="84">
        <f t="shared" si="212"/>
        <v>2172.0293541666651</v>
      </c>
      <c r="AD278" s="39">
        <v>3000</v>
      </c>
      <c r="AE278" s="40">
        <f t="shared" si="313"/>
        <v>10106.110333333334</v>
      </c>
      <c r="AF278" s="1">
        <f t="shared" si="314"/>
        <v>13.200000000000001</v>
      </c>
      <c r="AG278" s="1">
        <f t="shared" si="315"/>
        <v>18</v>
      </c>
      <c r="AH278" s="41">
        <f t="shared" si="316"/>
        <v>16.90127584510136</v>
      </c>
      <c r="AJ278">
        <v>1.1000000000000001</v>
      </c>
      <c r="AK278">
        <v>1.5</v>
      </c>
      <c r="AL278" s="32">
        <f t="shared" si="317"/>
        <v>13106.110333333334</v>
      </c>
      <c r="AM278" s="4">
        <f t="shared" si="318"/>
        <v>0.22890086560388334</v>
      </c>
      <c r="AN278" s="4">
        <f t="shared" si="319"/>
        <v>0.77109913439611666</v>
      </c>
    </row>
    <row r="279" spans="1:40" ht="14.25" hidden="1" customHeight="1" x14ac:dyDescent="0.3">
      <c r="A279" s="84"/>
      <c r="C279" s="1">
        <v>2026</v>
      </c>
      <c r="D279" s="52">
        <v>46174</v>
      </c>
      <c r="E279" s="1">
        <v>16</v>
      </c>
      <c r="F279" s="1" t="str">
        <f>+Precios!C279</f>
        <v>vie</v>
      </c>
      <c r="G279" s="5">
        <f>+Precios!D279</f>
        <v>46185</v>
      </c>
      <c r="H279" s="77">
        <v>5829.5145833333345</v>
      </c>
      <c r="I279" s="77">
        <v>0</v>
      </c>
      <c r="J279" s="77">
        <v>41.675916666666524</v>
      </c>
      <c r="K279" s="77"/>
      <c r="L279" s="77">
        <v>65</v>
      </c>
      <c r="M279" s="81">
        <f t="shared" si="281"/>
        <v>5936.1905000000006</v>
      </c>
      <c r="N279" s="2">
        <v>13104.622374999995</v>
      </c>
      <c r="O279" s="2">
        <v>1516.0700000000002</v>
      </c>
      <c r="P279" s="2">
        <v>95.286537500000009</v>
      </c>
      <c r="Q279" s="2"/>
      <c r="R279" s="77">
        <v>0</v>
      </c>
      <c r="S279" s="81">
        <f t="shared" si="303"/>
        <v>14715.978912499995</v>
      </c>
      <c r="T279" s="77">
        <v>700</v>
      </c>
      <c r="U279" s="77">
        <v>191.92129166666663</v>
      </c>
      <c r="V279" s="77">
        <v>159.97783333333334</v>
      </c>
      <c r="W279" s="77">
        <v>1928.6679166666727</v>
      </c>
      <c r="X279" s="82">
        <f t="shared" si="311"/>
        <v>2980.5670416666726</v>
      </c>
      <c r="Y279" s="77">
        <v>0</v>
      </c>
      <c r="Z279" s="77">
        <v>1310.5788375</v>
      </c>
      <c r="AA279" s="77">
        <v>0</v>
      </c>
      <c r="AB279" s="82">
        <f t="shared" si="312"/>
        <v>1310.5788375</v>
      </c>
      <c r="AC279" s="84">
        <f t="shared" si="212"/>
        <v>2788.645750000006</v>
      </c>
      <c r="AD279" s="39">
        <v>3000</v>
      </c>
      <c r="AE279" s="40">
        <f t="shared" si="313"/>
        <v>10104.622374999995</v>
      </c>
      <c r="AF279" s="1">
        <f t="shared" si="314"/>
        <v>13.200000000000001</v>
      </c>
      <c r="AG279" s="1">
        <f t="shared" si="315"/>
        <v>18</v>
      </c>
      <c r="AH279" s="41">
        <f t="shared" si="316"/>
        <v>16.901151090971439</v>
      </c>
      <c r="AJ279">
        <v>1.1000000000000001</v>
      </c>
      <c r="AK279">
        <v>1.5</v>
      </c>
      <c r="AL279" s="32">
        <f t="shared" si="317"/>
        <v>13104.622374999995</v>
      </c>
      <c r="AM279" s="4">
        <f t="shared" si="318"/>
        <v>0.22892685604761664</v>
      </c>
      <c r="AN279" s="4">
        <f t="shared" si="319"/>
        <v>0.77107314395238336</v>
      </c>
    </row>
    <row r="280" spans="1:40" ht="14.25" hidden="1" customHeight="1" x14ac:dyDescent="0.3">
      <c r="A280" s="84"/>
      <c r="C280" s="1">
        <v>2026</v>
      </c>
      <c r="D280" s="52">
        <v>46174</v>
      </c>
      <c r="E280" s="1">
        <v>6</v>
      </c>
      <c r="F280" s="1" t="str">
        <f>+Precios!C280</f>
        <v>sáb</v>
      </c>
      <c r="G280" s="5">
        <f>+Precios!D280</f>
        <v>46186</v>
      </c>
      <c r="H280" s="77">
        <v>5684.9249999999947</v>
      </c>
      <c r="I280" s="77">
        <v>0</v>
      </c>
      <c r="J280" s="77">
        <v>31.829041666666598</v>
      </c>
      <c r="K280" s="77"/>
      <c r="L280" s="77">
        <v>65</v>
      </c>
      <c r="M280" s="81">
        <f t="shared" si="281"/>
        <v>5781.7540416666616</v>
      </c>
      <c r="N280" s="2">
        <v>12762.098791666669</v>
      </c>
      <c r="O280" s="2">
        <v>1516.0700000000002</v>
      </c>
      <c r="P280" s="2">
        <v>95.285970833333337</v>
      </c>
      <c r="Q280" s="2"/>
      <c r="R280" s="77">
        <v>0</v>
      </c>
      <c r="S280" s="81">
        <f t="shared" si="303"/>
        <v>14373.454762500001</v>
      </c>
      <c r="T280" s="77">
        <v>700</v>
      </c>
      <c r="U280" s="77">
        <v>191.79470833333335</v>
      </c>
      <c r="V280" s="77">
        <v>205.30170833333335</v>
      </c>
      <c r="W280" s="77">
        <v>1104.9424999999999</v>
      </c>
      <c r="X280" s="82">
        <f t="shared" si="311"/>
        <v>2202.0389166666664</v>
      </c>
      <c r="Y280" s="77">
        <v>0</v>
      </c>
      <c r="Z280" s="77">
        <v>1310.5737374999999</v>
      </c>
      <c r="AA280" s="77">
        <v>0</v>
      </c>
      <c r="AB280" s="82">
        <f t="shared" si="312"/>
        <v>1310.5737374999999</v>
      </c>
      <c r="AC280" s="84">
        <f t="shared" si="212"/>
        <v>2010.2442083333333</v>
      </c>
      <c r="AD280" s="39">
        <v>3000</v>
      </c>
      <c r="AE280" s="40">
        <f t="shared" si="313"/>
        <v>9762.0987916666691</v>
      </c>
      <c r="AF280" s="1">
        <f t="shared" si="314"/>
        <v>13.200000000000001</v>
      </c>
      <c r="AG280" s="1">
        <f t="shared" si="315"/>
        <v>18</v>
      </c>
      <c r="AH280" s="41">
        <f t="shared" si="316"/>
        <v>16.871658946144276</v>
      </c>
      <c r="AJ280">
        <v>1.1000000000000001</v>
      </c>
      <c r="AK280">
        <v>1.5</v>
      </c>
      <c r="AL280" s="32">
        <f t="shared" si="317"/>
        <v>12762.098791666669</v>
      </c>
      <c r="AM280" s="4">
        <f t="shared" si="318"/>
        <v>0.23507105288660865</v>
      </c>
      <c r="AN280" s="4">
        <f t="shared" si="319"/>
        <v>0.76492894711339132</v>
      </c>
    </row>
    <row r="281" spans="1:40" ht="14.25" hidden="1" customHeight="1" x14ac:dyDescent="0.3">
      <c r="A281" s="84"/>
      <c r="C281" s="1">
        <v>2026</v>
      </c>
      <c r="D281" s="52">
        <v>46174</v>
      </c>
      <c r="E281" s="1">
        <v>4</v>
      </c>
      <c r="F281" s="1" t="str">
        <f>+Precios!C281</f>
        <v>dom</v>
      </c>
      <c r="G281" s="5">
        <f>+Precios!D281</f>
        <v>46187</v>
      </c>
      <c r="H281" s="77">
        <v>5563.3291666666628</v>
      </c>
      <c r="I281" s="77">
        <v>0</v>
      </c>
      <c r="J281" s="77">
        <v>30.018041666666591</v>
      </c>
      <c r="K281" s="77"/>
      <c r="L281" s="77">
        <v>65</v>
      </c>
      <c r="M281" s="81">
        <f t="shared" si="281"/>
        <v>5658.347208333329</v>
      </c>
      <c r="N281" s="2">
        <v>12713.897166666666</v>
      </c>
      <c r="O281" s="2">
        <v>1516.0700000000002</v>
      </c>
      <c r="P281" s="2">
        <v>95.285341666666667</v>
      </c>
      <c r="Q281" s="2"/>
      <c r="R281" s="77">
        <v>0</v>
      </c>
      <c r="S281" s="81">
        <f t="shared" si="303"/>
        <v>14325.252508333331</v>
      </c>
      <c r="T281" s="77">
        <v>700</v>
      </c>
      <c r="U281" s="77">
        <v>191.941</v>
      </c>
      <c r="V281" s="77">
        <v>188.14385416666667</v>
      </c>
      <c r="W281" s="77">
        <v>1348.3366666666686</v>
      </c>
      <c r="X281" s="82">
        <f t="shared" si="311"/>
        <v>2428.4215208333353</v>
      </c>
      <c r="Y281" s="77">
        <v>0</v>
      </c>
      <c r="Z281" s="77">
        <v>1310.5680749999999</v>
      </c>
      <c r="AA281" s="77">
        <v>0</v>
      </c>
      <c r="AB281" s="82">
        <f t="shared" si="312"/>
        <v>1310.5680749999999</v>
      </c>
      <c r="AC281" s="84">
        <f t="shared" ref="AC281:AC315" si="320">+T281+V281+W281</f>
        <v>2236.4805208333355</v>
      </c>
      <c r="AD281" s="39">
        <v>3000</v>
      </c>
      <c r="AE281" s="40">
        <f t="shared" si="313"/>
        <v>9713.8971666666657</v>
      </c>
      <c r="AF281" s="1">
        <f t="shared" si="314"/>
        <v>13.200000000000001</v>
      </c>
      <c r="AG281" s="1">
        <f t="shared" si="315"/>
        <v>18</v>
      </c>
      <c r="AH281" s="41">
        <f t="shared" si="316"/>
        <v>16.86738111758887</v>
      </c>
      <c r="AJ281">
        <v>1.1000000000000001</v>
      </c>
      <c r="AK281">
        <v>1.5</v>
      </c>
      <c r="AL281" s="32">
        <f t="shared" si="317"/>
        <v>12713.897166666666</v>
      </c>
      <c r="AM281" s="4">
        <f t="shared" si="318"/>
        <v>0.23596226716898491</v>
      </c>
      <c r="AN281" s="4">
        <f t="shared" si="319"/>
        <v>0.76403773283101506</v>
      </c>
    </row>
    <row r="282" spans="1:40" ht="14.25" hidden="1" customHeight="1" x14ac:dyDescent="0.3">
      <c r="A282" s="84"/>
      <c r="C282" s="1">
        <v>2026</v>
      </c>
      <c r="D282" s="52">
        <v>46174</v>
      </c>
      <c r="E282" s="1">
        <v>4</v>
      </c>
      <c r="F282" s="1" t="str">
        <f>+Precios!C282</f>
        <v>lun</v>
      </c>
      <c r="G282" s="5">
        <f>+Precios!D282</f>
        <v>46188</v>
      </c>
      <c r="H282" s="77">
        <v>5522.1566666666804</v>
      </c>
      <c r="I282" s="77">
        <v>24.270416666666666</v>
      </c>
      <c r="J282" s="77">
        <v>51.01299999999992</v>
      </c>
      <c r="K282" s="77"/>
      <c r="L282" s="77">
        <v>65</v>
      </c>
      <c r="M282" s="81">
        <f t="shared" si="281"/>
        <v>5662.4400833333466</v>
      </c>
      <c r="N282" s="2">
        <v>12697.385916666664</v>
      </c>
      <c r="O282" s="2">
        <v>1409.0577083333335</v>
      </c>
      <c r="P282" s="2">
        <v>95.334270833333335</v>
      </c>
      <c r="Q282" s="2"/>
      <c r="R282" s="77">
        <v>0</v>
      </c>
      <c r="S282" s="81">
        <f t="shared" si="303"/>
        <v>14201.777895833331</v>
      </c>
      <c r="T282" s="77">
        <v>700</v>
      </c>
      <c r="U282" s="77">
        <v>244.89416666666662</v>
      </c>
      <c r="V282" s="77">
        <v>169.14595833333334</v>
      </c>
      <c r="W282" s="77">
        <v>1605.6395833333345</v>
      </c>
      <c r="X282" s="82">
        <f t="shared" si="311"/>
        <v>2719.6797083333345</v>
      </c>
      <c r="Y282" s="77">
        <v>0</v>
      </c>
      <c r="Z282" s="77">
        <v>1288.0084375000001</v>
      </c>
      <c r="AA282" s="77">
        <v>0</v>
      </c>
      <c r="AB282" s="82">
        <f t="shared" si="312"/>
        <v>1288.0084375000001</v>
      </c>
      <c r="AC282" s="84">
        <f t="shared" si="320"/>
        <v>2474.785541666668</v>
      </c>
      <c r="AD282" s="39">
        <v>3000</v>
      </c>
      <c r="AE282" s="40">
        <f t="shared" si="313"/>
        <v>9697.3859166666643</v>
      </c>
      <c r="AF282" s="1">
        <f t="shared" si="314"/>
        <v>13.200000000000001</v>
      </c>
      <c r="AG282" s="1">
        <f t="shared" si="315"/>
        <v>18</v>
      </c>
      <c r="AH282" s="41">
        <f t="shared" si="316"/>
        <v>16.865908298408222</v>
      </c>
      <c r="AJ282">
        <v>1.1000000000000001</v>
      </c>
      <c r="AK282">
        <v>1.5</v>
      </c>
      <c r="AL282" s="32">
        <f t="shared" si="317"/>
        <v>12697.385916666664</v>
      </c>
      <c r="AM282" s="4">
        <f t="shared" si="318"/>
        <v>0.2362691044982875</v>
      </c>
      <c r="AN282" s="4">
        <f t="shared" si="319"/>
        <v>0.76373089550171247</v>
      </c>
    </row>
    <row r="283" spans="1:40" ht="14.25" hidden="1" customHeight="1" x14ac:dyDescent="0.3">
      <c r="A283" s="84"/>
      <c r="C283" s="1">
        <v>2026</v>
      </c>
      <c r="D283" s="52">
        <v>46174</v>
      </c>
      <c r="E283" s="1">
        <v>16</v>
      </c>
      <c r="F283" s="1" t="str">
        <f>+Precios!C283</f>
        <v>mar</v>
      </c>
      <c r="G283" s="5">
        <f>+Precios!D283</f>
        <v>46189</v>
      </c>
      <c r="H283" s="77">
        <v>6146.4754166666689</v>
      </c>
      <c r="I283" s="77">
        <v>284.10166666666669</v>
      </c>
      <c r="J283" s="77">
        <v>25.303958333333242</v>
      </c>
      <c r="K283" s="77"/>
      <c r="L283" s="77">
        <v>65</v>
      </c>
      <c r="M283" s="81">
        <f t="shared" si="281"/>
        <v>6520.8810416666684</v>
      </c>
      <c r="N283" s="2">
        <v>13091.659833333328</v>
      </c>
      <c r="O283" s="2">
        <v>1476.1991666666668</v>
      </c>
      <c r="P283" s="2">
        <v>95.29954166666667</v>
      </c>
      <c r="Q283" s="2"/>
      <c r="R283" s="77">
        <v>0</v>
      </c>
      <c r="S283" s="81">
        <f t="shared" si="303"/>
        <v>14663.158541666662</v>
      </c>
      <c r="T283" s="77">
        <v>700</v>
      </c>
      <c r="U283" s="77">
        <v>351.05620833333342</v>
      </c>
      <c r="V283" s="77">
        <v>170.30397916666666</v>
      </c>
      <c r="W283" s="77">
        <v>1490.0029166666643</v>
      </c>
      <c r="X283" s="82">
        <f t="shared" si="311"/>
        <v>2711.3631041666645</v>
      </c>
      <c r="Y283" s="77">
        <v>0</v>
      </c>
      <c r="Z283" s="77">
        <v>1287.6958749999999</v>
      </c>
      <c r="AA283" s="77">
        <v>0</v>
      </c>
      <c r="AB283" s="82">
        <f t="shared" si="312"/>
        <v>1287.6958749999999</v>
      </c>
      <c r="AC283" s="84">
        <f t="shared" si="320"/>
        <v>2360.3068958333311</v>
      </c>
      <c r="AD283" s="39">
        <v>3000</v>
      </c>
      <c r="AE283" s="40">
        <f t="shared" ref="AE283:AE294" si="321">+N283-AD283</f>
        <v>10091.659833333328</v>
      </c>
      <c r="AF283" s="1">
        <f t="shared" ref="AF283:AF294" si="322">12*AJ283</f>
        <v>13.200000000000001</v>
      </c>
      <c r="AG283" s="1">
        <f t="shared" ref="AG283:AG294" si="323">12*AK283</f>
        <v>18</v>
      </c>
      <c r="AH283" s="41">
        <f t="shared" ref="AH283:AH294" si="324">+(AD283*AF283+AG283*AE283)/SUM(AD283:AE283)</f>
        <v>16.900063079600077</v>
      </c>
      <c r="AJ283">
        <v>1.1000000000000001</v>
      </c>
      <c r="AK283">
        <v>1.5</v>
      </c>
      <c r="AL283" s="32">
        <f t="shared" ref="AL283:AL288" si="325">+AD283+AE283</f>
        <v>13091.659833333328</v>
      </c>
      <c r="AM283" s="4">
        <f t="shared" ref="AM283:AM288" si="326">+AD283/AL283</f>
        <v>0.22915352508331682</v>
      </c>
      <c r="AN283" s="4">
        <f t="shared" ref="AN283:AN288" si="327">+AE283/AL283</f>
        <v>0.77084647491668323</v>
      </c>
    </row>
    <row r="284" spans="1:40" ht="14.25" hidden="1" customHeight="1" x14ac:dyDescent="0.3">
      <c r="A284" s="84"/>
      <c r="C284" s="1">
        <v>2026</v>
      </c>
      <c r="D284" s="52">
        <v>46174</v>
      </c>
      <c r="E284" s="1">
        <v>16</v>
      </c>
      <c r="F284" s="1" t="str">
        <f>+Precios!C284</f>
        <v>mié</v>
      </c>
      <c r="G284" s="5">
        <f>+Precios!D284</f>
        <v>46190</v>
      </c>
      <c r="H284" s="77">
        <v>6046.1395833333472</v>
      </c>
      <c r="I284" s="77">
        <v>349.45</v>
      </c>
      <c r="J284" s="77">
        <v>54.208166666666699</v>
      </c>
      <c r="K284" s="77"/>
      <c r="L284" s="77">
        <v>65</v>
      </c>
      <c r="M284" s="81">
        <f t="shared" si="281"/>
        <v>6514.7977500000134</v>
      </c>
      <c r="N284" s="2">
        <v>13147.03820833333</v>
      </c>
      <c r="O284" s="2">
        <v>1526.4250833333335</v>
      </c>
      <c r="P284" s="2">
        <v>95.483645833333341</v>
      </c>
      <c r="Q284" s="2"/>
      <c r="R284" s="77">
        <v>0</v>
      </c>
      <c r="S284" s="81">
        <f t="shared" si="303"/>
        <v>14768.946937499997</v>
      </c>
      <c r="T284" s="77">
        <v>700</v>
      </c>
      <c r="U284" s="77">
        <v>393.12129166666659</v>
      </c>
      <c r="V284" s="77">
        <v>175.53883333333334</v>
      </c>
      <c r="W284" s="77">
        <v>1273.6783333333317</v>
      </c>
      <c r="X284" s="82">
        <f t="shared" si="311"/>
        <v>2542.3384583333318</v>
      </c>
      <c r="Y284" s="77">
        <v>0</v>
      </c>
      <c r="Z284" s="77">
        <v>1289.3528125</v>
      </c>
      <c r="AA284" s="77">
        <v>0</v>
      </c>
      <c r="AB284" s="82">
        <f t="shared" si="312"/>
        <v>1289.3528125</v>
      </c>
      <c r="AC284" s="84">
        <f t="shared" si="320"/>
        <v>2149.217166666665</v>
      </c>
      <c r="AD284" s="39">
        <v>3000</v>
      </c>
      <c r="AE284" s="40">
        <f t="shared" si="321"/>
        <v>10147.03820833333</v>
      </c>
      <c r="AF284" s="1">
        <f t="shared" si="322"/>
        <v>13.200000000000001</v>
      </c>
      <c r="AG284" s="1">
        <f t="shared" si="323"/>
        <v>18</v>
      </c>
      <c r="AH284" s="41">
        <f t="shared" si="324"/>
        <v>16.904696269090291</v>
      </c>
      <c r="AJ284">
        <v>1.1000000000000001</v>
      </c>
      <c r="AK284">
        <v>1.5</v>
      </c>
      <c r="AL284" s="32">
        <f t="shared" si="325"/>
        <v>13147.03820833333</v>
      </c>
      <c r="AM284" s="4">
        <f t="shared" si="326"/>
        <v>0.22818827727285618</v>
      </c>
      <c r="AN284" s="4">
        <f t="shared" si="327"/>
        <v>0.77181172272714382</v>
      </c>
    </row>
    <row r="285" spans="1:40" ht="14.25" hidden="1" customHeight="1" x14ac:dyDescent="0.3">
      <c r="A285" s="84"/>
      <c r="C285" s="1">
        <v>2026</v>
      </c>
      <c r="D285" s="52">
        <v>46174</v>
      </c>
      <c r="E285" s="1">
        <v>16</v>
      </c>
      <c r="F285" s="1" t="str">
        <f>+Precios!C285</f>
        <v>jue</v>
      </c>
      <c r="G285" s="5">
        <f>+Precios!D285</f>
        <v>46191</v>
      </c>
      <c r="H285" s="77">
        <v>5838.4625000000015</v>
      </c>
      <c r="I285" s="77">
        <v>354.04458333333332</v>
      </c>
      <c r="J285" s="77">
        <v>70.74399999999973</v>
      </c>
      <c r="K285" s="77"/>
      <c r="L285" s="77">
        <v>65</v>
      </c>
      <c r="M285" s="81">
        <f t="shared" si="281"/>
        <v>6328.2510833333345</v>
      </c>
      <c r="N285" s="2">
        <v>12850.004083333328</v>
      </c>
      <c r="O285" s="2">
        <v>1528.7590833333336</v>
      </c>
      <c r="P285" s="2">
        <v>95.483091666666667</v>
      </c>
      <c r="Q285" s="2"/>
      <c r="R285" s="77">
        <v>0</v>
      </c>
      <c r="S285" s="81">
        <f t="shared" si="303"/>
        <v>14474.246258333329</v>
      </c>
      <c r="T285" s="77">
        <v>700</v>
      </c>
      <c r="U285" s="77">
        <v>354.14237500000007</v>
      </c>
      <c r="V285" s="77">
        <v>183.95720833333337</v>
      </c>
      <c r="W285" s="77">
        <v>1493.4412500000005</v>
      </c>
      <c r="X285" s="82">
        <f t="shared" si="311"/>
        <v>2731.5408333333344</v>
      </c>
      <c r="Y285" s="77">
        <v>0</v>
      </c>
      <c r="Z285" s="77">
        <v>1289.3478250000001</v>
      </c>
      <c r="AA285" s="77">
        <v>0</v>
      </c>
      <c r="AB285" s="82">
        <f t="shared" si="312"/>
        <v>1289.3478250000001</v>
      </c>
      <c r="AC285" s="84">
        <f t="shared" si="320"/>
        <v>2377.398458333334</v>
      </c>
      <c r="AD285" s="39">
        <v>3000</v>
      </c>
      <c r="AE285" s="40">
        <f t="shared" si="321"/>
        <v>9850.0040833333278</v>
      </c>
      <c r="AF285" s="1">
        <f t="shared" si="322"/>
        <v>13.200000000000001</v>
      </c>
      <c r="AG285" s="1">
        <f t="shared" si="323"/>
        <v>18</v>
      </c>
      <c r="AH285" s="41">
        <f t="shared" si="324"/>
        <v>16.879377788005762</v>
      </c>
      <c r="AJ285">
        <v>1.1000000000000001</v>
      </c>
      <c r="AK285">
        <v>1.5</v>
      </c>
      <c r="AL285" s="32">
        <f t="shared" si="325"/>
        <v>12850.004083333328</v>
      </c>
      <c r="AM285" s="4">
        <f t="shared" si="326"/>
        <v>0.23346296083213317</v>
      </c>
      <c r="AN285" s="4">
        <f t="shared" si="327"/>
        <v>0.76653703916786686</v>
      </c>
    </row>
    <row r="286" spans="1:40" ht="14.25" hidden="1" customHeight="1" x14ac:dyDescent="0.3">
      <c r="A286" s="84"/>
      <c r="C286" s="1">
        <v>2026</v>
      </c>
      <c r="D286" s="52">
        <v>46174</v>
      </c>
      <c r="E286" s="1">
        <v>16</v>
      </c>
      <c r="F286" s="1" t="str">
        <f>+Precios!C286</f>
        <v>vie</v>
      </c>
      <c r="G286" s="5">
        <f>+Precios!D286</f>
        <v>46192</v>
      </c>
      <c r="H286" s="77">
        <v>5359.429583333319</v>
      </c>
      <c r="I286" s="77">
        <v>546.60125000000005</v>
      </c>
      <c r="J286" s="77">
        <v>41.568208333333317</v>
      </c>
      <c r="K286" s="77"/>
      <c r="L286" s="77">
        <v>65</v>
      </c>
      <c r="M286" s="81">
        <f t="shared" si="281"/>
        <v>6012.5990416666518</v>
      </c>
      <c r="N286" s="2">
        <v>12490.775624999998</v>
      </c>
      <c r="O286" s="2">
        <v>1398.6658333333335</v>
      </c>
      <c r="P286" s="2">
        <v>95.282516666666666</v>
      </c>
      <c r="Q286" s="2"/>
      <c r="R286" s="77">
        <v>0</v>
      </c>
      <c r="S286" s="81">
        <f t="shared" si="303"/>
        <v>13984.723974999997</v>
      </c>
      <c r="T286" s="77">
        <v>700</v>
      </c>
      <c r="U286" s="77">
        <v>399.05750000000006</v>
      </c>
      <c r="V286" s="77">
        <v>192.91735416666668</v>
      </c>
      <c r="W286" s="77">
        <v>1236.8574999999994</v>
      </c>
      <c r="X286" s="82">
        <f t="shared" si="311"/>
        <v>2528.8323541666659</v>
      </c>
      <c r="Y286" s="77">
        <v>0</v>
      </c>
      <c r="Z286" s="77">
        <v>1287.5426499999999</v>
      </c>
      <c r="AA286" s="77">
        <v>0</v>
      </c>
      <c r="AB286" s="82">
        <f t="shared" si="312"/>
        <v>1287.5426499999999</v>
      </c>
      <c r="AC286" s="84">
        <f t="shared" si="320"/>
        <v>2129.774854166666</v>
      </c>
      <c r="AD286" s="39">
        <v>3000</v>
      </c>
      <c r="AE286" s="40">
        <f t="shared" si="321"/>
        <v>9490.7756249999984</v>
      </c>
      <c r="AF286" s="1">
        <f t="shared" si="322"/>
        <v>13.200000000000001</v>
      </c>
      <c r="AG286" s="1">
        <f t="shared" si="323"/>
        <v>18</v>
      </c>
      <c r="AH286" s="41">
        <f t="shared" si="324"/>
        <v>16.847149253791834</v>
      </c>
      <c r="AJ286">
        <v>1.1000000000000001</v>
      </c>
      <c r="AK286">
        <v>1.5</v>
      </c>
      <c r="AL286" s="32">
        <f t="shared" si="325"/>
        <v>12490.775624999998</v>
      </c>
      <c r="AM286" s="4">
        <f t="shared" si="326"/>
        <v>0.24017723879336761</v>
      </c>
      <c r="AN286" s="4">
        <f t="shared" si="327"/>
        <v>0.75982276120663239</v>
      </c>
    </row>
    <row r="287" spans="1:40" ht="14.25" hidden="1" customHeight="1" x14ac:dyDescent="0.3">
      <c r="A287" s="84"/>
      <c r="C287" s="1">
        <v>2026</v>
      </c>
      <c r="D287" s="52">
        <v>46174</v>
      </c>
      <c r="E287" s="1">
        <v>4</v>
      </c>
      <c r="F287" s="1" t="str">
        <f>+Precios!C287</f>
        <v>sáb</v>
      </c>
      <c r="G287" s="5">
        <f>+Precios!D287</f>
        <v>46193</v>
      </c>
      <c r="H287" s="77">
        <v>5157.1704166666686</v>
      </c>
      <c r="I287" s="77">
        <v>596.76416666666682</v>
      </c>
      <c r="J287" s="77">
        <v>30.825791666666518</v>
      </c>
      <c r="K287" s="77"/>
      <c r="L287" s="77">
        <v>65</v>
      </c>
      <c r="M287" s="81">
        <f t="shared" si="281"/>
        <v>5849.7603750000017</v>
      </c>
      <c r="N287" s="2">
        <v>12463.456874999996</v>
      </c>
      <c r="O287" s="2">
        <v>1521.3168750000002</v>
      </c>
      <c r="P287" s="2">
        <v>95.481841666666668</v>
      </c>
      <c r="Q287" s="2"/>
      <c r="R287" s="77">
        <v>0</v>
      </c>
      <c r="S287" s="81">
        <f t="shared" si="303"/>
        <v>14080.255591666662</v>
      </c>
      <c r="T287" s="77">
        <v>700</v>
      </c>
      <c r="U287" s="77">
        <v>221.03087500000001</v>
      </c>
      <c r="V287" s="77">
        <v>121.36185416666669</v>
      </c>
      <c r="W287" s="77">
        <v>1724.8908333333372</v>
      </c>
      <c r="X287" s="82">
        <f t="shared" si="311"/>
        <v>2767.2835625000039</v>
      </c>
      <c r="Y287" s="77">
        <v>0</v>
      </c>
      <c r="Z287" s="77">
        <v>1289.3365749999998</v>
      </c>
      <c r="AA287" s="77">
        <v>0</v>
      </c>
      <c r="AB287" s="82">
        <f t="shared" si="312"/>
        <v>1289.3365749999998</v>
      </c>
      <c r="AC287" s="84">
        <f t="shared" si="320"/>
        <v>2546.252687500004</v>
      </c>
      <c r="AD287" s="39">
        <v>3000</v>
      </c>
      <c r="AE287" s="40">
        <f t="shared" si="321"/>
        <v>9463.4568749999962</v>
      </c>
      <c r="AF287" s="1">
        <f t="shared" si="322"/>
        <v>13.200000000000001</v>
      </c>
      <c r="AG287" s="1">
        <f t="shared" si="323"/>
        <v>18</v>
      </c>
      <c r="AH287" s="41">
        <f t="shared" si="324"/>
        <v>16.844622311095371</v>
      </c>
      <c r="AJ287">
        <v>1.1000000000000001</v>
      </c>
      <c r="AK287">
        <v>1.5</v>
      </c>
      <c r="AL287" s="32">
        <f t="shared" si="325"/>
        <v>12463.456874999996</v>
      </c>
      <c r="AM287" s="4">
        <f t="shared" si="326"/>
        <v>0.2407036851884643</v>
      </c>
      <c r="AN287" s="4">
        <f t="shared" si="327"/>
        <v>0.7592963148115357</v>
      </c>
    </row>
    <row r="288" spans="1:40" ht="14.25" hidden="1" customHeight="1" x14ac:dyDescent="0.3">
      <c r="A288" s="84"/>
      <c r="C288" s="1">
        <v>2026</v>
      </c>
      <c r="D288" s="52">
        <v>46174</v>
      </c>
      <c r="E288" s="1">
        <v>4</v>
      </c>
      <c r="F288" s="1" t="str">
        <f>+Precios!C288</f>
        <v>dom</v>
      </c>
      <c r="G288" s="5">
        <f>+Precios!D288</f>
        <v>46194</v>
      </c>
      <c r="H288" s="77">
        <v>4852.6612500000001</v>
      </c>
      <c r="I288" s="77">
        <v>607.57583333333332</v>
      </c>
      <c r="J288" s="77">
        <v>41.997374999999963</v>
      </c>
      <c r="K288" s="77"/>
      <c r="L288" s="77">
        <v>65</v>
      </c>
      <c r="M288" s="81">
        <f t="shared" si="281"/>
        <v>5567.2344583333334</v>
      </c>
      <c r="N288" s="2">
        <v>12357.407083333326</v>
      </c>
      <c r="O288" s="2">
        <v>1523.8687499999999</v>
      </c>
      <c r="P288" s="2">
        <v>95.798187499999997</v>
      </c>
      <c r="Q288" s="2"/>
      <c r="R288" s="77">
        <v>0</v>
      </c>
      <c r="S288" s="81">
        <f t="shared" si="303"/>
        <v>13977.074020833326</v>
      </c>
      <c r="T288" s="77">
        <v>700</v>
      </c>
      <c r="U288" s="77">
        <v>205.94962500000005</v>
      </c>
      <c r="V288" s="77">
        <v>103.18833333333332</v>
      </c>
      <c r="W288" s="77">
        <v>1400.9466666666685</v>
      </c>
      <c r="X288" s="82">
        <f t="shared" si="311"/>
        <v>2410.0846250000018</v>
      </c>
      <c r="Y288" s="77">
        <v>0</v>
      </c>
      <c r="Z288" s="77">
        <v>1292.1836874999999</v>
      </c>
      <c r="AA288" s="77">
        <v>0</v>
      </c>
      <c r="AB288" s="82">
        <f t="shared" si="312"/>
        <v>1292.1836874999999</v>
      </c>
      <c r="AC288" s="84">
        <f t="shared" si="320"/>
        <v>2204.135000000002</v>
      </c>
      <c r="AD288" s="39">
        <v>3000</v>
      </c>
      <c r="AE288" s="40">
        <f t="shared" si="321"/>
        <v>9357.4070833333262</v>
      </c>
      <c r="AF288" s="1">
        <f t="shared" si="322"/>
        <v>13.200000000000001</v>
      </c>
      <c r="AG288" s="1">
        <f t="shared" si="323"/>
        <v>18</v>
      </c>
      <c r="AH288" s="41">
        <f t="shared" si="324"/>
        <v>16.834706997763181</v>
      </c>
      <c r="AJ288">
        <v>1.1000000000000001</v>
      </c>
      <c r="AK288">
        <v>1.5</v>
      </c>
      <c r="AL288" s="32">
        <f t="shared" si="325"/>
        <v>12357.407083333326</v>
      </c>
      <c r="AM288" s="4">
        <f t="shared" si="326"/>
        <v>0.24276937546600355</v>
      </c>
      <c r="AN288" s="4">
        <f t="shared" si="327"/>
        <v>0.75723062453399648</v>
      </c>
    </row>
    <row r="289" spans="1:40" ht="14.25" hidden="1" customHeight="1" x14ac:dyDescent="0.3">
      <c r="A289" s="84"/>
      <c r="C289" s="1">
        <v>2026</v>
      </c>
      <c r="D289" s="52">
        <v>46174</v>
      </c>
      <c r="E289" s="1">
        <v>16</v>
      </c>
      <c r="F289" s="1" t="str">
        <f>+Precios!C289</f>
        <v>lun</v>
      </c>
      <c r="G289" s="5">
        <f>+Precios!D289</f>
        <v>46195</v>
      </c>
      <c r="H289" s="77">
        <v>5672.3087500000047</v>
      </c>
      <c r="I289" s="77">
        <v>981.21624999999949</v>
      </c>
      <c r="J289" s="77">
        <v>40.67099999999985</v>
      </c>
      <c r="K289" s="77"/>
      <c r="L289" s="77">
        <v>65</v>
      </c>
      <c r="M289" s="81">
        <f t="shared" si="281"/>
        <v>6759.1960000000045</v>
      </c>
      <c r="N289" s="2">
        <v>12526.579374999994</v>
      </c>
      <c r="O289" s="2">
        <v>1524.0052083333333</v>
      </c>
      <c r="P289" s="2">
        <v>95.747566666666657</v>
      </c>
      <c r="Q289" s="2"/>
      <c r="R289" s="77">
        <v>0</v>
      </c>
      <c r="S289" s="81">
        <f t="shared" si="303"/>
        <v>14146.332149999995</v>
      </c>
      <c r="T289" s="77">
        <v>700</v>
      </c>
      <c r="U289" s="77">
        <v>320.99608333333339</v>
      </c>
      <c r="V289" s="77">
        <v>162.46404166666667</v>
      </c>
      <c r="W289" s="77">
        <v>1376.7462499999981</v>
      </c>
      <c r="X289" s="82">
        <f t="shared" si="311"/>
        <v>2560.2063749999979</v>
      </c>
      <c r="Y289" s="77">
        <v>0</v>
      </c>
      <c r="Z289" s="77">
        <v>1291.7280999999998</v>
      </c>
      <c r="AA289" s="77">
        <v>0</v>
      </c>
      <c r="AB289" s="82">
        <f t="shared" si="312"/>
        <v>1291.7280999999998</v>
      </c>
      <c r="AC289" s="84">
        <f t="shared" si="320"/>
        <v>2239.2102916666645</v>
      </c>
      <c r="AD289" s="39">
        <v>3000</v>
      </c>
      <c r="AE289" s="40">
        <f t="shared" si="321"/>
        <v>9526.5793749999939</v>
      </c>
      <c r="AF289" s="1">
        <f t="shared" si="322"/>
        <v>13.200000000000001</v>
      </c>
      <c r="AG289" s="1">
        <f t="shared" si="323"/>
        <v>18</v>
      </c>
      <c r="AH289" s="41">
        <f t="shared" si="324"/>
        <v>16.850444357640132</v>
      </c>
      <c r="AJ289">
        <v>1.1000000000000001</v>
      </c>
      <c r="AK289">
        <v>1.5</v>
      </c>
      <c r="AL289" s="32">
        <f t="shared" ref="AL289:AL294" si="328">+AD289+AE289</f>
        <v>12526.579374999994</v>
      </c>
      <c r="AM289" s="4">
        <f t="shared" ref="AM289:AM294" si="329">+AD289/AL289</f>
        <v>0.23949075882497264</v>
      </c>
      <c r="AN289" s="4">
        <f t="shared" ref="AN289:AN294" si="330">+AE289/AL289</f>
        <v>0.76050924117502738</v>
      </c>
    </row>
    <row r="290" spans="1:40" ht="14.25" hidden="1" customHeight="1" x14ac:dyDescent="0.3">
      <c r="A290" s="84"/>
      <c r="C290" s="1">
        <v>2026</v>
      </c>
      <c r="D290" s="52">
        <v>46174</v>
      </c>
      <c r="E290" s="1">
        <v>16</v>
      </c>
      <c r="F290" s="1" t="str">
        <f>+Precios!C290</f>
        <v>mar</v>
      </c>
      <c r="G290" s="5">
        <f>+Precios!D290</f>
        <v>46196</v>
      </c>
      <c r="H290" s="77">
        <v>6232.6208333333261</v>
      </c>
      <c r="I290" s="77">
        <v>1031.2954166666671</v>
      </c>
      <c r="J290" s="77">
        <v>25.24308333333336</v>
      </c>
      <c r="K290" s="77"/>
      <c r="L290" s="77">
        <v>65</v>
      </c>
      <c r="M290" s="81">
        <f t="shared" si="281"/>
        <v>7354.1593333333267</v>
      </c>
      <c r="N290" s="2">
        <v>12882.255499999988</v>
      </c>
      <c r="O290" s="2">
        <v>1513.0085000000001</v>
      </c>
      <c r="P290" s="2">
        <v>95.756516666666656</v>
      </c>
      <c r="Q290" s="2"/>
      <c r="R290" s="77">
        <v>0</v>
      </c>
      <c r="S290" s="81">
        <f t="shared" si="303"/>
        <v>14491.020516666655</v>
      </c>
      <c r="T290" s="77">
        <v>700</v>
      </c>
      <c r="U290" s="77">
        <v>382.30670833333323</v>
      </c>
      <c r="V290" s="77">
        <v>165.3756875</v>
      </c>
      <c r="W290" s="77">
        <v>1524.7149999999995</v>
      </c>
      <c r="X290" s="82">
        <f t="shared" si="311"/>
        <v>2772.3973958333327</v>
      </c>
      <c r="Y290" s="77">
        <v>0</v>
      </c>
      <c r="Z290" s="77">
        <v>1291.8086499999999</v>
      </c>
      <c r="AA290" s="77">
        <v>0</v>
      </c>
      <c r="AB290" s="82">
        <f t="shared" si="312"/>
        <v>1291.8086499999999</v>
      </c>
      <c r="AC290" s="84">
        <f t="shared" si="320"/>
        <v>2390.0906874999996</v>
      </c>
      <c r="AD290" s="39">
        <v>3000</v>
      </c>
      <c r="AE290" s="40">
        <f t="shared" si="321"/>
        <v>9882.2554999999884</v>
      </c>
      <c r="AF290" s="1">
        <f t="shared" si="322"/>
        <v>13.200000000000001</v>
      </c>
      <c r="AG290" s="1">
        <f t="shared" si="323"/>
        <v>18</v>
      </c>
      <c r="AH290" s="41">
        <f t="shared" si="324"/>
        <v>16.882183325738261</v>
      </c>
      <c r="AJ290">
        <v>1.1000000000000001</v>
      </c>
      <c r="AK290">
        <v>1.5</v>
      </c>
      <c r="AL290" s="32">
        <f t="shared" si="328"/>
        <v>12882.255499999988</v>
      </c>
      <c r="AM290" s="4">
        <f t="shared" si="329"/>
        <v>0.23287847380452925</v>
      </c>
      <c r="AN290" s="4">
        <f t="shared" si="330"/>
        <v>0.7671215261954708</v>
      </c>
    </row>
    <row r="291" spans="1:40" ht="14.25" hidden="1" customHeight="1" x14ac:dyDescent="0.3">
      <c r="A291" s="84"/>
      <c r="C291" s="1">
        <v>2026</v>
      </c>
      <c r="D291" s="52">
        <v>46174</v>
      </c>
      <c r="E291" s="1">
        <v>16</v>
      </c>
      <c r="F291" s="1" t="str">
        <f>+Precios!C291</f>
        <v>mié</v>
      </c>
      <c r="G291" s="5">
        <f>+Precios!D291</f>
        <v>46197</v>
      </c>
      <c r="H291" s="77">
        <v>6295.9033333333437</v>
      </c>
      <c r="I291" s="77">
        <v>1140.0550000000001</v>
      </c>
      <c r="J291" s="77">
        <v>56.827916666666553</v>
      </c>
      <c r="K291" s="77"/>
      <c r="L291" s="77">
        <v>65</v>
      </c>
      <c r="M291" s="81">
        <f t="shared" si="281"/>
        <v>7557.7862500000101</v>
      </c>
      <c r="N291" s="2">
        <v>12670.083583333324</v>
      </c>
      <c r="O291" s="2">
        <v>1522.2763749999999</v>
      </c>
      <c r="P291" s="2">
        <v>95.746120833333322</v>
      </c>
      <c r="Q291" s="2"/>
      <c r="R291" s="77">
        <v>0</v>
      </c>
      <c r="S291" s="81">
        <f t="shared" si="303"/>
        <v>14288.106079166657</v>
      </c>
      <c r="T291" s="77">
        <v>700</v>
      </c>
      <c r="U291" s="77">
        <v>396.70695833333338</v>
      </c>
      <c r="V291" s="77">
        <v>182.5104791666667</v>
      </c>
      <c r="W291" s="77">
        <v>1134.9937500000008</v>
      </c>
      <c r="X291" s="82">
        <f t="shared" si="311"/>
        <v>2414.211187500001</v>
      </c>
      <c r="Y291" s="77">
        <v>0</v>
      </c>
      <c r="Z291" s="77">
        <v>1291.7150874999998</v>
      </c>
      <c r="AA291" s="77">
        <v>0</v>
      </c>
      <c r="AB291" s="82">
        <f t="shared" si="312"/>
        <v>1291.7150874999998</v>
      </c>
      <c r="AC291" s="84">
        <f t="shared" si="320"/>
        <v>2017.5042291666675</v>
      </c>
      <c r="AD291" s="39">
        <v>3000</v>
      </c>
      <c r="AE291" s="40">
        <f t="shared" si="321"/>
        <v>9670.083583333324</v>
      </c>
      <c r="AF291" s="1">
        <f t="shared" si="322"/>
        <v>13.200000000000001</v>
      </c>
      <c r="AG291" s="1">
        <f t="shared" si="323"/>
        <v>18</v>
      </c>
      <c r="AH291" s="41">
        <f t="shared" si="324"/>
        <v>16.863464482669848</v>
      </c>
      <c r="AJ291">
        <v>1.1000000000000001</v>
      </c>
      <c r="AK291">
        <v>1.5</v>
      </c>
      <c r="AL291" s="32">
        <f t="shared" si="328"/>
        <v>12670.083583333324</v>
      </c>
      <c r="AM291" s="4">
        <f t="shared" si="329"/>
        <v>0.23677823277711491</v>
      </c>
      <c r="AN291" s="4">
        <f t="shared" si="330"/>
        <v>0.76322176722288504</v>
      </c>
    </row>
    <row r="292" spans="1:40" ht="14.25" hidden="1" customHeight="1" x14ac:dyDescent="0.3">
      <c r="A292" s="84"/>
      <c r="C292" s="1">
        <v>2026</v>
      </c>
      <c r="D292" s="52">
        <v>46174</v>
      </c>
      <c r="E292" s="1">
        <v>16</v>
      </c>
      <c r="F292" s="1" t="str">
        <f>+Precios!C292</f>
        <v>jue</v>
      </c>
      <c r="G292" s="5">
        <f>+Precios!D292</f>
        <v>46198</v>
      </c>
      <c r="H292" s="77">
        <v>6470.8141666666734</v>
      </c>
      <c r="I292" s="77">
        <v>1090.1416666666667</v>
      </c>
      <c r="J292" s="77">
        <v>32.775125000000088</v>
      </c>
      <c r="K292" s="77"/>
      <c r="L292" s="77">
        <v>65</v>
      </c>
      <c r="M292" s="81">
        <f t="shared" si="281"/>
        <v>7658.7309583333399</v>
      </c>
      <c r="N292" s="2">
        <v>12834.87066666666</v>
      </c>
      <c r="O292" s="2">
        <v>1521.2452083333333</v>
      </c>
      <c r="P292" s="2">
        <v>95.478579166666677</v>
      </c>
      <c r="Q292" s="2"/>
      <c r="R292" s="77">
        <v>0</v>
      </c>
      <c r="S292" s="81">
        <f t="shared" si="303"/>
        <v>14451.594454166661</v>
      </c>
      <c r="T292" s="77">
        <v>700</v>
      </c>
      <c r="U292" s="77">
        <v>392.74195833333329</v>
      </c>
      <c r="V292" s="77">
        <v>195.37833333333333</v>
      </c>
      <c r="W292" s="77">
        <v>1123.7475000000006</v>
      </c>
      <c r="X292" s="82">
        <f t="shared" si="311"/>
        <v>2411.8677916666675</v>
      </c>
      <c r="Y292" s="77">
        <v>0</v>
      </c>
      <c r="Z292" s="77">
        <v>1289.3072124999999</v>
      </c>
      <c r="AA292" s="77">
        <v>0</v>
      </c>
      <c r="AB292" s="82">
        <f t="shared" si="312"/>
        <v>1289.3072124999999</v>
      </c>
      <c r="AC292" s="84">
        <f t="shared" si="320"/>
        <v>2019.125833333334</v>
      </c>
      <c r="AD292" s="39">
        <v>3000</v>
      </c>
      <c r="AE292" s="40">
        <f t="shared" si="321"/>
        <v>9834.8706666666603</v>
      </c>
      <c r="AF292" s="1">
        <f t="shared" si="322"/>
        <v>13.200000000000001</v>
      </c>
      <c r="AG292" s="1">
        <f t="shared" si="323"/>
        <v>18</v>
      </c>
      <c r="AH292" s="41">
        <f t="shared" si="324"/>
        <v>16.878056478013594</v>
      </c>
      <c r="AJ292">
        <v>1.1000000000000001</v>
      </c>
      <c r="AK292">
        <v>1.5</v>
      </c>
      <c r="AL292" s="32">
        <f t="shared" si="328"/>
        <v>12834.87066666666</v>
      </c>
      <c r="AM292" s="4">
        <f t="shared" si="329"/>
        <v>0.23373823374716785</v>
      </c>
      <c r="AN292" s="4">
        <f t="shared" si="330"/>
        <v>0.76626176625283215</v>
      </c>
    </row>
    <row r="293" spans="1:40" ht="14.25" hidden="1" customHeight="1" x14ac:dyDescent="0.3">
      <c r="A293" s="84"/>
      <c r="C293" s="1">
        <v>2026</v>
      </c>
      <c r="D293" s="52">
        <v>46174</v>
      </c>
      <c r="E293" s="1">
        <v>16</v>
      </c>
      <c r="F293" s="1" t="str">
        <f>+Precios!C293</f>
        <v>vie</v>
      </c>
      <c r="G293" s="5">
        <f>+Precios!D293</f>
        <v>46199</v>
      </c>
      <c r="H293" s="77">
        <v>6033.3858333333228</v>
      </c>
      <c r="I293" s="77">
        <v>1046.5679166666666</v>
      </c>
      <c r="J293" s="77">
        <v>57.716333333333509</v>
      </c>
      <c r="K293" s="77"/>
      <c r="L293" s="77">
        <v>65</v>
      </c>
      <c r="M293" s="81">
        <f t="shared" si="281"/>
        <v>7202.6700833333234</v>
      </c>
      <c r="N293" s="2">
        <v>12813.596791666661</v>
      </c>
      <c r="O293" s="2">
        <v>1514.574291666667</v>
      </c>
      <c r="P293" s="2">
        <v>95.494808333333324</v>
      </c>
      <c r="Q293" s="2"/>
      <c r="R293" s="77">
        <v>0</v>
      </c>
      <c r="S293" s="81">
        <f t="shared" si="303"/>
        <v>14423.665891666662</v>
      </c>
      <c r="T293" s="77">
        <v>700</v>
      </c>
      <c r="U293" s="77">
        <v>384.75108333333333</v>
      </c>
      <c r="V293" s="77">
        <v>167.71910416666668</v>
      </c>
      <c r="W293" s="77">
        <v>1489.3387500000026</v>
      </c>
      <c r="X293" s="82">
        <f t="shared" si="311"/>
        <v>2741.8089375000027</v>
      </c>
      <c r="Y293" s="77">
        <v>0</v>
      </c>
      <c r="Z293" s="77">
        <v>1289.4532749999998</v>
      </c>
      <c r="AA293" s="77">
        <v>0</v>
      </c>
      <c r="AB293" s="82">
        <f t="shared" si="312"/>
        <v>1289.4532749999998</v>
      </c>
      <c r="AC293" s="84">
        <f t="shared" si="320"/>
        <v>2357.0578541666691</v>
      </c>
      <c r="AD293" s="39">
        <v>3000</v>
      </c>
      <c r="AE293" s="40">
        <f t="shared" si="321"/>
        <v>9813.5967916666614</v>
      </c>
      <c r="AF293" s="1">
        <f t="shared" si="322"/>
        <v>13.200000000000001</v>
      </c>
      <c r="AG293" s="1">
        <f t="shared" si="323"/>
        <v>18</v>
      </c>
      <c r="AH293" s="41">
        <f t="shared" si="324"/>
        <v>16.876193762444199</v>
      </c>
      <c r="AJ293">
        <v>1.1000000000000001</v>
      </c>
      <c r="AK293">
        <v>1.5</v>
      </c>
      <c r="AL293" s="32">
        <f t="shared" si="328"/>
        <v>12813.596791666661</v>
      </c>
      <c r="AM293" s="4">
        <f t="shared" si="329"/>
        <v>0.23412629949079197</v>
      </c>
      <c r="AN293" s="4">
        <f t="shared" si="330"/>
        <v>0.765873700509208</v>
      </c>
    </row>
    <row r="294" spans="1:40" ht="14.25" hidden="1" customHeight="1" x14ac:dyDescent="0.3">
      <c r="A294" s="84"/>
      <c r="C294" s="1">
        <v>2026</v>
      </c>
      <c r="D294" s="52">
        <v>46174</v>
      </c>
      <c r="E294" s="1">
        <v>6</v>
      </c>
      <c r="F294" s="1" t="str">
        <f>+Precios!C294</f>
        <v>sáb</v>
      </c>
      <c r="G294" s="5">
        <f>+Precios!D294</f>
        <v>46200</v>
      </c>
      <c r="H294" s="77">
        <v>6128.3816666666762</v>
      </c>
      <c r="I294" s="77">
        <v>635.33583333333343</v>
      </c>
      <c r="J294" s="77">
        <v>27.770958333333326</v>
      </c>
      <c r="K294" s="77"/>
      <c r="L294" s="77">
        <v>65</v>
      </c>
      <c r="M294" s="81">
        <f t="shared" si="281"/>
        <v>6856.4884583333433</v>
      </c>
      <c r="N294" s="2">
        <v>12838.820833333331</v>
      </c>
      <c r="O294" s="2">
        <v>1508.7448333333332</v>
      </c>
      <c r="P294" s="2">
        <v>95.329054166666651</v>
      </c>
      <c r="Q294" s="2"/>
      <c r="R294" s="77">
        <v>0</v>
      </c>
      <c r="S294" s="81">
        <f t="shared" si="303"/>
        <v>14442.894720833332</v>
      </c>
      <c r="T294" s="77">
        <v>700</v>
      </c>
      <c r="U294" s="77">
        <v>198.86962500000004</v>
      </c>
      <c r="V294" s="77">
        <v>131.41970833333329</v>
      </c>
      <c r="W294" s="77">
        <v>958.32124999999996</v>
      </c>
      <c r="X294" s="82">
        <f t="shared" si="311"/>
        <v>1988.6105833333334</v>
      </c>
      <c r="Y294" s="77">
        <v>0</v>
      </c>
      <c r="Z294" s="77">
        <v>1287.9614874999997</v>
      </c>
      <c r="AA294" s="77">
        <v>0</v>
      </c>
      <c r="AB294" s="82">
        <f t="shared" si="312"/>
        <v>1287.9614874999997</v>
      </c>
      <c r="AC294" s="84">
        <f t="shared" si="320"/>
        <v>1789.7409583333333</v>
      </c>
      <c r="AD294" s="39">
        <v>3000</v>
      </c>
      <c r="AE294" s="40">
        <f t="shared" si="321"/>
        <v>9838.8208333333314</v>
      </c>
      <c r="AF294" s="1">
        <f t="shared" si="322"/>
        <v>13.200000000000001</v>
      </c>
      <c r="AG294" s="1">
        <f t="shared" si="323"/>
        <v>18</v>
      </c>
      <c r="AH294" s="41">
        <f t="shared" si="324"/>
        <v>16.878401670454547</v>
      </c>
      <c r="AJ294">
        <v>1.1000000000000001</v>
      </c>
      <c r="AK294">
        <v>1.5</v>
      </c>
      <c r="AL294" s="32">
        <f t="shared" si="328"/>
        <v>12838.820833333331</v>
      </c>
      <c r="AM294" s="4">
        <f t="shared" si="329"/>
        <v>0.2336663186553023</v>
      </c>
      <c r="AN294" s="4">
        <f t="shared" si="330"/>
        <v>0.7663336813446977</v>
      </c>
    </row>
    <row r="295" spans="1:40" ht="14.25" hidden="1" customHeight="1" x14ac:dyDescent="0.3">
      <c r="A295" s="84"/>
      <c r="C295" s="1">
        <v>2026</v>
      </c>
      <c r="D295" s="52">
        <v>46174</v>
      </c>
      <c r="E295" s="1">
        <v>4</v>
      </c>
      <c r="F295" s="1" t="str">
        <f>+Precios!C295</f>
        <v>dom</v>
      </c>
      <c r="G295" s="5">
        <f>+Precios!D295</f>
        <v>46201</v>
      </c>
      <c r="H295" s="77">
        <v>5692.8824999999961</v>
      </c>
      <c r="I295" s="77">
        <v>581.82916666666665</v>
      </c>
      <c r="J295" s="77">
        <v>17.783958333333331</v>
      </c>
      <c r="K295" s="77"/>
      <c r="L295" s="77">
        <v>65</v>
      </c>
      <c r="M295" s="81">
        <f t="shared" ref="M295:M296" si="331">+SUM(H295:L295)</f>
        <v>6357.4956249999959</v>
      </c>
      <c r="N295" s="2">
        <v>12321.138333333323</v>
      </c>
      <c r="O295" s="2">
        <v>1496.9260000000002</v>
      </c>
      <c r="P295" s="2">
        <v>94.968616666666662</v>
      </c>
      <c r="Q295" s="2"/>
      <c r="R295" s="77">
        <v>0</v>
      </c>
      <c r="S295" s="81">
        <f t="shared" ref="S295:S296" si="332">SUM(N295:R295)</f>
        <v>13913.03294999999</v>
      </c>
      <c r="T295" s="77">
        <v>700</v>
      </c>
      <c r="U295" s="77">
        <v>187.81904166666666</v>
      </c>
      <c r="V295" s="77">
        <v>115.50052083333333</v>
      </c>
      <c r="W295" s="77">
        <v>1089.232916666668</v>
      </c>
      <c r="X295" s="82">
        <f t="shared" ref="X295:X296" si="333">SUM(T295:W295)</f>
        <v>2092.552479166668</v>
      </c>
      <c r="Y295" s="77">
        <v>0</v>
      </c>
      <c r="Z295" s="77">
        <v>1284.7175499999998</v>
      </c>
      <c r="AA295" s="77">
        <v>0</v>
      </c>
      <c r="AB295" s="82">
        <f t="shared" ref="AB295:AB296" si="334">SUM(Y295:AA295)</f>
        <v>1284.7175499999998</v>
      </c>
      <c r="AC295" s="84">
        <f t="shared" si="320"/>
        <v>1904.7334375000014</v>
      </c>
      <c r="AD295" s="39">
        <v>3000</v>
      </c>
      <c r="AE295" s="40">
        <f t="shared" ref="AE295:AE296" si="335">+N295-AD295</f>
        <v>9321.1383333333233</v>
      </c>
      <c r="AF295" s="1">
        <f t="shared" ref="AF295:AF296" si="336">12*AJ295</f>
        <v>13.200000000000001</v>
      </c>
      <c r="AG295" s="1">
        <f t="shared" ref="AG295:AG296" si="337">12*AK295</f>
        <v>18</v>
      </c>
      <c r="AH295" s="41">
        <f t="shared" ref="AH295:AH296" si="338">+(AD295*AF295+AG295*AE295)/SUM(AD295:AE295)</f>
        <v>16.831276817902239</v>
      </c>
      <c r="AJ295">
        <v>1.1000000000000001</v>
      </c>
      <c r="AK295">
        <v>1.5</v>
      </c>
      <c r="AL295" s="32">
        <f t="shared" ref="AL295:AL296" si="339">+AD295+AE295</f>
        <v>12321.138333333323</v>
      </c>
      <c r="AM295" s="4">
        <f t="shared" ref="AM295:AM296" si="340">+AD295/AL295</f>
        <v>0.24348399627036646</v>
      </c>
      <c r="AN295" s="4">
        <f t="shared" ref="AN295:AN296" si="341">+AE295/AL295</f>
        <v>0.75651600372963357</v>
      </c>
    </row>
    <row r="296" spans="1:40" ht="14.25" hidden="1" customHeight="1" x14ac:dyDescent="0.3">
      <c r="A296" s="84"/>
      <c r="C296" s="1">
        <v>2026</v>
      </c>
      <c r="D296" s="52">
        <v>46174</v>
      </c>
      <c r="E296" s="1">
        <v>16</v>
      </c>
      <c r="F296" s="1" t="str">
        <f>+Precios!C296</f>
        <v>lun</v>
      </c>
      <c r="G296" s="5">
        <f>+Precios!D296</f>
        <v>46202</v>
      </c>
      <c r="H296" s="77">
        <v>6281.6362499999805</v>
      </c>
      <c r="I296" s="77">
        <v>633.84375</v>
      </c>
      <c r="J296" s="77">
        <v>27.358958333333405</v>
      </c>
      <c r="K296" s="77"/>
      <c r="L296" s="77">
        <v>65</v>
      </c>
      <c r="M296" s="81">
        <f t="shared" si="331"/>
        <v>7007.8389583333137</v>
      </c>
      <c r="N296" s="2">
        <v>13070.234374999998</v>
      </c>
      <c r="O296" s="2">
        <v>1511.8595416666669</v>
      </c>
      <c r="P296" s="2">
        <v>95.792716666666664</v>
      </c>
      <c r="Q296" s="2"/>
      <c r="R296" s="77">
        <v>0</v>
      </c>
      <c r="S296" s="81">
        <f t="shared" si="332"/>
        <v>14677.886633333332</v>
      </c>
      <c r="T296" s="77">
        <v>700</v>
      </c>
      <c r="U296" s="77">
        <v>220.00362499999994</v>
      </c>
      <c r="V296" s="77">
        <v>161.86716666666669</v>
      </c>
      <c r="W296" s="77">
        <v>942.86416666666753</v>
      </c>
      <c r="X296" s="82">
        <f t="shared" si="333"/>
        <v>2024.7349583333344</v>
      </c>
      <c r="Y296" s="77">
        <v>0</v>
      </c>
      <c r="Z296" s="77">
        <v>1292.13445</v>
      </c>
      <c r="AA296" s="77">
        <v>0</v>
      </c>
      <c r="AB296" s="82">
        <f t="shared" si="334"/>
        <v>1292.13445</v>
      </c>
      <c r="AC296" s="84">
        <f t="shared" si="320"/>
        <v>1804.7313333333341</v>
      </c>
      <c r="AD296" s="39">
        <v>3000</v>
      </c>
      <c r="AE296" s="40">
        <f t="shared" si="335"/>
        <v>10070.234374999998</v>
      </c>
      <c r="AF296" s="1">
        <f t="shared" si="336"/>
        <v>13.200000000000001</v>
      </c>
      <c r="AG296" s="1">
        <f t="shared" si="337"/>
        <v>18</v>
      </c>
      <c r="AH296" s="41">
        <f t="shared" si="338"/>
        <v>16.898260001554103</v>
      </c>
      <c r="AJ296">
        <v>1.1000000000000001</v>
      </c>
      <c r="AK296">
        <v>1.5</v>
      </c>
      <c r="AL296" s="32">
        <f t="shared" si="339"/>
        <v>13070.234374999998</v>
      </c>
      <c r="AM296" s="4">
        <f t="shared" si="340"/>
        <v>0.22952916634289508</v>
      </c>
      <c r="AN296" s="4">
        <f t="shared" si="341"/>
        <v>0.77047083365710489</v>
      </c>
    </row>
    <row r="297" spans="1:40" ht="14.25" hidden="1" customHeight="1" x14ac:dyDescent="0.3">
      <c r="A297" s="84"/>
      <c r="C297" s="1">
        <v>2026</v>
      </c>
      <c r="D297" s="52">
        <v>46174</v>
      </c>
      <c r="E297" s="1">
        <v>16</v>
      </c>
      <c r="F297" s="1" t="str">
        <f>+Precios!C297</f>
        <v>mar</v>
      </c>
      <c r="G297" s="5">
        <f>+Precios!D297</f>
        <v>46203</v>
      </c>
      <c r="H297" s="77">
        <v>6130.5808333333262</v>
      </c>
      <c r="I297" s="77">
        <v>655.60416666666663</v>
      </c>
      <c r="J297" s="77">
        <v>24.571166666666599</v>
      </c>
      <c r="K297" s="77"/>
      <c r="L297" s="77">
        <v>65</v>
      </c>
      <c r="M297" s="81">
        <f t="shared" ref="M297:M301" si="342">+SUM(H297:L297)</f>
        <v>6875.7561666666597</v>
      </c>
      <c r="N297" s="2">
        <v>13005.943916666662</v>
      </c>
      <c r="O297" s="2">
        <v>1521.2588750000007</v>
      </c>
      <c r="P297" s="2">
        <v>95.792120833333328</v>
      </c>
      <c r="Q297" s="2"/>
      <c r="R297" s="77">
        <v>0</v>
      </c>
      <c r="S297" s="81">
        <f t="shared" ref="S297:S322" si="343">SUM(N297:R297)</f>
        <v>14622.994912499997</v>
      </c>
      <c r="T297" s="77">
        <v>700</v>
      </c>
      <c r="U297" s="77">
        <v>188.91716666666673</v>
      </c>
      <c r="V297" s="77">
        <v>140.16743750000001</v>
      </c>
      <c r="W297" s="77">
        <v>1739.0979166666666</v>
      </c>
      <c r="X297" s="82">
        <f t="shared" ref="X297:X301" si="344">SUM(T297:W297)</f>
        <v>2768.1825208333335</v>
      </c>
      <c r="Y297" s="77">
        <v>0</v>
      </c>
      <c r="Z297" s="77">
        <v>1292.1290875</v>
      </c>
      <c r="AA297" s="77">
        <v>0</v>
      </c>
      <c r="AB297" s="82">
        <f t="shared" ref="AB297:AB301" si="345">SUM(Y297:AA297)</f>
        <v>1292.1290875</v>
      </c>
      <c r="AC297" s="84">
        <f t="shared" si="320"/>
        <v>2579.2653541666668</v>
      </c>
      <c r="AD297" s="39">
        <v>3000</v>
      </c>
      <c r="AE297" s="40">
        <f>+N297-AD297</f>
        <v>10005.943916666662</v>
      </c>
      <c r="AF297" s="1">
        <f t="shared" ref="AF297:AF301" si="346">12*AJ297</f>
        <v>13.200000000000001</v>
      </c>
      <c r="AG297" s="1">
        <f t="shared" ref="AG297:AG301" si="347">12*AK297</f>
        <v>18</v>
      </c>
      <c r="AH297" s="41">
        <f t="shared" ref="AH297:AH301" si="348">+(AD297*AF297+AG297*AE297)/SUM(AD297:AE297)</f>
        <v>16.892813924751213</v>
      </c>
      <c r="AJ297">
        <v>1.1000000000000001</v>
      </c>
      <c r="AK297">
        <v>1.5</v>
      </c>
      <c r="AL297" s="32">
        <f t="shared" ref="AL297:AL301" si="349">+AD297+AE297</f>
        <v>13005.943916666662</v>
      </c>
      <c r="AM297" s="4">
        <f t="shared" ref="AM297:AM301" si="350">+AD297/AL297</f>
        <v>0.23066376567683067</v>
      </c>
      <c r="AN297" s="4">
        <f t="shared" ref="AN297:AN301" si="351">+AE297/AL297</f>
        <v>0.76933623432316933</v>
      </c>
    </row>
    <row r="298" spans="1:40" ht="14.25" hidden="1" customHeight="1" x14ac:dyDescent="0.3">
      <c r="A298" s="84"/>
      <c r="C298" s="1">
        <v>2026</v>
      </c>
      <c r="D298" s="52">
        <v>46204</v>
      </c>
      <c r="E298" s="1">
        <v>16</v>
      </c>
      <c r="F298" s="1" t="str">
        <f>+Precios!C298</f>
        <v>mié</v>
      </c>
      <c r="G298" s="5">
        <f>+Precios!D298</f>
        <v>46204</v>
      </c>
      <c r="H298" s="77">
        <v>6229.075000000008</v>
      </c>
      <c r="I298" s="77">
        <v>652.20708333333334</v>
      </c>
      <c r="J298" s="77">
        <v>65.206249999999997</v>
      </c>
      <c r="K298" s="77"/>
      <c r="L298" s="77">
        <v>65</v>
      </c>
      <c r="M298" s="81">
        <f t="shared" si="342"/>
        <v>7011.4883333333419</v>
      </c>
      <c r="N298" s="2">
        <v>12900.670666666661</v>
      </c>
      <c r="O298" s="2">
        <v>1522.8716666666667</v>
      </c>
      <c r="P298" s="2">
        <v>230.78808333333333</v>
      </c>
      <c r="Q298" s="2"/>
      <c r="R298" s="77">
        <v>0</v>
      </c>
      <c r="S298" s="81">
        <f t="shared" si="343"/>
        <v>14654.33041666666</v>
      </c>
      <c r="T298" s="77">
        <v>700</v>
      </c>
      <c r="U298" s="77">
        <v>190.18166666666664</v>
      </c>
      <c r="V298" s="77">
        <v>178.61674999999997</v>
      </c>
      <c r="W298" s="77">
        <v>1363.3316666666681</v>
      </c>
      <c r="X298" s="82">
        <f t="shared" si="344"/>
        <v>2432.1300833333344</v>
      </c>
      <c r="Y298" s="77">
        <v>0</v>
      </c>
      <c r="Z298" s="77">
        <v>1125.2842083333335</v>
      </c>
      <c r="AA298" s="77">
        <v>0</v>
      </c>
      <c r="AB298" s="82">
        <f t="shared" si="345"/>
        <v>1125.2842083333335</v>
      </c>
      <c r="AC298" s="84">
        <f t="shared" si="320"/>
        <v>2241.948416666668</v>
      </c>
      <c r="AD298" s="39">
        <v>3000</v>
      </c>
      <c r="AE298" s="40">
        <f t="shared" ref="AE298:AE301" si="352">+N298-AD298</f>
        <v>9900.6706666666614</v>
      </c>
      <c r="AF298" s="1">
        <f t="shared" si="346"/>
        <v>13.200000000000001</v>
      </c>
      <c r="AG298" s="1">
        <f t="shared" si="347"/>
        <v>18</v>
      </c>
      <c r="AH298" s="41">
        <f t="shared" si="348"/>
        <v>16.883778962189353</v>
      </c>
      <c r="AJ298">
        <v>1.1000000000000001</v>
      </c>
      <c r="AK298">
        <v>1.5</v>
      </c>
      <c r="AL298" s="32">
        <f t="shared" si="349"/>
        <v>12900.670666666661</v>
      </c>
      <c r="AM298" s="4">
        <f t="shared" si="350"/>
        <v>0.23254604954388428</v>
      </c>
      <c r="AN298" s="4">
        <f t="shared" si="351"/>
        <v>0.76745395045611575</v>
      </c>
    </row>
    <row r="299" spans="1:40" ht="14.25" hidden="1" customHeight="1" x14ac:dyDescent="0.3">
      <c r="A299" s="84"/>
      <c r="C299" s="1">
        <v>2026</v>
      </c>
      <c r="D299" s="52">
        <v>46204</v>
      </c>
      <c r="E299" s="1">
        <v>16</v>
      </c>
      <c r="F299" s="1" t="str">
        <f>+Precios!C299</f>
        <v>jue</v>
      </c>
      <c r="G299" s="5">
        <f>+Precios!D299</f>
        <v>46205</v>
      </c>
      <c r="H299" s="77">
        <v>6930.725416666658</v>
      </c>
      <c r="I299" s="77">
        <v>1195.3566666666668</v>
      </c>
      <c r="J299" s="77">
        <v>100.46541666666667</v>
      </c>
      <c r="K299" s="77"/>
      <c r="L299" s="77">
        <v>65</v>
      </c>
      <c r="M299" s="81">
        <f t="shared" si="342"/>
        <v>8291.5474999999915</v>
      </c>
      <c r="N299" s="2">
        <v>13079.358583333325</v>
      </c>
      <c r="O299" s="2">
        <v>1515.7443333333333</v>
      </c>
      <c r="P299" s="2">
        <v>226.63</v>
      </c>
      <c r="Q299" s="2"/>
      <c r="R299" s="77">
        <v>0</v>
      </c>
      <c r="S299" s="81">
        <f t="shared" si="343"/>
        <v>14821.732916666659</v>
      </c>
      <c r="T299" s="77">
        <v>700</v>
      </c>
      <c r="U299" s="77">
        <v>334.58416666666659</v>
      </c>
      <c r="V299" s="77">
        <v>264.63016666666726</v>
      </c>
      <c r="W299" s="77">
        <v>586.81791666666697</v>
      </c>
      <c r="X299" s="82">
        <f t="shared" si="344"/>
        <v>1886.0322500000007</v>
      </c>
      <c r="Y299" s="77">
        <v>0</v>
      </c>
      <c r="Z299" s="77">
        <v>1125.2768333333336</v>
      </c>
      <c r="AA299" s="77">
        <v>0</v>
      </c>
      <c r="AB299" s="82">
        <f t="shared" si="345"/>
        <v>1125.2768333333336</v>
      </c>
      <c r="AC299" s="84">
        <f t="shared" si="320"/>
        <v>1551.4480833333341</v>
      </c>
      <c r="AD299" s="39">
        <v>3000</v>
      </c>
      <c r="AE299" s="40">
        <f t="shared" si="352"/>
        <v>10079.358583333325</v>
      </c>
      <c r="AF299" s="1">
        <f t="shared" si="346"/>
        <v>13.200000000000001</v>
      </c>
      <c r="AG299" s="1">
        <f t="shared" si="347"/>
        <v>18</v>
      </c>
      <c r="AH299" s="41">
        <f t="shared" si="348"/>
        <v>16.899028579402238</v>
      </c>
      <c r="AJ299">
        <v>1.1000000000000001</v>
      </c>
      <c r="AK299">
        <v>1.5</v>
      </c>
      <c r="AL299" s="32">
        <f t="shared" si="349"/>
        <v>13079.358583333325</v>
      </c>
      <c r="AM299" s="4">
        <f t="shared" si="350"/>
        <v>0.22936904595786672</v>
      </c>
      <c r="AN299" s="4">
        <f t="shared" si="351"/>
        <v>0.77063095404213333</v>
      </c>
    </row>
    <row r="300" spans="1:40" ht="14.25" hidden="1" customHeight="1" x14ac:dyDescent="0.3">
      <c r="A300" s="84"/>
      <c r="C300" s="1">
        <v>2026</v>
      </c>
      <c r="D300" s="52">
        <v>46204</v>
      </c>
      <c r="E300" s="1">
        <v>16</v>
      </c>
      <c r="F300" s="1" t="str">
        <f>+Precios!C300</f>
        <v>vie</v>
      </c>
      <c r="G300" s="5">
        <f>+Precios!D300</f>
        <v>46206</v>
      </c>
      <c r="H300" s="77">
        <v>6939.5008333333353</v>
      </c>
      <c r="I300" s="77">
        <v>1388.1091666666662</v>
      </c>
      <c r="J300" s="77">
        <v>60.462500000000006</v>
      </c>
      <c r="K300" s="77"/>
      <c r="L300" s="77">
        <v>65</v>
      </c>
      <c r="M300" s="81">
        <f t="shared" si="342"/>
        <v>8453.0725000000002</v>
      </c>
      <c r="N300" s="2">
        <v>13102.538083333329</v>
      </c>
      <c r="O300" s="2">
        <v>1510.6362083333333</v>
      </c>
      <c r="P300" s="2">
        <v>225.63</v>
      </c>
      <c r="Q300" s="2"/>
      <c r="R300" s="77">
        <v>0</v>
      </c>
      <c r="S300" s="81">
        <f t="shared" si="343"/>
        <v>14838.804291666662</v>
      </c>
      <c r="T300" s="77">
        <v>700</v>
      </c>
      <c r="U300" s="77">
        <v>353.36124999999993</v>
      </c>
      <c r="V300" s="77">
        <v>247.6499375000007</v>
      </c>
      <c r="W300" s="77">
        <v>610.54166666666617</v>
      </c>
      <c r="X300" s="82">
        <f t="shared" si="344"/>
        <v>1911.5528541666667</v>
      </c>
      <c r="Y300" s="77">
        <v>0</v>
      </c>
      <c r="Z300" s="77">
        <v>1123.2658750000001</v>
      </c>
      <c r="AA300" s="77">
        <v>0</v>
      </c>
      <c r="AB300" s="82">
        <f t="shared" si="345"/>
        <v>1123.2658750000001</v>
      </c>
      <c r="AC300" s="84">
        <f t="shared" si="320"/>
        <v>1558.1916041666668</v>
      </c>
      <c r="AD300" s="39">
        <v>3000</v>
      </c>
      <c r="AE300" s="40">
        <f t="shared" si="352"/>
        <v>10102.538083333329</v>
      </c>
      <c r="AF300" s="1">
        <f t="shared" si="346"/>
        <v>13.200000000000001</v>
      </c>
      <c r="AG300" s="1">
        <f t="shared" si="347"/>
        <v>18</v>
      </c>
      <c r="AH300" s="41">
        <f t="shared" si="348"/>
        <v>16.900976291126597</v>
      </c>
      <c r="AJ300">
        <v>1.1000000000000001</v>
      </c>
      <c r="AK300">
        <v>1.5</v>
      </c>
      <c r="AL300" s="32">
        <f t="shared" si="349"/>
        <v>13102.538083333329</v>
      </c>
      <c r="AM300" s="4">
        <f t="shared" si="350"/>
        <v>0.22896327268195887</v>
      </c>
      <c r="AN300" s="4">
        <f t="shared" si="351"/>
        <v>0.77103672731804107</v>
      </c>
    </row>
    <row r="301" spans="1:40" ht="14.25" hidden="1" customHeight="1" x14ac:dyDescent="0.3">
      <c r="A301" s="84"/>
      <c r="C301" s="1">
        <v>2026</v>
      </c>
      <c r="D301" s="52">
        <v>46204</v>
      </c>
      <c r="E301" s="1">
        <v>6</v>
      </c>
      <c r="F301" s="1" t="str">
        <f>+Precios!C301</f>
        <v>sáb</v>
      </c>
      <c r="G301" s="5">
        <f>+Precios!D301</f>
        <v>46207</v>
      </c>
      <c r="H301" s="77">
        <v>6151.6475000000073</v>
      </c>
      <c r="I301" s="77">
        <v>1339.4816666666666</v>
      </c>
      <c r="J301" s="77">
        <v>94.108750000000001</v>
      </c>
      <c r="K301" s="77"/>
      <c r="L301" s="77">
        <v>65</v>
      </c>
      <c r="M301" s="81">
        <f t="shared" si="342"/>
        <v>7650.2379166666742</v>
      </c>
      <c r="N301" s="2">
        <v>12870.751333333323</v>
      </c>
      <c r="O301" s="2">
        <v>1515.5781666666667</v>
      </c>
      <c r="P301" s="2">
        <v>225.63</v>
      </c>
      <c r="Q301" s="2"/>
      <c r="R301" s="77">
        <v>0</v>
      </c>
      <c r="S301" s="81">
        <f t="shared" si="343"/>
        <v>14611.959499999988</v>
      </c>
      <c r="T301" s="77">
        <v>700</v>
      </c>
      <c r="U301" s="77">
        <v>272.67</v>
      </c>
      <c r="V301" s="77">
        <v>213.3840625000002</v>
      </c>
      <c r="W301" s="77">
        <v>622.11708333333445</v>
      </c>
      <c r="X301" s="82">
        <f t="shared" si="344"/>
        <v>1808.1711458333348</v>
      </c>
      <c r="Y301" s="77">
        <v>0</v>
      </c>
      <c r="Z301" s="77">
        <v>1122.2582083333334</v>
      </c>
      <c r="AA301" s="77">
        <v>0</v>
      </c>
      <c r="AB301" s="82">
        <f t="shared" si="345"/>
        <v>1122.2582083333334</v>
      </c>
      <c r="AC301" s="84">
        <f t="shared" si="320"/>
        <v>1535.5011458333347</v>
      </c>
      <c r="AD301" s="39">
        <v>3000</v>
      </c>
      <c r="AE301" s="40">
        <f t="shared" si="352"/>
        <v>9870.7513333333227</v>
      </c>
      <c r="AF301" s="1">
        <f t="shared" si="346"/>
        <v>13.200000000000001</v>
      </c>
      <c r="AG301" s="1">
        <f t="shared" si="347"/>
        <v>18</v>
      </c>
      <c r="AH301" s="41">
        <f t="shared" si="348"/>
        <v>16.881184196084487</v>
      </c>
      <c r="AJ301">
        <v>1.1000000000000001</v>
      </c>
      <c r="AK301">
        <v>1.5</v>
      </c>
      <c r="AL301" s="32">
        <f t="shared" si="349"/>
        <v>12870.751333333323</v>
      </c>
      <c r="AM301" s="4">
        <f t="shared" si="350"/>
        <v>0.23308662581573217</v>
      </c>
      <c r="AN301" s="4">
        <f t="shared" si="351"/>
        <v>0.76691337418426786</v>
      </c>
    </row>
    <row r="302" spans="1:40" ht="14.25" hidden="1" customHeight="1" x14ac:dyDescent="0.3">
      <c r="A302" s="84"/>
      <c r="C302" s="1">
        <v>2026</v>
      </c>
      <c r="D302" s="52">
        <v>46204</v>
      </c>
      <c r="E302" s="1">
        <v>4</v>
      </c>
      <c r="F302" s="1" t="str">
        <f>+Precios!C302</f>
        <v>dom</v>
      </c>
      <c r="G302" s="5">
        <f>+Precios!D302</f>
        <v>46208</v>
      </c>
      <c r="H302" s="77">
        <v>6013.5266666666748</v>
      </c>
      <c r="I302" s="77">
        <v>1036.0937499999998</v>
      </c>
      <c r="J302" s="77">
        <v>27.657083333333333</v>
      </c>
      <c r="K302" s="77"/>
      <c r="L302" s="77">
        <v>65</v>
      </c>
      <c r="M302" s="81">
        <f t="shared" ref="M302:M365" si="353">+SUM(H302:L302)</f>
        <v>7142.2775000000083</v>
      </c>
      <c r="N302" s="2">
        <v>12845.594374999991</v>
      </c>
      <c r="O302" s="2">
        <v>1501.9882500000001</v>
      </c>
      <c r="P302" s="2">
        <v>221.63</v>
      </c>
      <c r="Q302" s="2"/>
      <c r="R302" s="77">
        <v>0</v>
      </c>
      <c r="S302" s="81">
        <f t="shared" si="343"/>
        <v>14569.212624999991</v>
      </c>
      <c r="T302" s="77">
        <v>700</v>
      </c>
      <c r="U302" s="77">
        <v>395.13374999999996</v>
      </c>
      <c r="V302" s="77">
        <v>166.43602083333383</v>
      </c>
      <c r="W302" s="77">
        <v>546.36458333333371</v>
      </c>
      <c r="X302" s="82">
        <f t="shared" ref="X302:X359" si="354">SUM(T302:W302)</f>
        <v>1807.9343541666674</v>
      </c>
      <c r="Y302" s="77">
        <v>0</v>
      </c>
      <c r="Z302" s="77">
        <v>1121.2530833333335</v>
      </c>
      <c r="AA302" s="77">
        <v>0</v>
      </c>
      <c r="AB302" s="82">
        <f t="shared" ref="AB302:AB359" si="355">SUM(Y302:AA302)</f>
        <v>1121.2530833333335</v>
      </c>
      <c r="AC302" s="84">
        <f t="shared" si="320"/>
        <v>1412.8006041666677</v>
      </c>
      <c r="AD302" s="39">
        <v>3000</v>
      </c>
      <c r="AE302" s="40">
        <f t="shared" ref="AE302:AE308" si="356">+N302-AD302</f>
        <v>9845.5943749999915</v>
      </c>
      <c r="AF302" s="1">
        <f t="shared" ref="AF302:AF308" si="357">12*AJ302</f>
        <v>13.200000000000001</v>
      </c>
      <c r="AG302" s="1">
        <f t="shared" ref="AG302:AG308" si="358">12*AK302</f>
        <v>18</v>
      </c>
      <c r="AH302" s="41">
        <f t="shared" ref="AH302:AH308" si="359">+(AD302*AF302+AG302*AE302)/SUM(AD302:AE302)</f>
        <v>16.878993094470957</v>
      </c>
      <c r="AJ302">
        <v>1.1000000000000001</v>
      </c>
      <c r="AK302">
        <v>1.5</v>
      </c>
      <c r="AL302" s="32">
        <f t="shared" ref="AL302:AL308" si="360">+AD302+AE302</f>
        <v>12845.594374999991</v>
      </c>
      <c r="AM302" s="4">
        <f t="shared" ref="AM302:AM308" si="361">+AD302/AL302</f>
        <v>0.23354310531855027</v>
      </c>
      <c r="AN302" s="4">
        <f t="shared" ref="AN302:AN308" si="362">+AE302/AL302</f>
        <v>0.76645689468144973</v>
      </c>
    </row>
    <row r="303" spans="1:40" ht="14.25" hidden="1" customHeight="1" x14ac:dyDescent="0.3">
      <c r="A303" s="84"/>
      <c r="C303" s="1">
        <v>2026</v>
      </c>
      <c r="D303" s="52">
        <v>46204</v>
      </c>
      <c r="E303" s="1">
        <v>16</v>
      </c>
      <c r="F303" s="1" t="str">
        <f>+Precios!C303</f>
        <v>lun</v>
      </c>
      <c r="G303" s="5">
        <f>+Precios!D303</f>
        <v>46209</v>
      </c>
      <c r="H303" s="77">
        <v>6245.6212499999974</v>
      </c>
      <c r="I303" s="77">
        <v>1021.8170833333334</v>
      </c>
      <c r="J303" s="77">
        <v>60.058333333333344</v>
      </c>
      <c r="K303" s="77"/>
      <c r="L303" s="77">
        <v>65</v>
      </c>
      <c r="M303" s="81">
        <f t="shared" si="353"/>
        <v>7392.4966666666642</v>
      </c>
      <c r="N303" s="2">
        <v>13108.533958333324</v>
      </c>
      <c r="O303" s="2">
        <v>1519.5846250000002</v>
      </c>
      <c r="P303" s="2">
        <v>223.63</v>
      </c>
      <c r="Q303" s="2"/>
      <c r="R303" s="77">
        <v>0</v>
      </c>
      <c r="S303" s="81">
        <f t="shared" si="343"/>
        <v>14851.748583333323</v>
      </c>
      <c r="T303" s="77">
        <v>700</v>
      </c>
      <c r="U303" s="77">
        <v>394.62374999999997</v>
      </c>
      <c r="V303" s="77">
        <v>205.583458333333</v>
      </c>
      <c r="W303" s="77">
        <v>927.35041666666632</v>
      </c>
      <c r="X303" s="82">
        <f t="shared" si="354"/>
        <v>2227.5576249999995</v>
      </c>
      <c r="Y303" s="77">
        <v>0</v>
      </c>
      <c r="Z303" s="77">
        <v>1120.2416666666668</v>
      </c>
      <c r="AA303" s="77">
        <v>0</v>
      </c>
      <c r="AB303" s="82">
        <f t="shared" si="355"/>
        <v>1120.2416666666668</v>
      </c>
      <c r="AC303" s="84">
        <f t="shared" si="320"/>
        <v>1832.9338749999993</v>
      </c>
      <c r="AD303" s="39">
        <v>3000</v>
      </c>
      <c r="AE303" s="40">
        <f t="shared" si="356"/>
        <v>10108.533958333324</v>
      </c>
      <c r="AF303" s="1">
        <f t="shared" si="357"/>
        <v>13.200000000000001</v>
      </c>
      <c r="AG303" s="1">
        <f t="shared" si="358"/>
        <v>18</v>
      </c>
      <c r="AH303" s="41">
        <f t="shared" si="359"/>
        <v>16.901478987217661</v>
      </c>
      <c r="AJ303">
        <v>1.1000000000000001</v>
      </c>
      <c r="AK303">
        <v>1.5</v>
      </c>
      <c r="AL303" s="32">
        <f t="shared" si="360"/>
        <v>13108.533958333324</v>
      </c>
      <c r="AM303" s="4">
        <f t="shared" si="361"/>
        <v>0.22885854432965386</v>
      </c>
      <c r="AN303" s="4">
        <f t="shared" si="362"/>
        <v>0.7711414556703462</v>
      </c>
    </row>
    <row r="304" spans="1:40" ht="14.25" hidden="1" customHeight="1" x14ac:dyDescent="0.3">
      <c r="A304" s="84"/>
      <c r="C304" s="1">
        <v>2026</v>
      </c>
      <c r="D304" s="52">
        <v>46204</v>
      </c>
      <c r="E304" s="1">
        <v>16</v>
      </c>
      <c r="F304" s="1" t="str">
        <f>+Precios!C304</f>
        <v>mar</v>
      </c>
      <c r="G304" s="5">
        <f>+Precios!D304</f>
        <v>46210</v>
      </c>
      <c r="H304" s="77">
        <v>6111.4316666666609</v>
      </c>
      <c r="I304" s="77">
        <v>641.10750000000007</v>
      </c>
      <c r="J304" s="77">
        <v>48.597083333333337</v>
      </c>
      <c r="K304" s="77"/>
      <c r="L304" s="77">
        <v>65</v>
      </c>
      <c r="M304" s="81">
        <f t="shared" si="353"/>
        <v>6866.1362499999941</v>
      </c>
      <c r="N304" s="2">
        <v>12978.745958333331</v>
      </c>
      <c r="O304" s="2">
        <v>1495.3329166666667</v>
      </c>
      <c r="P304" s="2">
        <v>223.63</v>
      </c>
      <c r="Q304" s="2"/>
      <c r="R304" s="77">
        <v>0</v>
      </c>
      <c r="S304" s="81">
        <f t="shared" si="343"/>
        <v>14697.708874999997</v>
      </c>
      <c r="T304" s="77">
        <v>700</v>
      </c>
      <c r="U304" s="77">
        <v>200.63874999999999</v>
      </c>
      <c r="V304" s="77">
        <v>199.42537499999958</v>
      </c>
      <c r="W304" s="77">
        <v>1777.9983333333348</v>
      </c>
      <c r="X304" s="82">
        <f t="shared" si="354"/>
        <v>2878.0624583333342</v>
      </c>
      <c r="Y304" s="77">
        <v>0</v>
      </c>
      <c r="Z304" s="77">
        <v>1118.2333333333336</v>
      </c>
      <c r="AA304" s="77">
        <v>0</v>
      </c>
      <c r="AB304" s="82">
        <f t="shared" si="355"/>
        <v>1118.2333333333336</v>
      </c>
      <c r="AC304" s="84">
        <f t="shared" si="320"/>
        <v>2677.4237083333346</v>
      </c>
      <c r="AD304" s="39">
        <v>3000</v>
      </c>
      <c r="AE304" s="40">
        <f t="shared" si="356"/>
        <v>9978.7459583333311</v>
      </c>
      <c r="AF304" s="1">
        <f t="shared" si="357"/>
        <v>13.200000000000001</v>
      </c>
      <c r="AG304" s="1">
        <f t="shared" si="358"/>
        <v>18</v>
      </c>
      <c r="AH304" s="41">
        <f t="shared" si="359"/>
        <v>16.890493731348972</v>
      </c>
      <c r="AJ304">
        <v>1.1000000000000001</v>
      </c>
      <c r="AK304">
        <v>1.5</v>
      </c>
      <c r="AL304" s="32">
        <f t="shared" si="360"/>
        <v>12978.745958333331</v>
      </c>
      <c r="AM304" s="4">
        <f t="shared" si="361"/>
        <v>0.23114713930229711</v>
      </c>
      <c r="AN304" s="4">
        <f t="shared" si="362"/>
        <v>0.76885286069770287</v>
      </c>
    </row>
    <row r="305" spans="1:40" ht="14.25" hidden="1" customHeight="1" x14ac:dyDescent="0.3">
      <c r="A305" s="84"/>
      <c r="C305" s="1">
        <v>2026</v>
      </c>
      <c r="D305" s="52">
        <v>46204</v>
      </c>
      <c r="E305" s="1">
        <v>16</v>
      </c>
      <c r="F305" s="1" t="str">
        <f>+Precios!C305</f>
        <v>mié</v>
      </c>
      <c r="G305" s="5">
        <f>+Precios!D305</f>
        <v>46211</v>
      </c>
      <c r="H305" s="77">
        <v>6254.1791666666504</v>
      </c>
      <c r="I305" s="77">
        <v>643.96916666666664</v>
      </c>
      <c r="J305" s="77">
        <v>49.696666666666658</v>
      </c>
      <c r="K305" s="77"/>
      <c r="L305" s="77">
        <v>65</v>
      </c>
      <c r="M305" s="81">
        <f t="shared" si="353"/>
        <v>7012.8449999999839</v>
      </c>
      <c r="N305" s="2">
        <v>13005.220791666661</v>
      </c>
      <c r="O305" s="2">
        <v>1499.3737916666666</v>
      </c>
      <c r="P305" s="2">
        <v>221.63</v>
      </c>
      <c r="Q305" s="2"/>
      <c r="R305" s="77">
        <v>0</v>
      </c>
      <c r="S305" s="81">
        <f t="shared" si="343"/>
        <v>14726.224583333327</v>
      </c>
      <c r="T305" s="77">
        <v>700</v>
      </c>
      <c r="U305" s="77">
        <v>194.33791666666664</v>
      </c>
      <c r="V305" s="77">
        <v>202.49937500000001</v>
      </c>
      <c r="W305" s="77">
        <v>1071.9137499999997</v>
      </c>
      <c r="X305" s="82">
        <f t="shared" si="354"/>
        <v>2168.7510416666664</v>
      </c>
      <c r="Y305" s="77">
        <v>0</v>
      </c>
      <c r="Z305" s="77">
        <v>1102.551666666667</v>
      </c>
      <c r="AA305" s="77">
        <v>0</v>
      </c>
      <c r="AB305" s="82">
        <f t="shared" si="355"/>
        <v>1102.551666666667</v>
      </c>
      <c r="AC305" s="84">
        <f t="shared" si="320"/>
        <v>1974.4131249999996</v>
      </c>
      <c r="AD305" s="39">
        <v>3000</v>
      </c>
      <c r="AE305" s="40">
        <f t="shared" si="356"/>
        <v>10005.220791666661</v>
      </c>
      <c r="AF305" s="1">
        <f t="shared" si="357"/>
        <v>13.200000000000001</v>
      </c>
      <c r="AG305" s="1">
        <f t="shared" si="358"/>
        <v>18</v>
      </c>
      <c r="AH305" s="41">
        <f t="shared" si="359"/>
        <v>16.89275236224924</v>
      </c>
      <c r="AJ305">
        <v>1.1000000000000001</v>
      </c>
      <c r="AK305">
        <v>1.5</v>
      </c>
      <c r="AL305" s="32">
        <f t="shared" si="360"/>
        <v>13005.220791666661</v>
      </c>
      <c r="AM305" s="4">
        <f t="shared" si="361"/>
        <v>0.23067659119807532</v>
      </c>
      <c r="AN305" s="4">
        <f t="shared" si="362"/>
        <v>0.76932340880192462</v>
      </c>
    </row>
    <row r="306" spans="1:40" ht="14.25" hidden="1" customHeight="1" x14ac:dyDescent="0.3">
      <c r="A306" s="84"/>
      <c r="C306" s="1">
        <f>+Precios!A306</f>
        <v>2026</v>
      </c>
      <c r="D306" s="52">
        <f>+Precios!B306</f>
        <v>46204</v>
      </c>
      <c r="E306" s="1">
        <v>4</v>
      </c>
      <c r="F306" s="1" t="str">
        <f>+Precios!C306</f>
        <v>jue</v>
      </c>
      <c r="G306" s="5">
        <f>+Precios!D306</f>
        <v>46212</v>
      </c>
      <c r="H306" s="77">
        <v>5828.7024999999931</v>
      </c>
      <c r="I306" s="77">
        <v>643.92916666666656</v>
      </c>
      <c r="J306" s="77">
        <v>0.44291666666666657</v>
      </c>
      <c r="K306" s="77"/>
      <c r="L306" s="77">
        <v>65</v>
      </c>
      <c r="M306" s="81">
        <f t="shared" si="353"/>
        <v>6538.0745833333267</v>
      </c>
      <c r="N306" s="2">
        <v>12943.465124999993</v>
      </c>
      <c r="O306" s="2">
        <v>1486.9233333333334</v>
      </c>
      <c r="P306" s="2">
        <v>221.96699999999998</v>
      </c>
      <c r="Q306" s="2"/>
      <c r="R306" s="77">
        <v>0</v>
      </c>
      <c r="S306" s="81">
        <f t="shared" si="343"/>
        <v>14652.355458333328</v>
      </c>
      <c r="T306" s="77">
        <v>700</v>
      </c>
      <c r="U306" s="77">
        <v>203.67583333333334</v>
      </c>
      <c r="V306" s="77">
        <v>160.62254166666693</v>
      </c>
      <c r="W306" s="77">
        <v>670.08291666666673</v>
      </c>
      <c r="X306" s="82">
        <f t="shared" si="354"/>
        <v>1734.381291666667</v>
      </c>
      <c r="Y306" s="77">
        <v>0</v>
      </c>
      <c r="Z306" s="77">
        <v>1118.2500000000002</v>
      </c>
      <c r="AA306" s="77">
        <v>0</v>
      </c>
      <c r="AB306" s="82">
        <f t="shared" si="355"/>
        <v>1118.2500000000002</v>
      </c>
      <c r="AC306" s="84">
        <f t="shared" si="320"/>
        <v>1530.7054583333338</v>
      </c>
      <c r="AD306" s="39">
        <v>3000</v>
      </c>
      <c r="AE306" s="40">
        <f t="shared" si="356"/>
        <v>9943.4651249999933</v>
      </c>
      <c r="AF306" s="1">
        <f t="shared" si="357"/>
        <v>13.200000000000001</v>
      </c>
      <c r="AG306" s="1">
        <f t="shared" si="358"/>
        <v>18</v>
      </c>
      <c r="AH306" s="41">
        <f t="shared" si="359"/>
        <v>16.887469478927496</v>
      </c>
      <c r="AJ306">
        <v>1.1000000000000001</v>
      </c>
      <c r="AK306">
        <v>1.5</v>
      </c>
      <c r="AL306" s="32">
        <f t="shared" si="360"/>
        <v>12943.465124999993</v>
      </c>
      <c r="AM306" s="4">
        <f t="shared" si="361"/>
        <v>0.23177719189010459</v>
      </c>
      <c r="AN306" s="4">
        <f t="shared" si="362"/>
        <v>0.76822280810989541</v>
      </c>
    </row>
    <row r="307" spans="1:40" ht="14.25" hidden="1" customHeight="1" x14ac:dyDescent="0.3">
      <c r="A307" s="84"/>
      <c r="C307" s="1">
        <f>+Precios!A307</f>
        <v>2026</v>
      </c>
      <c r="D307" s="52">
        <f>+Precios!B307</f>
        <v>46204</v>
      </c>
      <c r="E307" s="1">
        <v>6</v>
      </c>
      <c r="F307" s="1" t="str">
        <f>+Precios!C307</f>
        <v>vie</v>
      </c>
      <c r="G307" s="5">
        <f>+Precios!D307</f>
        <v>46213</v>
      </c>
      <c r="H307" s="77">
        <v>6186.0654166666727</v>
      </c>
      <c r="I307" s="77">
        <v>668.96749999999997</v>
      </c>
      <c r="J307" s="77">
        <v>50.760416666666664</v>
      </c>
      <c r="K307" s="77"/>
      <c r="L307" s="77">
        <v>65</v>
      </c>
      <c r="M307" s="81">
        <f t="shared" si="353"/>
        <v>6970.7933333333394</v>
      </c>
      <c r="N307" s="2">
        <v>13071.31608333333</v>
      </c>
      <c r="O307" s="2">
        <v>1470.8620416666668</v>
      </c>
      <c r="P307" s="2">
        <v>223.75641666666667</v>
      </c>
      <c r="Q307" s="2"/>
      <c r="R307" s="77">
        <v>0</v>
      </c>
      <c r="S307" s="81">
        <f t="shared" si="343"/>
        <v>14765.934541666664</v>
      </c>
      <c r="T307" s="77">
        <v>700</v>
      </c>
      <c r="U307" s="77">
        <v>253.28541666666669</v>
      </c>
      <c r="V307" s="77">
        <v>182.35881249999966</v>
      </c>
      <c r="W307" s="77">
        <v>567.07666666666591</v>
      </c>
      <c r="X307" s="82">
        <f t="shared" si="354"/>
        <v>1702.7208958333322</v>
      </c>
      <c r="Y307" s="77">
        <v>0</v>
      </c>
      <c r="Z307" s="77">
        <v>1117.2500000000002</v>
      </c>
      <c r="AA307" s="77">
        <v>0</v>
      </c>
      <c r="AB307" s="82">
        <f t="shared" si="355"/>
        <v>1117.2500000000002</v>
      </c>
      <c r="AC307" s="84">
        <f t="shared" si="320"/>
        <v>1449.4354791666656</v>
      </c>
      <c r="AD307" s="39">
        <v>3000</v>
      </c>
      <c r="AE307" s="40">
        <f t="shared" si="356"/>
        <v>10071.31608333333</v>
      </c>
      <c r="AF307" s="1">
        <f t="shared" si="357"/>
        <v>13.200000000000001</v>
      </c>
      <c r="AG307" s="1">
        <f t="shared" si="358"/>
        <v>18</v>
      </c>
      <c r="AH307" s="41">
        <f t="shared" si="359"/>
        <v>16.898351175337208</v>
      </c>
      <c r="AJ307">
        <v>1.1000000000000001</v>
      </c>
      <c r="AK307">
        <v>1.5</v>
      </c>
      <c r="AL307" s="32">
        <f t="shared" si="360"/>
        <v>13071.31608333333</v>
      </c>
      <c r="AM307" s="4">
        <f t="shared" si="361"/>
        <v>0.22951017180474814</v>
      </c>
      <c r="AN307" s="4">
        <f t="shared" si="362"/>
        <v>0.77048982819525191</v>
      </c>
    </row>
    <row r="308" spans="1:40" ht="14.25" hidden="1" customHeight="1" x14ac:dyDescent="0.3">
      <c r="A308" s="84"/>
      <c r="C308" s="1">
        <f>+Precios!A308</f>
        <v>2026</v>
      </c>
      <c r="D308" s="52">
        <f>+Precios!B308</f>
        <v>46204</v>
      </c>
      <c r="E308" s="1">
        <v>6</v>
      </c>
      <c r="F308" s="1" t="str">
        <f>+Precios!C308</f>
        <v>sáb</v>
      </c>
      <c r="G308" s="5">
        <f>+Precios!D308</f>
        <v>46214</v>
      </c>
      <c r="H308" s="77">
        <v>6205.695416666661</v>
      </c>
      <c r="I308" s="77">
        <v>477.40083333333337</v>
      </c>
      <c r="J308" s="77">
        <v>2.9137500000000003</v>
      </c>
      <c r="K308" s="77"/>
      <c r="L308" s="77">
        <v>65</v>
      </c>
      <c r="M308" s="81">
        <f t="shared" si="353"/>
        <v>6751.0099999999939</v>
      </c>
      <c r="N308" s="2">
        <v>13072.880874999995</v>
      </c>
      <c r="O308" s="2">
        <v>1516.3979999999997</v>
      </c>
      <c r="P308" s="2">
        <v>221.63</v>
      </c>
      <c r="Q308" s="2"/>
      <c r="R308" s="77">
        <v>0</v>
      </c>
      <c r="S308" s="81">
        <f t="shared" si="343"/>
        <v>14810.908874999994</v>
      </c>
      <c r="T308" s="77">
        <v>700</v>
      </c>
      <c r="U308" s="77">
        <v>237.01416666666671</v>
      </c>
      <c r="V308" s="77">
        <v>182.20316666666639</v>
      </c>
      <c r="W308" s="77">
        <v>688.40999999999974</v>
      </c>
      <c r="X308" s="82">
        <f t="shared" si="354"/>
        <v>1807.6273333333329</v>
      </c>
      <c r="Y308" s="77">
        <v>0</v>
      </c>
      <c r="Z308" s="77">
        <v>1116.2500000000002</v>
      </c>
      <c r="AA308" s="77">
        <v>0</v>
      </c>
      <c r="AB308" s="82">
        <f t="shared" si="355"/>
        <v>1116.2500000000002</v>
      </c>
      <c r="AC308" s="84">
        <f t="shared" si="320"/>
        <v>1570.6131666666661</v>
      </c>
      <c r="AD308" s="39">
        <v>3000</v>
      </c>
      <c r="AE308" s="40">
        <f t="shared" si="356"/>
        <v>10072.880874999995</v>
      </c>
      <c r="AF308" s="1">
        <f t="shared" si="357"/>
        <v>13.200000000000001</v>
      </c>
      <c r="AG308" s="1">
        <f t="shared" si="358"/>
        <v>18</v>
      </c>
      <c r="AH308" s="41">
        <f t="shared" si="359"/>
        <v>16.898483039990221</v>
      </c>
      <c r="AJ308">
        <v>1.1000000000000001</v>
      </c>
      <c r="AK308">
        <v>1.5</v>
      </c>
      <c r="AL308" s="32">
        <f t="shared" si="360"/>
        <v>13072.880874999995</v>
      </c>
      <c r="AM308" s="4">
        <f t="shared" si="361"/>
        <v>0.22948270000203769</v>
      </c>
      <c r="AN308" s="4">
        <f t="shared" si="362"/>
        <v>0.77051729999796226</v>
      </c>
    </row>
    <row r="309" spans="1:40" ht="14.25" hidden="1" customHeight="1" x14ac:dyDescent="0.3">
      <c r="A309" s="84"/>
      <c r="C309" s="1">
        <f>+Precios!A309</f>
        <v>2026</v>
      </c>
      <c r="D309" s="52">
        <f>+Precios!B309</f>
        <v>46204</v>
      </c>
      <c r="E309" s="1">
        <v>4</v>
      </c>
      <c r="F309" s="1" t="str">
        <f>+Precios!C309</f>
        <v>dom</v>
      </c>
      <c r="G309" s="5">
        <f>+Precios!D309</f>
        <v>46215</v>
      </c>
      <c r="H309" s="77">
        <v>5908.9320833333468</v>
      </c>
      <c r="I309" s="77">
        <v>526.37916666666661</v>
      </c>
      <c r="J309" s="77">
        <v>28.307916666666671</v>
      </c>
      <c r="K309" s="77"/>
      <c r="L309" s="77">
        <v>65</v>
      </c>
      <c r="M309" s="81">
        <f t="shared" si="353"/>
        <v>6528.61916666668</v>
      </c>
      <c r="N309" s="2">
        <v>13045.326124999996</v>
      </c>
      <c r="O309" s="2">
        <v>1518.3413333333331</v>
      </c>
      <c r="P309" s="2">
        <v>226.63</v>
      </c>
      <c r="Q309" s="2"/>
      <c r="R309" s="77">
        <v>0</v>
      </c>
      <c r="S309" s="81">
        <f t="shared" si="343"/>
        <v>14790.297458333329</v>
      </c>
      <c r="T309" s="77">
        <v>700</v>
      </c>
      <c r="U309" s="77">
        <v>191.72124999999997</v>
      </c>
      <c r="V309" s="77">
        <v>201.39270833333333</v>
      </c>
      <c r="W309" s="77">
        <v>823.19875000000002</v>
      </c>
      <c r="X309" s="82">
        <f t="shared" si="354"/>
        <v>1916.3127083333334</v>
      </c>
      <c r="Y309" s="77">
        <v>0</v>
      </c>
      <c r="Z309" s="77">
        <v>1115.2416666666668</v>
      </c>
      <c r="AA309" s="77">
        <v>0</v>
      </c>
      <c r="AB309" s="82">
        <f t="shared" si="355"/>
        <v>1115.2416666666668</v>
      </c>
      <c r="AC309" s="84">
        <f t="shared" si="320"/>
        <v>1724.5914583333333</v>
      </c>
      <c r="AD309" s="39">
        <v>3000</v>
      </c>
      <c r="AE309" s="40">
        <f t="shared" ref="AE309:AE315" si="363">+N309-AD309</f>
        <v>10045.326124999996</v>
      </c>
      <c r="AF309" s="1">
        <f t="shared" ref="AF309:AF315" si="364">12*AJ309</f>
        <v>13.200000000000001</v>
      </c>
      <c r="AG309" s="1">
        <f t="shared" ref="AG309:AG315" si="365">12*AK309</f>
        <v>18</v>
      </c>
      <c r="AH309" s="41">
        <f t="shared" ref="AH309:AH315" si="366">+(AD309*AF309+AG309*AE309)/SUM(AD309:AE309)</f>
        <v>16.896156381065559</v>
      </c>
      <c r="AJ309">
        <v>1.1000000000000001</v>
      </c>
      <c r="AK309">
        <v>1.5</v>
      </c>
      <c r="AL309" s="32">
        <f t="shared" ref="AL309:AL315" si="367">+AD309+AE309</f>
        <v>13045.326124999996</v>
      </c>
      <c r="AM309" s="4">
        <f t="shared" ref="AM309:AM315" si="368">+AD309/AL309</f>
        <v>0.22996742061134182</v>
      </c>
      <c r="AN309" s="4">
        <f t="shared" ref="AN309:AN315" si="369">+AE309/AL309</f>
        <v>0.77003257938865821</v>
      </c>
    </row>
    <row r="310" spans="1:40" ht="14.25" hidden="1" customHeight="1" x14ac:dyDescent="0.3">
      <c r="A310" s="84"/>
      <c r="C310" s="1">
        <f>+Precios!A310</f>
        <v>2026</v>
      </c>
      <c r="D310" s="52">
        <f>+Precios!B310</f>
        <v>46204</v>
      </c>
      <c r="E310" s="1">
        <v>16</v>
      </c>
      <c r="F310" s="1" t="str">
        <f>+Precios!C310</f>
        <v>lun</v>
      </c>
      <c r="G310" s="5">
        <f>+Precios!D310</f>
        <v>46216</v>
      </c>
      <c r="H310" s="77">
        <v>6329.2125000000042</v>
      </c>
      <c r="I310" s="77">
        <v>598.89166666666665</v>
      </c>
      <c r="J310" s="77">
        <v>30.890000000000004</v>
      </c>
      <c r="K310" s="77"/>
      <c r="L310" s="77">
        <v>65</v>
      </c>
      <c r="M310" s="81">
        <f t="shared" si="353"/>
        <v>7023.9941666666709</v>
      </c>
      <c r="N310" s="2">
        <v>13117.704874999996</v>
      </c>
      <c r="O310" s="2">
        <v>1524.2266666666667</v>
      </c>
      <c r="P310" s="2">
        <v>226.63</v>
      </c>
      <c r="Q310" s="2"/>
      <c r="R310" s="77">
        <v>0</v>
      </c>
      <c r="S310" s="81">
        <f t="shared" si="343"/>
        <v>14868.561541666662</v>
      </c>
      <c r="T310" s="77">
        <v>700</v>
      </c>
      <c r="U310" s="77">
        <v>219.17333333333337</v>
      </c>
      <c r="V310" s="77">
        <v>210.75883333333309</v>
      </c>
      <c r="W310" s="77">
        <v>1902.3950000000011</v>
      </c>
      <c r="X310" s="82">
        <f t="shared" si="354"/>
        <v>3032.3271666666678</v>
      </c>
      <c r="Y310" s="77">
        <v>0</v>
      </c>
      <c r="Z310" s="77">
        <v>1115.2500000000002</v>
      </c>
      <c r="AA310" s="77">
        <v>0</v>
      </c>
      <c r="AB310" s="82">
        <f t="shared" si="355"/>
        <v>1115.2500000000002</v>
      </c>
      <c r="AC310" s="84">
        <f t="shared" si="320"/>
        <v>2813.1538333333342</v>
      </c>
      <c r="AD310" s="39">
        <v>3000</v>
      </c>
      <c r="AE310" s="40">
        <f t="shared" si="363"/>
        <v>10117.704874999996</v>
      </c>
      <c r="AF310" s="1">
        <f t="shared" si="364"/>
        <v>13.200000000000001</v>
      </c>
      <c r="AG310" s="1">
        <f t="shared" si="365"/>
        <v>18</v>
      </c>
      <c r="AH310" s="41">
        <f t="shared" si="366"/>
        <v>16.902246990825063</v>
      </c>
      <c r="AJ310">
        <v>1.1000000000000001</v>
      </c>
      <c r="AK310">
        <v>1.5</v>
      </c>
      <c r="AL310" s="32">
        <f t="shared" si="367"/>
        <v>13117.704874999996</v>
      </c>
      <c r="AM310" s="4">
        <f t="shared" si="368"/>
        <v>0.22869854357811209</v>
      </c>
      <c r="AN310" s="4">
        <f t="shared" si="369"/>
        <v>0.77130145642188785</v>
      </c>
    </row>
    <row r="311" spans="1:40" ht="14.25" hidden="1" customHeight="1" x14ac:dyDescent="0.3">
      <c r="A311" s="84"/>
      <c r="C311" s="1">
        <f>+Precios!A311</f>
        <v>2026</v>
      </c>
      <c r="D311" s="52">
        <f>+Precios!B311</f>
        <v>46204</v>
      </c>
      <c r="E311" s="1">
        <v>16</v>
      </c>
      <c r="F311" s="1" t="str">
        <f>+Precios!C311</f>
        <v>mar</v>
      </c>
      <c r="G311" s="5">
        <f>+Precios!D311</f>
        <v>46217</v>
      </c>
      <c r="H311" s="77">
        <v>6380.2099999999882</v>
      </c>
      <c r="I311" s="77">
        <v>646.8841666666666</v>
      </c>
      <c r="J311" s="77">
        <v>24.179166666666671</v>
      </c>
      <c r="K311" s="77"/>
      <c r="L311" s="77">
        <v>65</v>
      </c>
      <c r="M311" s="81">
        <f t="shared" si="353"/>
        <v>7116.2733333333217</v>
      </c>
      <c r="N311" s="2">
        <v>13051.061666666665</v>
      </c>
      <c r="O311" s="2">
        <v>1518.2428749999999</v>
      </c>
      <c r="P311" s="2">
        <v>223.63</v>
      </c>
      <c r="Q311" s="2"/>
      <c r="R311" s="77">
        <v>0</v>
      </c>
      <c r="S311" s="81">
        <f t="shared" si="343"/>
        <v>14792.934541666664</v>
      </c>
      <c r="T311" s="77">
        <v>700</v>
      </c>
      <c r="U311" s="77">
        <v>274.12791666666669</v>
      </c>
      <c r="V311" s="77">
        <v>203.03510416666708</v>
      </c>
      <c r="W311" s="77">
        <v>1432.1833333333343</v>
      </c>
      <c r="X311" s="82">
        <f t="shared" si="354"/>
        <v>2609.3463541666679</v>
      </c>
      <c r="Y311" s="77">
        <v>0</v>
      </c>
      <c r="Z311" s="77">
        <v>1115.2500000000002</v>
      </c>
      <c r="AA311" s="77">
        <v>0</v>
      </c>
      <c r="AB311" s="82">
        <f t="shared" si="355"/>
        <v>1115.2500000000002</v>
      </c>
      <c r="AC311" s="84">
        <f t="shared" si="320"/>
        <v>2335.2184375000015</v>
      </c>
      <c r="AD311" s="39">
        <v>3000</v>
      </c>
      <c r="AE311" s="40">
        <f t="shared" si="363"/>
        <v>10051.061666666665</v>
      </c>
      <c r="AF311" s="1">
        <f t="shared" si="364"/>
        <v>13.200000000000001</v>
      </c>
      <c r="AG311" s="1">
        <f t="shared" si="365"/>
        <v>18</v>
      </c>
      <c r="AH311" s="41">
        <f t="shared" si="366"/>
        <v>16.896641486509974</v>
      </c>
      <c r="AJ311">
        <v>1.1000000000000001</v>
      </c>
      <c r="AK311">
        <v>1.5</v>
      </c>
      <c r="AL311" s="32">
        <f t="shared" si="367"/>
        <v>13051.061666666665</v>
      </c>
      <c r="AM311" s="4">
        <f t="shared" si="368"/>
        <v>0.22986635697708888</v>
      </c>
      <c r="AN311" s="4">
        <f t="shared" si="369"/>
        <v>0.7701336430229111</v>
      </c>
    </row>
    <row r="312" spans="1:40" ht="14.25" hidden="1" customHeight="1" x14ac:dyDescent="0.3">
      <c r="A312" s="84"/>
      <c r="C312" s="1">
        <f>+Precios!A312</f>
        <v>2026</v>
      </c>
      <c r="D312" s="52">
        <f>+Precios!B312</f>
        <v>46204</v>
      </c>
      <c r="E312" s="1">
        <v>16</v>
      </c>
      <c r="F312" s="1" t="str">
        <f>+Precios!C312</f>
        <v>mié</v>
      </c>
      <c r="G312" s="5">
        <f>+Precios!D312</f>
        <v>46218</v>
      </c>
      <c r="H312" s="77">
        <v>5690.8900000000094</v>
      </c>
      <c r="I312" s="77">
        <v>492.24833333333339</v>
      </c>
      <c r="J312" s="77">
        <v>17.293749999999999</v>
      </c>
      <c r="K312" s="77"/>
      <c r="L312" s="77">
        <v>65</v>
      </c>
      <c r="M312" s="81">
        <f t="shared" si="353"/>
        <v>6265.4320833333422</v>
      </c>
      <c r="N312" s="2">
        <v>13015.973708333329</v>
      </c>
      <c r="O312" s="2">
        <v>1502.4699999999996</v>
      </c>
      <c r="P312" s="2">
        <v>223.63</v>
      </c>
      <c r="Q312" s="2"/>
      <c r="R312" s="77">
        <v>0</v>
      </c>
      <c r="S312" s="81">
        <f t="shared" si="343"/>
        <v>14742.073708333328</v>
      </c>
      <c r="T312" s="77">
        <v>700</v>
      </c>
      <c r="U312" s="77">
        <v>187.72666666666666</v>
      </c>
      <c r="V312" s="77">
        <v>183.59331250000014</v>
      </c>
      <c r="W312" s="77">
        <v>1172.7204166666666</v>
      </c>
      <c r="X312" s="82">
        <f t="shared" si="354"/>
        <v>2244.0403958333336</v>
      </c>
      <c r="Y312" s="77">
        <v>0</v>
      </c>
      <c r="Z312" s="77">
        <v>1112.7750000000001</v>
      </c>
      <c r="AA312" s="77">
        <v>0</v>
      </c>
      <c r="AB312" s="82">
        <f t="shared" si="355"/>
        <v>1112.7750000000001</v>
      </c>
      <c r="AC312" s="84">
        <f t="shared" si="320"/>
        <v>2056.3137291666667</v>
      </c>
      <c r="AD312" s="39">
        <v>3000</v>
      </c>
      <c r="AE312" s="40">
        <f t="shared" si="363"/>
        <v>10015.973708333329</v>
      </c>
      <c r="AF312" s="1">
        <f t="shared" si="364"/>
        <v>13.200000000000001</v>
      </c>
      <c r="AG312" s="1">
        <f t="shared" si="365"/>
        <v>18</v>
      </c>
      <c r="AH312" s="41">
        <f t="shared" si="366"/>
        <v>16.893667095318381</v>
      </c>
      <c r="AJ312">
        <v>1.1000000000000001</v>
      </c>
      <c r="AK312">
        <v>1.5</v>
      </c>
      <c r="AL312" s="32">
        <f t="shared" si="367"/>
        <v>13015.973708333329</v>
      </c>
      <c r="AM312" s="4">
        <f t="shared" si="368"/>
        <v>0.2304860218086707</v>
      </c>
      <c r="AN312" s="4">
        <f t="shared" si="369"/>
        <v>0.76951397819132927</v>
      </c>
    </row>
    <row r="313" spans="1:40" ht="14.25" hidden="1" customHeight="1" x14ac:dyDescent="0.3">
      <c r="A313" s="84"/>
      <c r="C313" s="1">
        <f>+Precios!A313</f>
        <v>2026</v>
      </c>
      <c r="D313" s="52">
        <f>+Precios!B313</f>
        <v>46204</v>
      </c>
      <c r="E313" s="1">
        <v>16</v>
      </c>
      <c r="F313" s="1" t="str">
        <f>+Precios!C313</f>
        <v>jue</v>
      </c>
      <c r="G313" s="5">
        <f>+Precios!D313</f>
        <v>46219</v>
      </c>
      <c r="H313" s="77">
        <v>5216.4420833333234</v>
      </c>
      <c r="I313" s="77">
        <v>449.51291666666663</v>
      </c>
      <c r="J313" s="77">
        <v>23.540416666666669</v>
      </c>
      <c r="K313" s="77"/>
      <c r="L313" s="77">
        <v>65</v>
      </c>
      <c r="M313" s="81">
        <f t="shared" si="353"/>
        <v>5754.4954166666566</v>
      </c>
      <c r="N313" s="2">
        <v>12528.932666666668</v>
      </c>
      <c r="O313" s="2">
        <v>1496.1699999999998</v>
      </c>
      <c r="P313" s="2">
        <v>226.63</v>
      </c>
      <c r="Q313" s="2"/>
      <c r="R313" s="77">
        <v>0</v>
      </c>
      <c r="S313" s="81">
        <f t="shared" si="343"/>
        <v>14251.732666666667</v>
      </c>
      <c r="T313" s="77">
        <v>700</v>
      </c>
      <c r="U313" s="77">
        <v>196.06666666666661</v>
      </c>
      <c r="V313" s="77">
        <v>151.68120833333336</v>
      </c>
      <c r="W313" s="77">
        <v>1101.892500000002</v>
      </c>
      <c r="X313" s="82">
        <f t="shared" si="354"/>
        <v>2149.6403750000018</v>
      </c>
      <c r="Y313" s="77">
        <v>0</v>
      </c>
      <c r="Z313" s="77">
        <v>1115.2500000000002</v>
      </c>
      <c r="AA313" s="77">
        <v>0</v>
      </c>
      <c r="AB313" s="82">
        <f t="shared" si="355"/>
        <v>1115.2500000000002</v>
      </c>
      <c r="AC313" s="84">
        <f t="shared" si="320"/>
        <v>1953.5737083333354</v>
      </c>
      <c r="AD313" s="39">
        <v>3000</v>
      </c>
      <c r="AE313" s="40">
        <f t="shared" si="363"/>
        <v>9528.9326666666675</v>
      </c>
      <c r="AF313" s="1">
        <f t="shared" si="364"/>
        <v>13.200000000000001</v>
      </c>
      <c r="AG313" s="1">
        <f t="shared" si="365"/>
        <v>18</v>
      </c>
      <c r="AH313" s="41">
        <f t="shared" si="366"/>
        <v>16.850660277047275</v>
      </c>
      <c r="AJ313">
        <v>1.1000000000000001</v>
      </c>
      <c r="AK313">
        <v>1.5</v>
      </c>
      <c r="AL313" s="32">
        <f t="shared" si="367"/>
        <v>12528.932666666668</v>
      </c>
      <c r="AM313" s="4">
        <f t="shared" si="368"/>
        <v>0.23944577561515082</v>
      </c>
      <c r="AN313" s="4">
        <f t="shared" si="369"/>
        <v>0.76055422438484921</v>
      </c>
    </row>
    <row r="314" spans="1:40" ht="14.25" hidden="1" customHeight="1" x14ac:dyDescent="0.3">
      <c r="A314" s="84"/>
      <c r="C314" s="1">
        <f>+Precios!A314</f>
        <v>2026</v>
      </c>
      <c r="D314" s="52">
        <f>+Precios!B314</f>
        <v>46204</v>
      </c>
      <c r="E314" s="1">
        <v>16</v>
      </c>
      <c r="F314" s="1" t="str">
        <f>+Precios!C314</f>
        <v>vie</v>
      </c>
      <c r="G314" s="5">
        <f>+Precios!D314</f>
        <v>46220</v>
      </c>
      <c r="H314" s="77">
        <v>4613.8112499999988</v>
      </c>
      <c r="I314" s="77">
        <v>303.20208333333329</v>
      </c>
      <c r="J314" s="77">
        <v>31.102916666666662</v>
      </c>
      <c r="K314" s="77"/>
      <c r="L314" s="77">
        <v>65</v>
      </c>
      <c r="M314" s="81">
        <f t="shared" si="353"/>
        <v>5013.1162499999991</v>
      </c>
      <c r="N314" s="2">
        <v>12433.058708333327</v>
      </c>
      <c r="O314" s="2">
        <v>1476.0044166666664</v>
      </c>
      <c r="P314" s="2">
        <v>226.63</v>
      </c>
      <c r="Q314" s="2"/>
      <c r="R314" s="77">
        <v>0</v>
      </c>
      <c r="S314" s="81">
        <f t="shared" si="343"/>
        <v>14135.693124999993</v>
      </c>
      <c r="T314" s="77">
        <v>700</v>
      </c>
      <c r="U314" s="77">
        <v>186.58166666666668</v>
      </c>
      <c r="V314" s="77">
        <v>154.97522916666657</v>
      </c>
      <c r="W314" s="77">
        <v>1216.9079166666688</v>
      </c>
      <c r="X314" s="82">
        <f t="shared" si="354"/>
        <v>2258.4648125000022</v>
      </c>
      <c r="Y314" s="77">
        <v>0</v>
      </c>
      <c r="Z314" s="77">
        <v>1114.1250000000002</v>
      </c>
      <c r="AA314" s="77">
        <v>0</v>
      </c>
      <c r="AB314" s="82">
        <f t="shared" si="355"/>
        <v>1114.1250000000002</v>
      </c>
      <c r="AC314" s="84">
        <f t="shared" si="320"/>
        <v>2071.8831458333352</v>
      </c>
      <c r="AD314" s="39">
        <v>3000</v>
      </c>
      <c r="AE314" s="40">
        <f t="shared" si="363"/>
        <v>9433.0587083333266</v>
      </c>
      <c r="AF314" s="1">
        <f t="shared" si="364"/>
        <v>13.200000000000001</v>
      </c>
      <c r="AG314" s="1">
        <f t="shared" si="365"/>
        <v>18</v>
      </c>
      <c r="AH314" s="41">
        <f t="shared" si="366"/>
        <v>16.841797474152653</v>
      </c>
      <c r="AJ314">
        <v>1.1000000000000001</v>
      </c>
      <c r="AK314">
        <v>1.5</v>
      </c>
      <c r="AL314" s="32">
        <f t="shared" si="367"/>
        <v>12433.058708333327</v>
      </c>
      <c r="AM314" s="4">
        <f t="shared" si="368"/>
        <v>0.24129219288486375</v>
      </c>
      <c r="AN314" s="4">
        <f t="shared" si="369"/>
        <v>0.7587078071151363</v>
      </c>
    </row>
    <row r="315" spans="1:40" ht="14.25" hidden="1" customHeight="1" x14ac:dyDescent="0.3">
      <c r="A315" s="84"/>
      <c r="C315" s="1">
        <f>+Precios!A315</f>
        <v>2026</v>
      </c>
      <c r="D315" s="52">
        <f>+Precios!B315</f>
        <v>46204</v>
      </c>
      <c r="E315" s="1">
        <v>6</v>
      </c>
      <c r="F315" s="1" t="str">
        <f>+Precios!C315</f>
        <v>sáb</v>
      </c>
      <c r="G315" s="5">
        <f>+Precios!D315</f>
        <v>46221</v>
      </c>
      <c r="H315" s="77">
        <v>4578.4662500000077</v>
      </c>
      <c r="I315" s="77">
        <v>393.74666666666673</v>
      </c>
      <c r="J315" s="77">
        <v>76.046250000000001</v>
      </c>
      <c r="K315" s="77"/>
      <c r="L315" s="77">
        <v>65</v>
      </c>
      <c r="M315" s="81">
        <f t="shared" si="353"/>
        <v>5113.2591666666749</v>
      </c>
      <c r="N315" s="2">
        <v>12508.210833333333</v>
      </c>
      <c r="O315" s="2">
        <v>1473.812208333333</v>
      </c>
      <c r="P315" s="2">
        <v>226.63</v>
      </c>
      <c r="Q315" s="2"/>
      <c r="R315" s="77">
        <v>0</v>
      </c>
      <c r="S315" s="81">
        <f t="shared" si="343"/>
        <v>14208.653041666665</v>
      </c>
      <c r="T315" s="77">
        <v>700</v>
      </c>
      <c r="U315" s="77">
        <v>253.18208333333337</v>
      </c>
      <c r="V315" s="77">
        <v>175.40095833333319</v>
      </c>
      <c r="W315" s="77">
        <v>853.24416666666536</v>
      </c>
      <c r="X315" s="82">
        <f t="shared" si="354"/>
        <v>1981.8272083333318</v>
      </c>
      <c r="Y315" s="77">
        <v>0</v>
      </c>
      <c r="Z315" s="77">
        <v>1115.2416666666668</v>
      </c>
      <c r="AA315" s="77">
        <v>0</v>
      </c>
      <c r="AB315" s="82">
        <f t="shared" si="355"/>
        <v>1115.2416666666668</v>
      </c>
      <c r="AC315" s="84">
        <f t="shared" si="320"/>
        <v>1728.6451249999986</v>
      </c>
      <c r="AD315" s="39">
        <v>3000</v>
      </c>
      <c r="AE315" s="40">
        <f t="shared" si="363"/>
        <v>9508.2108333333326</v>
      </c>
      <c r="AF315" s="1">
        <f t="shared" si="364"/>
        <v>13.200000000000001</v>
      </c>
      <c r="AG315" s="1">
        <f t="shared" si="365"/>
        <v>18</v>
      </c>
      <c r="AH315" s="41">
        <f t="shared" si="366"/>
        <v>16.848756213668448</v>
      </c>
      <c r="AJ315">
        <v>1.1000000000000001</v>
      </c>
      <c r="AK315">
        <v>1.5</v>
      </c>
      <c r="AL315" s="32">
        <f t="shared" si="367"/>
        <v>12508.210833333333</v>
      </c>
      <c r="AM315" s="4">
        <f t="shared" si="368"/>
        <v>0.23984245548573996</v>
      </c>
      <c r="AN315" s="4">
        <f t="shared" si="369"/>
        <v>0.7601575445142601</v>
      </c>
    </row>
    <row r="316" spans="1:40" ht="14.25" hidden="1" customHeight="1" x14ac:dyDescent="0.3">
      <c r="A316" s="84"/>
      <c r="C316" s="1">
        <f>+Precios!A316</f>
        <v>2026</v>
      </c>
      <c r="D316" s="52">
        <f>+Precios!B316</f>
        <v>46204</v>
      </c>
      <c r="E316" s="1">
        <v>4</v>
      </c>
      <c r="F316" s="1" t="str">
        <f>+Precios!C316</f>
        <v>dom</v>
      </c>
      <c r="G316" s="5">
        <f>+Precios!D316</f>
        <v>46222</v>
      </c>
      <c r="H316" s="77">
        <v>5213.575833333336</v>
      </c>
      <c r="I316" s="77">
        <v>350.30999999999995</v>
      </c>
      <c r="J316" s="77">
        <v>6.75</v>
      </c>
      <c r="K316" s="77"/>
      <c r="L316" s="77">
        <v>65</v>
      </c>
      <c r="M316" s="81">
        <f t="shared" si="353"/>
        <v>5635.6358333333355</v>
      </c>
      <c r="N316" s="2">
        <v>12629.227583333328</v>
      </c>
      <c r="O316" s="2">
        <v>1491.8211249999997</v>
      </c>
      <c r="P316" s="2">
        <v>226.63</v>
      </c>
      <c r="Q316" s="2"/>
      <c r="R316" s="77">
        <v>0</v>
      </c>
      <c r="S316" s="81">
        <f t="shared" si="343"/>
        <v>14347.678708333327</v>
      </c>
      <c r="T316" s="77">
        <v>700</v>
      </c>
      <c r="U316" s="77">
        <v>198.95250000000001</v>
      </c>
      <c r="V316" s="77">
        <v>127.31208333333304</v>
      </c>
      <c r="W316" s="77">
        <v>527.65500000000054</v>
      </c>
      <c r="X316" s="82">
        <f t="shared" si="354"/>
        <v>1553.9195833333338</v>
      </c>
      <c r="Y316" s="77">
        <v>0</v>
      </c>
      <c r="Z316" s="77">
        <v>1115.2500000000002</v>
      </c>
      <c r="AA316" s="77">
        <v>0</v>
      </c>
      <c r="AB316" s="82">
        <f t="shared" si="355"/>
        <v>1115.2500000000002</v>
      </c>
      <c r="AC316" s="84">
        <f t="shared" ref="AC316:AC322" si="370">+T316+V316+W316</f>
        <v>1354.9670833333334</v>
      </c>
      <c r="AD316" s="39">
        <v>3000</v>
      </c>
      <c r="AE316" s="40">
        <f t="shared" ref="AE316:AE322" si="371">+N316-AD316</f>
        <v>9629.2275833333279</v>
      </c>
      <c r="AF316" s="1">
        <f t="shared" ref="AF316:AF322" si="372">12*AJ316</f>
        <v>13.200000000000001</v>
      </c>
      <c r="AG316" s="1">
        <f t="shared" ref="AG316:AG322" si="373">12*AK316</f>
        <v>18</v>
      </c>
      <c r="AH316" s="41">
        <f t="shared" ref="AH316:AH322" si="374">+(AD316*AF316+AG316*AE316)/SUM(AD316:AE316)</f>
        <v>16.859787749885548</v>
      </c>
      <c r="AJ316">
        <v>1.1000000000000001</v>
      </c>
      <c r="AK316">
        <v>1.5</v>
      </c>
      <c r="AL316" s="32">
        <f t="shared" ref="AL316:AL322" si="375">+AD316+AE316</f>
        <v>12629.227583333328</v>
      </c>
      <c r="AM316" s="4">
        <f t="shared" ref="AM316:AM322" si="376">+AD316/AL316</f>
        <v>0.23754421877384421</v>
      </c>
      <c r="AN316" s="4">
        <f t="shared" ref="AN316:AN322" si="377">+AE316/AL316</f>
        <v>0.76245578122615576</v>
      </c>
    </row>
    <row r="317" spans="1:40" ht="14.25" hidden="1" customHeight="1" x14ac:dyDescent="0.3">
      <c r="A317" s="84"/>
      <c r="C317" s="1">
        <f>+Precios!A317</f>
        <v>2026</v>
      </c>
      <c r="D317" s="52">
        <f>+Precios!B317</f>
        <v>46204</v>
      </c>
      <c r="E317" s="1">
        <v>16</v>
      </c>
      <c r="F317" s="1" t="str">
        <f>+Precios!C317</f>
        <v>lun</v>
      </c>
      <c r="G317" s="5">
        <f>+Precios!D317</f>
        <v>46223</v>
      </c>
      <c r="H317" s="77">
        <v>6310.5304166666747</v>
      </c>
      <c r="I317" s="77">
        <v>275.34458333333333</v>
      </c>
      <c r="J317" s="77">
        <v>92.327916666666667</v>
      </c>
      <c r="K317" s="77"/>
      <c r="L317" s="77">
        <v>65</v>
      </c>
      <c r="M317" s="81">
        <f t="shared" si="353"/>
        <v>6743.2029166666753</v>
      </c>
      <c r="N317" s="2">
        <v>12740.25691666666</v>
      </c>
      <c r="O317" s="2">
        <v>1498.58825</v>
      </c>
      <c r="P317" s="2">
        <v>226.63</v>
      </c>
      <c r="Q317" s="2"/>
      <c r="R317" s="77">
        <v>0</v>
      </c>
      <c r="S317" s="81">
        <f t="shared" si="343"/>
        <v>14465.47516666666</v>
      </c>
      <c r="T317" s="77">
        <v>700</v>
      </c>
      <c r="U317" s="77">
        <v>311.85166666666669</v>
      </c>
      <c r="V317" s="77">
        <v>195.98764583333318</v>
      </c>
      <c r="W317" s="77">
        <v>568.15083333333394</v>
      </c>
      <c r="X317" s="82">
        <f t="shared" si="354"/>
        <v>1775.9901458333338</v>
      </c>
      <c r="Y317" s="77">
        <v>0</v>
      </c>
      <c r="Z317" s="77">
        <v>1091.2333333333333</v>
      </c>
      <c r="AA317" s="77">
        <v>0</v>
      </c>
      <c r="AB317" s="82">
        <f t="shared" si="355"/>
        <v>1091.2333333333333</v>
      </c>
      <c r="AC317" s="84">
        <f t="shared" si="370"/>
        <v>1464.1384791666671</v>
      </c>
      <c r="AD317" s="39">
        <v>3000</v>
      </c>
      <c r="AE317" s="40">
        <f t="shared" si="371"/>
        <v>9740.2569166666599</v>
      </c>
      <c r="AF317" s="1">
        <f t="shared" si="372"/>
        <v>13.200000000000001</v>
      </c>
      <c r="AG317" s="1">
        <f t="shared" si="373"/>
        <v>18</v>
      </c>
      <c r="AH317" s="41">
        <f t="shared" si="374"/>
        <v>16.869724520141972</v>
      </c>
      <c r="AJ317">
        <v>1.1000000000000001</v>
      </c>
      <c r="AK317">
        <v>1.5</v>
      </c>
      <c r="AL317" s="32">
        <f t="shared" si="375"/>
        <v>12740.25691666666</v>
      </c>
      <c r="AM317" s="4">
        <f t="shared" si="376"/>
        <v>0.23547405830375634</v>
      </c>
      <c r="AN317" s="4">
        <f t="shared" si="377"/>
        <v>0.76452594169624366</v>
      </c>
    </row>
    <row r="318" spans="1:40" ht="14.25" hidden="1" customHeight="1" x14ac:dyDescent="0.3">
      <c r="A318" s="84"/>
      <c r="C318" s="1">
        <f>+Precios!A318</f>
        <v>2026</v>
      </c>
      <c r="D318" s="52">
        <f>+Precios!B318</f>
        <v>46204</v>
      </c>
      <c r="E318" s="1">
        <v>16</v>
      </c>
      <c r="F318" s="1" t="str">
        <f>+Precios!C318</f>
        <v>mar</v>
      </c>
      <c r="G318" s="5">
        <f>+Precios!D318</f>
        <v>46224</v>
      </c>
      <c r="H318" s="77">
        <v>6845.6370833333413</v>
      </c>
      <c r="I318" s="77">
        <v>324.05708333333337</v>
      </c>
      <c r="J318" s="77">
        <v>73.88375000000002</v>
      </c>
      <c r="K318" s="77"/>
      <c r="L318" s="77">
        <v>65</v>
      </c>
      <c r="M318" s="81">
        <f t="shared" si="353"/>
        <v>7308.5779166666744</v>
      </c>
      <c r="N318" s="2">
        <v>13030.083666666669</v>
      </c>
      <c r="O318" s="2">
        <v>1494.5603749999998</v>
      </c>
      <c r="P318" s="2">
        <v>225.63</v>
      </c>
      <c r="Q318" s="2"/>
      <c r="R318" s="77">
        <v>0</v>
      </c>
      <c r="S318" s="81">
        <f t="shared" si="343"/>
        <v>14750.274041666667</v>
      </c>
      <c r="T318" s="77">
        <v>700</v>
      </c>
      <c r="U318" s="77">
        <v>401.25041666666675</v>
      </c>
      <c r="V318" s="77">
        <v>213.93872916666635</v>
      </c>
      <c r="W318" s="77">
        <v>313.76333333333406</v>
      </c>
      <c r="X318" s="82">
        <f t="shared" si="354"/>
        <v>1628.952479166667</v>
      </c>
      <c r="Y318" s="77">
        <v>0</v>
      </c>
      <c r="Z318" s="77">
        <v>1112.0750000000003</v>
      </c>
      <c r="AA318" s="77">
        <v>0</v>
      </c>
      <c r="AB318" s="82">
        <f t="shared" si="355"/>
        <v>1112.0750000000003</v>
      </c>
      <c r="AC318" s="84">
        <f t="shared" si="370"/>
        <v>1227.7020625000005</v>
      </c>
      <c r="AD318" s="39">
        <v>3000</v>
      </c>
      <c r="AE318" s="40">
        <f t="shared" si="371"/>
        <v>10030.083666666669</v>
      </c>
      <c r="AF318" s="1">
        <f t="shared" si="372"/>
        <v>13.200000000000001</v>
      </c>
      <c r="AG318" s="1">
        <f t="shared" si="373"/>
        <v>18</v>
      </c>
      <c r="AH318" s="41">
        <f t="shared" si="374"/>
        <v>16.894865116112967</v>
      </c>
      <c r="AJ318">
        <v>1.1000000000000001</v>
      </c>
      <c r="AK318">
        <v>1.5</v>
      </c>
      <c r="AL318" s="32">
        <f t="shared" si="375"/>
        <v>13030.083666666669</v>
      </c>
      <c r="AM318" s="4">
        <f t="shared" si="376"/>
        <v>0.23023643414313197</v>
      </c>
      <c r="AN318" s="4">
        <f t="shared" si="377"/>
        <v>0.769763565856868</v>
      </c>
    </row>
    <row r="319" spans="1:40" ht="14.25" hidden="1" customHeight="1" x14ac:dyDescent="0.3">
      <c r="A319" s="84"/>
      <c r="C319" s="1">
        <f>+Precios!A319</f>
        <v>2026</v>
      </c>
      <c r="D319" s="52">
        <f>+Precios!B319</f>
        <v>46204</v>
      </c>
      <c r="E319" s="1">
        <v>16</v>
      </c>
      <c r="F319" s="1" t="str">
        <f>+Precios!C319</f>
        <v>mié</v>
      </c>
      <c r="G319" s="5">
        <f>+Precios!D319</f>
        <v>46225</v>
      </c>
      <c r="H319" s="77">
        <v>6310.3512499999924</v>
      </c>
      <c r="I319" s="77">
        <v>297.45875000000001</v>
      </c>
      <c r="J319" s="77">
        <v>55.580833333333338</v>
      </c>
      <c r="K319" s="77"/>
      <c r="L319" s="77">
        <v>65</v>
      </c>
      <c r="M319" s="81">
        <f t="shared" si="353"/>
        <v>6728.3908333333256</v>
      </c>
      <c r="N319" s="2">
        <v>13184.548374999993</v>
      </c>
      <c r="O319" s="2">
        <v>1499.4026249999997</v>
      </c>
      <c r="P319" s="2">
        <v>223.63</v>
      </c>
      <c r="Q319" s="2"/>
      <c r="R319" s="77">
        <v>0</v>
      </c>
      <c r="S319" s="81">
        <f t="shared" si="343"/>
        <v>14907.580999999993</v>
      </c>
      <c r="T319" s="77">
        <v>700</v>
      </c>
      <c r="U319" s="77">
        <v>327.98666666666662</v>
      </c>
      <c r="V319" s="77">
        <v>212.19802083333303</v>
      </c>
      <c r="W319" s="77">
        <v>725.97958333333236</v>
      </c>
      <c r="X319" s="82">
        <f t="shared" si="354"/>
        <v>1966.164270833332</v>
      </c>
      <c r="Y319" s="77">
        <v>0</v>
      </c>
      <c r="Z319" s="77">
        <v>1036.1341666666667</v>
      </c>
      <c r="AA319" s="77">
        <v>0</v>
      </c>
      <c r="AB319" s="82">
        <f t="shared" si="355"/>
        <v>1036.1341666666667</v>
      </c>
      <c r="AC319" s="84">
        <f t="shared" si="370"/>
        <v>1638.1776041666653</v>
      </c>
      <c r="AD319" s="39">
        <v>3000</v>
      </c>
      <c r="AE319" s="40">
        <f t="shared" si="371"/>
        <v>10184.548374999993</v>
      </c>
      <c r="AF319" s="1">
        <f t="shared" si="372"/>
        <v>13.200000000000001</v>
      </c>
      <c r="AG319" s="1">
        <f t="shared" si="373"/>
        <v>18</v>
      </c>
      <c r="AH319" s="41">
        <f t="shared" si="374"/>
        <v>16.907812418716997</v>
      </c>
      <c r="AJ319">
        <v>1.1000000000000001</v>
      </c>
      <c r="AK319">
        <v>1.5</v>
      </c>
      <c r="AL319" s="32">
        <f t="shared" si="375"/>
        <v>13184.548374999993</v>
      </c>
      <c r="AM319" s="4">
        <f t="shared" si="376"/>
        <v>0.22753907943395912</v>
      </c>
      <c r="AN319" s="4">
        <f t="shared" si="377"/>
        <v>0.77246092056604088</v>
      </c>
    </row>
    <row r="320" spans="1:40" ht="14.25" hidden="1" customHeight="1" x14ac:dyDescent="0.3">
      <c r="A320" s="84"/>
      <c r="C320" s="1">
        <f>+Precios!A320</f>
        <v>2026</v>
      </c>
      <c r="D320" s="52">
        <f>+Precios!B320</f>
        <v>46204</v>
      </c>
      <c r="E320" s="1">
        <v>16</v>
      </c>
      <c r="F320" s="1" t="str">
        <f>+Precios!C320</f>
        <v>jue</v>
      </c>
      <c r="G320" s="5">
        <f>+Precios!D320</f>
        <v>46226</v>
      </c>
      <c r="H320" s="77">
        <v>5799.0529166666674</v>
      </c>
      <c r="I320" s="77">
        <v>175.04333333333332</v>
      </c>
      <c r="J320" s="77">
        <v>16.995833333333334</v>
      </c>
      <c r="K320" s="77"/>
      <c r="L320" s="77">
        <v>65</v>
      </c>
      <c r="M320" s="81">
        <f t="shared" si="353"/>
        <v>6056.0920833333339</v>
      </c>
      <c r="N320" s="2">
        <v>13285.560124999995</v>
      </c>
      <c r="O320" s="2">
        <v>1503.4432499999998</v>
      </c>
      <c r="P320" s="2">
        <v>221.63</v>
      </c>
      <c r="Q320" s="2"/>
      <c r="R320" s="77">
        <v>0</v>
      </c>
      <c r="S320" s="81">
        <f t="shared" si="343"/>
        <v>15010.633374999994</v>
      </c>
      <c r="T320" s="77">
        <v>700</v>
      </c>
      <c r="U320" s="77">
        <v>209.44624999999996</v>
      </c>
      <c r="V320" s="77">
        <v>161.29329166666679</v>
      </c>
      <c r="W320" s="77">
        <v>1441.4900000000025</v>
      </c>
      <c r="X320" s="82">
        <f t="shared" si="354"/>
        <v>2512.2295416666693</v>
      </c>
      <c r="Y320" s="77">
        <v>0</v>
      </c>
      <c r="Z320" s="77">
        <v>1049.1992500000001</v>
      </c>
      <c r="AA320" s="77">
        <v>0</v>
      </c>
      <c r="AB320" s="82">
        <f t="shared" si="355"/>
        <v>1049.1992500000001</v>
      </c>
      <c r="AC320" s="84">
        <f t="shared" si="370"/>
        <v>2302.7832916666694</v>
      </c>
      <c r="AD320" s="39">
        <v>3000</v>
      </c>
      <c r="AE320" s="40">
        <f t="shared" si="371"/>
        <v>10285.560124999995</v>
      </c>
      <c r="AF320" s="1">
        <f t="shared" si="372"/>
        <v>13.200000000000001</v>
      </c>
      <c r="AG320" s="1">
        <f t="shared" si="373"/>
        <v>18</v>
      </c>
      <c r="AH320" s="41">
        <f t="shared" si="374"/>
        <v>16.916116455421182</v>
      </c>
      <c r="AJ320">
        <v>1.1000000000000001</v>
      </c>
      <c r="AK320">
        <v>1.5</v>
      </c>
      <c r="AL320" s="32">
        <f t="shared" si="375"/>
        <v>13285.560124999995</v>
      </c>
      <c r="AM320" s="4">
        <f t="shared" si="376"/>
        <v>0.22580907178725376</v>
      </c>
      <c r="AN320" s="4">
        <f t="shared" si="377"/>
        <v>0.77419092821274627</v>
      </c>
    </row>
    <row r="321" spans="1:40" ht="14.25" hidden="1" customHeight="1" x14ac:dyDescent="0.3">
      <c r="A321" s="84"/>
      <c r="C321" s="1">
        <f>+Precios!A321</f>
        <v>2026</v>
      </c>
      <c r="D321" s="52">
        <f>+Precios!B321</f>
        <v>46204</v>
      </c>
      <c r="E321" s="1">
        <v>16</v>
      </c>
      <c r="F321" s="1" t="str">
        <f>+Precios!C321</f>
        <v>vie</v>
      </c>
      <c r="G321" s="5">
        <f>+Precios!D321</f>
        <v>46227</v>
      </c>
      <c r="H321" s="77">
        <v>6102.1308333333391</v>
      </c>
      <c r="I321" s="77">
        <v>0</v>
      </c>
      <c r="J321" s="77">
        <v>24.717083333333335</v>
      </c>
      <c r="K321" s="77"/>
      <c r="L321" s="77">
        <v>65</v>
      </c>
      <c r="M321" s="81">
        <f t="shared" si="353"/>
        <v>6191.8479166666721</v>
      </c>
      <c r="N321" s="2">
        <v>13346.396791666661</v>
      </c>
      <c r="O321" s="2">
        <v>1504.6570000000002</v>
      </c>
      <c r="P321" s="2">
        <v>223.63</v>
      </c>
      <c r="Q321" s="2"/>
      <c r="R321" s="77">
        <v>0</v>
      </c>
      <c r="S321" s="81">
        <f t="shared" si="343"/>
        <v>15074.683791666661</v>
      </c>
      <c r="T321" s="77">
        <v>700</v>
      </c>
      <c r="U321" s="77">
        <v>190.38666666666666</v>
      </c>
      <c r="V321" s="77">
        <v>159.90149999999997</v>
      </c>
      <c r="W321" s="77">
        <v>1233.8654166666674</v>
      </c>
      <c r="X321" s="82">
        <f t="shared" si="354"/>
        <v>2284.1535833333342</v>
      </c>
      <c r="Y321" s="77">
        <v>0</v>
      </c>
      <c r="Z321" s="77">
        <v>1049.07275</v>
      </c>
      <c r="AA321" s="77">
        <v>0</v>
      </c>
      <c r="AB321" s="82">
        <f t="shared" si="355"/>
        <v>1049.07275</v>
      </c>
      <c r="AC321" s="84">
        <f t="shared" si="370"/>
        <v>2093.7669166666674</v>
      </c>
      <c r="AD321" s="39">
        <v>3000</v>
      </c>
      <c r="AE321" s="40">
        <f t="shared" si="371"/>
        <v>10346.396791666661</v>
      </c>
      <c r="AF321" s="1">
        <f t="shared" si="372"/>
        <v>13.200000000000001</v>
      </c>
      <c r="AG321" s="1">
        <f t="shared" si="373"/>
        <v>18</v>
      </c>
      <c r="AH321" s="41">
        <f t="shared" si="374"/>
        <v>16.921057104417038</v>
      </c>
      <c r="AJ321">
        <v>1.1000000000000001</v>
      </c>
      <c r="AK321">
        <v>1.5</v>
      </c>
      <c r="AL321" s="32">
        <f t="shared" si="375"/>
        <v>13346.396791666661</v>
      </c>
      <c r="AM321" s="4">
        <f t="shared" si="376"/>
        <v>0.22477976991311738</v>
      </c>
      <c r="AN321" s="4">
        <f t="shared" si="377"/>
        <v>0.77522023008688257</v>
      </c>
    </row>
    <row r="322" spans="1:40" ht="14.25" hidden="1" customHeight="1" x14ac:dyDescent="0.3">
      <c r="A322" s="84"/>
      <c r="C322" s="1">
        <f>+Precios!A322</f>
        <v>2026</v>
      </c>
      <c r="D322" s="52">
        <f>+Precios!B322</f>
        <v>46204</v>
      </c>
      <c r="E322" s="1">
        <v>6</v>
      </c>
      <c r="F322" s="1" t="str">
        <f>+Precios!C322</f>
        <v>sáb</v>
      </c>
      <c r="G322" s="5">
        <f>+Precios!D322</f>
        <v>46228</v>
      </c>
      <c r="H322" s="77">
        <v>4944.19625</v>
      </c>
      <c r="I322" s="77">
        <v>0</v>
      </c>
      <c r="J322" s="77">
        <v>0.23250000000000004</v>
      </c>
      <c r="K322" s="77"/>
      <c r="L322" s="77">
        <v>65</v>
      </c>
      <c r="M322" s="81">
        <f t="shared" si="353"/>
        <v>5009.42875</v>
      </c>
      <c r="N322" s="2">
        <v>13376.194999999996</v>
      </c>
      <c r="O322" s="2">
        <v>1504.6570000000002</v>
      </c>
      <c r="P322" s="2">
        <v>221.63</v>
      </c>
      <c r="Q322" s="2"/>
      <c r="R322" s="77">
        <v>0</v>
      </c>
      <c r="S322" s="81">
        <f t="shared" si="343"/>
        <v>15102.481999999995</v>
      </c>
      <c r="T322" s="77">
        <v>700</v>
      </c>
      <c r="U322" s="77">
        <v>184.80291666666668</v>
      </c>
      <c r="V322" s="77">
        <v>133.26691666666673</v>
      </c>
      <c r="W322" s="77">
        <v>1544.0333333333347</v>
      </c>
      <c r="X322" s="82">
        <f t="shared" si="354"/>
        <v>2562.1031666666681</v>
      </c>
      <c r="Y322" s="77">
        <v>0</v>
      </c>
      <c r="Z322" s="77">
        <v>1049.0204166666667</v>
      </c>
      <c r="AA322" s="77">
        <v>0</v>
      </c>
      <c r="AB322" s="82">
        <f t="shared" si="355"/>
        <v>1049.0204166666667</v>
      </c>
      <c r="AC322" s="84">
        <f t="shared" si="370"/>
        <v>2377.3002500000011</v>
      </c>
      <c r="AD322" s="39">
        <v>3000</v>
      </c>
      <c r="AE322" s="40">
        <f t="shared" si="371"/>
        <v>10376.194999999996</v>
      </c>
      <c r="AF322" s="1">
        <f t="shared" si="372"/>
        <v>13.200000000000001</v>
      </c>
      <c r="AG322" s="1">
        <f t="shared" si="373"/>
        <v>18</v>
      </c>
      <c r="AH322" s="41">
        <f t="shared" si="374"/>
        <v>16.923460670242921</v>
      </c>
      <c r="AJ322">
        <v>1.1000000000000001</v>
      </c>
      <c r="AK322">
        <v>1.5</v>
      </c>
      <c r="AL322" s="32">
        <f t="shared" si="375"/>
        <v>13376.194999999996</v>
      </c>
      <c r="AM322" s="4">
        <f t="shared" si="376"/>
        <v>0.22427902703272498</v>
      </c>
      <c r="AN322" s="4">
        <f t="shared" si="377"/>
        <v>0.77572097296727505</v>
      </c>
    </row>
    <row r="323" spans="1:40" ht="14.25" hidden="1" customHeight="1" x14ac:dyDescent="0.3">
      <c r="A323" s="84"/>
      <c r="C323" s="1">
        <f>+Precios!A323</f>
        <v>2026</v>
      </c>
      <c r="D323" s="52">
        <f>+Precios!B323</f>
        <v>46204</v>
      </c>
      <c r="E323" s="1">
        <v>4</v>
      </c>
      <c r="F323" s="1" t="str">
        <f>+Precios!C323</f>
        <v>dom</v>
      </c>
      <c r="G323" s="5">
        <f>+Precios!D323</f>
        <v>46229</v>
      </c>
      <c r="H323" s="77">
        <v>4466.1166666666713</v>
      </c>
      <c r="I323" s="77">
        <v>0</v>
      </c>
      <c r="J323" s="77">
        <v>0.26624999999999993</v>
      </c>
      <c r="K323" s="77"/>
      <c r="L323" s="77">
        <v>65</v>
      </c>
      <c r="M323" s="81">
        <f t="shared" si="353"/>
        <v>4531.382916666671</v>
      </c>
      <c r="N323" s="2">
        <v>13342.50312499999</v>
      </c>
      <c r="O323" s="2">
        <v>1504.6570000000002</v>
      </c>
      <c r="P323" s="2">
        <v>223.63</v>
      </c>
      <c r="Q323" s="2"/>
      <c r="R323" s="77">
        <v>0</v>
      </c>
      <c r="S323" s="81">
        <f t="shared" ref="S323:S334" si="378">SUM(N323:R323)</f>
        <v>15070.79012499999</v>
      </c>
      <c r="T323" s="77">
        <v>700</v>
      </c>
      <c r="U323" s="77">
        <v>261.68375000000003</v>
      </c>
      <c r="V323" s="77">
        <v>123.03877083333347</v>
      </c>
      <c r="W323" s="77">
        <v>968.35416666666856</v>
      </c>
      <c r="X323" s="82">
        <f t="shared" si="354"/>
        <v>2053.0766875000018</v>
      </c>
      <c r="Y323" s="77">
        <v>0</v>
      </c>
      <c r="Z323" s="77">
        <v>1049.0377916666669</v>
      </c>
      <c r="AA323" s="77">
        <v>0</v>
      </c>
      <c r="AB323" s="82">
        <f t="shared" si="355"/>
        <v>1049.0377916666669</v>
      </c>
      <c r="AC323" s="84">
        <f t="shared" ref="AC323:AC328" si="379">+T323+V323+W323</f>
        <v>1791.3929375000021</v>
      </c>
      <c r="AD323" s="39">
        <v>3000</v>
      </c>
      <c r="AE323" s="40">
        <f t="shared" ref="AE323:AE328" si="380">+N323-AD323</f>
        <v>10342.50312499999</v>
      </c>
      <c r="AF323" s="1">
        <f t="shared" ref="AF323:AF328" si="381">12*AJ323</f>
        <v>13.200000000000001</v>
      </c>
      <c r="AG323" s="1">
        <f t="shared" ref="AG323:AG328" si="382">12*AK323</f>
        <v>18</v>
      </c>
      <c r="AH323" s="41">
        <f t="shared" ref="AH323:AH328" si="383">+(AD323*AF323+AG323*AE323)/SUM(AD323:AE323)</f>
        <v>16.920742242659209</v>
      </c>
      <c r="AJ323">
        <v>1.1000000000000001</v>
      </c>
      <c r="AK323">
        <v>1.5</v>
      </c>
      <c r="AL323" s="32">
        <f t="shared" ref="AL323:AL328" si="384">+AD323+AE323</f>
        <v>13342.50312499999</v>
      </c>
      <c r="AM323" s="4">
        <f t="shared" ref="AM323:AM328" si="385">+AD323/AL323</f>
        <v>0.22484536611266503</v>
      </c>
      <c r="AN323" s="4">
        <f t="shared" ref="AN323:AN328" si="386">+AE323/AL323</f>
        <v>0.77515463388733497</v>
      </c>
    </row>
    <row r="324" spans="1:40" ht="14.25" hidden="1" customHeight="1" x14ac:dyDescent="0.3">
      <c r="A324" s="84"/>
      <c r="C324" s="1">
        <f>+Precios!A324</f>
        <v>2026</v>
      </c>
      <c r="D324" s="52">
        <f>+Precios!B324</f>
        <v>46204</v>
      </c>
      <c r="E324" s="1">
        <v>16</v>
      </c>
      <c r="F324" s="1" t="str">
        <f>+Precios!C324</f>
        <v>lun</v>
      </c>
      <c r="G324" s="5">
        <f>+Precios!D324</f>
        <v>46230</v>
      </c>
      <c r="H324" s="77">
        <v>4909.9441666666644</v>
      </c>
      <c r="I324" s="77">
        <v>46.352083333333333</v>
      </c>
      <c r="J324" s="77">
        <v>31.50708333333333</v>
      </c>
      <c r="K324" s="77"/>
      <c r="L324" s="77">
        <v>65</v>
      </c>
      <c r="M324" s="81">
        <f t="shared" si="353"/>
        <v>5052.8033333333306</v>
      </c>
      <c r="N324" s="2">
        <v>13258.732999999997</v>
      </c>
      <c r="O324" s="2">
        <v>1505.3920000000003</v>
      </c>
      <c r="P324" s="2">
        <v>259.00791666666669</v>
      </c>
      <c r="Q324" s="2"/>
      <c r="R324" s="77">
        <v>0</v>
      </c>
      <c r="S324" s="81">
        <f t="shared" si="378"/>
        <v>15023.132916666664</v>
      </c>
      <c r="T324" s="77">
        <v>700</v>
      </c>
      <c r="U324" s="77">
        <v>207.32708333333335</v>
      </c>
      <c r="V324" s="77">
        <v>171.68064583333361</v>
      </c>
      <c r="W324" s="77">
        <v>1296.0254166666653</v>
      </c>
      <c r="X324" s="82">
        <f t="shared" si="354"/>
        <v>2375.0331458333321</v>
      </c>
      <c r="Y324" s="77">
        <v>0</v>
      </c>
      <c r="Z324" s="77">
        <v>1049.1198750000001</v>
      </c>
      <c r="AA324" s="77">
        <v>0</v>
      </c>
      <c r="AB324" s="82">
        <f t="shared" si="355"/>
        <v>1049.1198750000001</v>
      </c>
      <c r="AC324" s="84">
        <f t="shared" si="379"/>
        <v>2167.706062499999</v>
      </c>
      <c r="AD324" s="39">
        <v>3000</v>
      </c>
      <c r="AE324" s="40">
        <f t="shared" si="380"/>
        <v>10258.732999999997</v>
      </c>
      <c r="AF324" s="1">
        <f t="shared" si="381"/>
        <v>13.200000000000001</v>
      </c>
      <c r="AG324" s="1">
        <f t="shared" si="382"/>
        <v>18</v>
      </c>
      <c r="AH324" s="41">
        <f t="shared" si="383"/>
        <v>16.91392337412632</v>
      </c>
      <c r="AJ324">
        <v>1.1000000000000001</v>
      </c>
      <c r="AK324">
        <v>1.5</v>
      </c>
      <c r="AL324" s="32">
        <f t="shared" si="384"/>
        <v>13258.732999999997</v>
      </c>
      <c r="AM324" s="4">
        <f t="shared" si="385"/>
        <v>0.22626596372368316</v>
      </c>
      <c r="AN324" s="4">
        <f t="shared" si="386"/>
        <v>0.77373403627631687</v>
      </c>
    </row>
    <row r="325" spans="1:40" ht="14.25" hidden="1" customHeight="1" x14ac:dyDescent="0.3">
      <c r="A325" s="84"/>
      <c r="C325" s="1">
        <f>+Precios!A325</f>
        <v>2026</v>
      </c>
      <c r="D325" s="52">
        <f>+Precios!B325</f>
        <v>46204</v>
      </c>
      <c r="E325" s="1">
        <v>16</v>
      </c>
      <c r="F325" s="1" t="str">
        <f>+Precios!C325</f>
        <v>mar</v>
      </c>
      <c r="G325" s="5">
        <f>+Precios!D325</f>
        <v>46231</v>
      </c>
      <c r="H325" s="77">
        <v>5698.4991666666619</v>
      </c>
      <c r="I325" s="77">
        <v>311.27249999999998</v>
      </c>
      <c r="J325" s="77">
        <v>61.933750000000003</v>
      </c>
      <c r="K325" s="77"/>
      <c r="L325" s="77">
        <v>65</v>
      </c>
      <c r="M325" s="81">
        <f t="shared" si="353"/>
        <v>6136.7054166666621</v>
      </c>
      <c r="N325" s="2">
        <v>13301.525874999998</v>
      </c>
      <c r="O325" s="2">
        <v>1506.8177916666668</v>
      </c>
      <c r="P325" s="2">
        <v>414.63000000000005</v>
      </c>
      <c r="Q325" s="2"/>
      <c r="R325" s="77">
        <v>0</v>
      </c>
      <c r="S325" s="81">
        <f t="shared" si="378"/>
        <v>15222.973666666663</v>
      </c>
      <c r="T325" s="77">
        <v>700</v>
      </c>
      <c r="U325" s="77">
        <v>250.07041666666669</v>
      </c>
      <c r="V325" s="77">
        <v>151.48572916666652</v>
      </c>
      <c r="W325" s="77">
        <v>765.79541666666762</v>
      </c>
      <c r="X325" s="82">
        <f t="shared" si="354"/>
        <v>1867.3515625000009</v>
      </c>
      <c r="Y325" s="77">
        <v>0</v>
      </c>
      <c r="Z325" s="77">
        <v>1049.1069166666668</v>
      </c>
      <c r="AA325" s="77">
        <v>0</v>
      </c>
      <c r="AB325" s="82">
        <f t="shared" si="355"/>
        <v>1049.1069166666668</v>
      </c>
      <c r="AC325" s="84">
        <f t="shared" si="379"/>
        <v>1617.281145833334</v>
      </c>
      <c r="AD325" s="39">
        <v>3000</v>
      </c>
      <c r="AE325" s="40">
        <f t="shared" si="380"/>
        <v>10301.525874999998</v>
      </c>
      <c r="AF325" s="1">
        <f t="shared" si="381"/>
        <v>13.200000000000001</v>
      </c>
      <c r="AG325" s="1">
        <f t="shared" si="382"/>
        <v>18</v>
      </c>
      <c r="AH325" s="41">
        <f t="shared" si="383"/>
        <v>16.917417435012883</v>
      </c>
      <c r="AJ325">
        <v>1.1000000000000001</v>
      </c>
      <c r="AK325">
        <v>1.5</v>
      </c>
      <c r="AL325" s="32">
        <f t="shared" si="384"/>
        <v>13301.525874999998</v>
      </c>
      <c r="AM325" s="4">
        <f t="shared" si="385"/>
        <v>0.22553803437231598</v>
      </c>
      <c r="AN325" s="4">
        <f t="shared" si="386"/>
        <v>0.77446196562768399</v>
      </c>
    </row>
    <row r="326" spans="1:40" ht="14.25" hidden="1" customHeight="1" x14ac:dyDescent="0.3">
      <c r="A326" s="84"/>
      <c r="C326" s="1">
        <f>+Precios!A326</f>
        <v>2026</v>
      </c>
      <c r="D326" s="52">
        <f>+Precios!B326</f>
        <v>46204</v>
      </c>
      <c r="E326" s="1">
        <v>16</v>
      </c>
      <c r="F326" s="1" t="str">
        <f>+Precios!C326</f>
        <v>mié</v>
      </c>
      <c r="G326" s="5">
        <f>+Precios!D326</f>
        <v>46232</v>
      </c>
      <c r="H326" s="77">
        <v>5966.3612499999936</v>
      </c>
      <c r="I326" s="77">
        <v>296.60458333333332</v>
      </c>
      <c r="J326" s="77">
        <v>82.149999999999991</v>
      </c>
      <c r="K326" s="77"/>
      <c r="L326" s="77">
        <v>65</v>
      </c>
      <c r="M326" s="81">
        <f t="shared" si="353"/>
        <v>6410.1158333333269</v>
      </c>
      <c r="N326" s="2">
        <v>13438.216874999996</v>
      </c>
      <c r="O326" s="2">
        <v>1512.4190833333332</v>
      </c>
      <c r="P326" s="2">
        <v>414.63000000000005</v>
      </c>
      <c r="Q326" s="2"/>
      <c r="R326" s="77">
        <v>0</v>
      </c>
      <c r="S326" s="81">
        <f t="shared" si="378"/>
        <v>15365.265958333328</v>
      </c>
      <c r="T326" s="77">
        <v>700</v>
      </c>
      <c r="U326" s="77">
        <v>277.66374999999999</v>
      </c>
      <c r="V326" s="77">
        <v>173.40964583333334</v>
      </c>
      <c r="W326" s="77">
        <v>507.47916666666663</v>
      </c>
      <c r="X326" s="82">
        <f t="shared" si="354"/>
        <v>1658.5525625</v>
      </c>
      <c r="Y326" s="77">
        <v>0</v>
      </c>
      <c r="Z326" s="77">
        <v>1049.0807916666668</v>
      </c>
      <c r="AA326" s="77">
        <v>0</v>
      </c>
      <c r="AB326" s="82">
        <f t="shared" si="355"/>
        <v>1049.0807916666668</v>
      </c>
      <c r="AC326" s="84">
        <f t="shared" si="379"/>
        <v>1380.8888124999999</v>
      </c>
      <c r="AD326" s="39">
        <v>3000</v>
      </c>
      <c r="AE326" s="40">
        <f t="shared" si="380"/>
        <v>10438.216874999996</v>
      </c>
      <c r="AF326" s="1">
        <f t="shared" si="381"/>
        <v>13.200000000000001</v>
      </c>
      <c r="AG326" s="1">
        <f t="shared" si="382"/>
        <v>18</v>
      </c>
      <c r="AH326" s="41">
        <f t="shared" si="383"/>
        <v>16.928429260076218</v>
      </c>
      <c r="AJ326">
        <v>1.1000000000000001</v>
      </c>
      <c r="AK326">
        <v>1.5</v>
      </c>
      <c r="AL326" s="32">
        <f t="shared" si="384"/>
        <v>13438.216874999996</v>
      </c>
      <c r="AM326" s="4">
        <f t="shared" si="385"/>
        <v>0.22324390415078793</v>
      </c>
      <c r="AN326" s="4">
        <f t="shared" si="386"/>
        <v>0.77675609584921212</v>
      </c>
    </row>
    <row r="327" spans="1:40" ht="14.25" hidden="1" customHeight="1" x14ac:dyDescent="0.3">
      <c r="A327" s="84"/>
      <c r="C327" s="1">
        <f>+Precios!A327</f>
        <v>2026</v>
      </c>
      <c r="D327" s="52">
        <f>+Precios!B327</f>
        <v>46204</v>
      </c>
      <c r="E327" s="1">
        <v>16</v>
      </c>
      <c r="F327" s="1" t="str">
        <f>+Precios!C327</f>
        <v>jue</v>
      </c>
      <c r="G327" s="5">
        <f>+Precios!D327</f>
        <v>46233</v>
      </c>
      <c r="H327" s="77">
        <v>4659.004583333327</v>
      </c>
      <c r="I327" s="77">
        <v>269.16249999999997</v>
      </c>
      <c r="J327" s="77">
        <v>60.932083333333338</v>
      </c>
      <c r="K327" s="77"/>
      <c r="L327" s="77">
        <v>65</v>
      </c>
      <c r="M327" s="81">
        <f t="shared" si="353"/>
        <v>5054.0991666666605</v>
      </c>
      <c r="N327" s="2">
        <v>13430.907124999992</v>
      </c>
      <c r="O327" s="2">
        <v>1509.5307916666666</v>
      </c>
      <c r="P327" s="2">
        <v>380.05250000000001</v>
      </c>
      <c r="Q327" s="2"/>
      <c r="R327" s="77">
        <v>0</v>
      </c>
      <c r="S327" s="81">
        <f t="shared" si="378"/>
        <v>15320.490416666658</v>
      </c>
      <c r="T327" s="77">
        <v>700</v>
      </c>
      <c r="U327" s="77">
        <v>206.74208333333331</v>
      </c>
      <c r="V327" s="77">
        <v>143.70722916666685</v>
      </c>
      <c r="W327" s="77">
        <v>1679.6970833333335</v>
      </c>
      <c r="X327" s="82">
        <f t="shared" si="354"/>
        <v>2730.1463958333334</v>
      </c>
      <c r="Y327" s="77">
        <v>0</v>
      </c>
      <c r="Z327" s="77">
        <v>1049.0671666666667</v>
      </c>
      <c r="AA327" s="77">
        <v>0</v>
      </c>
      <c r="AB327" s="82">
        <f t="shared" si="355"/>
        <v>1049.0671666666667</v>
      </c>
      <c r="AC327" s="84">
        <f t="shared" si="379"/>
        <v>2523.4043125000003</v>
      </c>
      <c r="AD327" s="39">
        <v>3000</v>
      </c>
      <c r="AE327" s="40">
        <f t="shared" si="380"/>
        <v>10430.907124999992</v>
      </c>
      <c r="AF327" s="1">
        <f t="shared" si="381"/>
        <v>13.200000000000001</v>
      </c>
      <c r="AG327" s="1">
        <f t="shared" si="382"/>
        <v>18</v>
      </c>
      <c r="AH327" s="41">
        <f t="shared" si="383"/>
        <v>16.927846059392657</v>
      </c>
      <c r="AJ327">
        <v>1.1000000000000001</v>
      </c>
      <c r="AK327">
        <v>1.5</v>
      </c>
      <c r="AL327" s="32">
        <f t="shared" si="384"/>
        <v>13430.907124999992</v>
      </c>
      <c r="AM327" s="4">
        <f t="shared" si="385"/>
        <v>0.22336540429319673</v>
      </c>
      <c r="AN327" s="4">
        <f t="shared" si="386"/>
        <v>0.77663459570680327</v>
      </c>
    </row>
    <row r="328" spans="1:40" ht="14.25" hidden="1" customHeight="1" x14ac:dyDescent="0.3">
      <c r="A328" s="84"/>
      <c r="C328" s="1">
        <f>+Precios!A328</f>
        <v>2026</v>
      </c>
      <c r="D328" s="52">
        <f>+Precios!B328</f>
        <v>46204</v>
      </c>
      <c r="E328" s="1">
        <v>16</v>
      </c>
      <c r="F328" s="1" t="str">
        <f>+Precios!C328</f>
        <v>vie</v>
      </c>
      <c r="G328" s="5">
        <f>+Precios!D328</f>
        <v>46234</v>
      </c>
      <c r="H328" s="77">
        <v>4005.9345833333309</v>
      </c>
      <c r="I328" s="77">
        <v>6.947916666666667</v>
      </c>
      <c r="J328" s="77">
        <v>78.071250000000049</v>
      </c>
      <c r="K328" s="77"/>
      <c r="L328" s="77">
        <v>65</v>
      </c>
      <c r="M328" s="81">
        <f t="shared" si="353"/>
        <v>4155.9537499999969</v>
      </c>
      <c r="N328" s="2">
        <v>13402.464499999991</v>
      </c>
      <c r="O328" s="2">
        <v>1499.8019999999999</v>
      </c>
      <c r="P328" s="2">
        <v>457.159875</v>
      </c>
      <c r="Q328" s="2"/>
      <c r="R328" s="77">
        <v>0</v>
      </c>
      <c r="S328" s="81">
        <f t="shared" si="378"/>
        <v>15359.42637499999</v>
      </c>
      <c r="T328" s="77">
        <v>700</v>
      </c>
      <c r="U328" s="77">
        <v>253.97375000000008</v>
      </c>
      <c r="V328" s="77">
        <v>157.21689583333321</v>
      </c>
      <c r="W328" s="77">
        <v>1583.8941666666678</v>
      </c>
      <c r="X328" s="82">
        <f t="shared" si="354"/>
        <v>2695.0848125000011</v>
      </c>
      <c r="Y328" s="77">
        <v>0</v>
      </c>
      <c r="Z328" s="77">
        <v>1048.1023333333335</v>
      </c>
      <c r="AA328" s="77">
        <v>0</v>
      </c>
      <c r="AB328" s="82">
        <f t="shared" si="355"/>
        <v>1048.1023333333335</v>
      </c>
      <c r="AC328" s="84">
        <f t="shared" si="379"/>
        <v>2441.111062500001</v>
      </c>
      <c r="AD328" s="39">
        <v>3000</v>
      </c>
      <c r="AE328" s="40">
        <f t="shared" si="380"/>
        <v>10402.464499999991</v>
      </c>
      <c r="AF328" s="1">
        <f t="shared" si="381"/>
        <v>13.200000000000001</v>
      </c>
      <c r="AG328" s="1">
        <f t="shared" si="382"/>
        <v>18</v>
      </c>
      <c r="AH328" s="41">
        <f t="shared" si="383"/>
        <v>16.925570741112576</v>
      </c>
      <c r="AJ328">
        <v>1.1000000000000001</v>
      </c>
      <c r="AK328">
        <v>1.5</v>
      </c>
      <c r="AL328" s="32">
        <f t="shared" si="384"/>
        <v>13402.464499999991</v>
      </c>
      <c r="AM328" s="4">
        <f t="shared" si="385"/>
        <v>0.22383942893488001</v>
      </c>
      <c r="AN328" s="4">
        <f t="shared" si="386"/>
        <v>0.77616057106512004</v>
      </c>
    </row>
    <row r="329" spans="1:40" ht="14.25" customHeight="1" x14ac:dyDescent="0.3">
      <c r="A329" s="84"/>
      <c r="C329" s="1">
        <f>+Precios!A329</f>
        <v>2026</v>
      </c>
      <c r="D329" s="52">
        <f>+Precios!B329</f>
        <v>46235</v>
      </c>
      <c r="E329" s="1">
        <v>6</v>
      </c>
      <c r="F329" s="1" t="str">
        <f>+Precios!C329</f>
        <v>sáb</v>
      </c>
      <c r="G329" s="5">
        <f>+Precios!D329</f>
        <v>46235</v>
      </c>
      <c r="H329" s="77">
        <v>3890.8049999999939</v>
      </c>
      <c r="I329" s="77">
        <v>0</v>
      </c>
      <c r="J329" s="77">
        <v>79.301249999999996</v>
      </c>
      <c r="K329" s="77"/>
      <c r="L329" s="77">
        <v>90</v>
      </c>
      <c r="M329" s="81">
        <f t="shared" si="353"/>
        <v>4060.1062499999939</v>
      </c>
      <c r="N329" s="2">
        <v>13135.019208333333</v>
      </c>
      <c r="O329" s="2">
        <v>997.30199999999991</v>
      </c>
      <c r="P329" s="2">
        <v>462.63000000000005</v>
      </c>
      <c r="Q329" s="2"/>
      <c r="R329" s="77">
        <v>0</v>
      </c>
      <c r="S329" s="81">
        <f t="shared" si="378"/>
        <v>14594.951208333332</v>
      </c>
      <c r="T329" s="77">
        <v>700</v>
      </c>
      <c r="U329" s="77">
        <v>278.40374999999989</v>
      </c>
      <c r="V329" s="77">
        <v>131.00954166666645</v>
      </c>
      <c r="W329" s="77">
        <v>1272.3162500000003</v>
      </c>
      <c r="X329" s="82">
        <f t="shared" si="354"/>
        <v>2381.7295416666666</v>
      </c>
      <c r="Y329" s="77">
        <v>0</v>
      </c>
      <c r="Z329" s="77">
        <v>1237.4516249999999</v>
      </c>
      <c r="AA329" s="77">
        <v>0</v>
      </c>
      <c r="AB329" s="82">
        <f t="shared" si="355"/>
        <v>1237.4516249999999</v>
      </c>
      <c r="AC329" s="84">
        <f t="shared" ref="AC329:AC336" si="387">+T329+V329+W329</f>
        <v>2103.3257916666666</v>
      </c>
      <c r="AD329" s="39">
        <v>3000</v>
      </c>
      <c r="AE329" s="40">
        <f t="shared" ref="AE329:AE336" si="388">+N329-AD329</f>
        <v>10135.019208333333</v>
      </c>
      <c r="AF329" s="1">
        <f t="shared" ref="AF329:AF336" si="389">12*AJ329</f>
        <v>13.200000000000001</v>
      </c>
      <c r="AG329" s="1">
        <f t="shared" ref="AG329:AG336" si="390">12*AK329</f>
        <v>18</v>
      </c>
      <c r="AH329" s="41">
        <f t="shared" ref="AH329:AH336" si="391">+(AD329*AF329+AG329*AE329)/SUM(AD329:AE329)</f>
        <v>16.903694028032778</v>
      </c>
      <c r="AJ329">
        <v>1.1000000000000001</v>
      </c>
      <c r="AK329">
        <v>1.5</v>
      </c>
      <c r="AL329" s="32">
        <f t="shared" ref="AL329:AL336" si="392">+AD329+AE329</f>
        <v>13135.019208333333</v>
      </c>
      <c r="AM329" s="4">
        <f t="shared" ref="AM329:AM336" si="393">+AD329/AL329</f>
        <v>0.22839707749317115</v>
      </c>
      <c r="AN329" s="4">
        <f t="shared" ref="AN329:AN336" si="394">+AE329/AL329</f>
        <v>0.77160292250682883</v>
      </c>
    </row>
    <row r="330" spans="1:40" ht="14.25" customHeight="1" x14ac:dyDescent="0.3">
      <c r="A330" s="84"/>
      <c r="C330" s="1">
        <f>+Precios!A330</f>
        <v>2026</v>
      </c>
      <c r="D330" s="52">
        <f>+Precios!B330</f>
        <v>46235</v>
      </c>
      <c r="E330" s="1">
        <v>4</v>
      </c>
      <c r="F330" s="1" t="str">
        <f>+Precios!C330</f>
        <v>dom</v>
      </c>
      <c r="G330" s="5">
        <f>+Precios!D330</f>
        <v>46236</v>
      </c>
      <c r="H330" s="77">
        <v>3522.9133333333357</v>
      </c>
      <c r="I330" s="77">
        <v>0</v>
      </c>
      <c r="J330" s="77">
        <v>53.824166666666663</v>
      </c>
      <c r="K330" s="77"/>
      <c r="L330" s="77">
        <v>90</v>
      </c>
      <c r="M330" s="81">
        <f t="shared" si="353"/>
        <v>3666.7375000000025</v>
      </c>
      <c r="N330" s="2">
        <v>13398.587166666663</v>
      </c>
      <c r="O330" s="2">
        <v>997.30199999999991</v>
      </c>
      <c r="P330" s="2">
        <v>462.63000000000005</v>
      </c>
      <c r="Q330" s="2"/>
      <c r="R330" s="77">
        <v>0</v>
      </c>
      <c r="S330" s="81">
        <f t="shared" si="378"/>
        <v>14858.519166666661</v>
      </c>
      <c r="T330" s="77">
        <v>700</v>
      </c>
      <c r="U330" s="77">
        <v>189.82208333333332</v>
      </c>
      <c r="V330" s="77">
        <v>139.97800000000001</v>
      </c>
      <c r="W330" s="77">
        <v>1739.4058333333289</v>
      </c>
      <c r="X330" s="82">
        <f t="shared" si="354"/>
        <v>2769.2059166666622</v>
      </c>
      <c r="Y330" s="77">
        <v>0</v>
      </c>
      <c r="Z330" s="77">
        <v>1243.7634166666667</v>
      </c>
      <c r="AA330" s="77">
        <v>0</v>
      </c>
      <c r="AB330" s="82">
        <f t="shared" si="355"/>
        <v>1243.7634166666667</v>
      </c>
      <c r="AC330" s="84">
        <f t="shared" si="387"/>
        <v>2579.3838333333288</v>
      </c>
      <c r="AD330" s="39">
        <v>3000</v>
      </c>
      <c r="AE330" s="40">
        <f t="shared" si="388"/>
        <v>10398.587166666663</v>
      </c>
      <c r="AF330" s="1">
        <f t="shared" si="389"/>
        <v>13.200000000000001</v>
      </c>
      <c r="AG330" s="1">
        <f t="shared" si="390"/>
        <v>18</v>
      </c>
      <c r="AH330" s="41">
        <f t="shared" si="391"/>
        <v>16.925259818749794</v>
      </c>
      <c r="AJ330">
        <v>1.1000000000000001</v>
      </c>
      <c r="AK330">
        <v>1.5</v>
      </c>
      <c r="AL330" s="32">
        <f t="shared" si="392"/>
        <v>13398.587166666663</v>
      </c>
      <c r="AM330" s="4">
        <f t="shared" si="393"/>
        <v>0.22390420442712605</v>
      </c>
      <c r="AN330" s="4">
        <f t="shared" si="394"/>
        <v>0.776095795572874</v>
      </c>
    </row>
    <row r="331" spans="1:40" ht="14.25" customHeight="1" x14ac:dyDescent="0.3">
      <c r="A331" s="84"/>
      <c r="C331" s="1">
        <f>+Precios!A331</f>
        <v>2026</v>
      </c>
      <c r="D331" s="52">
        <f>+Precios!B331</f>
        <v>46235</v>
      </c>
      <c r="E331" s="1">
        <v>16</v>
      </c>
      <c r="F331" s="1" t="str">
        <f>+Precios!C331</f>
        <v>lun</v>
      </c>
      <c r="G331" s="5">
        <f>+Precios!D331</f>
        <v>46237</v>
      </c>
      <c r="H331" s="77">
        <v>4571.0133333333324</v>
      </c>
      <c r="I331" s="77">
        <v>0</v>
      </c>
      <c r="J331" s="77">
        <v>75.508750000000006</v>
      </c>
      <c r="K331" s="77"/>
      <c r="L331" s="77">
        <v>90</v>
      </c>
      <c r="M331" s="81">
        <f t="shared" si="353"/>
        <v>4736.5220833333324</v>
      </c>
      <c r="N331" s="2">
        <v>13375.159166666663</v>
      </c>
      <c r="O331" s="2">
        <v>997.30199999999991</v>
      </c>
      <c r="P331" s="2">
        <v>452.05500000000001</v>
      </c>
      <c r="Q331" s="2"/>
      <c r="R331" s="77">
        <v>0</v>
      </c>
      <c r="S331" s="81">
        <f t="shared" si="378"/>
        <v>14824.516166666663</v>
      </c>
      <c r="T331" s="77">
        <v>700</v>
      </c>
      <c r="U331" s="77">
        <v>192.14874999999998</v>
      </c>
      <c r="V331" s="77">
        <v>211.0704375000002</v>
      </c>
      <c r="W331" s="77">
        <v>948.19875000000025</v>
      </c>
      <c r="X331" s="82">
        <f t="shared" si="354"/>
        <v>2051.4179375000003</v>
      </c>
      <c r="Y331" s="77">
        <v>0</v>
      </c>
      <c r="Z331" s="77">
        <v>1244.8325416666667</v>
      </c>
      <c r="AA331" s="77">
        <v>0</v>
      </c>
      <c r="AB331" s="82">
        <f t="shared" si="355"/>
        <v>1244.8325416666667</v>
      </c>
      <c r="AC331" s="84">
        <f t="shared" si="387"/>
        <v>1859.2691875000005</v>
      </c>
      <c r="AD331" s="39">
        <v>3000</v>
      </c>
      <c r="AE331" s="40">
        <f t="shared" si="388"/>
        <v>10375.159166666663</v>
      </c>
      <c r="AF331" s="1">
        <f t="shared" si="389"/>
        <v>13.200000000000001</v>
      </c>
      <c r="AG331" s="1">
        <f t="shared" si="390"/>
        <v>18</v>
      </c>
      <c r="AH331" s="41">
        <f t="shared" si="391"/>
        <v>16.923377298126859</v>
      </c>
      <c r="AJ331">
        <v>1.1000000000000001</v>
      </c>
      <c r="AK331">
        <v>1.5</v>
      </c>
      <c r="AL331" s="32">
        <f t="shared" si="392"/>
        <v>13375.159166666663</v>
      </c>
      <c r="AM331" s="4">
        <f t="shared" si="393"/>
        <v>0.22429639622357148</v>
      </c>
      <c r="AN331" s="4">
        <f t="shared" si="394"/>
        <v>0.77570360377642855</v>
      </c>
    </row>
    <row r="332" spans="1:40" ht="14.25" customHeight="1" x14ac:dyDescent="0.3">
      <c r="A332" s="84"/>
      <c r="C332" s="1">
        <f>+Precios!A332</f>
        <v>2026</v>
      </c>
      <c r="D332" s="52">
        <f>+Precios!B332</f>
        <v>46235</v>
      </c>
      <c r="E332" s="1">
        <v>16</v>
      </c>
      <c r="F332" s="1" t="str">
        <f>+Precios!C332</f>
        <v>mar</v>
      </c>
      <c r="G332" s="5">
        <f>+Precios!D332</f>
        <v>46238</v>
      </c>
      <c r="H332" s="77">
        <v>5188.3004166666651</v>
      </c>
      <c r="I332" s="77">
        <v>0</v>
      </c>
      <c r="J332" s="77">
        <v>42.627083333333331</v>
      </c>
      <c r="K332" s="77"/>
      <c r="L332" s="77">
        <v>90</v>
      </c>
      <c r="M332" s="81">
        <f t="shared" si="353"/>
        <v>5320.9274999999989</v>
      </c>
      <c r="N332" s="2">
        <v>13358.150999999998</v>
      </c>
      <c r="O332" s="2">
        <v>997.30199999999991</v>
      </c>
      <c r="P332" s="2">
        <v>462.63000000000005</v>
      </c>
      <c r="Q332" s="2"/>
      <c r="R332" s="77">
        <v>0</v>
      </c>
      <c r="S332" s="81">
        <f t="shared" si="378"/>
        <v>14818.082999999997</v>
      </c>
      <c r="T332" s="77">
        <v>700</v>
      </c>
      <c r="U332" s="77">
        <v>188.95291666666671</v>
      </c>
      <c r="V332" s="77">
        <v>183.55054166666673</v>
      </c>
      <c r="W332" s="77">
        <v>939.96958333333328</v>
      </c>
      <c r="X332" s="82">
        <f t="shared" si="354"/>
        <v>2012.4730416666669</v>
      </c>
      <c r="Y332" s="77">
        <v>0</v>
      </c>
      <c r="Z332" s="77">
        <v>1242.3754583333334</v>
      </c>
      <c r="AA332" s="77">
        <v>0</v>
      </c>
      <c r="AB332" s="82">
        <f t="shared" si="355"/>
        <v>1242.3754583333334</v>
      </c>
      <c r="AC332" s="84">
        <f t="shared" si="387"/>
        <v>1823.520125</v>
      </c>
      <c r="AD332" s="39">
        <v>3000</v>
      </c>
      <c r="AE332" s="40">
        <f t="shared" si="388"/>
        <v>10358.150999999998</v>
      </c>
      <c r="AF332" s="1">
        <f t="shared" si="389"/>
        <v>13.200000000000001</v>
      </c>
      <c r="AG332" s="1">
        <f t="shared" si="390"/>
        <v>18</v>
      </c>
      <c r="AH332" s="41">
        <f t="shared" si="391"/>
        <v>16.922006496258351</v>
      </c>
      <c r="AJ332">
        <v>1.1000000000000001</v>
      </c>
      <c r="AK332">
        <v>1.5</v>
      </c>
      <c r="AL332" s="32">
        <f t="shared" si="392"/>
        <v>13358.150999999998</v>
      </c>
      <c r="AM332" s="4">
        <f t="shared" si="393"/>
        <v>0.22458197994617671</v>
      </c>
      <c r="AN332" s="4">
        <f t="shared" si="394"/>
        <v>0.77541802005382332</v>
      </c>
    </row>
    <row r="333" spans="1:40" ht="14.25" customHeight="1" x14ac:dyDescent="0.3">
      <c r="A333" s="84"/>
      <c r="C333" s="1">
        <f>+Precios!A333</f>
        <v>2026</v>
      </c>
      <c r="D333" s="52">
        <f>+Precios!B333</f>
        <v>46235</v>
      </c>
      <c r="E333" s="1">
        <v>16</v>
      </c>
      <c r="F333" s="1" t="str">
        <f>+Precios!C333</f>
        <v>mié</v>
      </c>
      <c r="G333" s="5">
        <f>+Precios!D333</f>
        <v>46239</v>
      </c>
      <c r="H333" s="77">
        <v>5028.0279166666623</v>
      </c>
      <c r="I333" s="77">
        <v>30.097083333333334</v>
      </c>
      <c r="J333" s="77">
        <v>94.744583333333324</v>
      </c>
      <c r="K333" s="77"/>
      <c r="L333" s="77">
        <v>90</v>
      </c>
      <c r="M333" s="81">
        <f t="shared" si="353"/>
        <v>5242.8695833333286</v>
      </c>
      <c r="N333" s="2">
        <v>13371.676541666659</v>
      </c>
      <c r="O333" s="2">
        <v>998.12699999999995</v>
      </c>
      <c r="P333" s="2">
        <v>462.63000000000005</v>
      </c>
      <c r="Q333" s="2"/>
      <c r="R333" s="77">
        <v>0</v>
      </c>
      <c r="S333" s="81">
        <f t="shared" si="378"/>
        <v>14832.433541666658</v>
      </c>
      <c r="T333" s="77">
        <v>700</v>
      </c>
      <c r="U333" s="77">
        <v>189.50458333333336</v>
      </c>
      <c r="V333" s="77">
        <v>207.30595833333336</v>
      </c>
      <c r="W333" s="77">
        <v>756.14958333333414</v>
      </c>
      <c r="X333" s="82">
        <f t="shared" si="354"/>
        <v>1852.960125000001</v>
      </c>
      <c r="Y333" s="77">
        <v>0</v>
      </c>
      <c r="Z333" s="77">
        <v>1242.4807499999999</v>
      </c>
      <c r="AA333" s="77">
        <v>0</v>
      </c>
      <c r="AB333" s="82">
        <f t="shared" si="355"/>
        <v>1242.4807499999999</v>
      </c>
      <c r="AC333" s="84">
        <f t="shared" si="387"/>
        <v>1663.4555416666676</v>
      </c>
      <c r="AD333" s="39">
        <v>3000</v>
      </c>
      <c r="AE333" s="40">
        <f t="shared" si="388"/>
        <v>10371.676541666659</v>
      </c>
      <c r="AF333" s="1">
        <f t="shared" si="389"/>
        <v>13.200000000000001</v>
      </c>
      <c r="AG333" s="1">
        <f t="shared" si="390"/>
        <v>18</v>
      </c>
      <c r="AH333" s="41">
        <f t="shared" si="391"/>
        <v>16.923096894011081</v>
      </c>
      <c r="AJ333">
        <v>1.1000000000000001</v>
      </c>
      <c r="AK333">
        <v>1.5</v>
      </c>
      <c r="AL333" s="32">
        <f t="shared" si="392"/>
        <v>13371.676541666659</v>
      </c>
      <c r="AM333" s="4">
        <f t="shared" si="393"/>
        <v>0.22435481374769159</v>
      </c>
      <c r="AN333" s="4">
        <f t="shared" si="394"/>
        <v>0.77564518625230838</v>
      </c>
    </row>
    <row r="334" spans="1:40" ht="14.25" customHeight="1" x14ac:dyDescent="0.3">
      <c r="A334" s="84"/>
      <c r="C334" s="1">
        <f>+Precios!A334</f>
        <v>2026</v>
      </c>
      <c r="D334" s="52">
        <f>+Precios!B334</f>
        <v>46235</v>
      </c>
      <c r="E334" s="1">
        <v>16</v>
      </c>
      <c r="F334" s="1" t="str">
        <f>+Precios!C334</f>
        <v>jue</v>
      </c>
      <c r="G334" s="5">
        <f>+Precios!D334</f>
        <v>46240</v>
      </c>
      <c r="H334" s="77">
        <v>4679.7683333333198</v>
      </c>
      <c r="I334" s="77">
        <v>78.530416666666653</v>
      </c>
      <c r="J334" s="77">
        <v>49.782083333333333</v>
      </c>
      <c r="K334" s="77"/>
      <c r="L334" s="77">
        <v>90</v>
      </c>
      <c r="M334" s="81">
        <f t="shared" si="353"/>
        <v>4898.0808333333198</v>
      </c>
      <c r="N334" s="2">
        <v>13327.280416666665</v>
      </c>
      <c r="O334" s="2">
        <v>945.93195833333334</v>
      </c>
      <c r="P334" s="2">
        <v>462.63000000000005</v>
      </c>
      <c r="Q334" s="2"/>
      <c r="R334" s="77">
        <v>0</v>
      </c>
      <c r="S334" s="81">
        <f t="shared" si="378"/>
        <v>14735.842374999997</v>
      </c>
      <c r="T334" s="77">
        <v>700</v>
      </c>
      <c r="U334" s="77">
        <v>190.16666666666666</v>
      </c>
      <c r="V334" s="77">
        <v>191.52727083333374</v>
      </c>
      <c r="W334" s="77">
        <v>1679.3158333333313</v>
      </c>
      <c r="X334" s="82">
        <f t="shared" si="354"/>
        <v>2761.0097708333315</v>
      </c>
      <c r="Y334" s="77">
        <v>0</v>
      </c>
      <c r="Z334" s="77">
        <v>1242.4391666666668</v>
      </c>
      <c r="AA334" s="77">
        <v>0</v>
      </c>
      <c r="AB334" s="82">
        <f t="shared" si="355"/>
        <v>1242.4391666666668</v>
      </c>
      <c r="AC334" s="84">
        <f t="shared" si="387"/>
        <v>2570.8431041666649</v>
      </c>
      <c r="AD334" s="39">
        <v>3000</v>
      </c>
      <c r="AE334" s="40">
        <f t="shared" si="388"/>
        <v>10327.280416666665</v>
      </c>
      <c r="AF334" s="1">
        <f t="shared" si="389"/>
        <v>13.200000000000001</v>
      </c>
      <c r="AG334" s="1">
        <f t="shared" si="390"/>
        <v>18</v>
      </c>
      <c r="AH334" s="41">
        <f t="shared" si="391"/>
        <v>16.919509491074276</v>
      </c>
      <c r="AJ334">
        <v>1.1000000000000001</v>
      </c>
      <c r="AK334">
        <v>1.5</v>
      </c>
      <c r="AL334" s="32">
        <f t="shared" si="392"/>
        <v>13327.280416666665</v>
      </c>
      <c r="AM334" s="4">
        <f t="shared" si="393"/>
        <v>0.22510218935952583</v>
      </c>
      <c r="AN334" s="4">
        <f t="shared" si="394"/>
        <v>0.77489781064047414</v>
      </c>
    </row>
    <row r="335" spans="1:40" ht="14.25" customHeight="1" x14ac:dyDescent="0.3">
      <c r="A335" s="84"/>
      <c r="C335" s="1">
        <f>+Precios!A335</f>
        <v>2026</v>
      </c>
      <c r="D335" s="52">
        <f>+Precios!B335</f>
        <v>46235</v>
      </c>
      <c r="E335" s="1">
        <v>16</v>
      </c>
      <c r="F335" s="1" t="str">
        <f>+Precios!C335</f>
        <v>vie</v>
      </c>
      <c r="G335" s="5">
        <f>+Precios!D335</f>
        <v>46241</v>
      </c>
      <c r="H335" s="77">
        <v>4216.9825000000046</v>
      </c>
      <c r="I335" s="77">
        <v>106.77583333333331</v>
      </c>
      <c r="J335" s="77">
        <v>78.249583333333348</v>
      </c>
      <c r="K335" s="77"/>
      <c r="L335" s="77">
        <v>90</v>
      </c>
      <c r="M335" s="81">
        <f t="shared" si="353"/>
        <v>4492.007916666671</v>
      </c>
      <c r="N335" s="2">
        <v>13429.768624999995</v>
      </c>
      <c r="O335" s="2">
        <v>998.25325000000021</v>
      </c>
      <c r="P335" s="2">
        <v>462.63000000000005</v>
      </c>
      <c r="Q335" s="2"/>
      <c r="R335" s="77">
        <v>0</v>
      </c>
      <c r="S335" s="81">
        <f t="shared" ref="S335:S344" si="395">SUM(N335:R335)</f>
        <v>14890.651874999994</v>
      </c>
      <c r="T335" s="77">
        <v>700</v>
      </c>
      <c r="U335" s="77">
        <v>187.40458333333336</v>
      </c>
      <c r="V335" s="77">
        <v>197.58095833333371</v>
      </c>
      <c r="W335" s="77">
        <v>1878.8137499999987</v>
      </c>
      <c r="X335" s="82">
        <f t="shared" si="354"/>
        <v>2963.7992916666658</v>
      </c>
      <c r="Y335" s="77">
        <v>0</v>
      </c>
      <c r="Z335" s="77">
        <v>1254.9171250000002</v>
      </c>
      <c r="AA335" s="77">
        <v>0</v>
      </c>
      <c r="AB335" s="82">
        <f t="shared" si="355"/>
        <v>1254.9171250000002</v>
      </c>
      <c r="AC335" s="84">
        <f t="shared" si="387"/>
        <v>2776.3947083333323</v>
      </c>
      <c r="AD335" s="39">
        <v>3000</v>
      </c>
      <c r="AE335" s="40">
        <f t="shared" si="388"/>
        <v>10429.768624999995</v>
      </c>
      <c r="AF335" s="1">
        <f t="shared" si="389"/>
        <v>13.200000000000001</v>
      </c>
      <c r="AG335" s="1">
        <f t="shared" si="390"/>
        <v>18</v>
      </c>
      <c r="AH335" s="41">
        <f t="shared" si="391"/>
        <v>16.927755168231723</v>
      </c>
      <c r="AJ335">
        <v>1.1000000000000001</v>
      </c>
      <c r="AK335">
        <v>1.5</v>
      </c>
      <c r="AL335" s="32">
        <f t="shared" si="392"/>
        <v>13429.768624999995</v>
      </c>
      <c r="AM335" s="4">
        <f t="shared" si="393"/>
        <v>0.2233843399517243</v>
      </c>
      <c r="AN335" s="4">
        <f t="shared" si="394"/>
        <v>0.77661566004827565</v>
      </c>
    </row>
    <row r="336" spans="1:40" ht="14.25" customHeight="1" x14ac:dyDescent="0.3">
      <c r="A336" s="84"/>
      <c r="C336" s="1">
        <f>+Precios!A336</f>
        <v>2026</v>
      </c>
      <c r="D336" s="52">
        <f>+Precios!B336</f>
        <v>46235</v>
      </c>
      <c r="E336" s="1">
        <v>6</v>
      </c>
      <c r="F336" s="1" t="str">
        <f>+Precios!C336</f>
        <v>sáb</v>
      </c>
      <c r="G336" s="5">
        <f>+Precios!D336</f>
        <v>46242</v>
      </c>
      <c r="H336" s="77">
        <v>3802.4558333333252</v>
      </c>
      <c r="I336" s="77">
        <v>120.29125000000001</v>
      </c>
      <c r="J336" s="77">
        <v>110.58416666666669</v>
      </c>
      <c r="K336" s="77"/>
      <c r="L336" s="77">
        <v>90</v>
      </c>
      <c r="M336" s="81">
        <f t="shared" si="353"/>
        <v>4123.331249999992</v>
      </c>
      <c r="N336" s="2">
        <v>13413.251749999998</v>
      </c>
      <c r="O336" s="2">
        <v>997.3860833333332</v>
      </c>
      <c r="P336" s="2">
        <v>462.63000000000005</v>
      </c>
      <c r="Q336" s="2"/>
      <c r="R336" s="77">
        <v>0</v>
      </c>
      <c r="S336" s="81">
        <f t="shared" si="395"/>
        <v>14873.26783333333</v>
      </c>
      <c r="T336" s="77">
        <v>700</v>
      </c>
      <c r="U336" s="77">
        <v>188.15583333333333</v>
      </c>
      <c r="V336" s="77">
        <v>179.710833333333</v>
      </c>
      <c r="W336" s="77">
        <v>2360.8766666666647</v>
      </c>
      <c r="X336" s="82">
        <f t="shared" si="354"/>
        <v>3428.7433333333311</v>
      </c>
      <c r="Y336" s="77">
        <v>0</v>
      </c>
      <c r="Z336" s="77">
        <v>1276.6000000000001</v>
      </c>
      <c r="AA336" s="77">
        <v>0</v>
      </c>
      <c r="AB336" s="82">
        <f t="shared" si="355"/>
        <v>1276.6000000000001</v>
      </c>
      <c r="AC336" s="84">
        <f t="shared" si="387"/>
        <v>3240.5874999999978</v>
      </c>
      <c r="AD336" s="39">
        <v>3000</v>
      </c>
      <c r="AE336" s="40">
        <f t="shared" si="388"/>
        <v>10413.251749999998</v>
      </c>
      <c r="AF336" s="1">
        <f t="shared" si="389"/>
        <v>13.200000000000001</v>
      </c>
      <c r="AG336" s="1">
        <f t="shared" si="390"/>
        <v>18</v>
      </c>
      <c r="AH336" s="41">
        <f t="shared" si="391"/>
        <v>16.926434822189929</v>
      </c>
      <c r="AJ336">
        <v>1.1000000000000001</v>
      </c>
      <c r="AK336">
        <v>1.5</v>
      </c>
      <c r="AL336" s="32">
        <f t="shared" si="392"/>
        <v>13413.251749999998</v>
      </c>
      <c r="AM336" s="4">
        <f t="shared" si="393"/>
        <v>0.22365941204376488</v>
      </c>
      <c r="AN336" s="4">
        <f t="shared" si="394"/>
        <v>0.77634058795623506</v>
      </c>
    </row>
    <row r="337" spans="1:40" ht="14.25" customHeight="1" x14ac:dyDescent="0.3">
      <c r="A337" s="84"/>
      <c r="C337" s="1">
        <f>+Precios!A337</f>
        <v>2026</v>
      </c>
      <c r="D337" s="52">
        <f>+Precios!B337</f>
        <v>46235</v>
      </c>
      <c r="E337" s="1">
        <v>4</v>
      </c>
      <c r="F337" s="1" t="str">
        <f>+Precios!C337</f>
        <v>dom</v>
      </c>
      <c r="G337" s="5">
        <f>+Precios!D337</f>
        <v>46243</v>
      </c>
      <c r="H337" s="77">
        <v>3813.9524999999912</v>
      </c>
      <c r="I337" s="77">
        <v>0</v>
      </c>
      <c r="J337" s="77">
        <v>82.336249999999993</v>
      </c>
      <c r="K337" s="77"/>
      <c r="L337" s="77">
        <v>90</v>
      </c>
      <c r="M337" s="81">
        <f t="shared" si="353"/>
        <v>3986.2887499999911</v>
      </c>
      <c r="N337" s="2">
        <v>13477.770124999994</v>
      </c>
      <c r="O337" s="2">
        <v>1013.7300000000002</v>
      </c>
      <c r="P337" s="2">
        <v>462.63000000000005</v>
      </c>
      <c r="Q337" s="2"/>
      <c r="R337" s="77">
        <v>0</v>
      </c>
      <c r="S337" s="81">
        <f t="shared" si="395"/>
        <v>14954.130124999992</v>
      </c>
      <c r="T337" s="77">
        <v>700</v>
      </c>
      <c r="U337" s="77">
        <v>188.97041666666664</v>
      </c>
      <c r="V337" s="77">
        <v>201.04997916666628</v>
      </c>
      <c r="W337" s="77">
        <v>1945.1341666666628</v>
      </c>
      <c r="X337" s="82">
        <f t="shared" si="354"/>
        <v>3035.1545624999958</v>
      </c>
      <c r="Y337" s="77">
        <v>0</v>
      </c>
      <c r="Z337" s="77">
        <v>1278.6000000000001</v>
      </c>
      <c r="AA337" s="77">
        <v>0</v>
      </c>
      <c r="AB337" s="82">
        <f t="shared" si="355"/>
        <v>1278.6000000000001</v>
      </c>
      <c r="AC337" s="84">
        <f t="shared" ref="AC337:AC344" si="396">+T337+V337+W337</f>
        <v>2846.1841458333292</v>
      </c>
      <c r="AD337" s="39">
        <v>3000</v>
      </c>
      <c r="AE337" s="40">
        <f t="shared" ref="AE337:AE344" si="397">+N337-AD337</f>
        <v>10477.770124999994</v>
      </c>
      <c r="AF337" s="1">
        <f t="shared" ref="AF337:AF344" si="398">12*AJ337</f>
        <v>13.200000000000001</v>
      </c>
      <c r="AG337" s="1">
        <f t="shared" ref="AG337:AG344" si="399">12*AK337</f>
        <v>18</v>
      </c>
      <c r="AH337" s="41">
        <f t="shared" ref="AH337:AH344" si="400">+(AD337*AF337+AG337*AE337)/SUM(AD337:AE337)</f>
        <v>16.931574001749045</v>
      </c>
      <c r="AJ337">
        <v>1.1000000000000001</v>
      </c>
      <c r="AK337">
        <v>1.5</v>
      </c>
      <c r="AL337" s="32">
        <f t="shared" ref="AL337:AL344" si="401">+AD337+AE337</f>
        <v>13477.770124999994</v>
      </c>
      <c r="AM337" s="4">
        <f t="shared" ref="AM337:AM344" si="402">+AD337/AL337</f>
        <v>0.22258874963561537</v>
      </c>
      <c r="AN337" s="4">
        <f t="shared" ref="AN337:AN344" si="403">+AE337/AL337</f>
        <v>0.77741125036438463</v>
      </c>
    </row>
    <row r="338" spans="1:40" ht="14.25" customHeight="1" x14ac:dyDescent="0.3">
      <c r="A338" s="84"/>
      <c r="C338" s="1">
        <f>+Precios!A338</f>
        <v>2026</v>
      </c>
      <c r="D338" s="52">
        <f>+Precios!B338</f>
        <v>46235</v>
      </c>
      <c r="E338" s="1">
        <v>16</v>
      </c>
      <c r="F338" s="1" t="str">
        <f>+Precios!C338</f>
        <v>lun</v>
      </c>
      <c r="G338" s="5">
        <f>+Precios!D338</f>
        <v>46244</v>
      </c>
      <c r="H338" s="77">
        <v>5075.8849999999957</v>
      </c>
      <c r="I338" s="77">
        <v>161.35958333333335</v>
      </c>
      <c r="J338" s="77">
        <v>136.24083333333331</v>
      </c>
      <c r="K338" s="77"/>
      <c r="L338" s="77">
        <v>90</v>
      </c>
      <c r="M338" s="81">
        <f t="shared" si="353"/>
        <v>5463.4854166666619</v>
      </c>
      <c r="N338" s="2">
        <v>13264.006791666654</v>
      </c>
      <c r="O338" s="2">
        <v>1016.927916666667</v>
      </c>
      <c r="P338" s="2">
        <v>462.63000000000005</v>
      </c>
      <c r="Q338" s="2"/>
      <c r="R338" s="77">
        <v>0</v>
      </c>
      <c r="S338" s="81">
        <f t="shared" si="395"/>
        <v>14743.564708333321</v>
      </c>
      <c r="T338" s="77">
        <v>700</v>
      </c>
      <c r="U338" s="77">
        <v>324.13749999999999</v>
      </c>
      <c r="V338" s="77">
        <v>265.55268749999976</v>
      </c>
      <c r="W338" s="77">
        <v>1000.413333333333</v>
      </c>
      <c r="X338" s="82">
        <f t="shared" si="354"/>
        <v>2290.1035208333328</v>
      </c>
      <c r="Y338" s="77">
        <v>0</v>
      </c>
      <c r="Z338" s="77">
        <v>1278.6000000000001</v>
      </c>
      <c r="AA338" s="77">
        <v>0</v>
      </c>
      <c r="AB338" s="82">
        <f t="shared" si="355"/>
        <v>1278.6000000000001</v>
      </c>
      <c r="AC338" s="84">
        <f t="shared" si="396"/>
        <v>1965.9660208333328</v>
      </c>
      <c r="AD338" s="39">
        <v>3000</v>
      </c>
      <c r="AE338" s="40">
        <f t="shared" si="397"/>
        <v>10264.006791666654</v>
      </c>
      <c r="AF338" s="1">
        <f t="shared" si="398"/>
        <v>13.200000000000001</v>
      </c>
      <c r="AG338" s="1">
        <f t="shared" si="399"/>
        <v>18</v>
      </c>
      <c r="AH338" s="41">
        <f t="shared" si="400"/>
        <v>16.914355200040532</v>
      </c>
      <c r="AJ338">
        <v>1.1000000000000001</v>
      </c>
      <c r="AK338">
        <v>1.5</v>
      </c>
      <c r="AL338" s="32">
        <f t="shared" si="401"/>
        <v>13264.006791666654</v>
      </c>
      <c r="AM338" s="4">
        <f t="shared" si="402"/>
        <v>0.22617599999155633</v>
      </c>
      <c r="AN338" s="4">
        <f t="shared" si="403"/>
        <v>0.77382400000844365</v>
      </c>
    </row>
    <row r="339" spans="1:40" ht="14.25" customHeight="1" x14ac:dyDescent="0.3">
      <c r="A339" s="84"/>
      <c r="C339" s="1">
        <f>+Precios!A339</f>
        <v>2026</v>
      </c>
      <c r="D339" s="52">
        <f>+Precios!B339</f>
        <v>46235</v>
      </c>
      <c r="E339" s="1">
        <v>16</v>
      </c>
      <c r="F339" s="1" t="str">
        <f>+Precios!C339</f>
        <v>mar</v>
      </c>
      <c r="G339" s="5">
        <f>+Precios!D339</f>
        <v>46245</v>
      </c>
      <c r="H339" s="77">
        <v>5973.8758333333508</v>
      </c>
      <c r="I339" s="77">
        <v>50.892916666666657</v>
      </c>
      <c r="J339" s="77">
        <v>144.05916666666664</v>
      </c>
      <c r="K339" s="77"/>
      <c r="L339" s="77">
        <v>90</v>
      </c>
      <c r="M339" s="81">
        <f t="shared" si="353"/>
        <v>6258.8279166666844</v>
      </c>
      <c r="N339" s="2">
        <v>13191.353124999994</v>
      </c>
      <c r="O339" s="2">
        <v>1021.8272500000003</v>
      </c>
      <c r="P339" s="2">
        <v>462.63000000000005</v>
      </c>
      <c r="Q339" s="2"/>
      <c r="R339" s="77">
        <v>0</v>
      </c>
      <c r="S339" s="81">
        <f t="shared" si="395"/>
        <v>14675.810374999994</v>
      </c>
      <c r="T339" s="77">
        <v>700</v>
      </c>
      <c r="U339" s="77">
        <v>382.25250000000005</v>
      </c>
      <c r="V339" s="77">
        <v>282.48452083333416</v>
      </c>
      <c r="W339" s="77">
        <v>876.31458333333069</v>
      </c>
      <c r="X339" s="82">
        <f t="shared" si="354"/>
        <v>2241.0516041666647</v>
      </c>
      <c r="Y339" s="77">
        <v>0</v>
      </c>
      <c r="Z339" s="77">
        <v>1277.0800000000002</v>
      </c>
      <c r="AA339" s="77">
        <v>0</v>
      </c>
      <c r="AB339" s="82">
        <f t="shared" si="355"/>
        <v>1277.0800000000002</v>
      </c>
      <c r="AC339" s="84">
        <f t="shared" si="396"/>
        <v>1858.7991041666648</v>
      </c>
      <c r="AD339" s="39">
        <v>3000</v>
      </c>
      <c r="AE339" s="40">
        <f t="shared" si="397"/>
        <v>10191.353124999994</v>
      </c>
      <c r="AF339" s="1">
        <f t="shared" si="398"/>
        <v>13.200000000000001</v>
      </c>
      <c r="AG339" s="1">
        <f t="shared" si="399"/>
        <v>18</v>
      </c>
      <c r="AH339" s="41">
        <f t="shared" si="400"/>
        <v>16.908375822893454</v>
      </c>
      <c r="AJ339">
        <v>1.1000000000000001</v>
      </c>
      <c r="AK339">
        <v>1.5</v>
      </c>
      <c r="AL339" s="32">
        <f t="shared" si="401"/>
        <v>13191.353124999994</v>
      </c>
      <c r="AM339" s="4">
        <f t="shared" si="402"/>
        <v>0.22742170356386401</v>
      </c>
      <c r="AN339" s="4">
        <f t="shared" si="403"/>
        <v>0.77257829643613596</v>
      </c>
    </row>
    <row r="340" spans="1:40" ht="14.25" customHeight="1" x14ac:dyDescent="0.3">
      <c r="A340" s="84"/>
      <c r="C340" s="1">
        <f>+Precios!A340</f>
        <v>2026</v>
      </c>
      <c r="D340" s="52">
        <f>+Precios!B340</f>
        <v>46235</v>
      </c>
      <c r="E340" s="1">
        <v>16</v>
      </c>
      <c r="F340" s="1" t="str">
        <f>+Precios!C340</f>
        <v>mié</v>
      </c>
      <c r="G340" s="5">
        <f>+Precios!D340</f>
        <v>46246</v>
      </c>
      <c r="H340" s="77">
        <v>5737.6499999999969</v>
      </c>
      <c r="I340" s="77">
        <v>245.25666666666669</v>
      </c>
      <c r="J340" s="77">
        <v>141.36500000000004</v>
      </c>
      <c r="K340" s="77"/>
      <c r="L340" s="77">
        <v>90</v>
      </c>
      <c r="M340" s="81">
        <f t="shared" si="353"/>
        <v>6214.2716666666638</v>
      </c>
      <c r="N340" s="2">
        <v>12477.016458333337</v>
      </c>
      <c r="O340" s="2">
        <v>1021.3470833333334</v>
      </c>
      <c r="P340" s="2">
        <v>456.63000000000005</v>
      </c>
      <c r="Q340" s="2"/>
      <c r="R340" s="77">
        <v>0</v>
      </c>
      <c r="S340" s="81">
        <f t="shared" si="395"/>
        <v>13954.99354166667</v>
      </c>
      <c r="T340" s="77">
        <v>700</v>
      </c>
      <c r="U340" s="77">
        <v>397.61541666666676</v>
      </c>
      <c r="V340" s="77">
        <v>291.43862500000068</v>
      </c>
      <c r="W340" s="77">
        <v>747.60708333333412</v>
      </c>
      <c r="X340" s="82">
        <f t="shared" si="354"/>
        <v>2136.6611250000014</v>
      </c>
      <c r="Y340" s="77">
        <v>0</v>
      </c>
      <c r="Z340" s="77">
        <v>1277.0800000000002</v>
      </c>
      <c r="AA340" s="77">
        <v>0</v>
      </c>
      <c r="AB340" s="82">
        <f t="shared" si="355"/>
        <v>1277.0800000000002</v>
      </c>
      <c r="AC340" s="84">
        <f t="shared" si="396"/>
        <v>1739.0457083333349</v>
      </c>
      <c r="AD340" s="39">
        <v>3000</v>
      </c>
      <c r="AE340" s="40">
        <f t="shared" si="397"/>
        <v>9477.0164583333371</v>
      </c>
      <c r="AF340" s="1">
        <f t="shared" si="398"/>
        <v>13.200000000000001</v>
      </c>
      <c r="AG340" s="1">
        <f t="shared" si="399"/>
        <v>18</v>
      </c>
      <c r="AH340" s="41">
        <f t="shared" si="400"/>
        <v>16.845877934994444</v>
      </c>
      <c r="AJ340">
        <v>1.1000000000000001</v>
      </c>
      <c r="AK340">
        <v>1.5</v>
      </c>
      <c r="AL340" s="32">
        <f t="shared" si="401"/>
        <v>12477.016458333337</v>
      </c>
      <c r="AM340" s="4">
        <f t="shared" si="402"/>
        <v>0.24044209687615783</v>
      </c>
      <c r="AN340" s="4">
        <f t="shared" si="403"/>
        <v>0.75955790312384219</v>
      </c>
    </row>
    <row r="341" spans="1:40" ht="14.25" customHeight="1" x14ac:dyDescent="0.3">
      <c r="A341" s="84"/>
      <c r="C341" s="1">
        <f>+Precios!A341</f>
        <v>2026</v>
      </c>
      <c r="D341" s="52">
        <f>+Precios!B341</f>
        <v>46235</v>
      </c>
      <c r="E341" s="1">
        <v>16</v>
      </c>
      <c r="F341" s="1" t="str">
        <f>+Precios!C341</f>
        <v>jue</v>
      </c>
      <c r="G341" s="5">
        <f>+Precios!D341</f>
        <v>46247</v>
      </c>
      <c r="H341" s="77">
        <v>5718.4862500000118</v>
      </c>
      <c r="I341" s="77">
        <v>75.531666666666652</v>
      </c>
      <c r="J341" s="77">
        <v>94.083333333333329</v>
      </c>
      <c r="K341" s="77"/>
      <c r="L341" s="77">
        <v>90</v>
      </c>
      <c r="M341" s="81">
        <f t="shared" si="353"/>
        <v>5978.1012500000115</v>
      </c>
      <c r="N341" s="2">
        <v>13232.954166666663</v>
      </c>
      <c r="O341" s="2">
        <v>1010.4215000000002</v>
      </c>
      <c r="P341" s="2">
        <v>446.63000000000005</v>
      </c>
      <c r="Q341" s="2"/>
      <c r="R341" s="77">
        <v>0</v>
      </c>
      <c r="S341" s="81">
        <f t="shared" si="395"/>
        <v>14690.005666666662</v>
      </c>
      <c r="T341" s="77">
        <v>700</v>
      </c>
      <c r="U341" s="77">
        <v>291.49499999999995</v>
      </c>
      <c r="V341" s="77">
        <v>275.64375000000018</v>
      </c>
      <c r="W341" s="77">
        <v>1246.7108333333342</v>
      </c>
      <c r="X341" s="82">
        <f t="shared" si="354"/>
        <v>2513.8495833333345</v>
      </c>
      <c r="Y341" s="77">
        <v>0</v>
      </c>
      <c r="Z341" s="77">
        <v>1274.0800000000002</v>
      </c>
      <c r="AA341" s="77">
        <v>0</v>
      </c>
      <c r="AB341" s="82">
        <f t="shared" si="355"/>
        <v>1274.0800000000002</v>
      </c>
      <c r="AC341" s="84">
        <f t="shared" si="396"/>
        <v>2222.3545833333346</v>
      </c>
      <c r="AD341" s="39">
        <v>3000</v>
      </c>
      <c r="AE341" s="40">
        <f t="shared" si="397"/>
        <v>10232.954166666663</v>
      </c>
      <c r="AF341" s="1">
        <f t="shared" si="398"/>
        <v>13.200000000000001</v>
      </c>
      <c r="AG341" s="1">
        <f t="shared" si="399"/>
        <v>18</v>
      </c>
      <c r="AH341" s="41">
        <f t="shared" si="400"/>
        <v>16.911807611616076</v>
      </c>
      <c r="AJ341">
        <v>1.1000000000000001</v>
      </c>
      <c r="AK341">
        <v>1.5</v>
      </c>
      <c r="AL341" s="32">
        <f t="shared" si="401"/>
        <v>13232.954166666663</v>
      </c>
      <c r="AM341" s="4">
        <f t="shared" si="402"/>
        <v>0.22670674757998424</v>
      </c>
      <c r="AN341" s="4">
        <f t="shared" si="403"/>
        <v>0.77329325242001579</v>
      </c>
    </row>
    <row r="342" spans="1:40" ht="14.25" customHeight="1" x14ac:dyDescent="0.3">
      <c r="A342" s="84"/>
      <c r="C342" s="1">
        <f>+Precios!A342</f>
        <v>2026</v>
      </c>
      <c r="D342" s="52">
        <f>+Precios!B342</f>
        <v>46235</v>
      </c>
      <c r="E342" s="1">
        <v>16</v>
      </c>
      <c r="F342" s="1" t="str">
        <f>+Precios!C342</f>
        <v>vie</v>
      </c>
      <c r="G342" s="5">
        <f>+Precios!D342</f>
        <v>46248</v>
      </c>
      <c r="H342" s="77">
        <v>5253.9554166666676</v>
      </c>
      <c r="I342" s="77">
        <v>0</v>
      </c>
      <c r="J342" s="77">
        <v>59.94166666666667</v>
      </c>
      <c r="K342" s="77"/>
      <c r="L342" s="77">
        <v>90</v>
      </c>
      <c r="M342" s="81">
        <f t="shared" si="353"/>
        <v>5403.8970833333342</v>
      </c>
      <c r="N342" s="2">
        <v>12729.811166666663</v>
      </c>
      <c r="O342" s="2">
        <v>1015.9410000000003</v>
      </c>
      <c r="P342" s="2">
        <v>446.63000000000005</v>
      </c>
      <c r="Q342" s="2"/>
      <c r="R342" s="77">
        <v>0</v>
      </c>
      <c r="S342" s="81">
        <f t="shared" si="395"/>
        <v>14192.382166666663</v>
      </c>
      <c r="T342" s="77">
        <v>700</v>
      </c>
      <c r="U342" s="77">
        <v>190.03833333333338</v>
      </c>
      <c r="V342" s="77">
        <v>247.49704166666709</v>
      </c>
      <c r="W342" s="77">
        <v>2000.0370833333332</v>
      </c>
      <c r="X342" s="82">
        <f t="shared" si="354"/>
        <v>3137.5724583333335</v>
      </c>
      <c r="Y342" s="77">
        <v>0</v>
      </c>
      <c r="Z342" s="77">
        <v>1289.4775000000002</v>
      </c>
      <c r="AA342" s="77">
        <v>0</v>
      </c>
      <c r="AB342" s="82">
        <f t="shared" si="355"/>
        <v>1289.4775000000002</v>
      </c>
      <c r="AC342" s="84">
        <f t="shared" si="396"/>
        <v>2947.5341250000001</v>
      </c>
      <c r="AD342" s="39">
        <v>3000</v>
      </c>
      <c r="AE342" s="40">
        <f t="shared" si="397"/>
        <v>9729.8111666666628</v>
      </c>
      <c r="AF342" s="1">
        <f t="shared" si="398"/>
        <v>13.200000000000001</v>
      </c>
      <c r="AG342" s="1">
        <f t="shared" si="399"/>
        <v>18</v>
      </c>
      <c r="AH342" s="41">
        <f t="shared" si="400"/>
        <v>16.868797045654002</v>
      </c>
      <c r="AJ342">
        <v>1.1000000000000001</v>
      </c>
      <c r="AK342">
        <v>1.5</v>
      </c>
      <c r="AL342" s="32">
        <f t="shared" si="401"/>
        <v>12729.811166666663</v>
      </c>
      <c r="AM342" s="4">
        <f t="shared" si="402"/>
        <v>0.23566728215541619</v>
      </c>
      <c r="AN342" s="4">
        <f t="shared" si="403"/>
        <v>0.76433271784458379</v>
      </c>
    </row>
    <row r="343" spans="1:40" ht="14.25" customHeight="1" x14ac:dyDescent="0.3">
      <c r="A343" s="84"/>
      <c r="C343" s="1">
        <f>+Precios!A343</f>
        <v>2026</v>
      </c>
      <c r="D343" s="52">
        <f>+Precios!B343</f>
        <v>46235</v>
      </c>
      <c r="E343" s="1">
        <v>6</v>
      </c>
      <c r="F343" s="1" t="str">
        <f>+Precios!C343</f>
        <v>sáb</v>
      </c>
      <c r="G343" s="5">
        <f>+Precios!D343</f>
        <v>46249</v>
      </c>
      <c r="H343" s="77">
        <v>4421.2387499999977</v>
      </c>
      <c r="I343" s="77">
        <v>0</v>
      </c>
      <c r="J343" s="77">
        <v>60.426249999999989</v>
      </c>
      <c r="K343" s="77"/>
      <c r="L343" s="77">
        <v>90</v>
      </c>
      <c r="M343" s="81">
        <f t="shared" si="353"/>
        <v>4571.6649999999981</v>
      </c>
      <c r="N343" s="2">
        <v>12549.860791666664</v>
      </c>
      <c r="O343" s="2">
        <v>1015.9410000000003</v>
      </c>
      <c r="P343" s="2">
        <v>452.63000000000005</v>
      </c>
      <c r="Q343" s="2"/>
      <c r="R343" s="77">
        <v>0</v>
      </c>
      <c r="S343" s="81">
        <f t="shared" si="395"/>
        <v>14018.431791666664</v>
      </c>
      <c r="T343" s="77">
        <v>700</v>
      </c>
      <c r="U343" s="77">
        <v>189.0675</v>
      </c>
      <c r="V343" s="77">
        <v>222.39054166666716</v>
      </c>
      <c r="W343" s="77">
        <v>1314.432083333334</v>
      </c>
      <c r="X343" s="82">
        <f t="shared" si="354"/>
        <v>2425.8901250000013</v>
      </c>
      <c r="Y343" s="77">
        <v>0</v>
      </c>
      <c r="Z343" s="77">
        <v>1306.5701666666669</v>
      </c>
      <c r="AA343" s="77">
        <v>0</v>
      </c>
      <c r="AB343" s="82">
        <f t="shared" si="355"/>
        <v>1306.5701666666669</v>
      </c>
      <c r="AC343" s="84">
        <f t="shared" si="396"/>
        <v>2236.8226250000012</v>
      </c>
      <c r="AD343" s="39">
        <v>3000</v>
      </c>
      <c r="AE343" s="40">
        <f t="shared" si="397"/>
        <v>9549.8607916666642</v>
      </c>
      <c r="AF343" s="1">
        <f t="shared" si="398"/>
        <v>13.200000000000001</v>
      </c>
      <c r="AG343" s="1">
        <f t="shared" si="399"/>
        <v>18</v>
      </c>
      <c r="AH343" s="41">
        <f t="shared" si="400"/>
        <v>16.85257691387606</v>
      </c>
      <c r="AJ343">
        <v>1.1000000000000001</v>
      </c>
      <c r="AK343">
        <v>1.5</v>
      </c>
      <c r="AL343" s="32">
        <f t="shared" si="401"/>
        <v>12549.860791666664</v>
      </c>
      <c r="AM343" s="4">
        <f t="shared" si="402"/>
        <v>0.2390464762758209</v>
      </c>
      <c r="AN343" s="4">
        <f t="shared" si="403"/>
        <v>0.76095352372417913</v>
      </c>
    </row>
    <row r="344" spans="1:40" ht="14.25" customHeight="1" x14ac:dyDescent="0.3">
      <c r="A344" s="84"/>
      <c r="C344" s="1">
        <f>+Precios!A344</f>
        <v>2026</v>
      </c>
      <c r="D344" s="52">
        <f>+Precios!B344</f>
        <v>46235</v>
      </c>
      <c r="E344" s="1">
        <v>4</v>
      </c>
      <c r="F344" s="1" t="str">
        <f>+Precios!C344</f>
        <v>dom</v>
      </c>
      <c r="G344" s="5">
        <f>+Precios!D344</f>
        <v>46250</v>
      </c>
      <c r="H344" s="77">
        <v>3364.9979166666658</v>
      </c>
      <c r="I344" s="77">
        <v>0</v>
      </c>
      <c r="J344" s="77">
        <v>53.848749999999995</v>
      </c>
      <c r="K344" s="77"/>
      <c r="L344" s="77">
        <v>90</v>
      </c>
      <c r="M344" s="81">
        <f t="shared" si="353"/>
        <v>3508.8466666666659</v>
      </c>
      <c r="N344" s="2">
        <v>12316.667208333329</v>
      </c>
      <c r="O344" s="2">
        <v>1015.9410000000003</v>
      </c>
      <c r="P344" s="2">
        <v>460.63000000000005</v>
      </c>
      <c r="Q344" s="2"/>
      <c r="R344" s="77">
        <v>0</v>
      </c>
      <c r="S344" s="81">
        <f t="shared" si="395"/>
        <v>13793.238208333329</v>
      </c>
      <c r="T344" s="77">
        <v>700</v>
      </c>
      <c r="U344" s="77">
        <v>232.45500000000007</v>
      </c>
      <c r="V344" s="77">
        <v>241.41466666666668</v>
      </c>
      <c r="W344" s="77">
        <v>1046.5566666666662</v>
      </c>
      <c r="X344" s="82">
        <f t="shared" si="354"/>
        <v>2220.4263333333329</v>
      </c>
      <c r="Y344" s="77">
        <v>0</v>
      </c>
      <c r="Z344" s="77">
        <v>1306.5500000000002</v>
      </c>
      <c r="AA344" s="77">
        <v>0</v>
      </c>
      <c r="AB344" s="82">
        <f t="shared" si="355"/>
        <v>1306.5500000000002</v>
      </c>
      <c r="AC344" s="84">
        <f t="shared" si="396"/>
        <v>1987.971333333333</v>
      </c>
      <c r="AD344" s="39">
        <v>3000</v>
      </c>
      <c r="AE344" s="40">
        <f t="shared" si="397"/>
        <v>9316.6672083333287</v>
      </c>
      <c r="AF344" s="1">
        <f t="shared" si="398"/>
        <v>13.200000000000001</v>
      </c>
      <c r="AG344" s="1">
        <f t="shared" si="399"/>
        <v>18</v>
      </c>
      <c r="AH344" s="41">
        <f t="shared" si="400"/>
        <v>16.830852554800124</v>
      </c>
      <c r="AJ344">
        <v>1.1000000000000001</v>
      </c>
      <c r="AK344">
        <v>1.5</v>
      </c>
      <c r="AL344" s="32">
        <f t="shared" si="401"/>
        <v>12316.667208333329</v>
      </c>
      <c r="AM344" s="4">
        <f t="shared" si="402"/>
        <v>0.24357238441664084</v>
      </c>
      <c r="AN344" s="4">
        <f t="shared" si="403"/>
        <v>0.75642761558335914</v>
      </c>
    </row>
    <row r="345" spans="1:40" ht="14.25" customHeight="1" x14ac:dyDescent="0.3">
      <c r="A345" s="84"/>
      <c r="C345" s="1">
        <f>+Precios!A345</f>
        <v>2026</v>
      </c>
      <c r="D345" s="52">
        <f>+Precios!B345</f>
        <v>46235</v>
      </c>
      <c r="E345" s="1">
        <v>4</v>
      </c>
      <c r="F345" s="1" t="str">
        <f>+Precios!C345</f>
        <v>lun</v>
      </c>
      <c r="G345" s="5">
        <f>+Precios!D345</f>
        <v>46251</v>
      </c>
      <c r="H345" s="77">
        <v>3615.341666666669</v>
      </c>
      <c r="I345" s="77">
        <v>30.872916666666665</v>
      </c>
      <c r="J345" s="77">
        <v>36.110000000000007</v>
      </c>
      <c r="K345" s="77"/>
      <c r="L345" s="77">
        <v>90</v>
      </c>
      <c r="M345" s="81">
        <f t="shared" si="353"/>
        <v>3772.3245833333358</v>
      </c>
      <c r="N345" s="2">
        <v>12473.602791666664</v>
      </c>
      <c r="O345" s="2">
        <v>1015.5285000000001</v>
      </c>
      <c r="P345" s="2">
        <v>463.39950000000005</v>
      </c>
      <c r="Q345" s="2"/>
      <c r="R345" s="77">
        <v>0</v>
      </c>
      <c r="S345" s="81">
        <f t="shared" ref="S345:S350" si="404">SUM(N345:R345)</f>
        <v>13952.530791666664</v>
      </c>
      <c r="T345" s="77">
        <v>700</v>
      </c>
      <c r="U345" s="77">
        <v>251.81375000000003</v>
      </c>
      <c r="V345" s="77">
        <v>259.59200000000033</v>
      </c>
      <c r="W345" s="77">
        <v>1129.6383333333329</v>
      </c>
      <c r="X345" s="82">
        <f t="shared" si="354"/>
        <v>2341.0440833333332</v>
      </c>
      <c r="Y345" s="77">
        <v>0</v>
      </c>
      <c r="Z345" s="77">
        <v>1305.5500000000002</v>
      </c>
      <c r="AA345" s="77">
        <v>0</v>
      </c>
      <c r="AB345" s="82">
        <f t="shared" si="355"/>
        <v>1305.5500000000002</v>
      </c>
      <c r="AC345" s="84">
        <f t="shared" ref="AC345:AC350" si="405">+T345+V345+W345</f>
        <v>2089.230333333333</v>
      </c>
      <c r="AD345" s="39">
        <v>3000</v>
      </c>
      <c r="AE345" s="40">
        <f t="shared" ref="AE345:AE350" si="406">+N345-AD345</f>
        <v>9473.6027916666644</v>
      </c>
      <c r="AF345" s="1">
        <f t="shared" ref="AF345:AF350" si="407">12*AJ345</f>
        <v>13.200000000000001</v>
      </c>
      <c r="AG345" s="1">
        <f t="shared" ref="AG345:AG350" si="408">12*AK345</f>
        <v>18</v>
      </c>
      <c r="AH345" s="41">
        <f t="shared" ref="AH345:AH350" si="409">+(AD345*AF345+AG345*AE345)/SUM(AD345:AE345)</f>
        <v>16.845562084947879</v>
      </c>
      <c r="AJ345">
        <v>1.1000000000000001</v>
      </c>
      <c r="AK345">
        <v>1.5</v>
      </c>
      <c r="AL345" s="32">
        <f t="shared" ref="AL345:AL350" si="410">+AD345+AE345</f>
        <v>12473.602791666664</v>
      </c>
      <c r="AM345" s="4">
        <f t="shared" ref="AM345:AM350" si="411">+AD345/AL345</f>
        <v>0.2405078989691922</v>
      </c>
      <c r="AN345" s="4">
        <f t="shared" ref="AN345:AN350" si="412">+AE345/AL345</f>
        <v>0.75949210103080778</v>
      </c>
    </row>
    <row r="346" spans="1:40" ht="14.25" customHeight="1" x14ac:dyDescent="0.3">
      <c r="A346" s="84"/>
      <c r="C346" s="1">
        <f>+Precios!A346</f>
        <v>2026</v>
      </c>
      <c r="D346" s="52">
        <f>+Precios!B346</f>
        <v>46235</v>
      </c>
      <c r="E346" s="1">
        <v>16</v>
      </c>
      <c r="F346" s="1" t="str">
        <f>+Precios!C346</f>
        <v>mar</v>
      </c>
      <c r="G346" s="5">
        <f>+Precios!D346</f>
        <v>46252</v>
      </c>
      <c r="H346" s="77">
        <v>4430.1499999999942</v>
      </c>
      <c r="I346" s="77">
        <v>142.20333333333335</v>
      </c>
      <c r="J346" s="77">
        <v>92.037916666666675</v>
      </c>
      <c r="K346" s="77"/>
      <c r="L346" s="77">
        <v>90</v>
      </c>
      <c r="M346" s="81">
        <f t="shared" si="353"/>
        <v>4754.3912499999942</v>
      </c>
      <c r="N346" s="2">
        <v>12550.010499999999</v>
      </c>
      <c r="O346" s="2">
        <v>920.98937499999965</v>
      </c>
      <c r="P346" s="2">
        <v>337.38833333333332</v>
      </c>
      <c r="Q346" s="2"/>
      <c r="R346" s="77">
        <v>0</v>
      </c>
      <c r="S346" s="81">
        <f t="shared" si="404"/>
        <v>13808.38820833333</v>
      </c>
      <c r="T346" s="77">
        <v>700</v>
      </c>
      <c r="U346" s="77">
        <v>350.89499999999998</v>
      </c>
      <c r="V346" s="77">
        <v>265.34110416666658</v>
      </c>
      <c r="W346" s="77">
        <v>1032.4387499999982</v>
      </c>
      <c r="X346" s="82">
        <f t="shared" si="354"/>
        <v>2348.6748541666648</v>
      </c>
      <c r="Y346" s="77">
        <v>0</v>
      </c>
      <c r="Z346" s="77">
        <v>1305.2473958333335</v>
      </c>
      <c r="AA346" s="77">
        <v>0</v>
      </c>
      <c r="AB346" s="82">
        <f t="shared" si="355"/>
        <v>1305.2473958333335</v>
      </c>
      <c r="AC346" s="84">
        <f t="shared" si="405"/>
        <v>1997.7798541666648</v>
      </c>
      <c r="AD346" s="39">
        <v>3000</v>
      </c>
      <c r="AE346" s="40">
        <f t="shared" si="406"/>
        <v>9550.0104999999985</v>
      </c>
      <c r="AF346" s="1">
        <f t="shared" si="407"/>
        <v>13.200000000000001</v>
      </c>
      <c r="AG346" s="1">
        <f t="shared" si="408"/>
        <v>18</v>
      </c>
      <c r="AH346" s="41">
        <f t="shared" si="409"/>
        <v>16.852590601418221</v>
      </c>
      <c r="AJ346">
        <v>1.1000000000000001</v>
      </c>
      <c r="AK346">
        <v>1.5</v>
      </c>
      <c r="AL346" s="32">
        <f t="shared" si="410"/>
        <v>12550.010499999999</v>
      </c>
      <c r="AM346" s="4">
        <f t="shared" si="411"/>
        <v>0.23904362470453713</v>
      </c>
      <c r="AN346" s="4">
        <f t="shared" si="412"/>
        <v>0.76095637529546289</v>
      </c>
    </row>
    <row r="347" spans="1:40" ht="14.25" customHeight="1" x14ac:dyDescent="0.3">
      <c r="A347" s="84"/>
      <c r="C347" s="1">
        <f>+Precios!A347</f>
        <v>2026</v>
      </c>
      <c r="D347" s="52">
        <f>+Precios!B347</f>
        <v>46235</v>
      </c>
      <c r="E347" s="1">
        <v>16</v>
      </c>
      <c r="F347" s="1" t="str">
        <f>+Precios!C347</f>
        <v>mié</v>
      </c>
      <c r="G347" s="5">
        <f>+Precios!D347</f>
        <v>46253</v>
      </c>
      <c r="H347" s="77">
        <v>4638.2533333333295</v>
      </c>
      <c r="I347" s="77">
        <v>308.38166666666672</v>
      </c>
      <c r="J347" s="77">
        <v>64.026249999999962</v>
      </c>
      <c r="K347" s="77"/>
      <c r="L347" s="77">
        <v>90</v>
      </c>
      <c r="M347" s="81">
        <f t="shared" si="353"/>
        <v>5100.6612499999965</v>
      </c>
      <c r="N347" s="2">
        <v>12667.308166666655</v>
      </c>
      <c r="O347" s="2">
        <v>1012.1027083333331</v>
      </c>
      <c r="P347" s="2">
        <v>274.63000000000005</v>
      </c>
      <c r="Q347" s="2"/>
      <c r="R347" s="77">
        <v>0</v>
      </c>
      <c r="S347" s="81">
        <f t="shared" si="404"/>
        <v>13954.040874999988</v>
      </c>
      <c r="T347" s="77">
        <v>700</v>
      </c>
      <c r="U347" s="77">
        <v>310.53208333333333</v>
      </c>
      <c r="V347" s="77">
        <v>246.08237499999919</v>
      </c>
      <c r="W347" s="77">
        <v>1563.6083333333333</v>
      </c>
      <c r="X347" s="82">
        <f t="shared" si="354"/>
        <v>2820.2227916666661</v>
      </c>
      <c r="Y347" s="77">
        <v>0</v>
      </c>
      <c r="Z347" s="77">
        <v>1297.6955833333336</v>
      </c>
      <c r="AA347" s="77">
        <v>0</v>
      </c>
      <c r="AB347" s="82">
        <f t="shared" si="355"/>
        <v>1297.6955833333336</v>
      </c>
      <c r="AC347" s="84">
        <f t="shared" si="405"/>
        <v>2509.6907083333326</v>
      </c>
      <c r="AD347" s="39">
        <v>3000</v>
      </c>
      <c r="AE347" s="40">
        <f t="shared" si="406"/>
        <v>9667.3081666666549</v>
      </c>
      <c r="AF347" s="1">
        <f t="shared" si="407"/>
        <v>13.200000000000001</v>
      </c>
      <c r="AG347" s="1">
        <f t="shared" si="408"/>
        <v>18</v>
      </c>
      <c r="AH347" s="41">
        <f t="shared" si="409"/>
        <v>16.863215466890367</v>
      </c>
      <c r="AJ347">
        <v>1.1000000000000001</v>
      </c>
      <c r="AK347">
        <v>1.5</v>
      </c>
      <c r="AL347" s="32">
        <f t="shared" si="410"/>
        <v>12667.308166666655</v>
      </c>
      <c r="AM347" s="4">
        <f t="shared" si="411"/>
        <v>0.23683011106450697</v>
      </c>
      <c r="AN347" s="4">
        <f t="shared" si="412"/>
        <v>0.76316988893549298</v>
      </c>
    </row>
    <row r="348" spans="1:40" ht="14.25" customHeight="1" x14ac:dyDescent="0.3">
      <c r="A348" s="84"/>
      <c r="C348" s="1">
        <f>+Precios!A348</f>
        <v>2026</v>
      </c>
      <c r="D348" s="52">
        <f>+Precios!B348</f>
        <v>46235</v>
      </c>
      <c r="E348" s="1">
        <v>16</v>
      </c>
      <c r="F348" s="1" t="str">
        <f>+Precios!C348</f>
        <v>jue</v>
      </c>
      <c r="G348" s="5">
        <f>+Precios!D348</f>
        <v>46254</v>
      </c>
      <c r="H348" s="77">
        <v>4498.6916666666675</v>
      </c>
      <c r="I348" s="77">
        <v>5.90625</v>
      </c>
      <c r="J348" s="77">
        <v>29.469166666666677</v>
      </c>
      <c r="K348" s="77"/>
      <c r="L348" s="77">
        <v>90</v>
      </c>
      <c r="M348" s="81">
        <f t="shared" si="353"/>
        <v>4624.0670833333343</v>
      </c>
      <c r="N348" s="2">
        <v>12628.029416666661</v>
      </c>
      <c r="O348" s="2">
        <v>1003.8899999999999</v>
      </c>
      <c r="P348" s="2">
        <v>274.63000000000005</v>
      </c>
      <c r="Q348" s="2"/>
      <c r="R348" s="77">
        <v>0</v>
      </c>
      <c r="S348" s="81">
        <f t="shared" si="404"/>
        <v>13906.549416666659</v>
      </c>
      <c r="T348" s="77">
        <v>700</v>
      </c>
      <c r="U348" s="77">
        <v>189.46458333333337</v>
      </c>
      <c r="V348" s="77">
        <v>237.03943749999985</v>
      </c>
      <c r="W348" s="77">
        <v>2091.0845833333315</v>
      </c>
      <c r="X348" s="82">
        <f t="shared" si="354"/>
        <v>3217.5886041666645</v>
      </c>
      <c r="Y348" s="77">
        <v>0</v>
      </c>
      <c r="Z348" s="77">
        <v>1296.5415416666669</v>
      </c>
      <c r="AA348" s="77">
        <v>0</v>
      </c>
      <c r="AB348" s="82">
        <f t="shared" si="355"/>
        <v>1296.5415416666669</v>
      </c>
      <c r="AC348" s="84">
        <f t="shared" si="405"/>
        <v>3028.1240208333311</v>
      </c>
      <c r="AD348" s="39">
        <v>3000</v>
      </c>
      <c r="AE348" s="40">
        <f t="shared" si="406"/>
        <v>9628.0294166666608</v>
      </c>
      <c r="AF348" s="1">
        <f t="shared" si="407"/>
        <v>13.200000000000001</v>
      </c>
      <c r="AG348" s="1">
        <f t="shared" si="408"/>
        <v>18</v>
      </c>
      <c r="AH348" s="41">
        <f t="shared" si="409"/>
        <v>16.859679564810431</v>
      </c>
      <c r="AJ348">
        <v>1.1000000000000001</v>
      </c>
      <c r="AK348">
        <v>1.5</v>
      </c>
      <c r="AL348" s="32">
        <f t="shared" si="410"/>
        <v>12628.029416666661</v>
      </c>
      <c r="AM348" s="4">
        <f t="shared" si="411"/>
        <v>0.23756675733116012</v>
      </c>
      <c r="AN348" s="4">
        <f t="shared" si="412"/>
        <v>0.76243324266883994</v>
      </c>
    </row>
    <row r="349" spans="1:40" ht="14.25" customHeight="1" x14ac:dyDescent="0.3">
      <c r="A349" s="84"/>
      <c r="C349" s="1">
        <f>+Precios!A349</f>
        <v>2026</v>
      </c>
      <c r="D349" s="52">
        <f>+Precios!B349</f>
        <v>46235</v>
      </c>
      <c r="E349" s="1">
        <v>16</v>
      </c>
      <c r="F349" s="1" t="str">
        <f>+Precios!C349</f>
        <v>vie</v>
      </c>
      <c r="G349" s="5">
        <f>+Precios!D349</f>
        <v>46255</v>
      </c>
      <c r="H349" s="77">
        <v>4803.7912500000011</v>
      </c>
      <c r="I349" s="77">
        <v>46.712499999999999</v>
      </c>
      <c r="J349" s="77">
        <v>33.831250000000004</v>
      </c>
      <c r="K349" s="77"/>
      <c r="L349" s="77">
        <v>90</v>
      </c>
      <c r="M349" s="81">
        <f t="shared" si="353"/>
        <v>4974.3350000000009</v>
      </c>
      <c r="N349" s="2">
        <v>12771.587708333327</v>
      </c>
      <c r="O349" s="2">
        <v>1002.9837499999998</v>
      </c>
      <c r="P349" s="2">
        <v>274.63000000000005</v>
      </c>
      <c r="Q349" s="2"/>
      <c r="R349" s="77">
        <v>0</v>
      </c>
      <c r="S349" s="81">
        <f t="shared" si="404"/>
        <v>14049.201458333326</v>
      </c>
      <c r="T349" s="77">
        <v>700</v>
      </c>
      <c r="U349" s="77">
        <v>189.19166666666669</v>
      </c>
      <c r="V349" s="77">
        <v>247.91672916666664</v>
      </c>
      <c r="W349" s="77">
        <v>1798.5825000000025</v>
      </c>
      <c r="X349" s="82">
        <f t="shared" si="354"/>
        <v>2935.6908958333361</v>
      </c>
      <c r="Y349" s="77">
        <v>0</v>
      </c>
      <c r="Z349" s="77">
        <v>1297.4821250000002</v>
      </c>
      <c r="AA349" s="77">
        <v>0</v>
      </c>
      <c r="AB349" s="82">
        <f t="shared" si="355"/>
        <v>1297.4821250000002</v>
      </c>
      <c r="AC349" s="84">
        <f t="shared" si="405"/>
        <v>2746.499229166669</v>
      </c>
      <c r="AD349" s="39">
        <v>3000</v>
      </c>
      <c r="AE349" s="40">
        <f t="shared" si="406"/>
        <v>9771.5877083333271</v>
      </c>
      <c r="AF349" s="1">
        <f t="shared" si="407"/>
        <v>13.200000000000001</v>
      </c>
      <c r="AG349" s="1">
        <f t="shared" si="408"/>
        <v>18</v>
      </c>
      <c r="AH349" s="41">
        <f t="shared" si="409"/>
        <v>16.872497270593527</v>
      </c>
      <c r="AJ349">
        <v>1.1000000000000001</v>
      </c>
      <c r="AK349">
        <v>1.5</v>
      </c>
      <c r="AL349" s="32">
        <f t="shared" si="410"/>
        <v>12771.587708333327</v>
      </c>
      <c r="AM349" s="4">
        <f t="shared" si="411"/>
        <v>0.23489640195968206</v>
      </c>
      <c r="AN349" s="4">
        <f t="shared" si="412"/>
        <v>0.76510359804031791</v>
      </c>
    </row>
    <row r="350" spans="1:40" ht="14.25" customHeight="1" x14ac:dyDescent="0.3">
      <c r="A350" s="84"/>
      <c r="C350" s="1">
        <f>+Precios!A350</f>
        <v>2026</v>
      </c>
      <c r="D350" s="52">
        <f>+Precios!B350</f>
        <v>46235</v>
      </c>
      <c r="E350" s="1">
        <v>6</v>
      </c>
      <c r="F350" s="1" t="str">
        <f>+Precios!C350</f>
        <v>sáb</v>
      </c>
      <c r="G350" s="5">
        <f>+Precios!D350</f>
        <v>46256</v>
      </c>
      <c r="H350" s="77">
        <v>4321.1700000000055</v>
      </c>
      <c r="I350" s="77">
        <v>54.801666666666669</v>
      </c>
      <c r="J350" s="77">
        <v>34.278749999999995</v>
      </c>
      <c r="K350" s="77"/>
      <c r="L350" s="77">
        <v>90</v>
      </c>
      <c r="M350" s="81">
        <f t="shared" si="353"/>
        <v>4500.2504166666722</v>
      </c>
      <c r="N350" s="2">
        <v>12681.864999999993</v>
      </c>
      <c r="O350" s="2">
        <v>999.919625</v>
      </c>
      <c r="P350" s="2">
        <v>274.63000000000005</v>
      </c>
      <c r="Q350" s="2"/>
      <c r="R350" s="77">
        <v>0</v>
      </c>
      <c r="S350" s="81">
        <f t="shared" si="404"/>
        <v>13956.414624999992</v>
      </c>
      <c r="T350" s="77">
        <v>700</v>
      </c>
      <c r="U350" s="77">
        <v>201.40208333333331</v>
      </c>
      <c r="V350" s="77">
        <v>230.86093749999981</v>
      </c>
      <c r="W350" s="77">
        <v>1695.355000000003</v>
      </c>
      <c r="X350" s="82">
        <f t="shared" si="354"/>
        <v>2827.6180208333362</v>
      </c>
      <c r="Y350" s="77">
        <v>0</v>
      </c>
      <c r="Z350" s="77">
        <v>1297.4470416666668</v>
      </c>
      <c r="AA350" s="77">
        <v>0</v>
      </c>
      <c r="AB350" s="82">
        <f t="shared" si="355"/>
        <v>1297.4470416666668</v>
      </c>
      <c r="AC350" s="84">
        <f t="shared" si="405"/>
        <v>2626.2159375000028</v>
      </c>
      <c r="AD350" s="39">
        <v>3000</v>
      </c>
      <c r="AE350" s="40">
        <f t="shared" si="406"/>
        <v>9681.8649999999925</v>
      </c>
      <c r="AF350" s="1">
        <f t="shared" si="407"/>
        <v>13.200000000000001</v>
      </c>
      <c r="AG350" s="1">
        <f t="shared" si="408"/>
        <v>18</v>
      </c>
      <c r="AH350" s="41">
        <f t="shared" si="409"/>
        <v>16.864520320946486</v>
      </c>
      <c r="AJ350">
        <v>1.1000000000000001</v>
      </c>
      <c r="AK350">
        <v>1.5</v>
      </c>
      <c r="AL350" s="32">
        <f t="shared" si="410"/>
        <v>12681.864999999993</v>
      </c>
      <c r="AM350" s="4">
        <f t="shared" si="411"/>
        <v>0.23655826646948236</v>
      </c>
      <c r="AN350" s="4">
        <f t="shared" si="412"/>
        <v>0.7634417335305177</v>
      </c>
    </row>
    <row r="351" spans="1:40" ht="14.25" customHeight="1" x14ac:dyDescent="0.3">
      <c r="A351" s="84"/>
      <c r="C351" s="1">
        <f>+Precios!A351</f>
        <v>2026</v>
      </c>
      <c r="D351" s="52">
        <f>+Precios!B351</f>
        <v>46235</v>
      </c>
      <c r="E351" s="1">
        <v>4</v>
      </c>
      <c r="F351" s="1" t="str">
        <f>+Precios!C351</f>
        <v>dom</v>
      </c>
      <c r="G351" s="5">
        <f>+Precios!D351</f>
        <v>46257</v>
      </c>
      <c r="H351" s="77">
        <v>4085.7120833333374</v>
      </c>
      <c r="I351" s="77">
        <v>103.74083333333334</v>
      </c>
      <c r="J351" s="77">
        <v>36.764583333333341</v>
      </c>
      <c r="K351" s="77"/>
      <c r="L351" s="77">
        <v>90</v>
      </c>
      <c r="M351" s="81">
        <f t="shared" si="353"/>
        <v>4316.2175000000043</v>
      </c>
      <c r="N351" s="2">
        <v>12662.632166666664</v>
      </c>
      <c r="O351" s="2">
        <v>914.0370833333335</v>
      </c>
      <c r="P351" s="2">
        <v>274.63000000000005</v>
      </c>
      <c r="Q351" s="2"/>
      <c r="R351" s="77">
        <v>0</v>
      </c>
      <c r="S351" s="81">
        <f t="shared" ref="S351:S357" si="413">SUM(N351:R351)</f>
        <v>13851.299249999996</v>
      </c>
      <c r="T351" s="77">
        <v>700</v>
      </c>
      <c r="U351" s="77">
        <v>304.20499999999998</v>
      </c>
      <c r="V351" s="77">
        <v>257.89708333333368</v>
      </c>
      <c r="W351" s="77">
        <v>896.52333333333229</v>
      </c>
      <c r="X351" s="82">
        <f t="shared" si="354"/>
        <v>2158.6254166666658</v>
      </c>
      <c r="Y351" s="77">
        <v>0</v>
      </c>
      <c r="Z351" s="77">
        <v>1297.5432916666668</v>
      </c>
      <c r="AA351" s="77">
        <v>0</v>
      </c>
      <c r="AB351" s="82">
        <f t="shared" si="355"/>
        <v>1297.5432916666668</v>
      </c>
      <c r="AC351" s="84">
        <f t="shared" ref="AC351:AC359" si="414">+T351+V351+W351</f>
        <v>1854.4204166666659</v>
      </c>
      <c r="AD351" s="39">
        <v>3000</v>
      </c>
      <c r="AE351" s="40">
        <f t="shared" ref="AE351:AE359" si="415">+N351-AD351</f>
        <v>9662.6321666666645</v>
      </c>
      <c r="AF351" s="1">
        <f t="shared" ref="AF351:AF359" si="416">12*AJ351</f>
        <v>13.200000000000001</v>
      </c>
      <c r="AG351" s="1">
        <f t="shared" ref="AG351:AG359" si="417">12*AK351</f>
        <v>18</v>
      </c>
      <c r="AH351" s="41">
        <f t="shared" ref="AH351:AH359" si="418">+(AD351*AF351+AG351*AE351)/SUM(AD351:AE351)</f>
        <v>16.86279568019777</v>
      </c>
      <c r="AJ351">
        <v>1.1000000000000001</v>
      </c>
      <c r="AK351">
        <v>1.5</v>
      </c>
      <c r="AL351" s="32">
        <f t="shared" ref="AL351:AL357" si="419">+AD351+AE351</f>
        <v>12662.632166666664</v>
      </c>
      <c r="AM351" s="4">
        <f t="shared" ref="AM351:AM357" si="420">+AD351/AL351</f>
        <v>0.23691756662546454</v>
      </c>
      <c r="AN351" s="4">
        <f t="shared" ref="AN351:AN357" si="421">+AE351/AL351</f>
        <v>0.76308243337453541</v>
      </c>
    </row>
    <row r="352" spans="1:40" ht="14.25" customHeight="1" x14ac:dyDescent="0.3">
      <c r="A352" s="84"/>
      <c r="C352" s="1">
        <f>+Precios!A352</f>
        <v>2026</v>
      </c>
      <c r="D352" s="52">
        <f>+Precios!B352</f>
        <v>46235</v>
      </c>
      <c r="E352" s="1">
        <v>16</v>
      </c>
      <c r="F352" s="1" t="str">
        <f>+Precios!C352</f>
        <v>lun</v>
      </c>
      <c r="G352" s="5">
        <f>+Precios!D352</f>
        <v>46258</v>
      </c>
      <c r="H352" s="77">
        <v>4736.6920833333388</v>
      </c>
      <c r="I352" s="77">
        <v>0.22750000000000001</v>
      </c>
      <c r="J352" s="77">
        <v>64.068333333333328</v>
      </c>
      <c r="K352" s="77"/>
      <c r="L352" s="77">
        <v>90</v>
      </c>
      <c r="M352" s="81">
        <f t="shared" si="353"/>
        <v>4890.9879166666724</v>
      </c>
      <c r="N352" s="2">
        <v>12325.593749999993</v>
      </c>
      <c r="O352" s="2">
        <v>961.35624999999982</v>
      </c>
      <c r="P352" s="2">
        <v>274.63000000000005</v>
      </c>
      <c r="Q352" s="2"/>
      <c r="R352" s="77">
        <v>0</v>
      </c>
      <c r="S352" s="81">
        <f t="shared" si="413"/>
        <v>13561.579999999993</v>
      </c>
      <c r="T352" s="77">
        <v>700</v>
      </c>
      <c r="U352" s="77">
        <v>187.62625</v>
      </c>
      <c r="V352" s="77">
        <v>254.75010416666674</v>
      </c>
      <c r="W352" s="77">
        <v>1585.4029166666649</v>
      </c>
      <c r="X352" s="82">
        <f t="shared" si="354"/>
        <v>2727.7792708333318</v>
      </c>
      <c r="Y352" s="77">
        <v>0</v>
      </c>
      <c r="Z352" s="77">
        <v>1301.0527500000001</v>
      </c>
      <c r="AA352" s="77">
        <v>0</v>
      </c>
      <c r="AB352" s="82">
        <f t="shared" si="355"/>
        <v>1301.0527500000001</v>
      </c>
      <c r="AC352" s="84">
        <f t="shared" si="414"/>
        <v>2540.1530208333315</v>
      </c>
      <c r="AD352" s="39">
        <v>3000</v>
      </c>
      <c r="AE352" s="40">
        <f t="shared" si="415"/>
        <v>9325.5937499999927</v>
      </c>
      <c r="AF352" s="1">
        <f t="shared" si="416"/>
        <v>13.200000000000001</v>
      </c>
      <c r="AG352" s="1">
        <f t="shared" si="417"/>
        <v>18</v>
      </c>
      <c r="AH352" s="41">
        <f t="shared" si="418"/>
        <v>16.831699284263689</v>
      </c>
      <c r="AJ352">
        <v>1.1000000000000001</v>
      </c>
      <c r="AK352">
        <v>1.5</v>
      </c>
      <c r="AL352" s="32">
        <f t="shared" si="419"/>
        <v>12325.593749999993</v>
      </c>
      <c r="AM352" s="4">
        <f t="shared" si="420"/>
        <v>0.24339598244506491</v>
      </c>
      <c r="AN352" s="4">
        <f t="shared" si="421"/>
        <v>0.75660401755493512</v>
      </c>
    </row>
    <row r="353" spans="1:40" ht="14.25" customHeight="1" x14ac:dyDescent="0.3">
      <c r="A353" s="84"/>
      <c r="C353" s="1">
        <f>+Precios!A353</f>
        <v>2026</v>
      </c>
      <c r="D353" s="52">
        <f>+Precios!B353</f>
        <v>46235</v>
      </c>
      <c r="E353" s="1">
        <v>16</v>
      </c>
      <c r="F353" s="1" t="str">
        <f>+Precios!C353</f>
        <v>mar</v>
      </c>
      <c r="G353" s="5">
        <f>+Precios!D353</f>
        <v>46259</v>
      </c>
      <c r="H353" s="77">
        <v>4214.9658333333309</v>
      </c>
      <c r="I353" s="77">
        <v>0</v>
      </c>
      <c r="J353" s="77">
        <v>82.956666666666663</v>
      </c>
      <c r="K353" s="77"/>
      <c r="L353" s="77">
        <v>90</v>
      </c>
      <c r="M353" s="81">
        <f t="shared" si="353"/>
        <v>4387.9224999999979</v>
      </c>
      <c r="N353" s="2">
        <v>12656.70958333333</v>
      </c>
      <c r="O353" s="2">
        <v>1005.3549999999998</v>
      </c>
      <c r="P353" s="2">
        <v>274.63000000000005</v>
      </c>
      <c r="Q353" s="2"/>
      <c r="R353" s="77">
        <v>0</v>
      </c>
      <c r="S353" s="81">
        <f t="shared" si="413"/>
        <v>13936.694583333328</v>
      </c>
      <c r="T353" s="77">
        <v>700</v>
      </c>
      <c r="U353" s="77">
        <v>190.4054166666667</v>
      </c>
      <c r="V353" s="77">
        <v>268.08712499999967</v>
      </c>
      <c r="W353" s="77">
        <v>1966.1270833333333</v>
      </c>
      <c r="X353" s="82">
        <f t="shared" si="354"/>
        <v>3124.6196249999998</v>
      </c>
      <c r="Y353" s="77">
        <v>0</v>
      </c>
      <c r="Z353" s="77">
        <v>1298.0797083333334</v>
      </c>
      <c r="AA353" s="77">
        <v>0</v>
      </c>
      <c r="AB353" s="82">
        <f t="shared" si="355"/>
        <v>1298.0797083333334</v>
      </c>
      <c r="AC353" s="84">
        <f t="shared" si="414"/>
        <v>2934.2142083333329</v>
      </c>
      <c r="AD353" s="39">
        <v>3000</v>
      </c>
      <c r="AE353" s="40">
        <f t="shared" si="415"/>
        <v>9656.7095833333296</v>
      </c>
      <c r="AF353" s="1">
        <f t="shared" si="416"/>
        <v>13.200000000000001</v>
      </c>
      <c r="AG353" s="1">
        <f t="shared" si="417"/>
        <v>18</v>
      </c>
      <c r="AH353" s="41">
        <f t="shared" si="418"/>
        <v>16.862263536570179</v>
      </c>
      <c r="AJ353">
        <v>1.1000000000000001</v>
      </c>
      <c r="AK353">
        <v>1.5</v>
      </c>
      <c r="AL353" s="32">
        <f t="shared" si="419"/>
        <v>12656.70958333333</v>
      </c>
      <c r="AM353" s="4">
        <f t="shared" si="420"/>
        <v>0.23702842988121295</v>
      </c>
      <c r="AN353" s="4">
        <f t="shared" si="421"/>
        <v>0.76297157011878702</v>
      </c>
    </row>
    <row r="354" spans="1:40" ht="14.25" customHeight="1" x14ac:dyDescent="0.3">
      <c r="A354" s="84"/>
      <c r="C354" s="1">
        <f>+Precios!A354</f>
        <v>2026</v>
      </c>
      <c r="D354" s="52">
        <f>+Precios!B354</f>
        <v>46235</v>
      </c>
      <c r="E354" s="1">
        <v>16</v>
      </c>
      <c r="F354" s="1" t="str">
        <f>+Precios!C354</f>
        <v>mié</v>
      </c>
      <c r="G354" s="5">
        <f>+Precios!D354</f>
        <v>46260</v>
      </c>
      <c r="H354" s="77">
        <v>3727.6062500000035</v>
      </c>
      <c r="I354" s="77">
        <v>0</v>
      </c>
      <c r="J354" s="77">
        <v>37.016250000000007</v>
      </c>
      <c r="K354" s="77"/>
      <c r="L354" s="77">
        <v>90</v>
      </c>
      <c r="M354" s="81">
        <f t="shared" si="353"/>
        <v>3854.6225000000036</v>
      </c>
      <c r="N354" s="2">
        <v>12860.409041666664</v>
      </c>
      <c r="O354" s="2">
        <v>1005.3549999999998</v>
      </c>
      <c r="P354" s="2">
        <v>274.63000000000005</v>
      </c>
      <c r="Q354" s="2"/>
      <c r="R354" s="77">
        <v>0</v>
      </c>
      <c r="S354" s="81">
        <f t="shared" si="413"/>
        <v>14140.394041666663</v>
      </c>
      <c r="T354" s="77">
        <v>700</v>
      </c>
      <c r="U354" s="77">
        <v>187.00833333333333</v>
      </c>
      <c r="V354" s="77">
        <v>277.12770833333332</v>
      </c>
      <c r="W354" s="77">
        <v>1873.2166666666715</v>
      </c>
      <c r="X354" s="82">
        <f t="shared" si="354"/>
        <v>3037.3527083333383</v>
      </c>
      <c r="Y354" s="77">
        <v>0</v>
      </c>
      <c r="Z354" s="77">
        <v>1292.4282500000002</v>
      </c>
      <c r="AA354" s="77">
        <v>0</v>
      </c>
      <c r="AB354" s="82">
        <f t="shared" si="355"/>
        <v>1292.4282500000002</v>
      </c>
      <c r="AC354" s="84">
        <f t="shared" si="414"/>
        <v>2850.3443750000047</v>
      </c>
      <c r="AD354" s="39">
        <v>3000</v>
      </c>
      <c r="AE354" s="40">
        <f t="shared" si="415"/>
        <v>9860.4090416666641</v>
      </c>
      <c r="AF354" s="1">
        <f t="shared" si="416"/>
        <v>13.200000000000001</v>
      </c>
      <c r="AG354" s="1">
        <f t="shared" si="417"/>
        <v>18</v>
      </c>
      <c r="AH354" s="41">
        <f t="shared" si="418"/>
        <v>16.880284448702589</v>
      </c>
      <c r="AJ354">
        <v>1.1000000000000001</v>
      </c>
      <c r="AK354">
        <v>1.5</v>
      </c>
      <c r="AL354" s="32">
        <f t="shared" si="419"/>
        <v>12860.409041666664</v>
      </c>
      <c r="AM354" s="4">
        <f t="shared" si="420"/>
        <v>0.23327407318696067</v>
      </c>
      <c r="AN354" s="4">
        <f t="shared" si="421"/>
        <v>0.7667259268130393</v>
      </c>
    </row>
    <row r="355" spans="1:40" ht="14.25" customHeight="1" x14ac:dyDescent="0.3">
      <c r="A355" s="84"/>
      <c r="C355" s="1">
        <f>+Precios!A355</f>
        <v>2026</v>
      </c>
      <c r="D355" s="52">
        <f>+Precios!B355</f>
        <v>46235</v>
      </c>
      <c r="E355" s="1">
        <v>16</v>
      </c>
      <c r="F355" s="1" t="str">
        <f>+Precios!C355</f>
        <v>jue</v>
      </c>
      <c r="G355" s="5">
        <f>+Precios!D355</f>
        <v>46261</v>
      </c>
      <c r="H355" s="77">
        <v>3771.0875000000005</v>
      </c>
      <c r="I355" s="77">
        <v>109.91375000000001</v>
      </c>
      <c r="J355" s="77">
        <v>120.59000000000003</v>
      </c>
      <c r="K355" s="77"/>
      <c r="L355" s="77">
        <v>90</v>
      </c>
      <c r="M355" s="81">
        <f t="shared" si="353"/>
        <v>4091.5912500000009</v>
      </c>
      <c r="N355" s="2">
        <v>13045.882416666662</v>
      </c>
      <c r="O355" s="2">
        <v>1001.1775833333334</v>
      </c>
      <c r="P355" s="2">
        <v>274.63000000000005</v>
      </c>
      <c r="Q355" s="2"/>
      <c r="R355" s="77">
        <v>0</v>
      </c>
      <c r="S355" s="81">
        <f t="shared" si="413"/>
        <v>14321.689999999995</v>
      </c>
      <c r="T355" s="77">
        <v>700</v>
      </c>
      <c r="U355" s="77">
        <v>221.35208333333335</v>
      </c>
      <c r="V355" s="77">
        <v>294.50268750000032</v>
      </c>
      <c r="W355" s="77">
        <v>1416.494583333335</v>
      </c>
      <c r="X355" s="82">
        <f t="shared" si="354"/>
        <v>2632.3493541666685</v>
      </c>
      <c r="Y355" s="77">
        <v>0</v>
      </c>
      <c r="Z355" s="77">
        <v>1291.1927916666668</v>
      </c>
      <c r="AA355" s="77">
        <v>0</v>
      </c>
      <c r="AB355" s="82">
        <f t="shared" si="355"/>
        <v>1291.1927916666668</v>
      </c>
      <c r="AC355" s="84">
        <f t="shared" si="414"/>
        <v>2410.9972708333353</v>
      </c>
      <c r="AD355" s="39">
        <v>3000</v>
      </c>
      <c r="AE355" s="40">
        <f t="shared" si="415"/>
        <v>10045.882416666662</v>
      </c>
      <c r="AF355" s="1">
        <f t="shared" si="416"/>
        <v>13.200000000000001</v>
      </c>
      <c r="AG355" s="1">
        <f t="shared" si="417"/>
        <v>18</v>
      </c>
      <c r="AH355" s="41">
        <f t="shared" si="418"/>
        <v>16.896203450247</v>
      </c>
      <c r="AJ355">
        <v>1.1000000000000001</v>
      </c>
      <c r="AK355">
        <v>1.5</v>
      </c>
      <c r="AL355" s="32">
        <f t="shared" si="419"/>
        <v>13045.882416666662</v>
      </c>
      <c r="AM355" s="4">
        <f t="shared" si="420"/>
        <v>0.22995761453187516</v>
      </c>
      <c r="AN355" s="4">
        <f t="shared" si="421"/>
        <v>0.77004238546812487</v>
      </c>
    </row>
    <row r="356" spans="1:40" ht="14.25" customHeight="1" x14ac:dyDescent="0.3">
      <c r="A356" s="84"/>
      <c r="C356" s="1">
        <f>+Precios!A356</f>
        <v>2026</v>
      </c>
      <c r="D356" s="52">
        <f>+Precios!B356</f>
        <v>46235</v>
      </c>
      <c r="E356" s="1">
        <v>16</v>
      </c>
      <c r="F356" s="1" t="str">
        <f>+Precios!C356</f>
        <v>vie</v>
      </c>
      <c r="G356" s="5">
        <f>+Precios!D356</f>
        <v>46262</v>
      </c>
      <c r="H356" s="77">
        <v>3793.1420833333295</v>
      </c>
      <c r="I356" s="77">
        <v>71.860000000000014</v>
      </c>
      <c r="J356" s="77">
        <v>90.368333333333297</v>
      </c>
      <c r="K356" s="77"/>
      <c r="L356" s="77">
        <v>90</v>
      </c>
      <c r="M356" s="81">
        <f t="shared" si="353"/>
        <v>4045.370416666663</v>
      </c>
      <c r="N356" s="2">
        <v>13085.279749999994</v>
      </c>
      <c r="O356" s="2">
        <v>998.12124999999992</v>
      </c>
      <c r="P356" s="2">
        <v>265.86333333333334</v>
      </c>
      <c r="Q356" s="2"/>
      <c r="R356" s="77">
        <v>0</v>
      </c>
      <c r="S356" s="81">
        <f t="shared" si="413"/>
        <v>14349.264333333327</v>
      </c>
      <c r="T356" s="77">
        <v>700</v>
      </c>
      <c r="U356" s="77">
        <v>190.41000000000005</v>
      </c>
      <c r="V356" s="77">
        <v>291.9562291666673</v>
      </c>
      <c r="W356" s="77">
        <v>1095.8716666666685</v>
      </c>
      <c r="X356" s="82">
        <f t="shared" si="354"/>
        <v>2278.2378958333356</v>
      </c>
      <c r="Y356" s="77">
        <v>0</v>
      </c>
      <c r="Z356" s="77">
        <v>1292.2506250000001</v>
      </c>
      <c r="AA356" s="77">
        <v>0</v>
      </c>
      <c r="AB356" s="82">
        <f t="shared" si="355"/>
        <v>1292.2506250000001</v>
      </c>
      <c r="AC356" s="84">
        <f t="shared" si="414"/>
        <v>2087.8278958333358</v>
      </c>
      <c r="AD356" s="39">
        <v>3000</v>
      </c>
      <c r="AE356" s="40">
        <f t="shared" si="415"/>
        <v>10085.279749999994</v>
      </c>
      <c r="AF356" s="1">
        <f t="shared" si="416"/>
        <v>13.200000000000001</v>
      </c>
      <c r="AG356" s="1">
        <f t="shared" si="417"/>
        <v>18</v>
      </c>
      <c r="AH356" s="41">
        <f t="shared" si="418"/>
        <v>16.899526775497481</v>
      </c>
      <c r="AJ356">
        <v>1.1000000000000001</v>
      </c>
      <c r="AK356">
        <v>1.5</v>
      </c>
      <c r="AL356" s="32">
        <f t="shared" si="419"/>
        <v>13085.279749999994</v>
      </c>
      <c r="AM356" s="4">
        <f t="shared" si="420"/>
        <v>0.22926525510469131</v>
      </c>
      <c r="AN356" s="4">
        <f t="shared" si="421"/>
        <v>0.77073474489530869</v>
      </c>
    </row>
    <row r="357" spans="1:40" ht="14.25" customHeight="1" x14ac:dyDescent="0.3">
      <c r="A357" s="84"/>
      <c r="C357" s="1">
        <f>+Precios!A357</f>
        <v>2026</v>
      </c>
      <c r="D357" s="52">
        <f>+Precios!B357</f>
        <v>46235</v>
      </c>
      <c r="E357" s="1">
        <v>6</v>
      </c>
      <c r="F357" s="1" t="str">
        <f>+Precios!C357</f>
        <v>sáb</v>
      </c>
      <c r="G357" s="5">
        <f>+Precios!D357</f>
        <v>46263</v>
      </c>
      <c r="H357" s="77">
        <v>3724.0299999999997</v>
      </c>
      <c r="I357" s="77">
        <v>32.213749999999997</v>
      </c>
      <c r="J357" s="77">
        <v>65.837916666666644</v>
      </c>
      <c r="K357" s="77"/>
      <c r="L357" s="77">
        <v>90</v>
      </c>
      <c r="M357" s="81">
        <f t="shared" si="353"/>
        <v>3912.0816666666665</v>
      </c>
      <c r="N357" s="2">
        <v>13120.506458333328</v>
      </c>
      <c r="O357" s="2">
        <v>986.14999999999986</v>
      </c>
      <c r="P357" s="2">
        <v>274.63000000000005</v>
      </c>
      <c r="Q357" s="2"/>
      <c r="R357" s="77">
        <v>0</v>
      </c>
      <c r="S357" s="81">
        <f t="shared" si="413"/>
        <v>14381.286458333327</v>
      </c>
      <c r="T357" s="77">
        <v>700</v>
      </c>
      <c r="U357" s="77">
        <v>312.86208333333332</v>
      </c>
      <c r="V357" s="77">
        <v>257.08856250000076</v>
      </c>
      <c r="W357" s="77">
        <v>1076.2912500000002</v>
      </c>
      <c r="X357" s="82">
        <f t="shared" si="354"/>
        <v>2346.2418958333342</v>
      </c>
      <c r="Y357" s="77">
        <v>0</v>
      </c>
      <c r="Z357" s="77">
        <v>1293.0533750000002</v>
      </c>
      <c r="AA357" s="77">
        <v>0</v>
      </c>
      <c r="AB357" s="82">
        <f t="shared" si="355"/>
        <v>1293.0533750000002</v>
      </c>
      <c r="AC357" s="84">
        <f t="shared" si="414"/>
        <v>2033.379812500001</v>
      </c>
      <c r="AD357" s="39">
        <v>3000</v>
      </c>
      <c r="AE357" s="40">
        <f t="shared" si="415"/>
        <v>10120.506458333328</v>
      </c>
      <c r="AF357" s="1">
        <f t="shared" si="416"/>
        <v>13.200000000000001</v>
      </c>
      <c r="AG357" s="1">
        <f t="shared" si="417"/>
        <v>18</v>
      </c>
      <c r="AH357" s="41">
        <f t="shared" si="418"/>
        <v>16.902481390811403</v>
      </c>
      <c r="AJ357">
        <v>1.1000000000000001</v>
      </c>
      <c r="AK357">
        <v>1.5</v>
      </c>
      <c r="AL357" s="32">
        <f t="shared" si="419"/>
        <v>13120.506458333328</v>
      </c>
      <c r="AM357" s="4">
        <f t="shared" si="420"/>
        <v>0.2286497102476244</v>
      </c>
      <c r="AN357" s="4">
        <f t="shared" si="421"/>
        <v>0.77135028975237563</v>
      </c>
    </row>
    <row r="358" spans="1:40" ht="14.25" customHeight="1" x14ac:dyDescent="0.3">
      <c r="A358" s="84"/>
      <c r="C358" s="1">
        <f>+Precios!A358</f>
        <v>2026</v>
      </c>
      <c r="D358" s="52">
        <f>+Precios!B358</f>
        <v>46235</v>
      </c>
      <c r="E358" s="1">
        <v>4</v>
      </c>
      <c r="F358" s="1" t="str">
        <f>+Precios!C358</f>
        <v>dom</v>
      </c>
      <c r="G358" s="5">
        <f>+Precios!D358</f>
        <v>46264</v>
      </c>
      <c r="H358" s="77">
        <v>3089.3712500000006</v>
      </c>
      <c r="I358" s="77">
        <v>0</v>
      </c>
      <c r="J358" s="77">
        <v>11.731249999999998</v>
      </c>
      <c r="K358" s="77"/>
      <c r="L358" s="77">
        <v>90</v>
      </c>
      <c r="M358" s="81">
        <f t="shared" si="353"/>
        <v>3191.1025000000004</v>
      </c>
      <c r="N358" s="2">
        <v>12462.255666666666</v>
      </c>
      <c r="O358" s="2">
        <v>986.14999999999986</v>
      </c>
      <c r="P358" s="2">
        <v>274.63000000000005</v>
      </c>
      <c r="Q358" s="2"/>
      <c r="R358" s="77">
        <v>0</v>
      </c>
      <c r="S358" s="81">
        <f t="shared" ref="S358:S359" si="422">SUM(N358:R358)</f>
        <v>13723.035666666665</v>
      </c>
      <c r="T358" s="77">
        <v>700</v>
      </c>
      <c r="U358" s="77">
        <v>202.38541666666666</v>
      </c>
      <c r="V358" s="77">
        <v>231.95395833333367</v>
      </c>
      <c r="W358" s="77">
        <v>1521.9854166666653</v>
      </c>
      <c r="X358" s="82">
        <f t="shared" si="354"/>
        <v>2656.3247916666655</v>
      </c>
      <c r="Y358" s="77">
        <v>0</v>
      </c>
      <c r="Z358" s="77">
        <v>1292.6210000000003</v>
      </c>
      <c r="AA358" s="77">
        <v>0</v>
      </c>
      <c r="AB358" s="82">
        <f t="shared" si="355"/>
        <v>1292.6210000000003</v>
      </c>
      <c r="AC358" s="84">
        <f t="shared" ref="AC358" si="423">+T358+V358+W358</f>
        <v>2453.939374999999</v>
      </c>
      <c r="AD358" s="39">
        <v>3000</v>
      </c>
      <c r="AE358" s="40">
        <f t="shared" ref="AE358" si="424">+N358-AD358</f>
        <v>9462.255666666666</v>
      </c>
      <c r="AF358" s="1">
        <f t="shared" ref="AF358" si="425">12*AJ358</f>
        <v>13.200000000000001</v>
      </c>
      <c r="AG358" s="1">
        <f t="shared" ref="AG358" si="426">12*AK358</f>
        <v>18</v>
      </c>
      <c r="AH358" s="41">
        <f t="shared" ref="AH358" si="427">+(AD358*AF358+AG358*AE358)/SUM(AD358:AE358)</f>
        <v>16.844510946881286</v>
      </c>
      <c r="AJ358">
        <v>1.1000000000000001</v>
      </c>
      <c r="AK358">
        <v>1.5</v>
      </c>
      <c r="AL358" s="32">
        <f t="shared" ref="AL358:AL359" si="428">+AD358+AE358</f>
        <v>12462.255666666666</v>
      </c>
      <c r="AM358" s="4">
        <f t="shared" ref="AM358:AM359" si="429">+AD358/AL358</f>
        <v>0.24072688606639886</v>
      </c>
      <c r="AN358" s="4">
        <f t="shared" ref="AN358:AN359" si="430">+AE358/AL358</f>
        <v>0.7592731139336012</v>
      </c>
    </row>
    <row r="359" spans="1:40" ht="14.25" customHeight="1" x14ac:dyDescent="0.3">
      <c r="A359" s="84"/>
      <c r="C359" s="1">
        <f>+Precios!A359</f>
        <v>2026</v>
      </c>
      <c r="D359" s="52">
        <f>+Precios!B359</f>
        <v>46235</v>
      </c>
      <c r="E359" s="1">
        <v>16</v>
      </c>
      <c r="F359" s="1" t="str">
        <f>+Precios!C359</f>
        <v>lun</v>
      </c>
      <c r="G359" s="5">
        <f>+Precios!D359</f>
        <v>46265</v>
      </c>
      <c r="H359" s="77">
        <v>3350.2445833333259</v>
      </c>
      <c r="I359" s="77">
        <v>66.091666666666669</v>
      </c>
      <c r="J359" s="77">
        <v>47.827499999999986</v>
      </c>
      <c r="K359" s="77"/>
      <c r="L359" s="77">
        <v>90</v>
      </c>
      <c r="M359" s="81">
        <f t="shared" si="353"/>
        <v>3554.1637499999924</v>
      </c>
      <c r="N359" s="2">
        <v>12419.049708333336</v>
      </c>
      <c r="O359" s="2">
        <v>726.36374999999998</v>
      </c>
      <c r="P359" s="2">
        <v>275.96841666666671</v>
      </c>
      <c r="Q359" s="2"/>
      <c r="R359" s="77">
        <v>0</v>
      </c>
      <c r="S359" s="81">
        <f t="shared" si="422"/>
        <v>13421.381875000003</v>
      </c>
      <c r="T359" s="77">
        <v>700</v>
      </c>
      <c r="U359" s="77">
        <v>186.66416666666669</v>
      </c>
      <c r="V359" s="77">
        <v>230.10739583333367</v>
      </c>
      <c r="W359" s="77">
        <v>1836.3929166666667</v>
      </c>
      <c r="X359" s="82">
        <f t="shared" si="354"/>
        <v>2953.1644791666668</v>
      </c>
      <c r="Y359" s="77">
        <v>0</v>
      </c>
      <c r="Z359" s="77">
        <v>1285.9375</v>
      </c>
      <c r="AA359" s="77">
        <v>0</v>
      </c>
      <c r="AB359" s="82">
        <f t="shared" si="355"/>
        <v>1285.9375</v>
      </c>
      <c r="AC359" s="84">
        <f t="shared" si="414"/>
        <v>2766.5003125000003</v>
      </c>
      <c r="AD359" s="39">
        <v>3000</v>
      </c>
      <c r="AE359" s="40">
        <f t="shared" si="415"/>
        <v>9419.0497083333357</v>
      </c>
      <c r="AF359" s="1">
        <f t="shared" si="416"/>
        <v>13.200000000000001</v>
      </c>
      <c r="AG359" s="1">
        <f t="shared" si="417"/>
        <v>18</v>
      </c>
      <c r="AH359" s="41">
        <f t="shared" si="418"/>
        <v>16.840490992612953</v>
      </c>
      <c r="AJ359">
        <v>1.1000000000000001</v>
      </c>
      <c r="AK359">
        <v>1.5</v>
      </c>
      <c r="AL359" s="32">
        <f t="shared" si="428"/>
        <v>12419.049708333336</v>
      </c>
      <c r="AM359" s="4">
        <f t="shared" si="429"/>
        <v>0.24156437653896842</v>
      </c>
      <c r="AN359" s="4">
        <f t="shared" si="430"/>
        <v>0.75843562346103155</v>
      </c>
    </row>
    <row r="360" spans="1:40" ht="14.25" customHeight="1" x14ac:dyDescent="0.3">
      <c r="A360" s="84"/>
      <c r="C360" s="1">
        <f>+Precios!A360</f>
        <v>2026</v>
      </c>
      <c r="D360" s="52">
        <f>+Precios!B360</f>
        <v>46266</v>
      </c>
      <c r="E360" s="1">
        <v>16</v>
      </c>
      <c r="F360" s="1" t="str">
        <f>+Precios!C360</f>
        <v>mar</v>
      </c>
      <c r="G360" s="5">
        <f>+Precios!D360</f>
        <v>46266</v>
      </c>
      <c r="H360" s="77">
        <v>4130.9683333333351</v>
      </c>
      <c r="I360" s="77">
        <v>212.77458333333334</v>
      </c>
      <c r="J360" s="77">
        <v>37.671249999999993</v>
      </c>
      <c r="K360" s="77"/>
      <c r="L360" s="77">
        <v>150</v>
      </c>
      <c r="M360" s="81">
        <f t="shared" si="353"/>
        <v>4531.4141666666683</v>
      </c>
      <c r="N360" s="2">
        <v>12891.485041666658</v>
      </c>
      <c r="O360" s="2">
        <v>667.96833333333325</v>
      </c>
      <c r="P360" s="2">
        <v>274.91045833333334</v>
      </c>
      <c r="Q360" s="2"/>
      <c r="R360" s="77">
        <v>0</v>
      </c>
      <c r="S360" s="81">
        <f t="shared" ref="S360:S366" si="431">SUM(N360:R360)</f>
        <v>13834.363833333324</v>
      </c>
      <c r="T360" s="77">
        <v>650</v>
      </c>
      <c r="U360" s="77">
        <v>202.44541666666666</v>
      </c>
      <c r="V360" s="77">
        <v>313.87149999999986</v>
      </c>
      <c r="W360" s="77">
        <v>940.04416666666589</v>
      </c>
      <c r="X360" s="82">
        <f t="shared" ref="X360:X366" si="432">SUM(T360:W360)</f>
        <v>2106.3610833333323</v>
      </c>
      <c r="Y360" s="77">
        <v>0</v>
      </c>
      <c r="Z360" s="77">
        <v>1299.3986041666667</v>
      </c>
      <c r="AA360" s="77">
        <v>0</v>
      </c>
      <c r="AB360" s="82">
        <f t="shared" ref="AB360:AB366" si="433">SUM(Y360:AA360)</f>
        <v>1299.3986041666667</v>
      </c>
      <c r="AC360" s="84">
        <f t="shared" ref="AC360:AC366" si="434">+T360+V360+W360</f>
        <v>1903.9156666666659</v>
      </c>
      <c r="AD360" s="39">
        <v>3000</v>
      </c>
      <c r="AE360" s="40">
        <f t="shared" ref="AE360:AE366" si="435">+N360-AD360</f>
        <v>9891.4850416666577</v>
      </c>
      <c r="AF360" s="1">
        <f t="shared" ref="AF360:AF366" si="436">12*AJ360</f>
        <v>10.8</v>
      </c>
      <c r="AG360" s="1">
        <f t="shared" ref="AG360:AG366" si="437">12*AK360</f>
        <v>18</v>
      </c>
      <c r="AH360" s="41">
        <f t="shared" ref="AH360:AH366" si="438">+(AD360*AF360+AG360*AE360)/SUM(AD360:AE360)</f>
        <v>16.324475424655382</v>
      </c>
      <c r="AJ360">
        <v>0.9</v>
      </c>
      <c r="AK360">
        <v>1.5</v>
      </c>
      <c r="AL360" s="32">
        <f t="shared" ref="AL360:AL366" si="439">+AD360+AE360</f>
        <v>12891.485041666658</v>
      </c>
      <c r="AM360" s="4">
        <f t="shared" ref="AM360:AM366" si="440">+AD360/AL360</f>
        <v>0.23271174657564114</v>
      </c>
      <c r="AN360" s="4">
        <f t="shared" ref="AN360:AN366" si="441">+AE360/AL360</f>
        <v>0.7672882534243588</v>
      </c>
    </row>
    <row r="361" spans="1:40" ht="14.25" customHeight="1" x14ac:dyDescent="0.3">
      <c r="A361" s="84"/>
      <c r="C361" s="1">
        <f>+Precios!A361</f>
        <v>2026</v>
      </c>
      <c r="D361" s="52">
        <f>+Precios!B361</f>
        <v>46266</v>
      </c>
      <c r="E361" s="1">
        <v>16</v>
      </c>
      <c r="F361" s="1" t="str">
        <f>+Precios!C361</f>
        <v>mié</v>
      </c>
      <c r="G361" s="5">
        <f>+Precios!D361</f>
        <v>46267</v>
      </c>
      <c r="H361" s="77">
        <v>3493.1950000000061</v>
      </c>
      <c r="I361" s="77">
        <v>291.37624999999997</v>
      </c>
      <c r="J361" s="77">
        <v>69.227916666666673</v>
      </c>
      <c r="K361" s="77"/>
      <c r="L361" s="77">
        <v>150</v>
      </c>
      <c r="M361" s="81">
        <f t="shared" si="353"/>
        <v>4003.7991666666726</v>
      </c>
      <c r="N361" s="2">
        <v>13116.732874999991</v>
      </c>
      <c r="O361" s="2">
        <v>718.32358333333332</v>
      </c>
      <c r="P361" s="2">
        <v>275.32558333333333</v>
      </c>
      <c r="Q361" s="2"/>
      <c r="R361" s="77">
        <v>0</v>
      </c>
      <c r="S361" s="81">
        <f t="shared" si="431"/>
        <v>14110.382041666657</v>
      </c>
      <c r="T361" s="77">
        <v>650</v>
      </c>
      <c r="U361" s="77">
        <v>192.90666666666664</v>
      </c>
      <c r="V361" s="77">
        <v>304.27654166666656</v>
      </c>
      <c r="W361" s="77">
        <v>1622.5262500000017</v>
      </c>
      <c r="X361" s="82">
        <f t="shared" si="432"/>
        <v>2769.7094583333346</v>
      </c>
      <c r="Y361" s="77">
        <v>0</v>
      </c>
      <c r="Z361" s="77">
        <v>1305.6000000000001</v>
      </c>
      <c r="AA361" s="77">
        <v>0</v>
      </c>
      <c r="AB361" s="82">
        <f t="shared" si="433"/>
        <v>1305.6000000000001</v>
      </c>
      <c r="AC361" s="84">
        <f t="shared" si="434"/>
        <v>2576.8027916666683</v>
      </c>
      <c r="AD361" s="39">
        <v>3000</v>
      </c>
      <c r="AE361" s="40">
        <f t="shared" si="435"/>
        <v>10116.732874999991</v>
      </c>
      <c r="AF361" s="1">
        <f t="shared" si="436"/>
        <v>10.8</v>
      </c>
      <c r="AG361" s="1">
        <f t="shared" si="437"/>
        <v>18</v>
      </c>
      <c r="AH361" s="41">
        <f t="shared" si="438"/>
        <v>16.353248464701998</v>
      </c>
      <c r="AJ361">
        <v>0.9</v>
      </c>
      <c r="AK361">
        <v>1.5</v>
      </c>
      <c r="AL361" s="32">
        <f t="shared" si="439"/>
        <v>13116.732874999991</v>
      </c>
      <c r="AM361" s="4">
        <f t="shared" si="440"/>
        <v>0.22871549101361127</v>
      </c>
      <c r="AN361" s="4">
        <f t="shared" si="441"/>
        <v>0.77128450898638867</v>
      </c>
    </row>
    <row r="362" spans="1:40" ht="14.25" customHeight="1" x14ac:dyDescent="0.3">
      <c r="A362" s="84"/>
      <c r="C362" s="1">
        <f>+Precios!A362</f>
        <v>2026</v>
      </c>
      <c r="D362" s="52">
        <f>+Precios!B362</f>
        <v>46266</v>
      </c>
      <c r="E362" s="1">
        <v>16</v>
      </c>
      <c r="F362" s="1" t="str">
        <f>+Precios!C362</f>
        <v>jue</v>
      </c>
      <c r="G362" s="5">
        <f>+Precios!D362</f>
        <v>46268</v>
      </c>
      <c r="H362" s="77">
        <v>3523.0045833333388</v>
      </c>
      <c r="I362" s="77">
        <v>309.84708333333333</v>
      </c>
      <c r="J362" s="77">
        <v>82.171666666666667</v>
      </c>
      <c r="K362" s="77"/>
      <c r="L362" s="77">
        <v>150</v>
      </c>
      <c r="M362" s="81">
        <f t="shared" si="353"/>
        <v>4065.0233333333385</v>
      </c>
      <c r="N362" s="2">
        <v>13147.280041666661</v>
      </c>
      <c r="O362" s="2">
        <v>721.28066666666678</v>
      </c>
      <c r="P362" s="2">
        <v>275.55137500000006</v>
      </c>
      <c r="Q362" s="2"/>
      <c r="R362" s="77">
        <v>0</v>
      </c>
      <c r="S362" s="81">
        <f t="shared" si="431"/>
        <v>14144.11208333333</v>
      </c>
      <c r="T362" s="77">
        <v>650</v>
      </c>
      <c r="U362" s="77">
        <v>191.51250000000002</v>
      </c>
      <c r="V362" s="77">
        <v>311.97495833333352</v>
      </c>
      <c r="W362" s="77">
        <v>1644.4300000000005</v>
      </c>
      <c r="X362" s="82">
        <f t="shared" si="432"/>
        <v>2797.9174583333343</v>
      </c>
      <c r="Y362" s="77">
        <v>0</v>
      </c>
      <c r="Z362" s="77">
        <v>1305.7036250000003</v>
      </c>
      <c r="AA362" s="77">
        <v>0</v>
      </c>
      <c r="AB362" s="82">
        <f t="shared" si="433"/>
        <v>1305.7036250000003</v>
      </c>
      <c r="AC362" s="84">
        <f t="shared" si="434"/>
        <v>2606.404958333334</v>
      </c>
      <c r="AD362" s="39">
        <v>3000</v>
      </c>
      <c r="AE362" s="40">
        <f t="shared" si="435"/>
        <v>10147.280041666661</v>
      </c>
      <c r="AF362" s="1">
        <f t="shared" si="436"/>
        <v>10.8</v>
      </c>
      <c r="AG362" s="1">
        <f t="shared" si="437"/>
        <v>18</v>
      </c>
      <c r="AH362" s="41">
        <f t="shared" si="438"/>
        <v>16.357074624443626</v>
      </c>
      <c r="AJ362">
        <v>0.9</v>
      </c>
      <c r="AK362">
        <v>1.5</v>
      </c>
      <c r="AL362" s="32">
        <f t="shared" si="439"/>
        <v>13147.280041666661</v>
      </c>
      <c r="AM362" s="4">
        <f t="shared" si="440"/>
        <v>0.22818407993838508</v>
      </c>
      <c r="AN362" s="4">
        <f t="shared" si="441"/>
        <v>0.77181592006161492</v>
      </c>
    </row>
    <row r="363" spans="1:40" ht="14.25" customHeight="1" x14ac:dyDescent="0.3">
      <c r="A363" s="84"/>
      <c r="C363" s="1">
        <f>+Precios!A363</f>
        <v>2026</v>
      </c>
      <c r="D363" s="52">
        <f>+Precios!B363</f>
        <v>46266</v>
      </c>
      <c r="E363" s="1">
        <v>16</v>
      </c>
      <c r="F363" s="1" t="str">
        <f>+Precios!C363</f>
        <v>vie</v>
      </c>
      <c r="G363" s="5">
        <f>+Precios!D363</f>
        <v>46269</v>
      </c>
      <c r="H363" s="77">
        <v>3248.9895833333303</v>
      </c>
      <c r="I363" s="77">
        <v>345.84000000000009</v>
      </c>
      <c r="J363" s="77">
        <v>152.86833333333334</v>
      </c>
      <c r="K363" s="77"/>
      <c r="L363" s="77">
        <v>150</v>
      </c>
      <c r="M363" s="81">
        <f t="shared" si="353"/>
        <v>3897.6979166666638</v>
      </c>
      <c r="N363" s="2">
        <v>13182.059208333329</v>
      </c>
      <c r="O363" s="2">
        <v>736.60170833333336</v>
      </c>
      <c r="P363" s="2">
        <v>362.18345833333336</v>
      </c>
      <c r="Q363" s="2"/>
      <c r="R363" s="77">
        <v>0</v>
      </c>
      <c r="S363" s="81">
        <f t="shared" si="431"/>
        <v>14280.844374999995</v>
      </c>
      <c r="T363" s="77">
        <v>650</v>
      </c>
      <c r="U363" s="77">
        <v>189.45374999999999</v>
      </c>
      <c r="V363" s="77">
        <v>345.20289583333278</v>
      </c>
      <c r="W363" s="77">
        <v>1930.6754166666638</v>
      </c>
      <c r="X363" s="82">
        <f t="shared" si="432"/>
        <v>3115.3320624999965</v>
      </c>
      <c r="Y363" s="77">
        <v>0</v>
      </c>
      <c r="Z363" s="77">
        <v>1299.1416666666669</v>
      </c>
      <c r="AA363" s="77">
        <v>0</v>
      </c>
      <c r="AB363" s="82">
        <f t="shared" si="433"/>
        <v>1299.1416666666669</v>
      </c>
      <c r="AC363" s="84">
        <f t="shared" si="434"/>
        <v>2925.8783124999964</v>
      </c>
      <c r="AD363" s="39">
        <v>3000</v>
      </c>
      <c r="AE363" s="40">
        <f t="shared" si="435"/>
        <v>10182.059208333329</v>
      </c>
      <c r="AF363" s="1">
        <f t="shared" si="436"/>
        <v>10.8</v>
      </c>
      <c r="AG363" s="1">
        <f t="shared" si="437"/>
        <v>18</v>
      </c>
      <c r="AH363" s="41">
        <f t="shared" si="438"/>
        <v>16.361409271599609</v>
      </c>
      <c r="AJ363">
        <v>0.9</v>
      </c>
      <c r="AK363">
        <v>1.5</v>
      </c>
      <c r="AL363" s="32">
        <f t="shared" si="439"/>
        <v>13182.059208333329</v>
      </c>
      <c r="AM363" s="4">
        <f t="shared" si="440"/>
        <v>0.22758204561116552</v>
      </c>
      <c r="AN363" s="4">
        <f t="shared" si="441"/>
        <v>0.77241795438883443</v>
      </c>
    </row>
    <row r="364" spans="1:40" ht="14.25" customHeight="1" x14ac:dyDescent="0.3">
      <c r="A364" s="84"/>
      <c r="C364" s="1">
        <f>+Precios!A364</f>
        <v>2026</v>
      </c>
      <c r="D364" s="52">
        <f>+Precios!B364</f>
        <v>46266</v>
      </c>
      <c r="E364" s="1">
        <v>6</v>
      </c>
      <c r="F364" s="1" t="str">
        <f>+Precios!C364</f>
        <v>sáb</v>
      </c>
      <c r="G364" s="5">
        <f>+Precios!D364</f>
        <v>46270</v>
      </c>
      <c r="H364" s="77">
        <v>3389.8970833333356</v>
      </c>
      <c r="I364" s="77">
        <v>113.02250000000002</v>
      </c>
      <c r="J364" s="77">
        <v>107.39499999999998</v>
      </c>
      <c r="K364" s="77"/>
      <c r="L364" s="77">
        <v>150</v>
      </c>
      <c r="M364" s="81">
        <f t="shared" si="353"/>
        <v>3760.3145833333356</v>
      </c>
      <c r="N364" s="2">
        <v>12951.496458333329</v>
      </c>
      <c r="O364" s="2">
        <v>740.02908333333323</v>
      </c>
      <c r="P364" s="2">
        <v>406.72437500000007</v>
      </c>
      <c r="Q364" s="2"/>
      <c r="R364" s="77">
        <v>0</v>
      </c>
      <c r="S364" s="81">
        <f t="shared" si="431"/>
        <v>14098.249916666662</v>
      </c>
      <c r="T364" s="77">
        <v>650</v>
      </c>
      <c r="U364" s="77">
        <v>224.32124999999999</v>
      </c>
      <c r="V364" s="77">
        <v>338.96614583333314</v>
      </c>
      <c r="W364" s="77">
        <v>1606.1212499999981</v>
      </c>
      <c r="X364" s="82">
        <f t="shared" si="432"/>
        <v>2819.4086458333313</v>
      </c>
      <c r="Y364" s="77">
        <v>0</v>
      </c>
      <c r="Z364" s="77">
        <v>1294.3569375000002</v>
      </c>
      <c r="AA364" s="77">
        <v>0</v>
      </c>
      <c r="AB364" s="82">
        <f t="shared" si="433"/>
        <v>1294.3569375000002</v>
      </c>
      <c r="AC364" s="84">
        <f t="shared" si="434"/>
        <v>2595.0873958333314</v>
      </c>
      <c r="AD364" s="39">
        <v>3000</v>
      </c>
      <c r="AE364" s="40">
        <f t="shared" si="435"/>
        <v>9951.4964583333294</v>
      </c>
      <c r="AF364" s="1">
        <f t="shared" si="436"/>
        <v>10.8</v>
      </c>
      <c r="AG364" s="1">
        <f t="shared" si="437"/>
        <v>18</v>
      </c>
      <c r="AH364" s="41">
        <f t="shared" si="438"/>
        <v>16.332239052877785</v>
      </c>
      <c r="AJ364">
        <v>0.9</v>
      </c>
      <c r="AK364">
        <v>1.5</v>
      </c>
      <c r="AL364" s="32">
        <f t="shared" si="439"/>
        <v>12951.496458333329</v>
      </c>
      <c r="AM364" s="4">
        <f t="shared" si="440"/>
        <v>0.23163346487808534</v>
      </c>
      <c r="AN364" s="4">
        <f t="shared" si="441"/>
        <v>0.76836653512191466</v>
      </c>
    </row>
    <row r="365" spans="1:40" ht="14.25" customHeight="1" x14ac:dyDescent="0.3">
      <c r="A365" s="84"/>
      <c r="C365" s="1">
        <f>+Precios!A365</f>
        <v>2026</v>
      </c>
      <c r="D365" s="52">
        <f>+Precios!B365</f>
        <v>46266</v>
      </c>
      <c r="E365" s="1">
        <v>4</v>
      </c>
      <c r="F365" s="1" t="str">
        <f>+Precios!C365</f>
        <v>dom</v>
      </c>
      <c r="G365" s="5">
        <f>+Precios!D365</f>
        <v>46271</v>
      </c>
      <c r="H365" s="77">
        <v>3807.9037499999968</v>
      </c>
      <c r="I365" s="77">
        <v>71.047916666666666</v>
      </c>
      <c r="J365" s="77">
        <v>144.10291666666669</v>
      </c>
      <c r="K365" s="77"/>
      <c r="L365" s="77">
        <v>150</v>
      </c>
      <c r="M365" s="81">
        <f t="shared" si="353"/>
        <v>4173.0545833333308</v>
      </c>
      <c r="N365" s="2">
        <v>13030.082083333329</v>
      </c>
      <c r="O365" s="2">
        <v>759.65150000000017</v>
      </c>
      <c r="P365" s="2">
        <v>466.05441666666667</v>
      </c>
      <c r="Q365" s="2"/>
      <c r="R365" s="77">
        <v>0</v>
      </c>
      <c r="S365" s="81">
        <f t="shared" si="431"/>
        <v>14255.787999999995</v>
      </c>
      <c r="T365" s="77">
        <v>650</v>
      </c>
      <c r="U365" s="77">
        <v>221.59708333333336</v>
      </c>
      <c r="V365" s="77">
        <v>374.79818749999987</v>
      </c>
      <c r="W365" s="77">
        <v>668.84375000000136</v>
      </c>
      <c r="X365" s="82">
        <f t="shared" si="432"/>
        <v>1915.2390208333345</v>
      </c>
      <c r="Y365" s="77">
        <v>0</v>
      </c>
      <c r="Z365" s="77">
        <v>1295.6000000000001</v>
      </c>
      <c r="AA365" s="77">
        <v>0</v>
      </c>
      <c r="AB365" s="82">
        <f t="shared" si="433"/>
        <v>1295.6000000000001</v>
      </c>
      <c r="AC365" s="84">
        <f t="shared" si="434"/>
        <v>1693.6419375000012</v>
      </c>
      <c r="AD365" s="39">
        <v>3000</v>
      </c>
      <c r="AE365" s="40">
        <f t="shared" si="435"/>
        <v>10030.082083333329</v>
      </c>
      <c r="AF365" s="1">
        <f t="shared" si="436"/>
        <v>10.8</v>
      </c>
      <c r="AG365" s="1">
        <f t="shared" si="437"/>
        <v>18</v>
      </c>
      <c r="AH365" s="41">
        <f t="shared" si="438"/>
        <v>16.342297472735925</v>
      </c>
      <c r="AJ365">
        <v>0.9</v>
      </c>
      <c r="AK365">
        <v>1.5</v>
      </c>
      <c r="AL365" s="32">
        <f t="shared" si="439"/>
        <v>13030.082083333329</v>
      </c>
      <c r="AM365" s="4">
        <f t="shared" si="440"/>
        <v>0.23023646212001039</v>
      </c>
      <c r="AN365" s="4">
        <f t="shared" si="441"/>
        <v>0.76976353787998963</v>
      </c>
    </row>
    <row r="366" spans="1:40" ht="14.25" customHeight="1" x14ac:dyDescent="0.3">
      <c r="A366" s="84"/>
      <c r="C366" s="1">
        <f>+Precios!A366</f>
        <v>2026</v>
      </c>
      <c r="D366" s="52">
        <f>+Precios!B366</f>
        <v>46266</v>
      </c>
      <c r="E366" s="1">
        <v>16</v>
      </c>
      <c r="F366" s="1" t="str">
        <f>+Precios!C366</f>
        <v>lun</v>
      </c>
      <c r="G366" s="5">
        <f>+Precios!D366</f>
        <v>46272</v>
      </c>
      <c r="H366" s="77">
        <v>4534.5554166666652</v>
      </c>
      <c r="I366" s="77">
        <v>87.917500000000018</v>
      </c>
      <c r="J366" s="77">
        <v>131.78208333333325</v>
      </c>
      <c r="K366" s="77"/>
      <c r="L366" s="77">
        <v>150</v>
      </c>
      <c r="M366" s="81">
        <f t="shared" ref="M366:M378" si="442">+SUM(H366:L366)</f>
        <v>4904.2549999999992</v>
      </c>
      <c r="N366" s="2">
        <v>12868.57904166666</v>
      </c>
      <c r="O366" s="2">
        <v>737.35629166666649</v>
      </c>
      <c r="P366" s="2">
        <v>466.95495833333337</v>
      </c>
      <c r="Q366" s="2"/>
      <c r="R366" s="77">
        <v>0</v>
      </c>
      <c r="S366" s="81">
        <f t="shared" si="431"/>
        <v>14072.890291666661</v>
      </c>
      <c r="T366" s="77">
        <v>650</v>
      </c>
      <c r="U366" s="77">
        <v>194.3741666666667</v>
      </c>
      <c r="V366" s="77">
        <v>328.57802083333326</v>
      </c>
      <c r="W366" s="77">
        <v>1866.2000000000041</v>
      </c>
      <c r="X366" s="82">
        <f t="shared" si="432"/>
        <v>3039.1521875000044</v>
      </c>
      <c r="Y366" s="77">
        <v>0</v>
      </c>
      <c r="Z366" s="77">
        <v>1240.2986250000001</v>
      </c>
      <c r="AA366" s="77">
        <v>0</v>
      </c>
      <c r="AB366" s="82">
        <f t="shared" si="433"/>
        <v>1240.2986250000001</v>
      </c>
      <c r="AC366" s="84">
        <f t="shared" si="434"/>
        <v>2844.7780208333375</v>
      </c>
      <c r="AD366" s="39">
        <v>3000</v>
      </c>
      <c r="AE366" s="40">
        <f t="shared" si="435"/>
        <v>9868.5790416666605</v>
      </c>
      <c r="AF366" s="1">
        <f t="shared" si="436"/>
        <v>10.8</v>
      </c>
      <c r="AG366" s="1">
        <f t="shared" si="437"/>
        <v>18</v>
      </c>
      <c r="AH366" s="41">
        <f t="shared" si="438"/>
        <v>16.321493000115847</v>
      </c>
      <c r="AJ366">
        <v>0.9</v>
      </c>
      <c r="AK366">
        <v>1.5</v>
      </c>
      <c r="AL366" s="32">
        <f t="shared" si="439"/>
        <v>12868.57904166666</v>
      </c>
      <c r="AM366" s="4">
        <f t="shared" si="440"/>
        <v>0.2331259722061324</v>
      </c>
      <c r="AN366" s="4">
        <f t="shared" si="441"/>
        <v>0.7668740277938676</v>
      </c>
    </row>
    <row r="367" spans="1:40" ht="14.25" customHeight="1" x14ac:dyDescent="0.3">
      <c r="A367" s="84"/>
      <c r="C367" s="1">
        <f>+Precios!A367</f>
        <v>2026</v>
      </c>
      <c r="D367" s="52">
        <f>+Precios!B367</f>
        <v>46266</v>
      </c>
      <c r="E367" s="1">
        <v>16</v>
      </c>
      <c r="F367" s="1" t="str">
        <f>+Precios!C367</f>
        <v>mar</v>
      </c>
      <c r="G367" s="5">
        <f>+Precios!D367</f>
        <v>46273</v>
      </c>
      <c r="H367" s="77">
        <v>4039.6437500000047</v>
      </c>
      <c r="I367" s="77">
        <v>82.447500000000005</v>
      </c>
      <c r="J367" s="77">
        <v>78.243333333333339</v>
      </c>
      <c r="K367" s="77"/>
      <c r="L367" s="77">
        <v>150</v>
      </c>
      <c r="M367" s="81">
        <f t="shared" si="442"/>
        <v>4350.3345833333387</v>
      </c>
      <c r="N367" s="2">
        <v>12731.650333333331</v>
      </c>
      <c r="O367" s="2">
        <v>734.87145833333329</v>
      </c>
      <c r="P367" s="2">
        <v>464.44358333333338</v>
      </c>
      <c r="Q367" s="2"/>
      <c r="R367" s="77">
        <v>0</v>
      </c>
      <c r="S367" s="81">
        <f t="shared" ref="S367:S372" si="443">SUM(N367:R367)</f>
        <v>13930.965374999998</v>
      </c>
      <c r="T367" s="77">
        <v>650</v>
      </c>
      <c r="U367" s="77">
        <v>188.57125000000005</v>
      </c>
      <c r="V367" s="77">
        <v>339.49006249999996</v>
      </c>
      <c r="W367" s="77">
        <v>2099.9358333333334</v>
      </c>
      <c r="X367" s="82">
        <f t="shared" ref="X367:X372" si="444">SUM(T367:W367)</f>
        <v>3277.9971458333334</v>
      </c>
      <c r="Y367" s="77">
        <v>0</v>
      </c>
      <c r="Z367" s="77">
        <v>1209.5999999999999</v>
      </c>
      <c r="AA367" s="77">
        <v>0</v>
      </c>
      <c r="AB367" s="82">
        <f t="shared" ref="AB367:AB372" si="445">SUM(Y367:AA367)</f>
        <v>1209.5999999999999</v>
      </c>
      <c r="AC367" s="84">
        <f t="shared" ref="AC367:AC372" si="446">+T367+V367+W367</f>
        <v>3089.4258958333335</v>
      </c>
      <c r="AD367" s="39">
        <v>3000</v>
      </c>
      <c r="AE367" s="40">
        <f t="shared" ref="AE367:AE372" si="447">+N367-AD367</f>
        <v>9731.6503333333312</v>
      </c>
      <c r="AF367" s="1">
        <f t="shared" ref="AF367:AF372" si="448">12*AJ367</f>
        <v>10.8</v>
      </c>
      <c r="AG367" s="1">
        <f t="shared" ref="AG367:AG372" si="449">12*AK367</f>
        <v>18</v>
      </c>
      <c r="AH367" s="41">
        <f t="shared" ref="AH367:AH372" si="450">+(AD367*AF367+AG367*AE367)/SUM(AD367:AE367)</f>
        <v>16.303440682513244</v>
      </c>
      <c r="AJ367">
        <v>0.9</v>
      </c>
      <c r="AK367">
        <v>1.5</v>
      </c>
      <c r="AL367" s="32">
        <f t="shared" ref="AL367:AL372" si="451">+AD367+AE367</f>
        <v>12731.650333333331</v>
      </c>
      <c r="AM367" s="4">
        <f t="shared" ref="AM367:AM372" si="452">+AD367/AL367</f>
        <v>0.23563323853982693</v>
      </c>
      <c r="AN367" s="4">
        <f t="shared" ref="AN367:AN372" si="453">+AE367/AL367</f>
        <v>0.76436676146017302</v>
      </c>
    </row>
    <row r="368" spans="1:40" ht="14.25" customHeight="1" x14ac:dyDescent="0.3">
      <c r="A368" s="84"/>
      <c r="C368" s="1">
        <f>+Precios!A368</f>
        <v>2026</v>
      </c>
      <c r="D368" s="52">
        <f>+Precios!B368</f>
        <v>46266</v>
      </c>
      <c r="E368" s="1">
        <v>16</v>
      </c>
      <c r="F368" s="1" t="str">
        <f>+Precios!C368</f>
        <v>mié</v>
      </c>
      <c r="G368" s="5">
        <f>+Precios!D368</f>
        <v>46274</v>
      </c>
      <c r="H368" s="77">
        <v>3791.5933333333269</v>
      </c>
      <c r="I368" s="77">
        <v>84.061250000000015</v>
      </c>
      <c r="J368" s="77">
        <v>112.09000000000003</v>
      </c>
      <c r="K368" s="77"/>
      <c r="L368" s="77">
        <v>150</v>
      </c>
      <c r="M368" s="81">
        <f t="shared" si="442"/>
        <v>4137.7445833333277</v>
      </c>
      <c r="N368" s="2">
        <v>12801.490333333331</v>
      </c>
      <c r="O368" s="2">
        <v>731.65154166666639</v>
      </c>
      <c r="P368" s="2">
        <v>466.3008333333334</v>
      </c>
      <c r="Q368" s="2"/>
      <c r="R368" s="77">
        <v>0</v>
      </c>
      <c r="S368" s="81">
        <f t="shared" si="443"/>
        <v>13999.44270833333</v>
      </c>
      <c r="T368" s="77">
        <v>650</v>
      </c>
      <c r="U368" s="77">
        <v>189.86208333333332</v>
      </c>
      <c r="V368" s="77">
        <v>348.14718750000037</v>
      </c>
      <c r="W368" s="77">
        <v>1770.9262500000004</v>
      </c>
      <c r="X368" s="82">
        <f t="shared" si="444"/>
        <v>2958.9355208333341</v>
      </c>
      <c r="Y368" s="77">
        <v>0</v>
      </c>
      <c r="Z368" s="77">
        <v>1211.1347083333333</v>
      </c>
      <c r="AA368" s="77">
        <v>0</v>
      </c>
      <c r="AB368" s="82">
        <f t="shared" si="445"/>
        <v>1211.1347083333333</v>
      </c>
      <c r="AC368" s="84">
        <f t="shared" si="446"/>
        <v>2769.0734375000011</v>
      </c>
      <c r="AD368" s="39">
        <v>3000</v>
      </c>
      <c r="AE368" s="40">
        <f t="shared" si="447"/>
        <v>9801.4903333333314</v>
      </c>
      <c r="AF368" s="1">
        <f t="shared" si="448"/>
        <v>10.8</v>
      </c>
      <c r="AG368" s="1">
        <f t="shared" si="449"/>
        <v>18</v>
      </c>
      <c r="AH368" s="41">
        <f t="shared" si="450"/>
        <v>16.312696456618294</v>
      </c>
      <c r="AJ368">
        <v>0.9</v>
      </c>
      <c r="AK368">
        <v>1.5</v>
      </c>
      <c r="AL368" s="32">
        <f t="shared" si="451"/>
        <v>12801.490333333331</v>
      </c>
      <c r="AM368" s="4">
        <f t="shared" si="452"/>
        <v>0.23434771435857044</v>
      </c>
      <c r="AN368" s="4">
        <f t="shared" si="453"/>
        <v>0.76565228564142962</v>
      </c>
    </row>
    <row r="369" spans="1:40" ht="14.25" customHeight="1" x14ac:dyDescent="0.3">
      <c r="A369" s="84"/>
      <c r="C369" s="1">
        <f>+Precios!A369</f>
        <v>2026</v>
      </c>
      <c r="D369" s="52">
        <f>+Precios!B369</f>
        <v>46266</v>
      </c>
      <c r="E369" s="1">
        <v>16</v>
      </c>
      <c r="F369" s="1" t="str">
        <f>+Precios!C369</f>
        <v>jue</v>
      </c>
      <c r="G369" s="5">
        <f>+Precios!D369</f>
        <v>46275</v>
      </c>
      <c r="H369" s="77">
        <v>4118.0724999999975</v>
      </c>
      <c r="I369" s="77">
        <v>88.301249999999996</v>
      </c>
      <c r="J369" s="77">
        <v>94.333333333333414</v>
      </c>
      <c r="K369" s="77"/>
      <c r="L369" s="77">
        <v>150</v>
      </c>
      <c r="M369" s="81">
        <f t="shared" si="442"/>
        <v>4450.707083333331</v>
      </c>
      <c r="N369" s="2">
        <v>12785.941291666666</v>
      </c>
      <c r="O369" s="2">
        <v>733.59091666666677</v>
      </c>
      <c r="P369" s="2">
        <v>466.06750000000005</v>
      </c>
      <c r="Q369" s="2"/>
      <c r="R369" s="77">
        <v>0</v>
      </c>
      <c r="S369" s="81">
        <f t="shared" si="443"/>
        <v>13985.599708333331</v>
      </c>
      <c r="T369" s="77">
        <v>650</v>
      </c>
      <c r="U369" s="77">
        <v>238.81666666666663</v>
      </c>
      <c r="V369" s="77">
        <v>360.28343749999999</v>
      </c>
      <c r="W369" s="77">
        <v>959.55041666666762</v>
      </c>
      <c r="X369" s="82">
        <f t="shared" si="444"/>
        <v>2208.6505208333342</v>
      </c>
      <c r="Y369" s="77">
        <v>0</v>
      </c>
      <c r="Z369" s="77">
        <v>1216.9556458333334</v>
      </c>
      <c r="AA369" s="77">
        <v>0</v>
      </c>
      <c r="AB369" s="82">
        <f t="shared" si="445"/>
        <v>1216.9556458333334</v>
      </c>
      <c r="AC369" s="84">
        <f t="shared" si="446"/>
        <v>1969.8338541666676</v>
      </c>
      <c r="AD369" s="39">
        <v>3000</v>
      </c>
      <c r="AE369" s="40">
        <f t="shared" si="447"/>
        <v>9785.9412916666661</v>
      </c>
      <c r="AF369" s="1">
        <f t="shared" si="448"/>
        <v>10.8</v>
      </c>
      <c r="AG369" s="1">
        <f t="shared" si="449"/>
        <v>18</v>
      </c>
      <c r="AH369" s="41">
        <f t="shared" si="450"/>
        <v>16.310644519064233</v>
      </c>
      <c r="AJ369">
        <v>0.9</v>
      </c>
      <c r="AK369">
        <v>1.5</v>
      </c>
      <c r="AL369" s="32">
        <f t="shared" si="451"/>
        <v>12785.941291666666</v>
      </c>
      <c r="AM369" s="4">
        <f t="shared" si="452"/>
        <v>0.23463270568552294</v>
      </c>
      <c r="AN369" s="4">
        <f t="shared" si="453"/>
        <v>0.76536729431447703</v>
      </c>
    </row>
    <row r="370" spans="1:40" ht="14.25" customHeight="1" x14ac:dyDescent="0.3">
      <c r="A370" s="84"/>
      <c r="C370" s="1">
        <f>+Precios!A370</f>
        <v>2026</v>
      </c>
      <c r="D370" s="52">
        <f>+Precios!B370</f>
        <v>46266</v>
      </c>
      <c r="E370" s="1">
        <v>16</v>
      </c>
      <c r="F370" s="1" t="str">
        <f>+Precios!C370</f>
        <v>vie</v>
      </c>
      <c r="G370" s="5">
        <f>+Precios!D370</f>
        <v>46276</v>
      </c>
      <c r="H370" s="77">
        <v>3807.4249999999965</v>
      </c>
      <c r="I370" s="77">
        <v>58.486250000000005</v>
      </c>
      <c r="J370" s="77">
        <v>95.109166666666624</v>
      </c>
      <c r="K370" s="77"/>
      <c r="L370" s="77">
        <v>150</v>
      </c>
      <c r="M370" s="81">
        <f t="shared" si="442"/>
        <v>4111.0204166666626</v>
      </c>
      <c r="N370" s="2">
        <v>12682.259833333326</v>
      </c>
      <c r="O370" s="2">
        <v>732.50529166666661</v>
      </c>
      <c r="P370" s="2">
        <v>465.3966666666667</v>
      </c>
      <c r="Q370" s="2"/>
      <c r="R370" s="77">
        <v>0</v>
      </c>
      <c r="S370" s="81">
        <f t="shared" si="443"/>
        <v>13880.16179166666</v>
      </c>
      <c r="T370" s="77">
        <v>650</v>
      </c>
      <c r="U370" s="77">
        <v>191.11958333333337</v>
      </c>
      <c r="V370" s="77">
        <v>340.49847916666647</v>
      </c>
      <c r="W370" s="77">
        <v>1529.4166666666672</v>
      </c>
      <c r="X370" s="82">
        <f t="shared" si="444"/>
        <v>2711.0347291666667</v>
      </c>
      <c r="Y370" s="77">
        <v>0</v>
      </c>
      <c r="Z370" s="77">
        <v>1224.5999999999999</v>
      </c>
      <c r="AA370" s="77">
        <v>0</v>
      </c>
      <c r="AB370" s="82">
        <f t="shared" si="445"/>
        <v>1224.5999999999999</v>
      </c>
      <c r="AC370" s="84">
        <f t="shared" si="446"/>
        <v>2519.9151458333336</v>
      </c>
      <c r="AD370" s="39">
        <v>3000</v>
      </c>
      <c r="AE370" s="40">
        <f t="shared" si="447"/>
        <v>9682.2598333333262</v>
      </c>
      <c r="AF370" s="1">
        <f t="shared" si="448"/>
        <v>10.8</v>
      </c>
      <c r="AG370" s="1">
        <f t="shared" si="449"/>
        <v>18</v>
      </c>
      <c r="AH370" s="41">
        <f t="shared" si="450"/>
        <v>16.296833507288049</v>
      </c>
      <c r="AJ370">
        <v>0.9</v>
      </c>
      <c r="AK370">
        <v>1.5</v>
      </c>
      <c r="AL370" s="32">
        <f t="shared" si="451"/>
        <v>12682.259833333326</v>
      </c>
      <c r="AM370" s="4">
        <f t="shared" si="452"/>
        <v>0.23655090176554905</v>
      </c>
      <c r="AN370" s="4">
        <f t="shared" si="453"/>
        <v>0.76344909823445095</v>
      </c>
    </row>
    <row r="371" spans="1:40" ht="14.25" customHeight="1" x14ac:dyDescent="0.3">
      <c r="A371" s="84"/>
      <c r="C371" s="1">
        <f>+Precios!A371</f>
        <v>2026</v>
      </c>
      <c r="D371" s="52">
        <f>+Precios!B371</f>
        <v>46266</v>
      </c>
      <c r="E371" s="1">
        <v>6</v>
      </c>
      <c r="F371" s="1" t="str">
        <f>+Precios!C371</f>
        <v>sáb</v>
      </c>
      <c r="G371" s="5">
        <f>+Precios!D371</f>
        <v>46277</v>
      </c>
      <c r="H371" s="77">
        <v>3537.7500000000009</v>
      </c>
      <c r="I371" s="77">
        <v>92.812916666666652</v>
      </c>
      <c r="J371" s="77">
        <v>126.34666666666669</v>
      </c>
      <c r="K371" s="77"/>
      <c r="L371" s="77">
        <v>150</v>
      </c>
      <c r="M371" s="81">
        <f t="shared" si="442"/>
        <v>3906.9095833333345</v>
      </c>
      <c r="N371" s="2">
        <v>12054.468541666665</v>
      </c>
      <c r="O371" s="2">
        <v>739.91045833333328</v>
      </c>
      <c r="P371" s="2">
        <v>464.82262500000007</v>
      </c>
      <c r="Q371" s="2"/>
      <c r="R371" s="77">
        <v>0</v>
      </c>
      <c r="S371" s="81">
        <f t="shared" si="443"/>
        <v>13259.201625</v>
      </c>
      <c r="T371" s="77">
        <v>650</v>
      </c>
      <c r="U371" s="77">
        <v>190.19291666666672</v>
      </c>
      <c r="V371" s="77">
        <v>396.72993750000029</v>
      </c>
      <c r="W371" s="77">
        <v>1128.3316666666644</v>
      </c>
      <c r="X371" s="82">
        <f t="shared" si="444"/>
        <v>2365.2545208333313</v>
      </c>
      <c r="Y371" s="77">
        <v>0</v>
      </c>
      <c r="Z371" s="77">
        <v>1224.5999999999999</v>
      </c>
      <c r="AA371" s="77">
        <v>0</v>
      </c>
      <c r="AB371" s="82">
        <f t="shared" si="445"/>
        <v>1224.5999999999999</v>
      </c>
      <c r="AC371" s="84">
        <f t="shared" si="446"/>
        <v>2175.0616041666644</v>
      </c>
      <c r="AD371" s="39">
        <v>3000</v>
      </c>
      <c r="AE371" s="40">
        <f t="shared" si="447"/>
        <v>9054.4685416666653</v>
      </c>
      <c r="AF371" s="1">
        <f t="shared" si="448"/>
        <v>10.8</v>
      </c>
      <c r="AG371" s="1">
        <f t="shared" si="449"/>
        <v>18</v>
      </c>
      <c r="AH371" s="41">
        <f t="shared" si="450"/>
        <v>16.208133363545734</v>
      </c>
      <c r="AJ371">
        <v>0.9</v>
      </c>
      <c r="AK371">
        <v>1.5</v>
      </c>
      <c r="AL371" s="32">
        <f t="shared" si="451"/>
        <v>12054.468541666665</v>
      </c>
      <c r="AM371" s="4">
        <f t="shared" si="452"/>
        <v>0.24887036617420352</v>
      </c>
      <c r="AN371" s="4">
        <f t="shared" si="453"/>
        <v>0.75112963382579645</v>
      </c>
    </row>
    <row r="372" spans="1:40" ht="14.25" customHeight="1" x14ac:dyDescent="0.3">
      <c r="A372" s="84"/>
      <c r="C372" s="1">
        <f>+Precios!A372</f>
        <v>2026</v>
      </c>
      <c r="D372" s="52">
        <f>+Precios!B372</f>
        <v>46266</v>
      </c>
      <c r="E372" s="1">
        <v>4</v>
      </c>
      <c r="F372" s="1" t="str">
        <f>+Precios!C372</f>
        <v>dom</v>
      </c>
      <c r="G372" s="5">
        <f>+Precios!D372</f>
        <v>46278</v>
      </c>
      <c r="H372" s="77">
        <v>3425.2720833333369</v>
      </c>
      <c r="I372" s="77">
        <v>66.564999999999998</v>
      </c>
      <c r="J372" s="77">
        <v>104.59666666666659</v>
      </c>
      <c r="K372" s="77"/>
      <c r="L372" s="77">
        <v>150</v>
      </c>
      <c r="M372" s="81">
        <f t="shared" si="442"/>
        <v>3746.4337500000038</v>
      </c>
      <c r="N372" s="2">
        <v>11994.338666666667</v>
      </c>
      <c r="O372" s="2">
        <v>762.12487500000032</v>
      </c>
      <c r="P372" s="2">
        <v>463.53012500000006</v>
      </c>
      <c r="Q372" s="2"/>
      <c r="R372" s="77">
        <v>0</v>
      </c>
      <c r="S372" s="81">
        <f t="shared" si="443"/>
        <v>13219.993666666665</v>
      </c>
      <c r="T372" s="77">
        <v>650</v>
      </c>
      <c r="U372" s="77">
        <v>193.05791666666664</v>
      </c>
      <c r="V372" s="77">
        <v>363.12675000000007</v>
      </c>
      <c r="W372" s="77">
        <v>1151.8199999999993</v>
      </c>
      <c r="X372" s="82">
        <f t="shared" si="444"/>
        <v>2358.0046666666658</v>
      </c>
      <c r="Y372" s="77">
        <v>0</v>
      </c>
      <c r="Z372" s="77">
        <v>1224.601625</v>
      </c>
      <c r="AA372" s="77">
        <v>0</v>
      </c>
      <c r="AB372" s="82">
        <f t="shared" si="445"/>
        <v>1224.601625</v>
      </c>
      <c r="AC372" s="84">
        <f t="shared" si="446"/>
        <v>2164.9467499999992</v>
      </c>
      <c r="AD372" s="39">
        <v>3000</v>
      </c>
      <c r="AE372" s="40">
        <f t="shared" si="447"/>
        <v>8994.3386666666665</v>
      </c>
      <c r="AF372" s="1">
        <f t="shared" si="448"/>
        <v>10.8</v>
      </c>
      <c r="AG372" s="1">
        <f t="shared" si="449"/>
        <v>18</v>
      </c>
      <c r="AH372" s="41">
        <f t="shared" si="450"/>
        <v>16.19915039917721</v>
      </c>
      <c r="AJ372">
        <v>0.9</v>
      </c>
      <c r="AK372">
        <v>1.5</v>
      </c>
      <c r="AL372" s="32">
        <f t="shared" si="451"/>
        <v>11994.338666666667</v>
      </c>
      <c r="AM372" s="4">
        <f t="shared" si="452"/>
        <v>0.25011800011427615</v>
      </c>
      <c r="AN372" s="4">
        <f t="shared" si="453"/>
        <v>0.7498819998857239</v>
      </c>
    </row>
    <row r="373" spans="1:40" ht="14.25" customHeight="1" x14ac:dyDescent="0.3">
      <c r="A373" s="84"/>
      <c r="C373" s="1">
        <f>+Precios!A373</f>
        <v>2026</v>
      </c>
      <c r="D373" s="52">
        <f>+Precios!B373</f>
        <v>46266</v>
      </c>
      <c r="E373" s="1">
        <v>16</v>
      </c>
      <c r="F373" s="1" t="str">
        <f>+Precios!C373</f>
        <v>lun</v>
      </c>
      <c r="G373" s="5">
        <f>+Precios!D373</f>
        <v>46279</v>
      </c>
      <c r="H373" s="77">
        <v>3871.5450000000037</v>
      </c>
      <c r="I373" s="77">
        <v>45.053750000000001</v>
      </c>
      <c r="J373" s="77">
        <v>110.89458333333336</v>
      </c>
      <c r="K373" s="77"/>
      <c r="L373" s="77">
        <v>150</v>
      </c>
      <c r="M373" s="81">
        <f t="shared" si="442"/>
        <v>4177.4933333333374</v>
      </c>
      <c r="N373" s="2">
        <v>12414.636208333337</v>
      </c>
      <c r="O373" s="2">
        <v>762.1095833333336</v>
      </c>
      <c r="P373" s="2">
        <v>463.03000000000003</v>
      </c>
      <c r="Q373" s="2"/>
      <c r="R373" s="77">
        <v>0</v>
      </c>
      <c r="S373" s="81">
        <f t="shared" ref="S373:S378" si="454">SUM(N373:R373)</f>
        <v>13639.775791666671</v>
      </c>
      <c r="T373" s="77">
        <v>650</v>
      </c>
      <c r="U373" s="77">
        <v>189.29875000000001</v>
      </c>
      <c r="V373" s="77">
        <v>320.92291666666722</v>
      </c>
      <c r="W373" s="77">
        <v>2442.8000000000006</v>
      </c>
      <c r="X373" s="82">
        <f t="shared" ref="X373:X414" si="455">SUM(T373:W373)</f>
        <v>3603.0216666666679</v>
      </c>
      <c r="Y373" s="77">
        <v>0</v>
      </c>
      <c r="Z373" s="77">
        <v>1224.5999999999999</v>
      </c>
      <c r="AA373" s="77">
        <v>0</v>
      </c>
      <c r="AB373" s="82">
        <f t="shared" ref="AB373:AB378" si="456">SUM(Y373:AA373)</f>
        <v>1224.5999999999999</v>
      </c>
      <c r="AC373" s="84">
        <f t="shared" ref="AC373:AC378" si="457">+T373+V373+W373</f>
        <v>3413.722916666668</v>
      </c>
      <c r="AD373" s="39">
        <v>3000</v>
      </c>
      <c r="AE373" s="40">
        <f t="shared" ref="AE373:AE378" si="458">+N373-AD373</f>
        <v>9414.636208333337</v>
      </c>
      <c r="AF373" s="1">
        <f t="shared" ref="AF373:AF378" si="459">12*AJ373</f>
        <v>10.8</v>
      </c>
      <c r="AG373" s="1">
        <f t="shared" ref="AG373:AG378" si="460">12*AK373</f>
        <v>18</v>
      </c>
      <c r="AH373" s="41">
        <f t="shared" ref="AH373:AH378" si="461">+(AD373*AF373+AG373*AE373)/SUM(AD373:AE373)</f>
        <v>16.260118167175854</v>
      </c>
      <c r="AJ373">
        <v>0.9</v>
      </c>
      <c r="AK373">
        <v>1.5</v>
      </c>
      <c r="AL373" s="32">
        <f t="shared" ref="AL373:AL378" si="462">+AD373+AE373</f>
        <v>12414.636208333337</v>
      </c>
      <c r="AM373" s="4">
        <f t="shared" ref="AM373:AM378" si="463">+AD373/AL373</f>
        <v>0.24165025455890901</v>
      </c>
      <c r="AN373" s="4">
        <f t="shared" ref="AN373:AN378" si="464">+AE373/AL373</f>
        <v>0.75834974544109102</v>
      </c>
    </row>
    <row r="374" spans="1:40" ht="14.25" customHeight="1" x14ac:dyDescent="0.3">
      <c r="A374" s="84"/>
      <c r="C374" s="1">
        <f>+Precios!A374</f>
        <v>2026</v>
      </c>
      <c r="D374" s="52">
        <f>+Precios!B374</f>
        <v>46266</v>
      </c>
      <c r="E374" s="1">
        <v>16</v>
      </c>
      <c r="F374" s="1" t="str">
        <f>+Precios!C374</f>
        <v>mar</v>
      </c>
      <c r="G374" s="5">
        <f>+Precios!D374</f>
        <v>46280</v>
      </c>
      <c r="H374" s="77">
        <v>2904.1929166666637</v>
      </c>
      <c r="I374" s="77">
        <v>83.272083333333327</v>
      </c>
      <c r="J374" s="77">
        <v>141.47541666666672</v>
      </c>
      <c r="K374" s="77"/>
      <c r="L374" s="77">
        <v>150</v>
      </c>
      <c r="M374" s="81">
        <f t="shared" si="442"/>
        <v>3278.9404166666636</v>
      </c>
      <c r="N374" s="2">
        <v>11994.417916666662</v>
      </c>
      <c r="O374" s="2">
        <v>757.38958333333346</v>
      </c>
      <c r="P374" s="2">
        <v>463.40500000000003</v>
      </c>
      <c r="Q374" s="2"/>
      <c r="R374" s="77">
        <v>0</v>
      </c>
      <c r="S374" s="81">
        <f t="shared" si="454"/>
        <v>13215.212499999996</v>
      </c>
      <c r="T374" s="77">
        <v>650</v>
      </c>
      <c r="U374" s="77">
        <v>195.62250000000003</v>
      </c>
      <c r="V374" s="77">
        <v>334.05449999999968</v>
      </c>
      <c r="W374" s="77">
        <v>1983.1083333333349</v>
      </c>
      <c r="X374" s="82">
        <f t="shared" si="455"/>
        <v>3162.7853333333346</v>
      </c>
      <c r="Y374" s="77">
        <v>0</v>
      </c>
      <c r="Z374" s="77">
        <v>1218.1416666666664</v>
      </c>
      <c r="AA374" s="77">
        <v>0</v>
      </c>
      <c r="AB374" s="82">
        <f t="shared" si="456"/>
        <v>1218.1416666666664</v>
      </c>
      <c r="AC374" s="84">
        <f t="shared" si="457"/>
        <v>2967.1628333333347</v>
      </c>
      <c r="AD374" s="39">
        <v>3000</v>
      </c>
      <c r="AE374" s="40">
        <f t="shared" si="458"/>
        <v>8994.4179166666618</v>
      </c>
      <c r="AF374" s="1">
        <f t="shared" si="459"/>
        <v>10.8</v>
      </c>
      <c r="AG374" s="1">
        <f t="shared" si="460"/>
        <v>18</v>
      </c>
      <c r="AH374" s="41">
        <f t="shared" si="461"/>
        <v>16.199162297823051</v>
      </c>
      <c r="AJ374">
        <v>0.9</v>
      </c>
      <c r="AK374">
        <v>1.5</v>
      </c>
      <c r="AL374" s="32">
        <f t="shared" si="462"/>
        <v>11994.417916666662</v>
      </c>
      <c r="AM374" s="4">
        <f t="shared" si="463"/>
        <v>0.25011634752457601</v>
      </c>
      <c r="AN374" s="4">
        <f t="shared" si="464"/>
        <v>0.74988365247542399</v>
      </c>
    </row>
    <row r="375" spans="1:40" ht="14.25" customHeight="1" x14ac:dyDescent="0.3">
      <c r="A375" s="84"/>
      <c r="C375" s="1">
        <f>+Precios!A375</f>
        <v>2026</v>
      </c>
      <c r="D375" s="52">
        <f>+Precios!B375</f>
        <v>46266</v>
      </c>
      <c r="E375" s="1">
        <v>16</v>
      </c>
      <c r="F375" s="1" t="str">
        <f>+Precios!C375</f>
        <v>mié</v>
      </c>
      <c r="G375" s="5">
        <f>+Precios!D375</f>
        <v>46281</v>
      </c>
      <c r="H375" s="77">
        <v>3184.150833333324</v>
      </c>
      <c r="I375" s="77">
        <v>93.344166666666695</v>
      </c>
      <c r="J375" s="77">
        <v>58.982916666666689</v>
      </c>
      <c r="K375" s="77"/>
      <c r="L375" s="77">
        <v>150</v>
      </c>
      <c r="M375" s="81">
        <f t="shared" si="442"/>
        <v>3486.4779166666576</v>
      </c>
      <c r="N375" s="2">
        <v>12001.461541666657</v>
      </c>
      <c r="O375" s="2">
        <v>750.776166666667</v>
      </c>
      <c r="P375" s="2">
        <v>463.19666666666672</v>
      </c>
      <c r="Q375" s="2"/>
      <c r="R375" s="77">
        <v>0</v>
      </c>
      <c r="S375" s="81">
        <f t="shared" si="454"/>
        <v>13215.43437499999</v>
      </c>
      <c r="T375" s="77">
        <v>650</v>
      </c>
      <c r="U375" s="77">
        <v>188.54249999999999</v>
      </c>
      <c r="V375" s="77">
        <v>310.63060416666667</v>
      </c>
      <c r="W375" s="77">
        <v>2197.5441666666652</v>
      </c>
      <c r="X375" s="82">
        <f t="shared" si="455"/>
        <v>3346.7172708333319</v>
      </c>
      <c r="Y375" s="77">
        <v>0</v>
      </c>
      <c r="Z375" s="77">
        <v>1214.5999999999999</v>
      </c>
      <c r="AA375" s="77">
        <v>0</v>
      </c>
      <c r="AB375" s="82">
        <f t="shared" si="456"/>
        <v>1214.5999999999999</v>
      </c>
      <c r="AC375" s="84">
        <f t="shared" si="457"/>
        <v>3158.1747708333319</v>
      </c>
      <c r="AD375" s="39">
        <v>3000</v>
      </c>
      <c r="AE375" s="40">
        <f t="shared" si="458"/>
        <v>9001.4615416666566</v>
      </c>
      <c r="AF375" s="1">
        <f t="shared" si="459"/>
        <v>10.8</v>
      </c>
      <c r="AG375" s="1">
        <f t="shared" si="460"/>
        <v>18</v>
      </c>
      <c r="AH375" s="41">
        <f t="shared" si="461"/>
        <v>16.200219204551949</v>
      </c>
      <c r="AJ375">
        <v>0.9</v>
      </c>
      <c r="AK375">
        <v>1.5</v>
      </c>
      <c r="AL375" s="32">
        <f t="shared" si="462"/>
        <v>12001.461541666657</v>
      </c>
      <c r="AM375" s="4">
        <f t="shared" si="463"/>
        <v>0.24996955492334033</v>
      </c>
      <c r="AN375" s="4">
        <f t="shared" si="464"/>
        <v>0.75003044507665972</v>
      </c>
    </row>
    <row r="376" spans="1:40" ht="14.25" customHeight="1" x14ac:dyDescent="0.3">
      <c r="A376" s="84"/>
      <c r="C376" s="1">
        <f>+Precios!A376</f>
        <v>2026</v>
      </c>
      <c r="D376" s="52">
        <f>+Precios!B376</f>
        <v>46266</v>
      </c>
      <c r="E376" s="1">
        <v>16</v>
      </c>
      <c r="F376" s="1" t="str">
        <f>+Precios!C376</f>
        <v>jue</v>
      </c>
      <c r="G376" s="5">
        <f>+Precios!D376</f>
        <v>46282</v>
      </c>
      <c r="H376" s="77">
        <v>3300.8983333333272</v>
      </c>
      <c r="I376" s="77">
        <v>77.007083333333341</v>
      </c>
      <c r="J376" s="77">
        <v>121.35333333333335</v>
      </c>
      <c r="K376" s="77"/>
      <c r="L376" s="77">
        <v>150</v>
      </c>
      <c r="M376" s="81">
        <f t="shared" si="442"/>
        <v>3649.2587499999941</v>
      </c>
      <c r="N376" s="2">
        <v>12097.069458333322</v>
      </c>
      <c r="O376" s="2">
        <v>737.55933333333337</v>
      </c>
      <c r="P376" s="2">
        <v>462.73020833333334</v>
      </c>
      <c r="Q376" s="2"/>
      <c r="R376" s="77">
        <v>0</v>
      </c>
      <c r="S376" s="81">
        <f t="shared" si="454"/>
        <v>13297.358999999988</v>
      </c>
      <c r="T376" s="77">
        <v>650</v>
      </c>
      <c r="U376" s="77">
        <v>202.3233333333333</v>
      </c>
      <c r="V376" s="77">
        <v>329.96131250000013</v>
      </c>
      <c r="W376" s="77">
        <v>1831.2770833333316</v>
      </c>
      <c r="X376" s="82">
        <f t="shared" si="455"/>
        <v>3013.5617291666649</v>
      </c>
      <c r="Y376" s="77">
        <v>0</v>
      </c>
      <c r="Z376" s="77">
        <v>1220.5027708333332</v>
      </c>
      <c r="AA376" s="77">
        <v>0</v>
      </c>
      <c r="AB376" s="82">
        <f t="shared" si="456"/>
        <v>1220.5027708333332</v>
      </c>
      <c r="AC376" s="84">
        <f t="shared" si="457"/>
        <v>2811.2383958333317</v>
      </c>
      <c r="AD376" s="39">
        <v>3000</v>
      </c>
      <c r="AE376" s="40">
        <f t="shared" si="458"/>
        <v>9097.0694583333225</v>
      </c>
      <c r="AF376" s="1">
        <f t="shared" si="459"/>
        <v>10.8</v>
      </c>
      <c r="AG376" s="1">
        <f t="shared" si="460"/>
        <v>18</v>
      </c>
      <c r="AH376" s="41">
        <f t="shared" si="461"/>
        <v>16.214443582853004</v>
      </c>
      <c r="AJ376">
        <v>0.9</v>
      </c>
      <c r="AK376">
        <v>1.5</v>
      </c>
      <c r="AL376" s="32">
        <f t="shared" si="462"/>
        <v>12097.069458333322</v>
      </c>
      <c r="AM376" s="4">
        <f t="shared" si="463"/>
        <v>0.24799394682597167</v>
      </c>
      <c r="AN376" s="4">
        <f t="shared" si="464"/>
        <v>0.75200605317402835</v>
      </c>
    </row>
    <row r="377" spans="1:40" ht="14.25" customHeight="1" x14ac:dyDescent="0.3">
      <c r="A377" s="84"/>
      <c r="C377" s="1">
        <f>+Precios!A377</f>
        <v>2026</v>
      </c>
      <c r="D377" s="52">
        <f>+Precios!B377</f>
        <v>46266</v>
      </c>
      <c r="E377" s="1">
        <v>16</v>
      </c>
      <c r="F377" s="1" t="str">
        <f>+Precios!C377</f>
        <v>vie</v>
      </c>
      <c r="G377" s="5">
        <f>+Precios!D377</f>
        <v>46283</v>
      </c>
      <c r="H377" s="77">
        <v>3013.9241666666726</v>
      </c>
      <c r="I377" s="77">
        <v>42.962916666666672</v>
      </c>
      <c r="J377" s="77">
        <v>163.71166666666664</v>
      </c>
      <c r="K377" s="77"/>
      <c r="L377" s="77">
        <v>150</v>
      </c>
      <c r="M377" s="81">
        <f t="shared" si="442"/>
        <v>3370.598750000006</v>
      </c>
      <c r="N377" s="2">
        <v>12013.942333333327</v>
      </c>
      <c r="O377" s="2">
        <v>718.95174999999995</v>
      </c>
      <c r="P377" s="2">
        <v>462.73008333333337</v>
      </c>
      <c r="Q377" s="2"/>
      <c r="R377" s="77">
        <v>0</v>
      </c>
      <c r="S377" s="81">
        <f t="shared" si="454"/>
        <v>13195.624166666661</v>
      </c>
      <c r="T377" s="77">
        <v>650</v>
      </c>
      <c r="U377" s="77">
        <v>189.06333333333328</v>
      </c>
      <c r="V377" s="77">
        <v>305.0447291666668</v>
      </c>
      <c r="W377" s="77">
        <v>1808.6875000000066</v>
      </c>
      <c r="X377" s="82">
        <f t="shared" si="455"/>
        <v>2952.7955625000068</v>
      </c>
      <c r="Y377" s="77">
        <v>0</v>
      </c>
      <c r="Z377" s="77">
        <v>1225.5999999999999</v>
      </c>
      <c r="AA377" s="77">
        <v>0</v>
      </c>
      <c r="AB377" s="82">
        <f t="shared" si="456"/>
        <v>1225.5999999999999</v>
      </c>
      <c r="AC377" s="84">
        <f t="shared" si="457"/>
        <v>2763.7322291666733</v>
      </c>
      <c r="AD377" s="39">
        <v>3000</v>
      </c>
      <c r="AE377" s="40">
        <f t="shared" si="458"/>
        <v>9013.942333333327</v>
      </c>
      <c r="AF377" s="1">
        <f t="shared" si="459"/>
        <v>10.8</v>
      </c>
      <c r="AG377" s="1">
        <f t="shared" si="460"/>
        <v>18</v>
      </c>
      <c r="AH377" s="41">
        <f t="shared" si="461"/>
        <v>16.202088922961646</v>
      </c>
      <c r="AJ377">
        <v>0.9</v>
      </c>
      <c r="AK377">
        <v>1.5</v>
      </c>
      <c r="AL377" s="32">
        <f t="shared" si="462"/>
        <v>12013.942333333327</v>
      </c>
      <c r="AM377" s="4">
        <f t="shared" si="463"/>
        <v>0.24970987181088253</v>
      </c>
      <c r="AN377" s="4">
        <f t="shared" si="464"/>
        <v>0.75029012818911744</v>
      </c>
    </row>
    <row r="378" spans="1:40" ht="14.25" customHeight="1" x14ac:dyDescent="0.3">
      <c r="A378" s="84"/>
      <c r="C378" s="1">
        <f>+Precios!A378</f>
        <v>2026</v>
      </c>
      <c r="D378" s="52">
        <f>+Precios!B378</f>
        <v>46266</v>
      </c>
      <c r="E378" s="1">
        <v>6</v>
      </c>
      <c r="F378" s="1" t="str">
        <f>+Precios!C378</f>
        <v>sáb</v>
      </c>
      <c r="G378" s="5">
        <f>+Precios!D378</f>
        <v>46284</v>
      </c>
      <c r="H378" s="77">
        <v>2202.2908333333339</v>
      </c>
      <c r="I378" s="77">
        <v>0</v>
      </c>
      <c r="J378" s="77">
        <v>173.22666666666666</v>
      </c>
      <c r="K378" s="77"/>
      <c r="L378" s="77">
        <v>150</v>
      </c>
      <c r="M378" s="81">
        <f t="shared" si="442"/>
        <v>2525.5175000000004</v>
      </c>
      <c r="N378" s="2">
        <v>11784.912416666661</v>
      </c>
      <c r="O378" s="2">
        <v>719.2</v>
      </c>
      <c r="P378" s="2">
        <v>462.73108333333334</v>
      </c>
      <c r="Q378" s="2"/>
      <c r="R378" s="77">
        <v>0</v>
      </c>
      <c r="S378" s="81">
        <f t="shared" si="454"/>
        <v>12966.843499999995</v>
      </c>
      <c r="T378" s="77">
        <v>650</v>
      </c>
      <c r="U378" s="77">
        <v>190.2741666666667</v>
      </c>
      <c r="V378" s="77">
        <v>307.30041666666654</v>
      </c>
      <c r="W378" s="77">
        <v>1781.0041666666648</v>
      </c>
      <c r="X378" s="82">
        <f t="shared" si="455"/>
        <v>2928.5787499999979</v>
      </c>
      <c r="Y378" s="77">
        <v>0</v>
      </c>
      <c r="Z378" s="77">
        <v>1224.4999999999998</v>
      </c>
      <c r="AA378" s="77">
        <v>0</v>
      </c>
      <c r="AB378" s="82">
        <f t="shared" si="456"/>
        <v>1224.4999999999998</v>
      </c>
      <c r="AC378" s="84">
        <f t="shared" si="457"/>
        <v>2738.3045833333313</v>
      </c>
      <c r="AD378" s="39">
        <v>3000</v>
      </c>
      <c r="AE378" s="40">
        <f t="shared" si="458"/>
        <v>8784.9124166666606</v>
      </c>
      <c r="AF378" s="1">
        <f t="shared" si="459"/>
        <v>10.8</v>
      </c>
      <c r="AG378" s="1">
        <f t="shared" si="460"/>
        <v>18</v>
      </c>
      <c r="AH378" s="41">
        <f t="shared" si="461"/>
        <v>16.167148024837886</v>
      </c>
      <c r="AJ378">
        <v>0.9</v>
      </c>
      <c r="AK378">
        <v>1.5</v>
      </c>
      <c r="AL378" s="32">
        <f t="shared" si="462"/>
        <v>11784.912416666661</v>
      </c>
      <c r="AM378" s="4">
        <f t="shared" si="463"/>
        <v>0.25456277432807128</v>
      </c>
      <c r="AN378" s="4">
        <f t="shared" si="464"/>
        <v>0.74543722567192872</v>
      </c>
    </row>
    <row r="379" spans="1:40" ht="14.25" customHeight="1" x14ac:dyDescent="0.3">
      <c r="A379" s="84"/>
      <c r="C379" s="1">
        <f>+Precios!A379</f>
        <v>2026</v>
      </c>
      <c r="D379" s="52">
        <f>+Precios!B379</f>
        <v>46266</v>
      </c>
      <c r="E379" s="1">
        <v>4</v>
      </c>
      <c r="F379" s="1" t="str">
        <f>+Precios!C379</f>
        <v>dom</v>
      </c>
      <c r="G379" s="5">
        <f>+Precios!D379</f>
        <v>46285</v>
      </c>
      <c r="H379" s="77">
        <v>1938.2316666666657</v>
      </c>
      <c r="I379" s="77">
        <v>75.020833333333329</v>
      </c>
      <c r="J379" s="77">
        <v>80.427916666666661</v>
      </c>
      <c r="K379" s="77"/>
      <c r="L379" s="77">
        <v>150</v>
      </c>
      <c r="M379" s="81">
        <f t="shared" ref="M379:M414" si="465">+SUM(H379:L379)</f>
        <v>2243.6804166666657</v>
      </c>
      <c r="N379" s="2">
        <v>11253.828333333326</v>
      </c>
      <c r="O379" s="2">
        <v>794.71691666666675</v>
      </c>
      <c r="P379" s="2">
        <v>462.74425000000002</v>
      </c>
      <c r="Q379" s="2"/>
      <c r="R379" s="77">
        <v>0</v>
      </c>
      <c r="S379" s="81">
        <f t="shared" ref="S379:S414" si="466">SUM(N379:R379)</f>
        <v>12511.289499999992</v>
      </c>
      <c r="T379" s="77">
        <v>650</v>
      </c>
      <c r="U379" s="77">
        <v>187.42625000000007</v>
      </c>
      <c r="V379" s="77">
        <v>293.52645833333258</v>
      </c>
      <c r="W379" s="77">
        <v>1752.1312500000015</v>
      </c>
      <c r="X379" s="82">
        <f t="shared" si="455"/>
        <v>2883.0839583333345</v>
      </c>
      <c r="Y379" s="77">
        <v>0</v>
      </c>
      <c r="Z379" s="77">
        <v>1230.8929166666667</v>
      </c>
      <c r="AA379" s="77">
        <v>0</v>
      </c>
      <c r="AB379" s="82">
        <f t="shared" ref="AB379:AB414" si="467">SUM(Y379:AA379)</f>
        <v>1230.8929166666667</v>
      </c>
      <c r="AC379" s="84">
        <f t="shared" ref="AC379:AC385" si="468">+T379+V379+W379</f>
        <v>2695.6577083333341</v>
      </c>
      <c r="AD379" s="39">
        <v>3000</v>
      </c>
      <c r="AE379" s="40">
        <f t="shared" ref="AE379:AE385" si="469">+N379-AD379</f>
        <v>8253.8283333333256</v>
      </c>
      <c r="AF379" s="1">
        <f t="shared" ref="AF379:AF385" si="470">12*AJ379</f>
        <v>10.8</v>
      </c>
      <c r="AG379" s="1">
        <f t="shared" ref="AG379:AG385" si="471">12*AK379</f>
        <v>18</v>
      </c>
      <c r="AH379" s="41">
        <f t="shared" ref="AH379:AH385" si="472">+(AD379*AF379+AG379*AE379)/SUM(AD379:AE379)</f>
        <v>16.080653146625508</v>
      </c>
      <c r="AJ379">
        <v>0.9</v>
      </c>
      <c r="AK379">
        <v>1.5</v>
      </c>
      <c r="AL379" s="32">
        <f t="shared" ref="AL379:AL385" si="473">+AD379+AE379</f>
        <v>11253.828333333326</v>
      </c>
      <c r="AM379" s="4">
        <f t="shared" ref="AM379:AM385" si="474">+AD379/AL379</f>
        <v>0.26657595185756805</v>
      </c>
      <c r="AN379" s="4">
        <f t="shared" ref="AN379:AN385" si="475">+AE379/AL379</f>
        <v>0.73342404814243189</v>
      </c>
    </row>
    <row r="380" spans="1:40" ht="14.25" customHeight="1" x14ac:dyDescent="0.3">
      <c r="A380" s="84"/>
      <c r="C380" s="1">
        <f>+Precios!A380</f>
        <v>2026</v>
      </c>
      <c r="D380" s="52">
        <f>+Precios!B380</f>
        <v>46266</v>
      </c>
      <c r="E380" s="1">
        <v>16</v>
      </c>
      <c r="F380" s="1" t="str">
        <f>+Precios!C380</f>
        <v>lun</v>
      </c>
      <c r="G380" s="5">
        <f>+Precios!D380</f>
        <v>46286</v>
      </c>
      <c r="H380" s="77">
        <v>2556.3933333333348</v>
      </c>
      <c r="I380" s="77">
        <v>157.15541666666664</v>
      </c>
      <c r="J380" s="77">
        <v>94.631249999999966</v>
      </c>
      <c r="K380" s="77"/>
      <c r="L380" s="77">
        <v>150</v>
      </c>
      <c r="M380" s="81">
        <f t="shared" si="465"/>
        <v>2958.1800000000012</v>
      </c>
      <c r="N380" s="2">
        <v>11922.668666666661</v>
      </c>
      <c r="O380" s="2">
        <v>733.60083333333341</v>
      </c>
      <c r="P380" s="2">
        <v>462.79495833333334</v>
      </c>
      <c r="Q380" s="2"/>
      <c r="R380" s="77">
        <v>0</v>
      </c>
      <c r="S380" s="81">
        <f t="shared" si="466"/>
        <v>13119.064458333329</v>
      </c>
      <c r="T380" s="77">
        <v>650</v>
      </c>
      <c r="U380" s="77">
        <v>200.28125</v>
      </c>
      <c r="V380" s="77">
        <v>322.34572916666656</v>
      </c>
      <c r="W380" s="77">
        <v>2457.8804166666673</v>
      </c>
      <c r="X380" s="82">
        <f t="shared" si="455"/>
        <v>3630.5073958333342</v>
      </c>
      <c r="Y380" s="77">
        <v>0</v>
      </c>
      <c r="Z380" s="77">
        <v>1225.2525416666667</v>
      </c>
      <c r="AA380" s="77">
        <v>0</v>
      </c>
      <c r="AB380" s="82">
        <f t="shared" si="467"/>
        <v>1225.2525416666667</v>
      </c>
      <c r="AC380" s="84">
        <f t="shared" si="468"/>
        <v>3430.2261458333342</v>
      </c>
      <c r="AD380" s="39">
        <v>3000</v>
      </c>
      <c r="AE380" s="40">
        <f t="shared" si="469"/>
        <v>8922.668666666661</v>
      </c>
      <c r="AF380" s="1">
        <f t="shared" si="470"/>
        <v>10.8</v>
      </c>
      <c r="AG380" s="1">
        <f t="shared" si="471"/>
        <v>18</v>
      </c>
      <c r="AH380" s="41">
        <f t="shared" si="472"/>
        <v>16.188325063465935</v>
      </c>
      <c r="AJ380">
        <v>0.9</v>
      </c>
      <c r="AK380">
        <v>1.5</v>
      </c>
      <c r="AL380" s="32">
        <f t="shared" si="473"/>
        <v>11922.668666666661</v>
      </c>
      <c r="AM380" s="4">
        <f t="shared" si="474"/>
        <v>0.25162151896306451</v>
      </c>
      <c r="AN380" s="4">
        <f t="shared" si="475"/>
        <v>0.74837848103693549</v>
      </c>
    </row>
    <row r="381" spans="1:40" ht="14.25" customHeight="1" x14ac:dyDescent="0.3">
      <c r="A381" s="84"/>
      <c r="C381" s="1">
        <f>+Precios!A381</f>
        <v>2026</v>
      </c>
      <c r="D381" s="52">
        <f>+Precios!B381</f>
        <v>46266</v>
      </c>
      <c r="E381" s="1">
        <v>16</v>
      </c>
      <c r="F381" s="1" t="str">
        <f>+Precios!C381</f>
        <v>mar</v>
      </c>
      <c r="G381" s="5">
        <f>+Precios!D381</f>
        <v>46287</v>
      </c>
      <c r="H381" s="77">
        <v>3045.1270833333278</v>
      </c>
      <c r="I381" s="77">
        <v>319.50791666666663</v>
      </c>
      <c r="J381" s="77">
        <v>178.86416666666676</v>
      </c>
      <c r="K381" s="77"/>
      <c r="L381" s="77">
        <v>150</v>
      </c>
      <c r="M381" s="81">
        <f t="shared" si="465"/>
        <v>3693.499166666661</v>
      </c>
      <c r="N381" s="2">
        <v>12439.643666666663</v>
      </c>
      <c r="O381" s="2">
        <v>736.78824999999995</v>
      </c>
      <c r="P381" s="2">
        <v>463.14725000000004</v>
      </c>
      <c r="Q381" s="2"/>
      <c r="R381" s="77">
        <v>0</v>
      </c>
      <c r="S381" s="81">
        <f t="shared" si="466"/>
        <v>13639.579166666663</v>
      </c>
      <c r="T381" s="77">
        <v>650</v>
      </c>
      <c r="U381" s="77">
        <v>195.70083333333332</v>
      </c>
      <c r="V381" s="77">
        <v>383.60375000000016</v>
      </c>
      <c r="W381" s="77">
        <v>1367.4429166666648</v>
      </c>
      <c r="X381" s="82">
        <f t="shared" si="455"/>
        <v>2596.7474999999986</v>
      </c>
      <c r="Y381" s="77">
        <v>0</v>
      </c>
      <c r="Z381" s="77">
        <v>1215.4055624999999</v>
      </c>
      <c r="AA381" s="77">
        <v>0</v>
      </c>
      <c r="AB381" s="82">
        <f t="shared" si="467"/>
        <v>1215.4055624999999</v>
      </c>
      <c r="AC381" s="84">
        <f t="shared" si="468"/>
        <v>2401.0466666666653</v>
      </c>
      <c r="AD381" s="39">
        <v>3000</v>
      </c>
      <c r="AE381" s="40">
        <f t="shared" si="469"/>
        <v>9439.6436666666632</v>
      </c>
      <c r="AF381" s="1">
        <f t="shared" si="470"/>
        <v>10.8</v>
      </c>
      <c r="AG381" s="1">
        <f t="shared" si="471"/>
        <v>18</v>
      </c>
      <c r="AH381" s="41">
        <f t="shared" si="472"/>
        <v>16.263615857592491</v>
      </c>
      <c r="AJ381">
        <v>0.9</v>
      </c>
      <c r="AK381">
        <v>1.5</v>
      </c>
      <c r="AL381" s="32">
        <f t="shared" si="473"/>
        <v>12439.643666666663</v>
      </c>
      <c r="AM381" s="4">
        <f t="shared" si="474"/>
        <v>0.24116446422326521</v>
      </c>
      <c r="AN381" s="4">
        <f t="shared" si="475"/>
        <v>0.75883553577673479</v>
      </c>
    </row>
    <row r="382" spans="1:40" ht="14.25" customHeight="1" x14ac:dyDescent="0.3">
      <c r="A382" s="84"/>
      <c r="C382" s="1">
        <f>+Precios!A382</f>
        <v>2026</v>
      </c>
      <c r="D382" s="52">
        <f>+Precios!B382</f>
        <v>46266</v>
      </c>
      <c r="E382" s="1">
        <v>16</v>
      </c>
      <c r="F382" s="1" t="str">
        <f>+Precios!C382</f>
        <v>mié</v>
      </c>
      <c r="G382" s="5">
        <f>+Precios!D382</f>
        <v>46288</v>
      </c>
      <c r="H382" s="77">
        <v>2603.0300000000007</v>
      </c>
      <c r="I382" s="77">
        <v>297.08708333333334</v>
      </c>
      <c r="J382" s="77">
        <v>154.09541666666658</v>
      </c>
      <c r="K382" s="77"/>
      <c r="L382" s="77">
        <v>150</v>
      </c>
      <c r="M382" s="81">
        <f t="shared" si="465"/>
        <v>3204.2125000000005</v>
      </c>
      <c r="N382" s="2">
        <v>12521.671916666664</v>
      </c>
      <c r="O382" s="2">
        <v>733.82224999999994</v>
      </c>
      <c r="P382" s="2">
        <v>463.04254166666669</v>
      </c>
      <c r="Q382" s="2"/>
      <c r="R382" s="77">
        <v>0</v>
      </c>
      <c r="S382" s="81">
        <f t="shared" si="466"/>
        <v>13718.536708333329</v>
      </c>
      <c r="T382" s="77">
        <v>650</v>
      </c>
      <c r="U382" s="77">
        <v>188.82166666666669</v>
      </c>
      <c r="V382" s="77">
        <v>342.00433333333331</v>
      </c>
      <c r="W382" s="77">
        <v>2356.5587499999997</v>
      </c>
      <c r="X382" s="82">
        <f t="shared" si="455"/>
        <v>3537.3847499999997</v>
      </c>
      <c r="Y382" s="77">
        <v>0</v>
      </c>
      <c r="Z382" s="77">
        <v>1216.5916666666665</v>
      </c>
      <c r="AA382" s="77">
        <v>0</v>
      </c>
      <c r="AB382" s="82">
        <f t="shared" si="467"/>
        <v>1216.5916666666665</v>
      </c>
      <c r="AC382" s="84">
        <f t="shared" si="468"/>
        <v>3348.563083333333</v>
      </c>
      <c r="AD382" s="39">
        <v>3000</v>
      </c>
      <c r="AE382" s="40">
        <f t="shared" si="469"/>
        <v>9521.6719166666644</v>
      </c>
      <c r="AF382" s="1">
        <f t="shared" si="470"/>
        <v>10.8</v>
      </c>
      <c r="AG382" s="1">
        <f t="shared" si="471"/>
        <v>18</v>
      </c>
      <c r="AH382" s="41">
        <f t="shared" si="472"/>
        <v>16.274990740553594</v>
      </c>
      <c r="AJ382">
        <v>0.9</v>
      </c>
      <c r="AK382">
        <v>1.5</v>
      </c>
      <c r="AL382" s="32">
        <f t="shared" si="473"/>
        <v>12521.671916666664</v>
      </c>
      <c r="AM382" s="4">
        <f t="shared" si="474"/>
        <v>0.23958461936755615</v>
      </c>
      <c r="AN382" s="4">
        <f t="shared" si="475"/>
        <v>0.76041538063244385</v>
      </c>
    </row>
    <row r="383" spans="1:40" ht="14.25" customHeight="1" x14ac:dyDescent="0.3">
      <c r="A383" s="84"/>
      <c r="C383" s="1">
        <f>+Precios!A383</f>
        <v>2026</v>
      </c>
      <c r="D383" s="52">
        <f>+Precios!B383</f>
        <v>46266</v>
      </c>
      <c r="E383" s="1">
        <v>16</v>
      </c>
      <c r="F383" s="1" t="str">
        <f>+Precios!C383</f>
        <v>jue</v>
      </c>
      <c r="G383" s="5">
        <f>+Precios!D383</f>
        <v>46289</v>
      </c>
      <c r="H383" s="77">
        <v>2739.5599999999977</v>
      </c>
      <c r="I383" s="77">
        <v>69.765000000000001</v>
      </c>
      <c r="J383" s="77">
        <v>105.30374999999997</v>
      </c>
      <c r="K383" s="77"/>
      <c r="L383" s="77">
        <v>150</v>
      </c>
      <c r="M383" s="81">
        <f t="shared" si="465"/>
        <v>3064.6287499999976</v>
      </c>
      <c r="N383" s="2">
        <v>12356.425041666665</v>
      </c>
      <c r="O383" s="2">
        <v>734.54979166666669</v>
      </c>
      <c r="P383" s="2">
        <v>456.91750000000002</v>
      </c>
      <c r="Q383" s="2"/>
      <c r="R383" s="77">
        <v>0</v>
      </c>
      <c r="S383" s="81">
        <f t="shared" si="466"/>
        <v>13547.892333333331</v>
      </c>
      <c r="T383" s="77">
        <v>650</v>
      </c>
      <c r="U383" s="77">
        <v>216.67416666666671</v>
      </c>
      <c r="V383" s="77">
        <v>348.52243749999957</v>
      </c>
      <c r="W383" s="77">
        <v>1620.8795833333359</v>
      </c>
      <c r="X383" s="82">
        <f t="shared" si="455"/>
        <v>2836.0761875000021</v>
      </c>
      <c r="Y383" s="77">
        <v>0</v>
      </c>
      <c r="Z383" s="77">
        <v>1215.4055624999999</v>
      </c>
      <c r="AA383" s="77">
        <v>0</v>
      </c>
      <c r="AB383" s="82">
        <f t="shared" si="467"/>
        <v>1215.4055624999999</v>
      </c>
      <c r="AC383" s="84">
        <f t="shared" si="468"/>
        <v>2619.4020208333354</v>
      </c>
      <c r="AD383" s="39">
        <v>3000</v>
      </c>
      <c r="AE383" s="40">
        <f t="shared" si="469"/>
        <v>9356.4250416666655</v>
      </c>
      <c r="AF383" s="1">
        <f t="shared" si="470"/>
        <v>10.8</v>
      </c>
      <c r="AG383" s="1">
        <f t="shared" si="471"/>
        <v>18</v>
      </c>
      <c r="AH383" s="41">
        <f t="shared" si="472"/>
        <v>16.251921577061051</v>
      </c>
      <c r="AJ383">
        <v>0.9</v>
      </c>
      <c r="AK383">
        <v>1.5</v>
      </c>
      <c r="AL383" s="32">
        <f t="shared" si="473"/>
        <v>12356.425041666665</v>
      </c>
      <c r="AM383" s="4">
        <f t="shared" si="474"/>
        <v>0.24278866985263178</v>
      </c>
      <c r="AN383" s="4">
        <f t="shared" si="475"/>
        <v>0.75721133014736819</v>
      </c>
    </row>
    <row r="384" spans="1:40" ht="14.25" customHeight="1" x14ac:dyDescent="0.3">
      <c r="A384" s="84"/>
      <c r="C384" s="1">
        <f>+Precios!A384</f>
        <v>2026</v>
      </c>
      <c r="D384" s="52">
        <f>+Precios!B384</f>
        <v>46266</v>
      </c>
      <c r="E384" s="1">
        <v>16</v>
      </c>
      <c r="F384" s="1" t="str">
        <f>+Precios!C384</f>
        <v>vie</v>
      </c>
      <c r="G384" s="5">
        <f>+Precios!D384</f>
        <v>46290</v>
      </c>
      <c r="H384" s="77">
        <v>2813.719583333328</v>
      </c>
      <c r="I384" s="77">
        <v>88.16458333333334</v>
      </c>
      <c r="J384" s="77">
        <v>106.57833333333332</v>
      </c>
      <c r="K384" s="77"/>
      <c r="L384" s="77">
        <v>150</v>
      </c>
      <c r="M384" s="81">
        <f t="shared" si="465"/>
        <v>3158.4624999999946</v>
      </c>
      <c r="N384" s="2">
        <v>12714.36458333333</v>
      </c>
      <c r="O384" s="2">
        <v>743.77354166666692</v>
      </c>
      <c r="P384" s="2">
        <v>460.78000000000003</v>
      </c>
      <c r="Q384" s="2"/>
      <c r="R384" s="77">
        <v>0</v>
      </c>
      <c r="S384" s="81">
        <f t="shared" si="466"/>
        <v>13918.918124999998</v>
      </c>
      <c r="T384" s="77">
        <v>650</v>
      </c>
      <c r="U384" s="77">
        <v>200.25374999999997</v>
      </c>
      <c r="V384" s="77">
        <v>370.34018749999984</v>
      </c>
      <c r="W384" s="77">
        <v>1717.440416666667</v>
      </c>
      <c r="X384" s="82">
        <f t="shared" si="455"/>
        <v>2938.0343541666671</v>
      </c>
      <c r="Y384" s="77">
        <v>0</v>
      </c>
      <c r="Z384" s="77">
        <v>1227.23425</v>
      </c>
      <c r="AA384" s="77">
        <v>0</v>
      </c>
      <c r="AB384" s="82">
        <f t="shared" si="467"/>
        <v>1227.23425</v>
      </c>
      <c r="AC384" s="84">
        <f t="shared" si="468"/>
        <v>2737.7806041666668</v>
      </c>
      <c r="AD384" s="39">
        <v>3000</v>
      </c>
      <c r="AE384" s="40">
        <f t="shared" si="469"/>
        <v>9714.3645833333303</v>
      </c>
      <c r="AF384" s="1">
        <f t="shared" si="470"/>
        <v>10.8</v>
      </c>
      <c r="AG384" s="1">
        <f t="shared" si="471"/>
        <v>18</v>
      </c>
      <c r="AH384" s="41">
        <f t="shared" si="472"/>
        <v>16.301134133882361</v>
      </c>
      <c r="AJ384">
        <v>0.9</v>
      </c>
      <c r="AK384">
        <v>1.5</v>
      </c>
      <c r="AL384" s="32">
        <f t="shared" si="473"/>
        <v>12714.36458333333</v>
      </c>
      <c r="AM384" s="4">
        <f t="shared" si="474"/>
        <v>0.2359535925163386</v>
      </c>
      <c r="AN384" s="4">
        <f t="shared" si="475"/>
        <v>0.76404640748366137</v>
      </c>
    </row>
    <row r="385" spans="1:40" ht="14.25" customHeight="1" x14ac:dyDescent="0.3">
      <c r="A385" s="84"/>
      <c r="C385" s="1">
        <f>+Precios!A385</f>
        <v>2026</v>
      </c>
      <c r="D385" s="52">
        <f>+Precios!B385</f>
        <v>46266</v>
      </c>
      <c r="E385" s="1">
        <v>6</v>
      </c>
      <c r="F385" s="1" t="str">
        <f>+Precios!C385</f>
        <v>sáb</v>
      </c>
      <c r="G385" s="5">
        <f>+Precios!D385</f>
        <v>46291</v>
      </c>
      <c r="H385" s="77">
        <v>2359.83</v>
      </c>
      <c r="I385" s="77">
        <v>6.7441666666666675</v>
      </c>
      <c r="J385" s="77">
        <v>101.33624999999996</v>
      </c>
      <c r="K385" s="77"/>
      <c r="L385" s="77">
        <v>150</v>
      </c>
      <c r="M385" s="81">
        <f t="shared" si="465"/>
        <v>2617.9104166666666</v>
      </c>
      <c r="N385" s="2">
        <v>12713.562666666654</v>
      </c>
      <c r="O385" s="2">
        <v>739.36687500000005</v>
      </c>
      <c r="P385" s="2">
        <v>456.73025000000001</v>
      </c>
      <c r="Q385" s="2"/>
      <c r="R385" s="77">
        <v>0</v>
      </c>
      <c r="S385" s="81">
        <f t="shared" si="466"/>
        <v>13909.659791666654</v>
      </c>
      <c r="T385" s="77">
        <v>650</v>
      </c>
      <c r="U385" s="77">
        <v>191.07666666666663</v>
      </c>
      <c r="V385" s="77">
        <v>360.40675000000022</v>
      </c>
      <c r="W385" s="77">
        <v>1305.3724999999968</v>
      </c>
      <c r="X385" s="82">
        <f t="shared" si="455"/>
        <v>2506.8559166666637</v>
      </c>
      <c r="Y385" s="77">
        <v>0</v>
      </c>
      <c r="Z385" s="77">
        <v>1230.6833333333332</v>
      </c>
      <c r="AA385" s="77">
        <v>0</v>
      </c>
      <c r="AB385" s="82">
        <f t="shared" si="467"/>
        <v>1230.6833333333332</v>
      </c>
      <c r="AC385" s="84">
        <f t="shared" si="468"/>
        <v>2315.7792499999969</v>
      </c>
      <c r="AD385" s="39">
        <v>3000</v>
      </c>
      <c r="AE385" s="40">
        <f t="shared" si="469"/>
        <v>9713.562666666654</v>
      </c>
      <c r="AF385" s="1">
        <f t="shared" si="470"/>
        <v>10.8</v>
      </c>
      <c r="AG385" s="1">
        <f t="shared" si="471"/>
        <v>18</v>
      </c>
      <c r="AH385" s="41">
        <f t="shared" si="472"/>
        <v>16.301026976755111</v>
      </c>
      <c r="AJ385">
        <v>0.9</v>
      </c>
      <c r="AK385">
        <v>1.5</v>
      </c>
      <c r="AL385" s="32">
        <f t="shared" si="473"/>
        <v>12713.562666666654</v>
      </c>
      <c r="AM385" s="4">
        <f t="shared" si="474"/>
        <v>0.23596847545067906</v>
      </c>
      <c r="AN385" s="4">
        <f t="shared" si="475"/>
        <v>0.764031524549321</v>
      </c>
    </row>
    <row r="386" spans="1:40" ht="14.25" customHeight="1" x14ac:dyDescent="0.3">
      <c r="A386" s="84"/>
      <c r="C386" s="1">
        <f>+Precios!A386</f>
        <v>2026</v>
      </c>
      <c r="D386" s="52">
        <f>+Precios!B386</f>
        <v>46266</v>
      </c>
      <c r="E386" s="1">
        <v>4</v>
      </c>
      <c r="F386" s="1" t="str">
        <f>+Precios!C386</f>
        <v>dom</v>
      </c>
      <c r="G386" s="5">
        <f>+Precios!D386</f>
        <v>46292</v>
      </c>
      <c r="H386" s="77">
        <v>2319.8470833333304</v>
      </c>
      <c r="I386" s="77">
        <v>156.97875000000002</v>
      </c>
      <c r="J386" s="77">
        <v>65.461250000000007</v>
      </c>
      <c r="K386" s="77"/>
      <c r="L386" s="77">
        <v>150</v>
      </c>
      <c r="M386" s="81">
        <f t="shared" si="465"/>
        <v>2692.2870833333304</v>
      </c>
      <c r="N386" s="2">
        <v>12859.526249999995</v>
      </c>
      <c r="O386" s="2">
        <v>814.05099999999993</v>
      </c>
      <c r="P386" s="2">
        <v>462.73</v>
      </c>
      <c r="Q386" s="2"/>
      <c r="R386" s="77">
        <v>0</v>
      </c>
      <c r="S386" s="81">
        <f t="shared" si="466"/>
        <v>14136.307249999994</v>
      </c>
      <c r="T386" s="77">
        <v>650</v>
      </c>
      <c r="U386" s="77">
        <v>193.93500000000003</v>
      </c>
      <c r="V386" s="77">
        <v>343.03485416666592</v>
      </c>
      <c r="W386" s="77">
        <v>1657.579583333335</v>
      </c>
      <c r="X386" s="82">
        <f t="shared" si="455"/>
        <v>2844.5494375000007</v>
      </c>
      <c r="Y386" s="77">
        <v>0</v>
      </c>
      <c r="Z386" s="77">
        <v>1226.7339583333332</v>
      </c>
      <c r="AA386" s="77">
        <v>0</v>
      </c>
      <c r="AB386" s="82">
        <f t="shared" si="467"/>
        <v>1226.7339583333332</v>
      </c>
      <c r="AC386" s="84">
        <f t="shared" ref="AC386:AC389" si="476">+T386+V386+W386</f>
        <v>2650.6144375000008</v>
      </c>
      <c r="AD386" s="39">
        <v>3000</v>
      </c>
      <c r="AE386" s="40">
        <f t="shared" ref="AE386:AE389" si="477">+N386-AD386</f>
        <v>9859.5262499999953</v>
      </c>
      <c r="AF386" s="1">
        <f t="shared" ref="AF386:AF389" si="478">12*AJ386</f>
        <v>10.8</v>
      </c>
      <c r="AG386" s="1">
        <f t="shared" ref="AG386:AG389" si="479">12*AK386</f>
        <v>18</v>
      </c>
      <c r="AH386" s="41">
        <f t="shared" ref="AH386:AH389" si="480">+(AD386*AF386+AG386*AE386)/SUM(AD386:AE386)</f>
        <v>16.320311372279363</v>
      </c>
      <c r="AJ386">
        <v>0.9</v>
      </c>
      <c r="AK386">
        <v>1.5</v>
      </c>
      <c r="AL386" s="32">
        <f t="shared" ref="AL386:AL389" si="481">+AD386+AE386</f>
        <v>12859.526249999995</v>
      </c>
      <c r="AM386" s="4">
        <f t="shared" ref="AM386:AM389" si="482">+AD386/AL386</f>
        <v>0.23329008718342178</v>
      </c>
      <c r="AN386" s="4">
        <f t="shared" ref="AN386:AN389" si="483">+AE386/AL386</f>
        <v>0.76670991281657819</v>
      </c>
    </row>
    <row r="387" spans="1:40" ht="14.25" customHeight="1" x14ac:dyDescent="0.3">
      <c r="A387" s="84"/>
      <c r="C387" s="1">
        <f>+Precios!A387</f>
        <v>2026</v>
      </c>
      <c r="D387" s="52">
        <f>+Precios!B387</f>
        <v>46266</v>
      </c>
      <c r="E387" s="1">
        <v>16</v>
      </c>
      <c r="F387" s="1" t="str">
        <f>+Precios!C387</f>
        <v>lun</v>
      </c>
      <c r="G387" s="5">
        <f>+Precios!D387</f>
        <v>46293</v>
      </c>
      <c r="H387" s="77">
        <v>2690.5833333333321</v>
      </c>
      <c r="I387" s="77">
        <v>532.61791666666659</v>
      </c>
      <c r="J387" s="77">
        <v>62.854166666666686</v>
      </c>
      <c r="K387" s="77"/>
      <c r="L387" s="77">
        <v>150</v>
      </c>
      <c r="M387" s="81">
        <f t="shared" si="465"/>
        <v>3436.0554166666652</v>
      </c>
      <c r="N387" s="2">
        <v>12829.661666666663</v>
      </c>
      <c r="O387" s="2">
        <v>868.8751666666667</v>
      </c>
      <c r="P387" s="2">
        <v>463.44287500000002</v>
      </c>
      <c r="Q387" s="2"/>
      <c r="R387" s="77">
        <v>0</v>
      </c>
      <c r="S387" s="81">
        <f t="shared" si="466"/>
        <v>14161.979708333331</v>
      </c>
      <c r="T387" s="77">
        <v>650</v>
      </c>
      <c r="U387" s="77">
        <v>194.89833333333334</v>
      </c>
      <c r="V387" s="77">
        <v>421.88843750000046</v>
      </c>
      <c r="W387" s="77">
        <v>755.20583333333218</v>
      </c>
      <c r="X387" s="82">
        <f t="shared" si="455"/>
        <v>2021.9926041666658</v>
      </c>
      <c r="Y387" s="77">
        <v>0</v>
      </c>
      <c r="Z387" s="77">
        <v>1232.2180624999999</v>
      </c>
      <c r="AA387" s="77">
        <v>0</v>
      </c>
      <c r="AB387" s="82">
        <f t="shared" si="467"/>
        <v>1232.2180624999999</v>
      </c>
      <c r="AC387" s="84">
        <f t="shared" si="476"/>
        <v>1827.0942708333328</v>
      </c>
      <c r="AD387" s="39">
        <v>3000</v>
      </c>
      <c r="AE387" s="40">
        <f t="shared" si="477"/>
        <v>9829.6616666666632</v>
      </c>
      <c r="AF387" s="1">
        <f t="shared" si="478"/>
        <v>10.8</v>
      </c>
      <c r="AG387" s="1">
        <f t="shared" si="479"/>
        <v>18</v>
      </c>
      <c r="AH387" s="41">
        <f t="shared" si="480"/>
        <v>16.31640143277356</v>
      </c>
      <c r="AJ387">
        <v>0.9</v>
      </c>
      <c r="AK387">
        <v>1.5</v>
      </c>
      <c r="AL387" s="32">
        <f t="shared" si="481"/>
        <v>12829.661666666663</v>
      </c>
      <c r="AM387" s="4">
        <f t="shared" si="482"/>
        <v>0.23383313433700584</v>
      </c>
      <c r="AN387" s="4">
        <f t="shared" si="483"/>
        <v>0.76616686566299419</v>
      </c>
    </row>
    <row r="388" spans="1:40" ht="14.25" customHeight="1" x14ac:dyDescent="0.3">
      <c r="A388" s="84"/>
      <c r="C388" s="1">
        <f>+Precios!A388</f>
        <v>2026</v>
      </c>
      <c r="D388" s="52">
        <f>+Precios!B388</f>
        <v>46266</v>
      </c>
      <c r="E388" s="1">
        <v>16</v>
      </c>
      <c r="F388" s="1" t="str">
        <f>+Precios!C388</f>
        <v>mar</v>
      </c>
      <c r="G388" s="5">
        <f>+Precios!D388</f>
        <v>46294</v>
      </c>
      <c r="H388" s="77">
        <v>2195.4099999999949</v>
      </c>
      <c r="I388" s="77">
        <v>669.09999999999991</v>
      </c>
      <c r="J388" s="77">
        <v>88.894583333333344</v>
      </c>
      <c r="K388" s="77"/>
      <c r="L388" s="77">
        <v>150</v>
      </c>
      <c r="M388" s="81">
        <f t="shared" si="465"/>
        <v>3103.404583333328</v>
      </c>
      <c r="N388" s="2">
        <v>12925.411083333329</v>
      </c>
      <c r="O388" s="2">
        <v>1016.6402083333335</v>
      </c>
      <c r="P388" s="2">
        <v>463.17233333333337</v>
      </c>
      <c r="Q388" s="2"/>
      <c r="R388" s="77">
        <v>0</v>
      </c>
      <c r="S388" s="81">
        <f t="shared" si="466"/>
        <v>14405.223624999997</v>
      </c>
      <c r="T388" s="77">
        <v>650</v>
      </c>
      <c r="U388" s="77">
        <v>190.25041666666667</v>
      </c>
      <c r="V388" s="77">
        <v>404.85029166666641</v>
      </c>
      <c r="W388" s="77">
        <v>1037.2066666666669</v>
      </c>
      <c r="X388" s="82">
        <f t="shared" si="455"/>
        <v>2282.3073749999999</v>
      </c>
      <c r="Y388" s="77">
        <v>0</v>
      </c>
      <c r="Z388" s="77">
        <v>1227.5999999999999</v>
      </c>
      <c r="AA388" s="77">
        <v>0</v>
      </c>
      <c r="AB388" s="82">
        <f t="shared" si="467"/>
        <v>1227.5999999999999</v>
      </c>
      <c r="AC388" s="84">
        <f t="shared" si="476"/>
        <v>2092.0569583333336</v>
      </c>
      <c r="AD388" s="39">
        <v>3000</v>
      </c>
      <c r="AE388" s="40">
        <f t="shared" si="477"/>
        <v>9925.4110833333289</v>
      </c>
      <c r="AF388" s="1">
        <f t="shared" si="478"/>
        <v>10.8</v>
      </c>
      <c r="AG388" s="1">
        <f t="shared" si="479"/>
        <v>18</v>
      </c>
      <c r="AH388" s="41">
        <f t="shared" si="480"/>
        <v>16.328873266719373</v>
      </c>
      <c r="AJ388">
        <v>0.9</v>
      </c>
      <c r="AK388">
        <v>1.5</v>
      </c>
      <c r="AL388" s="32">
        <f t="shared" si="481"/>
        <v>12925.411083333329</v>
      </c>
      <c r="AM388" s="4">
        <f t="shared" si="482"/>
        <v>0.23210093517786448</v>
      </c>
      <c r="AN388" s="4">
        <f t="shared" si="483"/>
        <v>0.76789906482213555</v>
      </c>
    </row>
    <row r="389" spans="1:40" ht="14.25" customHeight="1" x14ac:dyDescent="0.3">
      <c r="A389" s="84"/>
      <c r="C389" s="1">
        <f>+Precios!A389</f>
        <v>2026</v>
      </c>
      <c r="D389" s="52">
        <f>+Precios!B389</f>
        <v>46266</v>
      </c>
      <c r="E389" s="1">
        <v>16</v>
      </c>
      <c r="F389" s="1" t="str">
        <f>+Precios!C389</f>
        <v>mié</v>
      </c>
      <c r="G389" s="5">
        <f>+Precios!D389</f>
        <v>46295</v>
      </c>
      <c r="H389" s="77">
        <v>2471.1749999999956</v>
      </c>
      <c r="I389" s="77">
        <v>616.52041666666662</v>
      </c>
      <c r="J389" s="77">
        <v>98.967916666666667</v>
      </c>
      <c r="K389" s="77"/>
      <c r="L389" s="77">
        <v>150</v>
      </c>
      <c r="M389" s="81">
        <f t="shared" si="465"/>
        <v>3336.6633333333289</v>
      </c>
      <c r="N389" s="2">
        <v>13149.773999999994</v>
      </c>
      <c r="O389" s="2">
        <v>969.5683333333335</v>
      </c>
      <c r="P389" s="2">
        <v>462.78337500000004</v>
      </c>
      <c r="Q389" s="2"/>
      <c r="R389" s="77">
        <v>0</v>
      </c>
      <c r="S389" s="81">
        <f t="shared" si="466"/>
        <v>14582.125708333328</v>
      </c>
      <c r="T389" s="77">
        <v>650</v>
      </c>
      <c r="U389" s="77">
        <v>189.53291666666664</v>
      </c>
      <c r="V389" s="77">
        <v>425.70337500000051</v>
      </c>
      <c r="W389" s="77">
        <v>1114.3100000000002</v>
      </c>
      <c r="X389" s="82">
        <f t="shared" si="455"/>
        <v>2379.5462916666675</v>
      </c>
      <c r="Y389" s="77">
        <v>0</v>
      </c>
      <c r="Z389" s="77">
        <v>1228.5999999999999</v>
      </c>
      <c r="AA389" s="77">
        <v>0</v>
      </c>
      <c r="AB389" s="82">
        <f t="shared" si="467"/>
        <v>1228.5999999999999</v>
      </c>
      <c r="AC389" s="84">
        <f t="shared" si="476"/>
        <v>2190.0133750000005</v>
      </c>
      <c r="AD389" s="39">
        <v>3000</v>
      </c>
      <c r="AE389" s="40">
        <f t="shared" si="477"/>
        <v>10149.773999999994</v>
      </c>
      <c r="AF389" s="1">
        <f t="shared" si="478"/>
        <v>10.8</v>
      </c>
      <c r="AG389" s="1">
        <f t="shared" si="479"/>
        <v>18</v>
      </c>
      <c r="AH389" s="41">
        <f t="shared" si="480"/>
        <v>16.357386218196602</v>
      </c>
      <c r="AJ389">
        <v>0.9</v>
      </c>
      <c r="AK389">
        <v>1.5</v>
      </c>
      <c r="AL389" s="32">
        <f t="shared" si="481"/>
        <v>13149.773999999994</v>
      </c>
      <c r="AM389" s="4">
        <f t="shared" si="482"/>
        <v>0.22814080302824988</v>
      </c>
      <c r="AN389" s="4">
        <f t="shared" si="483"/>
        <v>0.77185919697175009</v>
      </c>
    </row>
    <row r="390" spans="1:40" ht="14.25" customHeight="1" x14ac:dyDescent="0.3">
      <c r="A390" s="84"/>
      <c r="C390" s="1">
        <f>+Precios!A390</f>
        <v>2026</v>
      </c>
      <c r="D390" s="52">
        <f>+Precios!B390</f>
        <v>46296</v>
      </c>
      <c r="E390" s="1">
        <v>16</v>
      </c>
      <c r="F390" s="1" t="s">
        <v>48</v>
      </c>
      <c r="G390" s="5">
        <v>46296</v>
      </c>
      <c r="H390" s="77">
        <v>2532</v>
      </c>
      <c r="I390" s="77">
        <v>705</v>
      </c>
      <c r="J390" s="77">
        <v>130</v>
      </c>
      <c r="K390" s="77"/>
      <c r="L390" s="77">
        <v>150</v>
      </c>
      <c r="M390" s="197">
        <f t="shared" si="465"/>
        <v>3517</v>
      </c>
      <c r="N390" s="2">
        <v>13213</v>
      </c>
      <c r="O390" s="2">
        <v>1570</v>
      </c>
      <c r="P390" s="2">
        <v>463</v>
      </c>
      <c r="Q390" s="2"/>
      <c r="R390" s="77">
        <v>0</v>
      </c>
      <c r="S390" s="197">
        <f t="shared" si="466"/>
        <v>15246</v>
      </c>
      <c r="T390" s="77">
        <v>650</v>
      </c>
      <c r="U390" s="77">
        <v>187</v>
      </c>
      <c r="V390" s="77">
        <v>393</v>
      </c>
      <c r="W390" s="77">
        <v>1269</v>
      </c>
      <c r="X390" s="198">
        <f t="shared" si="455"/>
        <v>2499</v>
      </c>
      <c r="Y390" s="77">
        <v>0</v>
      </c>
      <c r="Z390" s="77">
        <v>1231</v>
      </c>
      <c r="AA390" s="77">
        <v>0</v>
      </c>
      <c r="AB390" s="198">
        <f t="shared" si="467"/>
        <v>1231</v>
      </c>
      <c r="AC390" s="84">
        <f t="shared" ref="AC390:AC394" si="484">+T390+V390+W390</f>
        <v>2312</v>
      </c>
      <c r="AD390" s="39">
        <v>3000</v>
      </c>
      <c r="AE390" s="40">
        <f t="shared" ref="AE390:AE394" si="485">+N390-AD390</f>
        <v>10213</v>
      </c>
      <c r="AF390" s="1">
        <f t="shared" ref="AF390:AF394" si="486">12*AJ390</f>
        <v>10.8</v>
      </c>
      <c r="AG390" s="1">
        <f t="shared" ref="AG390:AG394" si="487">12*AK390</f>
        <v>18</v>
      </c>
      <c r="AH390" s="41">
        <f t="shared" ref="AH390:AH394" si="488">+(AD390*AF390+AG390*AE390)/SUM(AD390:AE390)</f>
        <v>16.365246348293347</v>
      </c>
      <c r="AJ390">
        <v>0.9</v>
      </c>
      <c r="AK390">
        <v>1.5</v>
      </c>
      <c r="AL390" s="32">
        <f t="shared" ref="AL390:AL394" si="489">+AD390+AE390</f>
        <v>13213</v>
      </c>
      <c r="AM390" s="4">
        <f t="shared" ref="AM390:AM394" si="490">+AD390/AL390</f>
        <v>0.22704911829259064</v>
      </c>
      <c r="AN390" s="4">
        <f t="shared" ref="AN390:AN394" si="491">+AE390/AL390</f>
        <v>0.77295088170740933</v>
      </c>
    </row>
    <row r="391" spans="1:40" ht="14.25" customHeight="1" x14ac:dyDescent="0.3">
      <c r="A391" s="84"/>
      <c r="C391" s="1">
        <f>+Precios!A391</f>
        <v>2026</v>
      </c>
      <c r="D391" s="52">
        <f>+Precios!B391</f>
        <v>46296</v>
      </c>
      <c r="E391" s="1">
        <v>16</v>
      </c>
      <c r="F391" s="1" t="s">
        <v>49</v>
      </c>
      <c r="G391" s="5">
        <v>46297</v>
      </c>
      <c r="H391" s="77">
        <v>2547</v>
      </c>
      <c r="I391" s="77">
        <v>330</v>
      </c>
      <c r="J391" s="77">
        <v>108</v>
      </c>
      <c r="K391" s="77"/>
      <c r="L391" s="77">
        <v>150</v>
      </c>
      <c r="M391" s="197">
        <f t="shared" si="465"/>
        <v>3135</v>
      </c>
      <c r="N391" s="2">
        <v>12909</v>
      </c>
      <c r="O391" s="2">
        <v>1604</v>
      </c>
      <c r="P391" s="2">
        <v>463</v>
      </c>
      <c r="Q391" s="2"/>
      <c r="R391" s="77">
        <v>0</v>
      </c>
      <c r="S391" s="197">
        <f t="shared" si="466"/>
        <v>14976</v>
      </c>
      <c r="T391" s="77">
        <v>650</v>
      </c>
      <c r="U391" s="77">
        <v>189</v>
      </c>
      <c r="V391" s="77">
        <v>361</v>
      </c>
      <c r="W391" s="77">
        <v>1981</v>
      </c>
      <c r="X391" s="198">
        <f t="shared" si="455"/>
        <v>3181</v>
      </c>
      <c r="Y391" s="77">
        <v>0</v>
      </c>
      <c r="Z391" s="77">
        <v>1239</v>
      </c>
      <c r="AA391" s="77">
        <v>0</v>
      </c>
      <c r="AB391" s="198">
        <f t="shared" si="467"/>
        <v>1239</v>
      </c>
      <c r="AC391" s="84">
        <f t="shared" si="484"/>
        <v>2992</v>
      </c>
      <c r="AD391" s="39">
        <v>3000</v>
      </c>
      <c r="AE391" s="40">
        <f t="shared" si="485"/>
        <v>9909</v>
      </c>
      <c r="AF391" s="1">
        <f t="shared" si="486"/>
        <v>10.8</v>
      </c>
      <c r="AG391" s="1">
        <f t="shared" si="487"/>
        <v>18</v>
      </c>
      <c r="AH391" s="41">
        <f t="shared" si="488"/>
        <v>16.326748779920987</v>
      </c>
      <c r="AJ391">
        <v>0.9</v>
      </c>
      <c r="AK391">
        <v>1.5</v>
      </c>
      <c r="AL391" s="32">
        <f t="shared" si="489"/>
        <v>12909</v>
      </c>
      <c r="AM391" s="4">
        <f t="shared" si="490"/>
        <v>0.23239600278875203</v>
      </c>
      <c r="AN391" s="4">
        <f t="shared" si="491"/>
        <v>0.76760399721124795</v>
      </c>
    </row>
    <row r="392" spans="1:40" ht="14.25" customHeight="1" x14ac:dyDescent="0.3">
      <c r="A392" s="84"/>
      <c r="C392" s="1">
        <f>+Precios!A392</f>
        <v>2026</v>
      </c>
      <c r="D392" s="52">
        <f>+Precios!B392</f>
        <v>46296</v>
      </c>
      <c r="E392" s="1">
        <v>6</v>
      </c>
      <c r="F392" s="1" t="s">
        <v>43</v>
      </c>
      <c r="G392" s="5">
        <v>46298</v>
      </c>
      <c r="H392" s="77">
        <v>2737</v>
      </c>
      <c r="I392" s="77">
        <v>454</v>
      </c>
      <c r="J392" s="77">
        <v>177</v>
      </c>
      <c r="K392" s="77"/>
      <c r="L392" s="77">
        <v>150</v>
      </c>
      <c r="M392" s="197">
        <f t="shared" si="465"/>
        <v>3518</v>
      </c>
      <c r="N392" s="2">
        <v>12101</v>
      </c>
      <c r="O392" s="2">
        <v>1579</v>
      </c>
      <c r="P392" s="2">
        <v>463</v>
      </c>
      <c r="Q392" s="2"/>
      <c r="R392" s="77">
        <v>0</v>
      </c>
      <c r="S392" s="197">
        <f t="shared" si="466"/>
        <v>14143</v>
      </c>
      <c r="T392" s="77">
        <v>650</v>
      </c>
      <c r="U392" s="77">
        <v>188</v>
      </c>
      <c r="V392" s="77">
        <v>358</v>
      </c>
      <c r="W392" s="77">
        <v>1581</v>
      </c>
      <c r="X392" s="198">
        <f t="shared" si="455"/>
        <v>2777</v>
      </c>
      <c r="Y392" s="77">
        <v>0</v>
      </c>
      <c r="Z392" s="77">
        <v>1246</v>
      </c>
      <c r="AA392" s="77">
        <v>0</v>
      </c>
      <c r="AB392" s="198">
        <f t="shared" si="467"/>
        <v>1246</v>
      </c>
      <c r="AC392" s="84">
        <f t="shared" si="484"/>
        <v>2589</v>
      </c>
      <c r="AD392" s="39">
        <v>3000</v>
      </c>
      <c r="AE392" s="40">
        <f t="shared" si="485"/>
        <v>9101</v>
      </c>
      <c r="AF392" s="1">
        <f t="shared" si="486"/>
        <v>10.8</v>
      </c>
      <c r="AG392" s="1">
        <f t="shared" si="487"/>
        <v>18</v>
      </c>
      <c r="AH392" s="41">
        <f t="shared" si="488"/>
        <v>16.215023551772582</v>
      </c>
      <c r="AJ392">
        <v>0.9</v>
      </c>
      <c r="AK392">
        <v>1.5</v>
      </c>
      <c r="AL392" s="32">
        <f t="shared" si="489"/>
        <v>12101</v>
      </c>
      <c r="AM392" s="4">
        <f t="shared" si="490"/>
        <v>0.24791339558714157</v>
      </c>
      <c r="AN392" s="4">
        <f t="shared" si="491"/>
        <v>0.75208660441285846</v>
      </c>
    </row>
    <row r="393" spans="1:40" ht="14.25" customHeight="1" x14ac:dyDescent="0.3">
      <c r="A393" s="84"/>
      <c r="C393" s="1">
        <f>+Precios!A393</f>
        <v>2026</v>
      </c>
      <c r="D393" s="52">
        <f>+Precios!B393</f>
        <v>46296</v>
      </c>
      <c r="E393" s="1">
        <v>4</v>
      </c>
      <c r="F393" s="1" t="s">
        <v>44</v>
      </c>
      <c r="G393" s="5">
        <v>46299</v>
      </c>
      <c r="H393" s="77">
        <v>1987</v>
      </c>
      <c r="I393" s="77">
        <v>362</v>
      </c>
      <c r="J393" s="77">
        <v>83</v>
      </c>
      <c r="K393" s="77"/>
      <c r="L393" s="77">
        <v>150</v>
      </c>
      <c r="M393" s="197">
        <f t="shared" si="465"/>
        <v>2582</v>
      </c>
      <c r="N393" s="2">
        <v>11935</v>
      </c>
      <c r="O393" s="2">
        <v>1572</v>
      </c>
      <c r="P393" s="2">
        <v>463</v>
      </c>
      <c r="Q393" s="2"/>
      <c r="R393" s="77">
        <v>0</v>
      </c>
      <c r="S393" s="197">
        <f t="shared" si="466"/>
        <v>13970</v>
      </c>
      <c r="T393" s="77">
        <v>650</v>
      </c>
      <c r="U393" s="77">
        <v>188</v>
      </c>
      <c r="V393" s="77">
        <v>338</v>
      </c>
      <c r="W393" s="77">
        <v>1632</v>
      </c>
      <c r="X393" s="198">
        <f t="shared" si="455"/>
        <v>2808</v>
      </c>
      <c r="Y393" s="77">
        <v>0</v>
      </c>
      <c r="Z393" s="77">
        <v>1248</v>
      </c>
      <c r="AA393" s="77">
        <v>0</v>
      </c>
      <c r="AB393" s="198">
        <f t="shared" si="467"/>
        <v>1248</v>
      </c>
      <c r="AC393" s="84">
        <f t="shared" si="484"/>
        <v>2620</v>
      </c>
      <c r="AD393" s="39">
        <v>3000</v>
      </c>
      <c r="AE393" s="40">
        <f t="shared" si="485"/>
        <v>8935</v>
      </c>
      <c r="AF393" s="1">
        <f t="shared" si="486"/>
        <v>10.8</v>
      </c>
      <c r="AG393" s="1">
        <f t="shared" si="487"/>
        <v>18</v>
      </c>
      <c r="AH393" s="41">
        <f t="shared" si="488"/>
        <v>16.190196899874319</v>
      </c>
      <c r="AJ393">
        <v>0.9</v>
      </c>
      <c r="AK393">
        <v>1.5</v>
      </c>
      <c r="AL393" s="32">
        <f t="shared" si="489"/>
        <v>11935</v>
      </c>
      <c r="AM393" s="4">
        <f t="shared" si="490"/>
        <v>0.25136154168412234</v>
      </c>
      <c r="AN393" s="4">
        <f t="shared" si="491"/>
        <v>0.74863845831587772</v>
      </c>
    </row>
    <row r="394" spans="1:40" ht="14.25" customHeight="1" x14ac:dyDescent="0.3">
      <c r="A394" s="84"/>
      <c r="C394" s="1">
        <f>+Precios!A394</f>
        <v>2026</v>
      </c>
      <c r="D394" s="52">
        <f>+Precios!B394</f>
        <v>46296</v>
      </c>
      <c r="E394" s="1">
        <v>16</v>
      </c>
      <c r="F394" s="1" t="s">
        <v>45</v>
      </c>
      <c r="G394" s="5">
        <v>46300</v>
      </c>
      <c r="H394" s="77">
        <v>2339</v>
      </c>
      <c r="I394" s="77">
        <v>300</v>
      </c>
      <c r="J394" s="77">
        <v>140</v>
      </c>
      <c r="K394" s="77"/>
      <c r="L394" s="77">
        <v>150</v>
      </c>
      <c r="M394" s="197">
        <f t="shared" si="465"/>
        <v>2929</v>
      </c>
      <c r="N394" s="2">
        <v>11253</v>
      </c>
      <c r="O394" s="2">
        <v>1438</v>
      </c>
      <c r="P394" s="2">
        <v>463</v>
      </c>
      <c r="Q394" s="2"/>
      <c r="R394" s="77">
        <v>0</v>
      </c>
      <c r="S394" s="197">
        <f t="shared" si="466"/>
        <v>13154</v>
      </c>
      <c r="T394" s="77">
        <v>650</v>
      </c>
      <c r="U394" s="77">
        <v>191</v>
      </c>
      <c r="V394" s="77">
        <v>390</v>
      </c>
      <c r="W394" s="77">
        <v>1362</v>
      </c>
      <c r="X394" s="198">
        <f t="shared" si="455"/>
        <v>2593</v>
      </c>
      <c r="Y394" s="77">
        <v>0</v>
      </c>
      <c r="Z394" s="77">
        <v>1249</v>
      </c>
      <c r="AA394" s="77">
        <v>0</v>
      </c>
      <c r="AB394" s="198">
        <f t="shared" si="467"/>
        <v>1249</v>
      </c>
      <c r="AC394" s="84">
        <f t="shared" si="484"/>
        <v>2402</v>
      </c>
      <c r="AD394" s="39">
        <v>3000</v>
      </c>
      <c r="AE394" s="40">
        <f t="shared" si="485"/>
        <v>8253</v>
      </c>
      <c r="AF394" s="1">
        <f t="shared" si="486"/>
        <v>10.8</v>
      </c>
      <c r="AG394" s="1">
        <f t="shared" si="487"/>
        <v>18</v>
      </c>
      <c r="AH394" s="41">
        <f t="shared" si="488"/>
        <v>16.080511863503066</v>
      </c>
      <c r="AJ394">
        <v>0.9</v>
      </c>
      <c r="AK394">
        <v>1.5</v>
      </c>
      <c r="AL394" s="32">
        <f t="shared" si="489"/>
        <v>11253</v>
      </c>
      <c r="AM394" s="4">
        <f t="shared" si="490"/>
        <v>0.26659557451346305</v>
      </c>
      <c r="AN394" s="4">
        <f t="shared" si="491"/>
        <v>0.73340442548653695</v>
      </c>
    </row>
    <row r="395" spans="1:40" ht="14.25" customHeight="1" x14ac:dyDescent="0.3">
      <c r="A395" s="84"/>
      <c r="C395" s="1">
        <f>+Precios!A395</f>
        <v>2026</v>
      </c>
      <c r="D395" s="52">
        <f>+Precios!B395</f>
        <v>46296</v>
      </c>
      <c r="E395" s="1">
        <v>16</v>
      </c>
      <c r="F395" s="1" t="s">
        <v>46</v>
      </c>
      <c r="G395" s="5">
        <v>46301</v>
      </c>
      <c r="H395" s="77">
        <v>2637</v>
      </c>
      <c r="I395" s="77">
        <v>376</v>
      </c>
      <c r="J395" s="77">
        <v>109</v>
      </c>
      <c r="K395" s="77"/>
      <c r="L395" s="77">
        <v>150</v>
      </c>
      <c r="M395" s="197">
        <f t="shared" si="465"/>
        <v>3272</v>
      </c>
      <c r="N395" s="2">
        <v>11606</v>
      </c>
      <c r="O395" s="2">
        <v>1544</v>
      </c>
      <c r="P395" s="2">
        <v>463</v>
      </c>
      <c r="Q395" s="2"/>
      <c r="R395" s="77">
        <v>0</v>
      </c>
      <c r="S395" s="197">
        <f t="shared" si="466"/>
        <v>13613</v>
      </c>
      <c r="T395" s="77">
        <v>650</v>
      </c>
      <c r="U395" s="77">
        <v>199</v>
      </c>
      <c r="V395" s="77">
        <v>424</v>
      </c>
      <c r="W395" s="77">
        <v>1045</v>
      </c>
      <c r="X395" s="198">
        <f t="shared" si="455"/>
        <v>2318</v>
      </c>
      <c r="Y395" s="77">
        <v>0</v>
      </c>
      <c r="Z395" s="77">
        <v>1250</v>
      </c>
      <c r="AA395" s="77">
        <v>0</v>
      </c>
      <c r="AB395" s="198">
        <f t="shared" si="467"/>
        <v>1250</v>
      </c>
      <c r="AC395" s="84">
        <f t="shared" ref="AC395:AC400" si="492">+T395+V395+W395</f>
        <v>2119</v>
      </c>
      <c r="AD395" s="39">
        <v>3000</v>
      </c>
      <c r="AE395" s="40">
        <f t="shared" ref="AE395:AE400" si="493">+N395-AD395</f>
        <v>8606</v>
      </c>
      <c r="AF395" s="1">
        <f t="shared" ref="AF395:AF400" si="494">12*AJ395</f>
        <v>10.8</v>
      </c>
      <c r="AG395" s="1">
        <f t="shared" ref="AG395:AG400" si="495">12*AK395</f>
        <v>18</v>
      </c>
      <c r="AH395" s="41">
        <f t="shared" ref="AH395:AH400" si="496">+(AD395*AF395+AG395*AE395)/SUM(AD395:AE395)</f>
        <v>16.13889367568499</v>
      </c>
      <c r="AJ395">
        <v>0.9</v>
      </c>
      <c r="AK395">
        <v>1.5</v>
      </c>
      <c r="AL395" s="32">
        <f t="shared" ref="AL395:AL400" si="497">+AD395+AE395</f>
        <v>11606</v>
      </c>
      <c r="AM395" s="4">
        <f t="shared" ref="AM395:AM400" si="498">+AD395/AL395</f>
        <v>0.25848698948819576</v>
      </c>
      <c r="AN395" s="4">
        <f t="shared" ref="AN395:AN400" si="499">+AE395/AL395</f>
        <v>0.74151301051180429</v>
      </c>
    </row>
    <row r="396" spans="1:40" ht="14.25" customHeight="1" x14ac:dyDescent="0.3">
      <c r="A396" s="84"/>
      <c r="C396" s="1">
        <f>+Precios!A396</f>
        <v>2026</v>
      </c>
      <c r="D396" s="52">
        <f>+Precios!B396</f>
        <v>46296</v>
      </c>
      <c r="E396" s="1">
        <v>16</v>
      </c>
      <c r="F396" s="1" t="s">
        <v>47</v>
      </c>
      <c r="G396" s="5">
        <v>46302</v>
      </c>
      <c r="H396" s="77">
        <v>2575</v>
      </c>
      <c r="I396" s="77">
        <v>448</v>
      </c>
      <c r="J396" s="77">
        <v>146</v>
      </c>
      <c r="K396" s="77"/>
      <c r="L396" s="77">
        <v>150</v>
      </c>
      <c r="M396" s="197">
        <f t="shared" si="465"/>
        <v>3319</v>
      </c>
      <c r="N396" s="2">
        <v>11710</v>
      </c>
      <c r="O396" s="2">
        <v>1547</v>
      </c>
      <c r="P396" s="2">
        <v>463</v>
      </c>
      <c r="Q396" s="2"/>
      <c r="R396" s="77">
        <v>0</v>
      </c>
      <c r="S396" s="197">
        <f t="shared" si="466"/>
        <v>13720</v>
      </c>
      <c r="T396" s="77">
        <v>650</v>
      </c>
      <c r="U396" s="77">
        <v>193</v>
      </c>
      <c r="V396" s="77">
        <v>427</v>
      </c>
      <c r="W396" s="77">
        <v>1681</v>
      </c>
      <c r="X396" s="198">
        <f t="shared" si="455"/>
        <v>2951</v>
      </c>
      <c r="Y396" s="77">
        <v>0</v>
      </c>
      <c r="Z396" s="77">
        <v>1296</v>
      </c>
      <c r="AA396" s="77">
        <v>0</v>
      </c>
      <c r="AB396" s="198">
        <f t="shared" si="467"/>
        <v>1296</v>
      </c>
      <c r="AC396" s="84">
        <f t="shared" si="492"/>
        <v>2758</v>
      </c>
      <c r="AD396" s="39">
        <v>3000</v>
      </c>
      <c r="AE396" s="40">
        <f t="shared" si="493"/>
        <v>8710</v>
      </c>
      <c r="AF396" s="1">
        <f t="shared" si="494"/>
        <v>10.8</v>
      </c>
      <c r="AG396" s="1">
        <f t="shared" si="495"/>
        <v>18</v>
      </c>
      <c r="AH396" s="41">
        <f t="shared" si="496"/>
        <v>16.155422715627669</v>
      </c>
      <c r="AJ396">
        <v>0.9</v>
      </c>
      <c r="AK396">
        <v>1.5</v>
      </c>
      <c r="AL396" s="32">
        <f t="shared" si="497"/>
        <v>11710</v>
      </c>
      <c r="AM396" s="4">
        <f t="shared" si="498"/>
        <v>0.2561912894961571</v>
      </c>
      <c r="AN396" s="4">
        <f t="shared" si="499"/>
        <v>0.7438087105038429</v>
      </c>
    </row>
    <row r="397" spans="1:40" ht="14.25" customHeight="1" x14ac:dyDescent="0.3">
      <c r="A397" s="84"/>
      <c r="C397" s="1">
        <f>+Precios!A397</f>
        <v>2026</v>
      </c>
      <c r="D397" s="52">
        <f>+Precios!B397</f>
        <v>46296</v>
      </c>
      <c r="E397" s="1">
        <v>16</v>
      </c>
      <c r="F397" s="1" t="s">
        <v>48</v>
      </c>
      <c r="G397" s="5">
        <v>46303</v>
      </c>
      <c r="H397" s="77">
        <v>2896</v>
      </c>
      <c r="I397" s="77">
        <v>374</v>
      </c>
      <c r="J397" s="77">
        <v>108</v>
      </c>
      <c r="K397" s="77"/>
      <c r="L397" s="77">
        <v>150</v>
      </c>
      <c r="M397" s="197">
        <f t="shared" si="465"/>
        <v>3528</v>
      </c>
      <c r="N397" s="2">
        <v>11904</v>
      </c>
      <c r="O397" s="2">
        <v>1574</v>
      </c>
      <c r="P397" s="2">
        <v>427</v>
      </c>
      <c r="Q397" s="2"/>
      <c r="R397" s="77">
        <v>0</v>
      </c>
      <c r="S397" s="197">
        <f t="shared" si="466"/>
        <v>13905</v>
      </c>
      <c r="T397" s="77">
        <v>650</v>
      </c>
      <c r="U397" s="77">
        <v>193</v>
      </c>
      <c r="V397" s="77">
        <v>453</v>
      </c>
      <c r="W397" s="77">
        <v>1476</v>
      </c>
      <c r="X397" s="198">
        <f t="shared" si="455"/>
        <v>2772</v>
      </c>
      <c r="Y397" s="77">
        <v>0</v>
      </c>
      <c r="Z397" s="77">
        <v>1344</v>
      </c>
      <c r="AA397" s="77">
        <v>0</v>
      </c>
      <c r="AB397" s="198">
        <f t="shared" si="467"/>
        <v>1344</v>
      </c>
      <c r="AC397" s="84">
        <f t="shared" si="492"/>
        <v>2579</v>
      </c>
      <c r="AD397" s="39">
        <v>3000</v>
      </c>
      <c r="AE397" s="40">
        <f t="shared" si="493"/>
        <v>8904</v>
      </c>
      <c r="AF397" s="1">
        <f t="shared" si="494"/>
        <v>10.8</v>
      </c>
      <c r="AG397" s="1">
        <f t="shared" si="495"/>
        <v>18</v>
      </c>
      <c r="AH397" s="41">
        <f t="shared" si="496"/>
        <v>16.18548387096774</v>
      </c>
      <c r="AJ397">
        <v>0.9</v>
      </c>
      <c r="AK397">
        <v>1.5</v>
      </c>
      <c r="AL397" s="32">
        <f t="shared" si="497"/>
        <v>11904</v>
      </c>
      <c r="AM397" s="4">
        <f t="shared" si="498"/>
        <v>0.25201612903225806</v>
      </c>
      <c r="AN397" s="4">
        <f t="shared" si="499"/>
        <v>0.74798387096774188</v>
      </c>
    </row>
    <row r="398" spans="1:40" ht="14.25" customHeight="1" x14ac:dyDescent="0.3">
      <c r="A398" s="84"/>
      <c r="C398" s="1">
        <f>+Precios!A398</f>
        <v>2026</v>
      </c>
      <c r="D398" s="52">
        <f>+Precios!B398</f>
        <v>46296</v>
      </c>
      <c r="E398" s="1">
        <v>16</v>
      </c>
      <c r="F398" s="1" t="s">
        <v>49</v>
      </c>
      <c r="G398" s="5">
        <v>46304</v>
      </c>
      <c r="H398" s="77">
        <v>2972</v>
      </c>
      <c r="I398" s="77">
        <v>383</v>
      </c>
      <c r="J398" s="77">
        <v>102</v>
      </c>
      <c r="K398" s="77"/>
      <c r="L398" s="77">
        <v>150</v>
      </c>
      <c r="M398" s="197">
        <f t="shared" si="465"/>
        <v>3607</v>
      </c>
      <c r="N398" s="2">
        <v>12115</v>
      </c>
      <c r="O398" s="2">
        <v>1588</v>
      </c>
      <c r="P398" s="2">
        <v>461</v>
      </c>
      <c r="Q398" s="2"/>
      <c r="R398" s="77">
        <v>0</v>
      </c>
      <c r="S398" s="197">
        <f t="shared" si="466"/>
        <v>14164</v>
      </c>
      <c r="T398" s="77">
        <v>650</v>
      </c>
      <c r="U398" s="77">
        <v>190</v>
      </c>
      <c r="V398" s="77">
        <v>448</v>
      </c>
      <c r="W398" s="77">
        <v>1159</v>
      </c>
      <c r="X398" s="198">
        <f t="shared" si="455"/>
        <v>2447</v>
      </c>
      <c r="Y398" s="77">
        <v>0</v>
      </c>
      <c r="Z398" s="77">
        <v>1345</v>
      </c>
      <c r="AA398" s="77">
        <v>0</v>
      </c>
      <c r="AB398" s="198">
        <f t="shared" si="467"/>
        <v>1345</v>
      </c>
      <c r="AC398" s="84">
        <f t="shared" si="492"/>
        <v>2257</v>
      </c>
      <c r="AD398" s="39">
        <v>3000</v>
      </c>
      <c r="AE398" s="40">
        <f t="shared" si="493"/>
        <v>9115</v>
      </c>
      <c r="AF398" s="1">
        <f t="shared" si="494"/>
        <v>10.8</v>
      </c>
      <c r="AG398" s="1">
        <f t="shared" si="495"/>
        <v>18</v>
      </c>
      <c r="AH398" s="41">
        <f t="shared" si="496"/>
        <v>16.217086256706562</v>
      </c>
      <c r="AJ398">
        <v>0.9</v>
      </c>
      <c r="AK398">
        <v>1.5</v>
      </c>
      <c r="AL398" s="32">
        <f t="shared" si="497"/>
        <v>12115</v>
      </c>
      <c r="AM398" s="4">
        <f t="shared" si="498"/>
        <v>0.24762690879075527</v>
      </c>
      <c r="AN398" s="4">
        <f t="shared" si="499"/>
        <v>0.75237309120924478</v>
      </c>
    </row>
    <row r="399" spans="1:40" ht="14.25" customHeight="1" x14ac:dyDescent="0.3">
      <c r="A399" s="84"/>
      <c r="C399" s="1">
        <f>+Precios!A399</f>
        <v>2026</v>
      </c>
      <c r="D399" s="52">
        <f>+Precios!B399</f>
        <v>46296</v>
      </c>
      <c r="E399" s="1">
        <v>6</v>
      </c>
      <c r="F399" s="1" t="s">
        <v>43</v>
      </c>
      <c r="G399" s="5">
        <v>46305</v>
      </c>
      <c r="H399" s="77">
        <v>2369</v>
      </c>
      <c r="I399" s="77">
        <v>354</v>
      </c>
      <c r="J399" s="77">
        <v>152</v>
      </c>
      <c r="K399" s="77"/>
      <c r="L399" s="77">
        <v>150</v>
      </c>
      <c r="M399" s="197">
        <f t="shared" si="465"/>
        <v>3025</v>
      </c>
      <c r="N399" s="2">
        <v>11929</v>
      </c>
      <c r="O399" s="2">
        <v>1098</v>
      </c>
      <c r="P399" s="2">
        <v>425</v>
      </c>
      <c r="Q399" s="2"/>
      <c r="R399" s="77">
        <v>0</v>
      </c>
      <c r="S399" s="197">
        <f t="shared" si="466"/>
        <v>13452</v>
      </c>
      <c r="T399" s="77">
        <v>650</v>
      </c>
      <c r="U399" s="77">
        <v>191</v>
      </c>
      <c r="V399" s="77">
        <v>438</v>
      </c>
      <c r="W399" s="77">
        <v>980</v>
      </c>
      <c r="X399" s="198">
        <f t="shared" si="455"/>
        <v>2259</v>
      </c>
      <c r="Y399" s="77">
        <v>0</v>
      </c>
      <c r="Z399" s="77">
        <v>1347</v>
      </c>
      <c r="AA399" s="77">
        <v>0</v>
      </c>
      <c r="AB399" s="198">
        <f t="shared" si="467"/>
        <v>1347</v>
      </c>
      <c r="AC399" s="84">
        <f t="shared" si="492"/>
        <v>2068</v>
      </c>
      <c r="AD399" s="39">
        <v>3000</v>
      </c>
      <c r="AE399" s="40">
        <f t="shared" si="493"/>
        <v>8929</v>
      </c>
      <c r="AF399" s="1">
        <f t="shared" si="494"/>
        <v>10.8</v>
      </c>
      <c r="AG399" s="1">
        <f t="shared" si="495"/>
        <v>18</v>
      </c>
      <c r="AH399" s="41">
        <f t="shared" si="496"/>
        <v>16.189286612457039</v>
      </c>
      <c r="AJ399">
        <v>0.9</v>
      </c>
      <c r="AK399">
        <v>1.5</v>
      </c>
      <c r="AL399" s="32">
        <f t="shared" si="497"/>
        <v>11929</v>
      </c>
      <c r="AM399" s="4">
        <f t="shared" si="498"/>
        <v>0.25148797049207811</v>
      </c>
      <c r="AN399" s="4">
        <f t="shared" si="499"/>
        <v>0.74851202950792184</v>
      </c>
    </row>
    <row r="400" spans="1:40" ht="14.25" customHeight="1" x14ac:dyDescent="0.3">
      <c r="A400" s="84"/>
      <c r="C400" s="1">
        <f>+Precios!A400</f>
        <v>2026</v>
      </c>
      <c r="D400" s="52">
        <f>+Precios!B400</f>
        <v>46296</v>
      </c>
      <c r="E400" s="1">
        <v>4</v>
      </c>
      <c r="F400" s="1" t="s">
        <v>44</v>
      </c>
      <c r="G400" s="5">
        <v>46306</v>
      </c>
      <c r="H400" s="77">
        <v>2214</v>
      </c>
      <c r="I400" s="77">
        <v>149</v>
      </c>
      <c r="J400" s="77">
        <v>134</v>
      </c>
      <c r="K400" s="77"/>
      <c r="L400" s="77">
        <v>150</v>
      </c>
      <c r="M400" s="197">
        <f t="shared" si="465"/>
        <v>2647</v>
      </c>
      <c r="N400" s="2">
        <v>11882</v>
      </c>
      <c r="O400" s="2">
        <v>1091</v>
      </c>
      <c r="P400" s="2">
        <v>453</v>
      </c>
      <c r="Q400" s="2"/>
      <c r="R400" s="77">
        <v>0</v>
      </c>
      <c r="S400" s="197">
        <f t="shared" si="466"/>
        <v>13426</v>
      </c>
      <c r="T400" s="77">
        <v>650</v>
      </c>
      <c r="U400" s="77">
        <v>190</v>
      </c>
      <c r="V400" s="77">
        <v>415</v>
      </c>
      <c r="W400" s="77">
        <v>1136</v>
      </c>
      <c r="X400" s="198">
        <f t="shared" si="455"/>
        <v>2391</v>
      </c>
      <c r="Y400" s="77">
        <v>0</v>
      </c>
      <c r="Z400" s="77">
        <v>1348</v>
      </c>
      <c r="AA400" s="77">
        <v>0</v>
      </c>
      <c r="AB400" s="198">
        <f t="shared" si="467"/>
        <v>1348</v>
      </c>
      <c r="AC400" s="84">
        <f t="shared" si="492"/>
        <v>2201</v>
      </c>
      <c r="AD400" s="39">
        <v>3000</v>
      </c>
      <c r="AE400" s="40">
        <f t="shared" si="493"/>
        <v>8882</v>
      </c>
      <c r="AF400" s="1">
        <f t="shared" si="494"/>
        <v>10.8</v>
      </c>
      <c r="AG400" s="1">
        <f t="shared" si="495"/>
        <v>18</v>
      </c>
      <c r="AH400" s="41">
        <f t="shared" si="496"/>
        <v>16.182124221511529</v>
      </c>
      <c r="AJ400">
        <v>0.9</v>
      </c>
      <c r="AK400">
        <v>1.5</v>
      </c>
      <c r="AL400" s="32">
        <f t="shared" si="497"/>
        <v>11882</v>
      </c>
      <c r="AM400" s="4">
        <f t="shared" si="498"/>
        <v>0.25248274701228751</v>
      </c>
      <c r="AN400" s="4">
        <f t="shared" si="499"/>
        <v>0.74751725298771254</v>
      </c>
    </row>
    <row r="401" spans="1:40" ht="14.25" customHeight="1" x14ac:dyDescent="0.3">
      <c r="A401" s="84"/>
      <c r="C401" s="1">
        <f>+Precios!A401</f>
        <v>2026</v>
      </c>
      <c r="D401" s="52">
        <f>+Precios!B401</f>
        <v>46296</v>
      </c>
      <c r="E401" s="1">
        <v>4</v>
      </c>
      <c r="F401" s="1" t="s">
        <v>45</v>
      </c>
      <c r="G401" s="5">
        <v>46307</v>
      </c>
      <c r="H401" s="77">
        <v>2424</v>
      </c>
      <c r="I401" s="77">
        <v>244</v>
      </c>
      <c r="J401" s="77">
        <v>103</v>
      </c>
      <c r="K401" s="77"/>
      <c r="L401" s="77">
        <v>150</v>
      </c>
      <c r="M401" s="197">
        <f t="shared" si="465"/>
        <v>2921</v>
      </c>
      <c r="N401" s="2">
        <v>12436</v>
      </c>
      <c r="O401" s="2">
        <v>1089</v>
      </c>
      <c r="P401" s="2">
        <v>462</v>
      </c>
      <c r="Q401" s="2"/>
      <c r="R401" s="77">
        <v>0</v>
      </c>
      <c r="S401" s="197">
        <f t="shared" si="466"/>
        <v>13987</v>
      </c>
      <c r="T401" s="77">
        <v>650</v>
      </c>
      <c r="U401" s="77">
        <v>190</v>
      </c>
      <c r="V401" s="77">
        <v>409</v>
      </c>
      <c r="W401" s="77">
        <v>1145</v>
      </c>
      <c r="X401" s="198">
        <f t="shared" si="455"/>
        <v>2394</v>
      </c>
      <c r="Y401" s="77">
        <v>0</v>
      </c>
      <c r="Z401" s="77">
        <v>1349</v>
      </c>
      <c r="AA401" s="77">
        <v>0</v>
      </c>
      <c r="AB401" s="198">
        <f t="shared" si="467"/>
        <v>1349</v>
      </c>
      <c r="AC401" s="84">
        <f t="shared" ref="AC401:AC414" si="500">+T401+V401+W401</f>
        <v>2204</v>
      </c>
      <c r="AD401" s="39">
        <v>3000</v>
      </c>
      <c r="AE401" s="40">
        <f t="shared" ref="AE401:AE414" si="501">+N401-AD401</f>
        <v>9436</v>
      </c>
      <c r="AF401" s="1">
        <f t="shared" ref="AF401:AF414" si="502">12*AJ401</f>
        <v>10.8</v>
      </c>
      <c r="AG401" s="1">
        <f t="shared" ref="AG401:AG414" si="503">12*AK401</f>
        <v>18</v>
      </c>
      <c r="AH401" s="41">
        <f t="shared" ref="AH401:AH414" si="504">+(AD401*AF401+AG401*AE401)/SUM(AD401:AE401)</f>
        <v>16.263107108394983</v>
      </c>
      <c r="AJ401">
        <v>0.9</v>
      </c>
      <c r="AK401">
        <v>1.5</v>
      </c>
      <c r="AL401" s="32">
        <f t="shared" ref="AL401:AL414" si="505">+AD401+AE401</f>
        <v>12436</v>
      </c>
      <c r="AM401" s="4">
        <f t="shared" ref="AM401:AM414" si="506">+AD401/AL401</f>
        <v>0.24123512383403023</v>
      </c>
      <c r="AN401" s="4">
        <f t="shared" ref="AN401:AN414" si="507">+AE401/AL401</f>
        <v>0.75876487616596977</v>
      </c>
    </row>
    <row r="402" spans="1:40" ht="14.25" customHeight="1" x14ac:dyDescent="0.3">
      <c r="A402" s="84"/>
      <c r="C402" s="1">
        <f>+Precios!A402</f>
        <v>2026</v>
      </c>
      <c r="D402" s="52">
        <f>+Precios!B402</f>
        <v>46296</v>
      </c>
      <c r="E402" s="1">
        <v>16</v>
      </c>
      <c r="F402" s="1" t="s">
        <v>46</v>
      </c>
      <c r="G402" s="5">
        <v>46308</v>
      </c>
      <c r="H402" s="77">
        <v>3155</v>
      </c>
      <c r="I402" s="77">
        <v>197</v>
      </c>
      <c r="J402" s="77">
        <v>169</v>
      </c>
      <c r="K402" s="77"/>
      <c r="L402" s="77">
        <v>150</v>
      </c>
      <c r="M402" s="197">
        <f t="shared" si="465"/>
        <v>3671</v>
      </c>
      <c r="N402" s="2">
        <v>12210</v>
      </c>
      <c r="O402" s="2">
        <v>1088</v>
      </c>
      <c r="P402" s="2">
        <v>474</v>
      </c>
      <c r="Q402" s="2"/>
      <c r="R402" s="77">
        <v>0</v>
      </c>
      <c r="S402" s="197">
        <f t="shared" si="466"/>
        <v>13772</v>
      </c>
      <c r="T402" s="77">
        <v>650</v>
      </c>
      <c r="U402" s="77">
        <v>269</v>
      </c>
      <c r="V402" s="77">
        <v>399</v>
      </c>
      <c r="W402" s="77">
        <v>1081</v>
      </c>
      <c r="X402" s="198">
        <f t="shared" si="455"/>
        <v>2399</v>
      </c>
      <c r="Y402" s="77">
        <v>0</v>
      </c>
      <c r="Z402" s="77">
        <v>1347</v>
      </c>
      <c r="AA402" s="77">
        <v>0</v>
      </c>
      <c r="AB402" s="198">
        <f t="shared" si="467"/>
        <v>1347</v>
      </c>
      <c r="AC402" s="84">
        <f t="shared" si="500"/>
        <v>2130</v>
      </c>
      <c r="AD402" s="39">
        <v>3000</v>
      </c>
      <c r="AE402" s="40">
        <f t="shared" si="501"/>
        <v>9210</v>
      </c>
      <c r="AF402" s="1">
        <f t="shared" si="502"/>
        <v>10.8</v>
      </c>
      <c r="AG402" s="1">
        <f t="shared" si="503"/>
        <v>18</v>
      </c>
      <c r="AH402" s="41">
        <f t="shared" si="504"/>
        <v>16.23095823095823</v>
      </c>
      <c r="AJ402">
        <v>0.9</v>
      </c>
      <c r="AK402">
        <v>1.5</v>
      </c>
      <c r="AL402" s="32">
        <f t="shared" si="505"/>
        <v>12210</v>
      </c>
      <c r="AM402" s="4">
        <f t="shared" si="506"/>
        <v>0.24570024570024571</v>
      </c>
      <c r="AN402" s="4">
        <f t="shared" si="507"/>
        <v>0.75429975429975427</v>
      </c>
    </row>
    <row r="403" spans="1:40" ht="14.25" customHeight="1" x14ac:dyDescent="0.3">
      <c r="A403" s="84"/>
      <c r="C403" s="1">
        <f>+Precios!A403</f>
        <v>2026</v>
      </c>
      <c r="D403" s="52">
        <f>+Precios!B403</f>
        <v>46296</v>
      </c>
      <c r="E403" s="1">
        <v>16</v>
      </c>
      <c r="F403" s="1" t="s">
        <v>47</v>
      </c>
      <c r="G403" s="5">
        <v>46309</v>
      </c>
      <c r="H403" s="77">
        <v>3642</v>
      </c>
      <c r="I403" s="77">
        <v>209</v>
      </c>
      <c r="J403" s="77">
        <v>163</v>
      </c>
      <c r="K403" s="77"/>
      <c r="L403" s="77">
        <v>150</v>
      </c>
      <c r="M403" s="197">
        <f t="shared" si="465"/>
        <v>4164</v>
      </c>
      <c r="N403" s="2">
        <v>12339</v>
      </c>
      <c r="O403" s="2">
        <v>1084</v>
      </c>
      <c r="P403" s="2">
        <v>447</v>
      </c>
      <c r="Q403" s="2"/>
      <c r="R403" s="77">
        <v>0</v>
      </c>
      <c r="S403" s="197">
        <f t="shared" si="466"/>
        <v>13870</v>
      </c>
      <c r="T403" s="77">
        <v>650</v>
      </c>
      <c r="U403" s="77">
        <v>303</v>
      </c>
      <c r="V403" s="77">
        <v>390</v>
      </c>
      <c r="W403" s="77">
        <v>783</v>
      </c>
      <c r="X403" s="198">
        <f t="shared" si="455"/>
        <v>2126</v>
      </c>
      <c r="Y403" s="77">
        <v>0</v>
      </c>
      <c r="Z403" s="77">
        <v>1348</v>
      </c>
      <c r="AA403" s="77">
        <v>0</v>
      </c>
      <c r="AB403" s="198">
        <f t="shared" si="467"/>
        <v>1348</v>
      </c>
      <c r="AC403" s="84">
        <f t="shared" si="500"/>
        <v>1823</v>
      </c>
      <c r="AD403" s="39">
        <v>3000</v>
      </c>
      <c r="AE403" s="40">
        <f t="shared" si="501"/>
        <v>9339</v>
      </c>
      <c r="AF403" s="1">
        <f t="shared" si="502"/>
        <v>10.8</v>
      </c>
      <c r="AG403" s="1">
        <f t="shared" si="503"/>
        <v>18</v>
      </c>
      <c r="AH403" s="41">
        <f t="shared" si="504"/>
        <v>16.249452954048142</v>
      </c>
      <c r="AJ403">
        <v>0.9</v>
      </c>
      <c r="AK403">
        <v>1.5</v>
      </c>
      <c r="AL403" s="32">
        <f t="shared" si="505"/>
        <v>12339</v>
      </c>
      <c r="AM403" s="4">
        <f t="shared" si="506"/>
        <v>0.24313153415998054</v>
      </c>
      <c r="AN403" s="4">
        <f t="shared" si="507"/>
        <v>0.75686846584001943</v>
      </c>
    </row>
    <row r="404" spans="1:40" ht="14.25" customHeight="1" x14ac:dyDescent="0.3">
      <c r="A404" s="84"/>
      <c r="C404" s="1">
        <f>+Precios!A404</f>
        <v>2026</v>
      </c>
      <c r="D404" s="52">
        <f>+Precios!B404</f>
        <v>46296</v>
      </c>
      <c r="E404" s="1">
        <v>16</v>
      </c>
      <c r="F404" s="1" t="s">
        <v>48</v>
      </c>
      <c r="G404" s="5">
        <v>46310</v>
      </c>
      <c r="H404" s="77">
        <v>3714</v>
      </c>
      <c r="I404" s="77">
        <v>179</v>
      </c>
      <c r="J404" s="77">
        <v>121</v>
      </c>
      <c r="K404" s="77"/>
      <c r="L404" s="77">
        <v>150</v>
      </c>
      <c r="M404" s="197">
        <f t="shared" si="465"/>
        <v>4164</v>
      </c>
      <c r="N404" s="2">
        <v>12256</v>
      </c>
      <c r="O404" s="2">
        <v>1086</v>
      </c>
      <c r="P404" s="2">
        <v>443</v>
      </c>
      <c r="Q404" s="2"/>
      <c r="R404" s="77">
        <v>0</v>
      </c>
      <c r="S404" s="197">
        <f t="shared" si="466"/>
        <v>13785</v>
      </c>
      <c r="T404" s="77">
        <v>650</v>
      </c>
      <c r="U404" s="77">
        <v>276</v>
      </c>
      <c r="V404" s="77">
        <v>382</v>
      </c>
      <c r="W404" s="77">
        <v>1039</v>
      </c>
      <c r="X404" s="198">
        <f t="shared" si="455"/>
        <v>2347</v>
      </c>
      <c r="Y404" s="77">
        <v>0</v>
      </c>
      <c r="Z404" s="77">
        <v>1349</v>
      </c>
      <c r="AA404" s="77">
        <v>0</v>
      </c>
      <c r="AB404" s="198">
        <f t="shared" si="467"/>
        <v>1349</v>
      </c>
      <c r="AC404" s="84">
        <f t="shared" si="500"/>
        <v>2071</v>
      </c>
      <c r="AD404" s="39">
        <v>3000</v>
      </c>
      <c r="AE404" s="40">
        <f t="shared" si="501"/>
        <v>9256</v>
      </c>
      <c r="AF404" s="1">
        <f t="shared" si="502"/>
        <v>10.8</v>
      </c>
      <c r="AG404" s="1">
        <f t="shared" si="503"/>
        <v>18</v>
      </c>
      <c r="AH404" s="41">
        <f t="shared" si="504"/>
        <v>16.237597911227155</v>
      </c>
      <c r="AJ404">
        <v>0.9</v>
      </c>
      <c r="AK404">
        <v>1.5</v>
      </c>
      <c r="AL404" s="32">
        <f t="shared" si="505"/>
        <v>12256</v>
      </c>
      <c r="AM404" s="4">
        <f t="shared" si="506"/>
        <v>0.2447780678851175</v>
      </c>
      <c r="AN404" s="4">
        <f t="shared" si="507"/>
        <v>0.75522193211488253</v>
      </c>
    </row>
    <row r="405" spans="1:40" ht="14.25" customHeight="1" x14ac:dyDescent="0.3">
      <c r="A405" s="84"/>
      <c r="C405" s="1">
        <f>+Precios!A405</f>
        <v>2026</v>
      </c>
      <c r="D405" s="52">
        <f>+Precios!B405</f>
        <v>46296</v>
      </c>
      <c r="E405" s="1">
        <v>16</v>
      </c>
      <c r="F405" s="1" t="s">
        <v>49</v>
      </c>
      <c r="G405" s="5">
        <v>46311</v>
      </c>
      <c r="H405" s="77">
        <v>3696</v>
      </c>
      <c r="I405" s="77">
        <v>235</v>
      </c>
      <c r="J405" s="77">
        <v>142</v>
      </c>
      <c r="K405" s="77"/>
      <c r="L405" s="77">
        <v>150</v>
      </c>
      <c r="M405" s="197">
        <f t="shared" si="465"/>
        <v>4223</v>
      </c>
      <c r="N405" s="2">
        <v>12385</v>
      </c>
      <c r="O405" s="2">
        <v>1090</v>
      </c>
      <c r="P405" s="2">
        <v>443</v>
      </c>
      <c r="Q405" s="2"/>
      <c r="R405" s="77">
        <v>0</v>
      </c>
      <c r="S405" s="197">
        <f t="shared" si="466"/>
        <v>13918</v>
      </c>
      <c r="T405" s="77">
        <v>650</v>
      </c>
      <c r="U405" s="77">
        <v>270</v>
      </c>
      <c r="V405" s="77">
        <v>396</v>
      </c>
      <c r="W405" s="77">
        <v>1123</v>
      </c>
      <c r="X405" s="198">
        <f t="shared" si="455"/>
        <v>2439</v>
      </c>
      <c r="Y405" s="77">
        <v>0</v>
      </c>
      <c r="Z405" s="77">
        <v>1350</v>
      </c>
      <c r="AA405" s="77">
        <v>0</v>
      </c>
      <c r="AB405" s="198">
        <f t="shared" si="467"/>
        <v>1350</v>
      </c>
      <c r="AC405" s="84">
        <f t="shared" si="500"/>
        <v>2169</v>
      </c>
      <c r="AD405" s="39">
        <v>3000</v>
      </c>
      <c r="AE405" s="40">
        <f t="shared" si="501"/>
        <v>9385</v>
      </c>
      <c r="AF405" s="1">
        <f t="shared" si="502"/>
        <v>10.8</v>
      </c>
      <c r="AG405" s="1">
        <f t="shared" si="503"/>
        <v>18</v>
      </c>
      <c r="AH405" s="41">
        <f t="shared" si="504"/>
        <v>16.255954784012918</v>
      </c>
      <c r="AJ405">
        <v>0.9</v>
      </c>
      <c r="AK405">
        <v>1.5</v>
      </c>
      <c r="AL405" s="32">
        <f t="shared" si="505"/>
        <v>12385</v>
      </c>
      <c r="AM405" s="4">
        <f t="shared" si="506"/>
        <v>0.24222850222042794</v>
      </c>
      <c r="AN405" s="4">
        <f t="shared" si="507"/>
        <v>0.75777149777957209</v>
      </c>
    </row>
    <row r="406" spans="1:40" ht="14.25" customHeight="1" x14ac:dyDescent="0.3">
      <c r="A406" s="84"/>
      <c r="C406" s="1">
        <f>+Precios!A406</f>
        <v>2026</v>
      </c>
      <c r="D406" s="52">
        <f>+Precios!B406</f>
        <v>46296</v>
      </c>
      <c r="E406" s="1">
        <v>6</v>
      </c>
      <c r="F406" s="1" t="s">
        <v>43</v>
      </c>
      <c r="G406" s="5">
        <v>46312</v>
      </c>
      <c r="H406" s="77">
        <v>3074</v>
      </c>
      <c r="I406" s="77">
        <v>319</v>
      </c>
      <c r="J406" s="77">
        <v>73</v>
      </c>
      <c r="K406" s="77"/>
      <c r="L406" s="77">
        <v>150</v>
      </c>
      <c r="M406" s="197">
        <f t="shared" si="465"/>
        <v>3616</v>
      </c>
      <c r="N406" s="2">
        <v>12236</v>
      </c>
      <c r="O406" s="2">
        <v>1094</v>
      </c>
      <c r="P406" s="2">
        <v>437</v>
      </c>
      <c r="Q406" s="2"/>
      <c r="R406" s="77">
        <v>0</v>
      </c>
      <c r="S406" s="197">
        <f t="shared" si="466"/>
        <v>13767</v>
      </c>
      <c r="T406" s="77">
        <v>650</v>
      </c>
      <c r="U406" s="77">
        <v>189</v>
      </c>
      <c r="V406" s="77">
        <v>388</v>
      </c>
      <c r="W406" s="77">
        <v>1282</v>
      </c>
      <c r="X406" s="198">
        <f t="shared" si="455"/>
        <v>2509</v>
      </c>
      <c r="Y406" s="77">
        <v>0</v>
      </c>
      <c r="Z406" s="77">
        <v>1351</v>
      </c>
      <c r="AA406" s="77">
        <v>0</v>
      </c>
      <c r="AB406" s="198">
        <f t="shared" si="467"/>
        <v>1351</v>
      </c>
      <c r="AC406" s="84">
        <f t="shared" si="500"/>
        <v>2320</v>
      </c>
      <c r="AD406" s="39">
        <v>3000</v>
      </c>
      <c r="AE406" s="40">
        <f t="shared" si="501"/>
        <v>9236</v>
      </c>
      <c r="AF406" s="1">
        <f t="shared" si="502"/>
        <v>10.8</v>
      </c>
      <c r="AG406" s="1">
        <f t="shared" si="503"/>
        <v>18</v>
      </c>
      <c r="AH406" s="41">
        <f t="shared" si="504"/>
        <v>16.23471722785224</v>
      </c>
      <c r="AJ406">
        <v>0.9</v>
      </c>
      <c r="AK406">
        <v>1.5</v>
      </c>
      <c r="AL406" s="32">
        <f t="shared" si="505"/>
        <v>12236</v>
      </c>
      <c r="AM406" s="4">
        <f t="shared" si="506"/>
        <v>0.2451781627983001</v>
      </c>
      <c r="AN406" s="4">
        <f t="shared" si="507"/>
        <v>0.75482183720169993</v>
      </c>
    </row>
    <row r="407" spans="1:40" ht="14.25" customHeight="1" x14ac:dyDescent="0.3">
      <c r="A407" s="84"/>
      <c r="C407" s="1">
        <f>+Precios!A407</f>
        <v>2026</v>
      </c>
      <c r="D407" s="52">
        <f>+Precios!B407</f>
        <v>46296</v>
      </c>
      <c r="E407" s="1">
        <v>4</v>
      </c>
      <c r="F407" s="1" t="s">
        <v>44</v>
      </c>
      <c r="G407" s="5">
        <v>46313</v>
      </c>
      <c r="H407" s="77">
        <v>2691</v>
      </c>
      <c r="I407" s="77">
        <v>220</v>
      </c>
      <c r="J407" s="77">
        <v>93</v>
      </c>
      <c r="K407" s="77"/>
      <c r="L407" s="77">
        <v>150</v>
      </c>
      <c r="M407" s="197">
        <f t="shared" si="465"/>
        <v>3154</v>
      </c>
      <c r="N407" s="2">
        <v>12132</v>
      </c>
      <c r="O407" s="2">
        <v>1085</v>
      </c>
      <c r="P407" s="2">
        <v>443</v>
      </c>
      <c r="Q407" s="2"/>
      <c r="R407" s="77">
        <v>0</v>
      </c>
      <c r="S407" s="197">
        <f t="shared" si="466"/>
        <v>13660</v>
      </c>
      <c r="T407" s="77">
        <v>650</v>
      </c>
      <c r="U407" s="77">
        <v>187</v>
      </c>
      <c r="V407" s="77">
        <v>368</v>
      </c>
      <c r="W407" s="77">
        <v>1353</v>
      </c>
      <c r="X407" s="198">
        <f t="shared" si="455"/>
        <v>2558</v>
      </c>
      <c r="Y407" s="77">
        <v>0</v>
      </c>
      <c r="Z407" s="77">
        <v>1354</v>
      </c>
      <c r="AA407" s="77">
        <v>0</v>
      </c>
      <c r="AB407" s="198">
        <f t="shared" si="467"/>
        <v>1354</v>
      </c>
      <c r="AC407" s="84">
        <f t="shared" ref="AC407:AC414" si="508">+T407+V407+W407</f>
        <v>2371</v>
      </c>
      <c r="AD407" s="39">
        <v>3000</v>
      </c>
      <c r="AE407" s="40">
        <f t="shared" ref="AE407:AE414" si="509">+N407-AD407</f>
        <v>9132</v>
      </c>
      <c r="AF407" s="1">
        <f t="shared" ref="AF407:AF414" si="510">12*AJ407</f>
        <v>10.8</v>
      </c>
      <c r="AG407" s="1">
        <f t="shared" ref="AG407:AG414" si="511">12*AK407</f>
        <v>18</v>
      </c>
      <c r="AH407" s="41">
        <f t="shared" ref="AH407:AH414" si="512">+(AD407*AF407+AG407*AE407)/SUM(AD407:AE407)</f>
        <v>16.219584569732937</v>
      </c>
      <c r="AJ407">
        <v>0.9</v>
      </c>
      <c r="AK407">
        <v>1.5</v>
      </c>
      <c r="AL407" s="32">
        <f t="shared" ref="AL407:AL414" si="513">+AD407+AE407</f>
        <v>12132</v>
      </c>
      <c r="AM407" s="4">
        <f t="shared" ref="AM407:AM414" si="514">+AD407/AL407</f>
        <v>0.24727992087042533</v>
      </c>
      <c r="AN407" s="4">
        <f t="shared" ref="AN407:AN414" si="515">+AE407/AL407</f>
        <v>0.75272007912957473</v>
      </c>
    </row>
    <row r="408" spans="1:40" ht="14.25" customHeight="1" x14ac:dyDescent="0.3">
      <c r="A408" s="84"/>
      <c r="C408" s="1">
        <f>+Precios!A408</f>
        <v>2026</v>
      </c>
      <c r="D408" s="52">
        <f>+Precios!B408</f>
        <v>46296</v>
      </c>
      <c r="E408" s="1">
        <v>16</v>
      </c>
      <c r="F408" s="1" t="s">
        <v>45</v>
      </c>
      <c r="G408" s="5">
        <v>46314</v>
      </c>
      <c r="H408" s="77">
        <v>3342</v>
      </c>
      <c r="I408" s="77">
        <v>279</v>
      </c>
      <c r="J408" s="77">
        <v>131</v>
      </c>
      <c r="K408" s="77"/>
      <c r="L408" s="77">
        <v>150</v>
      </c>
      <c r="M408" s="197">
        <f t="shared" si="465"/>
        <v>3902</v>
      </c>
      <c r="N408" s="2">
        <v>12286</v>
      </c>
      <c r="O408" s="2">
        <v>1154</v>
      </c>
      <c r="P408" s="2">
        <v>447</v>
      </c>
      <c r="Q408" s="2"/>
      <c r="R408" s="77">
        <v>0</v>
      </c>
      <c r="S408" s="197">
        <f t="shared" si="466"/>
        <v>13887</v>
      </c>
      <c r="T408" s="77">
        <v>650</v>
      </c>
      <c r="U408" s="77">
        <v>189</v>
      </c>
      <c r="V408" s="77">
        <v>370</v>
      </c>
      <c r="W408" s="77">
        <v>1557</v>
      </c>
      <c r="X408" s="198">
        <f t="shared" si="455"/>
        <v>2766</v>
      </c>
      <c r="Y408" s="77">
        <v>0</v>
      </c>
      <c r="Z408" s="77">
        <v>1347</v>
      </c>
      <c r="AA408" s="77">
        <v>0</v>
      </c>
      <c r="AB408" s="198">
        <f t="shared" si="467"/>
        <v>1347</v>
      </c>
      <c r="AC408" s="84">
        <f t="shared" si="508"/>
        <v>2577</v>
      </c>
      <c r="AD408" s="39">
        <v>3000</v>
      </c>
      <c r="AE408" s="40">
        <f t="shared" si="509"/>
        <v>9286</v>
      </c>
      <c r="AF408" s="1">
        <f t="shared" si="510"/>
        <v>10.8</v>
      </c>
      <c r="AG408" s="1">
        <f t="shared" si="511"/>
        <v>18</v>
      </c>
      <c r="AH408" s="41">
        <f t="shared" si="512"/>
        <v>16.241901351131368</v>
      </c>
      <c r="AJ408">
        <v>0.9</v>
      </c>
      <c r="AK408">
        <v>1.5</v>
      </c>
      <c r="AL408" s="32">
        <f t="shared" si="513"/>
        <v>12286</v>
      </c>
      <c r="AM408" s="4">
        <f t="shared" si="514"/>
        <v>0.24418036789842096</v>
      </c>
      <c r="AN408" s="4">
        <f t="shared" si="515"/>
        <v>0.75581963210157899</v>
      </c>
    </row>
    <row r="409" spans="1:40" ht="14.25" customHeight="1" x14ac:dyDescent="0.3">
      <c r="A409" s="84"/>
      <c r="C409" s="1">
        <f>+Precios!A409</f>
        <v>2026</v>
      </c>
      <c r="D409" s="52">
        <f>+Precios!B409</f>
        <v>46296</v>
      </c>
      <c r="E409" s="1">
        <v>16</v>
      </c>
      <c r="F409" s="1" t="s">
        <v>46</v>
      </c>
      <c r="G409" s="5">
        <v>46315</v>
      </c>
      <c r="H409" s="77">
        <v>2985</v>
      </c>
      <c r="I409" s="77">
        <v>64</v>
      </c>
      <c r="J409" s="77">
        <v>107</v>
      </c>
      <c r="K409" s="77"/>
      <c r="L409" s="77">
        <v>150</v>
      </c>
      <c r="M409" s="197">
        <f t="shared" si="465"/>
        <v>3306</v>
      </c>
      <c r="N409" s="2">
        <v>12611</v>
      </c>
      <c r="O409" s="2">
        <v>1081</v>
      </c>
      <c r="P409" s="2">
        <v>443</v>
      </c>
      <c r="Q409" s="2"/>
      <c r="R409" s="77">
        <v>0</v>
      </c>
      <c r="S409" s="197">
        <f t="shared" si="466"/>
        <v>14135</v>
      </c>
      <c r="T409" s="77">
        <v>650</v>
      </c>
      <c r="U409" s="77">
        <v>190</v>
      </c>
      <c r="V409" s="77">
        <v>342</v>
      </c>
      <c r="W409" s="77">
        <v>2072</v>
      </c>
      <c r="X409" s="198">
        <f t="shared" si="455"/>
        <v>3254</v>
      </c>
      <c r="Y409" s="77">
        <v>0</v>
      </c>
      <c r="Z409" s="77">
        <v>1340</v>
      </c>
      <c r="AA409" s="77">
        <v>0</v>
      </c>
      <c r="AB409" s="198">
        <f t="shared" si="467"/>
        <v>1340</v>
      </c>
      <c r="AC409" s="84">
        <f t="shared" si="508"/>
        <v>3064</v>
      </c>
      <c r="AD409" s="39">
        <v>3000</v>
      </c>
      <c r="AE409" s="40">
        <f t="shared" si="509"/>
        <v>9611</v>
      </c>
      <c r="AF409" s="1">
        <f t="shared" si="510"/>
        <v>10.8</v>
      </c>
      <c r="AG409" s="1">
        <f t="shared" si="511"/>
        <v>18</v>
      </c>
      <c r="AH409" s="41">
        <f t="shared" si="512"/>
        <v>16.28720957893902</v>
      </c>
      <c r="AJ409">
        <v>0.9</v>
      </c>
      <c r="AK409">
        <v>1.5</v>
      </c>
      <c r="AL409" s="32">
        <f t="shared" si="513"/>
        <v>12611</v>
      </c>
      <c r="AM409" s="4">
        <f t="shared" si="514"/>
        <v>0.23788755848069146</v>
      </c>
      <c r="AN409" s="4">
        <f t="shared" si="515"/>
        <v>0.76211244151930857</v>
      </c>
    </row>
    <row r="410" spans="1:40" ht="14.25" customHeight="1" x14ac:dyDescent="0.3">
      <c r="A410" s="84"/>
      <c r="C410" s="1">
        <f>+Precios!A410</f>
        <v>2026</v>
      </c>
      <c r="D410" s="52">
        <f>+Precios!B410</f>
        <v>46296</v>
      </c>
      <c r="E410" s="1">
        <v>16</v>
      </c>
      <c r="F410" s="1" t="s">
        <v>47</v>
      </c>
      <c r="G410" s="5">
        <v>46316</v>
      </c>
      <c r="H410" s="77">
        <v>2638</v>
      </c>
      <c r="I410" s="77">
        <v>203</v>
      </c>
      <c r="J410" s="77">
        <v>102</v>
      </c>
      <c r="K410" s="77"/>
      <c r="L410" s="77">
        <v>150</v>
      </c>
      <c r="M410" s="197">
        <f t="shared" si="465"/>
        <v>3093</v>
      </c>
      <c r="N410" s="2">
        <v>12005</v>
      </c>
      <c r="O410" s="2">
        <v>1196</v>
      </c>
      <c r="P410" s="2">
        <v>443</v>
      </c>
      <c r="Q410" s="2"/>
      <c r="R410" s="77">
        <v>0</v>
      </c>
      <c r="S410" s="197">
        <f t="shared" si="466"/>
        <v>13644</v>
      </c>
      <c r="T410" s="77">
        <v>650</v>
      </c>
      <c r="U410" s="77">
        <v>189</v>
      </c>
      <c r="V410" s="77">
        <v>373</v>
      </c>
      <c r="W410" s="77">
        <v>1909</v>
      </c>
      <c r="X410" s="198">
        <f t="shared" si="455"/>
        <v>3121</v>
      </c>
      <c r="Y410" s="77">
        <v>0</v>
      </c>
      <c r="Z410" s="77">
        <v>1341</v>
      </c>
      <c r="AA410" s="77">
        <v>0</v>
      </c>
      <c r="AB410" s="198">
        <f t="shared" si="467"/>
        <v>1341</v>
      </c>
      <c r="AC410" s="84">
        <f t="shared" si="508"/>
        <v>2932</v>
      </c>
      <c r="AD410" s="39">
        <v>3000</v>
      </c>
      <c r="AE410" s="40">
        <f t="shared" si="509"/>
        <v>9005</v>
      </c>
      <c r="AF410" s="1">
        <f t="shared" si="510"/>
        <v>10.8</v>
      </c>
      <c r="AG410" s="1">
        <f t="shared" si="511"/>
        <v>18</v>
      </c>
      <c r="AH410" s="41">
        <f t="shared" si="512"/>
        <v>16.200749687630154</v>
      </c>
      <c r="AJ410">
        <v>0.9</v>
      </c>
      <c r="AK410">
        <v>1.5</v>
      </c>
      <c r="AL410" s="32">
        <f t="shared" si="513"/>
        <v>12005</v>
      </c>
      <c r="AM410" s="4">
        <f t="shared" si="514"/>
        <v>0.24989587671803415</v>
      </c>
      <c r="AN410" s="4">
        <f t="shared" si="515"/>
        <v>0.75010412328196585</v>
      </c>
    </row>
    <row r="411" spans="1:40" ht="14.25" customHeight="1" x14ac:dyDescent="0.3">
      <c r="A411" s="84"/>
      <c r="C411" s="1">
        <f>+Precios!A411</f>
        <v>2026</v>
      </c>
      <c r="D411" s="52">
        <f>+Precios!B411</f>
        <v>46296</v>
      </c>
      <c r="E411" s="1">
        <v>16</v>
      </c>
      <c r="F411" s="1" t="s">
        <v>48</v>
      </c>
      <c r="G411" s="5">
        <v>46317</v>
      </c>
      <c r="H411" s="77">
        <v>2909</v>
      </c>
      <c r="I411" s="77">
        <v>210</v>
      </c>
      <c r="J411" s="77">
        <v>189</v>
      </c>
      <c r="K411" s="77"/>
      <c r="L411" s="77">
        <v>150</v>
      </c>
      <c r="M411" s="197">
        <f t="shared" si="465"/>
        <v>3458</v>
      </c>
      <c r="N411" s="2">
        <v>11696</v>
      </c>
      <c r="O411" s="2">
        <v>1190</v>
      </c>
      <c r="P411" s="2">
        <v>443</v>
      </c>
      <c r="Q411" s="2"/>
      <c r="R411" s="77">
        <v>0</v>
      </c>
      <c r="S411" s="197">
        <f t="shared" si="466"/>
        <v>13329</v>
      </c>
      <c r="T411" s="77">
        <v>650</v>
      </c>
      <c r="U411" s="77">
        <v>221</v>
      </c>
      <c r="V411" s="77">
        <v>374</v>
      </c>
      <c r="W411" s="77">
        <v>1177</v>
      </c>
      <c r="X411" s="198">
        <f t="shared" si="455"/>
        <v>2422</v>
      </c>
      <c r="Y411" s="77">
        <v>0</v>
      </c>
      <c r="Z411" s="77">
        <v>1342</v>
      </c>
      <c r="AA411" s="77">
        <v>0</v>
      </c>
      <c r="AB411" s="198">
        <f t="shared" si="467"/>
        <v>1342</v>
      </c>
      <c r="AC411" s="84">
        <f t="shared" si="508"/>
        <v>2201</v>
      </c>
      <c r="AD411" s="39">
        <v>3000</v>
      </c>
      <c r="AE411" s="40">
        <f t="shared" si="509"/>
        <v>8696</v>
      </c>
      <c r="AF411" s="1">
        <f t="shared" si="510"/>
        <v>10.8</v>
      </c>
      <c r="AG411" s="1">
        <f t="shared" si="511"/>
        <v>18</v>
      </c>
      <c r="AH411" s="41">
        <f t="shared" si="512"/>
        <v>16.153214774281807</v>
      </c>
      <c r="AJ411">
        <v>0.9</v>
      </c>
      <c r="AK411">
        <v>1.5</v>
      </c>
      <c r="AL411" s="32">
        <f t="shared" si="513"/>
        <v>11696</v>
      </c>
      <c r="AM411" s="4">
        <f t="shared" si="514"/>
        <v>0.25649794801641584</v>
      </c>
      <c r="AN411" s="4">
        <f t="shared" si="515"/>
        <v>0.7435020519835841</v>
      </c>
    </row>
    <row r="412" spans="1:40" ht="14.25" customHeight="1" x14ac:dyDescent="0.3">
      <c r="A412" s="84"/>
      <c r="C412" s="1">
        <f>+Precios!A412</f>
        <v>2026</v>
      </c>
      <c r="D412" s="52">
        <f>+Precios!B412</f>
        <v>46296</v>
      </c>
      <c r="E412" s="1">
        <v>16</v>
      </c>
      <c r="F412" s="1" t="s">
        <v>49</v>
      </c>
      <c r="G412" s="5">
        <v>46318</v>
      </c>
      <c r="H412" s="77">
        <v>3016</v>
      </c>
      <c r="I412" s="77">
        <v>249</v>
      </c>
      <c r="J412" s="77">
        <v>161</v>
      </c>
      <c r="K412" s="77"/>
      <c r="L412" s="77">
        <v>150</v>
      </c>
      <c r="M412" s="197">
        <f t="shared" si="465"/>
        <v>3576</v>
      </c>
      <c r="N412" s="2">
        <v>12116</v>
      </c>
      <c r="O412" s="2">
        <v>1264</v>
      </c>
      <c r="P412" s="2">
        <v>437</v>
      </c>
      <c r="Q412" s="2"/>
      <c r="R412" s="77">
        <v>0</v>
      </c>
      <c r="S412" s="197">
        <f t="shared" si="466"/>
        <v>13817</v>
      </c>
      <c r="T412" s="77">
        <v>650</v>
      </c>
      <c r="U412" s="77">
        <v>221</v>
      </c>
      <c r="V412" s="77">
        <v>386</v>
      </c>
      <c r="W412" s="77">
        <v>1268</v>
      </c>
      <c r="X412" s="198">
        <f t="shared" si="455"/>
        <v>2525</v>
      </c>
      <c r="Y412" s="77">
        <v>0</v>
      </c>
      <c r="Z412" s="77">
        <v>1313</v>
      </c>
      <c r="AA412" s="77">
        <v>0</v>
      </c>
      <c r="AB412" s="198">
        <f t="shared" si="467"/>
        <v>1313</v>
      </c>
      <c r="AC412" s="84">
        <f t="shared" si="508"/>
        <v>2304</v>
      </c>
      <c r="AD412" s="39">
        <v>3000</v>
      </c>
      <c r="AE412" s="40">
        <f t="shared" si="509"/>
        <v>9116</v>
      </c>
      <c r="AF412" s="1">
        <f t="shared" si="510"/>
        <v>10.8</v>
      </c>
      <c r="AG412" s="1">
        <f t="shared" si="511"/>
        <v>18</v>
      </c>
      <c r="AH412" s="41">
        <f t="shared" si="512"/>
        <v>16.217233410366457</v>
      </c>
      <c r="AJ412">
        <v>0.9</v>
      </c>
      <c r="AK412">
        <v>1.5</v>
      </c>
      <c r="AL412" s="32">
        <f t="shared" si="513"/>
        <v>12116</v>
      </c>
      <c r="AM412" s="4">
        <f t="shared" si="514"/>
        <v>0.24760647078243644</v>
      </c>
      <c r="AN412" s="4">
        <f t="shared" si="515"/>
        <v>0.75239352921756353</v>
      </c>
    </row>
    <row r="413" spans="1:40" ht="14.25" customHeight="1" x14ac:dyDescent="0.3">
      <c r="A413" s="84"/>
      <c r="C413" s="1">
        <f>+Precios!A413</f>
        <v>2026</v>
      </c>
      <c r="D413" s="52">
        <f>+Precios!B413</f>
        <v>46296</v>
      </c>
      <c r="E413" s="1">
        <v>6</v>
      </c>
      <c r="F413" s="1" t="s">
        <v>43</v>
      </c>
      <c r="G413" s="5">
        <v>46319</v>
      </c>
      <c r="H413" s="77">
        <v>2276</v>
      </c>
      <c r="I413" s="77">
        <v>117</v>
      </c>
      <c r="J413" s="77">
        <v>94</v>
      </c>
      <c r="K413" s="77"/>
      <c r="L413" s="77">
        <v>150</v>
      </c>
      <c r="M413" s="197">
        <f t="shared" si="465"/>
        <v>2637</v>
      </c>
      <c r="N413" s="2">
        <v>12212</v>
      </c>
      <c r="O413" s="2">
        <v>1264</v>
      </c>
      <c r="P413" s="2">
        <v>427</v>
      </c>
      <c r="Q413" s="2"/>
      <c r="R413" s="77">
        <v>0</v>
      </c>
      <c r="S413" s="197">
        <f t="shared" si="466"/>
        <v>13903</v>
      </c>
      <c r="T413" s="77">
        <v>650</v>
      </c>
      <c r="U413" s="77">
        <v>211</v>
      </c>
      <c r="V413" s="77">
        <v>347</v>
      </c>
      <c r="W413" s="77">
        <v>1199</v>
      </c>
      <c r="X413" s="198">
        <f t="shared" si="455"/>
        <v>2407</v>
      </c>
      <c r="Y413" s="77">
        <v>0</v>
      </c>
      <c r="Z413" s="77">
        <v>1350</v>
      </c>
      <c r="AA413" s="77">
        <v>0</v>
      </c>
      <c r="AB413" s="198">
        <f t="shared" si="467"/>
        <v>1350</v>
      </c>
      <c r="AC413" s="84">
        <f t="shared" si="508"/>
        <v>2196</v>
      </c>
      <c r="AD413" s="39">
        <v>3000</v>
      </c>
      <c r="AE413" s="40">
        <f t="shared" si="509"/>
        <v>9212</v>
      </c>
      <c r="AF413" s="1">
        <f t="shared" si="510"/>
        <v>10.8</v>
      </c>
      <c r="AG413" s="1">
        <f t="shared" si="511"/>
        <v>18</v>
      </c>
      <c r="AH413" s="41">
        <f t="shared" si="512"/>
        <v>16.231247952833279</v>
      </c>
      <c r="AJ413">
        <v>0.9</v>
      </c>
      <c r="AK413">
        <v>1.5</v>
      </c>
      <c r="AL413" s="32">
        <f t="shared" si="513"/>
        <v>12212</v>
      </c>
      <c r="AM413" s="4">
        <f t="shared" si="514"/>
        <v>0.24566000655093351</v>
      </c>
      <c r="AN413" s="4">
        <f t="shared" si="515"/>
        <v>0.75433999344906644</v>
      </c>
    </row>
    <row r="414" spans="1:40" ht="14.25" customHeight="1" x14ac:dyDescent="0.3">
      <c r="A414" s="84"/>
      <c r="C414" s="1">
        <f>+Precios!A414</f>
        <v>2026</v>
      </c>
      <c r="D414" s="52">
        <f>+Precios!B414</f>
        <v>46296</v>
      </c>
      <c r="E414" s="1">
        <v>4</v>
      </c>
      <c r="F414" s="1" t="s">
        <v>44</v>
      </c>
      <c r="G414" s="5">
        <v>46320</v>
      </c>
      <c r="H414" s="77">
        <v>2068</v>
      </c>
      <c r="I414" s="77">
        <v>220</v>
      </c>
      <c r="J414" s="77">
        <v>64</v>
      </c>
      <c r="K414" s="77"/>
      <c r="L414" s="77">
        <v>150</v>
      </c>
      <c r="M414" s="197">
        <f t="shared" si="465"/>
        <v>2502</v>
      </c>
      <c r="N414" s="2">
        <v>11989</v>
      </c>
      <c r="O414" s="2">
        <v>1474</v>
      </c>
      <c r="P414" s="2">
        <v>437</v>
      </c>
      <c r="Q414" s="2"/>
      <c r="R414" s="77">
        <v>0</v>
      </c>
      <c r="S414" s="197">
        <f t="shared" si="466"/>
        <v>13900</v>
      </c>
      <c r="T414" s="77">
        <v>650</v>
      </c>
      <c r="U414" s="77">
        <v>189</v>
      </c>
      <c r="V414" s="77">
        <v>296</v>
      </c>
      <c r="W414" s="77">
        <v>1068</v>
      </c>
      <c r="X414" s="198">
        <f t="shared" si="455"/>
        <v>2203</v>
      </c>
      <c r="Y414" s="77">
        <v>0</v>
      </c>
      <c r="Z414" s="77">
        <v>1352</v>
      </c>
      <c r="AA414" s="77">
        <v>0</v>
      </c>
      <c r="AB414" s="198">
        <f t="shared" si="467"/>
        <v>1352</v>
      </c>
      <c r="AC414" s="84">
        <f t="shared" si="508"/>
        <v>2014</v>
      </c>
      <c r="AD414" s="39">
        <v>3000</v>
      </c>
      <c r="AE414" s="40">
        <f t="shared" si="509"/>
        <v>8989</v>
      </c>
      <c r="AF414" s="1">
        <f t="shared" si="510"/>
        <v>10.8</v>
      </c>
      <c r="AG414" s="1">
        <f t="shared" si="511"/>
        <v>18</v>
      </c>
      <c r="AH414" s="41">
        <f t="shared" si="512"/>
        <v>16.19834848611227</v>
      </c>
      <c r="AJ414">
        <v>0.9</v>
      </c>
      <c r="AK414">
        <v>1.5</v>
      </c>
      <c r="AL414" s="32">
        <f t="shared" si="513"/>
        <v>11989</v>
      </c>
      <c r="AM414" s="4">
        <f t="shared" si="514"/>
        <v>0.25022937692885144</v>
      </c>
      <c r="AN414" s="4">
        <f t="shared" si="515"/>
        <v>0.7497706230711485</v>
      </c>
    </row>
    <row r="415" spans="1:40" ht="14.25" customHeight="1" x14ac:dyDescent="0.3">
      <c r="C415" s="1"/>
      <c r="D415" s="1"/>
      <c r="E415" s="1"/>
      <c r="G415" s="5"/>
      <c r="H415" s="77"/>
      <c r="I415" s="77"/>
      <c r="J415" s="77"/>
      <c r="K415" s="77"/>
      <c r="L415" s="77"/>
      <c r="N415" s="77"/>
      <c r="O415" s="77"/>
      <c r="P415" s="77"/>
      <c r="Q415" s="77"/>
      <c r="R415" s="77"/>
      <c r="AD415" s="39"/>
      <c r="AE415" s="40"/>
      <c r="AF415" s="1"/>
      <c r="AG415" s="1"/>
      <c r="AH415" s="41"/>
      <c r="AL415" s="32"/>
      <c r="AM415" s="4"/>
      <c r="AN415" s="4"/>
    </row>
    <row r="416" spans="1:40" x14ac:dyDescent="0.3">
      <c r="C416" s="1"/>
      <c r="D416" s="1"/>
      <c r="E416" s="1"/>
      <c r="G416" s="5"/>
    </row>
    <row r="419" spans="3:3" x14ac:dyDescent="0.3">
      <c r="C419" s="65" t="s">
        <v>5</v>
      </c>
    </row>
  </sheetData>
  <autoFilter ref="C24:AN414" xr:uid="{690E54B6-0047-4CA6-A34B-E7D7D9A54E88}">
    <filterColumn colId="1">
      <filters>
        <dateGroupItem year="2026" month="8" dateTimeGrouping="month"/>
        <dateGroupItem year="2026" month="9" dateTimeGrouping="month"/>
        <dateGroupItem year="2026" month="10" dateTimeGrouping="month"/>
      </filters>
    </filterColumn>
  </autoFilter>
  <phoneticPr fontId="2" type="noConversion"/>
  <pageMargins left="0.7" right="0.7" top="0.75" bottom="0.75" header="0.3" footer="0.3"/>
  <ignoredErrors>
    <ignoredError sqref="M25 M56:M148 M176:M226 M237:M246 M415" formulaRange="1"/>
    <ignoredError sqref="X8:X10 S8:S11 W11:X15 M8:M15 T11:U11 S12:U14 S15 U15 M16:M17 S16:S17 X16:X17 M18:S19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7ACD4-9C6E-4352-8700-10693FF92FCB}">
  <sheetPr filterMode="1"/>
  <dimension ref="A1:AK419"/>
  <sheetViews>
    <sheetView zoomScaleNormal="100" workbookViewId="0"/>
  </sheetViews>
  <sheetFormatPr baseColWidth="10" defaultColWidth="11" defaultRowHeight="14.4" x14ac:dyDescent="0.3"/>
  <cols>
    <col min="1" max="1" width="10.36328125" style="49" customWidth="1"/>
    <col min="2" max="2" width="10" style="49" customWidth="1"/>
    <col min="3" max="3" width="12.54296875" bestFit="1" customWidth="1"/>
    <col min="4" max="4" width="4.6328125" customWidth="1"/>
    <col min="5" max="5" width="10.81640625" customWidth="1"/>
    <col min="6" max="6" width="5.6328125" style="1" customWidth="1"/>
    <col min="7" max="7" width="13.36328125" style="1" customWidth="1"/>
    <col min="12" max="12" width="12.6328125" customWidth="1"/>
    <col min="13" max="13" width="15.54296875" customWidth="1"/>
    <col min="16" max="17" width="13.08984375" customWidth="1"/>
    <col min="18" max="18" width="11.6328125" customWidth="1"/>
    <col min="19" max="19" width="13.6328125" customWidth="1"/>
    <col min="20" max="20" width="11.81640625" customWidth="1"/>
    <col min="21" max="22" width="12.1796875" customWidth="1"/>
    <col min="23" max="23" width="11.81640625" customWidth="1"/>
    <col min="24" max="24" width="14.54296875" customWidth="1"/>
    <col min="25" max="25" width="11.6328125" customWidth="1"/>
    <col min="26" max="28" width="13.08984375" customWidth="1"/>
    <col min="34" max="34" width="24.54296875" bestFit="1" customWidth="1"/>
    <col min="35" max="35" width="20.36328125" bestFit="1" customWidth="1"/>
    <col min="36" max="36" width="26.453125" bestFit="1" customWidth="1"/>
  </cols>
  <sheetData>
    <row r="1" spans="1:36" s="47" customFormat="1" ht="31.8" x14ac:dyDescent="0.65">
      <c r="A1" s="49"/>
      <c r="B1" s="101" t="s">
        <v>136</v>
      </c>
      <c r="F1" s="48"/>
      <c r="G1" s="48"/>
      <c r="H1" s="46" t="s">
        <v>105</v>
      </c>
      <c r="N1" s="46" t="s">
        <v>106</v>
      </c>
      <c r="T1" s="46" t="s">
        <v>107</v>
      </c>
      <c r="Y1" s="46" t="s">
        <v>108</v>
      </c>
    </row>
    <row r="2" spans="1:36" s="47" customFormat="1" ht="31.8" x14ac:dyDescent="0.65">
      <c r="A2" s="49"/>
      <c r="B2" s="60" t="s">
        <v>62</v>
      </c>
      <c r="F2" s="48"/>
      <c r="G2" s="48"/>
      <c r="H2" s="46"/>
      <c r="N2" s="46"/>
      <c r="T2" s="46"/>
      <c r="Y2" s="46"/>
    </row>
    <row r="3" spans="1:36" s="47" customFormat="1" ht="31.8" x14ac:dyDescent="0.65">
      <c r="A3" s="49"/>
      <c r="B3" s="60" t="s">
        <v>137</v>
      </c>
      <c r="F3" s="48"/>
      <c r="G3" s="48"/>
      <c r="H3" s="46"/>
      <c r="N3" s="46"/>
      <c r="T3" s="46"/>
      <c r="Y3" s="46"/>
    </row>
    <row r="4" spans="1:36" x14ac:dyDescent="0.3">
      <c r="A4" s="49" t="s">
        <v>132</v>
      </c>
      <c r="L4" s="32"/>
      <c r="M4" s="37"/>
      <c r="S4" s="37"/>
    </row>
    <row r="5" spans="1:36" x14ac:dyDescent="0.3">
      <c r="H5" s="8" t="s">
        <v>17</v>
      </c>
      <c r="I5" s="8" t="s">
        <v>17</v>
      </c>
      <c r="J5" s="8" t="s">
        <v>17</v>
      </c>
      <c r="K5" s="8" t="s">
        <v>17</v>
      </c>
      <c r="L5" s="8" t="s">
        <v>17</v>
      </c>
      <c r="M5" s="8" t="s">
        <v>17</v>
      </c>
      <c r="N5" s="8" t="s">
        <v>18</v>
      </c>
      <c r="O5" s="8" t="s">
        <v>18</v>
      </c>
      <c r="P5" s="8" t="s">
        <v>18</v>
      </c>
      <c r="Q5" s="8" t="s">
        <v>18</v>
      </c>
      <c r="R5" s="8" t="s">
        <v>18</v>
      </c>
      <c r="S5" s="8" t="s">
        <v>18</v>
      </c>
      <c r="T5" s="10" t="s">
        <v>17</v>
      </c>
      <c r="U5" s="10" t="s">
        <v>17</v>
      </c>
      <c r="V5" s="10" t="s">
        <v>17</v>
      </c>
      <c r="W5" s="10" t="s">
        <v>17</v>
      </c>
      <c r="X5" s="10" t="s">
        <v>17</v>
      </c>
      <c r="Y5" s="10" t="s">
        <v>18</v>
      </c>
      <c r="Z5" s="10" t="s">
        <v>18</v>
      </c>
      <c r="AA5" s="10" t="s">
        <v>18</v>
      </c>
      <c r="AB5" s="10" t="s">
        <v>18</v>
      </c>
      <c r="AC5" s="10" t="s">
        <v>17</v>
      </c>
    </row>
    <row r="6" spans="1:36" x14ac:dyDescent="0.3">
      <c r="E6" t="s">
        <v>24</v>
      </c>
      <c r="F6"/>
      <c r="H6" s="9" t="s">
        <v>15</v>
      </c>
      <c r="I6" s="9" t="s">
        <v>15</v>
      </c>
      <c r="J6" s="9" t="s">
        <v>15</v>
      </c>
      <c r="K6" s="9" t="s">
        <v>15</v>
      </c>
      <c r="L6" s="9" t="s">
        <v>15</v>
      </c>
      <c r="M6" s="9" t="s">
        <v>109</v>
      </c>
      <c r="N6" s="9" t="s">
        <v>15</v>
      </c>
      <c r="O6" s="9" t="s">
        <v>15</v>
      </c>
      <c r="P6" s="9" t="s">
        <v>15</v>
      </c>
      <c r="Q6" s="9" t="s">
        <v>15</v>
      </c>
      <c r="R6" s="9" t="s">
        <v>15</v>
      </c>
      <c r="S6" s="9" t="s">
        <v>19</v>
      </c>
      <c r="T6" s="11" t="s">
        <v>15</v>
      </c>
      <c r="U6" s="11" t="s">
        <v>15</v>
      </c>
      <c r="V6" s="11" t="s">
        <v>15</v>
      </c>
      <c r="W6" s="11" t="s">
        <v>15</v>
      </c>
      <c r="X6" s="11" t="s">
        <v>15</v>
      </c>
      <c r="Y6" s="11" t="s">
        <v>19</v>
      </c>
      <c r="Z6" s="11" t="s">
        <v>19</v>
      </c>
      <c r="AA6" s="11" t="s">
        <v>19</v>
      </c>
      <c r="AB6" s="11" t="s">
        <v>19</v>
      </c>
      <c r="AC6" s="11" t="s">
        <v>15</v>
      </c>
      <c r="AJ6" s="84"/>
    </row>
    <row r="7" spans="1:36" x14ac:dyDescent="0.3">
      <c r="F7" s="1" t="s">
        <v>122</v>
      </c>
      <c r="G7" s="1" t="s">
        <v>25</v>
      </c>
      <c r="H7" s="8" t="s">
        <v>90</v>
      </c>
      <c r="I7" s="8" t="s">
        <v>91</v>
      </c>
      <c r="J7" s="8" t="s">
        <v>92</v>
      </c>
      <c r="K7" s="8" t="s">
        <v>115</v>
      </c>
      <c r="L7" s="8" t="s">
        <v>93</v>
      </c>
      <c r="M7" s="8" t="s">
        <v>94</v>
      </c>
      <c r="N7" s="8" t="s">
        <v>90</v>
      </c>
      <c r="O7" s="8" t="s">
        <v>91</v>
      </c>
      <c r="P7" s="8" t="s">
        <v>92</v>
      </c>
      <c r="Q7" s="8" t="s">
        <v>115</v>
      </c>
      <c r="R7" s="8" t="s">
        <v>93</v>
      </c>
      <c r="S7" s="8" t="s">
        <v>94</v>
      </c>
      <c r="T7" s="10" t="s">
        <v>95</v>
      </c>
      <c r="U7" s="10" t="str">
        <f>+'Fisico SPOT MAT'!U7</f>
        <v>HIDRO MAT FUTA</v>
      </c>
      <c r="V7" s="10" t="str">
        <f>+'Fisico SPOT MAT'!V7</f>
        <v>RESTO HIDRO MAT</v>
      </c>
      <c r="W7" s="10" t="s">
        <v>97</v>
      </c>
      <c r="X7" s="10" t="s">
        <v>98</v>
      </c>
      <c r="Y7" s="10"/>
      <c r="Z7" s="10"/>
      <c r="AA7" s="10"/>
      <c r="AB7" s="10"/>
      <c r="AC7" s="10" t="s">
        <v>152</v>
      </c>
      <c r="AJ7" s="84"/>
    </row>
    <row r="8" spans="1:36" x14ac:dyDescent="0.3">
      <c r="C8" s="102"/>
      <c r="D8" s="102"/>
      <c r="E8" s="102"/>
      <c r="F8" s="88">
        <f t="shared" ref="F8:F11" si="0">+EDATE(G8,1)-G8</f>
        <v>30</v>
      </c>
      <c r="G8" s="52">
        <f>+Precios!D8</f>
        <v>45962</v>
      </c>
      <c r="H8" s="17">
        <f>+IFERROR(SUMPRODUCT(H56:H85,'Fisico SPOT MAT'!H56:H85)/('Fisico SPOT MAT'!H8*$F8),0)</f>
        <v>37.782842686628456</v>
      </c>
      <c r="I8" s="17">
        <f>+IFERROR(SUMPRODUCT(I56:I85,'Fisico SPOT MAT'!I56:I85)/('Fisico SPOT MAT'!I8*$F8),0)</f>
        <v>31.526893585365418</v>
      </c>
      <c r="J8" s="17">
        <f>+IFERROR(SUMPRODUCT(J56:J85,'Fisico SPOT MAT'!J56:J85)/('Fisico SPOT MAT'!J8*$F8),0)</f>
        <v>22</v>
      </c>
      <c r="K8" s="17">
        <f>+IFERROR(SUMPRODUCT(K56:K85,'Fisico SPOT MAT'!K56:K85)/('Fisico SPOT MAT'!K8*$F8),0)</f>
        <v>0</v>
      </c>
      <c r="L8" s="17">
        <f>+IFERROR(SUMPRODUCT(L56:L85,'Fisico SPOT MAT'!L56:L85)/('Fisico SPOT MAT'!L8*$F8),0)</f>
        <v>0</v>
      </c>
      <c r="M8" s="44">
        <f>+SUMPRODUCT(M56:M85,'Fisico SPOT MAT'!M56:M85)/'Fisico SPOT MAT'!M8</f>
        <v>144991284.98436746</v>
      </c>
      <c r="N8" s="17">
        <f>+IFERROR(SUMPRODUCT(N56:N85,'Fisico SPOT MAT'!N56:N85)/('Fisico SPOT MAT'!N8*$F8),0)</f>
        <v>11.685484029834477</v>
      </c>
      <c r="O8" s="17">
        <f>+IFERROR(SUMPRODUCT(O56:O85,'Fisico SPOT MAT'!O56:O85)/('Fisico SPOT MAT'!O8*$F8),0)</f>
        <v>14.511494252873568</v>
      </c>
      <c r="P8" s="17">
        <f>+IFERROR(SUMPRODUCT(P56:P85,'Fisico SPOT MAT'!P56:P85)/('Fisico SPOT MAT'!P8*$F8),0)</f>
        <v>6.0000000000000009</v>
      </c>
      <c r="Q8" s="17">
        <f>+IFERROR(SUMPRODUCT(Q56:Q85,'Fisico SPOT MAT'!Q56:Q85)/('Fisico SPOT MAT'!Q8*$F8),0)</f>
        <v>0</v>
      </c>
      <c r="R8" s="17">
        <f>+IFERROR(SUMPRODUCT(R56:R85,'Fisico SPOT MAT'!R56:R85)/('Fisico SPOT MAT'!R8*$F8),0)</f>
        <v>0</v>
      </c>
      <c r="S8" s="44">
        <f>+SUMPRODUCT(S56:S85,'Fisico SPOT MAT'!S56:S85)/'Fisico SPOT MAT'!S8</f>
        <v>54774842.75556504</v>
      </c>
      <c r="T8" s="17">
        <f>+IFERROR(SUMPRODUCT(T56:T85,'Fisico SPOT MAT'!T56:T85)/('Fisico SPOT MAT'!T8*$F8),0)</f>
        <v>0</v>
      </c>
      <c r="U8" s="17">
        <f>+IFERROR(SUMPRODUCT(U56:U85,'Fisico SPOT MAT'!U56:U85)/('Fisico SPOT MAT'!U8*$F8),0)</f>
        <v>17.999999999999993</v>
      </c>
      <c r="V8" s="17">
        <f>+IFERROR(SUMPRODUCT(V56:V85,'Fisico SPOT MAT'!V56:V85)/('Fisico SPOT MAT'!V8*$F8),0)</f>
        <v>0</v>
      </c>
      <c r="W8" s="17">
        <f>+IFERROR(SUMPRODUCT(W56:W85,'Fisico SPOT MAT'!W56:W85)/('Fisico SPOT MAT'!W8*$F8),0)</f>
        <v>60</v>
      </c>
      <c r="X8" s="17">
        <f>+IFERROR(SUMPRODUCT(X56:X85,'Fisico SPOT MAT'!X56:X85)/('Fisico SPOT MAT'!X8*$F8),0)</f>
        <v>2174276.6467480487</v>
      </c>
      <c r="AB8" s="17">
        <f>+IFERROR(SUMPRODUCT(AB56:AB85,'Fisico SPOT MAT'!AB56:AB85)/('Fisico SPOT MAT'!AB8*$F8),0)</f>
        <v>24035.498363707611</v>
      </c>
      <c r="AC8" s="17">
        <f>+IFERROR(SUMPRODUCT(AC56:AC85,'Fisico SPOT MAT'!AC56:AC85)/('Fisico SPOT MAT'!AC8*$F8),0)</f>
        <v>60</v>
      </c>
      <c r="AJ8" s="84"/>
    </row>
    <row r="9" spans="1:36" x14ac:dyDescent="0.3">
      <c r="C9" s="102"/>
      <c r="D9" s="102"/>
      <c r="E9" s="102"/>
      <c r="F9" s="88">
        <f t="shared" si="0"/>
        <v>31</v>
      </c>
      <c r="G9" s="52">
        <f>+Precios!D9</f>
        <v>45992</v>
      </c>
      <c r="H9" s="17">
        <f>+IFERROR(SUMPRODUCT(H86:H116,'Fisico SPOT MAT'!H86:H116)/('Fisico SPOT MAT'!H9*$F9),0)</f>
        <v>42.159979495958865</v>
      </c>
      <c r="I9" s="17">
        <f>+IFERROR(SUMPRODUCT(I86:I116,'Fisico SPOT MAT'!I86:I116)/('Fisico SPOT MAT'!I9*$F9),0)</f>
        <v>34.742837221870992</v>
      </c>
      <c r="J9" s="17">
        <f>+IFERROR(SUMPRODUCT(J86:J116,'Fisico SPOT MAT'!J86:J116)/('Fisico SPOT MAT'!J9*$F9),0)</f>
        <v>22.000000000000004</v>
      </c>
      <c r="K9" s="17">
        <f>+IFERROR(SUMPRODUCT(K86:K116,'Fisico SPOT MAT'!K86:K116)/('Fisico SPOT MAT'!K9*$F9),0)</f>
        <v>0</v>
      </c>
      <c r="L9" s="17">
        <f>+IFERROR(SUMPRODUCT(L86:L116,'Fisico SPOT MAT'!L86:L116)/('Fisico SPOT MAT'!L9*$F9),0)</f>
        <v>0</v>
      </c>
      <c r="M9" s="44">
        <f>+SUMPRODUCT(M86:M116,'Fisico SPOT MAT'!M86:M116)/'Fisico SPOT MAT'!M9</f>
        <v>230968242.21351933</v>
      </c>
      <c r="N9" s="17">
        <f>+IFERROR(SUMPRODUCT(N86:N116,'Fisico SPOT MAT'!N86:N116)/('Fisico SPOT MAT'!N9*$F9),0)</f>
        <v>16.816638401272542</v>
      </c>
      <c r="O9" s="17">
        <f>+IFERROR(SUMPRODUCT(O86:O116,'Fisico SPOT MAT'!O86:O116)/('Fisico SPOT MAT'!O9*$F9),0)</f>
        <v>13.151041666666668</v>
      </c>
      <c r="P9" s="17">
        <f>+IFERROR(SUMPRODUCT(P86:P116,'Fisico SPOT MAT'!P86:P116)/('Fisico SPOT MAT'!P9*$F9),0)</f>
        <v>5.9999999999999982</v>
      </c>
      <c r="Q9" s="17">
        <f>+IFERROR(SUMPRODUCT(Q86:Q116,'Fisico SPOT MAT'!Q86:Q116)/('Fisico SPOT MAT'!Q9*$F9),0)</f>
        <v>0</v>
      </c>
      <c r="R9" s="17">
        <f>+IFERROR(SUMPRODUCT(R86:R116,'Fisico SPOT MAT'!R86:R116)/('Fisico SPOT MAT'!R9*$F9),0)</f>
        <v>0</v>
      </c>
      <c r="S9" s="44">
        <f>+SUMPRODUCT(S86:S116,'Fisico SPOT MAT'!S86:S116)/'Fisico SPOT MAT'!S9</f>
        <v>86781163.54616107</v>
      </c>
      <c r="T9" s="17">
        <f>+IFERROR(SUMPRODUCT(T86:T116,'Fisico SPOT MAT'!T86:T116)/('Fisico SPOT MAT'!T9*$F9),0)</f>
        <v>0</v>
      </c>
      <c r="U9" s="17">
        <f>+IFERROR(SUMPRODUCT(U86:U116,'Fisico SPOT MAT'!U86:U116)/('Fisico SPOT MAT'!U9*$F9),0)</f>
        <v>18.000000000000004</v>
      </c>
      <c r="V9" s="17">
        <f>+IFERROR(SUMPRODUCT(V86:V116,'Fisico SPOT MAT'!V86:V116)/('Fisico SPOT MAT'!V9*$F9),0)</f>
        <v>0</v>
      </c>
      <c r="W9" s="17">
        <f>+IFERROR(SUMPRODUCT(W86:W116,'Fisico SPOT MAT'!W86:W116)/('Fisico SPOT MAT'!W9*$F9),0)</f>
        <v>59.999999999999979</v>
      </c>
      <c r="X9" s="17">
        <f>+IFERROR(SUMPRODUCT(X86:X116,'Fisico SPOT MAT'!X86:X116)/('Fisico SPOT MAT'!X9*$F9),0)</f>
        <v>2241565.199122807</v>
      </c>
      <c r="AB9" s="17">
        <f>+IFERROR(SUMPRODUCT(AB86:AB116,'Fisico SPOT MAT'!AB86:AB116)/('Fisico SPOT MAT'!AB9*$F9),0)</f>
        <v>32516.129032258064</v>
      </c>
      <c r="AC9" s="17">
        <f>+IFERROR(SUMPRODUCT(AC86:AC116,'Fisico SPOT MAT'!AC86:AC116)/('Fisico SPOT MAT'!AC9*$F9),0)</f>
        <v>59.999999999999979</v>
      </c>
      <c r="AJ9" s="84"/>
    </row>
    <row r="10" spans="1:36" x14ac:dyDescent="0.3">
      <c r="C10" s="102"/>
      <c r="D10" s="102"/>
      <c r="E10" s="102"/>
      <c r="F10" s="88">
        <f t="shared" si="0"/>
        <v>31</v>
      </c>
      <c r="G10" s="52">
        <f>+Precios!D10</f>
        <v>46023</v>
      </c>
      <c r="H10" s="17">
        <f>+IFERROR(SUMPRODUCT(H117:H147,'Fisico SPOT MAT'!H117:H147)/('Fisico SPOT MAT'!H10*$F10),0)</f>
        <v>44.809511667351437</v>
      </c>
      <c r="I10" s="17">
        <f>+IFERROR(SUMPRODUCT(I117:I147,'Fisico SPOT MAT'!I117:I147)/('Fisico SPOT MAT'!I10*$F10),0)</f>
        <v>36.662848246171009</v>
      </c>
      <c r="J10" s="17">
        <f>+IFERROR(SUMPRODUCT(J117:J147,'Fisico SPOT MAT'!J117:J147)/('Fisico SPOT MAT'!J10*$F10),0)</f>
        <v>22</v>
      </c>
      <c r="K10" s="17">
        <f>+IFERROR(SUMPRODUCT(K117:K147,'Fisico SPOT MAT'!K117:K147)/('Fisico SPOT MAT'!K10*$F10),0)</f>
        <v>16.322580645161295</v>
      </c>
      <c r="L10" s="17">
        <f>+IFERROR(SUMPRODUCT(L117:L147,'Fisico SPOT MAT'!L117:L147)/('Fisico SPOT MAT'!L10*$F10),0)</f>
        <v>0</v>
      </c>
      <c r="M10" s="44">
        <f>+SUMPRODUCT(M117:M147,'Fisico SPOT MAT'!M117:M147)/'Fisico SPOT MAT'!M10</f>
        <v>257174089.32451031</v>
      </c>
      <c r="N10" s="17">
        <f>+IFERROR(SUMPRODUCT(N117:N147,'Fisico SPOT MAT'!N117:N147)/('Fisico SPOT MAT'!N10*$F10),0)</f>
        <v>16.84438029489468</v>
      </c>
      <c r="O10" s="17">
        <f>+IFERROR(SUMPRODUCT(O117:O147,'Fisico SPOT MAT'!O117:O147)/('Fisico SPOT MAT'!O10*$F10),0)</f>
        <v>13.082901554404145</v>
      </c>
      <c r="P10" s="17">
        <f>+IFERROR(SUMPRODUCT(P117:P147,'Fisico SPOT MAT'!P117:P147)/('Fisico SPOT MAT'!P10*$F10),0)</f>
        <v>6.0000000000000018</v>
      </c>
      <c r="Q10" s="17">
        <f>+IFERROR(SUMPRODUCT(Q117:Q147,'Fisico SPOT MAT'!Q117:Q147)/('Fisico SPOT MAT'!Q10*$F10),0)</f>
        <v>4.4516129032258069</v>
      </c>
      <c r="R10" s="17">
        <f>+IFERROR(SUMPRODUCT(R117:R147,'Fisico SPOT MAT'!R117:R147)/('Fisico SPOT MAT'!R10*$F10),0)</f>
        <v>0</v>
      </c>
      <c r="S10" s="44">
        <f>+SUMPRODUCT(S117:S147,'Fisico SPOT MAT'!S117:S147)/'Fisico SPOT MAT'!S10</f>
        <v>90343865.092627138</v>
      </c>
      <c r="T10" s="17">
        <f>+IFERROR(SUMPRODUCT(T117:T147,'Fisico SPOT MAT'!T117:T147)/('Fisico SPOT MAT'!T10*$F10),0)</f>
        <v>0</v>
      </c>
      <c r="U10" s="17">
        <f>+IFERROR(SUMPRODUCT(U117:U147,'Fisico SPOT MAT'!U117:U147)/('Fisico SPOT MAT'!U10*$F10),0)</f>
        <v>18</v>
      </c>
      <c r="V10" s="17">
        <f>+IFERROR(SUMPRODUCT(V117:V147,'Fisico SPOT MAT'!V117:V147)/('Fisico SPOT MAT'!V10*$F10),0)</f>
        <v>0</v>
      </c>
      <c r="W10" s="17">
        <f>+IFERROR(SUMPRODUCT(W117:W147,'Fisico SPOT MAT'!W117:W147)/('Fisico SPOT MAT'!W10*$F10),0)</f>
        <v>60.000000000000014</v>
      </c>
      <c r="X10" s="17">
        <f>+IFERROR(SUMPRODUCT(X117:X147,'Fisico SPOT MAT'!X117:X147)/('Fisico SPOT MAT'!X10*$F10),0)</f>
        <v>2237712.4649286605</v>
      </c>
      <c r="AB10" s="17">
        <f>+IFERROR(SUMPRODUCT(AB117:AB147,'Fisico SPOT MAT'!AB117:AB147)/('Fisico SPOT MAT'!AB10*$F10),0)</f>
        <v>32685.483870967742</v>
      </c>
      <c r="AC10" s="17">
        <f>+IFERROR(SUMPRODUCT(AC117:AC147,'Fisico SPOT MAT'!AC117:AC147)/('Fisico SPOT MAT'!AC10*$F10),0)</f>
        <v>60.000000000000014</v>
      </c>
      <c r="AJ10" s="84"/>
    </row>
    <row r="11" spans="1:36" x14ac:dyDescent="0.3">
      <c r="C11" s="102"/>
      <c r="D11" s="102"/>
      <c r="E11" s="102"/>
      <c r="F11" s="88">
        <f t="shared" si="0"/>
        <v>28</v>
      </c>
      <c r="G11" s="52">
        <f>+Precios!D11</f>
        <v>46054</v>
      </c>
      <c r="H11" s="17">
        <f>+IFERROR(SUMPRODUCT(H148:H175,'Fisico SPOT MAT'!H148:H175)/('Fisico SPOT MAT'!H11*$F11),0)</f>
        <v>45.370506831057305</v>
      </c>
      <c r="I11" s="17">
        <f>+IFERROR(SUMPRODUCT(I148:I175,'Fisico SPOT MAT'!I148:I175)/('Fisico SPOT MAT'!I11*$F11),0)</f>
        <v>34.851878037726465</v>
      </c>
      <c r="J11" s="17">
        <f>+IFERROR(SUMPRODUCT(J148:J175,'Fisico SPOT MAT'!J148:J175)/('Fisico SPOT MAT'!J11*$F11),0)</f>
        <v>22.000000000000004</v>
      </c>
      <c r="K11" s="17">
        <f>+IFERROR(SUMPRODUCT(K148:K175,'Fisico SPOT MAT'!K148:K175)/('Fisico SPOT MAT'!K11*$F11),0)</f>
        <v>22.000000000000004</v>
      </c>
      <c r="L11" s="17">
        <f>+IFERROR(SUMPRODUCT(L148:L175,'Fisico SPOT MAT'!L148:L175)/('Fisico SPOT MAT'!L11*$F11),0)</f>
        <v>0</v>
      </c>
      <c r="M11" s="44">
        <f>+SUMPRODUCT(M148:M175,'Fisico SPOT MAT'!M148:M175)/'Fisico SPOT MAT'!M11</f>
        <v>245376981.19874623</v>
      </c>
      <c r="N11" s="17">
        <f>+IFERROR(SUMPRODUCT(N148:N175,'Fisico SPOT MAT'!N148:N175)/('Fisico SPOT MAT'!N11*$F11),0)</f>
        <v>16.869450090326929</v>
      </c>
      <c r="O11" s="17">
        <f>+IFERROR(SUMPRODUCT(O148:O175,'Fisico SPOT MAT'!O148:O175)/('Fisico SPOT MAT'!O11*$F11),0)</f>
        <v>15.029761904761907</v>
      </c>
      <c r="P11" s="17">
        <f>+IFERROR(SUMPRODUCT(P148:P175,'Fisico SPOT MAT'!P148:P175)/('Fisico SPOT MAT'!P11*$F11),0)</f>
        <v>6</v>
      </c>
      <c r="Q11" s="17">
        <f>+IFERROR(SUMPRODUCT(Q148:Q175,'Fisico SPOT MAT'!Q148:Q175)/('Fisico SPOT MAT'!Q11*$F11),0)</f>
        <v>6.0000000000000009</v>
      </c>
      <c r="R11" s="17">
        <f>+IFERROR(SUMPRODUCT(R148:R175,'Fisico SPOT MAT'!R148:R175)/('Fisico SPOT MAT'!R11*$F11),0)</f>
        <v>0</v>
      </c>
      <c r="S11" s="44">
        <f>+SUMPRODUCT(S148:S175,'Fisico SPOT MAT'!S148:S175)/'Fisico SPOT MAT'!S11</f>
        <v>82035884.712141007</v>
      </c>
      <c r="T11" s="17">
        <f>+IFERROR(SUMPRODUCT(T148:T175,'Fisico SPOT MAT'!T148:T175)/('Fisico SPOT MAT'!T11*$F11),0)</f>
        <v>0</v>
      </c>
      <c r="U11" s="17">
        <f>+IFERROR(SUMPRODUCT(U148:U175,'Fisico SPOT MAT'!U148:U175)/('Fisico SPOT MAT'!U11*$F11),0)</f>
        <v>17.999999999999996</v>
      </c>
      <c r="V11" s="17">
        <f>+IFERROR(SUMPRODUCT(V148:V175,'Fisico SPOT MAT'!V148:V175)/('Fisico SPOT MAT'!V11*$F11),0)</f>
        <v>0</v>
      </c>
      <c r="W11" s="17">
        <f>+IFERROR(SUMPRODUCT(W148:W175,'Fisico SPOT MAT'!W148:W175)/('Fisico SPOT MAT'!W11*$F11),0)</f>
        <v>60.000000000000021</v>
      </c>
      <c r="X11" s="17">
        <f>+IFERROR(SUMPRODUCT(X148:X175,'Fisico SPOT MAT'!X148:X175)/('Fisico SPOT MAT'!X11*$F11),0)</f>
        <v>2162432.9734117133</v>
      </c>
      <c r="AB11" s="17">
        <f>+IFERROR(SUMPRODUCT(AB148:AB175,'Fisico SPOT MAT'!AB148:AB175)/('Fisico SPOT MAT'!AB11*$F11),0)</f>
        <v>30936.243936243936</v>
      </c>
      <c r="AC11" s="17">
        <f>+IFERROR(SUMPRODUCT(AC148:AC175,'Fisico SPOT MAT'!AC148:AC175)/('Fisico SPOT MAT'!AC11*$F11),0)</f>
        <v>60.000000000000021</v>
      </c>
      <c r="AJ11" s="84"/>
    </row>
    <row r="12" spans="1:36" x14ac:dyDescent="0.3">
      <c r="C12" s="102"/>
      <c r="D12" s="102"/>
      <c r="E12" s="102"/>
      <c r="F12" s="88">
        <f>+EDATE(G12,1)-G12</f>
        <v>31</v>
      </c>
      <c r="G12" s="52">
        <f>+Precios!D12</f>
        <v>46082</v>
      </c>
      <c r="H12" s="17">
        <f>+IFERROR(SUMPRODUCT(H176:H206,'Fisico SPOT MAT'!H176:H206)/('Fisico SPOT MAT'!H12*$F12),0)</f>
        <v>47.004262796516471</v>
      </c>
      <c r="I12" s="17">
        <f>+IFERROR(SUMPRODUCT(I176:I206,'Fisico SPOT MAT'!I176:I206)/('Fisico SPOT MAT'!I12*$F12),0)</f>
        <v>44.093031901680369</v>
      </c>
      <c r="J12" s="17">
        <f>+IFERROR(SUMPRODUCT(J176:J206,'Fisico SPOT MAT'!J176:J206)/('Fisico SPOT MAT'!J12*$F12),0)</f>
        <v>22.000000000000004</v>
      </c>
      <c r="K12" s="17">
        <f>+IFERROR(SUMPRODUCT(K176:K206,'Fisico SPOT MAT'!K176:K206)/('Fisico SPOT MAT'!K12*$F12),0)</f>
        <v>22.000000000000007</v>
      </c>
      <c r="L12" s="17">
        <f>+IFERROR(SUMPRODUCT(L176:L206,'Fisico SPOT MAT'!L176:L206)/('Fisico SPOT MAT'!L12*$F12),0)</f>
        <v>0</v>
      </c>
      <c r="M12" s="44">
        <f>+SUMPRODUCT(M176:M206,'Fisico SPOT MAT'!M176:M206)/'Fisico SPOT MAT'!M12</f>
        <v>264502107.07174936</v>
      </c>
      <c r="N12" s="17">
        <f>+IFERROR(SUMPRODUCT(N176:N206,'Fisico SPOT MAT'!N176:N206)/('Fisico SPOT MAT'!N12*$F12),0)</f>
        <v>16.258738688660163</v>
      </c>
      <c r="O12" s="17">
        <f>+IFERROR(SUMPRODUCT(O176:O206,'Fisico SPOT MAT'!O176:O206)/('Fisico SPOT MAT'!O12*$F12),0)</f>
        <v>13.502673796791438</v>
      </c>
      <c r="P12" s="17">
        <f>+IFERROR(SUMPRODUCT(P176:P206,'Fisico SPOT MAT'!P176:P206)/('Fisico SPOT MAT'!P12*$F12),0)</f>
        <v>6.0000000000000018</v>
      </c>
      <c r="Q12" s="17">
        <f>+IFERROR(SUMPRODUCT(Q176:Q206,'Fisico SPOT MAT'!Q176:Q206)/('Fisico SPOT MAT'!Q12*$F12),0)</f>
        <v>6</v>
      </c>
      <c r="R12" s="17">
        <f>+IFERROR(SUMPRODUCT(R176:R2183,'Fisico SPOT MAT'!R176:R206)/('Fisico SPOT MAT'!R12*$F12),0)</f>
        <v>0</v>
      </c>
      <c r="S12" s="44">
        <f>+SUMPRODUCT(S176:S206,'Fisico SPOT MAT'!S176:S206)/'Fisico SPOT MAT'!S12</f>
        <v>85563512.386881828</v>
      </c>
      <c r="T12" s="17">
        <f>+IFERROR(SUMPRODUCT(T176:T206,'Fisico SPOT MAT'!T176:T206)/('Fisico SPOT MAT'!T12*$F12),0)</f>
        <v>0</v>
      </c>
      <c r="U12" s="17">
        <f>+IFERROR(SUMPRODUCT(U176:U206,'Fisico SPOT MAT'!U176:U206)/('Fisico SPOT MAT'!U12*$F12),0)</f>
        <v>18.000000000000004</v>
      </c>
      <c r="V12" s="17">
        <f>+IFERROR(SUMPRODUCT(V176:V206,'Fisico SPOT MAT'!V176:V206)/('Fisico SPOT MAT'!V12*$F12),0)</f>
        <v>0</v>
      </c>
      <c r="W12" s="17">
        <f>+IFERROR(SUMPRODUCT(W176:W206,'Fisico SPOT MAT'!W176:W206)/('Fisico SPOT MAT'!W12*$F12),0)</f>
        <v>60.000000000000007</v>
      </c>
      <c r="X12" s="17">
        <f>+IFERROR(SUMPRODUCT(X176:X206,'Fisico SPOT MAT'!X176:X206)/('Fisico SPOT MAT'!X12*$F12),0)</f>
        <v>2109463.6610384318</v>
      </c>
      <c r="AB12" s="17">
        <f>+IFERROR(SUMPRODUCT(AB176:AB206,'Fisico SPOT MAT'!AB176:AB206)/('Fisico SPOT MAT'!AB12*$F12),0)</f>
        <v>30489.029795661634</v>
      </c>
      <c r="AC12" s="17">
        <f>+IFERROR(SUMPRODUCT(AC176:AC206,'Fisico SPOT MAT'!AC176:AC206)/('Fisico SPOT MAT'!AC12*$F12),0)</f>
        <v>60.000000000000007</v>
      </c>
      <c r="AJ12" s="84"/>
    </row>
    <row r="13" spans="1:36" x14ac:dyDescent="0.3">
      <c r="C13" s="102"/>
      <c r="D13" s="102"/>
      <c r="E13" s="102"/>
      <c r="F13" s="88">
        <f>+EDATE(G13,1)-G13</f>
        <v>30</v>
      </c>
      <c r="G13" s="52">
        <f>+Precios!D13</f>
        <v>46113</v>
      </c>
      <c r="H13" s="17">
        <f>+IFERROR(SUMPRODUCT(H207:H236,'Fisico SPOT MAT'!H207:H236)/('Fisico SPOT MAT'!H13*$F13),0)</f>
        <v>54.198844062124465</v>
      </c>
      <c r="I13" s="17">
        <f>+IFERROR(SUMPRODUCT(I207:I236,'Fisico SPOT MAT'!I207:I236)/('Fisico SPOT MAT'!I13*$F13),0)</f>
        <v>42.155067766865585</v>
      </c>
      <c r="J13" s="17">
        <f>+IFERROR(SUMPRODUCT(J207:J236,'Fisico SPOT MAT'!J207:J236)/('Fisico SPOT MAT'!J13*$F13),0)</f>
        <v>22.667470470225474</v>
      </c>
      <c r="K13" s="17">
        <f>+IFERROR(SUMPRODUCT(K207:K236,'Fisico SPOT MAT'!K207:K236)/('Fisico SPOT MAT'!K13*$F13),0)</f>
        <v>22.949724505298118</v>
      </c>
      <c r="L13" s="17">
        <f>+IFERROR(SUMPRODUCT(L207:L236,'Fisico SPOT MAT'!L207:L236)/('Fisico SPOT MAT'!L13*$F13),0)</f>
        <v>0</v>
      </c>
      <c r="M13" s="44">
        <f>+SUMPRODUCT(M207:M236,'Fisico SPOT MAT'!M207:M236)/'Fisico SPOT MAT'!M13</f>
        <v>248573500.05646375</v>
      </c>
      <c r="N13" s="17">
        <f>+IFERROR(SUMPRODUCT(N207:N236,'Fisico SPOT MAT'!N207:N236)/('Fisico SPOT MAT'!N13*$F13),0)</f>
        <v>16.126082093831659</v>
      </c>
      <c r="O13" s="17">
        <f>+IFERROR(SUMPRODUCT(O207:O236,'Fisico SPOT MAT'!O207:O236)/('Fisico SPOT MAT'!O13*$F13),0)</f>
        <v>13.722826086956522</v>
      </c>
      <c r="P13" s="17">
        <f>+IFERROR(SUMPRODUCT(P207:P236,'Fisico SPOT MAT'!P207:P236)/('Fisico SPOT MAT'!P13*$F13),0)</f>
        <v>6</v>
      </c>
      <c r="Q13" s="17">
        <f>+IFERROR(SUMPRODUCT(Q207:Q236,'Fisico SPOT MAT'!Q207:Q236)/('Fisico SPOT MAT'!Q13*$F13),0)</f>
        <v>6.0000000000000018</v>
      </c>
      <c r="R13" s="17">
        <f>+IFERROR(SUMPRODUCT(R207:R236,'Fisico SPOT MAT'!R207:R236)/('Fisico SPOT MAT'!R13*$F13),0)</f>
        <v>0</v>
      </c>
      <c r="S13" s="44">
        <f>+SUMPRODUCT(S207:S236,'Fisico SPOT MAT'!S207:S236)/'Fisico SPOT MAT'!S13</f>
        <v>78648950.702289149</v>
      </c>
      <c r="T13" s="17">
        <f>+IFERROR(SUMPRODUCT(T207:T236,'Fisico SPOT MAT'!T207:T236)/('Fisico SPOT MAT'!T13*$F13),0)</f>
        <v>0</v>
      </c>
      <c r="U13" s="17">
        <f>+IFERROR(SUMPRODUCT(U207:U236,'Fisico SPOT MAT'!U207:U236)/('Fisico SPOT MAT'!U13*$F13),0)</f>
        <v>18.000000000000004</v>
      </c>
      <c r="V13" s="17">
        <f>+IFERROR(SUMPRODUCT(V207:V236,'Fisico SPOT MAT'!V207:V236)/('Fisico SPOT MAT'!V13*$F13),0)</f>
        <v>50.000000000000007</v>
      </c>
      <c r="W13" s="17">
        <f>+IFERROR(SUMPRODUCT(W207:W236,'Fisico SPOT MAT'!W207:W236)/('Fisico SPOT MAT'!W13*$F13),0)</f>
        <v>60.000000000000014</v>
      </c>
      <c r="X13" s="17">
        <f>+IFERROR(SUMPRODUCT(X207:X236,'Fisico SPOT MAT'!X207:X236)/('Fisico SPOT MAT'!X13*$F13),0)</f>
        <v>2174396.4423421849</v>
      </c>
      <c r="AB13" s="17">
        <f>+IFERROR(SUMPRODUCT(AB207:AB328,'Fisico SPOT MAT'!AB207:AB328)/('Fisico SPOT MAT'!AB13*$F13),0)</f>
        <v>477333.29429298214</v>
      </c>
      <c r="AC13" s="17">
        <f>+IFERROR(SUMPRODUCT(AC207:AC236,'Fisico SPOT MAT'!AC207:AC236)/('Fisico SPOT MAT'!AC13*$F13),0)</f>
        <v>58.581664922306146</v>
      </c>
      <c r="AJ13" s="84"/>
    </row>
    <row r="14" spans="1:36" x14ac:dyDescent="0.3">
      <c r="C14" s="102"/>
      <c r="D14" s="102"/>
      <c r="E14" s="102"/>
      <c r="F14" s="88">
        <v>31</v>
      </c>
      <c r="G14" s="52">
        <f>+Precios!D14</f>
        <v>46143</v>
      </c>
      <c r="H14" s="17">
        <f>+IFERROR(SUMPRODUCT(H237:H267,'Fisico SPOT MAT'!H237:H267)/('Fisico SPOT MAT'!H14*$F14),0)</f>
        <v>114.12583124682749</v>
      </c>
      <c r="I14" s="17">
        <f>+IFERROR(SUMPRODUCT(I237:I267,'Fisico SPOT MAT'!I237:I267)/('Fisico SPOT MAT'!I14*$F14),0)</f>
        <v>152.4117057505116</v>
      </c>
      <c r="J14" s="17">
        <f>+IFERROR(SUMPRODUCT(J237:J267,'Fisico SPOT MAT'!J237:J267)/('Fisico SPOT MAT'!J14*$F14),0)</f>
        <v>26.135011977393443</v>
      </c>
      <c r="K14" s="17">
        <f>+IFERROR(SUMPRODUCT(K237:K267,'Fisico SPOT MAT'!K237:K267)/('Fisico SPOT MAT'!K14*$F14),0)</f>
        <v>28.53821629869898</v>
      </c>
      <c r="L14" s="17">
        <f>+IFERROR(SUMPRODUCT(L237:L267,'Fisico SPOT MAT'!L237:L267)/('Fisico SPOT MAT'!L14*$F14),0)</f>
        <v>0</v>
      </c>
      <c r="M14" s="44">
        <f>+SUMPRODUCT(M237:M267,'Fisico SPOT MAT'!M237:M267)/'Fisico SPOT MAT'!M15</f>
        <v>395268988.25769705</v>
      </c>
      <c r="N14" s="17">
        <f>+IFERROR(SUMPRODUCT(N237:N267,'Fisico SPOT MAT'!N237:N267)/('Fisico SPOT MAT'!N14*$F14),0)</f>
        <v>16.283939360885562</v>
      </c>
      <c r="O14" s="17">
        <f>+IFERROR(SUMPRODUCT(O237:O267,'Fisico SPOT MAT'!O237:O267)/('Fisico SPOT MAT'!O14*$F14),0)</f>
        <v>13.950276243093921</v>
      </c>
      <c r="P14" s="17">
        <f>+IFERROR(SUMPRODUCT(P237:P267,'Fisico SPOT MAT'!P237:P267)/('Fisico SPOT MAT'!P14*$F14),0)</f>
        <v>5.9999999999999991</v>
      </c>
      <c r="Q14" s="17">
        <f>+IFERROR(SUMPRODUCT(Q237:Q267,'Fisico SPOT MAT'!Q237:Q267)/('Fisico SPOT MAT'!Q14*$F14),0)</f>
        <v>5.9999999999999982</v>
      </c>
      <c r="R14" s="17">
        <f>+IFERROR(SUMPRODUCT(R237:R267,'Fisico SPOT MAT'!R237:R267)/('Fisico SPOT MAT'!R14*$F14),0)</f>
        <v>0</v>
      </c>
      <c r="S14" s="44">
        <f>+SUMPRODUCT(S237:S267,'Fisico SPOT MAT'!S237:S267)/'Fisico SPOT MAT'!S15</f>
        <v>88394083.646240577</v>
      </c>
      <c r="T14" s="17">
        <f>+IFERROR(SUMPRODUCT(T237:T267,'Fisico SPOT MAT'!T237:T267)/('Fisico SPOT MAT'!T14*$F14),0)</f>
        <v>70</v>
      </c>
      <c r="U14" s="17">
        <f>+IFERROR(SUMPRODUCT(U237:U267,'Fisico SPOT MAT'!U237:U267)/('Fisico SPOT MAT'!U14*$F14),0)</f>
        <v>18.000000000000004</v>
      </c>
      <c r="V14" s="17">
        <f>+IFERROR(SUMPRODUCT(V237:V267,'Fisico SPOT MAT'!V237:V267)/('Fisico SPOT MAT'!V14*$F14),0)</f>
        <v>49.999999999999993</v>
      </c>
      <c r="W14" s="17">
        <f>+IFERROR(SUMPRODUCT(W237:W267,'Fisico SPOT MAT'!W237:W267)/('Fisico SPOT MAT'!W14*$F14),0)</f>
        <v>60.000000000000007</v>
      </c>
      <c r="X14" s="17">
        <f>+IFERROR(SUMPRODUCT(X237:X267,'Fisico SPOT MAT'!X237:X267)/('Fisico SPOT MAT'!X14*$F14),0)</f>
        <v>3393300.2287094314</v>
      </c>
      <c r="AB14" s="17">
        <f>+IFERROR(SUMPRODUCT(AB237:AB267,'Fisico SPOT MAT'!AB237:AB267)/('Fisico SPOT MAT'!AB159*$F14),0)</f>
        <v>25954.557991536392</v>
      </c>
      <c r="AC14" s="17">
        <f>+IFERROR(SUMPRODUCT(AC237:AC267,'Fisico SPOT MAT'!AC237:AC267)/('Fisico SPOT MAT'!AC14*$F14),0)</f>
        <v>62.563902212098093</v>
      </c>
      <c r="AJ14" s="84"/>
    </row>
    <row r="15" spans="1:36" x14ac:dyDescent="0.3">
      <c r="E15" s="1"/>
      <c r="F15" s="88">
        <f>+COUNTIF(D208:D417,MONTH(G15))</f>
        <v>30</v>
      </c>
      <c r="G15" s="52">
        <f>+Precios!D15</f>
        <v>46174</v>
      </c>
      <c r="H15" s="17">
        <f>+IFERROR(SUMPRODUCT(H268:H297,'Fisico SPOT MAT'!H268:H297)/('Fisico SPOT MAT'!H15*$F15),0)</f>
        <v>171.41403060215927</v>
      </c>
      <c r="I15" s="17">
        <f>+IFERROR(SUMPRODUCT(I268:I297,'Fisico SPOT MAT'!I268:I297)/('Fisico SPOT MAT'!I15*$F15),0)</f>
        <v>186.4136172737137</v>
      </c>
      <c r="J15" s="17">
        <f>+IFERROR(SUMPRODUCT(J268:J297,'Fisico SPOT MAT'!J268:J297)/('Fisico SPOT MAT'!J15*$F15),0)</f>
        <v>28.284681301947419</v>
      </c>
      <c r="K15" s="17">
        <f>+IFERROR(SUMPRODUCT(K268:K297,'Fisico SPOT MAT'!K268:K297)/('Fisico SPOT MAT'!K15*$F15),0)</f>
        <v>0</v>
      </c>
      <c r="L15" s="17">
        <f>+IFERROR(SUMPRODUCT(L268:L297,'Fisico SPOT MAT'!L268:L297)/('Fisico SPOT MAT'!L15*$F15),0)</f>
        <v>202.55727130251597</v>
      </c>
      <c r="M15" s="44">
        <f>+SUMPRODUCT(M268:M297,'Fisico SPOT MAT'!M268:M297)/'Fisico SPOT MAT'!M15</f>
        <v>808215374.64634764</v>
      </c>
      <c r="N15" s="17">
        <f>+IFERROR(SUMPRODUCT(N268:N297,'Fisico SPOT MAT'!N268:N297)/('Fisico SPOT MAT'!N15*$F15),0)</f>
        <v>16.87571842483198</v>
      </c>
      <c r="O15" s="17">
        <f>+IFERROR(SUMPRODUCT(O268:O297,'Fisico SPOT MAT'!O268:O297)/('Fisico SPOT MAT'!O15*$F15),0)</f>
        <v>13.359788359788359</v>
      </c>
      <c r="P15" s="17">
        <f>+IFERROR(SUMPRODUCT(P268:P297,'Fisico SPOT MAT'!P268:P297)/('Fisico SPOT MAT'!P15*$F15),0)</f>
        <v>5.9999999999999982</v>
      </c>
      <c r="Q15" s="17">
        <f>+IFERROR(SUMPRODUCT(Q268:Q297,'Fisico SPOT MAT'!Q268:Q297)/('Fisico SPOT MAT'!Q15*$F15),0)</f>
        <v>0</v>
      </c>
      <c r="R15" s="17">
        <f>+IFERROR(SUMPRODUCT(R268:R328,'Fisico SPOT MAT'!R268:R328)/('Fisico SPOT MAT'!R15*$F15),0)</f>
        <v>0</v>
      </c>
      <c r="S15" s="44">
        <f>+SUMPRODUCT(S268:S297,'Fisico SPOT MAT'!S268:S297)/'Fisico SPOT MAT'!S15</f>
        <v>90205685.760352895</v>
      </c>
      <c r="T15" s="17">
        <f>+IFERROR(SUMPRODUCT(T268:T297,'Fisico SPOT MAT'!T268:T297)/('Fisico SPOT MAT'!T15*$F15),0)</f>
        <v>70</v>
      </c>
      <c r="U15" s="17">
        <f>+IFERROR(SUMPRODUCT(U268:U297,'Fisico SPOT MAT'!U268:U297)/('Fisico SPOT MAT'!U15*$F15),0)</f>
        <v>17.999999999999996</v>
      </c>
      <c r="V15" s="17">
        <f>+IFERROR(SUMPRODUCT(V268:V297,'Fisico SPOT MAT'!V268:V297)/('Fisico SPOT MAT'!V15*$F15),0)</f>
        <v>50</v>
      </c>
      <c r="W15" s="17">
        <f>+IFERROR(SUMPRODUCT(W268:W297,'Fisico SPOT MAT'!W268:W297)/('Fisico SPOT MAT'!W15*$F15),0)</f>
        <v>59.999999999999993</v>
      </c>
      <c r="X15" s="17">
        <f>+IFERROR(SUMPRODUCT(X268:X297,'Fisico SPOT MAT'!X268:X297)/('Fisico SPOT MAT'!X15*$F15),0)</f>
        <v>3291840.8712195465</v>
      </c>
      <c r="AB15" s="17">
        <f>+IFERROR(SUMPRODUCT(AB268:AB297,'Fisico SPOT MAT'!AB268:AB297)/('Fisico SPOT MAT'!AB15*$F15),0)</f>
        <v>81677.36359293884</v>
      </c>
      <c r="AC15" s="17">
        <f>+IFERROR(SUMPRODUCT(AC268:AC297,'Fisico SPOT MAT'!AC268:AC297)/('Fisico SPOT MAT'!AC15*$F15),0)</f>
        <v>62.568230925742107</v>
      </c>
      <c r="AJ15" s="84"/>
    </row>
    <row r="16" spans="1:36" x14ac:dyDescent="0.3">
      <c r="F16" s="88">
        <f>+COUNTIF(D209:D418,MONTH(G16))</f>
        <v>31</v>
      </c>
      <c r="G16" s="52">
        <f>+Precios!D16</f>
        <v>46204</v>
      </c>
      <c r="H16" s="17">
        <f>+IFERROR(SUMPRODUCT(H298:H328,'Fisico SPOT MAT'!H298:H328)/('Fisico SPOT MAT'!H16*$F16),0)</f>
        <v>142.55287281782495</v>
      </c>
      <c r="I16" s="17">
        <f>+IFERROR(SUMPRODUCT(I298:I328,'Fisico SPOT MAT'!I298:I328)/('Fisico SPOT MAT'!I16*$F16),0)</f>
        <v>159.75589921781329</v>
      </c>
      <c r="J16" s="17">
        <f>+IFERROR(SUMPRODUCT(J298:J328,'Fisico SPOT MAT'!J298:J328)/('Fisico SPOT MAT'!J16*$F16),0)</f>
        <v>23.262967865552131</v>
      </c>
      <c r="K16" s="17">
        <f>+IFERROR(SUMPRODUCT(K298:K328,'Fisico SPOT MAT'!K298:K328)/('Fisico SPOT MAT'!K16*$F16),0)</f>
        <v>0</v>
      </c>
      <c r="L16" s="17">
        <f>+IFERROR(SUMPRODUCT(L298:L328,'Fisico SPOT MAT'!L298:L328)/('Fisico SPOT MAT'!L16*$F16),0)</f>
        <v>154.21002561474086</v>
      </c>
      <c r="M16" s="44">
        <f>+SUMPRODUCT(M298:M328,'Fisico SPOT MAT'!M298:M328)/'Fisico SPOT MAT'!M16</f>
        <v>716236660.39615095</v>
      </c>
      <c r="N16" s="17">
        <f>+IFERROR(SUMPRODUCT(N298:N328,'Fisico SPOT MAT'!N298:N328)/('Fisico SPOT MAT'!N16*$F16),0)</f>
        <v>16.89626788143735</v>
      </c>
      <c r="O16" s="17">
        <f>+IFERROR(SUMPRODUCT(O298:O328,'Fisico SPOT MAT'!O298:O328)/('Fisico SPOT MAT'!O16*$F16),0)</f>
        <v>12.776668317412863</v>
      </c>
      <c r="P16" s="17">
        <f>+IFERROR(SUMPRODUCT(P298:P328,'Fisico SPOT MAT'!P298:P328)/('Fisico SPOT MAT'!P16*$F16),0)</f>
        <v>5.9999999999999973</v>
      </c>
      <c r="Q16" s="17">
        <f>+IFERROR(SUMPRODUCT(Q298:Q328,'Fisico SPOT MAT'!Q298:Q328)/('Fisico SPOT MAT'!Q16*$F16),0)</f>
        <v>0</v>
      </c>
      <c r="R16" s="17">
        <f>+IFERROR(SUMPRODUCT(R298:R328,'Fisico SPOT MAT'!R298:R328)/('Fisico SPOT MAT'!R16*$F16),0)</f>
        <v>0</v>
      </c>
      <c r="S16" s="44">
        <f>+SUMPRODUCT(S298:S328,'Fisico SPOT MAT'!S298:S328)/'Fisico SPOT MAT'!S16</f>
        <v>93500095.583322287</v>
      </c>
      <c r="T16" s="17">
        <f>+IFERROR(SUMPRODUCT(T298:T328,'Fisico SPOT MAT'!T298:T328)/('Fisico SPOT MAT'!T16*$F16),0)</f>
        <v>80</v>
      </c>
      <c r="U16" s="17">
        <f>+IFERROR(SUMPRODUCT(U298:U328,'Fisico SPOT MAT'!U298:U328)/('Fisico SPOT MAT'!U16*$F16),0)</f>
        <v>18</v>
      </c>
      <c r="V16" s="17">
        <f>+IFERROR(SUMPRODUCT(V298:V328,'Fisico SPOT MAT'!V298:V328)/('Fisico SPOT MAT'!V16*$F16),0)</f>
        <v>49.999999999999979</v>
      </c>
      <c r="W16" s="17">
        <f>+IFERROR(SUMPRODUCT(W298:W328,'Fisico SPOT MAT'!W298:W328)/('Fisico SPOT MAT'!W16*$F16),0)</f>
        <v>60.000000000000014</v>
      </c>
      <c r="X16" s="17">
        <f>+IFERROR(SUMPRODUCT(X298:X328,'Fisico SPOT MAT'!X298:X328)/('Fisico SPOT MAT'!X16*$F16),0)</f>
        <v>3221288.8971659797</v>
      </c>
      <c r="AB16" s="17">
        <f>+IFERROR(SUMPRODUCT(AB298:AB328,'Fisico SPOT MAT'!AB298:AB328)/('Fisico SPOT MAT'!AB16*$F16),0)</f>
        <v>67805.859169737232</v>
      </c>
      <c r="AC16" s="17">
        <f>+IFERROR(SUMPRODUCT(AC298:AC328,'Fisico SPOT MAT'!AC298:AC328)/('Fisico SPOT MAT'!AC16*$F16),0)</f>
        <v>66.471180651591865</v>
      </c>
      <c r="AJ16" s="84"/>
    </row>
    <row r="17" spans="1:37" x14ac:dyDescent="0.3">
      <c r="F17" s="88">
        <f>+COUNTIF(D210:D418,MONTH(G17))</f>
        <v>31</v>
      </c>
      <c r="G17" s="52">
        <f>+Precios!D17</f>
        <v>46235</v>
      </c>
      <c r="H17" s="17">
        <f>+IFERROR(SUMPRODUCT(H329:H359,'Fisico SPOT MAT'!H329:H359)/('Fisico SPOT MAT'!H17*$F17),0)</f>
        <v>134.59698924390938</v>
      </c>
      <c r="I17" s="17">
        <f>+IFERROR(SUMPRODUCT(I329:I359,'Fisico SPOT MAT'!I329:I359)/('Fisico SPOT MAT'!I17*$F17),0)</f>
        <v>157.04478931416782</v>
      </c>
      <c r="J17" s="17">
        <f>+IFERROR(SUMPRODUCT(J329:J359,'Fisico SPOT MAT'!J329:J359)/('Fisico SPOT MAT'!J17*$F17),0)</f>
        <v>23.018719229702388</v>
      </c>
      <c r="K17" s="17">
        <f>+IFERROR(SUMPRODUCT(K329:K359,'Fisico SPOT MAT'!K329:K359)/('Fisico SPOT MAT'!K17*$F17),0)</f>
        <v>0</v>
      </c>
      <c r="L17" s="17">
        <f>+IFERROR(SUMPRODUCT(L329:L359,'Fisico SPOT MAT'!L329:L359)/('Fisico SPOT MAT'!L17*$F17),0)</f>
        <v>141.37171192382755</v>
      </c>
      <c r="M17" s="44">
        <f>+SUMPRODUCT(M329:M359,'Fisico SPOT MAT'!M329:M359)/'Fisico SPOT MAT'!M17</f>
        <v>481359415.36037451</v>
      </c>
      <c r="N17" s="17">
        <f>+IFERROR(SUMPRODUCT(N329:N359,'Fisico SPOT MAT'!N329:N359)/('Fisico SPOT MAT'!N17*$F17),0)</f>
        <v>16.885279297602434</v>
      </c>
      <c r="O17" s="17">
        <f>+IFERROR(SUMPRODUCT(O329:O359,'Fisico SPOT MAT'!O329:O359)/('Fisico SPOT MAT'!O17*$F17),0)</f>
        <v>13.502673796791443</v>
      </c>
      <c r="P17" s="17">
        <f>+IFERROR(SUMPRODUCT(P329:P359,'Fisico SPOT MAT'!P329:P359)/('Fisico SPOT MAT'!P17*$F17),0)</f>
        <v>6.0000000000000027</v>
      </c>
      <c r="Q17" s="17">
        <f>+IFERROR(SUMPRODUCT(Q329:Q359,'Fisico SPOT MAT'!Q329:Q359)/('Fisico SPOT MAT'!Q17*$F17),0)</f>
        <v>0</v>
      </c>
      <c r="R17" s="17">
        <f>+IFERROR(SUMPRODUCT(R329:R359,'Fisico SPOT MAT'!R329:R359)/('Fisico SPOT MAT'!R17*$F17),0)</f>
        <v>0</v>
      </c>
      <c r="S17" s="44">
        <f>+SUMPRODUCT(S329:S359,'Fisico SPOT MAT'!S329:S359)/'Fisico SPOT MAT'!S17</f>
        <v>87613833.142773435</v>
      </c>
      <c r="T17" s="17">
        <f>+IFERROR(SUMPRODUCT(T329:T359,'Fisico SPOT MAT'!T329:T359)/('Fisico SPOT MAT'!T17*$F17),0)</f>
        <v>80</v>
      </c>
      <c r="U17" s="17">
        <f>+IFERROR(SUMPRODUCT(U329:U359,'Fisico SPOT MAT'!U329:U359)/('Fisico SPOT MAT'!U17*$F17),0)</f>
        <v>18</v>
      </c>
      <c r="V17" s="17">
        <f>+IFERROR(SUMPRODUCT(V329:V359,'Fisico SPOT MAT'!V329:V359)/('Fisico SPOT MAT'!V17*$F17),0)</f>
        <v>50.000000000000007</v>
      </c>
      <c r="W17" s="17">
        <f>+IFERROR(SUMPRODUCT(W329:W359,'Fisico SPOT MAT'!W329:W359)/('Fisico SPOT MAT'!W17*$F17),0)</f>
        <v>60.000000000000036</v>
      </c>
      <c r="X17" s="17">
        <f>+IFERROR(SUMPRODUCT(X329:X359,'Fisico SPOT MAT'!X329:X359)/('Fisico SPOT MAT'!X17*$F17),0)</f>
        <v>3880707.3575002039</v>
      </c>
      <c r="AB17" s="17">
        <f>+IFERROR(SUMPRODUCT(AB329:AB359,'Fisico SPOT MAT'!AB329:AB359)/('Fisico SPOT MAT'!AB17*$F17),0)</f>
        <v>77145.387983797948</v>
      </c>
      <c r="AC17" s="17">
        <f>+IFERROR(SUMPRODUCT(AC329:AC359,'Fisico SPOT MAT'!AC329:AC359)/('Fisico SPOT MAT'!AC17*$F17),0)</f>
        <v>64.918897121093295</v>
      </c>
      <c r="AJ17" s="84"/>
    </row>
    <row r="18" spans="1:37" x14ac:dyDescent="0.3">
      <c r="F18" s="88">
        <f>+COUNTIF(D211:D419,MONTH(G18))</f>
        <v>30</v>
      </c>
      <c r="G18" s="52">
        <f>+Precios!D18</f>
        <v>46266</v>
      </c>
      <c r="H18" s="17">
        <f>+IFERROR(SUMPRODUCT(H360:H389,'Fisico SPOT MAT'!H360:H389)/('Fisico SPOT MAT'!H18*$F18),0)</f>
        <v>73.564413467351216</v>
      </c>
      <c r="I18" s="17">
        <f>+IFERROR(SUMPRODUCT(I360:I389,'Fisico SPOT MAT'!I360:I389)/('Fisico SPOT MAT'!I18*$F18),0)</f>
        <v>72.817931049276794</v>
      </c>
      <c r="J18" s="17">
        <f>+IFERROR(SUMPRODUCT(J360:J389,'Fisico SPOT MAT'!J360:J389)/('Fisico SPOT MAT'!J18*$F18),0)</f>
        <v>22.000000000000018</v>
      </c>
      <c r="K18" s="17">
        <f>+IFERROR(SUMPRODUCT(K360:K389,'Fisico SPOT MAT'!K360:K389)/('Fisico SPOT MAT'!K18*$F18),0)</f>
        <v>0</v>
      </c>
      <c r="L18" s="17">
        <f>+IFERROR(SUMPRODUCT(L360:L389,'Fisico SPOT MAT'!L360:L389)/('Fisico SPOT MAT'!L18*$F18),0)</f>
        <v>62.26995884847566</v>
      </c>
      <c r="M18" s="44">
        <f>+SUMPRODUCT(M360:M389,'Fisico SPOT MAT'!M360:M389)/'Fisico SPOT MAT'!M18</f>
        <v>195043871.65297711</v>
      </c>
      <c r="N18" s="17">
        <f>+IFERROR(SUMPRODUCT(N360:N389,'Fisico SPOT MAT'!N360:N389)/('Fisico SPOT MAT'!N18*$F18),0)</f>
        <v>16.277653162573063</v>
      </c>
      <c r="O18" s="17">
        <f>+IFERROR(SUMPRODUCT(O360:O389,'Fisico SPOT MAT'!O360:O389)/('Fisico SPOT MAT'!O18*$F18),0)</f>
        <v>12.882653061224492</v>
      </c>
      <c r="P18" s="17">
        <f>+IFERROR(SUMPRODUCT(P360:P389,'Fisico SPOT MAT'!P360:P389)/('Fisico SPOT MAT'!P18*$F18),0)</f>
        <v>5.9999999999999991</v>
      </c>
      <c r="Q18" s="17">
        <f>+IFERROR(SUMPRODUCT(Q360:Q389,'Fisico SPOT MAT'!Q360:Q389)/('Fisico SPOT MAT'!Q18*$F18),0)</f>
        <v>0</v>
      </c>
      <c r="R18" s="17">
        <f>+IFERROR(SUMPRODUCT(R360:R389,'Fisico SPOT MAT'!R360:R389)/('Fisico SPOT MAT'!R18*$F18),0)</f>
        <v>0</v>
      </c>
      <c r="S18" s="44">
        <f>+SUMPRODUCT(S360:S389,'Fisico SPOT MAT'!S360:S389)/'Fisico SPOT MAT'!S18</f>
        <v>85606593.144216821</v>
      </c>
      <c r="T18" s="17">
        <f>+IFERROR(SUMPRODUCT(T360:T389,'Fisico SPOT MAT'!T360:T389)/('Fisico SPOT MAT'!T18*$F18),0)</f>
        <v>80</v>
      </c>
      <c r="U18" s="17">
        <f>+IFERROR(SUMPRODUCT(U360:U389,'Fisico SPOT MAT'!U360:U389)/('Fisico SPOT MAT'!U18*$F18),0)</f>
        <v>18.000000000000004</v>
      </c>
      <c r="V18" s="17">
        <f>+IFERROR(SUMPRODUCT(V360:V389,'Fisico SPOT MAT'!V360:V389)/('Fisico SPOT MAT'!V18*$F18),0)</f>
        <v>49.999999999999986</v>
      </c>
      <c r="W18" s="17">
        <f>+IFERROR(SUMPRODUCT(W360:W389,'Fisico SPOT MAT'!W360:W389)/('Fisico SPOT MAT'!W18*$F18),0)</f>
        <v>60</v>
      </c>
      <c r="X18" s="17">
        <f>+IFERROR(SUMPRODUCT(X360:X389,'Fisico SPOT MAT'!X360:X389)/('Fisico SPOT MAT'!X18*$F18),0)</f>
        <v>4162520.0850376794</v>
      </c>
      <c r="AB18" s="17">
        <f>+IFERROR(SUMPRODUCT(AB360:AB389,'Fisico SPOT MAT'!AB360:AB389)/('Fisico SPOT MAT'!AB18*$F18),0)</f>
        <v>80809.658609069404</v>
      </c>
      <c r="AC18" s="17">
        <f>+IFERROR(SUMPRODUCT(AC360:AC389,'Fisico SPOT MAT'!AC360:AC389)/('Fisico SPOT MAT'!AC18*$F18),0)</f>
        <v>63.668157132480069</v>
      </c>
      <c r="AJ18" s="84"/>
    </row>
    <row r="19" spans="1:37" x14ac:dyDescent="0.3">
      <c r="E19" s="1" t="s">
        <v>130</v>
      </c>
      <c r="F19" s="88">
        <f>+COUNTIF(D212:D420,MONTH(G19))</f>
        <v>25</v>
      </c>
      <c r="G19" s="52">
        <f>+Precios!D19</f>
        <v>46296</v>
      </c>
      <c r="H19" s="17">
        <f>+IFERROR(SUMPRODUCT(H390:H414,'Fisico SPOT MAT'!H390:H414)/('Fisico SPOT MAT'!H19*$F19),0)</f>
        <v>37.872117249945994</v>
      </c>
      <c r="I19" s="17">
        <f>+IFERROR(SUMPRODUCT(I390:I414,'Fisico SPOT MAT'!I390:I414)/('Fisico SPOT MAT'!I19*$F19),0)</f>
        <v>56.019324965181049</v>
      </c>
      <c r="J19" s="17">
        <f>+IFERROR(SUMPRODUCT(J390:J414,'Fisico SPOT MAT'!J390:J414)/('Fisico SPOT MAT'!J19*$F19),0)</f>
        <v>22.000000000000004</v>
      </c>
      <c r="K19" s="17">
        <f>+IFERROR(SUMPRODUCT(K390:K414,'Fisico SPOT MAT'!K390:K414)/('Fisico SPOT MAT'!K19*$F19),0)</f>
        <v>0</v>
      </c>
      <c r="L19" s="17">
        <f>+IFERROR(SUMPRODUCT(L390:L414,'Fisico SPOT MAT'!L390:L414)/('Fisico SPOT MAT'!L19*$F19),0)</f>
        <v>35.515999999999998</v>
      </c>
      <c r="M19" s="44">
        <f>+SUMPRODUCT(M390:M414,'Fisico SPOT MAT'!M390:M414)/'Fisico SPOT MAT'!M19</f>
        <v>79220421.618952617</v>
      </c>
      <c r="N19" s="17">
        <f>+IFERROR(SUMPRODUCT(N390:N414,'Fisico SPOT MAT'!N390:N414)/('Fisico SPOT MAT'!N19*$F19),0)</f>
        <v>16.220558481015996</v>
      </c>
      <c r="O19" s="17">
        <f>+IFERROR(SUMPRODUCT(O390:O414,'Fisico SPOT MAT'!O390:O414)/('Fisico SPOT MAT'!O19*$F19),0)</f>
        <v>13.082901554404147</v>
      </c>
      <c r="P19" s="17">
        <f>+IFERROR(SUMPRODUCT(P390:P414,'Fisico SPOT MAT'!P390:P414)/('Fisico SPOT MAT'!P19*$F19),0)</f>
        <v>6</v>
      </c>
      <c r="Q19" s="17">
        <f>+IFERROR(SUMPRODUCT(Q390:Q414,'Fisico SPOT MAT'!Q390:Q414)/('Fisico SPOT MAT'!Q19*$F19),0)</f>
        <v>0</v>
      </c>
      <c r="R19" s="17">
        <f>+IFERROR(SUMPRODUCT(R390:R414,'Fisico SPOT MAT'!R390:R414)/('Fisico SPOT MAT'!R19*$F19),0)</f>
        <v>0</v>
      </c>
      <c r="S19" s="44">
        <f>+SUMPRODUCT(S390:S414,'Fisico SPOT MAT'!S390:S414)/'Fisico SPOT MAT'!S19</f>
        <v>65324390.3225969</v>
      </c>
      <c r="T19" s="17">
        <f>+IFERROR(SUMPRODUCT(T390:T414,'Fisico SPOT MAT'!T390:T414)/('Fisico SPOT MAT'!T19*$F19),0)</f>
        <v>80</v>
      </c>
      <c r="U19" s="17">
        <f>+IFERROR(SUMPRODUCT(U390:U414,'Fisico SPOT MAT'!U390:U414)/('Fisico SPOT MAT'!U19*$F19),0)</f>
        <v>18</v>
      </c>
      <c r="V19" s="17">
        <f>+IFERROR(SUMPRODUCT(V390:V414,'Fisico SPOT MAT'!V390:V414)/('Fisico SPOT MAT'!V19*$F19),0)</f>
        <v>50</v>
      </c>
      <c r="W19" s="17">
        <f>+IFERROR(SUMPRODUCT(W390:W414,'Fisico SPOT MAT'!W390:W414)/('Fisico SPOT MAT'!W19*$F19),0)</f>
        <v>60</v>
      </c>
      <c r="X19" s="17">
        <f>+IFERROR(SUMPRODUCT(X390:X414,'Fisico SPOT MAT'!X390:X414)/('Fisico SPOT MAT'!X19*$F19),0)</f>
        <v>3773952.5539664314</v>
      </c>
      <c r="AB19" s="17">
        <f>+IFERROR(SUMPRODUCT(AB390:AB414,'Fisico SPOT MAT'!AB390:AB414)/('Fisico SPOT MAT'!AB19*$F19),0)</f>
        <v>78892.25861232412</v>
      </c>
      <c r="AC19" s="17">
        <f>+IFERROR(SUMPRODUCT(AC390:AC414,'Fisico SPOT MAT'!AC390:AC414)/('Fisico SPOT MAT'!AC19*$F19),0)</f>
        <v>63.852512948560054</v>
      </c>
      <c r="AJ19" s="84"/>
    </row>
    <row r="20" spans="1:37" x14ac:dyDescent="0.3">
      <c r="E20" s="1"/>
      <c r="F20" s="88"/>
      <c r="G20" s="52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X20" s="17"/>
      <c r="AB20" s="17"/>
      <c r="AC20" s="17"/>
      <c r="AJ20" s="84"/>
    </row>
    <row r="21" spans="1:37" x14ac:dyDescent="0.3">
      <c r="E21" s="1"/>
      <c r="F21" s="88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X21" s="17"/>
      <c r="AB21" s="17"/>
      <c r="AC21" s="17"/>
      <c r="AJ21" s="84"/>
    </row>
    <row r="22" spans="1:37" x14ac:dyDescent="0.3">
      <c r="E22" t="s">
        <v>78</v>
      </c>
      <c r="H22" s="8" t="s">
        <v>17</v>
      </c>
      <c r="I22" s="8" t="s">
        <v>17</v>
      </c>
      <c r="J22" s="8" t="s">
        <v>17</v>
      </c>
      <c r="K22" s="8" t="s">
        <v>17</v>
      </c>
      <c r="L22" s="8" t="s">
        <v>17</v>
      </c>
      <c r="M22" s="8" t="s">
        <v>17</v>
      </c>
      <c r="N22" s="8" t="s">
        <v>18</v>
      </c>
      <c r="O22" s="8" t="s">
        <v>18</v>
      </c>
      <c r="P22" s="8" t="s">
        <v>18</v>
      </c>
      <c r="Q22" s="8" t="s">
        <v>18</v>
      </c>
      <c r="R22" s="8" t="s">
        <v>18</v>
      </c>
      <c r="S22" s="8" t="s">
        <v>18</v>
      </c>
      <c r="T22" s="10" t="s">
        <v>17</v>
      </c>
      <c r="U22" s="10" t="s">
        <v>17</v>
      </c>
      <c r="V22" s="10" t="s">
        <v>17</v>
      </c>
      <c r="W22" s="10" t="s">
        <v>17</v>
      </c>
      <c r="X22" s="10" t="s">
        <v>17</v>
      </c>
      <c r="Y22" s="10" t="s">
        <v>18</v>
      </c>
      <c r="Z22" s="10" t="s">
        <v>18</v>
      </c>
      <c r="AA22" s="10" t="s">
        <v>18</v>
      </c>
      <c r="AB22" s="10" t="s">
        <v>18</v>
      </c>
      <c r="AC22" s="10" t="s">
        <v>17</v>
      </c>
      <c r="AE22" s="8" t="s">
        <v>17</v>
      </c>
      <c r="AF22" s="8" t="s">
        <v>17</v>
      </c>
      <c r="AG22" s="8" t="s">
        <v>18</v>
      </c>
      <c r="AH22" s="8" t="s">
        <v>111</v>
      </c>
      <c r="AI22" s="8" t="s">
        <v>110</v>
      </c>
      <c r="AJ22" s="8" t="s">
        <v>116</v>
      </c>
    </row>
    <row r="23" spans="1:37" x14ac:dyDescent="0.3">
      <c r="H23" s="9" t="s">
        <v>15</v>
      </c>
      <c r="I23" s="9" t="s">
        <v>15</v>
      </c>
      <c r="J23" s="9" t="s">
        <v>15</v>
      </c>
      <c r="K23" s="9" t="s">
        <v>15</v>
      </c>
      <c r="L23" s="9" t="s">
        <v>15</v>
      </c>
      <c r="M23" s="9" t="s">
        <v>109</v>
      </c>
      <c r="N23" s="9" t="s">
        <v>19</v>
      </c>
      <c r="O23" s="9" t="s">
        <v>19</v>
      </c>
      <c r="P23" s="9" t="s">
        <v>19</v>
      </c>
      <c r="Q23" s="9" t="s">
        <v>19</v>
      </c>
      <c r="R23" s="9" t="s">
        <v>19</v>
      </c>
      <c r="S23" s="9" t="s">
        <v>19</v>
      </c>
      <c r="T23" s="11" t="s">
        <v>15</v>
      </c>
      <c r="U23" s="11" t="s">
        <v>15</v>
      </c>
      <c r="V23" s="11" t="s">
        <v>15</v>
      </c>
      <c r="W23" s="11" t="s">
        <v>15</v>
      </c>
      <c r="X23" s="11" t="s">
        <v>15</v>
      </c>
      <c r="Y23" s="11" t="s">
        <v>19</v>
      </c>
      <c r="Z23" s="11" t="s">
        <v>19</v>
      </c>
      <c r="AA23" s="11" t="s">
        <v>19</v>
      </c>
      <c r="AB23" s="11" t="s">
        <v>19</v>
      </c>
      <c r="AC23" s="11" t="s">
        <v>15</v>
      </c>
      <c r="AE23" s="9" t="s">
        <v>15</v>
      </c>
      <c r="AF23" s="9" t="s">
        <v>15</v>
      </c>
      <c r="AG23" s="9" t="s">
        <v>19</v>
      </c>
      <c r="AH23" s="9" t="s">
        <v>15</v>
      </c>
      <c r="AI23" s="9" t="s">
        <v>15</v>
      </c>
      <c r="AJ23" s="9" t="s">
        <v>15</v>
      </c>
    </row>
    <row r="24" spans="1:37" x14ac:dyDescent="0.3">
      <c r="A24" s="49" t="s">
        <v>82</v>
      </c>
      <c r="B24" s="49" t="s">
        <v>83</v>
      </c>
      <c r="C24" s="1" t="s">
        <v>32</v>
      </c>
      <c r="D24" s="1" t="s">
        <v>25</v>
      </c>
      <c r="E24" s="1" t="s">
        <v>103</v>
      </c>
      <c r="F24" s="1" t="s">
        <v>33</v>
      </c>
      <c r="G24" s="1" t="s">
        <v>34</v>
      </c>
      <c r="H24" s="8" t="s">
        <v>90</v>
      </c>
      <c r="I24" s="8" t="s">
        <v>91</v>
      </c>
      <c r="J24" s="8" t="s">
        <v>92</v>
      </c>
      <c r="K24" s="8" t="s">
        <v>115</v>
      </c>
      <c r="L24" s="8" t="s">
        <v>93</v>
      </c>
      <c r="M24" s="8" t="s">
        <v>94</v>
      </c>
      <c r="N24" s="8" t="s">
        <v>90</v>
      </c>
      <c r="O24" s="8" t="s">
        <v>91</v>
      </c>
      <c r="P24" s="8" t="s">
        <v>92</v>
      </c>
      <c r="Q24" s="8" t="s">
        <v>115</v>
      </c>
      <c r="R24" s="8" t="s">
        <v>93</v>
      </c>
      <c r="S24" s="8" t="s">
        <v>94</v>
      </c>
      <c r="T24" s="10" t="s">
        <v>95</v>
      </c>
      <c r="U24" s="10" t="str">
        <f>+U7</f>
        <v>HIDRO MAT FUTA</v>
      </c>
      <c r="V24" s="10" t="str">
        <f>+V7</f>
        <v>RESTO HIDRO MAT</v>
      </c>
      <c r="W24" s="10" t="s">
        <v>97</v>
      </c>
      <c r="X24" s="10" t="s">
        <v>98</v>
      </c>
      <c r="Y24" s="10" t="s">
        <v>95</v>
      </c>
      <c r="Z24" s="10" t="s">
        <v>96</v>
      </c>
      <c r="AA24" s="10" t="s">
        <v>97</v>
      </c>
      <c r="AB24" s="10"/>
      <c r="AC24" s="10" t="s">
        <v>152</v>
      </c>
      <c r="AE24" s="8" t="s">
        <v>90</v>
      </c>
      <c r="AF24" s="8" t="s">
        <v>91</v>
      </c>
      <c r="AG24" s="8" t="s">
        <v>91</v>
      </c>
      <c r="AH24" s="8" t="s">
        <v>85</v>
      </c>
      <c r="AI24" s="8" t="s">
        <v>85</v>
      </c>
      <c r="AJ24" s="8" t="s">
        <v>85</v>
      </c>
      <c r="AK24" s="8" t="s">
        <v>21</v>
      </c>
    </row>
    <row r="25" spans="1:37" hidden="1" x14ac:dyDescent="0.3">
      <c r="A25" s="49">
        <v>1443</v>
      </c>
      <c r="B25" s="49">
        <v>1425.6669999999999</v>
      </c>
      <c r="C25" s="1">
        <f>YEAR(G25)</f>
        <v>2025</v>
      </c>
      <c r="D25" s="1">
        <f>MONTH(G25)</f>
        <v>10</v>
      </c>
      <c r="E25" s="1">
        <v>16</v>
      </c>
      <c r="F25" s="1" t="s">
        <v>36</v>
      </c>
      <c r="G25" s="56">
        <v>45931</v>
      </c>
      <c r="H25" s="17">
        <f>+AE25+AH25</f>
        <v>30.878017900526256</v>
      </c>
      <c r="I25" s="17">
        <f>+AF25</f>
        <v>26.856505044173673</v>
      </c>
      <c r="J25" s="17">
        <v>22</v>
      </c>
      <c r="K25" s="17"/>
      <c r="L25" s="17">
        <v>32</v>
      </c>
      <c r="M25" s="44">
        <f>SUMPRODUCT(H25:L25,'Fisico SPOT MAT'!H25:L25)*24</f>
        <v>3412779.1670731073</v>
      </c>
      <c r="N25" s="19">
        <f>+'Fisico SPOT MAT'!AH25</f>
        <v>11.696492553074188</v>
      </c>
      <c r="O25" s="19">
        <f>AG25/375</f>
        <v>13.466666666666667</v>
      </c>
      <c r="P25" s="19">
        <v>6</v>
      </c>
      <c r="Q25" s="19"/>
      <c r="R25" s="19">
        <v>0</v>
      </c>
      <c r="S25" s="44">
        <f>SUMPRODUCT(N25:R25,'Fisico SPOT MAT'!N25:R25)*E25</f>
        <v>2478078.8328888891</v>
      </c>
      <c r="T25" s="17">
        <v>50</v>
      </c>
      <c r="U25" s="17">
        <v>18</v>
      </c>
      <c r="V25" s="17">
        <v>50</v>
      </c>
      <c r="W25" s="17">
        <v>60</v>
      </c>
      <c r="X25" s="28">
        <f>SUMPRODUCT(T25:W25,'Fisico SPOT MAT'!T25:W25)*24</f>
        <v>2548495.0440000002</v>
      </c>
      <c r="Y25" s="19">
        <v>0</v>
      </c>
      <c r="Z25" s="19">
        <v>5</v>
      </c>
      <c r="AA25" s="19">
        <v>0</v>
      </c>
      <c r="AB25" s="28">
        <f>SUMPRODUCT(Y25:AA25,'Fisico SPOT MAT'!Y25:AA25)*E25</f>
        <v>33600</v>
      </c>
      <c r="AC25" s="122">
        <f>(T25*'Fisico SPOT MAT'!T25+'Mono SPOT MAT'!V25*'Fisico SPOT MAT'!V25+'Mono SPOT MAT'!W25*'Fisico SPOT MAT'!W25)/'Fisico SPOT MAT'!AC25</f>
        <v>60</v>
      </c>
      <c r="AE25" s="41">
        <v>29.368166651546844</v>
      </c>
      <c r="AF25" s="41">
        <v>26.856505044173673</v>
      </c>
      <c r="AG25">
        <v>5050</v>
      </c>
      <c r="AH25" s="64">
        <f>0.075*0.9*(AE25-7)</f>
        <v>1.509851248979412</v>
      </c>
    </row>
    <row r="26" spans="1:37" hidden="1" x14ac:dyDescent="0.3">
      <c r="A26" s="49">
        <v>1443</v>
      </c>
      <c r="B26" s="49">
        <v>1425.6669999999999</v>
      </c>
      <c r="C26" s="1">
        <f t="shared" ref="C26:C71" si="1">YEAR(G26)</f>
        <v>2025</v>
      </c>
      <c r="D26" s="1">
        <f t="shared" ref="D26:D71" si="2">MONTH(G26)</f>
        <v>10</v>
      </c>
      <c r="E26" s="1">
        <v>16</v>
      </c>
      <c r="F26" s="1" t="s">
        <v>37</v>
      </c>
      <c r="G26" s="56">
        <f>+ G25+1</f>
        <v>45932</v>
      </c>
      <c r="H26" s="17">
        <f t="shared" ref="H26:H71" si="3">+AE26+AH26</f>
        <v>31.320846924555486</v>
      </c>
      <c r="I26" s="17">
        <f t="shared" ref="I26:I55" si="4">+AF26</f>
        <v>27.296952830038197</v>
      </c>
      <c r="J26" s="17">
        <v>22</v>
      </c>
      <c r="K26" s="17"/>
      <c r="L26" s="17">
        <v>32</v>
      </c>
      <c r="M26" s="44">
        <f>SUMPRODUCT(H26:L26,'Fisico SPOT MAT'!H26:L26)*24</f>
        <v>3338537.2063901578</v>
      </c>
      <c r="N26" s="19">
        <f>+'Fisico SPOT MAT'!AH26</f>
        <v>11.713164420508368</v>
      </c>
      <c r="O26" s="19">
        <f t="shared" ref="O26:O55" si="5">AG26/375</f>
        <v>13.466666666666667</v>
      </c>
      <c r="P26" s="19">
        <v>6</v>
      </c>
      <c r="Q26" s="19"/>
      <c r="R26" s="19">
        <v>0</v>
      </c>
      <c r="S26" s="44">
        <f>SUMPRODUCT(N26:R26,'Fisico SPOT MAT'!N26:R26)*E26</f>
        <v>2605912.2312000003</v>
      </c>
      <c r="T26" s="17">
        <v>50</v>
      </c>
      <c r="U26" s="17">
        <v>18</v>
      </c>
      <c r="V26" s="17">
        <v>50</v>
      </c>
      <c r="W26" s="17">
        <v>60</v>
      </c>
      <c r="X26" s="28">
        <f>SUMPRODUCT(T26:W26,'Fisico SPOT MAT'!T26:W26)*24</f>
        <v>2733391.86</v>
      </c>
      <c r="Y26" s="19">
        <v>0</v>
      </c>
      <c r="Z26" s="19">
        <v>5</v>
      </c>
      <c r="AA26" s="19">
        <v>0</v>
      </c>
      <c r="AB26" s="28">
        <f>SUMPRODUCT(Y26:AA26,'Fisico SPOT MAT'!Y26:AA26)*E26</f>
        <v>33600</v>
      </c>
      <c r="AC26" s="122">
        <f>(T26*'Fisico SPOT MAT'!T26+'Mono SPOT MAT'!V26*'Fisico SPOT MAT'!V26+'Mono SPOT MAT'!W26*'Fisico SPOT MAT'!W26)/'Fisico SPOT MAT'!AC26</f>
        <v>60</v>
      </c>
      <c r="AE26" s="41">
        <v>29.782994777101159</v>
      </c>
      <c r="AF26" s="41">
        <v>27.296952830038197</v>
      </c>
      <c r="AG26">
        <v>5050</v>
      </c>
      <c r="AH26" s="64">
        <f t="shared" ref="AH26:AH89" si="6">0.075*0.9*(AE26-7)</f>
        <v>1.5378521474543283</v>
      </c>
    </row>
    <row r="27" spans="1:37" hidden="1" x14ac:dyDescent="0.3">
      <c r="A27" s="49">
        <v>1443</v>
      </c>
      <c r="B27" s="49">
        <v>1425.6669999999999</v>
      </c>
      <c r="C27" s="1">
        <f t="shared" si="1"/>
        <v>2025</v>
      </c>
      <c r="D27" s="1">
        <f t="shared" si="2"/>
        <v>10</v>
      </c>
      <c r="E27" s="1">
        <v>16</v>
      </c>
      <c r="F27" s="1" t="s">
        <v>38</v>
      </c>
      <c r="G27" s="56">
        <f t="shared" ref="G27:G90" si="7">+ G26+1</f>
        <v>45933</v>
      </c>
      <c r="H27" s="17">
        <f t="shared" si="3"/>
        <v>32.096551294918946</v>
      </c>
      <c r="I27" s="17">
        <f t="shared" si="4"/>
        <v>27.218544746414143</v>
      </c>
      <c r="J27" s="17">
        <v>22</v>
      </c>
      <c r="K27" s="17"/>
      <c r="L27" s="17">
        <v>32</v>
      </c>
      <c r="M27" s="44">
        <f>SUMPRODUCT(H27:L27,'Fisico SPOT MAT'!H27:L27)*24</f>
        <v>3487164.2839635783</v>
      </c>
      <c r="N27" s="19">
        <f>+'Fisico SPOT MAT'!AH27</f>
        <v>11.715965222071704</v>
      </c>
      <c r="O27" s="19">
        <f t="shared" si="5"/>
        <v>13.466666666666667</v>
      </c>
      <c r="P27" s="19">
        <v>6</v>
      </c>
      <c r="Q27" s="19"/>
      <c r="R27" s="19">
        <v>0</v>
      </c>
      <c r="S27" s="44">
        <f>SUMPRODUCT(N27:R27,'Fisico SPOT MAT'!N27:R27)*E27</f>
        <v>2631029.0312000006</v>
      </c>
      <c r="T27" s="17">
        <v>50</v>
      </c>
      <c r="U27" s="17">
        <v>18</v>
      </c>
      <c r="V27" s="17">
        <v>50</v>
      </c>
      <c r="W27" s="17">
        <v>60</v>
      </c>
      <c r="X27" s="28">
        <f>SUMPRODUCT(T27:W27,'Fisico SPOT MAT'!T27:W27)*24</f>
        <v>2895465.1979999999</v>
      </c>
      <c r="Y27" s="19">
        <v>0</v>
      </c>
      <c r="Z27" s="19">
        <v>5</v>
      </c>
      <c r="AA27" s="19">
        <v>0</v>
      </c>
      <c r="AB27" s="28">
        <f>SUMPRODUCT(Y27:AA27,'Fisico SPOT MAT'!Y27:AA27)*E27</f>
        <v>33600</v>
      </c>
      <c r="AC27" s="122">
        <f>(T27*'Fisico SPOT MAT'!T27+'Mono SPOT MAT'!V27*'Fisico SPOT MAT'!V27+'Mono SPOT MAT'!W27*'Fisico SPOT MAT'!W27)/'Fisico SPOT MAT'!AC27</f>
        <v>60</v>
      </c>
      <c r="AE27" s="41">
        <v>30.509649924982618</v>
      </c>
      <c r="AF27" s="41">
        <v>27.218544746414143</v>
      </c>
      <c r="AG27">
        <v>5050</v>
      </c>
      <c r="AH27" s="64">
        <f t="shared" si="6"/>
        <v>1.5869013699363268</v>
      </c>
    </row>
    <row r="28" spans="1:37" hidden="1" x14ac:dyDescent="0.3">
      <c r="A28" s="49">
        <v>1443</v>
      </c>
      <c r="B28" s="49">
        <v>1425.6669999999999</v>
      </c>
      <c r="C28" s="1">
        <f t="shared" si="1"/>
        <v>2025</v>
      </c>
      <c r="D28" s="1">
        <f t="shared" si="2"/>
        <v>10</v>
      </c>
      <c r="E28" s="1">
        <v>6</v>
      </c>
      <c r="F28" s="1" t="s">
        <v>39</v>
      </c>
      <c r="G28" s="56">
        <f t="shared" si="7"/>
        <v>45934</v>
      </c>
      <c r="H28" s="17">
        <f t="shared" si="3"/>
        <v>33.548863908085224</v>
      </c>
      <c r="I28" s="17">
        <f t="shared" si="4"/>
        <v>27.177014611531305</v>
      </c>
      <c r="J28" s="17">
        <v>22</v>
      </c>
      <c r="K28" s="17"/>
      <c r="L28" s="17">
        <v>32</v>
      </c>
      <c r="M28" s="44">
        <f>SUMPRODUCT(H28:L28,'Fisico SPOT MAT'!H28:L28)*24</f>
        <v>3838080.4241000563</v>
      </c>
      <c r="N28" s="19">
        <f>+'Fisico SPOT MAT'!AH28</f>
        <v>11.6980174288472</v>
      </c>
      <c r="O28" s="19">
        <f t="shared" si="5"/>
        <v>13.466666666666667</v>
      </c>
      <c r="P28" s="19">
        <v>6</v>
      </c>
      <c r="Q28" s="19"/>
      <c r="R28" s="19">
        <v>0</v>
      </c>
      <c r="S28" s="44">
        <f>SUMPRODUCT(N28:R28,'Fisico SPOT MAT'!N28:R28)*E28</f>
        <v>930305.1894666662</v>
      </c>
      <c r="T28" s="17">
        <v>50</v>
      </c>
      <c r="U28" s="17">
        <v>18</v>
      </c>
      <c r="V28" s="17">
        <v>50</v>
      </c>
      <c r="W28" s="17">
        <v>60</v>
      </c>
      <c r="X28" s="28">
        <f>SUMPRODUCT(T28:W28,'Fisico SPOT MAT'!T28:W28)*24</f>
        <v>2379455.5859999992</v>
      </c>
      <c r="Y28" s="19">
        <v>0</v>
      </c>
      <c r="Z28" s="19">
        <v>5</v>
      </c>
      <c r="AA28" s="19">
        <v>0</v>
      </c>
      <c r="AB28" s="28">
        <f>SUMPRODUCT(Y28:AA28,'Fisico SPOT MAT'!Y28:AA28)*E28</f>
        <v>14064.375</v>
      </c>
      <c r="AC28" s="122">
        <f>(T28*'Fisico SPOT MAT'!T28+'Mono SPOT MAT'!V28*'Fisico SPOT MAT'!V28+'Mono SPOT MAT'!W28*'Fisico SPOT MAT'!W28)/'Fisico SPOT MAT'!AC28</f>
        <v>60.000000000000007</v>
      </c>
      <c r="AE28" s="41">
        <v>31.870130124669998</v>
      </c>
      <c r="AF28" s="41">
        <v>27.177014611531305</v>
      </c>
      <c r="AG28">
        <v>5050</v>
      </c>
      <c r="AH28" s="64">
        <f t="shared" si="6"/>
        <v>1.6787337834152249</v>
      </c>
    </row>
    <row r="29" spans="1:37" hidden="1" x14ac:dyDescent="0.3">
      <c r="A29" s="49">
        <v>1443</v>
      </c>
      <c r="B29" s="49">
        <v>1425.6669999999999</v>
      </c>
      <c r="C29" s="1">
        <f t="shared" si="1"/>
        <v>2025</v>
      </c>
      <c r="D29" s="1">
        <f t="shared" si="2"/>
        <v>10</v>
      </c>
      <c r="E29" s="1">
        <v>4</v>
      </c>
      <c r="F29" s="1" t="s">
        <v>40</v>
      </c>
      <c r="G29" s="56">
        <f t="shared" si="7"/>
        <v>45935</v>
      </c>
      <c r="H29" s="17">
        <f t="shared" si="3"/>
        <v>33.415553132151345</v>
      </c>
      <c r="I29" s="17">
        <f t="shared" si="4"/>
        <v>27.74009756132244</v>
      </c>
      <c r="J29" s="17">
        <v>22</v>
      </c>
      <c r="K29" s="17"/>
      <c r="L29" s="17">
        <v>32</v>
      </c>
      <c r="M29" s="44">
        <f>SUMPRODUCT(H29:L29,'Fisico SPOT MAT'!H29:L29)*24</f>
        <v>3667128.6323827952</v>
      </c>
      <c r="N29" s="19">
        <f>+'Fisico SPOT MAT'!AH29</f>
        <v>11.695611048472008</v>
      </c>
      <c r="O29" s="19">
        <f t="shared" si="5"/>
        <v>13.466666666666667</v>
      </c>
      <c r="P29" s="19">
        <v>6</v>
      </c>
      <c r="Q29" s="19"/>
      <c r="R29" s="19">
        <v>0</v>
      </c>
      <c r="S29" s="44">
        <f>SUMPRODUCT(N29:R29,'Fisico SPOT MAT'!N29:R29)*E29</f>
        <v>616249.0199999999</v>
      </c>
      <c r="T29" s="17">
        <v>50</v>
      </c>
      <c r="U29" s="17">
        <v>18</v>
      </c>
      <c r="V29" s="17">
        <v>50</v>
      </c>
      <c r="W29" s="17">
        <v>60</v>
      </c>
      <c r="X29" s="28">
        <f>SUMPRODUCT(T29:W29,'Fisico SPOT MAT'!T29:W29)*24</f>
        <v>2042880.6839999997</v>
      </c>
      <c r="Y29" s="19">
        <v>0</v>
      </c>
      <c r="Z29" s="19">
        <v>5</v>
      </c>
      <c r="AA29" s="19">
        <v>0</v>
      </c>
      <c r="AB29" s="28">
        <f>SUMPRODUCT(Y29:AA29,'Fisico SPOT MAT'!Y29:AA29)*E29</f>
        <v>10200</v>
      </c>
      <c r="AC29" s="122">
        <f>(T29*'Fisico SPOT MAT'!T29+'Mono SPOT MAT'!V29*'Fisico SPOT MAT'!V29+'Mono SPOT MAT'!W29*'Fisico SPOT MAT'!W29)/'Fisico SPOT MAT'!AC29</f>
        <v>59.999999999999993</v>
      </c>
      <c r="AE29" s="41">
        <v>31.745248835738963</v>
      </c>
      <c r="AF29" s="41">
        <v>27.74009756132244</v>
      </c>
      <c r="AG29">
        <v>5050</v>
      </c>
      <c r="AH29" s="64">
        <f t="shared" si="6"/>
        <v>1.67030429641238</v>
      </c>
    </row>
    <row r="30" spans="1:37" hidden="1" x14ac:dyDescent="0.3">
      <c r="A30" s="49">
        <v>1443</v>
      </c>
      <c r="B30" s="49">
        <v>1425.6669999999999</v>
      </c>
      <c r="C30" s="1">
        <f t="shared" si="1"/>
        <v>2025</v>
      </c>
      <c r="D30" s="1">
        <f t="shared" si="2"/>
        <v>10</v>
      </c>
      <c r="E30" s="1">
        <v>16</v>
      </c>
      <c r="F30" s="1" t="s">
        <v>41</v>
      </c>
      <c r="G30" s="56">
        <f t="shared" si="7"/>
        <v>45936</v>
      </c>
      <c r="H30" s="17">
        <f t="shared" si="3"/>
        <v>32.234041123874491</v>
      </c>
      <c r="I30" s="17">
        <f t="shared" si="4"/>
        <v>27.835555422421599</v>
      </c>
      <c r="J30" s="17">
        <v>22</v>
      </c>
      <c r="K30" s="17"/>
      <c r="L30" s="17">
        <v>32</v>
      </c>
      <c r="M30" s="44">
        <f>SUMPRODUCT(H30:L30,'Fisico SPOT MAT'!H30:L30)*24</f>
        <v>3624929.2789923018</v>
      </c>
      <c r="N30" s="19">
        <f>+'Fisico SPOT MAT'!AH30</f>
        <v>11.69330731277795</v>
      </c>
      <c r="O30" s="19">
        <f t="shared" si="5"/>
        <v>13.466666666666667</v>
      </c>
      <c r="P30" s="19">
        <v>6</v>
      </c>
      <c r="Q30" s="19"/>
      <c r="R30" s="19">
        <v>0</v>
      </c>
      <c r="S30" s="44">
        <f>SUMPRODUCT(N30:R30,'Fisico SPOT MAT'!N30:R30)*E30</f>
        <v>2461153.8011555555</v>
      </c>
      <c r="T30" s="17">
        <v>50</v>
      </c>
      <c r="U30" s="17">
        <v>18</v>
      </c>
      <c r="V30" s="17">
        <v>50</v>
      </c>
      <c r="W30" s="17">
        <v>60</v>
      </c>
      <c r="X30" s="28">
        <f>SUMPRODUCT(T30:W30,'Fisico SPOT MAT'!T30:W30)*24</f>
        <v>1842371.3580000005</v>
      </c>
      <c r="Y30" s="19">
        <v>0</v>
      </c>
      <c r="Z30" s="19">
        <v>5</v>
      </c>
      <c r="AA30" s="19">
        <v>0</v>
      </c>
      <c r="AB30" s="28">
        <f>SUMPRODUCT(Y30:AA30,'Fisico SPOT MAT'!Y30:AA30)*E30</f>
        <v>40800</v>
      </c>
      <c r="AC30" s="122">
        <f>(T30*'Fisico SPOT MAT'!T30+'Mono SPOT MAT'!V30*'Fisico SPOT MAT'!V30+'Mono SPOT MAT'!W30*'Fisico SPOT MAT'!W30)/'Fisico SPOT MAT'!AC30</f>
        <v>60.000000000000007</v>
      </c>
      <c r="AE30" s="41">
        <v>30.638446017681019</v>
      </c>
      <c r="AF30" s="41">
        <v>27.835555422421599</v>
      </c>
      <c r="AG30">
        <v>5050</v>
      </c>
      <c r="AH30" s="64">
        <f t="shared" si="6"/>
        <v>1.595595106193469</v>
      </c>
    </row>
    <row r="31" spans="1:37" hidden="1" x14ac:dyDescent="0.3">
      <c r="A31" s="49">
        <v>1443</v>
      </c>
      <c r="B31" s="49">
        <v>1425.6669999999999</v>
      </c>
      <c r="C31" s="1">
        <f t="shared" si="1"/>
        <v>2025</v>
      </c>
      <c r="D31" s="1">
        <f t="shared" si="2"/>
        <v>10</v>
      </c>
      <c r="E31" s="1">
        <v>16</v>
      </c>
      <c r="F31" s="1" t="s">
        <v>42</v>
      </c>
      <c r="G31" s="56">
        <f t="shared" si="7"/>
        <v>45937</v>
      </c>
      <c r="H31" s="17">
        <f t="shared" si="3"/>
        <v>32.130238284212496</v>
      </c>
      <c r="I31" s="17">
        <f t="shared" si="4"/>
        <v>27.302203851266906</v>
      </c>
      <c r="J31" s="17">
        <v>22</v>
      </c>
      <c r="K31" s="17"/>
      <c r="L31" s="17">
        <v>32</v>
      </c>
      <c r="M31" s="44">
        <f>SUMPRODUCT(H31:L31,'Fisico SPOT MAT'!H31:L31)*24</f>
        <v>3562679.2624009233</v>
      </c>
      <c r="N31" s="19">
        <f>+'Fisico SPOT MAT'!AH31</f>
        <v>11.693235403943465</v>
      </c>
      <c r="O31" s="19">
        <f t="shared" si="5"/>
        <v>13.466666666666667</v>
      </c>
      <c r="P31" s="19">
        <v>6</v>
      </c>
      <c r="Q31" s="19"/>
      <c r="R31" s="19">
        <v>0</v>
      </c>
      <c r="S31" s="44">
        <f>SUMPRODUCT(N31:R31,'Fisico SPOT MAT'!N31:R31)*E31</f>
        <v>2455188.9917333336</v>
      </c>
      <c r="T31" s="17">
        <v>50</v>
      </c>
      <c r="U31" s="17">
        <v>18</v>
      </c>
      <c r="V31" s="17">
        <v>50</v>
      </c>
      <c r="W31" s="17">
        <v>60</v>
      </c>
      <c r="X31" s="28">
        <f>SUMPRODUCT(T31:W31,'Fisico SPOT MAT'!T31:W31)*24</f>
        <v>2416922.466</v>
      </c>
      <c r="Y31" s="19">
        <v>0</v>
      </c>
      <c r="Z31" s="19">
        <v>5</v>
      </c>
      <c r="AA31" s="19">
        <v>0</v>
      </c>
      <c r="AB31" s="28">
        <f>SUMPRODUCT(Y31:AA31,'Fisico SPOT MAT'!Y31:AA31)*E31</f>
        <v>40800</v>
      </c>
      <c r="AC31" s="122">
        <f>(T31*'Fisico SPOT MAT'!T31+'Mono SPOT MAT'!V31*'Fisico SPOT MAT'!V31+'Mono SPOT MAT'!W31*'Fisico SPOT MAT'!W31)/'Fisico SPOT MAT'!AC31</f>
        <v>60</v>
      </c>
      <c r="AE31" s="41">
        <v>30.541206823618261</v>
      </c>
      <c r="AF31" s="41">
        <v>27.302203851266906</v>
      </c>
      <c r="AG31">
        <v>5050</v>
      </c>
      <c r="AH31" s="64">
        <f t="shared" si="6"/>
        <v>1.5890314605942326</v>
      </c>
    </row>
    <row r="32" spans="1:37" hidden="1" x14ac:dyDescent="0.3">
      <c r="A32" s="49">
        <v>1443</v>
      </c>
      <c r="B32" s="49">
        <v>1425.6669999999999</v>
      </c>
      <c r="C32" s="1">
        <f t="shared" si="1"/>
        <v>2025</v>
      </c>
      <c r="D32" s="1">
        <f t="shared" si="2"/>
        <v>10</v>
      </c>
      <c r="E32" s="1">
        <v>16</v>
      </c>
      <c r="F32" s="1" t="s">
        <v>36</v>
      </c>
      <c r="G32" s="56">
        <f t="shared" si="7"/>
        <v>45938</v>
      </c>
      <c r="H32" s="17">
        <f t="shared" si="3"/>
        <v>32.592833719268512</v>
      </c>
      <c r="I32" s="17">
        <f t="shared" si="4"/>
        <v>28.424977678498756</v>
      </c>
      <c r="J32" s="17">
        <v>22</v>
      </c>
      <c r="K32" s="17"/>
      <c r="L32" s="17">
        <v>32</v>
      </c>
      <c r="M32" s="44">
        <f>SUMPRODUCT(H32:L32,'Fisico SPOT MAT'!H32:L32)*24</f>
        <v>3313613.0585314441</v>
      </c>
      <c r="N32" s="19">
        <f>+'Fisico SPOT MAT'!AH32</f>
        <v>11.696245611579664</v>
      </c>
      <c r="O32" s="19">
        <f t="shared" si="5"/>
        <v>13.466666666666667</v>
      </c>
      <c r="P32" s="19">
        <v>6</v>
      </c>
      <c r="Q32" s="19"/>
      <c r="R32" s="19">
        <v>0</v>
      </c>
      <c r="S32" s="44">
        <f>SUMPRODUCT(N32:R32,'Fisico SPOT MAT'!N32:R32)*E32</f>
        <v>2474496.404444444</v>
      </c>
      <c r="T32" s="17">
        <v>50</v>
      </c>
      <c r="U32" s="17">
        <v>18</v>
      </c>
      <c r="V32" s="17">
        <v>50</v>
      </c>
      <c r="W32" s="17">
        <v>60</v>
      </c>
      <c r="X32" s="28">
        <f>SUMPRODUCT(T32:W32,'Fisico SPOT MAT'!T32:W32)*24</f>
        <v>2882027.5079999999</v>
      </c>
      <c r="Y32" s="19">
        <v>0</v>
      </c>
      <c r="Z32" s="19">
        <v>5</v>
      </c>
      <c r="AA32" s="19">
        <v>0</v>
      </c>
      <c r="AB32" s="28">
        <f>SUMPRODUCT(Y32:AA32,'Fisico SPOT MAT'!Y32:AA32)*E32</f>
        <v>40800</v>
      </c>
      <c r="AC32" s="122">
        <f>(T32*'Fisico SPOT MAT'!T32+'Mono SPOT MAT'!V32*'Fisico SPOT MAT'!V32+'Mono SPOT MAT'!W32*'Fisico SPOT MAT'!W32)/'Fisico SPOT MAT'!AC32</f>
        <v>60</v>
      </c>
      <c r="AE32" s="41">
        <v>30.974551493459963</v>
      </c>
      <c r="AF32" s="41">
        <v>28.424977678498756</v>
      </c>
      <c r="AG32">
        <v>5050</v>
      </c>
      <c r="AH32" s="64">
        <f t="shared" si="6"/>
        <v>1.6182822258085476</v>
      </c>
    </row>
    <row r="33" spans="1:34" hidden="1" x14ac:dyDescent="0.3">
      <c r="A33" s="49">
        <v>1443</v>
      </c>
      <c r="B33" s="49">
        <v>1425.6669999999999</v>
      </c>
      <c r="C33" s="1">
        <f t="shared" si="1"/>
        <v>2025</v>
      </c>
      <c r="D33" s="1">
        <f t="shared" si="2"/>
        <v>10</v>
      </c>
      <c r="E33" s="1">
        <v>16</v>
      </c>
      <c r="F33" s="1" t="s">
        <v>37</v>
      </c>
      <c r="G33" s="56">
        <f t="shared" si="7"/>
        <v>45939</v>
      </c>
      <c r="H33" s="17">
        <f t="shared" si="3"/>
        <v>31.985514445742318</v>
      </c>
      <c r="I33" s="17">
        <f t="shared" si="4"/>
        <v>28.844416044112954</v>
      </c>
      <c r="J33" s="17">
        <v>22</v>
      </c>
      <c r="K33" s="17"/>
      <c r="L33" s="17">
        <v>32</v>
      </c>
      <c r="M33" s="44">
        <f>SUMPRODUCT(H33:L33,'Fisico SPOT MAT'!H33:L33)*24</f>
        <v>3150583.2616351401</v>
      </c>
      <c r="N33" s="19">
        <f>+'Fisico SPOT MAT'!AH33</f>
        <v>11.694881137380284</v>
      </c>
      <c r="O33" s="19">
        <f t="shared" si="5"/>
        <v>13.466666666666667</v>
      </c>
      <c r="P33" s="19">
        <v>6</v>
      </c>
      <c r="Q33" s="19"/>
      <c r="R33" s="19">
        <v>0</v>
      </c>
      <c r="S33" s="44">
        <f>SUMPRODUCT(N33:R33,'Fisico SPOT MAT'!N33:R33)*E33</f>
        <v>2461789.7404444441</v>
      </c>
      <c r="T33" s="17">
        <v>50</v>
      </c>
      <c r="U33" s="17">
        <v>18</v>
      </c>
      <c r="V33" s="17">
        <v>50</v>
      </c>
      <c r="W33" s="17">
        <v>60</v>
      </c>
      <c r="X33" s="28">
        <f>SUMPRODUCT(T33:W33,'Fisico SPOT MAT'!T33:W33)*24</f>
        <v>2985267.4979999992</v>
      </c>
      <c r="Y33" s="19">
        <v>0</v>
      </c>
      <c r="Z33" s="19">
        <v>5</v>
      </c>
      <c r="AA33" s="19">
        <v>0</v>
      </c>
      <c r="AB33" s="28">
        <f>SUMPRODUCT(Y33:AA33,'Fisico SPOT MAT'!Y33:AA33)*E33</f>
        <v>40800</v>
      </c>
      <c r="AC33" s="122">
        <f>(T33*'Fisico SPOT MAT'!T33+'Mono SPOT MAT'!V33*'Fisico SPOT MAT'!V33+'Mono SPOT MAT'!W33*'Fisico SPOT MAT'!W33)/'Fisico SPOT MAT'!AC33</f>
        <v>60</v>
      </c>
      <c r="AE33" s="41">
        <v>30.405634141210601</v>
      </c>
      <c r="AF33" s="41">
        <v>28.844416044112954</v>
      </c>
      <c r="AG33">
        <v>5050</v>
      </c>
      <c r="AH33" s="64">
        <f t="shared" si="6"/>
        <v>1.5798803045317158</v>
      </c>
    </row>
    <row r="34" spans="1:34" hidden="1" x14ac:dyDescent="0.3">
      <c r="A34" s="49">
        <v>1443</v>
      </c>
      <c r="B34" s="49">
        <v>1425.6669999999999</v>
      </c>
      <c r="C34" s="1">
        <f t="shared" si="1"/>
        <v>2025</v>
      </c>
      <c r="D34" s="1">
        <f t="shared" si="2"/>
        <v>10</v>
      </c>
      <c r="E34" s="1">
        <v>16</v>
      </c>
      <c r="F34" s="1" t="s">
        <v>38</v>
      </c>
      <c r="G34" s="56">
        <f t="shared" si="7"/>
        <v>45940</v>
      </c>
      <c r="H34" s="17">
        <f t="shared" si="3"/>
        <v>32.852105831211034</v>
      </c>
      <c r="I34" s="17">
        <f t="shared" si="4"/>
        <v>28.198837146581255</v>
      </c>
      <c r="J34" s="17">
        <v>22</v>
      </c>
      <c r="K34" s="17"/>
      <c r="L34" s="17">
        <v>32</v>
      </c>
      <c r="M34" s="44">
        <f>SUMPRODUCT(H34:L34,'Fisico SPOT MAT'!H34:L34)*24</f>
        <v>3311968.4403061951</v>
      </c>
      <c r="N34" s="19">
        <f>+'Fisico SPOT MAT'!AH34</f>
        <v>11.694904697638179</v>
      </c>
      <c r="O34" s="19">
        <f t="shared" si="5"/>
        <v>13.466666666666667</v>
      </c>
      <c r="P34" s="19">
        <v>6</v>
      </c>
      <c r="Q34" s="19"/>
      <c r="R34" s="19">
        <v>0</v>
      </c>
      <c r="S34" s="44">
        <f>SUMPRODUCT(N34:R34,'Fisico SPOT MAT'!N34:R34)*E34</f>
        <v>2460982.4716444449</v>
      </c>
      <c r="T34" s="17">
        <v>50</v>
      </c>
      <c r="U34" s="17">
        <v>18</v>
      </c>
      <c r="V34" s="17">
        <v>50</v>
      </c>
      <c r="W34" s="17">
        <v>60</v>
      </c>
      <c r="X34" s="28">
        <f>SUMPRODUCT(T34:W34,'Fisico SPOT MAT'!T34:W34)*24</f>
        <v>2347472.9759999998</v>
      </c>
      <c r="Y34" s="19">
        <v>0</v>
      </c>
      <c r="Z34" s="19">
        <v>5</v>
      </c>
      <c r="AA34" s="19">
        <v>0</v>
      </c>
      <c r="AB34" s="28">
        <f>SUMPRODUCT(Y34:AA34,'Fisico SPOT MAT'!Y34:AA34)*E34</f>
        <v>40800</v>
      </c>
      <c r="AC34" s="122">
        <f>(T34*'Fisico SPOT MAT'!T34+'Mono SPOT MAT'!V34*'Fisico SPOT MAT'!V34+'Mono SPOT MAT'!W34*'Fisico SPOT MAT'!W34)/'Fisico SPOT MAT'!AC34</f>
        <v>60</v>
      </c>
      <c r="AE34" s="41">
        <v>31.217429350080593</v>
      </c>
      <c r="AF34" s="41">
        <v>28.198837146581255</v>
      </c>
      <c r="AG34">
        <v>5050</v>
      </c>
      <c r="AH34" s="64">
        <f t="shared" si="6"/>
        <v>1.6346764811304402</v>
      </c>
    </row>
    <row r="35" spans="1:34" hidden="1" x14ac:dyDescent="0.3">
      <c r="A35" s="49">
        <v>1443</v>
      </c>
      <c r="B35" s="49">
        <v>1425.6669999999999</v>
      </c>
      <c r="C35" s="1">
        <f t="shared" si="1"/>
        <v>2025</v>
      </c>
      <c r="D35" s="1">
        <f t="shared" si="2"/>
        <v>10</v>
      </c>
      <c r="E35" s="1">
        <v>6</v>
      </c>
      <c r="F35" s="1" t="s">
        <v>39</v>
      </c>
      <c r="G35" s="56">
        <f t="shared" si="7"/>
        <v>45941</v>
      </c>
      <c r="H35" s="17">
        <f t="shared" si="3"/>
        <v>33.110416894215305</v>
      </c>
      <c r="I35" s="17">
        <f t="shared" si="4"/>
        <v>28.293251545492758</v>
      </c>
      <c r="J35" s="17">
        <v>22</v>
      </c>
      <c r="K35" s="17"/>
      <c r="L35" s="17">
        <v>32</v>
      </c>
      <c r="M35" s="44">
        <f>SUMPRODUCT(H35:L35,'Fisico SPOT MAT'!H35:L35)*24</f>
        <v>3463469.8891121987</v>
      </c>
      <c r="N35" s="19">
        <f>+'Fisico SPOT MAT'!AH35</f>
        <v>11.694035528594421</v>
      </c>
      <c r="O35" s="19">
        <f t="shared" si="5"/>
        <v>13.466666666666667</v>
      </c>
      <c r="P35" s="19">
        <v>6</v>
      </c>
      <c r="Q35" s="19"/>
      <c r="R35" s="19">
        <v>0</v>
      </c>
      <c r="S35" s="44">
        <f>SUMPRODUCT(N35:R35,'Fisico SPOT MAT'!N35:R35)*E35</f>
        <v>920720.3059666669</v>
      </c>
      <c r="T35" s="17">
        <v>50</v>
      </c>
      <c r="U35" s="17">
        <v>18</v>
      </c>
      <c r="V35" s="17">
        <v>50</v>
      </c>
      <c r="W35" s="17">
        <v>60</v>
      </c>
      <c r="X35" s="28">
        <f>SUMPRODUCT(T35:W35,'Fisico SPOT MAT'!T35:W35)*24</f>
        <v>2322098.4060000004</v>
      </c>
      <c r="Y35" s="19">
        <v>0</v>
      </c>
      <c r="Z35" s="19">
        <v>5</v>
      </c>
      <c r="AA35" s="19">
        <v>0</v>
      </c>
      <c r="AB35" s="28">
        <f>SUMPRODUCT(Y35:AA35,'Fisico SPOT MAT'!Y35:AA35)*E35</f>
        <v>15300</v>
      </c>
      <c r="AC35" s="122">
        <f>(T35*'Fisico SPOT MAT'!T35+'Mono SPOT MAT'!V35*'Fisico SPOT MAT'!V35+'Mono SPOT MAT'!W35*'Fisico SPOT MAT'!W35)/'Fisico SPOT MAT'!AC35</f>
        <v>60</v>
      </c>
      <c r="AE35" s="41">
        <v>31.459406926665395</v>
      </c>
      <c r="AF35" s="41">
        <v>28.293251545492758</v>
      </c>
      <c r="AG35">
        <v>5050</v>
      </c>
      <c r="AH35" s="64">
        <f t="shared" si="6"/>
        <v>1.6510099675499141</v>
      </c>
    </row>
    <row r="36" spans="1:34" hidden="1" x14ac:dyDescent="0.3">
      <c r="A36" s="49">
        <v>1443</v>
      </c>
      <c r="B36" s="49">
        <v>1425.6669999999999</v>
      </c>
      <c r="C36" s="1">
        <f t="shared" si="1"/>
        <v>2025</v>
      </c>
      <c r="D36" s="1">
        <f t="shared" si="2"/>
        <v>10</v>
      </c>
      <c r="E36" s="1">
        <v>4</v>
      </c>
      <c r="F36" s="1" t="s">
        <v>40</v>
      </c>
      <c r="G36" s="56">
        <f t="shared" si="7"/>
        <v>45942</v>
      </c>
      <c r="H36" s="17">
        <f t="shared" si="3"/>
        <v>33.965434275514312</v>
      </c>
      <c r="I36" s="17">
        <f t="shared" si="4"/>
        <v>28.615624557000125</v>
      </c>
      <c r="J36" s="17">
        <v>22</v>
      </c>
      <c r="K36" s="17"/>
      <c r="L36" s="17">
        <v>32</v>
      </c>
      <c r="M36" s="44">
        <f>SUMPRODUCT(H36:L36,'Fisico SPOT MAT'!H36:L36)*24</f>
        <v>2814223.3476308519</v>
      </c>
      <c r="N36" s="19">
        <f>+'Fisico SPOT MAT'!AH36</f>
        <v>11.688758824659951</v>
      </c>
      <c r="O36" s="19">
        <f t="shared" si="5"/>
        <v>13.466666666666667</v>
      </c>
      <c r="P36" s="19">
        <v>6</v>
      </c>
      <c r="Q36" s="19"/>
      <c r="R36" s="19">
        <v>0</v>
      </c>
      <c r="S36" s="44">
        <f>SUMPRODUCT(N36:R36,'Fisico SPOT MAT'!N36:R36)*E36</f>
        <v>604966.58604444459</v>
      </c>
      <c r="T36" s="17">
        <v>50</v>
      </c>
      <c r="U36" s="17">
        <v>18</v>
      </c>
      <c r="V36" s="17">
        <v>50</v>
      </c>
      <c r="W36" s="17">
        <v>60</v>
      </c>
      <c r="X36" s="28">
        <f>SUMPRODUCT(T36:W36,'Fisico SPOT MAT'!T36:W36)*24</f>
        <v>2494767.858</v>
      </c>
      <c r="Y36" s="19">
        <v>0</v>
      </c>
      <c r="Z36" s="19">
        <v>5</v>
      </c>
      <c r="AA36" s="19">
        <v>0</v>
      </c>
      <c r="AB36" s="28">
        <f>SUMPRODUCT(Y36:AA36,'Fisico SPOT MAT'!Y36:AA36)*E36</f>
        <v>10200</v>
      </c>
      <c r="AC36" s="122">
        <f>(T36*'Fisico SPOT MAT'!T36+'Mono SPOT MAT'!V36*'Fisico SPOT MAT'!V36+'Mono SPOT MAT'!W36*'Fisico SPOT MAT'!W36)/'Fisico SPOT MAT'!AC36</f>
        <v>60</v>
      </c>
      <c r="AE36" s="41">
        <v>32.260359977062585</v>
      </c>
      <c r="AF36" s="41">
        <v>28.615624557000125</v>
      </c>
      <c r="AG36">
        <v>5050</v>
      </c>
      <c r="AH36" s="64">
        <f t="shared" si="6"/>
        <v>1.7050742984517246</v>
      </c>
    </row>
    <row r="37" spans="1:34" hidden="1" x14ac:dyDescent="0.3">
      <c r="A37" s="49">
        <v>1443</v>
      </c>
      <c r="B37" s="49">
        <v>1429.75</v>
      </c>
      <c r="C37" s="1">
        <f t="shared" si="1"/>
        <v>2025</v>
      </c>
      <c r="D37" s="1">
        <f t="shared" si="2"/>
        <v>10</v>
      </c>
      <c r="E37" s="1">
        <v>16</v>
      </c>
      <c r="F37" s="1" t="s">
        <v>41</v>
      </c>
      <c r="G37" s="56">
        <f t="shared" si="7"/>
        <v>45943</v>
      </c>
      <c r="H37" s="17">
        <f t="shared" si="3"/>
        <v>33.088138182282677</v>
      </c>
      <c r="I37" s="17">
        <f t="shared" si="4"/>
        <v>28.00112944185172</v>
      </c>
      <c r="J37" s="17">
        <v>22</v>
      </c>
      <c r="K37" s="17"/>
      <c r="L37" s="17">
        <v>32</v>
      </c>
      <c r="M37" s="44">
        <f>SUMPRODUCT(H37:L37,'Fisico SPOT MAT'!H37:L37)*24</f>
        <v>3173544.1610399703</v>
      </c>
      <c r="N37" s="19">
        <f>+'Fisico SPOT MAT'!AH37</f>
        <v>11.689775677402727</v>
      </c>
      <c r="O37" s="19">
        <f t="shared" si="5"/>
        <v>13.466666666666667</v>
      </c>
      <c r="P37" s="19">
        <v>6</v>
      </c>
      <c r="Q37" s="19"/>
      <c r="R37" s="19">
        <v>0</v>
      </c>
      <c r="S37" s="44">
        <f>SUMPRODUCT(N37:R37,'Fisico SPOT MAT'!N37:R37)*E37</f>
        <v>2429943.0572444443</v>
      </c>
      <c r="T37" s="17">
        <v>50</v>
      </c>
      <c r="U37" s="17">
        <v>18</v>
      </c>
      <c r="V37" s="17">
        <v>50</v>
      </c>
      <c r="W37" s="17">
        <v>60</v>
      </c>
      <c r="X37" s="28">
        <f>SUMPRODUCT(T37:W37,'Fisico SPOT MAT'!T37:W37)*24</f>
        <v>2417009.7540000007</v>
      </c>
      <c r="Y37" s="19">
        <v>0</v>
      </c>
      <c r="Z37" s="19">
        <v>5</v>
      </c>
      <c r="AA37" s="19">
        <v>0</v>
      </c>
      <c r="AB37" s="28">
        <f>SUMPRODUCT(Y37:AA37,'Fisico SPOT MAT'!Y37:AA37)*E37</f>
        <v>40800</v>
      </c>
      <c r="AC37" s="122">
        <f>(T37*'Fisico SPOT MAT'!T37+'Mono SPOT MAT'!V37*'Fisico SPOT MAT'!V37+'Mono SPOT MAT'!W37*'Fisico SPOT MAT'!W37)/'Fisico SPOT MAT'!AC37</f>
        <v>60</v>
      </c>
      <c r="AE37" s="41">
        <v>31.438536938906491</v>
      </c>
      <c r="AF37" s="41">
        <v>28.00112944185172</v>
      </c>
      <c r="AG37">
        <v>5050</v>
      </c>
      <c r="AH37" s="64">
        <f t="shared" si="6"/>
        <v>1.6496012433761882</v>
      </c>
    </row>
    <row r="38" spans="1:34" hidden="1" x14ac:dyDescent="0.3">
      <c r="A38" s="49">
        <v>1443</v>
      </c>
      <c r="B38" s="49">
        <v>1429.75</v>
      </c>
      <c r="C38" s="1">
        <f t="shared" si="1"/>
        <v>2025</v>
      </c>
      <c r="D38" s="1">
        <f t="shared" si="2"/>
        <v>10</v>
      </c>
      <c r="E38" s="1">
        <v>16</v>
      </c>
      <c r="F38" s="1" t="s">
        <v>42</v>
      </c>
      <c r="G38" s="56">
        <f t="shared" si="7"/>
        <v>45944</v>
      </c>
      <c r="H38" s="17">
        <f t="shared" si="3"/>
        <v>33.219838385174562</v>
      </c>
      <c r="I38" s="17">
        <f t="shared" si="4"/>
        <v>27.616604313937227</v>
      </c>
      <c r="J38" s="17">
        <v>22</v>
      </c>
      <c r="K38" s="17"/>
      <c r="L38" s="17">
        <v>32</v>
      </c>
      <c r="M38" s="44">
        <f>SUMPRODUCT(H38:L38,'Fisico SPOT MAT'!H38:L38)*24</f>
        <v>3541280.5507984217</v>
      </c>
      <c r="N38" s="19">
        <f>+'Fisico SPOT MAT'!AH38</f>
        <v>11.691583878772361</v>
      </c>
      <c r="O38" s="19">
        <f t="shared" si="5"/>
        <v>13.466666666666667</v>
      </c>
      <c r="P38" s="19">
        <v>6</v>
      </c>
      <c r="Q38" s="19"/>
      <c r="R38" s="19">
        <v>0</v>
      </c>
      <c r="S38" s="44">
        <f>SUMPRODUCT(N38:R38,'Fisico SPOT MAT'!N38:R38)*E38</f>
        <v>2439747.3185777781</v>
      </c>
      <c r="T38" s="17">
        <v>50</v>
      </c>
      <c r="U38" s="17">
        <v>18</v>
      </c>
      <c r="V38" s="17">
        <v>50</v>
      </c>
      <c r="W38" s="17">
        <v>60</v>
      </c>
      <c r="X38" s="28">
        <f>SUMPRODUCT(T38:W38,'Fisico SPOT MAT'!T38:W38)*24</f>
        <v>2480355.4620000003</v>
      </c>
      <c r="Y38" s="19">
        <v>0</v>
      </c>
      <c r="Z38" s="19">
        <v>5</v>
      </c>
      <c r="AA38" s="19">
        <v>0</v>
      </c>
      <c r="AB38" s="28">
        <f>SUMPRODUCT(Y38:AA38,'Fisico SPOT MAT'!Y38:AA38)*E38</f>
        <v>40800</v>
      </c>
      <c r="AC38" s="122">
        <f>(T38*'Fisico SPOT MAT'!T38+'Mono SPOT MAT'!V38*'Fisico SPOT MAT'!V38+'Mono SPOT MAT'!W38*'Fisico SPOT MAT'!W38)/'Fisico SPOT MAT'!AC38</f>
        <v>60</v>
      </c>
      <c r="AE38" s="41">
        <v>31.561909494308725</v>
      </c>
      <c r="AF38" s="41">
        <v>27.616604313937227</v>
      </c>
      <c r="AG38">
        <v>5050</v>
      </c>
      <c r="AH38" s="64">
        <f t="shared" si="6"/>
        <v>1.6579288908658392</v>
      </c>
    </row>
    <row r="39" spans="1:34" hidden="1" x14ac:dyDescent="0.3">
      <c r="A39" s="49">
        <v>1443</v>
      </c>
      <c r="B39" s="49">
        <v>1429.75</v>
      </c>
      <c r="C39" s="1">
        <f t="shared" si="1"/>
        <v>2025</v>
      </c>
      <c r="D39" s="1">
        <f t="shared" si="2"/>
        <v>10</v>
      </c>
      <c r="E39" s="1">
        <v>16</v>
      </c>
      <c r="F39" s="1" t="s">
        <v>36</v>
      </c>
      <c r="G39" s="56">
        <f t="shared" si="7"/>
        <v>45945</v>
      </c>
      <c r="H39" s="17">
        <f t="shared" si="3"/>
        <v>33.890664775349983</v>
      </c>
      <c r="I39" s="17">
        <f t="shared" si="4"/>
        <v>27.693766360116236</v>
      </c>
      <c r="J39" s="17">
        <v>22</v>
      </c>
      <c r="K39" s="17"/>
      <c r="L39" s="17">
        <v>32</v>
      </c>
      <c r="M39" s="44">
        <f>SUMPRODUCT(H39:L39,'Fisico SPOT MAT'!H39:L39)*24</f>
        <v>3824785.8272520006</v>
      </c>
      <c r="N39" s="19">
        <f>+'Fisico SPOT MAT'!AH39</f>
        <v>11.690235154791376</v>
      </c>
      <c r="O39" s="19">
        <f t="shared" si="5"/>
        <v>13.466666666666667</v>
      </c>
      <c r="P39" s="19">
        <v>6</v>
      </c>
      <c r="Q39" s="19"/>
      <c r="R39" s="19">
        <v>0</v>
      </c>
      <c r="S39" s="44">
        <f>SUMPRODUCT(N39:R39,'Fisico SPOT MAT'!N39:R39)*E39</f>
        <v>2426441.3793777777</v>
      </c>
      <c r="T39" s="17">
        <v>50</v>
      </c>
      <c r="U39" s="17">
        <v>18</v>
      </c>
      <c r="V39" s="17">
        <v>50</v>
      </c>
      <c r="W39" s="17">
        <v>60</v>
      </c>
      <c r="X39" s="28">
        <f>SUMPRODUCT(T39:W39,'Fisico SPOT MAT'!T39:W39)*24</f>
        <v>2691625.5959999999</v>
      </c>
      <c r="Y39" s="19">
        <v>0</v>
      </c>
      <c r="Z39" s="19">
        <v>5</v>
      </c>
      <c r="AA39" s="19">
        <v>0</v>
      </c>
      <c r="AB39" s="28">
        <f>SUMPRODUCT(Y39:AA39,'Fisico SPOT MAT'!Y39:AA39)*E39</f>
        <v>40800</v>
      </c>
      <c r="AC39" s="122">
        <f>(T39*'Fisico SPOT MAT'!T39+'Mono SPOT MAT'!V39*'Fisico SPOT MAT'!V39+'Mono SPOT MAT'!W39*'Fisico SPOT MAT'!W39)/'Fisico SPOT MAT'!AC39</f>
        <v>60</v>
      </c>
      <c r="AE39" s="41">
        <v>32.190318290725976</v>
      </c>
      <c r="AF39" s="41">
        <v>27.693766360116236</v>
      </c>
      <c r="AG39">
        <v>5050</v>
      </c>
      <c r="AH39" s="64">
        <f t="shared" si="6"/>
        <v>1.7003464846240035</v>
      </c>
    </row>
    <row r="40" spans="1:34" hidden="1" x14ac:dyDescent="0.3">
      <c r="A40" s="49">
        <v>1443</v>
      </c>
      <c r="B40" s="49">
        <v>1429.75</v>
      </c>
      <c r="C40" s="1">
        <f t="shared" si="1"/>
        <v>2025</v>
      </c>
      <c r="D40" s="1">
        <f t="shared" si="2"/>
        <v>10</v>
      </c>
      <c r="E40" s="1">
        <v>16</v>
      </c>
      <c r="F40" s="1" t="s">
        <v>37</v>
      </c>
      <c r="G40" s="56">
        <f t="shared" si="7"/>
        <v>45946</v>
      </c>
      <c r="H40" s="17">
        <f t="shared" si="3"/>
        <v>33.795007933978411</v>
      </c>
      <c r="I40" s="17">
        <f t="shared" si="4"/>
        <v>26.744518501515849</v>
      </c>
      <c r="J40" s="17">
        <v>22</v>
      </c>
      <c r="K40" s="17"/>
      <c r="L40" s="17">
        <v>32</v>
      </c>
      <c r="M40" s="44">
        <f>SUMPRODUCT(H40:L40,'Fisico SPOT MAT'!H40:L40)*24</f>
        <v>4279880.0361750331</v>
      </c>
      <c r="N40" s="19">
        <f>+'Fisico SPOT MAT'!AH40</f>
        <v>11.691953131239375</v>
      </c>
      <c r="O40" s="19">
        <f t="shared" si="5"/>
        <v>13.466666666666667</v>
      </c>
      <c r="P40" s="19">
        <v>6</v>
      </c>
      <c r="Q40" s="19"/>
      <c r="R40" s="19">
        <v>0</v>
      </c>
      <c r="S40" s="44">
        <f>SUMPRODUCT(N40:R40,'Fisico SPOT MAT'!N40:R40)*E40</f>
        <v>2438553.6964444444</v>
      </c>
      <c r="T40" s="17">
        <v>50</v>
      </c>
      <c r="U40" s="17">
        <v>18</v>
      </c>
      <c r="V40" s="17">
        <v>50</v>
      </c>
      <c r="W40" s="17">
        <v>60</v>
      </c>
      <c r="X40" s="28">
        <f>SUMPRODUCT(T40:W40,'Fisico SPOT MAT'!T40:W40)*24</f>
        <v>1766156.4359999998</v>
      </c>
      <c r="Y40" s="19">
        <v>0</v>
      </c>
      <c r="Z40" s="19">
        <v>5</v>
      </c>
      <c r="AA40" s="19">
        <v>0</v>
      </c>
      <c r="AB40" s="28">
        <f>SUMPRODUCT(Y40:AA40,'Fisico SPOT MAT'!Y40:AA40)*E40</f>
        <v>42000</v>
      </c>
      <c r="AC40" s="122">
        <f>(T40*'Fisico SPOT MAT'!T40+'Mono SPOT MAT'!V40*'Fisico SPOT MAT'!V40+'Mono SPOT MAT'!W40*'Fisico SPOT MAT'!W40)/'Fisico SPOT MAT'!AC40</f>
        <v>60</v>
      </c>
      <c r="AE40" s="41">
        <v>32.100710008410687</v>
      </c>
      <c r="AF40" s="41">
        <v>26.744518501515849</v>
      </c>
      <c r="AG40">
        <v>5050</v>
      </c>
      <c r="AH40" s="64">
        <f t="shared" si="6"/>
        <v>1.6942979255677215</v>
      </c>
    </row>
    <row r="41" spans="1:34" hidden="1" x14ac:dyDescent="0.3">
      <c r="A41" s="49">
        <v>1443</v>
      </c>
      <c r="B41" s="49">
        <v>1429.75</v>
      </c>
      <c r="C41" s="1">
        <f t="shared" si="1"/>
        <v>2025</v>
      </c>
      <c r="D41" s="1">
        <f t="shared" si="2"/>
        <v>10</v>
      </c>
      <c r="E41" s="1">
        <v>16</v>
      </c>
      <c r="F41" s="1" t="s">
        <v>38</v>
      </c>
      <c r="G41" s="56">
        <f t="shared" si="7"/>
        <v>45947</v>
      </c>
      <c r="H41" s="17">
        <f t="shared" si="3"/>
        <v>33.328911169812187</v>
      </c>
      <c r="I41" s="17">
        <f t="shared" si="4"/>
        <v>26.764168663387103</v>
      </c>
      <c r="J41" s="17">
        <v>22</v>
      </c>
      <c r="K41" s="17"/>
      <c r="L41" s="17">
        <v>32</v>
      </c>
      <c r="M41" s="44">
        <f>SUMPRODUCT(H41:L41,'Fisico SPOT MAT'!H41:L41)*24</f>
        <v>4018588.8958374169</v>
      </c>
      <c r="N41" s="19">
        <f>+'Fisico SPOT MAT'!AH41</f>
        <v>11.691714540324025</v>
      </c>
      <c r="O41" s="19">
        <f t="shared" si="5"/>
        <v>13.466666666666667</v>
      </c>
      <c r="P41" s="19">
        <v>6</v>
      </c>
      <c r="Q41" s="19"/>
      <c r="R41" s="19">
        <v>0</v>
      </c>
      <c r="S41" s="44">
        <f>SUMPRODUCT(N41:R41,'Fisico SPOT MAT'!N41:R41)*E41</f>
        <v>2438981.6919111111</v>
      </c>
      <c r="T41" s="17">
        <v>50</v>
      </c>
      <c r="U41" s="17">
        <v>18</v>
      </c>
      <c r="V41" s="17">
        <v>50</v>
      </c>
      <c r="W41" s="17">
        <v>60</v>
      </c>
      <c r="X41" s="28">
        <f>SUMPRODUCT(T41:W41,'Fisico SPOT MAT'!T41:W41)*24</f>
        <v>1536065.1</v>
      </c>
      <c r="Y41" s="19">
        <v>0</v>
      </c>
      <c r="Z41" s="19">
        <v>5</v>
      </c>
      <c r="AA41" s="19">
        <v>0</v>
      </c>
      <c r="AB41" s="28">
        <f>SUMPRODUCT(Y41:AA41,'Fisico SPOT MAT'!Y41:AA41)*E41</f>
        <v>42025.606666666674</v>
      </c>
      <c r="AC41" s="122">
        <f>(T41*'Fisico SPOT MAT'!T41+'Mono SPOT MAT'!V41*'Fisico SPOT MAT'!V41+'Mono SPOT MAT'!W41*'Fisico SPOT MAT'!W41)/'Fisico SPOT MAT'!AC41</f>
        <v>60</v>
      </c>
      <c r="AE41" s="41">
        <v>31.664085404976291</v>
      </c>
      <c r="AF41" s="41">
        <v>26.764168663387103</v>
      </c>
      <c r="AG41">
        <v>5050</v>
      </c>
      <c r="AH41" s="64">
        <f t="shared" si="6"/>
        <v>1.6648257648358997</v>
      </c>
    </row>
    <row r="42" spans="1:34" hidden="1" x14ac:dyDescent="0.3">
      <c r="A42" s="49">
        <v>1443</v>
      </c>
      <c r="B42" s="49">
        <v>1429.75</v>
      </c>
      <c r="C42" s="1">
        <f t="shared" si="1"/>
        <v>2025</v>
      </c>
      <c r="D42" s="1">
        <f t="shared" si="2"/>
        <v>10</v>
      </c>
      <c r="E42" s="1">
        <v>6</v>
      </c>
      <c r="F42" s="1" t="s">
        <v>39</v>
      </c>
      <c r="G42" s="56">
        <f t="shared" si="7"/>
        <v>45948</v>
      </c>
      <c r="H42" s="17">
        <f t="shared" si="3"/>
        <v>33.359552815415427</v>
      </c>
      <c r="I42" s="17">
        <f t="shared" si="4"/>
        <v>30.460668749317044</v>
      </c>
      <c r="J42" s="17">
        <v>22</v>
      </c>
      <c r="K42" s="17"/>
      <c r="L42" s="17">
        <v>32</v>
      </c>
      <c r="M42" s="44">
        <f>SUMPRODUCT(H42:L42,'Fisico SPOT MAT'!H42:L42)*24</f>
        <v>3129167.1601503198</v>
      </c>
      <c r="N42" s="19">
        <f>+'Fisico SPOT MAT'!AH42</f>
        <v>11.687591664863177</v>
      </c>
      <c r="O42" s="19">
        <f t="shared" si="5"/>
        <v>13.466666666666667</v>
      </c>
      <c r="P42" s="19">
        <v>6</v>
      </c>
      <c r="Q42" s="19"/>
      <c r="R42" s="19">
        <v>0</v>
      </c>
      <c r="S42" s="44">
        <f>SUMPRODUCT(N42:R42,'Fisico SPOT MAT'!N42:R42)*E42</f>
        <v>900578.73050000006</v>
      </c>
      <c r="T42" s="17">
        <v>50</v>
      </c>
      <c r="U42" s="17">
        <v>18</v>
      </c>
      <c r="V42" s="17">
        <v>50</v>
      </c>
      <c r="W42" s="17">
        <v>60</v>
      </c>
      <c r="X42" s="28">
        <f>SUMPRODUCT(T42:W42,'Fisico SPOT MAT'!T42:W42)*24</f>
        <v>1914560.3639999998</v>
      </c>
      <c r="Y42" s="19">
        <v>0</v>
      </c>
      <c r="Z42" s="19">
        <v>5</v>
      </c>
      <c r="AA42" s="19">
        <v>0</v>
      </c>
      <c r="AB42" s="28">
        <f>SUMPRODUCT(Y42:AA42,'Fisico SPOT MAT'!Y42:AA42)*E42</f>
        <v>15751.713749999997</v>
      </c>
      <c r="AC42" s="122">
        <f>(T42*'Fisico SPOT MAT'!T42+'Mono SPOT MAT'!V42*'Fisico SPOT MAT'!V42+'Mono SPOT MAT'!W42*'Fisico SPOT MAT'!W42)/'Fisico SPOT MAT'!AC42</f>
        <v>60.000000000000007</v>
      </c>
      <c r="AE42" s="41">
        <v>31.692789522637401</v>
      </c>
      <c r="AF42" s="41">
        <v>30.460668749317044</v>
      </c>
      <c r="AG42">
        <v>5050</v>
      </c>
      <c r="AH42" s="64">
        <f t="shared" si="6"/>
        <v>1.6667632927780247</v>
      </c>
    </row>
    <row r="43" spans="1:34" hidden="1" x14ac:dyDescent="0.3">
      <c r="A43" s="49">
        <v>1443</v>
      </c>
      <c r="B43" s="49">
        <v>1429.75</v>
      </c>
      <c r="C43" s="1">
        <f t="shared" si="1"/>
        <v>2025</v>
      </c>
      <c r="D43" s="1">
        <f t="shared" si="2"/>
        <v>10</v>
      </c>
      <c r="E43" s="1">
        <v>4</v>
      </c>
      <c r="F43" s="1" t="s">
        <v>40</v>
      </c>
      <c r="G43" s="56">
        <f t="shared" si="7"/>
        <v>45949</v>
      </c>
      <c r="H43" s="17">
        <f t="shared" si="3"/>
        <v>34.435549689752726</v>
      </c>
      <c r="I43" s="17">
        <f t="shared" si="4"/>
        <v>29.997346159382005</v>
      </c>
      <c r="J43" s="17">
        <v>22</v>
      </c>
      <c r="K43" s="17"/>
      <c r="L43" s="17">
        <v>32</v>
      </c>
      <c r="M43" s="44">
        <f>SUMPRODUCT(H43:L43,'Fisico SPOT MAT'!H43:L43)*24</f>
        <v>1993671.4213100858</v>
      </c>
      <c r="N43" s="19">
        <f>+'Fisico SPOT MAT'!AH43</f>
        <v>11.69328130352379</v>
      </c>
      <c r="O43" s="19">
        <f t="shared" si="5"/>
        <v>13.466666666666667</v>
      </c>
      <c r="P43" s="19">
        <v>6</v>
      </c>
      <c r="Q43" s="19"/>
      <c r="R43" s="19">
        <v>0</v>
      </c>
      <c r="S43" s="44">
        <f>SUMPRODUCT(N43:R43,'Fisico SPOT MAT'!N43:R43)*E43</f>
        <v>613296.34373333328</v>
      </c>
      <c r="T43" s="17">
        <v>50</v>
      </c>
      <c r="U43" s="17">
        <v>18</v>
      </c>
      <c r="V43" s="17">
        <v>50</v>
      </c>
      <c r="W43" s="17">
        <v>60</v>
      </c>
      <c r="X43" s="28">
        <f>SUMPRODUCT(T43:W43,'Fisico SPOT MAT'!T43:W43)*24</f>
        <v>3149563.3320000013</v>
      </c>
      <c r="Y43" s="19">
        <v>0</v>
      </c>
      <c r="Z43" s="19">
        <v>5</v>
      </c>
      <c r="AA43" s="19">
        <v>0</v>
      </c>
      <c r="AB43" s="28">
        <f>SUMPRODUCT(Y43:AA43,'Fisico SPOT MAT'!Y43:AA43)*E43</f>
        <v>10500</v>
      </c>
      <c r="AC43" s="122">
        <f>(T43*'Fisico SPOT MAT'!T43+'Mono SPOT MAT'!V43*'Fisico SPOT MAT'!V43+'Mono SPOT MAT'!W43*'Fisico SPOT MAT'!W43)/'Fisico SPOT MAT'!AC43</f>
        <v>60</v>
      </c>
      <c r="AE43" s="41">
        <v>32.700749123890141</v>
      </c>
      <c r="AF43" s="41">
        <v>29.997346159382005</v>
      </c>
      <c r="AG43">
        <v>5050</v>
      </c>
      <c r="AH43" s="64">
        <f t="shared" si="6"/>
        <v>1.7348005658625847</v>
      </c>
    </row>
    <row r="44" spans="1:34" hidden="1" x14ac:dyDescent="0.3">
      <c r="A44" s="49">
        <v>1443</v>
      </c>
      <c r="B44" s="49">
        <v>1429.75</v>
      </c>
      <c r="C44" s="1">
        <f t="shared" si="1"/>
        <v>2025</v>
      </c>
      <c r="D44" s="1">
        <f t="shared" si="2"/>
        <v>10</v>
      </c>
      <c r="E44" s="1">
        <v>16</v>
      </c>
      <c r="F44" s="1" t="s">
        <v>41</v>
      </c>
      <c r="G44" s="56">
        <f t="shared" si="7"/>
        <v>45950</v>
      </c>
      <c r="H44" s="17">
        <f t="shared" si="3"/>
        <v>33.577008256753935</v>
      </c>
      <c r="I44" s="17">
        <f t="shared" si="4"/>
        <v>26.969190013608262</v>
      </c>
      <c r="J44" s="17">
        <v>22</v>
      </c>
      <c r="K44" s="17"/>
      <c r="L44" s="17">
        <v>32</v>
      </c>
      <c r="M44" s="44">
        <f>SUMPRODUCT(H44:L44,'Fisico SPOT MAT'!H44:L44)*24</f>
        <v>2987767.5260039438</v>
      </c>
      <c r="N44" s="19">
        <f>+'Fisico SPOT MAT'!AH44</f>
        <v>11.693019990879284</v>
      </c>
      <c r="O44" s="19">
        <f t="shared" si="5"/>
        <v>13.466666666666667</v>
      </c>
      <c r="P44" s="19">
        <v>6</v>
      </c>
      <c r="Q44" s="19"/>
      <c r="R44" s="19">
        <v>0</v>
      </c>
      <c r="S44" s="44">
        <f>SUMPRODUCT(N44:R44,'Fisico SPOT MAT'!N44:R44)*E44</f>
        <v>2451111.7229333343</v>
      </c>
      <c r="T44" s="17">
        <v>50</v>
      </c>
      <c r="U44" s="17">
        <v>18</v>
      </c>
      <c r="V44" s="17">
        <v>50</v>
      </c>
      <c r="W44" s="17">
        <v>60</v>
      </c>
      <c r="X44" s="28">
        <f>SUMPRODUCT(T44:W44,'Fisico SPOT MAT'!T44:W44)*24</f>
        <v>3258980.0459999992</v>
      </c>
      <c r="Y44" s="19">
        <v>0</v>
      </c>
      <c r="Z44" s="19">
        <v>5</v>
      </c>
      <c r="AA44" s="19">
        <v>0</v>
      </c>
      <c r="AB44" s="28">
        <f>SUMPRODUCT(Y44:AA44,'Fisico SPOT MAT'!Y44:AA44)*E44</f>
        <v>37339.566666666666</v>
      </c>
      <c r="AC44" s="122">
        <f>(T44*'Fisico SPOT MAT'!T44+'Mono SPOT MAT'!V44*'Fisico SPOT MAT'!V44+'Mono SPOT MAT'!W44*'Fisico SPOT MAT'!W44)/'Fisico SPOT MAT'!AC44</f>
        <v>60</v>
      </c>
      <c r="AE44" s="41">
        <v>31.896494854102045</v>
      </c>
      <c r="AF44" s="41">
        <v>26.969190013608262</v>
      </c>
      <c r="AG44">
        <v>5050</v>
      </c>
      <c r="AH44" s="64">
        <f t="shared" si="6"/>
        <v>1.6805134026518882</v>
      </c>
    </row>
    <row r="45" spans="1:34" hidden="1" x14ac:dyDescent="0.3">
      <c r="A45" s="49">
        <v>1443</v>
      </c>
      <c r="B45" s="49">
        <v>1429.75</v>
      </c>
      <c r="C45" s="1">
        <f t="shared" si="1"/>
        <v>2025</v>
      </c>
      <c r="D45" s="1">
        <f t="shared" si="2"/>
        <v>10</v>
      </c>
      <c r="E45" s="1">
        <v>16</v>
      </c>
      <c r="F45" s="1" t="s">
        <v>42</v>
      </c>
      <c r="G45" s="56">
        <f t="shared" si="7"/>
        <v>45951</v>
      </c>
      <c r="H45" s="17">
        <f t="shared" si="3"/>
        <v>33.808002893515294</v>
      </c>
      <c r="I45" s="17">
        <f t="shared" si="4"/>
        <v>26.772845233715795</v>
      </c>
      <c r="J45" s="17">
        <v>22</v>
      </c>
      <c r="K45" s="17"/>
      <c r="L45" s="17">
        <v>32</v>
      </c>
      <c r="M45" s="44">
        <f>SUMPRODUCT(H45:L45,'Fisico SPOT MAT'!H45:L45)*24</f>
        <v>3308360.8520003669</v>
      </c>
      <c r="N45" s="19">
        <f>+'Fisico SPOT MAT'!AH45</f>
        <v>11.671682149956609</v>
      </c>
      <c r="O45" s="19">
        <f t="shared" si="5"/>
        <v>13.466666666666667</v>
      </c>
      <c r="P45" s="19">
        <v>6</v>
      </c>
      <c r="Q45" s="19"/>
      <c r="R45" s="19">
        <v>0</v>
      </c>
      <c r="S45" s="44">
        <f>SUMPRODUCT(N45:R45,'Fisico SPOT MAT'!N45:R45)*E45</f>
        <v>2297661.3321777773</v>
      </c>
      <c r="T45" s="17">
        <v>50</v>
      </c>
      <c r="U45" s="17">
        <v>18</v>
      </c>
      <c r="V45" s="17">
        <v>50</v>
      </c>
      <c r="W45" s="17">
        <v>60</v>
      </c>
      <c r="X45" s="28">
        <f>SUMPRODUCT(T45:W45,'Fisico SPOT MAT'!T45:W45)*24</f>
        <v>2747326.182</v>
      </c>
      <c r="Y45" s="19">
        <v>0</v>
      </c>
      <c r="Z45" s="19">
        <v>5</v>
      </c>
      <c r="AA45" s="19">
        <v>0</v>
      </c>
      <c r="AB45" s="28">
        <f>SUMPRODUCT(Y45:AA45,'Fisico SPOT MAT'!Y45:AA45)*E45</f>
        <v>33053.376666666671</v>
      </c>
      <c r="AC45" s="122">
        <f>(T45*'Fisico SPOT MAT'!T45+'Mono SPOT MAT'!V45*'Fisico SPOT MAT'!V45+'Mono SPOT MAT'!W45*'Fisico SPOT MAT'!W45)/'Fisico SPOT MAT'!AC45</f>
        <v>60</v>
      </c>
      <c r="AE45" s="41">
        <v>32.112883272613857</v>
      </c>
      <c r="AF45" s="41">
        <v>26.772845233715795</v>
      </c>
      <c r="AG45">
        <v>5050</v>
      </c>
      <c r="AH45" s="64">
        <f t="shared" si="6"/>
        <v>1.6951196209014354</v>
      </c>
    </row>
    <row r="46" spans="1:34" hidden="1" x14ac:dyDescent="0.3">
      <c r="A46" s="49">
        <v>1443</v>
      </c>
      <c r="B46" s="49">
        <v>1429.75</v>
      </c>
      <c r="C46" s="1">
        <f t="shared" si="1"/>
        <v>2025</v>
      </c>
      <c r="D46" s="1">
        <f t="shared" si="2"/>
        <v>10</v>
      </c>
      <c r="E46" s="1">
        <v>16</v>
      </c>
      <c r="F46" s="1" t="s">
        <v>36</v>
      </c>
      <c r="G46" s="56">
        <f t="shared" si="7"/>
        <v>45952</v>
      </c>
      <c r="H46" s="17">
        <f t="shared" si="3"/>
        <v>33.046988040655705</v>
      </c>
      <c r="I46" s="17">
        <f t="shared" si="4"/>
        <v>26.849898355463598</v>
      </c>
      <c r="J46" s="17">
        <v>22</v>
      </c>
      <c r="K46" s="17"/>
      <c r="L46" s="17">
        <v>32</v>
      </c>
      <c r="M46" s="44">
        <f>SUMPRODUCT(H46:L46,'Fisico SPOT MAT'!H46:L46)*24</f>
        <v>3743239.7155586602</v>
      </c>
      <c r="N46" s="19">
        <f>+'Fisico SPOT MAT'!AH46</f>
        <v>11.663746585977057</v>
      </c>
      <c r="O46" s="19">
        <f t="shared" si="5"/>
        <v>13.466666666666667</v>
      </c>
      <c r="P46" s="19">
        <v>6</v>
      </c>
      <c r="Q46" s="19"/>
      <c r="R46" s="19">
        <v>0</v>
      </c>
      <c r="S46" s="44">
        <f>SUMPRODUCT(N46:R46,'Fisico SPOT MAT'!N46:R46)*E46</f>
        <v>2277938.246933334</v>
      </c>
      <c r="T46" s="17">
        <v>50</v>
      </c>
      <c r="U46" s="17">
        <v>18</v>
      </c>
      <c r="V46" s="17">
        <v>50</v>
      </c>
      <c r="W46" s="17">
        <v>60</v>
      </c>
      <c r="X46" s="28">
        <f>SUMPRODUCT(T46:W46,'Fisico SPOT MAT'!T46:W46)*24</f>
        <v>2000083.1580000003</v>
      </c>
      <c r="Y46" s="19">
        <v>0</v>
      </c>
      <c r="Z46" s="19">
        <v>5</v>
      </c>
      <c r="AA46" s="19">
        <v>0</v>
      </c>
      <c r="AB46" s="28">
        <f>SUMPRODUCT(Y46:AA46,'Fisico SPOT MAT'!Y46:AA46)*E46</f>
        <v>33205.47</v>
      </c>
      <c r="AC46" s="122">
        <f>(T46*'Fisico SPOT MAT'!T46+'Mono SPOT MAT'!V46*'Fisico SPOT MAT'!V46+'Mono SPOT MAT'!W46*'Fisico SPOT MAT'!W46)/'Fisico SPOT MAT'!AC46</f>
        <v>60.000000000000007</v>
      </c>
      <c r="AE46" s="41">
        <v>31.39998879686717</v>
      </c>
      <c r="AF46" s="41">
        <v>26.849898355463598</v>
      </c>
      <c r="AG46">
        <v>5050</v>
      </c>
      <c r="AH46" s="64">
        <f t="shared" si="6"/>
        <v>1.6469992437885341</v>
      </c>
    </row>
    <row r="47" spans="1:34" hidden="1" x14ac:dyDescent="0.3">
      <c r="A47" s="49">
        <v>1443</v>
      </c>
      <c r="B47" s="49">
        <v>1429.75</v>
      </c>
      <c r="C47" s="1">
        <f t="shared" si="1"/>
        <v>2025</v>
      </c>
      <c r="D47" s="1">
        <f t="shared" si="2"/>
        <v>10</v>
      </c>
      <c r="E47" s="1">
        <v>16</v>
      </c>
      <c r="F47" s="1" t="s">
        <v>37</v>
      </c>
      <c r="G47" s="56">
        <f t="shared" si="7"/>
        <v>45953</v>
      </c>
      <c r="H47" s="17">
        <f t="shared" si="3"/>
        <v>33.715658284669125</v>
      </c>
      <c r="I47" s="17">
        <f t="shared" si="4"/>
        <v>29.563811463142287</v>
      </c>
      <c r="J47" s="17">
        <v>22</v>
      </c>
      <c r="K47" s="17"/>
      <c r="L47" s="17">
        <v>32</v>
      </c>
      <c r="M47" s="44">
        <f>SUMPRODUCT(H47:L47,'Fisico SPOT MAT'!H47:L47)*24</f>
        <v>3998250.8895241376</v>
      </c>
      <c r="N47" s="19">
        <f>+'Fisico SPOT MAT'!AH47</f>
        <v>11.66289483837101</v>
      </c>
      <c r="O47" s="19">
        <f t="shared" si="5"/>
        <v>13.466666666666667</v>
      </c>
      <c r="P47" s="19">
        <v>6</v>
      </c>
      <c r="Q47" s="19"/>
      <c r="R47" s="19">
        <v>0</v>
      </c>
      <c r="S47" s="44">
        <f>SUMPRODUCT(N47:R47,'Fisico SPOT MAT'!N47:R47)*E47</f>
        <v>2286618.2608888899</v>
      </c>
      <c r="T47" s="17">
        <v>50</v>
      </c>
      <c r="U47" s="17">
        <v>18</v>
      </c>
      <c r="V47" s="17">
        <v>50</v>
      </c>
      <c r="W47" s="17">
        <v>60</v>
      </c>
      <c r="X47" s="28">
        <f>SUMPRODUCT(T47:W47,'Fisico SPOT MAT'!T47:W47)*24</f>
        <v>2294425.9139999999</v>
      </c>
      <c r="Y47" s="19">
        <v>0</v>
      </c>
      <c r="Z47" s="19">
        <v>5</v>
      </c>
      <c r="AA47" s="19">
        <v>0</v>
      </c>
      <c r="AB47" s="28">
        <f>SUMPRODUCT(Y47:AA47,'Fisico SPOT MAT'!Y47:AA47)*E47</f>
        <v>33201.493333333332</v>
      </c>
      <c r="AC47" s="122">
        <f>(T47*'Fisico SPOT MAT'!T47+'Mono SPOT MAT'!V47*'Fisico SPOT MAT'!V47+'Mono SPOT MAT'!W47*'Fisico SPOT MAT'!W47)/'Fisico SPOT MAT'!AC47</f>
        <v>60.000000000000007</v>
      </c>
      <c r="AE47" s="41">
        <v>32.026377784233375</v>
      </c>
      <c r="AF47" s="41">
        <v>29.563811463142287</v>
      </c>
      <c r="AG47">
        <v>5050</v>
      </c>
      <c r="AH47" s="64">
        <f t="shared" si="6"/>
        <v>1.689280500435753</v>
      </c>
    </row>
    <row r="48" spans="1:34" hidden="1" x14ac:dyDescent="0.3">
      <c r="A48" s="49">
        <v>1443</v>
      </c>
      <c r="B48" s="49">
        <v>1429.75</v>
      </c>
      <c r="C48" s="1">
        <f t="shared" si="1"/>
        <v>2025</v>
      </c>
      <c r="D48" s="1">
        <f t="shared" si="2"/>
        <v>10</v>
      </c>
      <c r="E48" s="1">
        <v>16</v>
      </c>
      <c r="F48" s="1" t="s">
        <v>38</v>
      </c>
      <c r="G48" s="56">
        <f t="shared" si="7"/>
        <v>45954</v>
      </c>
      <c r="H48" s="17">
        <f t="shared" si="3"/>
        <v>33.225511298545662</v>
      </c>
      <c r="I48" s="17">
        <f t="shared" si="4"/>
        <v>27.258397334980778</v>
      </c>
      <c r="J48" s="17">
        <v>22</v>
      </c>
      <c r="K48" s="17"/>
      <c r="L48" s="17">
        <v>32</v>
      </c>
      <c r="M48" s="44">
        <f>SUMPRODUCT(H48:L48,'Fisico SPOT MAT'!H48:L48)*24</f>
        <v>4110326.3708921825</v>
      </c>
      <c r="N48" s="19">
        <f>+'Fisico SPOT MAT'!AH48</f>
        <v>11.664557085329681</v>
      </c>
      <c r="O48" s="19">
        <f t="shared" si="5"/>
        <v>13.466666666666667</v>
      </c>
      <c r="P48" s="19">
        <v>6</v>
      </c>
      <c r="Q48" s="19"/>
      <c r="R48" s="19">
        <v>0</v>
      </c>
      <c r="S48" s="44">
        <f>SUMPRODUCT(N48:R48,'Fisico SPOT MAT'!N48:R48)*E48</f>
        <v>2256815.8368888893</v>
      </c>
      <c r="T48" s="17">
        <v>50</v>
      </c>
      <c r="U48" s="17">
        <v>18</v>
      </c>
      <c r="V48" s="17">
        <v>50</v>
      </c>
      <c r="W48" s="17">
        <v>60</v>
      </c>
      <c r="X48" s="28">
        <f>SUMPRODUCT(T48:W48,'Fisico SPOT MAT'!T48:W48)*24</f>
        <v>2096795.9339999999</v>
      </c>
      <c r="Y48" s="19">
        <v>0</v>
      </c>
      <c r="Z48" s="19">
        <v>5</v>
      </c>
      <c r="AA48" s="19">
        <v>0</v>
      </c>
      <c r="AB48" s="28">
        <f>SUMPRODUCT(Y48:AA48,'Fisico SPOT MAT'!Y48:AA48)*E48</f>
        <v>33200</v>
      </c>
      <c r="AC48" s="122">
        <f>(T48*'Fisico SPOT MAT'!T48+'Mono SPOT MAT'!V48*'Fisico SPOT MAT'!V48+'Mono SPOT MAT'!W48*'Fisico SPOT MAT'!W48)/'Fisico SPOT MAT'!AC48</f>
        <v>60</v>
      </c>
      <c r="AE48" s="41">
        <v>31.567223698871814</v>
      </c>
      <c r="AF48" s="41">
        <v>27.258397334980778</v>
      </c>
      <c r="AG48">
        <v>5050</v>
      </c>
      <c r="AH48" s="64">
        <f t="shared" si="6"/>
        <v>1.6582875996738475</v>
      </c>
    </row>
    <row r="49" spans="1:37" hidden="1" x14ac:dyDescent="0.3">
      <c r="A49" s="49">
        <v>1443</v>
      </c>
      <c r="B49" s="49">
        <v>1429.75</v>
      </c>
      <c r="C49" s="1">
        <f t="shared" si="1"/>
        <v>2025</v>
      </c>
      <c r="D49" s="1">
        <f t="shared" si="2"/>
        <v>10</v>
      </c>
      <c r="E49" s="1">
        <v>6</v>
      </c>
      <c r="F49" s="1" t="s">
        <v>39</v>
      </c>
      <c r="G49" s="56">
        <f t="shared" si="7"/>
        <v>45955</v>
      </c>
      <c r="H49" s="17">
        <f t="shared" si="3"/>
        <v>32.600510600346126</v>
      </c>
      <c r="I49" s="17">
        <f t="shared" si="4"/>
        <v>27.214326131364064</v>
      </c>
      <c r="J49" s="17">
        <v>22</v>
      </c>
      <c r="K49" s="17"/>
      <c r="L49" s="17">
        <v>32</v>
      </c>
      <c r="M49" s="44">
        <f>SUMPRODUCT(H49:L49,'Fisico SPOT MAT'!H49:L49)*24</f>
        <v>3187628.8865367263</v>
      </c>
      <c r="N49" s="19">
        <f>+'Fisico SPOT MAT'!AH49</f>
        <v>11.672538961543655</v>
      </c>
      <c r="O49" s="19">
        <f t="shared" si="5"/>
        <v>13.466666666666667</v>
      </c>
      <c r="P49" s="19">
        <v>6</v>
      </c>
      <c r="Q49" s="19"/>
      <c r="R49" s="19">
        <v>0</v>
      </c>
      <c r="S49" s="44">
        <f>SUMPRODUCT(N49:R49,'Fisico SPOT MAT'!N49:R49)*E49</f>
        <v>866304.91246666643</v>
      </c>
      <c r="T49" s="17">
        <v>50</v>
      </c>
      <c r="U49" s="17">
        <v>18</v>
      </c>
      <c r="V49" s="17">
        <v>50</v>
      </c>
      <c r="W49" s="17">
        <v>60</v>
      </c>
      <c r="X49" s="28">
        <f>SUMPRODUCT(T49:W49,'Fisico SPOT MAT'!T49:W49)*24</f>
        <v>2014372.2119999998</v>
      </c>
      <c r="Y49" s="19">
        <v>0</v>
      </c>
      <c r="Z49" s="19">
        <v>5</v>
      </c>
      <c r="AA49" s="19">
        <v>0</v>
      </c>
      <c r="AB49" s="28">
        <f>SUMPRODUCT(Y49:AA49,'Fisico SPOT MAT'!Y49:AA49)*E49</f>
        <v>12450</v>
      </c>
      <c r="AC49" s="122">
        <f>(T49*'Fisico SPOT MAT'!T49+'Mono SPOT MAT'!V49*'Fisico SPOT MAT'!V49+'Mono SPOT MAT'!W49*'Fisico SPOT MAT'!W49)/'Fisico SPOT MAT'!AC49</f>
        <v>60</v>
      </c>
      <c r="AE49" s="41">
        <v>30.981742951143911</v>
      </c>
      <c r="AF49" s="41">
        <v>27.214326131364064</v>
      </c>
      <c r="AG49">
        <v>5050</v>
      </c>
      <c r="AH49" s="64">
        <f t="shared" si="6"/>
        <v>1.6187676492022141</v>
      </c>
    </row>
    <row r="50" spans="1:37" hidden="1" x14ac:dyDescent="0.3">
      <c r="A50" s="49">
        <v>1443</v>
      </c>
      <c r="B50" s="49">
        <v>1429.75</v>
      </c>
      <c r="C50" s="1">
        <f t="shared" si="1"/>
        <v>2025</v>
      </c>
      <c r="D50" s="1">
        <f t="shared" si="2"/>
        <v>10</v>
      </c>
      <c r="E50" s="1">
        <v>4</v>
      </c>
      <c r="F50" s="1" t="s">
        <v>40</v>
      </c>
      <c r="G50" s="56">
        <f t="shared" si="7"/>
        <v>45956</v>
      </c>
      <c r="H50" s="17">
        <f t="shared" si="3"/>
        <v>33.258866880009151</v>
      </c>
      <c r="I50" s="17">
        <f t="shared" si="4"/>
        <v>28.175501730938546</v>
      </c>
      <c r="J50" s="17">
        <v>22</v>
      </c>
      <c r="K50" s="17"/>
      <c r="L50" s="17">
        <v>32</v>
      </c>
      <c r="M50" s="44">
        <f>SUMPRODUCT(H50:L50,'Fisico SPOT MAT'!H50:L50)*24</f>
        <v>2206015.161004751</v>
      </c>
      <c r="N50" s="19">
        <f>+'Fisico SPOT MAT'!AH50</f>
        <v>11.676489366851387</v>
      </c>
      <c r="O50" s="19">
        <f t="shared" si="5"/>
        <v>13.466666666666667</v>
      </c>
      <c r="P50" s="19">
        <v>6</v>
      </c>
      <c r="Q50" s="19"/>
      <c r="R50" s="19">
        <v>0</v>
      </c>
      <c r="S50" s="44">
        <f>SUMPRODUCT(N50:R50,'Fisico SPOT MAT'!N50:R50)*E50</f>
        <v>583631.31748888886</v>
      </c>
      <c r="T50" s="17">
        <v>50</v>
      </c>
      <c r="U50" s="17">
        <v>18</v>
      </c>
      <c r="V50" s="17">
        <v>50</v>
      </c>
      <c r="W50" s="17">
        <v>60</v>
      </c>
      <c r="X50" s="28">
        <f>SUMPRODUCT(T50:W50,'Fisico SPOT MAT'!T50:W50)*24</f>
        <v>2537383.1700000009</v>
      </c>
      <c r="Y50" s="19">
        <v>0</v>
      </c>
      <c r="Z50" s="19">
        <v>5</v>
      </c>
      <c r="AA50" s="19">
        <v>0</v>
      </c>
      <c r="AB50" s="28">
        <f>SUMPRODUCT(Y50:AA50,'Fisico SPOT MAT'!Y50:AA50)*E50</f>
        <v>8300</v>
      </c>
      <c r="AC50" s="122">
        <f>(T50*'Fisico SPOT MAT'!T50+'Mono SPOT MAT'!V50*'Fisico SPOT MAT'!V50+'Mono SPOT MAT'!W50*'Fisico SPOT MAT'!W50)/'Fisico SPOT MAT'!AC50</f>
        <v>60</v>
      </c>
      <c r="AE50" s="41">
        <v>31.598470145207639</v>
      </c>
      <c r="AF50" s="41">
        <v>28.175501730938546</v>
      </c>
      <c r="AG50">
        <v>5050</v>
      </c>
      <c r="AH50" s="64">
        <f t="shared" si="6"/>
        <v>1.6603967348015156</v>
      </c>
    </row>
    <row r="51" spans="1:37" hidden="1" x14ac:dyDescent="0.3">
      <c r="A51" s="49">
        <v>1443</v>
      </c>
      <c r="B51" s="49">
        <v>1429.75</v>
      </c>
      <c r="C51" s="1">
        <f t="shared" si="1"/>
        <v>2025</v>
      </c>
      <c r="D51" s="1">
        <f t="shared" si="2"/>
        <v>10</v>
      </c>
      <c r="E51" s="1">
        <v>16</v>
      </c>
      <c r="F51" s="1" t="s">
        <v>41</v>
      </c>
      <c r="G51" s="56">
        <f t="shared" si="7"/>
        <v>45957</v>
      </c>
      <c r="H51" s="17">
        <f t="shared" si="3"/>
        <v>32.724135567240147</v>
      </c>
      <c r="I51" s="17">
        <f t="shared" si="4"/>
        <v>39.535948899352931</v>
      </c>
      <c r="J51" s="17">
        <v>22</v>
      </c>
      <c r="K51" s="17"/>
      <c r="L51" s="17">
        <v>32</v>
      </c>
      <c r="M51" s="44">
        <f>SUMPRODUCT(H51:L51,'Fisico SPOT MAT'!H51:L51)*24</f>
        <v>3737418.757161404</v>
      </c>
      <c r="N51" s="19">
        <f>+'Fisico SPOT MAT'!AH51</f>
        <v>11.674969196089613</v>
      </c>
      <c r="O51" s="19">
        <f t="shared" si="5"/>
        <v>13.466666666666667</v>
      </c>
      <c r="P51" s="19">
        <v>6</v>
      </c>
      <c r="Q51" s="19"/>
      <c r="R51" s="19">
        <v>0</v>
      </c>
      <c r="S51" s="44">
        <f>SUMPRODUCT(N51:R51,'Fisico SPOT MAT'!N51:R51)*E51</f>
        <v>2341832.2834666674</v>
      </c>
      <c r="T51" s="17">
        <v>50</v>
      </c>
      <c r="U51" s="17">
        <v>18</v>
      </c>
      <c r="V51" s="17">
        <v>50</v>
      </c>
      <c r="W51" s="17">
        <v>60</v>
      </c>
      <c r="X51" s="28">
        <f>SUMPRODUCT(T51:W51,'Fisico SPOT MAT'!T51:W51)*24</f>
        <v>1775810.442</v>
      </c>
      <c r="Y51" s="19">
        <v>0</v>
      </c>
      <c r="Z51" s="19">
        <v>5</v>
      </c>
      <c r="AA51" s="19">
        <v>0</v>
      </c>
      <c r="AB51" s="28">
        <f>SUMPRODUCT(Y51:AA51,'Fisico SPOT MAT'!Y51:AA51)*E51</f>
        <v>33200</v>
      </c>
      <c r="AC51" s="122">
        <f>(T51*'Fisico SPOT MAT'!T51+'Mono SPOT MAT'!V51*'Fisico SPOT MAT'!V51+'Mono SPOT MAT'!W51*'Fisico SPOT MAT'!W51)/'Fisico SPOT MAT'!AC51</f>
        <v>60.000000000000007</v>
      </c>
      <c r="AE51" s="41">
        <v>31.09755088266056</v>
      </c>
      <c r="AF51" s="41">
        <v>39.535948899352931</v>
      </c>
      <c r="AG51">
        <v>5050</v>
      </c>
      <c r="AH51" s="64">
        <f t="shared" si="6"/>
        <v>1.6265846845795879</v>
      </c>
    </row>
    <row r="52" spans="1:37" hidden="1" x14ac:dyDescent="0.3">
      <c r="A52" s="49">
        <v>1443</v>
      </c>
      <c r="B52" s="49">
        <v>1429.75</v>
      </c>
      <c r="C52" s="1">
        <f t="shared" si="1"/>
        <v>2025</v>
      </c>
      <c r="D52" s="1">
        <f t="shared" si="2"/>
        <v>10</v>
      </c>
      <c r="E52" s="1">
        <v>16</v>
      </c>
      <c r="F52" s="1" t="s">
        <v>42</v>
      </c>
      <c r="G52" s="56">
        <f t="shared" si="7"/>
        <v>45958</v>
      </c>
      <c r="H52" s="17">
        <f t="shared" si="3"/>
        <v>32.488373401085887</v>
      </c>
      <c r="I52" s="17">
        <f t="shared" si="4"/>
        <v>37.80591261895129</v>
      </c>
      <c r="J52" s="17">
        <v>22</v>
      </c>
      <c r="K52" s="17"/>
      <c r="L52" s="17">
        <v>32</v>
      </c>
      <c r="M52" s="44">
        <f>SUMPRODUCT(H52:L52,'Fisico SPOT MAT'!H52:L52)*24</f>
        <v>4025127.3348533725</v>
      </c>
      <c r="N52" s="19">
        <f>+'Fisico SPOT MAT'!AH52</f>
        <v>11.676852245248364</v>
      </c>
      <c r="O52" s="19">
        <f t="shared" si="5"/>
        <v>13.466666666666667</v>
      </c>
      <c r="P52" s="19">
        <v>6</v>
      </c>
      <c r="Q52" s="19"/>
      <c r="R52" s="19">
        <v>0</v>
      </c>
      <c r="S52" s="44">
        <f>SUMPRODUCT(N52:R52,'Fisico SPOT MAT'!N52:R52)*E52</f>
        <v>2366343.3908444433</v>
      </c>
      <c r="T52" s="17">
        <v>50</v>
      </c>
      <c r="U52" s="17">
        <v>18</v>
      </c>
      <c r="V52" s="17">
        <v>50</v>
      </c>
      <c r="W52" s="17">
        <v>60</v>
      </c>
      <c r="X52" s="28">
        <f>SUMPRODUCT(T52:W52,'Fisico SPOT MAT'!T52:W52)*24</f>
        <v>1335872.7119999998</v>
      </c>
      <c r="Y52" s="19">
        <v>0</v>
      </c>
      <c r="Z52" s="19">
        <v>5</v>
      </c>
      <c r="AA52" s="19">
        <v>0</v>
      </c>
      <c r="AB52" s="28">
        <f>SUMPRODUCT(Y52:AA52,'Fisico SPOT MAT'!Y52:AA52)*E52</f>
        <v>33200</v>
      </c>
      <c r="AC52" s="122">
        <f>(T52*'Fisico SPOT MAT'!T52+'Mono SPOT MAT'!V52*'Fisico SPOT MAT'!V52+'Mono SPOT MAT'!W52*'Fisico SPOT MAT'!W52)/'Fisico SPOT MAT'!AC52</f>
        <v>60</v>
      </c>
      <c r="AE52" s="41">
        <v>30.876696394459845</v>
      </c>
      <c r="AF52" s="41">
        <v>37.80591261895129</v>
      </c>
      <c r="AG52">
        <v>5050</v>
      </c>
      <c r="AH52" s="64">
        <f t="shared" si="6"/>
        <v>1.6116770066260397</v>
      </c>
    </row>
    <row r="53" spans="1:37" hidden="1" x14ac:dyDescent="0.3">
      <c r="A53" s="49">
        <v>1443</v>
      </c>
      <c r="B53" s="49">
        <v>1429.75</v>
      </c>
      <c r="C53" s="1">
        <f t="shared" si="1"/>
        <v>2025</v>
      </c>
      <c r="D53" s="1">
        <f t="shared" si="2"/>
        <v>10</v>
      </c>
      <c r="E53" s="1">
        <v>16</v>
      </c>
      <c r="F53" s="1" t="s">
        <v>36</v>
      </c>
      <c r="G53" s="56">
        <f t="shared" si="7"/>
        <v>45959</v>
      </c>
      <c r="H53" s="17">
        <f t="shared" si="3"/>
        <v>32.668787147359353</v>
      </c>
      <c r="I53" s="17">
        <f t="shared" si="4"/>
        <v>26.758895259585856</v>
      </c>
      <c r="J53" s="17">
        <v>22</v>
      </c>
      <c r="K53" s="17"/>
      <c r="L53" s="17">
        <v>32</v>
      </c>
      <c r="M53" s="44">
        <f>SUMPRODUCT(H53:L53,'Fisico SPOT MAT'!H53:L53)*24</f>
        <v>3515132.2909694239</v>
      </c>
      <c r="N53" s="19">
        <f>+'Fisico SPOT MAT'!AH53</f>
        <v>11.673479268524176</v>
      </c>
      <c r="O53" s="19">
        <f t="shared" si="5"/>
        <v>13.466666666666667</v>
      </c>
      <c r="P53" s="19">
        <v>6</v>
      </c>
      <c r="Q53" s="19"/>
      <c r="R53" s="19">
        <v>0</v>
      </c>
      <c r="S53" s="44">
        <f>SUMPRODUCT(N53:R53,'Fisico SPOT MAT'!N53:R53)*E53</f>
        <v>2381683.379288889</v>
      </c>
      <c r="T53" s="17">
        <v>50</v>
      </c>
      <c r="U53" s="17">
        <v>18</v>
      </c>
      <c r="V53" s="17">
        <v>50</v>
      </c>
      <c r="W53" s="17">
        <v>60</v>
      </c>
      <c r="X53" s="28">
        <f>SUMPRODUCT(T53:W53,'Fisico SPOT MAT'!T53:W53)*24</f>
        <v>2009471.3939999994</v>
      </c>
      <c r="Y53" s="19">
        <v>0</v>
      </c>
      <c r="Z53" s="19">
        <v>5</v>
      </c>
      <c r="AA53" s="19">
        <v>0</v>
      </c>
      <c r="AB53" s="28">
        <f>SUMPRODUCT(Y53:AA53,'Fisico SPOT MAT'!Y53:AA53)*E53</f>
        <v>33200</v>
      </c>
      <c r="AC53" s="122">
        <f>(T53*'Fisico SPOT MAT'!T53+'Mono SPOT MAT'!V53*'Fisico SPOT MAT'!V53+'Mono SPOT MAT'!W53*'Fisico SPOT MAT'!W53)/'Fisico SPOT MAT'!AC53</f>
        <v>60</v>
      </c>
      <c r="AE53" s="41">
        <v>31.045702245769885</v>
      </c>
      <c r="AF53" s="41">
        <v>26.758895259585856</v>
      </c>
      <c r="AG53">
        <v>5050</v>
      </c>
      <c r="AH53" s="64">
        <f t="shared" si="6"/>
        <v>1.6230849015894673</v>
      </c>
    </row>
    <row r="54" spans="1:37" hidden="1" x14ac:dyDescent="0.3">
      <c r="A54" s="49">
        <v>1443</v>
      </c>
      <c r="B54" s="49">
        <v>1429.75</v>
      </c>
      <c r="C54" s="1">
        <f t="shared" si="1"/>
        <v>2025</v>
      </c>
      <c r="D54" s="1">
        <f t="shared" si="2"/>
        <v>10</v>
      </c>
      <c r="E54" s="1">
        <v>16</v>
      </c>
      <c r="F54" s="1" t="s">
        <v>37</v>
      </c>
      <c r="G54" s="56">
        <f t="shared" si="7"/>
        <v>45960</v>
      </c>
      <c r="H54" s="17">
        <f t="shared" si="3"/>
        <v>33.493164079466212</v>
      </c>
      <c r="I54" s="17">
        <f t="shared" si="4"/>
        <v>26.974328946763944</v>
      </c>
      <c r="J54" s="17">
        <v>22</v>
      </c>
      <c r="K54" s="17"/>
      <c r="L54" s="17">
        <v>32</v>
      </c>
      <c r="M54" s="44">
        <f>SUMPRODUCT(H54:L54,'Fisico SPOT MAT'!H54:L54)*24</f>
        <v>3403084.4277992402</v>
      </c>
      <c r="N54" s="19">
        <f>+'Fisico SPOT MAT'!AH54</f>
        <v>11.672459297286442</v>
      </c>
      <c r="O54" s="19">
        <f t="shared" si="5"/>
        <v>13.466666666666667</v>
      </c>
      <c r="P54" s="19">
        <v>6</v>
      </c>
      <c r="Q54" s="19"/>
      <c r="R54" s="19">
        <v>0</v>
      </c>
      <c r="S54" s="44">
        <f>SUMPRODUCT(N54:R54,'Fisico SPOT MAT'!N54:R54)*E54</f>
        <v>2373136.9500444443</v>
      </c>
      <c r="T54" s="17">
        <v>50</v>
      </c>
      <c r="U54" s="17">
        <v>18</v>
      </c>
      <c r="V54" s="17">
        <v>50</v>
      </c>
      <c r="W54" s="17">
        <v>60</v>
      </c>
      <c r="X54" s="28">
        <f>SUMPRODUCT(T54:W54,'Fisico SPOT MAT'!T54:W54)*24</f>
        <v>2457626.9040000001</v>
      </c>
      <c r="Y54" s="19">
        <v>0</v>
      </c>
      <c r="Z54" s="19">
        <v>5</v>
      </c>
      <c r="AA54" s="19">
        <v>0</v>
      </c>
      <c r="AB54" s="28">
        <f>SUMPRODUCT(Y54:AA54,'Fisico SPOT MAT'!Y54:AA54)*E54</f>
        <v>33200</v>
      </c>
      <c r="AC54" s="122">
        <f>(T54*'Fisico SPOT MAT'!T54+'Mono SPOT MAT'!V54*'Fisico SPOT MAT'!V54+'Mono SPOT MAT'!W54*'Fisico SPOT MAT'!W54)/'Fisico SPOT MAT'!AC54</f>
        <v>60.000000000000007</v>
      </c>
      <c r="AE54" s="41">
        <v>31.81795229926577</v>
      </c>
      <c r="AF54" s="41">
        <v>26.974328946763944</v>
      </c>
      <c r="AG54">
        <v>5050</v>
      </c>
      <c r="AH54" s="64">
        <f t="shared" si="6"/>
        <v>1.6752117802004396</v>
      </c>
    </row>
    <row r="55" spans="1:37" hidden="1" x14ac:dyDescent="0.3">
      <c r="A55" s="49">
        <v>1443</v>
      </c>
      <c r="B55" s="49">
        <v>1429.75</v>
      </c>
      <c r="C55" s="1">
        <f t="shared" si="1"/>
        <v>2025</v>
      </c>
      <c r="D55" s="1">
        <f t="shared" si="2"/>
        <v>10</v>
      </c>
      <c r="E55" s="1">
        <v>16</v>
      </c>
      <c r="F55" s="1" t="s">
        <v>38</v>
      </c>
      <c r="G55" s="56">
        <f t="shared" si="7"/>
        <v>45961</v>
      </c>
      <c r="H55" s="17">
        <f t="shared" si="3"/>
        <v>33.622152524567753</v>
      </c>
      <c r="I55" s="17">
        <f t="shared" si="4"/>
        <v>27.302931012390992</v>
      </c>
      <c r="J55" s="17">
        <v>22</v>
      </c>
      <c r="K55" s="17"/>
      <c r="L55" s="17">
        <v>32</v>
      </c>
      <c r="M55" s="44">
        <f>SUMPRODUCT(H55:L55,'Fisico SPOT MAT'!H55:L55)*24</f>
        <v>2976246.5348831494</v>
      </c>
      <c r="N55" s="19">
        <f>+'Fisico SPOT MAT'!AH55</f>
        <v>11.674656759021081</v>
      </c>
      <c r="O55" s="19">
        <f t="shared" si="5"/>
        <v>13.466666666666667</v>
      </c>
      <c r="P55" s="19">
        <v>6</v>
      </c>
      <c r="Q55" s="19"/>
      <c r="R55" s="19">
        <v>0</v>
      </c>
      <c r="S55" s="44">
        <f>SUMPRODUCT(N55:R55,'Fisico SPOT MAT'!N55:R55)*E55</f>
        <v>2381327.1264888891</v>
      </c>
      <c r="T55" s="17">
        <v>50</v>
      </c>
      <c r="U55" s="17">
        <v>18</v>
      </c>
      <c r="V55" s="17">
        <v>50</v>
      </c>
      <c r="W55" s="17">
        <v>60</v>
      </c>
      <c r="X55" s="28">
        <f>SUMPRODUCT(T55:W55,'Fisico SPOT MAT'!T55:W55)*24</f>
        <v>2933378.2739999997</v>
      </c>
      <c r="Y55" s="19">
        <v>0</v>
      </c>
      <c r="Z55" s="19">
        <v>5</v>
      </c>
      <c r="AA55" s="19">
        <v>0</v>
      </c>
      <c r="AB55" s="28">
        <f>SUMPRODUCT(Y55:AA55,'Fisico SPOT MAT'!Y55:AA55)*E55</f>
        <v>33200</v>
      </c>
      <c r="AC55" s="122">
        <f>(T55*'Fisico SPOT MAT'!T55+'Mono SPOT MAT'!V55*'Fisico SPOT MAT'!V55+'Mono SPOT MAT'!W55*'Fisico SPOT MAT'!W55)/'Fisico SPOT MAT'!AC55</f>
        <v>60</v>
      </c>
      <c r="AE55" s="41">
        <v>31.938784566339812</v>
      </c>
      <c r="AF55" s="41">
        <v>27.302931012390992</v>
      </c>
      <c r="AG55">
        <v>5050</v>
      </c>
      <c r="AH55" s="64">
        <f t="shared" si="6"/>
        <v>1.6833679582279375</v>
      </c>
    </row>
    <row r="56" spans="1:37" hidden="1" x14ac:dyDescent="0.3">
      <c r="A56" s="3">
        <v>1450.75</v>
      </c>
      <c r="B56" s="42">
        <v>1429.75</v>
      </c>
      <c r="C56" s="1">
        <f t="shared" si="1"/>
        <v>2025</v>
      </c>
      <c r="D56" s="1">
        <f t="shared" si="2"/>
        <v>11</v>
      </c>
      <c r="E56" s="1">
        <v>6</v>
      </c>
      <c r="F56" s="1" t="s">
        <v>43</v>
      </c>
      <c r="G56" s="56">
        <f t="shared" si="7"/>
        <v>45962</v>
      </c>
      <c r="H56" s="17">
        <f t="shared" si="3"/>
        <v>37.438050793883455</v>
      </c>
      <c r="I56" s="17">
        <f>+AF56+AH56</f>
        <v>30.041833598106063</v>
      </c>
      <c r="J56" s="17">
        <v>22</v>
      </c>
      <c r="K56" s="17"/>
      <c r="L56" s="17">
        <v>32</v>
      </c>
      <c r="M56" s="44">
        <f>SUMPRODUCT(H56:L56,'Fisico SPOT MAT'!H56:L56)*24</f>
        <v>3464236.5547976336</v>
      </c>
      <c r="N56" s="19">
        <f>+'Fisico SPOT MAT'!AH56</f>
        <v>11.671607859799817</v>
      </c>
      <c r="O56" s="19">
        <f>AG56/AK56</f>
        <v>14.511494252873563</v>
      </c>
      <c r="P56" s="19">
        <v>6</v>
      </c>
      <c r="Q56" s="19"/>
      <c r="R56" s="19">
        <v>0</v>
      </c>
      <c r="S56" s="44">
        <f>SUMPRODUCT(N56:R56,'Fisico SPOT MAT'!N56:R56)*E56</f>
        <v>884213.36045689671</v>
      </c>
      <c r="T56" s="17">
        <v>50</v>
      </c>
      <c r="U56" s="17">
        <v>18</v>
      </c>
      <c r="V56" s="17">
        <v>50</v>
      </c>
      <c r="W56" s="17">
        <v>60</v>
      </c>
      <c r="X56" s="28">
        <f>SUMPRODUCT(T56:W56,'Fisico SPOT MAT'!T56:W56)*24</f>
        <v>1978131.1379999998</v>
      </c>
      <c r="Y56" s="19">
        <v>0</v>
      </c>
      <c r="Z56" s="19">
        <v>5</v>
      </c>
      <c r="AA56" s="19">
        <v>0</v>
      </c>
      <c r="AB56" s="28">
        <f>SUMPRODUCT(Y56:AA56,'Fisico SPOT MAT'!Y56:AA56)*E56</f>
        <v>12450</v>
      </c>
      <c r="AC56" s="122">
        <f>(T56*'Fisico SPOT MAT'!T56+'Mono SPOT MAT'!V56*'Fisico SPOT MAT'!V56+'Mono SPOT MAT'!W56*'Fisico SPOT MAT'!W56)/'Fisico SPOT MAT'!AC56</f>
        <v>60</v>
      </c>
      <c r="AE56" s="41">
        <v>35.513396528228064</v>
      </c>
      <c r="AF56" s="41">
        <v>28.117179332450668</v>
      </c>
      <c r="AG56">
        <v>5050</v>
      </c>
      <c r="AH56" s="64">
        <f t="shared" si="6"/>
        <v>1.9246542656553944</v>
      </c>
      <c r="AK56">
        <v>348</v>
      </c>
    </row>
    <row r="57" spans="1:37" hidden="1" x14ac:dyDescent="0.3">
      <c r="A57" s="3">
        <v>1450.75</v>
      </c>
      <c r="B57" s="42">
        <v>1429.75</v>
      </c>
      <c r="C57" s="1">
        <f t="shared" si="1"/>
        <v>2025</v>
      </c>
      <c r="D57" s="1">
        <f t="shared" si="2"/>
        <v>11</v>
      </c>
      <c r="E57" s="1">
        <v>4</v>
      </c>
      <c r="F57" s="1" t="s">
        <v>44</v>
      </c>
      <c r="G57" s="56">
        <f t="shared" si="7"/>
        <v>45963</v>
      </c>
      <c r="H57" s="17">
        <f t="shared" si="3"/>
        <v>38.105237267804704</v>
      </c>
      <c r="I57" s="17">
        <f t="shared" ref="I57:I84" si="8">+AF57+AH57</f>
        <v>30.16088506891623</v>
      </c>
      <c r="J57" s="17">
        <v>22</v>
      </c>
      <c r="K57" s="17"/>
      <c r="L57" s="17">
        <v>32</v>
      </c>
      <c r="M57" s="44">
        <f>SUMPRODUCT(H57:L57,'Fisico SPOT MAT'!H57:L57)*24</f>
        <v>3760596.4890562487</v>
      </c>
      <c r="N57" s="19">
        <f>+'Fisico SPOT MAT'!AH57</f>
        <v>11.671488935336704</v>
      </c>
      <c r="O57" s="19">
        <f t="shared" ref="O57:O120" si="9">AG57/AK57</f>
        <v>14.511494252873563</v>
      </c>
      <c r="P57" s="19">
        <v>6</v>
      </c>
      <c r="Q57" s="19"/>
      <c r="R57" s="19">
        <v>0</v>
      </c>
      <c r="S57" s="44">
        <f>SUMPRODUCT(N57:R57,'Fisico SPOT MAT'!N57:R57)*E57</f>
        <v>589592.9299090039</v>
      </c>
      <c r="T57" s="17">
        <v>50</v>
      </c>
      <c r="U57" s="17">
        <v>18</v>
      </c>
      <c r="V57" s="17">
        <v>50</v>
      </c>
      <c r="W57" s="17">
        <v>60</v>
      </c>
      <c r="X57" s="28">
        <f>SUMPRODUCT(T57:W57,'Fisico SPOT MAT'!T57:W57)*24</f>
        <v>1684529.6519999998</v>
      </c>
      <c r="Y57" s="19">
        <v>0</v>
      </c>
      <c r="Z57" s="19">
        <v>5</v>
      </c>
      <c r="AA57" s="19">
        <v>0</v>
      </c>
      <c r="AB57" s="28">
        <f>SUMPRODUCT(Y57:AA57,'Fisico SPOT MAT'!Y57:AA57)*E57</f>
        <v>8300</v>
      </c>
      <c r="AC57" s="122">
        <f>(T57*'Fisico SPOT MAT'!T57+'Mono SPOT MAT'!V57*'Fisico SPOT MAT'!V57+'Mono SPOT MAT'!W57*'Fisico SPOT MAT'!W57)/'Fisico SPOT MAT'!AC57</f>
        <v>60</v>
      </c>
      <c r="AE57" s="41">
        <v>36.138395567030166</v>
      </c>
      <c r="AF57" s="41">
        <v>28.194043368141692</v>
      </c>
      <c r="AG57">
        <v>5050</v>
      </c>
      <c r="AH57" s="64">
        <f t="shared" si="6"/>
        <v>1.9668417007745362</v>
      </c>
      <c r="AK57">
        <v>348</v>
      </c>
    </row>
    <row r="58" spans="1:37" hidden="1" x14ac:dyDescent="0.3">
      <c r="A58" s="3">
        <v>1450.75</v>
      </c>
      <c r="B58" s="42">
        <v>1470.8330000000001</v>
      </c>
      <c r="C58" s="1">
        <f t="shared" si="1"/>
        <v>2025</v>
      </c>
      <c r="D58" s="1">
        <f t="shared" si="2"/>
        <v>11</v>
      </c>
      <c r="E58" s="1">
        <v>16</v>
      </c>
      <c r="F58" s="1" t="s">
        <v>45</v>
      </c>
      <c r="G58" s="56">
        <f t="shared" si="7"/>
        <v>45964</v>
      </c>
      <c r="H58" s="17">
        <f t="shared" si="3"/>
        <v>38.702779807794911</v>
      </c>
      <c r="I58" s="17">
        <f t="shared" si="8"/>
        <v>31.392911926434685</v>
      </c>
      <c r="J58" s="17">
        <v>22</v>
      </c>
      <c r="K58" s="17"/>
      <c r="L58" s="17">
        <v>32</v>
      </c>
      <c r="M58" s="44">
        <f>SUMPRODUCT(H58:L58,'Fisico SPOT MAT'!H58:L58)*24</f>
        <v>4211950.4994103648</v>
      </c>
      <c r="N58" s="19">
        <f>+'Fisico SPOT MAT'!AH58</f>
        <v>11.677046744385043</v>
      </c>
      <c r="O58" s="19">
        <f t="shared" si="9"/>
        <v>14.511494252873563</v>
      </c>
      <c r="P58" s="19">
        <v>6</v>
      </c>
      <c r="Q58" s="19"/>
      <c r="R58" s="19">
        <v>0</v>
      </c>
      <c r="S58" s="44">
        <f>SUMPRODUCT(N58:R58,'Fisico SPOT MAT'!N58:R58)*E58</f>
        <v>2389210.6346743279</v>
      </c>
      <c r="T58" s="17">
        <v>50</v>
      </c>
      <c r="U58" s="17">
        <v>18</v>
      </c>
      <c r="V58" s="17">
        <v>50</v>
      </c>
      <c r="W58" s="17">
        <v>60</v>
      </c>
      <c r="X58" s="28">
        <f>SUMPRODUCT(T58:W58,'Fisico SPOT MAT'!T58:W58)*24</f>
        <v>1882228.3080000007</v>
      </c>
      <c r="Y58" s="19">
        <v>0</v>
      </c>
      <c r="Z58" s="19">
        <v>5</v>
      </c>
      <c r="AA58" s="19">
        <v>0</v>
      </c>
      <c r="AB58" s="28">
        <f>SUMPRODUCT(Y58:AA58,'Fisico SPOT MAT'!Y58:AA58)*E58</f>
        <v>33200</v>
      </c>
      <c r="AC58" s="122">
        <f>(T58*'Fisico SPOT MAT'!T58+'Mono SPOT MAT'!V58*'Fisico SPOT MAT'!V58+'Mono SPOT MAT'!W58*'Fisico SPOT MAT'!W58)/'Fisico SPOT MAT'!AC58</f>
        <v>60.000000000000007</v>
      </c>
      <c r="AE58" s="41">
        <v>36.698154386693126</v>
      </c>
      <c r="AF58" s="41">
        <v>29.3882865053329</v>
      </c>
      <c r="AG58">
        <v>5050</v>
      </c>
      <c r="AH58" s="64">
        <f t="shared" si="6"/>
        <v>2.0046254211017862</v>
      </c>
      <c r="AK58">
        <v>348</v>
      </c>
    </row>
    <row r="59" spans="1:37" hidden="1" x14ac:dyDescent="0.3">
      <c r="A59" s="3">
        <v>1450.75</v>
      </c>
      <c r="B59" s="42">
        <v>1470.8330000000001</v>
      </c>
      <c r="C59" s="1">
        <f t="shared" si="1"/>
        <v>2025</v>
      </c>
      <c r="D59" s="1">
        <f t="shared" si="2"/>
        <v>11</v>
      </c>
      <c r="E59" s="1">
        <v>16</v>
      </c>
      <c r="F59" s="1" t="s">
        <v>46</v>
      </c>
      <c r="G59" s="56">
        <f t="shared" si="7"/>
        <v>45965</v>
      </c>
      <c r="H59" s="17">
        <f t="shared" si="3"/>
        <v>39.880057218701339</v>
      </c>
      <c r="I59" s="17">
        <f t="shared" si="8"/>
        <v>32.510350517534008</v>
      </c>
      <c r="J59" s="17">
        <v>22</v>
      </c>
      <c r="K59" s="17"/>
      <c r="L59" s="17">
        <v>32</v>
      </c>
      <c r="M59" s="44">
        <f>SUMPRODUCT(H59:L59,'Fisico SPOT MAT'!H59:L59)*24</f>
        <v>4550052.4826613292</v>
      </c>
      <c r="N59" s="19">
        <f>+'Fisico SPOT MAT'!AH59</f>
        <v>11.671655625092653</v>
      </c>
      <c r="O59" s="19">
        <f t="shared" si="9"/>
        <v>14.511494252873563</v>
      </c>
      <c r="P59" s="19">
        <v>6</v>
      </c>
      <c r="Q59" s="19"/>
      <c r="R59" s="19">
        <v>0</v>
      </c>
      <c r="S59" s="44">
        <f>SUMPRODUCT(N59:R59,'Fisico SPOT MAT'!N59:R59)*E59</f>
        <v>2355687.5497432947</v>
      </c>
      <c r="T59" s="17">
        <v>50</v>
      </c>
      <c r="U59" s="17">
        <v>18</v>
      </c>
      <c r="V59" s="17">
        <v>50</v>
      </c>
      <c r="W59" s="17">
        <v>60</v>
      </c>
      <c r="X59" s="28">
        <f>SUMPRODUCT(T59:W59,'Fisico SPOT MAT'!T59:W59)*24</f>
        <v>1922581.1219999995</v>
      </c>
      <c r="Y59" s="19">
        <v>0</v>
      </c>
      <c r="Z59" s="19">
        <v>5</v>
      </c>
      <c r="AA59" s="19">
        <v>0</v>
      </c>
      <c r="AB59" s="28">
        <f>SUMPRODUCT(Y59:AA59,'Fisico SPOT MAT'!Y59:AA59)*E59</f>
        <v>33200</v>
      </c>
      <c r="AC59" s="122">
        <f>(T59*'Fisico SPOT MAT'!T59+'Mono SPOT MAT'!V59*'Fisico SPOT MAT'!V59+'Mono SPOT MAT'!W59*'Fisico SPOT MAT'!W59)/'Fisico SPOT MAT'!AC59</f>
        <v>59.999999999999993</v>
      </c>
      <c r="AE59" s="41">
        <v>37.800990368806872</v>
      </c>
      <c r="AF59" s="41">
        <v>30.431283667639541</v>
      </c>
      <c r="AG59">
        <v>5050</v>
      </c>
      <c r="AH59" s="64">
        <f t="shared" si="6"/>
        <v>2.0790668498944638</v>
      </c>
      <c r="AK59">
        <v>348</v>
      </c>
    </row>
    <row r="60" spans="1:37" hidden="1" x14ac:dyDescent="0.3">
      <c r="A60" s="3">
        <v>1450.75</v>
      </c>
      <c r="B60" s="42">
        <v>1470.8330000000001</v>
      </c>
      <c r="C60" s="1">
        <f t="shared" si="1"/>
        <v>2025</v>
      </c>
      <c r="D60" s="1">
        <f t="shared" si="2"/>
        <v>11</v>
      </c>
      <c r="E60" s="1">
        <v>16</v>
      </c>
      <c r="F60" s="1" t="s">
        <v>47</v>
      </c>
      <c r="G60" s="56">
        <f t="shared" si="7"/>
        <v>45966</v>
      </c>
      <c r="H60" s="17">
        <f t="shared" si="3"/>
        <v>38.16801181080919</v>
      </c>
      <c r="I60" s="17">
        <f t="shared" si="8"/>
        <v>30.508504044086326</v>
      </c>
      <c r="J60" s="17">
        <v>22</v>
      </c>
      <c r="K60" s="17"/>
      <c r="L60" s="17">
        <v>32</v>
      </c>
      <c r="M60" s="44">
        <f>SUMPRODUCT(H60:L60,'Fisico SPOT MAT'!H60:L60)*24</f>
        <v>4598534.9275327353</v>
      </c>
      <c r="N60" s="19">
        <f>+'Fisico SPOT MAT'!AH60</f>
        <v>11.687439722940493</v>
      </c>
      <c r="O60" s="19">
        <f t="shared" si="9"/>
        <v>14.511494252873563</v>
      </c>
      <c r="P60" s="19">
        <v>6</v>
      </c>
      <c r="Q60" s="19"/>
      <c r="R60" s="19">
        <v>0</v>
      </c>
      <c r="S60" s="44">
        <f>SUMPRODUCT(N60:R60,'Fisico SPOT MAT'!N60:R60)*E60</f>
        <v>2466355.5445517236</v>
      </c>
      <c r="T60" s="17">
        <v>50</v>
      </c>
      <c r="U60" s="17">
        <v>18</v>
      </c>
      <c r="V60" s="17">
        <v>50</v>
      </c>
      <c r="W60" s="17">
        <v>60</v>
      </c>
      <c r="X60" s="28">
        <f>SUMPRODUCT(T60:W60,'Fisico SPOT MAT'!T60:W60)*24</f>
        <v>1733502.906</v>
      </c>
      <c r="Y60" s="19">
        <v>0</v>
      </c>
      <c r="Z60" s="19">
        <v>5</v>
      </c>
      <c r="AA60" s="19">
        <v>0</v>
      </c>
      <c r="AB60" s="28">
        <f>SUMPRODUCT(Y60:AA60,'Fisico SPOT MAT'!Y60:AA60)*E60</f>
        <v>33200</v>
      </c>
      <c r="AC60" s="122">
        <f>(T60*'Fisico SPOT MAT'!T60+'Mono SPOT MAT'!V60*'Fisico SPOT MAT'!V60+'Mono SPOT MAT'!W60*'Fisico SPOT MAT'!W60)/'Fisico SPOT MAT'!AC60</f>
        <v>60</v>
      </c>
      <c r="AE60" s="41">
        <v>36.197200759540223</v>
      </c>
      <c r="AF60" s="41">
        <v>28.537692992817362</v>
      </c>
      <c r="AG60">
        <v>5050</v>
      </c>
      <c r="AH60" s="64">
        <f t="shared" si="6"/>
        <v>1.9708110512689652</v>
      </c>
      <c r="AK60">
        <v>348</v>
      </c>
    </row>
    <row r="61" spans="1:37" hidden="1" x14ac:dyDescent="0.3">
      <c r="A61" s="3">
        <v>1450.75</v>
      </c>
      <c r="B61" s="42">
        <v>1470.8330000000001</v>
      </c>
      <c r="C61" s="1">
        <f t="shared" si="1"/>
        <v>2025</v>
      </c>
      <c r="D61" s="1">
        <f t="shared" si="2"/>
        <v>11</v>
      </c>
      <c r="E61" s="1">
        <v>16</v>
      </c>
      <c r="F61" s="1" t="s">
        <v>48</v>
      </c>
      <c r="G61" s="56">
        <f t="shared" si="7"/>
        <v>45967</v>
      </c>
      <c r="H61" s="17">
        <f t="shared" si="3"/>
        <v>37.079803462856162</v>
      </c>
      <c r="I61" s="17">
        <f t="shared" si="8"/>
        <v>30.383193081275909</v>
      </c>
      <c r="J61" s="17">
        <v>22</v>
      </c>
      <c r="K61" s="17"/>
      <c r="L61" s="17">
        <v>32</v>
      </c>
      <c r="M61" s="44">
        <f>SUMPRODUCT(H61:L61,'Fisico SPOT MAT'!H61:L61)*24</f>
        <v>4438766.5515374057</v>
      </c>
      <c r="N61" s="19">
        <f>+'Fisico SPOT MAT'!AH61</f>
        <v>11.696105542938874</v>
      </c>
      <c r="O61" s="19">
        <f t="shared" si="9"/>
        <v>14.511494252873563</v>
      </c>
      <c r="P61" s="19">
        <v>6</v>
      </c>
      <c r="Q61" s="19"/>
      <c r="R61" s="19">
        <v>0</v>
      </c>
      <c r="S61" s="44">
        <f>SUMPRODUCT(N61:R61,'Fisico SPOT MAT'!N61:R61)*E61</f>
        <v>2530310.5432720287</v>
      </c>
      <c r="T61" s="17">
        <v>50</v>
      </c>
      <c r="U61" s="17">
        <v>18</v>
      </c>
      <c r="V61" s="17">
        <v>50</v>
      </c>
      <c r="W61" s="17">
        <v>60</v>
      </c>
      <c r="X61" s="28">
        <f>SUMPRODUCT(T61:W61,'Fisico SPOT MAT'!T61:W61)*24</f>
        <v>1763485.716</v>
      </c>
      <c r="Y61" s="19">
        <v>0</v>
      </c>
      <c r="Z61" s="19">
        <v>5</v>
      </c>
      <c r="AA61" s="19">
        <v>0</v>
      </c>
      <c r="AB61" s="28">
        <f>SUMPRODUCT(Y61:AA61,'Fisico SPOT MAT'!Y61:AA61)*E61</f>
        <v>33200</v>
      </c>
      <c r="AC61" s="122">
        <f>(T61*'Fisico SPOT MAT'!T61+'Mono SPOT MAT'!V61*'Fisico SPOT MAT'!V61+'Mono SPOT MAT'!W61*'Fisico SPOT MAT'!W61)/'Fisico SPOT MAT'!AC61</f>
        <v>59.999999999999993</v>
      </c>
      <c r="AE61" s="41">
        <v>35.177801838741132</v>
      </c>
      <c r="AF61" s="41">
        <v>28.481191457160882</v>
      </c>
      <c r="AG61">
        <v>5050</v>
      </c>
      <c r="AH61" s="64">
        <f t="shared" si="6"/>
        <v>1.9020016241150266</v>
      </c>
      <c r="AK61">
        <v>348</v>
      </c>
    </row>
    <row r="62" spans="1:37" hidden="1" x14ac:dyDescent="0.3">
      <c r="A62" s="3">
        <v>1450.75</v>
      </c>
      <c r="B62" s="42">
        <v>1470.8330000000001</v>
      </c>
      <c r="C62" s="1">
        <f t="shared" si="1"/>
        <v>2025</v>
      </c>
      <c r="D62" s="1">
        <f t="shared" si="2"/>
        <v>11</v>
      </c>
      <c r="E62" s="1">
        <v>16</v>
      </c>
      <c r="F62" s="1" t="s">
        <v>49</v>
      </c>
      <c r="G62" s="56">
        <f t="shared" si="7"/>
        <v>45968</v>
      </c>
      <c r="H62" s="17">
        <f t="shared" si="3"/>
        <v>37.035330703389192</v>
      </c>
      <c r="I62" s="17">
        <f t="shared" si="8"/>
        <v>30.159812489025562</v>
      </c>
      <c r="J62" s="17">
        <v>22</v>
      </c>
      <c r="K62" s="17"/>
      <c r="L62" s="17">
        <v>32</v>
      </c>
      <c r="M62" s="44">
        <f>SUMPRODUCT(H62:L62,'Fisico SPOT MAT'!H62:L62)*24</f>
        <v>4356028.6774959005</v>
      </c>
      <c r="N62" s="19">
        <f>+'Fisico SPOT MAT'!AH62</f>
        <v>11.704957353668528</v>
      </c>
      <c r="O62" s="19">
        <f t="shared" si="9"/>
        <v>14.511494252873563</v>
      </c>
      <c r="P62" s="19">
        <v>6</v>
      </c>
      <c r="Q62" s="19"/>
      <c r="R62" s="19">
        <v>0</v>
      </c>
      <c r="S62" s="44">
        <f>SUMPRODUCT(N62:R62,'Fisico SPOT MAT'!N62:R62)*E62</f>
        <v>2600936.7315517236</v>
      </c>
      <c r="T62" s="17">
        <v>50</v>
      </c>
      <c r="U62" s="17">
        <v>18</v>
      </c>
      <c r="V62" s="17">
        <v>50</v>
      </c>
      <c r="W62" s="17">
        <v>60</v>
      </c>
      <c r="X62" s="28">
        <f>SUMPRODUCT(T62:W62,'Fisico SPOT MAT'!T62:W62)*24</f>
        <v>1282443.1139999998</v>
      </c>
      <c r="Y62" s="19">
        <v>0</v>
      </c>
      <c r="Z62" s="19">
        <v>5</v>
      </c>
      <c r="AA62" s="19">
        <v>0</v>
      </c>
      <c r="AB62" s="28">
        <f>SUMPRODUCT(Y62:AA62,'Fisico SPOT MAT'!Y62:AA62)*E62</f>
        <v>33200</v>
      </c>
      <c r="AC62" s="122">
        <f>(T62*'Fisico SPOT MAT'!T62+'Mono SPOT MAT'!V62*'Fisico SPOT MAT'!V62+'Mono SPOT MAT'!W62*'Fisico SPOT MAT'!W62)/'Fisico SPOT MAT'!AC62</f>
        <v>60</v>
      </c>
      <c r="AE62" s="41">
        <v>35.136141174135076</v>
      </c>
      <c r="AF62" s="41">
        <v>28.260622959771442</v>
      </c>
      <c r="AG62">
        <v>5050</v>
      </c>
      <c r="AH62" s="64">
        <f t="shared" si="6"/>
        <v>1.8991895292541179</v>
      </c>
      <c r="AK62">
        <v>348</v>
      </c>
    </row>
    <row r="63" spans="1:37" hidden="1" x14ac:dyDescent="0.3">
      <c r="A63" s="3">
        <v>1450.75</v>
      </c>
      <c r="B63" s="42">
        <v>1470.8330000000001</v>
      </c>
      <c r="C63" s="1">
        <f t="shared" si="1"/>
        <v>2025</v>
      </c>
      <c r="D63" s="1">
        <f t="shared" si="2"/>
        <v>11</v>
      </c>
      <c r="E63" s="1">
        <v>6</v>
      </c>
      <c r="F63" s="1" t="s">
        <v>43</v>
      </c>
      <c r="G63" s="56">
        <f t="shared" si="7"/>
        <v>45969</v>
      </c>
      <c r="H63" s="17">
        <f t="shared" si="3"/>
        <v>38.819896445149766</v>
      </c>
      <c r="I63" s="17">
        <f t="shared" si="8"/>
        <v>32.569342374700099</v>
      </c>
      <c r="J63" s="17">
        <v>22</v>
      </c>
      <c r="K63" s="17"/>
      <c r="L63" s="17">
        <v>32</v>
      </c>
      <c r="M63" s="44">
        <f>SUMPRODUCT(H63:L63,'Fisico SPOT MAT'!H63:L63)*24</f>
        <v>3833054.1601002901</v>
      </c>
      <c r="N63" s="19">
        <f>+'Fisico SPOT MAT'!AH63</f>
        <v>11.681266243040238</v>
      </c>
      <c r="O63" s="19">
        <f t="shared" si="9"/>
        <v>14.511494252873563</v>
      </c>
      <c r="P63" s="19">
        <v>6</v>
      </c>
      <c r="Q63" s="19"/>
      <c r="R63" s="19">
        <v>0</v>
      </c>
      <c r="S63" s="44">
        <f>SUMPRODUCT(N63:R63,'Fisico SPOT MAT'!N63:R63)*E63</f>
        <v>911091.996005747</v>
      </c>
      <c r="T63" s="17">
        <v>50</v>
      </c>
      <c r="U63" s="17">
        <v>18</v>
      </c>
      <c r="V63" s="17">
        <v>50</v>
      </c>
      <c r="W63" s="17">
        <v>60</v>
      </c>
      <c r="X63" s="28">
        <f>SUMPRODUCT(T63:W63,'Fisico SPOT MAT'!T63:W63)*24</f>
        <v>1063535.2619999999</v>
      </c>
      <c r="Y63" s="19">
        <v>0</v>
      </c>
      <c r="Z63" s="19">
        <v>5</v>
      </c>
      <c r="AA63" s="19">
        <v>0</v>
      </c>
      <c r="AB63" s="28">
        <f>SUMPRODUCT(Y63:AA63,'Fisico SPOT MAT'!Y63:AA63)*E63</f>
        <v>12450</v>
      </c>
      <c r="AC63" s="122">
        <f>(T63*'Fisico SPOT MAT'!T63+'Mono SPOT MAT'!V63*'Fisico SPOT MAT'!V63+'Mono SPOT MAT'!W63*'Fisico SPOT MAT'!W63)/'Fisico SPOT MAT'!AC63</f>
        <v>59.999999999999993</v>
      </c>
      <c r="AE63" s="41">
        <v>36.807865522388539</v>
      </c>
      <c r="AF63" s="41">
        <v>30.557311451938876</v>
      </c>
      <c r="AG63">
        <v>5050</v>
      </c>
      <c r="AH63" s="64">
        <f t="shared" si="6"/>
        <v>2.0120309227612263</v>
      </c>
      <c r="AK63">
        <v>348</v>
      </c>
    </row>
    <row r="64" spans="1:37" hidden="1" x14ac:dyDescent="0.3">
      <c r="A64" s="3">
        <v>1450.75</v>
      </c>
      <c r="B64" s="42">
        <v>1470.8330000000001</v>
      </c>
      <c r="C64" s="1">
        <f t="shared" si="1"/>
        <v>2025</v>
      </c>
      <c r="D64" s="1">
        <f t="shared" si="2"/>
        <v>11</v>
      </c>
      <c r="E64" s="1">
        <v>4</v>
      </c>
      <c r="F64" s="1" t="s">
        <v>44</v>
      </c>
      <c r="G64" s="56">
        <f t="shared" si="7"/>
        <v>45970</v>
      </c>
      <c r="H64" s="17">
        <f t="shared" si="3"/>
        <v>36.832159324947426</v>
      </c>
      <c r="I64" s="17">
        <f t="shared" si="8"/>
        <v>31.954547149157673</v>
      </c>
      <c r="J64" s="17">
        <v>22</v>
      </c>
      <c r="K64" s="17"/>
      <c r="L64" s="17">
        <v>32</v>
      </c>
      <c r="M64" s="44">
        <f>SUMPRODUCT(H64:L64,'Fisico SPOT MAT'!H64:L64)*24</f>
        <v>3103879.9363303143</v>
      </c>
      <c r="N64" s="19">
        <f>+'Fisico SPOT MAT'!AH64</f>
        <v>11.685639994565209</v>
      </c>
      <c r="O64" s="19">
        <f t="shared" si="9"/>
        <v>14.511494252873563</v>
      </c>
      <c r="P64" s="19">
        <v>6</v>
      </c>
      <c r="Q64" s="19"/>
      <c r="R64" s="19">
        <v>0</v>
      </c>
      <c r="S64" s="44">
        <f>SUMPRODUCT(N64:R64,'Fisico SPOT MAT'!N64:R64)*E64</f>
        <v>615413.15780938684</v>
      </c>
      <c r="T64" s="17">
        <v>50</v>
      </c>
      <c r="U64" s="17">
        <v>18</v>
      </c>
      <c r="V64" s="17">
        <v>50</v>
      </c>
      <c r="W64" s="17">
        <v>60</v>
      </c>
      <c r="X64" s="28">
        <f>SUMPRODUCT(T64:W64,'Fisico SPOT MAT'!T64:W64)*24</f>
        <v>1343193.1799999997</v>
      </c>
      <c r="Y64" s="19">
        <v>0</v>
      </c>
      <c r="Z64" s="19">
        <v>5</v>
      </c>
      <c r="AA64" s="19">
        <v>0</v>
      </c>
      <c r="AB64" s="28">
        <f>SUMPRODUCT(Y64:AA64,'Fisico SPOT MAT'!Y64:AA64)*E64</f>
        <v>8300</v>
      </c>
      <c r="AC64" s="122">
        <f>(T64*'Fisico SPOT MAT'!T64+'Mono SPOT MAT'!V64*'Fisico SPOT MAT'!V64+'Mono SPOT MAT'!W64*'Fisico SPOT MAT'!W64)/'Fisico SPOT MAT'!AC64</f>
        <v>60</v>
      </c>
      <c r="AE64" s="41">
        <v>34.945816697843021</v>
      </c>
      <c r="AF64" s="41">
        <v>30.068204522053268</v>
      </c>
      <c r="AG64">
        <v>5050</v>
      </c>
      <c r="AH64" s="64">
        <f t="shared" si="6"/>
        <v>1.8863426271044041</v>
      </c>
      <c r="AK64">
        <v>348</v>
      </c>
    </row>
    <row r="65" spans="1:37" hidden="1" x14ac:dyDescent="0.3">
      <c r="A65" s="3">
        <v>1450.75</v>
      </c>
      <c r="B65" s="42">
        <v>1470.8330000000001</v>
      </c>
      <c r="C65" s="1">
        <f t="shared" si="1"/>
        <v>2025</v>
      </c>
      <c r="D65" s="1">
        <f t="shared" si="2"/>
        <v>11</v>
      </c>
      <c r="E65" s="1">
        <v>16</v>
      </c>
      <c r="F65" s="1" t="s">
        <v>45</v>
      </c>
      <c r="G65" s="56">
        <f t="shared" si="7"/>
        <v>45971</v>
      </c>
      <c r="H65" s="17">
        <f t="shared" si="3"/>
        <v>37.952911618249296</v>
      </c>
      <c r="I65" s="17">
        <f t="shared" si="8"/>
        <v>30.423717795585571</v>
      </c>
      <c r="J65" s="17">
        <v>22</v>
      </c>
      <c r="K65" s="17"/>
      <c r="L65" s="17">
        <v>32</v>
      </c>
      <c r="M65" s="44">
        <f>SUMPRODUCT(H65:L65,'Fisico SPOT MAT'!H65:L65)*24</f>
        <v>3932178.4022127967</v>
      </c>
      <c r="N65" s="19">
        <f>+'Fisico SPOT MAT'!AH65</f>
        <v>11.685669693324327</v>
      </c>
      <c r="O65" s="19">
        <f t="shared" si="9"/>
        <v>14.511494252873563</v>
      </c>
      <c r="P65" s="19">
        <v>6</v>
      </c>
      <c r="Q65" s="19"/>
      <c r="R65" s="19">
        <v>0</v>
      </c>
      <c r="S65" s="44">
        <f>SUMPRODUCT(N65:R65,'Fisico SPOT MAT'!N65:R65)*E65</f>
        <v>2476215.6733141746</v>
      </c>
      <c r="T65" s="17">
        <v>50</v>
      </c>
      <c r="U65" s="17">
        <v>18</v>
      </c>
      <c r="V65" s="17">
        <v>50</v>
      </c>
      <c r="W65" s="17">
        <v>60</v>
      </c>
      <c r="X65" s="28">
        <f>SUMPRODUCT(T65:W65,'Fisico SPOT MAT'!T65:W65)*24</f>
        <v>1929043.3680000002</v>
      </c>
      <c r="Y65" s="19">
        <v>0</v>
      </c>
      <c r="Z65" s="19">
        <v>5</v>
      </c>
      <c r="AA65" s="19">
        <v>0</v>
      </c>
      <c r="AB65" s="28">
        <f>SUMPRODUCT(Y65:AA65,'Fisico SPOT MAT'!Y65:AA65)*E65</f>
        <v>33200</v>
      </c>
      <c r="AC65" s="122">
        <f>(T65*'Fisico SPOT MAT'!T65+'Mono SPOT MAT'!V65*'Fisico SPOT MAT'!V65+'Mono SPOT MAT'!W65*'Fisico SPOT MAT'!W65)/'Fisico SPOT MAT'!AC65</f>
        <v>59.999999999999993</v>
      </c>
      <c r="AE65" s="41">
        <v>35.995701750116439</v>
      </c>
      <c r="AF65" s="41">
        <v>28.46650792745271</v>
      </c>
      <c r="AG65">
        <v>5050</v>
      </c>
      <c r="AH65" s="64">
        <f t="shared" si="6"/>
        <v>1.9572098681328598</v>
      </c>
      <c r="AK65">
        <v>348</v>
      </c>
    </row>
    <row r="66" spans="1:37" hidden="1" x14ac:dyDescent="0.3">
      <c r="A66" s="3">
        <v>1450.75</v>
      </c>
      <c r="B66" s="42">
        <v>1470.8330000000001</v>
      </c>
      <c r="C66" s="1">
        <f t="shared" si="1"/>
        <v>2025</v>
      </c>
      <c r="D66" s="1">
        <f t="shared" si="2"/>
        <v>11</v>
      </c>
      <c r="E66" s="1">
        <v>16</v>
      </c>
      <c r="F66" s="1" t="s">
        <v>46</v>
      </c>
      <c r="G66" s="56">
        <f t="shared" si="7"/>
        <v>45972</v>
      </c>
      <c r="H66" s="17">
        <f t="shared" si="3"/>
        <v>38.159700123109047</v>
      </c>
      <c r="I66" s="17">
        <f t="shared" si="8"/>
        <v>30.561886726093807</v>
      </c>
      <c r="J66" s="17">
        <v>22</v>
      </c>
      <c r="K66" s="17"/>
      <c r="L66" s="17">
        <v>32</v>
      </c>
      <c r="M66" s="44">
        <f>SUMPRODUCT(H66:L66,'Fisico SPOT MAT'!H66:L66)*24</f>
        <v>4154820.150513107</v>
      </c>
      <c r="N66" s="19">
        <f>+'Fisico SPOT MAT'!AH66</f>
        <v>11.684911799099471</v>
      </c>
      <c r="O66" s="19">
        <f t="shared" si="9"/>
        <v>14.511494252873563</v>
      </c>
      <c r="P66" s="19">
        <v>6</v>
      </c>
      <c r="Q66" s="19"/>
      <c r="R66" s="19">
        <v>0</v>
      </c>
      <c r="S66" s="44">
        <f>SUMPRODUCT(N66:R66,'Fisico SPOT MAT'!N66:R66)*E66</f>
        <v>2479009.6552643678</v>
      </c>
      <c r="T66" s="17">
        <v>50</v>
      </c>
      <c r="U66" s="17">
        <v>18</v>
      </c>
      <c r="V66" s="17">
        <v>50</v>
      </c>
      <c r="W66" s="17">
        <v>60</v>
      </c>
      <c r="X66" s="28">
        <f>SUMPRODUCT(T66:W66,'Fisico SPOT MAT'!T66:W66)*24</f>
        <v>2625373.3380000009</v>
      </c>
      <c r="Y66" s="19">
        <v>0</v>
      </c>
      <c r="Z66" s="19">
        <v>5</v>
      </c>
      <c r="AA66" s="19">
        <v>0</v>
      </c>
      <c r="AB66" s="28">
        <f>SUMPRODUCT(Y66:AA66,'Fisico SPOT MAT'!Y66:AA66)*E66</f>
        <v>33200</v>
      </c>
      <c r="AC66" s="122">
        <f>(T66*'Fisico SPOT MAT'!T66+'Mono SPOT MAT'!V66*'Fisico SPOT MAT'!V66+'Mono SPOT MAT'!W66*'Fisico SPOT MAT'!W66)/'Fisico SPOT MAT'!AC66</f>
        <v>60</v>
      </c>
      <c r="AE66" s="41">
        <v>36.18941463523096</v>
      </c>
      <c r="AF66" s="41">
        <v>28.591601238215716</v>
      </c>
      <c r="AG66">
        <v>5050</v>
      </c>
      <c r="AH66" s="64">
        <f t="shared" si="6"/>
        <v>1.97028548787809</v>
      </c>
      <c r="AK66">
        <v>348</v>
      </c>
    </row>
    <row r="67" spans="1:37" hidden="1" x14ac:dyDescent="0.3">
      <c r="A67" s="3">
        <v>1450.75</v>
      </c>
      <c r="B67" s="42">
        <v>1470.8330000000001</v>
      </c>
      <c r="C67" s="1">
        <f t="shared" si="1"/>
        <v>2025</v>
      </c>
      <c r="D67" s="1">
        <f t="shared" si="2"/>
        <v>11</v>
      </c>
      <c r="E67" s="1">
        <v>16</v>
      </c>
      <c r="F67" s="1" t="s">
        <v>47</v>
      </c>
      <c r="G67" s="56">
        <f t="shared" si="7"/>
        <v>45973</v>
      </c>
      <c r="H67" s="17">
        <f t="shared" si="3"/>
        <v>36.767242045989548</v>
      </c>
      <c r="I67" s="17">
        <f t="shared" si="8"/>
        <v>30.368354085096417</v>
      </c>
      <c r="J67" s="17">
        <v>22</v>
      </c>
      <c r="K67" s="17"/>
      <c r="L67" s="17">
        <v>32</v>
      </c>
      <c r="M67" s="44">
        <f>SUMPRODUCT(H67:L67,'Fisico SPOT MAT'!H67:L67)*24</f>
        <v>3890448.6630062484</v>
      </c>
      <c r="N67" s="19">
        <f>+'Fisico SPOT MAT'!AH67</f>
        <v>11.686881858945293</v>
      </c>
      <c r="O67" s="19">
        <f t="shared" si="9"/>
        <v>14.511494252873563</v>
      </c>
      <c r="P67" s="19">
        <v>6</v>
      </c>
      <c r="Q67" s="19"/>
      <c r="R67" s="19">
        <v>0</v>
      </c>
      <c r="S67" s="44">
        <f>SUMPRODUCT(N67:R67,'Fisico SPOT MAT'!N67:R67)*E67</f>
        <v>2500343.1512452103</v>
      </c>
      <c r="T67" s="17">
        <v>50</v>
      </c>
      <c r="U67" s="17">
        <v>18</v>
      </c>
      <c r="V67" s="17">
        <v>50</v>
      </c>
      <c r="W67" s="17">
        <v>60</v>
      </c>
      <c r="X67" s="28">
        <f>SUMPRODUCT(T67:W67,'Fisico SPOT MAT'!T67:W67)*24</f>
        <v>2112066.8759999997</v>
      </c>
      <c r="Y67" s="19">
        <v>0</v>
      </c>
      <c r="Z67" s="19">
        <v>5</v>
      </c>
      <c r="AA67" s="19">
        <v>0</v>
      </c>
      <c r="AB67" s="28">
        <f>SUMPRODUCT(Y67:AA67,'Fisico SPOT MAT'!Y67:AA67)*E67</f>
        <v>33200</v>
      </c>
      <c r="AC67" s="122">
        <f>(T67*'Fisico SPOT MAT'!T67+'Mono SPOT MAT'!V67*'Fisico SPOT MAT'!V67+'Mono SPOT MAT'!W67*'Fisico SPOT MAT'!W67)/'Fisico SPOT MAT'!AC67</f>
        <v>59.999999999999993</v>
      </c>
      <c r="AE67" s="41">
        <v>34.885004258538217</v>
      </c>
      <c r="AF67" s="41">
        <v>28.486116297645086</v>
      </c>
      <c r="AG67">
        <v>5050</v>
      </c>
      <c r="AH67" s="64">
        <f t="shared" si="6"/>
        <v>1.8822377874513299</v>
      </c>
      <c r="AK67">
        <v>348</v>
      </c>
    </row>
    <row r="68" spans="1:37" hidden="1" x14ac:dyDescent="0.3">
      <c r="A68" s="3">
        <v>1450.75</v>
      </c>
      <c r="B68" s="42">
        <v>1470.8330000000001</v>
      </c>
      <c r="C68" s="1">
        <f t="shared" si="1"/>
        <v>2025</v>
      </c>
      <c r="D68" s="1">
        <f t="shared" si="2"/>
        <v>11</v>
      </c>
      <c r="E68" s="1">
        <v>16</v>
      </c>
      <c r="F68" s="1" t="s">
        <v>48</v>
      </c>
      <c r="G68" s="56">
        <f t="shared" si="7"/>
        <v>45974</v>
      </c>
      <c r="H68" s="17">
        <f t="shared" si="3"/>
        <v>36.851229545927772</v>
      </c>
      <c r="I68" s="17">
        <f t="shared" si="8"/>
        <v>30.321336848662185</v>
      </c>
      <c r="J68" s="17">
        <v>22</v>
      </c>
      <c r="K68" s="17"/>
      <c r="L68" s="17">
        <v>32</v>
      </c>
      <c r="M68" s="44">
        <f>SUMPRODUCT(H68:L68,'Fisico SPOT MAT'!H68:L68)*24</f>
        <v>3954803.285470204</v>
      </c>
      <c r="N68" s="19">
        <f>+'Fisico SPOT MAT'!AH68</f>
        <v>11.686760294087273</v>
      </c>
      <c r="O68" s="19">
        <f t="shared" si="9"/>
        <v>14.511494252873563</v>
      </c>
      <c r="P68" s="19">
        <v>6</v>
      </c>
      <c r="Q68" s="19"/>
      <c r="R68" s="19">
        <v>0</v>
      </c>
      <c r="S68" s="44">
        <f>SUMPRODUCT(N68:R68,'Fisico SPOT MAT'!N68:R68)*E68</f>
        <v>2499195.7744176243</v>
      </c>
      <c r="T68" s="17">
        <v>50</v>
      </c>
      <c r="U68" s="17">
        <v>18</v>
      </c>
      <c r="V68" s="17">
        <v>50</v>
      </c>
      <c r="W68" s="17">
        <v>60</v>
      </c>
      <c r="X68" s="28">
        <f>SUMPRODUCT(T68:W68,'Fisico SPOT MAT'!T68:W68)*24</f>
        <v>1984577.8620000004</v>
      </c>
      <c r="Y68" s="19">
        <v>0</v>
      </c>
      <c r="Z68" s="19">
        <v>5</v>
      </c>
      <c r="AA68" s="19">
        <v>0</v>
      </c>
      <c r="AB68" s="28">
        <f>SUMPRODUCT(Y68:AA68,'Fisico SPOT MAT'!Y68:AA68)*E68</f>
        <v>33200</v>
      </c>
      <c r="AC68" s="122">
        <f>(T68*'Fisico SPOT MAT'!T68+'Mono SPOT MAT'!V68*'Fisico SPOT MAT'!V68+'Mono SPOT MAT'!W68*'Fisico SPOT MAT'!W68)/'Fisico SPOT MAT'!AC68</f>
        <v>60</v>
      </c>
      <c r="AE68" s="41">
        <v>34.963681073468642</v>
      </c>
      <c r="AF68" s="41">
        <v>28.433788376203051</v>
      </c>
      <c r="AG68">
        <v>5050</v>
      </c>
      <c r="AH68" s="64">
        <f t="shared" si="6"/>
        <v>1.8875484724591334</v>
      </c>
      <c r="AK68">
        <v>348</v>
      </c>
    </row>
    <row r="69" spans="1:37" hidden="1" x14ac:dyDescent="0.3">
      <c r="A69" s="3">
        <v>1450.75</v>
      </c>
      <c r="B69" s="42">
        <v>1470.8330000000001</v>
      </c>
      <c r="C69" s="1">
        <f t="shared" si="1"/>
        <v>2025</v>
      </c>
      <c r="D69" s="1">
        <f t="shared" si="2"/>
        <v>11</v>
      </c>
      <c r="E69" s="1">
        <v>16</v>
      </c>
      <c r="F69" s="1" t="s">
        <v>49</v>
      </c>
      <c r="G69" s="56">
        <f t="shared" si="7"/>
        <v>45975</v>
      </c>
      <c r="H69" s="17">
        <f t="shared" si="3"/>
        <v>37.516866923193355</v>
      </c>
      <c r="I69" s="17">
        <f t="shared" si="8"/>
        <v>30.38735876104786</v>
      </c>
      <c r="J69" s="17">
        <v>22</v>
      </c>
      <c r="K69" s="17"/>
      <c r="L69" s="17">
        <v>32</v>
      </c>
      <c r="M69" s="44">
        <f>SUMPRODUCT(H69:L69,'Fisico SPOT MAT'!H69:L69)*24</f>
        <v>3969799.0707847984</v>
      </c>
      <c r="N69" s="19">
        <f>+'Fisico SPOT MAT'!AH69</f>
        <v>11.683425572153867</v>
      </c>
      <c r="O69" s="19">
        <f t="shared" si="9"/>
        <v>14.511494252873563</v>
      </c>
      <c r="P69" s="19">
        <v>6</v>
      </c>
      <c r="Q69" s="19"/>
      <c r="R69" s="19">
        <v>0</v>
      </c>
      <c r="S69" s="44">
        <f>SUMPRODUCT(N69:R69,'Fisico SPOT MAT'!N69:R69)*E69</f>
        <v>2474340.9194865897</v>
      </c>
      <c r="T69" s="17">
        <v>50</v>
      </c>
      <c r="U69" s="17">
        <v>18</v>
      </c>
      <c r="V69" s="17">
        <v>50</v>
      </c>
      <c r="W69" s="17">
        <v>60</v>
      </c>
      <c r="X69" s="28">
        <f>SUMPRODUCT(T69:W69,'Fisico SPOT MAT'!T69:W69)*24</f>
        <v>2930220.1379999993</v>
      </c>
      <c r="Y69" s="19">
        <v>0</v>
      </c>
      <c r="Z69" s="19">
        <v>5</v>
      </c>
      <c r="AA69" s="19">
        <v>0</v>
      </c>
      <c r="AB69" s="28">
        <f>SUMPRODUCT(Y69:AA69,'Fisico SPOT MAT'!Y69:AA69)*E69</f>
        <v>33200</v>
      </c>
      <c r="AC69" s="122">
        <f>(T69*'Fisico SPOT MAT'!T69+'Mono SPOT MAT'!V69*'Fisico SPOT MAT'!V69+'Mono SPOT MAT'!W69*'Fisico SPOT MAT'!W69)/'Fisico SPOT MAT'!AC69</f>
        <v>60</v>
      </c>
      <c r="AE69" s="41">
        <v>35.587228967862629</v>
      </c>
      <c r="AF69" s="41">
        <v>28.457720805717134</v>
      </c>
      <c r="AG69">
        <v>5050</v>
      </c>
      <c r="AH69" s="64">
        <f t="shared" si="6"/>
        <v>1.9296379553307275</v>
      </c>
      <c r="AK69">
        <v>348</v>
      </c>
    </row>
    <row r="70" spans="1:37" hidden="1" x14ac:dyDescent="0.3">
      <c r="A70" s="3">
        <v>1450.75</v>
      </c>
      <c r="B70" s="42">
        <v>1470.8330000000001</v>
      </c>
      <c r="C70" s="1">
        <f t="shared" si="1"/>
        <v>2025</v>
      </c>
      <c r="D70" s="1">
        <f t="shared" si="2"/>
        <v>11</v>
      </c>
      <c r="E70" s="1">
        <v>6</v>
      </c>
      <c r="F70" s="1" t="s">
        <v>43</v>
      </c>
      <c r="G70" s="56">
        <f t="shared" si="7"/>
        <v>45976</v>
      </c>
      <c r="H70" s="17">
        <f t="shared" si="3"/>
        <v>36.85426747714677</v>
      </c>
      <c r="I70" s="17">
        <f t="shared" si="8"/>
        <v>30.278778379803331</v>
      </c>
      <c r="J70" s="17">
        <v>22</v>
      </c>
      <c r="K70" s="17"/>
      <c r="L70" s="17">
        <v>32</v>
      </c>
      <c r="M70" s="44">
        <f>SUMPRODUCT(H70:L70,'Fisico SPOT MAT'!H70:L70)*24</f>
        <v>4051827.6749134585</v>
      </c>
      <c r="N70" s="19">
        <f>+'Fisico SPOT MAT'!AH70</f>
        <v>11.683773405461984</v>
      </c>
      <c r="O70" s="19">
        <f t="shared" si="9"/>
        <v>14.511494252873563</v>
      </c>
      <c r="P70" s="19">
        <v>6</v>
      </c>
      <c r="Q70" s="19"/>
      <c r="R70" s="19">
        <v>0</v>
      </c>
      <c r="S70" s="44">
        <f>SUMPRODUCT(N70:R70,'Fisico SPOT MAT'!N70:R70)*E70</f>
        <v>925527.55809770082</v>
      </c>
      <c r="T70" s="17">
        <v>50</v>
      </c>
      <c r="U70" s="17">
        <v>18</v>
      </c>
      <c r="V70" s="17">
        <v>50</v>
      </c>
      <c r="W70" s="17">
        <v>60</v>
      </c>
      <c r="X70" s="28">
        <f>SUMPRODUCT(T70:W70,'Fisico SPOT MAT'!T70:W70)*24</f>
        <v>2845734.9180000005</v>
      </c>
      <c r="Y70" s="19">
        <v>0</v>
      </c>
      <c r="Z70" s="19">
        <v>5</v>
      </c>
      <c r="AA70" s="19">
        <v>0</v>
      </c>
      <c r="AB70" s="28">
        <f>SUMPRODUCT(Y70:AA70,'Fisico SPOT MAT'!Y70:AA70)*E70</f>
        <v>12450</v>
      </c>
      <c r="AC70" s="122">
        <f>(T70*'Fisico SPOT MAT'!T70+'Mono SPOT MAT'!V70*'Fisico SPOT MAT'!V70+'Mono SPOT MAT'!W70*'Fisico SPOT MAT'!W70)/'Fisico SPOT MAT'!AC70</f>
        <v>60.000000000000007</v>
      </c>
      <c r="AE70" s="41">
        <v>34.96652691067613</v>
      </c>
      <c r="AF70" s="41">
        <v>28.391037813332691</v>
      </c>
      <c r="AG70">
        <v>5050</v>
      </c>
      <c r="AH70" s="64">
        <f t="shared" si="6"/>
        <v>1.8877405664706388</v>
      </c>
      <c r="AK70">
        <v>348</v>
      </c>
    </row>
    <row r="71" spans="1:37" hidden="1" x14ac:dyDescent="0.3">
      <c r="A71" s="3">
        <v>1450.75</v>
      </c>
      <c r="B71" s="42">
        <v>1470.8330000000001</v>
      </c>
      <c r="C71" s="1">
        <f t="shared" si="1"/>
        <v>2025</v>
      </c>
      <c r="D71" s="1">
        <f t="shared" si="2"/>
        <v>11</v>
      </c>
      <c r="E71" s="1">
        <v>4</v>
      </c>
      <c r="F71" s="1" t="s">
        <v>44</v>
      </c>
      <c r="G71" s="56">
        <f t="shared" si="7"/>
        <v>45977</v>
      </c>
      <c r="H71" s="17">
        <f t="shared" si="3"/>
        <v>36.499791080998754</v>
      </c>
      <c r="I71" s="17">
        <f t="shared" si="8"/>
        <v>31.326964580932149</v>
      </c>
      <c r="J71" s="17">
        <v>22</v>
      </c>
      <c r="K71" s="17"/>
      <c r="L71" s="17">
        <v>32</v>
      </c>
      <c r="M71" s="44">
        <f>SUMPRODUCT(H71:L71,'Fisico SPOT MAT'!H71:L71)*24</f>
        <v>3195913.9592971816</v>
      </c>
      <c r="N71" s="19">
        <f>+'Fisico SPOT MAT'!AH71</f>
        <v>11.684195086964484</v>
      </c>
      <c r="O71" s="19">
        <f t="shared" si="9"/>
        <v>14.511494252873563</v>
      </c>
      <c r="P71" s="19">
        <v>6</v>
      </c>
      <c r="Q71" s="19"/>
      <c r="R71" s="19">
        <v>0</v>
      </c>
      <c r="S71" s="44">
        <f>SUMPRODUCT(N71:R71,'Fisico SPOT MAT'!N71:R71)*E71</f>
        <v>618712.38058333343</v>
      </c>
      <c r="T71" s="17">
        <v>50</v>
      </c>
      <c r="U71" s="17">
        <v>18</v>
      </c>
      <c r="V71" s="17">
        <v>50</v>
      </c>
      <c r="W71" s="17">
        <v>60</v>
      </c>
      <c r="X71" s="28">
        <f>SUMPRODUCT(T71:W71,'Fisico SPOT MAT'!T71:W71)*24</f>
        <v>2703268.6439999999</v>
      </c>
      <c r="Y71" s="19">
        <v>0</v>
      </c>
      <c r="Z71" s="19">
        <v>5</v>
      </c>
      <c r="AA71" s="19">
        <v>0</v>
      </c>
      <c r="AB71" s="28">
        <f>SUMPRODUCT(Y71:AA71,'Fisico SPOT MAT'!Y71:AA71)*E71</f>
        <v>8300</v>
      </c>
      <c r="AC71" s="122">
        <f>(T71*'Fisico SPOT MAT'!T71+'Mono SPOT MAT'!V71*'Fisico SPOT MAT'!V71+'Mono SPOT MAT'!W71*'Fisico SPOT MAT'!W71)/'Fisico SPOT MAT'!AC71</f>
        <v>60</v>
      </c>
      <c r="AE71" s="41">
        <v>34.634464712879392</v>
      </c>
      <c r="AF71" s="41">
        <v>29.46163821281279</v>
      </c>
      <c r="AG71">
        <v>5050</v>
      </c>
      <c r="AH71" s="64">
        <f t="shared" si="6"/>
        <v>1.865326368119359</v>
      </c>
      <c r="AK71">
        <v>348</v>
      </c>
    </row>
    <row r="72" spans="1:37" hidden="1" x14ac:dyDescent="0.3">
      <c r="A72" s="3">
        <v>1450.75</v>
      </c>
      <c r="B72" s="42">
        <v>1419.3330000000001</v>
      </c>
      <c r="C72" s="1">
        <f t="shared" ref="C72:C78" si="10">YEAR(G72)</f>
        <v>2025</v>
      </c>
      <c r="D72" s="1">
        <f t="shared" ref="D72:D78" si="11">MONTH(G72)</f>
        <v>11</v>
      </c>
      <c r="E72" s="1">
        <v>16</v>
      </c>
      <c r="F72" s="1" t="s">
        <v>45</v>
      </c>
      <c r="G72" s="56">
        <f t="shared" si="7"/>
        <v>45978</v>
      </c>
      <c r="H72" s="17">
        <f t="shared" ref="H72:H84" si="12">+AE72+AH72</f>
        <v>37.187608916144463</v>
      </c>
      <c r="I72" s="17">
        <f t="shared" si="8"/>
        <v>30.617459308601504</v>
      </c>
      <c r="J72" s="17">
        <v>22</v>
      </c>
      <c r="K72" s="17"/>
      <c r="L72" s="17">
        <v>32</v>
      </c>
      <c r="M72" s="44">
        <f>SUMPRODUCT(H72:L72,'Fisico SPOT MAT'!H72:L72)*24</f>
        <v>3640823.3285993934</v>
      </c>
      <c r="N72" s="19">
        <f>+'Fisico SPOT MAT'!AH72</f>
        <v>11.685951767658279</v>
      </c>
      <c r="O72" s="19">
        <f t="shared" si="9"/>
        <v>14.511494252873563</v>
      </c>
      <c r="P72" s="19">
        <v>6</v>
      </c>
      <c r="Q72" s="19"/>
      <c r="R72" s="19">
        <v>0</v>
      </c>
      <c r="S72" s="44">
        <f>SUMPRODUCT(N72:R72,'Fisico SPOT MAT'!N72:R72)*E72</f>
        <v>2497413.112934866</v>
      </c>
      <c r="T72" s="17">
        <v>50</v>
      </c>
      <c r="U72" s="17">
        <v>18</v>
      </c>
      <c r="V72" s="17">
        <v>50</v>
      </c>
      <c r="W72" s="17">
        <v>60</v>
      </c>
      <c r="X72" s="28">
        <f>SUMPRODUCT(T72:W72,'Fisico SPOT MAT'!T72:W72)*24</f>
        <v>2578647.534</v>
      </c>
      <c r="Y72" s="19">
        <v>0</v>
      </c>
      <c r="Z72" s="19">
        <v>5</v>
      </c>
      <c r="AA72" s="19">
        <v>0</v>
      </c>
      <c r="AB72" s="28">
        <f>SUMPRODUCT(Y72:AA72,'Fisico SPOT MAT'!Y72:AA72)*E72</f>
        <v>33200</v>
      </c>
      <c r="AC72" s="122">
        <f>(T72*'Fisico SPOT MAT'!T72+'Mono SPOT MAT'!V72*'Fisico SPOT MAT'!V72+'Mono SPOT MAT'!W72*'Fisico SPOT MAT'!W72)/'Fisico SPOT MAT'!AC72</f>
        <v>60</v>
      </c>
      <c r="AE72" s="41">
        <v>35.278790553765305</v>
      </c>
      <c r="AF72" s="41">
        <v>28.708640946222346</v>
      </c>
      <c r="AG72">
        <v>5050</v>
      </c>
      <c r="AH72" s="64">
        <f t="shared" si="6"/>
        <v>1.9088183623791581</v>
      </c>
      <c r="AK72">
        <v>348</v>
      </c>
    </row>
    <row r="73" spans="1:37" hidden="1" x14ac:dyDescent="0.3">
      <c r="A73" s="3">
        <v>1450.75</v>
      </c>
      <c r="B73" s="42">
        <v>1419.3330000000001</v>
      </c>
      <c r="C73" s="1">
        <f t="shared" si="10"/>
        <v>2025</v>
      </c>
      <c r="D73" s="1">
        <f t="shared" si="11"/>
        <v>11</v>
      </c>
      <c r="E73" s="1">
        <v>16</v>
      </c>
      <c r="F73" s="1" t="s">
        <v>46</v>
      </c>
      <c r="G73" s="56">
        <f t="shared" si="7"/>
        <v>45979</v>
      </c>
      <c r="H73" s="17">
        <f t="shared" si="12"/>
        <v>37.139837986871939</v>
      </c>
      <c r="I73" s="17">
        <f t="shared" si="8"/>
        <v>30.39434538227006</v>
      </c>
      <c r="J73" s="17">
        <v>22</v>
      </c>
      <c r="K73" s="17"/>
      <c r="L73" s="17">
        <v>32</v>
      </c>
      <c r="M73" s="44">
        <f>SUMPRODUCT(H73:L73,'Fisico SPOT MAT'!H73:L73)*24</f>
        <v>4362716.384995264</v>
      </c>
      <c r="N73" s="19">
        <f>+'Fisico SPOT MAT'!AH73</f>
        <v>11.684789667697169</v>
      </c>
      <c r="O73" s="19">
        <f t="shared" si="9"/>
        <v>14.511494252873563</v>
      </c>
      <c r="P73" s="19">
        <v>6</v>
      </c>
      <c r="Q73" s="19"/>
      <c r="R73" s="19">
        <v>0</v>
      </c>
      <c r="S73" s="44">
        <f>SUMPRODUCT(N73:R73,'Fisico SPOT MAT'!N73:R73)*E73</f>
        <v>2485278.0964137935</v>
      </c>
      <c r="T73" s="17">
        <v>50</v>
      </c>
      <c r="U73" s="17">
        <v>18</v>
      </c>
      <c r="V73" s="17">
        <v>50</v>
      </c>
      <c r="W73" s="17">
        <v>60</v>
      </c>
      <c r="X73" s="28">
        <f>SUMPRODUCT(T73:W73,'Fisico SPOT MAT'!T73:W73)*24</f>
        <v>2297184.8159999996</v>
      </c>
      <c r="Y73" s="19">
        <v>0</v>
      </c>
      <c r="Z73" s="19">
        <v>5</v>
      </c>
      <c r="AA73" s="19">
        <v>0</v>
      </c>
      <c r="AB73" s="28">
        <f>SUMPRODUCT(Y73:AA73,'Fisico SPOT MAT'!Y73:AA73)*E73</f>
        <v>33200</v>
      </c>
      <c r="AC73" s="122">
        <f>(T73*'Fisico SPOT MAT'!T73+'Mono SPOT MAT'!V73*'Fisico SPOT MAT'!V73+'Mono SPOT MAT'!W73*'Fisico SPOT MAT'!W73)/'Fisico SPOT MAT'!AC73</f>
        <v>59.999999999999993</v>
      </c>
      <c r="AE73" s="41">
        <v>35.234040268732493</v>
      </c>
      <c r="AF73" s="41">
        <v>28.488547664130618</v>
      </c>
      <c r="AG73">
        <v>5050</v>
      </c>
      <c r="AH73" s="64">
        <f t="shared" si="6"/>
        <v>1.9057977181394434</v>
      </c>
      <c r="AK73">
        <v>348</v>
      </c>
    </row>
    <row r="74" spans="1:37" hidden="1" x14ac:dyDescent="0.3">
      <c r="A74" s="3">
        <v>1450.75</v>
      </c>
      <c r="B74" s="42">
        <v>1419.3330000000001</v>
      </c>
      <c r="C74" s="1">
        <f t="shared" si="10"/>
        <v>2025</v>
      </c>
      <c r="D74" s="1">
        <f t="shared" si="11"/>
        <v>11</v>
      </c>
      <c r="E74" s="1">
        <v>16</v>
      </c>
      <c r="F74" s="1" t="s">
        <v>47</v>
      </c>
      <c r="G74" s="56">
        <f t="shared" si="7"/>
        <v>45980</v>
      </c>
      <c r="H74" s="17">
        <f t="shared" si="12"/>
        <v>37.057027521178107</v>
      </c>
      <c r="I74" s="17">
        <f t="shared" si="8"/>
        <v>30.380921858887188</v>
      </c>
      <c r="J74" s="17">
        <v>22</v>
      </c>
      <c r="K74" s="17"/>
      <c r="L74" s="17">
        <v>32</v>
      </c>
      <c r="M74" s="44">
        <f>SUMPRODUCT(H74:L74,'Fisico SPOT MAT'!H74:L74)*24</f>
        <v>5368775.9129473958</v>
      </c>
      <c r="N74" s="19">
        <f>+'Fisico SPOT MAT'!AH74</f>
        <v>11.684690403090404</v>
      </c>
      <c r="O74" s="19">
        <f t="shared" si="9"/>
        <v>14.511494252873563</v>
      </c>
      <c r="P74" s="19">
        <v>6</v>
      </c>
      <c r="Q74" s="19"/>
      <c r="R74" s="19">
        <v>0</v>
      </c>
      <c r="S74" s="44">
        <f>SUMPRODUCT(N74:R74,'Fisico SPOT MAT'!N74:R74)*E74</f>
        <v>2485737.4024022999</v>
      </c>
      <c r="T74" s="17">
        <v>50</v>
      </c>
      <c r="U74" s="17">
        <v>18</v>
      </c>
      <c r="V74" s="17">
        <v>50</v>
      </c>
      <c r="W74" s="17">
        <v>60</v>
      </c>
      <c r="X74" s="28">
        <f>SUMPRODUCT(T74:W74,'Fisico SPOT MAT'!T74:W74)*24</f>
        <v>1461325.38</v>
      </c>
      <c r="Y74" s="19">
        <v>0</v>
      </c>
      <c r="Z74" s="19">
        <v>5</v>
      </c>
      <c r="AA74" s="19">
        <v>0</v>
      </c>
      <c r="AB74" s="28">
        <f>SUMPRODUCT(Y74:AA74,'Fisico SPOT MAT'!Y74:AA74)*E74</f>
        <v>33200</v>
      </c>
      <c r="AC74" s="122">
        <f>(T74*'Fisico SPOT MAT'!T74+'Mono SPOT MAT'!V74*'Fisico SPOT MAT'!V74+'Mono SPOT MAT'!W74*'Fisico SPOT MAT'!W74)/'Fisico SPOT MAT'!AC74</f>
        <v>60</v>
      </c>
      <c r="AE74" s="41">
        <v>35.156466061993541</v>
      </c>
      <c r="AF74" s="41">
        <v>28.480360399702622</v>
      </c>
      <c r="AG74">
        <v>5050</v>
      </c>
      <c r="AH74" s="64">
        <f t="shared" si="6"/>
        <v>1.9005614591845641</v>
      </c>
      <c r="AK74">
        <v>348</v>
      </c>
    </row>
    <row r="75" spans="1:37" hidden="1" x14ac:dyDescent="0.3">
      <c r="A75" s="3">
        <v>1450.75</v>
      </c>
      <c r="B75" s="42">
        <v>1419.3330000000001</v>
      </c>
      <c r="C75" s="1">
        <f t="shared" si="10"/>
        <v>2025</v>
      </c>
      <c r="D75" s="1">
        <f t="shared" si="11"/>
        <v>11</v>
      </c>
      <c r="E75" s="1">
        <v>16</v>
      </c>
      <c r="F75" s="1" t="s">
        <v>48</v>
      </c>
      <c r="G75" s="56">
        <f t="shared" si="7"/>
        <v>45981</v>
      </c>
      <c r="H75" s="17">
        <f t="shared" si="12"/>
        <v>37.27788654795075</v>
      </c>
      <c r="I75" s="17">
        <f t="shared" si="8"/>
        <v>30.939475146498481</v>
      </c>
      <c r="J75" s="17">
        <v>22</v>
      </c>
      <c r="K75" s="17"/>
      <c r="L75" s="17">
        <v>32</v>
      </c>
      <c r="M75" s="44">
        <f>SUMPRODUCT(H75:L75,'Fisico SPOT MAT'!H75:L75)*24</f>
        <v>5746753.1063017352</v>
      </c>
      <c r="N75" s="19">
        <f>+'Fisico SPOT MAT'!AH75</f>
        <v>11.683001482848619</v>
      </c>
      <c r="O75" s="19">
        <f t="shared" si="9"/>
        <v>14.511494252873563</v>
      </c>
      <c r="P75" s="19">
        <v>6</v>
      </c>
      <c r="Q75" s="19"/>
      <c r="R75" s="19">
        <v>0</v>
      </c>
      <c r="S75" s="44">
        <f>SUMPRODUCT(N75:R75,'Fisico SPOT MAT'!N75:R75)*E75</f>
        <v>2471611.6335708811</v>
      </c>
      <c r="T75" s="17">
        <v>50</v>
      </c>
      <c r="U75" s="17">
        <v>18</v>
      </c>
      <c r="V75" s="17">
        <v>50</v>
      </c>
      <c r="W75" s="17">
        <v>60</v>
      </c>
      <c r="X75" s="28">
        <f>SUMPRODUCT(T75:W75,'Fisico SPOT MAT'!T75:W75)*24</f>
        <v>2257596.4139999999</v>
      </c>
      <c r="Y75" s="19">
        <v>0</v>
      </c>
      <c r="Z75" s="19">
        <v>5</v>
      </c>
      <c r="AA75" s="19">
        <v>0</v>
      </c>
      <c r="AB75" s="28">
        <f>SUMPRODUCT(Y75:AA75,'Fisico SPOT MAT'!Y75:AA75)*E75</f>
        <v>33200</v>
      </c>
      <c r="AC75" s="122">
        <f>(T75*'Fisico SPOT MAT'!T75+'Mono SPOT MAT'!V75*'Fisico SPOT MAT'!V75+'Mono SPOT MAT'!W75*'Fisico SPOT MAT'!W75)/'Fisico SPOT MAT'!AC75</f>
        <v>60</v>
      </c>
      <c r="AE75" s="41">
        <v>35.36335976388829</v>
      </c>
      <c r="AF75" s="41">
        <v>29.024948362436021</v>
      </c>
      <c r="AG75">
        <v>5050</v>
      </c>
      <c r="AH75" s="64">
        <f t="shared" si="6"/>
        <v>1.9145267840624598</v>
      </c>
      <c r="AK75">
        <v>348</v>
      </c>
    </row>
    <row r="76" spans="1:37" hidden="1" x14ac:dyDescent="0.3">
      <c r="A76" s="3">
        <v>1450.75</v>
      </c>
      <c r="B76" s="42">
        <v>1419.3330000000001</v>
      </c>
      <c r="C76" s="1">
        <f t="shared" si="10"/>
        <v>2025</v>
      </c>
      <c r="D76" s="1">
        <f t="shared" si="11"/>
        <v>11</v>
      </c>
      <c r="E76" s="1">
        <v>6</v>
      </c>
      <c r="F76" s="1" t="s">
        <v>49</v>
      </c>
      <c r="G76" s="56">
        <f t="shared" si="7"/>
        <v>45982</v>
      </c>
      <c r="H76" s="17">
        <f t="shared" si="12"/>
        <v>36.523841038642693</v>
      </c>
      <c r="I76" s="17">
        <f t="shared" si="8"/>
        <v>30.241936552847086</v>
      </c>
      <c r="J76" s="17">
        <v>22</v>
      </c>
      <c r="K76" s="17"/>
      <c r="L76" s="17">
        <v>32</v>
      </c>
      <c r="M76" s="44">
        <f>SUMPRODUCT(H76:L76,'Fisico SPOT MAT'!H76:L76)*24</f>
        <v>5166056.4175681276</v>
      </c>
      <c r="N76" s="19">
        <f>+'Fisico SPOT MAT'!AH76</f>
        <v>11.671267820142482</v>
      </c>
      <c r="O76" s="19">
        <f t="shared" si="9"/>
        <v>14.511494252873563</v>
      </c>
      <c r="P76" s="19">
        <v>6</v>
      </c>
      <c r="Q76" s="19"/>
      <c r="R76" s="19">
        <v>0</v>
      </c>
      <c r="S76" s="44">
        <f>SUMPRODUCT(N76:R76,'Fisico SPOT MAT'!N76:R76)*E76</f>
        <v>900001.82531896536</v>
      </c>
      <c r="T76" s="17">
        <v>50</v>
      </c>
      <c r="U76" s="17">
        <v>18</v>
      </c>
      <c r="V76" s="17">
        <v>50</v>
      </c>
      <c r="W76" s="17">
        <v>60</v>
      </c>
      <c r="X76" s="28">
        <f>SUMPRODUCT(T76:W76,'Fisico SPOT MAT'!T76:W76)*24</f>
        <v>1684271.2560000001</v>
      </c>
      <c r="Y76" s="19">
        <v>0</v>
      </c>
      <c r="Z76" s="19">
        <v>5</v>
      </c>
      <c r="AA76" s="19">
        <v>0</v>
      </c>
      <c r="AB76" s="28">
        <f>SUMPRODUCT(Y76:AA76,'Fisico SPOT MAT'!Y76:AA76)*E76</f>
        <v>12450</v>
      </c>
      <c r="AC76" s="122">
        <f>(T76*'Fisico SPOT MAT'!T76+'Mono SPOT MAT'!V76*'Fisico SPOT MAT'!V76+'Mono SPOT MAT'!W76*'Fisico SPOT MAT'!W76)/'Fisico SPOT MAT'!AC76</f>
        <v>60</v>
      </c>
      <c r="AE76" s="41">
        <v>34.656993947206267</v>
      </c>
      <c r="AF76" s="41">
        <v>28.375089461410663</v>
      </c>
      <c r="AG76">
        <v>5050</v>
      </c>
      <c r="AH76" s="64">
        <f t="shared" si="6"/>
        <v>1.8668470914364232</v>
      </c>
      <c r="AK76">
        <v>348</v>
      </c>
    </row>
    <row r="77" spans="1:37" hidden="1" x14ac:dyDescent="0.3">
      <c r="A77" s="3">
        <v>1450.75</v>
      </c>
      <c r="B77" s="42">
        <v>1419.3330000000001</v>
      </c>
      <c r="C77" s="1">
        <f t="shared" si="10"/>
        <v>2025</v>
      </c>
      <c r="D77" s="1">
        <f t="shared" si="11"/>
        <v>11</v>
      </c>
      <c r="E77" s="1">
        <v>6</v>
      </c>
      <c r="F77" s="1" t="s">
        <v>43</v>
      </c>
      <c r="G77" s="56">
        <f t="shared" si="7"/>
        <v>45983</v>
      </c>
      <c r="H77" s="17">
        <f t="shared" si="12"/>
        <v>36.463786133059081</v>
      </c>
      <c r="I77" s="17">
        <f t="shared" si="8"/>
        <v>30.292867174610492</v>
      </c>
      <c r="J77" s="17">
        <v>22</v>
      </c>
      <c r="K77" s="17"/>
      <c r="L77" s="17">
        <v>32</v>
      </c>
      <c r="M77" s="44">
        <f>SUMPRODUCT(H77:L77,'Fisico SPOT MAT'!H77:L77)*24</f>
        <v>4142714.3062645728</v>
      </c>
      <c r="N77" s="19">
        <f>+'Fisico SPOT MAT'!AH77</f>
        <v>11.668170281600032</v>
      </c>
      <c r="O77" s="19">
        <f t="shared" si="9"/>
        <v>14.511494252873563</v>
      </c>
      <c r="P77" s="19">
        <v>6</v>
      </c>
      <c r="Q77" s="19"/>
      <c r="R77" s="19">
        <v>0</v>
      </c>
      <c r="S77" s="44">
        <f>SUMPRODUCT(N77:R77,'Fisico SPOT MAT'!N77:R77)*E77</f>
        <v>893919.6101163791</v>
      </c>
      <c r="T77" s="17">
        <v>50</v>
      </c>
      <c r="U77" s="17">
        <v>18</v>
      </c>
      <c r="V77" s="17">
        <v>50</v>
      </c>
      <c r="W77" s="17">
        <v>60</v>
      </c>
      <c r="X77" s="28">
        <f>SUMPRODUCT(T77:W77,'Fisico SPOT MAT'!T77:W77)*24</f>
        <v>1818851.784</v>
      </c>
      <c r="Y77" s="19">
        <v>0</v>
      </c>
      <c r="Z77" s="19">
        <v>5</v>
      </c>
      <c r="AA77" s="19">
        <v>0</v>
      </c>
      <c r="AB77" s="28">
        <f>SUMPRODUCT(Y77:AA77,'Fisico SPOT MAT'!Y77:AA77)*E77</f>
        <v>12450</v>
      </c>
      <c r="AC77" s="122">
        <f>(T77*'Fisico SPOT MAT'!T77+'Mono SPOT MAT'!V77*'Fisico SPOT MAT'!V77+'Mono SPOT MAT'!W77*'Fisico SPOT MAT'!W77)/'Fisico SPOT MAT'!AC77</f>
        <v>60.000000000000007</v>
      </c>
      <c r="AE77" s="41">
        <v>34.600736424411316</v>
      </c>
      <c r="AF77" s="41">
        <v>28.429817465962728</v>
      </c>
      <c r="AG77">
        <v>5050</v>
      </c>
      <c r="AH77" s="64">
        <f t="shared" si="6"/>
        <v>1.863049708647764</v>
      </c>
      <c r="AK77">
        <v>348</v>
      </c>
    </row>
    <row r="78" spans="1:37" hidden="1" x14ac:dyDescent="0.3">
      <c r="A78" s="3">
        <v>1450.75</v>
      </c>
      <c r="B78" s="42">
        <v>1419.3330000000001</v>
      </c>
      <c r="C78" s="1">
        <f t="shared" si="10"/>
        <v>2025</v>
      </c>
      <c r="D78" s="1">
        <f t="shared" si="11"/>
        <v>11</v>
      </c>
      <c r="E78" s="1">
        <v>4</v>
      </c>
      <c r="F78" s="1" t="s">
        <v>44</v>
      </c>
      <c r="G78" s="56">
        <f t="shared" si="7"/>
        <v>45984</v>
      </c>
      <c r="H78" s="17">
        <f t="shared" si="12"/>
        <v>37.25216531964292</v>
      </c>
      <c r="I78" s="17">
        <f t="shared" si="8"/>
        <v>30.596478890084455</v>
      </c>
      <c r="J78" s="17">
        <v>22</v>
      </c>
      <c r="K78" s="17"/>
      <c r="L78" s="17">
        <v>32</v>
      </c>
      <c r="M78" s="44">
        <f>SUMPRODUCT(H78:L78,'Fisico SPOT MAT'!H78:L78)*24</f>
        <v>3328767.6549915345</v>
      </c>
      <c r="N78" s="19">
        <f>+'Fisico SPOT MAT'!AH78</f>
        <v>11.671398655340479</v>
      </c>
      <c r="O78" s="19">
        <f t="shared" si="9"/>
        <v>14.511494252873563</v>
      </c>
      <c r="P78" s="19">
        <v>6</v>
      </c>
      <c r="Q78" s="19"/>
      <c r="R78" s="19">
        <v>0</v>
      </c>
      <c r="S78" s="44">
        <f>SUMPRODUCT(N78:R78,'Fisico SPOT MAT'!N78:R78)*E78</f>
        <v>599962.43859291193</v>
      </c>
      <c r="T78" s="17">
        <v>50</v>
      </c>
      <c r="U78" s="17">
        <v>18</v>
      </c>
      <c r="V78" s="17">
        <v>50</v>
      </c>
      <c r="W78" s="17">
        <v>60</v>
      </c>
      <c r="X78" s="28">
        <f>SUMPRODUCT(T78:W78,'Fisico SPOT MAT'!T78:W78)*24</f>
        <v>2658536.898</v>
      </c>
      <c r="Y78" s="19">
        <v>0</v>
      </c>
      <c r="Z78" s="19">
        <v>5</v>
      </c>
      <c r="AA78" s="19">
        <v>0</v>
      </c>
      <c r="AB78" s="28">
        <f>SUMPRODUCT(Y78:AA78,'Fisico SPOT MAT'!Y78:AA78)*E78</f>
        <v>8300</v>
      </c>
      <c r="AC78" s="122">
        <f>(T78*'Fisico SPOT MAT'!T78+'Mono SPOT MAT'!V78*'Fisico SPOT MAT'!V78+'Mono SPOT MAT'!W78*'Fisico SPOT MAT'!W78)/'Fisico SPOT MAT'!AC78</f>
        <v>60</v>
      </c>
      <c r="AE78" s="41">
        <v>35.339264936433651</v>
      </c>
      <c r="AF78" s="41">
        <v>28.683578506875183</v>
      </c>
      <c r="AG78">
        <v>5050</v>
      </c>
      <c r="AH78" s="64">
        <f t="shared" si="6"/>
        <v>1.9129003832092715</v>
      </c>
      <c r="AK78">
        <v>348</v>
      </c>
    </row>
    <row r="79" spans="1:37" hidden="1" x14ac:dyDescent="0.3">
      <c r="A79" s="3">
        <v>1450.75</v>
      </c>
      <c r="B79" s="42">
        <v>1419.3330000000001</v>
      </c>
      <c r="C79" s="1">
        <f t="shared" ref="C79:C93" si="13">YEAR(G79)</f>
        <v>2025</v>
      </c>
      <c r="D79" s="1">
        <f t="shared" ref="D79:D93" si="14">MONTH(G79)</f>
        <v>11</v>
      </c>
      <c r="E79" s="1">
        <v>4</v>
      </c>
      <c r="F79" s="1" t="s">
        <v>45</v>
      </c>
      <c r="G79" s="56">
        <f t="shared" si="7"/>
        <v>45985</v>
      </c>
      <c r="H79" s="17">
        <f t="shared" si="12"/>
        <v>37.108140026046208</v>
      </c>
      <c r="I79" s="17">
        <f t="shared" si="8"/>
        <v>31.282222384115663</v>
      </c>
      <c r="J79" s="17">
        <v>22</v>
      </c>
      <c r="K79" s="17"/>
      <c r="L79" s="17">
        <v>32</v>
      </c>
      <c r="M79" s="44">
        <f>SUMPRODUCT(H79:L79,'Fisico SPOT MAT'!H79:L79)*24</f>
        <v>3988793.2492842004</v>
      </c>
      <c r="N79" s="19">
        <f>+'Fisico SPOT MAT'!AH79</f>
        <v>11.670342733099499</v>
      </c>
      <c r="O79" s="19">
        <f t="shared" si="9"/>
        <v>14.511494252873563</v>
      </c>
      <c r="P79" s="19">
        <v>6</v>
      </c>
      <c r="Q79" s="19"/>
      <c r="R79" s="19">
        <v>0</v>
      </c>
      <c r="S79" s="44">
        <f>SUMPRODUCT(N79:R79,'Fisico SPOT MAT'!N79:R79)*E79</f>
        <v>599507.84878448281</v>
      </c>
      <c r="T79" s="17">
        <v>50</v>
      </c>
      <c r="U79" s="17">
        <v>18</v>
      </c>
      <c r="V79" s="17">
        <v>50</v>
      </c>
      <c r="W79" s="17">
        <v>60</v>
      </c>
      <c r="X79" s="28">
        <f>SUMPRODUCT(T79:W79,'Fisico SPOT MAT'!T79:W79)*24</f>
        <v>2838219.5279999999</v>
      </c>
      <c r="Y79" s="19">
        <v>0</v>
      </c>
      <c r="Z79" s="19">
        <v>5</v>
      </c>
      <c r="AA79" s="19">
        <v>0</v>
      </c>
      <c r="AB79" s="28">
        <f>SUMPRODUCT(Y79:AA79,'Fisico SPOT MAT'!Y79:AA79)*E79</f>
        <v>8300</v>
      </c>
      <c r="AC79" s="122">
        <f>(T79*'Fisico SPOT MAT'!T79+'Mono SPOT MAT'!V79*'Fisico SPOT MAT'!V79+'Mono SPOT MAT'!W79*'Fisico SPOT MAT'!W79)/'Fisico SPOT MAT'!AC79</f>
        <v>60</v>
      </c>
      <c r="AE79" s="41">
        <v>35.204346628614715</v>
      </c>
      <c r="AF79" s="41">
        <v>29.37842898668417</v>
      </c>
      <c r="AG79">
        <v>5050</v>
      </c>
      <c r="AH79" s="64">
        <f t="shared" si="6"/>
        <v>1.9037933974314933</v>
      </c>
      <c r="AK79">
        <v>348</v>
      </c>
    </row>
    <row r="80" spans="1:37" hidden="1" x14ac:dyDescent="0.3">
      <c r="A80" s="3">
        <v>1450.75</v>
      </c>
      <c r="B80" s="42">
        <v>1419.3330000000001</v>
      </c>
      <c r="C80" s="1">
        <f t="shared" si="13"/>
        <v>2025</v>
      </c>
      <c r="D80" s="1">
        <f t="shared" si="14"/>
        <v>11</v>
      </c>
      <c r="E80" s="1">
        <v>16</v>
      </c>
      <c r="F80" s="1" t="s">
        <v>46</v>
      </c>
      <c r="G80" s="56">
        <f t="shared" si="7"/>
        <v>45986</v>
      </c>
      <c r="H80" s="17">
        <f t="shared" si="12"/>
        <v>37.291667369592474</v>
      </c>
      <c r="I80" s="17">
        <f t="shared" si="8"/>
        <v>42.203496988120733</v>
      </c>
      <c r="J80" s="17">
        <v>22</v>
      </c>
      <c r="K80" s="17"/>
      <c r="L80" s="17">
        <v>32</v>
      </c>
      <c r="M80" s="44">
        <f>SUMPRODUCT(H80:L80,'Fisico SPOT MAT'!H80:L80)*24</f>
        <v>6329556.6640783958</v>
      </c>
      <c r="N80" s="19">
        <f>+'Fisico SPOT MAT'!AH80</f>
        <v>11.699991532052653</v>
      </c>
      <c r="O80" s="19">
        <f t="shared" si="9"/>
        <v>14.511494252873563</v>
      </c>
      <c r="P80" s="19">
        <v>6</v>
      </c>
      <c r="Q80" s="19"/>
      <c r="R80" s="19">
        <v>0</v>
      </c>
      <c r="S80" s="44">
        <f>SUMPRODUCT(N80:R80,'Fisico SPOT MAT'!N80:R80)*E80</f>
        <v>2610455.4756130269</v>
      </c>
      <c r="T80" s="17">
        <v>50</v>
      </c>
      <c r="U80" s="17">
        <v>18</v>
      </c>
      <c r="V80" s="17">
        <v>50</v>
      </c>
      <c r="W80" s="17">
        <v>60</v>
      </c>
      <c r="X80" s="28">
        <f>SUMPRODUCT(T80:W80,'Fisico SPOT MAT'!T80:W80)*24</f>
        <v>1990827.1380000003</v>
      </c>
      <c r="Y80" s="19">
        <v>0</v>
      </c>
      <c r="Z80" s="19">
        <v>5</v>
      </c>
      <c r="AA80" s="19">
        <v>0</v>
      </c>
      <c r="AB80" s="28">
        <f>SUMPRODUCT(Y80:AA80,'Fisico SPOT MAT'!Y80:AA80)*E80</f>
        <v>33200</v>
      </c>
      <c r="AC80" s="122">
        <f>(T80*'Fisico SPOT MAT'!T80+'Mono SPOT MAT'!V80*'Fisico SPOT MAT'!V80+'Mono SPOT MAT'!W80*'Fisico SPOT MAT'!W80)/'Fisico SPOT MAT'!AC80</f>
        <v>60</v>
      </c>
      <c r="AE80" s="41">
        <v>35.376269198681477</v>
      </c>
      <c r="AF80" s="41">
        <v>40.288098817209736</v>
      </c>
      <c r="AG80">
        <v>5050</v>
      </c>
      <c r="AH80" s="64">
        <f t="shared" si="6"/>
        <v>1.9153981709109997</v>
      </c>
      <c r="AK80">
        <v>348</v>
      </c>
    </row>
    <row r="81" spans="1:37" hidden="1" x14ac:dyDescent="0.3">
      <c r="A81" s="3">
        <v>1450.75</v>
      </c>
      <c r="B81" s="42">
        <v>1419.3330000000001</v>
      </c>
      <c r="C81" s="1">
        <f t="shared" si="13"/>
        <v>2025</v>
      </c>
      <c r="D81" s="1">
        <f t="shared" si="14"/>
        <v>11</v>
      </c>
      <c r="E81" s="1">
        <v>16</v>
      </c>
      <c r="F81" s="1" t="s">
        <v>47</v>
      </c>
      <c r="G81" s="56">
        <f t="shared" si="7"/>
        <v>45987</v>
      </c>
      <c r="H81" s="17">
        <f t="shared" si="12"/>
        <v>38.481723222003247</v>
      </c>
      <c r="I81" s="17">
        <f t="shared" si="8"/>
        <v>37.429706883748153</v>
      </c>
      <c r="J81" s="17">
        <v>22</v>
      </c>
      <c r="K81" s="17"/>
      <c r="L81" s="17">
        <v>32</v>
      </c>
      <c r="M81" s="44">
        <f>SUMPRODUCT(H81:L81,'Fisico SPOT MAT'!H81:L81)*24</f>
        <v>6463120.9026770918</v>
      </c>
      <c r="N81" s="19">
        <f>+'Fisico SPOT MAT'!AH81</f>
        <v>11.696602685393511</v>
      </c>
      <c r="O81" s="19">
        <f t="shared" si="9"/>
        <v>14.511494252873563</v>
      </c>
      <c r="P81" s="19">
        <v>6</v>
      </c>
      <c r="Q81" s="19"/>
      <c r="R81" s="19">
        <v>0</v>
      </c>
      <c r="S81" s="44">
        <f>SUMPRODUCT(N81:R81,'Fisico SPOT MAT'!N81:R81)*E81</f>
        <v>2584426.1758007659</v>
      </c>
      <c r="T81" s="17">
        <v>50</v>
      </c>
      <c r="U81" s="17">
        <v>18</v>
      </c>
      <c r="V81" s="17">
        <v>50</v>
      </c>
      <c r="W81" s="17">
        <v>60</v>
      </c>
      <c r="X81" s="28">
        <f>SUMPRODUCT(T81:W81,'Fisico SPOT MAT'!T81:W81)*24</f>
        <v>2539425.5339999995</v>
      </c>
      <c r="Y81" s="19">
        <v>0</v>
      </c>
      <c r="Z81" s="19">
        <v>5</v>
      </c>
      <c r="AA81" s="19">
        <v>0</v>
      </c>
      <c r="AB81" s="28">
        <f>SUMPRODUCT(Y81:AA81,'Fisico SPOT MAT'!Y81:AA81)*E81</f>
        <v>33200</v>
      </c>
      <c r="AC81" s="122">
        <f>(T81*'Fisico SPOT MAT'!T81+'Mono SPOT MAT'!V81*'Fisico SPOT MAT'!V81+'Mono SPOT MAT'!W81*'Fisico SPOT MAT'!W81)/'Fisico SPOT MAT'!AC81</f>
        <v>60</v>
      </c>
      <c r="AE81" s="41">
        <v>36.491075617801634</v>
      </c>
      <c r="AF81" s="41">
        <v>35.439059279546541</v>
      </c>
      <c r="AG81">
        <v>5050</v>
      </c>
      <c r="AH81" s="64">
        <f t="shared" si="6"/>
        <v>1.9906476042016104</v>
      </c>
      <c r="AK81">
        <v>348</v>
      </c>
    </row>
    <row r="82" spans="1:37" hidden="1" x14ac:dyDescent="0.3">
      <c r="A82" s="3">
        <v>1450.75</v>
      </c>
      <c r="B82" s="42">
        <v>1419.3330000000001</v>
      </c>
      <c r="C82" s="1">
        <f t="shared" si="13"/>
        <v>2025</v>
      </c>
      <c r="D82" s="1">
        <f t="shared" si="14"/>
        <v>11</v>
      </c>
      <c r="E82" s="1">
        <v>16</v>
      </c>
      <c r="F82" s="1" t="s">
        <v>48</v>
      </c>
      <c r="G82" s="56">
        <f t="shared" si="7"/>
        <v>45988</v>
      </c>
      <c r="H82" s="17">
        <f t="shared" si="12"/>
        <v>39.970192381991389</v>
      </c>
      <c r="I82" s="17">
        <f t="shared" si="8"/>
        <v>31.247395555526705</v>
      </c>
      <c r="J82" s="17">
        <v>22</v>
      </c>
      <c r="K82" s="17"/>
      <c r="L82" s="17">
        <v>32</v>
      </c>
      <c r="M82" s="44">
        <f>SUMPRODUCT(H82:L82,'Fisico SPOT MAT'!H82:L82)*24</f>
        <v>6949870.3774771523</v>
      </c>
      <c r="N82" s="19">
        <f>+'Fisico SPOT MAT'!AH82</f>
        <v>11.696430924678678</v>
      </c>
      <c r="O82" s="19">
        <f t="shared" si="9"/>
        <v>14.511494252873563</v>
      </c>
      <c r="P82" s="19">
        <v>6</v>
      </c>
      <c r="Q82" s="19"/>
      <c r="R82" s="19">
        <v>0</v>
      </c>
      <c r="S82" s="44">
        <f>SUMPRODUCT(N82:R82,'Fisico SPOT MAT'!N82:R82)*E82</f>
        <v>2647459.6966781612</v>
      </c>
      <c r="T82" s="17">
        <v>50</v>
      </c>
      <c r="U82" s="17">
        <v>18</v>
      </c>
      <c r="V82" s="17">
        <v>50</v>
      </c>
      <c r="W82" s="17">
        <v>60</v>
      </c>
      <c r="X82" s="28">
        <f>SUMPRODUCT(T82:W82,'Fisico SPOT MAT'!T82:W82)*24</f>
        <v>2472864.0119999996</v>
      </c>
      <c r="Y82" s="19">
        <v>0</v>
      </c>
      <c r="Z82" s="19">
        <v>5</v>
      </c>
      <c r="AA82" s="19">
        <v>0</v>
      </c>
      <c r="AB82" s="28">
        <f>SUMPRODUCT(Y82:AA82,'Fisico SPOT MAT'!Y82:AA82)*E82</f>
        <v>33200</v>
      </c>
      <c r="AC82" s="122">
        <f>(T82*'Fisico SPOT MAT'!T82+'Mono SPOT MAT'!V82*'Fisico SPOT MAT'!V82+'Mono SPOT MAT'!W82*'Fisico SPOT MAT'!W82)/'Fisico SPOT MAT'!AC82</f>
        <v>60</v>
      </c>
      <c r="AE82" s="41">
        <v>37.88542611896149</v>
      </c>
      <c r="AF82" s="41">
        <v>29.162629292496803</v>
      </c>
      <c r="AG82">
        <v>5050</v>
      </c>
      <c r="AH82" s="64">
        <f t="shared" si="6"/>
        <v>2.0847662630299006</v>
      </c>
      <c r="AK82">
        <v>348</v>
      </c>
    </row>
    <row r="83" spans="1:37" hidden="1" x14ac:dyDescent="0.3">
      <c r="A83" s="3">
        <v>1450.75</v>
      </c>
      <c r="B83" s="42">
        <v>1419.3330000000001</v>
      </c>
      <c r="C83" s="1">
        <f t="shared" si="13"/>
        <v>2025</v>
      </c>
      <c r="D83" s="1">
        <f t="shared" si="14"/>
        <v>11</v>
      </c>
      <c r="E83" s="1">
        <v>16</v>
      </c>
      <c r="F83" s="1" t="s">
        <v>49</v>
      </c>
      <c r="G83" s="56">
        <f t="shared" si="7"/>
        <v>45989</v>
      </c>
      <c r="H83" s="17">
        <f t="shared" si="12"/>
        <v>40.049355050610203</v>
      </c>
      <c r="I83" s="17">
        <f t="shared" si="8"/>
        <v>31.533927147019973</v>
      </c>
      <c r="J83" s="17">
        <v>22</v>
      </c>
      <c r="K83" s="17"/>
      <c r="L83" s="17">
        <v>32</v>
      </c>
      <c r="M83" s="44">
        <f>SUMPRODUCT(H83:L83,'Fisico SPOT MAT'!H83:L83)*24</f>
        <v>7321511.9114699699</v>
      </c>
      <c r="N83" s="19">
        <f>+'Fisico SPOT MAT'!AH83</f>
        <v>11.698575240518117</v>
      </c>
      <c r="O83" s="19">
        <f t="shared" si="9"/>
        <v>14.511494252873563</v>
      </c>
      <c r="P83" s="19">
        <v>6</v>
      </c>
      <c r="Q83" s="19"/>
      <c r="R83" s="19">
        <v>0</v>
      </c>
      <c r="S83" s="44">
        <f>SUMPRODUCT(N83:R83,'Fisico SPOT MAT'!N83:R83)*E83</f>
        <v>2665879.4691877379</v>
      </c>
      <c r="T83" s="17">
        <v>50</v>
      </c>
      <c r="U83" s="17">
        <v>18</v>
      </c>
      <c r="V83" s="17">
        <v>50</v>
      </c>
      <c r="W83" s="17">
        <v>60</v>
      </c>
      <c r="X83" s="28">
        <f>SUMPRODUCT(T83:W83,'Fisico SPOT MAT'!T83:W83)*24</f>
        <v>2400678.264</v>
      </c>
      <c r="Y83" s="19">
        <v>0</v>
      </c>
      <c r="Z83" s="19">
        <v>5</v>
      </c>
      <c r="AA83" s="19">
        <v>0</v>
      </c>
      <c r="AB83" s="28">
        <f>SUMPRODUCT(Y83:AA83,'Fisico SPOT MAT'!Y83:AA83)*E83</f>
        <v>33200</v>
      </c>
      <c r="AC83" s="122">
        <f>(T83*'Fisico SPOT MAT'!T83+'Mono SPOT MAT'!V83*'Fisico SPOT MAT'!V83+'Mono SPOT MAT'!W83*'Fisico SPOT MAT'!W83)/'Fisico SPOT MAT'!AC83</f>
        <v>60</v>
      </c>
      <c r="AE83" s="41">
        <v>37.959583185583327</v>
      </c>
      <c r="AF83" s="41">
        <v>29.444155281993098</v>
      </c>
      <c r="AG83">
        <v>5050</v>
      </c>
      <c r="AH83" s="64">
        <f t="shared" si="6"/>
        <v>2.0897718650268748</v>
      </c>
      <c r="AK83">
        <v>348</v>
      </c>
    </row>
    <row r="84" spans="1:37" hidden="1" x14ac:dyDescent="0.3">
      <c r="A84" s="3">
        <v>1450.75</v>
      </c>
      <c r="B84" s="42">
        <v>1419.3330000000001</v>
      </c>
      <c r="C84" s="1">
        <f t="shared" si="13"/>
        <v>2025</v>
      </c>
      <c r="D84" s="1">
        <f t="shared" si="14"/>
        <v>11</v>
      </c>
      <c r="E84" s="1">
        <v>6</v>
      </c>
      <c r="F84" s="1" t="s">
        <v>43</v>
      </c>
      <c r="G84" s="56">
        <f t="shared" si="7"/>
        <v>45990</v>
      </c>
      <c r="H84" s="17">
        <f t="shared" si="12"/>
        <v>38.625995670461258</v>
      </c>
      <c r="I84" s="17">
        <f t="shared" si="8"/>
        <v>31.175771925312603</v>
      </c>
      <c r="J84" s="17">
        <v>22</v>
      </c>
      <c r="K84" s="17"/>
      <c r="L84" s="17">
        <v>32</v>
      </c>
      <c r="M84" s="44">
        <f>SUMPRODUCT(H84:L84,'Fisico SPOT MAT'!H84:L84)*24</f>
        <v>6400266.3420473943</v>
      </c>
      <c r="N84" s="19">
        <f>+'Fisico SPOT MAT'!AH84</f>
        <v>11.705876574801584</v>
      </c>
      <c r="O84" s="19">
        <f t="shared" si="9"/>
        <v>14.511494252873563</v>
      </c>
      <c r="P84" s="19">
        <v>6</v>
      </c>
      <c r="Q84" s="19"/>
      <c r="R84" s="19">
        <v>0</v>
      </c>
      <c r="S84" s="44">
        <f>SUMPRODUCT(N84:R84,'Fisico SPOT MAT'!N84:R84)*E84</f>
        <v>1025148.808637931</v>
      </c>
      <c r="T84" s="17">
        <v>50</v>
      </c>
      <c r="U84" s="17">
        <v>18</v>
      </c>
      <c r="V84" s="17">
        <v>50</v>
      </c>
      <c r="W84" s="17">
        <v>60</v>
      </c>
      <c r="X84" s="28">
        <f>SUMPRODUCT(T84:W84,'Fisico SPOT MAT'!T84:W84)*24</f>
        <v>1841419.1640000001</v>
      </c>
      <c r="Y84" s="19">
        <v>0</v>
      </c>
      <c r="Z84" s="19">
        <v>5</v>
      </c>
      <c r="AA84" s="19">
        <v>0</v>
      </c>
      <c r="AB84" s="28">
        <f>SUMPRODUCT(Y84:AA84,'Fisico SPOT MAT'!Y84:AA84)*E84</f>
        <v>14157.287499999999</v>
      </c>
      <c r="AC84" s="122">
        <f>(T84*'Fisico SPOT MAT'!T84+'Mono SPOT MAT'!V84*'Fisico SPOT MAT'!V84+'Mono SPOT MAT'!W84*'Fisico SPOT MAT'!W84)/'Fisico SPOT MAT'!AC84</f>
        <v>60.000000000000007</v>
      </c>
      <c r="AE84" s="41">
        <v>36.626225452422723</v>
      </c>
      <c r="AF84" s="41">
        <v>29.176001707274068</v>
      </c>
      <c r="AG84">
        <v>5050</v>
      </c>
      <c r="AH84" s="64">
        <f t="shared" si="6"/>
        <v>1.9997702180385339</v>
      </c>
      <c r="AK84">
        <v>348</v>
      </c>
    </row>
    <row r="85" spans="1:37" hidden="1" x14ac:dyDescent="0.3">
      <c r="A85" s="3">
        <v>1450.75</v>
      </c>
      <c r="B85" s="42">
        <v>1419.3330000000001</v>
      </c>
      <c r="C85" s="1">
        <f t="shared" si="13"/>
        <v>2025</v>
      </c>
      <c r="D85" s="1">
        <f t="shared" si="14"/>
        <v>11</v>
      </c>
      <c r="E85" s="1">
        <v>4</v>
      </c>
      <c r="F85" s="1" t="s">
        <v>44</v>
      </c>
      <c r="G85" s="56">
        <f t="shared" si="7"/>
        <v>45991</v>
      </c>
      <c r="H85" s="17">
        <f t="shared" ref="H85" si="15">+AE85+AH85</f>
        <v>36.986245858106876</v>
      </c>
      <c r="I85" s="17">
        <f t="shared" ref="I85" si="16">+AF85+AH85</f>
        <v>31.018100772241674</v>
      </c>
      <c r="J85" s="17">
        <v>22</v>
      </c>
      <c r="K85" s="17"/>
      <c r="L85" s="17">
        <v>32</v>
      </c>
      <c r="M85" s="44">
        <f>SUMPRODUCT(H85:L85,'Fisico SPOT MAT'!H85:L85)*24</f>
        <v>4987419.9355317149</v>
      </c>
      <c r="N85" s="19">
        <f>+'Fisico SPOT MAT'!AH85</f>
        <v>11.694274885348483</v>
      </c>
      <c r="O85" s="19">
        <f t="shared" si="9"/>
        <v>14.511494252873563</v>
      </c>
      <c r="P85" s="19">
        <v>6</v>
      </c>
      <c r="Q85" s="19"/>
      <c r="R85" s="19">
        <v>0</v>
      </c>
      <c r="S85" s="44">
        <f>SUMPRODUCT(N85:R85,'Fisico SPOT MAT'!N85:R85)*E85</f>
        <v>654683.80182088132</v>
      </c>
      <c r="T85" s="17">
        <v>50</v>
      </c>
      <c r="U85" s="17">
        <v>18</v>
      </c>
      <c r="V85" s="17">
        <v>50</v>
      </c>
      <c r="W85" s="17">
        <v>60</v>
      </c>
      <c r="X85" s="28">
        <f>SUMPRODUCT(T85:W85,'Fisico SPOT MAT'!T85:W85)*24</f>
        <v>1715565.4799999997</v>
      </c>
      <c r="Y85" s="19">
        <v>0</v>
      </c>
      <c r="Z85" s="19">
        <v>5</v>
      </c>
      <c r="AA85" s="19">
        <v>0</v>
      </c>
      <c r="AB85" s="28">
        <f>SUMPRODUCT(Y85:AA85,'Fisico SPOT MAT'!Y85:AA85)*E85</f>
        <v>10500</v>
      </c>
      <c r="AC85" s="122">
        <f>(T85*'Fisico SPOT MAT'!T85+'Mono SPOT MAT'!V85*'Fisico SPOT MAT'!V85+'Mono SPOT MAT'!W85*'Fisico SPOT MAT'!W85)/'Fisico SPOT MAT'!AC85</f>
        <v>59.999999999999993</v>
      </c>
      <c r="AE85" s="41">
        <v>35.090160054432673</v>
      </c>
      <c r="AF85" s="41">
        <v>29.12201496856747</v>
      </c>
      <c r="AG85">
        <v>5050</v>
      </c>
      <c r="AH85" s="64">
        <f t="shared" si="6"/>
        <v>1.8960858036742054</v>
      </c>
      <c r="AK85">
        <v>348</v>
      </c>
    </row>
    <row r="86" spans="1:37" hidden="1" x14ac:dyDescent="0.3">
      <c r="A86" s="3">
        <v>1459.4167</v>
      </c>
      <c r="B86" s="42">
        <v>1442.8330000000001</v>
      </c>
      <c r="C86" s="1">
        <f t="shared" si="13"/>
        <v>2025</v>
      </c>
      <c r="D86" s="1">
        <f t="shared" si="14"/>
        <v>12</v>
      </c>
      <c r="E86" s="1">
        <v>16</v>
      </c>
      <c r="F86" s="1" t="s">
        <v>45</v>
      </c>
      <c r="G86" s="56">
        <f t="shared" si="7"/>
        <v>45992</v>
      </c>
      <c r="H86" s="17">
        <f>+AE86+AH86+AI86</f>
        <v>39.918869613182089</v>
      </c>
      <c r="I86" s="17">
        <f>+AF86+AH86+AI86</f>
        <v>44.02047681143997</v>
      </c>
      <c r="J86" s="17">
        <v>22</v>
      </c>
      <c r="K86" s="17"/>
      <c r="L86" s="17">
        <v>32</v>
      </c>
      <c r="M86" s="44">
        <f>SUMPRODUCT(H86:L86,'Fisico SPOT MAT'!H86:L86)*24</f>
        <v>5825233.3343509194</v>
      </c>
      <c r="N86" s="19">
        <f>+'Fisico SPOT MAT'!AH86</f>
        <v>16.811346629187124</v>
      </c>
      <c r="O86" s="19">
        <f t="shared" si="9"/>
        <v>13.151041666666666</v>
      </c>
      <c r="P86" s="19">
        <v>6</v>
      </c>
      <c r="Q86" s="19"/>
      <c r="R86" s="19">
        <v>0</v>
      </c>
      <c r="S86" s="44">
        <f>SUMPRODUCT(N86:R86,'Fisico SPOT MAT'!N86:R86)*E86</f>
        <v>3565192.9050208316</v>
      </c>
      <c r="T86" s="17">
        <v>50</v>
      </c>
      <c r="U86" s="17">
        <v>18</v>
      </c>
      <c r="V86" s="17">
        <v>50</v>
      </c>
      <c r="W86" s="17">
        <v>60</v>
      </c>
      <c r="X86" s="28">
        <f>SUMPRODUCT(T86:W86,'Fisico SPOT MAT'!T86:W86)*24</f>
        <v>1334192.3999999994</v>
      </c>
      <c r="Y86" s="19">
        <v>0</v>
      </c>
      <c r="Z86" s="19">
        <v>5</v>
      </c>
      <c r="AA86" s="19">
        <v>0</v>
      </c>
      <c r="AB86" s="28">
        <f>SUMPRODUCT(Y86:AA86,'Fisico SPOT MAT'!Y86:AA86)*E86</f>
        <v>42000</v>
      </c>
      <c r="AC86" s="122">
        <f>(T86*'Fisico SPOT MAT'!T86+'Mono SPOT MAT'!V86*'Fisico SPOT MAT'!V86+'Mono SPOT MAT'!W86*'Fisico SPOT MAT'!W86)/'Fisico SPOT MAT'!AC86</f>
        <v>60</v>
      </c>
      <c r="AE86" s="41">
        <v>35.776458654034741</v>
      </c>
      <c r="AF86" s="42">
        <v>39.878065852292622</v>
      </c>
      <c r="AG86">
        <v>5050</v>
      </c>
      <c r="AH86" s="64">
        <f t="shared" si="6"/>
        <v>1.9424109591473451</v>
      </c>
      <c r="AI86">
        <v>2.2000000000000002</v>
      </c>
      <c r="AK86">
        <v>384</v>
      </c>
    </row>
    <row r="87" spans="1:37" hidden="1" x14ac:dyDescent="0.3">
      <c r="A87" s="3">
        <f>+A86</f>
        <v>1459.4167</v>
      </c>
      <c r="B87" s="42">
        <v>1442.8330000000001</v>
      </c>
      <c r="C87" s="1">
        <f t="shared" si="13"/>
        <v>2025</v>
      </c>
      <c r="D87" s="1">
        <f t="shared" si="14"/>
        <v>12</v>
      </c>
      <c r="E87" s="1">
        <v>16</v>
      </c>
      <c r="F87" s="1" t="s">
        <v>46</v>
      </c>
      <c r="G87" s="56">
        <f t="shared" si="7"/>
        <v>45993</v>
      </c>
      <c r="H87" s="17">
        <f t="shared" ref="H87:H113" si="17">+AE87+AH87+AI87</f>
        <v>39.976786946818343</v>
      </c>
      <c r="I87" s="17">
        <f t="shared" ref="I87:I113" si="18">+AF87+AH87+AI87</f>
        <v>35.470219845358905</v>
      </c>
      <c r="J87" s="17">
        <v>22</v>
      </c>
      <c r="K87" s="17"/>
      <c r="L87" s="17">
        <v>32</v>
      </c>
      <c r="M87" s="44">
        <f>SUMPRODUCT(H87:L87,'Fisico SPOT MAT'!H87:L87)*24</f>
        <v>6195137.6554403733</v>
      </c>
      <c r="N87" s="19">
        <f>+'Fisico SPOT MAT'!AH87</f>
        <v>16.77863674515174</v>
      </c>
      <c r="O87" s="19">
        <f t="shared" si="9"/>
        <v>13.151041666666666</v>
      </c>
      <c r="P87" s="19">
        <v>6</v>
      </c>
      <c r="Q87" s="19"/>
      <c r="R87" s="19">
        <v>0</v>
      </c>
      <c r="S87" s="44">
        <f>SUMPRODUCT(N87:R87,'Fisico SPOT MAT'!N87:R87)*E87</f>
        <v>3496799.0052013872</v>
      </c>
      <c r="T87" s="17">
        <v>50</v>
      </c>
      <c r="U87" s="17">
        <v>18</v>
      </c>
      <c r="V87" s="17">
        <v>50</v>
      </c>
      <c r="W87" s="17">
        <v>60</v>
      </c>
      <c r="X87" s="28">
        <f>SUMPRODUCT(T87:W87,'Fisico SPOT MAT'!T87:W87)*24</f>
        <v>1736118.6959999995</v>
      </c>
      <c r="Y87" s="19">
        <v>0</v>
      </c>
      <c r="Z87" s="19">
        <v>5</v>
      </c>
      <c r="AA87" s="19">
        <v>0</v>
      </c>
      <c r="AB87" s="28">
        <f>SUMPRODUCT(Y87:AA87,'Fisico SPOT MAT'!Y87:AA87)*E87</f>
        <v>42000</v>
      </c>
      <c r="AC87" s="122">
        <f>(T87*'Fisico SPOT MAT'!T87+'Mono SPOT MAT'!V87*'Fisico SPOT MAT'!V87+'Mono SPOT MAT'!W87*'Fisico SPOT MAT'!W87)/'Fisico SPOT MAT'!AC87</f>
        <v>60.000000000000007</v>
      </c>
      <c r="AE87" s="41">
        <v>35.830713767511327</v>
      </c>
      <c r="AF87" s="42">
        <v>31.324146666051885</v>
      </c>
      <c r="AG87">
        <v>5050</v>
      </c>
      <c r="AH87" s="64">
        <f t="shared" si="6"/>
        <v>1.9460731793070147</v>
      </c>
      <c r="AI87">
        <v>2.2000000000000002</v>
      </c>
      <c r="AK87">
        <v>384</v>
      </c>
    </row>
    <row r="88" spans="1:37" hidden="1" x14ac:dyDescent="0.3">
      <c r="A88" s="3">
        <f t="shared" ref="A88:A116" si="19">+A87</f>
        <v>1459.4167</v>
      </c>
      <c r="B88" s="42">
        <v>1442.8330000000001</v>
      </c>
      <c r="C88" s="1">
        <f t="shared" si="13"/>
        <v>2025</v>
      </c>
      <c r="D88" s="1">
        <f t="shared" si="14"/>
        <v>12</v>
      </c>
      <c r="E88" s="1">
        <v>16</v>
      </c>
      <c r="F88" s="1" t="s">
        <v>47</v>
      </c>
      <c r="G88" s="56">
        <f t="shared" si="7"/>
        <v>45994</v>
      </c>
      <c r="H88" s="17">
        <f t="shared" si="17"/>
        <v>42.624028570357559</v>
      </c>
      <c r="I88" s="17">
        <f t="shared" si="18"/>
        <v>33.077696587603569</v>
      </c>
      <c r="J88" s="17">
        <v>22</v>
      </c>
      <c r="K88" s="17"/>
      <c r="L88" s="17">
        <v>32</v>
      </c>
      <c r="M88" s="44">
        <f>SUMPRODUCT(H88:L88,'Fisico SPOT MAT'!H88:L88)*24</f>
        <v>7021321.115680539</v>
      </c>
      <c r="N88" s="19">
        <f>+'Fisico SPOT MAT'!AH88</f>
        <v>16.719435849835058</v>
      </c>
      <c r="O88" s="19">
        <f t="shared" si="9"/>
        <v>13.151041666666666</v>
      </c>
      <c r="P88" s="19">
        <v>6</v>
      </c>
      <c r="Q88" s="19"/>
      <c r="R88" s="19">
        <v>0</v>
      </c>
      <c r="S88" s="44">
        <f>SUMPRODUCT(N88:R88,'Fisico SPOT MAT'!N88:R88)*E88</f>
        <v>3362514.0578715284</v>
      </c>
      <c r="T88" s="17">
        <v>50</v>
      </c>
      <c r="U88" s="17">
        <v>18</v>
      </c>
      <c r="V88" s="17">
        <v>50</v>
      </c>
      <c r="W88" s="17">
        <v>60</v>
      </c>
      <c r="X88" s="28">
        <f>SUMPRODUCT(T88:W88,'Fisico SPOT MAT'!T88:W88)*24</f>
        <v>2161705.3739999998</v>
      </c>
      <c r="Y88" s="19">
        <v>0</v>
      </c>
      <c r="Z88" s="19">
        <v>5</v>
      </c>
      <c r="AA88" s="19">
        <v>0</v>
      </c>
      <c r="AB88" s="28">
        <f>SUMPRODUCT(Y88:AA88,'Fisico SPOT MAT'!Y88:AA88)*E88</f>
        <v>42000</v>
      </c>
      <c r="AC88" s="122">
        <f>(T88*'Fisico SPOT MAT'!T88+'Mono SPOT MAT'!V88*'Fisico SPOT MAT'!V88+'Mono SPOT MAT'!W88*'Fisico SPOT MAT'!W88)/'Fisico SPOT MAT'!AC88</f>
        <v>60</v>
      </c>
      <c r="AE88" s="41">
        <v>38.310565405487175</v>
      </c>
      <c r="AF88" s="42">
        <v>28.764233422733181</v>
      </c>
      <c r="AG88">
        <v>5050</v>
      </c>
      <c r="AH88" s="64">
        <f t="shared" si="6"/>
        <v>2.1134631648703843</v>
      </c>
      <c r="AI88">
        <v>2.2000000000000002</v>
      </c>
      <c r="AK88">
        <v>384</v>
      </c>
    </row>
    <row r="89" spans="1:37" hidden="1" x14ac:dyDescent="0.3">
      <c r="A89" s="3">
        <f t="shared" si="19"/>
        <v>1459.4167</v>
      </c>
      <c r="B89" s="42">
        <v>1442.8330000000001</v>
      </c>
      <c r="C89" s="1">
        <f t="shared" si="13"/>
        <v>2025</v>
      </c>
      <c r="D89" s="1">
        <f t="shared" si="14"/>
        <v>12</v>
      </c>
      <c r="E89" s="1">
        <v>16</v>
      </c>
      <c r="F89" s="1" t="s">
        <v>48</v>
      </c>
      <c r="G89" s="56">
        <f t="shared" si="7"/>
        <v>45995</v>
      </c>
      <c r="H89" s="17">
        <f t="shared" si="17"/>
        <v>43.370717637361118</v>
      </c>
      <c r="I89" s="17">
        <f t="shared" si="18"/>
        <v>35.000247425054731</v>
      </c>
      <c r="J89" s="17">
        <v>22</v>
      </c>
      <c r="K89" s="17"/>
      <c r="L89" s="17">
        <v>32</v>
      </c>
      <c r="M89" s="44">
        <f>SUMPRODUCT(H89:L89,'Fisico SPOT MAT'!H89:L89)*24</f>
        <v>7820759.0777109563</v>
      </c>
      <c r="N89" s="19">
        <f>+'Fisico SPOT MAT'!AH89</f>
        <v>16.712198891997691</v>
      </c>
      <c r="O89" s="19">
        <f t="shared" si="9"/>
        <v>13.151041666666666</v>
      </c>
      <c r="P89" s="19">
        <v>6</v>
      </c>
      <c r="Q89" s="19"/>
      <c r="R89" s="19">
        <v>0</v>
      </c>
      <c r="S89" s="44">
        <f>SUMPRODUCT(N89:R89,'Fisico SPOT MAT'!N89:R89)*E89</f>
        <v>3337868.9970034738</v>
      </c>
      <c r="T89" s="17">
        <v>50</v>
      </c>
      <c r="U89" s="17">
        <v>18</v>
      </c>
      <c r="V89" s="17">
        <v>50</v>
      </c>
      <c r="W89" s="17">
        <v>60</v>
      </c>
      <c r="X89" s="28">
        <f>SUMPRODUCT(T89:W89,'Fisico SPOT MAT'!T89:W89)*24</f>
        <v>2531774.5380000006</v>
      </c>
      <c r="Y89" s="19">
        <v>0</v>
      </c>
      <c r="Z89" s="19">
        <v>5</v>
      </c>
      <c r="AA89" s="19">
        <v>0</v>
      </c>
      <c r="AB89" s="28">
        <f>SUMPRODUCT(Y89:AA89,'Fisico SPOT MAT'!Y89:AA89)*E89</f>
        <v>42000</v>
      </c>
      <c r="AC89" s="122">
        <f>(T89*'Fisico SPOT MAT'!T89+'Mono SPOT MAT'!V89*'Fisico SPOT MAT'!V89+'Mono SPOT MAT'!W89*'Fisico SPOT MAT'!W89)/'Fisico SPOT MAT'!AC89</f>
        <v>60</v>
      </c>
      <c r="AE89" s="41">
        <v>39.010039941321885</v>
      </c>
      <c r="AF89" s="42">
        <v>30.639569729015498</v>
      </c>
      <c r="AG89">
        <v>5050</v>
      </c>
      <c r="AH89" s="64">
        <f t="shared" si="6"/>
        <v>2.1606776960392273</v>
      </c>
      <c r="AI89">
        <v>2.2000000000000002</v>
      </c>
      <c r="AK89">
        <v>384</v>
      </c>
    </row>
    <row r="90" spans="1:37" hidden="1" x14ac:dyDescent="0.3">
      <c r="A90" s="3">
        <f t="shared" si="19"/>
        <v>1459.4167</v>
      </c>
      <c r="B90" s="42">
        <v>1442.8330000000001</v>
      </c>
      <c r="C90" s="1">
        <f t="shared" si="13"/>
        <v>2025</v>
      </c>
      <c r="D90" s="1">
        <f t="shared" si="14"/>
        <v>12</v>
      </c>
      <c r="E90" s="1">
        <v>16</v>
      </c>
      <c r="F90" s="1" t="s">
        <v>49</v>
      </c>
      <c r="G90" s="56">
        <f t="shared" si="7"/>
        <v>45996</v>
      </c>
      <c r="H90" s="17">
        <f t="shared" si="17"/>
        <v>43.307922155040714</v>
      </c>
      <c r="I90" s="17">
        <f t="shared" si="18"/>
        <v>34.666446958176238</v>
      </c>
      <c r="J90" s="17">
        <v>22</v>
      </c>
      <c r="K90" s="17"/>
      <c r="L90" s="17">
        <v>32</v>
      </c>
      <c r="M90" s="44">
        <f>SUMPRODUCT(H90:L90,'Fisico SPOT MAT'!H90:L90)*24</f>
        <v>8392724.5612364039</v>
      </c>
      <c r="N90" s="19">
        <f>+'Fisico SPOT MAT'!AH90</f>
        <v>16.800733809328655</v>
      </c>
      <c r="O90" s="19">
        <f t="shared" si="9"/>
        <v>13.151041666666666</v>
      </c>
      <c r="P90" s="19">
        <v>6</v>
      </c>
      <c r="Q90" s="19"/>
      <c r="R90" s="19">
        <v>0</v>
      </c>
      <c r="S90" s="44">
        <f>SUMPRODUCT(N90:R90,'Fisico SPOT MAT'!N90:R90)*E90</f>
        <v>3570168.516100694</v>
      </c>
      <c r="T90" s="17">
        <v>50</v>
      </c>
      <c r="U90" s="17">
        <v>18</v>
      </c>
      <c r="V90" s="17">
        <v>50</v>
      </c>
      <c r="W90" s="17">
        <v>60</v>
      </c>
      <c r="X90" s="28">
        <f>SUMPRODUCT(T90:W90,'Fisico SPOT MAT'!T90:W90)*24</f>
        <v>2285911.7820000006</v>
      </c>
      <c r="Y90" s="19">
        <v>0</v>
      </c>
      <c r="Z90" s="19">
        <v>5</v>
      </c>
      <c r="AA90" s="19">
        <v>0</v>
      </c>
      <c r="AB90" s="28">
        <f>SUMPRODUCT(Y90:AA90,'Fisico SPOT MAT'!Y90:AA90)*E90</f>
        <v>42000</v>
      </c>
      <c r="AC90" s="122">
        <f>(T90*'Fisico SPOT MAT'!T90+'Mono SPOT MAT'!V90*'Fisico SPOT MAT'!V90+'Mono SPOT MAT'!W90*'Fisico SPOT MAT'!W90)/'Fisico SPOT MAT'!AC90</f>
        <v>60</v>
      </c>
      <c r="AE90" s="41">
        <v>38.951215133527597</v>
      </c>
      <c r="AF90" s="42">
        <v>30.309739936663121</v>
      </c>
      <c r="AG90">
        <v>5050</v>
      </c>
      <c r="AH90" s="64">
        <f t="shared" ref="AH90:AH153" si="20">0.075*0.9*(AE90-7)</f>
        <v>2.156707021513113</v>
      </c>
      <c r="AI90">
        <v>2.2000000000000002</v>
      </c>
      <c r="AK90">
        <v>384</v>
      </c>
    </row>
    <row r="91" spans="1:37" hidden="1" x14ac:dyDescent="0.3">
      <c r="A91" s="3">
        <f t="shared" si="19"/>
        <v>1459.4167</v>
      </c>
      <c r="B91" s="42">
        <v>1442.8330000000001</v>
      </c>
      <c r="C91" s="1">
        <f t="shared" si="13"/>
        <v>2025</v>
      </c>
      <c r="D91" s="1">
        <f t="shared" si="14"/>
        <v>12</v>
      </c>
      <c r="E91" s="1">
        <v>6</v>
      </c>
      <c r="F91" s="1" t="s">
        <v>43</v>
      </c>
      <c r="G91" s="56">
        <f t="shared" ref="G91:G113" si="21">+ G90+1</f>
        <v>45997</v>
      </c>
      <c r="H91" s="17">
        <f t="shared" si="17"/>
        <v>47.01992432658934</v>
      </c>
      <c r="I91" s="17">
        <f t="shared" si="18"/>
        <v>38.149005794915517</v>
      </c>
      <c r="J91" s="17">
        <v>22</v>
      </c>
      <c r="K91" s="17"/>
      <c r="L91" s="17">
        <v>32</v>
      </c>
      <c r="M91" s="44">
        <f>SUMPRODUCT(H91:L91,'Fisico SPOT MAT'!H91:L91)*24</f>
        <v>8310917.4316133317</v>
      </c>
      <c r="N91" s="19">
        <f>+'Fisico SPOT MAT'!AH91</f>
        <v>16.729881535764182</v>
      </c>
      <c r="O91" s="19">
        <f t="shared" si="9"/>
        <v>13.151041666666666</v>
      </c>
      <c r="P91" s="19">
        <v>6</v>
      </c>
      <c r="Q91" s="19"/>
      <c r="R91" s="19">
        <v>0</v>
      </c>
      <c r="S91" s="44">
        <f>SUMPRODUCT(N91:R91,'Fisico SPOT MAT'!N91:R91)*E91</f>
        <v>1253545.8118138025</v>
      </c>
      <c r="T91" s="17">
        <v>50</v>
      </c>
      <c r="U91" s="17">
        <v>18</v>
      </c>
      <c r="V91" s="17">
        <v>50</v>
      </c>
      <c r="W91" s="17">
        <v>60</v>
      </c>
      <c r="X91" s="28">
        <f>SUMPRODUCT(T91:W91,'Fisico SPOT MAT'!T91:W91)*24</f>
        <v>1719127.4940000004</v>
      </c>
      <c r="Y91" s="19">
        <v>0</v>
      </c>
      <c r="Z91" s="19">
        <v>5</v>
      </c>
      <c r="AA91" s="19">
        <v>0</v>
      </c>
      <c r="AB91" s="28">
        <f>SUMPRODUCT(Y91:AA91,'Fisico SPOT MAT'!Y91:AA91)*E91</f>
        <v>15750</v>
      </c>
      <c r="AC91" s="122">
        <f>(T91*'Fisico SPOT MAT'!T91+'Mono SPOT MAT'!V91*'Fisico SPOT MAT'!V91+'Mono SPOT MAT'!W91*'Fisico SPOT MAT'!W91)/'Fisico SPOT MAT'!AC91</f>
        <v>60</v>
      </c>
      <c r="AE91" s="41">
        <v>42.428500540130528</v>
      </c>
      <c r="AF91" s="42">
        <v>33.557582008456706</v>
      </c>
      <c r="AG91">
        <v>5050</v>
      </c>
      <c r="AH91" s="64">
        <f t="shared" si="20"/>
        <v>2.391423786458811</v>
      </c>
      <c r="AI91">
        <v>2.2000000000000002</v>
      </c>
      <c r="AK91">
        <v>384</v>
      </c>
    </row>
    <row r="92" spans="1:37" hidden="1" x14ac:dyDescent="0.3">
      <c r="A92" s="3">
        <f t="shared" si="19"/>
        <v>1459.4167</v>
      </c>
      <c r="B92" s="42">
        <v>1442.8330000000001</v>
      </c>
      <c r="C92" s="1">
        <f t="shared" si="13"/>
        <v>2025</v>
      </c>
      <c r="D92" s="1">
        <f t="shared" si="14"/>
        <v>12</v>
      </c>
      <c r="E92" s="1">
        <v>4</v>
      </c>
      <c r="F92" s="1" t="s">
        <v>44</v>
      </c>
      <c r="G92" s="56">
        <f t="shared" si="21"/>
        <v>45998</v>
      </c>
      <c r="H92" s="17">
        <f t="shared" si="17"/>
        <v>46.595392653955379</v>
      </c>
      <c r="I92" s="17">
        <f t="shared" si="18"/>
        <v>36.259080087479219</v>
      </c>
      <c r="J92" s="17">
        <v>22</v>
      </c>
      <c r="K92" s="17"/>
      <c r="L92" s="17">
        <v>32</v>
      </c>
      <c r="M92" s="44">
        <f>SUMPRODUCT(H92:L92,'Fisico SPOT MAT'!H92:L92)*24</f>
        <v>6248815.0871332344</v>
      </c>
      <c r="N92" s="19">
        <f>+'Fisico SPOT MAT'!AH92</f>
        <v>16.778072424807082</v>
      </c>
      <c r="O92" s="19">
        <f t="shared" si="9"/>
        <v>13.151041666666666</v>
      </c>
      <c r="P92" s="19">
        <v>6</v>
      </c>
      <c r="Q92" s="19"/>
      <c r="R92" s="19">
        <v>0</v>
      </c>
      <c r="S92" s="44">
        <f>SUMPRODUCT(N92:R92,'Fisico SPOT MAT'!N92:R92)*E92</f>
        <v>862923.94803645834</v>
      </c>
      <c r="T92" s="17">
        <v>50</v>
      </c>
      <c r="U92" s="17">
        <v>18</v>
      </c>
      <c r="V92" s="17">
        <v>50</v>
      </c>
      <c r="W92" s="17">
        <v>60</v>
      </c>
      <c r="X92" s="28">
        <f>SUMPRODUCT(T92:W92,'Fisico SPOT MAT'!T92:W92)*24</f>
        <v>1234940.406</v>
      </c>
      <c r="Y92" s="19">
        <v>0</v>
      </c>
      <c r="Z92" s="19">
        <v>5</v>
      </c>
      <c r="AA92" s="19">
        <v>0</v>
      </c>
      <c r="AB92" s="28">
        <f>SUMPRODUCT(Y92:AA92,'Fisico SPOT MAT'!Y92:AA92)*E92</f>
        <v>10500</v>
      </c>
      <c r="AC92" s="122">
        <f>(T92*'Fisico SPOT MAT'!T92+'Mono SPOT MAT'!V92*'Fisico SPOT MAT'!V92+'Mono SPOT MAT'!W92*'Fisico SPOT MAT'!W92)/'Fisico SPOT MAT'!AC92</f>
        <v>60.000000000000007</v>
      </c>
      <c r="AE92" s="41">
        <v>42.030812790590517</v>
      </c>
      <c r="AF92" s="42">
        <v>31.694500224114353</v>
      </c>
      <c r="AG92">
        <v>5050</v>
      </c>
      <c r="AH92" s="64">
        <f t="shared" si="20"/>
        <v>2.36457986336486</v>
      </c>
      <c r="AI92">
        <v>2.2000000000000002</v>
      </c>
      <c r="AK92">
        <v>384</v>
      </c>
    </row>
    <row r="93" spans="1:37" hidden="1" x14ac:dyDescent="0.3">
      <c r="A93" s="3">
        <f t="shared" si="19"/>
        <v>1459.4167</v>
      </c>
      <c r="B93" s="42">
        <v>1442.8330000000001</v>
      </c>
      <c r="C93" s="1">
        <f t="shared" si="13"/>
        <v>2025</v>
      </c>
      <c r="D93" s="1">
        <f t="shared" si="14"/>
        <v>12</v>
      </c>
      <c r="E93" s="1">
        <v>4</v>
      </c>
      <c r="F93" s="1" t="s">
        <v>45</v>
      </c>
      <c r="G93" s="56">
        <f t="shared" si="21"/>
        <v>45999</v>
      </c>
      <c r="H93" s="17">
        <f t="shared" si="17"/>
        <v>40.651035592787949</v>
      </c>
      <c r="I93" s="17">
        <f t="shared" si="18"/>
        <v>33.28796623010092</v>
      </c>
      <c r="J93" s="17">
        <v>22</v>
      </c>
      <c r="K93" s="17"/>
      <c r="L93" s="17">
        <v>32</v>
      </c>
      <c r="M93" s="44">
        <f>SUMPRODUCT(H93:L93,'Fisico SPOT MAT'!H93:L93)*24</f>
        <v>5408995.3370090351</v>
      </c>
      <c r="N93" s="19">
        <f>+'Fisico SPOT MAT'!AH93</f>
        <v>16.826175116990449</v>
      </c>
      <c r="O93" s="19">
        <f t="shared" si="9"/>
        <v>13.151041666666666</v>
      </c>
      <c r="P93" s="19">
        <v>6</v>
      </c>
      <c r="Q93" s="19"/>
      <c r="R93" s="19">
        <v>0</v>
      </c>
      <c r="S93" s="44">
        <f>SUMPRODUCT(N93:R93,'Fisico SPOT MAT'!N93:R93)*E93</f>
        <v>909662.9298107638</v>
      </c>
      <c r="T93" s="17">
        <v>50</v>
      </c>
      <c r="U93" s="17">
        <v>18</v>
      </c>
      <c r="V93" s="17">
        <v>50</v>
      </c>
      <c r="W93" s="17">
        <v>60</v>
      </c>
      <c r="X93" s="28">
        <f>SUMPRODUCT(T93:W93,'Fisico SPOT MAT'!T93:W93)*24</f>
        <v>1557111.8220000006</v>
      </c>
      <c r="Y93" s="19">
        <v>0</v>
      </c>
      <c r="Z93" s="19">
        <v>5</v>
      </c>
      <c r="AA93" s="19">
        <v>0</v>
      </c>
      <c r="AB93" s="28">
        <f>SUMPRODUCT(Y93:AA93,'Fisico SPOT MAT'!Y93:AA93)*E93</f>
        <v>10500</v>
      </c>
      <c r="AC93" s="122">
        <f>(T93*'Fisico SPOT MAT'!T93+'Mono SPOT MAT'!V93*'Fisico SPOT MAT'!V93+'Mono SPOT MAT'!W93*'Fisico SPOT MAT'!W93)/'Fisico SPOT MAT'!AC93</f>
        <v>60</v>
      </c>
      <c r="AE93" s="41">
        <v>36.462328424157327</v>
      </c>
      <c r="AF93" s="42">
        <v>29.099259061470299</v>
      </c>
      <c r="AG93">
        <v>5050</v>
      </c>
      <c r="AH93" s="64">
        <f t="shared" si="20"/>
        <v>1.9887071686306197</v>
      </c>
      <c r="AI93">
        <v>2.2000000000000002</v>
      </c>
      <c r="AK93">
        <v>384</v>
      </c>
    </row>
    <row r="94" spans="1:37" hidden="1" x14ac:dyDescent="0.3">
      <c r="A94" s="3">
        <f t="shared" si="19"/>
        <v>1459.4167</v>
      </c>
      <c r="B94" s="42">
        <v>1442.8330000000001</v>
      </c>
      <c r="C94" s="1">
        <f t="shared" ref="C94:C100" si="22">YEAR(G94)</f>
        <v>2025</v>
      </c>
      <c r="D94" s="1">
        <f t="shared" ref="D94:D120" si="23">MONTH(G94)</f>
        <v>12</v>
      </c>
      <c r="E94" s="1">
        <v>16</v>
      </c>
      <c r="F94" s="1" t="s">
        <v>46</v>
      </c>
      <c r="G94" s="56">
        <f t="shared" si="21"/>
        <v>46000</v>
      </c>
      <c r="H94" s="17">
        <f t="shared" si="17"/>
        <v>41.394900584707706</v>
      </c>
      <c r="I94" s="17">
        <f t="shared" si="18"/>
        <v>33.005695152575662</v>
      </c>
      <c r="J94" s="17">
        <v>22</v>
      </c>
      <c r="K94" s="17"/>
      <c r="L94" s="17">
        <v>32</v>
      </c>
      <c r="M94" s="44">
        <f>SUMPRODUCT(H94:L94,'Fisico SPOT MAT'!H94:L94)*24</f>
        <v>6251594.274453165</v>
      </c>
      <c r="N94" s="19">
        <f>+'Fisico SPOT MAT'!AH94</f>
        <v>16.82483780381445</v>
      </c>
      <c r="O94" s="19">
        <f t="shared" si="9"/>
        <v>13.151041666666666</v>
      </c>
      <c r="P94" s="19">
        <v>6</v>
      </c>
      <c r="Q94" s="19"/>
      <c r="R94" s="19">
        <v>0</v>
      </c>
      <c r="S94" s="44">
        <f>SUMPRODUCT(N94:R94,'Fisico SPOT MAT'!N94:R94)*E94</f>
        <v>3671972.0522847236</v>
      </c>
      <c r="T94" s="17">
        <v>50</v>
      </c>
      <c r="U94" s="17">
        <v>18</v>
      </c>
      <c r="V94" s="17">
        <v>50</v>
      </c>
      <c r="W94" s="17">
        <v>60</v>
      </c>
      <c r="X94" s="28">
        <f>SUMPRODUCT(T94:W94,'Fisico SPOT MAT'!T94:W94)*24</f>
        <v>1769351.0160000003</v>
      </c>
      <c r="Y94" s="19">
        <v>0</v>
      </c>
      <c r="Z94" s="19">
        <v>5</v>
      </c>
      <c r="AA94" s="19">
        <v>0</v>
      </c>
      <c r="AB94" s="28">
        <f>SUMPRODUCT(Y94:AA94,'Fisico SPOT MAT'!Y94:AA94)*E94</f>
        <v>42000</v>
      </c>
      <c r="AC94" s="122">
        <f>(T94*'Fisico SPOT MAT'!T94+'Mono SPOT MAT'!V94*'Fisico SPOT MAT'!V94+'Mono SPOT MAT'!W94*'Fisico SPOT MAT'!W94)/'Fisico SPOT MAT'!AC94</f>
        <v>60</v>
      </c>
      <c r="AE94" s="41">
        <v>37.159157456400656</v>
      </c>
      <c r="AF94" s="42">
        <v>28.769952024268616</v>
      </c>
      <c r="AG94">
        <v>5050</v>
      </c>
      <c r="AH94" s="64">
        <f t="shared" si="20"/>
        <v>2.0357431283070446</v>
      </c>
      <c r="AI94">
        <v>2.2000000000000002</v>
      </c>
      <c r="AK94">
        <v>384</v>
      </c>
    </row>
    <row r="95" spans="1:37" hidden="1" x14ac:dyDescent="0.3">
      <c r="A95" s="3">
        <f t="shared" si="19"/>
        <v>1459.4167</v>
      </c>
      <c r="B95" s="42">
        <v>1442.8330000000001</v>
      </c>
      <c r="C95" s="1">
        <f t="shared" si="22"/>
        <v>2025</v>
      </c>
      <c r="D95" s="1">
        <f t="shared" si="23"/>
        <v>12</v>
      </c>
      <c r="E95" s="1">
        <v>16</v>
      </c>
      <c r="F95" s="1" t="s">
        <v>47</v>
      </c>
      <c r="G95" s="56">
        <f t="shared" si="21"/>
        <v>46001</v>
      </c>
      <c r="H95" s="17">
        <f t="shared" si="17"/>
        <v>41.463767922004266</v>
      </c>
      <c r="I95" s="17">
        <f t="shared" si="18"/>
        <v>38.300020154927488</v>
      </c>
      <c r="J95" s="17">
        <v>22</v>
      </c>
      <c r="K95" s="17"/>
      <c r="L95" s="17">
        <v>32</v>
      </c>
      <c r="M95" s="44">
        <f>SUMPRODUCT(H95:L95,'Fisico SPOT MAT'!H95:L95)*24</f>
        <v>7300606.6233410267</v>
      </c>
      <c r="N95" s="19">
        <f>+'Fisico SPOT MAT'!AH95</f>
        <v>16.831223613609101</v>
      </c>
      <c r="O95" s="19">
        <f t="shared" si="9"/>
        <v>13.151041666666666</v>
      </c>
      <c r="P95" s="19">
        <v>6</v>
      </c>
      <c r="Q95" s="19"/>
      <c r="R95" s="19">
        <v>0</v>
      </c>
      <c r="S95" s="44">
        <f>SUMPRODUCT(N95:R95,'Fisico SPOT MAT'!N95:R95)*E95</f>
        <v>3658323.3403506954</v>
      </c>
      <c r="T95" s="17">
        <v>50</v>
      </c>
      <c r="U95" s="17">
        <v>18</v>
      </c>
      <c r="V95" s="17">
        <v>50</v>
      </c>
      <c r="W95" s="17">
        <v>60</v>
      </c>
      <c r="X95" s="28">
        <f>SUMPRODUCT(T95:W95,'Fisico SPOT MAT'!T95:W95)*24</f>
        <v>1734812.3219999997</v>
      </c>
      <c r="Y95" s="19">
        <v>0</v>
      </c>
      <c r="Z95" s="19">
        <v>5</v>
      </c>
      <c r="AA95" s="19">
        <v>0</v>
      </c>
      <c r="AB95" s="28">
        <f>SUMPRODUCT(Y95:AA95,'Fisico SPOT MAT'!Y95:AA95)*E95</f>
        <v>42000</v>
      </c>
      <c r="AC95" s="122">
        <f>(T95*'Fisico SPOT MAT'!T95+'Mono SPOT MAT'!V95*'Fisico SPOT MAT'!V95+'Mono SPOT MAT'!W95*'Fisico SPOT MAT'!W95)/'Fisico SPOT MAT'!AC95</f>
        <v>60</v>
      </c>
      <c r="AE95" s="41">
        <v>37.223670184547316</v>
      </c>
      <c r="AF95" s="42">
        <v>34.059922417470538</v>
      </c>
      <c r="AG95">
        <v>5050</v>
      </c>
      <c r="AH95" s="64">
        <f t="shared" si="20"/>
        <v>2.0400977374569438</v>
      </c>
      <c r="AI95">
        <v>2.2000000000000002</v>
      </c>
      <c r="AK95">
        <v>384</v>
      </c>
    </row>
    <row r="96" spans="1:37" hidden="1" x14ac:dyDescent="0.3">
      <c r="A96" s="3">
        <f t="shared" si="19"/>
        <v>1459.4167</v>
      </c>
      <c r="B96" s="42">
        <v>1442.8330000000001</v>
      </c>
      <c r="C96" s="1">
        <f t="shared" si="22"/>
        <v>2025</v>
      </c>
      <c r="D96" s="1">
        <f t="shared" si="23"/>
        <v>12</v>
      </c>
      <c r="E96" s="1">
        <v>16</v>
      </c>
      <c r="F96" s="1" t="s">
        <v>48</v>
      </c>
      <c r="G96" s="56">
        <f t="shared" si="21"/>
        <v>46002</v>
      </c>
      <c r="H96" s="17">
        <f t="shared" si="17"/>
        <v>40.868068616698892</v>
      </c>
      <c r="I96" s="17">
        <f t="shared" si="18"/>
        <v>37.501973708748636</v>
      </c>
      <c r="J96" s="17">
        <v>22</v>
      </c>
      <c r="K96" s="17"/>
      <c r="L96" s="17">
        <v>32</v>
      </c>
      <c r="M96" s="44">
        <f>SUMPRODUCT(H96:L96,'Fisico SPOT MAT'!H96:L96)*24</f>
        <v>7456539.7147868443</v>
      </c>
      <c r="N96" s="19">
        <f>+'Fisico SPOT MAT'!AH96</f>
        <v>16.83778212523638</v>
      </c>
      <c r="O96" s="19">
        <f t="shared" si="9"/>
        <v>13.151041666666666</v>
      </c>
      <c r="P96" s="19">
        <v>6</v>
      </c>
      <c r="Q96" s="19"/>
      <c r="R96" s="19">
        <v>0</v>
      </c>
      <c r="S96" s="44">
        <f>SUMPRODUCT(N96:R96,'Fisico SPOT MAT'!N96:R96)*E96</f>
        <v>3686891.1988090277</v>
      </c>
      <c r="T96" s="17">
        <v>50</v>
      </c>
      <c r="U96" s="17">
        <v>18</v>
      </c>
      <c r="V96" s="17">
        <v>50</v>
      </c>
      <c r="W96" s="17">
        <v>60</v>
      </c>
      <c r="X96" s="28">
        <f>SUMPRODUCT(T96:W96,'Fisico SPOT MAT'!T96:W96)*24</f>
        <v>1951972.5480000002</v>
      </c>
      <c r="Y96" s="19">
        <v>0</v>
      </c>
      <c r="Z96" s="19">
        <v>5</v>
      </c>
      <c r="AA96" s="19">
        <v>0</v>
      </c>
      <c r="AB96" s="28">
        <f>SUMPRODUCT(Y96:AA96,'Fisico SPOT MAT'!Y96:AA96)*E96</f>
        <v>42000</v>
      </c>
      <c r="AC96" s="122">
        <f>(T96*'Fisico SPOT MAT'!T96+'Mono SPOT MAT'!V96*'Fisico SPOT MAT'!V96+'Mono SPOT MAT'!W96*'Fisico SPOT MAT'!W96)/'Fisico SPOT MAT'!AC96</f>
        <v>60</v>
      </c>
      <c r="AE96" s="41">
        <v>36.665638048429869</v>
      </c>
      <c r="AF96" s="42">
        <v>33.299543140479614</v>
      </c>
      <c r="AG96">
        <v>5050</v>
      </c>
      <c r="AH96" s="64">
        <f t="shared" si="20"/>
        <v>2.0024305682690162</v>
      </c>
      <c r="AI96">
        <v>2.2000000000000002</v>
      </c>
      <c r="AK96">
        <v>384</v>
      </c>
    </row>
    <row r="97" spans="1:37" hidden="1" x14ac:dyDescent="0.3">
      <c r="A97" s="3">
        <f t="shared" si="19"/>
        <v>1459.4167</v>
      </c>
      <c r="B97" s="42">
        <v>1442.8330000000001</v>
      </c>
      <c r="C97" s="1">
        <f t="shared" si="22"/>
        <v>2025</v>
      </c>
      <c r="D97" s="1">
        <f t="shared" si="23"/>
        <v>12</v>
      </c>
      <c r="E97" s="1">
        <v>16</v>
      </c>
      <c r="F97" s="1" t="s">
        <v>49</v>
      </c>
      <c r="G97" s="56">
        <f t="shared" si="21"/>
        <v>46003</v>
      </c>
      <c r="H97" s="17">
        <f t="shared" si="17"/>
        <v>41.946423068437348</v>
      </c>
      <c r="I97" s="17">
        <f t="shared" si="18"/>
        <v>37.604432744454471</v>
      </c>
      <c r="J97" s="17">
        <v>22</v>
      </c>
      <c r="K97" s="17"/>
      <c r="L97" s="17">
        <v>32</v>
      </c>
      <c r="M97" s="44">
        <f>SUMPRODUCT(H97:L97,'Fisico SPOT MAT'!H97:L97)*24</f>
        <v>6828787.0016209427</v>
      </c>
      <c r="N97" s="19">
        <f>+'Fisico SPOT MAT'!AH97</f>
        <v>16.826470836885175</v>
      </c>
      <c r="O97" s="19">
        <f t="shared" si="9"/>
        <v>13.151041666666666</v>
      </c>
      <c r="P97" s="19">
        <v>6</v>
      </c>
      <c r="Q97" s="19"/>
      <c r="R97" s="19">
        <v>0</v>
      </c>
      <c r="S97" s="44">
        <f>SUMPRODUCT(N97:R97,'Fisico SPOT MAT'!N97:R97)*E97</f>
        <v>3631188.8111527781</v>
      </c>
      <c r="T97" s="17">
        <v>50</v>
      </c>
      <c r="U97" s="17">
        <v>18</v>
      </c>
      <c r="V97" s="17">
        <v>50</v>
      </c>
      <c r="W97" s="17">
        <v>60</v>
      </c>
      <c r="X97" s="28">
        <f>SUMPRODUCT(T97:W97,'Fisico SPOT MAT'!T97:W97)*24</f>
        <v>2497008.0420000004</v>
      </c>
      <c r="Y97" s="19">
        <v>0</v>
      </c>
      <c r="Z97" s="19">
        <v>5</v>
      </c>
      <c r="AA97" s="19">
        <v>0</v>
      </c>
      <c r="AB97" s="28">
        <f>SUMPRODUCT(Y97:AA97,'Fisico SPOT MAT'!Y97:AA97)*E97</f>
        <v>42000</v>
      </c>
      <c r="AC97" s="122">
        <f>(T97*'Fisico SPOT MAT'!T97+'Mono SPOT MAT'!V97*'Fisico SPOT MAT'!V97+'Mono SPOT MAT'!W97*'Fisico SPOT MAT'!W97)/'Fisico SPOT MAT'!AC97</f>
        <v>60</v>
      </c>
      <c r="AE97" s="41">
        <v>37.675806153102897</v>
      </c>
      <c r="AF97" s="42">
        <v>33.33381582912002</v>
      </c>
      <c r="AG97">
        <v>5050</v>
      </c>
      <c r="AH97" s="64">
        <f t="shared" si="20"/>
        <v>2.0706169153344458</v>
      </c>
      <c r="AI97">
        <v>2.2000000000000002</v>
      </c>
      <c r="AK97">
        <v>384</v>
      </c>
    </row>
    <row r="98" spans="1:37" hidden="1" x14ac:dyDescent="0.3">
      <c r="A98" s="3">
        <f t="shared" si="19"/>
        <v>1459.4167</v>
      </c>
      <c r="B98" s="42">
        <v>1442.8330000000001</v>
      </c>
      <c r="C98" s="1">
        <f t="shared" si="22"/>
        <v>2025</v>
      </c>
      <c r="D98" s="1">
        <f t="shared" si="23"/>
        <v>12</v>
      </c>
      <c r="E98" s="1">
        <v>6</v>
      </c>
      <c r="F98" s="1" t="s">
        <v>43</v>
      </c>
      <c r="G98" s="56">
        <f t="shared" si="21"/>
        <v>46004</v>
      </c>
      <c r="H98" s="17">
        <f t="shared" si="17"/>
        <v>40.67406842313752</v>
      </c>
      <c r="I98" s="17">
        <f t="shared" si="18"/>
        <v>35.091105900544271</v>
      </c>
      <c r="J98" s="17">
        <v>22</v>
      </c>
      <c r="K98" s="17"/>
      <c r="L98" s="17">
        <v>32</v>
      </c>
      <c r="M98" s="44">
        <f>SUMPRODUCT(H98:L98,'Fisico SPOT MAT'!H98:L98)*24</f>
        <v>6331683.3720839452</v>
      </c>
      <c r="N98" s="19">
        <f>+'Fisico SPOT MAT'!AH98</f>
        <v>16.811560806353793</v>
      </c>
      <c r="O98" s="19">
        <f t="shared" si="9"/>
        <v>13.151041666666666</v>
      </c>
      <c r="P98" s="19">
        <v>6</v>
      </c>
      <c r="Q98" s="19"/>
      <c r="R98" s="19">
        <v>0</v>
      </c>
      <c r="S98" s="44">
        <f>SUMPRODUCT(N98:R98,'Fisico SPOT MAT'!N98:R98)*E98</f>
        <v>1322418.5621106769</v>
      </c>
      <c r="T98" s="17">
        <v>50</v>
      </c>
      <c r="U98" s="17">
        <v>18</v>
      </c>
      <c r="V98" s="17">
        <v>50</v>
      </c>
      <c r="W98" s="17">
        <v>60</v>
      </c>
      <c r="X98" s="28">
        <f>SUMPRODUCT(T98:W98,'Fisico SPOT MAT'!T98:W98)*24</f>
        <v>2565974.3760000002</v>
      </c>
      <c r="Y98" s="19">
        <v>0</v>
      </c>
      <c r="Z98" s="19">
        <v>5</v>
      </c>
      <c r="AA98" s="19">
        <v>0</v>
      </c>
      <c r="AB98" s="28">
        <f>SUMPRODUCT(Y98:AA98,'Fisico SPOT MAT'!Y98:AA98)*E98</f>
        <v>15750</v>
      </c>
      <c r="AC98" s="122">
        <f>(T98*'Fisico SPOT MAT'!T98+'Mono SPOT MAT'!V98*'Fisico SPOT MAT'!V98+'Mono SPOT MAT'!W98*'Fisico SPOT MAT'!W98)/'Fisico SPOT MAT'!AC98</f>
        <v>60</v>
      </c>
      <c r="AE98" s="41">
        <v>36.483904846030462</v>
      </c>
      <c r="AF98" s="42">
        <v>30.900942323437214</v>
      </c>
      <c r="AG98">
        <v>5050</v>
      </c>
      <c r="AH98" s="64">
        <f t="shared" si="20"/>
        <v>1.9901635771070563</v>
      </c>
      <c r="AI98">
        <v>2.2000000000000002</v>
      </c>
      <c r="AK98">
        <v>384</v>
      </c>
    </row>
    <row r="99" spans="1:37" hidden="1" x14ac:dyDescent="0.3">
      <c r="A99" s="3">
        <f t="shared" si="19"/>
        <v>1459.4167</v>
      </c>
      <c r="B99" s="42">
        <v>1442.8330000000001</v>
      </c>
      <c r="C99" s="1">
        <f t="shared" si="22"/>
        <v>2025</v>
      </c>
      <c r="D99" s="1">
        <f t="shared" si="23"/>
        <v>12</v>
      </c>
      <c r="E99" s="1">
        <v>4</v>
      </c>
      <c r="F99" s="1" t="s">
        <v>44</v>
      </c>
      <c r="G99" s="56">
        <f t="shared" si="21"/>
        <v>46005</v>
      </c>
      <c r="H99" s="17">
        <f t="shared" si="17"/>
        <v>40.496061208521397</v>
      </c>
      <c r="I99" s="17">
        <f t="shared" si="18"/>
        <v>33.406867918093788</v>
      </c>
      <c r="J99" s="17">
        <v>22</v>
      </c>
      <c r="K99" s="17"/>
      <c r="L99" s="17">
        <v>32</v>
      </c>
      <c r="M99" s="44">
        <f>SUMPRODUCT(H99:L99,'Fisico SPOT MAT'!H99:L99)*24</f>
        <v>5605300.7855071779</v>
      </c>
      <c r="N99" s="19">
        <f>+'Fisico SPOT MAT'!AH99</f>
        <v>16.843042401983773</v>
      </c>
      <c r="O99" s="19">
        <f t="shared" si="9"/>
        <v>13.151041666666666</v>
      </c>
      <c r="P99" s="19">
        <v>6</v>
      </c>
      <c r="Q99" s="19"/>
      <c r="R99" s="19">
        <v>0</v>
      </c>
      <c r="S99" s="44">
        <f>SUMPRODUCT(N99:R99,'Fisico SPOT MAT'!N99:R99)*E99</f>
        <v>899646.58163888892</v>
      </c>
      <c r="T99" s="17">
        <v>50</v>
      </c>
      <c r="U99" s="17">
        <v>18</v>
      </c>
      <c r="V99" s="17">
        <v>50</v>
      </c>
      <c r="W99" s="17">
        <v>60</v>
      </c>
      <c r="X99" s="28">
        <f>SUMPRODUCT(T99:W99,'Fisico SPOT MAT'!T99:W99)*24</f>
        <v>2273583.2940000002</v>
      </c>
      <c r="Y99" s="19">
        <v>0</v>
      </c>
      <c r="Z99" s="19">
        <v>5</v>
      </c>
      <c r="AA99" s="19">
        <v>0</v>
      </c>
      <c r="AB99" s="28">
        <f>SUMPRODUCT(Y99:AA99,'Fisico SPOT MAT'!Y99:AA99)*E99</f>
        <v>10500</v>
      </c>
      <c r="AC99" s="122">
        <f>(T99*'Fisico SPOT MAT'!T99+'Mono SPOT MAT'!V99*'Fisico SPOT MAT'!V99+'Mono SPOT MAT'!W99*'Fisico SPOT MAT'!W99)/'Fisico SPOT MAT'!AC99</f>
        <v>59.999999999999993</v>
      </c>
      <c r="AE99" s="41">
        <v>36.317153356928706</v>
      </c>
      <c r="AF99" s="42">
        <v>29.227960066501097</v>
      </c>
      <c r="AG99">
        <v>5050</v>
      </c>
      <c r="AH99" s="64">
        <f t="shared" si="20"/>
        <v>1.9789078515926879</v>
      </c>
      <c r="AI99">
        <v>2.2000000000000002</v>
      </c>
      <c r="AK99">
        <v>384</v>
      </c>
    </row>
    <row r="100" spans="1:37" hidden="1" x14ac:dyDescent="0.3">
      <c r="A100" s="3">
        <f t="shared" si="19"/>
        <v>1459.4167</v>
      </c>
      <c r="B100" s="42">
        <v>1437.4169999999999</v>
      </c>
      <c r="C100" s="1">
        <f t="shared" si="22"/>
        <v>2025</v>
      </c>
      <c r="D100" s="1">
        <f t="shared" si="23"/>
        <v>12</v>
      </c>
      <c r="E100" s="1">
        <v>16</v>
      </c>
      <c r="F100" s="1" t="s">
        <v>45</v>
      </c>
      <c r="G100" s="56">
        <f t="shared" si="21"/>
        <v>46006</v>
      </c>
      <c r="H100" s="17">
        <f t="shared" si="17"/>
        <v>39.65247868503522</v>
      </c>
      <c r="I100" s="17">
        <f t="shared" si="18"/>
        <v>33.907019079099719</v>
      </c>
      <c r="J100" s="17">
        <v>22</v>
      </c>
      <c r="K100" s="17"/>
      <c r="L100" s="17">
        <v>32</v>
      </c>
      <c r="M100" s="44">
        <f>SUMPRODUCT(H100:L100,'Fisico SPOT MAT'!H100:L100)*24</f>
        <v>6070956.9213208882</v>
      </c>
      <c r="N100" s="19">
        <f>+'Fisico SPOT MAT'!AH100</f>
        <v>16.848753736278809</v>
      </c>
      <c r="O100" s="19">
        <f t="shared" si="9"/>
        <v>13.151041666666666</v>
      </c>
      <c r="P100" s="19">
        <v>6</v>
      </c>
      <c r="Q100" s="19"/>
      <c r="R100" s="19">
        <v>0</v>
      </c>
      <c r="S100" s="44">
        <f>SUMPRODUCT(N100:R100,'Fisico SPOT MAT'!N100:R100)*E100</f>
        <v>3622868.8327013887</v>
      </c>
      <c r="T100" s="17">
        <v>50</v>
      </c>
      <c r="U100" s="17">
        <v>18</v>
      </c>
      <c r="V100" s="17">
        <v>50</v>
      </c>
      <c r="W100" s="17">
        <v>60</v>
      </c>
      <c r="X100" s="28">
        <f>SUMPRODUCT(T100:W100,'Fisico SPOT MAT'!T100:W100)*24</f>
        <v>2481129.7799999998</v>
      </c>
      <c r="Y100" s="19">
        <v>0</v>
      </c>
      <c r="Z100" s="19">
        <v>5</v>
      </c>
      <c r="AA100" s="19">
        <v>0</v>
      </c>
      <c r="AB100" s="28">
        <f>SUMPRODUCT(Y100:AA100,'Fisico SPOT MAT'!Y100:AA100)*E100</f>
        <v>42000</v>
      </c>
      <c r="AC100" s="122">
        <f>(T100*'Fisico SPOT MAT'!T100+'Mono SPOT MAT'!V100*'Fisico SPOT MAT'!V100+'Mono SPOT MAT'!W100*'Fisico SPOT MAT'!W100)/'Fisico SPOT MAT'!AC100</f>
        <v>60</v>
      </c>
      <c r="AE100" s="41">
        <v>35.526912117129008</v>
      </c>
      <c r="AF100" s="42">
        <v>29.781452511193507</v>
      </c>
      <c r="AG100">
        <v>5050</v>
      </c>
      <c r="AH100" s="64">
        <f t="shared" si="20"/>
        <v>1.9255665679062082</v>
      </c>
      <c r="AI100">
        <v>2.2000000000000002</v>
      </c>
      <c r="AK100">
        <v>384</v>
      </c>
    </row>
    <row r="101" spans="1:37" hidden="1" x14ac:dyDescent="0.3">
      <c r="A101" s="3">
        <f t="shared" si="19"/>
        <v>1459.4167</v>
      </c>
      <c r="B101" s="42">
        <v>1437.4169999999999</v>
      </c>
      <c r="C101" s="1">
        <f t="shared" ref="C101:C106" si="24">YEAR(G101)</f>
        <v>2025</v>
      </c>
      <c r="D101" s="1">
        <f t="shared" si="23"/>
        <v>12</v>
      </c>
      <c r="E101" s="1">
        <v>16</v>
      </c>
      <c r="F101" s="1" t="s">
        <v>46</v>
      </c>
      <c r="G101" s="56">
        <f t="shared" si="21"/>
        <v>46007</v>
      </c>
      <c r="H101" s="17">
        <f t="shared" si="17"/>
        <v>40.017966351843327</v>
      </c>
      <c r="I101" s="17">
        <f t="shared" si="18"/>
        <v>33.049885945041943</v>
      </c>
      <c r="J101" s="17">
        <v>22</v>
      </c>
      <c r="K101" s="17"/>
      <c r="L101" s="17">
        <v>32</v>
      </c>
      <c r="M101" s="44">
        <f>SUMPRODUCT(H101:L101,'Fisico SPOT MAT'!H101:L101)*24</f>
        <v>6092195.7689342834</v>
      </c>
      <c r="N101" s="19">
        <f>+'Fisico SPOT MAT'!AH101</f>
        <v>16.849908358561553</v>
      </c>
      <c r="O101" s="19">
        <f t="shared" si="9"/>
        <v>13.151041666666666</v>
      </c>
      <c r="P101" s="19">
        <v>6</v>
      </c>
      <c r="Q101" s="19"/>
      <c r="R101" s="19">
        <v>0</v>
      </c>
      <c r="S101" s="44">
        <f>SUMPRODUCT(N101:R101,'Fisico SPOT MAT'!N101:R101)*E101</f>
        <v>3638769.6158645833</v>
      </c>
      <c r="T101" s="17">
        <v>50</v>
      </c>
      <c r="U101" s="17">
        <v>18</v>
      </c>
      <c r="V101" s="17">
        <v>50</v>
      </c>
      <c r="W101" s="17">
        <v>60</v>
      </c>
      <c r="X101" s="28">
        <f>SUMPRODUCT(T101:W101,'Fisico SPOT MAT'!T101:W101)*24</f>
        <v>1904648.736</v>
      </c>
      <c r="Y101" s="19">
        <v>0</v>
      </c>
      <c r="Z101" s="19">
        <v>5</v>
      </c>
      <c r="AA101" s="19">
        <v>0</v>
      </c>
      <c r="AB101" s="28">
        <f>SUMPRODUCT(Y101:AA101,'Fisico SPOT MAT'!Y101:AA101)*E101</f>
        <v>42000</v>
      </c>
      <c r="AC101" s="122">
        <f>(T101*'Fisico SPOT MAT'!T101+'Mono SPOT MAT'!V101*'Fisico SPOT MAT'!V101+'Mono SPOT MAT'!W101*'Fisico SPOT MAT'!W101)/'Fisico SPOT MAT'!AC101</f>
        <v>60.000000000000007</v>
      </c>
      <c r="AE101" s="41">
        <v>35.869289322569855</v>
      </c>
      <c r="AF101" s="42">
        <v>28.901208915768478</v>
      </c>
      <c r="AG101">
        <v>5050</v>
      </c>
      <c r="AH101" s="64">
        <f t="shared" si="20"/>
        <v>1.9486770292734654</v>
      </c>
      <c r="AI101">
        <v>2.2000000000000002</v>
      </c>
      <c r="AK101">
        <v>384</v>
      </c>
    </row>
    <row r="102" spans="1:37" hidden="1" x14ac:dyDescent="0.3">
      <c r="A102" s="3">
        <f t="shared" si="19"/>
        <v>1459.4167</v>
      </c>
      <c r="B102" s="42">
        <v>1437.4169999999999</v>
      </c>
      <c r="C102" s="1">
        <f t="shared" si="24"/>
        <v>2025</v>
      </c>
      <c r="D102" s="1">
        <f t="shared" si="23"/>
        <v>12</v>
      </c>
      <c r="E102" s="1">
        <v>16</v>
      </c>
      <c r="F102" s="1" t="s">
        <v>47</v>
      </c>
      <c r="G102" s="56">
        <f t="shared" si="21"/>
        <v>46008</v>
      </c>
      <c r="H102" s="17">
        <f t="shared" si="17"/>
        <v>40.82986723757277</v>
      </c>
      <c r="I102" s="17">
        <f t="shared" si="18"/>
        <v>33.435443234862824</v>
      </c>
      <c r="J102" s="17">
        <v>22</v>
      </c>
      <c r="K102" s="17"/>
      <c r="L102" s="17">
        <v>32</v>
      </c>
      <c r="M102" s="44">
        <f>SUMPRODUCT(H102:L102,'Fisico SPOT MAT'!H102:L102)*24</f>
        <v>6250732.0564717054</v>
      </c>
      <c r="N102" s="19">
        <f>+'Fisico SPOT MAT'!AH102</f>
        <v>16.840154106468617</v>
      </c>
      <c r="O102" s="19">
        <f t="shared" si="9"/>
        <v>13.151041666666666</v>
      </c>
      <c r="P102" s="19">
        <v>6</v>
      </c>
      <c r="Q102" s="19"/>
      <c r="R102" s="19">
        <v>0</v>
      </c>
      <c r="S102" s="44">
        <f>SUMPRODUCT(N102:R102,'Fisico SPOT MAT'!N102:R102)*E102</f>
        <v>3651795.1291006934</v>
      </c>
      <c r="T102" s="17">
        <v>50</v>
      </c>
      <c r="U102" s="17">
        <v>18</v>
      </c>
      <c r="V102" s="17">
        <v>50</v>
      </c>
      <c r="W102" s="17">
        <v>60</v>
      </c>
      <c r="X102" s="28">
        <f>SUMPRODUCT(T102:W102,'Fisico SPOT MAT'!T102:W102)*24</f>
        <v>3129353.16</v>
      </c>
      <c r="Y102" s="19">
        <v>0</v>
      </c>
      <c r="Z102" s="19">
        <v>5</v>
      </c>
      <c r="AA102" s="19">
        <v>0</v>
      </c>
      <c r="AB102" s="28">
        <f>SUMPRODUCT(Y102:AA102,'Fisico SPOT MAT'!Y102:AA102)*E102</f>
        <v>42000</v>
      </c>
      <c r="AC102" s="122">
        <f>(T102*'Fisico SPOT MAT'!T102+'Mono SPOT MAT'!V102*'Fisico SPOT MAT'!V102+'Mono SPOT MAT'!W102*'Fisico SPOT MAT'!W102)/'Fisico SPOT MAT'!AC102</f>
        <v>60</v>
      </c>
      <c r="AE102" s="41">
        <v>36.629852213182922</v>
      </c>
      <c r="AF102" s="42">
        <v>29.235428210472975</v>
      </c>
      <c r="AG102">
        <v>5050</v>
      </c>
      <c r="AH102" s="64">
        <f t="shared" si="20"/>
        <v>2.0000150243898474</v>
      </c>
      <c r="AI102">
        <v>2.2000000000000002</v>
      </c>
      <c r="AK102">
        <v>384</v>
      </c>
    </row>
    <row r="103" spans="1:37" hidden="1" x14ac:dyDescent="0.3">
      <c r="A103" s="3">
        <f t="shared" si="19"/>
        <v>1459.4167</v>
      </c>
      <c r="B103" s="42">
        <v>1437.4169999999999</v>
      </c>
      <c r="C103" s="1">
        <f t="shared" si="24"/>
        <v>2025</v>
      </c>
      <c r="D103" s="1">
        <f t="shared" si="23"/>
        <v>12</v>
      </c>
      <c r="E103" s="1">
        <v>16</v>
      </c>
      <c r="F103" s="1" t="s">
        <v>48</v>
      </c>
      <c r="G103" s="56">
        <f t="shared" si="21"/>
        <v>46009</v>
      </c>
      <c r="H103" s="17">
        <f t="shared" si="17"/>
        <v>40.815945734207418</v>
      </c>
      <c r="I103" s="17">
        <f t="shared" si="18"/>
        <v>36.784941946731337</v>
      </c>
      <c r="J103" s="17">
        <v>22</v>
      </c>
      <c r="K103" s="17"/>
      <c r="L103" s="17">
        <v>32</v>
      </c>
      <c r="M103" s="44">
        <f>SUMPRODUCT(H103:L103,'Fisico SPOT MAT'!H103:L103)*24</f>
        <v>7440105.4859983996</v>
      </c>
      <c r="N103" s="19">
        <f>+'Fisico SPOT MAT'!AH103</f>
        <v>16.831004116928838</v>
      </c>
      <c r="O103" s="19">
        <f t="shared" si="9"/>
        <v>13.151041666666666</v>
      </c>
      <c r="P103" s="19">
        <v>6</v>
      </c>
      <c r="Q103" s="19"/>
      <c r="R103" s="19">
        <v>0</v>
      </c>
      <c r="S103" s="44">
        <f>SUMPRODUCT(N103:R103,'Fisico SPOT MAT'!N103:R103)*E103</f>
        <v>3660994.7416354148</v>
      </c>
      <c r="T103" s="17">
        <v>50</v>
      </c>
      <c r="U103" s="17">
        <v>18</v>
      </c>
      <c r="V103" s="17">
        <v>50</v>
      </c>
      <c r="W103" s="17">
        <v>60</v>
      </c>
      <c r="X103" s="28">
        <f>SUMPRODUCT(T103:W103,'Fisico SPOT MAT'!T103:W103)*24</f>
        <v>2512468.9020000002</v>
      </c>
      <c r="Y103" s="19">
        <v>0</v>
      </c>
      <c r="Z103" s="19">
        <v>5</v>
      </c>
      <c r="AA103" s="19">
        <v>0</v>
      </c>
      <c r="AB103" s="28">
        <f>SUMPRODUCT(Y103:AA103,'Fisico SPOT MAT'!Y103:AA103)*E103</f>
        <v>42000</v>
      </c>
      <c r="AC103" s="122">
        <f>(T103*'Fisico SPOT MAT'!T103+'Mono SPOT MAT'!V103*'Fisico SPOT MAT'!V103+'Mono SPOT MAT'!W103*'Fisico SPOT MAT'!W103)/'Fisico SPOT MAT'!AC103</f>
        <v>60.000000000000007</v>
      </c>
      <c r="AE103" s="41">
        <v>36.61681099223177</v>
      </c>
      <c r="AF103" s="42">
        <v>32.585807204755689</v>
      </c>
      <c r="AG103">
        <v>5050</v>
      </c>
      <c r="AH103" s="64">
        <f t="shared" si="20"/>
        <v>1.9991347419756447</v>
      </c>
      <c r="AI103">
        <v>2.2000000000000002</v>
      </c>
      <c r="AK103">
        <v>384</v>
      </c>
    </row>
    <row r="104" spans="1:37" hidden="1" x14ac:dyDescent="0.3">
      <c r="A104" s="3">
        <f t="shared" si="19"/>
        <v>1459.4167</v>
      </c>
      <c r="B104" s="42">
        <v>1437.4169999999999</v>
      </c>
      <c r="C104" s="1">
        <f t="shared" si="24"/>
        <v>2025</v>
      </c>
      <c r="D104" s="1">
        <f t="shared" si="23"/>
        <v>12</v>
      </c>
      <c r="E104" s="1">
        <v>16</v>
      </c>
      <c r="F104" s="1" t="s">
        <v>49</v>
      </c>
      <c r="G104" s="56">
        <f t="shared" si="21"/>
        <v>46010</v>
      </c>
      <c r="H104" s="17">
        <f t="shared" si="17"/>
        <v>40.807413671637903</v>
      </c>
      <c r="I104" s="17">
        <f t="shared" si="18"/>
        <v>37.965433517072015</v>
      </c>
      <c r="J104" s="17">
        <v>22</v>
      </c>
      <c r="K104" s="17"/>
      <c r="L104" s="17">
        <v>32</v>
      </c>
      <c r="M104" s="44">
        <f>SUMPRODUCT(H104:L104,'Fisico SPOT MAT'!H104:L104)*24</f>
        <v>8269730.1136102267</v>
      </c>
      <c r="N104" s="19">
        <f>+'Fisico SPOT MAT'!AH104</f>
        <v>16.833868692541778</v>
      </c>
      <c r="O104" s="19">
        <f t="shared" si="9"/>
        <v>13.151041666666666</v>
      </c>
      <c r="P104" s="19">
        <v>6</v>
      </c>
      <c r="Q104" s="19"/>
      <c r="R104" s="19">
        <v>0</v>
      </c>
      <c r="S104" s="44">
        <f>SUMPRODUCT(N104:R104,'Fisico SPOT MAT'!N104:R104)*E104</f>
        <v>3669923.6666388889</v>
      </c>
      <c r="T104" s="17">
        <v>50</v>
      </c>
      <c r="U104" s="17">
        <v>18</v>
      </c>
      <c r="V104" s="17">
        <v>50</v>
      </c>
      <c r="W104" s="17">
        <v>60</v>
      </c>
      <c r="X104" s="28">
        <f>SUMPRODUCT(T104:W104,'Fisico SPOT MAT'!T104:W104)*24</f>
        <v>2706080.094000001</v>
      </c>
      <c r="Y104" s="19">
        <v>0</v>
      </c>
      <c r="Z104" s="19">
        <v>5</v>
      </c>
      <c r="AA104" s="19">
        <v>0</v>
      </c>
      <c r="AB104" s="28">
        <f>SUMPRODUCT(Y104:AA104,'Fisico SPOT MAT'!Y104:AA104)*E104</f>
        <v>42000</v>
      </c>
      <c r="AC104" s="122">
        <f>(T104*'Fisico SPOT MAT'!T104+'Mono SPOT MAT'!V104*'Fisico SPOT MAT'!V104+'Mono SPOT MAT'!W104*'Fisico SPOT MAT'!W104)/'Fisico SPOT MAT'!AC104</f>
        <v>60</v>
      </c>
      <c r="AE104" s="41">
        <v>36.608818427763843</v>
      </c>
      <c r="AF104" s="42">
        <v>33.766838273197955</v>
      </c>
      <c r="AG104">
        <v>5050</v>
      </c>
      <c r="AH104" s="64">
        <f t="shared" si="20"/>
        <v>1.9985952438740595</v>
      </c>
      <c r="AI104">
        <v>2.2000000000000002</v>
      </c>
      <c r="AK104">
        <v>384</v>
      </c>
    </row>
    <row r="105" spans="1:37" hidden="1" x14ac:dyDescent="0.3">
      <c r="A105" s="3">
        <f t="shared" si="19"/>
        <v>1459.4167</v>
      </c>
      <c r="B105" s="42">
        <v>1437.4169999999999</v>
      </c>
      <c r="C105" s="1">
        <f t="shared" si="24"/>
        <v>2025</v>
      </c>
      <c r="D105" s="1">
        <f t="shared" si="23"/>
        <v>12</v>
      </c>
      <c r="E105" s="1">
        <v>6</v>
      </c>
      <c r="F105" s="1" t="s">
        <v>43</v>
      </c>
      <c r="G105" s="56">
        <f t="shared" si="21"/>
        <v>46011</v>
      </c>
      <c r="H105" s="17">
        <f t="shared" si="17"/>
        <v>40.193118280419128</v>
      </c>
      <c r="I105" s="17">
        <f t="shared" si="18"/>
        <v>34.349778301593823</v>
      </c>
      <c r="J105" s="17">
        <v>22</v>
      </c>
      <c r="K105" s="17"/>
      <c r="L105" s="17">
        <v>32</v>
      </c>
      <c r="M105" s="44">
        <f>SUMPRODUCT(H105:L105,'Fisico SPOT MAT'!H105:L105)*24</f>
        <v>7928702.5874821907</v>
      </c>
      <c r="N105" s="19">
        <f>+'Fisico SPOT MAT'!AH105</f>
        <v>16.814060108045712</v>
      </c>
      <c r="O105" s="19">
        <f t="shared" si="9"/>
        <v>13.151041666666666</v>
      </c>
      <c r="P105" s="19">
        <v>6</v>
      </c>
      <c r="Q105" s="19"/>
      <c r="R105" s="19">
        <v>0</v>
      </c>
      <c r="S105" s="44">
        <f>SUMPRODUCT(N105:R105,'Fisico SPOT MAT'!N105:R105)*E105</f>
        <v>1366948.8242630204</v>
      </c>
      <c r="T105" s="17">
        <v>50</v>
      </c>
      <c r="U105" s="17">
        <v>18</v>
      </c>
      <c r="V105" s="17">
        <v>50</v>
      </c>
      <c r="W105" s="17">
        <v>60</v>
      </c>
      <c r="X105" s="28">
        <f>SUMPRODUCT(T105:W105,'Fisico SPOT MAT'!T105:W105)*24</f>
        <v>1978495.2600000002</v>
      </c>
      <c r="Y105" s="19">
        <v>0</v>
      </c>
      <c r="Z105" s="19">
        <v>5</v>
      </c>
      <c r="AA105" s="19">
        <v>0</v>
      </c>
      <c r="AB105" s="28">
        <f>SUMPRODUCT(Y105:AA105,'Fisico SPOT MAT'!Y105:AA105)*E105</f>
        <v>15750</v>
      </c>
      <c r="AC105" s="122">
        <f>(T105*'Fisico SPOT MAT'!T105+'Mono SPOT MAT'!V105*'Fisico SPOT MAT'!V105+'Mono SPOT MAT'!W105*'Fisico SPOT MAT'!W105)/'Fisico SPOT MAT'!AC105</f>
        <v>59.999999999999993</v>
      </c>
      <c r="AE105" s="41">
        <v>36.033366070650231</v>
      </c>
      <c r="AF105" s="42">
        <v>30.190026091824929</v>
      </c>
      <c r="AG105">
        <v>5050</v>
      </c>
      <c r="AH105" s="64">
        <f t="shared" si="20"/>
        <v>1.9597522097688909</v>
      </c>
      <c r="AI105">
        <v>2.2000000000000002</v>
      </c>
      <c r="AK105">
        <v>384</v>
      </c>
    </row>
    <row r="106" spans="1:37" hidden="1" x14ac:dyDescent="0.3">
      <c r="A106" s="3">
        <f t="shared" si="19"/>
        <v>1459.4167</v>
      </c>
      <c r="B106" s="42">
        <v>1437.4169999999999</v>
      </c>
      <c r="C106" s="1">
        <f t="shared" si="24"/>
        <v>2025</v>
      </c>
      <c r="D106" s="1">
        <f t="shared" si="23"/>
        <v>12</v>
      </c>
      <c r="E106" s="1">
        <v>4</v>
      </c>
      <c r="F106" s="1" t="s">
        <v>44</v>
      </c>
      <c r="G106" s="56">
        <f t="shared" si="21"/>
        <v>46012</v>
      </c>
      <c r="H106" s="17">
        <f t="shared" si="17"/>
        <v>40.91658803531854</v>
      </c>
      <c r="I106" s="17">
        <f t="shared" si="18"/>
        <v>33.521066339998661</v>
      </c>
      <c r="J106" s="17">
        <v>22</v>
      </c>
      <c r="K106" s="17"/>
      <c r="L106" s="17">
        <v>32</v>
      </c>
      <c r="M106" s="44">
        <f>SUMPRODUCT(H106:L106,'Fisico SPOT MAT'!H106:L106)*24</f>
        <v>7002795.609562858</v>
      </c>
      <c r="N106" s="19">
        <f>+'Fisico SPOT MAT'!AH106</f>
        <v>16.829345035619479</v>
      </c>
      <c r="O106" s="19">
        <f t="shared" si="9"/>
        <v>13.151041666666666</v>
      </c>
      <c r="P106" s="19">
        <v>6</v>
      </c>
      <c r="Q106" s="19"/>
      <c r="R106" s="19">
        <v>0</v>
      </c>
      <c r="S106" s="44">
        <f>SUMPRODUCT(N106:R106,'Fisico SPOT MAT'!N106:R106)*E106</f>
        <v>923255.3697986108</v>
      </c>
      <c r="T106" s="17">
        <v>50</v>
      </c>
      <c r="U106" s="17">
        <v>18</v>
      </c>
      <c r="V106" s="17">
        <v>50</v>
      </c>
      <c r="W106" s="17">
        <v>60</v>
      </c>
      <c r="X106" s="28">
        <f>SUMPRODUCT(T106:W106,'Fisico SPOT MAT'!T106:W106)*24</f>
        <v>1828317.5940000003</v>
      </c>
      <c r="Y106" s="19">
        <v>0</v>
      </c>
      <c r="Z106" s="19">
        <v>5</v>
      </c>
      <c r="AA106" s="19">
        <v>0</v>
      </c>
      <c r="AB106" s="28">
        <f>SUMPRODUCT(Y106:AA106,'Fisico SPOT MAT'!Y106:AA106)*E106</f>
        <v>10500</v>
      </c>
      <c r="AC106" s="122">
        <f>(T106*'Fisico SPOT MAT'!T106+'Mono SPOT MAT'!V106*'Fisico SPOT MAT'!V106+'Mono SPOT MAT'!W106*'Fisico SPOT MAT'!W106)/'Fisico SPOT MAT'!AC106</f>
        <v>60.000000000000007</v>
      </c>
      <c r="AE106" s="41">
        <v>36.711089494443591</v>
      </c>
      <c r="AF106" s="42">
        <v>29.31556779912372</v>
      </c>
      <c r="AG106">
        <v>5050</v>
      </c>
      <c r="AH106" s="64">
        <f t="shared" si="20"/>
        <v>2.0054985408749424</v>
      </c>
      <c r="AI106">
        <v>2.2000000000000002</v>
      </c>
      <c r="AK106">
        <v>384</v>
      </c>
    </row>
    <row r="107" spans="1:37" hidden="1" x14ac:dyDescent="0.3">
      <c r="A107" s="3">
        <f t="shared" si="19"/>
        <v>1459.4167</v>
      </c>
      <c r="B107" s="42">
        <v>1437.4169999999999</v>
      </c>
      <c r="C107" s="1">
        <f t="shared" ref="C107:C120" si="25">YEAR(G107)</f>
        <v>2025</v>
      </c>
      <c r="D107" s="1">
        <f t="shared" si="23"/>
        <v>12</v>
      </c>
      <c r="E107" s="1">
        <v>16</v>
      </c>
      <c r="F107" s="1" t="s">
        <v>45</v>
      </c>
      <c r="G107" s="56">
        <f t="shared" si="21"/>
        <v>46013</v>
      </c>
      <c r="H107" s="17">
        <f t="shared" si="17"/>
        <v>40.253659307177912</v>
      </c>
      <c r="I107" s="17">
        <f t="shared" si="18"/>
        <v>33.318097230796418</v>
      </c>
      <c r="J107" s="17">
        <v>22</v>
      </c>
      <c r="K107" s="17"/>
      <c r="L107" s="17">
        <v>32</v>
      </c>
      <c r="M107" s="44">
        <f>SUMPRODUCT(H107:L107,'Fisico SPOT MAT'!H107:L107)*24</f>
        <v>7659701.5371423345</v>
      </c>
      <c r="N107" s="19">
        <f>+'Fisico SPOT MAT'!AH107</f>
        <v>16.842383216354694</v>
      </c>
      <c r="O107" s="19">
        <f t="shared" si="9"/>
        <v>13.151041666666666</v>
      </c>
      <c r="P107" s="19">
        <v>6</v>
      </c>
      <c r="Q107" s="19"/>
      <c r="R107" s="19">
        <v>0</v>
      </c>
      <c r="S107" s="44">
        <f>SUMPRODUCT(N107:R107,'Fisico SPOT MAT'!N107:R107)*E107</f>
        <v>3731749.1454548608</v>
      </c>
      <c r="T107" s="17">
        <v>50</v>
      </c>
      <c r="U107" s="17">
        <v>18</v>
      </c>
      <c r="V107" s="17">
        <v>50</v>
      </c>
      <c r="W107" s="17">
        <v>60</v>
      </c>
      <c r="X107" s="28">
        <f>SUMPRODUCT(T107:W107,'Fisico SPOT MAT'!T107:W107)*24</f>
        <v>1708899.9420000003</v>
      </c>
      <c r="Y107" s="19">
        <v>0</v>
      </c>
      <c r="Z107" s="19">
        <v>5</v>
      </c>
      <c r="AA107" s="19">
        <v>0</v>
      </c>
      <c r="AB107" s="28">
        <f>SUMPRODUCT(Y107:AA107,'Fisico SPOT MAT'!Y107:AA107)*E107</f>
        <v>42000</v>
      </c>
      <c r="AC107" s="122">
        <f>(T107*'Fisico SPOT MAT'!T107+'Mono SPOT MAT'!V107*'Fisico SPOT MAT'!V107+'Mono SPOT MAT'!W107*'Fisico SPOT MAT'!W107)/'Fisico SPOT MAT'!AC107</f>
        <v>60.000000000000007</v>
      </c>
      <c r="AE107" s="41">
        <v>36.090078976279074</v>
      </c>
      <c r="AF107" s="42">
        <v>29.15451689989758</v>
      </c>
      <c r="AG107">
        <v>5050</v>
      </c>
      <c r="AH107" s="64">
        <f t="shared" si="20"/>
        <v>1.9635803308988375</v>
      </c>
      <c r="AI107">
        <v>2.2000000000000002</v>
      </c>
      <c r="AK107">
        <v>384</v>
      </c>
    </row>
    <row r="108" spans="1:37" hidden="1" x14ac:dyDescent="0.3">
      <c r="A108" s="3">
        <f t="shared" si="19"/>
        <v>1459.4167</v>
      </c>
      <c r="B108" s="42">
        <v>1437.4169999999999</v>
      </c>
      <c r="C108" s="1">
        <f t="shared" si="25"/>
        <v>2025</v>
      </c>
      <c r="D108" s="1">
        <f t="shared" si="23"/>
        <v>12</v>
      </c>
      <c r="E108" s="1">
        <v>16</v>
      </c>
      <c r="F108" s="1" t="s">
        <v>46</v>
      </c>
      <c r="G108" s="56">
        <f t="shared" si="21"/>
        <v>46014</v>
      </c>
      <c r="H108" s="17">
        <f t="shared" si="17"/>
        <v>41.415968942931656</v>
      </c>
      <c r="I108" s="17">
        <f t="shared" si="18"/>
        <v>33.923592911342915</v>
      </c>
      <c r="J108" s="17">
        <v>22</v>
      </c>
      <c r="K108" s="17"/>
      <c r="L108" s="17">
        <v>32</v>
      </c>
      <c r="M108" s="44">
        <f>SUMPRODUCT(H108:L108,'Fisico SPOT MAT'!H108:L108)*24</f>
        <v>7640566.7193584163</v>
      </c>
      <c r="N108" s="19">
        <f>+'Fisico SPOT MAT'!AH108</f>
        <v>16.853434624333545</v>
      </c>
      <c r="O108" s="19">
        <f t="shared" si="9"/>
        <v>13.151041666666666</v>
      </c>
      <c r="P108" s="19">
        <v>6</v>
      </c>
      <c r="Q108" s="19"/>
      <c r="R108" s="19">
        <v>0</v>
      </c>
      <c r="S108" s="44">
        <f>SUMPRODUCT(N108:R108,'Fisico SPOT MAT'!N108:R108)*E108</f>
        <v>3766361.2338784714</v>
      </c>
      <c r="T108" s="17">
        <v>50</v>
      </c>
      <c r="U108" s="17">
        <v>18</v>
      </c>
      <c r="V108" s="17">
        <v>50</v>
      </c>
      <c r="W108" s="17">
        <v>60</v>
      </c>
      <c r="X108" s="28">
        <f>SUMPRODUCT(T108:W108,'Fisico SPOT MAT'!T108:W108)*24</f>
        <v>2196102.6779999989</v>
      </c>
      <c r="Y108" s="19">
        <v>0</v>
      </c>
      <c r="Z108" s="19">
        <v>5</v>
      </c>
      <c r="AA108" s="19">
        <v>0</v>
      </c>
      <c r="AB108" s="28">
        <f>SUMPRODUCT(Y108:AA108,'Fisico SPOT MAT'!Y108:AA108)*E108</f>
        <v>42000</v>
      </c>
      <c r="AC108" s="122">
        <f>(T108*'Fisico SPOT MAT'!T108+'Mono SPOT MAT'!V108*'Fisico SPOT MAT'!V108+'Mono SPOT MAT'!W108*'Fisico SPOT MAT'!W108)/'Fisico SPOT MAT'!AC108</f>
        <v>60.000000000000007</v>
      </c>
      <c r="AE108" s="41">
        <v>37.178893623355179</v>
      </c>
      <c r="AF108" s="42">
        <v>29.686517591766439</v>
      </c>
      <c r="AG108">
        <v>5050</v>
      </c>
      <c r="AH108" s="64">
        <f t="shared" si="20"/>
        <v>2.0370753195764748</v>
      </c>
      <c r="AI108">
        <v>2.2000000000000002</v>
      </c>
      <c r="AK108">
        <v>384</v>
      </c>
    </row>
    <row r="109" spans="1:37" hidden="1" x14ac:dyDescent="0.3">
      <c r="A109" s="3">
        <f t="shared" si="19"/>
        <v>1459.4167</v>
      </c>
      <c r="B109" s="42">
        <v>1437.4169999999999</v>
      </c>
      <c r="C109" s="1">
        <f t="shared" si="25"/>
        <v>2025</v>
      </c>
      <c r="D109" s="1">
        <f t="shared" si="23"/>
        <v>12</v>
      </c>
      <c r="E109" s="1">
        <v>16</v>
      </c>
      <c r="F109" s="1" t="s">
        <v>47</v>
      </c>
      <c r="G109" s="56">
        <f t="shared" si="21"/>
        <v>46015</v>
      </c>
      <c r="H109" s="17">
        <f t="shared" si="17"/>
        <v>41.020234726301055</v>
      </c>
      <c r="I109" s="17">
        <f t="shared" si="18"/>
        <v>34.205971844753243</v>
      </c>
      <c r="J109" s="17">
        <v>22</v>
      </c>
      <c r="K109" s="17"/>
      <c r="L109" s="17">
        <v>32</v>
      </c>
      <c r="M109" s="44">
        <f>SUMPRODUCT(H109:L109,'Fisico SPOT MAT'!H109:L109)*24</f>
        <v>7437749.8096719086</v>
      </c>
      <c r="N109" s="19">
        <f>+'Fisico SPOT MAT'!AH109</f>
        <v>16.855921049680518</v>
      </c>
      <c r="O109" s="19">
        <f t="shared" si="9"/>
        <v>13.151041666666666</v>
      </c>
      <c r="P109" s="19">
        <v>6</v>
      </c>
      <c r="Q109" s="19"/>
      <c r="R109" s="19">
        <v>0</v>
      </c>
      <c r="S109" s="44">
        <f>SUMPRODUCT(N109:R109,'Fisico SPOT MAT'!N109:R109)*E109</f>
        <v>3772587.8023333317</v>
      </c>
      <c r="T109" s="17">
        <v>50</v>
      </c>
      <c r="U109" s="17">
        <v>18</v>
      </c>
      <c r="V109" s="17">
        <v>50</v>
      </c>
      <c r="W109" s="17">
        <v>60</v>
      </c>
      <c r="X109" s="28">
        <f>SUMPRODUCT(T109:W109,'Fisico SPOT MAT'!T109:W109)*24</f>
        <v>2744025.6060000001</v>
      </c>
      <c r="Y109" s="19">
        <v>0</v>
      </c>
      <c r="Z109" s="19">
        <v>5</v>
      </c>
      <c r="AA109" s="19">
        <v>0</v>
      </c>
      <c r="AB109" s="28">
        <f>SUMPRODUCT(Y109:AA109,'Fisico SPOT MAT'!Y109:AA109)*E109</f>
        <v>42000</v>
      </c>
      <c r="AC109" s="122">
        <f>(T109*'Fisico SPOT MAT'!T109+'Mono SPOT MAT'!V109*'Fisico SPOT MAT'!V109+'Mono SPOT MAT'!W109*'Fisico SPOT MAT'!W109)/'Fisico SPOT MAT'!AC109</f>
        <v>60</v>
      </c>
      <c r="AE109" s="41">
        <v>36.808182413396771</v>
      </c>
      <c r="AF109" s="42">
        <v>29.993919531848956</v>
      </c>
      <c r="AG109">
        <v>5050</v>
      </c>
      <c r="AH109" s="64">
        <f t="shared" si="20"/>
        <v>2.0120523129042822</v>
      </c>
      <c r="AI109">
        <v>2.2000000000000002</v>
      </c>
      <c r="AK109">
        <v>384</v>
      </c>
    </row>
    <row r="110" spans="1:37" hidden="1" x14ac:dyDescent="0.3">
      <c r="A110" s="3">
        <f t="shared" si="19"/>
        <v>1459.4167</v>
      </c>
      <c r="B110" s="42">
        <v>1437.4169999999999</v>
      </c>
      <c r="C110" s="1">
        <f t="shared" si="25"/>
        <v>2025</v>
      </c>
      <c r="D110" s="1">
        <f t="shared" si="23"/>
        <v>12</v>
      </c>
      <c r="E110" s="1">
        <v>4</v>
      </c>
      <c r="F110" s="1" t="s">
        <v>48</v>
      </c>
      <c r="G110" s="56">
        <f t="shared" si="21"/>
        <v>46016</v>
      </c>
      <c r="H110" s="17">
        <f t="shared" si="17"/>
        <v>41.648464233696693</v>
      </c>
      <c r="I110" s="17">
        <f t="shared" si="18"/>
        <v>35.512108299282886</v>
      </c>
      <c r="J110" s="17">
        <v>22</v>
      </c>
      <c r="K110" s="17"/>
      <c r="L110" s="17">
        <v>32</v>
      </c>
      <c r="M110" s="44">
        <f>SUMPRODUCT(H110:L110,'Fisico SPOT MAT'!H110:L110)*24</f>
        <v>6173235.3256298052</v>
      </c>
      <c r="N110" s="19">
        <f>+'Fisico SPOT MAT'!AH110</f>
        <v>16.871304484812189</v>
      </c>
      <c r="O110" s="19">
        <f t="shared" si="9"/>
        <v>13.151041666666666</v>
      </c>
      <c r="P110" s="19">
        <v>6</v>
      </c>
      <c r="Q110" s="19"/>
      <c r="R110" s="19">
        <v>0</v>
      </c>
      <c r="S110" s="44">
        <f>SUMPRODUCT(N110:R110,'Fisico SPOT MAT'!N110:R110)*E110</f>
        <v>956269.66215017298</v>
      </c>
      <c r="T110" s="17">
        <v>50</v>
      </c>
      <c r="U110" s="17">
        <v>18</v>
      </c>
      <c r="V110" s="17">
        <v>50</v>
      </c>
      <c r="W110" s="17">
        <v>60</v>
      </c>
      <c r="X110" s="28">
        <f>SUMPRODUCT(T110:W110,'Fisico SPOT MAT'!T110:W110)*24</f>
        <v>2335297.2239999999</v>
      </c>
      <c r="Y110" s="19">
        <v>0</v>
      </c>
      <c r="Z110" s="19">
        <v>5</v>
      </c>
      <c r="AA110" s="19">
        <v>0</v>
      </c>
      <c r="AB110" s="28">
        <f>SUMPRODUCT(Y110:AA110,'Fisico SPOT MAT'!Y110:AA110)*E110</f>
        <v>10500</v>
      </c>
      <c r="AC110" s="122">
        <f>(T110*'Fisico SPOT MAT'!T110+'Mono SPOT MAT'!V110*'Fisico SPOT MAT'!V110+'Mono SPOT MAT'!W110*'Fisico SPOT MAT'!W110)/'Fisico SPOT MAT'!AC110</f>
        <v>60</v>
      </c>
      <c r="AE110" s="41">
        <v>37.396687806741632</v>
      </c>
      <c r="AF110" s="42">
        <v>31.260331872327825</v>
      </c>
      <c r="AG110">
        <v>5050</v>
      </c>
      <c r="AH110" s="64">
        <f t="shared" si="20"/>
        <v>2.0517764269550605</v>
      </c>
      <c r="AI110">
        <v>2.2000000000000002</v>
      </c>
      <c r="AK110">
        <v>384</v>
      </c>
    </row>
    <row r="111" spans="1:37" hidden="1" x14ac:dyDescent="0.3">
      <c r="A111" s="3">
        <f t="shared" si="19"/>
        <v>1459.4167</v>
      </c>
      <c r="B111" s="42">
        <v>1437.4169999999999</v>
      </c>
      <c r="C111" s="1">
        <f t="shared" si="25"/>
        <v>2025</v>
      </c>
      <c r="D111" s="1">
        <f t="shared" si="23"/>
        <v>12</v>
      </c>
      <c r="E111" s="1">
        <v>16</v>
      </c>
      <c r="F111" s="1" t="s">
        <v>49</v>
      </c>
      <c r="G111" s="56">
        <f t="shared" si="21"/>
        <v>46017</v>
      </c>
      <c r="H111" s="17">
        <f t="shared" si="17"/>
        <v>40.498410044975159</v>
      </c>
      <c r="I111" s="17">
        <f t="shared" si="18"/>
        <v>33.136037961202234</v>
      </c>
      <c r="J111" s="17">
        <v>22</v>
      </c>
      <c r="K111" s="17"/>
      <c r="L111" s="17">
        <v>32</v>
      </c>
      <c r="M111" s="44">
        <f>SUMPRODUCT(H111:L111,'Fisico SPOT MAT'!H111:L111)*24</f>
        <v>7295873.3806169517</v>
      </c>
      <c r="N111" s="19">
        <f>+'Fisico SPOT MAT'!AH111</f>
        <v>16.866386660454317</v>
      </c>
      <c r="O111" s="19">
        <f t="shared" si="9"/>
        <v>13.151041666666666</v>
      </c>
      <c r="P111" s="19">
        <v>6</v>
      </c>
      <c r="Q111" s="19"/>
      <c r="R111" s="19">
        <v>0</v>
      </c>
      <c r="S111" s="44">
        <f>SUMPRODUCT(N111:R111,'Fisico SPOT MAT'!N111:R111)*E111</f>
        <v>3812716.2550694435</v>
      </c>
      <c r="T111" s="17">
        <v>50</v>
      </c>
      <c r="U111" s="17">
        <v>18</v>
      </c>
      <c r="V111" s="17">
        <v>50</v>
      </c>
      <c r="W111" s="17">
        <v>60</v>
      </c>
      <c r="X111" s="28">
        <f>SUMPRODUCT(T111:W111,'Fisico SPOT MAT'!T111:W111)*24</f>
        <v>2866617.594000001</v>
      </c>
      <c r="Y111" s="19">
        <v>0</v>
      </c>
      <c r="Z111" s="19">
        <v>5</v>
      </c>
      <c r="AA111" s="19">
        <v>0</v>
      </c>
      <c r="AB111" s="28">
        <f>SUMPRODUCT(Y111:AA111,'Fisico SPOT MAT'!Y111:AA111)*E111</f>
        <v>42000</v>
      </c>
      <c r="AC111" s="122">
        <f>(T111*'Fisico SPOT MAT'!T111+'Mono SPOT MAT'!V111*'Fisico SPOT MAT'!V111+'Mono SPOT MAT'!W111*'Fisico SPOT MAT'!W111)/'Fisico SPOT MAT'!AC111</f>
        <v>60.000000000000007</v>
      </c>
      <c r="AE111" s="41">
        <v>36.319353672107873</v>
      </c>
      <c r="AF111" s="42">
        <v>28.956981588334955</v>
      </c>
      <c r="AG111">
        <v>5050</v>
      </c>
      <c r="AH111" s="64">
        <f t="shared" si="20"/>
        <v>1.9790563728672816</v>
      </c>
      <c r="AI111">
        <v>2.2000000000000002</v>
      </c>
      <c r="AK111">
        <v>384</v>
      </c>
    </row>
    <row r="112" spans="1:37" hidden="1" x14ac:dyDescent="0.3">
      <c r="A112" s="3">
        <f t="shared" si="19"/>
        <v>1459.4167</v>
      </c>
      <c r="B112" s="42">
        <v>1437.4169999999999</v>
      </c>
      <c r="C112" s="1">
        <f t="shared" si="25"/>
        <v>2025</v>
      </c>
      <c r="D112" s="1">
        <f t="shared" si="23"/>
        <v>12</v>
      </c>
      <c r="E112" s="1">
        <v>6</v>
      </c>
      <c r="F112" s="1" t="s">
        <v>43</v>
      </c>
      <c r="G112" s="56">
        <f t="shared" si="21"/>
        <v>46018</v>
      </c>
      <c r="H112" s="17">
        <f t="shared" si="17"/>
        <v>39.900749696128436</v>
      </c>
      <c r="I112" s="17">
        <f t="shared" si="18"/>
        <v>33.169250874599278</v>
      </c>
      <c r="J112" s="17">
        <v>22</v>
      </c>
      <c r="K112" s="17"/>
      <c r="L112" s="17">
        <v>32</v>
      </c>
      <c r="M112" s="44">
        <f>SUMPRODUCT(H112:L112,'Fisico SPOT MAT'!H112:L112)*24</f>
        <v>7853298.142477043</v>
      </c>
      <c r="N112" s="19">
        <f>+'Fisico SPOT MAT'!AH112</f>
        <v>16.840712743491331</v>
      </c>
      <c r="O112" s="19">
        <f t="shared" si="9"/>
        <v>13.151041666666666</v>
      </c>
      <c r="P112" s="19">
        <v>6</v>
      </c>
      <c r="Q112" s="19"/>
      <c r="R112" s="19">
        <v>0</v>
      </c>
      <c r="S112" s="44">
        <f>SUMPRODUCT(N112:R112,'Fisico SPOT MAT'!N112:R112)*E112</f>
        <v>1398064.8012252594</v>
      </c>
      <c r="T112" s="17">
        <v>50</v>
      </c>
      <c r="U112" s="17">
        <v>18</v>
      </c>
      <c r="V112" s="17">
        <v>50</v>
      </c>
      <c r="W112" s="17">
        <v>60</v>
      </c>
      <c r="X112" s="28">
        <f>SUMPRODUCT(T112:W112,'Fisico SPOT MAT'!T112:W112)*24</f>
        <v>2278246.8359999997</v>
      </c>
      <c r="Y112" s="19">
        <v>0</v>
      </c>
      <c r="Z112" s="19">
        <v>5</v>
      </c>
      <c r="AA112" s="19">
        <v>0</v>
      </c>
      <c r="AB112" s="28">
        <f>SUMPRODUCT(Y112:AA112,'Fisico SPOT MAT'!Y112:AA112)*E112</f>
        <v>15750</v>
      </c>
      <c r="AC112" s="122">
        <f>(T112*'Fisico SPOT MAT'!T112+'Mono SPOT MAT'!V112*'Fisico SPOT MAT'!V112+'Mono SPOT MAT'!W112*'Fisico SPOT MAT'!W112)/'Fisico SPOT MAT'!AC112</f>
        <v>60</v>
      </c>
      <c r="AE112" s="41">
        <v>35.759484492860359</v>
      </c>
      <c r="AF112" s="42">
        <v>29.027985671331205</v>
      </c>
      <c r="AG112">
        <v>5050</v>
      </c>
      <c r="AH112" s="64">
        <f t="shared" si="20"/>
        <v>1.9412652032680744</v>
      </c>
      <c r="AI112">
        <v>2.2000000000000002</v>
      </c>
      <c r="AK112">
        <v>384</v>
      </c>
    </row>
    <row r="113" spans="1:37" hidden="1" x14ac:dyDescent="0.3">
      <c r="A113" s="3">
        <f t="shared" si="19"/>
        <v>1459.4167</v>
      </c>
      <c r="B113" s="42">
        <v>1437.4169999999999</v>
      </c>
      <c r="C113" s="1">
        <f t="shared" si="25"/>
        <v>2025</v>
      </c>
      <c r="D113" s="1">
        <f t="shared" si="23"/>
        <v>12</v>
      </c>
      <c r="E113" s="1">
        <v>4</v>
      </c>
      <c r="F113" s="1" t="s">
        <v>44</v>
      </c>
      <c r="G113" s="56">
        <f t="shared" si="21"/>
        <v>46019</v>
      </c>
      <c r="H113" s="17">
        <f t="shared" si="17"/>
        <v>43.605958483023429</v>
      </c>
      <c r="I113" s="17">
        <f t="shared" si="18"/>
        <v>33.946400284233867</v>
      </c>
      <c r="J113" s="17">
        <v>22</v>
      </c>
      <c r="K113" s="17"/>
      <c r="L113" s="17">
        <v>32</v>
      </c>
      <c r="M113" s="44">
        <f>SUMPRODUCT(H113:L113,'Fisico SPOT MAT'!H113:L113)*24</f>
        <v>8478025.1835281439</v>
      </c>
      <c r="N113" s="19">
        <f>+'Fisico SPOT MAT'!AH113</f>
        <v>16.847740649465383</v>
      </c>
      <c r="O113" s="19">
        <f t="shared" si="9"/>
        <v>13.151041666666666</v>
      </c>
      <c r="P113" s="19">
        <v>6</v>
      </c>
      <c r="Q113" s="19"/>
      <c r="R113" s="19">
        <v>0</v>
      </c>
      <c r="S113" s="44">
        <f>SUMPRODUCT(N113:R113,'Fisico SPOT MAT'!N113:R113)*E113</f>
        <v>937629.22752690967</v>
      </c>
      <c r="T113" s="17">
        <v>50</v>
      </c>
      <c r="U113" s="17">
        <v>18</v>
      </c>
      <c r="V113" s="17">
        <v>50</v>
      </c>
      <c r="W113" s="17">
        <v>60</v>
      </c>
      <c r="X113" s="28">
        <f>SUMPRODUCT(T113:W113,'Fisico SPOT MAT'!T113:W113)*24</f>
        <v>2169219.2700000005</v>
      </c>
      <c r="Y113" s="19">
        <v>0</v>
      </c>
      <c r="Z113" s="19">
        <v>5</v>
      </c>
      <c r="AA113" s="19">
        <v>0</v>
      </c>
      <c r="AB113" s="28">
        <f>SUMPRODUCT(Y113:AA113,'Fisico SPOT MAT'!Y113:AA113)*E113</f>
        <v>10500</v>
      </c>
      <c r="AC113" s="122">
        <f>(T113*'Fisico SPOT MAT'!T113+'Mono SPOT MAT'!V113*'Fisico SPOT MAT'!V113+'Mono SPOT MAT'!W113*'Fisico SPOT MAT'!W113)/'Fisico SPOT MAT'!AC113</f>
        <v>60</v>
      </c>
      <c r="AE113" s="41">
        <v>39.23040607308986</v>
      </c>
      <c r="AF113" s="42">
        <v>29.570847874300302</v>
      </c>
      <c r="AG113">
        <v>5050</v>
      </c>
      <c r="AH113" s="64">
        <f t="shared" si="20"/>
        <v>2.1755524099335655</v>
      </c>
      <c r="AI113">
        <v>2.2000000000000002</v>
      </c>
      <c r="AK113">
        <v>384</v>
      </c>
    </row>
    <row r="114" spans="1:37" hidden="1" x14ac:dyDescent="0.3">
      <c r="A114" s="3">
        <f t="shared" si="19"/>
        <v>1459.4167</v>
      </c>
      <c r="B114" s="49">
        <v>1450.4169999999999</v>
      </c>
      <c r="C114" s="1">
        <f t="shared" si="25"/>
        <v>2025</v>
      </c>
      <c r="D114" s="1">
        <f t="shared" si="23"/>
        <v>12</v>
      </c>
      <c r="E114" s="1">
        <v>16</v>
      </c>
      <c r="F114" s="1" t="s">
        <v>45</v>
      </c>
      <c r="G114" s="56">
        <f t="shared" ref="G114:G146" si="26">+G113+1</f>
        <v>46020</v>
      </c>
      <c r="H114" s="17">
        <f t="shared" ref="H114:H116" si="27">+AE114+AH114+AI114</f>
        <v>45.535357997965122</v>
      </c>
      <c r="I114" s="17">
        <f t="shared" ref="I114:I116" si="28">+AF114+AH114+AI114</f>
        <v>33.914699172824648</v>
      </c>
      <c r="J114" s="17">
        <v>22</v>
      </c>
      <c r="K114" s="17"/>
      <c r="L114" s="17">
        <v>32</v>
      </c>
      <c r="M114" s="44">
        <f>SUMPRODUCT(H114:L114,'Fisico SPOT MAT'!H114:L114)*24</f>
        <v>9557894.2301327195</v>
      </c>
      <c r="N114" s="19">
        <f>+'Fisico SPOT MAT'!AH114</f>
        <v>16.816689789321991</v>
      </c>
      <c r="O114" s="19">
        <f t="shared" si="9"/>
        <v>13.151041666666666</v>
      </c>
      <c r="P114" s="19">
        <v>6</v>
      </c>
      <c r="Q114" s="19"/>
      <c r="R114" s="19">
        <v>0</v>
      </c>
      <c r="S114" s="44">
        <f>SUMPRODUCT(N114:R114,'Fisico SPOT MAT'!N114:R114)*E114</f>
        <v>3653503.4624131927</v>
      </c>
      <c r="T114" s="17">
        <v>50</v>
      </c>
      <c r="U114" s="17">
        <v>18</v>
      </c>
      <c r="V114" s="17">
        <v>50</v>
      </c>
      <c r="W114" s="17">
        <v>60</v>
      </c>
      <c r="X114" s="28">
        <f>SUMPRODUCT(T114:W114,'Fisico SPOT MAT'!T114:W114)*24</f>
        <v>2196947.0219999999</v>
      </c>
      <c r="Y114" s="19">
        <v>0</v>
      </c>
      <c r="Z114" s="19">
        <v>5</v>
      </c>
      <c r="AA114" s="19">
        <v>0</v>
      </c>
      <c r="AB114" s="28">
        <f>SUMPRODUCT(Y114:AA114,'Fisico SPOT MAT'!Y114:AA114)*E114</f>
        <v>42000</v>
      </c>
      <c r="AC114" s="122">
        <f>(T114*'Fisico SPOT MAT'!T114+'Mono SPOT MAT'!V114*'Fisico SPOT MAT'!V114+'Mono SPOT MAT'!W114*'Fisico SPOT MAT'!W114)/'Fisico SPOT MAT'!AC114</f>
        <v>59.999999999999993</v>
      </c>
      <c r="AE114" s="41">
        <v>41.037806087086764</v>
      </c>
      <c r="AF114" s="42">
        <v>29.41714726194629</v>
      </c>
      <c r="AG114">
        <v>5050</v>
      </c>
      <c r="AH114" s="64">
        <f t="shared" si="20"/>
        <v>2.2975519108783566</v>
      </c>
      <c r="AI114">
        <v>2.2000000000000002</v>
      </c>
      <c r="AK114">
        <v>384</v>
      </c>
    </row>
    <row r="115" spans="1:37" hidden="1" x14ac:dyDescent="0.3">
      <c r="A115" s="3">
        <f t="shared" si="19"/>
        <v>1459.4167</v>
      </c>
      <c r="B115" s="49">
        <v>1450.4169999999999</v>
      </c>
      <c r="C115" s="1">
        <f t="shared" si="25"/>
        <v>2025</v>
      </c>
      <c r="D115" s="1">
        <f t="shared" si="23"/>
        <v>12</v>
      </c>
      <c r="E115" s="1">
        <v>16</v>
      </c>
      <c r="F115" s="1" t="s">
        <v>46</v>
      </c>
      <c r="G115" s="56">
        <f t="shared" si="26"/>
        <v>46021</v>
      </c>
      <c r="H115" s="17">
        <f t="shared" si="27"/>
        <v>48.549743141367756</v>
      </c>
      <c r="I115" s="17">
        <f t="shared" si="28"/>
        <v>33.841245031857348</v>
      </c>
      <c r="J115" s="17">
        <v>22</v>
      </c>
      <c r="K115" s="17"/>
      <c r="L115" s="17">
        <v>32</v>
      </c>
      <c r="M115" s="44">
        <f>SUMPRODUCT(H115:L115,'Fisico SPOT MAT'!H115:L115)*24</f>
        <v>10640027.431652188</v>
      </c>
      <c r="N115" s="19">
        <f>+'Fisico SPOT MAT'!AH115</f>
        <v>16.778392866238509</v>
      </c>
      <c r="O115" s="19">
        <f t="shared" si="9"/>
        <v>13.151041666666666</v>
      </c>
      <c r="P115" s="19">
        <v>6</v>
      </c>
      <c r="Q115" s="19"/>
      <c r="R115" s="19">
        <v>0</v>
      </c>
      <c r="S115" s="44">
        <f>SUMPRODUCT(N115:R115,'Fisico SPOT MAT'!N115:R115)*E115</f>
        <v>3541553.0024826373</v>
      </c>
      <c r="T115" s="17">
        <v>50</v>
      </c>
      <c r="U115" s="17">
        <v>18</v>
      </c>
      <c r="V115" s="17">
        <v>50</v>
      </c>
      <c r="W115" s="17">
        <v>60</v>
      </c>
      <c r="X115" s="28">
        <f>SUMPRODUCT(T115:W115,'Fisico SPOT MAT'!T115:W115)*24</f>
        <v>2285678.9640000006</v>
      </c>
      <c r="Y115" s="19">
        <v>0</v>
      </c>
      <c r="Z115" s="19">
        <v>5</v>
      </c>
      <c r="AA115" s="19">
        <v>0</v>
      </c>
      <c r="AB115" s="28">
        <f>SUMPRODUCT(Y115:AA115,'Fisico SPOT MAT'!Y115:AA115)*E115</f>
        <v>42000</v>
      </c>
      <c r="AC115" s="122">
        <f>(T115*'Fisico SPOT MAT'!T115+'Mono SPOT MAT'!V115*'Fisico SPOT MAT'!V115+'Mono SPOT MAT'!W115*'Fisico SPOT MAT'!W115)/'Fisico SPOT MAT'!AC115</f>
        <v>60.000000000000007</v>
      </c>
      <c r="AE115" s="41">
        <v>43.861586080906562</v>
      </c>
      <c r="AF115" s="42">
        <v>29.15308797139615</v>
      </c>
      <c r="AG115">
        <v>5050</v>
      </c>
      <c r="AH115" s="64">
        <f t="shared" si="20"/>
        <v>2.4881570604611931</v>
      </c>
      <c r="AI115">
        <v>2.2000000000000002</v>
      </c>
      <c r="AK115">
        <v>384</v>
      </c>
    </row>
    <row r="116" spans="1:37" hidden="1" x14ac:dyDescent="0.3">
      <c r="A116" s="3">
        <f t="shared" si="19"/>
        <v>1459.4167</v>
      </c>
      <c r="B116" s="49">
        <v>1450.4169999999999</v>
      </c>
      <c r="C116" s="1">
        <f t="shared" si="25"/>
        <v>2025</v>
      </c>
      <c r="D116" s="1">
        <f t="shared" si="23"/>
        <v>12</v>
      </c>
      <c r="E116" s="1">
        <v>16</v>
      </c>
      <c r="F116" s="1" t="s">
        <v>47</v>
      </c>
      <c r="G116" s="56">
        <f t="shared" si="26"/>
        <v>46022</v>
      </c>
      <c r="H116" s="17">
        <f t="shared" si="27"/>
        <v>46.959300938046098</v>
      </c>
      <c r="I116" s="17">
        <f t="shared" si="28"/>
        <v>33.15193253119002</v>
      </c>
      <c r="J116" s="17">
        <v>22</v>
      </c>
      <c r="K116" s="17"/>
      <c r="L116" s="17">
        <v>32</v>
      </c>
      <c r="M116" s="44">
        <f>SUMPRODUCT(H116:L116,'Fisico SPOT MAT'!H116:L116)*24</f>
        <v>9362226.1763719786</v>
      </c>
      <c r="N116" s="19">
        <f>+'Fisico SPOT MAT'!AH116</f>
        <v>16.717467259093379</v>
      </c>
      <c r="O116" s="19">
        <f t="shared" si="9"/>
        <v>13.151041666666666</v>
      </c>
      <c r="P116" s="19">
        <v>6</v>
      </c>
      <c r="Q116" s="19"/>
      <c r="R116" s="19">
        <v>0</v>
      </c>
      <c r="S116" s="44">
        <f>SUMPRODUCT(N116:R116,'Fisico SPOT MAT'!N116:R116)*E116</f>
        <v>3377213.7466597199</v>
      </c>
      <c r="T116" s="17">
        <v>50</v>
      </c>
      <c r="U116" s="17">
        <v>18</v>
      </c>
      <c r="V116" s="17">
        <v>50</v>
      </c>
      <c r="W116" s="17">
        <v>60</v>
      </c>
      <c r="X116" s="28">
        <f>SUMPRODUCT(T116:W116,'Fisico SPOT MAT'!T116:W116)*24</f>
        <v>2481216.8339999993</v>
      </c>
      <c r="Y116" s="19">
        <v>0</v>
      </c>
      <c r="Z116" s="19">
        <v>5</v>
      </c>
      <c r="AA116" s="19">
        <v>0</v>
      </c>
      <c r="AB116" s="28">
        <f>SUMPRODUCT(Y116:AA116,'Fisico SPOT MAT'!Y116:AA116)*E116</f>
        <v>42000</v>
      </c>
      <c r="AC116" s="122">
        <f>(T116*'Fisico SPOT MAT'!T116+'Mono SPOT MAT'!V116*'Fisico SPOT MAT'!V116+'Mono SPOT MAT'!W116*'Fisico SPOT MAT'!W116)/'Fisico SPOT MAT'!AC116</f>
        <v>60</v>
      </c>
      <c r="AE116" s="41">
        <v>42.371710480605245</v>
      </c>
      <c r="AF116" s="42">
        <v>28.564342073749163</v>
      </c>
      <c r="AG116">
        <v>5050</v>
      </c>
      <c r="AH116" s="64">
        <f t="shared" si="20"/>
        <v>2.387590457440854</v>
      </c>
      <c r="AI116">
        <v>2.2000000000000002</v>
      </c>
      <c r="AK116">
        <v>384</v>
      </c>
    </row>
    <row r="117" spans="1:37" hidden="1" x14ac:dyDescent="0.3">
      <c r="A117" s="3">
        <v>1447.6657</v>
      </c>
      <c r="B117" s="49">
        <v>1450.4169999999999</v>
      </c>
      <c r="C117" s="1">
        <f t="shared" si="25"/>
        <v>2026</v>
      </c>
      <c r="D117" s="1">
        <f t="shared" si="23"/>
        <v>1</v>
      </c>
      <c r="E117" s="1">
        <v>4</v>
      </c>
      <c r="F117" s="1" t="s">
        <v>48</v>
      </c>
      <c r="G117" s="56">
        <f t="shared" si="26"/>
        <v>46023</v>
      </c>
      <c r="H117" s="17">
        <f>+AE117+AH117+AI117+AJ117</f>
        <v>41.163466529275226</v>
      </c>
      <c r="I117" s="17">
        <f>+AF117+AH117+AI117+AJ117</f>
        <v>36.04129338056385</v>
      </c>
      <c r="J117" s="17">
        <v>22</v>
      </c>
      <c r="K117" s="17"/>
      <c r="L117" s="17">
        <v>32</v>
      </c>
      <c r="M117" s="44">
        <f>SUMPRODUCT(H117:L117,'Fisico SPOT MAT'!H117:L117)*24</f>
        <v>6756765.5438014362</v>
      </c>
      <c r="N117" s="19">
        <f>+'Fisico SPOT MAT'!AH117</f>
        <v>16.847482769475562</v>
      </c>
      <c r="O117" s="19">
        <f t="shared" si="9"/>
        <v>13.082901554404145</v>
      </c>
      <c r="P117" s="19">
        <v>6</v>
      </c>
      <c r="Q117" s="19"/>
      <c r="R117" s="19">
        <v>0</v>
      </c>
      <c r="S117" s="44">
        <f>SUMPRODUCT(N117:R117,'Fisico SPOT MAT'!N117:R117)*E117</f>
        <v>936558.98377202067</v>
      </c>
      <c r="T117" s="17">
        <v>50</v>
      </c>
      <c r="U117" s="17">
        <v>18</v>
      </c>
      <c r="V117" s="17">
        <v>50</v>
      </c>
      <c r="W117" s="17">
        <v>60</v>
      </c>
      <c r="X117" s="28">
        <f>SUMPRODUCT(T117:W117,'Fisico SPOT MAT'!T117:W117)*24</f>
        <v>2184148.8119999999</v>
      </c>
      <c r="Y117" s="19">
        <v>0</v>
      </c>
      <c r="Z117" s="19">
        <v>5</v>
      </c>
      <c r="AA117" s="19">
        <v>0</v>
      </c>
      <c r="AB117" s="28">
        <f>SUMPRODUCT(Y117:AA117,'Fisico SPOT MAT'!Y117:AA117)*E117</f>
        <v>10500</v>
      </c>
      <c r="AC117" s="122">
        <f>(T117*'Fisico SPOT MAT'!T117+'Mono SPOT MAT'!V117*'Fisico SPOT MAT'!V117+'Mono SPOT MAT'!W117*'Fisico SPOT MAT'!W117)/'Fisico SPOT MAT'!AC117</f>
        <v>60</v>
      </c>
      <c r="AD117" s="85"/>
      <c r="AE117" s="41">
        <v>38.206994406815198</v>
      </c>
      <c r="AF117" s="42">
        <v>33.084821258103823</v>
      </c>
      <c r="AG117">
        <v>5050</v>
      </c>
      <c r="AH117" s="64">
        <f t="shared" si="20"/>
        <v>2.1064721224600262</v>
      </c>
      <c r="AJ117" s="41">
        <v>0.85</v>
      </c>
      <c r="AK117">
        <v>386</v>
      </c>
    </row>
    <row r="118" spans="1:37" hidden="1" x14ac:dyDescent="0.3">
      <c r="A118" s="3">
        <f t="shared" ref="A118:A146" si="29">+A117</f>
        <v>1447.6657</v>
      </c>
      <c r="B118" s="49">
        <v>1450.4169999999999</v>
      </c>
      <c r="C118" s="1">
        <f t="shared" si="25"/>
        <v>2026</v>
      </c>
      <c r="D118" s="1">
        <f t="shared" si="23"/>
        <v>1</v>
      </c>
      <c r="E118" s="1">
        <v>16</v>
      </c>
      <c r="F118" s="1" t="s">
        <v>49</v>
      </c>
      <c r="G118" s="56">
        <f t="shared" si="26"/>
        <v>46024</v>
      </c>
      <c r="H118" s="17">
        <f t="shared" ref="H118:H135" si="30">+AE118+AH118+AI118+AJ118</f>
        <v>41.26411643339263</v>
      </c>
      <c r="I118" s="17">
        <f t="shared" ref="I118:I135" si="31">+AF118+AH118+AI118+AJ118</f>
        <v>36.067701902231029</v>
      </c>
      <c r="J118" s="17">
        <v>22</v>
      </c>
      <c r="K118" s="17"/>
      <c r="L118" s="17">
        <v>32</v>
      </c>
      <c r="M118" s="44">
        <f>SUMPRODUCT(H118:L118,'Fisico SPOT MAT'!H118:L118)*24</f>
        <v>7663808.146308776</v>
      </c>
      <c r="N118" s="19">
        <f>+'Fisico SPOT MAT'!AH118</f>
        <v>16.85949604793435</v>
      </c>
      <c r="O118" s="19">
        <f t="shared" si="9"/>
        <v>13.082901554404145</v>
      </c>
      <c r="P118" s="19">
        <v>6</v>
      </c>
      <c r="Q118" s="19"/>
      <c r="R118" s="19">
        <v>0</v>
      </c>
      <c r="S118" s="44">
        <f>SUMPRODUCT(N118:R118,'Fisico SPOT MAT'!N118:R118)*E118</f>
        <v>3782836.5971848001</v>
      </c>
      <c r="T118" s="17">
        <v>50</v>
      </c>
      <c r="U118" s="17">
        <v>18</v>
      </c>
      <c r="V118" s="17">
        <v>50</v>
      </c>
      <c r="W118" s="17">
        <v>60</v>
      </c>
      <c r="X118" s="28">
        <f>SUMPRODUCT(T118:W118,'Fisico SPOT MAT'!T118:W118)*24</f>
        <v>2299409.6340000001</v>
      </c>
      <c r="Y118" s="19">
        <v>0</v>
      </c>
      <c r="Z118" s="19">
        <v>5</v>
      </c>
      <c r="AA118" s="19">
        <v>0</v>
      </c>
      <c r="AB118" s="28">
        <f>SUMPRODUCT(Y118:AA118,'Fisico SPOT MAT'!Y118:AA118)*E118</f>
        <v>42000</v>
      </c>
      <c r="AC118" s="122">
        <f>(T118*'Fisico SPOT MAT'!T118+'Mono SPOT MAT'!V118*'Fisico SPOT MAT'!V118+'Mono SPOT MAT'!W118*'Fisico SPOT MAT'!W118)/'Fisico SPOT MAT'!AC118</f>
        <v>60</v>
      </c>
      <c r="AD118" s="85"/>
      <c r="AE118" s="41">
        <v>38.301280031281152</v>
      </c>
      <c r="AF118" s="42">
        <v>33.104865500119551</v>
      </c>
      <c r="AG118">
        <v>5050</v>
      </c>
      <c r="AH118" s="64">
        <f t="shared" si="20"/>
        <v>2.1128364021114781</v>
      </c>
      <c r="AJ118" s="41">
        <v>0.85</v>
      </c>
      <c r="AK118">
        <v>386</v>
      </c>
    </row>
    <row r="119" spans="1:37" hidden="1" x14ac:dyDescent="0.3">
      <c r="A119" s="3">
        <f t="shared" si="29"/>
        <v>1447.6657</v>
      </c>
      <c r="B119" s="49">
        <v>1450.4169999999999</v>
      </c>
      <c r="C119" s="1">
        <f t="shared" si="25"/>
        <v>2026</v>
      </c>
      <c r="D119" s="1">
        <f t="shared" si="23"/>
        <v>1</v>
      </c>
      <c r="E119" s="1">
        <v>6</v>
      </c>
      <c r="F119" s="1" t="s">
        <v>43</v>
      </c>
      <c r="G119" s="56">
        <f t="shared" si="26"/>
        <v>46025</v>
      </c>
      <c r="H119" s="17">
        <f t="shared" si="30"/>
        <v>39.397512001545799</v>
      </c>
      <c r="I119" s="17">
        <f t="shared" si="31"/>
        <v>37.356911987511012</v>
      </c>
      <c r="J119" s="17">
        <v>22</v>
      </c>
      <c r="K119" s="17"/>
      <c r="L119" s="17">
        <v>32</v>
      </c>
      <c r="M119" s="44">
        <f>SUMPRODUCT(H119:L119,'Fisico SPOT MAT'!H119:L119)*24</f>
        <v>5990676.3594812229</v>
      </c>
      <c r="N119" s="19">
        <f>+'Fisico SPOT MAT'!AH119</f>
        <v>16.869233854600495</v>
      </c>
      <c r="O119" s="19">
        <f t="shared" si="9"/>
        <v>13.082901554404145</v>
      </c>
      <c r="P119" s="19">
        <v>6</v>
      </c>
      <c r="Q119" s="19"/>
      <c r="R119" s="19">
        <v>0</v>
      </c>
      <c r="S119" s="44">
        <f>SUMPRODUCT(N119:R119,'Fisico SPOT MAT'!N119:R119)*E119</f>
        <v>1430583.3230595852</v>
      </c>
      <c r="T119" s="17">
        <v>50</v>
      </c>
      <c r="U119" s="17">
        <v>18</v>
      </c>
      <c r="V119" s="17">
        <v>50</v>
      </c>
      <c r="W119" s="17">
        <v>60</v>
      </c>
      <c r="X119" s="28">
        <f>SUMPRODUCT(T119:W119,'Fisico SPOT MAT'!T119:W119)*24</f>
        <v>2210825.0639999998</v>
      </c>
      <c r="Y119" s="19">
        <v>0</v>
      </c>
      <c r="Z119" s="19">
        <v>5</v>
      </c>
      <c r="AA119" s="19">
        <v>0</v>
      </c>
      <c r="AB119" s="28">
        <f>SUMPRODUCT(Y119:AA119,'Fisico SPOT MAT'!Y119:AA119)*E119</f>
        <v>15750</v>
      </c>
      <c r="AC119" s="122">
        <f>(T119*'Fisico SPOT MAT'!T119+'Mono SPOT MAT'!V119*'Fisico SPOT MAT'!V119+'Mono SPOT MAT'!W119*'Fisico SPOT MAT'!W119)/'Fisico SPOT MAT'!AC119</f>
        <v>60</v>
      </c>
      <c r="AD119" s="85"/>
      <c r="AE119" s="41">
        <v>36.552704451096766</v>
      </c>
      <c r="AF119" s="42">
        <v>34.512104437061979</v>
      </c>
      <c r="AG119">
        <v>5050</v>
      </c>
      <c r="AH119" s="64">
        <f t="shared" si="20"/>
        <v>1.9948075504490319</v>
      </c>
      <c r="AJ119" s="41">
        <v>0.85</v>
      </c>
      <c r="AK119">
        <v>386</v>
      </c>
    </row>
    <row r="120" spans="1:37" hidden="1" x14ac:dyDescent="0.3">
      <c r="A120" s="3">
        <f t="shared" si="29"/>
        <v>1447.6657</v>
      </c>
      <c r="B120" s="49">
        <v>1450.4169999999999</v>
      </c>
      <c r="C120" s="1">
        <f t="shared" si="25"/>
        <v>2026</v>
      </c>
      <c r="D120" s="1">
        <f t="shared" si="23"/>
        <v>1</v>
      </c>
      <c r="E120" s="1">
        <v>4</v>
      </c>
      <c r="F120" s="1" t="s">
        <v>44</v>
      </c>
      <c r="G120" s="56">
        <f t="shared" si="26"/>
        <v>46026</v>
      </c>
      <c r="H120" s="17">
        <f t="shared" si="30"/>
        <v>38.599396927084889</v>
      </c>
      <c r="I120" s="17">
        <f t="shared" si="31"/>
        <v>35.902162527289342</v>
      </c>
      <c r="J120" s="17">
        <v>22</v>
      </c>
      <c r="K120" s="17"/>
      <c r="L120" s="17">
        <v>32</v>
      </c>
      <c r="M120" s="44">
        <f>SUMPRODUCT(H120:L120,'Fisico SPOT MAT'!H120:L120)*24</f>
        <v>4922772.7621815</v>
      </c>
      <c r="N120" s="19">
        <f>+'Fisico SPOT MAT'!AH120</f>
        <v>16.86914207126204</v>
      </c>
      <c r="O120" s="19">
        <f t="shared" si="9"/>
        <v>13.082901554404145</v>
      </c>
      <c r="P120" s="19">
        <v>6</v>
      </c>
      <c r="Q120" s="19"/>
      <c r="R120" s="19">
        <v>0</v>
      </c>
      <c r="S120" s="44">
        <f>SUMPRODUCT(N120:R120,'Fisico SPOT MAT'!N120:R120)*E120</f>
        <v>939643.56785233144</v>
      </c>
      <c r="T120" s="17">
        <v>50</v>
      </c>
      <c r="U120" s="17">
        <v>18</v>
      </c>
      <c r="V120" s="17">
        <v>50</v>
      </c>
      <c r="W120" s="17">
        <v>60</v>
      </c>
      <c r="X120" s="28">
        <f>SUMPRODUCT(T120:W120,'Fisico SPOT MAT'!T120:W120)*24</f>
        <v>1555000.2239999999</v>
      </c>
      <c r="Y120" s="19">
        <v>0</v>
      </c>
      <c r="Z120" s="19">
        <v>5</v>
      </c>
      <c r="AA120" s="19">
        <v>0</v>
      </c>
      <c r="AB120" s="28">
        <f>SUMPRODUCT(Y120:AA120,'Fisico SPOT MAT'!Y120:AA120)*E120</f>
        <v>10500</v>
      </c>
      <c r="AC120" s="122">
        <f>(T120*'Fisico SPOT MAT'!T120+'Mono SPOT MAT'!V120*'Fisico SPOT MAT'!V120+'Mono SPOT MAT'!W120*'Fisico SPOT MAT'!W120)/'Fisico SPOT MAT'!AC120</f>
        <v>60</v>
      </c>
      <c r="AD120" s="85"/>
      <c r="AE120" s="41">
        <v>35.80505566940036</v>
      </c>
      <c r="AF120" s="42">
        <v>33.107821269604813</v>
      </c>
      <c r="AG120">
        <v>5050</v>
      </c>
      <c r="AH120" s="64">
        <f t="shared" si="20"/>
        <v>1.9443412576845245</v>
      </c>
      <c r="AJ120" s="41">
        <v>0.85</v>
      </c>
      <c r="AK120">
        <v>386</v>
      </c>
    </row>
    <row r="121" spans="1:37" hidden="1" x14ac:dyDescent="0.3">
      <c r="A121" s="3">
        <f t="shared" si="29"/>
        <v>1447.6657</v>
      </c>
      <c r="B121" s="49">
        <v>1450.4169999999999</v>
      </c>
      <c r="C121" s="1">
        <f t="shared" ref="C121:C122" si="32">YEAR(G121)</f>
        <v>2026</v>
      </c>
      <c r="D121" s="1">
        <f t="shared" ref="D121:D122" si="33">MONTH(G121)</f>
        <v>1</v>
      </c>
      <c r="E121" s="1">
        <v>16</v>
      </c>
      <c r="F121" s="1" t="s">
        <v>45</v>
      </c>
      <c r="G121" s="56">
        <f t="shared" si="26"/>
        <v>46027</v>
      </c>
      <c r="H121" s="17">
        <f t="shared" si="30"/>
        <v>38.452374357382766</v>
      </c>
      <c r="I121" s="17">
        <f t="shared" si="31"/>
        <v>35.660552548725398</v>
      </c>
      <c r="J121" s="17">
        <v>22</v>
      </c>
      <c r="K121" s="17"/>
      <c r="L121" s="17">
        <v>32</v>
      </c>
      <c r="M121" s="44">
        <f>SUMPRODUCT(H121:L121,'Fisico SPOT MAT'!H121:L121)*24</f>
        <v>5664042.7951290673</v>
      </c>
      <c r="N121" s="19">
        <f>+'Fisico SPOT MAT'!AH121</f>
        <v>16.866013649120401</v>
      </c>
      <c r="O121" s="19">
        <f t="shared" ref="O121:O184" si="34">AG121/AK121</f>
        <v>13.082901554404145</v>
      </c>
      <c r="P121" s="19">
        <v>6</v>
      </c>
      <c r="Q121" s="19"/>
      <c r="R121" s="19">
        <v>0</v>
      </c>
      <c r="S121" s="44">
        <f>SUMPRODUCT(N121:R121,'Fisico SPOT MAT'!N121:R121)*E121</f>
        <v>3793470.1615474941</v>
      </c>
      <c r="T121" s="17">
        <v>50</v>
      </c>
      <c r="U121" s="17">
        <v>18</v>
      </c>
      <c r="V121" s="17">
        <v>50</v>
      </c>
      <c r="W121" s="17">
        <v>60</v>
      </c>
      <c r="X121" s="28">
        <f>SUMPRODUCT(T121:W121,'Fisico SPOT MAT'!T121:W121)*24</f>
        <v>2627930.5320000006</v>
      </c>
      <c r="Y121" s="19">
        <v>0</v>
      </c>
      <c r="Z121" s="19">
        <v>5</v>
      </c>
      <c r="AA121" s="19">
        <v>0</v>
      </c>
      <c r="AB121" s="28">
        <f>SUMPRODUCT(Y121:AA121,'Fisico SPOT MAT'!Y121:AA121)*E121</f>
        <v>42000</v>
      </c>
      <c r="AC121" s="122">
        <f>(T121*'Fisico SPOT MAT'!T121+'Mono SPOT MAT'!V121*'Fisico SPOT MAT'!V121+'Mono SPOT MAT'!W121*'Fisico SPOT MAT'!W121)/'Fisico SPOT MAT'!AC121</f>
        <v>60</v>
      </c>
      <c r="AD121" s="85"/>
      <c r="AE121" s="41">
        <v>35.667329608789473</v>
      </c>
      <c r="AF121" s="42">
        <v>32.875507800132105</v>
      </c>
      <c r="AG121">
        <v>5050</v>
      </c>
      <c r="AH121" s="64">
        <f t="shared" si="20"/>
        <v>1.9350447485932896</v>
      </c>
      <c r="AJ121" s="41">
        <v>0.85</v>
      </c>
      <c r="AK121">
        <v>386</v>
      </c>
    </row>
    <row r="122" spans="1:37" hidden="1" x14ac:dyDescent="0.3">
      <c r="A122" s="3">
        <f t="shared" si="29"/>
        <v>1447.6657</v>
      </c>
      <c r="B122" s="49">
        <v>1450.4169999999999</v>
      </c>
      <c r="C122" s="1">
        <f t="shared" si="32"/>
        <v>2026</v>
      </c>
      <c r="D122" s="1">
        <f t="shared" si="33"/>
        <v>1</v>
      </c>
      <c r="E122" s="1">
        <v>16</v>
      </c>
      <c r="F122" s="1" t="s">
        <v>46</v>
      </c>
      <c r="G122" s="56">
        <f t="shared" si="26"/>
        <v>46028</v>
      </c>
      <c r="H122" s="17">
        <f t="shared" si="30"/>
        <v>39.224894653394152</v>
      </c>
      <c r="I122" s="17">
        <f t="shared" si="31"/>
        <v>35.216551082774998</v>
      </c>
      <c r="J122" s="17">
        <v>22</v>
      </c>
      <c r="K122" s="17"/>
      <c r="L122" s="17">
        <v>32</v>
      </c>
      <c r="M122" s="44">
        <f>SUMPRODUCT(H122:L122,'Fisico SPOT MAT'!H122:L122)*24</f>
        <v>6460288.0899576349</v>
      </c>
      <c r="N122" s="19">
        <f>+'Fisico SPOT MAT'!AH122</f>
        <v>16.867730401628737</v>
      </c>
      <c r="O122" s="19">
        <f t="shared" si="34"/>
        <v>13.082901554404145</v>
      </c>
      <c r="P122" s="19">
        <v>6</v>
      </c>
      <c r="Q122" s="19"/>
      <c r="R122" s="19">
        <v>0</v>
      </c>
      <c r="S122" s="44">
        <f>SUMPRODUCT(N122:R122,'Fisico SPOT MAT'!N122:R122)*E122</f>
        <v>3794773.8319930895</v>
      </c>
      <c r="T122" s="17">
        <v>50</v>
      </c>
      <c r="U122" s="17">
        <v>18</v>
      </c>
      <c r="V122" s="17">
        <v>50</v>
      </c>
      <c r="W122" s="17">
        <v>60</v>
      </c>
      <c r="X122" s="28">
        <f>SUMPRODUCT(T122:W122,'Fisico SPOT MAT'!T122:W122)*24</f>
        <v>2750937.6719999993</v>
      </c>
      <c r="Y122" s="19">
        <v>0</v>
      </c>
      <c r="Z122" s="19">
        <v>5</v>
      </c>
      <c r="AA122" s="19">
        <v>0</v>
      </c>
      <c r="AB122" s="28">
        <f>SUMPRODUCT(Y122:AA122,'Fisico SPOT MAT'!Y122:AA122)*E122</f>
        <v>42000</v>
      </c>
      <c r="AC122" s="122">
        <f>(T122*'Fisico SPOT MAT'!T122+'Mono SPOT MAT'!V122*'Fisico SPOT MAT'!V122+'Mono SPOT MAT'!W122*'Fisico SPOT MAT'!W122)/'Fisico SPOT MAT'!AC122</f>
        <v>60</v>
      </c>
      <c r="AD122" s="85"/>
      <c r="AE122" s="41">
        <v>36.391002017231052</v>
      </c>
      <c r="AF122" s="42">
        <v>32.382658446611899</v>
      </c>
      <c r="AG122">
        <v>5050</v>
      </c>
      <c r="AH122" s="64">
        <f t="shared" si="20"/>
        <v>1.9838926361630962</v>
      </c>
      <c r="AJ122" s="41">
        <v>0.85</v>
      </c>
      <c r="AK122">
        <v>386</v>
      </c>
    </row>
    <row r="123" spans="1:37" hidden="1" x14ac:dyDescent="0.3">
      <c r="A123" s="3">
        <f t="shared" si="29"/>
        <v>1447.6657</v>
      </c>
      <c r="B123" s="49">
        <v>1450.4169999999999</v>
      </c>
      <c r="C123" s="1">
        <f t="shared" ref="C123:C129" si="35">YEAR(G123)</f>
        <v>2026</v>
      </c>
      <c r="D123" s="1">
        <f t="shared" ref="D123:D129" si="36">MONTH(G123)</f>
        <v>1</v>
      </c>
      <c r="E123" s="1">
        <v>16</v>
      </c>
      <c r="F123" s="1" t="s">
        <v>112</v>
      </c>
      <c r="G123" s="56">
        <f t="shared" si="26"/>
        <v>46029</v>
      </c>
      <c r="H123" s="17">
        <f t="shared" si="30"/>
        <v>38.732578484838747</v>
      </c>
      <c r="I123" s="17">
        <f t="shared" si="31"/>
        <v>34.710239836206902</v>
      </c>
      <c r="J123" s="17">
        <v>22</v>
      </c>
      <c r="K123" s="17"/>
      <c r="L123" s="17">
        <v>32</v>
      </c>
      <c r="M123" s="44">
        <f>SUMPRODUCT(H123:L123,'Fisico SPOT MAT'!H123:L123)*24</f>
        <v>6662508.9461790994</v>
      </c>
      <c r="N123" s="19">
        <f>+'Fisico SPOT MAT'!AH123</f>
        <v>16.882023906799486</v>
      </c>
      <c r="O123" s="19">
        <f t="shared" si="34"/>
        <v>13.082901554404145</v>
      </c>
      <c r="P123" s="19">
        <v>6</v>
      </c>
      <c r="Q123" s="19"/>
      <c r="R123" s="19">
        <v>0</v>
      </c>
      <c r="S123" s="44">
        <f>SUMPRODUCT(N123:R123,'Fisico SPOT MAT'!N123:R123)*E123</f>
        <v>3844749.2158652856</v>
      </c>
      <c r="T123" s="17">
        <v>50</v>
      </c>
      <c r="U123" s="17">
        <v>18</v>
      </c>
      <c r="V123" s="17">
        <v>50</v>
      </c>
      <c r="W123" s="17">
        <v>60</v>
      </c>
      <c r="X123" s="28">
        <f>SUMPRODUCT(T123:W123,'Fisico SPOT MAT'!T123:W123)*24</f>
        <v>2429846.7540000002</v>
      </c>
      <c r="Y123" s="19">
        <v>0</v>
      </c>
      <c r="Z123" s="19">
        <v>5</v>
      </c>
      <c r="AA123" s="19">
        <v>0</v>
      </c>
      <c r="AB123" s="28">
        <f>SUMPRODUCT(Y123:AA123,'Fisico SPOT MAT'!Y123:AA123)*E123</f>
        <v>42000</v>
      </c>
      <c r="AC123" s="122">
        <f>(T123*'Fisico SPOT MAT'!T123+'Mono SPOT MAT'!V123*'Fisico SPOT MAT'!V123+'Mono SPOT MAT'!W123*'Fisico SPOT MAT'!W123)/'Fisico SPOT MAT'!AC123</f>
        <v>60.000000000000007</v>
      </c>
      <c r="AD123" s="85"/>
      <c r="AE123" s="41">
        <v>35.929815910855964</v>
      </c>
      <c r="AF123" s="42">
        <v>31.907477262224127</v>
      </c>
      <c r="AG123">
        <v>5050</v>
      </c>
      <c r="AH123" s="64">
        <f t="shared" si="20"/>
        <v>1.9527625739827776</v>
      </c>
      <c r="AJ123" s="41">
        <v>0.85</v>
      </c>
      <c r="AK123">
        <v>386</v>
      </c>
    </row>
    <row r="124" spans="1:37" hidden="1" x14ac:dyDescent="0.3">
      <c r="A124" s="3">
        <f t="shared" si="29"/>
        <v>1447.6657</v>
      </c>
      <c r="B124" s="49">
        <v>1450.4169999999999</v>
      </c>
      <c r="C124" s="1">
        <f t="shared" si="35"/>
        <v>2026</v>
      </c>
      <c r="D124" s="1">
        <f t="shared" si="36"/>
        <v>1</v>
      </c>
      <c r="E124" s="1">
        <v>16</v>
      </c>
      <c r="F124" s="1" t="s">
        <v>48</v>
      </c>
      <c r="G124" s="56">
        <f t="shared" si="26"/>
        <v>46030</v>
      </c>
      <c r="H124" s="17">
        <f t="shared" si="30"/>
        <v>38.651057070754142</v>
      </c>
      <c r="I124" s="17">
        <f t="shared" si="31"/>
        <v>34.570334628530055</v>
      </c>
      <c r="J124" s="17">
        <v>22</v>
      </c>
      <c r="K124" s="17"/>
      <c r="L124" s="17">
        <v>32</v>
      </c>
      <c r="M124" s="44">
        <f>SUMPRODUCT(H124:L124,'Fisico SPOT MAT'!H124:L124)*24</f>
        <v>5910070.0589533467</v>
      </c>
      <c r="N124" s="19">
        <f>+'Fisico SPOT MAT'!AH124</f>
        <v>16.889002638959489</v>
      </c>
      <c r="O124" s="19">
        <f t="shared" si="34"/>
        <v>13.082901554404145</v>
      </c>
      <c r="P124" s="19">
        <v>6</v>
      </c>
      <c r="Q124" s="19"/>
      <c r="R124" s="19">
        <v>0</v>
      </c>
      <c r="S124" s="44">
        <f>SUMPRODUCT(N124:R124,'Fisico SPOT MAT'!N124:R124)*E124</f>
        <v>3875051.5664904979</v>
      </c>
      <c r="T124" s="17">
        <v>50</v>
      </c>
      <c r="U124" s="17">
        <v>18</v>
      </c>
      <c r="V124" s="17">
        <v>50</v>
      </c>
      <c r="W124" s="17">
        <v>60</v>
      </c>
      <c r="X124" s="28">
        <f>SUMPRODUCT(T124:W124,'Fisico SPOT MAT'!T124:W124)*24</f>
        <v>1759376.2320000005</v>
      </c>
      <c r="Y124" s="19">
        <v>0</v>
      </c>
      <c r="Z124" s="19">
        <v>5</v>
      </c>
      <c r="AA124" s="19">
        <v>0</v>
      </c>
      <c r="AB124" s="28">
        <f>SUMPRODUCT(Y124:AA124,'Fisico SPOT MAT'!Y124:AA124)*E124</f>
        <v>42000</v>
      </c>
      <c r="AC124" s="122">
        <f>(T124*'Fisico SPOT MAT'!T124+'Mono SPOT MAT'!V124*'Fisico SPOT MAT'!V124+'Mono SPOT MAT'!W124*'Fisico SPOT MAT'!W124)/'Fisico SPOT MAT'!AC124</f>
        <v>60.000000000000007</v>
      </c>
      <c r="AD124" s="85"/>
      <c r="AE124" s="41">
        <v>35.853449246608093</v>
      </c>
      <c r="AF124" s="42">
        <v>31.772726804384007</v>
      </c>
      <c r="AG124">
        <v>5050</v>
      </c>
      <c r="AH124" s="64">
        <f t="shared" si="20"/>
        <v>1.9476078241460464</v>
      </c>
      <c r="AJ124" s="41">
        <v>0.85</v>
      </c>
      <c r="AK124">
        <v>386</v>
      </c>
    </row>
    <row r="125" spans="1:37" hidden="1" x14ac:dyDescent="0.3">
      <c r="A125" s="3">
        <f t="shared" si="29"/>
        <v>1447.6657</v>
      </c>
      <c r="B125" s="49">
        <v>1450.4169999999999</v>
      </c>
      <c r="C125" s="1">
        <f t="shared" si="35"/>
        <v>2026</v>
      </c>
      <c r="D125" s="1">
        <f t="shared" si="36"/>
        <v>1</v>
      </c>
      <c r="E125" s="1">
        <v>16</v>
      </c>
      <c r="F125" s="1" t="s">
        <v>49</v>
      </c>
      <c r="G125" s="56">
        <f t="shared" si="26"/>
        <v>46031</v>
      </c>
      <c r="H125" s="17">
        <f t="shared" si="30"/>
        <v>38.841874003545946</v>
      </c>
      <c r="I125" s="17">
        <f t="shared" si="31"/>
        <v>34.494894918590141</v>
      </c>
      <c r="J125" s="17">
        <v>22</v>
      </c>
      <c r="K125" s="17">
        <v>22</v>
      </c>
      <c r="L125" s="17">
        <v>32</v>
      </c>
      <c r="M125" s="44">
        <f>SUMPRODUCT(H125:L125,'Fisico SPOT MAT'!H125:L125)*24</f>
        <v>5622179.1770048756</v>
      </c>
      <c r="N125" s="19">
        <f>+'Fisico SPOT MAT'!AH125</f>
        <v>16.855727285086537</v>
      </c>
      <c r="O125" s="19">
        <f t="shared" si="34"/>
        <v>13.082901554404145</v>
      </c>
      <c r="P125" s="19">
        <v>6</v>
      </c>
      <c r="Q125" s="19">
        <v>6</v>
      </c>
      <c r="R125" s="19">
        <v>0</v>
      </c>
      <c r="S125" s="44">
        <f>SUMPRODUCT(N125:R125,'Fisico SPOT MAT'!N125:R125)*E125</f>
        <v>3792319.5370880794</v>
      </c>
      <c r="T125" s="17">
        <v>50</v>
      </c>
      <c r="U125" s="17">
        <v>18</v>
      </c>
      <c r="V125" s="17">
        <v>50</v>
      </c>
      <c r="W125" s="17">
        <v>60</v>
      </c>
      <c r="X125" s="28">
        <f>SUMPRODUCT(T125:W125,'Fisico SPOT MAT'!T125:W125)*24</f>
        <v>1700296.3500000006</v>
      </c>
      <c r="Y125" s="19">
        <v>0</v>
      </c>
      <c r="Z125" s="19">
        <v>5</v>
      </c>
      <c r="AA125" s="19">
        <v>0</v>
      </c>
      <c r="AB125" s="28">
        <f>SUMPRODUCT(Y125:AA125,'Fisico SPOT MAT'!Y125:AA125)*E125</f>
        <v>42000</v>
      </c>
      <c r="AC125" s="122">
        <f>(T125*'Fisico SPOT MAT'!T125+'Mono SPOT MAT'!V125*'Fisico SPOT MAT'!V125+'Mono SPOT MAT'!W125*'Fisico SPOT MAT'!W125)/'Fisico SPOT MAT'!AC125</f>
        <v>60</v>
      </c>
      <c r="AD125" s="85"/>
      <c r="AE125" s="41">
        <v>36.032200471705806</v>
      </c>
      <c r="AF125" s="42">
        <v>31.685221386749994</v>
      </c>
      <c r="AG125">
        <v>5050</v>
      </c>
      <c r="AH125" s="64">
        <f t="shared" si="20"/>
        <v>1.9596735318401421</v>
      </c>
      <c r="AJ125" s="41">
        <v>0.85</v>
      </c>
      <c r="AK125">
        <v>386</v>
      </c>
    </row>
    <row r="126" spans="1:37" hidden="1" x14ac:dyDescent="0.3">
      <c r="A126" s="3">
        <f t="shared" si="29"/>
        <v>1447.6657</v>
      </c>
      <c r="B126" s="49">
        <v>1450.4169999999999</v>
      </c>
      <c r="C126" s="1">
        <f t="shared" si="35"/>
        <v>2026</v>
      </c>
      <c r="D126" s="1">
        <f t="shared" si="36"/>
        <v>1</v>
      </c>
      <c r="E126" s="1">
        <v>6</v>
      </c>
      <c r="F126" s="1" t="s">
        <v>43</v>
      </c>
      <c r="G126" s="56">
        <f t="shared" si="26"/>
        <v>46032</v>
      </c>
      <c r="H126" s="17">
        <f t="shared" si="30"/>
        <v>37.981684950750079</v>
      </c>
      <c r="I126" s="17">
        <f t="shared" si="31"/>
        <v>35.327674317407322</v>
      </c>
      <c r="J126" s="17">
        <v>22</v>
      </c>
      <c r="K126" s="17">
        <v>22</v>
      </c>
      <c r="L126" s="17">
        <v>32</v>
      </c>
      <c r="M126" s="44">
        <f>SUMPRODUCT(H126:L126,'Fisico SPOT MAT'!H126:L126)*24</f>
        <v>4805043.8848077962</v>
      </c>
      <c r="N126" s="19">
        <f>+'Fisico SPOT MAT'!AH126</f>
        <v>16.805945850680832</v>
      </c>
      <c r="O126" s="19">
        <f t="shared" si="34"/>
        <v>13.082901554404145</v>
      </c>
      <c r="P126" s="19">
        <v>6</v>
      </c>
      <c r="Q126" s="19">
        <v>6</v>
      </c>
      <c r="R126" s="19">
        <v>0</v>
      </c>
      <c r="S126" s="44">
        <f>SUMPRODUCT(N126:R126,'Fisico SPOT MAT'!N126:R126)*E126</f>
        <v>1371438.5734455958</v>
      </c>
      <c r="T126" s="17">
        <v>50</v>
      </c>
      <c r="U126" s="17">
        <v>18</v>
      </c>
      <c r="V126" s="17">
        <v>50</v>
      </c>
      <c r="W126" s="17">
        <v>60</v>
      </c>
      <c r="X126" s="28">
        <f>SUMPRODUCT(T126:W126,'Fisico SPOT MAT'!T126:W126)*24</f>
        <v>1654132.4819999994</v>
      </c>
      <c r="Y126" s="19">
        <v>0</v>
      </c>
      <c r="Z126" s="19">
        <v>5</v>
      </c>
      <c r="AA126" s="19">
        <v>0</v>
      </c>
      <c r="AB126" s="28">
        <f>SUMPRODUCT(Y126:AA126,'Fisico SPOT MAT'!Y126:AA126)*E126</f>
        <v>15750</v>
      </c>
      <c r="AC126" s="122">
        <f>(T126*'Fisico SPOT MAT'!T126+'Mono SPOT MAT'!V126*'Fisico SPOT MAT'!V126+'Mono SPOT MAT'!W126*'Fisico SPOT MAT'!W126)/'Fisico SPOT MAT'!AC126</f>
        <v>60</v>
      </c>
      <c r="AD126" s="85"/>
      <c r="AE126" s="41">
        <v>35.226402764168689</v>
      </c>
      <c r="AF126" s="42">
        <v>32.572392130825932</v>
      </c>
      <c r="AG126">
        <v>5050</v>
      </c>
      <c r="AH126" s="64">
        <f t="shared" si="20"/>
        <v>1.9052821865813867</v>
      </c>
      <c r="AJ126" s="41">
        <v>0.85</v>
      </c>
      <c r="AK126">
        <v>386</v>
      </c>
    </row>
    <row r="127" spans="1:37" hidden="1" x14ac:dyDescent="0.3">
      <c r="A127" s="3">
        <f t="shared" si="29"/>
        <v>1447.6657</v>
      </c>
      <c r="B127" s="49">
        <v>1450.4169999999999</v>
      </c>
      <c r="C127" s="1">
        <f t="shared" si="35"/>
        <v>2026</v>
      </c>
      <c r="D127" s="1">
        <f t="shared" si="36"/>
        <v>1</v>
      </c>
      <c r="E127" s="1">
        <v>4</v>
      </c>
      <c r="F127" s="1" t="s">
        <v>44</v>
      </c>
      <c r="G127" s="56">
        <f t="shared" si="26"/>
        <v>46033</v>
      </c>
      <c r="H127" s="17">
        <f t="shared" si="30"/>
        <v>39.222399895660011</v>
      </c>
      <c r="I127" s="17">
        <f t="shared" si="31"/>
        <v>35.45355184804842</v>
      </c>
      <c r="J127" s="17">
        <v>22</v>
      </c>
      <c r="K127" s="17">
        <v>22</v>
      </c>
      <c r="L127" s="17">
        <v>32</v>
      </c>
      <c r="M127" s="44">
        <f>SUMPRODUCT(H127:L127,'Fisico SPOT MAT'!H127:L127)*24</f>
        <v>4642163.8233411619</v>
      </c>
      <c r="N127" s="19">
        <f>+'Fisico SPOT MAT'!AH127</f>
        <v>16.821574354839235</v>
      </c>
      <c r="O127" s="19">
        <f t="shared" si="34"/>
        <v>13.082901554404145</v>
      </c>
      <c r="P127" s="19">
        <v>6</v>
      </c>
      <c r="Q127" s="19">
        <v>6</v>
      </c>
      <c r="R127" s="19">
        <v>0</v>
      </c>
      <c r="S127" s="44">
        <f>SUMPRODUCT(N127:R127,'Fisico SPOT MAT'!N127:R127)*E127</f>
        <v>922912.71528065612</v>
      </c>
      <c r="T127" s="17">
        <v>50</v>
      </c>
      <c r="U127" s="17">
        <v>18</v>
      </c>
      <c r="V127" s="17">
        <v>50</v>
      </c>
      <c r="W127" s="17">
        <v>60</v>
      </c>
      <c r="X127" s="28">
        <f>SUMPRODUCT(T127:W127,'Fisico SPOT MAT'!T127:W127)*24</f>
        <v>2395882.7880000006</v>
      </c>
      <c r="Y127" s="19">
        <v>0</v>
      </c>
      <c r="Z127" s="19">
        <v>5</v>
      </c>
      <c r="AA127" s="19">
        <v>0</v>
      </c>
      <c r="AB127" s="28">
        <f>SUMPRODUCT(Y127:AA127,'Fisico SPOT MAT'!Y127:AA127)*E127</f>
        <v>10500</v>
      </c>
      <c r="AC127" s="122">
        <f>(T127*'Fisico SPOT MAT'!T127+'Mono SPOT MAT'!V127*'Fisico SPOT MAT'!V127+'Mono SPOT MAT'!W127*'Fisico SPOT MAT'!W127)/'Fisico SPOT MAT'!AC127</f>
        <v>60</v>
      </c>
      <c r="AD127" s="85"/>
      <c r="AE127" s="41">
        <v>36.388665007644036</v>
      </c>
      <c r="AF127" s="42">
        <v>32.619816960032445</v>
      </c>
      <c r="AG127">
        <v>5050</v>
      </c>
      <c r="AH127" s="64">
        <f t="shared" si="20"/>
        <v>1.9837348880159726</v>
      </c>
      <c r="AJ127" s="41">
        <v>0.85</v>
      </c>
      <c r="AK127">
        <v>386</v>
      </c>
    </row>
    <row r="128" spans="1:37" hidden="1" x14ac:dyDescent="0.3">
      <c r="A128" s="3">
        <f t="shared" si="29"/>
        <v>1447.6657</v>
      </c>
      <c r="B128" s="49">
        <v>1472.7349999999999</v>
      </c>
      <c r="C128" s="1">
        <f t="shared" si="35"/>
        <v>2026</v>
      </c>
      <c r="D128" s="1">
        <f t="shared" si="36"/>
        <v>1</v>
      </c>
      <c r="E128" s="1">
        <v>16</v>
      </c>
      <c r="F128" s="1" t="s">
        <v>45</v>
      </c>
      <c r="G128" s="56">
        <f t="shared" si="26"/>
        <v>46034</v>
      </c>
      <c r="H128" s="17">
        <f t="shared" si="30"/>
        <v>41.524904108397052</v>
      </c>
      <c r="I128" s="17">
        <f t="shared" si="31"/>
        <v>34.755225972484745</v>
      </c>
      <c r="J128" s="17">
        <v>22</v>
      </c>
      <c r="K128" s="17">
        <v>22</v>
      </c>
      <c r="L128" s="17">
        <v>32</v>
      </c>
      <c r="M128" s="44">
        <f>SUMPRODUCT(H128:L128,'Fisico SPOT MAT'!H128:L128)*24</f>
        <v>7392395.1918688947</v>
      </c>
      <c r="N128" s="19">
        <f>+'Fisico SPOT MAT'!AH128</f>
        <v>16.810920546983979</v>
      </c>
      <c r="O128" s="19">
        <f t="shared" si="34"/>
        <v>13.082901554404145</v>
      </c>
      <c r="P128" s="19">
        <v>6</v>
      </c>
      <c r="Q128" s="19">
        <v>6</v>
      </c>
      <c r="R128" s="19">
        <v>0</v>
      </c>
      <c r="S128" s="44">
        <f>SUMPRODUCT(N128:R128,'Fisico SPOT MAT'!N128:R128)*E128</f>
        <v>3657758.3257616567</v>
      </c>
      <c r="T128" s="17">
        <v>50</v>
      </c>
      <c r="U128" s="17">
        <v>18</v>
      </c>
      <c r="V128" s="17">
        <v>50</v>
      </c>
      <c r="W128" s="17">
        <v>60</v>
      </c>
      <c r="X128" s="28">
        <f>SUMPRODUCT(T128:W128,'Fisico SPOT MAT'!T128:W128)*24</f>
        <v>2636311.0380000002</v>
      </c>
      <c r="Y128" s="19">
        <v>0</v>
      </c>
      <c r="Z128" s="19">
        <v>5</v>
      </c>
      <c r="AA128" s="19">
        <v>0</v>
      </c>
      <c r="AB128" s="28">
        <f>SUMPRODUCT(Y128:AA128,'Fisico SPOT MAT'!Y128:AA128)*E128</f>
        <v>42000</v>
      </c>
      <c r="AC128" s="122">
        <f>(T128*'Fisico SPOT MAT'!T128+'Mono SPOT MAT'!V128*'Fisico SPOT MAT'!V128+'Mono SPOT MAT'!W128*'Fisico SPOT MAT'!W128)/'Fisico SPOT MAT'!AC128</f>
        <v>59.999999999999993</v>
      </c>
      <c r="AD128" s="85"/>
      <c r="AE128" s="41">
        <v>38.545577619107306</v>
      </c>
      <c r="AF128" s="42">
        <v>31.775899483195001</v>
      </c>
      <c r="AG128">
        <v>5050</v>
      </c>
      <c r="AH128" s="64">
        <f t="shared" si="20"/>
        <v>2.1293264892897432</v>
      </c>
      <c r="AJ128" s="41">
        <v>0.85</v>
      </c>
      <c r="AK128">
        <v>386</v>
      </c>
    </row>
    <row r="129" spans="1:37" hidden="1" x14ac:dyDescent="0.3">
      <c r="A129" s="3">
        <f t="shared" si="29"/>
        <v>1447.6657</v>
      </c>
      <c r="B129" s="49">
        <v>1472.7349999999999</v>
      </c>
      <c r="C129" s="1">
        <f t="shared" si="35"/>
        <v>2026</v>
      </c>
      <c r="D129" s="1">
        <f t="shared" si="36"/>
        <v>1</v>
      </c>
      <c r="E129" s="1">
        <v>16</v>
      </c>
      <c r="F129" s="1" t="s">
        <v>46</v>
      </c>
      <c r="G129" s="56">
        <f t="shared" si="26"/>
        <v>46035</v>
      </c>
      <c r="H129" s="17">
        <f t="shared" si="30"/>
        <v>39.569136310162932</v>
      </c>
      <c r="I129" s="17">
        <f t="shared" si="31"/>
        <v>34.664271217940929</v>
      </c>
      <c r="J129" s="17">
        <v>22</v>
      </c>
      <c r="K129" s="17">
        <v>22</v>
      </c>
      <c r="L129" s="17">
        <v>32</v>
      </c>
      <c r="M129" s="44">
        <f>SUMPRODUCT(H129:L129,'Fisico SPOT MAT'!H129:L129)*24</f>
        <v>7952340.466511108</v>
      </c>
      <c r="N129" s="19">
        <f>+'Fisico SPOT MAT'!AH129</f>
        <v>16.826052296353804</v>
      </c>
      <c r="O129" s="19">
        <f t="shared" si="34"/>
        <v>13.082901554404145</v>
      </c>
      <c r="P129" s="19">
        <v>6</v>
      </c>
      <c r="Q129" s="19">
        <v>6</v>
      </c>
      <c r="R129" s="19">
        <v>0</v>
      </c>
      <c r="S129" s="44">
        <f>SUMPRODUCT(N129:R129,'Fisico SPOT MAT'!N129:R129)*E129</f>
        <v>3705760.8136511231</v>
      </c>
      <c r="T129" s="17">
        <v>50</v>
      </c>
      <c r="U129" s="17">
        <v>18</v>
      </c>
      <c r="V129" s="17">
        <v>50</v>
      </c>
      <c r="W129" s="17">
        <v>60</v>
      </c>
      <c r="X129" s="28">
        <f>SUMPRODUCT(T129:W129,'Fisico SPOT MAT'!T129:W129)*24</f>
        <v>2007470.6039999989</v>
      </c>
      <c r="Y129" s="19">
        <v>0</v>
      </c>
      <c r="Z129" s="19">
        <v>5</v>
      </c>
      <c r="AA129" s="19">
        <v>0</v>
      </c>
      <c r="AB129" s="28">
        <f>SUMPRODUCT(Y129:AA129,'Fisico SPOT MAT'!Y129:AA129)*E129</f>
        <v>42000</v>
      </c>
      <c r="AC129" s="122">
        <f>(T129*'Fisico SPOT MAT'!T129+'Mono SPOT MAT'!V129*'Fisico SPOT MAT'!V129+'Mono SPOT MAT'!W129*'Fisico SPOT MAT'!W129)/'Fisico SPOT MAT'!AC129</f>
        <v>60</v>
      </c>
      <c r="AD129" s="85"/>
      <c r="AE129" s="41">
        <v>36.713476637154969</v>
      </c>
      <c r="AF129" s="42">
        <v>31.808611544932969</v>
      </c>
      <c r="AG129">
        <v>5050</v>
      </c>
      <c r="AH129" s="64">
        <f t="shared" si="20"/>
        <v>2.0056596730079606</v>
      </c>
      <c r="AJ129" s="41">
        <v>0.85</v>
      </c>
      <c r="AK129">
        <v>386</v>
      </c>
    </row>
    <row r="130" spans="1:37" hidden="1" x14ac:dyDescent="0.3">
      <c r="A130" s="3">
        <f t="shared" si="29"/>
        <v>1447.6657</v>
      </c>
      <c r="B130" s="49">
        <v>1472.7349999999999</v>
      </c>
      <c r="C130" s="1">
        <f t="shared" ref="C130:C136" si="37">YEAR(G130)</f>
        <v>2026</v>
      </c>
      <c r="D130" s="1">
        <f t="shared" ref="D130:D136" si="38">MONTH(G130)</f>
        <v>1</v>
      </c>
      <c r="E130" s="1">
        <v>16</v>
      </c>
      <c r="F130" s="1" t="s">
        <v>112</v>
      </c>
      <c r="G130" s="56">
        <f t="shared" si="26"/>
        <v>46036</v>
      </c>
      <c r="H130" s="17">
        <f t="shared" si="30"/>
        <v>42.450106789152315</v>
      </c>
      <c r="I130" s="17">
        <f t="shared" si="31"/>
        <v>34.969991665112737</v>
      </c>
      <c r="J130" s="17">
        <v>22</v>
      </c>
      <c r="K130" s="17">
        <v>22</v>
      </c>
      <c r="L130" s="17">
        <v>32</v>
      </c>
      <c r="M130" s="44">
        <f>SUMPRODUCT(H130:L130,'Fisico SPOT MAT'!H130:L130)*24</f>
        <v>8564678.5025306344</v>
      </c>
      <c r="N130" s="19">
        <f>+'Fisico SPOT MAT'!AH130</f>
        <v>16.819141745113331</v>
      </c>
      <c r="O130" s="19">
        <f t="shared" si="34"/>
        <v>13.082901554404145</v>
      </c>
      <c r="P130" s="19">
        <v>6</v>
      </c>
      <c r="Q130" s="19">
        <v>6</v>
      </c>
      <c r="R130" s="19">
        <v>0</v>
      </c>
      <c r="S130" s="44">
        <f>SUMPRODUCT(N130:R130,'Fisico SPOT MAT'!N130:R130)*E130</f>
        <v>3693251.7770189969</v>
      </c>
      <c r="T130" s="17">
        <v>50</v>
      </c>
      <c r="U130" s="17">
        <v>18</v>
      </c>
      <c r="V130" s="17">
        <v>50</v>
      </c>
      <c r="W130" s="17">
        <v>60</v>
      </c>
      <c r="X130" s="28">
        <f>SUMPRODUCT(T130:W130,'Fisico SPOT MAT'!T130:W130)*24</f>
        <v>2520865.7340000002</v>
      </c>
      <c r="Y130" s="19">
        <v>0</v>
      </c>
      <c r="Z130" s="19">
        <v>5</v>
      </c>
      <c r="AA130" s="19">
        <v>0</v>
      </c>
      <c r="AB130" s="28">
        <f>SUMPRODUCT(Y130:AA130,'Fisico SPOT MAT'!Y130:AA130)*E130</f>
        <v>42000</v>
      </c>
      <c r="AC130" s="122">
        <f>(T130*'Fisico SPOT MAT'!T130+'Mono SPOT MAT'!V130*'Fisico SPOT MAT'!V130+'Mono SPOT MAT'!W130*'Fisico SPOT MAT'!W130)/'Fisico SPOT MAT'!AC130</f>
        <v>60</v>
      </c>
      <c r="AD130" s="85"/>
      <c r="AE130" s="41">
        <v>39.412278022625117</v>
      </c>
      <c r="AF130" s="42">
        <v>31.932162898585542</v>
      </c>
      <c r="AG130">
        <v>5050</v>
      </c>
      <c r="AH130" s="64">
        <f t="shared" si="20"/>
        <v>2.1878287665271956</v>
      </c>
      <c r="AJ130" s="41">
        <v>0.85</v>
      </c>
      <c r="AK130">
        <v>386</v>
      </c>
    </row>
    <row r="131" spans="1:37" hidden="1" x14ac:dyDescent="0.3">
      <c r="A131" s="3">
        <f t="shared" si="29"/>
        <v>1447.6657</v>
      </c>
      <c r="B131" s="49">
        <v>1472.7349999999999</v>
      </c>
      <c r="C131" s="1">
        <f t="shared" si="37"/>
        <v>2026</v>
      </c>
      <c r="D131" s="1">
        <f t="shared" si="38"/>
        <v>1</v>
      </c>
      <c r="E131" s="1">
        <v>16</v>
      </c>
      <c r="F131" s="1" t="s">
        <v>48</v>
      </c>
      <c r="G131" s="56">
        <f t="shared" si="26"/>
        <v>46037</v>
      </c>
      <c r="H131" s="17">
        <f t="shared" si="30"/>
        <v>46.70629688899821</v>
      </c>
      <c r="I131" s="17">
        <f t="shared" si="31"/>
        <v>34.847096387960534</v>
      </c>
      <c r="J131" s="17">
        <v>22</v>
      </c>
      <c r="K131" s="17">
        <v>22</v>
      </c>
      <c r="L131" s="17">
        <v>32</v>
      </c>
      <c r="M131" s="44">
        <f>SUMPRODUCT(H131:L131,'Fisico SPOT MAT'!H131:L131)*24</f>
        <v>9075469.6563785449</v>
      </c>
      <c r="N131" s="19">
        <f>+'Fisico SPOT MAT'!AH131</f>
        <v>16.764141987426683</v>
      </c>
      <c r="O131" s="19">
        <f t="shared" si="34"/>
        <v>13.082901554404145</v>
      </c>
      <c r="P131" s="19">
        <v>6</v>
      </c>
      <c r="Q131" s="19">
        <v>6</v>
      </c>
      <c r="R131" s="19">
        <v>0</v>
      </c>
      <c r="S131" s="44">
        <f>SUMPRODUCT(N131:R131,'Fisico SPOT MAT'!N131:R131)*E131</f>
        <v>3540420.3391882563</v>
      </c>
      <c r="T131" s="17">
        <v>50</v>
      </c>
      <c r="U131" s="17">
        <v>18</v>
      </c>
      <c r="V131" s="17">
        <v>50</v>
      </c>
      <c r="W131" s="17">
        <v>60</v>
      </c>
      <c r="X131" s="28">
        <f>SUMPRODUCT(T131:W131,'Fisico SPOT MAT'!T131:W131)*24</f>
        <v>2361113.0640000012</v>
      </c>
      <c r="Y131" s="19">
        <v>0</v>
      </c>
      <c r="Z131" s="19">
        <v>5</v>
      </c>
      <c r="AA131" s="19">
        <v>0</v>
      </c>
      <c r="AB131" s="28">
        <f>SUMPRODUCT(Y131:AA131,'Fisico SPOT MAT'!Y131:AA131)*E131</f>
        <v>42000</v>
      </c>
      <c r="AC131" s="122">
        <f>(T131*'Fisico SPOT MAT'!T131+'Mono SPOT MAT'!V131*'Fisico SPOT MAT'!V131+'Mono SPOT MAT'!W131*'Fisico SPOT MAT'!W131)/'Fisico SPOT MAT'!AC131</f>
        <v>60</v>
      </c>
      <c r="AD131" s="85"/>
      <c r="AE131" s="41">
        <v>43.399341348007688</v>
      </c>
      <c r="AF131" s="42">
        <v>31.540140846970015</v>
      </c>
      <c r="AG131">
        <v>5050</v>
      </c>
      <c r="AH131" s="64">
        <f t="shared" si="20"/>
        <v>2.4569555409905193</v>
      </c>
      <c r="AJ131" s="41">
        <v>0.85</v>
      </c>
      <c r="AK131">
        <v>386</v>
      </c>
    </row>
    <row r="132" spans="1:37" hidden="1" x14ac:dyDescent="0.3">
      <c r="A132" s="3">
        <f t="shared" si="29"/>
        <v>1447.6657</v>
      </c>
      <c r="B132" s="49">
        <v>1472.7349999999999</v>
      </c>
      <c r="C132" s="1">
        <f t="shared" si="37"/>
        <v>2026</v>
      </c>
      <c r="D132" s="1">
        <f t="shared" si="38"/>
        <v>1</v>
      </c>
      <c r="E132" s="1">
        <v>16</v>
      </c>
      <c r="F132" s="1" t="s">
        <v>49</v>
      </c>
      <c r="G132" s="56">
        <f t="shared" si="26"/>
        <v>46038</v>
      </c>
      <c r="H132" s="17">
        <f t="shared" si="30"/>
        <v>43.854101864073492</v>
      </c>
      <c r="I132" s="17">
        <f t="shared" si="31"/>
        <v>35.194021983922561</v>
      </c>
      <c r="J132" s="17">
        <v>22</v>
      </c>
      <c r="K132" s="17">
        <v>22</v>
      </c>
      <c r="L132" s="17">
        <v>32</v>
      </c>
      <c r="M132" s="44">
        <f>SUMPRODUCT(H132:L132,'Fisico SPOT MAT'!H132:L132)*24</f>
        <v>8037706.7240387648</v>
      </c>
      <c r="N132" s="19">
        <f>+'Fisico SPOT MAT'!AH132</f>
        <v>16.784953804513201</v>
      </c>
      <c r="O132" s="19">
        <f t="shared" si="34"/>
        <v>13.082901554404145</v>
      </c>
      <c r="P132" s="19">
        <v>6</v>
      </c>
      <c r="Q132" s="19">
        <v>6</v>
      </c>
      <c r="R132" s="19">
        <v>0</v>
      </c>
      <c r="S132" s="44">
        <f>SUMPRODUCT(N132:R132,'Fisico SPOT MAT'!N132:R132)*E132</f>
        <v>3599249.7070120871</v>
      </c>
      <c r="T132" s="17">
        <v>50</v>
      </c>
      <c r="U132" s="17">
        <v>18</v>
      </c>
      <c r="V132" s="17">
        <v>50</v>
      </c>
      <c r="W132" s="17">
        <v>60</v>
      </c>
      <c r="X132" s="28">
        <f>SUMPRODUCT(T132:W132,'Fisico SPOT MAT'!T132:W132)*24</f>
        <v>2280950.3340000003</v>
      </c>
      <c r="Y132" s="19">
        <v>0</v>
      </c>
      <c r="Z132" s="19">
        <v>5</v>
      </c>
      <c r="AA132" s="19">
        <v>0</v>
      </c>
      <c r="AB132" s="28">
        <f>SUMPRODUCT(Y132:AA132,'Fisico SPOT MAT'!Y132:AA132)*E132</f>
        <v>42000</v>
      </c>
      <c r="AC132" s="122">
        <f>(T132*'Fisico SPOT MAT'!T132+'Mono SPOT MAT'!V132*'Fisico SPOT MAT'!V132+'Mono SPOT MAT'!W132*'Fisico SPOT MAT'!W132)/'Fisico SPOT MAT'!AC132</f>
        <v>60</v>
      </c>
      <c r="AD132" s="85"/>
      <c r="AE132" s="41">
        <v>40.727495891403741</v>
      </c>
      <c r="AF132" s="42">
        <v>32.067416011252803</v>
      </c>
      <c r="AG132">
        <v>5050</v>
      </c>
      <c r="AH132" s="64">
        <f t="shared" si="20"/>
        <v>2.2766059726697527</v>
      </c>
      <c r="AJ132" s="41">
        <v>0.85</v>
      </c>
      <c r="AK132">
        <v>386</v>
      </c>
    </row>
    <row r="133" spans="1:37" hidden="1" x14ac:dyDescent="0.3">
      <c r="A133" s="3">
        <f t="shared" si="29"/>
        <v>1447.6657</v>
      </c>
      <c r="B133" s="49">
        <v>1472.7349999999999</v>
      </c>
      <c r="C133" s="1">
        <f t="shared" si="37"/>
        <v>2026</v>
      </c>
      <c r="D133" s="1">
        <f t="shared" si="38"/>
        <v>1</v>
      </c>
      <c r="E133" s="1">
        <v>6</v>
      </c>
      <c r="F133" s="1" t="s">
        <v>43</v>
      </c>
      <c r="G133" s="56">
        <f t="shared" si="26"/>
        <v>46039</v>
      </c>
      <c r="H133" s="17">
        <f t="shared" si="30"/>
        <v>42.050618872019989</v>
      </c>
      <c r="I133" s="17">
        <f t="shared" si="31"/>
        <v>37.197839097634521</v>
      </c>
      <c r="J133" s="17">
        <v>22</v>
      </c>
      <c r="K133" s="17">
        <v>22</v>
      </c>
      <c r="L133" s="17">
        <v>32</v>
      </c>
      <c r="M133" s="44">
        <f>SUMPRODUCT(H133:L133,'Fisico SPOT MAT'!H133:L133)*24</f>
        <v>7574045.308096284</v>
      </c>
      <c r="N133" s="19">
        <f>+'Fisico SPOT MAT'!AH133</f>
        <v>16.824085293258378</v>
      </c>
      <c r="O133" s="19">
        <f t="shared" si="34"/>
        <v>13.082901554404145</v>
      </c>
      <c r="P133" s="19">
        <v>6</v>
      </c>
      <c r="Q133" s="19">
        <v>6</v>
      </c>
      <c r="R133" s="19">
        <v>0</v>
      </c>
      <c r="S133" s="44">
        <f>SUMPRODUCT(N133:R133,'Fisico SPOT MAT'!N133:R133)*E133</f>
        <v>1382453.5142072537</v>
      </c>
      <c r="T133" s="17">
        <v>50</v>
      </c>
      <c r="U133" s="17">
        <v>18</v>
      </c>
      <c r="V133" s="17">
        <v>50</v>
      </c>
      <c r="W133" s="17">
        <v>60</v>
      </c>
      <c r="X133" s="28">
        <f>SUMPRODUCT(T133:W133,'Fisico SPOT MAT'!T133:W133)*24</f>
        <v>2820735.9300000006</v>
      </c>
      <c r="Y133" s="19">
        <v>0</v>
      </c>
      <c r="Z133" s="19">
        <v>5</v>
      </c>
      <c r="AA133" s="19">
        <v>0</v>
      </c>
      <c r="AB133" s="28">
        <f>SUMPRODUCT(Y133:AA133,'Fisico SPOT MAT'!Y133:AA133)*E133</f>
        <v>15750</v>
      </c>
      <c r="AC133" s="122">
        <f>(T133*'Fisico SPOT MAT'!T133+'Mono SPOT MAT'!V133*'Fisico SPOT MAT'!V133+'Mono SPOT MAT'!W133*'Fisico SPOT MAT'!W133)/'Fisico SPOT MAT'!AC133</f>
        <v>60</v>
      </c>
      <c r="AD133" s="85"/>
      <c r="AE133" s="41">
        <v>39.038050465592491</v>
      </c>
      <c r="AF133" s="42">
        <v>34.185270691207023</v>
      </c>
      <c r="AG133">
        <v>5050</v>
      </c>
      <c r="AH133" s="64">
        <f t="shared" si="20"/>
        <v>2.1625684064274933</v>
      </c>
      <c r="AJ133" s="41">
        <v>0.85</v>
      </c>
      <c r="AK133">
        <v>386</v>
      </c>
    </row>
    <row r="134" spans="1:37" hidden="1" x14ac:dyDescent="0.3">
      <c r="A134" s="3">
        <f t="shared" si="29"/>
        <v>1447.6657</v>
      </c>
      <c r="B134" s="49">
        <v>1472.7349999999999</v>
      </c>
      <c r="C134" s="1">
        <f t="shared" si="37"/>
        <v>2026</v>
      </c>
      <c r="D134" s="1">
        <f t="shared" si="38"/>
        <v>1</v>
      </c>
      <c r="E134" s="1">
        <v>4</v>
      </c>
      <c r="F134" s="1" t="s">
        <v>44</v>
      </c>
      <c r="G134" s="56">
        <f t="shared" si="26"/>
        <v>46040</v>
      </c>
      <c r="H134" s="17">
        <f t="shared" si="30"/>
        <v>40.707589770490841</v>
      </c>
      <c r="I134" s="17">
        <f t="shared" si="31"/>
        <v>34.826606221270147</v>
      </c>
      <c r="J134" s="17">
        <v>22</v>
      </c>
      <c r="K134" s="17">
        <v>22</v>
      </c>
      <c r="L134" s="17">
        <v>32</v>
      </c>
      <c r="M134" s="44">
        <f>SUMPRODUCT(H134:L134,'Fisico SPOT MAT'!H134:L134)*24</f>
        <v>6775947.3965072539</v>
      </c>
      <c r="N134" s="19">
        <f>+'Fisico SPOT MAT'!AH134</f>
        <v>16.841182634951448</v>
      </c>
      <c r="O134" s="19">
        <f t="shared" si="34"/>
        <v>13.082901554404145</v>
      </c>
      <c r="P134" s="19">
        <v>6</v>
      </c>
      <c r="Q134" s="19">
        <v>6</v>
      </c>
      <c r="R134" s="19">
        <v>0</v>
      </c>
      <c r="S134" s="44">
        <f>SUMPRODUCT(N134:R134,'Fisico SPOT MAT'!N134:R134)*E134</f>
        <v>940778.69662866974</v>
      </c>
      <c r="T134" s="17">
        <v>50</v>
      </c>
      <c r="U134" s="17">
        <v>18</v>
      </c>
      <c r="V134" s="17">
        <v>50</v>
      </c>
      <c r="W134" s="17">
        <v>60</v>
      </c>
      <c r="X134" s="28">
        <f>SUMPRODUCT(T134:W134,'Fisico SPOT MAT'!T134:W134)*24</f>
        <v>2022138.2819999997</v>
      </c>
      <c r="Y134" s="19">
        <v>0</v>
      </c>
      <c r="Z134" s="19">
        <v>5</v>
      </c>
      <c r="AA134" s="19">
        <v>0</v>
      </c>
      <c r="AB134" s="28">
        <f>SUMPRODUCT(Y134:AA134,'Fisico SPOT MAT'!Y134:AA134)*E134</f>
        <v>10500</v>
      </c>
      <c r="AC134" s="122">
        <f>(T134*'Fisico SPOT MAT'!T134+'Mono SPOT MAT'!V134*'Fisico SPOT MAT'!V134+'Mono SPOT MAT'!W134*'Fisico SPOT MAT'!W134)/'Fisico SPOT MAT'!AC134</f>
        <v>59.999999999999993</v>
      </c>
      <c r="AD134" s="85"/>
      <c r="AE134" s="41">
        <v>37.779943578914136</v>
      </c>
      <c r="AF134" s="42">
        <v>31.898960029693438</v>
      </c>
      <c r="AG134">
        <v>5050</v>
      </c>
      <c r="AH134" s="64">
        <f t="shared" si="20"/>
        <v>2.0776461915767044</v>
      </c>
      <c r="AJ134" s="41">
        <v>0.85</v>
      </c>
      <c r="AK134">
        <v>386</v>
      </c>
    </row>
    <row r="135" spans="1:37" hidden="1" x14ac:dyDescent="0.3">
      <c r="A135" s="3">
        <f t="shared" si="29"/>
        <v>1447.6657</v>
      </c>
      <c r="B135" s="49">
        <v>1472.7349999999999</v>
      </c>
      <c r="C135" s="1">
        <f t="shared" si="37"/>
        <v>2026</v>
      </c>
      <c r="D135" s="1">
        <f t="shared" si="38"/>
        <v>1</v>
      </c>
      <c r="E135" s="1">
        <v>16</v>
      </c>
      <c r="F135" s="1" t="s">
        <v>45</v>
      </c>
      <c r="G135" s="56">
        <f t="shared" si="26"/>
        <v>46041</v>
      </c>
      <c r="H135" s="17">
        <f t="shared" si="30"/>
        <v>40.650364041475285</v>
      </c>
      <c r="I135" s="17">
        <f t="shared" si="31"/>
        <v>38.83162795640807</v>
      </c>
      <c r="J135" s="17">
        <v>22</v>
      </c>
      <c r="K135" s="17">
        <v>22</v>
      </c>
      <c r="L135" s="17">
        <v>32</v>
      </c>
      <c r="M135" s="44">
        <f>SUMPRODUCT(H135:L135,'Fisico SPOT MAT'!H135:L135)*24</f>
        <v>6574247.6108664051</v>
      </c>
      <c r="N135" s="19">
        <f>+'Fisico SPOT MAT'!AH135</f>
        <v>16.864662079299194</v>
      </c>
      <c r="O135" s="19">
        <f t="shared" si="34"/>
        <v>13.082901554404145</v>
      </c>
      <c r="P135" s="19">
        <v>6</v>
      </c>
      <c r="Q135" s="19">
        <v>6</v>
      </c>
      <c r="R135" s="19">
        <v>0</v>
      </c>
      <c r="S135" s="44">
        <f>SUMPRODUCT(N135:R135,'Fisico SPOT MAT'!N135:R135)*E135</f>
        <v>3801012.1342383404</v>
      </c>
      <c r="T135" s="17">
        <v>50</v>
      </c>
      <c r="U135" s="17">
        <v>18</v>
      </c>
      <c r="V135" s="17">
        <v>50</v>
      </c>
      <c r="W135" s="17">
        <v>60</v>
      </c>
      <c r="X135" s="28">
        <f>SUMPRODUCT(T135:W135,'Fisico SPOT MAT'!T135:W135)*24</f>
        <v>2082779.0880000005</v>
      </c>
      <c r="Y135" s="19">
        <v>0</v>
      </c>
      <c r="Z135" s="19">
        <v>5</v>
      </c>
      <c r="AA135" s="19">
        <v>0</v>
      </c>
      <c r="AB135" s="28">
        <f>SUMPRODUCT(Y135:AA135,'Fisico SPOT MAT'!Y135:AA135)*E135</f>
        <v>42000</v>
      </c>
      <c r="AC135" s="122">
        <f>(T135*'Fisico SPOT MAT'!T135+'Mono SPOT MAT'!V135*'Fisico SPOT MAT'!V135+'Mono SPOT MAT'!W135*'Fisico SPOT MAT'!W135)/'Fisico SPOT MAT'!AC135</f>
        <v>60.000000000000007</v>
      </c>
      <c r="AD135" s="85"/>
      <c r="AE135" s="41">
        <v>37.72633633861853</v>
      </c>
      <c r="AF135" s="42">
        <v>35.907600253551315</v>
      </c>
      <c r="AG135">
        <v>5050</v>
      </c>
      <c r="AH135" s="64">
        <f t="shared" si="20"/>
        <v>2.0740277028567511</v>
      </c>
      <c r="AJ135" s="41">
        <v>0.85</v>
      </c>
      <c r="AK135">
        <v>386</v>
      </c>
    </row>
    <row r="136" spans="1:37" hidden="1" x14ac:dyDescent="0.3">
      <c r="A136" s="3">
        <f t="shared" si="29"/>
        <v>1447.6657</v>
      </c>
      <c r="B136" s="49">
        <v>1472.7349999999999</v>
      </c>
      <c r="C136" s="1">
        <f t="shared" si="37"/>
        <v>2026</v>
      </c>
      <c r="D136" s="1">
        <f t="shared" si="38"/>
        <v>1</v>
      </c>
      <c r="E136" s="1">
        <v>16</v>
      </c>
      <c r="F136" s="1" t="s">
        <v>46</v>
      </c>
      <c r="G136" s="56">
        <f t="shared" si="26"/>
        <v>46042</v>
      </c>
      <c r="H136" s="17">
        <f t="shared" ref="H136:H146" si="39">+AE136+AH136+AI136+AJ136</f>
        <v>40.689405713170459</v>
      </c>
      <c r="I136" s="17">
        <f t="shared" ref="I136:I141" si="40">+AF136+AH136+AI136+AJ136</f>
        <v>35.706387089149707</v>
      </c>
      <c r="J136" s="17">
        <v>22</v>
      </c>
      <c r="K136" s="17">
        <v>22</v>
      </c>
      <c r="L136" s="17">
        <v>32</v>
      </c>
      <c r="M136" s="44">
        <f>SUMPRODUCT(H136:L136,'Fisico SPOT MAT'!H136:L136)*24</f>
        <v>7009699.1431502607</v>
      </c>
      <c r="N136" s="19">
        <f>+'Fisico SPOT MAT'!AH136</f>
        <v>16.878730440464793</v>
      </c>
      <c r="O136" s="19">
        <f t="shared" si="34"/>
        <v>13.082901554404145</v>
      </c>
      <c r="P136" s="19">
        <v>6</v>
      </c>
      <c r="Q136" s="19">
        <v>6</v>
      </c>
      <c r="R136" s="19">
        <v>0</v>
      </c>
      <c r="S136" s="44">
        <f>SUMPRODUCT(N136:R136,'Fisico SPOT MAT'!N136:R136)*E136</f>
        <v>3883946.4452780653</v>
      </c>
      <c r="T136" s="17">
        <v>50</v>
      </c>
      <c r="U136" s="17">
        <v>18</v>
      </c>
      <c r="V136" s="17">
        <v>50</v>
      </c>
      <c r="W136" s="17">
        <v>60</v>
      </c>
      <c r="X136" s="28">
        <f>SUMPRODUCT(T136:W136,'Fisico SPOT MAT'!T136:W136)*24</f>
        <v>2257678.0500000003</v>
      </c>
      <c r="Y136" s="19">
        <v>0</v>
      </c>
      <c r="Z136" s="19">
        <v>5</v>
      </c>
      <c r="AA136" s="19">
        <v>0</v>
      </c>
      <c r="AB136" s="28">
        <f>SUMPRODUCT(Y136:AA136,'Fisico SPOT MAT'!Y136:AA136)*E136</f>
        <v>42000</v>
      </c>
      <c r="AC136" s="122">
        <f>(T136*'Fisico SPOT MAT'!T136+'Mono SPOT MAT'!V136*'Fisico SPOT MAT'!V136+'Mono SPOT MAT'!W136*'Fisico SPOT MAT'!W136)/'Fisico SPOT MAT'!AC136</f>
        <v>60</v>
      </c>
      <c r="AD136" s="85"/>
      <c r="AE136" s="41">
        <v>37.762909333180758</v>
      </c>
      <c r="AF136" s="42">
        <v>32.779890709160007</v>
      </c>
      <c r="AG136">
        <v>5050</v>
      </c>
      <c r="AH136" s="64">
        <f t="shared" si="20"/>
        <v>2.0764963799897012</v>
      </c>
      <c r="AJ136" s="41">
        <v>0.85</v>
      </c>
      <c r="AK136">
        <v>386</v>
      </c>
    </row>
    <row r="137" spans="1:37" hidden="1" x14ac:dyDescent="0.3">
      <c r="A137" s="3">
        <f t="shared" si="29"/>
        <v>1447.6657</v>
      </c>
      <c r="B137" s="49">
        <v>1472.7349999999999</v>
      </c>
      <c r="C137" s="1">
        <f t="shared" ref="C137:C141" si="41">YEAR(G137)</f>
        <v>2026</v>
      </c>
      <c r="D137" s="1">
        <f t="shared" ref="D137:D141" si="42">MONTH(G137)</f>
        <v>1</v>
      </c>
      <c r="E137" s="1">
        <v>16</v>
      </c>
      <c r="F137" s="1" t="s">
        <v>112</v>
      </c>
      <c r="G137" s="56">
        <f t="shared" si="26"/>
        <v>46043</v>
      </c>
      <c r="H137" s="17">
        <f t="shared" si="39"/>
        <v>41.028707035711413</v>
      </c>
      <c r="I137" s="17">
        <f t="shared" si="40"/>
        <v>35.326623418229723</v>
      </c>
      <c r="J137" s="17">
        <v>22</v>
      </c>
      <c r="K137" s="17">
        <v>22</v>
      </c>
      <c r="L137" s="17">
        <v>32</v>
      </c>
      <c r="M137" s="44">
        <f>SUMPRODUCT(H137:L137,'Fisico SPOT MAT'!H137:L137)*24</f>
        <v>7278526.4939696584</v>
      </c>
      <c r="N137" s="19">
        <f>+'Fisico SPOT MAT'!AH137</f>
        <v>16.859643725576809</v>
      </c>
      <c r="O137" s="19">
        <f t="shared" si="34"/>
        <v>13.082901554404145</v>
      </c>
      <c r="P137" s="19">
        <v>6</v>
      </c>
      <c r="Q137" s="19">
        <v>6</v>
      </c>
      <c r="R137" s="19">
        <v>0</v>
      </c>
      <c r="S137" s="44">
        <f>SUMPRODUCT(N137:R137,'Fisico SPOT MAT'!N137:R137)*E137</f>
        <v>3819744.4111537095</v>
      </c>
      <c r="T137" s="17">
        <v>50</v>
      </c>
      <c r="U137" s="17">
        <v>18</v>
      </c>
      <c r="V137" s="17">
        <v>50</v>
      </c>
      <c r="W137" s="17">
        <v>60</v>
      </c>
      <c r="X137" s="28">
        <f>SUMPRODUCT(T137:W137,'Fisico SPOT MAT'!T137:W137)*24</f>
        <v>3089902.8</v>
      </c>
      <c r="Y137" s="19">
        <v>0</v>
      </c>
      <c r="Z137" s="19">
        <v>5</v>
      </c>
      <c r="AA137" s="19">
        <v>0</v>
      </c>
      <c r="AB137" s="28">
        <f>SUMPRODUCT(Y137:AA137,'Fisico SPOT MAT'!Y137:AA137)*E137</f>
        <v>42000</v>
      </c>
      <c r="AC137" s="122">
        <f>(T137*'Fisico SPOT MAT'!T137+'Mono SPOT MAT'!V137*'Fisico SPOT MAT'!V137+'Mono SPOT MAT'!W137*'Fisico SPOT MAT'!W137)/'Fisico SPOT MAT'!AC137</f>
        <v>60</v>
      </c>
      <c r="AD137" s="85"/>
      <c r="AE137" s="41">
        <v>38.080756005350267</v>
      </c>
      <c r="AF137" s="42">
        <v>32.378672387868576</v>
      </c>
      <c r="AG137">
        <v>5050</v>
      </c>
      <c r="AH137" s="64">
        <f t="shared" si="20"/>
        <v>2.0979510303611431</v>
      </c>
      <c r="AJ137" s="41">
        <v>0.85</v>
      </c>
      <c r="AK137">
        <v>386</v>
      </c>
    </row>
    <row r="138" spans="1:37" hidden="1" x14ac:dyDescent="0.3">
      <c r="A138" s="3">
        <f t="shared" si="29"/>
        <v>1447.6657</v>
      </c>
      <c r="B138" s="49">
        <v>1472.7349999999999</v>
      </c>
      <c r="C138" s="1">
        <f t="shared" si="41"/>
        <v>2026</v>
      </c>
      <c r="D138" s="1">
        <f t="shared" si="42"/>
        <v>1</v>
      </c>
      <c r="E138" s="1">
        <v>16</v>
      </c>
      <c r="F138" s="1" t="s">
        <v>48</v>
      </c>
      <c r="G138" s="56">
        <f t="shared" si="26"/>
        <v>46044</v>
      </c>
      <c r="H138" s="17">
        <f t="shared" si="39"/>
        <v>40.495418613331708</v>
      </c>
      <c r="I138" s="17">
        <f t="shared" si="40"/>
        <v>35.809365262257678</v>
      </c>
      <c r="J138" s="17">
        <v>22</v>
      </c>
      <c r="K138" s="17">
        <v>22</v>
      </c>
      <c r="L138" s="17">
        <v>32</v>
      </c>
      <c r="M138" s="44">
        <f>SUMPRODUCT(H138:L138,'Fisico SPOT MAT'!H138:L138)*24</f>
        <v>8016462.1466892976</v>
      </c>
      <c r="N138" s="19">
        <f>+'Fisico SPOT MAT'!AH138</f>
        <v>16.859932388448637</v>
      </c>
      <c r="O138" s="19">
        <f t="shared" si="34"/>
        <v>13.082901554404145</v>
      </c>
      <c r="P138" s="19">
        <v>6</v>
      </c>
      <c r="Q138" s="19">
        <v>6</v>
      </c>
      <c r="R138" s="19">
        <v>0</v>
      </c>
      <c r="S138" s="44">
        <f>SUMPRODUCT(N138:R138,'Fisico SPOT MAT'!N138:R138)*E138</f>
        <v>3812871.6543972343</v>
      </c>
      <c r="T138" s="17">
        <v>50</v>
      </c>
      <c r="U138" s="17">
        <v>18</v>
      </c>
      <c r="V138" s="17">
        <v>50</v>
      </c>
      <c r="W138" s="17">
        <v>60</v>
      </c>
      <c r="X138" s="28">
        <f>SUMPRODUCT(T138:W138,'Fisico SPOT MAT'!T138:W138)*24</f>
        <v>2538701.5859999997</v>
      </c>
      <c r="Y138" s="19">
        <v>0</v>
      </c>
      <c r="Z138" s="19">
        <v>5</v>
      </c>
      <c r="AA138" s="19">
        <v>0</v>
      </c>
      <c r="AB138" s="28">
        <f>SUMPRODUCT(Y138:AA138,'Fisico SPOT MAT'!Y138:AA138)*E138</f>
        <v>42000</v>
      </c>
      <c r="AC138" s="122">
        <f>(T138*'Fisico SPOT MAT'!T138+'Mono SPOT MAT'!V138*'Fisico SPOT MAT'!V138+'Mono SPOT MAT'!W138*'Fisico SPOT MAT'!W138)/'Fisico SPOT MAT'!AC138</f>
        <v>60</v>
      </c>
      <c r="AD138" s="85"/>
      <c r="AE138" s="41">
        <v>37.581188396563661</v>
      </c>
      <c r="AF138" s="42">
        <v>32.895135045489631</v>
      </c>
      <c r="AG138">
        <v>5050</v>
      </c>
      <c r="AH138" s="64">
        <f t="shared" si="20"/>
        <v>2.0642302167680473</v>
      </c>
      <c r="AJ138" s="41">
        <v>0.85</v>
      </c>
      <c r="AK138">
        <v>386</v>
      </c>
    </row>
    <row r="139" spans="1:37" hidden="1" x14ac:dyDescent="0.3">
      <c r="A139" s="3">
        <f t="shared" si="29"/>
        <v>1447.6657</v>
      </c>
      <c r="B139" s="49">
        <v>1472.7349999999999</v>
      </c>
      <c r="C139" s="1">
        <f t="shared" si="41"/>
        <v>2026</v>
      </c>
      <c r="D139" s="1">
        <f t="shared" si="42"/>
        <v>1</v>
      </c>
      <c r="E139" s="1">
        <v>16</v>
      </c>
      <c r="F139" s="1" t="s">
        <v>49</v>
      </c>
      <c r="G139" s="56">
        <f t="shared" si="26"/>
        <v>46045</v>
      </c>
      <c r="H139" s="17">
        <f t="shared" si="39"/>
        <v>42.139009153195474</v>
      </c>
      <c r="I139" s="17">
        <f t="shared" si="40"/>
        <v>35.279425466445318</v>
      </c>
      <c r="J139" s="17">
        <v>22</v>
      </c>
      <c r="K139" s="17">
        <v>22</v>
      </c>
      <c r="L139" s="17">
        <v>32</v>
      </c>
      <c r="M139" s="44">
        <f>SUMPRODUCT(H139:L139,'Fisico SPOT MAT'!H139:L139)*24</f>
        <v>9138829.643416971</v>
      </c>
      <c r="N139" s="19">
        <f>+'Fisico SPOT MAT'!AH139</f>
        <v>16.874929181333265</v>
      </c>
      <c r="O139" s="19">
        <f t="shared" si="34"/>
        <v>13.082901554404145</v>
      </c>
      <c r="P139" s="19">
        <v>6</v>
      </c>
      <c r="Q139" s="19">
        <v>6</v>
      </c>
      <c r="R139" s="19">
        <v>0</v>
      </c>
      <c r="S139" s="44">
        <f>SUMPRODUCT(N139:R139,'Fisico SPOT MAT'!N139:R139)*E139</f>
        <v>3868807.3378963708</v>
      </c>
      <c r="T139" s="17">
        <v>50</v>
      </c>
      <c r="U139" s="17">
        <v>18</v>
      </c>
      <c r="V139" s="17">
        <v>50</v>
      </c>
      <c r="W139" s="17">
        <v>60</v>
      </c>
      <c r="X139" s="28">
        <f>SUMPRODUCT(T139:W139,'Fisico SPOT MAT'!T139:W139)*24</f>
        <v>2049247.926</v>
      </c>
      <c r="Y139" s="19">
        <v>0</v>
      </c>
      <c r="Z139" s="19">
        <v>5</v>
      </c>
      <c r="AA139" s="19">
        <v>0</v>
      </c>
      <c r="AB139" s="28">
        <f>SUMPRODUCT(Y139:AA139,'Fisico SPOT MAT'!Y139:AA139)*E139</f>
        <v>42000</v>
      </c>
      <c r="AC139" s="122">
        <f>(T139*'Fisico SPOT MAT'!T139+'Mono SPOT MAT'!V139*'Fisico SPOT MAT'!V139+'Mono SPOT MAT'!W139*'Fisico SPOT MAT'!W139)/'Fisico SPOT MAT'!AC139</f>
        <v>59.999999999999993</v>
      </c>
      <c r="AD139" s="85"/>
      <c r="AE139" s="41">
        <v>39.120851665756881</v>
      </c>
      <c r="AF139" s="42">
        <v>32.261267979006725</v>
      </c>
      <c r="AG139">
        <v>5050</v>
      </c>
      <c r="AH139" s="64">
        <f t="shared" si="20"/>
        <v>2.1681574874385894</v>
      </c>
      <c r="AJ139" s="41">
        <v>0.85</v>
      </c>
      <c r="AK139">
        <v>386</v>
      </c>
    </row>
    <row r="140" spans="1:37" hidden="1" x14ac:dyDescent="0.3">
      <c r="A140" s="3">
        <f t="shared" si="29"/>
        <v>1447.6657</v>
      </c>
      <c r="B140" s="49">
        <v>1472.7349999999999</v>
      </c>
      <c r="C140" s="1">
        <f t="shared" si="41"/>
        <v>2026</v>
      </c>
      <c r="D140" s="1">
        <f t="shared" si="42"/>
        <v>1</v>
      </c>
      <c r="E140" s="1">
        <v>6</v>
      </c>
      <c r="F140" s="1" t="s">
        <v>43</v>
      </c>
      <c r="G140" s="56">
        <f t="shared" si="26"/>
        <v>46046</v>
      </c>
      <c r="H140" s="17">
        <f t="shared" si="39"/>
        <v>47.307454224782099</v>
      </c>
      <c r="I140" s="17">
        <f t="shared" si="40"/>
        <v>37.524688789403363</v>
      </c>
      <c r="J140" s="17">
        <v>22</v>
      </c>
      <c r="K140" s="17">
        <v>22</v>
      </c>
      <c r="L140" s="17">
        <v>32</v>
      </c>
      <c r="M140" s="44">
        <f>SUMPRODUCT(H140:L140,'Fisico SPOT MAT'!H140:L140)*24</f>
        <v>9601092.3467129003</v>
      </c>
      <c r="N140" s="19">
        <f>+'Fisico SPOT MAT'!AH140</f>
        <v>16.877918729893871</v>
      </c>
      <c r="O140" s="19">
        <f t="shared" si="34"/>
        <v>13.082901554404145</v>
      </c>
      <c r="P140" s="19">
        <v>6</v>
      </c>
      <c r="Q140" s="19">
        <v>6</v>
      </c>
      <c r="R140" s="19">
        <v>0</v>
      </c>
      <c r="S140" s="44">
        <f>SUMPRODUCT(N140:R140,'Fisico SPOT MAT'!N140:R140)*E140</f>
        <v>1455221.4954015533</v>
      </c>
      <c r="T140" s="17">
        <v>50</v>
      </c>
      <c r="U140" s="17">
        <v>18</v>
      </c>
      <c r="V140" s="17">
        <v>50</v>
      </c>
      <c r="W140" s="17">
        <v>60</v>
      </c>
      <c r="X140" s="28">
        <f>SUMPRODUCT(T140:W140,'Fisico SPOT MAT'!T140:W140)*24</f>
        <v>2019429.0779999997</v>
      </c>
      <c r="Y140" s="19">
        <v>0</v>
      </c>
      <c r="Z140" s="19">
        <v>5</v>
      </c>
      <c r="AA140" s="19">
        <v>0</v>
      </c>
      <c r="AB140" s="28">
        <f>SUMPRODUCT(Y140:AA140,'Fisico SPOT MAT'!Y140:AA140)*E140</f>
        <v>15750</v>
      </c>
      <c r="AC140" s="122">
        <f>(T140*'Fisico SPOT MAT'!T140+'Mono SPOT MAT'!V140*'Fisico SPOT MAT'!V140+'Mono SPOT MAT'!W140*'Fisico SPOT MAT'!W140)/'Fisico SPOT MAT'!AC140</f>
        <v>59.999999999999993</v>
      </c>
      <c r="AD140" s="85"/>
      <c r="AE140" s="41">
        <v>43.9624863932385</v>
      </c>
      <c r="AF140" s="42">
        <v>34.179720957859764</v>
      </c>
      <c r="AG140">
        <v>5050</v>
      </c>
      <c r="AH140" s="64">
        <f t="shared" si="20"/>
        <v>2.4949678315435988</v>
      </c>
      <c r="AJ140" s="41">
        <v>0.85</v>
      </c>
      <c r="AK140">
        <v>386</v>
      </c>
    </row>
    <row r="141" spans="1:37" hidden="1" x14ac:dyDescent="0.3">
      <c r="A141" s="3">
        <f t="shared" si="29"/>
        <v>1447.6657</v>
      </c>
      <c r="B141" s="49">
        <v>1472.7349999999999</v>
      </c>
      <c r="C141" s="1">
        <f t="shared" si="41"/>
        <v>2026</v>
      </c>
      <c r="D141" s="1">
        <f t="shared" si="42"/>
        <v>1</v>
      </c>
      <c r="E141" s="1">
        <v>4</v>
      </c>
      <c r="F141" s="1" t="s">
        <v>44</v>
      </c>
      <c r="G141" s="56">
        <f t="shared" si="26"/>
        <v>46047</v>
      </c>
      <c r="H141" s="17">
        <f t="shared" si="39"/>
        <v>50.110246773424585</v>
      </c>
      <c r="I141" s="17">
        <f t="shared" si="40"/>
        <v>37.136752789383209</v>
      </c>
      <c r="J141" s="17">
        <v>22</v>
      </c>
      <c r="K141" s="17">
        <v>22</v>
      </c>
      <c r="L141" s="17">
        <v>32</v>
      </c>
      <c r="M141" s="44">
        <f>SUMPRODUCT(H141:L141,'Fisico SPOT MAT'!H141:L141)*24</f>
        <v>9276283.954957664</v>
      </c>
      <c r="N141" s="19">
        <f>+'Fisico SPOT MAT'!AH141</f>
        <v>16.85919126900523</v>
      </c>
      <c r="O141" s="19">
        <f t="shared" si="34"/>
        <v>13.082901554404145</v>
      </c>
      <c r="P141" s="19">
        <v>6</v>
      </c>
      <c r="Q141" s="19">
        <v>6</v>
      </c>
      <c r="R141" s="19">
        <v>0</v>
      </c>
      <c r="S141" s="44">
        <f>SUMPRODUCT(N141:R141,'Fisico SPOT MAT'!N141:R141)*E141</f>
        <v>951976.51829015499</v>
      </c>
      <c r="T141" s="17">
        <v>50</v>
      </c>
      <c r="U141" s="17">
        <v>18</v>
      </c>
      <c r="V141" s="17">
        <v>50</v>
      </c>
      <c r="W141" s="17">
        <v>60</v>
      </c>
      <c r="X141" s="28">
        <f>SUMPRODUCT(T141:W141,'Fisico SPOT MAT'!T141:W141)*24</f>
        <v>2470060.932</v>
      </c>
      <c r="Y141" s="19">
        <v>0</v>
      </c>
      <c r="Z141" s="19">
        <v>5</v>
      </c>
      <c r="AA141" s="19">
        <v>0</v>
      </c>
      <c r="AB141" s="28">
        <f>SUMPRODUCT(Y141:AA141,'Fisico SPOT MAT'!Y141:AA141)*E141</f>
        <v>10500</v>
      </c>
      <c r="AC141" s="122">
        <f>(T141*'Fisico SPOT MAT'!T141+'Mono SPOT MAT'!V141*'Fisico SPOT MAT'!V141+'Mono SPOT MAT'!W141*'Fisico SPOT MAT'!W141)/'Fisico SPOT MAT'!AC141</f>
        <v>60</v>
      </c>
      <c r="AD141" s="85"/>
      <c r="AE141" s="41">
        <v>46.588053183535912</v>
      </c>
      <c r="AF141" s="42">
        <v>33.614559199494536</v>
      </c>
      <c r="AG141">
        <v>5050</v>
      </c>
      <c r="AH141" s="64">
        <f t="shared" si="20"/>
        <v>2.6721935898886744</v>
      </c>
      <c r="AJ141" s="41">
        <v>0.85</v>
      </c>
      <c r="AK141">
        <v>386</v>
      </c>
    </row>
    <row r="142" spans="1:37" hidden="1" x14ac:dyDescent="0.3">
      <c r="A142" s="3">
        <f t="shared" si="29"/>
        <v>1447.6657</v>
      </c>
      <c r="B142" s="49">
        <v>1472.7349999999999</v>
      </c>
      <c r="C142" s="1">
        <f t="shared" ref="C142" si="43">YEAR(G142)</f>
        <v>2026</v>
      </c>
      <c r="D142" s="1">
        <f t="shared" ref="D142" si="44">MONTH(G142)</f>
        <v>1</v>
      </c>
      <c r="E142" s="1">
        <v>16</v>
      </c>
      <c r="F142" s="1" t="s">
        <v>45</v>
      </c>
      <c r="G142" s="56">
        <f t="shared" si="26"/>
        <v>46048</v>
      </c>
      <c r="H142" s="17">
        <f t="shared" si="39"/>
        <v>53.797224983592834</v>
      </c>
      <c r="I142" s="17">
        <f t="shared" ref="I142:I146" si="45">+AF142+AH142+AI142+AJ142</f>
        <v>40.391985499905736</v>
      </c>
      <c r="J142" s="17">
        <v>22</v>
      </c>
      <c r="K142" s="17">
        <v>22</v>
      </c>
      <c r="L142" s="17">
        <v>32</v>
      </c>
      <c r="M142" s="44">
        <f>SUMPRODUCT(H142:L142,'Fisico SPOT MAT'!H142:L142)*24</f>
        <v>11462124.9175089</v>
      </c>
      <c r="N142" s="19">
        <f>+'Fisico SPOT MAT'!AH142</f>
        <v>16.798398640888728</v>
      </c>
      <c r="O142" s="19">
        <f t="shared" si="34"/>
        <v>13.082901554404145</v>
      </c>
      <c r="P142" s="19">
        <v>6</v>
      </c>
      <c r="Q142" s="19">
        <v>6</v>
      </c>
      <c r="R142" s="19">
        <v>0</v>
      </c>
      <c r="S142" s="44">
        <f>SUMPRODUCT(N142:R142,'Fisico SPOT MAT'!N142:R142)*E142</f>
        <v>3630748.1194162332</v>
      </c>
      <c r="T142" s="17">
        <v>50</v>
      </c>
      <c r="U142" s="17">
        <v>18</v>
      </c>
      <c r="V142" s="17">
        <v>50</v>
      </c>
      <c r="W142" s="17">
        <v>60</v>
      </c>
      <c r="X142" s="28">
        <f>SUMPRODUCT(T142:W142,'Fisico SPOT MAT'!T142:W142)*24</f>
        <v>1959070.0500000003</v>
      </c>
      <c r="Y142" s="19">
        <v>0</v>
      </c>
      <c r="Z142" s="19">
        <v>5</v>
      </c>
      <c r="AA142" s="19">
        <v>0</v>
      </c>
      <c r="AB142" s="28">
        <f>SUMPRODUCT(Y142:AA142,'Fisico SPOT MAT'!Y142:AA142)*E142</f>
        <v>42000</v>
      </c>
      <c r="AC142" s="122">
        <f>(T142*'Fisico SPOT MAT'!T142+'Mono SPOT MAT'!V142*'Fisico SPOT MAT'!V142+'Mono SPOT MAT'!W142*'Fisico SPOT MAT'!W142)/'Fisico SPOT MAT'!AC142</f>
        <v>60</v>
      </c>
      <c r="AD142" s="85"/>
      <c r="AE142" s="41">
        <v>50.041896940133803</v>
      </c>
      <c r="AF142" s="42">
        <v>36.636657456446706</v>
      </c>
      <c r="AG142">
        <v>5050</v>
      </c>
      <c r="AH142" s="64">
        <f t="shared" si="20"/>
        <v>2.9053280434590318</v>
      </c>
      <c r="AJ142" s="41">
        <v>0.85</v>
      </c>
      <c r="AK142">
        <v>386</v>
      </c>
    </row>
    <row r="143" spans="1:37" hidden="1" x14ac:dyDescent="0.3">
      <c r="A143" s="3">
        <f t="shared" si="29"/>
        <v>1447.6657</v>
      </c>
      <c r="B143" s="49">
        <v>1472.7349999999999</v>
      </c>
      <c r="C143" s="1">
        <f t="shared" ref="C143:C146" si="46">YEAR(G143)</f>
        <v>2026</v>
      </c>
      <c r="D143" s="1">
        <f t="shared" ref="D143:D146" si="47">MONTH(G143)</f>
        <v>1</v>
      </c>
      <c r="E143" s="1">
        <v>16</v>
      </c>
      <c r="F143" s="1" t="s">
        <v>46</v>
      </c>
      <c r="G143" s="56">
        <f t="shared" si="26"/>
        <v>46049</v>
      </c>
      <c r="H143" s="17">
        <f t="shared" si="39"/>
        <v>55.335184518119867</v>
      </c>
      <c r="I143" s="17">
        <f t="shared" si="45"/>
        <v>41.485225636532725</v>
      </c>
      <c r="J143" s="17">
        <v>22</v>
      </c>
      <c r="K143" s="17">
        <v>22</v>
      </c>
      <c r="L143" s="17">
        <v>32</v>
      </c>
      <c r="M143" s="44">
        <f>SUMPRODUCT(H143:L143,'Fisico SPOT MAT'!H143:L143)*24</f>
        <v>11973760.624808079</v>
      </c>
      <c r="N143" s="19">
        <f>+'Fisico SPOT MAT'!AH143</f>
        <v>16.818448793866477</v>
      </c>
      <c r="O143" s="19">
        <f t="shared" si="34"/>
        <v>13.082901554404145</v>
      </c>
      <c r="P143" s="19">
        <v>6</v>
      </c>
      <c r="Q143" s="19">
        <v>6</v>
      </c>
      <c r="R143" s="19">
        <v>0</v>
      </c>
      <c r="S143" s="44">
        <f>SUMPRODUCT(N143:R143,'Fisico SPOT MAT'!N143:R143)*E143</f>
        <v>3681565.4899481856</v>
      </c>
      <c r="T143" s="17">
        <v>50</v>
      </c>
      <c r="U143" s="17">
        <v>18</v>
      </c>
      <c r="V143" s="17">
        <v>50</v>
      </c>
      <c r="W143" s="17">
        <v>60</v>
      </c>
      <c r="X143" s="28">
        <f>SUMPRODUCT(T143:W143,'Fisico SPOT MAT'!T143:W143)*24</f>
        <v>1649422.7580000004</v>
      </c>
      <c r="Y143" s="19">
        <v>0</v>
      </c>
      <c r="Z143" s="19">
        <v>5</v>
      </c>
      <c r="AA143" s="19">
        <v>0</v>
      </c>
      <c r="AB143" s="28">
        <f>SUMPRODUCT(Y143:AA143,'Fisico SPOT MAT'!Y143:AA143)*E143</f>
        <v>42000</v>
      </c>
      <c r="AC143" s="122">
        <f>(T143*'Fisico SPOT MAT'!T143+'Mono SPOT MAT'!V143*'Fisico SPOT MAT'!V143+'Mono SPOT MAT'!W143*'Fisico SPOT MAT'!W143)/'Fisico SPOT MAT'!AC143</f>
        <v>60</v>
      </c>
      <c r="AD143" s="85"/>
      <c r="AE143" s="41">
        <v>51.482608447887465</v>
      </c>
      <c r="AF143" s="42">
        <v>37.632649566300323</v>
      </c>
      <c r="AG143">
        <v>5050</v>
      </c>
      <c r="AH143" s="64">
        <f t="shared" si="20"/>
        <v>3.0025760702324042</v>
      </c>
      <c r="AJ143" s="41">
        <v>0.85</v>
      </c>
      <c r="AK143">
        <v>386</v>
      </c>
    </row>
    <row r="144" spans="1:37" hidden="1" x14ac:dyDescent="0.3">
      <c r="A144" s="3">
        <f t="shared" si="29"/>
        <v>1447.6657</v>
      </c>
      <c r="B144" s="49">
        <v>1472.7349999999999</v>
      </c>
      <c r="C144" s="1">
        <f t="shared" si="46"/>
        <v>2026</v>
      </c>
      <c r="D144" s="1">
        <f t="shared" si="47"/>
        <v>1</v>
      </c>
      <c r="E144" s="1">
        <v>16</v>
      </c>
      <c r="F144" s="1" t="s">
        <v>112</v>
      </c>
      <c r="G144" s="56">
        <f t="shared" si="26"/>
        <v>46050</v>
      </c>
      <c r="H144" s="17">
        <f t="shared" si="39"/>
        <v>53.990627914471773</v>
      </c>
      <c r="I144" s="17">
        <f t="shared" si="45"/>
        <v>39.842804549262645</v>
      </c>
      <c r="J144" s="17">
        <v>22</v>
      </c>
      <c r="K144" s="17">
        <v>22</v>
      </c>
      <c r="L144" s="17">
        <v>32</v>
      </c>
      <c r="M144" s="44">
        <f>SUMPRODUCT(H144:L144,'Fisico SPOT MAT'!H144:L144)*24</f>
        <v>11610099.313321481</v>
      </c>
      <c r="N144" s="19">
        <f>+'Fisico SPOT MAT'!AH144</f>
        <v>16.828401806123029</v>
      </c>
      <c r="O144" s="19">
        <f t="shared" si="34"/>
        <v>13.082901554404145</v>
      </c>
      <c r="P144" s="19">
        <v>6</v>
      </c>
      <c r="Q144" s="19">
        <v>6</v>
      </c>
      <c r="R144" s="19">
        <v>0</v>
      </c>
      <c r="S144" s="44">
        <f>SUMPRODUCT(N144:R144,'Fisico SPOT MAT'!N144:R144)*E144</f>
        <v>3722669.6253989623</v>
      </c>
      <c r="T144" s="17">
        <v>50</v>
      </c>
      <c r="U144" s="17">
        <v>18</v>
      </c>
      <c r="V144" s="17">
        <v>50</v>
      </c>
      <c r="W144" s="17">
        <v>60</v>
      </c>
      <c r="X144" s="28">
        <f>SUMPRODUCT(T144:W144,'Fisico SPOT MAT'!T144:W144)*24</f>
        <v>1596746.2259999998</v>
      </c>
      <c r="Y144" s="19">
        <v>0</v>
      </c>
      <c r="Z144" s="19">
        <v>5</v>
      </c>
      <c r="AA144" s="19">
        <v>0</v>
      </c>
      <c r="AB144" s="28">
        <f>SUMPRODUCT(Y144:AA144,'Fisico SPOT MAT'!Y144:AA144)*E144</f>
        <v>42000</v>
      </c>
      <c r="AC144" s="122">
        <f>(T144*'Fisico SPOT MAT'!T144+'Mono SPOT MAT'!V144*'Fisico SPOT MAT'!V144+'Mono SPOT MAT'!W144*'Fisico SPOT MAT'!W144)/'Fisico SPOT MAT'!AC144</f>
        <v>60</v>
      </c>
      <c r="AD144" s="85"/>
      <c r="AE144" s="41">
        <v>50.223070645875197</v>
      </c>
      <c r="AF144" s="42">
        <v>36.075247280666069</v>
      </c>
      <c r="AG144">
        <v>5050</v>
      </c>
      <c r="AH144" s="64">
        <f t="shared" si="20"/>
        <v>2.917557268596576</v>
      </c>
      <c r="AJ144" s="41">
        <v>0.85</v>
      </c>
      <c r="AK144">
        <v>386</v>
      </c>
    </row>
    <row r="145" spans="1:37" hidden="1" x14ac:dyDescent="0.3">
      <c r="A145" s="3">
        <f t="shared" si="29"/>
        <v>1447.6657</v>
      </c>
      <c r="B145" s="49">
        <v>1472.7349999999999</v>
      </c>
      <c r="C145" s="1">
        <f t="shared" si="46"/>
        <v>2026</v>
      </c>
      <c r="D145" s="1">
        <f t="shared" si="47"/>
        <v>1</v>
      </c>
      <c r="E145" s="1">
        <v>16</v>
      </c>
      <c r="F145" s="1" t="s">
        <v>48</v>
      </c>
      <c r="G145" s="56">
        <f t="shared" si="26"/>
        <v>46051</v>
      </c>
      <c r="H145" s="17">
        <f t="shared" si="39"/>
        <v>54.456784590370084</v>
      </c>
      <c r="I145" s="17">
        <f t="shared" si="45"/>
        <v>40.201841758123408</v>
      </c>
      <c r="J145" s="17">
        <v>22</v>
      </c>
      <c r="K145" s="17">
        <v>22</v>
      </c>
      <c r="L145" s="17">
        <v>32</v>
      </c>
      <c r="M145" s="44">
        <f>SUMPRODUCT(H145:L145,'Fisico SPOT MAT'!H145:L145)*24</f>
        <v>11847398.398138443</v>
      </c>
      <c r="N145" s="19">
        <f>+'Fisico SPOT MAT'!AH145</f>
        <v>16.845359113061001</v>
      </c>
      <c r="O145" s="19">
        <f t="shared" si="34"/>
        <v>13.082901554404145</v>
      </c>
      <c r="P145" s="19">
        <v>6</v>
      </c>
      <c r="Q145" s="19">
        <v>6</v>
      </c>
      <c r="R145" s="19">
        <v>0</v>
      </c>
      <c r="S145" s="44">
        <f>SUMPRODUCT(N145:R145,'Fisico SPOT MAT'!N145:R145)*E145</f>
        <v>3774762.500514681</v>
      </c>
      <c r="T145" s="17">
        <v>50</v>
      </c>
      <c r="U145" s="17">
        <v>18</v>
      </c>
      <c r="V145" s="17">
        <v>50</v>
      </c>
      <c r="W145" s="17">
        <v>60</v>
      </c>
      <c r="X145" s="28">
        <f>SUMPRODUCT(T145:W145,'Fisico SPOT MAT'!T145:W145)*24</f>
        <v>1879503.87</v>
      </c>
      <c r="Y145" s="19">
        <v>0</v>
      </c>
      <c r="Z145" s="19">
        <v>5</v>
      </c>
      <c r="AA145" s="19">
        <v>0</v>
      </c>
      <c r="AB145" s="28">
        <f>SUMPRODUCT(Y145:AA145,'Fisico SPOT MAT'!Y145:AA145)*E145</f>
        <v>42000</v>
      </c>
      <c r="AC145" s="122">
        <f>(T145*'Fisico SPOT MAT'!T145+'Mono SPOT MAT'!V145*'Fisico SPOT MAT'!V145+'Mono SPOT MAT'!W145*'Fisico SPOT MAT'!W145)/'Fisico SPOT MAT'!AC145</f>
        <v>60</v>
      </c>
      <c r="AD145" s="85"/>
      <c r="AE145" s="41">
        <v>50.659751372712023</v>
      </c>
      <c r="AF145" s="42">
        <v>36.404808540465346</v>
      </c>
      <c r="AG145">
        <v>5050</v>
      </c>
      <c r="AH145" s="64">
        <f t="shared" si="20"/>
        <v>2.9470332176580616</v>
      </c>
      <c r="AJ145" s="41">
        <v>0.85</v>
      </c>
      <c r="AK145">
        <v>386</v>
      </c>
    </row>
    <row r="146" spans="1:37" hidden="1" x14ac:dyDescent="0.3">
      <c r="A146" s="3">
        <f t="shared" si="29"/>
        <v>1447.6657</v>
      </c>
      <c r="B146" s="49">
        <v>1472.7349999999999</v>
      </c>
      <c r="C146" s="1">
        <f t="shared" si="46"/>
        <v>2026</v>
      </c>
      <c r="D146" s="1">
        <f t="shared" si="47"/>
        <v>1</v>
      </c>
      <c r="E146" s="1">
        <v>16</v>
      </c>
      <c r="F146" s="1" t="s">
        <v>49</v>
      </c>
      <c r="G146" s="56">
        <f t="shared" si="26"/>
        <v>46052</v>
      </c>
      <c r="H146" s="17">
        <f t="shared" si="39"/>
        <v>57.828034539467289</v>
      </c>
      <c r="I146" s="17">
        <f t="shared" si="45"/>
        <v>40.68948742815315</v>
      </c>
      <c r="J146" s="17">
        <v>22</v>
      </c>
      <c r="K146" s="17">
        <v>22</v>
      </c>
      <c r="L146" s="17">
        <v>32</v>
      </c>
      <c r="M146" s="44">
        <f>SUMPRODUCT(H146:L146,'Fisico SPOT MAT'!H146:L146)*24</f>
        <v>12350835.58642387</v>
      </c>
      <c r="N146" s="19">
        <f>+'Fisico SPOT MAT'!AH146</f>
        <v>16.847642292802917</v>
      </c>
      <c r="O146" s="19">
        <f t="shared" si="34"/>
        <v>13.082901554404145</v>
      </c>
      <c r="P146" s="19">
        <v>6</v>
      </c>
      <c r="Q146" s="19">
        <v>6</v>
      </c>
      <c r="R146" s="19">
        <v>0</v>
      </c>
      <c r="S146" s="44">
        <f>SUMPRODUCT(N146:R146,'Fisico SPOT MAT'!N146:R146)*E146</f>
        <v>3782498.0629844554</v>
      </c>
      <c r="T146" s="17">
        <v>50</v>
      </c>
      <c r="U146" s="17">
        <v>18</v>
      </c>
      <c r="V146" s="17">
        <v>50</v>
      </c>
      <c r="W146" s="17">
        <v>60</v>
      </c>
      <c r="X146" s="28">
        <f>SUMPRODUCT(T146:W146,'Fisico SPOT MAT'!T146:W146)*24</f>
        <v>1997549.1660000002</v>
      </c>
      <c r="Y146" s="19">
        <v>0</v>
      </c>
      <c r="Z146" s="19">
        <v>5</v>
      </c>
      <c r="AA146" s="19">
        <v>0</v>
      </c>
      <c r="AB146" s="28">
        <f>SUMPRODUCT(Y146:AA146,'Fisico SPOT MAT'!Y146:AA146)*E146</f>
        <v>42000</v>
      </c>
      <c r="AC146" s="122">
        <f>(T146*'Fisico SPOT MAT'!T146+'Mono SPOT MAT'!V146*'Fisico SPOT MAT'!V146+'Mono SPOT MAT'!W146*'Fisico SPOT MAT'!W146)/'Fisico SPOT MAT'!AC146</f>
        <v>60</v>
      </c>
      <c r="AD146" s="85"/>
      <c r="AE146" s="41">
        <v>53.817830950320641</v>
      </c>
      <c r="AF146" s="42">
        <v>36.679283839006509</v>
      </c>
      <c r="AG146">
        <v>5050</v>
      </c>
      <c r="AH146" s="64">
        <f t="shared" si="20"/>
        <v>3.1602035891466436</v>
      </c>
      <c r="AJ146" s="41">
        <v>0.85</v>
      </c>
      <c r="AK146">
        <v>386</v>
      </c>
    </row>
    <row r="147" spans="1:37" hidden="1" x14ac:dyDescent="0.3">
      <c r="A147" s="3">
        <f>+'Mono ASIG'!A147</f>
        <v>1447.6657</v>
      </c>
      <c r="B147" s="3">
        <f>+'Mono ASIG'!B147</f>
        <v>1472.7349999999999</v>
      </c>
      <c r="C147" s="1">
        <f>+'Mono ASIG'!C147</f>
        <v>2026</v>
      </c>
      <c r="D147" s="1">
        <f t="shared" ref="D147" si="48">MONTH(G147)</f>
        <v>1</v>
      </c>
      <c r="E147" s="1">
        <f>+E140</f>
        <v>6</v>
      </c>
      <c r="F147" s="1" t="str">
        <f>+'Mono ASIG'!F147</f>
        <v>sáb</v>
      </c>
      <c r="G147" s="56">
        <f>+'Mono ASIG'!G147</f>
        <v>46053</v>
      </c>
      <c r="H147" s="17">
        <f t="shared" ref="H147:H154" si="49">+AE147+AH147+AI147+AJ147</f>
        <v>57.017363040010935</v>
      </c>
      <c r="I147" s="17">
        <f t="shared" ref="I147:I154" si="50">+AF147+AH147+AI147+AJ147</f>
        <v>40.814343770308959</v>
      </c>
      <c r="J147" s="17">
        <v>22</v>
      </c>
      <c r="K147" s="17">
        <v>22</v>
      </c>
      <c r="L147" s="17">
        <v>32</v>
      </c>
      <c r="M147" s="44">
        <f>SUMPRODUCT(H147:L147,'Fisico SPOT MAT'!H147:L147)*24</f>
        <v>10682757.514121834</v>
      </c>
      <c r="N147" s="19">
        <f>+'Fisico SPOT MAT'!AH147</f>
        <v>16.834906221733267</v>
      </c>
      <c r="O147" s="19">
        <f t="shared" si="34"/>
        <v>13.082901554404145</v>
      </c>
      <c r="P147" s="19">
        <v>6</v>
      </c>
      <c r="Q147" s="19">
        <v>6</v>
      </c>
      <c r="R147" s="19">
        <v>0</v>
      </c>
      <c r="S147" s="44">
        <f>SUMPRODUCT(N147:R147,'Fisico SPOT MAT'!N147:R147)*E147</f>
        <v>1402057.4831955952</v>
      </c>
      <c r="T147" s="17">
        <v>50</v>
      </c>
      <c r="U147" s="17">
        <v>18</v>
      </c>
      <c r="V147" s="17">
        <v>50</v>
      </c>
      <c r="W147" s="17">
        <v>60</v>
      </c>
      <c r="X147" s="28">
        <f>SUMPRODUCT(T147:W147,'Fisico SPOT MAT'!T147:W147)*24</f>
        <v>1856781.156</v>
      </c>
      <c r="Y147" s="19">
        <v>0</v>
      </c>
      <c r="Z147" s="19">
        <v>5</v>
      </c>
      <c r="AA147" s="19">
        <v>0</v>
      </c>
      <c r="AB147" s="28">
        <f>SUMPRODUCT(Y147:AA147,'Fisico SPOT MAT'!Y147:AA147)*E147</f>
        <v>15750</v>
      </c>
      <c r="AC147" s="122">
        <f>(T147*'Fisico SPOT MAT'!T147+'Mono SPOT MAT'!V147*'Fisico SPOT MAT'!V147+'Mono SPOT MAT'!W147*'Fisico SPOT MAT'!W147)/'Fisico SPOT MAT'!AC147</f>
        <v>60</v>
      </c>
      <c r="AD147" s="85"/>
      <c r="AE147" s="41">
        <v>53.058419709612117</v>
      </c>
      <c r="AF147" s="42">
        <v>36.855400439910142</v>
      </c>
      <c r="AG147">
        <v>5050</v>
      </c>
      <c r="AH147" s="64">
        <f t="shared" si="20"/>
        <v>3.1089433303988181</v>
      </c>
      <c r="AJ147" s="41">
        <v>0.85</v>
      </c>
      <c r="AK147">
        <v>386</v>
      </c>
    </row>
    <row r="148" spans="1:37" hidden="1" x14ac:dyDescent="0.3">
      <c r="A148" s="3">
        <f>+'Mono ASIG'!A148</f>
        <v>1408.96</v>
      </c>
      <c r="B148" s="3">
        <f>+'Mono ASIG'!B148</f>
        <v>1472.7349999999999</v>
      </c>
      <c r="C148" s="1">
        <f>+'Mono ASIG'!C148</f>
        <v>2026</v>
      </c>
      <c r="D148" s="1">
        <f t="shared" ref="D148:D154" si="51">MONTH(G148)</f>
        <v>2</v>
      </c>
      <c r="E148" s="1">
        <f>+'Fisico SPOT MAT'!E148</f>
        <v>4</v>
      </c>
      <c r="F148" s="1" t="str">
        <f>+'Mono ASIG'!F148</f>
        <v>dom</v>
      </c>
      <c r="G148" s="56">
        <f>+'Mono ASIG'!G148</f>
        <v>46054</v>
      </c>
      <c r="H148" s="17">
        <f t="shared" si="49"/>
        <v>50.847543972546909</v>
      </c>
      <c r="I148" s="17">
        <f t="shared" si="50"/>
        <v>39.27863174497034</v>
      </c>
      <c r="J148" s="17">
        <v>22</v>
      </c>
      <c r="K148" s="17">
        <v>22</v>
      </c>
      <c r="L148" s="17">
        <v>32</v>
      </c>
      <c r="M148" s="44">
        <f>SUMPRODUCT(H148:L148,'Fisico SPOT MAT'!H148:L148)*24</f>
        <v>9060289.6464275941</v>
      </c>
      <c r="N148" s="19">
        <f>+'Fisico SPOT MAT'!AH148</f>
        <v>16.868051879881204</v>
      </c>
      <c r="O148" s="19">
        <f t="shared" si="34"/>
        <v>15.029761904761905</v>
      </c>
      <c r="P148" s="19">
        <v>6</v>
      </c>
      <c r="Q148" s="19">
        <v>6</v>
      </c>
      <c r="R148" s="19">
        <v>0</v>
      </c>
      <c r="S148" s="44">
        <f>SUMPRODUCT(N148:R148,'Fisico SPOT MAT'!N148:R148)*E148</f>
        <v>970955.69026686542</v>
      </c>
      <c r="T148" s="17">
        <v>50</v>
      </c>
      <c r="U148" s="17">
        <v>18</v>
      </c>
      <c r="V148" s="17">
        <v>50</v>
      </c>
      <c r="W148" s="17">
        <v>60</v>
      </c>
      <c r="X148" s="28">
        <f>SUMPRODUCT(T148:W148,'Fisico SPOT MAT'!T148:W148)*24</f>
        <v>1603099.4580000001</v>
      </c>
      <c r="Y148" s="19">
        <v>0</v>
      </c>
      <c r="Z148" s="19">
        <v>5</v>
      </c>
      <c r="AA148" s="19">
        <v>0</v>
      </c>
      <c r="AB148" s="28">
        <f>SUMPRODUCT(Y148:AA148,'Fisico SPOT MAT'!Y148:AA148)*E148</f>
        <v>10300</v>
      </c>
      <c r="AC148" s="122">
        <f>(T148*'Fisico SPOT MAT'!T148+'Mono SPOT MAT'!V148*'Fisico SPOT MAT'!V148+'Mono SPOT MAT'!W148*'Fisico SPOT MAT'!W148)/'Fisico SPOT MAT'!AC148</f>
        <v>60</v>
      </c>
      <c r="AD148" s="85"/>
      <c r="AE148" s="41">
        <v>47.278729716671577</v>
      </c>
      <c r="AF148" s="42">
        <v>35.709817489095009</v>
      </c>
      <c r="AG148">
        <v>5050</v>
      </c>
      <c r="AH148" s="64">
        <f t="shared" si="20"/>
        <v>2.7188142558753317</v>
      </c>
      <c r="AJ148" s="41">
        <v>0.85</v>
      </c>
      <c r="AK148">
        <v>336</v>
      </c>
    </row>
    <row r="149" spans="1:37" hidden="1" x14ac:dyDescent="0.3">
      <c r="A149" s="3">
        <f>+'Mono ASIG'!A149</f>
        <v>1408.96</v>
      </c>
      <c r="B149" s="3">
        <f>+'Mono ASIG'!B149</f>
        <v>1438.46</v>
      </c>
      <c r="C149" s="1">
        <f>+'Mono ASIG'!C149</f>
        <v>2026</v>
      </c>
      <c r="D149" s="1">
        <f t="shared" si="51"/>
        <v>2</v>
      </c>
      <c r="E149" s="1">
        <f>+'Fisico SPOT MAT'!E149</f>
        <v>16</v>
      </c>
      <c r="F149" s="1" t="str">
        <f>+'Mono ASIG'!F149</f>
        <v>lun</v>
      </c>
      <c r="G149" s="56">
        <f>+'Mono ASIG'!G149</f>
        <v>46055</v>
      </c>
      <c r="H149" s="17">
        <f t="shared" si="49"/>
        <v>50.707384392129271</v>
      </c>
      <c r="I149" s="17">
        <f t="shared" si="50"/>
        <v>34.746273923580794</v>
      </c>
      <c r="J149" s="17">
        <v>22</v>
      </c>
      <c r="K149" s="17">
        <v>22</v>
      </c>
      <c r="L149" s="17">
        <v>32</v>
      </c>
      <c r="M149" s="44">
        <f>SUMPRODUCT(H149:L149,'Fisico SPOT MAT'!H149:L149)*24</f>
        <v>10243053.033597771</v>
      </c>
      <c r="N149" s="19">
        <f>+'Fisico SPOT MAT'!AH149</f>
        <v>16.850687731866724</v>
      </c>
      <c r="O149" s="19">
        <f t="shared" si="34"/>
        <v>15.029761904761905</v>
      </c>
      <c r="P149" s="19">
        <v>6</v>
      </c>
      <c r="Q149" s="19">
        <v>6</v>
      </c>
      <c r="R149" s="19">
        <v>0</v>
      </c>
      <c r="S149" s="44">
        <f>SUMPRODUCT(N149:R149,'Fisico SPOT MAT'!N149:R149)*E149</f>
        <v>3826399.00275</v>
      </c>
      <c r="T149" s="17">
        <v>50</v>
      </c>
      <c r="U149" s="17">
        <v>18</v>
      </c>
      <c r="V149" s="17">
        <v>50</v>
      </c>
      <c r="W149" s="17">
        <v>60</v>
      </c>
      <c r="X149" s="28">
        <f>SUMPRODUCT(T149:W149,'Fisico SPOT MAT'!T149:W149)*24</f>
        <v>2573437.3740000003</v>
      </c>
      <c r="Y149" s="19">
        <v>0</v>
      </c>
      <c r="Z149" s="19">
        <v>5</v>
      </c>
      <c r="AA149" s="19">
        <v>0</v>
      </c>
      <c r="AB149" s="28">
        <f>SUMPRODUCT(Y149:AA149,'Fisico SPOT MAT'!Y149:AA149)*E149</f>
        <v>41200</v>
      </c>
      <c r="AC149" s="122">
        <f>(T149*'Fisico SPOT MAT'!T149+'Mono SPOT MAT'!V149*'Fisico SPOT MAT'!V149+'Mono SPOT MAT'!W149*'Fisico SPOT MAT'!W149)/'Fisico SPOT MAT'!AC149</f>
        <v>60</v>
      </c>
      <c r="AD149" s="85"/>
      <c r="AE149" s="41">
        <v>47.147432685835383</v>
      </c>
      <c r="AF149" s="42">
        <v>31.186322217286907</v>
      </c>
      <c r="AG149">
        <v>5050</v>
      </c>
      <c r="AH149" s="64">
        <f t="shared" si="20"/>
        <v>2.7099517062938885</v>
      </c>
      <c r="AJ149" s="41">
        <v>0.85</v>
      </c>
      <c r="AK149">
        <v>336</v>
      </c>
    </row>
    <row r="150" spans="1:37" hidden="1" x14ac:dyDescent="0.3">
      <c r="A150" s="3">
        <f>+'Mono ASIG'!A150</f>
        <v>1408.96</v>
      </c>
      <c r="B150" s="3">
        <f>+'Mono ASIG'!B150</f>
        <v>1438.46</v>
      </c>
      <c r="C150" s="1">
        <f>+'Mono ASIG'!C150</f>
        <v>2026</v>
      </c>
      <c r="D150" s="1">
        <f t="shared" si="51"/>
        <v>2</v>
      </c>
      <c r="E150" s="1">
        <f>+'Fisico SPOT MAT'!E150</f>
        <v>16</v>
      </c>
      <c r="F150" s="1" t="str">
        <f>+'Mono ASIG'!F150</f>
        <v>mar</v>
      </c>
      <c r="G150" s="56">
        <f>+'Mono ASIG'!G150</f>
        <v>46056</v>
      </c>
      <c r="H150" s="17">
        <f t="shared" si="49"/>
        <v>58.911072910958744</v>
      </c>
      <c r="I150" s="17">
        <f t="shared" si="50"/>
        <v>39.509051395522896</v>
      </c>
      <c r="J150" s="17">
        <v>22</v>
      </c>
      <c r="K150" s="17">
        <v>22</v>
      </c>
      <c r="L150" s="17">
        <v>32</v>
      </c>
      <c r="M150" s="44">
        <f>SUMPRODUCT(H150:L150,'Fisico SPOT MAT'!H150:L150)*24</f>
        <v>13058686.232416475</v>
      </c>
      <c r="N150" s="19">
        <f>+'Fisico SPOT MAT'!AH150</f>
        <v>16.805837703848702</v>
      </c>
      <c r="O150" s="19">
        <f t="shared" si="34"/>
        <v>15.029761904761905</v>
      </c>
      <c r="P150" s="19">
        <v>6</v>
      </c>
      <c r="Q150" s="19">
        <v>6</v>
      </c>
      <c r="R150" s="19">
        <v>0</v>
      </c>
      <c r="S150" s="44">
        <f>SUMPRODUCT(N150:R150,'Fisico SPOT MAT'!N150:R150)*E150</f>
        <v>3689906.2161190463</v>
      </c>
      <c r="T150" s="17">
        <v>50</v>
      </c>
      <c r="U150" s="17">
        <v>18</v>
      </c>
      <c r="V150" s="17">
        <v>50</v>
      </c>
      <c r="W150" s="17">
        <v>60</v>
      </c>
      <c r="X150" s="28">
        <f>SUMPRODUCT(T150:W150,'Fisico SPOT MAT'!T150:W150)*24</f>
        <v>2231907.3719999995</v>
      </c>
      <c r="Y150" s="19">
        <v>0</v>
      </c>
      <c r="Z150" s="19">
        <v>5</v>
      </c>
      <c r="AA150" s="19">
        <v>0</v>
      </c>
      <c r="AB150" s="28">
        <f>SUMPRODUCT(Y150:AA150,'Fisico SPOT MAT'!Y150:AA150)*E150</f>
        <v>42000</v>
      </c>
      <c r="AC150" s="122">
        <f>(T150*'Fisico SPOT MAT'!T150+'Mono SPOT MAT'!V150*'Fisico SPOT MAT'!V150+'Mono SPOT MAT'!W150*'Fisico SPOT MAT'!W150)/'Fisico SPOT MAT'!AC150</f>
        <v>60</v>
      </c>
      <c r="AD150" s="85"/>
      <c r="AE150" s="41">
        <v>54.832386801834886</v>
      </c>
      <c r="AF150" s="42">
        <v>35.430365286399038</v>
      </c>
      <c r="AG150">
        <v>5050</v>
      </c>
      <c r="AH150" s="64">
        <f t="shared" si="20"/>
        <v>3.228686109123855</v>
      </c>
      <c r="AJ150" s="41">
        <v>0.85</v>
      </c>
      <c r="AK150">
        <v>336</v>
      </c>
    </row>
    <row r="151" spans="1:37" hidden="1" x14ac:dyDescent="0.3">
      <c r="A151" s="3">
        <f>+'Mono ASIG'!A151</f>
        <v>1408.96</v>
      </c>
      <c r="B151" s="3">
        <f>+'Mono ASIG'!B151</f>
        <v>1438.46</v>
      </c>
      <c r="C151" s="1">
        <f>+'Mono ASIG'!C151</f>
        <v>2026</v>
      </c>
      <c r="D151" s="1">
        <f t="shared" si="51"/>
        <v>2</v>
      </c>
      <c r="E151" s="1">
        <f>+'Fisico SPOT MAT'!E151</f>
        <v>16</v>
      </c>
      <c r="F151" s="1" t="str">
        <f>+'Mono ASIG'!F151</f>
        <v>mié</v>
      </c>
      <c r="G151" s="56">
        <f>+'Mono ASIG'!G151</f>
        <v>46057</v>
      </c>
      <c r="H151" s="17">
        <f t="shared" si="49"/>
        <v>57.765421360963252</v>
      </c>
      <c r="I151" s="17">
        <f t="shared" si="50"/>
        <v>40.402926666310329</v>
      </c>
      <c r="J151" s="17">
        <v>22</v>
      </c>
      <c r="K151" s="17">
        <v>22</v>
      </c>
      <c r="L151" s="17">
        <v>32</v>
      </c>
      <c r="M151" s="44">
        <f>SUMPRODUCT(H151:L151,'Fisico SPOT MAT'!H151:L151)*24</f>
        <v>12118962.151333716</v>
      </c>
      <c r="N151" s="19">
        <f>+'Fisico SPOT MAT'!AH151</f>
        <v>16.838893136985593</v>
      </c>
      <c r="O151" s="19">
        <f t="shared" si="34"/>
        <v>15.029761904761905</v>
      </c>
      <c r="P151" s="19">
        <v>6</v>
      </c>
      <c r="Q151" s="19">
        <v>6</v>
      </c>
      <c r="R151" s="19">
        <v>0</v>
      </c>
      <c r="S151" s="44">
        <f>SUMPRODUCT(N151:R151,'Fisico SPOT MAT'!N151:R151)*E151</f>
        <v>3796878.2194960322</v>
      </c>
      <c r="T151" s="17">
        <v>50</v>
      </c>
      <c r="U151" s="17">
        <v>18</v>
      </c>
      <c r="V151" s="17">
        <v>50</v>
      </c>
      <c r="W151" s="17">
        <v>60</v>
      </c>
      <c r="X151" s="28">
        <f>SUMPRODUCT(T151:W151,'Fisico SPOT MAT'!T151:W151)*24</f>
        <v>2100869.0280000004</v>
      </c>
      <c r="Y151" s="19">
        <v>0</v>
      </c>
      <c r="Z151" s="19">
        <v>5</v>
      </c>
      <c r="AA151" s="19">
        <v>0</v>
      </c>
      <c r="AB151" s="28">
        <f>SUMPRODUCT(Y151:AA151,'Fisico SPOT MAT'!Y151:AA151)*E151</f>
        <v>41200</v>
      </c>
      <c r="AC151" s="122">
        <f>(T151*'Fisico SPOT MAT'!T151+'Mono SPOT MAT'!V151*'Fisico SPOT MAT'!V151+'Mono SPOT MAT'!W151*'Fisico SPOT MAT'!W151)/'Fisico SPOT MAT'!AC151</f>
        <v>60</v>
      </c>
      <c r="AD151" s="85"/>
      <c r="AE151" s="41">
        <v>53.759176918935133</v>
      </c>
      <c r="AF151" s="42">
        <v>36.396682224282202</v>
      </c>
      <c r="AG151">
        <v>5050</v>
      </c>
      <c r="AH151" s="64">
        <f t="shared" si="20"/>
        <v>3.1562444420281217</v>
      </c>
      <c r="AJ151" s="41">
        <v>0.85</v>
      </c>
      <c r="AK151">
        <v>336</v>
      </c>
    </row>
    <row r="152" spans="1:37" hidden="1" x14ac:dyDescent="0.3">
      <c r="A152" s="3">
        <f>+'Mono ASIG'!A152</f>
        <v>1408.96</v>
      </c>
      <c r="B152" s="3">
        <f>+'Mono ASIG'!B152</f>
        <v>1438.46</v>
      </c>
      <c r="C152" s="1">
        <f>+'Mono ASIG'!C152</f>
        <v>2026</v>
      </c>
      <c r="D152" s="1">
        <f t="shared" si="51"/>
        <v>2</v>
      </c>
      <c r="E152" s="1">
        <f>+'Fisico SPOT MAT'!E152</f>
        <v>16</v>
      </c>
      <c r="F152" s="1" t="str">
        <f>+'Mono ASIG'!F152</f>
        <v>jue</v>
      </c>
      <c r="G152" s="56">
        <f>+'Mono ASIG'!G152</f>
        <v>46058</v>
      </c>
      <c r="H152" s="17">
        <f t="shared" si="49"/>
        <v>51.175847768610012</v>
      </c>
      <c r="I152" s="17">
        <f t="shared" si="50"/>
        <v>39.835748743873808</v>
      </c>
      <c r="J152" s="17">
        <v>22</v>
      </c>
      <c r="K152" s="17">
        <v>22</v>
      </c>
      <c r="L152" s="17">
        <v>32</v>
      </c>
      <c r="M152" s="44">
        <f>SUMPRODUCT(H152:L152,'Fisico SPOT MAT'!H152:L152)*24</f>
        <v>10617384.124704652</v>
      </c>
      <c r="N152" s="19">
        <f>+'Fisico SPOT MAT'!AH152</f>
        <v>16.873681998953991</v>
      </c>
      <c r="O152" s="19">
        <f t="shared" si="34"/>
        <v>15.029761904761905</v>
      </c>
      <c r="P152" s="19">
        <v>6</v>
      </c>
      <c r="Q152" s="19">
        <v>6</v>
      </c>
      <c r="R152" s="19">
        <v>0</v>
      </c>
      <c r="S152" s="44">
        <f>SUMPRODUCT(N152:R152,'Fisico SPOT MAT'!N152:R152)*E152</f>
        <v>3914066.6196071426</v>
      </c>
      <c r="T152" s="17">
        <v>50</v>
      </c>
      <c r="U152" s="17">
        <v>18</v>
      </c>
      <c r="V152" s="17">
        <v>50</v>
      </c>
      <c r="W152" s="17">
        <v>60</v>
      </c>
      <c r="X152" s="28">
        <f>SUMPRODUCT(T152:W152,'Fisico SPOT MAT'!T152:W152)*24</f>
        <v>1972745.1840000004</v>
      </c>
      <c r="Y152" s="19">
        <v>0</v>
      </c>
      <c r="Z152" s="19">
        <v>5</v>
      </c>
      <c r="AA152" s="19">
        <v>0</v>
      </c>
      <c r="AB152" s="28">
        <f>SUMPRODUCT(Y152:AA152,'Fisico SPOT MAT'!Y152:AA152)*E152</f>
        <v>41200</v>
      </c>
      <c r="AC152" s="122">
        <f>(T152*'Fisico SPOT MAT'!T152+'Mono SPOT MAT'!V152*'Fisico SPOT MAT'!V152+'Mono SPOT MAT'!W152*'Fisico SPOT MAT'!W152)/'Fisico SPOT MAT'!AC152</f>
        <v>60</v>
      </c>
      <c r="AD152" s="85"/>
      <c r="AE152" s="41">
        <v>47.586274256309146</v>
      </c>
      <c r="AF152" s="42">
        <v>36.246175231572941</v>
      </c>
      <c r="AG152">
        <v>5050</v>
      </c>
      <c r="AH152" s="64">
        <f t="shared" si="20"/>
        <v>2.7395735123008675</v>
      </c>
      <c r="AJ152" s="41">
        <v>0.85</v>
      </c>
      <c r="AK152">
        <v>336</v>
      </c>
    </row>
    <row r="153" spans="1:37" hidden="1" x14ac:dyDescent="0.3">
      <c r="A153" s="3">
        <f>+'Mono ASIG'!A153</f>
        <v>1408.96</v>
      </c>
      <c r="B153" s="3">
        <f>+'Mono ASIG'!B153</f>
        <v>1438.46</v>
      </c>
      <c r="C153" s="1">
        <f>+'Mono ASIG'!C153</f>
        <v>2026</v>
      </c>
      <c r="D153" s="1">
        <f t="shared" si="51"/>
        <v>2</v>
      </c>
      <c r="E153" s="1">
        <f>+'Fisico SPOT MAT'!E153</f>
        <v>16</v>
      </c>
      <c r="F153" s="1" t="str">
        <f>+'Mono ASIG'!F153</f>
        <v>vie</v>
      </c>
      <c r="G153" s="56">
        <f>+'Mono ASIG'!G153</f>
        <v>46059</v>
      </c>
      <c r="H153" s="17">
        <f t="shared" si="49"/>
        <v>46.466479811911988</v>
      </c>
      <c r="I153" s="17">
        <f t="shared" si="50"/>
        <v>35.679062194190401</v>
      </c>
      <c r="J153" s="17">
        <v>22</v>
      </c>
      <c r="K153" s="17">
        <v>22</v>
      </c>
      <c r="L153" s="17">
        <v>32</v>
      </c>
      <c r="M153" s="44">
        <f>SUMPRODUCT(H153:L153,'Fisico SPOT MAT'!H153:L153)*24</f>
        <v>8923289.0247673895</v>
      </c>
      <c r="N153" s="19">
        <f>+'Fisico SPOT MAT'!AH153</f>
        <v>16.881033567535987</v>
      </c>
      <c r="O153" s="19">
        <f t="shared" si="34"/>
        <v>15.029761904761905</v>
      </c>
      <c r="P153" s="19">
        <v>6</v>
      </c>
      <c r="Q153" s="19">
        <v>6</v>
      </c>
      <c r="R153" s="19">
        <v>0</v>
      </c>
      <c r="S153" s="44">
        <f>SUMPRODUCT(N153:R153,'Fisico SPOT MAT'!N153:R153)*E153</f>
        <v>3940898.3908134908</v>
      </c>
      <c r="T153" s="17">
        <v>50</v>
      </c>
      <c r="U153" s="17">
        <v>18</v>
      </c>
      <c r="V153" s="17">
        <v>50</v>
      </c>
      <c r="W153" s="17">
        <v>60</v>
      </c>
      <c r="X153" s="28">
        <f>SUMPRODUCT(T153:W153,'Fisico SPOT MAT'!T153:W153)*24</f>
        <v>1755892.818</v>
      </c>
      <c r="Y153" s="19">
        <v>0</v>
      </c>
      <c r="Z153" s="19">
        <v>5</v>
      </c>
      <c r="AA153" s="19">
        <v>0</v>
      </c>
      <c r="AB153" s="28">
        <f>SUMPRODUCT(Y153:AA153,'Fisico SPOT MAT'!Y153:AA153)*E153</f>
        <v>41200</v>
      </c>
      <c r="AC153" s="122">
        <f>(T153*'Fisico SPOT MAT'!T153+'Mono SPOT MAT'!V153*'Fisico SPOT MAT'!V153+'Mono SPOT MAT'!W153*'Fisico SPOT MAT'!W153)/'Fisico SPOT MAT'!AC153</f>
        <v>60</v>
      </c>
      <c r="AD153" s="85"/>
      <c r="AE153" s="41">
        <v>43.1746883483953</v>
      </c>
      <c r="AF153" s="42">
        <v>32.38727073067372</v>
      </c>
      <c r="AG153">
        <v>5050</v>
      </c>
      <c r="AH153" s="64">
        <f t="shared" si="20"/>
        <v>2.4417914635166831</v>
      </c>
      <c r="AJ153" s="41">
        <v>0.85</v>
      </c>
      <c r="AK153">
        <v>336</v>
      </c>
    </row>
    <row r="154" spans="1:37" hidden="1" x14ac:dyDescent="0.3">
      <c r="A154" s="3">
        <f>+'Mono ASIG'!A154</f>
        <v>1408.96</v>
      </c>
      <c r="B154" s="3">
        <f>+'Mono ASIG'!B154</f>
        <v>1438.46</v>
      </c>
      <c r="C154" s="1">
        <f>+'Mono ASIG'!C154</f>
        <v>2026</v>
      </c>
      <c r="D154" s="1">
        <f t="shared" si="51"/>
        <v>2</v>
      </c>
      <c r="E154" s="1">
        <f>+'Fisico SPOT MAT'!E154</f>
        <v>6</v>
      </c>
      <c r="F154" s="1" t="str">
        <f>+'Mono ASIG'!F154</f>
        <v>sáb</v>
      </c>
      <c r="G154" s="56">
        <f>+'Mono ASIG'!G154</f>
        <v>46060</v>
      </c>
      <c r="H154" s="17">
        <f t="shared" si="49"/>
        <v>45.175425579528628</v>
      </c>
      <c r="I154" s="17">
        <f t="shared" si="50"/>
        <v>34.408362655592676</v>
      </c>
      <c r="J154" s="17">
        <v>22</v>
      </c>
      <c r="K154" s="17">
        <v>22</v>
      </c>
      <c r="L154" s="17">
        <v>32</v>
      </c>
      <c r="M154" s="44">
        <f>SUMPRODUCT(H154:L154,'Fisico SPOT MAT'!H154:L154)*24</f>
        <v>8670167.0676393062</v>
      </c>
      <c r="N154" s="19">
        <f>+'Fisico SPOT MAT'!AH154</f>
        <v>16.881052497044188</v>
      </c>
      <c r="O154" s="19">
        <f t="shared" si="34"/>
        <v>15.029761904761905</v>
      </c>
      <c r="P154" s="19">
        <v>6</v>
      </c>
      <c r="Q154" s="19">
        <v>6</v>
      </c>
      <c r="R154" s="19">
        <v>0</v>
      </c>
      <c r="S154" s="44">
        <f>SUMPRODUCT(N154:R154,'Fisico SPOT MAT'!N154:R154)*E154</f>
        <v>1477976.7769866074</v>
      </c>
      <c r="T154" s="17">
        <v>50</v>
      </c>
      <c r="U154" s="17">
        <v>18</v>
      </c>
      <c r="V154" s="17">
        <v>50</v>
      </c>
      <c r="W154" s="17">
        <v>60</v>
      </c>
      <c r="X154" s="28">
        <f>SUMPRODUCT(T154:W154,'Fisico SPOT MAT'!T154:W154)*24</f>
        <v>1641790.6379999996</v>
      </c>
      <c r="Y154" s="19">
        <v>0</v>
      </c>
      <c r="Z154" s="19">
        <v>5</v>
      </c>
      <c r="AA154" s="19">
        <v>0</v>
      </c>
      <c r="AB154" s="28">
        <f>SUMPRODUCT(Y154:AA154,'Fisico SPOT MAT'!Y154:AA154)*E154</f>
        <v>15450</v>
      </c>
      <c r="AC154" s="122">
        <f>(T154*'Fisico SPOT MAT'!T154+'Mono SPOT MAT'!V154*'Fisico SPOT MAT'!V154+'Mono SPOT MAT'!W154*'Fisico SPOT MAT'!W154)/'Fisico SPOT MAT'!AC154</f>
        <v>60</v>
      </c>
      <c r="AD154" s="85"/>
      <c r="AE154" s="41">
        <v>41.965269863727052</v>
      </c>
      <c r="AF154" s="42">
        <v>31.198206939791099</v>
      </c>
      <c r="AG154">
        <v>5050</v>
      </c>
      <c r="AH154" s="64">
        <f t="shared" ref="AH154:AH217" si="52">0.075*0.9*(AE154-7)</f>
        <v>2.360155715801576</v>
      </c>
      <c r="AJ154" s="41">
        <v>0.85</v>
      </c>
      <c r="AK154">
        <v>336</v>
      </c>
    </row>
    <row r="155" spans="1:37" hidden="1" x14ac:dyDescent="0.3">
      <c r="A155" s="3">
        <f>+'Mono ASIG'!A155</f>
        <v>1408.96</v>
      </c>
      <c r="B155" s="3">
        <f>+'Mono ASIG'!B155</f>
        <v>1438.46</v>
      </c>
      <c r="C155" s="1">
        <f>+'Mono ASIG'!C155</f>
        <v>2026</v>
      </c>
      <c r="D155" s="1">
        <f t="shared" ref="D155:D160" si="53">MONTH(G155)</f>
        <v>2</v>
      </c>
      <c r="E155" s="1">
        <f>+'Fisico SPOT MAT'!E155</f>
        <v>4</v>
      </c>
      <c r="F155" s="1" t="str">
        <f>+'Mono ASIG'!F155</f>
        <v>dom</v>
      </c>
      <c r="G155" s="56">
        <f>+'Mono ASIG'!G155</f>
        <v>46061</v>
      </c>
      <c r="H155" s="17">
        <f t="shared" ref="H155:H160" si="54">+AE155+AH155+AI155+AJ155</f>
        <v>44.751881918844411</v>
      </c>
      <c r="I155" s="17">
        <f t="shared" ref="I155:I160" si="55">+AF155+AH155+AI155+AJ155</f>
        <v>34.145070846648366</v>
      </c>
      <c r="J155" s="17">
        <v>22</v>
      </c>
      <c r="K155" s="17">
        <v>22</v>
      </c>
      <c r="L155" s="17">
        <v>32</v>
      </c>
      <c r="M155" s="44">
        <f>SUMPRODUCT(H155:L155,'Fisico SPOT MAT'!H155:L155)*24</f>
        <v>8300409.6529541481</v>
      </c>
      <c r="N155" s="19">
        <f>+'Fisico SPOT MAT'!AH155</f>
        <v>16.852852422780163</v>
      </c>
      <c r="O155" s="19">
        <f t="shared" si="34"/>
        <v>15.029761904761905</v>
      </c>
      <c r="P155" s="19">
        <v>6</v>
      </c>
      <c r="Q155" s="19">
        <v>6</v>
      </c>
      <c r="R155" s="19">
        <v>0</v>
      </c>
      <c r="S155" s="44">
        <f>SUMPRODUCT(N155:R155,'Fisico SPOT MAT'!N155:R155)*E155</f>
        <v>961003.28719047608</v>
      </c>
      <c r="T155" s="17">
        <v>50</v>
      </c>
      <c r="U155" s="17">
        <v>18</v>
      </c>
      <c r="V155" s="17">
        <v>50</v>
      </c>
      <c r="W155" s="17">
        <v>60</v>
      </c>
      <c r="X155" s="28">
        <f>SUMPRODUCT(T155:W155,'Fisico SPOT MAT'!T155:W155)*24</f>
        <v>2251037.3759999997</v>
      </c>
      <c r="Y155" s="19">
        <v>0</v>
      </c>
      <c r="Z155" s="19">
        <v>5</v>
      </c>
      <c r="AA155" s="19">
        <v>0</v>
      </c>
      <c r="AB155" s="28">
        <f>SUMPRODUCT(Y155:AA155,'Fisico SPOT MAT'!Y155:AA155)*E155</f>
        <v>10300</v>
      </c>
      <c r="AC155" s="122">
        <f>(T155*'Fisico SPOT MAT'!T155+'Mono SPOT MAT'!V155*'Fisico SPOT MAT'!V155+'Mono SPOT MAT'!W155*'Fisico SPOT MAT'!W155)/'Fisico SPOT MAT'!AC155</f>
        <v>60</v>
      </c>
      <c r="AD155" s="85"/>
      <c r="AE155" s="41">
        <v>41.568507652313265</v>
      </c>
      <c r="AF155" s="42">
        <v>30.96169658011722</v>
      </c>
      <c r="AG155">
        <v>5050</v>
      </c>
      <c r="AH155" s="64">
        <f t="shared" si="52"/>
        <v>2.3333742665311457</v>
      </c>
      <c r="AJ155" s="41">
        <v>0.85</v>
      </c>
      <c r="AK155">
        <v>336</v>
      </c>
    </row>
    <row r="156" spans="1:37" hidden="1" x14ac:dyDescent="0.3">
      <c r="A156" s="3">
        <f>+'Mono ASIG'!A156</f>
        <v>1408.96</v>
      </c>
      <c r="B156" s="3">
        <f>+'Mono ASIG'!B156</f>
        <v>1438.46</v>
      </c>
      <c r="C156" s="1">
        <f>+'Mono ASIG'!C156</f>
        <v>2026</v>
      </c>
      <c r="D156" s="1">
        <f t="shared" si="53"/>
        <v>2</v>
      </c>
      <c r="E156" s="1">
        <f>+'Fisico SPOT MAT'!E156</f>
        <v>16</v>
      </c>
      <c r="F156" s="1" t="str">
        <f>+'Mono ASIG'!F156</f>
        <v>lun</v>
      </c>
      <c r="G156" s="56">
        <f>+'Mono ASIG'!G156</f>
        <v>46062</v>
      </c>
      <c r="H156" s="17">
        <f t="shared" si="54"/>
        <v>46.053988498482774</v>
      </c>
      <c r="I156" s="17">
        <f t="shared" si="55"/>
        <v>34.23839832623068</v>
      </c>
      <c r="J156" s="17">
        <v>22</v>
      </c>
      <c r="K156" s="17">
        <v>22</v>
      </c>
      <c r="L156" s="17">
        <v>32</v>
      </c>
      <c r="M156" s="44">
        <f>SUMPRODUCT(H156:L156,'Fisico SPOT MAT'!H156:L156)*24</f>
        <v>9598386.9869346507</v>
      </c>
      <c r="N156" s="19">
        <f>+'Fisico SPOT MAT'!AH156</f>
        <v>16.839926331965383</v>
      </c>
      <c r="O156" s="19">
        <f t="shared" si="34"/>
        <v>15.029761904761905</v>
      </c>
      <c r="P156" s="19">
        <v>6</v>
      </c>
      <c r="Q156" s="19">
        <v>6</v>
      </c>
      <c r="R156" s="19">
        <v>0</v>
      </c>
      <c r="S156" s="44">
        <f>SUMPRODUCT(N156:R156,'Fisico SPOT MAT'!N156:R156)*E156</f>
        <v>3805355.5576230166</v>
      </c>
      <c r="T156" s="17">
        <v>50</v>
      </c>
      <c r="U156" s="17">
        <v>18</v>
      </c>
      <c r="V156" s="17">
        <v>50</v>
      </c>
      <c r="W156" s="17">
        <v>60</v>
      </c>
      <c r="X156" s="28">
        <f>SUMPRODUCT(T156:W156,'Fisico SPOT MAT'!T156:W156)*24</f>
        <v>2483135.8200000003</v>
      </c>
      <c r="Y156" s="19">
        <v>0</v>
      </c>
      <c r="Z156" s="19">
        <v>5</v>
      </c>
      <c r="AA156" s="19">
        <v>0</v>
      </c>
      <c r="AB156" s="28">
        <f>SUMPRODUCT(Y156:AA156,'Fisico SPOT MAT'!Y156:AA156)*E156</f>
        <v>41200</v>
      </c>
      <c r="AC156" s="122">
        <f>(T156*'Fisico SPOT MAT'!T156+'Mono SPOT MAT'!V156*'Fisico SPOT MAT'!V156+'Mono SPOT MAT'!W156*'Fisico SPOT MAT'!W156)/'Fisico SPOT MAT'!AC156</f>
        <v>60</v>
      </c>
      <c r="AD156" s="85"/>
      <c r="AE156" s="41">
        <v>42.788279623871446</v>
      </c>
      <c r="AF156" s="42">
        <v>30.972689451619356</v>
      </c>
      <c r="AG156">
        <v>5050</v>
      </c>
      <c r="AH156" s="64">
        <f t="shared" si="52"/>
        <v>2.4157088746113229</v>
      </c>
      <c r="AJ156" s="41">
        <v>0.85</v>
      </c>
      <c r="AK156">
        <v>336</v>
      </c>
    </row>
    <row r="157" spans="1:37" hidden="1" x14ac:dyDescent="0.3">
      <c r="A157" s="3">
        <f>+'Mono ASIG'!A157</f>
        <v>1408.96</v>
      </c>
      <c r="B157" s="3">
        <f>+'Mono ASIG'!B157</f>
        <v>1438.46</v>
      </c>
      <c r="C157" s="1">
        <f>+'Mono ASIG'!C157</f>
        <v>2026</v>
      </c>
      <c r="D157" s="1">
        <f t="shared" si="53"/>
        <v>2</v>
      </c>
      <c r="E157" s="1">
        <f>+'Fisico SPOT MAT'!E157</f>
        <v>16</v>
      </c>
      <c r="F157" s="1" t="str">
        <f>+'Mono ASIG'!F157</f>
        <v>mar</v>
      </c>
      <c r="G157" s="56">
        <f>+'Mono ASIG'!G157</f>
        <v>46063</v>
      </c>
      <c r="H157" s="17">
        <f t="shared" si="54"/>
        <v>56.555871559927837</v>
      </c>
      <c r="I157" s="17">
        <f t="shared" si="55"/>
        <v>34.901761903025857</v>
      </c>
      <c r="J157" s="17">
        <v>22</v>
      </c>
      <c r="K157" s="17">
        <v>22</v>
      </c>
      <c r="L157" s="17">
        <v>32</v>
      </c>
      <c r="M157" s="44">
        <f>SUMPRODUCT(H157:L157,'Fisico SPOT MAT'!H157:L157)*24</f>
        <v>12076962.777429527</v>
      </c>
      <c r="N157" s="19">
        <f>+'Fisico SPOT MAT'!AH157</f>
        <v>16.829894346772672</v>
      </c>
      <c r="O157" s="19">
        <f t="shared" si="34"/>
        <v>15.029761904761905</v>
      </c>
      <c r="P157" s="19">
        <v>6</v>
      </c>
      <c r="Q157" s="19">
        <v>6</v>
      </c>
      <c r="R157" s="19">
        <v>0</v>
      </c>
      <c r="S157" s="44">
        <f>SUMPRODUCT(N157:R157,'Fisico SPOT MAT'!N157:R157)*E157</f>
        <v>3773334.1614007922</v>
      </c>
      <c r="T157" s="17">
        <v>50</v>
      </c>
      <c r="U157" s="17">
        <v>18</v>
      </c>
      <c r="V157" s="17">
        <v>50</v>
      </c>
      <c r="W157" s="17">
        <v>60</v>
      </c>
      <c r="X157" s="28">
        <f>SUMPRODUCT(T157:W157,'Fisico SPOT MAT'!T157:W157)*24</f>
        <v>2148381.6600000011</v>
      </c>
      <c r="Y157" s="19">
        <v>0</v>
      </c>
      <c r="Z157" s="19">
        <v>5</v>
      </c>
      <c r="AA157" s="19">
        <v>0</v>
      </c>
      <c r="AB157" s="28">
        <f>SUMPRODUCT(Y157:AA157,'Fisico SPOT MAT'!Y157:AA157)*E157</f>
        <v>41200</v>
      </c>
      <c r="AC157" s="122">
        <f>(T157*'Fisico SPOT MAT'!T157+'Mono SPOT MAT'!V157*'Fisico SPOT MAT'!V157+'Mono SPOT MAT'!W157*'Fisico SPOT MAT'!W157)/'Fisico SPOT MAT'!AC157</f>
        <v>60</v>
      </c>
      <c r="AD157" s="85"/>
      <c r="AE157" s="41">
        <v>52.626109189627947</v>
      </c>
      <c r="AF157" s="42">
        <v>30.97199953272597</v>
      </c>
      <c r="AG157">
        <v>5050</v>
      </c>
      <c r="AH157" s="64">
        <f t="shared" si="52"/>
        <v>3.0797623702998864</v>
      </c>
      <c r="AJ157" s="41">
        <v>0.85</v>
      </c>
      <c r="AK157">
        <v>336</v>
      </c>
    </row>
    <row r="158" spans="1:37" hidden="1" x14ac:dyDescent="0.3">
      <c r="A158" s="3">
        <f>+'Mono ASIG'!A158</f>
        <v>1408.96</v>
      </c>
      <c r="B158" s="3">
        <f>+'Mono ASIG'!B158</f>
        <v>1438.46</v>
      </c>
      <c r="C158" s="1">
        <f>+'Mono ASIG'!C158</f>
        <v>2026</v>
      </c>
      <c r="D158" s="1">
        <f t="shared" si="53"/>
        <v>2</v>
      </c>
      <c r="E158" s="1">
        <f>+'Fisico SPOT MAT'!E158</f>
        <v>16</v>
      </c>
      <c r="F158" s="1" t="str">
        <f>+'Mono ASIG'!F158</f>
        <v>mié</v>
      </c>
      <c r="G158" s="56">
        <f>+'Mono ASIG'!G158</f>
        <v>46064</v>
      </c>
      <c r="H158" s="17">
        <f t="shared" si="54"/>
        <v>46.015953427293056</v>
      </c>
      <c r="I158" s="17">
        <f t="shared" si="55"/>
        <v>34.133462603906693</v>
      </c>
      <c r="J158" s="17">
        <v>22</v>
      </c>
      <c r="K158" s="17">
        <v>22</v>
      </c>
      <c r="L158" s="17">
        <v>32</v>
      </c>
      <c r="M158" s="44">
        <f>SUMPRODUCT(H158:L158,'Fisico SPOT MAT'!H158:L158)*24</f>
        <v>9420950.273614265</v>
      </c>
      <c r="N158" s="19">
        <f>+'Fisico SPOT MAT'!AH158</f>
        <v>16.86951784232695</v>
      </c>
      <c r="O158" s="19">
        <f t="shared" si="34"/>
        <v>15.029761904761905</v>
      </c>
      <c r="P158" s="19">
        <v>6</v>
      </c>
      <c r="Q158" s="19">
        <v>6</v>
      </c>
      <c r="R158" s="19">
        <v>0</v>
      </c>
      <c r="S158" s="44">
        <f>SUMPRODUCT(N158:R158,'Fisico SPOT MAT'!N158:R158)*E158</f>
        <v>3895588.6401706343</v>
      </c>
      <c r="T158" s="17">
        <v>50</v>
      </c>
      <c r="U158" s="17">
        <v>18</v>
      </c>
      <c r="V158" s="17">
        <v>50</v>
      </c>
      <c r="W158" s="17">
        <v>60</v>
      </c>
      <c r="X158" s="28">
        <f>SUMPRODUCT(T158:W158,'Fisico SPOT MAT'!T158:W158)*24</f>
        <v>2752291.3260000004</v>
      </c>
      <c r="Y158" s="19">
        <v>0</v>
      </c>
      <c r="Z158" s="19">
        <v>5</v>
      </c>
      <c r="AA158" s="19">
        <v>0</v>
      </c>
      <c r="AB158" s="28">
        <f>SUMPRODUCT(Y158:AA158,'Fisico SPOT MAT'!Y158:AA158)*E158</f>
        <v>41200</v>
      </c>
      <c r="AC158" s="122">
        <f>(T158*'Fisico SPOT MAT'!T158+'Mono SPOT MAT'!V158*'Fisico SPOT MAT'!V158+'Mono SPOT MAT'!W158*'Fisico SPOT MAT'!W158)/'Fisico SPOT MAT'!AC158</f>
        <v>60</v>
      </c>
      <c r="AD158" s="85"/>
      <c r="AE158" s="41">
        <v>42.752649580602395</v>
      </c>
      <c r="AF158" s="42">
        <v>30.870158757216032</v>
      </c>
      <c r="AG158">
        <v>5050</v>
      </c>
      <c r="AH158" s="64">
        <f t="shared" si="52"/>
        <v>2.413303846690662</v>
      </c>
      <c r="AJ158" s="41">
        <v>0.85</v>
      </c>
      <c r="AK158">
        <v>336</v>
      </c>
    </row>
    <row r="159" spans="1:37" hidden="1" x14ac:dyDescent="0.3">
      <c r="A159" s="3">
        <f>+'Mono ASIG'!A159</f>
        <v>1408.96</v>
      </c>
      <c r="B159" s="3">
        <f>+'Mono ASIG'!B159</f>
        <v>1438.46</v>
      </c>
      <c r="C159" s="1">
        <f>+'Mono ASIG'!C159</f>
        <v>2026</v>
      </c>
      <c r="D159" s="1">
        <f t="shared" si="53"/>
        <v>2</v>
      </c>
      <c r="E159" s="1">
        <f>+'Fisico SPOT MAT'!E159</f>
        <v>16</v>
      </c>
      <c r="F159" s="1" t="str">
        <f>+'Mono ASIG'!F159</f>
        <v>jue</v>
      </c>
      <c r="G159" s="56">
        <f>+'Mono ASIG'!G159</f>
        <v>46065</v>
      </c>
      <c r="H159" s="17">
        <f t="shared" si="54"/>
        <v>42.02539116497605</v>
      </c>
      <c r="I159" s="17">
        <f t="shared" si="55"/>
        <v>33.831080586284124</v>
      </c>
      <c r="J159" s="17">
        <v>22</v>
      </c>
      <c r="K159" s="17">
        <v>22</v>
      </c>
      <c r="L159" s="17">
        <v>32</v>
      </c>
      <c r="M159" s="44">
        <f>SUMPRODUCT(H159:L159,'Fisico SPOT MAT'!H159:L159)*24</f>
        <v>8091487.5639390908</v>
      </c>
      <c r="N159" s="19">
        <f>+'Fisico SPOT MAT'!AH159</f>
        <v>16.883492071351228</v>
      </c>
      <c r="O159" s="19">
        <f t="shared" si="34"/>
        <v>15.029761904761905</v>
      </c>
      <c r="P159" s="19">
        <v>6</v>
      </c>
      <c r="Q159" s="19">
        <v>6</v>
      </c>
      <c r="R159" s="19">
        <v>0</v>
      </c>
      <c r="S159" s="44">
        <f>SUMPRODUCT(N159:R159,'Fisico SPOT MAT'!N159:R159)*E159</f>
        <v>3948646.031456349</v>
      </c>
      <c r="T159" s="17">
        <v>50</v>
      </c>
      <c r="U159" s="17">
        <v>18</v>
      </c>
      <c r="V159" s="17">
        <v>50</v>
      </c>
      <c r="W159" s="17">
        <v>60</v>
      </c>
      <c r="X159" s="28">
        <f>SUMPRODUCT(T159:W159,'Fisico SPOT MAT'!T159:W159)*24</f>
        <v>2307367.65</v>
      </c>
      <c r="Y159" s="19">
        <v>0</v>
      </c>
      <c r="Z159" s="19">
        <v>5</v>
      </c>
      <c r="AA159" s="19">
        <v>0</v>
      </c>
      <c r="AB159" s="28">
        <f>SUMPRODUCT(Y159:AA159,'Fisico SPOT MAT'!Y159:AA159)*E159</f>
        <v>41200</v>
      </c>
      <c r="AC159" s="122">
        <f>(T159*'Fisico SPOT MAT'!T159+'Mono SPOT MAT'!V159*'Fisico SPOT MAT'!V159+'Mono SPOT MAT'!W159*'Fisico SPOT MAT'!W159)/'Fisico SPOT MAT'!AC159</f>
        <v>60.000000000000007</v>
      </c>
      <c r="AD159" s="85"/>
      <c r="AE159" s="41">
        <v>39.014417953139159</v>
      </c>
      <c r="AF159" s="42">
        <v>30.820107374447229</v>
      </c>
      <c r="AG159">
        <v>5050</v>
      </c>
      <c r="AH159" s="64">
        <f t="shared" si="52"/>
        <v>2.1609732118368932</v>
      </c>
      <c r="AJ159" s="41">
        <v>0.85</v>
      </c>
      <c r="AK159">
        <v>336</v>
      </c>
    </row>
    <row r="160" spans="1:37" hidden="1" x14ac:dyDescent="0.3">
      <c r="A160" s="3">
        <f>+'Mono ASIG'!A160</f>
        <v>1408.96</v>
      </c>
      <c r="B160" s="3">
        <f>+'Mono ASIG'!B160</f>
        <v>1438.46</v>
      </c>
      <c r="C160" s="1">
        <f>+'Mono ASIG'!C160</f>
        <v>2026</v>
      </c>
      <c r="D160" s="1">
        <f t="shared" si="53"/>
        <v>2</v>
      </c>
      <c r="E160" s="1">
        <f>+'Fisico SPOT MAT'!E160</f>
        <v>16</v>
      </c>
      <c r="F160" s="1" t="str">
        <f>+'Mono ASIG'!F160</f>
        <v>vie</v>
      </c>
      <c r="G160" s="56">
        <f>+'Mono ASIG'!G160</f>
        <v>46066</v>
      </c>
      <c r="H160" s="17">
        <f t="shared" si="54"/>
        <v>39.992823302127661</v>
      </c>
      <c r="I160" s="17">
        <f t="shared" si="55"/>
        <v>33.397957704842391</v>
      </c>
      <c r="J160" s="17">
        <v>22</v>
      </c>
      <c r="K160" s="17">
        <v>22</v>
      </c>
      <c r="L160" s="17">
        <v>32</v>
      </c>
      <c r="M160" s="44">
        <f>SUMPRODUCT(H160:L160,'Fisico SPOT MAT'!H160:L160)*24</f>
        <v>7266593.3551353347</v>
      </c>
      <c r="N160" s="19">
        <f>+'Fisico SPOT MAT'!AH160</f>
        <v>16.900425131087793</v>
      </c>
      <c r="O160" s="19">
        <f t="shared" si="34"/>
        <v>15.029761904761905</v>
      </c>
      <c r="P160" s="19">
        <v>6</v>
      </c>
      <c r="Q160" s="19">
        <v>6</v>
      </c>
      <c r="R160" s="19">
        <v>0</v>
      </c>
      <c r="S160" s="44">
        <f>SUMPRODUCT(N160:R160,'Fisico SPOT MAT'!N160:R160)*E160</f>
        <v>4007568.7210079366</v>
      </c>
      <c r="T160" s="17">
        <v>50</v>
      </c>
      <c r="U160" s="17">
        <v>18</v>
      </c>
      <c r="V160" s="17">
        <v>50</v>
      </c>
      <c r="W160" s="17">
        <v>60</v>
      </c>
      <c r="X160" s="28">
        <f>SUMPRODUCT(T160:W160,'Fisico SPOT MAT'!T160:W160)*24</f>
        <v>1984181.7119999996</v>
      </c>
      <c r="Y160" s="19">
        <v>0</v>
      </c>
      <c r="Z160" s="19">
        <v>5</v>
      </c>
      <c r="AA160" s="19">
        <v>0</v>
      </c>
      <c r="AB160" s="28">
        <f>SUMPRODUCT(Y160:AA160,'Fisico SPOT MAT'!Y160:AA160)*E160</f>
        <v>41200</v>
      </c>
      <c r="AC160" s="122">
        <f>(T160*'Fisico SPOT MAT'!T160+'Mono SPOT MAT'!V160*'Fisico SPOT MAT'!V160+'Mono SPOT MAT'!W160*'Fisico SPOT MAT'!W160)/'Fisico SPOT MAT'!AC160</f>
        <v>59.999999999999993</v>
      </c>
      <c r="AD160" s="85"/>
      <c r="AE160" s="41">
        <v>37.110373116747219</v>
      </c>
      <c r="AF160" s="42">
        <v>30.515507519461949</v>
      </c>
      <c r="AG160">
        <v>5050</v>
      </c>
      <c r="AH160" s="64">
        <f t="shared" si="52"/>
        <v>2.0324501853804375</v>
      </c>
      <c r="AJ160" s="41">
        <v>0.85</v>
      </c>
      <c r="AK160">
        <v>336</v>
      </c>
    </row>
    <row r="161" spans="1:37" hidden="1" x14ac:dyDescent="0.3">
      <c r="A161" s="3">
        <f>+'Mono ASIG'!A161</f>
        <v>1408.96</v>
      </c>
      <c r="B161" s="3">
        <f>+'Mono ASIG'!B161</f>
        <v>1438.46</v>
      </c>
      <c r="C161" s="1">
        <f>+'Mono ASIG'!C161</f>
        <v>2026</v>
      </c>
      <c r="D161" s="1">
        <f t="shared" ref="D161:D170" si="56">MONTH(G161)</f>
        <v>2</v>
      </c>
      <c r="E161" s="1">
        <f>+'Fisico SPOT MAT'!E161</f>
        <v>6</v>
      </c>
      <c r="F161" s="1" t="str">
        <f>+'Mono ASIG'!F161</f>
        <v>sáb</v>
      </c>
      <c r="G161" s="56">
        <f>+'Mono ASIG'!G161</f>
        <v>46067</v>
      </c>
      <c r="H161" s="17">
        <f t="shared" ref="H161:H170" si="57">+AE161+AH161+AI161+AJ161</f>
        <v>39.952619309348698</v>
      </c>
      <c r="I161" s="17">
        <f t="shared" ref="I161:I170" si="58">+AF161+AH161+AI161+AJ161</f>
        <v>33.875776550728375</v>
      </c>
      <c r="J161" s="17">
        <v>22</v>
      </c>
      <c r="K161" s="17">
        <v>22</v>
      </c>
      <c r="L161" s="17">
        <v>32</v>
      </c>
      <c r="M161" s="44">
        <f>SUMPRODUCT(H161:L161,'Fisico SPOT MAT'!H161:L161)*24</f>
        <v>5957396.9392140228</v>
      </c>
      <c r="N161" s="19">
        <f>+'Fisico SPOT MAT'!AH161</f>
        <v>16.885954580503636</v>
      </c>
      <c r="O161" s="19">
        <f t="shared" si="34"/>
        <v>15.029761904761905</v>
      </c>
      <c r="P161" s="19">
        <v>6</v>
      </c>
      <c r="Q161" s="19">
        <v>6</v>
      </c>
      <c r="R161" s="19">
        <v>0</v>
      </c>
      <c r="S161" s="44">
        <f>SUMPRODUCT(N161:R161,'Fisico SPOT MAT'!N161:R161)*E161</f>
        <v>1480408.3357589284</v>
      </c>
      <c r="T161" s="17">
        <v>50</v>
      </c>
      <c r="U161" s="17">
        <v>18</v>
      </c>
      <c r="V161" s="17">
        <v>50</v>
      </c>
      <c r="W161" s="17">
        <v>60</v>
      </c>
      <c r="X161" s="28">
        <f>SUMPRODUCT(T161:W161,'Fisico SPOT MAT'!T161:W161)*24</f>
        <v>2869798.2779999999</v>
      </c>
      <c r="Y161" s="19">
        <v>0</v>
      </c>
      <c r="Z161" s="19">
        <v>5</v>
      </c>
      <c r="AA161" s="19">
        <v>0</v>
      </c>
      <c r="AB161" s="28">
        <f>SUMPRODUCT(Y161:AA161,'Fisico SPOT MAT'!Y161:AA161)*E161</f>
        <v>15450</v>
      </c>
      <c r="AC161" s="122">
        <f>(T161*'Fisico SPOT MAT'!T161+'Mono SPOT MAT'!V161*'Fisico SPOT MAT'!V161+'Mono SPOT MAT'!W161*'Fisico SPOT MAT'!W161)/'Fisico SPOT MAT'!AC161</f>
        <v>60</v>
      </c>
      <c r="AD161" s="85"/>
      <c r="AE161" s="41">
        <v>37.072711296813765</v>
      </c>
      <c r="AF161" s="42">
        <v>30.995868538193442</v>
      </c>
      <c r="AG161">
        <v>5050</v>
      </c>
      <c r="AH161" s="64">
        <f t="shared" si="52"/>
        <v>2.0299080125349294</v>
      </c>
      <c r="AJ161" s="41">
        <v>0.85</v>
      </c>
      <c r="AK161">
        <v>336</v>
      </c>
    </row>
    <row r="162" spans="1:37" hidden="1" x14ac:dyDescent="0.3">
      <c r="A162" s="3">
        <f>+'Mono ASIG'!A162</f>
        <v>1408.96</v>
      </c>
      <c r="B162" s="3">
        <f>+'Mono ASIG'!B162</f>
        <v>1438.46</v>
      </c>
      <c r="C162" s="1">
        <f>+'Mono ASIG'!C162</f>
        <v>2026</v>
      </c>
      <c r="D162" s="1">
        <f t="shared" si="56"/>
        <v>2</v>
      </c>
      <c r="E162" s="1">
        <f>+'Fisico SPOT MAT'!E162</f>
        <v>4</v>
      </c>
      <c r="F162" s="1" t="str">
        <f>+'Mono ASIG'!F162</f>
        <v>dom</v>
      </c>
      <c r="G162" s="56">
        <f>+'Mono ASIG'!G162</f>
        <v>46068</v>
      </c>
      <c r="H162" s="17">
        <f t="shared" si="57"/>
        <v>40.137623181452327</v>
      </c>
      <c r="I162" s="17">
        <f t="shared" si="58"/>
        <v>33.415194877973889</v>
      </c>
      <c r="J162" s="17">
        <v>22</v>
      </c>
      <c r="K162" s="17">
        <v>22</v>
      </c>
      <c r="L162" s="17">
        <v>32</v>
      </c>
      <c r="M162" s="44">
        <f>SUMPRODUCT(H162:L162,'Fisico SPOT MAT'!H162:L162)*24</f>
        <v>6388882.4322562711</v>
      </c>
      <c r="N162" s="19">
        <f>+'Fisico SPOT MAT'!AH162</f>
        <v>16.88110423563981</v>
      </c>
      <c r="O162" s="19">
        <f t="shared" si="34"/>
        <v>15.029761904761905</v>
      </c>
      <c r="P162" s="19">
        <v>6</v>
      </c>
      <c r="Q162" s="19">
        <v>6</v>
      </c>
      <c r="R162" s="19">
        <v>0</v>
      </c>
      <c r="S162" s="44">
        <f>SUMPRODUCT(N162:R162,'Fisico SPOT MAT'!N162:R162)*E162</f>
        <v>985413.48780059558</v>
      </c>
      <c r="T162" s="17">
        <v>50</v>
      </c>
      <c r="U162" s="17">
        <v>18</v>
      </c>
      <c r="V162" s="17">
        <v>50</v>
      </c>
      <c r="W162" s="17">
        <v>60</v>
      </c>
      <c r="X162" s="28">
        <f>SUMPRODUCT(T162:W162,'Fisico SPOT MAT'!T162:W162)*24</f>
        <v>2012854.5120000001</v>
      </c>
      <c r="Y162" s="19">
        <v>0</v>
      </c>
      <c r="Z162" s="19">
        <v>5</v>
      </c>
      <c r="AA162" s="19">
        <v>0</v>
      </c>
      <c r="AB162" s="28">
        <f>SUMPRODUCT(Y162:AA162,'Fisico SPOT MAT'!Y162:AA162)*E162</f>
        <v>10300</v>
      </c>
      <c r="AC162" s="122">
        <f>(T162*'Fisico SPOT MAT'!T162+'Mono SPOT MAT'!V162*'Fisico SPOT MAT'!V162+'Mono SPOT MAT'!W162*'Fisico SPOT MAT'!W162)/'Fisico SPOT MAT'!AC162</f>
        <v>60</v>
      </c>
      <c r="AD162" s="85"/>
      <c r="AE162" s="41">
        <v>37.246017031805458</v>
      </c>
      <c r="AF162" s="42">
        <v>30.52358872832702</v>
      </c>
      <c r="AG162">
        <v>5050</v>
      </c>
      <c r="AH162" s="64">
        <f t="shared" si="52"/>
        <v>2.0416061496468685</v>
      </c>
      <c r="AJ162" s="41">
        <v>0.85</v>
      </c>
      <c r="AK162">
        <v>336</v>
      </c>
    </row>
    <row r="163" spans="1:37" hidden="1" x14ac:dyDescent="0.3">
      <c r="A163" s="3">
        <f>+'Mono ASIG'!A163</f>
        <v>1408.96</v>
      </c>
      <c r="B163" s="3">
        <f>+'Mono ASIG'!B163</f>
        <v>1423.364</v>
      </c>
      <c r="C163" s="1">
        <f>+'Mono ASIG'!C163</f>
        <v>2026</v>
      </c>
      <c r="D163" s="1">
        <f t="shared" si="56"/>
        <v>2</v>
      </c>
      <c r="E163" s="1">
        <f>+'Fisico SPOT MAT'!E163</f>
        <v>4</v>
      </c>
      <c r="F163" s="1" t="str">
        <f>+'Mono ASIG'!F163</f>
        <v>lun</v>
      </c>
      <c r="G163" s="56">
        <f>+'Mono ASIG'!G163</f>
        <v>46069</v>
      </c>
      <c r="H163" s="17">
        <f t="shared" si="57"/>
        <v>40.976721993369601</v>
      </c>
      <c r="I163" s="17">
        <f t="shared" si="58"/>
        <v>33.61748591964146</v>
      </c>
      <c r="J163" s="17">
        <v>22</v>
      </c>
      <c r="K163" s="17">
        <v>22</v>
      </c>
      <c r="L163" s="17">
        <v>32</v>
      </c>
      <c r="M163" s="44">
        <f>SUMPRODUCT(H163:L163,'Fisico SPOT MAT'!H163:L163)*24</f>
        <v>6426605.7042798046</v>
      </c>
      <c r="N163" s="19">
        <f>+'Fisico SPOT MAT'!AH163</f>
        <v>16.857463413464323</v>
      </c>
      <c r="O163" s="19">
        <f t="shared" si="34"/>
        <v>15.029761904761905</v>
      </c>
      <c r="P163" s="19">
        <v>6</v>
      </c>
      <c r="Q163" s="19">
        <v>6</v>
      </c>
      <c r="R163" s="19">
        <v>0</v>
      </c>
      <c r="S163" s="44">
        <f>SUMPRODUCT(N163:R163,'Fisico SPOT MAT'!N163:R163)*E163</f>
        <v>965278.52942361124</v>
      </c>
      <c r="T163" s="17">
        <v>50</v>
      </c>
      <c r="U163" s="17">
        <v>18</v>
      </c>
      <c r="V163" s="17">
        <v>50</v>
      </c>
      <c r="W163" s="17">
        <v>60</v>
      </c>
      <c r="X163" s="28">
        <f>SUMPRODUCT(T163:W163,'Fisico SPOT MAT'!T163:W163)*24</f>
        <v>2139066.75</v>
      </c>
      <c r="Y163" s="19">
        <v>0</v>
      </c>
      <c r="Z163" s="19">
        <v>5</v>
      </c>
      <c r="AA163" s="19">
        <v>0</v>
      </c>
      <c r="AB163" s="28">
        <f>SUMPRODUCT(Y163:AA163,'Fisico SPOT MAT'!Y163:AA163)*E163</f>
        <v>10300</v>
      </c>
      <c r="AC163" s="122">
        <f>(T163*'Fisico SPOT MAT'!T163+'Mono SPOT MAT'!V163*'Fisico SPOT MAT'!V163+'Mono SPOT MAT'!W163*'Fisico SPOT MAT'!W163)/'Fisico SPOT MAT'!AC163</f>
        <v>59.999999999999993</v>
      </c>
      <c r="AD163" s="85"/>
      <c r="AE163" s="41">
        <v>38.032058073414142</v>
      </c>
      <c r="AF163" s="42">
        <v>30.672821999686001</v>
      </c>
      <c r="AG163">
        <v>5050</v>
      </c>
      <c r="AH163" s="64">
        <f t="shared" si="52"/>
        <v>2.0946639199554546</v>
      </c>
      <c r="AJ163" s="41">
        <v>0.85</v>
      </c>
      <c r="AK163">
        <v>336</v>
      </c>
    </row>
    <row r="164" spans="1:37" hidden="1" x14ac:dyDescent="0.3">
      <c r="A164" s="3">
        <f>+'Mono ASIG'!A164</f>
        <v>1408.96</v>
      </c>
      <c r="B164" s="3">
        <f>+'Mono ASIG'!B164</f>
        <v>1423.364</v>
      </c>
      <c r="C164" s="1">
        <f>+'Mono ASIG'!C164</f>
        <v>2026</v>
      </c>
      <c r="D164" s="1">
        <f t="shared" si="56"/>
        <v>2</v>
      </c>
      <c r="E164" s="1">
        <f>+'Fisico SPOT MAT'!E164</f>
        <v>4</v>
      </c>
      <c r="F164" s="1" t="str">
        <f>+'Mono ASIG'!F164</f>
        <v>mar</v>
      </c>
      <c r="G164" s="56">
        <f>+'Mono ASIG'!G164</f>
        <v>46070</v>
      </c>
      <c r="H164" s="17">
        <f t="shared" si="57"/>
        <v>41.650033242729513</v>
      </c>
      <c r="I164" s="17">
        <f t="shared" si="58"/>
        <v>34.107571490059776</v>
      </c>
      <c r="J164" s="17">
        <v>22</v>
      </c>
      <c r="K164" s="17">
        <v>22</v>
      </c>
      <c r="L164" s="17">
        <v>32</v>
      </c>
      <c r="M164" s="44">
        <f>SUMPRODUCT(H164:L164,'Fisico SPOT MAT'!H164:L164)*24</f>
        <v>6892341.080303248</v>
      </c>
      <c r="N164" s="19">
        <f>+'Fisico SPOT MAT'!AH164</f>
        <v>16.848313907400353</v>
      </c>
      <c r="O164" s="19">
        <f t="shared" si="34"/>
        <v>15.029761904761905</v>
      </c>
      <c r="P164" s="19">
        <v>6</v>
      </c>
      <c r="Q164" s="19">
        <v>6</v>
      </c>
      <c r="R164" s="19">
        <v>0</v>
      </c>
      <c r="S164" s="44">
        <f>SUMPRODUCT(N164:R164,'Fisico SPOT MAT'!N164:R164)*E164</f>
        <v>956966.30605555582</v>
      </c>
      <c r="T164" s="17">
        <v>50</v>
      </c>
      <c r="U164" s="17">
        <v>18</v>
      </c>
      <c r="V164" s="17">
        <v>50</v>
      </c>
      <c r="W164" s="17">
        <v>60</v>
      </c>
      <c r="X164" s="28">
        <f>SUMPRODUCT(T164:W164,'Fisico SPOT MAT'!T164:W164)*24</f>
        <v>2368707.4079999998</v>
      </c>
      <c r="Y164" s="19">
        <v>0</v>
      </c>
      <c r="Z164" s="19">
        <v>5</v>
      </c>
      <c r="AA164" s="19">
        <v>0</v>
      </c>
      <c r="AB164" s="28">
        <f>SUMPRODUCT(Y164:AA164,'Fisico SPOT MAT'!Y164:AA164)*E164</f>
        <v>10300</v>
      </c>
      <c r="AC164" s="122">
        <f>(T164*'Fisico SPOT MAT'!T164+'Mono SPOT MAT'!V164*'Fisico SPOT MAT'!V164+'Mono SPOT MAT'!W164*'Fisico SPOT MAT'!W164)/'Fisico SPOT MAT'!AC164</f>
        <v>60</v>
      </c>
      <c r="AD164" s="85"/>
      <c r="AE164" s="41">
        <v>38.66279460677238</v>
      </c>
      <c r="AF164" s="42">
        <v>31.120332854102639</v>
      </c>
      <c r="AG164">
        <v>5050</v>
      </c>
      <c r="AH164" s="64">
        <f t="shared" si="52"/>
        <v>2.1372386359571358</v>
      </c>
      <c r="AJ164" s="41">
        <v>0.85</v>
      </c>
      <c r="AK164">
        <v>336</v>
      </c>
    </row>
    <row r="165" spans="1:37" hidden="1" x14ac:dyDescent="0.3">
      <c r="A165" s="3">
        <f>+'Mono ASIG'!A165</f>
        <v>1408.96</v>
      </c>
      <c r="B165" s="3">
        <f>+'Mono ASIG'!B165</f>
        <v>1423.364</v>
      </c>
      <c r="C165" s="1">
        <f>+'Mono ASIG'!C165</f>
        <v>2026</v>
      </c>
      <c r="D165" s="1">
        <f t="shared" si="56"/>
        <v>2</v>
      </c>
      <c r="E165" s="1">
        <f>+'Fisico SPOT MAT'!E165</f>
        <v>16</v>
      </c>
      <c r="F165" s="1" t="str">
        <f>+'Mono ASIG'!F165</f>
        <v>mié</v>
      </c>
      <c r="G165" s="56">
        <f>+'Mono ASIG'!G165</f>
        <v>46071</v>
      </c>
      <c r="H165" s="17">
        <f t="shared" si="57"/>
        <v>45.60187368682378</v>
      </c>
      <c r="I165" s="17">
        <f t="shared" si="58"/>
        <v>34.102379326160055</v>
      </c>
      <c r="J165" s="17">
        <v>22</v>
      </c>
      <c r="K165" s="17">
        <v>22</v>
      </c>
      <c r="L165" s="17">
        <v>32</v>
      </c>
      <c r="M165" s="44">
        <f>SUMPRODUCT(H165:L165,'Fisico SPOT MAT'!H165:L165)*24</f>
        <v>9435363.7286987137</v>
      </c>
      <c r="N165" s="19">
        <f>+'Fisico SPOT MAT'!AH165</f>
        <v>16.868167734319197</v>
      </c>
      <c r="O165" s="19">
        <f t="shared" si="34"/>
        <v>15.029761904761905</v>
      </c>
      <c r="P165" s="19">
        <v>6</v>
      </c>
      <c r="Q165" s="19">
        <v>6</v>
      </c>
      <c r="R165" s="19">
        <v>0</v>
      </c>
      <c r="S165" s="44">
        <f>SUMPRODUCT(N165:R165,'Fisico SPOT MAT'!N165:R165)*E165</f>
        <v>3886770.6390357148</v>
      </c>
      <c r="T165" s="17">
        <v>50</v>
      </c>
      <c r="U165" s="17">
        <v>18</v>
      </c>
      <c r="V165" s="17">
        <v>50</v>
      </c>
      <c r="W165" s="17">
        <v>60</v>
      </c>
      <c r="X165" s="28">
        <f>SUMPRODUCT(T165:W165,'Fisico SPOT MAT'!T165:W165)*24</f>
        <v>2038150.7279999992</v>
      </c>
      <c r="Y165" s="19">
        <v>0</v>
      </c>
      <c r="Z165" s="19">
        <v>5</v>
      </c>
      <c r="AA165" s="19">
        <v>0</v>
      </c>
      <c r="AB165" s="28">
        <f>SUMPRODUCT(Y165:AA165,'Fisico SPOT MAT'!Y165:AA165)*E165</f>
        <v>41200</v>
      </c>
      <c r="AC165" s="122">
        <f>(T165*'Fisico SPOT MAT'!T165+'Mono SPOT MAT'!V165*'Fisico SPOT MAT'!V165+'Mono SPOT MAT'!W165*'Fisico SPOT MAT'!W165)/'Fisico SPOT MAT'!AC165</f>
        <v>59.999999999999993</v>
      </c>
      <c r="AD165" s="85"/>
      <c r="AE165" s="41">
        <v>42.364752868218993</v>
      </c>
      <c r="AF165" s="42">
        <v>30.865258507555271</v>
      </c>
      <c r="AG165">
        <v>5050</v>
      </c>
      <c r="AH165" s="64">
        <f t="shared" si="52"/>
        <v>2.3871208186047821</v>
      </c>
      <c r="AJ165" s="41">
        <v>0.85</v>
      </c>
      <c r="AK165">
        <v>336</v>
      </c>
    </row>
    <row r="166" spans="1:37" hidden="1" x14ac:dyDescent="0.3">
      <c r="A166" s="3">
        <f>+'Mono ASIG'!A166</f>
        <v>1408.96</v>
      </c>
      <c r="B166" s="3">
        <f>+'Mono ASIG'!B166</f>
        <v>1423.364</v>
      </c>
      <c r="C166" s="1">
        <f>+'Mono ASIG'!C166</f>
        <v>2026</v>
      </c>
      <c r="D166" s="1">
        <f t="shared" si="56"/>
        <v>2</v>
      </c>
      <c r="E166" s="1">
        <f>+'Fisico SPOT MAT'!E166</f>
        <v>16</v>
      </c>
      <c r="F166" s="1" t="str">
        <f>+'Mono ASIG'!F166</f>
        <v>jue</v>
      </c>
      <c r="G166" s="56">
        <f>+'Mono ASIG'!G166</f>
        <v>46072</v>
      </c>
      <c r="H166" s="17">
        <f t="shared" si="57"/>
        <v>42.060654990360682</v>
      </c>
      <c r="I166" s="17">
        <f t="shared" si="58"/>
        <v>34.034973106018839</v>
      </c>
      <c r="J166" s="17">
        <v>22</v>
      </c>
      <c r="K166" s="17">
        <v>22</v>
      </c>
      <c r="L166" s="17">
        <v>32</v>
      </c>
      <c r="M166" s="44">
        <f>SUMPRODUCT(H166:L166,'Fisico SPOT MAT'!H166:L166)*24</f>
        <v>8976562.2231363356</v>
      </c>
      <c r="N166" s="19">
        <f>+'Fisico SPOT MAT'!AH166</f>
        <v>16.877447701170261</v>
      </c>
      <c r="O166" s="19">
        <f t="shared" si="34"/>
        <v>15.029761904761905</v>
      </c>
      <c r="P166" s="19">
        <v>6</v>
      </c>
      <c r="Q166" s="19">
        <v>6</v>
      </c>
      <c r="R166" s="19">
        <v>0</v>
      </c>
      <c r="S166" s="44">
        <f>SUMPRODUCT(N166:R166,'Fisico SPOT MAT'!N166:R166)*E166</f>
        <v>3924368.3320119041</v>
      </c>
      <c r="T166" s="17">
        <v>50</v>
      </c>
      <c r="U166" s="17">
        <v>18</v>
      </c>
      <c r="V166" s="17">
        <v>50</v>
      </c>
      <c r="W166" s="17">
        <v>60</v>
      </c>
      <c r="X166" s="28">
        <f>SUMPRODUCT(T166:W166,'Fisico SPOT MAT'!T166:W166)*24</f>
        <v>1862387.142</v>
      </c>
      <c r="Y166" s="19">
        <v>0</v>
      </c>
      <c r="Z166" s="19">
        <v>5</v>
      </c>
      <c r="AA166" s="19">
        <v>0</v>
      </c>
      <c r="AB166" s="28">
        <f>SUMPRODUCT(Y166:AA166,'Fisico SPOT MAT'!Y166:AA166)*E166</f>
        <v>41200</v>
      </c>
      <c r="AC166" s="122">
        <f>(T166*'Fisico SPOT MAT'!T166+'Mono SPOT MAT'!V166*'Fisico SPOT MAT'!V166+'Mono SPOT MAT'!W166*'Fisico SPOT MAT'!W166)/'Fisico SPOT MAT'!AC166</f>
        <v>60</v>
      </c>
      <c r="AD166" s="85"/>
      <c r="AE166" s="41">
        <v>39.047451981602514</v>
      </c>
      <c r="AF166" s="42">
        <v>31.021770097260671</v>
      </c>
      <c r="AG166">
        <v>5050</v>
      </c>
      <c r="AH166" s="64">
        <f t="shared" si="52"/>
        <v>2.16320300875817</v>
      </c>
      <c r="AJ166" s="41">
        <v>0.85</v>
      </c>
      <c r="AK166">
        <v>336</v>
      </c>
    </row>
    <row r="167" spans="1:37" hidden="1" x14ac:dyDescent="0.3">
      <c r="A167" s="3">
        <f>+'Mono ASIG'!A167</f>
        <v>1408.96</v>
      </c>
      <c r="B167" s="3">
        <f>+'Mono ASIG'!B167</f>
        <v>1423.364</v>
      </c>
      <c r="C167" s="1">
        <f>+'Mono ASIG'!C167</f>
        <v>2026</v>
      </c>
      <c r="D167" s="1">
        <f t="shared" si="56"/>
        <v>2</v>
      </c>
      <c r="E167" s="1">
        <f>+'Fisico SPOT MAT'!E167</f>
        <v>16</v>
      </c>
      <c r="F167" s="1" t="str">
        <f>+'Mono ASIG'!F167</f>
        <v>vie</v>
      </c>
      <c r="G167" s="56">
        <f>+'Mono ASIG'!G167</f>
        <v>46073</v>
      </c>
      <c r="H167" s="17">
        <f t="shared" si="57"/>
        <v>41.011399375331713</v>
      </c>
      <c r="I167" s="17">
        <f t="shared" si="58"/>
        <v>33.80775124304629</v>
      </c>
      <c r="J167" s="17">
        <v>22</v>
      </c>
      <c r="K167" s="17">
        <v>22</v>
      </c>
      <c r="L167" s="17">
        <v>32</v>
      </c>
      <c r="M167" s="44">
        <f>SUMPRODUCT(H167:L167,'Fisico SPOT MAT'!H167:L167)*24</f>
        <v>8272714.339782875</v>
      </c>
      <c r="N167" s="19">
        <f>+'Fisico SPOT MAT'!AH167</f>
        <v>16.892491077326806</v>
      </c>
      <c r="O167" s="19">
        <f t="shared" si="34"/>
        <v>15.029761904761905</v>
      </c>
      <c r="P167" s="19">
        <v>6</v>
      </c>
      <c r="Q167" s="19">
        <v>6</v>
      </c>
      <c r="R167" s="19">
        <v>0</v>
      </c>
      <c r="S167" s="44">
        <f>SUMPRODUCT(N167:R167,'Fisico SPOT MAT'!N167:R167)*E167</f>
        <v>3973814.5267182542</v>
      </c>
      <c r="T167" s="17">
        <v>50</v>
      </c>
      <c r="U167" s="17">
        <v>18</v>
      </c>
      <c r="V167" s="17">
        <v>50</v>
      </c>
      <c r="W167" s="17">
        <v>60</v>
      </c>
      <c r="X167" s="28">
        <f>SUMPRODUCT(T167:W167,'Fisico SPOT MAT'!T167:W167)*24</f>
        <v>1454057.31</v>
      </c>
      <c r="Y167" s="19">
        <v>0</v>
      </c>
      <c r="Z167" s="19">
        <v>5</v>
      </c>
      <c r="AA167" s="19">
        <v>0</v>
      </c>
      <c r="AB167" s="28">
        <f>SUMPRODUCT(Y167:AA167,'Fisico SPOT MAT'!Y167:AA167)*E167</f>
        <v>41200</v>
      </c>
      <c r="AC167" s="122">
        <f>(T167*'Fisico SPOT MAT'!T167+'Mono SPOT MAT'!V167*'Fisico SPOT MAT'!V167+'Mono SPOT MAT'!W167*'Fisico SPOT MAT'!W167)/'Fisico SPOT MAT'!AC167</f>
        <v>59.999999999999993</v>
      </c>
      <c r="AD167" s="85"/>
      <c r="AE167" s="41">
        <v>38.064542740357574</v>
      </c>
      <c r="AF167" s="42">
        <v>30.860894608072154</v>
      </c>
      <c r="AG167">
        <v>5050</v>
      </c>
      <c r="AH167" s="64">
        <f t="shared" si="52"/>
        <v>2.0968566349741362</v>
      </c>
      <c r="AJ167" s="41">
        <v>0.85</v>
      </c>
      <c r="AK167">
        <v>336</v>
      </c>
    </row>
    <row r="168" spans="1:37" hidden="1" x14ac:dyDescent="0.3">
      <c r="A168" s="3">
        <f>+'Mono ASIG'!A168</f>
        <v>1408.96</v>
      </c>
      <c r="B168" s="3">
        <f>+'Mono ASIG'!B168</f>
        <v>1423.364</v>
      </c>
      <c r="C168" s="1">
        <f>+'Mono ASIG'!C168</f>
        <v>2026</v>
      </c>
      <c r="D168" s="1">
        <f t="shared" si="56"/>
        <v>2</v>
      </c>
      <c r="E168" s="1">
        <f>+'Fisico SPOT MAT'!E168</f>
        <v>6</v>
      </c>
      <c r="F168" s="1" t="str">
        <f>+'Mono ASIG'!F168</f>
        <v>sáb</v>
      </c>
      <c r="G168" s="56">
        <f>+'Mono ASIG'!G168</f>
        <v>46074</v>
      </c>
      <c r="H168" s="17">
        <f t="shared" si="57"/>
        <v>40.86016453523559</v>
      </c>
      <c r="I168" s="17">
        <f t="shared" si="58"/>
        <v>34.363857831941175</v>
      </c>
      <c r="J168" s="17">
        <v>22</v>
      </c>
      <c r="K168" s="17">
        <v>22</v>
      </c>
      <c r="L168" s="17">
        <v>32</v>
      </c>
      <c r="M168" s="44">
        <f>SUMPRODUCT(H168:L168,'Fisico SPOT MAT'!H168:L168)*24</f>
        <v>7139527.8845300991</v>
      </c>
      <c r="N168" s="19">
        <f>+'Fisico SPOT MAT'!AH168</f>
        <v>16.8529723647986</v>
      </c>
      <c r="O168" s="19">
        <f t="shared" si="34"/>
        <v>15.029761904761905</v>
      </c>
      <c r="P168" s="19">
        <v>6</v>
      </c>
      <c r="Q168" s="19">
        <v>6</v>
      </c>
      <c r="R168" s="19">
        <v>0</v>
      </c>
      <c r="S168" s="44">
        <f>SUMPRODUCT(N168:R168,'Fisico SPOT MAT'!N168:R168)*E168</f>
        <v>1443779.9701190472</v>
      </c>
      <c r="T168" s="17">
        <v>50</v>
      </c>
      <c r="U168" s="17">
        <v>18</v>
      </c>
      <c r="V168" s="17">
        <v>50</v>
      </c>
      <c r="W168" s="17">
        <v>60</v>
      </c>
      <c r="X168" s="28">
        <f>SUMPRODUCT(T168:W168,'Fisico SPOT MAT'!T168:W168)*24</f>
        <v>1835897.3579999995</v>
      </c>
      <c r="Y168" s="19">
        <v>0</v>
      </c>
      <c r="Z168" s="19">
        <v>5</v>
      </c>
      <c r="AA168" s="19">
        <v>0</v>
      </c>
      <c r="AB168" s="28">
        <f>SUMPRODUCT(Y168:AA168,'Fisico SPOT MAT'!Y168:AA168)*E168</f>
        <v>15450</v>
      </c>
      <c r="AC168" s="122">
        <f>(T168*'Fisico SPOT MAT'!T168+'Mono SPOT MAT'!V168*'Fisico SPOT MAT'!V168+'Mono SPOT MAT'!W168*'Fisico SPOT MAT'!W168)/'Fisico SPOT MAT'!AC168</f>
        <v>60</v>
      </c>
      <c r="AD168" s="85"/>
      <c r="AE168" s="41">
        <v>37.92287075900289</v>
      </c>
      <c r="AF168" s="42">
        <v>31.426564055708479</v>
      </c>
      <c r="AG168">
        <v>5050</v>
      </c>
      <c r="AH168" s="64">
        <f t="shared" si="52"/>
        <v>2.0872937762326953</v>
      </c>
      <c r="AJ168" s="41">
        <v>0.85</v>
      </c>
      <c r="AK168">
        <v>336</v>
      </c>
    </row>
    <row r="169" spans="1:37" hidden="1" x14ac:dyDescent="0.3">
      <c r="A169" s="3">
        <f>+'Mono ASIG'!A169</f>
        <v>1408.96</v>
      </c>
      <c r="B169" s="3">
        <f>+'Mono ASIG'!B169</f>
        <v>1423.364</v>
      </c>
      <c r="C169" s="1">
        <f>+'Mono ASIG'!C169</f>
        <v>2026</v>
      </c>
      <c r="D169" s="1">
        <f t="shared" si="56"/>
        <v>2</v>
      </c>
      <c r="E169" s="1">
        <f>+'Fisico SPOT MAT'!E169</f>
        <v>4</v>
      </c>
      <c r="F169" s="1" t="str">
        <f>+'Mono ASIG'!F169</f>
        <v>dom</v>
      </c>
      <c r="G169" s="56">
        <f>+'Mono ASIG'!G169</f>
        <v>46075</v>
      </c>
      <c r="H169" s="17">
        <f t="shared" si="57"/>
        <v>40.771472921949318</v>
      </c>
      <c r="I169" s="17">
        <f t="shared" si="58"/>
        <v>34.00700106612301</v>
      </c>
      <c r="J169" s="17">
        <v>22</v>
      </c>
      <c r="K169" s="17">
        <v>22</v>
      </c>
      <c r="L169" s="17">
        <v>32</v>
      </c>
      <c r="M169" s="44">
        <f>SUMPRODUCT(H169:L169,'Fisico SPOT MAT'!H169:L169)*24</f>
        <v>6929963.1259216014</v>
      </c>
      <c r="N169" s="19">
        <f>+'Fisico SPOT MAT'!AH169</f>
        <v>16.841524741156537</v>
      </c>
      <c r="O169" s="19">
        <f t="shared" si="34"/>
        <v>15.029761904761905</v>
      </c>
      <c r="P169" s="19">
        <v>6</v>
      </c>
      <c r="Q169" s="19">
        <v>6</v>
      </c>
      <c r="R169" s="19">
        <v>0</v>
      </c>
      <c r="S169" s="44">
        <f>SUMPRODUCT(N169:R169,'Fisico SPOT MAT'!N169:R169)*E169</f>
        <v>952867.68128472194</v>
      </c>
      <c r="T169" s="17">
        <v>50</v>
      </c>
      <c r="U169" s="17">
        <v>18</v>
      </c>
      <c r="V169" s="17">
        <v>50</v>
      </c>
      <c r="W169" s="17">
        <v>60</v>
      </c>
      <c r="X169" s="28">
        <f>SUMPRODUCT(T169:W169,'Fisico SPOT MAT'!T169:W169)*24</f>
        <v>1866747.9</v>
      </c>
      <c r="Y169" s="19">
        <v>0</v>
      </c>
      <c r="Z169" s="19">
        <v>5</v>
      </c>
      <c r="AA169" s="19">
        <v>0</v>
      </c>
      <c r="AB169" s="28">
        <f>SUMPRODUCT(Y169:AA169,'Fisico SPOT MAT'!Y169:AA169)*E169</f>
        <v>10300</v>
      </c>
      <c r="AC169" s="122">
        <f>(T169*'Fisico SPOT MAT'!T169+'Mono SPOT MAT'!V169*'Fisico SPOT MAT'!V169+'Mono SPOT MAT'!W169*'Fisico SPOT MAT'!W169)/'Fisico SPOT MAT'!AC169</f>
        <v>60</v>
      </c>
      <c r="AD169" s="85"/>
      <c r="AE169" s="41">
        <v>37.839787280514585</v>
      </c>
      <c r="AF169" s="42">
        <v>31.075315424688277</v>
      </c>
      <c r="AG169">
        <v>5050</v>
      </c>
      <c r="AH169" s="64">
        <f t="shared" si="52"/>
        <v>2.0816856414347344</v>
      </c>
      <c r="AJ169" s="41">
        <v>0.85</v>
      </c>
      <c r="AK169">
        <v>336</v>
      </c>
    </row>
    <row r="170" spans="1:37" hidden="1" x14ac:dyDescent="0.3">
      <c r="A170" s="3">
        <f>+'Mono ASIG'!A170</f>
        <v>1408.96</v>
      </c>
      <c r="B170" s="3">
        <f>+'Mono ASIG'!B170</f>
        <v>1423.364</v>
      </c>
      <c r="C170" s="1">
        <f>+'Mono ASIG'!C170</f>
        <v>2026</v>
      </c>
      <c r="D170" s="1">
        <f t="shared" si="56"/>
        <v>2</v>
      </c>
      <c r="E170" s="1">
        <f>+'Fisico SPOT MAT'!E170</f>
        <v>16</v>
      </c>
      <c r="F170" s="1" t="str">
        <f>+'Mono ASIG'!F170</f>
        <v>lun</v>
      </c>
      <c r="G170" s="56">
        <f>+'Mono ASIG'!G170</f>
        <v>46076</v>
      </c>
      <c r="H170" s="17">
        <f t="shared" si="57"/>
        <v>41.735897120419217</v>
      </c>
      <c r="I170" s="17">
        <f t="shared" si="58"/>
        <v>33.575755181448088</v>
      </c>
      <c r="J170" s="17">
        <v>22</v>
      </c>
      <c r="K170" s="17">
        <v>22</v>
      </c>
      <c r="L170" s="17">
        <v>32</v>
      </c>
      <c r="M170" s="44">
        <f>SUMPRODUCT(H170:L170,'Fisico SPOT MAT'!H170:L170)*24</f>
        <v>8343971.9736199686</v>
      </c>
      <c r="N170" s="19">
        <f>+'Fisico SPOT MAT'!AH170</f>
        <v>16.855795742032566</v>
      </c>
      <c r="O170" s="19">
        <f t="shared" si="34"/>
        <v>15.029761904761905</v>
      </c>
      <c r="P170" s="19">
        <v>6</v>
      </c>
      <c r="Q170" s="19">
        <v>6</v>
      </c>
      <c r="R170" s="19">
        <v>0</v>
      </c>
      <c r="S170" s="44">
        <f>SUMPRODUCT(N170:R170,'Fisico SPOT MAT'!N170:R170)*E170</f>
        <v>3853956.1453253962</v>
      </c>
      <c r="T170" s="17">
        <v>50</v>
      </c>
      <c r="U170" s="17">
        <v>18</v>
      </c>
      <c r="V170" s="17">
        <v>50</v>
      </c>
      <c r="W170" s="17">
        <v>60</v>
      </c>
      <c r="X170" s="28">
        <f>SUMPRODUCT(T170:W170,'Fisico SPOT MAT'!T170:W170)*24</f>
        <v>1965977.3820000002</v>
      </c>
      <c r="Y170" s="19">
        <v>0</v>
      </c>
      <c r="Z170" s="19">
        <v>5</v>
      </c>
      <c r="AA170" s="19">
        <v>0</v>
      </c>
      <c r="AB170" s="28">
        <f>SUMPRODUCT(Y170:AA170,'Fisico SPOT MAT'!Y170:AA170)*E170</f>
        <v>41200</v>
      </c>
      <c r="AC170" s="122">
        <f>(T170*'Fisico SPOT MAT'!T170+'Mono SPOT MAT'!V170*'Fisico SPOT MAT'!V170+'Mono SPOT MAT'!W170*'Fisico SPOT MAT'!W170)/'Fisico SPOT MAT'!AC170</f>
        <v>60</v>
      </c>
      <c r="AD170" s="85"/>
      <c r="AE170" s="41">
        <v>38.743229152617531</v>
      </c>
      <c r="AF170" s="42">
        <v>30.583087213646404</v>
      </c>
      <c r="AG170">
        <v>5050</v>
      </c>
      <c r="AH170" s="64">
        <f t="shared" si="52"/>
        <v>2.1426679678016836</v>
      </c>
      <c r="AJ170" s="41">
        <v>0.85</v>
      </c>
      <c r="AK170">
        <v>336</v>
      </c>
    </row>
    <row r="171" spans="1:37" hidden="1" x14ac:dyDescent="0.3">
      <c r="A171" s="3">
        <f>+'Mono ASIG'!A171</f>
        <v>1408.96</v>
      </c>
      <c r="B171" s="3">
        <f>+'Mono ASIG'!B171</f>
        <v>1423.364</v>
      </c>
      <c r="C171" s="1">
        <f>+'Mono ASIG'!C171</f>
        <v>2026</v>
      </c>
      <c r="D171" s="1">
        <f t="shared" ref="D171:D176" si="59">MONTH(G171)</f>
        <v>2</v>
      </c>
      <c r="E171" s="1">
        <f>+'Fisico SPOT MAT'!E171</f>
        <v>16</v>
      </c>
      <c r="F171" s="1" t="str">
        <f>+'Mono ASIG'!F171</f>
        <v>mar</v>
      </c>
      <c r="G171" s="56">
        <f>+'Mono ASIG'!G171</f>
        <v>46077</v>
      </c>
      <c r="H171" s="17">
        <f t="shared" ref="H171:H175" si="60">+AE171+AH171+AI171+AJ171</f>
        <v>41.687254432789281</v>
      </c>
      <c r="I171" s="17">
        <f t="shared" ref="I171:I176" si="61">+AF171+AH171+AI171+AJ171</f>
        <v>34.531595545331534</v>
      </c>
      <c r="J171" s="17">
        <v>22</v>
      </c>
      <c r="K171" s="17">
        <v>22</v>
      </c>
      <c r="L171" s="17">
        <v>32</v>
      </c>
      <c r="M171" s="44">
        <f>SUMPRODUCT(H171:L171,'Fisico SPOT MAT'!H171:L171)*24</f>
        <v>8410204.0416761227</v>
      </c>
      <c r="N171" s="19">
        <f>+'Fisico SPOT MAT'!AH171</f>
        <v>16.887969640490045</v>
      </c>
      <c r="O171" s="19">
        <f t="shared" si="34"/>
        <v>15.029761904761905</v>
      </c>
      <c r="P171" s="19">
        <v>6</v>
      </c>
      <c r="Q171" s="19">
        <v>6</v>
      </c>
      <c r="R171" s="19">
        <v>0</v>
      </c>
      <c r="S171" s="44">
        <f>SUMPRODUCT(N171:R171,'Fisico SPOT MAT'!N171:R171)*E171</f>
        <v>3953098.8367579379</v>
      </c>
      <c r="T171" s="17">
        <v>50</v>
      </c>
      <c r="U171" s="17">
        <v>18</v>
      </c>
      <c r="V171" s="17">
        <v>50</v>
      </c>
      <c r="W171" s="17">
        <v>60</v>
      </c>
      <c r="X171" s="28">
        <f>SUMPRODUCT(T171:W171,'Fisico SPOT MAT'!T171:W171)*24</f>
        <v>2696432.4659999995</v>
      </c>
      <c r="Y171" s="19">
        <v>0</v>
      </c>
      <c r="Z171" s="19">
        <v>5</v>
      </c>
      <c r="AA171" s="19">
        <v>0</v>
      </c>
      <c r="AB171" s="28">
        <f>SUMPRODUCT(Y171:AA171,'Fisico SPOT MAT'!Y171:AA171)*E171</f>
        <v>41200</v>
      </c>
      <c r="AC171" s="122">
        <f>(T171*'Fisico SPOT MAT'!T171+'Mono SPOT MAT'!V171*'Fisico SPOT MAT'!V171+'Mono SPOT MAT'!W171*'Fisico SPOT MAT'!W171)/'Fisico SPOT MAT'!AC171</f>
        <v>60</v>
      </c>
      <c r="AD171" s="85"/>
      <c r="AE171" s="41">
        <v>38.697662232121104</v>
      </c>
      <c r="AF171" s="42">
        <v>31.542003344663357</v>
      </c>
      <c r="AG171">
        <v>5050</v>
      </c>
      <c r="AH171" s="64">
        <f t="shared" si="52"/>
        <v>2.1395922006681745</v>
      </c>
      <c r="AJ171" s="41">
        <v>0.85</v>
      </c>
      <c r="AK171">
        <v>336</v>
      </c>
    </row>
    <row r="172" spans="1:37" hidden="1" x14ac:dyDescent="0.3">
      <c r="A172" s="3">
        <f>+'Mono ASIG'!A172</f>
        <v>1408.96</v>
      </c>
      <c r="B172" s="3">
        <f>+'Mono ASIG'!B172</f>
        <v>1423.364</v>
      </c>
      <c r="C172" s="1">
        <f>+'Mono ASIG'!C172</f>
        <v>2026</v>
      </c>
      <c r="D172" s="1">
        <f t="shared" si="59"/>
        <v>2</v>
      </c>
      <c r="E172" s="1">
        <f>+'Fisico SPOT MAT'!E172</f>
        <v>16</v>
      </c>
      <c r="F172" s="1" t="str">
        <f>+'Mono ASIG'!F172</f>
        <v>mié</v>
      </c>
      <c r="G172" s="56">
        <f>+'Mono ASIG'!G172</f>
        <v>46078</v>
      </c>
      <c r="H172" s="17">
        <f t="shared" si="60"/>
        <v>41.043178338891373</v>
      </c>
      <c r="I172" s="17">
        <f t="shared" si="61"/>
        <v>34.528446985414128</v>
      </c>
      <c r="J172" s="17">
        <v>22</v>
      </c>
      <c r="K172" s="17">
        <v>22</v>
      </c>
      <c r="L172" s="17">
        <v>32</v>
      </c>
      <c r="M172" s="44">
        <f>SUMPRODUCT(H172:L172,'Fisico SPOT MAT'!H172:L172)*24</f>
        <v>7920132.4649096997</v>
      </c>
      <c r="N172" s="19">
        <f>+'Fisico SPOT MAT'!AH172</f>
        <v>16.904313237518696</v>
      </c>
      <c r="O172" s="19">
        <f t="shared" si="34"/>
        <v>15.029761904761905</v>
      </c>
      <c r="P172" s="19">
        <v>6</v>
      </c>
      <c r="Q172" s="19">
        <v>6</v>
      </c>
      <c r="R172" s="19">
        <v>0</v>
      </c>
      <c r="S172" s="44">
        <f>SUMPRODUCT(N172:R172,'Fisico SPOT MAT'!N172:R172)*E172</f>
        <v>4017944.3216507942</v>
      </c>
      <c r="T172" s="17">
        <v>50</v>
      </c>
      <c r="U172" s="17">
        <v>18</v>
      </c>
      <c r="V172" s="17">
        <v>50</v>
      </c>
      <c r="W172" s="17">
        <v>60</v>
      </c>
      <c r="X172" s="28">
        <f>SUMPRODUCT(T172:W172,'Fisico SPOT MAT'!T172:W172)*24</f>
        <v>1914230.1239999996</v>
      </c>
      <c r="Y172" s="19">
        <v>0</v>
      </c>
      <c r="Z172" s="19">
        <v>5</v>
      </c>
      <c r="AA172" s="19">
        <v>0</v>
      </c>
      <c r="AB172" s="28">
        <f>SUMPRODUCT(Y172:AA172,'Fisico SPOT MAT'!Y172:AA172)*E172</f>
        <v>41200</v>
      </c>
      <c r="AC172" s="122">
        <f>(T172*'Fisico SPOT MAT'!T172+'Mono SPOT MAT'!V172*'Fisico SPOT MAT'!V172+'Mono SPOT MAT'!W172*'Fisico SPOT MAT'!W172)/'Fisico SPOT MAT'!AC172</f>
        <v>60</v>
      </c>
      <c r="AD172" s="85"/>
      <c r="AE172" s="41">
        <v>38.094312261256555</v>
      </c>
      <c r="AF172" s="42">
        <v>31.579580907779309</v>
      </c>
      <c r="AG172">
        <v>5050</v>
      </c>
      <c r="AH172" s="64">
        <f t="shared" si="52"/>
        <v>2.0988660776348174</v>
      </c>
      <c r="AJ172" s="41">
        <v>0.85</v>
      </c>
      <c r="AK172">
        <v>336</v>
      </c>
    </row>
    <row r="173" spans="1:37" hidden="1" x14ac:dyDescent="0.3">
      <c r="A173" s="3">
        <f>+'Mono ASIG'!A173</f>
        <v>1408.96</v>
      </c>
      <c r="B173" s="3">
        <f>+'Mono ASIG'!B173</f>
        <v>1423.364</v>
      </c>
      <c r="C173" s="1">
        <f>+'Mono ASIG'!C173</f>
        <v>2026</v>
      </c>
      <c r="D173" s="1">
        <f t="shared" si="59"/>
        <v>2</v>
      </c>
      <c r="E173" s="1">
        <f>+'Fisico SPOT MAT'!E173</f>
        <v>16</v>
      </c>
      <c r="F173" s="1" t="str">
        <f>+'Mono ASIG'!F173</f>
        <v>jue</v>
      </c>
      <c r="G173" s="56">
        <f>+'Mono ASIG'!G173</f>
        <v>46079</v>
      </c>
      <c r="H173" s="17">
        <f t="shared" si="60"/>
        <v>41.000299769436047</v>
      </c>
      <c r="I173" s="17">
        <f t="shared" si="61"/>
        <v>34.56587791228457</v>
      </c>
      <c r="J173" s="17">
        <v>22</v>
      </c>
      <c r="K173" s="17">
        <v>22</v>
      </c>
      <c r="L173" s="17">
        <v>32</v>
      </c>
      <c r="M173" s="44">
        <f>SUMPRODUCT(H173:L173,'Fisico SPOT MAT'!H173:L173)*24</f>
        <v>7819222.9743870683</v>
      </c>
      <c r="N173" s="19">
        <f>+'Fisico SPOT MAT'!AH173</f>
        <v>16.904153609151695</v>
      </c>
      <c r="O173" s="19">
        <f t="shared" si="34"/>
        <v>15.029761904761905</v>
      </c>
      <c r="P173" s="19">
        <v>6</v>
      </c>
      <c r="Q173" s="19">
        <v>6</v>
      </c>
      <c r="R173" s="19">
        <v>0</v>
      </c>
      <c r="S173" s="44">
        <f>SUMPRODUCT(N173:R173,'Fisico SPOT MAT'!N173:R173)*E173</f>
        <v>4023098.3975277762</v>
      </c>
      <c r="T173" s="17">
        <v>50</v>
      </c>
      <c r="U173" s="17">
        <v>18</v>
      </c>
      <c r="V173" s="17">
        <v>50</v>
      </c>
      <c r="W173" s="17">
        <v>60</v>
      </c>
      <c r="X173" s="28">
        <f>SUMPRODUCT(T173:W173,'Fisico SPOT MAT'!T173:W173)*24</f>
        <v>1632112.2479999999</v>
      </c>
      <c r="Y173" s="19">
        <v>0</v>
      </c>
      <c r="Z173" s="19">
        <v>5</v>
      </c>
      <c r="AA173" s="19">
        <v>0</v>
      </c>
      <c r="AB173" s="28">
        <f>SUMPRODUCT(Y173:AA173,'Fisico SPOT MAT'!Y173:AA173)*E173</f>
        <v>41200</v>
      </c>
      <c r="AC173" s="122">
        <f>(T173*'Fisico SPOT MAT'!T173+'Mono SPOT MAT'!V173*'Fisico SPOT MAT'!V173+'Mono SPOT MAT'!W173*'Fisico SPOT MAT'!W173)/'Fisico SPOT MAT'!AC173</f>
        <v>60</v>
      </c>
      <c r="AD173" s="85"/>
      <c r="AE173" s="41">
        <v>38.05414498307826</v>
      </c>
      <c r="AF173" s="42">
        <v>31.619723125926786</v>
      </c>
      <c r="AG173">
        <v>5050</v>
      </c>
      <c r="AH173" s="64">
        <f t="shared" si="52"/>
        <v>2.0961547863577827</v>
      </c>
      <c r="AJ173" s="41">
        <v>0.85</v>
      </c>
      <c r="AK173">
        <v>336</v>
      </c>
    </row>
    <row r="174" spans="1:37" hidden="1" x14ac:dyDescent="0.3">
      <c r="A174" s="3">
        <f>+'Mono ASIG'!A174</f>
        <v>1408.96</v>
      </c>
      <c r="B174" s="3">
        <f>+'Mono ASIG'!B174</f>
        <v>1423.364</v>
      </c>
      <c r="C174" s="1">
        <f>+'Mono ASIG'!C174</f>
        <v>2026</v>
      </c>
      <c r="D174" s="1">
        <f t="shared" si="59"/>
        <v>2</v>
      </c>
      <c r="E174" s="1">
        <f>+'Fisico SPOT MAT'!E174</f>
        <v>16</v>
      </c>
      <c r="F174" s="1" t="str">
        <f>+'Mono ASIG'!F174</f>
        <v>vie</v>
      </c>
      <c r="G174" s="56">
        <f>+'Mono ASIG'!G174</f>
        <v>46080</v>
      </c>
      <c r="H174" s="17">
        <f t="shared" si="60"/>
        <v>41.113171070334339</v>
      </c>
      <c r="I174" s="17">
        <f t="shared" si="61"/>
        <v>33.937518433316136</v>
      </c>
      <c r="J174" s="17">
        <v>22</v>
      </c>
      <c r="K174" s="17">
        <v>22</v>
      </c>
      <c r="L174" s="17">
        <v>32</v>
      </c>
      <c r="M174" s="44">
        <f>SUMPRODUCT(H174:L174,'Fisico SPOT MAT'!H174:L174)*24</f>
        <v>7713585.5092552938</v>
      </c>
      <c r="N174" s="19">
        <f>+'Fisico SPOT MAT'!AH174</f>
        <v>16.900510259317773</v>
      </c>
      <c r="O174" s="19">
        <f t="shared" si="34"/>
        <v>15.029761904761905</v>
      </c>
      <c r="P174" s="19">
        <v>6</v>
      </c>
      <c r="Q174" s="19">
        <v>6</v>
      </c>
      <c r="R174" s="19">
        <v>0</v>
      </c>
      <c r="S174" s="44">
        <f>SUMPRODUCT(N174:R174,'Fisico SPOT MAT'!N174:R174)*E174</f>
        <v>4004401.5727936509</v>
      </c>
      <c r="T174" s="17">
        <v>50</v>
      </c>
      <c r="U174" s="17">
        <v>18</v>
      </c>
      <c r="V174" s="17">
        <v>50</v>
      </c>
      <c r="W174" s="17">
        <v>60</v>
      </c>
      <c r="X174" s="28">
        <f>SUMPRODUCT(T174:W174,'Fisico SPOT MAT'!T174:W174)*24</f>
        <v>2160161.5919999997</v>
      </c>
      <c r="Y174" s="19">
        <v>0</v>
      </c>
      <c r="Z174" s="19">
        <v>5</v>
      </c>
      <c r="AA174" s="19">
        <v>0</v>
      </c>
      <c r="AB174" s="28">
        <f>SUMPRODUCT(Y174:AA174,'Fisico SPOT MAT'!Y174:AA174)*E174</f>
        <v>41200</v>
      </c>
      <c r="AC174" s="122">
        <f>(T174*'Fisico SPOT MAT'!T174+'Mono SPOT MAT'!V174*'Fisico SPOT MAT'!V174+'Mono SPOT MAT'!W174*'Fisico SPOT MAT'!W174)/'Fisico SPOT MAT'!AC174</f>
        <v>60.000000000000007</v>
      </c>
      <c r="AD174" s="85"/>
      <c r="AE174" s="41">
        <v>38.159879222795631</v>
      </c>
      <c r="AF174" s="42">
        <v>30.984226585777428</v>
      </c>
      <c r="AG174">
        <v>5050</v>
      </c>
      <c r="AH174" s="64">
        <f t="shared" si="52"/>
        <v>2.103291847538705</v>
      </c>
      <c r="AJ174" s="41">
        <v>0.85</v>
      </c>
      <c r="AK174">
        <v>336</v>
      </c>
    </row>
    <row r="175" spans="1:37" hidden="1" x14ac:dyDescent="0.3">
      <c r="A175" s="3">
        <f>+'Mono ASIG'!A175</f>
        <v>1408.96</v>
      </c>
      <c r="B175" s="3">
        <f>+'Mono ASIG'!B175</f>
        <v>1423.364</v>
      </c>
      <c r="C175" s="1">
        <f>+'Mono ASIG'!C175</f>
        <v>2026</v>
      </c>
      <c r="D175" s="1">
        <f t="shared" si="59"/>
        <v>2</v>
      </c>
      <c r="E175" s="1">
        <f>+'Fisico SPOT MAT'!E175</f>
        <v>6</v>
      </c>
      <c r="F175" s="1" t="str">
        <f>+'Mono ASIG'!F175</f>
        <v>sáb</v>
      </c>
      <c r="G175" s="56">
        <f>+'Mono ASIG'!G175</f>
        <v>46081</v>
      </c>
      <c r="H175" s="17">
        <f t="shared" si="60"/>
        <v>40.613518023441074</v>
      </c>
      <c r="I175" s="17">
        <f t="shared" si="61"/>
        <v>34.197126360613346</v>
      </c>
      <c r="J175" s="17">
        <v>22</v>
      </c>
      <c r="K175" s="17">
        <v>22</v>
      </c>
      <c r="L175" s="17">
        <v>32</v>
      </c>
      <c r="M175" s="44">
        <f>SUMPRODUCT(H175:L175,'Fisico SPOT MAT'!H175:L175)*24</f>
        <v>6992966.5299296621</v>
      </c>
      <c r="N175" s="19">
        <f>+'Fisico SPOT MAT'!AH175</f>
        <v>16.89639658540505</v>
      </c>
      <c r="O175" s="19">
        <f t="shared" si="34"/>
        <v>15.029761904761905</v>
      </c>
      <c r="P175" s="19">
        <v>6</v>
      </c>
      <c r="Q175" s="19">
        <v>6</v>
      </c>
      <c r="R175" s="19">
        <v>0</v>
      </c>
      <c r="S175" s="44">
        <f>SUMPRODUCT(N175:R175,'Fisico SPOT MAT'!N175:R175)*E175</f>
        <v>1494814.1183303567</v>
      </c>
      <c r="T175" s="17">
        <v>50</v>
      </c>
      <c r="U175" s="17">
        <v>18</v>
      </c>
      <c r="V175" s="17">
        <v>50</v>
      </c>
      <c r="W175" s="17">
        <v>60</v>
      </c>
      <c r="X175" s="28">
        <f>SUMPRODUCT(T175:W175,'Fisico SPOT MAT'!T175:W175)*24</f>
        <v>2433890.3040000009</v>
      </c>
      <c r="Y175" s="19">
        <v>0</v>
      </c>
      <c r="Z175" s="19">
        <v>5</v>
      </c>
      <c r="AA175" s="19">
        <v>0</v>
      </c>
      <c r="AB175" s="28">
        <f>SUMPRODUCT(Y175:AA175,'Fisico SPOT MAT'!Y175:AA175)*E175</f>
        <v>15450</v>
      </c>
      <c r="AC175" s="122">
        <f>(T175*'Fisico SPOT MAT'!T175+'Mono SPOT MAT'!V175*'Fisico SPOT MAT'!V175+'Mono SPOT MAT'!W175*'Fisico SPOT MAT'!W175)/'Fisico SPOT MAT'!AC175</f>
        <v>60</v>
      </c>
      <c r="AD175" s="85"/>
      <c r="AE175" s="41">
        <v>37.691820162474073</v>
      </c>
      <c r="AF175" s="42">
        <v>31.275428499646342</v>
      </c>
      <c r="AG175">
        <v>5050</v>
      </c>
      <c r="AH175" s="64">
        <f t="shared" si="52"/>
        <v>2.0716978609670003</v>
      </c>
      <c r="AJ175" s="41">
        <v>0.85</v>
      </c>
      <c r="AK175">
        <v>336</v>
      </c>
    </row>
    <row r="176" spans="1:37" hidden="1" x14ac:dyDescent="0.3">
      <c r="A176" s="3">
        <f>+'Mono ASIG'!A176</f>
        <v>1382.7578000000001</v>
      </c>
      <c r="B176" s="3">
        <f>+'Mono ASIG'!B176</f>
        <v>1423.3640000000005</v>
      </c>
      <c r="C176" s="1">
        <f>+'Mono ASIG'!C176</f>
        <v>2026</v>
      </c>
      <c r="D176" s="1">
        <f t="shared" si="59"/>
        <v>3</v>
      </c>
      <c r="E176" s="1">
        <f>+'Fisico SPOT MAT'!E176</f>
        <v>4</v>
      </c>
      <c r="F176" s="1" t="str">
        <f>+'Mono ASIG'!F176</f>
        <v>dom</v>
      </c>
      <c r="G176" s="56">
        <f>+'Mono ASIG'!G176</f>
        <v>46082</v>
      </c>
      <c r="H176" s="17">
        <f>+AE176+AH176+AI176+AJ176</f>
        <v>40.493705630625179</v>
      </c>
      <c r="I176" s="17">
        <f t="shared" si="61"/>
        <v>34.177876557794939</v>
      </c>
      <c r="J176" s="17">
        <v>22</v>
      </c>
      <c r="K176" s="17">
        <v>22</v>
      </c>
      <c r="L176" s="17">
        <v>32</v>
      </c>
      <c r="M176" s="44">
        <f>SUMPRODUCT(H176:L176,'Fisico SPOT MAT'!H176:L176)*24</f>
        <v>6892705.2011158448</v>
      </c>
      <c r="N176" s="19">
        <f>+'Fisico SPOT MAT'!AH176</f>
        <v>16.335584526965754</v>
      </c>
      <c r="O176" s="19">
        <f t="shared" si="34"/>
        <v>13.502673796791443</v>
      </c>
      <c r="P176" s="19">
        <v>6</v>
      </c>
      <c r="Q176" s="19">
        <v>6</v>
      </c>
      <c r="R176" s="19">
        <v>0</v>
      </c>
      <c r="S176" s="44">
        <f>SUMPRODUCT(N176:R176,'Fisico SPOT MAT'!N176:R176)*E176</f>
        <v>953559.14940285217</v>
      </c>
      <c r="T176" s="17">
        <v>50</v>
      </c>
      <c r="U176" s="17">
        <v>18</v>
      </c>
      <c r="V176" s="17">
        <v>50</v>
      </c>
      <c r="W176" s="17">
        <v>60</v>
      </c>
      <c r="X176" s="28">
        <f>SUMPRODUCT(T176:W176,'Fisico SPOT MAT'!T176:W176)*24</f>
        <v>2786006.2919999999</v>
      </c>
      <c r="Y176" s="19">
        <v>0</v>
      </c>
      <c r="Z176" s="19">
        <v>5</v>
      </c>
      <c r="AA176" s="19">
        <v>0</v>
      </c>
      <c r="AB176" s="28">
        <f>SUMPRODUCT(Y176:AA176,'Fisico SPOT MAT'!Y176:AA176)*E176</f>
        <v>10300</v>
      </c>
      <c r="AC176" s="122">
        <f>(T176*'Fisico SPOT MAT'!T176+'Mono SPOT MAT'!V176*'Fisico SPOT MAT'!V176+'Mono SPOT MAT'!W176*'Fisico SPOT MAT'!W176)/'Fisico SPOT MAT'!AC176</f>
        <v>60</v>
      </c>
      <c r="AD176" s="85"/>
      <c r="AE176" s="41">
        <v>37.579583728922884</v>
      </c>
      <c r="AF176" s="42">
        <v>31.263754656092644</v>
      </c>
      <c r="AG176">
        <v>5050</v>
      </c>
      <c r="AH176" s="64">
        <f t="shared" si="52"/>
        <v>2.0641219017022947</v>
      </c>
      <c r="AJ176" s="41">
        <v>0.85</v>
      </c>
      <c r="AK176">
        <v>374</v>
      </c>
    </row>
    <row r="177" spans="1:37" hidden="1" x14ac:dyDescent="0.3">
      <c r="A177" s="3">
        <f>+'Mono ASIG'!A177</f>
        <v>1382.7578000000001</v>
      </c>
      <c r="B177" s="3">
        <f>+'Mono ASIG'!B177</f>
        <v>1367.2360000000006</v>
      </c>
      <c r="C177" s="1">
        <f>+'Mono ASIG'!C177</f>
        <v>2026</v>
      </c>
      <c r="D177" s="1">
        <f t="shared" ref="D177:D205" si="62">MONTH(G177)</f>
        <v>3</v>
      </c>
      <c r="E177" s="1">
        <f>+'Fisico SPOT MAT'!E177</f>
        <v>16</v>
      </c>
      <c r="F177" s="1" t="str">
        <f>+'Mono ASIG'!F177</f>
        <v>lun</v>
      </c>
      <c r="G177" s="56">
        <f>+'Mono ASIG'!G177</f>
        <v>46083</v>
      </c>
      <c r="H177" s="17">
        <f t="shared" ref="H177:H205" si="63">+AE177+AH177+AI177+AJ177</f>
        <v>46.665826034617979</v>
      </c>
      <c r="I177" s="17">
        <f t="shared" ref="I177:I205" si="64">+AF177+AH177+AI177+AJ177</f>
        <v>34.956724590040658</v>
      </c>
      <c r="J177" s="17">
        <v>22</v>
      </c>
      <c r="K177" s="17">
        <v>22</v>
      </c>
      <c r="L177" s="17">
        <v>32</v>
      </c>
      <c r="M177" s="44">
        <f>SUMPRODUCT(H177:L177,'Fisico SPOT MAT'!H177:L177)*24</f>
        <v>9434437.3619344123</v>
      </c>
      <c r="N177" s="19">
        <f>+'Fisico SPOT MAT'!AH177</f>
        <v>16.342699823382119</v>
      </c>
      <c r="O177" s="19">
        <f t="shared" si="34"/>
        <v>13.502673796791443</v>
      </c>
      <c r="P177" s="19">
        <v>6</v>
      </c>
      <c r="Q177" s="19">
        <v>6</v>
      </c>
      <c r="R177" s="19">
        <v>0</v>
      </c>
      <c r="S177" s="44">
        <f>SUMPRODUCT(N177:R177,'Fisico SPOT MAT'!N177:R177)*E177</f>
        <v>3829358.1612905515</v>
      </c>
      <c r="T177" s="17">
        <v>50</v>
      </c>
      <c r="U177" s="17">
        <v>18</v>
      </c>
      <c r="V177" s="17">
        <v>50</v>
      </c>
      <c r="W177" s="17">
        <v>60</v>
      </c>
      <c r="X177" s="28">
        <f>SUMPRODUCT(T177:W177,'Fisico SPOT MAT'!T177:W177)*24</f>
        <v>2751303.4019999993</v>
      </c>
      <c r="Y177" s="19">
        <v>0</v>
      </c>
      <c r="Z177" s="19">
        <v>5</v>
      </c>
      <c r="AA177" s="19">
        <v>0</v>
      </c>
      <c r="AB177" s="28">
        <f>SUMPRODUCT(Y177:AA177,'Fisico SPOT MAT'!Y177:AA177)*E177</f>
        <v>41200</v>
      </c>
      <c r="AC177" s="122">
        <f>(T177*'Fisico SPOT MAT'!T177+'Mono SPOT MAT'!V177*'Fisico SPOT MAT'!V177+'Mono SPOT MAT'!W177*'Fisico SPOT MAT'!W177)/'Fisico SPOT MAT'!AC177</f>
        <v>60</v>
      </c>
      <c r="AD177" s="85"/>
      <c r="AE177" s="41">
        <v>43.361429540625743</v>
      </c>
      <c r="AF177" s="42">
        <v>31.652328096048418</v>
      </c>
      <c r="AG177">
        <v>5050</v>
      </c>
      <c r="AH177" s="64">
        <f t="shared" si="52"/>
        <v>2.4543964939922378</v>
      </c>
      <c r="AJ177" s="41">
        <v>0.85</v>
      </c>
      <c r="AK177">
        <v>374</v>
      </c>
    </row>
    <row r="178" spans="1:37" hidden="1" x14ac:dyDescent="0.3">
      <c r="A178" s="3">
        <f>+'Mono ASIG'!A178</f>
        <v>1382.7578000000001</v>
      </c>
      <c r="B178" s="3">
        <f>+'Mono ASIG'!B178</f>
        <v>1367.2360000000006</v>
      </c>
      <c r="C178" s="1">
        <f>+'Mono ASIG'!C178</f>
        <v>2026</v>
      </c>
      <c r="D178" s="1">
        <f t="shared" si="62"/>
        <v>3</v>
      </c>
      <c r="E178" s="1">
        <f>+'Fisico SPOT MAT'!E178</f>
        <v>16</v>
      </c>
      <c r="F178" s="1" t="str">
        <f>+'Mono ASIG'!F178</f>
        <v>mar</v>
      </c>
      <c r="G178" s="56">
        <f>+'Mono ASIG'!G178</f>
        <v>46084</v>
      </c>
      <c r="H178" s="17">
        <f t="shared" si="63"/>
        <v>48.190128205728868</v>
      </c>
      <c r="I178" s="17">
        <f t="shared" si="64"/>
        <v>34.649031869406329</v>
      </c>
      <c r="J178" s="17">
        <v>22</v>
      </c>
      <c r="K178" s="17">
        <v>22</v>
      </c>
      <c r="L178" s="17">
        <v>32</v>
      </c>
      <c r="M178" s="44">
        <f>SUMPRODUCT(H178:L178,'Fisico SPOT MAT'!H178:L178)*24</f>
        <v>9364426.240001848</v>
      </c>
      <c r="N178" s="19">
        <f>+'Fisico SPOT MAT'!AH178</f>
        <v>16.345667239313443</v>
      </c>
      <c r="O178" s="19">
        <f t="shared" si="34"/>
        <v>13.502673796791443</v>
      </c>
      <c r="P178" s="19">
        <v>6</v>
      </c>
      <c r="Q178" s="19">
        <v>6</v>
      </c>
      <c r="R178" s="19">
        <v>0</v>
      </c>
      <c r="S178" s="44">
        <f>SUMPRODUCT(N178:R178,'Fisico SPOT MAT'!N178:R178)*E178</f>
        <v>3844052.8595543685</v>
      </c>
      <c r="T178" s="17">
        <v>50</v>
      </c>
      <c r="U178" s="17">
        <v>18</v>
      </c>
      <c r="V178" s="17">
        <v>50</v>
      </c>
      <c r="W178" s="17">
        <v>60</v>
      </c>
      <c r="X178" s="28">
        <f>SUMPRODUCT(T178:W178,'Fisico SPOT MAT'!T178:W178)*24</f>
        <v>1761716.838</v>
      </c>
      <c r="Y178" s="19">
        <v>0</v>
      </c>
      <c r="Z178" s="19">
        <v>5</v>
      </c>
      <c r="AA178" s="19">
        <v>0</v>
      </c>
      <c r="AB178" s="28">
        <f>SUMPRODUCT(Y178:AA178,'Fisico SPOT MAT'!Y178:AA178)*E178</f>
        <v>41200</v>
      </c>
      <c r="AC178" s="122">
        <f>(T178*'Fisico SPOT MAT'!T178+'Mono SPOT MAT'!V178*'Fisico SPOT MAT'!V178+'Mono SPOT MAT'!W178*'Fisico SPOT MAT'!W178)/'Fisico SPOT MAT'!AC178</f>
        <v>60</v>
      </c>
      <c r="AD178" s="85"/>
      <c r="AE178" s="41">
        <v>44.789347265319783</v>
      </c>
      <c r="AF178" s="42">
        <v>31.248250928997244</v>
      </c>
      <c r="AG178">
        <v>5050</v>
      </c>
      <c r="AH178" s="64">
        <f t="shared" si="52"/>
        <v>2.5507809404090853</v>
      </c>
      <c r="AJ178" s="41">
        <v>0.85</v>
      </c>
      <c r="AK178">
        <v>374</v>
      </c>
    </row>
    <row r="179" spans="1:37" hidden="1" x14ac:dyDescent="0.3">
      <c r="A179" s="3">
        <f>+'Mono ASIG'!A179</f>
        <v>1382.7578000000001</v>
      </c>
      <c r="B179" s="3">
        <f>+'Mono ASIG'!B179</f>
        <v>1367.2360000000006</v>
      </c>
      <c r="C179" s="1">
        <f>+'Mono ASIG'!C179</f>
        <v>2026</v>
      </c>
      <c r="D179" s="1">
        <f t="shared" si="62"/>
        <v>3</v>
      </c>
      <c r="E179" s="1">
        <f>+'Fisico SPOT MAT'!E179</f>
        <v>16</v>
      </c>
      <c r="F179" s="1" t="str">
        <f>+'Mono ASIG'!F179</f>
        <v>mié</v>
      </c>
      <c r="G179" s="56">
        <f>+'Mono ASIG'!G179</f>
        <v>46085</v>
      </c>
      <c r="H179" s="17">
        <f t="shared" si="63"/>
        <v>42.891142411570904</v>
      </c>
      <c r="I179" s="17">
        <f t="shared" si="64"/>
        <v>34.413892491636595</v>
      </c>
      <c r="J179" s="17">
        <v>22</v>
      </c>
      <c r="K179" s="17">
        <v>22</v>
      </c>
      <c r="L179" s="17">
        <v>32</v>
      </c>
      <c r="M179" s="44">
        <f>SUMPRODUCT(H179:L179,'Fisico SPOT MAT'!H179:L179)*24</f>
        <v>7814259.3152407482</v>
      </c>
      <c r="N179" s="19">
        <f>+'Fisico SPOT MAT'!AH179</f>
        <v>16.346013502974749</v>
      </c>
      <c r="O179" s="19">
        <f t="shared" si="34"/>
        <v>13.502673796791443</v>
      </c>
      <c r="P179" s="19">
        <v>6</v>
      </c>
      <c r="Q179" s="19">
        <v>6</v>
      </c>
      <c r="R179" s="19">
        <v>0</v>
      </c>
      <c r="S179" s="44">
        <f>SUMPRODUCT(N179:R179,'Fisico SPOT MAT'!N179:R179)*E179</f>
        <v>3842747.8905846714</v>
      </c>
      <c r="T179" s="17">
        <v>50</v>
      </c>
      <c r="U179" s="17">
        <v>18</v>
      </c>
      <c r="V179" s="17">
        <v>50</v>
      </c>
      <c r="W179" s="17">
        <v>60</v>
      </c>
      <c r="X179" s="28">
        <f>SUMPRODUCT(T179:W179,'Fisico SPOT MAT'!T179:W179)*24</f>
        <v>2275145.4059999995</v>
      </c>
      <c r="Y179" s="19">
        <v>0</v>
      </c>
      <c r="Z179" s="19">
        <v>5</v>
      </c>
      <c r="AA179" s="19">
        <v>0</v>
      </c>
      <c r="AB179" s="28">
        <f>SUMPRODUCT(Y179:AA179,'Fisico SPOT MAT'!Y179:AA179)*E179</f>
        <v>41200</v>
      </c>
      <c r="AC179" s="122">
        <f>(T179*'Fisico SPOT MAT'!T179+'Mono SPOT MAT'!V179*'Fisico SPOT MAT'!V179+'Mono SPOT MAT'!W179*'Fisico SPOT MAT'!W179)/'Fisico SPOT MAT'!AC179</f>
        <v>60</v>
      </c>
      <c r="AD179" s="85"/>
      <c r="AE179" s="41">
        <v>39.825426146670637</v>
      </c>
      <c r="AF179" s="42">
        <v>31.348176226736324</v>
      </c>
      <c r="AG179">
        <v>5050</v>
      </c>
      <c r="AH179" s="64">
        <f t="shared" si="52"/>
        <v>2.215716264900268</v>
      </c>
      <c r="AJ179" s="41">
        <v>0.85</v>
      </c>
      <c r="AK179">
        <v>374</v>
      </c>
    </row>
    <row r="180" spans="1:37" hidden="1" x14ac:dyDescent="0.3">
      <c r="A180" s="3">
        <f>+'Mono ASIG'!A180</f>
        <v>1382.7578000000001</v>
      </c>
      <c r="B180" s="3">
        <f>+'Mono ASIG'!B180</f>
        <v>1367.2360000000006</v>
      </c>
      <c r="C180" s="1">
        <f>+'Mono ASIG'!C180</f>
        <v>2026</v>
      </c>
      <c r="D180" s="1">
        <f t="shared" si="62"/>
        <v>3</v>
      </c>
      <c r="E180" s="1">
        <f>+'Fisico SPOT MAT'!E180</f>
        <v>16</v>
      </c>
      <c r="F180" s="1" t="str">
        <f>+'Mono ASIG'!F180</f>
        <v>jue</v>
      </c>
      <c r="G180" s="56">
        <f>+'Mono ASIG'!G180</f>
        <v>46086</v>
      </c>
      <c r="H180" s="17">
        <f t="shared" si="63"/>
        <v>41.399542600393467</v>
      </c>
      <c r="I180" s="17">
        <f t="shared" si="64"/>
        <v>33.879530486085727</v>
      </c>
      <c r="J180" s="17">
        <v>22</v>
      </c>
      <c r="K180" s="17">
        <v>22</v>
      </c>
      <c r="L180" s="17">
        <v>32</v>
      </c>
      <c r="M180" s="44">
        <f>SUMPRODUCT(H180:L180,'Fisico SPOT MAT'!H180:L180)*24</f>
        <v>7713720.0099685192</v>
      </c>
      <c r="N180" s="19">
        <f>+'Fisico SPOT MAT'!AH180</f>
        <v>16.351868318449842</v>
      </c>
      <c r="O180" s="19">
        <f t="shared" si="34"/>
        <v>13.502673796791443</v>
      </c>
      <c r="P180" s="19">
        <v>6</v>
      </c>
      <c r="Q180" s="19">
        <v>6</v>
      </c>
      <c r="R180" s="19">
        <v>0</v>
      </c>
      <c r="S180" s="44">
        <f>SUMPRODUCT(N180:R180,'Fisico SPOT MAT'!N180:R180)*E180</f>
        <v>3857752.7566203205</v>
      </c>
      <c r="T180" s="17">
        <v>50</v>
      </c>
      <c r="U180" s="17">
        <v>18</v>
      </c>
      <c r="V180" s="17">
        <v>50</v>
      </c>
      <c r="W180" s="17">
        <v>60</v>
      </c>
      <c r="X180" s="28">
        <f>SUMPRODUCT(T180:W180,'Fisico SPOT MAT'!T180:W180)*24</f>
        <v>1742230.8659999995</v>
      </c>
      <c r="Y180" s="19">
        <v>0</v>
      </c>
      <c r="Z180" s="19">
        <v>5</v>
      </c>
      <c r="AA180" s="19">
        <v>0</v>
      </c>
      <c r="AB180" s="28">
        <f>SUMPRODUCT(Y180:AA180,'Fisico SPOT MAT'!Y180:AA180)*E180</f>
        <v>41200</v>
      </c>
      <c r="AC180" s="122">
        <f>(T180*'Fisico SPOT MAT'!T180+'Mono SPOT MAT'!V180*'Fisico SPOT MAT'!V180+'Mono SPOT MAT'!W180*'Fisico SPOT MAT'!W180)/'Fisico SPOT MAT'!AC180</f>
        <v>59.999999999999993</v>
      </c>
      <c r="AD180" s="85"/>
      <c r="AE180" s="41">
        <v>38.428142951188256</v>
      </c>
      <c r="AF180" s="42">
        <v>30.90813083688052</v>
      </c>
      <c r="AG180">
        <v>5050</v>
      </c>
      <c r="AH180" s="64">
        <f t="shared" si="52"/>
        <v>2.1213996492052076</v>
      </c>
      <c r="AJ180" s="41">
        <v>0.85</v>
      </c>
      <c r="AK180">
        <v>374</v>
      </c>
    </row>
    <row r="181" spans="1:37" hidden="1" x14ac:dyDescent="0.3">
      <c r="A181" s="3">
        <f>+'Mono ASIG'!A181</f>
        <v>1382.7578000000001</v>
      </c>
      <c r="B181" s="3">
        <f>+'Mono ASIG'!B181</f>
        <v>1367.2360000000006</v>
      </c>
      <c r="C181" s="1">
        <f>+'Mono ASIG'!C181</f>
        <v>2026</v>
      </c>
      <c r="D181" s="1">
        <f t="shared" si="62"/>
        <v>3</v>
      </c>
      <c r="E181" s="1">
        <f>+'Fisico SPOT MAT'!E181</f>
        <v>16</v>
      </c>
      <c r="F181" s="1" t="str">
        <f>+'Mono ASIG'!F181</f>
        <v>vie</v>
      </c>
      <c r="G181" s="56">
        <f>+'Mono ASIG'!G181</f>
        <v>46087</v>
      </c>
      <c r="H181" s="17">
        <f t="shared" si="63"/>
        <v>40.656631246319691</v>
      </c>
      <c r="I181" s="17">
        <f t="shared" si="64"/>
        <v>33.806528281192918</v>
      </c>
      <c r="J181" s="17">
        <v>22</v>
      </c>
      <c r="K181" s="17">
        <v>22</v>
      </c>
      <c r="L181" s="17">
        <v>32</v>
      </c>
      <c r="M181" s="44">
        <f>SUMPRODUCT(H181:L181,'Fisico SPOT MAT'!H181:L181)*24</f>
        <v>7491931.5101693999</v>
      </c>
      <c r="N181" s="19">
        <f>+'Fisico SPOT MAT'!AH181</f>
        <v>16.361575460364978</v>
      </c>
      <c r="O181" s="19">
        <f t="shared" si="34"/>
        <v>13.502673796791443</v>
      </c>
      <c r="P181" s="19">
        <v>6</v>
      </c>
      <c r="Q181" s="19">
        <v>6</v>
      </c>
      <c r="R181" s="19">
        <v>0</v>
      </c>
      <c r="S181" s="44">
        <f>SUMPRODUCT(N181:R181,'Fisico SPOT MAT'!N181:R181)*E181</f>
        <v>3879653.0872442066</v>
      </c>
      <c r="T181" s="17">
        <v>50</v>
      </c>
      <c r="U181" s="17">
        <v>18</v>
      </c>
      <c r="V181" s="17">
        <v>50</v>
      </c>
      <c r="W181" s="17">
        <v>60</v>
      </c>
      <c r="X181" s="28">
        <f>SUMPRODUCT(T181:W181,'Fisico SPOT MAT'!T181:W181)*24</f>
        <v>1781116.1880000005</v>
      </c>
      <c r="Y181" s="19">
        <v>0</v>
      </c>
      <c r="Z181" s="19">
        <v>5</v>
      </c>
      <c r="AA181" s="19">
        <v>0</v>
      </c>
      <c r="AB181" s="28">
        <f>SUMPRODUCT(Y181:AA181,'Fisico SPOT MAT'!Y181:AA181)*E181</f>
        <v>41200</v>
      </c>
      <c r="AC181" s="122">
        <f>(T181*'Fisico SPOT MAT'!T181+'Mono SPOT MAT'!V181*'Fisico SPOT MAT'!V181+'Mono SPOT MAT'!W181*'Fisico SPOT MAT'!W181)/'Fisico SPOT MAT'!AC181</f>
        <v>59.999999999999993</v>
      </c>
      <c r="AD181" s="85"/>
      <c r="AE181" s="41">
        <v>37.732207256505561</v>
      </c>
      <c r="AF181" s="42">
        <v>30.882104291378791</v>
      </c>
      <c r="AG181">
        <v>5050</v>
      </c>
      <c r="AH181" s="64">
        <f t="shared" si="52"/>
        <v>2.0744239898141257</v>
      </c>
      <c r="AJ181" s="41">
        <v>0.85</v>
      </c>
      <c r="AK181">
        <v>374</v>
      </c>
    </row>
    <row r="182" spans="1:37" hidden="1" x14ac:dyDescent="0.3">
      <c r="A182" s="3">
        <f>+'Mono ASIG'!A182</f>
        <v>1382.7578000000001</v>
      </c>
      <c r="B182" s="3">
        <f>+'Mono ASIG'!B182</f>
        <v>1367.2360000000006</v>
      </c>
      <c r="C182" s="1">
        <f>+'Mono ASIG'!C182</f>
        <v>2026</v>
      </c>
      <c r="D182" s="1">
        <f t="shared" si="62"/>
        <v>3</v>
      </c>
      <c r="E182" s="1">
        <f>+'Fisico SPOT MAT'!E182</f>
        <v>6</v>
      </c>
      <c r="F182" s="1" t="str">
        <f>+'Mono ASIG'!F182</f>
        <v>sáb</v>
      </c>
      <c r="G182" s="56">
        <f>+'Mono ASIG'!G182</f>
        <v>46088</v>
      </c>
      <c r="H182" s="17">
        <f t="shared" si="63"/>
        <v>40.01606856072879</v>
      </c>
      <c r="I182" s="17">
        <f t="shared" si="64"/>
        <v>34.328492841737244</v>
      </c>
      <c r="J182" s="17">
        <v>22</v>
      </c>
      <c r="K182" s="17">
        <v>22</v>
      </c>
      <c r="L182" s="17">
        <v>32</v>
      </c>
      <c r="M182" s="44">
        <f>SUMPRODUCT(H182:L182,'Fisico SPOT MAT'!H182:L182)*24</f>
        <v>6205705.3904208066</v>
      </c>
      <c r="N182" s="19">
        <f>+'Fisico SPOT MAT'!AH182</f>
        <v>16.308955682305083</v>
      </c>
      <c r="O182" s="19">
        <f t="shared" si="34"/>
        <v>13.502673796791443</v>
      </c>
      <c r="P182" s="19">
        <v>6</v>
      </c>
      <c r="Q182" s="19">
        <v>6</v>
      </c>
      <c r="R182" s="19">
        <v>0</v>
      </c>
      <c r="S182" s="44">
        <f>SUMPRODUCT(N182:R182,'Fisico SPOT MAT'!N182:R182)*E182</f>
        <v>1411106.3073101598</v>
      </c>
      <c r="T182" s="17">
        <v>50</v>
      </c>
      <c r="U182" s="17">
        <v>18</v>
      </c>
      <c r="V182" s="17">
        <v>50</v>
      </c>
      <c r="W182" s="17">
        <v>60</v>
      </c>
      <c r="X182" s="28">
        <f>SUMPRODUCT(T182:W182,'Fisico SPOT MAT'!T182:W182)*24</f>
        <v>1975325.0040000002</v>
      </c>
      <c r="Y182" s="19">
        <v>0</v>
      </c>
      <c r="Z182" s="19">
        <v>5</v>
      </c>
      <c r="AA182" s="19">
        <v>0</v>
      </c>
      <c r="AB182" s="28">
        <f>SUMPRODUCT(Y182:AA182,'Fisico SPOT MAT'!Y182:AA182)*E182</f>
        <v>15450</v>
      </c>
      <c r="AC182" s="122">
        <f>(T182*'Fisico SPOT MAT'!T182+'Mono SPOT MAT'!V182*'Fisico SPOT MAT'!V182+'Mono SPOT MAT'!W182*'Fisico SPOT MAT'!W182)/'Fisico SPOT MAT'!AC182</f>
        <v>60</v>
      </c>
      <c r="AD182" s="85"/>
      <c r="AE182" s="41">
        <v>37.13214853464055</v>
      </c>
      <c r="AF182" s="42">
        <v>31.444572815649007</v>
      </c>
      <c r="AG182">
        <v>5050</v>
      </c>
      <c r="AH182" s="64">
        <f t="shared" si="52"/>
        <v>2.0339200260882371</v>
      </c>
      <c r="AJ182" s="41">
        <v>0.85</v>
      </c>
      <c r="AK182">
        <v>374</v>
      </c>
    </row>
    <row r="183" spans="1:37" hidden="1" x14ac:dyDescent="0.3">
      <c r="A183" s="3">
        <f>+'Mono ASIG'!A183</f>
        <v>1382.7578000000001</v>
      </c>
      <c r="B183" s="3">
        <f>+'Mono ASIG'!B183</f>
        <v>1367.2360000000006</v>
      </c>
      <c r="C183" s="1">
        <f>+'Mono ASIG'!C183</f>
        <v>2026</v>
      </c>
      <c r="D183" s="1">
        <f t="shared" si="62"/>
        <v>3</v>
      </c>
      <c r="E183" s="1">
        <f>+'Fisico SPOT MAT'!E183</f>
        <v>4</v>
      </c>
      <c r="F183" s="1" t="str">
        <f>+'Mono ASIG'!F183</f>
        <v>dom</v>
      </c>
      <c r="G183" s="56">
        <f>+'Mono ASIG'!G183</f>
        <v>46089</v>
      </c>
      <c r="H183" s="17">
        <f t="shared" si="63"/>
        <v>39.970925784575989</v>
      </c>
      <c r="I183" s="17">
        <f t="shared" si="64"/>
        <v>34.585548406781434</v>
      </c>
      <c r="J183" s="17">
        <v>22</v>
      </c>
      <c r="K183" s="17">
        <v>22</v>
      </c>
      <c r="L183" s="17">
        <v>32</v>
      </c>
      <c r="M183" s="44">
        <f>SUMPRODUCT(H183:L183,'Fisico SPOT MAT'!H183:L183)*24</f>
        <v>4791774.6348449634</v>
      </c>
      <c r="N183" s="19">
        <f>+'Fisico SPOT MAT'!AH183</f>
        <v>16.319884746427096</v>
      </c>
      <c r="O183" s="19">
        <f t="shared" si="34"/>
        <v>13.502673796791443</v>
      </c>
      <c r="P183" s="19">
        <v>6</v>
      </c>
      <c r="Q183" s="19">
        <v>6</v>
      </c>
      <c r="R183" s="19">
        <v>0</v>
      </c>
      <c r="S183" s="44">
        <f>SUMPRODUCT(N183:R183,'Fisico SPOT MAT'!N183:R183)*E183</f>
        <v>947009.43562923337</v>
      </c>
      <c r="T183" s="17">
        <v>50</v>
      </c>
      <c r="U183" s="17">
        <v>18</v>
      </c>
      <c r="V183" s="17">
        <v>50</v>
      </c>
      <c r="W183" s="17">
        <v>60</v>
      </c>
      <c r="X183" s="28">
        <f>SUMPRODUCT(T183:W183,'Fisico SPOT MAT'!T183:W183)*24</f>
        <v>2316945.1440000003</v>
      </c>
      <c r="Y183" s="19">
        <v>0</v>
      </c>
      <c r="Z183" s="19">
        <v>5</v>
      </c>
      <c r="AA183" s="19">
        <v>0</v>
      </c>
      <c r="AB183" s="28">
        <f>SUMPRODUCT(Y183:AA183,'Fisico SPOT MAT'!Y183:AA183)*E183</f>
        <v>10300</v>
      </c>
      <c r="AC183" s="122">
        <f>(T183*'Fisico SPOT MAT'!T183+'Mono SPOT MAT'!V183*'Fisico SPOT MAT'!V183+'Mono SPOT MAT'!W183*'Fisico SPOT MAT'!W183)/'Fisico SPOT MAT'!AC183</f>
        <v>60</v>
      </c>
      <c r="AD183" s="85"/>
      <c r="AE183" s="41">
        <v>37.089860219743315</v>
      </c>
      <c r="AF183" s="42">
        <v>31.70448284194876</v>
      </c>
      <c r="AG183">
        <v>5050</v>
      </c>
      <c r="AH183" s="64">
        <f t="shared" si="52"/>
        <v>2.0310655648326739</v>
      </c>
      <c r="AJ183" s="41">
        <v>0.85</v>
      </c>
      <c r="AK183">
        <v>374</v>
      </c>
    </row>
    <row r="184" spans="1:37" hidden="1" x14ac:dyDescent="0.3">
      <c r="A184" s="3">
        <f>+'Mono ASIG'!A184</f>
        <v>1382.7578000000001</v>
      </c>
      <c r="B184" s="3">
        <f>+'Mono ASIG'!B184</f>
        <v>1367.2360000000006</v>
      </c>
      <c r="C184" s="1">
        <f>+'Mono ASIG'!C184</f>
        <v>2026</v>
      </c>
      <c r="D184" s="1">
        <f t="shared" si="62"/>
        <v>3</v>
      </c>
      <c r="E184" s="1">
        <f>+'Fisico SPOT MAT'!E184</f>
        <v>16</v>
      </c>
      <c r="F184" s="1" t="str">
        <f>+'Mono ASIG'!F184</f>
        <v>lun</v>
      </c>
      <c r="G184" s="56">
        <f>+'Mono ASIG'!G184</f>
        <v>46090</v>
      </c>
      <c r="H184" s="17">
        <f t="shared" si="63"/>
        <v>39.666460853391492</v>
      </c>
      <c r="I184" s="17">
        <f t="shared" si="64"/>
        <v>34.086624503012011</v>
      </c>
      <c r="J184" s="17">
        <v>22</v>
      </c>
      <c r="K184" s="17">
        <v>22</v>
      </c>
      <c r="L184" s="17">
        <v>32</v>
      </c>
      <c r="M184" s="44">
        <f>SUMPRODUCT(H184:L184,'Fisico SPOT MAT'!H184:L184)*24</f>
        <v>6171308.1349139148</v>
      </c>
      <c r="N184" s="19">
        <f>+'Fisico SPOT MAT'!AH184</f>
        <v>16.292454426600102</v>
      </c>
      <c r="O184" s="19">
        <f t="shared" si="34"/>
        <v>13.502673796791443</v>
      </c>
      <c r="P184" s="19">
        <v>6</v>
      </c>
      <c r="Q184" s="19">
        <v>6</v>
      </c>
      <c r="R184" s="19">
        <v>0</v>
      </c>
      <c r="S184" s="44">
        <f>SUMPRODUCT(N184:R184,'Fisico SPOT MAT'!N184:R184)*E184</f>
        <v>3724789.2807771815</v>
      </c>
      <c r="T184" s="17">
        <v>50</v>
      </c>
      <c r="U184" s="17">
        <v>18</v>
      </c>
      <c r="V184" s="17">
        <v>50</v>
      </c>
      <c r="W184" s="17">
        <v>60</v>
      </c>
      <c r="X184" s="28">
        <f>SUMPRODUCT(T184:W184,'Fisico SPOT MAT'!T184:W184)*24</f>
        <v>2242300.1099999994</v>
      </c>
      <c r="Y184" s="19">
        <v>0</v>
      </c>
      <c r="Z184" s="19">
        <v>5</v>
      </c>
      <c r="AA184" s="19">
        <v>0</v>
      </c>
      <c r="AB184" s="28">
        <f>SUMPRODUCT(Y184:AA184,'Fisico SPOT MAT'!Y184:AA184)*E184</f>
        <v>36177.766666666663</v>
      </c>
      <c r="AC184" s="122">
        <f>(T184*'Fisico SPOT MAT'!T184+'Mono SPOT MAT'!V184*'Fisico SPOT MAT'!V184+'Mono SPOT MAT'!W184*'Fisico SPOT MAT'!W184)/'Fisico SPOT MAT'!AC184</f>
        <v>60</v>
      </c>
      <c r="AD184" s="85"/>
      <c r="AE184" s="41">
        <v>36.804647169453389</v>
      </c>
      <c r="AF184" s="42">
        <v>31.224810819073905</v>
      </c>
      <c r="AG184">
        <v>5050</v>
      </c>
      <c r="AH184" s="64">
        <f t="shared" si="52"/>
        <v>2.011813683938104</v>
      </c>
      <c r="AJ184" s="41">
        <v>0.85</v>
      </c>
      <c r="AK184">
        <v>374</v>
      </c>
    </row>
    <row r="185" spans="1:37" hidden="1" x14ac:dyDescent="0.3">
      <c r="A185" s="3">
        <f>+'Mono ASIG'!A185</f>
        <v>1382.7578000000001</v>
      </c>
      <c r="B185" s="3">
        <f>+'Mono ASIG'!B185</f>
        <v>1367.2360000000006</v>
      </c>
      <c r="C185" s="1">
        <f>+'Mono ASIG'!C185</f>
        <v>2026</v>
      </c>
      <c r="D185" s="1">
        <f t="shared" si="62"/>
        <v>3</v>
      </c>
      <c r="E185" s="1">
        <f>+'Fisico SPOT MAT'!E185</f>
        <v>16</v>
      </c>
      <c r="F185" s="1" t="str">
        <f>+'Mono ASIG'!F185</f>
        <v>mar</v>
      </c>
      <c r="G185" s="56">
        <f>+'Mono ASIG'!G185</f>
        <v>46091</v>
      </c>
      <c r="H185" s="17">
        <f t="shared" si="63"/>
        <v>40.645529315893434</v>
      </c>
      <c r="I185" s="17">
        <f t="shared" si="64"/>
        <v>34.357747628235757</v>
      </c>
      <c r="J185" s="17">
        <v>22</v>
      </c>
      <c r="K185" s="17">
        <v>22</v>
      </c>
      <c r="L185" s="17">
        <v>32</v>
      </c>
      <c r="M185" s="44">
        <f>SUMPRODUCT(H185:L185,'Fisico SPOT MAT'!H185:L185)*24</f>
        <v>6989779.407222243</v>
      </c>
      <c r="N185" s="19">
        <f>+'Fisico SPOT MAT'!AH185</f>
        <v>16.294496237039862</v>
      </c>
      <c r="O185" s="19">
        <f t="shared" ref="O185:O247" si="65">AG185/AK185</f>
        <v>13.502673796791443</v>
      </c>
      <c r="P185" s="19">
        <v>6</v>
      </c>
      <c r="Q185" s="19">
        <v>6</v>
      </c>
      <c r="R185" s="19">
        <v>0</v>
      </c>
      <c r="S185" s="44">
        <f>SUMPRODUCT(N185:R185,'Fisico SPOT MAT'!N185:R185)*E185</f>
        <v>3732021.5185026745</v>
      </c>
      <c r="T185" s="17">
        <v>50</v>
      </c>
      <c r="U185" s="17">
        <v>18</v>
      </c>
      <c r="V185" s="17">
        <v>50</v>
      </c>
      <c r="W185" s="17">
        <v>60</v>
      </c>
      <c r="X185" s="28">
        <f>SUMPRODUCT(T185:W185,'Fisico SPOT MAT'!T185:W185)*24</f>
        <v>1741793.4959999998</v>
      </c>
      <c r="Y185" s="19">
        <v>0</v>
      </c>
      <c r="Z185" s="19">
        <v>5</v>
      </c>
      <c r="AA185" s="19">
        <v>0</v>
      </c>
      <c r="AB185" s="28">
        <f>SUMPRODUCT(Y185:AA185,'Fisico SPOT MAT'!Y185:AA185)*E185</f>
        <v>33200</v>
      </c>
      <c r="AC185" s="122">
        <f>(T185*'Fisico SPOT MAT'!T185+'Mono SPOT MAT'!V185*'Fisico SPOT MAT'!V185+'Mono SPOT MAT'!W185*'Fisico SPOT MAT'!W185)/'Fisico SPOT MAT'!AC185</f>
        <v>60</v>
      </c>
      <c r="AD185" s="85"/>
      <c r="AE185" s="41">
        <v>37.721807321680032</v>
      </c>
      <c r="AF185" s="42">
        <v>31.434025634022355</v>
      </c>
      <c r="AG185">
        <v>5050</v>
      </c>
      <c r="AH185" s="64">
        <f t="shared" si="52"/>
        <v>2.0737219942134022</v>
      </c>
      <c r="AJ185" s="41">
        <v>0.85</v>
      </c>
      <c r="AK185">
        <v>374</v>
      </c>
    </row>
    <row r="186" spans="1:37" hidden="1" x14ac:dyDescent="0.3">
      <c r="A186" s="3">
        <f>+'Mono ASIG'!A186</f>
        <v>1382.7578000000001</v>
      </c>
      <c r="B186" s="3">
        <f>+'Mono ASIG'!B186</f>
        <v>1367.2360000000006</v>
      </c>
      <c r="C186" s="1">
        <f>+'Mono ASIG'!C186</f>
        <v>2026</v>
      </c>
      <c r="D186" s="1">
        <f t="shared" si="62"/>
        <v>3</v>
      </c>
      <c r="E186" s="1">
        <f>+'Fisico SPOT MAT'!E186</f>
        <v>16</v>
      </c>
      <c r="F186" s="1" t="str">
        <f>+'Mono ASIG'!F186</f>
        <v>mié</v>
      </c>
      <c r="G186" s="56">
        <f>+'Mono ASIG'!G186</f>
        <v>46092</v>
      </c>
      <c r="H186" s="17">
        <f t="shared" si="63"/>
        <v>40.34124985552036</v>
      </c>
      <c r="I186" s="17">
        <f t="shared" si="64"/>
        <v>34.388266167371825</v>
      </c>
      <c r="J186" s="17">
        <v>22</v>
      </c>
      <c r="K186" s="17">
        <v>22</v>
      </c>
      <c r="L186" s="17">
        <v>32</v>
      </c>
      <c r="M186" s="44">
        <f>SUMPRODUCT(H186:L186,'Fisico SPOT MAT'!H186:L186)*24</f>
        <v>6751122.6263089003</v>
      </c>
      <c r="N186" s="19">
        <f>+'Fisico SPOT MAT'!AH186</f>
        <v>16.293807741846056</v>
      </c>
      <c r="O186" s="19">
        <f t="shared" si="65"/>
        <v>13.502673796791443</v>
      </c>
      <c r="P186" s="19">
        <v>6</v>
      </c>
      <c r="Q186" s="19">
        <v>6</v>
      </c>
      <c r="R186" s="19">
        <v>0</v>
      </c>
      <c r="S186" s="44">
        <f>SUMPRODUCT(N186:R186,'Fisico SPOT MAT'!N186:R186)*E186</f>
        <v>3730539.6677789651</v>
      </c>
      <c r="T186" s="17">
        <v>50</v>
      </c>
      <c r="U186" s="17">
        <v>18</v>
      </c>
      <c r="V186" s="17">
        <v>50</v>
      </c>
      <c r="W186" s="17">
        <v>60</v>
      </c>
      <c r="X186" s="28">
        <f>SUMPRODUCT(T186:W186,'Fisico SPOT MAT'!T186:W186)*24</f>
        <v>2036056.9740000004</v>
      </c>
      <c r="Y186" s="19">
        <v>0</v>
      </c>
      <c r="Z186" s="19">
        <v>5</v>
      </c>
      <c r="AA186" s="19">
        <v>0</v>
      </c>
      <c r="AB186" s="28">
        <f>SUMPRODUCT(Y186:AA186,'Fisico SPOT MAT'!Y186:AA186)*E186</f>
        <v>38122.233333333337</v>
      </c>
      <c r="AC186" s="122">
        <f>(T186*'Fisico SPOT MAT'!T186+'Mono SPOT MAT'!V186*'Fisico SPOT MAT'!V186+'Mono SPOT MAT'!W186*'Fisico SPOT MAT'!W186)/'Fisico SPOT MAT'!AC186</f>
        <v>60</v>
      </c>
      <c r="AD186" s="85"/>
      <c r="AE186" s="41">
        <v>37.436768014538977</v>
      </c>
      <c r="AF186" s="42">
        <v>31.483784326390445</v>
      </c>
      <c r="AG186">
        <v>5050</v>
      </c>
      <c r="AH186" s="64">
        <f t="shared" si="52"/>
        <v>2.054481840981381</v>
      </c>
      <c r="AJ186" s="41">
        <v>0.85</v>
      </c>
      <c r="AK186">
        <v>374</v>
      </c>
    </row>
    <row r="187" spans="1:37" hidden="1" x14ac:dyDescent="0.3">
      <c r="A187" s="3">
        <f>+'Mono ASIG'!A187</f>
        <v>1382.7578000000001</v>
      </c>
      <c r="B187" s="3">
        <f>+'Mono ASIG'!B187</f>
        <v>1367.2360000000006</v>
      </c>
      <c r="C187" s="1">
        <f>+'Mono ASIG'!C187</f>
        <v>2026</v>
      </c>
      <c r="D187" s="1">
        <f t="shared" si="62"/>
        <v>3</v>
      </c>
      <c r="E187" s="1">
        <f>+'Fisico SPOT MAT'!E187</f>
        <v>16</v>
      </c>
      <c r="F187" s="1" t="str">
        <f>+'Mono ASIG'!F187</f>
        <v>jue</v>
      </c>
      <c r="G187" s="56">
        <f>+'Mono ASIG'!G187</f>
        <v>46093</v>
      </c>
      <c r="H187" s="17">
        <f t="shared" si="63"/>
        <v>40.260935532328503</v>
      </c>
      <c r="I187" s="17">
        <f t="shared" si="64"/>
        <v>34.935529273571753</v>
      </c>
      <c r="J187" s="17">
        <v>22</v>
      </c>
      <c r="K187" s="17">
        <v>22</v>
      </c>
      <c r="L187" s="17">
        <v>32</v>
      </c>
      <c r="M187" s="44">
        <f>SUMPRODUCT(H187:L187,'Fisico SPOT MAT'!H187:L187)*24</f>
        <v>6776101.0641687606</v>
      </c>
      <c r="N187" s="19">
        <f>+'Fisico SPOT MAT'!AH187</f>
        <v>16.298428714456591</v>
      </c>
      <c r="O187" s="19">
        <f t="shared" si="65"/>
        <v>13.502673796791443</v>
      </c>
      <c r="P187" s="19">
        <v>6</v>
      </c>
      <c r="Q187" s="19">
        <v>6</v>
      </c>
      <c r="R187" s="19">
        <v>0</v>
      </c>
      <c r="S187" s="44">
        <f>SUMPRODUCT(N187:R187,'Fisico SPOT MAT'!N187:R187)*E187</f>
        <v>3716353.1998859174</v>
      </c>
      <c r="T187" s="17">
        <v>50</v>
      </c>
      <c r="U187" s="17">
        <v>18</v>
      </c>
      <c r="V187" s="17">
        <v>50</v>
      </c>
      <c r="W187" s="17">
        <v>60</v>
      </c>
      <c r="X187" s="28">
        <f>SUMPRODUCT(T187:W187,'Fisico SPOT MAT'!T187:W187)*24</f>
        <v>1880995.3679999998</v>
      </c>
      <c r="Y187" s="19">
        <v>0</v>
      </c>
      <c r="Z187" s="19">
        <v>5</v>
      </c>
      <c r="AA187" s="19">
        <v>0</v>
      </c>
      <c r="AB187" s="28">
        <f>SUMPRODUCT(Y187:AA187,'Fisico SPOT MAT'!Y187:AA187)*E187</f>
        <v>41200</v>
      </c>
      <c r="AC187" s="122">
        <f>(T187*'Fisico SPOT MAT'!T187+'Mono SPOT MAT'!V187*'Fisico SPOT MAT'!V187+'Mono SPOT MAT'!W187*'Fisico SPOT MAT'!W187)/'Fisico SPOT MAT'!AC187</f>
        <v>60</v>
      </c>
      <c r="AD187" s="85"/>
      <c r="AE187" s="41">
        <v>37.361532114593444</v>
      </c>
      <c r="AF187" s="42">
        <v>32.036125855836694</v>
      </c>
      <c r="AG187">
        <v>5050</v>
      </c>
      <c r="AH187" s="64">
        <f t="shared" si="52"/>
        <v>2.0494034177350575</v>
      </c>
      <c r="AJ187" s="41">
        <v>0.85</v>
      </c>
      <c r="AK187">
        <v>374</v>
      </c>
    </row>
    <row r="188" spans="1:37" hidden="1" x14ac:dyDescent="0.3">
      <c r="A188" s="3">
        <f>+'Mono ASIG'!A188</f>
        <v>1382.7578000000001</v>
      </c>
      <c r="B188" s="3">
        <f>+'Mono ASIG'!B188</f>
        <v>1367.2360000000006</v>
      </c>
      <c r="C188" s="1">
        <f>+'Mono ASIG'!C188</f>
        <v>2026</v>
      </c>
      <c r="D188" s="1">
        <f t="shared" si="62"/>
        <v>3</v>
      </c>
      <c r="E188" s="1">
        <f>+'Fisico SPOT MAT'!E188</f>
        <v>16</v>
      </c>
      <c r="F188" s="1" t="str">
        <f>+'Mono ASIG'!F188</f>
        <v>vie</v>
      </c>
      <c r="G188" s="56">
        <f>+'Mono ASIG'!G188</f>
        <v>46094</v>
      </c>
      <c r="H188" s="17">
        <f t="shared" si="63"/>
        <v>40.269048563063798</v>
      </c>
      <c r="I188" s="17">
        <f t="shared" si="64"/>
        <v>34.368604463377302</v>
      </c>
      <c r="J188" s="17">
        <v>22</v>
      </c>
      <c r="K188" s="17">
        <v>22</v>
      </c>
      <c r="L188" s="17">
        <v>32</v>
      </c>
      <c r="M188" s="44">
        <f>SUMPRODUCT(H188:L188,'Fisico SPOT MAT'!H188:L188)*24</f>
        <v>7222876.8205111828</v>
      </c>
      <c r="N188" s="19">
        <f>+'Fisico SPOT MAT'!AH188</f>
        <v>16.301645658180711</v>
      </c>
      <c r="O188" s="19">
        <f t="shared" si="65"/>
        <v>13.502673796791443</v>
      </c>
      <c r="P188" s="19">
        <v>6</v>
      </c>
      <c r="Q188" s="19">
        <v>6</v>
      </c>
      <c r="R188" s="19">
        <v>0</v>
      </c>
      <c r="S188" s="44">
        <f>SUMPRODUCT(N188:R188,'Fisico SPOT MAT'!N188:R188)*E188</f>
        <v>3743812.4973475914</v>
      </c>
      <c r="T188" s="17">
        <v>50</v>
      </c>
      <c r="U188" s="17">
        <v>18</v>
      </c>
      <c r="V188" s="17">
        <v>50</v>
      </c>
      <c r="W188" s="17">
        <v>60</v>
      </c>
      <c r="X188" s="28">
        <f>SUMPRODUCT(T188:W188,'Fisico SPOT MAT'!T188:W188)*24</f>
        <v>1847000.5560000006</v>
      </c>
      <c r="Y188" s="19">
        <v>0</v>
      </c>
      <c r="Z188" s="19">
        <v>5</v>
      </c>
      <c r="AA188" s="19">
        <v>0</v>
      </c>
      <c r="AB188" s="28">
        <f>SUMPRODUCT(Y188:AA188,'Fisico SPOT MAT'!Y188:AA188)*E188</f>
        <v>41200</v>
      </c>
      <c r="AC188" s="122">
        <f>(T188*'Fisico SPOT MAT'!T188+'Mono SPOT MAT'!V188*'Fisico SPOT MAT'!V188+'Mono SPOT MAT'!W188*'Fisico SPOT MAT'!W188)/'Fisico SPOT MAT'!AC188</f>
        <v>60</v>
      </c>
      <c r="AD188" s="85"/>
      <c r="AE188" s="41">
        <v>37.369132143385286</v>
      </c>
      <c r="AF188" s="42">
        <v>31.468688043698794</v>
      </c>
      <c r="AG188">
        <v>5050</v>
      </c>
      <c r="AH188" s="64">
        <f t="shared" si="52"/>
        <v>2.0499164196785071</v>
      </c>
      <c r="AJ188" s="41">
        <v>0.85</v>
      </c>
      <c r="AK188">
        <v>374</v>
      </c>
    </row>
    <row r="189" spans="1:37" hidden="1" x14ac:dyDescent="0.3">
      <c r="A189" s="3">
        <f>+'Mono ASIG'!A189</f>
        <v>1382.7578000000001</v>
      </c>
      <c r="B189" s="3">
        <f>+'Mono ASIG'!B189</f>
        <v>1367.2360000000006</v>
      </c>
      <c r="C189" s="1">
        <f>+'Mono ASIG'!C189</f>
        <v>2026</v>
      </c>
      <c r="D189" s="1">
        <f t="shared" si="62"/>
        <v>3</v>
      </c>
      <c r="E189" s="1">
        <f>+'Fisico SPOT MAT'!E189</f>
        <v>6</v>
      </c>
      <c r="F189" s="1" t="str">
        <f>+'Mono ASIG'!F189</f>
        <v>sáb</v>
      </c>
      <c r="G189" s="56">
        <f>+'Mono ASIG'!G189</f>
        <v>46095</v>
      </c>
      <c r="H189" s="17">
        <f t="shared" si="63"/>
        <v>40.147354969527385</v>
      </c>
      <c r="I189" s="17">
        <f t="shared" si="64"/>
        <v>33.785109382600545</v>
      </c>
      <c r="J189" s="17">
        <v>22</v>
      </c>
      <c r="K189" s="17">
        <v>22</v>
      </c>
      <c r="L189" s="17">
        <v>32</v>
      </c>
      <c r="M189" s="44">
        <f>SUMPRODUCT(H189:L189,'Fisico SPOT MAT'!H189:L189)*24</f>
        <v>7074591.0720912777</v>
      </c>
      <c r="N189" s="19">
        <f>+'Fisico SPOT MAT'!AH189</f>
        <v>16.251141191939915</v>
      </c>
      <c r="O189" s="19">
        <f t="shared" si="65"/>
        <v>13.502673796791443</v>
      </c>
      <c r="P189" s="19">
        <v>6</v>
      </c>
      <c r="Q189" s="19">
        <v>6</v>
      </c>
      <c r="R189" s="19">
        <v>0</v>
      </c>
      <c r="S189" s="44">
        <f>SUMPRODUCT(N189:R189,'Fisico SPOT MAT'!N189:R189)*E189</f>
        <v>1364000.7041991977</v>
      </c>
      <c r="T189" s="17">
        <v>50</v>
      </c>
      <c r="U189" s="17">
        <v>18</v>
      </c>
      <c r="V189" s="17">
        <v>50</v>
      </c>
      <c r="W189" s="17">
        <v>60</v>
      </c>
      <c r="X189" s="28">
        <f>SUMPRODUCT(T189:W189,'Fisico SPOT MAT'!T189:W189)*24</f>
        <v>1940288.7960000001</v>
      </c>
      <c r="Y189" s="19">
        <v>0</v>
      </c>
      <c r="Z189" s="19">
        <v>5</v>
      </c>
      <c r="AA189" s="19">
        <v>0</v>
      </c>
      <c r="AB189" s="28">
        <f>SUMPRODUCT(Y189:AA189,'Fisico SPOT MAT'!Y189:AA189)*E189</f>
        <v>15450</v>
      </c>
      <c r="AC189" s="122">
        <f>(T189*'Fisico SPOT MAT'!T189+'Mono SPOT MAT'!V189*'Fisico SPOT MAT'!V189+'Mono SPOT MAT'!W189*'Fisico SPOT MAT'!W189)/'Fisico SPOT MAT'!AC189</f>
        <v>60</v>
      </c>
      <c r="AD189" s="85"/>
      <c r="AE189" s="41">
        <v>37.25513346091558</v>
      </c>
      <c r="AF189" s="42">
        <v>30.892887873988741</v>
      </c>
      <c r="AG189">
        <v>5050</v>
      </c>
      <c r="AH189" s="64">
        <f t="shared" si="52"/>
        <v>2.0422215086118016</v>
      </c>
      <c r="AJ189" s="41">
        <v>0.85</v>
      </c>
      <c r="AK189">
        <v>374</v>
      </c>
    </row>
    <row r="190" spans="1:37" hidden="1" x14ac:dyDescent="0.3">
      <c r="A190" s="3">
        <f>+'Mono ASIG'!A190</f>
        <v>1382.7578000000001</v>
      </c>
      <c r="B190" s="3">
        <f>+'Mono ASIG'!B190</f>
        <v>1367.2360000000006</v>
      </c>
      <c r="C190" s="1">
        <f>+'Mono ASIG'!C190</f>
        <v>2026</v>
      </c>
      <c r="D190" s="1">
        <f t="shared" si="62"/>
        <v>3</v>
      </c>
      <c r="E190" s="1">
        <f>+'Fisico SPOT MAT'!E190</f>
        <v>4</v>
      </c>
      <c r="F190" s="1" t="str">
        <f>+'Mono ASIG'!F190</f>
        <v>dom</v>
      </c>
      <c r="G190" s="56">
        <f>+'Mono ASIG'!G190</f>
        <v>46096</v>
      </c>
      <c r="H190" s="17">
        <f t="shared" si="63"/>
        <v>40.876531483819974</v>
      </c>
      <c r="I190" s="17">
        <f t="shared" si="64"/>
        <v>34.865647428115572</v>
      </c>
      <c r="J190" s="17">
        <v>22</v>
      </c>
      <c r="K190" s="17">
        <v>22</v>
      </c>
      <c r="L190" s="17">
        <v>32</v>
      </c>
      <c r="M190" s="44">
        <f>SUMPRODUCT(H190:L190,'Fisico SPOT MAT'!H190:L190)*24</f>
        <v>6265182.8479690654</v>
      </c>
      <c r="N190" s="19">
        <f>+'Fisico SPOT MAT'!AH190</f>
        <v>16.236378490322299</v>
      </c>
      <c r="O190" s="19">
        <f t="shared" si="65"/>
        <v>13.502673796791443</v>
      </c>
      <c r="P190" s="19">
        <v>6</v>
      </c>
      <c r="Q190" s="19">
        <v>6</v>
      </c>
      <c r="R190" s="19">
        <v>0</v>
      </c>
      <c r="S190" s="44">
        <f>SUMPRODUCT(N190:R190,'Fisico SPOT MAT'!N190:R190)*E190</f>
        <v>900396.43906060595</v>
      </c>
      <c r="T190" s="17">
        <v>50</v>
      </c>
      <c r="U190" s="17">
        <v>18</v>
      </c>
      <c r="V190" s="17">
        <v>50</v>
      </c>
      <c r="W190" s="17">
        <v>60</v>
      </c>
      <c r="X190" s="28">
        <f>SUMPRODUCT(T190:W190,'Fisico SPOT MAT'!T190:W190)*24</f>
        <v>2605971.66</v>
      </c>
      <c r="Y190" s="19">
        <v>0</v>
      </c>
      <c r="Z190" s="19">
        <v>5</v>
      </c>
      <c r="AA190" s="19">
        <v>0</v>
      </c>
      <c r="AB190" s="28">
        <f>SUMPRODUCT(Y190:AA190,'Fisico SPOT MAT'!Y190:AA190)*E190</f>
        <v>10300</v>
      </c>
      <c r="AC190" s="122">
        <f>(T190*'Fisico SPOT MAT'!T190+'Mono SPOT MAT'!V190*'Fisico SPOT MAT'!V190+'Mono SPOT MAT'!W190*'Fisico SPOT MAT'!W190)/'Fisico SPOT MAT'!AC190</f>
        <v>60</v>
      </c>
      <c r="AD190" s="85"/>
      <c r="AE190" s="41">
        <v>37.938202795147518</v>
      </c>
      <c r="AF190" s="42">
        <v>31.927318739443116</v>
      </c>
      <c r="AG190">
        <v>5050</v>
      </c>
      <c r="AH190" s="64">
        <f t="shared" si="52"/>
        <v>2.0883286886724575</v>
      </c>
      <c r="AJ190" s="41">
        <v>0.85</v>
      </c>
      <c r="AK190">
        <v>374</v>
      </c>
    </row>
    <row r="191" spans="1:37" hidden="1" x14ac:dyDescent="0.3">
      <c r="A191" s="3">
        <f>+'Mono ASIG'!A191</f>
        <v>1382.7578000000001</v>
      </c>
      <c r="B191" s="3">
        <f>+'Mono ASIG'!B191</f>
        <v>1418.2779999999993</v>
      </c>
      <c r="C191" s="1">
        <f>+'Mono ASIG'!C191</f>
        <v>2026</v>
      </c>
      <c r="D191" s="1">
        <f t="shared" si="62"/>
        <v>3</v>
      </c>
      <c r="E191" s="1">
        <f>+'Fisico SPOT MAT'!E191</f>
        <v>16</v>
      </c>
      <c r="F191" s="1" t="str">
        <f>+'Mono ASIG'!F191</f>
        <v>lun</v>
      </c>
      <c r="G191" s="56">
        <f>+'Mono ASIG'!G191</f>
        <v>46097</v>
      </c>
      <c r="H191" s="17">
        <f t="shared" si="63"/>
        <v>51.677344745344506</v>
      </c>
      <c r="I191" s="17">
        <f t="shared" si="64"/>
        <v>34.825263233605661</v>
      </c>
      <c r="J191" s="17">
        <v>22</v>
      </c>
      <c r="K191" s="17">
        <v>22</v>
      </c>
      <c r="L191" s="17">
        <v>32</v>
      </c>
      <c r="M191" s="44">
        <f>SUMPRODUCT(H191:L191,'Fisico SPOT MAT'!H191:L191)*24</f>
        <v>9893563.6825205479</v>
      </c>
      <c r="N191" s="19">
        <f>+'Fisico SPOT MAT'!AH191</f>
        <v>16.225061472568367</v>
      </c>
      <c r="O191" s="19">
        <f t="shared" si="65"/>
        <v>13.502673796791443</v>
      </c>
      <c r="P191" s="19">
        <v>6</v>
      </c>
      <c r="Q191" s="19">
        <v>6</v>
      </c>
      <c r="R191" s="19">
        <v>0</v>
      </c>
      <c r="S191" s="44">
        <f>SUMPRODUCT(N191:R191,'Fisico SPOT MAT'!N191:R191)*E191</f>
        <v>3576997.9058680916</v>
      </c>
      <c r="T191" s="17">
        <v>50</v>
      </c>
      <c r="U191" s="17">
        <v>18</v>
      </c>
      <c r="V191" s="17">
        <v>50</v>
      </c>
      <c r="W191" s="17">
        <v>60</v>
      </c>
      <c r="X191" s="28">
        <f>SUMPRODUCT(T191:W191,'Fisico SPOT MAT'!T191:W191)*24</f>
        <v>2039073.09</v>
      </c>
      <c r="Y191" s="19">
        <v>0</v>
      </c>
      <c r="Z191" s="19">
        <v>5</v>
      </c>
      <c r="AA191" s="19">
        <v>0</v>
      </c>
      <c r="AB191" s="28">
        <f>SUMPRODUCT(Y191:AA191,'Fisico SPOT MAT'!Y191:AA191)*E191</f>
        <v>41200</v>
      </c>
      <c r="AC191" s="122">
        <f>(T191*'Fisico SPOT MAT'!T191+'Mono SPOT MAT'!V191*'Fisico SPOT MAT'!V191+'Mono SPOT MAT'!W191*'Fisico SPOT MAT'!W191)/'Fisico SPOT MAT'!AC191</f>
        <v>60</v>
      </c>
      <c r="AD191" s="85"/>
      <c r="AE191" s="41">
        <v>48.056060651376583</v>
      </c>
      <c r="AF191" s="42">
        <v>31.203979139637742</v>
      </c>
      <c r="AG191">
        <v>5050</v>
      </c>
      <c r="AH191" s="64">
        <f t="shared" si="52"/>
        <v>2.7712840939679197</v>
      </c>
      <c r="AJ191" s="41">
        <v>0.85</v>
      </c>
      <c r="AK191">
        <v>374</v>
      </c>
    </row>
    <row r="192" spans="1:37" hidden="1" x14ac:dyDescent="0.3">
      <c r="A192" s="3">
        <f>+'Mono ASIG'!A192</f>
        <v>1382.7578000000001</v>
      </c>
      <c r="B192" s="3">
        <f>+'Mono ASIG'!B192</f>
        <v>1418.2779999999993</v>
      </c>
      <c r="C192" s="1">
        <f>+'Mono ASIG'!C192</f>
        <v>2026</v>
      </c>
      <c r="D192" s="1">
        <f t="shared" si="62"/>
        <v>3</v>
      </c>
      <c r="E192" s="1">
        <f>+'Fisico SPOT MAT'!E192</f>
        <v>16</v>
      </c>
      <c r="F192" s="1" t="str">
        <f>+'Mono ASIG'!F192</f>
        <v>mar</v>
      </c>
      <c r="G192" s="56">
        <f>+'Mono ASIG'!G192</f>
        <v>46098</v>
      </c>
      <c r="H192" s="17">
        <f t="shared" si="63"/>
        <v>49.204522220655463</v>
      </c>
      <c r="I192" s="17">
        <f t="shared" si="64"/>
        <v>34.92441472355474</v>
      </c>
      <c r="J192" s="17">
        <v>22</v>
      </c>
      <c r="K192" s="17">
        <v>22</v>
      </c>
      <c r="L192" s="17">
        <v>32</v>
      </c>
      <c r="M192" s="44">
        <f>SUMPRODUCT(H192:L192,'Fisico SPOT MAT'!H192:L192)*24</f>
        <v>9194125.875700552</v>
      </c>
      <c r="N192" s="19">
        <f>+'Fisico SPOT MAT'!AH192</f>
        <v>16.241194736872963</v>
      </c>
      <c r="O192" s="19">
        <f t="shared" si="65"/>
        <v>13.502673796791443</v>
      </c>
      <c r="P192" s="19">
        <v>6</v>
      </c>
      <c r="Q192" s="19">
        <v>6</v>
      </c>
      <c r="R192" s="19">
        <v>0</v>
      </c>
      <c r="S192" s="44">
        <f>SUMPRODUCT(N192:R192,'Fisico SPOT MAT'!N192:R192)*E192</f>
        <v>3612785.6845133696</v>
      </c>
      <c r="T192" s="17">
        <v>50</v>
      </c>
      <c r="U192" s="17">
        <v>18</v>
      </c>
      <c r="V192" s="17">
        <v>50</v>
      </c>
      <c r="W192" s="17">
        <v>60</v>
      </c>
      <c r="X192" s="28">
        <f>SUMPRODUCT(T192:W192,'Fisico SPOT MAT'!T192:W192)*24</f>
        <v>2393136.642</v>
      </c>
      <c r="Y192" s="19">
        <v>0</v>
      </c>
      <c r="Z192" s="19">
        <v>5</v>
      </c>
      <c r="AA192" s="19">
        <v>0</v>
      </c>
      <c r="AB192" s="28">
        <f>SUMPRODUCT(Y192:AA192,'Fisico SPOT MAT'!Y192:AA192)*E192</f>
        <v>41200</v>
      </c>
      <c r="AC192" s="122">
        <f>(T192*'Fisico SPOT MAT'!T192+'Mono SPOT MAT'!V192*'Fisico SPOT MAT'!V192+'Mono SPOT MAT'!W192*'Fisico SPOT MAT'!W192)/'Fisico SPOT MAT'!AC192</f>
        <v>60.000000000000007</v>
      </c>
      <c r="AD192" s="85"/>
      <c r="AE192" s="41">
        <v>45.739599269934857</v>
      </c>
      <c r="AF192" s="42">
        <v>31.459491772834138</v>
      </c>
      <c r="AG192">
        <v>5050</v>
      </c>
      <c r="AH192" s="64">
        <f t="shared" si="52"/>
        <v>2.6149229507206031</v>
      </c>
      <c r="AJ192" s="41">
        <v>0.85</v>
      </c>
      <c r="AK192">
        <v>374</v>
      </c>
    </row>
    <row r="193" spans="1:37" hidden="1" x14ac:dyDescent="0.3">
      <c r="A193" s="3">
        <f>+'Mono ASIG'!A193</f>
        <v>1382.7578000000001</v>
      </c>
      <c r="B193" s="3">
        <f>+'Mono ASIG'!B193</f>
        <v>1418.2779999999993</v>
      </c>
      <c r="C193" s="1">
        <f>+'Mono ASIG'!C193</f>
        <v>2026</v>
      </c>
      <c r="D193" s="1">
        <f t="shared" si="62"/>
        <v>3</v>
      </c>
      <c r="E193" s="1">
        <f>+'Fisico SPOT MAT'!E193</f>
        <v>16</v>
      </c>
      <c r="F193" s="1" t="str">
        <f>+'Mono ASIG'!F193</f>
        <v>mié</v>
      </c>
      <c r="G193" s="56">
        <f>+'Mono ASIG'!G193</f>
        <v>46099</v>
      </c>
      <c r="H193" s="17">
        <f t="shared" si="63"/>
        <v>42.641648522238476</v>
      </c>
      <c r="I193" s="17">
        <f t="shared" si="64"/>
        <v>35.331373488477816</v>
      </c>
      <c r="J193" s="17">
        <v>22</v>
      </c>
      <c r="K193" s="17">
        <v>22</v>
      </c>
      <c r="L193" s="17">
        <v>32</v>
      </c>
      <c r="M193" s="44">
        <f>SUMPRODUCT(H193:L193,'Fisico SPOT MAT'!H193:L193)*24</f>
        <v>7387384.8882053504</v>
      </c>
      <c r="N193" s="19">
        <f>+'Fisico SPOT MAT'!AH193</f>
        <v>16.228481920238117</v>
      </c>
      <c r="O193" s="19">
        <f t="shared" si="65"/>
        <v>13.502673796791443</v>
      </c>
      <c r="P193" s="19">
        <v>6</v>
      </c>
      <c r="Q193" s="19">
        <v>6</v>
      </c>
      <c r="R193" s="19">
        <v>0</v>
      </c>
      <c r="S193" s="44">
        <f>SUMPRODUCT(N193:R193,'Fisico SPOT MAT'!N193:R193)*E193</f>
        <v>3595207.025326204</v>
      </c>
      <c r="T193" s="17">
        <v>50</v>
      </c>
      <c r="U193" s="17">
        <v>18</v>
      </c>
      <c r="V193" s="17">
        <v>50</v>
      </c>
      <c r="W193" s="17">
        <v>60</v>
      </c>
      <c r="X193" s="28">
        <f>SUMPRODUCT(T193:W193,'Fisico SPOT MAT'!T193:W193)*24</f>
        <v>1904010.7920000006</v>
      </c>
      <c r="Y193" s="19">
        <v>0</v>
      </c>
      <c r="Z193" s="19">
        <v>5</v>
      </c>
      <c r="AA193" s="19">
        <v>0</v>
      </c>
      <c r="AB193" s="28">
        <f>SUMPRODUCT(Y193:AA193,'Fisico SPOT MAT'!Y193:AA193)*E193</f>
        <v>41200</v>
      </c>
      <c r="AC193" s="122">
        <f>(T193*'Fisico SPOT MAT'!T193+'Mono SPOT MAT'!V193*'Fisico SPOT MAT'!V193+'Mono SPOT MAT'!W193*'Fisico SPOT MAT'!W193)/'Fisico SPOT MAT'!AC193</f>
        <v>60</v>
      </c>
      <c r="AD193" s="85"/>
      <c r="AE193" s="41">
        <v>39.591708217553609</v>
      </c>
      <c r="AF193" s="42">
        <v>32.281433183792949</v>
      </c>
      <c r="AG193">
        <v>5050</v>
      </c>
      <c r="AH193" s="64">
        <f t="shared" si="52"/>
        <v>2.1999403046848687</v>
      </c>
      <c r="AJ193" s="41">
        <v>0.85</v>
      </c>
      <c r="AK193">
        <v>374</v>
      </c>
    </row>
    <row r="194" spans="1:37" hidden="1" x14ac:dyDescent="0.3">
      <c r="A194" s="3">
        <f>+'Mono ASIG'!A194</f>
        <v>1382.7578000000001</v>
      </c>
      <c r="B194" s="3">
        <f>+'Mono ASIG'!B194</f>
        <v>1418.2779999999993</v>
      </c>
      <c r="C194" s="1">
        <f>+'Mono ASIG'!C194</f>
        <v>2026</v>
      </c>
      <c r="D194" s="1">
        <f t="shared" si="62"/>
        <v>3</v>
      </c>
      <c r="E194" s="1">
        <f>+'Fisico SPOT MAT'!E194</f>
        <v>16</v>
      </c>
      <c r="F194" s="1" t="str">
        <f>+'Mono ASIG'!F194</f>
        <v>jue</v>
      </c>
      <c r="G194" s="56">
        <f>+'Mono ASIG'!G194</f>
        <v>46100</v>
      </c>
      <c r="H194" s="17">
        <f t="shared" si="63"/>
        <v>42.562140009195829</v>
      </c>
      <c r="I194" s="17">
        <f t="shared" si="64"/>
        <v>35.002694207838829</v>
      </c>
      <c r="J194" s="17">
        <v>22</v>
      </c>
      <c r="K194" s="17">
        <v>22</v>
      </c>
      <c r="L194" s="17">
        <v>32</v>
      </c>
      <c r="M194" s="44">
        <f>SUMPRODUCT(H194:L194,'Fisico SPOT MAT'!H194:L194)*24</f>
        <v>7463683.8050529379</v>
      </c>
      <c r="N194" s="19">
        <f>+'Fisico SPOT MAT'!AH194</f>
        <v>16.262322753778385</v>
      </c>
      <c r="O194" s="19">
        <f t="shared" si="65"/>
        <v>13.502673796791443</v>
      </c>
      <c r="P194" s="19">
        <v>6</v>
      </c>
      <c r="Q194" s="19">
        <v>6</v>
      </c>
      <c r="R194" s="19">
        <v>0</v>
      </c>
      <c r="S194" s="44">
        <f>SUMPRODUCT(N194:R194,'Fisico SPOT MAT'!N194:R194)*E194</f>
        <v>3654565.4783386816</v>
      </c>
      <c r="T194" s="17">
        <v>50</v>
      </c>
      <c r="U194" s="17">
        <v>18</v>
      </c>
      <c r="V194" s="17">
        <v>50</v>
      </c>
      <c r="W194" s="17">
        <v>60</v>
      </c>
      <c r="X194" s="28">
        <f>SUMPRODUCT(T194:W194,'Fisico SPOT MAT'!T194:W194)*24</f>
        <v>2666977.7939999998</v>
      </c>
      <c r="Y194" s="19">
        <v>0</v>
      </c>
      <c r="Z194" s="19">
        <v>5</v>
      </c>
      <c r="AA194" s="19">
        <v>0</v>
      </c>
      <c r="AB194" s="28">
        <f>SUMPRODUCT(Y194:AA194,'Fisico SPOT MAT'!Y194:AA194)*E194</f>
        <v>41200</v>
      </c>
      <c r="AC194" s="122">
        <f>(T194*'Fisico SPOT MAT'!T194+'Mono SPOT MAT'!V194*'Fisico SPOT MAT'!V194+'Mono SPOT MAT'!W194*'Fisico SPOT MAT'!W194)/'Fisico SPOT MAT'!AC194</f>
        <v>60</v>
      </c>
      <c r="AD194" s="85"/>
      <c r="AE194" s="41">
        <v>39.517227174890706</v>
      </c>
      <c r="AF194" s="42">
        <v>31.957781373533702</v>
      </c>
      <c r="AG194">
        <v>5050</v>
      </c>
      <c r="AH194" s="64">
        <f t="shared" si="52"/>
        <v>2.1949128343051227</v>
      </c>
      <c r="AJ194" s="41">
        <v>0.85</v>
      </c>
      <c r="AK194">
        <v>374</v>
      </c>
    </row>
    <row r="195" spans="1:37" hidden="1" x14ac:dyDescent="0.3">
      <c r="A195" s="3">
        <f>+'Mono ASIG'!A195</f>
        <v>1382.7578000000001</v>
      </c>
      <c r="B195" s="3">
        <f>+'Mono ASIG'!B195</f>
        <v>1418.2779999999993</v>
      </c>
      <c r="C195" s="1">
        <f>+'Mono ASIG'!C195</f>
        <v>2026</v>
      </c>
      <c r="D195" s="1">
        <f t="shared" si="62"/>
        <v>3</v>
      </c>
      <c r="E195" s="1">
        <f>+'Fisico SPOT MAT'!E195</f>
        <v>16</v>
      </c>
      <c r="F195" s="1" t="str">
        <f>+'Mono ASIG'!F195</f>
        <v>vie</v>
      </c>
      <c r="G195" s="56">
        <f>+'Mono ASIG'!G195</f>
        <v>46101</v>
      </c>
      <c r="H195" s="17">
        <f t="shared" si="63"/>
        <v>46.97883657416196</v>
      </c>
      <c r="I195" s="17">
        <f t="shared" si="64"/>
        <v>36.323798466669409</v>
      </c>
      <c r="J195" s="17">
        <v>22</v>
      </c>
      <c r="K195" s="17">
        <v>22</v>
      </c>
      <c r="L195" s="17">
        <v>32</v>
      </c>
      <c r="M195" s="44">
        <f>SUMPRODUCT(H195:L195,'Fisico SPOT MAT'!H195:L195)*24</f>
        <v>8182377.8091042191</v>
      </c>
      <c r="N195" s="19">
        <f>+'Fisico SPOT MAT'!AH195</f>
        <v>16.26379195493238</v>
      </c>
      <c r="O195" s="19">
        <f t="shared" si="65"/>
        <v>13.502673796791443</v>
      </c>
      <c r="P195" s="19">
        <v>6</v>
      </c>
      <c r="Q195" s="19">
        <v>6</v>
      </c>
      <c r="R195" s="19">
        <v>0</v>
      </c>
      <c r="S195" s="44">
        <f>SUMPRODUCT(N195:R195,'Fisico SPOT MAT'!N195:R195)*E195</f>
        <v>3578596.8809233513</v>
      </c>
      <c r="T195" s="17">
        <v>50</v>
      </c>
      <c r="U195" s="17">
        <v>18</v>
      </c>
      <c r="V195" s="17">
        <v>50</v>
      </c>
      <c r="W195" s="17">
        <v>60</v>
      </c>
      <c r="X195" s="28">
        <f>SUMPRODUCT(T195:W195,'Fisico SPOT MAT'!T195:W195)*24</f>
        <v>1819025.5560000003</v>
      </c>
      <c r="Y195" s="19">
        <v>0</v>
      </c>
      <c r="Z195" s="19">
        <v>5</v>
      </c>
      <c r="AA195" s="19">
        <v>0</v>
      </c>
      <c r="AB195" s="28">
        <f>SUMPRODUCT(Y195:AA195,'Fisico SPOT MAT'!Y195:AA195)*E195</f>
        <v>41200</v>
      </c>
      <c r="AC195" s="122">
        <f>(T195*'Fisico SPOT MAT'!T195+'Mono SPOT MAT'!V195*'Fisico SPOT MAT'!V195+'Mono SPOT MAT'!W195*'Fisico SPOT MAT'!W195)/'Fisico SPOT MAT'!AC195</f>
        <v>60</v>
      </c>
      <c r="AD195" s="85"/>
      <c r="AE195" s="41">
        <v>43.654647844648203</v>
      </c>
      <c r="AF195" s="42">
        <v>32.999609737155652</v>
      </c>
      <c r="AG195">
        <v>5050</v>
      </c>
      <c r="AH195" s="64">
        <f t="shared" si="52"/>
        <v>2.4741887295137537</v>
      </c>
      <c r="AJ195" s="41">
        <v>0.85</v>
      </c>
      <c r="AK195">
        <v>374</v>
      </c>
    </row>
    <row r="196" spans="1:37" hidden="1" x14ac:dyDescent="0.3">
      <c r="A196" s="3">
        <f>+'Mono ASIG'!A196</f>
        <v>1382.7578000000001</v>
      </c>
      <c r="B196" s="3">
        <f>+'Mono ASIG'!B196</f>
        <v>1418.2779999999993</v>
      </c>
      <c r="C196" s="1">
        <f>+'Mono ASIG'!C196</f>
        <v>2026</v>
      </c>
      <c r="D196" s="1">
        <f t="shared" si="62"/>
        <v>3</v>
      </c>
      <c r="E196" s="1">
        <f>+'Fisico SPOT MAT'!E196</f>
        <v>6</v>
      </c>
      <c r="F196" s="1" t="str">
        <f>+'Mono ASIG'!F196</f>
        <v>sáb</v>
      </c>
      <c r="G196" s="56">
        <f>+'Mono ASIG'!G196</f>
        <v>46102</v>
      </c>
      <c r="H196" s="17">
        <f t="shared" si="63"/>
        <v>42.431221995013381</v>
      </c>
      <c r="I196" s="17">
        <f t="shared" si="64"/>
        <v>35.848042941190194</v>
      </c>
      <c r="J196" s="17">
        <v>22</v>
      </c>
      <c r="K196" s="17">
        <v>22</v>
      </c>
      <c r="L196" s="17">
        <v>32</v>
      </c>
      <c r="M196" s="44">
        <f>SUMPRODUCT(H196:L196,'Fisico SPOT MAT'!H196:L196)*24</f>
        <v>6674999.152633084</v>
      </c>
      <c r="N196" s="19">
        <f>+'Fisico SPOT MAT'!AH196</f>
        <v>16.2705569411821</v>
      </c>
      <c r="O196" s="19">
        <f t="shared" si="65"/>
        <v>13.502673796791443</v>
      </c>
      <c r="P196" s="19">
        <v>6</v>
      </c>
      <c r="Q196" s="19">
        <v>6</v>
      </c>
      <c r="R196" s="19">
        <v>0</v>
      </c>
      <c r="S196" s="44">
        <f>SUMPRODUCT(N196:R196,'Fisico SPOT MAT'!N196:R196)*E196</f>
        <v>1347530.8753208551</v>
      </c>
      <c r="T196" s="17">
        <v>50</v>
      </c>
      <c r="U196" s="17">
        <v>18</v>
      </c>
      <c r="V196" s="17">
        <v>50</v>
      </c>
      <c r="W196" s="17">
        <v>60</v>
      </c>
      <c r="X196" s="28">
        <f>SUMPRODUCT(T196:W196,'Fisico SPOT MAT'!T196:W196)*24</f>
        <v>1927024.1820000003</v>
      </c>
      <c r="Y196" s="19">
        <v>0</v>
      </c>
      <c r="Z196" s="19">
        <v>5</v>
      </c>
      <c r="AA196" s="19">
        <v>0</v>
      </c>
      <c r="AB196" s="28">
        <f>SUMPRODUCT(Y196:AA196,'Fisico SPOT MAT'!Y196:AA196)*E196</f>
        <v>15450</v>
      </c>
      <c r="AC196" s="122">
        <f>(T196*'Fisico SPOT MAT'!T196+'Mono SPOT MAT'!V196*'Fisico SPOT MAT'!V196+'Mono SPOT MAT'!W196*'Fisico SPOT MAT'!W196)/'Fisico SPOT MAT'!AC196</f>
        <v>60.000000000000007</v>
      </c>
      <c r="AD196" s="85"/>
      <c r="AE196" s="41">
        <v>39.394587348958666</v>
      </c>
      <c r="AF196" s="42">
        <v>32.811408295135479</v>
      </c>
      <c r="AG196">
        <v>5050</v>
      </c>
      <c r="AH196" s="64">
        <f t="shared" si="52"/>
        <v>2.1866346460547099</v>
      </c>
      <c r="AJ196" s="41">
        <v>0.85</v>
      </c>
      <c r="AK196">
        <v>374</v>
      </c>
    </row>
    <row r="197" spans="1:37" hidden="1" x14ac:dyDescent="0.3">
      <c r="A197" s="3">
        <f>+'Mono ASIG'!A197</f>
        <v>1382.7578000000001</v>
      </c>
      <c r="B197" s="3">
        <f>+'Mono ASIG'!B197</f>
        <v>1418.2779999999993</v>
      </c>
      <c r="C197" s="1">
        <f>+'Mono ASIG'!C197</f>
        <v>2026</v>
      </c>
      <c r="D197" s="1">
        <f t="shared" si="62"/>
        <v>3</v>
      </c>
      <c r="E197" s="1">
        <f>+'Fisico SPOT MAT'!E197</f>
        <v>4</v>
      </c>
      <c r="F197" s="1" t="str">
        <f>+'Mono ASIG'!F197</f>
        <v>dom</v>
      </c>
      <c r="G197" s="56">
        <f>+'Mono ASIG'!G197</f>
        <v>46103</v>
      </c>
      <c r="H197" s="17">
        <f t="shared" si="63"/>
        <v>42.207309086043772</v>
      </c>
      <c r="I197" s="17">
        <f t="shared" si="64"/>
        <v>36.210785210511013</v>
      </c>
      <c r="J197" s="17">
        <v>22</v>
      </c>
      <c r="K197" s="17">
        <v>22</v>
      </c>
      <c r="L197" s="17">
        <v>32</v>
      </c>
      <c r="M197" s="44">
        <f>SUMPRODUCT(H197:L197,'Fisico SPOT MAT'!H197:L197)*24</f>
        <v>5970888.0333005041</v>
      </c>
      <c r="N197" s="19">
        <f>+'Fisico SPOT MAT'!AH197</f>
        <v>16.284427549644626</v>
      </c>
      <c r="O197" s="19">
        <f t="shared" si="65"/>
        <v>13.502673796791443</v>
      </c>
      <c r="P197" s="19">
        <v>6</v>
      </c>
      <c r="Q197" s="19">
        <v>6</v>
      </c>
      <c r="R197" s="19">
        <v>0</v>
      </c>
      <c r="S197" s="44">
        <f>SUMPRODUCT(N197:R197,'Fisico SPOT MAT'!N197:R197)*E197</f>
        <v>906497.65258912649</v>
      </c>
      <c r="T197" s="17">
        <v>50</v>
      </c>
      <c r="U197" s="17">
        <v>18</v>
      </c>
      <c r="V197" s="17">
        <v>50</v>
      </c>
      <c r="W197" s="17">
        <v>60</v>
      </c>
      <c r="X197" s="28">
        <f>SUMPRODUCT(T197:W197,'Fisico SPOT MAT'!T197:W197)*24</f>
        <v>1744437.6720000003</v>
      </c>
      <c r="Y197" s="19">
        <v>0</v>
      </c>
      <c r="Z197" s="19">
        <v>5</v>
      </c>
      <c r="AA197" s="19">
        <v>0</v>
      </c>
      <c r="AB197" s="28">
        <f>SUMPRODUCT(Y197:AA197,'Fisico SPOT MAT'!Y197:AA197)*E197</f>
        <v>10300</v>
      </c>
      <c r="AC197" s="122">
        <f>(T197*'Fisico SPOT MAT'!T197+'Mono SPOT MAT'!V197*'Fisico SPOT MAT'!V197+'Mono SPOT MAT'!W197*'Fisico SPOT MAT'!W197)/'Fisico SPOT MAT'!AC197</f>
        <v>60</v>
      </c>
      <c r="AD197" s="85"/>
      <c r="AE197" s="41">
        <v>39.184832867488311</v>
      </c>
      <c r="AF197" s="42">
        <v>33.188308991955552</v>
      </c>
      <c r="AG197">
        <v>5050</v>
      </c>
      <c r="AH197" s="64">
        <f t="shared" si="52"/>
        <v>2.1724762185554609</v>
      </c>
      <c r="AJ197" s="41">
        <v>0.85</v>
      </c>
      <c r="AK197">
        <v>374</v>
      </c>
    </row>
    <row r="198" spans="1:37" hidden="1" x14ac:dyDescent="0.3">
      <c r="A198" s="3">
        <f>+'Mono ASIG'!A198</f>
        <v>1382.7578000000001</v>
      </c>
      <c r="B198" s="3">
        <f>+'Mono ASIG'!B198</f>
        <v>1418.2779999999993</v>
      </c>
      <c r="C198" s="1">
        <f>+'Mono ASIG'!C198</f>
        <v>2026</v>
      </c>
      <c r="D198" s="1">
        <f t="shared" si="62"/>
        <v>3</v>
      </c>
      <c r="E198" s="1">
        <f>+'Fisico SPOT MAT'!E198</f>
        <v>6</v>
      </c>
      <c r="F198" s="1" t="str">
        <f>+'Mono ASIG'!F198</f>
        <v>lun</v>
      </c>
      <c r="G198" s="56">
        <f>+'Mono ASIG'!G198</f>
        <v>46104</v>
      </c>
      <c r="H198" s="17">
        <f t="shared" si="63"/>
        <v>44.732963841528559</v>
      </c>
      <c r="I198" s="17">
        <f t="shared" si="64"/>
        <v>34.965660006815938</v>
      </c>
      <c r="J198" s="17">
        <v>22</v>
      </c>
      <c r="K198" s="17">
        <v>22</v>
      </c>
      <c r="L198" s="17">
        <v>32</v>
      </c>
      <c r="M198" s="44">
        <f>SUMPRODUCT(H198:L198,'Fisico SPOT MAT'!H198:L198)*24</f>
        <v>6225270.593046017</v>
      </c>
      <c r="N198" s="19">
        <f>+'Fisico SPOT MAT'!AH198</f>
        <v>16.201117287302083</v>
      </c>
      <c r="O198" s="19">
        <f t="shared" si="65"/>
        <v>13.502673796791443</v>
      </c>
      <c r="P198" s="19">
        <v>6</v>
      </c>
      <c r="Q198" s="19">
        <v>6</v>
      </c>
      <c r="R198" s="19">
        <v>0</v>
      </c>
      <c r="S198" s="44">
        <f>SUMPRODUCT(N198:R198,'Fisico SPOT MAT'!N198:R198)*E198</f>
        <v>1296612.412355616</v>
      </c>
      <c r="T198" s="17">
        <v>50</v>
      </c>
      <c r="U198" s="17">
        <v>18</v>
      </c>
      <c r="V198" s="17">
        <v>50</v>
      </c>
      <c r="W198" s="17">
        <v>60</v>
      </c>
      <c r="X198" s="28">
        <f>SUMPRODUCT(T198:W198,'Fisico SPOT MAT'!T198:W198)*24</f>
        <v>2087486.196</v>
      </c>
      <c r="Y198" s="19">
        <v>0</v>
      </c>
      <c r="Z198" s="19">
        <v>5</v>
      </c>
      <c r="AA198" s="19">
        <v>0</v>
      </c>
      <c r="AB198" s="28">
        <f>SUMPRODUCT(Y198:AA198,'Fisico SPOT MAT'!Y198:AA198)*E198</f>
        <v>15450</v>
      </c>
      <c r="AC198" s="122">
        <f>(T198*'Fisico SPOT MAT'!T198+'Mono SPOT MAT'!V198*'Fisico SPOT MAT'!V198+'Mono SPOT MAT'!W198*'Fisico SPOT MAT'!W198)/'Fisico SPOT MAT'!AC198</f>
        <v>60</v>
      </c>
      <c r="AD198" s="85"/>
      <c r="AE198" s="41">
        <v>41.550785800026752</v>
      </c>
      <c r="AF198" s="42">
        <v>31.783481965314127</v>
      </c>
      <c r="AG198">
        <v>5050</v>
      </c>
      <c r="AH198" s="64">
        <f t="shared" si="52"/>
        <v>2.3321780415018059</v>
      </c>
      <c r="AJ198" s="41">
        <v>0.85</v>
      </c>
      <c r="AK198">
        <v>374</v>
      </c>
    </row>
    <row r="199" spans="1:37" hidden="1" x14ac:dyDescent="0.3">
      <c r="A199" s="3">
        <f>+'Mono ASIG'!A199</f>
        <v>1382.7578000000001</v>
      </c>
      <c r="B199" s="3">
        <f>+'Mono ASIG'!B199</f>
        <v>1418.2779999999993</v>
      </c>
      <c r="C199" s="1">
        <f>+'Mono ASIG'!C199</f>
        <v>2026</v>
      </c>
      <c r="D199" s="1">
        <f t="shared" si="62"/>
        <v>3</v>
      </c>
      <c r="E199" s="1">
        <f>+'Fisico SPOT MAT'!E199</f>
        <v>4</v>
      </c>
      <c r="F199" s="1" t="str">
        <f>+'Mono ASIG'!F199</f>
        <v>mar</v>
      </c>
      <c r="G199" s="56">
        <f>+'Mono ASIG'!G199</f>
        <v>46105</v>
      </c>
      <c r="H199" s="17">
        <f t="shared" si="63"/>
        <v>42.693712390729182</v>
      </c>
      <c r="I199" s="17">
        <f t="shared" si="64"/>
        <v>34.563991976119887</v>
      </c>
      <c r="J199" s="17">
        <v>22</v>
      </c>
      <c r="K199" s="17">
        <v>22</v>
      </c>
      <c r="L199" s="17">
        <v>32</v>
      </c>
      <c r="M199" s="44">
        <f>SUMPRODUCT(H199:L199,'Fisico SPOT MAT'!H199:L199)*24</f>
        <v>5683705.9560186202</v>
      </c>
      <c r="N199" s="19">
        <f>+'Fisico SPOT MAT'!AH199</f>
        <v>16.207656009800967</v>
      </c>
      <c r="O199" s="19">
        <f t="shared" si="65"/>
        <v>13.502673796791443</v>
      </c>
      <c r="P199" s="19">
        <v>6</v>
      </c>
      <c r="Q199" s="19">
        <v>6</v>
      </c>
      <c r="R199" s="19">
        <v>0</v>
      </c>
      <c r="S199" s="44">
        <f>SUMPRODUCT(N199:R199,'Fisico SPOT MAT'!N199:R199)*E199</f>
        <v>867889.76406773576</v>
      </c>
      <c r="T199" s="17">
        <v>50</v>
      </c>
      <c r="U199" s="17">
        <v>18</v>
      </c>
      <c r="V199" s="17">
        <v>50</v>
      </c>
      <c r="W199" s="17">
        <v>60</v>
      </c>
      <c r="X199" s="28">
        <f>SUMPRODUCT(T199:W199,'Fisico SPOT MAT'!T199:W199)*24</f>
        <v>2371488.39</v>
      </c>
      <c r="Y199" s="19">
        <v>0</v>
      </c>
      <c r="Z199" s="19">
        <v>5</v>
      </c>
      <c r="AA199" s="19">
        <v>0</v>
      </c>
      <c r="AB199" s="28">
        <f>SUMPRODUCT(Y199:AA199,'Fisico SPOT MAT'!Y199:AA199)*E199</f>
        <v>10300</v>
      </c>
      <c r="AC199" s="122">
        <f>(T199*'Fisico SPOT MAT'!T199+'Mono SPOT MAT'!V199*'Fisico SPOT MAT'!V199+'Mono SPOT MAT'!W199*'Fisico SPOT MAT'!W199)/'Fisico SPOT MAT'!AC199</f>
        <v>59.999999999999993</v>
      </c>
      <c r="AD199" s="85"/>
      <c r="AE199" s="41">
        <v>39.640479991315388</v>
      </c>
      <c r="AF199" s="42">
        <v>31.5107595767061</v>
      </c>
      <c r="AG199">
        <v>5050</v>
      </c>
      <c r="AH199" s="64">
        <f t="shared" si="52"/>
        <v>2.203232399413789</v>
      </c>
      <c r="AJ199" s="41">
        <v>0.85</v>
      </c>
      <c r="AK199">
        <v>374</v>
      </c>
    </row>
    <row r="200" spans="1:37" hidden="1" x14ac:dyDescent="0.3">
      <c r="A200" s="3">
        <f>+'Mono ASIG'!A200</f>
        <v>1382.7578000000001</v>
      </c>
      <c r="B200" s="3">
        <f>+'Mono ASIG'!B200</f>
        <v>1418.2779999999993</v>
      </c>
      <c r="C200" s="1">
        <f>+'Mono ASIG'!C200</f>
        <v>2026</v>
      </c>
      <c r="D200" s="1">
        <f t="shared" si="62"/>
        <v>3</v>
      </c>
      <c r="E200" s="1">
        <f>+'Fisico SPOT MAT'!E200</f>
        <v>16</v>
      </c>
      <c r="F200" s="1" t="str">
        <f>+'Mono ASIG'!F200</f>
        <v>mié</v>
      </c>
      <c r="G200" s="56">
        <f>+'Mono ASIG'!G200</f>
        <v>46106</v>
      </c>
      <c r="H200" s="17">
        <f t="shared" si="63"/>
        <v>42.120604944781284</v>
      </c>
      <c r="I200" s="17">
        <f t="shared" si="64"/>
        <v>34.328613314345851</v>
      </c>
      <c r="J200" s="17">
        <v>22</v>
      </c>
      <c r="K200" s="17">
        <v>22</v>
      </c>
      <c r="L200" s="17">
        <v>32</v>
      </c>
      <c r="M200" s="44">
        <f>SUMPRODUCT(H200:L200,'Fisico SPOT MAT'!H200:L200)*24</f>
        <v>6134887.3420220967</v>
      </c>
      <c r="N200" s="19">
        <f>+'Fisico SPOT MAT'!AH200</f>
        <v>16.213290334382197</v>
      </c>
      <c r="O200" s="19">
        <f t="shared" si="65"/>
        <v>13.502673796791443</v>
      </c>
      <c r="P200" s="19">
        <v>6</v>
      </c>
      <c r="Q200" s="19">
        <v>6</v>
      </c>
      <c r="R200" s="19">
        <v>0</v>
      </c>
      <c r="S200" s="44">
        <f>SUMPRODUCT(N200:R200,'Fisico SPOT MAT'!N200:R200)*E200</f>
        <v>3548115.2894367208</v>
      </c>
      <c r="T200" s="17">
        <v>50</v>
      </c>
      <c r="U200" s="17">
        <v>18</v>
      </c>
      <c r="V200" s="17">
        <v>50</v>
      </c>
      <c r="W200" s="17">
        <v>60</v>
      </c>
      <c r="X200" s="28">
        <f>SUMPRODUCT(T200:W200,'Fisico SPOT MAT'!T200:W200)*24</f>
        <v>1816619.2440000004</v>
      </c>
      <c r="Y200" s="19">
        <v>0</v>
      </c>
      <c r="Z200" s="19">
        <v>5</v>
      </c>
      <c r="AA200" s="19">
        <v>0</v>
      </c>
      <c r="AB200" s="28">
        <f>SUMPRODUCT(Y200:AA200,'Fisico SPOT MAT'!Y200:AA200)*E200</f>
        <v>41200</v>
      </c>
      <c r="AC200" s="122">
        <f>(T200*'Fisico SPOT MAT'!T200+'Mono SPOT MAT'!V200*'Fisico SPOT MAT'!V200+'Mono SPOT MAT'!W200*'Fisico SPOT MAT'!W200)/'Fisico SPOT MAT'!AC200</f>
        <v>60</v>
      </c>
      <c r="AD200" s="85"/>
      <c r="AE200" s="41">
        <v>39.103611189490664</v>
      </c>
      <c r="AF200" s="42">
        <v>31.311619559055227</v>
      </c>
      <c r="AG200">
        <v>5050</v>
      </c>
      <c r="AH200" s="64">
        <f t="shared" si="52"/>
        <v>2.16699375529062</v>
      </c>
      <c r="AJ200" s="41">
        <v>0.85</v>
      </c>
      <c r="AK200">
        <v>374</v>
      </c>
    </row>
    <row r="201" spans="1:37" hidden="1" x14ac:dyDescent="0.3">
      <c r="A201" s="3">
        <f>+'Mono ASIG'!A201</f>
        <v>1382.7578000000001</v>
      </c>
      <c r="B201" s="3">
        <f>+'Mono ASIG'!B201</f>
        <v>1418.2779999999993</v>
      </c>
      <c r="C201" s="1">
        <f>+'Mono ASIG'!C201</f>
        <v>2026</v>
      </c>
      <c r="D201" s="1">
        <f t="shared" si="62"/>
        <v>3</v>
      </c>
      <c r="E201" s="1">
        <f>+'Fisico SPOT MAT'!E201</f>
        <v>16</v>
      </c>
      <c r="F201" s="1" t="str">
        <f>+'Mono ASIG'!F201</f>
        <v>jue</v>
      </c>
      <c r="G201" s="56">
        <f>+'Mono ASIG'!G201</f>
        <v>46107</v>
      </c>
      <c r="H201" s="17">
        <f t="shared" si="63"/>
        <v>40.679384176192492</v>
      </c>
      <c r="I201" s="17">
        <f t="shared" si="64"/>
        <v>33.72710748069148</v>
      </c>
      <c r="J201" s="17">
        <v>22</v>
      </c>
      <c r="K201" s="17">
        <v>22</v>
      </c>
      <c r="L201" s="17">
        <v>32</v>
      </c>
      <c r="M201" s="44">
        <f>SUMPRODUCT(H201:L201,'Fisico SPOT MAT'!H201:L201)*24</f>
        <v>6554007.8941072579</v>
      </c>
      <c r="N201" s="19">
        <f>+'Fisico SPOT MAT'!AH201</f>
        <v>16.212198036230593</v>
      </c>
      <c r="O201" s="19">
        <f t="shared" si="65"/>
        <v>13.502673796791443</v>
      </c>
      <c r="P201" s="19">
        <v>6</v>
      </c>
      <c r="Q201" s="19">
        <v>6</v>
      </c>
      <c r="R201" s="19">
        <v>0</v>
      </c>
      <c r="S201" s="44">
        <f>SUMPRODUCT(N201:R201,'Fisico SPOT MAT'!N201:R201)*E201</f>
        <v>3564763.5319429589</v>
      </c>
      <c r="T201" s="17">
        <v>50</v>
      </c>
      <c r="U201" s="17">
        <v>18</v>
      </c>
      <c r="V201" s="17">
        <v>50</v>
      </c>
      <c r="W201" s="17">
        <v>60</v>
      </c>
      <c r="X201" s="28">
        <f>SUMPRODUCT(T201:W201,'Fisico SPOT MAT'!T201:W201)*24</f>
        <v>1431132.5220000008</v>
      </c>
      <c r="Y201" s="19">
        <v>0</v>
      </c>
      <c r="Z201" s="19">
        <v>5</v>
      </c>
      <c r="AA201" s="19">
        <v>0</v>
      </c>
      <c r="AB201" s="28">
        <f>SUMPRODUCT(Y201:AA201,'Fisico SPOT MAT'!Y201:AA201)*E201</f>
        <v>41200</v>
      </c>
      <c r="AC201" s="122">
        <f>(T201*'Fisico SPOT MAT'!T201+'Mono SPOT MAT'!V201*'Fisico SPOT MAT'!V201+'Mono SPOT MAT'!W201*'Fisico SPOT MAT'!W201)/'Fisico SPOT MAT'!AC201</f>
        <v>60</v>
      </c>
      <c r="AD201" s="85"/>
      <c r="AE201" s="41">
        <v>37.75352147652692</v>
      </c>
      <c r="AF201" s="42">
        <v>30.801244781025908</v>
      </c>
      <c r="AG201">
        <v>5050</v>
      </c>
      <c r="AH201" s="64">
        <f t="shared" si="52"/>
        <v>2.0758626996655671</v>
      </c>
      <c r="AJ201" s="41">
        <v>0.85</v>
      </c>
      <c r="AK201">
        <v>374</v>
      </c>
    </row>
    <row r="202" spans="1:37" hidden="1" x14ac:dyDescent="0.3">
      <c r="A202" s="3">
        <f>+'Mono ASIG'!A202</f>
        <v>1382.7578000000001</v>
      </c>
      <c r="B202" s="3">
        <f>+'Mono ASIG'!B202</f>
        <v>1418.2779999999993</v>
      </c>
      <c r="C202" s="1">
        <f>+'Mono ASIG'!C202</f>
        <v>2026</v>
      </c>
      <c r="D202" s="1">
        <f t="shared" si="62"/>
        <v>3</v>
      </c>
      <c r="E202" s="1">
        <f>+'Fisico SPOT MAT'!E202</f>
        <v>16</v>
      </c>
      <c r="F202" s="1" t="str">
        <f>+'Mono ASIG'!F202</f>
        <v>vie</v>
      </c>
      <c r="G202" s="56">
        <f>+'Mono ASIG'!G202</f>
        <v>46108</v>
      </c>
      <c r="H202" s="17">
        <f t="shared" si="63"/>
        <v>41.803908917321245</v>
      </c>
      <c r="I202" s="17">
        <f t="shared" si="64"/>
        <v>34.375872289865526</v>
      </c>
      <c r="J202" s="17">
        <v>22</v>
      </c>
      <c r="K202" s="17">
        <v>22</v>
      </c>
      <c r="L202" s="17">
        <v>32</v>
      </c>
      <c r="M202" s="44">
        <f>SUMPRODUCT(H202:L202,'Fisico SPOT MAT'!H202:L202)*24</f>
        <v>7063643.9314443376</v>
      </c>
      <c r="N202" s="19">
        <f>+'Fisico SPOT MAT'!AH202</f>
        <v>16.205868858378746</v>
      </c>
      <c r="O202" s="19">
        <f t="shared" si="65"/>
        <v>13.502673796791443</v>
      </c>
      <c r="P202" s="19">
        <v>6</v>
      </c>
      <c r="Q202" s="19">
        <v>6</v>
      </c>
      <c r="R202" s="19">
        <v>0</v>
      </c>
      <c r="S202" s="44">
        <f>SUMPRODUCT(N202:R202,'Fisico SPOT MAT'!N202:R202)*E202</f>
        <v>3538714.3189340457</v>
      </c>
      <c r="T202" s="17">
        <v>50</v>
      </c>
      <c r="U202" s="17">
        <v>18</v>
      </c>
      <c r="V202" s="17">
        <v>50</v>
      </c>
      <c r="W202" s="17">
        <v>60</v>
      </c>
      <c r="X202" s="28">
        <f>SUMPRODUCT(T202:W202,'Fisico SPOT MAT'!T202:W202)*24</f>
        <v>1619329.5419999999</v>
      </c>
      <c r="Y202" s="19">
        <v>0</v>
      </c>
      <c r="Z202" s="19">
        <v>5</v>
      </c>
      <c r="AA202" s="19">
        <v>0</v>
      </c>
      <c r="AB202" s="28">
        <f>SUMPRODUCT(Y202:AA202,'Fisico SPOT MAT'!Y202:AA202)*E202</f>
        <v>41200</v>
      </c>
      <c r="AC202" s="122">
        <f>(T202*'Fisico SPOT MAT'!T202+'Mono SPOT MAT'!V202*'Fisico SPOT MAT'!V202+'Mono SPOT MAT'!W202*'Fisico SPOT MAT'!W202)/'Fisico SPOT MAT'!AC202</f>
        <v>60</v>
      </c>
      <c r="AD202" s="85"/>
      <c r="AE202" s="41">
        <v>38.806940437771658</v>
      </c>
      <c r="AF202" s="42">
        <v>31.378903810315936</v>
      </c>
      <c r="AG202">
        <v>5050</v>
      </c>
      <c r="AH202" s="64">
        <f t="shared" si="52"/>
        <v>2.1469684795495869</v>
      </c>
      <c r="AJ202" s="41">
        <v>0.85</v>
      </c>
      <c r="AK202">
        <v>374</v>
      </c>
    </row>
    <row r="203" spans="1:37" hidden="1" x14ac:dyDescent="0.3">
      <c r="A203" s="3">
        <f>+'Mono ASIG'!A203</f>
        <v>1382.7578000000001</v>
      </c>
      <c r="B203" s="3">
        <f>+'Mono ASIG'!B203</f>
        <v>1418.2779999999993</v>
      </c>
      <c r="C203" s="1">
        <f>+'Mono ASIG'!C203</f>
        <v>2026</v>
      </c>
      <c r="D203" s="1">
        <f t="shared" si="62"/>
        <v>3</v>
      </c>
      <c r="E203" s="1">
        <f>+'Fisico SPOT MAT'!E203</f>
        <v>6</v>
      </c>
      <c r="F203" s="1" t="str">
        <f>+'Mono ASIG'!F203</f>
        <v>sáb</v>
      </c>
      <c r="G203" s="56">
        <f>+'Mono ASIG'!G203</f>
        <v>46109</v>
      </c>
      <c r="H203" s="17">
        <f t="shared" si="63"/>
        <v>42.760229501442012</v>
      </c>
      <c r="I203" s="17">
        <f t="shared" si="64"/>
        <v>34.346897554703403</v>
      </c>
      <c r="J203" s="17">
        <v>22</v>
      </c>
      <c r="K203" s="17">
        <v>22</v>
      </c>
      <c r="L203" s="17">
        <v>32</v>
      </c>
      <c r="M203" s="44">
        <f>SUMPRODUCT(H203:L203,'Fisico SPOT MAT'!H203:L203)*24</f>
        <v>6874568.3625767492</v>
      </c>
      <c r="N203" s="19">
        <f>+'Fisico SPOT MAT'!AH203</f>
        <v>16.163309505392004</v>
      </c>
      <c r="O203" s="19">
        <f t="shared" si="65"/>
        <v>13.502673796791443</v>
      </c>
      <c r="P203" s="19">
        <v>6</v>
      </c>
      <c r="Q203" s="19">
        <v>6</v>
      </c>
      <c r="R203" s="19">
        <v>0</v>
      </c>
      <c r="S203" s="44">
        <f>SUMPRODUCT(N203:R203,'Fisico SPOT MAT'!N203:R203)*E203</f>
        <v>1297590.3825748661</v>
      </c>
      <c r="T203" s="17">
        <v>50</v>
      </c>
      <c r="U203" s="17">
        <v>18</v>
      </c>
      <c r="V203" s="17">
        <v>50</v>
      </c>
      <c r="W203" s="17">
        <v>60</v>
      </c>
      <c r="X203" s="28">
        <f>SUMPRODUCT(T203:W203,'Fisico SPOT MAT'!T203:W203)*24</f>
        <v>1809677.6159999999</v>
      </c>
      <c r="Y203" s="19">
        <v>0</v>
      </c>
      <c r="Z203" s="19">
        <v>5</v>
      </c>
      <c r="AA203" s="19">
        <v>0</v>
      </c>
      <c r="AB203" s="28">
        <f>SUMPRODUCT(Y203:AA203,'Fisico SPOT MAT'!Y203:AA203)*E203</f>
        <v>15450</v>
      </c>
      <c r="AC203" s="122">
        <f>(T203*'Fisico SPOT MAT'!T203+'Mono SPOT MAT'!V203*'Fisico SPOT MAT'!V203+'Mono SPOT MAT'!W203*'Fisico SPOT MAT'!W203)/'Fisico SPOT MAT'!AC203</f>
        <v>60</v>
      </c>
      <c r="AD203" s="85"/>
      <c r="AE203" s="41">
        <v>39.702791102053403</v>
      </c>
      <c r="AF203" s="42">
        <v>31.289459155314798</v>
      </c>
      <c r="AG203">
        <v>5050</v>
      </c>
      <c r="AH203" s="64">
        <f t="shared" si="52"/>
        <v>2.2074383993886051</v>
      </c>
      <c r="AJ203" s="41">
        <v>0.85</v>
      </c>
      <c r="AK203">
        <v>374</v>
      </c>
    </row>
    <row r="204" spans="1:37" hidden="1" x14ac:dyDescent="0.3">
      <c r="A204" s="3">
        <f>+'Mono ASIG'!A204</f>
        <v>1382.7578000000001</v>
      </c>
      <c r="B204" s="3">
        <f>+'Mono ASIG'!B204</f>
        <v>1418.2779999999993</v>
      </c>
      <c r="C204" s="1">
        <f>+'Mono ASIG'!C204</f>
        <v>2026</v>
      </c>
      <c r="D204" s="1">
        <f t="shared" si="62"/>
        <v>3</v>
      </c>
      <c r="E204" s="1">
        <f>+'Fisico SPOT MAT'!E204</f>
        <v>4</v>
      </c>
      <c r="F204" s="1" t="str">
        <f>+'Mono ASIG'!F204</f>
        <v>dom</v>
      </c>
      <c r="G204" s="56">
        <f>+'Mono ASIG'!G204</f>
        <v>46110</v>
      </c>
      <c r="H204" s="17">
        <f t="shared" si="63"/>
        <v>49.464956592161066</v>
      </c>
      <c r="I204" s="17">
        <f t="shared" si="64"/>
        <v>34.671510133624167</v>
      </c>
      <c r="J204" s="17">
        <v>22</v>
      </c>
      <c r="K204" s="17">
        <v>22</v>
      </c>
      <c r="L204" s="17">
        <v>32</v>
      </c>
      <c r="M204" s="44">
        <f>SUMPRODUCT(H204:L204,'Fisico SPOT MAT'!H204:L204)*24</f>
        <v>8299673.2648608889</v>
      </c>
      <c r="N204" s="19">
        <f>+'Fisico SPOT MAT'!AH204</f>
        <v>16.162269712613867</v>
      </c>
      <c r="O204" s="19">
        <f t="shared" si="65"/>
        <v>13.502673796791443</v>
      </c>
      <c r="P204" s="19">
        <v>6</v>
      </c>
      <c r="Q204" s="19">
        <v>6</v>
      </c>
      <c r="R204" s="19">
        <v>0</v>
      </c>
      <c r="S204" s="44">
        <f>SUMPRODUCT(N204:R204,'Fisico SPOT MAT'!N204:R204)*E204</f>
        <v>863921.79881818162</v>
      </c>
      <c r="T204" s="17">
        <v>50</v>
      </c>
      <c r="U204" s="17">
        <v>18</v>
      </c>
      <c r="V204" s="17">
        <v>50</v>
      </c>
      <c r="W204" s="17">
        <v>60</v>
      </c>
      <c r="X204" s="28">
        <f>SUMPRODUCT(T204:W204,'Fisico SPOT MAT'!T204:W204)*24</f>
        <v>1863932.0699999998</v>
      </c>
      <c r="Y204" s="19">
        <v>0</v>
      </c>
      <c r="Z204" s="19">
        <v>5</v>
      </c>
      <c r="AA204" s="19">
        <v>0</v>
      </c>
      <c r="AB204" s="28">
        <f>SUMPRODUCT(Y204:AA204,'Fisico SPOT MAT'!Y204:AA204)*E204</f>
        <v>10300</v>
      </c>
      <c r="AC204" s="122">
        <f>(T204*'Fisico SPOT MAT'!T204+'Mono SPOT MAT'!V204*'Fisico SPOT MAT'!V204+'Mono SPOT MAT'!W204*'Fisico SPOT MAT'!W204)/'Fisico SPOT MAT'!AC204</f>
        <v>60</v>
      </c>
      <c r="AD204" s="85"/>
      <c r="AE204" s="41">
        <v>45.983565894296078</v>
      </c>
      <c r="AF204" s="42">
        <v>31.190119435759179</v>
      </c>
      <c r="AG204">
        <v>5050</v>
      </c>
      <c r="AH204" s="64">
        <f t="shared" si="52"/>
        <v>2.6313906978649855</v>
      </c>
      <c r="AJ204" s="41">
        <v>0.85</v>
      </c>
      <c r="AK204">
        <v>374</v>
      </c>
    </row>
    <row r="205" spans="1:37" hidden="1" x14ac:dyDescent="0.3">
      <c r="A205" s="3">
        <f>+'Mono ASIG'!A205</f>
        <v>1382.7578000000001</v>
      </c>
      <c r="B205" s="3">
        <f>+'Mono ASIG'!B205</f>
        <v>1378.9690000000007</v>
      </c>
      <c r="C205" s="1">
        <f>+'Mono ASIG'!C205</f>
        <v>2026</v>
      </c>
      <c r="D205" s="1">
        <f t="shared" si="62"/>
        <v>3</v>
      </c>
      <c r="E205" s="1">
        <f>+'Fisico SPOT MAT'!E205</f>
        <v>16</v>
      </c>
      <c r="F205" s="1" t="str">
        <f>+'Mono ASIG'!F205</f>
        <v>lun</v>
      </c>
      <c r="G205" s="56">
        <f>+'Mono ASIG'!G205</f>
        <v>46111</v>
      </c>
      <c r="H205" s="17">
        <f t="shared" si="63"/>
        <v>77.444774324151169</v>
      </c>
      <c r="I205" s="17">
        <f t="shared" si="64"/>
        <v>158.22833683973226</v>
      </c>
      <c r="J205" s="17">
        <v>22</v>
      </c>
      <c r="K205" s="17">
        <v>22</v>
      </c>
      <c r="L205" s="17">
        <v>32</v>
      </c>
      <c r="M205" s="44">
        <f>SUMPRODUCT(H205:L205,'Fisico SPOT MAT'!H205:L205)*24</f>
        <v>18464315.860870048</v>
      </c>
      <c r="N205" s="19">
        <f>+'Fisico SPOT MAT'!AH205</f>
        <v>16.081887053724788</v>
      </c>
      <c r="O205" s="19">
        <f t="shared" si="65"/>
        <v>13.502673796791443</v>
      </c>
      <c r="P205" s="19">
        <v>6</v>
      </c>
      <c r="Q205" s="19">
        <v>6</v>
      </c>
      <c r="R205" s="19">
        <v>0</v>
      </c>
      <c r="S205" s="44">
        <f>SUMPRODUCT(N205:R205,'Fisico SPOT MAT'!N205:R205)*E205</f>
        <v>3284350.7596969693</v>
      </c>
      <c r="T205" s="17">
        <v>50</v>
      </c>
      <c r="U205" s="17">
        <v>18</v>
      </c>
      <c r="V205" s="17">
        <v>50</v>
      </c>
      <c r="W205" s="17">
        <v>60</v>
      </c>
      <c r="X205" s="28">
        <f>SUMPRODUCT(T205:W205,'Fisico SPOT MAT'!T205:W205)*24</f>
        <v>2298012.3180000004</v>
      </c>
      <c r="Y205" s="19">
        <v>0</v>
      </c>
      <c r="Z205" s="19">
        <v>5</v>
      </c>
      <c r="AA205" s="19">
        <v>0</v>
      </c>
      <c r="AB205" s="28">
        <f>SUMPRODUCT(Y205:AA205,'Fisico SPOT MAT'!Y205:AA205)*E205</f>
        <v>41200</v>
      </c>
      <c r="AC205" s="122">
        <f>(T205*'Fisico SPOT MAT'!T205+'Mono SPOT MAT'!V205*'Fisico SPOT MAT'!V205+'Mono SPOT MAT'!W205*'Fisico SPOT MAT'!W205)/'Fisico SPOT MAT'!AC205</f>
        <v>59.999999999999993</v>
      </c>
      <c r="AD205" s="85"/>
      <c r="AE205" s="41">
        <v>72.194167985153328</v>
      </c>
      <c r="AF205" s="42">
        <v>152.97773050073442</v>
      </c>
      <c r="AG205">
        <v>5050</v>
      </c>
      <c r="AH205" s="64">
        <f t="shared" si="52"/>
        <v>4.40060633899785</v>
      </c>
      <c r="AJ205" s="41">
        <v>0.85</v>
      </c>
      <c r="AK205">
        <v>374</v>
      </c>
    </row>
    <row r="206" spans="1:37" hidden="1" x14ac:dyDescent="0.3">
      <c r="A206" s="3">
        <f>+'Mono ASIG'!A206</f>
        <v>1382.7578000000001</v>
      </c>
      <c r="B206" s="3">
        <f>+'Mono ASIG'!B206</f>
        <v>1378.9690000000007</v>
      </c>
      <c r="C206" s="1">
        <f>+'Mono ASIG'!C206</f>
        <v>2026</v>
      </c>
      <c r="D206" s="1">
        <f t="shared" ref="D206:D213" si="66">MONTH(G206)</f>
        <v>3</v>
      </c>
      <c r="E206" s="1">
        <f>+'Fisico SPOT MAT'!E206</f>
        <v>16</v>
      </c>
      <c r="F206" s="1" t="str">
        <f>+'Mono ASIG'!F206</f>
        <v>mar</v>
      </c>
      <c r="G206" s="56">
        <f>+'Mono ASIG'!G206</f>
        <v>46112</v>
      </c>
      <c r="H206" s="17">
        <f t="shared" ref="H206:H212" si="67">+AE206+AH206+AI206+AJ206</f>
        <v>97.639185779361</v>
      </c>
      <c r="I206" s="17">
        <f t="shared" ref="I206:I212" si="68">+AF206+AH206+AI206+AJ206</f>
        <v>222.45876676983534</v>
      </c>
      <c r="J206" s="17">
        <v>22</v>
      </c>
      <c r="K206" s="17">
        <v>22</v>
      </c>
      <c r="L206" s="17">
        <v>32</v>
      </c>
      <c r="M206" s="44">
        <f>SUMPRODUCT(H206:L206,'Fisico SPOT MAT'!H206:L206)*24</f>
        <v>25651221.35757412</v>
      </c>
      <c r="N206" s="19">
        <f>+'Fisico SPOT MAT'!AH206</f>
        <v>16.014597792287894</v>
      </c>
      <c r="O206" s="19">
        <f t="shared" si="65"/>
        <v>13.502673796791443</v>
      </c>
      <c r="P206" s="19">
        <v>6</v>
      </c>
      <c r="Q206" s="19">
        <v>6</v>
      </c>
      <c r="R206" s="19">
        <v>0</v>
      </c>
      <c r="S206" s="44">
        <f>SUMPRODUCT(N206:R206,'Fisico SPOT MAT'!N206:R206)*E206</f>
        <v>3172475.6692370763</v>
      </c>
      <c r="T206" s="17">
        <v>50</v>
      </c>
      <c r="U206" s="17">
        <v>18</v>
      </c>
      <c r="V206" s="17">
        <v>50</v>
      </c>
      <c r="W206" s="17">
        <v>60</v>
      </c>
      <c r="X206" s="28">
        <f>SUMPRODUCT(T206:W206,'Fisico SPOT MAT'!T206:W206)*24</f>
        <v>2339290.5120000001</v>
      </c>
      <c r="Y206" s="19">
        <v>0</v>
      </c>
      <c r="Z206" s="19">
        <v>5</v>
      </c>
      <c r="AA206" s="19">
        <v>0</v>
      </c>
      <c r="AB206" s="28">
        <f>SUMPRODUCT(Y206:AA206,'Fisico SPOT MAT'!Y206:AA206)*E206</f>
        <v>41200</v>
      </c>
      <c r="AC206" s="122">
        <f>(T206*'Fisico SPOT MAT'!T206+'Mono SPOT MAT'!V206*'Fisico SPOT MAT'!V206+'Mono SPOT MAT'!W206*'Fisico SPOT MAT'!W206)/'Fisico SPOT MAT'!AC206</f>
        <v>60</v>
      </c>
      <c r="AD206" s="85"/>
      <c r="AE206" s="41">
        <v>91.111649442024358</v>
      </c>
      <c r="AF206" s="42">
        <v>215.93123043249869</v>
      </c>
      <c r="AG206">
        <v>5050</v>
      </c>
      <c r="AH206" s="64">
        <f t="shared" si="52"/>
        <v>5.6775363373366448</v>
      </c>
      <c r="AJ206" s="41">
        <v>0.85</v>
      </c>
      <c r="AK206">
        <v>374</v>
      </c>
    </row>
    <row r="207" spans="1:37" hidden="1" x14ac:dyDescent="0.3">
      <c r="A207" s="3">
        <f>+'Mono ASIG'!A207</f>
        <v>1381.0953999999999</v>
      </c>
      <c r="B207" s="3">
        <f>+'Mono ASIG'!B207</f>
        <v>1378.9690000000001</v>
      </c>
      <c r="C207" s="1">
        <f>+'Mono ASIG'!C207</f>
        <v>2026</v>
      </c>
      <c r="D207" s="1">
        <f t="shared" si="66"/>
        <v>4</v>
      </c>
      <c r="E207" s="1">
        <v>16</v>
      </c>
      <c r="F207" s="1" t="str">
        <f>+'Mono ASIG'!F207</f>
        <v>mié</v>
      </c>
      <c r="G207" s="56">
        <f>+'Mono ASIG'!G207</f>
        <v>46113</v>
      </c>
      <c r="H207" s="17">
        <f t="shared" si="67"/>
        <v>83.660111400524428</v>
      </c>
      <c r="I207" s="17">
        <f t="shared" si="68"/>
        <v>200.37418423710753</v>
      </c>
      <c r="J207" s="17">
        <v>31.839206243463231</v>
      </c>
      <c r="K207" s="17">
        <v>31.839206243463231</v>
      </c>
      <c r="L207" s="17">
        <v>32</v>
      </c>
      <c r="M207" s="44">
        <f>SUMPRODUCT(H207:L207,'Fisico SPOT MAT'!H207:L207)*24</f>
        <v>22541420.839084517</v>
      </c>
      <c r="N207" s="19">
        <f>+'Fisico SPOT MAT'!AH207</f>
        <v>16.014949840091457</v>
      </c>
      <c r="O207" s="19">
        <f t="shared" si="65"/>
        <v>13.722826086956522</v>
      </c>
      <c r="P207" s="19">
        <v>6</v>
      </c>
      <c r="Q207" s="19">
        <v>6</v>
      </c>
      <c r="R207" s="19">
        <v>0</v>
      </c>
      <c r="S207" s="44">
        <f>SUMPRODUCT(N207:R207,'Fisico SPOT MAT'!N207:R207)*E207</f>
        <v>3175864.7669456513</v>
      </c>
      <c r="T207" s="17">
        <v>50</v>
      </c>
      <c r="U207" s="17">
        <v>18</v>
      </c>
      <c r="V207" s="17">
        <v>50</v>
      </c>
      <c r="W207" s="17">
        <v>60</v>
      </c>
      <c r="X207" s="28">
        <f>SUMPRODUCT(T207:W207,'Fisico SPOT MAT'!T207:W207)*24</f>
        <v>1739138.029999997</v>
      </c>
      <c r="Y207" s="19">
        <v>0</v>
      </c>
      <c r="Z207" s="19">
        <v>5</v>
      </c>
      <c r="AA207" s="19">
        <v>0</v>
      </c>
      <c r="AB207" s="28">
        <f>SUMPRODUCT(Y207:AA207,'Fisico SPOT MAT'!Y207:AA207)*E207</f>
        <v>33200</v>
      </c>
      <c r="AC207" s="122">
        <f>(T207*'Fisico SPOT MAT'!T207+'Mono SPOT MAT'!V207*'Fisico SPOT MAT'!V207+'Mono SPOT MAT'!W207*'Fisico SPOT MAT'!W207)/'Fisico SPOT MAT'!AC207</f>
        <v>58.242464535153701</v>
      </c>
      <c r="AD207" s="85"/>
      <c r="AE207" s="41">
        <v>78.016497799086125</v>
      </c>
      <c r="AF207" s="42">
        <v>194.73057063566921</v>
      </c>
      <c r="AG207">
        <v>5050</v>
      </c>
      <c r="AH207" s="64">
        <f t="shared" si="52"/>
        <v>4.7936136014383139</v>
      </c>
      <c r="AJ207" s="41">
        <v>0.85</v>
      </c>
      <c r="AK207">
        <v>368</v>
      </c>
    </row>
    <row r="208" spans="1:37" hidden="1" x14ac:dyDescent="0.3">
      <c r="A208" s="3">
        <f>+'Mono ASIG'!A208</f>
        <v>1381.0953999999999</v>
      </c>
      <c r="B208" s="3">
        <f>+'Mono ASIG'!B208</f>
        <v>1378.9690000000001</v>
      </c>
      <c r="C208" s="1">
        <f>+'Mono ASIG'!C208</f>
        <v>2026</v>
      </c>
      <c r="D208" s="1">
        <f t="shared" si="66"/>
        <v>4</v>
      </c>
      <c r="E208" s="1">
        <v>4</v>
      </c>
      <c r="F208" s="1" t="str">
        <f>+'Mono ASIG'!F208</f>
        <v>jue</v>
      </c>
      <c r="G208" s="56">
        <f>+'Mono ASIG'!G208</f>
        <v>46114</v>
      </c>
      <c r="H208" s="17">
        <f t="shared" si="67"/>
        <v>60.555048131336576</v>
      </c>
      <c r="I208" s="17">
        <f t="shared" si="68"/>
        <v>37.981521400293879</v>
      </c>
      <c r="J208" s="17">
        <v>22.080034345088507</v>
      </c>
      <c r="K208" s="17">
        <v>22.080034345088507</v>
      </c>
      <c r="L208" s="17">
        <v>32</v>
      </c>
      <c r="M208" s="44">
        <f>SUMPRODUCT(H208:L208,'Fisico SPOT MAT'!H208:L208)*24</f>
        <v>12089045.15347714</v>
      </c>
      <c r="N208" s="19">
        <f>+'Fisico SPOT MAT'!AH208</f>
        <v>16.069723069789255</v>
      </c>
      <c r="O208" s="19">
        <f t="shared" si="65"/>
        <v>13.722826086956522</v>
      </c>
      <c r="P208" s="19">
        <v>6</v>
      </c>
      <c r="Q208" s="19">
        <v>6</v>
      </c>
      <c r="R208" s="19">
        <v>0</v>
      </c>
      <c r="S208" s="44">
        <f>SUMPRODUCT(N208:R208,'Fisico SPOT MAT'!N208:R208)*E208</f>
        <v>800394.58237499965</v>
      </c>
      <c r="T208" s="17">
        <v>50</v>
      </c>
      <c r="U208" s="17">
        <v>18</v>
      </c>
      <c r="V208" s="17">
        <v>50</v>
      </c>
      <c r="W208" s="17">
        <v>60</v>
      </c>
      <c r="X208" s="28">
        <f>SUMPRODUCT(T208:W208,'Fisico SPOT MAT'!T208:W208)*24</f>
        <v>1403184.8599999994</v>
      </c>
      <c r="Y208" s="19">
        <v>0</v>
      </c>
      <c r="Z208" s="19">
        <v>5</v>
      </c>
      <c r="AA208" s="19">
        <v>0</v>
      </c>
      <c r="AB208" s="28">
        <f>SUMPRODUCT(Y208:AA208,'Fisico SPOT MAT'!Y208:AA208)*E208</f>
        <v>8300</v>
      </c>
      <c r="AC208" s="122">
        <f>(T208*'Fisico SPOT MAT'!T208+'Mono SPOT MAT'!V208*'Fisico SPOT MAT'!V208+'Mono SPOT MAT'!W208*'Fisico SPOT MAT'!W208)/'Fisico SPOT MAT'!AC208</f>
        <v>58.133732724461716</v>
      </c>
      <c r="AD208" s="85"/>
      <c r="AE208" s="41">
        <v>56.372410427481569</v>
      </c>
      <c r="AF208" s="42">
        <v>33.798883696438871</v>
      </c>
      <c r="AG208">
        <v>5050</v>
      </c>
      <c r="AH208" s="64">
        <f t="shared" si="52"/>
        <v>3.3326377038550059</v>
      </c>
      <c r="AJ208" s="41">
        <v>0.85</v>
      </c>
      <c r="AK208">
        <v>368</v>
      </c>
    </row>
    <row r="209" spans="1:37" hidden="1" x14ac:dyDescent="0.3">
      <c r="A209" s="3">
        <f>+'Mono ASIG'!A209</f>
        <v>1381.0953999999999</v>
      </c>
      <c r="B209" s="3">
        <f>+'Mono ASIG'!B209</f>
        <v>1378.9690000000001</v>
      </c>
      <c r="C209" s="1">
        <f>+'Mono ASIG'!C209</f>
        <v>2026</v>
      </c>
      <c r="D209" s="1">
        <f t="shared" si="66"/>
        <v>4</v>
      </c>
      <c r="E209" s="1">
        <v>4</v>
      </c>
      <c r="F209" s="1" t="str">
        <f>+'Mono ASIG'!F209</f>
        <v>vie</v>
      </c>
      <c r="G209" s="56">
        <f>+'Mono ASIG'!G209</f>
        <v>46115</v>
      </c>
      <c r="H209" s="17">
        <f t="shared" si="67"/>
        <v>55.968644564099023</v>
      </c>
      <c r="I209" s="17">
        <f t="shared" si="68"/>
        <v>37.363325991381714</v>
      </c>
      <c r="J209" s="17">
        <v>22.010618332479801</v>
      </c>
      <c r="K209" s="17">
        <v>22.010618332479801</v>
      </c>
      <c r="L209" s="17">
        <v>32</v>
      </c>
      <c r="M209" s="44">
        <f>SUMPRODUCT(H209:L209,'Fisico SPOT MAT'!H209:L209)*24</f>
        <v>9967417.3076443262</v>
      </c>
      <c r="N209" s="19">
        <f>+'Fisico SPOT MAT'!AH209</f>
        <v>16.128214653223925</v>
      </c>
      <c r="O209" s="19">
        <f t="shared" si="65"/>
        <v>13.722826086956522</v>
      </c>
      <c r="P209" s="19">
        <v>6</v>
      </c>
      <c r="Q209" s="19">
        <v>6</v>
      </c>
      <c r="R209" s="19">
        <v>0</v>
      </c>
      <c r="S209" s="44">
        <f>SUMPRODUCT(N209:R209,'Fisico SPOT MAT'!N209:R209)*E209</f>
        <v>823507.47923025338</v>
      </c>
      <c r="T209" s="17">
        <v>50</v>
      </c>
      <c r="U209" s="17">
        <v>18</v>
      </c>
      <c r="V209" s="17">
        <v>50</v>
      </c>
      <c r="W209" s="17">
        <v>60</v>
      </c>
      <c r="X209" s="28">
        <f>SUMPRODUCT(T209:W209,'Fisico SPOT MAT'!T209:W209)*24</f>
        <v>2544934.3399999989</v>
      </c>
      <c r="Y209" s="19">
        <v>0</v>
      </c>
      <c r="Z209" s="19">
        <v>5</v>
      </c>
      <c r="AA209" s="19">
        <v>0</v>
      </c>
      <c r="AB209" s="28">
        <f>SUMPRODUCT(Y209:AA209,'Fisico SPOT MAT'!Y209:AA209)*E209</f>
        <v>8300</v>
      </c>
      <c r="AC209" s="122">
        <f>(T209*'Fisico SPOT MAT'!T209+'Mono SPOT MAT'!V209*'Fisico SPOT MAT'!V209+'Mono SPOT MAT'!W209*'Fisico SPOT MAT'!W209)/'Fisico SPOT MAT'!AC209</f>
        <v>58.870964001213657</v>
      </c>
      <c r="AD209" s="85"/>
      <c r="AE209" s="41">
        <v>52.076013643184098</v>
      </c>
      <c r="AF209" s="42">
        <v>33.470695070466789</v>
      </c>
      <c r="AG209">
        <v>5050</v>
      </c>
      <c r="AH209" s="64">
        <f t="shared" si="52"/>
        <v>3.0426309209149269</v>
      </c>
      <c r="AJ209" s="41">
        <v>0.85</v>
      </c>
      <c r="AK209">
        <v>368</v>
      </c>
    </row>
    <row r="210" spans="1:37" hidden="1" x14ac:dyDescent="0.3">
      <c r="A210" s="3">
        <f>+'Mono ASIG'!A210</f>
        <v>1381.0953999999999</v>
      </c>
      <c r="B210" s="3">
        <f>+'Mono ASIG'!B210</f>
        <v>1378.9690000000001</v>
      </c>
      <c r="C210" s="1">
        <f>+'Mono ASIG'!C210</f>
        <v>2026</v>
      </c>
      <c r="D210" s="1">
        <f t="shared" si="66"/>
        <v>4</v>
      </c>
      <c r="E210" s="1">
        <v>6</v>
      </c>
      <c r="F210" s="1" t="str">
        <f>+'Mono ASIG'!F210</f>
        <v>sáb</v>
      </c>
      <c r="G210" s="56">
        <f>+'Mono ASIG'!G210</f>
        <v>46116</v>
      </c>
      <c r="H210" s="17">
        <f t="shared" si="67"/>
        <v>59.709894021509427</v>
      </c>
      <c r="I210" s="17">
        <f t="shared" si="68"/>
        <v>38.19317094881373</v>
      </c>
      <c r="J210" s="17">
        <v>22.008806540298703</v>
      </c>
      <c r="K210" s="17">
        <v>22.008806540298703</v>
      </c>
      <c r="L210" s="17">
        <v>32</v>
      </c>
      <c r="M210" s="44">
        <f>SUMPRODUCT(H210:L210,'Fisico SPOT MAT'!H210:L210)*24</f>
        <v>9426734.115054274</v>
      </c>
      <c r="N210" s="19">
        <f>+'Fisico SPOT MAT'!AH210</f>
        <v>16.117237007537078</v>
      </c>
      <c r="O210" s="19">
        <f t="shared" si="65"/>
        <v>13.722826086956522</v>
      </c>
      <c r="P210" s="19">
        <v>6</v>
      </c>
      <c r="Q210" s="19">
        <v>6</v>
      </c>
      <c r="R210" s="19">
        <v>0</v>
      </c>
      <c r="S210" s="44">
        <f>SUMPRODUCT(N210:R210,'Fisico SPOT MAT'!N210:R210)*E210</f>
        <v>1209658.7770013581</v>
      </c>
      <c r="T210" s="17">
        <v>50</v>
      </c>
      <c r="U210" s="17">
        <v>18</v>
      </c>
      <c r="V210" s="17">
        <v>50</v>
      </c>
      <c r="W210" s="17">
        <v>60</v>
      </c>
      <c r="X210" s="28">
        <f>SUMPRODUCT(T210:W210,'Fisico SPOT MAT'!T210:W210)*24</f>
        <v>1803558.2399999993</v>
      </c>
      <c r="Y210" s="19">
        <v>0</v>
      </c>
      <c r="Z210" s="19">
        <v>5</v>
      </c>
      <c r="AA210" s="19">
        <v>0</v>
      </c>
      <c r="AB210" s="28">
        <f>SUMPRODUCT(Y210:AA210,'Fisico SPOT MAT'!Y210:AA210)*E210</f>
        <v>12450</v>
      </c>
      <c r="AC210" s="122">
        <f>(T210*'Fisico SPOT MAT'!T210+'Mono SPOT MAT'!V210*'Fisico SPOT MAT'!V210+'Mono SPOT MAT'!W210*'Fisico SPOT MAT'!W210)/'Fisico SPOT MAT'!AC210</f>
        <v>58.374583696369086</v>
      </c>
      <c r="AD210" s="85"/>
      <c r="AE210" s="41">
        <v>55.580696975652856</v>
      </c>
      <c r="AF210" s="42">
        <v>34.063973902957159</v>
      </c>
      <c r="AG210">
        <v>5050</v>
      </c>
      <c r="AH210" s="64">
        <f t="shared" si="52"/>
        <v>3.2791970458565678</v>
      </c>
      <c r="AJ210" s="41">
        <v>0.85</v>
      </c>
      <c r="AK210">
        <v>368</v>
      </c>
    </row>
    <row r="211" spans="1:37" hidden="1" x14ac:dyDescent="0.3">
      <c r="A211" s="3">
        <f>+'Mono ASIG'!A211</f>
        <v>1381.0953999999999</v>
      </c>
      <c r="B211" s="3">
        <f>+'Mono ASIG'!B211</f>
        <v>1378.9690000000001</v>
      </c>
      <c r="C211" s="1">
        <f>+'Mono ASIG'!C211</f>
        <v>2026</v>
      </c>
      <c r="D211" s="1">
        <f t="shared" si="66"/>
        <v>4</v>
      </c>
      <c r="E211" s="1">
        <v>4</v>
      </c>
      <c r="F211" s="1" t="str">
        <f>+'Mono ASIG'!F211</f>
        <v>dom</v>
      </c>
      <c r="G211" s="56">
        <f>+'Mono ASIG'!G211</f>
        <v>46117</v>
      </c>
      <c r="H211" s="17">
        <f t="shared" si="67"/>
        <v>67.19343639687996</v>
      </c>
      <c r="I211" s="17">
        <f t="shared" si="68"/>
        <v>37.220949711864314</v>
      </c>
      <c r="J211" s="17">
        <v>22.034760340345446</v>
      </c>
      <c r="K211" s="17">
        <v>22.034760340345446</v>
      </c>
      <c r="L211" s="17">
        <v>32</v>
      </c>
      <c r="M211" s="44">
        <f>SUMPRODUCT(H211:L211,'Fisico SPOT MAT'!H211:L211)*24</f>
        <v>8138503.7308219895</v>
      </c>
      <c r="N211" s="19">
        <f>+'Fisico SPOT MAT'!AH211</f>
        <v>16.147058885975344</v>
      </c>
      <c r="O211" s="19">
        <f t="shared" si="65"/>
        <v>13.722826086956522</v>
      </c>
      <c r="P211" s="19">
        <v>6</v>
      </c>
      <c r="Q211" s="19">
        <v>6</v>
      </c>
      <c r="R211" s="19">
        <v>0</v>
      </c>
      <c r="S211" s="44">
        <f>SUMPRODUCT(N211:R211,'Fisico SPOT MAT'!N211:R211)*E211</f>
        <v>832738.90572735469</v>
      </c>
      <c r="T211" s="17">
        <v>50</v>
      </c>
      <c r="U211" s="17">
        <v>18</v>
      </c>
      <c r="V211" s="17">
        <v>50</v>
      </c>
      <c r="W211" s="17">
        <v>60</v>
      </c>
      <c r="X211" s="28">
        <f>SUMPRODUCT(T211:W211,'Fisico SPOT MAT'!T211:W211)*24</f>
        <v>1511394.8499999982</v>
      </c>
      <c r="Y211" s="19">
        <v>0</v>
      </c>
      <c r="Z211" s="19">
        <v>5</v>
      </c>
      <c r="AA211" s="19">
        <v>0</v>
      </c>
      <c r="AB211" s="28">
        <f>SUMPRODUCT(Y211:AA211,'Fisico SPOT MAT'!Y211:AA211)*E211</f>
        <v>8300</v>
      </c>
      <c r="AC211" s="122">
        <f>(T211*'Fisico SPOT MAT'!T211+'Mono SPOT MAT'!V211*'Fisico SPOT MAT'!V211+'Mono SPOT MAT'!W211*'Fisico SPOT MAT'!W211)/'Fisico SPOT MAT'!AC211</f>
        <v>57.97714482919897</v>
      </c>
      <c r="AD211" s="85"/>
      <c r="AE211" s="41">
        <v>62.591041121199034</v>
      </c>
      <c r="AF211" s="42">
        <v>32.618554436183381</v>
      </c>
      <c r="AG211">
        <v>5050</v>
      </c>
      <c r="AH211" s="64">
        <f t="shared" si="52"/>
        <v>3.7523952756809349</v>
      </c>
      <c r="AJ211" s="41">
        <v>0.85</v>
      </c>
      <c r="AK211">
        <v>368</v>
      </c>
    </row>
    <row r="212" spans="1:37" hidden="1" x14ac:dyDescent="0.3">
      <c r="A212" s="3">
        <f>+'Mono ASIG'!A212</f>
        <v>1381.0953999999999</v>
      </c>
      <c r="B212" s="3">
        <f>+'Mono ASIG'!B212</f>
        <v>1378.9690000000001</v>
      </c>
      <c r="C212" s="1">
        <f>+'Mono ASIG'!C212</f>
        <v>2026</v>
      </c>
      <c r="D212" s="1">
        <f t="shared" si="66"/>
        <v>4</v>
      </c>
      <c r="E212" s="1">
        <v>16</v>
      </c>
      <c r="F212" s="1" t="str">
        <f>+'Mono ASIG'!F212</f>
        <v>lun</v>
      </c>
      <c r="G212" s="56">
        <f>+'Mono ASIG'!G212</f>
        <v>46118</v>
      </c>
      <c r="H212" s="17">
        <f t="shared" si="67"/>
        <v>64.832954092792548</v>
      </c>
      <c r="I212" s="17">
        <f t="shared" si="68"/>
        <v>37.137384704795473</v>
      </c>
      <c r="J212" s="17">
        <v>22.292369725238064</v>
      </c>
      <c r="K212" s="17">
        <v>22.292369725238064</v>
      </c>
      <c r="L212" s="17">
        <v>32</v>
      </c>
      <c r="M212" s="44">
        <f>SUMPRODUCT(H212:L212,'Fisico SPOT MAT'!H212:L212)*24</f>
        <v>9692394.1478543542</v>
      </c>
      <c r="N212" s="19">
        <f>+'Fisico SPOT MAT'!AH212</f>
        <v>16.078313884132513</v>
      </c>
      <c r="O212" s="19">
        <f t="shared" si="65"/>
        <v>13.722826086956522</v>
      </c>
      <c r="P212" s="19">
        <v>6</v>
      </c>
      <c r="Q212" s="19">
        <v>6</v>
      </c>
      <c r="R212" s="19">
        <v>0</v>
      </c>
      <c r="S212" s="44">
        <f>SUMPRODUCT(N212:R212,'Fisico SPOT MAT'!N212:R212)*E212</f>
        <v>3243241.0708224629</v>
      </c>
      <c r="T212" s="17">
        <v>50</v>
      </c>
      <c r="U212" s="17">
        <v>18</v>
      </c>
      <c r="V212" s="17">
        <v>50</v>
      </c>
      <c r="W212" s="17">
        <v>60</v>
      </c>
      <c r="X212" s="28">
        <f>SUMPRODUCT(T212:W212,'Fisico SPOT MAT'!T212:W212)*24</f>
        <v>1595297.0299999984</v>
      </c>
      <c r="Y212" s="19">
        <v>0</v>
      </c>
      <c r="Z212" s="19">
        <v>5</v>
      </c>
      <c r="AA212" s="19">
        <v>0</v>
      </c>
      <c r="AB212" s="28">
        <f>SUMPRODUCT(Y212:AA212,'Fisico SPOT MAT'!Y212:AA212)*E212</f>
        <v>33200</v>
      </c>
      <c r="AC212" s="122">
        <f>(T212*'Fisico SPOT MAT'!T212+'Mono SPOT MAT'!V212*'Fisico SPOT MAT'!V212+'Mono SPOT MAT'!W212*'Fisico SPOT MAT'!W212)/'Fisico SPOT MAT'!AC212</f>
        <v>57.886139694520672</v>
      </c>
      <c r="AD212" s="85"/>
      <c r="AE212" s="41">
        <v>60.37981648036773</v>
      </c>
      <c r="AF212" s="42">
        <v>32.684247092370647</v>
      </c>
      <c r="AG212">
        <v>5050</v>
      </c>
      <c r="AH212" s="64">
        <f t="shared" si="52"/>
        <v>3.6031376124248218</v>
      </c>
      <c r="AJ212" s="41">
        <v>0.85</v>
      </c>
      <c r="AK212">
        <v>368</v>
      </c>
    </row>
    <row r="213" spans="1:37" hidden="1" x14ac:dyDescent="0.3">
      <c r="A213" s="3">
        <f>+'Mono ASIG'!A213</f>
        <v>1381.0953999999999</v>
      </c>
      <c r="B213" s="3">
        <f>+'Mono ASIG'!B213</f>
        <v>1378.9690000000001</v>
      </c>
      <c r="C213" s="1">
        <f>+'Mono ASIG'!C213</f>
        <v>2026</v>
      </c>
      <c r="D213" s="1">
        <f t="shared" si="66"/>
        <v>4</v>
      </c>
      <c r="E213" s="1">
        <v>16</v>
      </c>
      <c r="F213" s="1" t="str">
        <f>+'Mono ASIG'!F213</f>
        <v>mar</v>
      </c>
      <c r="G213" s="56">
        <f>+'Mono ASIG'!G213</f>
        <v>46119</v>
      </c>
      <c r="H213" s="17">
        <f t="shared" ref="H213:H226" si="69">+AE213+AH213+AI213+AJ213</f>
        <v>62.252073756594243</v>
      </c>
      <c r="I213" s="17">
        <f t="shared" ref="I213:I226" si="70">+AF213+AH213+AI213+AJ213</f>
        <v>38.038144561040554</v>
      </c>
      <c r="J213" s="17">
        <v>22.000000000000043</v>
      </c>
      <c r="K213" s="17">
        <v>22.000000000000043</v>
      </c>
      <c r="L213" s="17">
        <v>32</v>
      </c>
      <c r="M213" s="44">
        <f>SUMPRODUCT(H213:L213,'Fisico SPOT MAT'!H213:L213)*24</f>
        <v>9965668.9305884279</v>
      </c>
      <c r="N213" s="19">
        <f>+'Fisico SPOT MAT'!AH213</f>
        <v>16.131970786675243</v>
      </c>
      <c r="O213" s="19">
        <f t="shared" si="65"/>
        <v>13.722826086956522</v>
      </c>
      <c r="P213" s="19">
        <v>6</v>
      </c>
      <c r="Q213" s="19">
        <v>6</v>
      </c>
      <c r="R213" s="19">
        <v>0</v>
      </c>
      <c r="S213" s="44">
        <f>SUMPRODUCT(N213:R213,'Fisico SPOT MAT'!N213:R213)*E213</f>
        <v>3335087.6845797086</v>
      </c>
      <c r="T213" s="17">
        <v>50</v>
      </c>
      <c r="U213" s="17">
        <v>18</v>
      </c>
      <c r="V213" s="17">
        <v>50</v>
      </c>
      <c r="W213" s="17">
        <v>60</v>
      </c>
      <c r="X213" s="28">
        <f>SUMPRODUCT(T213:W213,'Fisico SPOT MAT'!T213:W213)*24</f>
        <v>1803195.7800000014</v>
      </c>
      <c r="Y213" s="19">
        <v>0</v>
      </c>
      <c r="Z213" s="19">
        <v>5</v>
      </c>
      <c r="AA213" s="19">
        <v>0</v>
      </c>
      <c r="AB213" s="28">
        <f>SUMPRODUCT(Y213:AA213,'Fisico SPOT MAT'!Y213:AA213)*E213</f>
        <v>33200</v>
      </c>
      <c r="AC213" s="122">
        <f>(T213*'Fisico SPOT MAT'!T213+'Mono SPOT MAT'!V213*'Fisico SPOT MAT'!V213+'Mono SPOT MAT'!W213*'Fisico SPOT MAT'!W213)/'Fisico SPOT MAT'!AC213</f>
        <v>58.0174048094201</v>
      </c>
      <c r="AD213" s="85"/>
      <c r="AE213" s="41">
        <v>57.962129982758071</v>
      </c>
      <c r="AF213" s="42">
        <v>33.748200787204382</v>
      </c>
      <c r="AG213">
        <v>5050</v>
      </c>
      <c r="AH213" s="64">
        <f t="shared" si="52"/>
        <v>3.4399437738361702</v>
      </c>
      <c r="AJ213" s="41">
        <v>0.85</v>
      </c>
      <c r="AK213">
        <v>368</v>
      </c>
    </row>
    <row r="214" spans="1:37" hidden="1" x14ac:dyDescent="0.3">
      <c r="A214" s="3">
        <f>+'Mono ASIG'!A214</f>
        <v>1381.0953999999999</v>
      </c>
      <c r="B214" s="3">
        <f>+'Mono ASIG'!B214</f>
        <v>1378.9690000000001</v>
      </c>
      <c r="C214" s="1">
        <f>+'Mono ASIG'!C214</f>
        <v>2026</v>
      </c>
      <c r="D214" s="1">
        <f t="shared" ref="D214:D226" si="71">MONTH(G214)</f>
        <v>4</v>
      </c>
      <c r="E214" s="1">
        <v>16</v>
      </c>
      <c r="F214" s="1" t="str">
        <f>+'Mono ASIG'!F214</f>
        <v>mié</v>
      </c>
      <c r="G214" s="56">
        <f>+'Mono ASIG'!G214</f>
        <v>46120</v>
      </c>
      <c r="H214" s="17">
        <f t="shared" si="69"/>
        <v>50.598213854246744</v>
      </c>
      <c r="I214" s="17">
        <f t="shared" si="70"/>
        <v>36.152098266349789</v>
      </c>
      <c r="J214" s="17">
        <v>21.999999999999972</v>
      </c>
      <c r="K214" s="17">
        <v>21.999999999999972</v>
      </c>
      <c r="L214" s="17">
        <v>32</v>
      </c>
      <c r="M214" s="44">
        <f>SUMPRODUCT(H214:L214,'Fisico SPOT MAT'!H214:L214)*24</f>
        <v>7917913.714260051</v>
      </c>
      <c r="N214" s="19">
        <f>+'Fisico SPOT MAT'!AH214</f>
        <v>16.146460829997679</v>
      </c>
      <c r="O214" s="19">
        <f t="shared" si="65"/>
        <v>13.722826086956522</v>
      </c>
      <c r="P214" s="19">
        <v>6</v>
      </c>
      <c r="Q214" s="19">
        <v>6</v>
      </c>
      <c r="R214" s="19">
        <v>0</v>
      </c>
      <c r="S214" s="44">
        <f>SUMPRODUCT(N214:R214,'Fisico SPOT MAT'!N214:R214)*E214</f>
        <v>3416652.0589311584</v>
      </c>
      <c r="T214" s="17">
        <v>50</v>
      </c>
      <c r="U214" s="17">
        <v>18</v>
      </c>
      <c r="V214" s="17">
        <v>50</v>
      </c>
      <c r="W214" s="17">
        <v>60</v>
      </c>
      <c r="X214" s="28">
        <f>SUMPRODUCT(T214:W214,'Fisico SPOT MAT'!T214:W214)*24</f>
        <v>1534786.5399999991</v>
      </c>
      <c r="Y214" s="19">
        <v>0</v>
      </c>
      <c r="Z214" s="19">
        <v>5</v>
      </c>
      <c r="AA214" s="19">
        <v>0</v>
      </c>
      <c r="AB214" s="28">
        <f>SUMPRODUCT(Y214:AA214,'Fisico SPOT MAT'!Y214:AA214)*E214</f>
        <v>33200</v>
      </c>
      <c r="AC214" s="122">
        <f>(T214*'Fisico SPOT MAT'!T214+'Mono SPOT MAT'!V214*'Fisico SPOT MAT'!V214+'Mono SPOT MAT'!W214*'Fisico SPOT MAT'!W214)/'Fisico SPOT MAT'!AC214</f>
        <v>57.600907587625073</v>
      </c>
      <c r="AD214" s="85"/>
      <c r="AE214" s="41">
        <v>47.045165203041442</v>
      </c>
      <c r="AF214" s="42">
        <v>32.599049615144487</v>
      </c>
      <c r="AG214">
        <v>5050</v>
      </c>
      <c r="AH214" s="64">
        <f t="shared" si="52"/>
        <v>2.7030486512052976</v>
      </c>
      <c r="AJ214" s="41">
        <v>0.85</v>
      </c>
      <c r="AK214">
        <v>368</v>
      </c>
    </row>
    <row r="215" spans="1:37" hidden="1" x14ac:dyDescent="0.3">
      <c r="A215" s="3">
        <f>+'Mono ASIG'!A215</f>
        <v>1381.0953999999999</v>
      </c>
      <c r="B215" s="3">
        <f>+'Mono ASIG'!B215</f>
        <v>1378.9690000000001</v>
      </c>
      <c r="C215" s="1">
        <f>+'Mono ASIG'!C215</f>
        <v>2026</v>
      </c>
      <c r="D215" s="1">
        <f t="shared" si="71"/>
        <v>4</v>
      </c>
      <c r="E215" s="1">
        <v>16</v>
      </c>
      <c r="F215" s="1" t="str">
        <f>+'Mono ASIG'!F215</f>
        <v>jue</v>
      </c>
      <c r="G215" s="56">
        <f>+'Mono ASIG'!G215</f>
        <v>46121</v>
      </c>
      <c r="H215" s="17">
        <f t="shared" si="69"/>
        <v>41.152257031745883</v>
      </c>
      <c r="I215" s="17">
        <f t="shared" si="70"/>
        <v>35.71975200570423</v>
      </c>
      <c r="J215" s="17">
        <v>21.999999999999972</v>
      </c>
      <c r="K215" s="17">
        <v>21.999999999999972</v>
      </c>
      <c r="L215" s="17">
        <v>32</v>
      </c>
      <c r="M215" s="44">
        <f>SUMPRODUCT(H215:L215,'Fisico SPOT MAT'!H215:L215)*24</f>
        <v>6306089.0846786797</v>
      </c>
      <c r="N215" s="19">
        <f>+'Fisico SPOT MAT'!AH215</f>
        <v>16.184377654043054</v>
      </c>
      <c r="O215" s="19">
        <f>AG215/AK215</f>
        <v>13.722826086956522</v>
      </c>
      <c r="P215" s="19">
        <v>6</v>
      </c>
      <c r="Q215" s="19">
        <v>6</v>
      </c>
      <c r="R215" s="19">
        <v>0</v>
      </c>
      <c r="S215" s="44">
        <f>SUMPRODUCT(N215:R215,'Fisico SPOT MAT'!N215:R215)*E215</f>
        <v>3488654.2407499989</v>
      </c>
      <c r="T215" s="17">
        <v>50</v>
      </c>
      <c r="U215" s="17">
        <v>18</v>
      </c>
      <c r="V215" s="17">
        <v>50</v>
      </c>
      <c r="W215" s="17">
        <v>60</v>
      </c>
      <c r="X215" s="28">
        <f>SUMPRODUCT(T215:W215,'Fisico SPOT MAT'!T215:W215)*24</f>
        <v>1640024.3999999971</v>
      </c>
      <c r="Y215" s="19">
        <v>0</v>
      </c>
      <c r="Z215" s="19">
        <v>5</v>
      </c>
      <c r="AA215" s="19">
        <v>0</v>
      </c>
      <c r="AB215" s="28">
        <f>SUMPRODUCT(Y215:AA215,'Fisico SPOT MAT'!Y215:AA215)*E215</f>
        <v>33200</v>
      </c>
      <c r="AC215" s="122">
        <f>(T215*'Fisico SPOT MAT'!T215+'Mono SPOT MAT'!V215*'Fisico SPOT MAT'!V215+'Mono SPOT MAT'!W215*'Fisico SPOT MAT'!W215)/'Fisico SPOT MAT'!AC215</f>
        <v>57.692311963938778</v>
      </c>
      <c r="AD215" s="85"/>
      <c r="AE215" s="41">
        <v>38.196493706553518</v>
      </c>
      <c r="AF215" s="42">
        <v>32.763988680511865</v>
      </c>
      <c r="AG215">
        <v>5050</v>
      </c>
      <c r="AH215" s="64">
        <f t="shared" si="52"/>
        <v>2.1057633251923624</v>
      </c>
      <c r="AJ215" s="41">
        <v>0.85</v>
      </c>
      <c r="AK215">
        <v>368</v>
      </c>
    </row>
    <row r="216" spans="1:37" hidden="1" x14ac:dyDescent="0.3">
      <c r="A216" s="3">
        <f>+'Mono ASIG'!A216</f>
        <v>1381.0953999999999</v>
      </c>
      <c r="B216" s="3">
        <f>+'Mono ASIG'!B216</f>
        <v>1378.9690000000001</v>
      </c>
      <c r="C216" s="1">
        <f>+'Mono ASIG'!C216</f>
        <v>2026</v>
      </c>
      <c r="D216" s="1">
        <f t="shared" si="71"/>
        <v>4</v>
      </c>
      <c r="E216" s="1">
        <v>16</v>
      </c>
      <c r="F216" s="1" t="str">
        <f>+'Mono ASIG'!F216</f>
        <v>vie</v>
      </c>
      <c r="G216" s="56">
        <f>+'Mono ASIG'!G216</f>
        <v>46122</v>
      </c>
      <c r="H216" s="17">
        <f t="shared" si="69"/>
        <v>41.792011201171867</v>
      </c>
      <c r="I216" s="17">
        <f t="shared" si="70"/>
        <v>36.267964836435993</v>
      </c>
      <c r="J216" s="17">
        <v>21.999999999999993</v>
      </c>
      <c r="K216" s="17">
        <v>21.999999999999993</v>
      </c>
      <c r="L216" s="17">
        <v>32</v>
      </c>
      <c r="M216" s="44">
        <f>SUMPRODUCT(H216:L216,'Fisico SPOT MAT'!H216:L216)*24</f>
        <v>5720667.1174356285</v>
      </c>
      <c r="N216" s="19">
        <f>+'Fisico SPOT MAT'!AH216</f>
        <v>16.177633123188489</v>
      </c>
      <c r="O216" s="19">
        <f t="shared" si="65"/>
        <v>13.722826086956522</v>
      </c>
      <c r="P216" s="19">
        <v>6</v>
      </c>
      <c r="Q216" s="19">
        <v>6</v>
      </c>
      <c r="R216" s="19">
        <v>0</v>
      </c>
      <c r="S216" s="44">
        <f>SUMPRODUCT(N216:R216,'Fisico SPOT MAT'!N216:R216)*E216</f>
        <v>3475379.9764202894</v>
      </c>
      <c r="T216" s="17">
        <v>50</v>
      </c>
      <c r="U216" s="17">
        <v>18</v>
      </c>
      <c r="V216" s="17">
        <v>50</v>
      </c>
      <c r="W216" s="17">
        <v>60</v>
      </c>
      <c r="X216" s="28">
        <f>SUMPRODUCT(T216:W216,'Fisico SPOT MAT'!T216:W216)*24</f>
        <v>2402281.9999999972</v>
      </c>
      <c r="Y216" s="19">
        <v>0</v>
      </c>
      <c r="Z216" s="19">
        <v>5</v>
      </c>
      <c r="AA216" s="19">
        <v>0</v>
      </c>
      <c r="AB216" s="28">
        <f>SUMPRODUCT(Y216:AA216,'Fisico SPOT MAT'!Y216:AA216)*E216</f>
        <v>33205.566666666666</v>
      </c>
      <c r="AC216" s="122">
        <f>(T216*'Fisico SPOT MAT'!T216+'Mono SPOT MAT'!V216*'Fisico SPOT MAT'!V216+'Mono SPOT MAT'!W216*'Fisico SPOT MAT'!W216)/'Fisico SPOT MAT'!AC216</f>
        <v>58.463248344059629</v>
      </c>
      <c r="AD216" s="85"/>
      <c r="AE216" s="41">
        <v>38.795795036226572</v>
      </c>
      <c r="AF216" s="42">
        <v>33.271748671490698</v>
      </c>
      <c r="AG216">
        <v>5050</v>
      </c>
      <c r="AH216" s="64">
        <f t="shared" si="52"/>
        <v>2.1462161649452938</v>
      </c>
      <c r="AJ216" s="41">
        <v>0.85</v>
      </c>
      <c r="AK216">
        <v>368</v>
      </c>
    </row>
    <row r="217" spans="1:37" hidden="1" x14ac:dyDescent="0.3">
      <c r="A217" s="3">
        <f>+'Mono ASIG'!A217</f>
        <v>1381.0953999999999</v>
      </c>
      <c r="B217" s="3">
        <f>+'Mono ASIG'!B217</f>
        <v>1378.9690000000001</v>
      </c>
      <c r="C217" s="1">
        <f>+'Mono ASIG'!C217</f>
        <v>2026</v>
      </c>
      <c r="D217" s="1">
        <f t="shared" si="71"/>
        <v>4</v>
      </c>
      <c r="E217" s="1">
        <v>6</v>
      </c>
      <c r="F217" s="1" t="str">
        <f>+'Mono ASIG'!F217</f>
        <v>sáb</v>
      </c>
      <c r="G217" s="56">
        <f>+'Mono ASIG'!G217</f>
        <v>46123</v>
      </c>
      <c r="H217" s="17">
        <f t="shared" si="69"/>
        <v>41.21842481804655</v>
      </c>
      <c r="I217" s="17">
        <f t="shared" si="70"/>
        <v>34.541129102974395</v>
      </c>
      <c r="J217" s="17">
        <v>21.999999999999968</v>
      </c>
      <c r="K217" s="17">
        <v>21.999999999999968</v>
      </c>
      <c r="L217" s="17">
        <v>32</v>
      </c>
      <c r="M217" s="44">
        <f>SUMPRODUCT(H217:L217,'Fisico SPOT MAT'!H217:L217)*24</f>
        <v>3925856.1554158656</v>
      </c>
      <c r="N217" s="19">
        <f>+'Fisico SPOT MAT'!AH217</f>
        <v>15.995688588512133</v>
      </c>
      <c r="O217" s="19">
        <f t="shared" si="65"/>
        <v>13.722826086956522</v>
      </c>
      <c r="P217" s="19">
        <v>6</v>
      </c>
      <c r="Q217" s="19">
        <v>6</v>
      </c>
      <c r="R217" s="19">
        <v>0</v>
      </c>
      <c r="S217" s="44">
        <f>SUMPRODUCT(N217:R217,'Fisico SPOT MAT'!N217:R217)*E217</f>
        <v>1186580.4072459233</v>
      </c>
      <c r="T217" s="17">
        <v>50</v>
      </c>
      <c r="U217" s="17">
        <v>18</v>
      </c>
      <c r="V217" s="17">
        <v>50</v>
      </c>
      <c r="W217" s="17">
        <v>60</v>
      </c>
      <c r="X217" s="28">
        <f>SUMPRODUCT(T217:W217,'Fisico SPOT MAT'!T217:W217)*24</f>
        <v>2909651.26</v>
      </c>
      <c r="Y217" s="19">
        <v>0</v>
      </c>
      <c r="Z217" s="19">
        <v>5</v>
      </c>
      <c r="AA217" s="19">
        <v>0</v>
      </c>
      <c r="AB217" s="28">
        <f>SUMPRODUCT(Y217:AA217,'Fisico SPOT MAT'!Y217:AA217)*E217</f>
        <v>12450</v>
      </c>
      <c r="AC217" s="122">
        <f>(T217*'Fisico SPOT MAT'!T217+'Mono SPOT MAT'!V217*'Fisico SPOT MAT'!V217+'Mono SPOT MAT'!W217*'Fisico SPOT MAT'!W217)/'Fisico SPOT MAT'!AC217</f>
        <v>58.824134405246134</v>
      </c>
      <c r="AD217" s="85"/>
      <c r="AE217" s="41">
        <v>38.258477581308242</v>
      </c>
      <c r="AF217" s="42">
        <v>31.581181866236086</v>
      </c>
      <c r="AG217">
        <v>5050</v>
      </c>
      <c r="AH217" s="64">
        <f t="shared" si="52"/>
        <v>2.1099472367383063</v>
      </c>
      <c r="AJ217" s="41">
        <v>0.85</v>
      </c>
      <c r="AK217">
        <v>368</v>
      </c>
    </row>
    <row r="218" spans="1:37" hidden="1" x14ac:dyDescent="0.3">
      <c r="A218" s="3">
        <f>+'Mono ASIG'!A218</f>
        <v>1381.0953999999999</v>
      </c>
      <c r="B218" s="3">
        <f>+'Mono ASIG'!B218</f>
        <v>1378.9690000000001</v>
      </c>
      <c r="C218" s="1">
        <f>+'Mono ASIG'!C218</f>
        <v>2026</v>
      </c>
      <c r="D218" s="1">
        <f t="shared" si="71"/>
        <v>4</v>
      </c>
      <c r="E218" s="1">
        <v>4</v>
      </c>
      <c r="F218" s="1" t="str">
        <f>+'Mono ASIG'!F218</f>
        <v>dom</v>
      </c>
      <c r="G218" s="56">
        <f>+'Mono ASIG'!G218</f>
        <v>46124</v>
      </c>
      <c r="H218" s="17">
        <f t="shared" si="69"/>
        <v>42.669471086406134</v>
      </c>
      <c r="I218" s="17">
        <f t="shared" si="70"/>
        <v>34.925004642335018</v>
      </c>
      <c r="J218" s="17">
        <v>22.000000000000011</v>
      </c>
      <c r="K218" s="17">
        <v>22.000000000000011</v>
      </c>
      <c r="L218" s="17">
        <v>32</v>
      </c>
      <c r="M218" s="44">
        <f>SUMPRODUCT(H218:L218,'Fisico SPOT MAT'!H218:L218)*24</f>
        <v>4071510.7221818008</v>
      </c>
      <c r="N218" s="19">
        <f>+'Fisico SPOT MAT'!AH218</f>
        <v>15.984184833452312</v>
      </c>
      <c r="O218" s="19">
        <f t="shared" si="65"/>
        <v>13.722826086956522</v>
      </c>
      <c r="P218" s="19">
        <v>6</v>
      </c>
      <c r="Q218" s="19">
        <v>6</v>
      </c>
      <c r="R218" s="19">
        <v>0</v>
      </c>
      <c r="S218" s="44">
        <f>SUMPRODUCT(N218:R218,'Fisico SPOT MAT'!N218:R218)*E218</f>
        <v>786079.67461141269</v>
      </c>
      <c r="T218" s="17">
        <v>50</v>
      </c>
      <c r="U218" s="17">
        <v>18</v>
      </c>
      <c r="V218" s="17">
        <v>50</v>
      </c>
      <c r="W218" s="17">
        <v>60</v>
      </c>
      <c r="X218" s="28">
        <f>SUMPRODUCT(T218:W218,'Fisico SPOT MAT'!T218:W218)*24</f>
        <v>2125746.4899999984</v>
      </c>
      <c r="Y218" s="19">
        <v>0</v>
      </c>
      <c r="Z218" s="19">
        <v>5</v>
      </c>
      <c r="AA218" s="19">
        <v>0</v>
      </c>
      <c r="AB218" s="28">
        <f>SUMPRODUCT(Y218:AA218,'Fisico SPOT MAT'!Y218:AA218)*E218</f>
        <v>8300</v>
      </c>
      <c r="AC218" s="122">
        <f>(T218*'Fisico SPOT MAT'!T218+'Mono SPOT MAT'!V218*'Fisico SPOT MAT'!V218+'Mono SPOT MAT'!W218*'Fisico SPOT MAT'!W218)/'Fisico SPOT MAT'!AC218</f>
        <v>58.458485599603478</v>
      </c>
      <c r="AD218" s="85"/>
      <c r="AE218" s="41">
        <v>39.617771509513943</v>
      </c>
      <c r="AF218" s="42">
        <v>31.873305065442828</v>
      </c>
      <c r="AG218">
        <v>5050</v>
      </c>
      <c r="AH218" s="64">
        <f t="shared" ref="AH218:AH267" si="72">0.075*0.9*(AE218-7)</f>
        <v>2.2016995768921914</v>
      </c>
      <c r="AJ218" s="41">
        <v>0.85</v>
      </c>
      <c r="AK218">
        <v>368</v>
      </c>
    </row>
    <row r="219" spans="1:37" hidden="1" x14ac:dyDescent="0.3">
      <c r="A219" s="3">
        <f>+'Mono ASIG'!A219</f>
        <v>1381.0953999999999</v>
      </c>
      <c r="B219" s="3">
        <f>+'Mono ASIG'!B219</f>
        <v>1391.6890000000001</v>
      </c>
      <c r="C219" s="1">
        <f>+'Mono ASIG'!C219</f>
        <v>2026</v>
      </c>
      <c r="D219" s="1">
        <f t="shared" si="71"/>
        <v>4</v>
      </c>
      <c r="E219" s="1">
        <v>16</v>
      </c>
      <c r="F219" s="1" t="str">
        <f>+'Mono ASIG'!F219</f>
        <v>lun</v>
      </c>
      <c r="G219" s="56">
        <f>+'Mono ASIG'!G219</f>
        <v>46125</v>
      </c>
      <c r="H219" s="17">
        <f t="shared" si="69"/>
        <v>40.474570527050695</v>
      </c>
      <c r="I219" s="17">
        <f t="shared" si="70"/>
        <v>33.938293243421526</v>
      </c>
      <c r="J219" s="17">
        <v>22.000000000000014</v>
      </c>
      <c r="K219" s="17">
        <v>22.000000000000014</v>
      </c>
      <c r="L219" s="17">
        <v>32</v>
      </c>
      <c r="M219" s="44">
        <f>SUMPRODUCT(H219:L219,'Fisico SPOT MAT'!H219:L219)*24</f>
        <v>4403755.8811955759</v>
      </c>
      <c r="N219" s="19">
        <f>+'Fisico SPOT MAT'!AH219</f>
        <v>16.012433348942224</v>
      </c>
      <c r="O219" s="19">
        <f t="shared" si="65"/>
        <v>13.722826086956522</v>
      </c>
      <c r="P219" s="19">
        <v>6</v>
      </c>
      <c r="Q219" s="19">
        <v>6</v>
      </c>
      <c r="R219" s="19">
        <v>0</v>
      </c>
      <c r="S219" s="44">
        <f>SUMPRODUCT(N219:R219,'Fisico SPOT MAT'!N219:R219)*E219</f>
        <v>3186478.2804311584</v>
      </c>
      <c r="T219" s="17">
        <v>50</v>
      </c>
      <c r="U219" s="17">
        <v>18</v>
      </c>
      <c r="V219" s="17">
        <v>50</v>
      </c>
      <c r="W219" s="17">
        <v>60</v>
      </c>
      <c r="X219" s="28">
        <f>SUMPRODUCT(T219:W219,'Fisico SPOT MAT'!T219:W219)*24</f>
        <v>2233936.13</v>
      </c>
      <c r="Y219" s="19">
        <v>0</v>
      </c>
      <c r="Z219" s="19">
        <v>5</v>
      </c>
      <c r="AA219" s="19">
        <v>0</v>
      </c>
      <c r="AB219" s="28">
        <f>SUMPRODUCT(Y219:AA219,'Fisico SPOT MAT'!Y219:AA219)*E219</f>
        <v>33200</v>
      </c>
      <c r="AC219" s="122">
        <f>(T219*'Fisico SPOT MAT'!T219+'Mono SPOT MAT'!V219*'Fisico SPOT MAT'!V219+'Mono SPOT MAT'!W219*'Fisico SPOT MAT'!W219)/'Fisico SPOT MAT'!AC219</f>
        <v>58.623874504936929</v>
      </c>
      <c r="AD219" s="85"/>
      <c r="AE219" s="41">
        <v>37.561658573349597</v>
      </c>
      <c r="AF219" s="42">
        <v>31.025381289720425</v>
      </c>
      <c r="AG219">
        <v>5050</v>
      </c>
      <c r="AH219" s="64">
        <f t="shared" si="72"/>
        <v>2.0629119537010978</v>
      </c>
      <c r="AJ219" s="41">
        <v>0.85</v>
      </c>
      <c r="AK219">
        <v>368</v>
      </c>
    </row>
    <row r="220" spans="1:37" hidden="1" x14ac:dyDescent="0.3">
      <c r="A220" s="3">
        <f>+'Mono ASIG'!A220</f>
        <v>1381.0953999999999</v>
      </c>
      <c r="B220" s="3">
        <f>+'Mono ASIG'!B220</f>
        <v>1391.6890000000001</v>
      </c>
      <c r="C220" s="1">
        <f>+'Mono ASIG'!C220</f>
        <v>2026</v>
      </c>
      <c r="D220" s="1">
        <f t="shared" si="71"/>
        <v>4</v>
      </c>
      <c r="E220" s="1">
        <v>16</v>
      </c>
      <c r="F220" s="1" t="str">
        <f>+'Mono ASIG'!F220</f>
        <v>mar</v>
      </c>
      <c r="G220" s="56">
        <f>+'Mono ASIG'!G220</f>
        <v>46126</v>
      </c>
      <c r="H220" s="17">
        <f t="shared" si="69"/>
        <v>41.697852861447565</v>
      </c>
      <c r="I220" s="17">
        <f t="shared" si="70"/>
        <v>34.585124658032477</v>
      </c>
      <c r="J220" s="17">
        <v>22.000000000000025</v>
      </c>
      <c r="K220" s="17">
        <v>22.000000000000025</v>
      </c>
      <c r="L220" s="17">
        <v>32</v>
      </c>
      <c r="M220" s="44">
        <f>SUMPRODUCT(H220:L220,'Fisico SPOT MAT'!H220:L220)*24</f>
        <v>4916873.2840294447</v>
      </c>
      <c r="N220" s="19">
        <f>+'Fisico SPOT MAT'!AH220</f>
        <v>16.044084309791103</v>
      </c>
      <c r="O220" s="19">
        <f t="shared" si="65"/>
        <v>13.722826086956522</v>
      </c>
      <c r="P220" s="19">
        <v>6</v>
      </c>
      <c r="Q220" s="19">
        <v>6</v>
      </c>
      <c r="R220" s="19">
        <v>0</v>
      </c>
      <c r="S220" s="44">
        <f>SUMPRODUCT(N220:R220,'Fisico SPOT MAT'!N220:R220)*E220</f>
        <v>3251646.6425905777</v>
      </c>
      <c r="T220" s="17">
        <v>50</v>
      </c>
      <c r="U220" s="17">
        <v>18</v>
      </c>
      <c r="V220" s="17">
        <v>50</v>
      </c>
      <c r="W220" s="17">
        <v>60</v>
      </c>
      <c r="X220" s="28">
        <f>SUMPRODUCT(T220:W220,'Fisico SPOT MAT'!T220:W220)*24</f>
        <v>2406106.5800000024</v>
      </c>
      <c r="Y220" s="19">
        <v>0</v>
      </c>
      <c r="Z220" s="19">
        <v>5</v>
      </c>
      <c r="AA220" s="19">
        <v>0</v>
      </c>
      <c r="AB220" s="28">
        <f>SUMPRODUCT(Y220:AA220,'Fisico SPOT MAT'!Y220:AA220)*E220</f>
        <v>33200</v>
      </c>
      <c r="AC220" s="122">
        <f>(T220*'Fisico SPOT MAT'!T220+'Mono SPOT MAT'!V220*'Fisico SPOT MAT'!V220+'Mono SPOT MAT'!W220*'Fisico SPOT MAT'!W220)/'Fisico SPOT MAT'!AC220</f>
        <v>58.705890131796792</v>
      </c>
      <c r="AD220" s="85"/>
      <c r="AE220" s="41">
        <v>38.70759050252699</v>
      </c>
      <c r="AF220" s="42">
        <v>31.594862299111902</v>
      </c>
      <c r="AG220">
        <v>5050</v>
      </c>
      <c r="AH220" s="64">
        <f t="shared" si="72"/>
        <v>2.1402623589205718</v>
      </c>
      <c r="AJ220" s="41">
        <v>0.85</v>
      </c>
      <c r="AK220">
        <v>368</v>
      </c>
    </row>
    <row r="221" spans="1:37" hidden="1" x14ac:dyDescent="0.3">
      <c r="A221" s="3">
        <f>+'Mono ASIG'!A221</f>
        <v>1381.0953999999999</v>
      </c>
      <c r="B221" s="3">
        <f>+'Mono ASIG'!B221</f>
        <v>1391.6890000000001</v>
      </c>
      <c r="C221" s="1">
        <f>+'Mono ASIG'!C221</f>
        <v>2026</v>
      </c>
      <c r="D221" s="1">
        <f t="shared" si="71"/>
        <v>4</v>
      </c>
      <c r="E221" s="1">
        <v>16</v>
      </c>
      <c r="F221" s="1" t="str">
        <f>+'Mono ASIG'!F221</f>
        <v>mié</v>
      </c>
      <c r="G221" s="56">
        <f>+'Mono ASIG'!G221</f>
        <v>46127</v>
      </c>
      <c r="H221" s="17">
        <f t="shared" si="69"/>
        <v>41.024414291875615</v>
      </c>
      <c r="I221" s="17">
        <f t="shared" si="70"/>
        <v>33.90871992804928</v>
      </c>
      <c r="J221" s="17">
        <v>21.999999999999986</v>
      </c>
      <c r="K221" s="17">
        <v>21.999999999999986</v>
      </c>
      <c r="L221" s="17">
        <v>32</v>
      </c>
      <c r="M221" s="44">
        <f>SUMPRODUCT(H221:L221,'Fisico SPOT MAT'!H221:L221)*24</f>
        <v>5943976.3408895498</v>
      </c>
      <c r="N221" s="19">
        <f>+'Fisico SPOT MAT'!AH221</f>
        <v>16.041627948145148</v>
      </c>
      <c r="O221" s="19">
        <f t="shared" si="65"/>
        <v>13.722826086956522</v>
      </c>
      <c r="P221" s="19">
        <v>6</v>
      </c>
      <c r="Q221" s="19">
        <v>6</v>
      </c>
      <c r="R221" s="19">
        <v>0</v>
      </c>
      <c r="S221" s="44">
        <f>SUMPRODUCT(N221:R221,'Fisico SPOT MAT'!N221:R221)*E221</f>
        <v>3266055.9168659411</v>
      </c>
      <c r="T221" s="17">
        <v>50</v>
      </c>
      <c r="U221" s="17">
        <v>18</v>
      </c>
      <c r="V221" s="17">
        <v>50</v>
      </c>
      <c r="W221" s="17">
        <v>60</v>
      </c>
      <c r="X221" s="28">
        <f>SUMPRODUCT(T221:W221,'Fisico SPOT MAT'!T221:W221)*24</f>
        <v>1404305.3280000011</v>
      </c>
      <c r="Y221" s="19">
        <v>0</v>
      </c>
      <c r="Z221" s="19">
        <v>5</v>
      </c>
      <c r="AA221" s="19">
        <v>0</v>
      </c>
      <c r="AB221" s="28">
        <f>SUMPRODUCT(Y221:AA221,'Fisico SPOT MAT'!Y221:AA221)*E221</f>
        <v>33200</v>
      </c>
      <c r="AC221" s="122">
        <f>(T221*'Fisico SPOT MAT'!T221+'Mono SPOT MAT'!V221*'Fisico SPOT MAT'!V221+'Mono SPOT MAT'!W221*'Fisico SPOT MAT'!W221)/'Fisico SPOT MAT'!AC221</f>
        <v>57.56880091097571</v>
      </c>
      <c r="AD221" s="85"/>
      <c r="AE221" s="41">
        <v>38.076734699649286</v>
      </c>
      <c r="AF221" s="42">
        <v>30.96104033582295</v>
      </c>
      <c r="AG221">
        <v>5050</v>
      </c>
      <c r="AH221" s="64">
        <f t="shared" si="72"/>
        <v>2.0976795922263269</v>
      </c>
      <c r="AJ221" s="41">
        <v>0.85</v>
      </c>
      <c r="AK221">
        <v>368</v>
      </c>
    </row>
    <row r="222" spans="1:37" hidden="1" x14ac:dyDescent="0.3">
      <c r="A222" s="3">
        <f>+'Mono ASIG'!A222</f>
        <v>1381.0953999999999</v>
      </c>
      <c r="B222" s="3">
        <f>+'Mono ASIG'!B222</f>
        <v>1391.6890000000001</v>
      </c>
      <c r="C222" s="1">
        <f>+'Mono ASIG'!C222</f>
        <v>2026</v>
      </c>
      <c r="D222" s="1">
        <f t="shared" si="71"/>
        <v>4</v>
      </c>
      <c r="E222" s="1">
        <v>16</v>
      </c>
      <c r="F222" s="1" t="str">
        <f>+'Mono ASIG'!F222</f>
        <v>jue</v>
      </c>
      <c r="G222" s="56">
        <f>+'Mono ASIG'!G222</f>
        <v>46128</v>
      </c>
      <c r="H222" s="17">
        <f t="shared" si="69"/>
        <v>41.313288890914187</v>
      </c>
      <c r="I222" s="17">
        <f t="shared" si="70"/>
        <v>33.926198282186341</v>
      </c>
      <c r="J222" s="17">
        <v>22.000000000000025</v>
      </c>
      <c r="K222" s="17">
        <v>22.000000000000025</v>
      </c>
      <c r="L222" s="17">
        <v>32</v>
      </c>
      <c r="M222" s="44">
        <f>SUMPRODUCT(H222:L222,'Fisico SPOT MAT'!H222:L222)*24</f>
        <v>6076758.0805738885</v>
      </c>
      <c r="N222" s="19">
        <f>+'Fisico SPOT MAT'!AH222</f>
        <v>16.040249480172772</v>
      </c>
      <c r="O222" s="19">
        <f t="shared" si="65"/>
        <v>13.722826086956522</v>
      </c>
      <c r="P222" s="19">
        <v>6</v>
      </c>
      <c r="Q222" s="19">
        <v>6</v>
      </c>
      <c r="R222" s="19">
        <v>0</v>
      </c>
      <c r="S222" s="44">
        <f>SUMPRODUCT(N222:R222,'Fisico SPOT MAT'!N222:R222)*E222</f>
        <v>3260369.7264927519</v>
      </c>
      <c r="T222" s="17">
        <v>50</v>
      </c>
      <c r="U222" s="17">
        <v>18</v>
      </c>
      <c r="V222" s="17">
        <v>50</v>
      </c>
      <c r="W222" s="17">
        <v>60</v>
      </c>
      <c r="X222" s="28">
        <f>SUMPRODUCT(T222:W222,'Fisico SPOT MAT'!T222:W222)*24</f>
        <v>1510172.9739999997</v>
      </c>
      <c r="Y222" s="19">
        <v>0</v>
      </c>
      <c r="Z222" s="19">
        <v>5</v>
      </c>
      <c r="AA222" s="19">
        <v>0</v>
      </c>
      <c r="AB222" s="28">
        <f>SUMPRODUCT(Y222:AA222,'Fisico SPOT MAT'!Y222:AA222)*E222</f>
        <v>33200</v>
      </c>
      <c r="AC222" s="122">
        <f>(T222*'Fisico SPOT MAT'!T222+'Mono SPOT MAT'!V222*'Fisico SPOT MAT'!V222+'Mono SPOT MAT'!W222*'Fisico SPOT MAT'!W222)/'Fisico SPOT MAT'!AC222</f>
        <v>57.561514835658933</v>
      </c>
      <c r="AD222" s="85"/>
      <c r="AE222" s="41">
        <v>38.347343223338818</v>
      </c>
      <c r="AF222" s="42">
        <v>30.960252614610972</v>
      </c>
      <c r="AG222">
        <v>5050</v>
      </c>
      <c r="AH222" s="64">
        <f t="shared" si="72"/>
        <v>2.1159456675753705</v>
      </c>
      <c r="AJ222" s="41">
        <v>0.85</v>
      </c>
      <c r="AK222">
        <v>368</v>
      </c>
    </row>
    <row r="223" spans="1:37" hidden="1" x14ac:dyDescent="0.3">
      <c r="A223" s="3">
        <f>+'Mono ASIG'!A223</f>
        <v>1381.0953999999999</v>
      </c>
      <c r="B223" s="3">
        <f>+'Mono ASIG'!B223</f>
        <v>1391.6890000000001</v>
      </c>
      <c r="C223" s="1">
        <f>+'Mono ASIG'!C223</f>
        <v>2026</v>
      </c>
      <c r="D223" s="1">
        <f t="shared" si="71"/>
        <v>4</v>
      </c>
      <c r="E223" s="1">
        <v>16</v>
      </c>
      <c r="F223" s="1" t="str">
        <f>+'Mono ASIG'!F223</f>
        <v>vie</v>
      </c>
      <c r="G223" s="56">
        <f>+'Mono ASIG'!G223</f>
        <v>46129</v>
      </c>
      <c r="H223" s="17">
        <f t="shared" si="69"/>
        <v>41.791280886173531</v>
      </c>
      <c r="I223" s="17">
        <f t="shared" si="70"/>
        <v>34.124428055099223</v>
      </c>
      <c r="J223" s="17">
        <v>22.000000000000004</v>
      </c>
      <c r="K223" s="17">
        <v>22.000000000000004</v>
      </c>
      <c r="L223" s="17">
        <v>32</v>
      </c>
      <c r="M223" s="44">
        <f>SUMPRODUCT(H223:L223,'Fisico SPOT MAT'!H223:L223)*24</f>
        <v>5714533.8513473598</v>
      </c>
      <c r="N223" s="19">
        <f>+'Fisico SPOT MAT'!AH223</f>
        <v>15.96647194733341</v>
      </c>
      <c r="O223" s="19">
        <f t="shared" si="65"/>
        <v>13.722826086956522</v>
      </c>
      <c r="P223" s="19">
        <v>6</v>
      </c>
      <c r="Q223" s="19">
        <v>6</v>
      </c>
      <c r="R223" s="19">
        <v>0</v>
      </c>
      <c r="S223" s="44">
        <f>SUMPRODUCT(N223:R223,'Fisico SPOT MAT'!N223:R223)*E223</f>
        <v>3145719.4494637656</v>
      </c>
      <c r="T223" s="17">
        <v>50</v>
      </c>
      <c r="U223" s="17">
        <v>18</v>
      </c>
      <c r="V223" s="17">
        <v>50</v>
      </c>
      <c r="W223" s="17">
        <v>60</v>
      </c>
      <c r="X223" s="28">
        <f>SUMPRODUCT(T223:W223,'Fisico SPOT MAT'!T223:W223)*24</f>
        <v>1835859.4759999998</v>
      </c>
      <c r="Y223" s="19">
        <v>0</v>
      </c>
      <c r="Z223" s="19">
        <v>5</v>
      </c>
      <c r="AA223" s="19">
        <v>0</v>
      </c>
      <c r="AB223" s="28">
        <f>SUMPRODUCT(Y223:AA223,'Fisico SPOT MAT'!Y223:AA223)*E223</f>
        <v>33200</v>
      </c>
      <c r="AC223" s="122">
        <f>(T223*'Fisico SPOT MAT'!T223+'Mono SPOT MAT'!V223*'Fisico SPOT MAT'!V223+'Mono SPOT MAT'!W223*'Fisico SPOT MAT'!W223)/'Fisico SPOT MAT'!AC223</f>
        <v>58.031560674375328</v>
      </c>
      <c r="AD223" s="85"/>
      <c r="AE223" s="41">
        <v>38.79511090039675</v>
      </c>
      <c r="AF223" s="42">
        <v>31.128258069322442</v>
      </c>
      <c r="AG223">
        <v>5050</v>
      </c>
      <c r="AH223" s="64">
        <f t="shared" si="72"/>
        <v>2.1461699857767806</v>
      </c>
      <c r="AJ223" s="41">
        <v>0.85</v>
      </c>
      <c r="AK223">
        <v>368</v>
      </c>
    </row>
    <row r="224" spans="1:37" hidden="1" x14ac:dyDescent="0.3">
      <c r="A224" s="3">
        <f>+'Mono ASIG'!A224</f>
        <v>1381.0953999999999</v>
      </c>
      <c r="B224" s="3">
        <f>+'Mono ASIG'!B224</f>
        <v>1391.6890000000001</v>
      </c>
      <c r="C224" s="1">
        <f>+'Mono ASIG'!C224</f>
        <v>2026</v>
      </c>
      <c r="D224" s="1">
        <f t="shared" si="71"/>
        <v>4</v>
      </c>
      <c r="E224" s="1">
        <v>6</v>
      </c>
      <c r="F224" s="1" t="str">
        <f>+'Mono ASIG'!F224</f>
        <v>sáb</v>
      </c>
      <c r="G224" s="56">
        <f>+'Mono ASIG'!G224</f>
        <v>46130</v>
      </c>
      <c r="H224" s="17">
        <f t="shared" si="69"/>
        <v>41.731773265529803</v>
      </c>
      <c r="I224" s="17">
        <f t="shared" si="70"/>
        <v>34.634669157916264</v>
      </c>
      <c r="J224" s="17">
        <v>21.999999999999993</v>
      </c>
      <c r="K224" s="17">
        <v>21.999999999999993</v>
      </c>
      <c r="L224" s="17">
        <v>32</v>
      </c>
      <c r="M224" s="44">
        <f>SUMPRODUCT(H224:L224,'Fisico SPOT MAT'!H224:L224)*24</f>
        <v>5712421.1273415154</v>
      </c>
      <c r="N224" s="19">
        <f>+'Fisico SPOT MAT'!AH224</f>
        <v>15.967026551072463</v>
      </c>
      <c r="O224" s="19">
        <f t="shared" si="65"/>
        <v>13.722826086956522</v>
      </c>
      <c r="P224" s="19">
        <v>6</v>
      </c>
      <c r="Q224" s="19">
        <v>6</v>
      </c>
      <c r="R224" s="19">
        <v>0</v>
      </c>
      <c r="S224" s="44">
        <f>SUMPRODUCT(N224:R224,'Fisico SPOT MAT'!N224:R224)*E224</f>
        <v>1179027.885582879</v>
      </c>
      <c r="T224" s="17">
        <v>50</v>
      </c>
      <c r="U224" s="17">
        <v>18</v>
      </c>
      <c r="V224" s="17">
        <v>50</v>
      </c>
      <c r="W224" s="17">
        <v>60</v>
      </c>
      <c r="X224" s="28">
        <f>SUMPRODUCT(T224:W224,'Fisico SPOT MAT'!T224:W224)*24</f>
        <v>1986115.0359999998</v>
      </c>
      <c r="Y224" s="19">
        <v>0</v>
      </c>
      <c r="Z224" s="19">
        <v>5</v>
      </c>
      <c r="AA224" s="19">
        <v>0</v>
      </c>
      <c r="AB224" s="28">
        <f>SUMPRODUCT(Y224:AA224,'Fisico SPOT MAT'!Y224:AA224)*E224</f>
        <v>12450</v>
      </c>
      <c r="AC224" s="122">
        <f>(T224*'Fisico SPOT MAT'!T224+'Mono SPOT MAT'!V224*'Fisico SPOT MAT'!V224+'Mono SPOT MAT'!W224*'Fisico SPOT MAT'!W224)/'Fisico SPOT MAT'!AC224</f>
        <v>58.483149707763253</v>
      </c>
      <c r="AD224" s="85"/>
      <c r="AE224" s="41">
        <v>38.739366056702387</v>
      </c>
      <c r="AF224" s="42">
        <v>31.642261949088851</v>
      </c>
      <c r="AG224">
        <v>5050</v>
      </c>
      <c r="AH224" s="64">
        <f t="shared" si="72"/>
        <v>2.1424072088274113</v>
      </c>
      <c r="AJ224" s="41">
        <v>0.85</v>
      </c>
      <c r="AK224">
        <v>368</v>
      </c>
    </row>
    <row r="225" spans="1:37" hidden="1" x14ac:dyDescent="0.3">
      <c r="A225" s="3">
        <f>+'Mono ASIG'!A225</f>
        <v>1381.0953999999999</v>
      </c>
      <c r="B225" s="3">
        <f>+'Mono ASIG'!B225</f>
        <v>1391.6890000000001</v>
      </c>
      <c r="C225" s="1">
        <f>+'Mono ASIG'!C225</f>
        <v>2026</v>
      </c>
      <c r="D225" s="1">
        <f t="shared" si="71"/>
        <v>4</v>
      </c>
      <c r="E225" s="1">
        <v>4</v>
      </c>
      <c r="F225" s="1" t="str">
        <f>+'Mono ASIG'!F225</f>
        <v>dom</v>
      </c>
      <c r="G225" s="56">
        <f>+'Mono ASIG'!G225</f>
        <v>46131</v>
      </c>
      <c r="H225" s="17">
        <f t="shared" si="69"/>
        <v>41.444620610241898</v>
      </c>
      <c r="I225" s="17">
        <f t="shared" si="70"/>
        <v>35.258539923403298</v>
      </c>
      <c r="J225" s="17">
        <v>22.000000000000025</v>
      </c>
      <c r="K225" s="17">
        <v>22.000000000000025</v>
      </c>
      <c r="L225" s="17">
        <v>32</v>
      </c>
      <c r="M225" s="44">
        <f>SUMPRODUCT(H225:L225,'Fisico SPOT MAT'!H225:L225)*24</f>
        <v>5303272.4646227648</v>
      </c>
      <c r="N225" s="19">
        <f>+'Fisico SPOT MAT'!AH225</f>
        <v>16.044930683458627</v>
      </c>
      <c r="O225" s="19">
        <f t="shared" si="65"/>
        <v>13.722826086956522</v>
      </c>
      <c r="P225" s="19">
        <v>6</v>
      </c>
      <c r="Q225" s="19">
        <v>6</v>
      </c>
      <c r="R225" s="19">
        <v>0</v>
      </c>
      <c r="S225" s="44">
        <f>SUMPRODUCT(N225:R225,'Fisico SPOT MAT'!N225:R225)*E225</f>
        <v>814840.93359057896</v>
      </c>
      <c r="T225" s="17">
        <v>50</v>
      </c>
      <c r="U225" s="17">
        <v>18</v>
      </c>
      <c r="V225" s="17">
        <v>50</v>
      </c>
      <c r="W225" s="17">
        <v>60</v>
      </c>
      <c r="X225" s="28">
        <f>SUMPRODUCT(T225:W225,'Fisico SPOT MAT'!T225:W225)*24</f>
        <v>1937527.0120000006</v>
      </c>
      <c r="Y225" s="19">
        <v>0</v>
      </c>
      <c r="Z225" s="19">
        <v>5</v>
      </c>
      <c r="AA225" s="19">
        <v>0</v>
      </c>
      <c r="AB225" s="28">
        <f>SUMPRODUCT(Y225:AA225,'Fisico SPOT MAT'!Y225:AA225)*E225</f>
        <v>8300</v>
      </c>
      <c r="AC225" s="122">
        <f>(T225*'Fisico SPOT MAT'!T225+'Mono SPOT MAT'!V225*'Fisico SPOT MAT'!V225+'Mono SPOT MAT'!W225*'Fisico SPOT MAT'!W225)/'Fisico SPOT MAT'!AC225</f>
        <v>58.492859343545923</v>
      </c>
      <c r="AD225" s="85"/>
      <c r="AE225" s="41">
        <v>38.470370595074378</v>
      </c>
      <c r="AF225" s="42">
        <v>32.284289908235777</v>
      </c>
      <c r="AG225">
        <v>5050</v>
      </c>
      <c r="AH225" s="64">
        <f t="shared" si="72"/>
        <v>2.1242500151675205</v>
      </c>
      <c r="AJ225" s="41">
        <v>0.85</v>
      </c>
      <c r="AK225">
        <v>368</v>
      </c>
    </row>
    <row r="226" spans="1:37" hidden="1" x14ac:dyDescent="0.3">
      <c r="A226" s="3">
        <f>+'Mono ASIG'!A226</f>
        <v>1381.0953999999999</v>
      </c>
      <c r="B226" s="3">
        <f>+'Mono ASIG'!B226</f>
        <v>1391.6890000000001</v>
      </c>
      <c r="C226" s="1">
        <f>+'Mono ASIG'!C226</f>
        <v>2026</v>
      </c>
      <c r="D226" s="1">
        <f t="shared" si="71"/>
        <v>4</v>
      </c>
      <c r="E226" s="1">
        <v>16</v>
      </c>
      <c r="F226" s="1" t="str">
        <f>+'Mono ASIG'!F226</f>
        <v>lun</v>
      </c>
      <c r="G226" s="56">
        <f>+'Mono ASIG'!G226</f>
        <v>46132</v>
      </c>
      <c r="H226" s="17">
        <f t="shared" si="69"/>
        <v>43.657205219586729</v>
      </c>
      <c r="I226" s="17">
        <f t="shared" si="70"/>
        <v>34.876195400380276</v>
      </c>
      <c r="J226" s="17">
        <v>21.999999999999975</v>
      </c>
      <c r="K226" s="17">
        <v>21.999999999999975</v>
      </c>
      <c r="L226" s="17">
        <v>32</v>
      </c>
      <c r="M226" s="44">
        <f>SUMPRODUCT(H226:L226,'Fisico SPOT MAT'!H226:L226)*24</f>
        <v>6176578.3452844806</v>
      </c>
      <c r="N226" s="19">
        <f>+'Fisico SPOT MAT'!AH226</f>
        <v>16.035430398829114</v>
      </c>
      <c r="O226" s="19">
        <f t="shared" si="65"/>
        <v>13.722826086956522</v>
      </c>
      <c r="P226" s="19">
        <v>6</v>
      </c>
      <c r="Q226" s="19">
        <v>6</v>
      </c>
      <c r="R226" s="19">
        <v>0</v>
      </c>
      <c r="S226" s="44">
        <f>SUMPRODUCT(N226:R226,'Fisico SPOT MAT'!N226:R226)*E226</f>
        <v>3218597.0280869547</v>
      </c>
      <c r="T226" s="17">
        <v>50</v>
      </c>
      <c r="U226" s="17">
        <v>18</v>
      </c>
      <c r="V226" s="17">
        <v>50</v>
      </c>
      <c r="W226" s="17">
        <v>60</v>
      </c>
      <c r="X226" s="28">
        <f>SUMPRODUCT(T226:W226,'Fisico SPOT MAT'!T226:W226)*24</f>
        <v>1419776.0199999996</v>
      </c>
      <c r="Y226" s="19">
        <v>0</v>
      </c>
      <c r="Z226" s="19">
        <v>5</v>
      </c>
      <c r="AA226" s="19">
        <v>0</v>
      </c>
      <c r="AB226" s="28">
        <f>SUMPRODUCT(Y226:AA226,'Fisico SPOT MAT'!Y226:AA226)*E226</f>
        <v>33200</v>
      </c>
      <c r="AC226" s="122">
        <f>(T226*'Fisico SPOT MAT'!T226+'Mono SPOT MAT'!V226*'Fisico SPOT MAT'!V226+'Mono SPOT MAT'!W226*'Fisico SPOT MAT'!W226)/'Fisico SPOT MAT'!AC226</f>
        <v>58.120268563504624</v>
      </c>
      <c r="AD226" s="85"/>
      <c r="AE226" s="41">
        <v>40.543049386029722</v>
      </c>
      <c r="AF226" s="42">
        <v>31.762039566823269</v>
      </c>
      <c r="AG226">
        <v>5050</v>
      </c>
      <c r="AH226" s="64">
        <f t="shared" si="72"/>
        <v>2.2641558335570062</v>
      </c>
      <c r="AJ226" s="41">
        <v>0.85</v>
      </c>
      <c r="AK226">
        <v>368</v>
      </c>
    </row>
    <row r="227" spans="1:37" hidden="1" x14ac:dyDescent="0.3">
      <c r="A227" s="3">
        <f>+'Mono ASIG'!A227</f>
        <v>1381.0953999999999</v>
      </c>
      <c r="B227" s="3">
        <f>+'Mono ASIG'!B227</f>
        <v>1391.6890000000001</v>
      </c>
      <c r="C227" s="1">
        <f>+'Mono ASIG'!C227</f>
        <v>2026</v>
      </c>
      <c r="D227" s="1">
        <f t="shared" ref="D227:D231" si="73">MONTH(G227)</f>
        <v>4</v>
      </c>
      <c r="E227" s="1">
        <v>16</v>
      </c>
      <c r="F227" s="1" t="str">
        <f>+'Mono ASIG'!F227</f>
        <v>mar</v>
      </c>
      <c r="G227" s="56">
        <f>+'Mono ASIG'!G227</f>
        <v>46133</v>
      </c>
      <c r="H227" s="17">
        <f t="shared" ref="H227:H231" si="74">+AE227+AH227+AI227+AJ227</f>
        <v>41.746604968129283</v>
      </c>
      <c r="I227" s="17">
        <f t="shared" ref="I227:I231" si="75">+AF227+AH227+AI227+AJ227</f>
        <v>34.785066578433614</v>
      </c>
      <c r="J227" s="17">
        <v>21.999999999999972</v>
      </c>
      <c r="K227" s="17">
        <v>21.999999999999972</v>
      </c>
      <c r="L227" s="17">
        <v>32</v>
      </c>
      <c r="M227" s="44">
        <f>SUMPRODUCT(H227:L227,'Fisico SPOT MAT'!H227:L227)*24</f>
        <v>6285551.1441437993</v>
      </c>
      <c r="N227" s="19">
        <f>+'Fisico SPOT MAT'!AH227</f>
        <v>16.087365174187237</v>
      </c>
      <c r="O227" s="19">
        <f t="shared" si="65"/>
        <v>13.722826086956522</v>
      </c>
      <c r="P227" s="19">
        <v>6</v>
      </c>
      <c r="Q227" s="19">
        <v>6</v>
      </c>
      <c r="R227" s="19">
        <v>0</v>
      </c>
      <c r="S227" s="44">
        <f>SUMPRODUCT(N227:R227,'Fisico SPOT MAT'!N227:R227)*E227</f>
        <v>3300226.8418333307</v>
      </c>
      <c r="T227" s="17">
        <v>50</v>
      </c>
      <c r="U227" s="17">
        <v>18</v>
      </c>
      <c r="V227" s="17">
        <v>50</v>
      </c>
      <c r="W227" s="17">
        <v>60</v>
      </c>
      <c r="X227" s="28">
        <f>SUMPRODUCT(T227:W227,'Fisico SPOT MAT'!T227:W227)*24</f>
        <v>1730711.3260000013</v>
      </c>
      <c r="Y227" s="19">
        <v>0</v>
      </c>
      <c r="Z227" s="19">
        <v>5</v>
      </c>
      <c r="AA227" s="19">
        <v>0</v>
      </c>
      <c r="AB227" s="28">
        <f>SUMPRODUCT(Y227:AA227,'Fisico SPOT MAT'!Y227:AA227)*E227</f>
        <v>33200</v>
      </c>
      <c r="AC227" s="122">
        <f>(T227*'Fisico SPOT MAT'!T227+'Mono SPOT MAT'!V227*'Fisico SPOT MAT'!V227+'Mono SPOT MAT'!W227*'Fisico SPOT MAT'!W227)/'Fisico SPOT MAT'!AC227</f>
        <v>58.4088228972712</v>
      </c>
      <c r="AD227" s="85"/>
      <c r="AE227" s="41">
        <v>38.753259923306118</v>
      </c>
      <c r="AF227" s="42">
        <v>31.791721533610453</v>
      </c>
      <c r="AG227">
        <v>5050</v>
      </c>
      <c r="AH227" s="64">
        <f t="shared" si="72"/>
        <v>2.143345044823163</v>
      </c>
      <c r="AJ227" s="41">
        <v>0.85</v>
      </c>
      <c r="AK227">
        <v>368</v>
      </c>
    </row>
    <row r="228" spans="1:37" hidden="1" x14ac:dyDescent="0.3">
      <c r="A228" s="3">
        <f>+'Mono ASIG'!A228</f>
        <v>1381.0953999999999</v>
      </c>
      <c r="B228" s="3">
        <f>+'Mono ASIG'!B228</f>
        <v>1391.6890000000001</v>
      </c>
      <c r="C228" s="1">
        <f>+'Mono ASIG'!C228</f>
        <v>2026</v>
      </c>
      <c r="D228" s="1">
        <f t="shared" si="73"/>
        <v>4</v>
      </c>
      <c r="E228" s="1">
        <v>16</v>
      </c>
      <c r="F228" s="1" t="str">
        <f>+'Mono ASIG'!F228</f>
        <v>mié</v>
      </c>
      <c r="G228" s="56">
        <f>+'Mono ASIG'!G228</f>
        <v>46134</v>
      </c>
      <c r="H228" s="17">
        <f t="shared" si="74"/>
        <v>46.648089943955341</v>
      </c>
      <c r="I228" s="17">
        <f t="shared" si="75"/>
        <v>34.965511118404343</v>
      </c>
      <c r="J228" s="17">
        <v>21.999999999999972</v>
      </c>
      <c r="K228" s="17">
        <v>21.999999999999972</v>
      </c>
      <c r="L228" s="17">
        <v>32</v>
      </c>
      <c r="M228" s="44">
        <f>SUMPRODUCT(H228:L228,'Fisico SPOT MAT'!H228:L228)*24</f>
        <v>6410219.7162231226</v>
      </c>
      <c r="N228" s="19">
        <f>+'Fisico SPOT MAT'!AH228</f>
        <v>16.172625459854892</v>
      </c>
      <c r="O228" s="19">
        <f t="shared" si="65"/>
        <v>13.722826086956522</v>
      </c>
      <c r="P228" s="19">
        <v>6</v>
      </c>
      <c r="Q228" s="19">
        <v>6</v>
      </c>
      <c r="R228" s="19">
        <v>0</v>
      </c>
      <c r="S228" s="44">
        <f>SUMPRODUCT(N228:R228,'Fisico SPOT MAT'!N228:R228)*E228</f>
        <v>3462107.1705362336</v>
      </c>
      <c r="T228" s="17">
        <v>50</v>
      </c>
      <c r="U228" s="17">
        <v>18</v>
      </c>
      <c r="V228" s="17">
        <v>50</v>
      </c>
      <c r="W228" s="17">
        <v>60</v>
      </c>
      <c r="X228" s="28">
        <f>SUMPRODUCT(T228:W228,'Fisico SPOT MAT'!T228:W228)*24</f>
        <v>2363884.0480000023</v>
      </c>
      <c r="Y228" s="19">
        <v>0</v>
      </c>
      <c r="Z228" s="19">
        <v>5</v>
      </c>
      <c r="AA228" s="19">
        <v>0</v>
      </c>
      <c r="AB228" s="28">
        <f>SUMPRODUCT(Y228:AA228,'Fisico SPOT MAT'!Y228:AA228)*E228</f>
        <v>33200</v>
      </c>
      <c r="AC228" s="122">
        <f>(T228*'Fisico SPOT MAT'!T228+'Mono SPOT MAT'!V228*'Fisico SPOT MAT'!V228+'Mono SPOT MAT'!W228*'Fisico SPOT MAT'!W228)/'Fisico SPOT MAT'!AC228</f>
        <v>58.773348825682383</v>
      </c>
      <c r="AD228" s="85"/>
      <c r="AE228" s="41">
        <v>43.344814935789543</v>
      </c>
      <c r="AF228" s="42">
        <v>31.662236110238549</v>
      </c>
      <c r="AG228">
        <v>5050</v>
      </c>
      <c r="AH228" s="64">
        <f t="shared" si="72"/>
        <v>2.4532750081657944</v>
      </c>
      <c r="AJ228" s="41">
        <v>0.85</v>
      </c>
      <c r="AK228">
        <v>368</v>
      </c>
    </row>
    <row r="229" spans="1:37" hidden="1" x14ac:dyDescent="0.3">
      <c r="A229" s="3">
        <f>+'Mono ASIG'!A229</f>
        <v>1381.0953999999999</v>
      </c>
      <c r="B229" s="3">
        <f>+'Mono ASIG'!B229</f>
        <v>1391.6890000000001</v>
      </c>
      <c r="C229" s="1">
        <f>+'Mono ASIG'!C229</f>
        <v>2026</v>
      </c>
      <c r="D229" s="1">
        <f t="shared" si="73"/>
        <v>4</v>
      </c>
      <c r="E229" s="1">
        <v>16</v>
      </c>
      <c r="F229" s="1" t="str">
        <f>+'Mono ASIG'!F229</f>
        <v>jue</v>
      </c>
      <c r="G229" s="56">
        <f>+'Mono ASIG'!G229</f>
        <v>46135</v>
      </c>
      <c r="H229" s="17">
        <f t="shared" si="74"/>
        <v>52.031756554634214</v>
      </c>
      <c r="I229" s="17">
        <f t="shared" si="75"/>
        <v>35.117118027315755</v>
      </c>
      <c r="J229" s="17">
        <v>21.999999999999972</v>
      </c>
      <c r="K229" s="17">
        <v>21.999999999999972</v>
      </c>
      <c r="L229" s="17">
        <v>32</v>
      </c>
      <c r="M229" s="44">
        <f>SUMPRODUCT(H229:L229,'Fisico SPOT MAT'!H229:L229)*24</f>
        <v>7833484.3012284841</v>
      </c>
      <c r="N229" s="19">
        <f>+'Fisico SPOT MAT'!AH229</f>
        <v>16.201134678024257</v>
      </c>
      <c r="O229" s="19">
        <f t="shared" si="65"/>
        <v>13.722826086956522</v>
      </c>
      <c r="P229" s="19">
        <v>6</v>
      </c>
      <c r="Q229" s="19">
        <v>6</v>
      </c>
      <c r="R229" s="19">
        <v>0</v>
      </c>
      <c r="S229" s="44">
        <f>SUMPRODUCT(N229:R229,'Fisico SPOT MAT'!N229:R229)*E229</f>
        <v>3514099.9427789841</v>
      </c>
      <c r="T229" s="17">
        <v>50</v>
      </c>
      <c r="U229" s="17">
        <v>18</v>
      </c>
      <c r="V229" s="17">
        <v>50</v>
      </c>
      <c r="W229" s="17">
        <v>60</v>
      </c>
      <c r="X229" s="28">
        <f>SUMPRODUCT(T229:W229,'Fisico SPOT MAT'!T229:W229)*24</f>
        <v>2690650.324000001</v>
      </c>
      <c r="Y229" s="19">
        <v>0</v>
      </c>
      <c r="Z229" s="19">
        <v>5</v>
      </c>
      <c r="AA229" s="19">
        <v>0</v>
      </c>
      <c r="AB229" s="28">
        <f>SUMPRODUCT(Y229:AA229,'Fisico SPOT MAT'!Y229:AA229)*E229</f>
        <v>33200</v>
      </c>
      <c r="AC229" s="122">
        <f>(T229*'Fisico SPOT MAT'!T229+'Mono SPOT MAT'!V229*'Fisico SPOT MAT'!V229+'Mono SPOT MAT'!W229*'Fisico SPOT MAT'!W229)/'Fisico SPOT MAT'!AC229</f>
        <v>58.947230797894264</v>
      </c>
      <c r="AD229" s="85"/>
      <c r="AE229" s="41">
        <v>48.388062346261556</v>
      </c>
      <c r="AF229" s="42">
        <v>31.4734238189431</v>
      </c>
      <c r="AG229">
        <v>5050</v>
      </c>
      <c r="AH229" s="64">
        <f t="shared" si="72"/>
        <v>2.793694208372655</v>
      </c>
      <c r="AJ229" s="41">
        <v>0.85</v>
      </c>
      <c r="AK229">
        <v>368</v>
      </c>
    </row>
    <row r="230" spans="1:37" hidden="1" x14ac:dyDescent="0.3">
      <c r="A230" s="3">
        <f>+'Mono ASIG'!A230</f>
        <v>1381.0953999999999</v>
      </c>
      <c r="B230" s="3">
        <f>+'Mono ASIG'!B230</f>
        <v>1391.6890000000001</v>
      </c>
      <c r="C230" s="1">
        <f>+'Mono ASIG'!C230</f>
        <v>2026</v>
      </c>
      <c r="D230" s="1">
        <f t="shared" si="73"/>
        <v>4</v>
      </c>
      <c r="E230" s="1">
        <v>16</v>
      </c>
      <c r="F230" s="1" t="str">
        <f>+'Mono ASIG'!F230</f>
        <v>vie</v>
      </c>
      <c r="G230" s="56">
        <f>+'Mono ASIG'!G230</f>
        <v>46136</v>
      </c>
      <c r="H230" s="17">
        <f t="shared" si="74"/>
        <v>49.451257206227062</v>
      </c>
      <c r="I230" s="17">
        <f t="shared" si="75"/>
        <v>35.15819931502336</v>
      </c>
      <c r="J230" s="17">
        <v>21.999999999999972</v>
      </c>
      <c r="K230" s="17">
        <v>21.999999999999972</v>
      </c>
      <c r="L230" s="17">
        <v>32</v>
      </c>
      <c r="M230" s="44">
        <f>SUMPRODUCT(H230:L230,'Fisico SPOT MAT'!H230:L230)*24</f>
        <v>7637633.7523107585</v>
      </c>
      <c r="N230" s="19">
        <f>+'Fisico SPOT MAT'!AH230</f>
        <v>16.237529088674638</v>
      </c>
      <c r="O230" s="19">
        <f t="shared" si="65"/>
        <v>13.722826086956522</v>
      </c>
      <c r="P230" s="19">
        <v>6</v>
      </c>
      <c r="Q230" s="19">
        <v>6</v>
      </c>
      <c r="R230" s="19">
        <v>0</v>
      </c>
      <c r="S230" s="44">
        <f>SUMPRODUCT(N230:R230,'Fisico SPOT MAT'!N230:R230)*E230</f>
        <v>3581591.0492427549</v>
      </c>
      <c r="T230" s="17">
        <v>50</v>
      </c>
      <c r="U230" s="17">
        <v>18</v>
      </c>
      <c r="V230" s="17">
        <v>50</v>
      </c>
      <c r="W230" s="17">
        <v>60</v>
      </c>
      <c r="X230" s="28">
        <f>SUMPRODUCT(T230:W230,'Fisico SPOT MAT'!T230:W230)*24</f>
        <v>2348527.8280000007</v>
      </c>
      <c r="Y230" s="19">
        <v>0</v>
      </c>
      <c r="Z230" s="19">
        <v>5</v>
      </c>
      <c r="AA230" s="19">
        <v>0</v>
      </c>
      <c r="AB230" s="28">
        <f>SUMPRODUCT(Y230:AA230,'Fisico SPOT MAT'!Y230:AA230)*E230</f>
        <v>35777.766666666663</v>
      </c>
      <c r="AC230" s="122">
        <f>(T230*'Fisico SPOT MAT'!T230+'Mono SPOT MAT'!V230*'Fisico SPOT MAT'!V230+'Mono SPOT MAT'!W230*'Fisico SPOT MAT'!W230)/'Fisico SPOT MAT'!AC230</f>
        <v>58.964954161418795</v>
      </c>
      <c r="AD230" s="85"/>
      <c r="AE230" s="41">
        <v>45.970732745880149</v>
      </c>
      <c r="AF230" s="42">
        <v>31.67767485467645</v>
      </c>
      <c r="AG230">
        <v>5050</v>
      </c>
      <c r="AH230" s="64">
        <f t="shared" si="72"/>
        <v>2.6305244603469102</v>
      </c>
      <c r="AJ230" s="41">
        <v>0.85</v>
      </c>
      <c r="AK230">
        <v>368</v>
      </c>
    </row>
    <row r="231" spans="1:37" hidden="1" x14ac:dyDescent="0.3">
      <c r="A231" s="3">
        <f>+'Mono ASIG'!A231</f>
        <v>1381.0953999999999</v>
      </c>
      <c r="B231" s="3">
        <f>+'Mono ASIG'!B231</f>
        <v>1391.6890000000001</v>
      </c>
      <c r="C231" s="1">
        <f>+'Mono ASIG'!C231</f>
        <v>2026</v>
      </c>
      <c r="D231" s="1">
        <f t="shared" si="73"/>
        <v>4</v>
      </c>
      <c r="E231" s="1">
        <v>6</v>
      </c>
      <c r="F231" s="1" t="str">
        <f>+'Mono ASIG'!F231</f>
        <v>sáb</v>
      </c>
      <c r="G231" s="56">
        <f>+'Mono ASIG'!G231</f>
        <v>46137</v>
      </c>
      <c r="H231" s="17">
        <f t="shared" si="74"/>
        <v>55.908277861652905</v>
      </c>
      <c r="I231" s="17">
        <f t="shared" si="75"/>
        <v>36.975686424506293</v>
      </c>
      <c r="J231" s="17">
        <v>21.999999999999972</v>
      </c>
      <c r="K231" s="17">
        <v>21.999999999999972</v>
      </c>
      <c r="L231" s="17">
        <v>32</v>
      </c>
      <c r="M231" s="44">
        <f>SUMPRODUCT(H231:L231,'Fisico SPOT MAT'!H231:L231)*24</f>
        <v>7734315.3317882968</v>
      </c>
      <c r="N231" s="19">
        <f>+'Fisico SPOT MAT'!AH231</f>
        <v>16.243503925052103</v>
      </c>
      <c r="O231" s="19">
        <f t="shared" si="65"/>
        <v>13.722826086956522</v>
      </c>
      <c r="P231" s="19">
        <v>6</v>
      </c>
      <c r="Q231" s="19">
        <v>6</v>
      </c>
      <c r="R231" s="19">
        <v>0</v>
      </c>
      <c r="S231" s="44">
        <f>SUMPRODUCT(N231:R231,'Fisico SPOT MAT'!N231:R231)*E231</f>
        <v>1353733.9572038054</v>
      </c>
      <c r="T231" s="17">
        <v>50</v>
      </c>
      <c r="U231" s="17">
        <v>18</v>
      </c>
      <c r="V231" s="17">
        <v>50</v>
      </c>
      <c r="W231" s="17">
        <v>60</v>
      </c>
      <c r="X231" s="28">
        <f>SUMPRODUCT(T231:W231,'Fisico SPOT MAT'!T231:W231)*24</f>
        <v>2047588.3520000016</v>
      </c>
      <c r="Y231" s="19">
        <v>0</v>
      </c>
      <c r="Z231" s="19">
        <v>5</v>
      </c>
      <c r="AA231" s="19">
        <v>0</v>
      </c>
      <c r="AB231" s="28">
        <f>SUMPRODUCT(Y231:AA231,'Fisico SPOT MAT'!Y231:AA231)*E231</f>
        <v>15450</v>
      </c>
      <c r="AC231" s="122">
        <f>(T231*'Fisico SPOT MAT'!T231+'Mono SPOT MAT'!V231*'Fisico SPOT MAT'!V231+'Mono SPOT MAT'!W231*'Fisico SPOT MAT'!W231)/'Fisico SPOT MAT'!AC231</f>
        <v>58.878292296070775</v>
      </c>
      <c r="AD231" s="85"/>
      <c r="AE231" s="41">
        <v>52.019464039019113</v>
      </c>
      <c r="AF231" s="42">
        <v>33.0868726018725</v>
      </c>
      <c r="AG231">
        <v>5050</v>
      </c>
      <c r="AH231" s="64">
        <f t="shared" si="72"/>
        <v>3.0388138226337902</v>
      </c>
      <c r="AJ231" s="41">
        <v>0.85</v>
      </c>
      <c r="AK231">
        <v>368</v>
      </c>
    </row>
    <row r="232" spans="1:37" hidden="1" x14ac:dyDescent="0.3">
      <c r="A232" s="3">
        <f>+'Mono ASIG'!A232</f>
        <v>1381.0953999999999</v>
      </c>
      <c r="B232" s="3">
        <f>+'Mono ASIG'!B232</f>
        <v>1391.6890000000001</v>
      </c>
      <c r="C232" s="1">
        <f>+'Mono ASIG'!C232</f>
        <v>2026</v>
      </c>
      <c r="D232" s="1">
        <f t="shared" ref="D232:D235" si="76">MONTH(G232)</f>
        <v>4</v>
      </c>
      <c r="E232" s="1">
        <v>4</v>
      </c>
      <c r="F232" s="1" t="str">
        <f>+'Mono ASIG'!F232</f>
        <v>dom</v>
      </c>
      <c r="G232" s="56">
        <f>+'Mono ASIG'!G232</f>
        <v>46138</v>
      </c>
      <c r="H232" s="17">
        <f t="shared" ref="H232:H235" si="77">+AE232+AH232+AI232+AJ232</f>
        <v>56.455808464199706</v>
      </c>
      <c r="I232" s="17">
        <f t="shared" ref="I232:I235" si="78">+AF232+AH232+AI232+AJ232</f>
        <v>36.590845119719489</v>
      </c>
      <c r="J232" s="17">
        <v>21.999999999999972</v>
      </c>
      <c r="K232" s="17">
        <v>21.999999999999972</v>
      </c>
      <c r="L232" s="17">
        <v>32</v>
      </c>
      <c r="M232" s="44">
        <f>SUMPRODUCT(H232:L232,'Fisico SPOT MAT'!H232:L232)*24</f>
        <v>6292277.8867258849</v>
      </c>
      <c r="N232" s="19">
        <f>+'Fisico SPOT MAT'!AH232</f>
        <v>16.256528327772351</v>
      </c>
      <c r="O232" s="19">
        <f t="shared" si="65"/>
        <v>13.722826086956522</v>
      </c>
      <c r="P232" s="19">
        <v>6</v>
      </c>
      <c r="Q232" s="19">
        <v>6</v>
      </c>
      <c r="R232" s="19">
        <v>0</v>
      </c>
      <c r="S232" s="44">
        <f>SUMPRODUCT(N232:R232,'Fisico SPOT MAT'!N232:R232)*E232</f>
        <v>913008.83002355089</v>
      </c>
      <c r="T232" s="17">
        <v>50</v>
      </c>
      <c r="U232" s="17">
        <v>18</v>
      </c>
      <c r="V232" s="17">
        <v>50</v>
      </c>
      <c r="W232" s="17">
        <v>60</v>
      </c>
      <c r="X232" s="28">
        <f>SUMPRODUCT(T232:W232,'Fisico SPOT MAT'!T232:W232)*24</f>
        <v>2920769.3919999991</v>
      </c>
      <c r="Y232" s="19">
        <v>0</v>
      </c>
      <c r="Z232" s="19">
        <v>5</v>
      </c>
      <c r="AA232" s="19">
        <v>0</v>
      </c>
      <c r="AB232" s="28">
        <f>SUMPRODUCT(Y232:AA232,'Fisico SPOT MAT'!Y232:AA232)*E232</f>
        <v>10300</v>
      </c>
      <c r="AC232" s="122">
        <f>(T232*'Fisico SPOT MAT'!T232+'Mono SPOT MAT'!V232*'Fisico SPOT MAT'!V232+'Mono SPOT MAT'!W232*'Fisico SPOT MAT'!W232)/'Fisico SPOT MAT'!AC232</f>
        <v>59.287765796270634</v>
      </c>
      <c r="AD232" s="85"/>
      <c r="AE232" s="41">
        <v>52.532373268571149</v>
      </c>
      <c r="AF232" s="42">
        <v>32.667409924090933</v>
      </c>
      <c r="AG232">
        <v>5050</v>
      </c>
      <c r="AH232" s="64">
        <f t="shared" si="72"/>
        <v>3.0734351956285528</v>
      </c>
      <c r="AJ232" s="41">
        <v>0.85</v>
      </c>
      <c r="AK232">
        <v>368</v>
      </c>
    </row>
    <row r="233" spans="1:37" hidden="1" x14ac:dyDescent="0.3">
      <c r="A233" s="3">
        <f>+'Mono ASIG'!A233</f>
        <v>1381.0953999999999</v>
      </c>
      <c r="B233" s="3">
        <f>+'Mono ASIG'!B233</f>
        <v>1391.6890000000001</v>
      </c>
      <c r="C233" s="1">
        <f>+'Mono ASIG'!C233</f>
        <v>2026</v>
      </c>
      <c r="D233" s="1">
        <f t="shared" si="76"/>
        <v>4</v>
      </c>
      <c r="E233" s="1">
        <v>16</v>
      </c>
      <c r="F233" s="1" t="str">
        <f>+'Mono ASIG'!F233</f>
        <v>lun</v>
      </c>
      <c r="G233" s="56">
        <f>+'Mono ASIG'!G233</f>
        <v>46139</v>
      </c>
      <c r="H233" s="17">
        <f t="shared" si="77"/>
        <v>60.497234488905889</v>
      </c>
      <c r="I233" s="17">
        <f t="shared" si="78"/>
        <v>36.872311761203711</v>
      </c>
      <c r="J233" s="17">
        <v>21.999999999999972</v>
      </c>
      <c r="K233" s="17">
        <v>21.999999999999972</v>
      </c>
      <c r="L233" s="17">
        <v>32</v>
      </c>
      <c r="M233" s="44">
        <f>SUMPRODUCT(H233:L233,'Fisico SPOT MAT'!H233:L233)*24</f>
        <v>8979726.1279323809</v>
      </c>
      <c r="N233" s="19">
        <f>+'Fisico SPOT MAT'!AH233</f>
        <v>16.272755168712688</v>
      </c>
      <c r="O233" s="19">
        <f t="shared" si="65"/>
        <v>13.722826086956522</v>
      </c>
      <c r="P233" s="19">
        <v>6</v>
      </c>
      <c r="Q233" s="19">
        <v>6</v>
      </c>
      <c r="R233" s="19">
        <v>0</v>
      </c>
      <c r="S233" s="44">
        <f>SUMPRODUCT(N233:R233,'Fisico SPOT MAT'!N233:R233)*E233</f>
        <v>3696011.4340905803</v>
      </c>
      <c r="T233" s="17">
        <v>50</v>
      </c>
      <c r="U233" s="17">
        <v>18</v>
      </c>
      <c r="V233" s="17">
        <v>50</v>
      </c>
      <c r="W233" s="17">
        <v>60</v>
      </c>
      <c r="X233" s="28">
        <f>SUMPRODUCT(T233:W233,'Fisico SPOT MAT'!T233:W233)*24</f>
        <v>2183197.8679999989</v>
      </c>
      <c r="Y233" s="19">
        <v>0</v>
      </c>
      <c r="Z233" s="19">
        <v>5</v>
      </c>
      <c r="AA233" s="19">
        <v>0</v>
      </c>
      <c r="AB233" s="28">
        <f>SUMPRODUCT(Y233:AA233,'Fisico SPOT MAT'!Y233:AA233)*E233</f>
        <v>41200</v>
      </c>
      <c r="AC233" s="122">
        <f>(T233*'Fisico SPOT MAT'!T233+'Mono SPOT MAT'!V233*'Fisico SPOT MAT'!V233+'Mono SPOT MAT'!W233*'Fisico SPOT MAT'!W233)/'Fisico SPOT MAT'!AC233</f>
        <v>59.016938522604363</v>
      </c>
      <c r="AD233" s="85"/>
      <c r="AE233" s="41">
        <v>56.318252448623781</v>
      </c>
      <c r="AF233" s="42">
        <v>32.693329720921604</v>
      </c>
      <c r="AG233">
        <v>5050</v>
      </c>
      <c r="AH233" s="64">
        <f t="shared" si="72"/>
        <v>3.3289820402821055</v>
      </c>
      <c r="AJ233" s="41">
        <v>0.85</v>
      </c>
      <c r="AK233">
        <v>368</v>
      </c>
    </row>
    <row r="234" spans="1:37" hidden="1" x14ac:dyDescent="0.3">
      <c r="A234" s="3">
        <f>+'Mono ASIG'!A234</f>
        <v>1381.0953999999999</v>
      </c>
      <c r="B234" s="3">
        <f>+'Mono ASIG'!B234</f>
        <v>1391.6890000000001</v>
      </c>
      <c r="C234" s="1">
        <f>+'Mono ASIG'!C234</f>
        <v>2026</v>
      </c>
      <c r="D234" s="1">
        <f t="shared" si="76"/>
        <v>4</v>
      </c>
      <c r="E234" s="1">
        <v>16</v>
      </c>
      <c r="F234" s="1" t="str">
        <f>+'Mono ASIG'!F234</f>
        <v>mar</v>
      </c>
      <c r="G234" s="56">
        <f>+'Mono ASIG'!G234</f>
        <v>46140</v>
      </c>
      <c r="H234" s="17">
        <f t="shared" si="77"/>
        <v>75.456362554189326</v>
      </c>
      <c r="I234" s="17">
        <f t="shared" si="78"/>
        <v>37.95969550014145</v>
      </c>
      <c r="J234" s="17">
        <v>21.999999999999972</v>
      </c>
      <c r="K234" s="17">
        <v>21.999999999999972</v>
      </c>
      <c r="L234" s="17">
        <v>32</v>
      </c>
      <c r="M234" s="44">
        <f>SUMPRODUCT(H234:L234,'Fisico SPOT MAT'!H234:L234)*24</f>
        <v>10055965.219315806</v>
      </c>
      <c r="N234" s="19">
        <f>+'Fisico SPOT MAT'!AH234</f>
        <v>16.258818910919441</v>
      </c>
      <c r="O234" s="19">
        <f t="shared" si="65"/>
        <v>13.722826086956522</v>
      </c>
      <c r="P234" s="19">
        <v>6</v>
      </c>
      <c r="Q234" s="19">
        <v>6</v>
      </c>
      <c r="R234" s="19">
        <v>0</v>
      </c>
      <c r="S234" s="44">
        <f>SUMPRODUCT(N234:R234,'Fisico SPOT MAT'!N234:R234)*E234</f>
        <v>3668473.217525363</v>
      </c>
      <c r="T234" s="17">
        <v>50</v>
      </c>
      <c r="U234" s="17">
        <v>18</v>
      </c>
      <c r="V234" s="17">
        <v>50</v>
      </c>
      <c r="W234" s="17">
        <v>60</v>
      </c>
      <c r="X234" s="28">
        <f>SUMPRODUCT(T234:W234,'Fisico SPOT MAT'!T234:W234)*24</f>
        <v>2556835.7199999974</v>
      </c>
      <c r="Y234" s="19">
        <v>0</v>
      </c>
      <c r="Z234" s="19">
        <v>5</v>
      </c>
      <c r="AA234" s="19">
        <v>0</v>
      </c>
      <c r="AB234" s="28">
        <f>SUMPRODUCT(Y234:AA234,'Fisico SPOT MAT'!Y234:AA234)*E234</f>
        <v>41200</v>
      </c>
      <c r="AC234" s="122">
        <f>(T234*'Fisico SPOT MAT'!T234+'Mono SPOT MAT'!V234*'Fisico SPOT MAT'!V234+'Mono SPOT MAT'!W234*'Fisico SPOT MAT'!W234)/'Fisico SPOT MAT'!AC234</f>
        <v>59.185673834240738</v>
      </c>
      <c r="AD234" s="85"/>
      <c r="AE234" s="41">
        <v>70.331487170200774</v>
      </c>
      <c r="AF234" s="42">
        <v>32.834820116152898</v>
      </c>
      <c r="AG234">
        <v>5050</v>
      </c>
      <c r="AH234" s="64">
        <f t="shared" si="72"/>
        <v>4.2748753839885527</v>
      </c>
      <c r="AJ234" s="41">
        <v>0.85</v>
      </c>
      <c r="AK234">
        <v>368</v>
      </c>
    </row>
    <row r="235" spans="1:37" hidden="1" x14ac:dyDescent="0.3">
      <c r="A235" s="3">
        <f>+'Mono ASIG'!A235</f>
        <v>1381.0953999999999</v>
      </c>
      <c r="B235" s="3">
        <f>+'Mono ASIG'!B235</f>
        <v>1391.6890000000001</v>
      </c>
      <c r="C235" s="1">
        <f>+'Mono ASIG'!C235</f>
        <v>2026</v>
      </c>
      <c r="D235" s="1">
        <f t="shared" si="76"/>
        <v>4</v>
      </c>
      <c r="E235" s="1">
        <v>16</v>
      </c>
      <c r="F235" s="1" t="str">
        <f>+'Mono ASIG'!F235</f>
        <v>mié</v>
      </c>
      <c r="G235" s="56">
        <f>+'Mono ASIG'!G235</f>
        <v>46141</v>
      </c>
      <c r="H235" s="17">
        <f t="shared" si="77"/>
        <v>66.411201163136056</v>
      </c>
      <c r="I235" s="17">
        <f t="shared" si="78"/>
        <v>37.712883974061583</v>
      </c>
      <c r="J235" s="17">
        <v>21.999999999999972</v>
      </c>
      <c r="K235" s="17">
        <v>21.999999999999972</v>
      </c>
      <c r="L235" s="17">
        <v>32</v>
      </c>
      <c r="M235" s="44">
        <f>SUMPRODUCT(H235:L235,'Fisico SPOT MAT'!H235:L235)*24</f>
        <v>8365165.5320307277</v>
      </c>
      <c r="N235" s="19">
        <f>+'Fisico SPOT MAT'!AH235</f>
        <v>16.27513485041656</v>
      </c>
      <c r="O235" s="19">
        <f t="shared" si="65"/>
        <v>13.722826086956522</v>
      </c>
      <c r="P235" s="19">
        <v>6</v>
      </c>
      <c r="Q235" s="19">
        <v>6</v>
      </c>
      <c r="R235" s="19">
        <v>0</v>
      </c>
      <c r="S235" s="44">
        <f>SUMPRODUCT(N235:R235,'Fisico SPOT MAT'!N235:R235)*E235</f>
        <v>3701383.1431956524</v>
      </c>
      <c r="T235" s="17">
        <v>50</v>
      </c>
      <c r="U235" s="17">
        <v>18</v>
      </c>
      <c r="V235" s="17">
        <v>50</v>
      </c>
      <c r="W235" s="17">
        <v>60</v>
      </c>
      <c r="X235" s="28">
        <f>SUMPRODUCT(T235:W235,'Fisico SPOT MAT'!T235:W235)*24</f>
        <v>2879960.5819999981</v>
      </c>
      <c r="Y235" s="19">
        <v>0</v>
      </c>
      <c r="Z235" s="19">
        <v>5</v>
      </c>
      <c r="AA235" s="19">
        <v>0</v>
      </c>
      <c r="AB235" s="28">
        <f>SUMPRODUCT(Y235:AA235,'Fisico SPOT MAT'!Y235:AA235)*E235</f>
        <v>41200</v>
      </c>
      <c r="AC235" s="122">
        <f>(T235*'Fisico SPOT MAT'!T235+'Mono SPOT MAT'!V235*'Fisico SPOT MAT'!V235+'Mono SPOT MAT'!W235*'Fisico SPOT MAT'!W235)/'Fisico SPOT MAT'!AC235</f>
        <v>59.273024470088721</v>
      </c>
      <c r="AD235" s="85"/>
      <c r="AE235" s="41">
        <v>61.858268068511535</v>
      </c>
      <c r="AF235" s="42">
        <v>33.159950879437055</v>
      </c>
      <c r="AG235">
        <v>5050</v>
      </c>
      <c r="AH235" s="64">
        <f t="shared" si="72"/>
        <v>3.7029330946245289</v>
      </c>
      <c r="AJ235" s="41">
        <v>0.85</v>
      </c>
      <c r="AK235">
        <v>368</v>
      </c>
    </row>
    <row r="236" spans="1:37" hidden="1" x14ac:dyDescent="0.3">
      <c r="A236" s="3">
        <f>+'Mono ASIG'!A236</f>
        <v>1381.0953999999999</v>
      </c>
      <c r="B236" s="3">
        <f>+'Mono ASIG'!B236</f>
        <v>1391.6890000000001</v>
      </c>
      <c r="C236" s="1">
        <f>+'Mono ASIG'!C236</f>
        <v>2026</v>
      </c>
      <c r="D236" s="1">
        <f t="shared" ref="D236:D247" si="79">MONTH(G236)</f>
        <v>4</v>
      </c>
      <c r="E236" s="1">
        <v>16</v>
      </c>
      <c r="F236" s="1" t="str">
        <f>+'Mono ASIG'!F236</f>
        <v>jue</v>
      </c>
      <c r="G236" s="56">
        <f>+'Mono ASIG'!G236</f>
        <v>46142</v>
      </c>
      <c r="H236" s="17">
        <f t="shared" ref="H236:H247" si="80">+AE236+AH236+AI236+AJ236</f>
        <v>69.512762359143409</v>
      </c>
      <c r="I236" s="17">
        <f t="shared" ref="I236:I247" si="81">+AF236+AH236+AI236+AJ236</f>
        <v>35.894707331125218</v>
      </c>
      <c r="J236" s="17">
        <v>21.999999999999972</v>
      </c>
      <c r="K236" s="17">
        <v>21.999999999999972</v>
      </c>
      <c r="L236" s="17">
        <v>32</v>
      </c>
      <c r="M236" s="44">
        <f>SUMPRODUCT(H236:L236,'Fisico SPOT MAT'!H236:L236)*24</f>
        <v>9340930.6945446413</v>
      </c>
      <c r="N236" s="19">
        <f>+'Fisico SPOT MAT'!AH236</f>
        <v>16.287359638112751</v>
      </c>
      <c r="O236" s="19">
        <f t="shared" si="65"/>
        <v>13.722826086956522</v>
      </c>
      <c r="P236" s="19">
        <v>6</v>
      </c>
      <c r="Q236" s="19">
        <v>6</v>
      </c>
      <c r="R236" s="19">
        <v>0</v>
      </c>
      <c r="S236" s="44">
        <f>SUMPRODUCT(N236:R236,'Fisico SPOT MAT'!N236:R236)*E236</f>
        <v>3726947.6523260879</v>
      </c>
      <c r="T236" s="17">
        <v>50</v>
      </c>
      <c r="U236" s="17">
        <v>18</v>
      </c>
      <c r="V236" s="17">
        <v>50</v>
      </c>
      <c r="W236" s="17">
        <v>60</v>
      </c>
      <c r="X236" s="28">
        <f>SUMPRODUCT(T236:W236,'Fisico SPOT MAT'!T236:W236)*24</f>
        <v>2779032.1100000003</v>
      </c>
      <c r="Y236" s="19">
        <v>0</v>
      </c>
      <c r="Z236" s="19">
        <v>5</v>
      </c>
      <c r="AA236" s="19">
        <v>0</v>
      </c>
      <c r="AB236" s="28">
        <f>SUMPRODUCT(Y236:AA236,'Fisico SPOT MAT'!Y236:AA236)*E236</f>
        <v>41200</v>
      </c>
      <c r="AC236" s="122">
        <f>(T236*'Fisico SPOT MAT'!T236+'Mono SPOT MAT'!V236*'Fisico SPOT MAT'!V236+'Mono SPOT MAT'!W236*'Fisico SPOT MAT'!W236)/'Fisico SPOT MAT'!AC236</f>
        <v>59.381704053922888</v>
      </c>
      <c r="AD236" s="85"/>
      <c r="AE236" s="41">
        <v>64.763711811843947</v>
      </c>
      <c r="AF236" s="42">
        <v>31.14565678382575</v>
      </c>
      <c r="AG236">
        <v>5050</v>
      </c>
      <c r="AH236" s="64">
        <f t="shared" si="72"/>
        <v>3.8990505472994665</v>
      </c>
      <c r="AJ236" s="41">
        <v>0.85</v>
      </c>
      <c r="AK236">
        <v>368</v>
      </c>
    </row>
    <row r="237" spans="1:37" hidden="1" x14ac:dyDescent="0.3">
      <c r="A237" s="3">
        <f>+'Mono ASIG'!A237</f>
        <v>1410.2904000000001</v>
      </c>
      <c r="B237" s="3">
        <f>+'Mono ASIG'!B237</f>
        <v>1391.6890000000001</v>
      </c>
      <c r="C237" s="1">
        <f>+'Mono ASIG'!C237</f>
        <v>2026</v>
      </c>
      <c r="D237" s="1">
        <f t="shared" si="79"/>
        <v>5</v>
      </c>
      <c r="E237" s="1">
        <f>+'Fisico SPOT MAT'!E237</f>
        <v>4</v>
      </c>
      <c r="F237" s="1" t="str">
        <f>+'Mono ASIG'!F237</f>
        <v>vie</v>
      </c>
      <c r="G237" s="56">
        <f>+'Mono ASIG'!G237</f>
        <v>46143</v>
      </c>
      <c r="H237" s="17">
        <f t="shared" si="80"/>
        <v>78.785654079155748</v>
      </c>
      <c r="I237" s="17">
        <f t="shared" si="81"/>
        <v>49.571890018431333</v>
      </c>
      <c r="J237" s="17">
        <v>22.51267725500653</v>
      </c>
      <c r="K237" s="17">
        <v>22.51267725500653</v>
      </c>
      <c r="L237" s="17">
        <v>32</v>
      </c>
      <c r="M237" s="44">
        <f>SUMPRODUCT(H237:L237,'Fisico SPOT MAT'!H237:L237)*24</f>
        <v>7254375.2030445272</v>
      </c>
      <c r="N237" s="19">
        <f>+'Fisico SPOT MAT'!AH237</f>
        <v>16.197593850373796</v>
      </c>
      <c r="O237" s="19">
        <f t="shared" si="65"/>
        <v>13.950276243093922</v>
      </c>
      <c r="P237" s="19">
        <v>6</v>
      </c>
      <c r="Q237" s="19">
        <v>6</v>
      </c>
      <c r="R237" s="19">
        <v>0</v>
      </c>
      <c r="S237" s="44">
        <f>SUMPRODUCT(N237:R237,'Fisico SPOT MAT'!N237:R237)*E237</f>
        <v>887398.57466850826</v>
      </c>
      <c r="T237" s="17">
        <v>70</v>
      </c>
      <c r="U237" s="17">
        <v>18</v>
      </c>
      <c r="V237" s="17">
        <v>50</v>
      </c>
      <c r="W237" s="17">
        <v>60</v>
      </c>
      <c r="X237" s="28">
        <f>SUMPRODUCT(T237:W237,'Fisico SPOT MAT'!T237:W237)*24</f>
        <v>4035623.2199999988</v>
      </c>
      <c r="Y237" s="19">
        <v>0</v>
      </c>
      <c r="Z237" s="19">
        <v>5</v>
      </c>
      <c r="AA237" s="19">
        <v>0</v>
      </c>
      <c r="AB237" s="28">
        <f>SUMPRODUCT(Y237:AA237,'Fisico SPOT MAT'!Y237:AA237)*E237</f>
        <v>10300</v>
      </c>
      <c r="AC237" s="122">
        <f>(T237*'Fisico SPOT MAT'!T237+'Mono SPOT MAT'!V237*'Fisico SPOT MAT'!V237+'Mono SPOT MAT'!W237*'Fisico SPOT MAT'!W237)/'Fisico SPOT MAT'!AC237</f>
        <v>62.251748865419508</v>
      </c>
      <c r="AD237" s="85"/>
      <c r="AE237" s="41">
        <v>73.450261432464401</v>
      </c>
      <c r="AF237" s="42">
        <v>44.236497371739986</v>
      </c>
      <c r="AG237">
        <v>5050</v>
      </c>
      <c r="AH237" s="64">
        <f t="shared" si="72"/>
        <v>4.4853926466913476</v>
      </c>
      <c r="AJ237" s="41">
        <v>0.85</v>
      </c>
      <c r="AK237">
        <v>362</v>
      </c>
    </row>
    <row r="238" spans="1:37" hidden="1" x14ac:dyDescent="0.3">
      <c r="A238" s="3">
        <f>+'Mono ASIG'!A238</f>
        <v>1410.2904000000001</v>
      </c>
      <c r="B238" s="3">
        <f>+'Mono ASIG'!B238</f>
        <v>1391.6890000000001</v>
      </c>
      <c r="C238" s="1">
        <f>+'Mono ASIG'!C238</f>
        <v>2026</v>
      </c>
      <c r="D238" s="1">
        <f t="shared" si="79"/>
        <v>5</v>
      </c>
      <c r="E238" s="1">
        <f>+'Fisico SPOT MAT'!E238</f>
        <v>6</v>
      </c>
      <c r="F238" s="1" t="str">
        <f>+'Mono ASIG'!F238</f>
        <v>sáb</v>
      </c>
      <c r="G238" s="56">
        <f>+'Mono ASIG'!G238</f>
        <v>46144</v>
      </c>
      <c r="H238" s="17">
        <f t="shared" si="80"/>
        <v>73.755417558372315</v>
      </c>
      <c r="I238" s="17">
        <f t="shared" si="81"/>
        <v>49.660027962132951</v>
      </c>
      <c r="J238" s="17">
        <v>22.315440500223932</v>
      </c>
      <c r="K238" s="17">
        <v>22.315440500223932</v>
      </c>
      <c r="L238" s="17">
        <v>32</v>
      </c>
      <c r="M238" s="44">
        <f>SUMPRODUCT(H238:L238,'Fisico SPOT MAT'!H238:L238)*24</f>
        <v>8165337.0028206361</v>
      </c>
      <c r="N238" s="19">
        <f>+'Fisico SPOT MAT'!AH238</f>
        <v>16.207514187660056</v>
      </c>
      <c r="O238" s="19">
        <f t="shared" si="65"/>
        <v>13.950276243093922</v>
      </c>
      <c r="P238" s="19">
        <v>6</v>
      </c>
      <c r="Q238" s="19">
        <v>6</v>
      </c>
      <c r="R238" s="19">
        <v>0</v>
      </c>
      <c r="S238" s="44">
        <f>SUMPRODUCT(N238:R238,'Fisico SPOT MAT'!N238:R238)*E238</f>
        <v>1327887.1586187845</v>
      </c>
      <c r="T238" s="17">
        <v>70</v>
      </c>
      <c r="U238" s="17">
        <v>18</v>
      </c>
      <c r="V238" s="17">
        <v>50</v>
      </c>
      <c r="W238" s="17">
        <v>60</v>
      </c>
      <c r="X238" s="28">
        <f>SUMPRODUCT(T238:W238,'Fisico SPOT MAT'!T238:W238)*24</f>
        <v>3563456.7400000021</v>
      </c>
      <c r="Y238" s="19">
        <v>0</v>
      </c>
      <c r="Z238" s="19">
        <v>5</v>
      </c>
      <c r="AA238" s="19">
        <v>0</v>
      </c>
      <c r="AB238" s="28">
        <f>SUMPRODUCT(Y238:AA238,'Fisico SPOT MAT'!Y238:AA238)*E238</f>
        <v>15450</v>
      </c>
      <c r="AC238" s="122">
        <f>(T238*'Fisico SPOT MAT'!T238+'Mono SPOT MAT'!V238*'Fisico SPOT MAT'!V238+'Mono SPOT MAT'!W238*'Fisico SPOT MAT'!W238)/'Fisico SPOT MAT'!AC238</f>
        <v>62.510194075728343</v>
      </c>
      <c r="AD238" s="85"/>
      <c r="AE238" s="41">
        <v>68.738096073416699</v>
      </c>
      <c r="AF238" s="42">
        <v>44.64270647717732</v>
      </c>
      <c r="AG238">
        <v>5050</v>
      </c>
      <c r="AH238" s="64">
        <f t="shared" si="72"/>
        <v>4.167321484955627</v>
      </c>
      <c r="AJ238" s="41">
        <v>0.85</v>
      </c>
      <c r="AK238">
        <v>362</v>
      </c>
    </row>
    <row r="239" spans="1:37" hidden="1" x14ac:dyDescent="0.3">
      <c r="A239" s="3">
        <f>+'Mono ASIG'!A239</f>
        <v>1410.2904000000001</v>
      </c>
      <c r="B239" s="3">
        <f>+'Mono ASIG'!B239</f>
        <v>1391.6890000000001</v>
      </c>
      <c r="C239" s="1">
        <f>+'Mono ASIG'!C239</f>
        <v>2026</v>
      </c>
      <c r="D239" s="1">
        <f t="shared" si="79"/>
        <v>5</v>
      </c>
      <c r="E239" s="1">
        <f>+'Fisico SPOT MAT'!E239</f>
        <v>4</v>
      </c>
      <c r="F239" s="1" t="str">
        <f>+'Mono ASIG'!F239</f>
        <v>dom</v>
      </c>
      <c r="G239" s="56">
        <f>+'Mono ASIG'!G239</f>
        <v>46145</v>
      </c>
      <c r="H239" s="17">
        <f t="shared" si="80"/>
        <v>67.607698374746491</v>
      </c>
      <c r="I239" s="17">
        <f t="shared" si="81"/>
        <v>47.882683677733731</v>
      </c>
      <c r="J239" s="17">
        <v>22.101928484584022</v>
      </c>
      <c r="K239" s="17">
        <v>22.101928484584022</v>
      </c>
      <c r="L239" s="17">
        <v>32</v>
      </c>
      <c r="M239" s="44">
        <f>SUMPRODUCT(H239:L239,'Fisico SPOT MAT'!H239:L239)*24</f>
        <v>7728570.0058791256</v>
      </c>
      <c r="N239" s="19">
        <f>+'Fisico SPOT MAT'!AH239</f>
        <v>16.236455585981005</v>
      </c>
      <c r="O239" s="19">
        <f t="shared" si="65"/>
        <v>13.950276243093922</v>
      </c>
      <c r="P239" s="19">
        <v>6</v>
      </c>
      <c r="Q239" s="19">
        <v>6</v>
      </c>
      <c r="R239" s="19">
        <v>0</v>
      </c>
      <c r="S239" s="44">
        <f>SUMPRODUCT(N239:R239,'Fisico SPOT MAT'!N239:R239)*E239</f>
        <v>906326.66466850857</v>
      </c>
      <c r="T239" s="17">
        <v>70</v>
      </c>
      <c r="U239" s="17">
        <v>18</v>
      </c>
      <c r="V239" s="17">
        <v>50</v>
      </c>
      <c r="W239" s="17">
        <v>60</v>
      </c>
      <c r="X239" s="28">
        <f>SUMPRODUCT(T239:W239,'Fisico SPOT MAT'!T239:W239)*24</f>
        <v>4085461.2900000005</v>
      </c>
      <c r="Y239" s="19">
        <v>0</v>
      </c>
      <c r="Z239" s="19">
        <v>5</v>
      </c>
      <c r="AA239" s="19">
        <v>0</v>
      </c>
      <c r="AB239" s="28">
        <f>SUMPRODUCT(Y239:AA239,'Fisico SPOT MAT'!Y239:AA239)*E239</f>
        <v>10300</v>
      </c>
      <c r="AC239" s="122">
        <f>(T239*'Fisico SPOT MAT'!T239+'Mono SPOT MAT'!V239*'Fisico SPOT MAT'!V239+'Mono SPOT MAT'!W239*'Fisico SPOT MAT'!W239)/'Fisico SPOT MAT'!AC239</f>
        <v>62.125274008053744</v>
      </c>
      <c r="AD239" s="85"/>
      <c r="AE239" s="41">
        <v>62.979108547771887</v>
      </c>
      <c r="AF239" s="42">
        <v>43.254093850759126</v>
      </c>
      <c r="AG239">
        <v>5050</v>
      </c>
      <c r="AH239" s="64">
        <f t="shared" si="72"/>
        <v>3.7785898269746028</v>
      </c>
      <c r="AJ239" s="41">
        <v>0.85</v>
      </c>
      <c r="AK239">
        <v>362</v>
      </c>
    </row>
    <row r="240" spans="1:37" hidden="1" x14ac:dyDescent="0.3">
      <c r="A240" s="3">
        <f>+'Mono ASIG'!A240</f>
        <v>1410.2904000000001</v>
      </c>
      <c r="B240" s="3">
        <f>+'Mono ASIG'!B240</f>
        <v>1412.9870000000001</v>
      </c>
      <c r="C240" s="1">
        <f>+'Mono ASIG'!C240</f>
        <v>2026</v>
      </c>
      <c r="D240" s="1">
        <f t="shared" si="79"/>
        <v>5</v>
      </c>
      <c r="E240" s="1">
        <f>+'Fisico SPOT MAT'!E240</f>
        <v>16</v>
      </c>
      <c r="F240" s="1" t="str">
        <f>+'Mono ASIG'!F240</f>
        <v>lun</v>
      </c>
      <c r="G240" s="56">
        <f>+'Mono ASIG'!G240</f>
        <v>46146</v>
      </c>
      <c r="H240" s="17">
        <f t="shared" si="80"/>
        <v>73.003427748973991</v>
      </c>
      <c r="I240" s="17">
        <f t="shared" si="81"/>
        <v>49.218911838342649</v>
      </c>
      <c r="J240" s="17">
        <v>22.000000000000007</v>
      </c>
      <c r="K240" s="17">
        <v>22.000000000000007</v>
      </c>
      <c r="L240" s="17">
        <v>32</v>
      </c>
      <c r="M240" s="44">
        <f>SUMPRODUCT(H240:L240,'Fisico SPOT MAT'!H240:L240)*24</f>
        <v>8786865.368492756</v>
      </c>
      <c r="N240" s="19">
        <f>+'Fisico SPOT MAT'!AH240</f>
        <v>16.243462293041382</v>
      </c>
      <c r="O240" s="19">
        <f t="shared" si="65"/>
        <v>13.950276243093922</v>
      </c>
      <c r="P240" s="19">
        <v>6</v>
      </c>
      <c r="Q240" s="19">
        <v>6</v>
      </c>
      <c r="R240" s="19">
        <v>0</v>
      </c>
      <c r="S240" s="44">
        <f>SUMPRODUCT(N240:R240,'Fisico SPOT MAT'!N240:R240)*E240</f>
        <v>3623503.48121547</v>
      </c>
      <c r="T240" s="17">
        <v>70</v>
      </c>
      <c r="U240" s="17">
        <v>18</v>
      </c>
      <c r="V240" s="17">
        <v>50</v>
      </c>
      <c r="W240" s="17">
        <v>60</v>
      </c>
      <c r="X240" s="28">
        <f>SUMPRODUCT(T240:W240,'Fisico SPOT MAT'!T240:W240)*24</f>
        <v>3642899.9200000027</v>
      </c>
      <c r="Y240" s="19">
        <v>0</v>
      </c>
      <c r="Z240" s="19">
        <v>5</v>
      </c>
      <c r="AA240" s="19">
        <v>0</v>
      </c>
      <c r="AB240" s="28">
        <f>SUMPRODUCT(Y240:AA240,'Fisico SPOT MAT'!Y240:AA240)*E240</f>
        <v>41200</v>
      </c>
      <c r="AC240" s="122">
        <f>(T240*'Fisico SPOT MAT'!T240+'Mono SPOT MAT'!V240*'Fisico SPOT MAT'!V240+'Mono SPOT MAT'!W240*'Fisico SPOT MAT'!W240)/'Fisico SPOT MAT'!AC240</f>
        <v>62.481133272221122</v>
      </c>
      <c r="AD240" s="85"/>
      <c r="AE240" s="41">
        <v>68.033655970935826</v>
      </c>
      <c r="AF240" s="42">
        <v>44.249140060304477</v>
      </c>
      <c r="AG240">
        <v>5050</v>
      </c>
      <c r="AH240" s="64">
        <f t="shared" si="72"/>
        <v>4.1197717780381682</v>
      </c>
      <c r="AJ240" s="41">
        <v>0.85</v>
      </c>
      <c r="AK240">
        <v>362</v>
      </c>
    </row>
    <row r="241" spans="1:37" hidden="1" x14ac:dyDescent="0.3">
      <c r="A241" s="3">
        <f>+'Mono ASIG'!A241</f>
        <v>1410.2904000000001</v>
      </c>
      <c r="B241" s="3">
        <f>+'Mono ASIG'!B241</f>
        <v>1412.9870000000001</v>
      </c>
      <c r="C241" s="1">
        <f>+'Mono ASIG'!C241</f>
        <v>2026</v>
      </c>
      <c r="D241" s="1">
        <f t="shared" si="79"/>
        <v>5</v>
      </c>
      <c r="E241" s="1">
        <f>+'Fisico SPOT MAT'!E241</f>
        <v>16</v>
      </c>
      <c r="F241" s="1" t="str">
        <f>+'Mono ASIG'!F241</f>
        <v>mar</v>
      </c>
      <c r="G241" s="56">
        <f>+'Mono ASIG'!G241</f>
        <v>46147</v>
      </c>
      <c r="H241" s="17">
        <f t="shared" si="80"/>
        <v>81.015978474377533</v>
      </c>
      <c r="I241" s="17">
        <f t="shared" si="81"/>
        <v>49.66719144316783</v>
      </c>
      <c r="J241" s="17">
        <v>21.999999999999996</v>
      </c>
      <c r="K241" s="17">
        <v>21.999999999999996</v>
      </c>
      <c r="L241" s="17">
        <v>32</v>
      </c>
      <c r="M241" s="44">
        <f>SUMPRODUCT(H241:L241,'Fisico SPOT MAT'!H241:L241)*24</f>
        <v>9812223.5023472644</v>
      </c>
      <c r="N241" s="19">
        <f>+'Fisico SPOT MAT'!AH241</f>
        <v>16.248926276654853</v>
      </c>
      <c r="O241" s="19">
        <f t="shared" si="65"/>
        <v>13.950276243093922</v>
      </c>
      <c r="P241" s="19">
        <v>6</v>
      </c>
      <c r="Q241" s="19">
        <v>6</v>
      </c>
      <c r="R241" s="19">
        <v>0</v>
      </c>
      <c r="S241" s="44">
        <f>SUMPRODUCT(N241:R241,'Fisico SPOT MAT'!N241:R241)*E241</f>
        <v>3632119.1009208099</v>
      </c>
      <c r="T241" s="17">
        <v>70</v>
      </c>
      <c r="U241" s="17">
        <v>18</v>
      </c>
      <c r="V241" s="17">
        <v>50</v>
      </c>
      <c r="W241" s="17">
        <v>60</v>
      </c>
      <c r="X241" s="28">
        <f>SUMPRODUCT(T241:W241,'Fisico SPOT MAT'!T241:W241)*24</f>
        <v>2791351.8299999982</v>
      </c>
      <c r="Y241" s="19">
        <v>0</v>
      </c>
      <c r="Z241" s="19">
        <v>5</v>
      </c>
      <c r="AA241" s="19">
        <v>0</v>
      </c>
      <c r="AB241" s="28">
        <f>SUMPRODUCT(Y241:AA241,'Fisico SPOT MAT'!Y241:AA241)*E241</f>
        <v>41200</v>
      </c>
      <c r="AC241" s="122">
        <f>(T241*'Fisico SPOT MAT'!T241+'Mono SPOT MAT'!V241*'Fisico SPOT MAT'!V241+'Mono SPOT MAT'!W241*'Fisico SPOT MAT'!W241)/'Fisico SPOT MAT'!AC241</f>
        <v>63.245138324381493</v>
      </c>
      <c r="AD241" s="85"/>
      <c r="AE241" s="41">
        <v>75.53955828981502</v>
      </c>
      <c r="AF241" s="42">
        <v>44.190771258605317</v>
      </c>
      <c r="AG241">
        <v>5050</v>
      </c>
      <c r="AH241" s="64">
        <f t="shared" si="72"/>
        <v>4.6264201845625141</v>
      </c>
      <c r="AJ241" s="41">
        <v>0.85</v>
      </c>
      <c r="AK241">
        <v>362</v>
      </c>
    </row>
    <row r="242" spans="1:37" hidden="1" x14ac:dyDescent="0.3">
      <c r="A242" s="3">
        <f>+'Mono ASIG'!A242</f>
        <v>1410.2904000000001</v>
      </c>
      <c r="B242" s="3">
        <f>+'Mono ASIG'!B242</f>
        <v>1412.9870000000001</v>
      </c>
      <c r="C242" s="1">
        <f>+'Mono ASIG'!C242</f>
        <v>2026</v>
      </c>
      <c r="D242" s="1">
        <f t="shared" si="79"/>
        <v>5</v>
      </c>
      <c r="E242" s="1">
        <f>+'Fisico SPOT MAT'!E242</f>
        <v>16</v>
      </c>
      <c r="F242" s="1" t="str">
        <f>+'Mono ASIG'!F242</f>
        <v>mié</v>
      </c>
      <c r="G242" s="56">
        <f>+'Mono ASIG'!G242</f>
        <v>46148</v>
      </c>
      <c r="H242" s="17">
        <f t="shared" si="80"/>
        <v>86.677979843313139</v>
      </c>
      <c r="I242" s="17">
        <f t="shared" si="81"/>
        <v>51.482752785074062</v>
      </c>
      <c r="J242" s="17">
        <v>22.000000000000014</v>
      </c>
      <c r="K242" s="17">
        <v>22.000000000000014</v>
      </c>
      <c r="L242" s="17">
        <v>32</v>
      </c>
      <c r="M242" s="44">
        <f>SUMPRODUCT(H242:L242,'Fisico SPOT MAT'!H242:L242)*24</f>
        <v>10058575.684149094</v>
      </c>
      <c r="N242" s="19">
        <f>+'Fisico SPOT MAT'!AH242</f>
        <v>16.245154074558272</v>
      </c>
      <c r="O242" s="19">
        <f t="shared" si="65"/>
        <v>13.950276243093922</v>
      </c>
      <c r="P242" s="19">
        <v>6</v>
      </c>
      <c r="Q242" s="19">
        <v>6</v>
      </c>
      <c r="R242" s="19">
        <v>0</v>
      </c>
      <c r="S242" s="44">
        <f>SUMPRODUCT(N242:R242,'Fisico SPOT MAT'!N242:R242)*E242</f>
        <v>3618701.6680294657</v>
      </c>
      <c r="T242" s="17">
        <v>70</v>
      </c>
      <c r="U242" s="17">
        <v>18</v>
      </c>
      <c r="V242" s="17">
        <v>50</v>
      </c>
      <c r="W242" s="17">
        <v>60</v>
      </c>
      <c r="X242" s="28">
        <f>SUMPRODUCT(T242:W242,'Fisico SPOT MAT'!T242:W242)*24</f>
        <v>3502991.6899999995</v>
      </c>
      <c r="Y242" s="19">
        <v>0</v>
      </c>
      <c r="Z242" s="19">
        <v>5</v>
      </c>
      <c r="AA242" s="19">
        <v>0</v>
      </c>
      <c r="AB242" s="28">
        <f>SUMPRODUCT(Y242:AA242,'Fisico SPOT MAT'!Y242:AA242)*E242</f>
        <v>41200</v>
      </c>
      <c r="AC242" s="122">
        <f>(T242*'Fisico SPOT MAT'!T242+'Mono SPOT MAT'!V242*'Fisico SPOT MAT'!V242+'Mono SPOT MAT'!W242*'Fisico SPOT MAT'!W242)/'Fisico SPOT MAT'!AC242</f>
        <v>62.580488802511645</v>
      </c>
      <c r="AD242" s="85"/>
      <c r="AE242" s="41">
        <v>80.843540836827302</v>
      </c>
      <c r="AF242" s="42">
        <v>45.648313778588218</v>
      </c>
      <c r="AG242">
        <v>5050</v>
      </c>
      <c r="AH242" s="64">
        <f t="shared" si="72"/>
        <v>4.984439006485843</v>
      </c>
      <c r="AJ242" s="41">
        <v>0.85</v>
      </c>
      <c r="AK242">
        <v>362</v>
      </c>
    </row>
    <row r="243" spans="1:37" hidden="1" x14ac:dyDescent="0.3">
      <c r="A243" s="3">
        <f>+'Mono ASIG'!A243</f>
        <v>1410.2904000000001</v>
      </c>
      <c r="B243" s="3">
        <f>+'Mono ASIG'!B243</f>
        <v>1412.9870000000001</v>
      </c>
      <c r="C243" s="1">
        <f>+'Mono ASIG'!C243</f>
        <v>2026</v>
      </c>
      <c r="D243" s="1">
        <f t="shared" si="79"/>
        <v>5</v>
      </c>
      <c r="E243" s="1">
        <f>+'Fisico SPOT MAT'!E243</f>
        <v>16</v>
      </c>
      <c r="F243" s="1" t="str">
        <f>+'Mono ASIG'!F243</f>
        <v>jue</v>
      </c>
      <c r="G243" s="56">
        <f>+'Mono ASIG'!G243</f>
        <v>46149</v>
      </c>
      <c r="H243" s="17">
        <f t="shared" si="80"/>
        <v>80.203219278649257</v>
      </c>
      <c r="I243" s="17">
        <f t="shared" si="81"/>
        <v>52.14374784589625</v>
      </c>
      <c r="J243" s="17">
        <v>22</v>
      </c>
      <c r="K243" s="17">
        <v>22</v>
      </c>
      <c r="L243" s="17">
        <v>32</v>
      </c>
      <c r="M243" s="44">
        <f>SUMPRODUCT(H243:L243,'Fisico SPOT MAT'!H243:L243)*24</f>
        <v>9184353.1138335615</v>
      </c>
      <c r="N243" s="19">
        <f>+'Fisico SPOT MAT'!AH243</f>
        <v>16.254286889159104</v>
      </c>
      <c r="O243" s="19">
        <f t="shared" si="65"/>
        <v>13.950276243093922</v>
      </c>
      <c r="P243" s="19">
        <v>6</v>
      </c>
      <c r="Q243" s="19">
        <v>6</v>
      </c>
      <c r="R243" s="19">
        <v>0</v>
      </c>
      <c r="S243" s="44">
        <f>SUMPRODUCT(N243:R243,'Fisico SPOT MAT'!N243:R243)*E243</f>
        <v>3635212.7793001849</v>
      </c>
      <c r="T243" s="17">
        <v>70</v>
      </c>
      <c r="U243" s="17">
        <v>18</v>
      </c>
      <c r="V243" s="17">
        <v>50</v>
      </c>
      <c r="W243" s="17">
        <v>60</v>
      </c>
      <c r="X243" s="28">
        <f>SUMPRODUCT(T243:W243,'Fisico SPOT MAT'!T243:W243)*24</f>
        <v>3971231.8699999973</v>
      </c>
      <c r="Y243" s="19">
        <v>0</v>
      </c>
      <c r="Z243" s="19">
        <v>5</v>
      </c>
      <c r="AA243" s="19">
        <v>0</v>
      </c>
      <c r="AB243" s="28">
        <f>SUMPRODUCT(Y243:AA243,'Fisico SPOT MAT'!Y243:AA243)*E243</f>
        <v>41200</v>
      </c>
      <c r="AC243" s="122">
        <f>(T243*'Fisico SPOT MAT'!T243+'Mono SPOT MAT'!V243*'Fisico SPOT MAT'!V243+'Mono SPOT MAT'!W243*'Fisico SPOT MAT'!W243)/'Fisico SPOT MAT'!AC243</f>
        <v>62.177567282335545</v>
      </c>
      <c r="AD243" s="85"/>
      <c r="AE243" s="41">
        <v>74.778191361732326</v>
      </c>
      <c r="AF243" s="42">
        <v>46.718719928979318</v>
      </c>
      <c r="AG243">
        <v>5050</v>
      </c>
      <c r="AH243" s="64">
        <f t="shared" si="72"/>
        <v>4.5750279169169321</v>
      </c>
      <c r="AJ243" s="41">
        <v>0.85</v>
      </c>
      <c r="AK243">
        <v>362</v>
      </c>
    </row>
    <row r="244" spans="1:37" hidden="1" x14ac:dyDescent="0.3">
      <c r="A244" s="3">
        <f>+'Mono ASIG'!A244</f>
        <v>1410.2904000000001</v>
      </c>
      <c r="B244" s="3">
        <f>+'Mono ASIG'!B244</f>
        <v>1412.9870000000001</v>
      </c>
      <c r="C244" s="1">
        <f>+'Mono ASIG'!C244</f>
        <v>2026</v>
      </c>
      <c r="D244" s="1">
        <f t="shared" si="79"/>
        <v>5</v>
      </c>
      <c r="E244" s="1">
        <f>+'Fisico SPOT MAT'!E244</f>
        <v>16</v>
      </c>
      <c r="F244" s="1" t="str">
        <f>+'Mono ASIG'!F244</f>
        <v>vie</v>
      </c>
      <c r="G244" s="56">
        <f>+'Mono ASIG'!G244</f>
        <v>46150</v>
      </c>
      <c r="H244" s="17">
        <f t="shared" si="80"/>
        <v>86.827631116343568</v>
      </c>
      <c r="I244" s="17">
        <f t="shared" si="81"/>
        <v>54.218346235282979</v>
      </c>
      <c r="J244" s="17">
        <v>21.999999999999986</v>
      </c>
      <c r="K244" s="17">
        <v>21.999999999999986</v>
      </c>
      <c r="L244" s="17">
        <v>32</v>
      </c>
      <c r="M244" s="44">
        <f>SUMPRODUCT(H244:L244,'Fisico SPOT MAT'!H244:L244)*24</f>
        <v>9731434.3360977788</v>
      </c>
      <c r="N244" s="19">
        <f>+'Fisico SPOT MAT'!AH244</f>
        <v>16.296573964670866</v>
      </c>
      <c r="O244" s="19">
        <f t="shared" si="65"/>
        <v>13.950276243093922</v>
      </c>
      <c r="P244" s="19">
        <v>6</v>
      </c>
      <c r="Q244" s="19">
        <v>6</v>
      </c>
      <c r="R244" s="19">
        <v>0</v>
      </c>
      <c r="S244" s="44">
        <f>SUMPRODUCT(N244:R244,'Fisico SPOT MAT'!N244:R244)*E244</f>
        <v>3743785.1820626166</v>
      </c>
      <c r="T244" s="17">
        <v>70</v>
      </c>
      <c r="U244" s="17">
        <v>18</v>
      </c>
      <c r="V244" s="17">
        <v>50</v>
      </c>
      <c r="W244" s="17">
        <v>60</v>
      </c>
      <c r="X244" s="28">
        <f>SUMPRODUCT(T244:W244,'Fisico SPOT MAT'!T244:W244)*24</f>
        <v>4525632.0900000036</v>
      </c>
      <c r="Y244" s="19">
        <v>0</v>
      </c>
      <c r="Z244" s="19">
        <v>5</v>
      </c>
      <c r="AA244" s="19">
        <v>0</v>
      </c>
      <c r="AB244" s="28">
        <f>SUMPRODUCT(Y244:AA244,'Fisico SPOT MAT'!Y244:AA244)*E244</f>
        <v>41200</v>
      </c>
      <c r="AC244" s="122">
        <f>(T244*'Fisico SPOT MAT'!T244+'Mono SPOT MAT'!V244*'Fisico SPOT MAT'!V244+'Mono SPOT MAT'!W244*'Fisico SPOT MAT'!W244)/'Fisico SPOT MAT'!AC244</f>
        <v>61.809889245746035</v>
      </c>
      <c r="AD244" s="85"/>
      <c r="AE244" s="41">
        <v>80.98372938299164</v>
      </c>
      <c r="AF244" s="42">
        <v>48.374444501931045</v>
      </c>
      <c r="AG244">
        <v>5050</v>
      </c>
      <c r="AH244" s="64">
        <f t="shared" si="72"/>
        <v>4.9939017333519358</v>
      </c>
      <c r="AJ244" s="41">
        <v>0.85</v>
      </c>
      <c r="AK244">
        <v>362</v>
      </c>
    </row>
    <row r="245" spans="1:37" hidden="1" x14ac:dyDescent="0.3">
      <c r="A245" s="3">
        <f>+'Mono ASIG'!A245</f>
        <v>1410.2904000000001</v>
      </c>
      <c r="B245" s="3">
        <f>+'Mono ASIG'!B245</f>
        <v>1412.9870000000001</v>
      </c>
      <c r="C245" s="1">
        <f>+'Mono ASIG'!C245</f>
        <v>2026</v>
      </c>
      <c r="D245" s="1">
        <f t="shared" si="79"/>
        <v>5</v>
      </c>
      <c r="E245" s="1">
        <f>+'Fisico SPOT MAT'!E245</f>
        <v>6</v>
      </c>
      <c r="F245" s="1" t="str">
        <f>+'Mono ASIG'!F245</f>
        <v>sáb</v>
      </c>
      <c r="G245" s="56">
        <f>+'Mono ASIG'!G245</f>
        <v>46151</v>
      </c>
      <c r="H245" s="17">
        <f t="shared" si="80"/>
        <v>92.391298550652195</v>
      </c>
      <c r="I245" s="17">
        <f t="shared" si="81"/>
        <v>91.356388890122545</v>
      </c>
      <c r="J245" s="17">
        <v>24.499319320615967</v>
      </c>
      <c r="K245" s="17">
        <v>24.499319320615967</v>
      </c>
      <c r="L245" s="17">
        <v>32.101160284324394</v>
      </c>
      <c r="M245" s="44">
        <f>SUMPRODUCT(H245:L245,'Fisico SPOT MAT'!H245:L245)*24</f>
        <v>10983726.347943444</v>
      </c>
      <c r="N245" s="19">
        <f>+'Fisico SPOT MAT'!AH245</f>
        <v>16.330643331224419</v>
      </c>
      <c r="O245" s="19">
        <f t="shared" si="65"/>
        <v>13.950276243093922</v>
      </c>
      <c r="P245" s="19">
        <v>6</v>
      </c>
      <c r="Q245" s="19">
        <v>6</v>
      </c>
      <c r="R245" s="19">
        <v>0</v>
      </c>
      <c r="S245" s="44">
        <f>SUMPRODUCT(N245:R245,'Fisico SPOT MAT'!N245:R245)*E245</f>
        <v>1434692.6235897793</v>
      </c>
      <c r="T245" s="17">
        <v>70</v>
      </c>
      <c r="U245" s="17">
        <v>18</v>
      </c>
      <c r="V245" s="17">
        <v>50</v>
      </c>
      <c r="W245" s="17">
        <v>60</v>
      </c>
      <c r="X245" s="28">
        <f>SUMPRODUCT(T245:W245,'Fisico SPOT MAT'!T245:W245)*24</f>
        <v>4247394.3099999996</v>
      </c>
      <c r="Y245" s="19">
        <v>0</v>
      </c>
      <c r="Z245" s="19">
        <v>5</v>
      </c>
      <c r="AA245" s="19">
        <v>0</v>
      </c>
      <c r="AB245" s="28">
        <f>SUMPRODUCT(Y245:AA245,'Fisico SPOT MAT'!Y245:AA245)*E245</f>
        <v>15450</v>
      </c>
      <c r="AC245" s="122">
        <f>(T245*'Fisico SPOT MAT'!T245+'Mono SPOT MAT'!V245*'Fisico SPOT MAT'!V245+'Mono SPOT MAT'!W245*'Fisico SPOT MAT'!W245)/'Fisico SPOT MAT'!AC245</f>
        <v>61.804809447264176</v>
      </c>
      <c r="AD245" s="85"/>
      <c r="AE245" s="41">
        <v>86.195595831992691</v>
      </c>
      <c r="AF245" s="42">
        <v>85.160686171463041</v>
      </c>
      <c r="AG245">
        <v>5050</v>
      </c>
      <c r="AH245" s="64">
        <f t="shared" si="72"/>
        <v>5.3457027186595072</v>
      </c>
      <c r="AJ245" s="41">
        <v>0.85</v>
      </c>
      <c r="AK245">
        <v>362</v>
      </c>
    </row>
    <row r="246" spans="1:37" hidden="1" x14ac:dyDescent="0.3">
      <c r="A246" s="3">
        <f>+'Mono ASIG'!A246</f>
        <v>1410.2904000000001</v>
      </c>
      <c r="B246" s="3">
        <f>+'Mono ASIG'!B246</f>
        <v>1412.9870000000001</v>
      </c>
      <c r="C246" s="1">
        <f>+'Mono ASIG'!C246</f>
        <v>2026</v>
      </c>
      <c r="D246" s="1">
        <f t="shared" si="79"/>
        <v>5</v>
      </c>
      <c r="E246" s="1">
        <f>+'Fisico SPOT MAT'!E246</f>
        <v>4</v>
      </c>
      <c r="F246" s="1" t="str">
        <f>+'Mono ASIG'!F246</f>
        <v>dom</v>
      </c>
      <c r="G246" s="56">
        <f>+'Mono ASIG'!G246</f>
        <v>46152</v>
      </c>
      <c r="H246" s="17">
        <f t="shared" si="80"/>
        <v>94.863244270684049</v>
      </c>
      <c r="I246" s="17">
        <f t="shared" si="81"/>
        <v>135.52644750962872</v>
      </c>
      <c r="J246" s="17">
        <v>23.019197757507261</v>
      </c>
      <c r="K246" s="17">
        <v>23.019197757507261</v>
      </c>
      <c r="L246" s="17">
        <v>32</v>
      </c>
      <c r="M246" s="44">
        <f>SUMPRODUCT(H246:L246,'Fisico SPOT MAT'!H246:L246)*24</f>
        <v>11082837.047479207</v>
      </c>
      <c r="N246" s="19">
        <f>+'Fisico SPOT MAT'!AH246</f>
        <v>16.327967713779035</v>
      </c>
      <c r="O246" s="19">
        <f t="shared" si="65"/>
        <v>13.950276243093922</v>
      </c>
      <c r="P246" s="19">
        <v>6</v>
      </c>
      <c r="Q246" s="19">
        <v>6</v>
      </c>
      <c r="R246" s="19">
        <v>0</v>
      </c>
      <c r="S246" s="44">
        <f>SUMPRODUCT(N246:R246,'Fisico SPOT MAT'!N246:R246)*E246</f>
        <v>955882.38305709034</v>
      </c>
      <c r="T246" s="17">
        <v>70</v>
      </c>
      <c r="U246" s="17">
        <v>18</v>
      </c>
      <c r="V246" s="17">
        <v>50</v>
      </c>
      <c r="W246" s="17">
        <v>60</v>
      </c>
      <c r="X246" s="28">
        <f>SUMPRODUCT(T246:W246,'Fisico SPOT MAT'!T246:W246)*24</f>
        <v>3806581.6199999987</v>
      </c>
      <c r="Y246" s="19">
        <v>0</v>
      </c>
      <c r="Z246" s="19">
        <v>5</v>
      </c>
      <c r="AA246" s="19">
        <v>0</v>
      </c>
      <c r="AB246" s="28">
        <f>SUMPRODUCT(Y246:AA246,'Fisico SPOT MAT'!Y246:AA246)*E246</f>
        <v>10300</v>
      </c>
      <c r="AC246" s="122">
        <f>(T246*'Fisico SPOT MAT'!T246+'Mono SPOT MAT'!V246*'Fisico SPOT MAT'!V246+'Mono SPOT MAT'!W246*'Fisico SPOT MAT'!W246)/'Fisico SPOT MAT'!AC246</f>
        <v>62.018611007653234</v>
      </c>
      <c r="AD246" s="85"/>
      <c r="AE246" s="41">
        <v>88.511235850757899</v>
      </c>
      <c r="AF246" s="42">
        <v>129.17443908970256</v>
      </c>
      <c r="AG246">
        <v>5050</v>
      </c>
      <c r="AH246" s="64">
        <f t="shared" si="72"/>
        <v>5.5020084199261587</v>
      </c>
      <c r="AJ246" s="41">
        <v>0.85</v>
      </c>
      <c r="AK246">
        <v>362</v>
      </c>
    </row>
    <row r="247" spans="1:37" hidden="1" x14ac:dyDescent="0.3">
      <c r="A247" s="3">
        <f>+'Mono ASIG'!A247</f>
        <v>1410.2904000000001</v>
      </c>
      <c r="B247" s="3">
        <f>+'Mono ASIG'!B247</f>
        <v>1412.9870000000001</v>
      </c>
      <c r="C247" s="1">
        <f>+'Mono ASIG'!C247</f>
        <v>2026</v>
      </c>
      <c r="D247" s="1">
        <f t="shared" si="79"/>
        <v>5</v>
      </c>
      <c r="E247" s="1">
        <f>+'Fisico SPOT MAT'!E247</f>
        <v>16</v>
      </c>
      <c r="F247" s="1" t="str">
        <f>+'Mono ASIG'!F247</f>
        <v>lun</v>
      </c>
      <c r="G247" s="56">
        <f>+'Mono ASIG'!G247</f>
        <v>46153</v>
      </c>
      <c r="H247" s="17">
        <f t="shared" si="80"/>
        <v>100.30995620111797</v>
      </c>
      <c r="I247" s="17">
        <f t="shared" si="81"/>
        <v>205.35901211699817</v>
      </c>
      <c r="J247" s="17">
        <v>25.06669533522637</v>
      </c>
      <c r="K247" s="17">
        <v>25.06669533522637</v>
      </c>
      <c r="L247" s="17">
        <v>32.983359208384634</v>
      </c>
      <c r="M247" s="44">
        <f>SUMPRODUCT(H247:L247,'Fisico SPOT MAT'!H247:L247)*24</f>
        <v>12171386.920045458</v>
      </c>
      <c r="N247" s="19">
        <f>+'Fisico SPOT MAT'!AH247</f>
        <v>16.325263162893648</v>
      </c>
      <c r="O247" s="19">
        <f t="shared" si="65"/>
        <v>13.950276243093922</v>
      </c>
      <c r="P247" s="19">
        <v>6</v>
      </c>
      <c r="Q247" s="19">
        <v>6</v>
      </c>
      <c r="R247" s="19">
        <v>0</v>
      </c>
      <c r="S247" s="44">
        <f>SUMPRODUCT(N247:R247,'Fisico SPOT MAT'!N247:R247)*E247</f>
        <v>3783695.4316758765</v>
      </c>
      <c r="T247" s="17">
        <v>70</v>
      </c>
      <c r="U247" s="17">
        <v>18</v>
      </c>
      <c r="V247" s="17">
        <v>50</v>
      </c>
      <c r="W247" s="17">
        <v>60</v>
      </c>
      <c r="X247" s="28">
        <f>SUMPRODUCT(T247:W247,'Fisico SPOT MAT'!T247:W247)*24</f>
        <v>4038844.6599999997</v>
      </c>
      <c r="Y247" s="19">
        <v>0</v>
      </c>
      <c r="Z247" s="19">
        <v>5</v>
      </c>
      <c r="AA247" s="19">
        <v>0</v>
      </c>
      <c r="AB247" s="28">
        <f>SUMPRODUCT(Y247:AA247,'Fisico SPOT MAT'!Y247:AA247)*E247</f>
        <v>41200</v>
      </c>
      <c r="AC247" s="122">
        <f>(T247*'Fisico SPOT MAT'!T247+'Mono SPOT MAT'!V247*'Fisico SPOT MAT'!V247+'Mono SPOT MAT'!W247*'Fisico SPOT MAT'!W247)/'Fisico SPOT MAT'!AC247</f>
        <v>61.920041317887232</v>
      </c>
      <c r="AD247" s="85"/>
      <c r="AE247" s="41">
        <v>93.613542108775619</v>
      </c>
      <c r="AF247" s="42">
        <v>198.66259802465584</v>
      </c>
      <c r="AG247">
        <v>5050</v>
      </c>
      <c r="AH247" s="64">
        <f t="shared" si="72"/>
        <v>5.8464140923423544</v>
      </c>
      <c r="AJ247" s="41">
        <v>0.85</v>
      </c>
      <c r="AK247">
        <v>362</v>
      </c>
    </row>
    <row r="248" spans="1:37" hidden="1" x14ac:dyDescent="0.3">
      <c r="A248" s="3">
        <f>+'Mono ASIG'!A248</f>
        <v>1410.2904000000001</v>
      </c>
      <c r="B248" s="3">
        <f>+'Mono ASIG'!B248</f>
        <v>1412.9870000000001</v>
      </c>
      <c r="C248" s="1">
        <f>+'Mono ASIG'!C248</f>
        <v>2026</v>
      </c>
      <c r="D248" s="1">
        <f t="shared" ref="D248:D255" si="82">MONTH(G248)</f>
        <v>5</v>
      </c>
      <c r="E248" s="1">
        <f>+'Fisico SPOT MAT'!E248</f>
        <v>16</v>
      </c>
      <c r="F248" s="1" t="str">
        <f>+'Mono ASIG'!F248</f>
        <v>mar</v>
      </c>
      <c r="G248" s="56">
        <f>+'Mono ASIG'!G248</f>
        <v>46154</v>
      </c>
      <c r="H248" s="17">
        <f t="shared" ref="H248" si="83">+AE248+AH248+AI248+AJ248</f>
        <v>109.62620720661089</v>
      </c>
      <c r="I248" s="17">
        <f t="shared" ref="I248" si="84">+AF248+AH248+AI248+AJ248</f>
        <v>230.51064944461228</v>
      </c>
      <c r="J248" s="17">
        <v>27.044616291132797</v>
      </c>
      <c r="K248" s="17">
        <v>27.044616291132797</v>
      </c>
      <c r="L248" s="17">
        <v>33.607582023047627</v>
      </c>
      <c r="M248" s="44">
        <f>SUMPRODUCT(H248:L248,'Fisico SPOT MAT'!H248:L248)*24</f>
        <v>14467789.74714097</v>
      </c>
      <c r="N248" s="19">
        <f>+'Fisico SPOT MAT'!AH248</f>
        <v>16.3165156472304</v>
      </c>
      <c r="O248" s="19">
        <f t="shared" ref="O248" si="85">AG248/AK248</f>
        <v>13.950276243093922</v>
      </c>
      <c r="P248" s="19">
        <v>6</v>
      </c>
      <c r="Q248" s="19">
        <v>6</v>
      </c>
      <c r="R248" s="19">
        <v>0</v>
      </c>
      <c r="S248" s="44">
        <f>SUMPRODUCT(N248:R248,'Fisico SPOT MAT'!N248:R248)*E248</f>
        <v>3792736.9718232057</v>
      </c>
      <c r="T248" s="17">
        <v>70</v>
      </c>
      <c r="U248" s="17">
        <v>18</v>
      </c>
      <c r="V248" s="17">
        <v>50</v>
      </c>
      <c r="W248" s="17">
        <v>60</v>
      </c>
      <c r="X248" s="28">
        <f>SUMPRODUCT(T248:W248,'Fisico SPOT MAT'!T248:W248)*24</f>
        <v>3667876.8999999985</v>
      </c>
      <c r="Y248" s="19">
        <v>0</v>
      </c>
      <c r="Z248" s="19">
        <v>5</v>
      </c>
      <c r="AA248" s="19">
        <v>0</v>
      </c>
      <c r="AB248" s="28">
        <f>SUMPRODUCT(Y248:AA248,'Fisico SPOT MAT'!Y248:AA248)*E248</f>
        <v>41200</v>
      </c>
      <c r="AC248" s="122">
        <f>(T248*'Fisico SPOT MAT'!T248+'Mono SPOT MAT'!V248*'Fisico SPOT MAT'!V248+'Mono SPOT MAT'!W248*'Fisico SPOT MAT'!W248)/'Fisico SPOT MAT'!AC248</f>
        <v>62.309543624519314</v>
      </c>
      <c r="AD248" s="85"/>
      <c r="AE248" s="41">
        <v>102.34070932703597</v>
      </c>
      <c r="AF248" s="42">
        <v>223.22515156503735</v>
      </c>
      <c r="AG248">
        <v>5050</v>
      </c>
      <c r="AH248" s="64">
        <f t="shared" si="72"/>
        <v>6.4354978795749282</v>
      </c>
      <c r="AJ248" s="41">
        <v>0.85</v>
      </c>
      <c r="AK248">
        <v>362</v>
      </c>
    </row>
    <row r="249" spans="1:37" hidden="1" x14ac:dyDescent="0.3">
      <c r="A249" s="3">
        <f>+'Mono ASIG'!A249</f>
        <v>1410.2904000000001</v>
      </c>
      <c r="B249" s="3">
        <f>+'Mono ASIG'!B249</f>
        <v>1412.9870000000001</v>
      </c>
      <c r="C249" s="1">
        <f>+'Mono ASIG'!C249</f>
        <v>2026</v>
      </c>
      <c r="D249" s="1">
        <f t="shared" si="82"/>
        <v>5</v>
      </c>
      <c r="E249" s="1">
        <f>+'Fisico SPOT MAT'!E249</f>
        <v>16</v>
      </c>
      <c r="F249" s="1" t="str">
        <f>+'Mono ASIG'!F249</f>
        <v>mié</v>
      </c>
      <c r="G249" s="56">
        <f>+'Mono ASIG'!G249</f>
        <v>46155</v>
      </c>
      <c r="H249" s="17">
        <f t="shared" ref="H249:H255" si="86">+AE249+AH249+AI249+AJ249</f>
        <v>109.91394610440851</v>
      </c>
      <c r="I249" s="17">
        <f t="shared" ref="I249:I255" si="87">+AF249+AH249+AI249+AJ249</f>
        <v>222.40403397644391</v>
      </c>
      <c r="J249" s="17">
        <v>28.012634541968453</v>
      </c>
      <c r="K249" s="17">
        <v>28.012634541968453</v>
      </c>
      <c r="L249" s="17">
        <v>33.401467600197307</v>
      </c>
      <c r="M249" s="44">
        <f>SUMPRODUCT(H249:L249,'Fisico SPOT MAT'!H249:L249)*24</f>
        <v>15100892.57487751</v>
      </c>
      <c r="N249" s="19">
        <f>+'Fisico SPOT MAT'!AH249</f>
        <v>16.323807153883717</v>
      </c>
      <c r="O249" s="19">
        <f t="shared" ref="O249:O255" si="88">AG249/AK249</f>
        <v>13.950276243093922</v>
      </c>
      <c r="P249" s="19">
        <v>6</v>
      </c>
      <c r="Q249" s="19">
        <v>6</v>
      </c>
      <c r="R249" s="19">
        <v>0</v>
      </c>
      <c r="S249" s="44">
        <f>SUMPRODUCT(N249:R249,'Fisico SPOT MAT'!N249:R249)*E249</f>
        <v>3809757.2060036836</v>
      </c>
      <c r="T249" s="17">
        <v>70</v>
      </c>
      <c r="U249" s="17">
        <v>18</v>
      </c>
      <c r="V249" s="17">
        <v>50</v>
      </c>
      <c r="W249" s="17">
        <v>60</v>
      </c>
      <c r="X249" s="28">
        <f>SUMPRODUCT(T249:W249,'Fisico SPOT MAT'!T249:W249)*24</f>
        <v>3214156.2599999988</v>
      </c>
      <c r="Y249" s="19">
        <v>0</v>
      </c>
      <c r="Z249" s="19">
        <v>5</v>
      </c>
      <c r="AA249" s="19">
        <v>0</v>
      </c>
      <c r="AB249" s="28">
        <f>SUMPRODUCT(Y249:AA249,'Fisico SPOT MAT'!Y249:AA249)*E249</f>
        <v>35811.1</v>
      </c>
      <c r="AC249" s="122">
        <f>(T249*'Fisico SPOT MAT'!T249+'Mono SPOT MAT'!V249*'Fisico SPOT MAT'!V249+'Mono SPOT MAT'!W249*'Fisico SPOT MAT'!W249)/'Fisico SPOT MAT'!AC249</f>
        <v>62.688334614523285</v>
      </c>
      <c r="AD249" s="85"/>
      <c r="AE249" s="41">
        <v>102.61025396197519</v>
      </c>
      <c r="AF249" s="42">
        <v>215.10034183401061</v>
      </c>
      <c r="AG249">
        <v>5050</v>
      </c>
      <c r="AH249" s="64">
        <f t="shared" si="72"/>
        <v>6.4536921424333258</v>
      </c>
      <c r="AJ249" s="41">
        <v>0.85</v>
      </c>
      <c r="AK249">
        <v>362</v>
      </c>
    </row>
    <row r="250" spans="1:37" hidden="1" x14ac:dyDescent="0.3">
      <c r="A250" s="3">
        <f>+'Mono ASIG'!A250</f>
        <v>1410.2904000000001</v>
      </c>
      <c r="B250" s="3">
        <f>+'Mono ASIG'!B250</f>
        <v>1412.9870000000001</v>
      </c>
      <c r="C250" s="1">
        <f>+'Mono ASIG'!C250</f>
        <v>2026</v>
      </c>
      <c r="D250" s="1">
        <f t="shared" si="82"/>
        <v>5</v>
      </c>
      <c r="E250" s="1">
        <f>+'Fisico SPOT MAT'!E250</f>
        <v>16</v>
      </c>
      <c r="F250" s="1" t="str">
        <f>+'Mono ASIG'!F250</f>
        <v>jue</v>
      </c>
      <c r="G250" s="56">
        <f>+'Mono ASIG'!G250</f>
        <v>46156</v>
      </c>
      <c r="H250" s="17">
        <f t="shared" si="86"/>
        <v>107.21281679854597</v>
      </c>
      <c r="I250" s="17">
        <f t="shared" si="87"/>
        <v>216.80234940343314</v>
      </c>
      <c r="J250" s="17">
        <v>27.085903932740674</v>
      </c>
      <c r="K250" s="17">
        <v>27.085903932740674</v>
      </c>
      <c r="L250" s="17">
        <v>33.35581219077033</v>
      </c>
      <c r="M250" s="44">
        <f>SUMPRODUCT(H250:L250,'Fisico SPOT MAT'!H250:L250)*24</f>
        <v>14991994.087200372</v>
      </c>
      <c r="N250" s="19">
        <f>+'Fisico SPOT MAT'!AH250</f>
        <v>16.322038870370932</v>
      </c>
      <c r="O250" s="19">
        <f t="shared" si="88"/>
        <v>13.950276243093922</v>
      </c>
      <c r="P250" s="19">
        <v>6</v>
      </c>
      <c r="Q250" s="19">
        <v>6</v>
      </c>
      <c r="R250" s="19">
        <v>0</v>
      </c>
      <c r="S250" s="44">
        <f>SUMPRODUCT(N250:R250,'Fisico SPOT MAT'!N250:R250)*E250</f>
        <v>3806197.1523572751</v>
      </c>
      <c r="T250" s="17">
        <v>70</v>
      </c>
      <c r="U250" s="17">
        <v>18</v>
      </c>
      <c r="V250" s="17">
        <v>50</v>
      </c>
      <c r="W250" s="17">
        <v>60</v>
      </c>
      <c r="X250" s="28">
        <f>SUMPRODUCT(T250:W250,'Fisico SPOT MAT'!T250:W250)*24</f>
        <v>2350545.2000000002</v>
      </c>
      <c r="Y250" s="19">
        <v>0</v>
      </c>
      <c r="Z250" s="19">
        <v>5</v>
      </c>
      <c r="AA250" s="19">
        <v>0</v>
      </c>
      <c r="AB250" s="28">
        <f>SUMPRODUCT(Y250:AA250,'Fisico SPOT MAT'!Y250:AA250)*E250</f>
        <v>33200</v>
      </c>
      <c r="AC250" s="122">
        <f>(T250*'Fisico SPOT MAT'!T250+'Mono SPOT MAT'!V250*'Fisico SPOT MAT'!V250+'Mono SPOT MAT'!W250*'Fisico SPOT MAT'!W250)/'Fisico SPOT MAT'!AC250</f>
        <v>63.830954418395045</v>
      </c>
      <c r="AD250" s="85"/>
      <c r="AE250" s="41">
        <v>100.07992205952785</v>
      </c>
      <c r="AF250" s="42">
        <v>209.66945466441501</v>
      </c>
      <c r="AG250">
        <v>5050</v>
      </c>
      <c r="AH250" s="64">
        <f t="shared" si="72"/>
        <v>6.28289473901813</v>
      </c>
      <c r="AJ250" s="41">
        <v>0.85</v>
      </c>
      <c r="AK250">
        <v>362</v>
      </c>
    </row>
    <row r="251" spans="1:37" hidden="1" x14ac:dyDescent="0.3">
      <c r="A251" s="3">
        <f>+'Mono ASIG'!A251</f>
        <v>1410.2904000000001</v>
      </c>
      <c r="B251" s="3">
        <f>+'Mono ASIG'!B251</f>
        <v>1412.9870000000001</v>
      </c>
      <c r="C251" s="1">
        <f>+'Mono ASIG'!C251</f>
        <v>2026</v>
      </c>
      <c r="D251" s="1">
        <f t="shared" si="82"/>
        <v>5</v>
      </c>
      <c r="E251" s="1">
        <f>+'Fisico SPOT MAT'!E251</f>
        <v>16</v>
      </c>
      <c r="F251" s="1" t="str">
        <f>+'Mono ASIG'!F251</f>
        <v>vie</v>
      </c>
      <c r="G251" s="56">
        <f>+'Mono ASIG'!G251</f>
        <v>46157</v>
      </c>
      <c r="H251" s="17">
        <f t="shared" si="86"/>
        <v>104.30029456346274</v>
      </c>
      <c r="I251" s="17">
        <f t="shared" si="87"/>
        <v>230.87197630185111</v>
      </c>
      <c r="J251" s="17">
        <v>26.313697432312832</v>
      </c>
      <c r="K251" s="17">
        <v>26.313697432312832</v>
      </c>
      <c r="L251" s="17">
        <v>32</v>
      </c>
      <c r="M251" s="44">
        <f>SUMPRODUCT(H251:L251,'Fisico SPOT MAT'!H251:L251)*24</f>
        <v>14152012.210825182</v>
      </c>
      <c r="N251" s="19">
        <f>+'Fisico SPOT MAT'!AH251</f>
        <v>16.294315077843429</v>
      </c>
      <c r="O251" s="19">
        <f t="shared" si="88"/>
        <v>13.950276243093922</v>
      </c>
      <c r="P251" s="19">
        <v>6</v>
      </c>
      <c r="Q251" s="19">
        <v>6</v>
      </c>
      <c r="R251" s="19">
        <v>0</v>
      </c>
      <c r="S251" s="44">
        <f>SUMPRODUCT(N251:R251,'Fisico SPOT MAT'!N251:R251)*E251</f>
        <v>3746375.4187624319</v>
      </c>
      <c r="T251" s="17">
        <v>70</v>
      </c>
      <c r="U251" s="17">
        <v>18</v>
      </c>
      <c r="V251" s="17">
        <v>50</v>
      </c>
      <c r="W251" s="17">
        <v>60</v>
      </c>
      <c r="X251" s="28">
        <f>SUMPRODUCT(T251:W251,'Fisico SPOT MAT'!T251:W251)*24</f>
        <v>3629319.2399999993</v>
      </c>
      <c r="Y251" s="19">
        <v>0</v>
      </c>
      <c r="Z251" s="19">
        <v>5</v>
      </c>
      <c r="AA251" s="19">
        <v>0</v>
      </c>
      <c r="AB251" s="28">
        <f>SUMPRODUCT(Y251:AA251,'Fisico SPOT MAT'!Y251:AA251)*E251</f>
        <v>33200</v>
      </c>
      <c r="AC251" s="122">
        <f>(T251*'Fisico SPOT MAT'!T251+'Mono SPOT MAT'!V251*'Fisico SPOT MAT'!V251+'Mono SPOT MAT'!W251*'Fisico SPOT MAT'!W251)/'Fisico SPOT MAT'!AC251</f>
        <v>62.362386279757509</v>
      </c>
      <c r="AD251" s="85"/>
      <c r="AE251" s="41">
        <v>97.351563993876113</v>
      </c>
      <c r="AF251" s="42">
        <v>223.92324573226446</v>
      </c>
      <c r="AG251">
        <v>5050</v>
      </c>
      <c r="AH251" s="64">
        <f t="shared" si="72"/>
        <v>6.0987305695866381</v>
      </c>
      <c r="AJ251" s="41">
        <v>0.85</v>
      </c>
      <c r="AK251">
        <v>362</v>
      </c>
    </row>
    <row r="252" spans="1:37" hidden="1" x14ac:dyDescent="0.3">
      <c r="A252" s="3">
        <f>+'Mono ASIG'!A252</f>
        <v>1410.2904000000001</v>
      </c>
      <c r="B252" s="3">
        <f>+'Mono ASIG'!B252</f>
        <v>1412.9870000000001</v>
      </c>
      <c r="C252" s="1">
        <f>+'Mono ASIG'!C252</f>
        <v>2026</v>
      </c>
      <c r="D252" s="1">
        <f t="shared" si="82"/>
        <v>5</v>
      </c>
      <c r="E252" s="1">
        <f>+'Fisico SPOT MAT'!E252</f>
        <v>6</v>
      </c>
      <c r="F252" s="1" t="str">
        <f>+'Mono ASIG'!F252</f>
        <v>sáb</v>
      </c>
      <c r="G252" s="56">
        <f>+'Mono ASIG'!G252</f>
        <v>46158</v>
      </c>
      <c r="H252" s="17">
        <f t="shared" si="86"/>
        <v>122.82398908623512</v>
      </c>
      <c r="I252" s="17">
        <f t="shared" si="87"/>
        <v>224.43976370756872</v>
      </c>
      <c r="J252" s="17">
        <v>28.259870464613137</v>
      </c>
      <c r="K252" s="17">
        <v>28.259870464613137</v>
      </c>
      <c r="L252" s="17">
        <v>32</v>
      </c>
      <c r="M252" s="44">
        <f>SUMPRODUCT(H252:L252,'Fisico SPOT MAT'!H252:L252)*24</f>
        <v>14809232.616535585</v>
      </c>
      <c r="N252" s="19">
        <f>+'Fisico SPOT MAT'!AH252</f>
        <v>16.296811146845368</v>
      </c>
      <c r="O252" s="19">
        <f t="shared" si="88"/>
        <v>13.950276243093922</v>
      </c>
      <c r="P252" s="19">
        <v>6</v>
      </c>
      <c r="Q252" s="19">
        <v>6</v>
      </c>
      <c r="R252" s="19">
        <v>0</v>
      </c>
      <c r="S252" s="44">
        <f>SUMPRODUCT(N252:R252,'Fisico SPOT MAT'!N252:R252)*E252</f>
        <v>1391159.2756491709</v>
      </c>
      <c r="T252" s="17">
        <v>70</v>
      </c>
      <c r="U252" s="17">
        <v>18</v>
      </c>
      <c r="V252" s="17">
        <v>50</v>
      </c>
      <c r="W252" s="17">
        <v>60</v>
      </c>
      <c r="X252" s="28">
        <f>SUMPRODUCT(T252:W252,'Fisico SPOT MAT'!T252:W252)*24</f>
        <v>3108565.2899999982</v>
      </c>
      <c r="Y252" s="19">
        <v>0</v>
      </c>
      <c r="Z252" s="19">
        <v>5</v>
      </c>
      <c r="AA252" s="19">
        <v>0</v>
      </c>
      <c r="AB252" s="28">
        <f>SUMPRODUCT(Y252:AA252,'Fisico SPOT MAT'!Y252:AA252)*E252</f>
        <v>12450</v>
      </c>
      <c r="AC252" s="122">
        <f>(T252*'Fisico SPOT MAT'!T252+'Mono SPOT MAT'!V252*'Fisico SPOT MAT'!V252+'Mono SPOT MAT'!W252*'Fisico SPOT MAT'!W252)/'Fisico SPOT MAT'!AC252</f>
        <v>62.83879070192944</v>
      </c>
      <c r="AD252" s="85"/>
      <c r="AE252" s="41">
        <v>114.70397104096966</v>
      </c>
      <c r="AF252" s="42">
        <v>216.31974566230326</v>
      </c>
      <c r="AG252">
        <v>5050</v>
      </c>
      <c r="AH252" s="64">
        <f t="shared" si="72"/>
        <v>7.270018045265453</v>
      </c>
      <c r="AJ252" s="41">
        <v>0.85</v>
      </c>
      <c r="AK252">
        <v>362</v>
      </c>
    </row>
    <row r="253" spans="1:37" hidden="1" x14ac:dyDescent="0.3">
      <c r="A253" s="3">
        <f>+'Mono ASIG'!A253</f>
        <v>1410.2904000000001</v>
      </c>
      <c r="B253" s="3">
        <f>+'Mono ASIG'!B253</f>
        <v>1412.9870000000001</v>
      </c>
      <c r="C253" s="1">
        <f>+'Mono ASIG'!C253</f>
        <v>2026</v>
      </c>
      <c r="D253" s="1">
        <f t="shared" si="82"/>
        <v>5</v>
      </c>
      <c r="E253" s="1">
        <f>+'Fisico SPOT MAT'!E253</f>
        <v>4</v>
      </c>
      <c r="F253" s="1" t="str">
        <f>+'Mono ASIG'!F253</f>
        <v>dom</v>
      </c>
      <c r="G253" s="56">
        <f>+'Mono ASIG'!G253</f>
        <v>46159</v>
      </c>
      <c r="H253" s="17">
        <f t="shared" si="86"/>
        <v>126.28570737639976</v>
      </c>
      <c r="I253" s="17">
        <f t="shared" si="87"/>
        <v>219.97750773514232</v>
      </c>
      <c r="J253" s="17">
        <v>27.601635648593813</v>
      </c>
      <c r="K253" s="17">
        <v>27.601635648593813</v>
      </c>
      <c r="L253" s="17">
        <v>32</v>
      </c>
      <c r="M253" s="44">
        <f>SUMPRODUCT(H253:L253,'Fisico SPOT MAT'!H253:L253)*24</f>
        <v>15782713.819928678</v>
      </c>
      <c r="N253" s="19">
        <f>+'Fisico SPOT MAT'!AH253</f>
        <v>16.308629834536429</v>
      </c>
      <c r="O253" s="19">
        <f t="shared" si="88"/>
        <v>13.950276243093922</v>
      </c>
      <c r="P253" s="19">
        <v>6</v>
      </c>
      <c r="Q253" s="19">
        <v>6</v>
      </c>
      <c r="R253" s="19">
        <v>0</v>
      </c>
      <c r="S253" s="44">
        <f>SUMPRODUCT(N253:R253,'Fisico SPOT MAT'!N253:R253)*E253</f>
        <v>930563.16698895046</v>
      </c>
      <c r="T253" s="17">
        <v>70</v>
      </c>
      <c r="U253" s="17">
        <v>18</v>
      </c>
      <c r="V253" s="17">
        <v>50</v>
      </c>
      <c r="W253" s="17">
        <v>60</v>
      </c>
      <c r="X253" s="28">
        <f>SUMPRODUCT(T253:W253,'Fisico SPOT MAT'!T253:W253)*24</f>
        <v>2932852.3799999985</v>
      </c>
      <c r="Y253" s="19">
        <v>0</v>
      </c>
      <c r="Z253" s="19">
        <v>5</v>
      </c>
      <c r="AA253" s="19">
        <v>0</v>
      </c>
      <c r="AB253" s="28">
        <f>SUMPRODUCT(Y253:AA253,'Fisico SPOT MAT'!Y253:AA253)*E253</f>
        <v>8300</v>
      </c>
      <c r="AC253" s="122">
        <f>(T253*'Fisico SPOT MAT'!T253+'Mono SPOT MAT'!V253*'Fisico SPOT MAT'!V253+'Mono SPOT MAT'!W253*'Fisico SPOT MAT'!W253)/'Fisico SPOT MAT'!AC253</f>
        <v>63.029523406294004</v>
      </c>
      <c r="AD253" s="85"/>
      <c r="AE253" s="41">
        <v>117.94679847906301</v>
      </c>
      <c r="AF253" s="42">
        <v>211.63859883780557</v>
      </c>
      <c r="AG253">
        <v>5050</v>
      </c>
      <c r="AH253" s="64">
        <f t="shared" si="72"/>
        <v>7.4889088973367537</v>
      </c>
      <c r="AJ253" s="41">
        <v>0.85</v>
      </c>
      <c r="AK253">
        <v>362</v>
      </c>
    </row>
    <row r="254" spans="1:37" hidden="1" x14ac:dyDescent="0.3">
      <c r="A254" s="3">
        <f>+'Mono ASIG'!A254</f>
        <v>1410.2904000000001</v>
      </c>
      <c r="B254" s="3">
        <f>+'Mono ASIG'!B254</f>
        <v>1399.4749999999999</v>
      </c>
      <c r="C254" s="1">
        <f>+'Mono ASIG'!C254</f>
        <v>2026</v>
      </c>
      <c r="D254" s="1">
        <f t="shared" si="82"/>
        <v>5</v>
      </c>
      <c r="E254" s="1">
        <f>+'Fisico SPOT MAT'!E254</f>
        <v>16</v>
      </c>
      <c r="F254" s="1" t="str">
        <f>+'Mono ASIG'!F254</f>
        <v>lun</v>
      </c>
      <c r="G254" s="56">
        <f>+'Mono ASIG'!G254</f>
        <v>46160</v>
      </c>
      <c r="H254" s="17">
        <f t="shared" si="86"/>
        <v>137.03368208429848</v>
      </c>
      <c r="I254" s="17">
        <f t="shared" si="87"/>
        <v>230.96042980313089</v>
      </c>
      <c r="J254" s="17">
        <v>29.522787467195258</v>
      </c>
      <c r="K254" s="17">
        <v>29.522787467195258</v>
      </c>
      <c r="L254" s="17">
        <v>32</v>
      </c>
      <c r="M254" s="44">
        <f>SUMPRODUCT(H254:L254,'Fisico SPOT MAT'!H254:L254)*24</f>
        <v>20448350.666374218</v>
      </c>
      <c r="N254" s="19">
        <f>+'Fisico SPOT MAT'!AH254</f>
        <v>16.335097795661774</v>
      </c>
      <c r="O254" s="19">
        <f t="shared" si="88"/>
        <v>13.950276243093922</v>
      </c>
      <c r="P254" s="19">
        <v>6</v>
      </c>
      <c r="Q254" s="19">
        <v>6</v>
      </c>
      <c r="R254" s="19">
        <v>0</v>
      </c>
      <c r="S254" s="44">
        <f>SUMPRODUCT(N254:R254,'Fisico SPOT MAT'!N254:R254)*E254</f>
        <v>3778539.7587845307</v>
      </c>
      <c r="T254" s="17">
        <v>70</v>
      </c>
      <c r="U254" s="17">
        <v>18</v>
      </c>
      <c r="V254" s="17">
        <v>50</v>
      </c>
      <c r="W254" s="17">
        <v>60</v>
      </c>
      <c r="X254" s="28">
        <f>SUMPRODUCT(T254:W254,'Fisico SPOT MAT'!T254:W254)*24</f>
        <v>3254960.2299999986</v>
      </c>
      <c r="Y254" s="19">
        <v>0</v>
      </c>
      <c r="Z254" s="19">
        <v>5</v>
      </c>
      <c r="AA254" s="19">
        <v>0</v>
      </c>
      <c r="AB254" s="28">
        <f>SUMPRODUCT(Y254:AA254,'Fisico SPOT MAT'!Y254:AA254)*E254</f>
        <v>33200</v>
      </c>
      <c r="AC254" s="122">
        <f>(T254*'Fisico SPOT MAT'!T254+'Mono SPOT MAT'!V254*'Fisico SPOT MAT'!V254+'Mono SPOT MAT'!W254*'Fisico SPOT MAT'!W254)/'Fisico SPOT MAT'!AC254</f>
        <v>62.580742990081369</v>
      </c>
      <c r="AD254" s="85"/>
      <c r="AE254" s="41">
        <v>128.01515886116954</v>
      </c>
      <c r="AF254" s="42">
        <v>221.94190658000196</v>
      </c>
      <c r="AG254">
        <v>5050</v>
      </c>
      <c r="AH254" s="64">
        <f t="shared" si="72"/>
        <v>8.1685232231289451</v>
      </c>
      <c r="AJ254" s="41">
        <v>0.85</v>
      </c>
      <c r="AK254">
        <v>362</v>
      </c>
    </row>
    <row r="255" spans="1:37" hidden="1" x14ac:dyDescent="0.3">
      <c r="A255" s="3">
        <f>+'Mono ASIG'!A255</f>
        <v>1410.2904000000001</v>
      </c>
      <c r="B255" s="3">
        <f>+'Mono ASIG'!B255</f>
        <v>1399.4749999999999</v>
      </c>
      <c r="C255" s="1">
        <f>+'Mono ASIG'!C255</f>
        <v>2026</v>
      </c>
      <c r="D255" s="1">
        <f t="shared" si="82"/>
        <v>5</v>
      </c>
      <c r="E255" s="1">
        <f>+'Fisico SPOT MAT'!E255</f>
        <v>16</v>
      </c>
      <c r="F255" s="1" t="str">
        <f>+'Mono ASIG'!F255</f>
        <v>mar</v>
      </c>
      <c r="G255" s="56">
        <f>+'Mono ASIG'!G255</f>
        <v>46161</v>
      </c>
      <c r="H255" s="17">
        <f t="shared" si="86"/>
        <v>138.57946499311547</v>
      </c>
      <c r="I255" s="17">
        <f t="shared" si="87"/>
        <v>229.53035936979754</v>
      </c>
      <c r="J255" s="17">
        <v>30.877261250616503</v>
      </c>
      <c r="K255" s="17">
        <v>30.877261250616503</v>
      </c>
      <c r="L255" s="17">
        <v>35.024788581432325</v>
      </c>
      <c r="M255" s="44">
        <f>SUMPRODUCT(H255:L255,'Fisico SPOT MAT'!H255:L255)*24</f>
        <v>21992174.228738308</v>
      </c>
      <c r="N255" s="19">
        <f>+'Fisico SPOT MAT'!AH255</f>
        <v>16.326698335019653</v>
      </c>
      <c r="O255" s="19">
        <f t="shared" si="88"/>
        <v>13.950276243093922</v>
      </c>
      <c r="P255" s="19">
        <v>6</v>
      </c>
      <c r="Q255" s="19">
        <v>6</v>
      </c>
      <c r="R255" s="19">
        <v>0</v>
      </c>
      <c r="S255" s="44">
        <f>SUMPRODUCT(N255:R255,'Fisico SPOT MAT'!N255:R255)*E255</f>
        <v>3760125.3806261499</v>
      </c>
      <c r="T255" s="17">
        <v>70</v>
      </c>
      <c r="U255" s="17">
        <v>18</v>
      </c>
      <c r="V255" s="17">
        <v>50</v>
      </c>
      <c r="W255" s="17">
        <v>60</v>
      </c>
      <c r="X255" s="28">
        <f>SUMPRODUCT(T255:W255,'Fisico SPOT MAT'!T255:W255)*24</f>
        <v>3335253.5899999989</v>
      </c>
      <c r="Y255" s="19">
        <v>0</v>
      </c>
      <c r="Z255" s="19">
        <v>5</v>
      </c>
      <c r="AA255" s="19">
        <v>0</v>
      </c>
      <c r="AB255" s="28">
        <f>SUMPRODUCT(Y255:AA255,'Fisico SPOT MAT'!Y255:AA255)*E255</f>
        <v>33200</v>
      </c>
      <c r="AC255" s="122">
        <f>(T255*'Fisico SPOT MAT'!T255+'Mono SPOT MAT'!V255*'Fisico SPOT MAT'!V255+'Mono SPOT MAT'!W255*'Fisico SPOT MAT'!W255)/'Fisico SPOT MAT'!AC255</f>
        <v>62.407746219721886</v>
      </c>
      <c r="AD255" s="85"/>
      <c r="AE255" s="41">
        <v>129.46319905678263</v>
      </c>
      <c r="AF255" s="42">
        <v>220.41409343346473</v>
      </c>
      <c r="AG255">
        <v>5050</v>
      </c>
      <c r="AH255" s="64">
        <f t="shared" si="72"/>
        <v>8.2662659363328288</v>
      </c>
      <c r="AJ255" s="41">
        <v>0.85</v>
      </c>
      <c r="AK255">
        <v>362</v>
      </c>
    </row>
    <row r="256" spans="1:37" hidden="1" x14ac:dyDescent="0.3">
      <c r="A256" s="3">
        <f>+'Mono ASIG'!A256</f>
        <v>1410.2904000000001</v>
      </c>
      <c r="B256" s="3">
        <f>+'Mono ASIG'!B256</f>
        <v>1399.4749999999999</v>
      </c>
      <c r="C256" s="1">
        <f>+'Mono ASIG'!C256</f>
        <v>2026</v>
      </c>
      <c r="D256" s="1">
        <f t="shared" ref="D256:D261" si="89">MONTH(G256)</f>
        <v>5</v>
      </c>
      <c r="E256" s="1">
        <f>+'Fisico SPOT MAT'!E256</f>
        <v>16</v>
      </c>
      <c r="F256" s="1" t="str">
        <f>+'Mono ASIG'!F256</f>
        <v>mié</v>
      </c>
      <c r="G256" s="56">
        <f>+'Mono ASIG'!G256</f>
        <v>46162</v>
      </c>
      <c r="H256" s="17">
        <f t="shared" ref="H256:H261" si="90">+AE256+AH256+AI256+AJ256</f>
        <v>136.68163508458377</v>
      </c>
      <c r="I256" s="17">
        <f t="shared" ref="I256:I261" si="91">+AF256+AH256+AI256+AJ256</f>
        <v>240.42627456676968</v>
      </c>
      <c r="J256" s="17">
        <v>34.587175138114667</v>
      </c>
      <c r="K256" s="17">
        <v>34.587175138114667</v>
      </c>
      <c r="L256" s="17">
        <v>32</v>
      </c>
      <c r="M256" s="44">
        <f>SUMPRODUCT(H256:L256,'Fisico SPOT MAT'!H256:L256)*24</f>
        <v>21871609.207177699</v>
      </c>
      <c r="N256" s="19">
        <f>+'Fisico SPOT MAT'!AH256</f>
        <v>16.331761582857048</v>
      </c>
      <c r="O256" s="19">
        <f t="shared" ref="O256:O261" si="92">AG256/AK256</f>
        <v>13.950276243093922</v>
      </c>
      <c r="P256" s="19">
        <v>6</v>
      </c>
      <c r="Q256" s="19">
        <v>6</v>
      </c>
      <c r="R256" s="19">
        <v>0</v>
      </c>
      <c r="S256" s="44">
        <f>SUMPRODUCT(N256:R256,'Fisico SPOT MAT'!N256:R256)*E256</f>
        <v>3771927.1897974224</v>
      </c>
      <c r="T256" s="17">
        <v>70</v>
      </c>
      <c r="U256" s="17">
        <v>18</v>
      </c>
      <c r="V256" s="17">
        <v>50</v>
      </c>
      <c r="W256" s="17">
        <v>60</v>
      </c>
      <c r="X256" s="28">
        <f>SUMPRODUCT(T256:W256,'Fisico SPOT MAT'!T256:W256)*24</f>
        <v>3164625.189999999</v>
      </c>
      <c r="Y256" s="19">
        <v>0</v>
      </c>
      <c r="Z256" s="19">
        <v>5</v>
      </c>
      <c r="AA256" s="19">
        <v>0</v>
      </c>
      <c r="AB256" s="28">
        <f>SUMPRODUCT(Y256:AA256,'Fisico SPOT MAT'!Y256:AA256)*E256</f>
        <v>33200</v>
      </c>
      <c r="AC256" s="122">
        <f>(T256*'Fisico SPOT MAT'!T256+'Mono SPOT MAT'!V256*'Fisico SPOT MAT'!V256+'Mono SPOT MAT'!W256*'Fisico SPOT MAT'!W256)/'Fisico SPOT MAT'!AC256</f>
        <v>62.242677333840362</v>
      </c>
      <c r="AD256" s="85"/>
      <c r="AE256" s="41">
        <v>127.68537244457498</v>
      </c>
      <c r="AF256" s="42">
        <v>231.43001192676087</v>
      </c>
      <c r="AG256">
        <v>5050</v>
      </c>
      <c r="AH256" s="64">
        <f t="shared" si="72"/>
        <v>8.1462626400088123</v>
      </c>
      <c r="AJ256" s="41">
        <v>0.85</v>
      </c>
      <c r="AK256">
        <v>362</v>
      </c>
    </row>
    <row r="257" spans="1:37" hidden="1" x14ac:dyDescent="0.3">
      <c r="A257" s="3">
        <f>+'Mono ASIG'!A257</f>
        <v>1410.2904000000001</v>
      </c>
      <c r="B257" s="3">
        <f>+'Mono ASIG'!B257</f>
        <v>1399.4749999999999</v>
      </c>
      <c r="C257" s="1">
        <f>+'Mono ASIG'!C257</f>
        <v>2026</v>
      </c>
      <c r="D257" s="1">
        <f t="shared" si="89"/>
        <v>5</v>
      </c>
      <c r="E257" s="1">
        <f>+'Fisico SPOT MAT'!E257</f>
        <v>16</v>
      </c>
      <c r="F257" s="1" t="str">
        <f>+'Mono ASIG'!F257</f>
        <v>jue</v>
      </c>
      <c r="G257" s="56">
        <f>+'Mono ASIG'!G257</f>
        <v>46163</v>
      </c>
      <c r="H257" s="17">
        <f t="shared" si="90"/>
        <v>143.76879059053115</v>
      </c>
      <c r="I257" s="17">
        <f t="shared" si="91"/>
        <v>229.26626857462307</v>
      </c>
      <c r="J257" s="17">
        <v>33.97689532931345</v>
      </c>
      <c r="K257" s="17">
        <v>33.97689532931345</v>
      </c>
      <c r="L257" s="17">
        <v>32</v>
      </c>
      <c r="M257" s="44">
        <f>SUMPRODUCT(H257:L257,'Fisico SPOT MAT'!H257:L257)*24</f>
        <v>22899874.645799041</v>
      </c>
      <c r="N257" s="19">
        <f>+'Fisico SPOT MAT'!AH257</f>
        <v>16.321229497318985</v>
      </c>
      <c r="O257" s="19">
        <f t="shared" si="92"/>
        <v>13.950276243093922</v>
      </c>
      <c r="P257" s="19">
        <v>6</v>
      </c>
      <c r="Q257" s="19">
        <v>6</v>
      </c>
      <c r="R257" s="19">
        <v>0</v>
      </c>
      <c r="S257" s="44">
        <f>SUMPRODUCT(N257:R257,'Fisico SPOT MAT'!N257:R257)*E257</f>
        <v>3753764.290681398</v>
      </c>
      <c r="T257" s="17">
        <v>70</v>
      </c>
      <c r="U257" s="17">
        <v>18</v>
      </c>
      <c r="V257" s="17">
        <v>50</v>
      </c>
      <c r="W257" s="17">
        <v>60</v>
      </c>
      <c r="X257" s="28">
        <f>SUMPRODUCT(T257:W257,'Fisico SPOT MAT'!T257:W257)*24</f>
        <v>2618689.0500000007</v>
      </c>
      <c r="Y257" s="19">
        <v>0</v>
      </c>
      <c r="Z257" s="19">
        <v>5</v>
      </c>
      <c r="AA257" s="19">
        <v>0</v>
      </c>
      <c r="AB257" s="28">
        <f>SUMPRODUCT(Y257:AA257,'Fisico SPOT MAT'!Y257:AA257)*E257</f>
        <v>33200</v>
      </c>
      <c r="AC257" s="122">
        <f>(T257*'Fisico SPOT MAT'!T257+'Mono SPOT MAT'!V257*'Fisico SPOT MAT'!V257+'Mono SPOT MAT'!W257*'Fisico SPOT MAT'!W257)/'Fisico SPOT MAT'!AC257</f>
        <v>62.731059079750366</v>
      </c>
      <c r="AD257" s="85"/>
      <c r="AE257" s="41">
        <v>134.32439399581372</v>
      </c>
      <c r="AF257" s="42">
        <v>219.82187197990564</v>
      </c>
      <c r="AG257">
        <v>5050</v>
      </c>
      <c r="AH257" s="64">
        <f t="shared" si="72"/>
        <v>8.594396594717427</v>
      </c>
      <c r="AJ257" s="41">
        <v>0.85</v>
      </c>
      <c r="AK257">
        <v>362</v>
      </c>
    </row>
    <row r="258" spans="1:37" hidden="1" x14ac:dyDescent="0.3">
      <c r="A258" s="3">
        <f>+'Mono ASIG'!A258</f>
        <v>1410.2904000000001</v>
      </c>
      <c r="B258" s="3">
        <f>+'Mono ASIG'!B258</f>
        <v>1399.4749999999999</v>
      </c>
      <c r="C258" s="1">
        <f>+'Mono ASIG'!C258</f>
        <v>2026</v>
      </c>
      <c r="D258" s="1">
        <f t="shared" si="89"/>
        <v>5</v>
      </c>
      <c r="E258" s="1">
        <f>+'Fisico SPOT MAT'!E258</f>
        <v>16</v>
      </c>
      <c r="F258" s="1" t="str">
        <f>+'Mono ASIG'!F258</f>
        <v>vie</v>
      </c>
      <c r="G258" s="56">
        <f>+'Mono ASIG'!G258</f>
        <v>46164</v>
      </c>
      <c r="H258" s="17">
        <f t="shared" si="90"/>
        <v>145.21258932748006</v>
      </c>
      <c r="I258" s="17">
        <f t="shared" si="91"/>
        <v>243.88043085948001</v>
      </c>
      <c r="J258" s="17">
        <v>34.025067742549162</v>
      </c>
      <c r="K258" s="17">
        <v>34.025067742549162</v>
      </c>
      <c r="L258" s="17">
        <v>32</v>
      </c>
      <c r="M258" s="44">
        <f>SUMPRODUCT(H258:L258,'Fisico SPOT MAT'!H258:L258)*24</f>
        <v>22491369.428588796</v>
      </c>
      <c r="N258" s="19">
        <f>+'Fisico SPOT MAT'!AH258</f>
        <v>16.321608008312701</v>
      </c>
      <c r="O258" s="19">
        <f t="shared" si="92"/>
        <v>13.950276243093922</v>
      </c>
      <c r="P258" s="19">
        <v>6</v>
      </c>
      <c r="Q258" s="19">
        <v>6</v>
      </c>
      <c r="R258" s="19">
        <v>0</v>
      </c>
      <c r="S258" s="44">
        <f>SUMPRODUCT(N258:R258,'Fisico SPOT MAT'!N258:R258)*E258</f>
        <v>3740288.9556537727</v>
      </c>
      <c r="T258" s="17">
        <v>70</v>
      </c>
      <c r="U258" s="17">
        <v>18</v>
      </c>
      <c r="V258" s="17">
        <v>50</v>
      </c>
      <c r="W258" s="17">
        <v>60</v>
      </c>
      <c r="X258" s="28">
        <f>SUMPRODUCT(T258:W258,'Fisico SPOT MAT'!T258:W258)*24</f>
        <v>3082979.6799999992</v>
      </c>
      <c r="Y258" s="19">
        <v>0</v>
      </c>
      <c r="Z258" s="19">
        <v>5</v>
      </c>
      <c r="AA258" s="19">
        <v>0</v>
      </c>
      <c r="AB258" s="28">
        <f>SUMPRODUCT(Y258:AA258,'Fisico SPOT MAT'!Y258:AA258)*E258</f>
        <v>33200</v>
      </c>
      <c r="AC258" s="122">
        <f>(T258*'Fisico SPOT MAT'!T258+'Mono SPOT MAT'!V258*'Fisico SPOT MAT'!V258+'Mono SPOT MAT'!W258*'Fisico SPOT MAT'!W258)/'Fisico SPOT MAT'!AC258</f>
        <v>62.386535274241226</v>
      </c>
      <c r="AD258" s="85"/>
      <c r="AE258" s="41">
        <v>135.67689866742865</v>
      </c>
      <c r="AF258" s="42">
        <v>234.34474019942857</v>
      </c>
      <c r="AG258">
        <v>5050</v>
      </c>
      <c r="AH258" s="64">
        <f t="shared" si="72"/>
        <v>8.685690660051435</v>
      </c>
      <c r="AJ258" s="41">
        <v>0.85</v>
      </c>
      <c r="AK258">
        <v>362</v>
      </c>
    </row>
    <row r="259" spans="1:37" hidden="1" x14ac:dyDescent="0.3">
      <c r="A259" s="3">
        <f>+'Mono ASIG'!A259</f>
        <v>1410.2904000000001</v>
      </c>
      <c r="B259" s="3">
        <f>+'Mono ASIG'!B259</f>
        <v>1399.4749999999999</v>
      </c>
      <c r="C259" s="1">
        <f>+'Mono ASIG'!C259</f>
        <v>2026</v>
      </c>
      <c r="D259" s="1">
        <f t="shared" si="89"/>
        <v>5</v>
      </c>
      <c r="E259" s="1">
        <f>+'Fisico SPOT MAT'!E259</f>
        <v>6</v>
      </c>
      <c r="F259" s="1" t="str">
        <f>+'Mono ASIG'!F259</f>
        <v>sáb</v>
      </c>
      <c r="G259" s="56">
        <f>+'Mono ASIG'!G259</f>
        <v>46165</v>
      </c>
      <c r="H259" s="17">
        <f t="shared" si="90"/>
        <v>133.48628296677489</v>
      </c>
      <c r="I259" s="17">
        <f t="shared" si="91"/>
        <v>123.67135734510701</v>
      </c>
      <c r="J259" s="17">
        <v>32.282392666521062</v>
      </c>
      <c r="K259" s="17">
        <v>32.282392666521062</v>
      </c>
      <c r="L259" s="17">
        <v>32</v>
      </c>
      <c r="M259" s="44">
        <f>SUMPRODUCT(H259:L259,'Fisico SPOT MAT'!H259:L259)*24</f>
        <v>16605312.007958408</v>
      </c>
      <c r="N259" s="19">
        <f>+'Fisico SPOT MAT'!AH259</f>
        <v>16.251067493208211</v>
      </c>
      <c r="O259" s="19">
        <f t="shared" si="92"/>
        <v>13.950276243093922</v>
      </c>
      <c r="P259" s="19">
        <v>6</v>
      </c>
      <c r="Q259" s="19">
        <v>6</v>
      </c>
      <c r="R259" s="19">
        <v>0</v>
      </c>
      <c r="S259" s="44">
        <f>SUMPRODUCT(N259:R259,'Fisico SPOT MAT'!N259:R259)*E259</f>
        <v>1348639.748687845</v>
      </c>
      <c r="T259" s="17">
        <v>70</v>
      </c>
      <c r="U259" s="17">
        <v>18</v>
      </c>
      <c r="V259" s="17">
        <v>50</v>
      </c>
      <c r="W259" s="17">
        <v>60</v>
      </c>
      <c r="X259" s="28">
        <f>SUMPRODUCT(T259:W259,'Fisico SPOT MAT'!T259:W259)*24</f>
        <v>3413657.1099999985</v>
      </c>
      <c r="Y259" s="19">
        <v>0</v>
      </c>
      <c r="Z259" s="19">
        <v>5</v>
      </c>
      <c r="AA259" s="19">
        <v>0</v>
      </c>
      <c r="AB259" s="28">
        <f>SUMPRODUCT(Y259:AA259,'Fisico SPOT MAT'!Y259:AA259)*E259</f>
        <v>12450</v>
      </c>
      <c r="AC259" s="122">
        <f>(T259*'Fisico SPOT MAT'!T259+'Mono SPOT MAT'!V259*'Fisico SPOT MAT'!V259+'Mono SPOT MAT'!W259*'Fisico SPOT MAT'!W259)/'Fisico SPOT MAT'!AC259</f>
        <v>62.470062400552642</v>
      </c>
      <c r="AD259" s="85"/>
      <c r="AE259" s="41">
        <v>124.69206835295073</v>
      </c>
      <c r="AF259" s="42">
        <v>114.87714273128285</v>
      </c>
      <c r="AG259">
        <v>5050</v>
      </c>
      <c r="AH259" s="64">
        <f t="shared" si="72"/>
        <v>7.9442146138241743</v>
      </c>
      <c r="AJ259" s="41">
        <v>0.85</v>
      </c>
      <c r="AK259">
        <v>362</v>
      </c>
    </row>
    <row r="260" spans="1:37" hidden="1" x14ac:dyDescent="0.3">
      <c r="A260" s="3">
        <f>+'Mono ASIG'!A260</f>
        <v>1410.2904000000001</v>
      </c>
      <c r="B260" s="3">
        <f>+'Mono ASIG'!B260</f>
        <v>1399.4749999999999</v>
      </c>
      <c r="C260" s="1">
        <f>+'Mono ASIG'!C260</f>
        <v>2026</v>
      </c>
      <c r="D260" s="1">
        <f t="shared" si="89"/>
        <v>5</v>
      </c>
      <c r="E260" s="1">
        <f>+'Fisico SPOT MAT'!E260</f>
        <v>4</v>
      </c>
      <c r="F260" s="1" t="str">
        <f>+'Mono ASIG'!F260</f>
        <v>dom</v>
      </c>
      <c r="G260" s="56">
        <f>+'Mono ASIG'!G260</f>
        <v>46166</v>
      </c>
      <c r="H260" s="17">
        <f t="shared" si="90"/>
        <v>120.12185464835076</v>
      </c>
      <c r="I260" s="17">
        <f t="shared" si="91"/>
        <v>75.035808371089786</v>
      </c>
      <c r="J260" s="17">
        <v>27.853981741235582</v>
      </c>
      <c r="K260" s="17">
        <v>27.853981741235582</v>
      </c>
      <c r="L260" s="17">
        <v>32</v>
      </c>
      <c r="M260" s="44">
        <f>SUMPRODUCT(H260:L260,'Fisico SPOT MAT'!H260:L260)*24</f>
        <v>13735481.450473024</v>
      </c>
      <c r="N260" s="19">
        <f>+'Fisico SPOT MAT'!AH260</f>
        <v>16.24534782780729</v>
      </c>
      <c r="O260" s="19">
        <f t="shared" si="92"/>
        <v>13.950276243093922</v>
      </c>
      <c r="P260" s="19">
        <v>6</v>
      </c>
      <c r="Q260" s="19">
        <v>6</v>
      </c>
      <c r="R260" s="19">
        <v>0</v>
      </c>
      <c r="S260" s="44">
        <f>SUMPRODUCT(N260:R260,'Fisico SPOT MAT'!N260:R260)*E260</f>
        <v>904250.18653775309</v>
      </c>
      <c r="T260" s="17">
        <v>70</v>
      </c>
      <c r="U260" s="17">
        <v>18</v>
      </c>
      <c r="V260" s="17">
        <v>50</v>
      </c>
      <c r="W260" s="17">
        <v>60</v>
      </c>
      <c r="X260" s="28">
        <f>SUMPRODUCT(T260:W260,'Fisico SPOT MAT'!T260:W260)*24</f>
        <v>3509367.8300000029</v>
      </c>
      <c r="Y260" s="19">
        <v>0</v>
      </c>
      <c r="Z260" s="19">
        <v>5</v>
      </c>
      <c r="AA260" s="19">
        <v>0</v>
      </c>
      <c r="AB260" s="28">
        <f>SUMPRODUCT(Y260:AA260,'Fisico SPOT MAT'!Y260:AA260)*E260</f>
        <v>9294.4416666666657</v>
      </c>
      <c r="AC260" s="122">
        <f>(T260*'Fisico SPOT MAT'!T260+'Mono SPOT MAT'!V260*'Fisico SPOT MAT'!V260+'Mono SPOT MAT'!W260*'Fisico SPOT MAT'!W260)/'Fisico SPOT MAT'!AC260</f>
        <v>62.404400928607991</v>
      </c>
      <c r="AD260" s="85"/>
      <c r="AE260" s="41">
        <v>112.17269756285786</v>
      </c>
      <c r="AF260" s="42">
        <v>67.086651285596886</v>
      </c>
      <c r="AG260">
        <v>5050</v>
      </c>
      <c r="AH260" s="64">
        <f t="shared" si="72"/>
        <v>7.099157085492906</v>
      </c>
      <c r="AJ260" s="41">
        <v>0.85</v>
      </c>
      <c r="AK260">
        <v>362</v>
      </c>
    </row>
    <row r="261" spans="1:37" hidden="1" x14ac:dyDescent="0.3">
      <c r="A261" s="3">
        <f>+'Mono ASIG'!A261</f>
        <v>1410.2904000000001</v>
      </c>
      <c r="B261" s="3">
        <f>+'Mono ASIG'!B261</f>
        <v>1399.4749999999999</v>
      </c>
      <c r="C261" s="1">
        <f>+'Mono ASIG'!C261</f>
        <v>2026</v>
      </c>
      <c r="D261" s="1">
        <f t="shared" si="89"/>
        <v>5</v>
      </c>
      <c r="E261" s="1">
        <f>+'Fisico SPOT MAT'!E261</f>
        <v>4</v>
      </c>
      <c r="F261" s="1" t="str">
        <f>+'Mono ASIG'!F261</f>
        <v>lun</v>
      </c>
      <c r="G261" s="56">
        <f>+'Mono ASIG'!G261</f>
        <v>46167</v>
      </c>
      <c r="H261" s="17">
        <f t="shared" si="90"/>
        <v>117.75183424908784</v>
      </c>
      <c r="I261" s="17">
        <f t="shared" si="91"/>
        <v>90.066081328806192</v>
      </c>
      <c r="J261" s="17">
        <v>26.778573827241999</v>
      </c>
      <c r="K261" s="17">
        <v>26.778573827241999</v>
      </c>
      <c r="L261" s="17">
        <v>32</v>
      </c>
      <c r="M261" s="44">
        <f>SUMPRODUCT(H261:L261,'Fisico SPOT MAT'!H261:L261)*24</f>
        <v>14207778.060393918</v>
      </c>
      <c r="N261" s="19">
        <f>+'Fisico SPOT MAT'!AH261</f>
        <v>16.237780696906746</v>
      </c>
      <c r="O261" s="19">
        <f t="shared" si="92"/>
        <v>13.950276243093922</v>
      </c>
      <c r="P261" s="19">
        <v>6</v>
      </c>
      <c r="Q261" s="19">
        <v>6</v>
      </c>
      <c r="R261" s="19">
        <v>0</v>
      </c>
      <c r="S261" s="44">
        <f>SUMPRODUCT(N261:R261,'Fisico SPOT MAT'!N261:R261)*E261</f>
        <v>907856.17020257877</v>
      </c>
      <c r="T261" s="17">
        <v>70</v>
      </c>
      <c r="U261" s="17">
        <v>18</v>
      </c>
      <c r="V261" s="17">
        <v>50</v>
      </c>
      <c r="W261" s="17">
        <v>60</v>
      </c>
      <c r="X261" s="28">
        <f>SUMPRODUCT(T261:W261,'Fisico SPOT MAT'!T261:W261)*24</f>
        <v>2798985.9999999981</v>
      </c>
      <c r="Y261" s="19">
        <v>0</v>
      </c>
      <c r="Z261" s="19">
        <v>5</v>
      </c>
      <c r="AA261" s="19">
        <v>0</v>
      </c>
      <c r="AB261" s="28">
        <f>SUMPRODUCT(Y261:AA261,'Fisico SPOT MAT'!Y261:AA261)*E261</f>
        <v>10300</v>
      </c>
      <c r="AC261" s="122">
        <f>(T261*'Fisico SPOT MAT'!T261+'Mono SPOT MAT'!V261*'Fisico SPOT MAT'!V261+'Mono SPOT MAT'!W261*'Fisico SPOT MAT'!W261)/'Fisico SPOT MAT'!AC261</f>
        <v>63.18077325416462</v>
      </c>
      <c r="AD261" s="85"/>
      <c r="AE261" s="41">
        <v>109.95253793825559</v>
      </c>
      <c r="AF261" s="42">
        <v>82.266785017973945</v>
      </c>
      <c r="AG261">
        <v>5050</v>
      </c>
      <c r="AH261" s="64">
        <f t="shared" si="72"/>
        <v>6.9492963108322527</v>
      </c>
      <c r="AJ261" s="41">
        <v>0.85</v>
      </c>
      <c r="AK261">
        <v>362</v>
      </c>
    </row>
    <row r="262" spans="1:37" hidden="1" x14ac:dyDescent="0.3">
      <c r="A262" s="3">
        <f>+'Mono ASIG'!A262</f>
        <v>1410.2904000000001</v>
      </c>
      <c r="B262" s="3">
        <f>+'Mono ASIG'!B262</f>
        <v>1399.4749999999999</v>
      </c>
      <c r="C262" s="1">
        <f>+'Mono ASIG'!C262</f>
        <v>2026</v>
      </c>
      <c r="D262" s="1">
        <f t="shared" ref="D262:D266" si="93">MONTH(G262)</f>
        <v>5</v>
      </c>
      <c r="E262" s="1">
        <f>+'Fisico SPOT MAT'!E262</f>
        <v>16</v>
      </c>
      <c r="F262" s="1" t="str">
        <f>+'Mono ASIG'!F262</f>
        <v>mar</v>
      </c>
      <c r="G262" s="56">
        <f>+'Mono ASIG'!G262</f>
        <v>46168</v>
      </c>
      <c r="H262" s="17">
        <f t="shared" ref="H262:H266" si="94">+AE262+AH262+AI262+AJ262</f>
        <v>115.12525101526526</v>
      </c>
      <c r="I262" s="17">
        <f t="shared" ref="I262:I266" si="95">+AF262+AH262+AI262+AJ262</f>
        <v>161.63829848559388</v>
      </c>
      <c r="J262" s="17">
        <v>28.765002088292363</v>
      </c>
      <c r="K262" s="17">
        <v>28.765002088292363</v>
      </c>
      <c r="L262" s="17">
        <v>32</v>
      </c>
      <c r="M262" s="44">
        <f>SUMPRODUCT(H262:L262,'Fisico SPOT MAT'!H262:L262)*24</f>
        <v>17486200.561926741</v>
      </c>
      <c r="N262" s="19">
        <f>+'Fisico SPOT MAT'!AH262</f>
        <v>16.292200141361288</v>
      </c>
      <c r="O262" s="19">
        <f t="shared" ref="O262:O265" si="96">AG262/AK262</f>
        <v>13.950276243093922</v>
      </c>
      <c r="P262" s="19">
        <v>6</v>
      </c>
      <c r="Q262" s="19">
        <v>6</v>
      </c>
      <c r="R262" s="19">
        <v>0</v>
      </c>
      <c r="S262" s="44">
        <f>SUMPRODUCT(N262:R262,'Fisico SPOT MAT'!N262:R262)*E262</f>
        <v>3748661.8225046038</v>
      </c>
      <c r="T262" s="17">
        <v>70</v>
      </c>
      <c r="U262" s="17">
        <v>18</v>
      </c>
      <c r="V262" s="17">
        <v>50</v>
      </c>
      <c r="W262" s="17">
        <v>60</v>
      </c>
      <c r="X262" s="28">
        <f>SUMPRODUCT(T262:W262,'Fisico SPOT MAT'!T262:W262)*24</f>
        <v>2868899.2600000007</v>
      </c>
      <c r="Y262" s="19">
        <v>0</v>
      </c>
      <c r="Z262" s="19">
        <v>5</v>
      </c>
      <c r="AA262" s="19">
        <v>0</v>
      </c>
      <c r="AB262" s="28">
        <f>SUMPRODUCT(Y262:AA262,'Fisico SPOT MAT'!Y262:AA262)*E262</f>
        <v>41200</v>
      </c>
      <c r="AC262" s="122">
        <f>(T262*'Fisico SPOT MAT'!T262+'Mono SPOT MAT'!V262*'Fisico SPOT MAT'!V262+'Mono SPOT MAT'!W262*'Fisico SPOT MAT'!W262)/'Fisico SPOT MAT'!AC262</f>
        <v>63.011004693596874</v>
      </c>
      <c r="AD262" s="85"/>
      <c r="AE262" s="41">
        <v>107.49203842179416</v>
      </c>
      <c r="AF262" s="42">
        <v>154.00508589212276</v>
      </c>
      <c r="AG262">
        <v>5050</v>
      </c>
      <c r="AH262" s="64">
        <f t="shared" si="72"/>
        <v>6.7832125934711067</v>
      </c>
      <c r="AJ262" s="41">
        <v>0.85</v>
      </c>
      <c r="AK262">
        <v>362</v>
      </c>
    </row>
    <row r="263" spans="1:37" hidden="1" x14ac:dyDescent="0.3">
      <c r="A263" s="3">
        <f>+'Mono ASIG'!A263</f>
        <v>1410.2904000000001</v>
      </c>
      <c r="B263" s="3">
        <f>+'Mono ASIG'!B263</f>
        <v>1399.4749999999999</v>
      </c>
      <c r="C263" s="1">
        <f>+'Mono ASIG'!C263</f>
        <v>2026</v>
      </c>
      <c r="D263" s="1">
        <f t="shared" si="93"/>
        <v>5</v>
      </c>
      <c r="E263" s="1">
        <f>+'Fisico SPOT MAT'!E263</f>
        <v>16</v>
      </c>
      <c r="F263" s="1" t="str">
        <f>+'Mono ASIG'!F263</f>
        <v>mié</v>
      </c>
      <c r="G263" s="56">
        <f>+'Mono ASIG'!G263</f>
        <v>46169</v>
      </c>
      <c r="H263" s="17">
        <f t="shared" si="94"/>
        <v>144.54208283953628</v>
      </c>
      <c r="I263" s="17">
        <f t="shared" si="95"/>
        <v>202.18559710385898</v>
      </c>
      <c r="J263" s="17">
        <v>30.458210293577359</v>
      </c>
      <c r="K263" s="17">
        <v>30.458210293577359</v>
      </c>
      <c r="L263" s="17">
        <v>32</v>
      </c>
      <c r="M263" s="44">
        <f>SUMPRODUCT(H263:L263,'Fisico SPOT MAT'!H263:L263)*24</f>
        <v>22233165.49660258</v>
      </c>
      <c r="N263" s="19">
        <f>+'Fisico SPOT MAT'!AH263</f>
        <v>16.286337075249438</v>
      </c>
      <c r="O263" s="19">
        <f t="shared" si="96"/>
        <v>13.950276243093922</v>
      </c>
      <c r="P263" s="19">
        <v>6</v>
      </c>
      <c r="Q263" s="19">
        <v>6</v>
      </c>
      <c r="R263" s="19">
        <v>0</v>
      </c>
      <c r="S263" s="44">
        <f>SUMPRODUCT(N263:R263,'Fisico SPOT MAT'!N263:R263)*E263</f>
        <v>3734200.751941069</v>
      </c>
      <c r="T263" s="17">
        <v>70</v>
      </c>
      <c r="U263" s="17">
        <v>18</v>
      </c>
      <c r="V263" s="17">
        <v>50</v>
      </c>
      <c r="W263" s="17">
        <v>60</v>
      </c>
      <c r="X263" s="28">
        <f>SUMPRODUCT(T263:W263,'Fisico SPOT MAT'!T263:W263)*24</f>
        <v>2940683.2399999993</v>
      </c>
      <c r="Y263" s="19">
        <v>0</v>
      </c>
      <c r="Z263" s="19">
        <v>5</v>
      </c>
      <c r="AA263" s="19">
        <v>0</v>
      </c>
      <c r="AB263" s="28">
        <f>SUMPRODUCT(Y263:AA263,'Fisico SPOT MAT'!Y263:AA263)*E263</f>
        <v>41200</v>
      </c>
      <c r="AC263" s="122">
        <f>(T263*'Fisico SPOT MAT'!T263+'Mono SPOT MAT'!V263*'Fisico SPOT MAT'!V263+'Mono SPOT MAT'!W263*'Fisico SPOT MAT'!W263)/'Fisico SPOT MAT'!AC263</f>
        <v>62.891137328113864</v>
      </c>
      <c r="AD263" s="85"/>
      <c r="AE263" s="41">
        <v>135.04878954523306</v>
      </c>
      <c r="AF263" s="42">
        <v>192.69230380955577</v>
      </c>
      <c r="AG263">
        <v>5050</v>
      </c>
      <c r="AH263" s="64">
        <f t="shared" si="72"/>
        <v>8.6432932943032323</v>
      </c>
      <c r="AJ263" s="41">
        <v>0.85</v>
      </c>
      <c r="AK263">
        <v>362</v>
      </c>
    </row>
    <row r="264" spans="1:37" hidden="1" x14ac:dyDescent="0.3">
      <c r="A264" s="3">
        <f>+'Mono ASIG'!A264</f>
        <v>1410.2904000000001</v>
      </c>
      <c r="B264" s="3">
        <f>+'Mono ASIG'!B264</f>
        <v>1399.4749999999999</v>
      </c>
      <c r="C264" s="1">
        <f>+'Mono ASIG'!C264</f>
        <v>2026</v>
      </c>
      <c r="D264" s="1">
        <f t="shared" si="93"/>
        <v>5</v>
      </c>
      <c r="E264" s="1">
        <f>+'Fisico SPOT MAT'!E264</f>
        <v>16</v>
      </c>
      <c r="F264" s="1" t="str">
        <f>+'Mono ASIG'!F264</f>
        <v>jue</v>
      </c>
      <c r="G264" s="56">
        <f>+'Mono ASIG'!G264</f>
        <v>46170</v>
      </c>
      <c r="H264" s="17">
        <f t="shared" si="94"/>
        <v>149.0144719053101</v>
      </c>
      <c r="I264" s="17">
        <f t="shared" si="95"/>
        <v>234.07748431705409</v>
      </c>
      <c r="J264" s="17">
        <v>29.725738057811959</v>
      </c>
      <c r="K264" s="17">
        <v>29.725738057811959</v>
      </c>
      <c r="L264" s="17">
        <v>32</v>
      </c>
      <c r="M264" s="44">
        <f>SUMPRODUCT(H264:L264,'Fisico SPOT MAT'!H264:L264)*24</f>
        <v>23238574.478323095</v>
      </c>
      <c r="N264" s="19">
        <f>+'Fisico SPOT MAT'!AH264</f>
        <v>16.242073468917713</v>
      </c>
      <c r="O264" s="19">
        <f t="shared" si="96"/>
        <v>13.950276243093922</v>
      </c>
      <c r="P264" s="19">
        <v>6</v>
      </c>
      <c r="Q264" s="19">
        <v>6</v>
      </c>
      <c r="R264" s="19">
        <v>0</v>
      </c>
      <c r="S264" s="44">
        <f>SUMPRODUCT(N264:R264,'Fisico SPOT MAT'!N264:R264)*E264</f>
        <v>3629122.8047145493</v>
      </c>
      <c r="T264" s="17">
        <v>70</v>
      </c>
      <c r="U264" s="17">
        <v>18</v>
      </c>
      <c r="V264" s="17">
        <v>50</v>
      </c>
      <c r="W264" s="17">
        <v>60</v>
      </c>
      <c r="X264" s="28">
        <f>SUMPRODUCT(T264:W264,'Fisico SPOT MAT'!T264:W264)*24</f>
        <v>2681274.4699999988</v>
      </c>
      <c r="Y264" s="19">
        <v>0</v>
      </c>
      <c r="Z264" s="19">
        <v>5</v>
      </c>
      <c r="AA264" s="19">
        <v>0</v>
      </c>
      <c r="AB264" s="28">
        <f>SUMPRODUCT(Y264:AA264,'Fisico SPOT MAT'!Y264:AA264)*E264</f>
        <v>41200</v>
      </c>
      <c r="AC264" s="122">
        <f>(T264*'Fisico SPOT MAT'!T264+'Mono SPOT MAT'!V264*'Fisico SPOT MAT'!V264+'Mono SPOT MAT'!W264*'Fisico SPOT MAT'!W264)/'Fisico SPOT MAT'!AC264</f>
        <v>63.290749298483092</v>
      </c>
      <c r="AD264" s="85"/>
      <c r="AE264" s="41">
        <v>139.23838117593453</v>
      </c>
      <c r="AF264" s="42">
        <v>224.30139358767852</v>
      </c>
      <c r="AG264">
        <v>5050</v>
      </c>
      <c r="AH264" s="64">
        <f t="shared" si="72"/>
        <v>8.9260907293755825</v>
      </c>
      <c r="AJ264" s="41">
        <v>0.85</v>
      </c>
      <c r="AK264">
        <v>362</v>
      </c>
    </row>
    <row r="265" spans="1:37" hidden="1" x14ac:dyDescent="0.3">
      <c r="A265" s="3">
        <f>+'Mono ASIG'!A265</f>
        <v>1410.2904000000001</v>
      </c>
      <c r="B265" s="3">
        <f>+'Mono ASIG'!B265</f>
        <v>1399.4749999999999</v>
      </c>
      <c r="C265" s="1">
        <f>+'Mono ASIG'!C265</f>
        <v>2026</v>
      </c>
      <c r="D265" s="1">
        <f t="shared" si="93"/>
        <v>5</v>
      </c>
      <c r="E265" s="1">
        <f>+'Fisico SPOT MAT'!E265</f>
        <v>16</v>
      </c>
      <c r="F265" s="1" t="str">
        <f>+'Mono ASIG'!F265</f>
        <v>vie</v>
      </c>
      <c r="G265" s="56">
        <f>+'Mono ASIG'!G265</f>
        <v>46171</v>
      </c>
      <c r="H265" s="17">
        <f t="shared" si="94"/>
        <v>143.87327579728887</v>
      </c>
      <c r="I265" s="17">
        <f t="shared" si="95"/>
        <v>233.30607811966331</v>
      </c>
      <c r="J265" s="17">
        <v>29.819932920493869</v>
      </c>
      <c r="K265" s="17">
        <v>29.819932920493869</v>
      </c>
      <c r="L265" s="17">
        <v>32</v>
      </c>
      <c r="M265" s="44">
        <f>SUMPRODUCT(H265:L265,'Fisico SPOT MAT'!H265:L265)*24</f>
        <v>22193303.487474486</v>
      </c>
      <c r="N265" s="19">
        <f>+'Fisico SPOT MAT'!AH265</f>
        <v>16.25335920904396</v>
      </c>
      <c r="O265" s="19">
        <f t="shared" si="96"/>
        <v>13.950276243093922</v>
      </c>
      <c r="P265" s="19">
        <v>6</v>
      </c>
      <c r="Q265" s="19">
        <v>6</v>
      </c>
      <c r="R265" s="19">
        <v>0</v>
      </c>
      <c r="S265" s="44">
        <f>SUMPRODUCT(N265:R265,'Fisico SPOT MAT'!N265:R265)*E265</f>
        <v>3665115.4522651946</v>
      </c>
      <c r="T265" s="17">
        <v>70</v>
      </c>
      <c r="U265" s="17">
        <v>18</v>
      </c>
      <c r="V265" s="17">
        <v>50</v>
      </c>
      <c r="W265" s="17">
        <v>60</v>
      </c>
      <c r="X265" s="28">
        <f>SUMPRODUCT(T265:W265,'Fisico SPOT MAT'!T265:W265)*24</f>
        <v>2391655.9400000004</v>
      </c>
      <c r="Y265" s="19">
        <v>0</v>
      </c>
      <c r="Z265" s="19">
        <v>5</v>
      </c>
      <c r="AA265" s="19">
        <v>0</v>
      </c>
      <c r="AB265" s="28">
        <f>SUMPRODUCT(Y265:AA265,'Fisico SPOT MAT'!Y265:AA265)*E265</f>
        <v>41200</v>
      </c>
      <c r="AC265" s="122">
        <f>(T265*'Fisico SPOT MAT'!T265+'Mono SPOT MAT'!V265*'Fisico SPOT MAT'!V265+'Mono SPOT MAT'!W265*'Fisico SPOT MAT'!W265)/'Fisico SPOT MAT'!AC265</f>
        <v>63.94940532781628</v>
      </c>
      <c r="AD265" s="85"/>
      <c r="AE265" s="41">
        <v>134.42227240963828</v>
      </c>
      <c r="AF265" s="42">
        <v>223.85507473201272</v>
      </c>
      <c r="AG265">
        <v>5050</v>
      </c>
      <c r="AH265" s="64">
        <f t="shared" si="72"/>
        <v>8.601003387650584</v>
      </c>
      <c r="AJ265" s="41">
        <v>0.85</v>
      </c>
      <c r="AK265">
        <v>362</v>
      </c>
    </row>
    <row r="266" spans="1:37" hidden="1" x14ac:dyDescent="0.3">
      <c r="A266" s="3">
        <f>+'Mono ASIG'!A266</f>
        <v>1410.2904000000001</v>
      </c>
      <c r="B266" s="3">
        <f>+'Mono ASIG'!B266</f>
        <v>1399.4749999999999</v>
      </c>
      <c r="C266" s="1">
        <f>+'Mono ASIG'!C266</f>
        <v>2026</v>
      </c>
      <c r="D266" s="1">
        <f t="shared" si="93"/>
        <v>5</v>
      </c>
      <c r="E266" s="1">
        <f>+'Fisico SPOT MAT'!E266</f>
        <v>6</v>
      </c>
      <c r="F266" s="1" t="str">
        <f>+'Mono ASIG'!F266</f>
        <v>sáb</v>
      </c>
      <c r="G266" s="56">
        <f>+'Mono ASIG'!G266</f>
        <v>46172</v>
      </c>
      <c r="H266" s="17">
        <f t="shared" si="94"/>
        <v>135.19068310249864</v>
      </c>
      <c r="I266" s="17">
        <f t="shared" si="95"/>
        <v>228.41999165746682</v>
      </c>
      <c r="J266" s="17">
        <v>30.090735179078134</v>
      </c>
      <c r="K266" s="17">
        <v>30.090735179078134</v>
      </c>
      <c r="L266" s="17">
        <v>32</v>
      </c>
      <c r="M266" s="44">
        <f>SUMPRODUCT(H266:L266,'Fisico SPOT MAT'!H266:L266)*24</f>
        <v>18163346.881137215</v>
      </c>
      <c r="N266" s="19">
        <f>+'Fisico SPOT MAT'!AH266</f>
        <v>16.270221499404972</v>
      </c>
      <c r="O266" s="19">
        <f>AG266/AK266</f>
        <v>13.950276243093922</v>
      </c>
      <c r="P266" s="19">
        <v>6</v>
      </c>
      <c r="Q266" s="19">
        <v>6</v>
      </c>
      <c r="R266" s="19">
        <v>0</v>
      </c>
      <c r="S266" s="44">
        <f>SUMPRODUCT(N266:R266,'Fisico SPOT MAT'!N266:R266)*E266</f>
        <v>1387502.8363121548</v>
      </c>
      <c r="T266" s="17">
        <v>70</v>
      </c>
      <c r="U266" s="17">
        <v>18</v>
      </c>
      <c r="V266" s="17">
        <v>50</v>
      </c>
      <c r="W266" s="17">
        <v>60</v>
      </c>
      <c r="X266" s="28">
        <f>SUMPRODUCT(T266:W266,'Fisico SPOT MAT'!T266:W266)*24</f>
        <v>2724783.5400000005</v>
      </c>
      <c r="Y266" s="19">
        <v>0</v>
      </c>
      <c r="Z266" s="19">
        <v>5</v>
      </c>
      <c r="AA266" s="19">
        <v>0</v>
      </c>
      <c r="AB266" s="28">
        <f>SUMPRODUCT(Y266:AA266,'Fisico SPOT MAT'!Y266:AA266)*E266</f>
        <v>15450</v>
      </c>
      <c r="AC266" s="122">
        <f>(T266*'Fisico SPOT MAT'!T266+'Mono SPOT MAT'!V266*'Fisico SPOT MAT'!V266+'Mono SPOT MAT'!W266*'Fisico SPOT MAT'!W266)/'Fisico SPOT MAT'!AC266</f>
        <v>63.468428219062645</v>
      </c>
      <c r="AD266" s="85"/>
      <c r="AE266" s="41">
        <v>126.28869611475282</v>
      </c>
      <c r="AF266" s="42">
        <v>219.51800466972102</v>
      </c>
      <c r="AG266">
        <v>5050</v>
      </c>
      <c r="AH266" s="64">
        <f t="shared" si="72"/>
        <v>8.051986987745817</v>
      </c>
      <c r="AJ266" s="41">
        <v>0.85</v>
      </c>
      <c r="AK266">
        <v>362</v>
      </c>
    </row>
    <row r="267" spans="1:37" hidden="1" x14ac:dyDescent="0.3">
      <c r="A267" s="3">
        <f>+'Mono ASIG'!A267</f>
        <v>1410.2904000000001</v>
      </c>
      <c r="B267" s="3">
        <f>+'Mono ASIG'!B267</f>
        <v>1399.4749999999999</v>
      </c>
      <c r="C267" s="1">
        <f>+'Mono ASIG'!C267</f>
        <v>2026</v>
      </c>
      <c r="D267" s="1">
        <f t="shared" ref="D267" si="97">MONTH(G267)</f>
        <v>5</v>
      </c>
      <c r="E267" s="1">
        <f>+'Fisico SPOT MAT'!E267</f>
        <v>4</v>
      </c>
      <c r="F267" s="1" t="str">
        <f>+'Mono ASIG'!F267</f>
        <v>dom</v>
      </c>
      <c r="G267" s="56">
        <f>+'Mono ASIG'!G267</f>
        <v>46173</v>
      </c>
      <c r="H267" s="17">
        <f t="shared" ref="H267" si="98">+AE267+AH267+AI267+AJ267</f>
        <v>125.29322862202575</v>
      </c>
      <c r="I267" s="17">
        <f t="shared" ref="I267" si="99">+AF267+AH267+AI267+AJ267</f>
        <v>234.3648031441808</v>
      </c>
      <c r="J267" s="17">
        <v>29.829359700090855</v>
      </c>
      <c r="K267" s="17">
        <v>29.829359700090855</v>
      </c>
      <c r="L267" s="17">
        <v>32</v>
      </c>
      <c r="M267" s="44">
        <f>SUMPRODUCT(H267:L267,'Fisico SPOT MAT'!H267:L267)*24</f>
        <v>16102546.507578056</v>
      </c>
      <c r="N267" s="19">
        <f>+'Fisico SPOT MAT'!AH267</f>
        <v>16.283097542415092</v>
      </c>
      <c r="O267" s="19">
        <f>AG267/AK267</f>
        <v>13.950276243093922</v>
      </c>
      <c r="P267" s="19">
        <v>6</v>
      </c>
      <c r="Q267" s="19">
        <v>6</v>
      </c>
      <c r="R267" s="19">
        <v>0</v>
      </c>
      <c r="S267" s="44">
        <f>SUMPRODUCT(N267:R267,'Fisico SPOT MAT'!N267:R267)*E267</f>
        <v>931714.21278084745</v>
      </c>
      <c r="T267" s="17">
        <v>70</v>
      </c>
      <c r="U267" s="17">
        <v>18</v>
      </c>
      <c r="V267" s="17">
        <v>50</v>
      </c>
      <c r="W267" s="17">
        <v>60</v>
      </c>
      <c r="X267" s="28">
        <f>SUMPRODUCT(T267:W267,'Fisico SPOT MAT'!T267:W267)*24</f>
        <v>2767429.6000000024</v>
      </c>
      <c r="Y267" s="19">
        <v>0</v>
      </c>
      <c r="Z267" s="19">
        <v>5</v>
      </c>
      <c r="AA267" s="19">
        <v>0</v>
      </c>
      <c r="AB267" s="28">
        <f>SUMPRODUCT(Y267:AA267,'Fisico SPOT MAT'!Y267:AA267)*E267</f>
        <v>10300</v>
      </c>
      <c r="AC267" s="122">
        <f>(T267*'Fisico SPOT MAT'!T267+'Mono SPOT MAT'!V267*'Fisico SPOT MAT'!V267+'Mono SPOT MAT'!W267*'Fisico SPOT MAT'!W267)/'Fisico SPOT MAT'!AC267</f>
        <v>63.418202298439461</v>
      </c>
      <c r="AD267" s="85"/>
      <c r="AE267" s="41">
        <v>117.01707599252998</v>
      </c>
      <c r="AF267" s="42">
        <v>226.08865051468501</v>
      </c>
      <c r="AG267">
        <v>5050</v>
      </c>
      <c r="AH267" s="64">
        <f t="shared" si="72"/>
        <v>7.4261526294957747</v>
      </c>
      <c r="AJ267" s="41">
        <v>0.85</v>
      </c>
      <c r="AK267">
        <v>362</v>
      </c>
    </row>
    <row r="268" spans="1:37" hidden="1" x14ac:dyDescent="0.3">
      <c r="A268" s="3">
        <f>+'Mono ASIG'!A268</f>
        <v>1483.0198</v>
      </c>
      <c r="B268" s="3">
        <f>+'Mono ASIG'!B268</f>
        <v>1407.8889999999999</v>
      </c>
      <c r="C268" s="1">
        <f>+'Mono ASIG'!C268</f>
        <v>2026</v>
      </c>
      <c r="D268" s="1">
        <f t="shared" ref="D268:D274" si="100">MONTH(G268)</f>
        <v>6</v>
      </c>
      <c r="E268" s="1">
        <f>+'Fisico SPOT MAT'!E268</f>
        <v>16</v>
      </c>
      <c r="F268" s="1" t="str">
        <f>+'Mono ASIG'!F268</f>
        <v>lun</v>
      </c>
      <c r="G268" s="56">
        <f>+'Mono ASIG'!G268</f>
        <v>46174</v>
      </c>
      <c r="H268" s="17">
        <f t="shared" ref="H268:H274" si="101">+AE268+AH268+AI268+AJ268</f>
        <v>169.29342280923763</v>
      </c>
      <c r="I268" s="17">
        <f t="shared" ref="I268:I274" si="102">+AF268+AH268+AI268+AJ268</f>
        <v>137.07289577983096</v>
      </c>
      <c r="J268" s="17">
        <v>31.166700600299052</v>
      </c>
      <c r="K268" s="17">
        <v>31.166700600299052</v>
      </c>
      <c r="L268" s="17">
        <f>+Precios!E268</f>
        <v>231.53314403465808</v>
      </c>
      <c r="M268" s="44">
        <f>SUMPRODUCT(H268:L268,'Fisico SPOT MAT'!H268:L268)*24</f>
        <v>24126179.023994293</v>
      </c>
      <c r="N268" s="19">
        <f>+'Fisico SPOT MAT'!AH268</f>
        <v>16.855535827346614</v>
      </c>
      <c r="O268" s="19">
        <f t="shared" ref="O268:O274" si="103">AG268/AK268</f>
        <v>13.359788359788359</v>
      </c>
      <c r="P268" s="19">
        <v>6</v>
      </c>
      <c r="Q268" s="19">
        <v>6</v>
      </c>
      <c r="R268" s="19">
        <v>0</v>
      </c>
      <c r="S268" s="44">
        <f>SUMPRODUCT(N268:R268,'Fisico SPOT MAT'!N268:R268)*E268</f>
        <v>3729662.3930694889</v>
      </c>
      <c r="T268" s="17">
        <v>70</v>
      </c>
      <c r="U268" s="17">
        <v>18</v>
      </c>
      <c r="V268" s="17">
        <v>50</v>
      </c>
      <c r="W268" s="17">
        <v>60</v>
      </c>
      <c r="X268" s="28">
        <f>SUMPRODUCT(T268:W268,'Fisico SPOT MAT'!T268:W268)*24</f>
        <v>3058692.8260000017</v>
      </c>
      <c r="Y268" s="19">
        <v>0</v>
      </c>
      <c r="Z268" s="19">
        <v>5</v>
      </c>
      <c r="AA268" s="19">
        <v>0</v>
      </c>
      <c r="AB268" s="28">
        <f>SUMPRODUCT(Y268:AA268,'Fisico SPOT MAT'!Y268:AA268)*E268</f>
        <v>103337.60399999999</v>
      </c>
      <c r="AC268" s="122">
        <f>(T268*'Fisico SPOT MAT'!T268+'Mono SPOT MAT'!V268*'Fisico SPOT MAT'!V268+'Mono SPOT MAT'!W268*'Fisico SPOT MAT'!W268)/'Fisico SPOT MAT'!AC268</f>
        <v>62.52510088450294</v>
      </c>
      <c r="AD268" s="5"/>
      <c r="AE268" s="41">
        <v>155.89313612106571</v>
      </c>
      <c r="AF268" s="42">
        <v>123.67260909165903</v>
      </c>
      <c r="AG268">
        <v>5050</v>
      </c>
      <c r="AH268" s="64">
        <f>0.075*0.9*(AE268-7)</f>
        <v>10.050286688171935</v>
      </c>
      <c r="AI268">
        <v>2.5</v>
      </c>
      <c r="AJ268" s="41">
        <v>0.85</v>
      </c>
      <c r="AK268">
        <v>378</v>
      </c>
    </row>
    <row r="269" spans="1:37" hidden="1" x14ac:dyDescent="0.3">
      <c r="A269" s="3">
        <f>+'Mono ASIG'!A269</f>
        <v>1483.0198</v>
      </c>
      <c r="B269" s="3">
        <f>+'Mono ASIG'!B269</f>
        <v>1407.8889999999999</v>
      </c>
      <c r="C269" s="1">
        <f>+'Mono ASIG'!C269</f>
        <v>2026</v>
      </c>
      <c r="D269" s="1">
        <f t="shared" si="100"/>
        <v>6</v>
      </c>
      <c r="E269" s="1">
        <f>+'Fisico SPOT MAT'!E269</f>
        <v>16</v>
      </c>
      <c r="F269" s="1" t="str">
        <f>+'Mono ASIG'!F269</f>
        <v>mar</v>
      </c>
      <c r="G269" s="56">
        <f>+'Mono ASIG'!G269</f>
        <v>46175</v>
      </c>
      <c r="H269" s="17">
        <f t="shared" si="101"/>
        <v>170.3965836505196</v>
      </c>
      <c r="I269" s="17">
        <f t="shared" si="102"/>
        <v>59.901274927404998</v>
      </c>
      <c r="J269" s="17">
        <v>28.889919022273869</v>
      </c>
      <c r="K269" s="17">
        <v>28.889919022273869</v>
      </c>
      <c r="L269" s="17">
        <f>+Precios!E269</f>
        <v>206.43680448265533</v>
      </c>
      <c r="M269" s="44">
        <f>SUMPRODUCT(H269:L269,'Fisico SPOT MAT'!H269:L269)*24</f>
        <v>24264417.160900198</v>
      </c>
      <c r="N269" s="19">
        <f>+'Fisico SPOT MAT'!AH269</f>
        <v>16.873886441581352</v>
      </c>
      <c r="O269" s="19">
        <f t="shared" si="103"/>
        <v>13.359788359788359</v>
      </c>
      <c r="P269" s="19">
        <v>6</v>
      </c>
      <c r="Q269" s="19">
        <v>6</v>
      </c>
      <c r="R269" s="19">
        <v>0</v>
      </c>
      <c r="S269" s="44">
        <f>SUMPRODUCT(N269:R269,'Fisico SPOT MAT'!N269:R269)*E269</f>
        <v>3789427.6538955895</v>
      </c>
      <c r="T269" s="17">
        <v>70</v>
      </c>
      <c r="U269" s="17">
        <v>18</v>
      </c>
      <c r="V269" s="17">
        <v>50</v>
      </c>
      <c r="W269" s="17">
        <v>60</v>
      </c>
      <c r="X269" s="28">
        <f>SUMPRODUCT(T269:W269,'Fisico SPOT MAT'!T269:W269)*24</f>
        <v>3280200.6739999973</v>
      </c>
      <c r="Y269" s="19">
        <v>0</v>
      </c>
      <c r="Z269" s="19">
        <v>5</v>
      </c>
      <c r="AA269" s="19">
        <v>0</v>
      </c>
      <c r="AB269" s="28">
        <f>SUMPRODUCT(Y269:AA269,'Fisico SPOT MAT'!Y269:AA269)*E269</f>
        <v>103625.223</v>
      </c>
      <c r="AC269" s="122">
        <f>(T269*'Fisico SPOT MAT'!T269+'Mono SPOT MAT'!V269*'Fisico SPOT MAT'!V269+'Mono SPOT MAT'!W269*'Fisico SPOT MAT'!W269)/'Fisico SPOT MAT'!AC269</f>
        <v>62.428314380327727</v>
      </c>
      <c r="AD269" s="94"/>
      <c r="AE269" s="41">
        <v>156.92654206137669</v>
      </c>
      <c r="AF269" s="42">
        <v>46.431233338262068</v>
      </c>
      <c r="AG269">
        <v>5050</v>
      </c>
      <c r="AH269" s="64">
        <f t="shared" ref="AH269:AH328" si="104">0.075*0.9*(AE269-7)</f>
        <v>10.120041589142927</v>
      </c>
      <c r="AI269">
        <v>2.5</v>
      </c>
      <c r="AJ269" s="41">
        <v>0.85</v>
      </c>
      <c r="AK269">
        <v>378</v>
      </c>
    </row>
    <row r="270" spans="1:37" hidden="1" x14ac:dyDescent="0.3">
      <c r="A270" s="3">
        <f>+'Mono ASIG'!A270</f>
        <v>1483.0198</v>
      </c>
      <c r="B270" s="3">
        <f>+'Mono ASIG'!B270</f>
        <v>1407.8889999999999</v>
      </c>
      <c r="C270" s="1">
        <f>+'Mono ASIG'!C270</f>
        <v>2026</v>
      </c>
      <c r="D270" s="1">
        <f t="shared" si="100"/>
        <v>6</v>
      </c>
      <c r="E270" s="1">
        <f>+'Fisico SPOT MAT'!E270</f>
        <v>16</v>
      </c>
      <c r="F270" s="1" t="str">
        <f>+'Mono ASIG'!F270</f>
        <v>mié</v>
      </c>
      <c r="G270" s="56">
        <f>+'Mono ASIG'!G270</f>
        <v>46176</v>
      </c>
      <c r="H270" s="17">
        <f t="shared" si="101"/>
        <v>172.70299885891441</v>
      </c>
      <c r="I270" s="17">
        <f t="shared" si="102"/>
        <v>61.411914351086253</v>
      </c>
      <c r="J270" s="17">
        <v>28.963026622055519</v>
      </c>
      <c r="K270" s="17">
        <v>28.963026622055519</v>
      </c>
      <c r="L270" s="17">
        <f>+Precios!E270</f>
        <v>186.19028124953144</v>
      </c>
      <c r="M270" s="44">
        <f>SUMPRODUCT(H270:L270,'Fisico SPOT MAT'!H270:L270)*24</f>
        <v>23937478.949912071</v>
      </c>
      <c r="N270" s="19">
        <f>+'Fisico SPOT MAT'!AH270</f>
        <v>16.87854880529153</v>
      </c>
      <c r="O270" s="19">
        <f t="shared" si="103"/>
        <v>13.359788359788359</v>
      </c>
      <c r="P270" s="19">
        <v>6</v>
      </c>
      <c r="Q270" s="19">
        <v>6</v>
      </c>
      <c r="R270" s="19">
        <v>0</v>
      </c>
      <c r="S270" s="44">
        <f>SUMPRODUCT(N270:R270,'Fisico SPOT MAT'!N270:R270)*E270</f>
        <v>3804828.6530024684</v>
      </c>
      <c r="T270" s="17">
        <v>70</v>
      </c>
      <c r="U270" s="17">
        <v>18</v>
      </c>
      <c r="V270" s="17">
        <v>50</v>
      </c>
      <c r="W270" s="17">
        <v>60</v>
      </c>
      <c r="X270" s="28">
        <f>SUMPRODUCT(T270:W270,'Fisico SPOT MAT'!T270:W270)*24</f>
        <v>3468327.743999999</v>
      </c>
      <c r="Y270" s="19">
        <v>0</v>
      </c>
      <c r="Z270" s="19">
        <v>5</v>
      </c>
      <c r="AA270" s="19">
        <v>0</v>
      </c>
      <c r="AB270" s="28">
        <f>SUMPRODUCT(Y270:AA270,'Fisico SPOT MAT'!Y270:AA270)*E270</f>
        <v>103840.82399999999</v>
      </c>
      <c r="AC270" s="122">
        <f>(T270*'Fisico SPOT MAT'!T270+'Mono SPOT MAT'!V270*'Fisico SPOT MAT'!V270+'Mono SPOT MAT'!W270*'Fisico SPOT MAT'!W270)/'Fisico SPOT MAT'!AC270</f>
        <v>62.319122790057641</v>
      </c>
      <c r="AD270" s="5"/>
      <c r="AE270" s="41">
        <v>159.08711836900648</v>
      </c>
      <c r="AF270" s="42">
        <v>47.796033861178316</v>
      </c>
      <c r="AG270">
        <v>5050</v>
      </c>
      <c r="AH270" s="64">
        <f t="shared" si="104"/>
        <v>10.265880489907937</v>
      </c>
      <c r="AI270">
        <v>2.5</v>
      </c>
      <c r="AJ270" s="41">
        <v>0.85</v>
      </c>
      <c r="AK270">
        <v>378</v>
      </c>
    </row>
    <row r="271" spans="1:37" hidden="1" x14ac:dyDescent="0.3">
      <c r="A271" s="3">
        <f>+'Mono ASIG'!A271</f>
        <v>1483.0198</v>
      </c>
      <c r="B271" s="3">
        <f>+'Mono ASIG'!B271</f>
        <v>1407.8889999999999</v>
      </c>
      <c r="C271" s="1">
        <f>+'Mono ASIG'!C271</f>
        <v>2026</v>
      </c>
      <c r="D271" s="1">
        <f t="shared" si="100"/>
        <v>6</v>
      </c>
      <c r="E271" s="1">
        <f>+'Fisico SPOT MAT'!E271</f>
        <v>16</v>
      </c>
      <c r="F271" s="1" t="str">
        <f>+'Mono ASIG'!F271</f>
        <v>jue</v>
      </c>
      <c r="G271" s="56">
        <f>+'Mono ASIG'!G271</f>
        <v>46177</v>
      </c>
      <c r="H271" s="17">
        <f t="shared" si="101"/>
        <v>174.41030643096343</v>
      </c>
      <c r="I271" s="17">
        <f t="shared" si="102"/>
        <v>59.243381521752781</v>
      </c>
      <c r="J271" s="17">
        <v>29.151246672915725</v>
      </c>
      <c r="K271" s="17">
        <v>29.151246672915725</v>
      </c>
      <c r="L271" s="17">
        <f>+Precios!E271</f>
        <v>229.65020306570639</v>
      </c>
      <c r="M271" s="44">
        <f>SUMPRODUCT(H271:L271,'Fisico SPOT MAT'!H271:L271)*24</f>
        <v>26918792.331039809</v>
      </c>
      <c r="N271" s="19">
        <f>+'Fisico SPOT MAT'!AH271</f>
        <v>16.882036488543378</v>
      </c>
      <c r="O271" s="19">
        <f t="shared" si="103"/>
        <v>13.359788359788359</v>
      </c>
      <c r="P271" s="19">
        <v>6</v>
      </c>
      <c r="Q271" s="19">
        <v>6</v>
      </c>
      <c r="R271" s="19">
        <v>0</v>
      </c>
      <c r="S271" s="44">
        <f>SUMPRODUCT(N271:R271,'Fisico SPOT MAT'!N271:R271)*E271</f>
        <v>3815380.2060000002</v>
      </c>
      <c r="T271" s="17">
        <v>70</v>
      </c>
      <c r="U271" s="17">
        <v>18</v>
      </c>
      <c r="V271" s="17">
        <v>50</v>
      </c>
      <c r="W271" s="17">
        <v>60</v>
      </c>
      <c r="X271" s="28">
        <f>SUMPRODUCT(T271:W271,'Fisico SPOT MAT'!T271:W271)*24</f>
        <v>2414877.9990000008</v>
      </c>
      <c r="Y271" s="19">
        <v>0</v>
      </c>
      <c r="Z271" s="19">
        <v>5</v>
      </c>
      <c r="AA271" s="19">
        <v>0</v>
      </c>
      <c r="AB271" s="28">
        <f>SUMPRODUCT(Y271:AA271,'Fisico SPOT MAT'!Y271:AA271)*E271</f>
        <v>103198.63499999999</v>
      </c>
      <c r="AC271" s="122">
        <f>(T271*'Fisico SPOT MAT'!T271+'Mono SPOT MAT'!V271*'Fisico SPOT MAT'!V271+'Mono SPOT MAT'!W271*'Fisico SPOT MAT'!W271)/'Fisico SPOT MAT'!AC271</f>
        <v>63.251164643746122</v>
      </c>
      <c r="AD271" s="5"/>
      <c r="AE271" s="41">
        <v>160.68646972455591</v>
      </c>
      <c r="AF271" s="42">
        <v>45.519544815345256</v>
      </c>
      <c r="AG271">
        <v>5050</v>
      </c>
      <c r="AH271" s="64">
        <f t="shared" si="104"/>
        <v>10.373836706407525</v>
      </c>
      <c r="AI271">
        <v>2.5</v>
      </c>
      <c r="AJ271" s="41">
        <v>0.85</v>
      </c>
      <c r="AK271">
        <v>378</v>
      </c>
    </row>
    <row r="272" spans="1:37" hidden="1" x14ac:dyDescent="0.3">
      <c r="A272" s="3">
        <f>+'Mono ASIG'!A272</f>
        <v>1483.0198</v>
      </c>
      <c r="B272" s="3">
        <f>+'Mono ASIG'!B272</f>
        <v>1407.8889999999999</v>
      </c>
      <c r="C272" s="1">
        <f>+'Mono ASIG'!C272</f>
        <v>2026</v>
      </c>
      <c r="D272" s="1">
        <f t="shared" si="100"/>
        <v>6</v>
      </c>
      <c r="E272" s="1">
        <f>+'Fisico SPOT MAT'!E272</f>
        <v>16</v>
      </c>
      <c r="F272" s="1" t="str">
        <f>+'Mono ASIG'!F272</f>
        <v>vie</v>
      </c>
      <c r="G272" s="56">
        <f>+'Mono ASIG'!G272</f>
        <v>46178</v>
      </c>
      <c r="H272" s="17">
        <f t="shared" si="101"/>
        <v>167.62455331520624</v>
      </c>
      <c r="I272" s="17">
        <f t="shared" si="102"/>
        <v>58.178611656502873</v>
      </c>
      <c r="J272" s="17">
        <v>30.661101049643964</v>
      </c>
      <c r="K272" s="17">
        <v>30.661101049643964</v>
      </c>
      <c r="L272" s="17">
        <f>+Precios!E272</f>
        <v>225.99750876633465</v>
      </c>
      <c r="M272" s="44">
        <f>SUMPRODUCT(H272:L272,'Fisico SPOT MAT'!H272:L272)*24</f>
        <v>25701388.94777514</v>
      </c>
      <c r="N272" s="19">
        <f>+'Fisico SPOT MAT'!AH272</f>
        <v>16.883560095813415</v>
      </c>
      <c r="O272" s="19">
        <f t="shared" si="103"/>
        <v>13.359788359788359</v>
      </c>
      <c r="P272" s="19">
        <v>6</v>
      </c>
      <c r="Q272" s="19">
        <v>6</v>
      </c>
      <c r="R272" s="19">
        <v>0</v>
      </c>
      <c r="S272" s="44">
        <f>SUMPRODUCT(N272:R272,'Fisico SPOT MAT'!N272:R272)*E272</f>
        <v>3820171.8041241625</v>
      </c>
      <c r="T272" s="17">
        <v>70</v>
      </c>
      <c r="U272" s="17">
        <v>18</v>
      </c>
      <c r="V272" s="17">
        <v>50</v>
      </c>
      <c r="W272" s="17">
        <v>60</v>
      </c>
      <c r="X272" s="28">
        <f>SUMPRODUCT(T272:W272,'Fisico SPOT MAT'!T272:W272)*24</f>
        <v>2184584.0110000009</v>
      </c>
      <c r="Y272" s="19">
        <v>0</v>
      </c>
      <c r="Z272" s="19">
        <v>5</v>
      </c>
      <c r="AA272" s="19">
        <v>0</v>
      </c>
      <c r="AB272" s="28">
        <f>SUMPRODUCT(Y272:AA272,'Fisico SPOT MAT'!Y272:AA272)*E272</f>
        <v>104230.40399999999</v>
      </c>
      <c r="AC272" s="122">
        <f>(T272*'Fisico SPOT MAT'!T272+'Mono SPOT MAT'!V272*'Fisico SPOT MAT'!V272+'Mono SPOT MAT'!W272*'Fisico SPOT MAT'!W272)/'Fisico SPOT MAT'!AC272</f>
        <v>63.575958929613755</v>
      </c>
      <c r="AD272" s="85"/>
      <c r="AE272" s="41">
        <v>154.32979233274591</v>
      </c>
      <c r="AF272" s="42">
        <v>44.88385067404252</v>
      </c>
      <c r="AG272">
        <v>5050</v>
      </c>
      <c r="AH272" s="64">
        <f t="shared" si="104"/>
        <v>9.94476098246035</v>
      </c>
      <c r="AI272">
        <v>2.5</v>
      </c>
      <c r="AJ272" s="41">
        <v>0.85</v>
      </c>
      <c r="AK272">
        <v>378</v>
      </c>
    </row>
    <row r="273" spans="1:37" hidden="1" x14ac:dyDescent="0.3">
      <c r="A273" s="3">
        <f>+'Mono ASIG'!A273</f>
        <v>1483.0198</v>
      </c>
      <c r="B273" s="3">
        <f>+'Mono ASIG'!B273</f>
        <v>1407.8889999999999</v>
      </c>
      <c r="C273" s="1">
        <f>+'Mono ASIG'!C273</f>
        <v>2026</v>
      </c>
      <c r="D273" s="1">
        <f t="shared" si="100"/>
        <v>6</v>
      </c>
      <c r="E273" s="1">
        <f>+'Fisico SPOT MAT'!E273</f>
        <v>6</v>
      </c>
      <c r="F273" s="1" t="str">
        <f>+'Mono ASIG'!F273</f>
        <v>sáb</v>
      </c>
      <c r="G273" s="56">
        <f>+'Mono ASIG'!G273</f>
        <v>46179</v>
      </c>
      <c r="H273" s="17">
        <f t="shared" si="101"/>
        <v>169.01109775573025</v>
      </c>
      <c r="I273" s="17">
        <f t="shared" si="102"/>
        <v>60.100856904916533</v>
      </c>
      <c r="J273" s="17">
        <v>30.50040301238835</v>
      </c>
      <c r="K273" s="17">
        <v>30.50040301238835</v>
      </c>
      <c r="L273" s="17">
        <f>+Precios!E273</f>
        <v>217.43017609198685</v>
      </c>
      <c r="M273" s="44">
        <f>SUMPRODUCT(H273:L273,'Fisico SPOT MAT'!H273:L273)*24</f>
        <v>25324583.697756406</v>
      </c>
      <c r="N273" s="19">
        <f>+'Fisico SPOT MAT'!AH273</f>
        <v>16.881498146238524</v>
      </c>
      <c r="O273" s="19">
        <f t="shared" si="103"/>
        <v>13.359788359788359</v>
      </c>
      <c r="P273" s="19">
        <v>6</v>
      </c>
      <c r="Q273" s="19">
        <v>6</v>
      </c>
      <c r="R273" s="19">
        <v>0</v>
      </c>
      <c r="S273" s="44">
        <f>SUMPRODUCT(N273:R273,'Fisico SPOT MAT'!N273:R273)*E273</f>
        <v>1429886.0059637562</v>
      </c>
      <c r="T273" s="17">
        <v>70</v>
      </c>
      <c r="U273" s="17">
        <v>18</v>
      </c>
      <c r="V273" s="17">
        <v>50</v>
      </c>
      <c r="W273" s="17">
        <v>60</v>
      </c>
      <c r="X273" s="28">
        <f>SUMPRODUCT(T273:W273,'Fisico SPOT MAT'!T273:W273)*24</f>
        <v>1905581.5119999989</v>
      </c>
      <c r="Y273" s="19">
        <v>0</v>
      </c>
      <c r="Z273" s="19">
        <v>5</v>
      </c>
      <c r="AA273" s="19">
        <v>0</v>
      </c>
      <c r="AB273" s="28">
        <f>SUMPRODUCT(Y273:AA273,'Fisico SPOT MAT'!Y273:AA273)*E273</f>
        <v>39241.545749999997</v>
      </c>
      <c r="AC273" s="122">
        <f>(T273*'Fisico SPOT MAT'!T273+'Mono SPOT MAT'!V273*'Fisico SPOT MAT'!V273+'Mono SPOT MAT'!W273*'Fisico SPOT MAT'!W273)/'Fisico SPOT MAT'!AC273</f>
        <v>64.384485058089666</v>
      </c>
      <c r="AD273" s="85"/>
      <c r="AE273" s="41">
        <v>155.62866300302599</v>
      </c>
      <c r="AF273" s="42">
        <v>46.718422152212277</v>
      </c>
      <c r="AG273">
        <v>5050</v>
      </c>
      <c r="AH273" s="64">
        <f t="shared" si="104"/>
        <v>10.032434752704255</v>
      </c>
      <c r="AI273">
        <v>2.5</v>
      </c>
      <c r="AJ273" s="41">
        <v>0.85</v>
      </c>
      <c r="AK273">
        <v>378</v>
      </c>
    </row>
    <row r="274" spans="1:37" hidden="1" x14ac:dyDescent="0.3">
      <c r="A274" s="3">
        <f>+'Mono ASIG'!A274</f>
        <v>1483.0198</v>
      </c>
      <c r="B274" s="3">
        <f>+'Mono ASIG'!B274</f>
        <v>1407.8889999999999</v>
      </c>
      <c r="C274" s="1">
        <f>+'Mono ASIG'!C274</f>
        <v>2026</v>
      </c>
      <c r="D274" s="1">
        <f t="shared" si="100"/>
        <v>6</v>
      </c>
      <c r="E274" s="1">
        <f>+'Fisico SPOT MAT'!E274</f>
        <v>4</v>
      </c>
      <c r="F274" s="1" t="str">
        <f>+'Mono ASIG'!F274</f>
        <v>dom</v>
      </c>
      <c r="G274" s="56">
        <f>+'Mono ASIG'!G274</f>
        <v>46180</v>
      </c>
      <c r="H274" s="17">
        <f t="shared" si="101"/>
        <v>164.29700860224148</v>
      </c>
      <c r="I274" s="17">
        <f t="shared" si="102"/>
        <v>59.298503280957945</v>
      </c>
      <c r="J274" s="17">
        <v>27.047580655856489</v>
      </c>
      <c r="K274" s="17">
        <v>27.047580655856489</v>
      </c>
      <c r="L274" s="17">
        <f>+Precios!E274</f>
        <v>166.5091404096159</v>
      </c>
      <c r="M274" s="44">
        <f>SUMPRODUCT(H274:L274,'Fisico SPOT MAT'!H274:L274)*24</f>
        <v>22568358.466759942</v>
      </c>
      <c r="N274" s="19">
        <f>+'Fisico SPOT MAT'!AH274</f>
        <v>16.873801772010342</v>
      </c>
      <c r="O274" s="19">
        <f t="shared" si="103"/>
        <v>13.359788359788359</v>
      </c>
      <c r="P274" s="19">
        <v>6</v>
      </c>
      <c r="Q274" s="19">
        <v>6</v>
      </c>
      <c r="R274" s="19">
        <v>0</v>
      </c>
      <c r="S274" s="44">
        <f>SUMPRODUCT(N274:R274,'Fisico SPOT MAT'!N274:R274)*E274</f>
        <v>946902.68900440878</v>
      </c>
      <c r="T274" s="17">
        <v>70</v>
      </c>
      <c r="U274" s="17">
        <v>18</v>
      </c>
      <c r="V274" s="17">
        <v>50</v>
      </c>
      <c r="W274" s="17">
        <v>60</v>
      </c>
      <c r="X274" s="28">
        <f>SUMPRODUCT(T274:W274,'Fisico SPOT MAT'!T274:W274)*24</f>
        <v>2111359.246999999</v>
      </c>
      <c r="Y274" s="19">
        <v>0</v>
      </c>
      <c r="Z274" s="19">
        <v>5</v>
      </c>
      <c r="AA274" s="19">
        <v>0</v>
      </c>
      <c r="AB274" s="28">
        <f>SUMPRODUCT(Y274:AA274,'Fisico SPOT MAT'!Y274:AA274)*E274</f>
        <v>26161.053749999999</v>
      </c>
      <c r="AC274" s="122">
        <f>(T274*'Fisico SPOT MAT'!T274+'Mono SPOT MAT'!V274*'Fisico SPOT MAT'!V274+'Mono SPOT MAT'!W274*'Fisico SPOT MAT'!W274)/'Fisico SPOT MAT'!AC274</f>
        <v>64.07002625694939</v>
      </c>
      <c r="AD274" s="85"/>
      <c r="AE274" s="41">
        <v>151.21265442832924</v>
      </c>
      <c r="AF274" s="42">
        <v>46.214149107045721</v>
      </c>
      <c r="AG274">
        <v>5050</v>
      </c>
      <c r="AH274" s="64">
        <f t="shared" si="104"/>
        <v>9.7343541739122248</v>
      </c>
      <c r="AI274">
        <v>2.5</v>
      </c>
      <c r="AJ274" s="41">
        <v>0.85</v>
      </c>
      <c r="AK274">
        <v>378</v>
      </c>
    </row>
    <row r="275" spans="1:37" hidden="1" x14ac:dyDescent="0.3">
      <c r="A275" s="3">
        <f>+'Mono ASIG'!A275</f>
        <v>1483.0198</v>
      </c>
      <c r="B275" s="3">
        <f>+'Mono ASIG'!B275</f>
        <v>1407.8889999999999</v>
      </c>
      <c r="C275" s="1">
        <f>+'Mono ASIG'!C275</f>
        <v>2026</v>
      </c>
      <c r="D275" s="1">
        <f t="shared" ref="D275:D276" si="105">MONTH(G275)</f>
        <v>6</v>
      </c>
      <c r="E275" s="1">
        <f>+'Fisico SPOT MAT'!E275</f>
        <v>16</v>
      </c>
      <c r="F275" s="1" t="str">
        <f>+'Mono ASIG'!F275</f>
        <v>lun</v>
      </c>
      <c r="G275" s="56">
        <f>+'Mono ASIG'!G275</f>
        <v>46181</v>
      </c>
      <c r="H275" s="17">
        <f t="shared" ref="H275:H276" si="106">+AE275+AH275+AI275+AJ275</f>
        <v>167.28406847509359</v>
      </c>
      <c r="I275" s="17">
        <f t="shared" ref="I275:I276" si="107">+AF275+AH275+AI275+AJ275</f>
        <v>58.910641787409034</v>
      </c>
      <c r="J275" s="17">
        <v>28.938147650936141</v>
      </c>
      <c r="K275" s="17">
        <v>28.938147650936141</v>
      </c>
      <c r="L275" s="17">
        <f>+Precios!E275</f>
        <v>218.46703407664268</v>
      </c>
      <c r="M275" s="44">
        <f>SUMPRODUCT(H275:L275,'Fisico SPOT MAT'!H275:L275)*24</f>
        <v>27317602.933283441</v>
      </c>
      <c r="N275" s="19">
        <f>+'Fisico SPOT MAT'!AH275</f>
        <v>16.88090214829873</v>
      </c>
      <c r="O275" s="19">
        <f t="shared" ref="O275:O276" si="108">AG275/AK275</f>
        <v>13.359788359788359</v>
      </c>
      <c r="P275" s="19">
        <v>6</v>
      </c>
      <c r="Q275" s="19">
        <v>6</v>
      </c>
      <c r="R275" s="19">
        <v>0</v>
      </c>
      <c r="S275" s="44">
        <f>SUMPRODUCT(N275:R275,'Fisico SPOT MAT'!N275:R275)*E275</f>
        <v>3810723.016984127</v>
      </c>
      <c r="T275" s="17">
        <v>70</v>
      </c>
      <c r="U275" s="17">
        <v>18</v>
      </c>
      <c r="V275" s="17">
        <v>50</v>
      </c>
      <c r="W275" s="17">
        <v>60</v>
      </c>
      <c r="X275" s="28">
        <f>SUMPRODUCT(T275:W275,'Fisico SPOT MAT'!T275:W275)*24</f>
        <v>2147163.7960000015</v>
      </c>
      <c r="Y275" s="19">
        <v>0</v>
      </c>
      <c r="Z275" s="19">
        <v>5</v>
      </c>
      <c r="AA275" s="19">
        <v>0</v>
      </c>
      <c r="AB275" s="28">
        <f>SUMPRODUCT(Y275:AA275,'Fisico SPOT MAT'!Y275:AA275)*E275</f>
        <v>105003.97499999999</v>
      </c>
      <c r="AC275" s="122">
        <f>(T275*'Fisico SPOT MAT'!T275+'Mono SPOT MAT'!V275*'Fisico SPOT MAT'!V275+'Mono SPOT MAT'!W275*'Fisico SPOT MAT'!W275)/'Fisico SPOT MAT'!AC275</f>
        <v>63.631299015842686</v>
      </c>
      <c r="AD275" s="85"/>
      <c r="AE275" s="41">
        <v>154.01083697901041</v>
      </c>
      <c r="AF275" s="42">
        <v>45.637410291325828</v>
      </c>
      <c r="AG275">
        <v>5050</v>
      </c>
      <c r="AH275" s="64">
        <f t="shared" si="104"/>
        <v>9.9232314960832024</v>
      </c>
      <c r="AI275">
        <v>2.5</v>
      </c>
      <c r="AJ275" s="41">
        <v>0.85</v>
      </c>
      <c r="AK275">
        <v>378</v>
      </c>
    </row>
    <row r="276" spans="1:37" hidden="1" x14ac:dyDescent="0.3">
      <c r="A276" s="3">
        <f>+'Mono ASIG'!A276</f>
        <v>1483.0198</v>
      </c>
      <c r="B276" s="3">
        <f>+'Mono ASIG'!B276</f>
        <v>1407.8889999999999</v>
      </c>
      <c r="C276" s="1">
        <f>+'Mono ASIG'!C276</f>
        <v>2026</v>
      </c>
      <c r="D276" s="1">
        <f t="shared" si="105"/>
        <v>6</v>
      </c>
      <c r="E276" s="1">
        <f>+'Fisico SPOT MAT'!E276</f>
        <v>16</v>
      </c>
      <c r="F276" s="1" t="str">
        <f>+'Mono ASIG'!F276</f>
        <v>mar</v>
      </c>
      <c r="G276" s="56">
        <f>+'Mono ASIG'!G276</f>
        <v>46182</v>
      </c>
      <c r="H276" s="17">
        <f t="shared" si="106"/>
        <v>169.45952985852725</v>
      </c>
      <c r="I276" s="17">
        <f t="shared" si="107"/>
        <v>59.601244842655639</v>
      </c>
      <c r="J276" s="17">
        <v>29.163446966579489</v>
      </c>
      <c r="K276" s="17">
        <v>29.163446966579489</v>
      </c>
      <c r="L276" s="17">
        <f>+Precios!E276</f>
        <v>226.17379752553924</v>
      </c>
      <c r="M276" s="44">
        <f>SUMPRODUCT(H276:L276,'Fisico SPOT MAT'!H276:L276)*24</f>
        <v>28090506.262068219</v>
      </c>
      <c r="N276" s="19">
        <f>+'Fisico SPOT MAT'!AH276</f>
        <v>16.890638736510965</v>
      </c>
      <c r="O276" s="19">
        <f t="shared" si="108"/>
        <v>13.359788359788359</v>
      </c>
      <c r="P276" s="19">
        <v>6</v>
      </c>
      <c r="Q276" s="19">
        <v>6</v>
      </c>
      <c r="R276" s="19">
        <v>0</v>
      </c>
      <c r="S276" s="44">
        <f>SUMPRODUCT(N276:R276,'Fisico SPOT MAT'!N276:R276)*E276</f>
        <v>3842642.6067760135</v>
      </c>
      <c r="T276" s="17">
        <v>70</v>
      </c>
      <c r="U276" s="17">
        <v>18</v>
      </c>
      <c r="V276" s="17">
        <v>50</v>
      </c>
      <c r="W276" s="17">
        <v>60</v>
      </c>
      <c r="X276" s="28">
        <f>SUMPRODUCT(T276:W276,'Fisico SPOT MAT'!T276:W276)*24</f>
        <v>2648854.5459999996</v>
      </c>
      <c r="Y276" s="19">
        <v>0</v>
      </c>
      <c r="Z276" s="19">
        <v>5</v>
      </c>
      <c r="AA276" s="19">
        <v>0</v>
      </c>
      <c r="AB276" s="28">
        <f>SUMPRODUCT(Y276:AA276,'Fisico SPOT MAT'!Y276:AA276)*E276</f>
        <v>104428.2</v>
      </c>
      <c r="AC276" s="122">
        <f>(T276*'Fisico SPOT MAT'!T276+'Mono SPOT MAT'!V276*'Fisico SPOT MAT'!V276+'Mono SPOT MAT'!W276*'Fisico SPOT MAT'!W276)/'Fisico SPOT MAT'!AC276</f>
        <v>62.953399465228088</v>
      </c>
      <c r="AD276" s="85"/>
      <c r="AE276" s="41">
        <v>156.04873991431126</v>
      </c>
      <c r="AF276" s="42">
        <v>46.190454898439626</v>
      </c>
      <c r="AG276">
        <v>5050</v>
      </c>
      <c r="AH276" s="64">
        <f t="shared" si="104"/>
        <v>10.06078994421601</v>
      </c>
      <c r="AI276">
        <v>2.5</v>
      </c>
      <c r="AJ276" s="41">
        <v>0.85</v>
      </c>
      <c r="AK276">
        <v>378</v>
      </c>
    </row>
    <row r="277" spans="1:37" hidden="1" x14ac:dyDescent="0.3">
      <c r="A277" s="3">
        <f>+'Mono ASIG'!A277</f>
        <v>1483.0198</v>
      </c>
      <c r="B277" s="3">
        <f>+'Mono ASIG'!B277</f>
        <v>1407.8889999999999</v>
      </c>
      <c r="C277" s="1">
        <f>+'Mono ASIG'!C277</f>
        <v>2026</v>
      </c>
      <c r="D277" s="1">
        <f t="shared" ref="D277:D282" si="109">MONTH(G277)</f>
        <v>6</v>
      </c>
      <c r="E277" s="1">
        <f>+'Fisico SPOT MAT'!E277</f>
        <v>16</v>
      </c>
      <c r="F277" s="1" t="str">
        <f>+'Mono ASIG'!F277</f>
        <v>mié</v>
      </c>
      <c r="G277" s="56">
        <f>+'Mono ASIG'!G277</f>
        <v>46183</v>
      </c>
      <c r="H277" s="17">
        <f t="shared" ref="H277:H282" si="110">+AE277+AH277+AI277+AJ277</f>
        <v>173.86007380270553</v>
      </c>
      <c r="I277" s="17">
        <f t="shared" ref="I277:I282" si="111">+AF277+AH277+AI277+AJ277</f>
        <v>78.951227144942294</v>
      </c>
      <c r="J277" s="17">
        <v>30.106556963237992</v>
      </c>
      <c r="K277" s="17">
        <v>30.106556963237992</v>
      </c>
      <c r="L277" s="17">
        <f>+Precios!E277</f>
        <v>216.05093841974181</v>
      </c>
      <c r="M277" s="44">
        <f>SUMPRODUCT(H277:L277,'Fisico SPOT MAT'!H277:L277)*24</f>
        <v>26633897.376467999</v>
      </c>
      <c r="N277" s="19">
        <f>+'Fisico SPOT MAT'!AH277</f>
        <v>16.892294367887061</v>
      </c>
      <c r="O277" s="19">
        <f t="shared" ref="O277:O282" si="112">AG277/AK277</f>
        <v>13.359788359788359</v>
      </c>
      <c r="P277" s="19">
        <v>6</v>
      </c>
      <c r="Q277" s="19">
        <v>6</v>
      </c>
      <c r="R277" s="19">
        <v>0</v>
      </c>
      <c r="S277" s="44">
        <f>SUMPRODUCT(N277:R277,'Fisico SPOT MAT'!N277:R277)*E277</f>
        <v>3846793.41061799</v>
      </c>
      <c r="T277" s="17">
        <v>70</v>
      </c>
      <c r="U277" s="17">
        <v>18</v>
      </c>
      <c r="V277" s="17">
        <v>50</v>
      </c>
      <c r="W277" s="17">
        <v>60</v>
      </c>
      <c r="X277" s="28">
        <f>SUMPRODUCT(T277:W277,'Fisico SPOT MAT'!T277:W277)*24</f>
        <v>3244931.1160000032</v>
      </c>
      <c r="Y277" s="19">
        <v>0</v>
      </c>
      <c r="Z277" s="19">
        <v>5</v>
      </c>
      <c r="AA277" s="19">
        <v>0</v>
      </c>
      <c r="AB277" s="28">
        <f>SUMPRODUCT(Y277:AA277,'Fisico SPOT MAT'!Y277:AA277)*E277</f>
        <v>105003.429</v>
      </c>
      <c r="AC277" s="122">
        <f>(T277*'Fisico SPOT MAT'!T277+'Mono SPOT MAT'!V277*'Fisico SPOT MAT'!V277+'Mono SPOT MAT'!W277*'Fisico SPOT MAT'!W277)/'Fisico SPOT MAT'!AC277</f>
        <v>62.399752108766805</v>
      </c>
      <c r="AD277" s="85"/>
      <c r="AE277" s="41">
        <v>160.17102932337755</v>
      </c>
      <c r="AF277" s="42">
        <v>65.262182665614318</v>
      </c>
      <c r="AG277">
        <v>5050</v>
      </c>
      <c r="AH277" s="64">
        <f t="shared" si="104"/>
        <v>10.339044479327985</v>
      </c>
      <c r="AI277">
        <v>2.5</v>
      </c>
      <c r="AJ277" s="41">
        <v>0.85</v>
      </c>
      <c r="AK277">
        <v>378</v>
      </c>
    </row>
    <row r="278" spans="1:37" hidden="1" x14ac:dyDescent="0.3">
      <c r="A278" s="3">
        <f>+'Mono ASIG'!A278</f>
        <v>1483.0198</v>
      </c>
      <c r="B278" s="3">
        <f>+'Mono ASIG'!B278</f>
        <v>1407.8889999999999</v>
      </c>
      <c r="C278" s="1">
        <f>+'Mono ASIG'!C278</f>
        <v>2026</v>
      </c>
      <c r="D278" s="1">
        <f t="shared" si="109"/>
        <v>6</v>
      </c>
      <c r="E278" s="1">
        <f>+'Fisico SPOT MAT'!E278</f>
        <v>16</v>
      </c>
      <c r="F278" s="1" t="str">
        <f>+'Mono ASIG'!F278</f>
        <v>jue</v>
      </c>
      <c r="G278" s="56">
        <f>+'Mono ASIG'!G278</f>
        <v>46184</v>
      </c>
      <c r="H278" s="17">
        <f t="shared" si="110"/>
        <v>179.69270124877389</v>
      </c>
      <c r="I278" s="17">
        <f t="shared" si="111"/>
        <v>14.057852303786641</v>
      </c>
      <c r="J278" s="17">
        <v>28.925996103810977</v>
      </c>
      <c r="K278" s="17">
        <v>28.925996103810977</v>
      </c>
      <c r="L278" s="17">
        <f>+Precios!E278</f>
        <v>228.2856181312581</v>
      </c>
      <c r="M278" s="44">
        <f>SUMPRODUCT(H278:L278,'Fisico SPOT MAT'!H278:L278)*24</f>
        <v>26341581.15495554</v>
      </c>
      <c r="N278" s="19">
        <f>+'Fisico SPOT MAT'!AH278</f>
        <v>16.90127584510136</v>
      </c>
      <c r="O278" s="19">
        <f t="shared" si="112"/>
        <v>13.359788359788359</v>
      </c>
      <c r="P278" s="19">
        <v>6</v>
      </c>
      <c r="Q278" s="19">
        <v>6</v>
      </c>
      <c r="R278" s="19">
        <v>0</v>
      </c>
      <c r="S278" s="44">
        <f>SUMPRODUCT(N278:R278,'Fisico SPOT MAT'!N278:R278)*E278</f>
        <v>3877398.1690179892</v>
      </c>
      <c r="T278" s="17">
        <v>70</v>
      </c>
      <c r="U278" s="17">
        <v>18</v>
      </c>
      <c r="V278" s="17">
        <v>50</v>
      </c>
      <c r="W278" s="17">
        <v>60</v>
      </c>
      <c r="X278" s="28">
        <f>SUMPRODUCT(T278:W278,'Fisico SPOT MAT'!T278:W278)*24</f>
        <v>3360144.6589999977</v>
      </c>
      <c r="Y278" s="19">
        <v>0</v>
      </c>
      <c r="Z278" s="19">
        <v>5</v>
      </c>
      <c r="AA278" s="19">
        <v>0</v>
      </c>
      <c r="AB278" s="28">
        <f>SUMPRODUCT(Y278:AA278,'Fisico SPOT MAT'!Y278:AA278)*E278</f>
        <v>105003.027</v>
      </c>
      <c r="AC278" s="122">
        <f>(T278*'Fisico SPOT MAT'!T278+'Mono SPOT MAT'!V278*'Fisico SPOT MAT'!V278+'Mono SPOT MAT'!W278*'Fisico SPOT MAT'!W278)/'Fisico SPOT MAT'!AC278</f>
        <v>62.321081180906774</v>
      </c>
      <c r="AD278" s="85"/>
      <c r="AE278" s="41">
        <v>165.63484894498725</v>
      </c>
      <c r="AF278" s="42">
        <v>0</v>
      </c>
      <c r="AG278">
        <v>5050</v>
      </c>
      <c r="AH278" s="64">
        <f t="shared" si="104"/>
        <v>10.707852303786641</v>
      </c>
      <c r="AI278">
        <v>2.5</v>
      </c>
      <c r="AJ278" s="41">
        <v>0.85</v>
      </c>
      <c r="AK278">
        <v>378</v>
      </c>
    </row>
    <row r="279" spans="1:37" hidden="1" x14ac:dyDescent="0.3">
      <c r="A279" s="3">
        <f>+'Mono ASIG'!A279</f>
        <v>1483.0198</v>
      </c>
      <c r="B279" s="3">
        <f>+'Mono ASIG'!B279</f>
        <v>1407.8889999999999</v>
      </c>
      <c r="C279" s="1">
        <f>+'Mono ASIG'!C279</f>
        <v>2026</v>
      </c>
      <c r="D279" s="1">
        <f t="shared" si="109"/>
        <v>6</v>
      </c>
      <c r="E279" s="1">
        <f>+'Fisico SPOT MAT'!E279</f>
        <v>16</v>
      </c>
      <c r="F279" s="1" t="str">
        <f>+'Mono ASIG'!F279</f>
        <v>vie</v>
      </c>
      <c r="G279" s="56">
        <f>+'Mono ASIG'!G279</f>
        <v>46185</v>
      </c>
      <c r="H279" s="17">
        <f t="shared" si="110"/>
        <v>173.99220078959172</v>
      </c>
      <c r="I279" s="17">
        <f t="shared" si="111"/>
        <v>13.697399113159197</v>
      </c>
      <c r="J279" s="17">
        <v>28.376186176023374</v>
      </c>
      <c r="K279" s="17">
        <v>28.376186176023374</v>
      </c>
      <c r="L279" s="17">
        <f>+Precios!E279</f>
        <v>173.15126699961576</v>
      </c>
      <c r="M279" s="44">
        <f>SUMPRODUCT(H279:L279,'Fisico SPOT MAT'!H279:L279)*24</f>
        <v>24641460.187549233</v>
      </c>
      <c r="N279" s="19">
        <f>+'Fisico SPOT MAT'!AH279</f>
        <v>16.901151090971439</v>
      </c>
      <c r="O279" s="19">
        <f t="shared" si="112"/>
        <v>13.359788359788359</v>
      </c>
      <c r="P279" s="19">
        <v>6</v>
      </c>
      <c r="Q279" s="19">
        <v>6</v>
      </c>
      <c r="R279" s="19">
        <v>0</v>
      </c>
      <c r="S279" s="44">
        <f>SUMPRODUCT(N279:R279,'Fisico SPOT MAT'!N279:R279)*E279</f>
        <v>3876948.741017988</v>
      </c>
      <c r="T279" s="17">
        <v>70</v>
      </c>
      <c r="U279" s="17">
        <v>18</v>
      </c>
      <c r="V279" s="17">
        <v>50</v>
      </c>
      <c r="W279" s="17">
        <v>60</v>
      </c>
      <c r="X279" s="28">
        <f>SUMPRODUCT(T279:W279,'Fisico SPOT MAT'!T279:W279)*24</f>
        <v>4228165.1980000082</v>
      </c>
      <c r="Y279" s="19">
        <v>0</v>
      </c>
      <c r="Z279" s="19">
        <v>5</v>
      </c>
      <c r="AA279" s="19">
        <v>0</v>
      </c>
      <c r="AB279" s="28">
        <f>SUMPRODUCT(Y279:AA279,'Fisico SPOT MAT'!Y279:AA279)*E279</f>
        <v>104846.307</v>
      </c>
      <c r="AC279" s="122">
        <f>(T279*'Fisico SPOT MAT'!T279+'Mono SPOT MAT'!V279*'Fisico SPOT MAT'!V279+'Mono SPOT MAT'!W279*'Fisico SPOT MAT'!W279)/'Fisico SPOT MAT'!AC279</f>
        <v>61.936503288976972</v>
      </c>
      <c r="AD279" s="85"/>
      <c r="AE279" s="41">
        <v>160.29480167643254</v>
      </c>
      <c r="AF279" s="42">
        <v>0</v>
      </c>
      <c r="AG279">
        <v>5050</v>
      </c>
      <c r="AH279" s="64">
        <f t="shared" si="104"/>
        <v>10.347399113159197</v>
      </c>
      <c r="AI279">
        <v>2.5</v>
      </c>
      <c r="AJ279" s="41">
        <v>0.85</v>
      </c>
      <c r="AK279">
        <v>378</v>
      </c>
    </row>
    <row r="280" spans="1:37" hidden="1" x14ac:dyDescent="0.3">
      <c r="A280" s="3">
        <f>+'Mono ASIG'!A280</f>
        <v>1483.0198</v>
      </c>
      <c r="B280" s="3">
        <f>+'Mono ASIG'!B280</f>
        <v>1407.8889999999999</v>
      </c>
      <c r="C280" s="1">
        <f>+'Mono ASIG'!C280</f>
        <v>2026</v>
      </c>
      <c r="D280" s="1">
        <f t="shared" si="109"/>
        <v>6</v>
      </c>
      <c r="E280" s="1">
        <f>+'Fisico SPOT MAT'!E280</f>
        <v>6</v>
      </c>
      <c r="F280" s="1" t="str">
        <f>+'Mono ASIG'!F280</f>
        <v>sáb</v>
      </c>
      <c r="G280" s="56">
        <f>+'Mono ASIG'!G280</f>
        <v>46186</v>
      </c>
      <c r="H280" s="17">
        <f t="shared" si="110"/>
        <v>167.36223016481102</v>
      </c>
      <c r="I280" s="17">
        <f t="shared" si="111"/>
        <v>13.278173804332313</v>
      </c>
      <c r="J280" s="17">
        <v>27.794656767760664</v>
      </c>
      <c r="K280" s="17">
        <v>27.794656767760664</v>
      </c>
      <c r="L280" s="17">
        <f>+Precios!E280</f>
        <v>207.7877575589564</v>
      </c>
      <c r="M280" s="44">
        <f>SUMPRODUCT(H280:L280,'Fisico SPOT MAT'!H280:L280)*24</f>
        <v>23179982.588385392</v>
      </c>
      <c r="N280" s="19">
        <f>+'Fisico SPOT MAT'!AH280</f>
        <v>16.871658946144276</v>
      </c>
      <c r="O280" s="19">
        <f t="shared" si="112"/>
        <v>13.359788359788359</v>
      </c>
      <c r="P280" s="19">
        <v>6</v>
      </c>
      <c r="Q280" s="19">
        <v>6</v>
      </c>
      <c r="R280" s="19">
        <v>0</v>
      </c>
      <c r="S280" s="44">
        <f>SUMPRODUCT(N280:R280,'Fisico SPOT MAT'!N280:R280)*E280</f>
        <v>1416863.2104817459</v>
      </c>
      <c r="T280" s="17">
        <v>70</v>
      </c>
      <c r="U280" s="17">
        <v>18</v>
      </c>
      <c r="V280" s="17">
        <v>50</v>
      </c>
      <c r="W280" s="17">
        <v>60</v>
      </c>
      <c r="X280" s="28">
        <f>SUMPRODUCT(T280:W280,'Fisico SPOT MAT'!T280:W280)*24</f>
        <v>3096334.5640000002</v>
      </c>
      <c r="Y280" s="19">
        <v>0</v>
      </c>
      <c r="Z280" s="19">
        <v>5</v>
      </c>
      <c r="AA280" s="19">
        <v>0</v>
      </c>
      <c r="AB280" s="28">
        <f>SUMPRODUCT(Y280:AA280,'Fisico SPOT MAT'!Y280:AA280)*E280</f>
        <v>39317.212124999998</v>
      </c>
      <c r="AC280" s="122">
        <f>(T280*'Fisico SPOT MAT'!T280+'Mono SPOT MAT'!V280*'Fisico SPOT MAT'!V280+'Mono SPOT MAT'!W280*'Fisico SPOT MAT'!W280)/'Fisico SPOT MAT'!AC280</f>
        <v>62.46088654112733</v>
      </c>
      <c r="AD280" s="85"/>
      <c r="AE280" s="41">
        <v>154.08405636047871</v>
      </c>
      <c r="AF280" s="42">
        <v>0</v>
      </c>
      <c r="AG280">
        <v>5050</v>
      </c>
      <c r="AH280" s="64">
        <f t="shared" si="104"/>
        <v>9.9281738043323138</v>
      </c>
      <c r="AI280">
        <v>2.5</v>
      </c>
      <c r="AJ280" s="41">
        <v>0.85</v>
      </c>
      <c r="AK280">
        <v>378</v>
      </c>
    </row>
    <row r="281" spans="1:37" hidden="1" x14ac:dyDescent="0.3">
      <c r="A281" s="3">
        <f>+'Mono ASIG'!A281</f>
        <v>1483.0198</v>
      </c>
      <c r="B281" s="3">
        <f>+'Mono ASIG'!B281</f>
        <v>1407.8889999999999</v>
      </c>
      <c r="C281" s="1">
        <f>+'Mono ASIG'!C281</f>
        <v>2026</v>
      </c>
      <c r="D281" s="1">
        <f t="shared" si="109"/>
        <v>6</v>
      </c>
      <c r="E281" s="1">
        <f>+'Fisico SPOT MAT'!E281</f>
        <v>4</v>
      </c>
      <c r="F281" s="1" t="str">
        <f>+'Mono ASIG'!F281</f>
        <v>dom</v>
      </c>
      <c r="G281" s="56">
        <f>+'Mono ASIG'!G281</f>
        <v>46187</v>
      </c>
      <c r="H281" s="17">
        <f t="shared" si="110"/>
        <v>168.18550064626496</v>
      </c>
      <c r="I281" s="17">
        <f t="shared" si="111"/>
        <v>13.330230720021438</v>
      </c>
      <c r="J281" s="17">
        <v>28.007508792868745</v>
      </c>
      <c r="K281" s="17">
        <v>28.007508792868745</v>
      </c>
      <c r="L281" s="17">
        <f>+Precios!E281</f>
        <v>186.76638714703878</v>
      </c>
      <c r="M281" s="44">
        <f>SUMPRODUCT(H281:L281,'Fisico SPOT MAT'!H281:L281)*24</f>
        <v>22767644.325270772</v>
      </c>
      <c r="N281" s="19">
        <f>+'Fisico SPOT MAT'!AH281</f>
        <v>16.86738111758887</v>
      </c>
      <c r="O281" s="19">
        <f t="shared" si="112"/>
        <v>13.359788359788359</v>
      </c>
      <c r="P281" s="19">
        <v>6</v>
      </c>
      <c r="Q281" s="19">
        <v>6</v>
      </c>
      <c r="R281" s="19">
        <v>0</v>
      </c>
      <c r="S281" s="44">
        <f>SUMPRODUCT(N281:R281,'Fisico SPOT MAT'!N281:R281)*E281</f>
        <v>941104.94155449711</v>
      </c>
      <c r="T281" s="17">
        <v>70</v>
      </c>
      <c r="U281" s="17">
        <v>18</v>
      </c>
      <c r="V281" s="17">
        <v>50</v>
      </c>
      <c r="W281" s="17">
        <v>60</v>
      </c>
      <c r="X281" s="28">
        <f>SUMPRODUCT(T281:W281,'Fisico SPOT MAT'!T281:W281)*24</f>
        <v>3426295.9370000032</v>
      </c>
      <c r="Y281" s="19">
        <v>0</v>
      </c>
      <c r="Z281" s="19">
        <v>5</v>
      </c>
      <c r="AA281" s="19">
        <v>0</v>
      </c>
      <c r="AB281" s="28">
        <f>SUMPRODUCT(Y281:AA281,'Fisico SPOT MAT'!Y281:AA281)*E281</f>
        <v>26211.361499999999</v>
      </c>
      <c r="AC281" s="122">
        <f>(T281*'Fisico SPOT MAT'!T281+'Mono SPOT MAT'!V281*'Fisico SPOT MAT'!V281+'Mono SPOT MAT'!W281*'Fisico SPOT MAT'!W281)/'Fisico SPOT MAT'!AC281</f>
        <v>62.288668025789953</v>
      </c>
      <c r="AD281" s="85"/>
      <c r="AE281" s="41">
        <v>154.85526992624352</v>
      </c>
      <c r="AF281" s="42">
        <v>0</v>
      </c>
      <c r="AG281">
        <v>5050</v>
      </c>
      <c r="AH281" s="64">
        <f t="shared" si="104"/>
        <v>9.9802307200214386</v>
      </c>
      <c r="AI281">
        <v>2.5</v>
      </c>
      <c r="AJ281" s="41">
        <v>0.85</v>
      </c>
      <c r="AK281">
        <v>378</v>
      </c>
    </row>
    <row r="282" spans="1:37" hidden="1" x14ac:dyDescent="0.3">
      <c r="A282" s="3">
        <f>+'Mono ASIG'!A282</f>
        <v>1483.0198</v>
      </c>
      <c r="B282" s="3">
        <f>+'Mono ASIG'!B282</f>
        <v>1445.3979999999999</v>
      </c>
      <c r="C282" s="1">
        <f>+'Mono ASIG'!C282</f>
        <v>2026</v>
      </c>
      <c r="D282" s="1">
        <f t="shared" si="109"/>
        <v>6</v>
      </c>
      <c r="E282" s="1">
        <f>+'Fisico SPOT MAT'!E282</f>
        <v>4</v>
      </c>
      <c r="F282" s="1" t="str">
        <f>+'Mono ASIG'!F282</f>
        <v>lun</v>
      </c>
      <c r="G282" s="56">
        <f>+'Mono ASIG'!G282</f>
        <v>46188</v>
      </c>
      <c r="H282" s="17">
        <f t="shared" si="110"/>
        <v>162.4876687898132</v>
      </c>
      <c r="I282" s="17">
        <f t="shared" si="111"/>
        <v>90.524228428228611</v>
      </c>
      <c r="J282" s="17">
        <v>27.19456277481757</v>
      </c>
      <c r="K282" s="17">
        <v>27.19456277481757</v>
      </c>
      <c r="L282" s="17">
        <f>+Precios!E282</f>
        <v>209.94717160679798</v>
      </c>
      <c r="M282" s="44">
        <f>SUMPRODUCT(H282:L282,'Fisico SPOT MAT'!H282:L282)*24</f>
        <v>21948318.398074791</v>
      </c>
      <c r="N282" s="19">
        <f>+'Fisico SPOT MAT'!AH282</f>
        <v>16.865908298408222</v>
      </c>
      <c r="O282" s="19">
        <f t="shared" si="112"/>
        <v>13.359788359788359</v>
      </c>
      <c r="P282" s="19">
        <v>6</v>
      </c>
      <c r="Q282" s="19">
        <v>6</v>
      </c>
      <c r="R282" s="19">
        <v>0</v>
      </c>
      <c r="S282" s="44">
        <f>SUMPRODUCT(N282:R282,'Fisico SPOT MAT'!N282:R282)*E282</f>
        <v>934198.65958024689</v>
      </c>
      <c r="T282" s="17">
        <v>70</v>
      </c>
      <c r="U282" s="17">
        <v>18</v>
      </c>
      <c r="V282" s="17">
        <v>50</v>
      </c>
      <c r="W282" s="17">
        <v>60</v>
      </c>
      <c r="X282" s="28">
        <f>SUMPRODUCT(T282:W282,'Fisico SPOT MAT'!T282:W282)*24</f>
        <v>3796890.430000002</v>
      </c>
      <c r="Y282" s="19">
        <v>0</v>
      </c>
      <c r="Z282" s="19">
        <v>5</v>
      </c>
      <c r="AA282" s="19">
        <v>0</v>
      </c>
      <c r="AB282" s="28">
        <f>SUMPRODUCT(Y282:AA282,'Fisico SPOT MAT'!Y282:AA282)*E282</f>
        <v>25760.168750000004</v>
      </c>
      <c r="AC282" s="122">
        <f>(T282*'Fisico SPOT MAT'!T282+'Mono SPOT MAT'!V282*'Fisico SPOT MAT'!V282+'Mono SPOT MAT'!W282*'Fisico SPOT MAT'!W282)/'Fisico SPOT MAT'!AC282</f>
        <v>62.145050683095377</v>
      </c>
      <c r="AD282" s="85"/>
      <c r="AE282" s="41">
        <v>149.51772251973134</v>
      </c>
      <c r="AF282" s="42">
        <v>77.554282158146748</v>
      </c>
      <c r="AG282">
        <v>5050</v>
      </c>
      <c r="AH282" s="64">
        <f t="shared" si="104"/>
        <v>9.619946270081865</v>
      </c>
      <c r="AI282">
        <v>2.5</v>
      </c>
      <c r="AJ282" s="41">
        <v>0.85</v>
      </c>
      <c r="AK282">
        <v>378</v>
      </c>
    </row>
    <row r="283" spans="1:37" hidden="1" x14ac:dyDescent="0.3">
      <c r="A283" s="3">
        <f>+'Mono ASIG'!A283</f>
        <v>1483.0198</v>
      </c>
      <c r="B283" s="3">
        <f>+'Mono ASIG'!B283</f>
        <v>1445.3979999999999</v>
      </c>
      <c r="C283" s="1">
        <f>+'Mono ASIG'!C283</f>
        <v>2026</v>
      </c>
      <c r="D283" s="1">
        <f t="shared" ref="D283:D288" si="113">MONTH(G283)</f>
        <v>6</v>
      </c>
      <c r="E283" s="1">
        <f>+'Fisico SPOT MAT'!E283</f>
        <v>16</v>
      </c>
      <c r="F283" s="1" t="str">
        <f>+'Mono ASIG'!F283</f>
        <v>mar</v>
      </c>
      <c r="G283" s="56">
        <f>+'Mono ASIG'!G283</f>
        <v>46189</v>
      </c>
      <c r="H283" s="17">
        <f t="shared" ref="H283:H288" si="114">+AE283+AH283+AI283+AJ283</f>
        <v>169.41906189626977</v>
      </c>
      <c r="I283" s="17">
        <f t="shared" ref="I283:I288" si="115">+AF283+AH283+AI283+AJ283</f>
        <v>250.74540938854122</v>
      </c>
      <c r="J283" s="17">
        <v>27.630203721863474</v>
      </c>
      <c r="K283" s="17">
        <v>27.630203721863474</v>
      </c>
      <c r="L283" s="17">
        <f>+Precios!E283</f>
        <v>188.85121850792311</v>
      </c>
      <c r="M283" s="44">
        <f>SUMPRODUCT(H283:L283,'Fisico SPOT MAT'!H283:L283)*24</f>
        <v>27013002.492076457</v>
      </c>
      <c r="N283" s="19">
        <f>+'Fisico SPOT MAT'!AH283</f>
        <v>16.900063079600077</v>
      </c>
      <c r="O283" s="19">
        <f t="shared" ref="O283:O288" si="116">AG283/AK283</f>
        <v>13.359788359788359</v>
      </c>
      <c r="P283" s="19">
        <v>6</v>
      </c>
      <c r="Q283" s="19">
        <v>6</v>
      </c>
      <c r="R283" s="19">
        <v>0</v>
      </c>
      <c r="S283" s="44">
        <f>SUMPRODUCT(N283:R283,'Fisico SPOT MAT'!N283:R283)*E283</f>
        <v>3864694.1230969997</v>
      </c>
      <c r="T283" s="17">
        <v>70</v>
      </c>
      <c r="U283" s="17">
        <v>18</v>
      </c>
      <c r="V283" s="17">
        <v>50</v>
      </c>
      <c r="W283" s="17">
        <v>60</v>
      </c>
      <c r="X283" s="28">
        <f>SUMPRODUCT(T283:W283,'Fisico SPOT MAT'!T283:W283)*24</f>
        <v>3677625.2569999965</v>
      </c>
      <c r="Y283" s="19">
        <v>0</v>
      </c>
      <c r="Z283" s="19">
        <v>5</v>
      </c>
      <c r="AA283" s="19">
        <v>0</v>
      </c>
      <c r="AB283" s="28">
        <f>SUMPRODUCT(Y283:AA283,'Fisico SPOT MAT'!Y283:AA283)*E283</f>
        <v>103015.66999999998</v>
      </c>
      <c r="AC283" s="122">
        <f>(T283*'Fisico SPOT MAT'!T283+'Mono SPOT MAT'!V283*'Fisico SPOT MAT'!V283+'Mono SPOT MAT'!W283*'Fisico SPOT MAT'!W283)/'Fisico SPOT MAT'!AC283</f>
        <v>62.244182829649866</v>
      </c>
      <c r="AD283" s="85"/>
      <c r="AE283" s="41">
        <v>156.01083081617776</v>
      </c>
      <c r="AF283" s="42">
        <v>237.33717830844924</v>
      </c>
      <c r="AG283">
        <v>5050</v>
      </c>
      <c r="AH283" s="64">
        <f t="shared" si="104"/>
        <v>10.058231080092</v>
      </c>
      <c r="AI283">
        <v>2.5</v>
      </c>
      <c r="AJ283" s="41">
        <v>0.85</v>
      </c>
      <c r="AK283">
        <v>378</v>
      </c>
    </row>
    <row r="284" spans="1:37" hidden="1" x14ac:dyDescent="0.3">
      <c r="A284" s="3">
        <f>+'Mono ASIG'!A284</f>
        <v>1483.0198</v>
      </c>
      <c r="B284" s="3">
        <f>+'Mono ASIG'!B284</f>
        <v>1445.3979999999999</v>
      </c>
      <c r="C284" s="1">
        <f>+'Mono ASIG'!C284</f>
        <v>2026</v>
      </c>
      <c r="D284" s="1">
        <f t="shared" si="113"/>
        <v>6</v>
      </c>
      <c r="E284" s="1">
        <f>+'Fisico SPOT MAT'!E284</f>
        <v>16</v>
      </c>
      <c r="F284" s="1" t="str">
        <f>+'Mono ASIG'!F284</f>
        <v>mié</v>
      </c>
      <c r="G284" s="56">
        <f>+'Mono ASIG'!G284</f>
        <v>46190</v>
      </c>
      <c r="H284" s="17">
        <f t="shared" si="114"/>
        <v>172.61554077083869</v>
      </c>
      <c r="I284" s="17">
        <f t="shared" si="115"/>
        <v>231.54417055635233</v>
      </c>
      <c r="J284" s="17">
        <v>27.309646654099645</v>
      </c>
      <c r="K284" s="17">
        <v>27.309646654099645</v>
      </c>
      <c r="L284" s="17">
        <f>+Precios!E284</f>
        <v>219.27160971397419</v>
      </c>
      <c r="M284" s="44">
        <f>SUMPRODUCT(H284:L284,'Fisico SPOT MAT'!H284:L284)*24</f>
        <v>27367291.791907635</v>
      </c>
      <c r="N284" s="19">
        <f>+'Fisico SPOT MAT'!AH284</f>
        <v>16.904696269090291</v>
      </c>
      <c r="O284" s="19">
        <f t="shared" si="116"/>
        <v>13.359788359788359</v>
      </c>
      <c r="P284" s="19">
        <v>6</v>
      </c>
      <c r="Q284" s="19">
        <v>6</v>
      </c>
      <c r="R284" s="19">
        <v>0</v>
      </c>
      <c r="S284" s="44">
        <f>SUMPRODUCT(N284:R284,'Fisico SPOT MAT'!N284:R284)*E284</f>
        <v>3891396.8909664899</v>
      </c>
      <c r="T284" s="17">
        <v>70</v>
      </c>
      <c r="U284" s="17">
        <v>18</v>
      </c>
      <c r="V284" s="17">
        <v>50</v>
      </c>
      <c r="W284" s="17">
        <v>60</v>
      </c>
      <c r="X284" s="28">
        <f>SUMPRODUCT(T284:W284,'Fisico SPOT MAT'!T284:W284)*24</f>
        <v>3390571.7979999972</v>
      </c>
      <c r="Y284" s="19">
        <v>0</v>
      </c>
      <c r="Z284" s="19">
        <v>5</v>
      </c>
      <c r="AA284" s="19">
        <v>0</v>
      </c>
      <c r="AB284" s="28">
        <f>SUMPRODUCT(Y284:AA284,'Fisico SPOT MAT'!Y284:AA284)*E284</f>
        <v>103148.22500000001</v>
      </c>
      <c r="AC284" s="122">
        <f>(T284*'Fisico SPOT MAT'!T284+'Mono SPOT MAT'!V284*'Fisico SPOT MAT'!V284+'Mono SPOT MAT'!W284*'Fisico SPOT MAT'!W284)/'Fisico SPOT MAT'!AC284</f>
        <v>62.440242776769175</v>
      </c>
      <c r="AD284" s="85"/>
      <c r="AE284" s="41">
        <v>159.0051904176475</v>
      </c>
      <c r="AF284" s="42">
        <v>217.93382020316113</v>
      </c>
      <c r="AG284">
        <v>5050</v>
      </c>
      <c r="AH284" s="64">
        <f t="shared" si="104"/>
        <v>10.260350353191207</v>
      </c>
      <c r="AI284">
        <v>2.5</v>
      </c>
      <c r="AJ284" s="41">
        <v>0.85</v>
      </c>
      <c r="AK284">
        <v>378</v>
      </c>
    </row>
    <row r="285" spans="1:37" hidden="1" x14ac:dyDescent="0.3">
      <c r="A285" s="3">
        <f>+'Mono ASIG'!A285</f>
        <v>1483.0198</v>
      </c>
      <c r="B285" s="3">
        <f>+'Mono ASIG'!B285</f>
        <v>1445.3979999999999</v>
      </c>
      <c r="C285" s="1">
        <f>+'Mono ASIG'!C285</f>
        <v>2026</v>
      </c>
      <c r="D285" s="1">
        <f t="shared" si="113"/>
        <v>6</v>
      </c>
      <c r="E285" s="1">
        <f>+'Fisico SPOT MAT'!E285</f>
        <v>16</v>
      </c>
      <c r="F285" s="1" t="str">
        <f>+'Mono ASIG'!F285</f>
        <v>jue</v>
      </c>
      <c r="G285" s="56">
        <f>+'Mono ASIG'!G285</f>
        <v>46191</v>
      </c>
      <c r="H285" s="17">
        <f t="shared" si="114"/>
        <v>174.40910246891406</v>
      </c>
      <c r="I285" s="17">
        <f t="shared" si="115"/>
        <v>230.56696580140894</v>
      </c>
      <c r="J285" s="17">
        <v>27.515302091625053</v>
      </c>
      <c r="K285" s="17">
        <v>27.515302091625053</v>
      </c>
      <c r="L285" s="17">
        <f>+Precios!E285</f>
        <v>206.99625996418919</v>
      </c>
      <c r="M285" s="44">
        <f>SUMPRODUCT(H285:L285,'Fisico SPOT MAT'!H285:L285)*24</f>
        <v>26767518.940556288</v>
      </c>
      <c r="N285" s="19">
        <f>+'Fisico SPOT MAT'!AH285</f>
        <v>16.879377788005762</v>
      </c>
      <c r="O285" s="19">
        <f t="shared" si="116"/>
        <v>13.359788359788359</v>
      </c>
      <c r="P285" s="19">
        <v>6</v>
      </c>
      <c r="Q285" s="19">
        <v>6</v>
      </c>
      <c r="R285" s="19">
        <v>0</v>
      </c>
      <c r="S285" s="44">
        <f>SUMPRODUCT(N285:R285,'Fisico SPOT MAT'!N285:R285)*E285</f>
        <v>3806349.9177029971</v>
      </c>
      <c r="T285" s="17">
        <v>70</v>
      </c>
      <c r="U285" s="17">
        <v>18</v>
      </c>
      <c r="V285" s="17">
        <v>50</v>
      </c>
      <c r="W285" s="17">
        <v>60</v>
      </c>
      <c r="X285" s="28">
        <f>SUMPRODUCT(T285:W285,'Fisico SPOT MAT'!T285:W285)*24</f>
        <v>3700293.5560000008</v>
      </c>
      <c r="Y285" s="19">
        <v>0</v>
      </c>
      <c r="Z285" s="19">
        <v>5</v>
      </c>
      <c r="AA285" s="19">
        <v>0</v>
      </c>
      <c r="AB285" s="28">
        <f>SUMPRODUCT(Y285:AA285,'Fisico SPOT MAT'!Y285:AA285)*E285</f>
        <v>103147.826</v>
      </c>
      <c r="AC285" s="122">
        <f>(T285*'Fisico SPOT MAT'!T285+'Mono SPOT MAT'!V285*'Fisico SPOT MAT'!V285+'Mono SPOT MAT'!W285*'Fisico SPOT MAT'!W285)/'Fisico SPOT MAT'!AC285</f>
        <v>62.170619695061276</v>
      </c>
      <c r="AD285" s="85"/>
      <c r="AE285" s="41">
        <v>160.68534189125438</v>
      </c>
      <c r="AF285" s="42">
        <v>216.84320522374927</v>
      </c>
      <c r="AG285">
        <v>5050</v>
      </c>
      <c r="AH285" s="64">
        <f t="shared" si="104"/>
        <v>10.373760577659672</v>
      </c>
      <c r="AI285">
        <v>2.5</v>
      </c>
      <c r="AJ285" s="41">
        <v>0.85</v>
      </c>
      <c r="AK285">
        <v>378</v>
      </c>
    </row>
    <row r="286" spans="1:37" hidden="1" x14ac:dyDescent="0.3">
      <c r="A286" s="3">
        <f>+'Mono ASIG'!A286</f>
        <v>1483.0198</v>
      </c>
      <c r="B286" s="3">
        <f>+'Mono ASIG'!B286</f>
        <v>1445.3979999999999</v>
      </c>
      <c r="C286" s="1">
        <f>+'Mono ASIG'!C286</f>
        <v>2026</v>
      </c>
      <c r="D286" s="1">
        <f t="shared" si="113"/>
        <v>6</v>
      </c>
      <c r="E286" s="1">
        <f>+'Fisico SPOT MAT'!E286</f>
        <v>16</v>
      </c>
      <c r="F286" s="1" t="str">
        <f>+'Mono ASIG'!F286</f>
        <v>vie</v>
      </c>
      <c r="G286" s="56">
        <f>+'Mono ASIG'!G286</f>
        <v>46192</v>
      </c>
      <c r="H286" s="17">
        <f t="shared" si="114"/>
        <v>185.95666442787405</v>
      </c>
      <c r="I286" s="17">
        <f t="shared" si="115"/>
        <v>259.26141848379427</v>
      </c>
      <c r="J286" s="17">
        <v>29.139077064249719</v>
      </c>
      <c r="K286" s="17">
        <v>29.139077064249719</v>
      </c>
      <c r="L286" s="17">
        <f>+Precios!E286</f>
        <v>235.58796521788892</v>
      </c>
      <c r="M286" s="44">
        <f>SUMPRODUCT(H286:L286,'Fisico SPOT MAT'!H286:L286)*24</f>
        <v>27716609.782511055</v>
      </c>
      <c r="N286" s="19">
        <f>+'Fisico SPOT MAT'!AH286</f>
        <v>16.847149253791834</v>
      </c>
      <c r="O286" s="19">
        <f t="shared" si="116"/>
        <v>13.359788359788359</v>
      </c>
      <c r="P286" s="19">
        <v>6</v>
      </c>
      <c r="Q286" s="19">
        <v>6</v>
      </c>
      <c r="R286" s="19">
        <v>0</v>
      </c>
      <c r="S286" s="44">
        <f>SUMPRODUCT(N286:R286,'Fisico SPOT MAT'!N286:R286)*E286</f>
        <v>3675064.5739104049</v>
      </c>
      <c r="T286" s="17">
        <v>70</v>
      </c>
      <c r="U286" s="17">
        <v>18</v>
      </c>
      <c r="V286" s="17">
        <v>50</v>
      </c>
      <c r="W286" s="17">
        <v>60</v>
      </c>
      <c r="X286" s="28">
        <f>SUMPRODUCT(T286:W286,'Fisico SPOT MAT'!T286:W286)*24</f>
        <v>3360968.4649999989</v>
      </c>
      <c r="Y286" s="19">
        <v>0</v>
      </c>
      <c r="Z286" s="19">
        <v>5</v>
      </c>
      <c r="AA286" s="19">
        <v>0</v>
      </c>
      <c r="AB286" s="28">
        <f>SUMPRODUCT(Y286:AA286,'Fisico SPOT MAT'!Y286:AA286)*E286</f>
        <v>103003.41199999998</v>
      </c>
      <c r="AC286" s="122">
        <f>(T286*'Fisico SPOT MAT'!T286+'Mono SPOT MAT'!V286*'Fisico SPOT MAT'!V286+'Mono SPOT MAT'!W286*'Fisico SPOT MAT'!W286)/'Fisico SPOT MAT'!AC286</f>
        <v>62.380921367539315</v>
      </c>
      <c r="AD286" s="85"/>
      <c r="AE286" s="41">
        <v>171.50273014320754</v>
      </c>
      <c r="AF286" s="42">
        <v>244.80748419912777</v>
      </c>
      <c r="AG286">
        <v>5050</v>
      </c>
      <c r="AH286" s="64">
        <f t="shared" si="104"/>
        <v>11.10393428466651</v>
      </c>
      <c r="AI286">
        <v>2.5</v>
      </c>
      <c r="AJ286" s="41">
        <v>0.85</v>
      </c>
      <c r="AK286">
        <v>378</v>
      </c>
    </row>
    <row r="287" spans="1:37" hidden="1" x14ac:dyDescent="0.3">
      <c r="A287" s="3">
        <f>+'Mono ASIG'!A287</f>
        <v>1483.0198</v>
      </c>
      <c r="B287" s="3">
        <f>+'Mono ASIG'!B287</f>
        <v>1445.3979999999999</v>
      </c>
      <c r="C287" s="1">
        <f>+'Mono ASIG'!C287</f>
        <v>2026</v>
      </c>
      <c r="D287" s="1">
        <f t="shared" si="113"/>
        <v>6</v>
      </c>
      <c r="E287" s="1">
        <f>+'Fisico SPOT MAT'!E287</f>
        <v>4</v>
      </c>
      <c r="F287" s="1" t="str">
        <f>+'Mono ASIG'!F287</f>
        <v>sáb</v>
      </c>
      <c r="G287" s="56">
        <f>+'Mono ASIG'!G287</f>
        <v>46193</v>
      </c>
      <c r="H287" s="17">
        <f t="shared" si="114"/>
        <v>174.42869693473372</v>
      </c>
      <c r="I287" s="17">
        <f t="shared" si="115"/>
        <v>242.39143982691036</v>
      </c>
      <c r="J287" s="17">
        <v>25.790566606209879</v>
      </c>
      <c r="K287" s="17">
        <v>25.790566606209879</v>
      </c>
      <c r="L287" s="17">
        <f>+Precios!E287</f>
        <v>155.19292205943762</v>
      </c>
      <c r="M287" s="44">
        <f>SUMPRODUCT(H287:L287,'Fisico SPOT MAT'!H287:L287)*24</f>
        <v>25322198.299487907</v>
      </c>
      <c r="N287" s="19">
        <f>+'Fisico SPOT MAT'!AH287</f>
        <v>16.844622311095371</v>
      </c>
      <c r="O287" s="19">
        <f t="shared" si="116"/>
        <v>13.359788359788359</v>
      </c>
      <c r="P287" s="19">
        <v>6</v>
      </c>
      <c r="Q287" s="19">
        <v>6</v>
      </c>
      <c r="R287" s="19">
        <v>0</v>
      </c>
      <c r="S287" s="44">
        <f>SUMPRODUCT(N287:R287,'Fisico SPOT MAT'!N287:R287)*E287</f>
        <v>923358.34511269815</v>
      </c>
      <c r="T287" s="17">
        <v>70</v>
      </c>
      <c r="U287" s="17">
        <v>18</v>
      </c>
      <c r="V287" s="17">
        <v>50</v>
      </c>
      <c r="W287" s="17">
        <v>60</v>
      </c>
      <c r="X287" s="28">
        <f>SUMPRODUCT(T287:W287,'Fisico SPOT MAT'!T287:W287)*24</f>
        <v>3900962.3630000059</v>
      </c>
      <c r="Y287" s="19">
        <v>0</v>
      </c>
      <c r="Z287" s="19">
        <v>5</v>
      </c>
      <c r="AA287" s="19">
        <v>0</v>
      </c>
      <c r="AB287" s="28">
        <f>SUMPRODUCT(Y287:AA287,'Fisico SPOT MAT'!Y287:AA287)*E287</f>
        <v>25786.731499999994</v>
      </c>
      <c r="AC287" s="122">
        <f>(T287*'Fisico SPOT MAT'!T287+'Mono SPOT MAT'!V287*'Fisico SPOT MAT'!V287+'Mono SPOT MAT'!W287*'Fisico SPOT MAT'!W287)/'Fisico SPOT MAT'!AC287</f>
        <v>62.272508728901769</v>
      </c>
      <c r="AD287" s="85"/>
      <c r="AE287" s="41">
        <v>160.70369736274822</v>
      </c>
      <c r="AF287" s="42">
        <v>228.66644025492485</v>
      </c>
      <c r="AG287">
        <v>5050</v>
      </c>
      <c r="AH287" s="64">
        <f t="shared" si="104"/>
        <v>10.374999571985505</v>
      </c>
      <c r="AI287">
        <v>2.5</v>
      </c>
      <c r="AJ287" s="41">
        <v>0.85</v>
      </c>
      <c r="AK287">
        <v>378</v>
      </c>
    </row>
    <row r="288" spans="1:37" hidden="1" x14ac:dyDescent="0.3">
      <c r="A288" s="3">
        <f>+'Mono ASIG'!A288</f>
        <v>1483.0198</v>
      </c>
      <c r="B288" s="3">
        <f>+'Mono ASIG'!B288</f>
        <v>1445.3979999999999</v>
      </c>
      <c r="C288" s="1">
        <f>+'Mono ASIG'!C288</f>
        <v>2026</v>
      </c>
      <c r="D288" s="1">
        <f t="shared" si="113"/>
        <v>6</v>
      </c>
      <c r="E288" s="1">
        <f>+'Fisico SPOT MAT'!E288</f>
        <v>4</v>
      </c>
      <c r="F288" s="1" t="str">
        <f>+'Mono ASIG'!F288</f>
        <v>dom</v>
      </c>
      <c r="G288" s="56">
        <f>+'Mono ASIG'!G288</f>
        <v>46194</v>
      </c>
      <c r="H288" s="17">
        <f t="shared" si="114"/>
        <v>173.83257490118456</v>
      </c>
      <c r="I288" s="17">
        <f t="shared" si="115"/>
        <v>241.02129529516714</v>
      </c>
      <c r="J288" s="17">
        <v>24.722975681347776</v>
      </c>
      <c r="K288" s="17">
        <v>24.722975681347776</v>
      </c>
      <c r="L288" s="17">
        <f>+Precios!E288</f>
        <v>136.12769754778753</v>
      </c>
      <c r="M288" s="44">
        <f>SUMPRODUCT(H288:L288,'Fisico SPOT MAT'!H288:L288)*24</f>
        <v>23997021.959331673</v>
      </c>
      <c r="N288" s="19">
        <f>+'Fisico SPOT MAT'!AH288</f>
        <v>16.834706997763181</v>
      </c>
      <c r="O288" s="19">
        <f t="shared" si="116"/>
        <v>13.359788359788359</v>
      </c>
      <c r="P288" s="19">
        <v>6</v>
      </c>
      <c r="Q288" s="19">
        <v>6</v>
      </c>
      <c r="R288" s="19">
        <v>0</v>
      </c>
      <c r="S288" s="44">
        <f>SUMPRODUCT(N288:R288,'Fisico SPOT MAT'!N288:R288)*E288</f>
        <v>915866.72245238035</v>
      </c>
      <c r="T288" s="17">
        <v>70</v>
      </c>
      <c r="U288" s="17">
        <v>18</v>
      </c>
      <c r="V288" s="17">
        <v>50</v>
      </c>
      <c r="W288" s="17">
        <v>60</v>
      </c>
      <c r="X288" s="28">
        <f>SUMPRODUCT(T288:W288,'Fisico SPOT MAT'!T288:W288)*24</f>
        <v>3406159.4380000024</v>
      </c>
      <c r="Y288" s="19">
        <v>0</v>
      </c>
      <c r="Z288" s="19">
        <v>5</v>
      </c>
      <c r="AA288" s="19">
        <v>0</v>
      </c>
      <c r="AB288" s="28">
        <f>SUMPRODUCT(Y288:AA288,'Fisico SPOT MAT'!Y288:AA288)*E288</f>
        <v>25843.673749999998</v>
      </c>
      <c r="AC288" s="122">
        <f>(T288*'Fisico SPOT MAT'!T288+'Mono SPOT MAT'!V288*'Fisico SPOT MAT'!V288+'Mono SPOT MAT'!W288*'Fisico SPOT MAT'!W288)/'Fisico SPOT MAT'!AC288</f>
        <v>62.707691074578747</v>
      </c>
      <c r="AD288" s="85"/>
      <c r="AE288" s="41">
        <v>160.14526922827594</v>
      </c>
      <c r="AF288" s="42">
        <v>227.33398962225851</v>
      </c>
      <c r="AG288">
        <v>5050</v>
      </c>
      <c r="AH288" s="64">
        <f t="shared" si="104"/>
        <v>10.337305672908627</v>
      </c>
      <c r="AI288">
        <v>2.5</v>
      </c>
      <c r="AJ288" s="41">
        <v>0.85</v>
      </c>
      <c r="AK288">
        <v>378</v>
      </c>
    </row>
    <row r="289" spans="1:37" hidden="1" x14ac:dyDescent="0.3">
      <c r="A289" s="3">
        <f>+'Mono ASIG'!A289</f>
        <v>1483.0198</v>
      </c>
      <c r="B289" s="3">
        <f>+'Mono ASIG'!B289</f>
        <v>1445.3979999999999</v>
      </c>
      <c r="C289" s="1">
        <f>+'Mono ASIG'!C289</f>
        <v>2026</v>
      </c>
      <c r="D289" s="1">
        <f t="shared" ref="D289:D294" si="117">MONTH(G289)</f>
        <v>6</v>
      </c>
      <c r="E289" s="1">
        <f>+'Fisico SPOT MAT'!E289</f>
        <v>16</v>
      </c>
      <c r="F289" s="1" t="str">
        <f>+'Mono ASIG'!F289</f>
        <v>lun</v>
      </c>
      <c r="G289" s="56">
        <f>+'Mono ASIG'!G289</f>
        <v>46195</v>
      </c>
      <c r="H289" s="17">
        <f t="shared" ref="H289:H294" si="118">+AE289+AH289+AI289+AJ289</f>
        <v>171.47406165916476</v>
      </c>
      <c r="I289" s="17">
        <f t="shared" ref="I289:I294" si="119">+AF289+AH289+AI289+AJ289</f>
        <v>235.86165487399214</v>
      </c>
      <c r="J289" s="17">
        <v>27.591082063765139</v>
      </c>
      <c r="K289" s="17">
        <v>27.591082063765139</v>
      </c>
      <c r="L289" s="17">
        <f>+Precios!E289</f>
        <v>222.120259129473</v>
      </c>
      <c r="M289" s="44">
        <f>SUMPRODUCT(H289:L289,'Fisico SPOT MAT'!H289:L289)*24</f>
        <v>29271481.982486509</v>
      </c>
      <c r="N289" s="19">
        <f>+'Fisico SPOT MAT'!AH289</f>
        <v>16.850444357640132</v>
      </c>
      <c r="O289" s="19">
        <f t="shared" ref="O289:O294" si="120">AG289/AK289</f>
        <v>13.359788359788359</v>
      </c>
      <c r="P289" s="19">
        <v>6</v>
      </c>
      <c r="Q289" s="19">
        <v>6</v>
      </c>
      <c r="R289" s="19">
        <v>0</v>
      </c>
      <c r="S289" s="44">
        <f>SUMPRODUCT(N289:R289,'Fisico SPOT MAT'!N289:R289)*E289</f>
        <v>3712212.8190807747</v>
      </c>
      <c r="T289" s="17">
        <v>70</v>
      </c>
      <c r="U289" s="17">
        <v>18</v>
      </c>
      <c r="V289" s="17">
        <v>50</v>
      </c>
      <c r="W289" s="17">
        <v>60</v>
      </c>
      <c r="X289" s="28">
        <f>SUMPRODUCT(T289:W289,'Fisico SPOT MAT'!T289:W289)*24</f>
        <v>3492141.7579999971</v>
      </c>
      <c r="Y289" s="19">
        <v>0</v>
      </c>
      <c r="Z289" s="19">
        <v>5</v>
      </c>
      <c r="AA289" s="19">
        <v>0</v>
      </c>
      <c r="AB289" s="28">
        <f>SUMPRODUCT(Y289:AA289,'Fisico SPOT MAT'!Y289:AA289)*E289</f>
        <v>103338.24799999999</v>
      </c>
      <c r="AC289" s="122">
        <f>(T289*'Fisico SPOT MAT'!T289+'Mono SPOT MAT'!V289*'Fisico SPOT MAT'!V289+'Mono SPOT MAT'!W289*'Fisico SPOT MAT'!W289)/'Fisico SPOT MAT'!AC289</f>
        <v>62.400560413346639</v>
      </c>
      <c r="AD289" s="85"/>
      <c r="AE289" s="41">
        <v>157.93588914207473</v>
      </c>
      <c r="AF289" s="42">
        <v>222.3234823569021</v>
      </c>
      <c r="AG289">
        <v>5050</v>
      </c>
      <c r="AH289" s="64">
        <f t="shared" si="104"/>
        <v>10.188172517090045</v>
      </c>
      <c r="AI289">
        <v>2.5</v>
      </c>
      <c r="AJ289" s="41">
        <v>0.85</v>
      </c>
      <c r="AK289">
        <v>378</v>
      </c>
    </row>
    <row r="290" spans="1:37" hidden="1" x14ac:dyDescent="0.3">
      <c r="A290" s="3">
        <f>+'Mono ASIG'!A290</f>
        <v>1483.0198</v>
      </c>
      <c r="B290" s="3">
        <f>+'Mono ASIG'!B290</f>
        <v>1445.3979999999999</v>
      </c>
      <c r="C290" s="1">
        <f>+'Mono ASIG'!C290</f>
        <v>2026</v>
      </c>
      <c r="D290" s="1">
        <f t="shared" si="117"/>
        <v>6</v>
      </c>
      <c r="E290" s="1">
        <f>+'Fisico SPOT MAT'!E290</f>
        <v>16</v>
      </c>
      <c r="F290" s="1" t="str">
        <f>+'Mono ASIG'!F290</f>
        <v>mar</v>
      </c>
      <c r="G290" s="56">
        <f>+'Mono ASIG'!G290</f>
        <v>46196</v>
      </c>
      <c r="H290" s="17">
        <f t="shared" si="118"/>
        <v>183.95810872424502</v>
      </c>
      <c r="I290" s="17">
        <f t="shared" si="119"/>
        <v>234.32918657785171</v>
      </c>
      <c r="J290" s="17">
        <v>32.644510461327663</v>
      </c>
      <c r="K290" s="17">
        <v>32.644510461327663</v>
      </c>
      <c r="L290" s="17">
        <f>+Precios!E290</f>
        <v>228.96222855567362</v>
      </c>
      <c r="M290" s="44">
        <f>SUMPRODUCT(H290:L290,'Fisico SPOT MAT'!H290:L290)*24</f>
        <v>33693848.399000719</v>
      </c>
      <c r="N290" s="19">
        <f>+'Fisico SPOT MAT'!AH290</f>
        <v>16.882183325738261</v>
      </c>
      <c r="O290" s="19">
        <f t="shared" si="120"/>
        <v>13.359788359788359</v>
      </c>
      <c r="P290" s="19">
        <v>6</v>
      </c>
      <c r="Q290" s="19">
        <v>6</v>
      </c>
      <c r="R290" s="19">
        <v>0</v>
      </c>
      <c r="S290" s="44">
        <f>SUMPRODUCT(N290:R290,'Fisico SPOT MAT'!N290:R290)*E290</f>
        <v>3812297.7831449704</v>
      </c>
      <c r="T290" s="17">
        <v>70</v>
      </c>
      <c r="U290" s="17">
        <v>18</v>
      </c>
      <c r="V290" s="17">
        <v>50</v>
      </c>
      <c r="W290" s="17">
        <v>60</v>
      </c>
      <c r="X290" s="28">
        <f>SUMPRODUCT(T290:W290,'Fisico SPOT MAT'!T290:W290)*24</f>
        <v>3735196.9229999995</v>
      </c>
      <c r="Y290" s="19">
        <v>0</v>
      </c>
      <c r="Z290" s="19">
        <v>5</v>
      </c>
      <c r="AA290" s="19">
        <v>0</v>
      </c>
      <c r="AB290" s="28">
        <f>SUMPRODUCT(Y290:AA290,'Fisico SPOT MAT'!Y290:AA290)*E290</f>
        <v>103344.692</v>
      </c>
      <c r="AC290" s="122">
        <f>(T290*'Fisico SPOT MAT'!T290+'Mono SPOT MAT'!V290*'Fisico SPOT MAT'!V290+'Mono SPOT MAT'!W290*'Fisico SPOT MAT'!W290)/'Fisico SPOT MAT'!AC290</f>
        <v>62.236836933828677</v>
      </c>
      <c r="AD290" s="85"/>
      <c r="AE290" s="41">
        <v>169.63054681428105</v>
      </c>
      <c r="AF290" s="42">
        <v>220.00162466788774</v>
      </c>
      <c r="AG290">
        <v>5050</v>
      </c>
      <c r="AH290" s="64">
        <f t="shared" si="104"/>
        <v>10.977561909963971</v>
      </c>
      <c r="AI290">
        <v>2.5</v>
      </c>
      <c r="AJ290" s="41">
        <v>0.85</v>
      </c>
      <c r="AK290">
        <v>378</v>
      </c>
    </row>
    <row r="291" spans="1:37" hidden="1" x14ac:dyDescent="0.3">
      <c r="A291" s="3">
        <f>+'Mono ASIG'!A291</f>
        <v>1483.0198</v>
      </c>
      <c r="B291" s="3">
        <f>+'Mono ASIG'!B291</f>
        <v>1445.3979999999999</v>
      </c>
      <c r="C291" s="1">
        <f>+'Mono ASIG'!C291</f>
        <v>2026</v>
      </c>
      <c r="D291" s="1">
        <f t="shared" si="117"/>
        <v>6</v>
      </c>
      <c r="E291" s="1">
        <f>+'Fisico SPOT MAT'!E291</f>
        <v>16</v>
      </c>
      <c r="F291" s="1" t="str">
        <f>+'Mono ASIG'!F291</f>
        <v>mié</v>
      </c>
      <c r="G291" s="56">
        <f>+'Mono ASIG'!G291</f>
        <v>46197</v>
      </c>
      <c r="H291" s="17">
        <f t="shared" si="118"/>
        <v>183.21304001191965</v>
      </c>
      <c r="I291" s="17">
        <f t="shared" si="119"/>
        <v>236.44741751247156</v>
      </c>
      <c r="J291" s="17">
        <v>28.621235152941491</v>
      </c>
      <c r="K291" s="17">
        <v>28.621235152941491</v>
      </c>
      <c r="L291" s="17">
        <f>+Precios!E291</f>
        <v>251.70282107624067</v>
      </c>
      <c r="M291" s="44">
        <f>SUMPRODUCT(H291:L291,'Fisico SPOT MAT'!H291:L291)*24</f>
        <v>34585003.642307654</v>
      </c>
      <c r="N291" s="19">
        <f>+'Fisico SPOT MAT'!AH291</f>
        <v>16.863464482669848</v>
      </c>
      <c r="O291" s="19">
        <f t="shared" si="120"/>
        <v>13.359788359788359</v>
      </c>
      <c r="P291" s="19">
        <v>6</v>
      </c>
      <c r="Q291" s="19">
        <v>6</v>
      </c>
      <c r="R291" s="19">
        <v>0</v>
      </c>
      <c r="S291" s="44">
        <f>SUMPRODUCT(N291:R291,'Fisico SPOT MAT'!N291:R291)*E291</f>
        <v>3753172.3427216904</v>
      </c>
      <c r="T291" s="17">
        <v>70</v>
      </c>
      <c r="U291" s="17">
        <v>18</v>
      </c>
      <c r="V291" s="17">
        <v>50</v>
      </c>
      <c r="W291" s="17">
        <v>60</v>
      </c>
      <c r="X291" s="28">
        <f>SUMPRODUCT(T291:W291,'Fisico SPOT MAT'!T291:W291)*24</f>
        <v>3200780.9810000011</v>
      </c>
      <c r="Y291" s="19">
        <v>0</v>
      </c>
      <c r="Z291" s="19">
        <v>5</v>
      </c>
      <c r="AA291" s="19">
        <v>0</v>
      </c>
      <c r="AB291" s="28">
        <f>SUMPRODUCT(Y291:AA291,'Fisico SPOT MAT'!Y291:AA291)*E291</f>
        <v>103337.20699999998</v>
      </c>
      <c r="AC291" s="122">
        <f>(T291*'Fisico SPOT MAT'!T291+'Mono SPOT MAT'!V291*'Fisico SPOT MAT'!V291+'Mono SPOT MAT'!W291*'Fisico SPOT MAT'!W291)/'Fisico SPOT MAT'!AC291</f>
        <v>62.564998443879752</v>
      </c>
      <c r="AD291" s="85"/>
      <c r="AE291" s="41">
        <v>168.93259017510039</v>
      </c>
      <c r="AF291" s="42">
        <v>222.1669676756523</v>
      </c>
      <c r="AG291">
        <v>5050</v>
      </c>
      <c r="AH291" s="64">
        <f t="shared" si="104"/>
        <v>10.930449836819276</v>
      </c>
      <c r="AI291">
        <v>2.5</v>
      </c>
      <c r="AJ291" s="41">
        <v>0.85</v>
      </c>
      <c r="AK291">
        <v>378</v>
      </c>
    </row>
    <row r="292" spans="1:37" hidden="1" x14ac:dyDescent="0.3">
      <c r="A292" s="3">
        <f>+'Mono ASIG'!A292</f>
        <v>1483.0198</v>
      </c>
      <c r="B292" s="3">
        <f>+'Mono ASIG'!B292</f>
        <v>1445.3979999999999</v>
      </c>
      <c r="C292" s="1">
        <f>+'Mono ASIG'!C292</f>
        <v>2026</v>
      </c>
      <c r="D292" s="1">
        <f t="shared" si="117"/>
        <v>6</v>
      </c>
      <c r="E292" s="1">
        <f>+'Fisico SPOT MAT'!E292</f>
        <v>16</v>
      </c>
      <c r="F292" s="1" t="str">
        <f>+'Mono ASIG'!F292</f>
        <v>jue</v>
      </c>
      <c r="G292" s="56">
        <f>+'Mono ASIG'!G292</f>
        <v>46198</v>
      </c>
      <c r="H292" s="17">
        <f t="shared" si="118"/>
        <v>171.92099380650413</v>
      </c>
      <c r="I292" s="17">
        <f t="shared" si="119"/>
        <v>228.18026656547008</v>
      </c>
      <c r="J292" s="17">
        <v>28.791119363511037</v>
      </c>
      <c r="K292" s="17">
        <v>28.791119363511037</v>
      </c>
      <c r="L292" s="17">
        <f>+Precios!E292</f>
        <v>238.05889934954621</v>
      </c>
      <c r="M292" s="44">
        <f>SUMPRODUCT(H292:L292,'Fisico SPOT MAT'!H292:L292)*24</f>
        <v>33063241.904601976</v>
      </c>
      <c r="N292" s="19">
        <f>+'Fisico SPOT MAT'!AH292</f>
        <v>16.878056478013594</v>
      </c>
      <c r="O292" s="19">
        <f t="shared" si="120"/>
        <v>13.359788359788359</v>
      </c>
      <c r="P292" s="19">
        <v>6</v>
      </c>
      <c r="Q292" s="19">
        <v>6</v>
      </c>
      <c r="R292" s="19">
        <v>0</v>
      </c>
      <c r="S292" s="44">
        <f>SUMPRODUCT(N292:R292,'Fisico SPOT MAT'!N292:R292)*E292</f>
        <v>3800384.9200268057</v>
      </c>
      <c r="T292" s="17">
        <v>70</v>
      </c>
      <c r="U292" s="17">
        <v>18</v>
      </c>
      <c r="V292" s="17">
        <v>50</v>
      </c>
      <c r="W292" s="17">
        <v>60</v>
      </c>
      <c r="X292" s="28">
        <f>SUMPRODUCT(T292:W292,'Fisico SPOT MAT'!T292:W292)*24</f>
        <v>3198314.9260000004</v>
      </c>
      <c r="Y292" s="19">
        <v>0</v>
      </c>
      <c r="Z292" s="19">
        <v>5</v>
      </c>
      <c r="AA292" s="19">
        <v>0</v>
      </c>
      <c r="AB292" s="28">
        <f>SUMPRODUCT(Y292:AA292,'Fisico SPOT MAT'!Y292:AA292)*E292</f>
        <v>103144.57699999999</v>
      </c>
      <c r="AC292" s="122">
        <f>(T292*'Fisico SPOT MAT'!T292+'Mono SPOT MAT'!V292*'Fisico SPOT MAT'!V292+'Mono SPOT MAT'!W292*'Fisico SPOT MAT'!W292)/'Fisico SPOT MAT'!AC292</f>
        <v>62.499208609666468</v>
      </c>
      <c r="AD292" s="85"/>
      <c r="AE292" s="41">
        <v>158.35456094286101</v>
      </c>
      <c r="AF292" s="42">
        <v>214.61383370182696</v>
      </c>
      <c r="AG292">
        <v>5050</v>
      </c>
      <c r="AH292" s="64">
        <f t="shared" si="104"/>
        <v>10.216432863643119</v>
      </c>
      <c r="AI292">
        <v>2.5</v>
      </c>
      <c r="AJ292" s="41">
        <v>0.85</v>
      </c>
      <c r="AK292">
        <v>378</v>
      </c>
    </row>
    <row r="293" spans="1:37" hidden="1" x14ac:dyDescent="0.3">
      <c r="A293" s="3">
        <f>+'Mono ASIG'!A293</f>
        <v>1483.0198</v>
      </c>
      <c r="B293" s="3">
        <f>+'Mono ASIG'!B293</f>
        <v>1445.3979999999999</v>
      </c>
      <c r="C293" s="1">
        <f>+'Mono ASIG'!C293</f>
        <v>2026</v>
      </c>
      <c r="D293" s="1">
        <f t="shared" si="117"/>
        <v>6</v>
      </c>
      <c r="E293" s="1">
        <f>+'Fisico SPOT MAT'!E293</f>
        <v>16</v>
      </c>
      <c r="F293" s="1" t="str">
        <f>+'Mono ASIG'!F293</f>
        <v>vie</v>
      </c>
      <c r="G293" s="56">
        <f>+'Mono ASIG'!G293</f>
        <v>46199</v>
      </c>
      <c r="H293" s="17">
        <f t="shared" si="118"/>
        <v>177.55029449231424</v>
      </c>
      <c r="I293" s="17">
        <f t="shared" si="119"/>
        <v>233.30382442115811</v>
      </c>
      <c r="J293" s="17">
        <v>27.526845908180839</v>
      </c>
      <c r="K293" s="17">
        <v>27.526845908180839</v>
      </c>
      <c r="L293" s="17">
        <f>+Precios!E293</f>
        <v>224.95640958897232</v>
      </c>
      <c r="M293" s="44">
        <f>SUMPRODUCT(H293:L293,'Fisico SPOT MAT'!H293:L293)*24</f>
        <v>31958607.460949767</v>
      </c>
      <c r="N293" s="19">
        <f>+'Fisico SPOT MAT'!AH293</f>
        <v>16.876193762444199</v>
      </c>
      <c r="O293" s="19">
        <f t="shared" si="120"/>
        <v>13.359788359788359</v>
      </c>
      <c r="P293" s="19">
        <v>6</v>
      </c>
      <c r="Q293" s="19">
        <v>6</v>
      </c>
      <c r="R293" s="19">
        <v>0</v>
      </c>
      <c r="S293" s="44">
        <f>SUMPRODUCT(N293:R293,'Fisico SPOT MAT'!N293:R293)*E293</f>
        <v>3792833.6494694874</v>
      </c>
      <c r="T293" s="17">
        <v>70</v>
      </c>
      <c r="U293" s="17">
        <v>18</v>
      </c>
      <c r="V293" s="17">
        <v>50</v>
      </c>
      <c r="W293" s="17">
        <v>60</v>
      </c>
      <c r="X293" s="28">
        <f>SUMPRODUCT(T293:W293,'Fisico SPOT MAT'!T293:W293)*24</f>
        <v>3688123.1930000042</v>
      </c>
      <c r="Y293" s="19">
        <v>0</v>
      </c>
      <c r="Z293" s="19">
        <v>5</v>
      </c>
      <c r="AA293" s="19">
        <v>0</v>
      </c>
      <c r="AB293" s="28">
        <f>SUMPRODUCT(Y293:AA293,'Fisico SPOT MAT'!Y293:AA293)*E293</f>
        <v>103156.26199999999</v>
      </c>
      <c r="AC293" s="122">
        <f>(T293*'Fisico SPOT MAT'!T293+'Mono SPOT MAT'!V293*'Fisico SPOT MAT'!V293+'Mono SPOT MAT'!W293*'Fisico SPOT MAT'!W293)/'Fisico SPOT MAT'!AC293</f>
        <v>62.2582428127184</v>
      </c>
      <c r="AD293" s="85"/>
      <c r="AE293" s="41">
        <v>163.6279105314419</v>
      </c>
      <c r="AF293" s="42">
        <v>219.38144046028577</v>
      </c>
      <c r="AG293">
        <v>5050</v>
      </c>
      <c r="AH293" s="64">
        <f t="shared" si="104"/>
        <v>10.57238396087233</v>
      </c>
      <c r="AI293">
        <v>2.5</v>
      </c>
      <c r="AJ293" s="41">
        <v>0.85</v>
      </c>
      <c r="AK293">
        <v>378</v>
      </c>
    </row>
    <row r="294" spans="1:37" hidden="1" x14ac:dyDescent="0.3">
      <c r="A294" s="3">
        <f>+'Mono ASIG'!A294</f>
        <v>1483.0198</v>
      </c>
      <c r="B294" s="3">
        <f>+'Mono ASIG'!B294</f>
        <v>1445.3979999999999</v>
      </c>
      <c r="C294" s="1">
        <f>+'Mono ASIG'!C294</f>
        <v>2026</v>
      </c>
      <c r="D294" s="1">
        <f t="shared" si="117"/>
        <v>6</v>
      </c>
      <c r="E294" s="1">
        <f>+'Fisico SPOT MAT'!E294</f>
        <v>6</v>
      </c>
      <c r="F294" s="1" t="str">
        <f>+'Mono ASIG'!F294</f>
        <v>sáb</v>
      </c>
      <c r="G294" s="56">
        <f>+'Mono ASIG'!G294</f>
        <v>46200</v>
      </c>
      <c r="H294" s="17">
        <f t="shared" si="118"/>
        <v>175.66027451966053</v>
      </c>
      <c r="I294" s="17">
        <f t="shared" si="119"/>
        <v>239.61643037526736</v>
      </c>
      <c r="J294" s="17">
        <v>27.06478821522488</v>
      </c>
      <c r="K294" s="17">
        <v>27.06478821522488</v>
      </c>
      <c r="L294" s="17">
        <f>+Precios!E294</f>
        <v>194.53311917106453</v>
      </c>
      <c r="M294" s="44">
        <f>SUMPRODUCT(H294:L294,'Fisico SPOT MAT'!H294:L294)*24</f>
        <v>29811513.078064725</v>
      </c>
      <c r="N294" s="19">
        <f>+'Fisico SPOT MAT'!AH294</f>
        <v>16.878401670454547</v>
      </c>
      <c r="O294" s="19">
        <f t="shared" si="120"/>
        <v>13.359788359788359</v>
      </c>
      <c r="P294" s="19">
        <v>6</v>
      </c>
      <c r="Q294" s="19">
        <v>6</v>
      </c>
      <c r="R294" s="19">
        <v>0</v>
      </c>
      <c r="S294" s="44">
        <f>SUMPRODUCT(N294:R294,'Fisico SPOT MAT'!N294:R294)*E294</f>
        <v>1424563.5659235446</v>
      </c>
      <c r="T294" s="17">
        <v>70</v>
      </c>
      <c r="U294" s="17">
        <v>18</v>
      </c>
      <c r="V294" s="17">
        <v>50</v>
      </c>
      <c r="W294" s="17">
        <v>60</v>
      </c>
      <c r="X294" s="28">
        <f>SUMPRODUCT(T294:W294,'Fisico SPOT MAT'!T294:W294)*24</f>
        <v>2799597.9279999998</v>
      </c>
      <c r="Y294" s="19">
        <v>0</v>
      </c>
      <c r="Z294" s="19">
        <v>5</v>
      </c>
      <c r="AA294" s="19">
        <v>0</v>
      </c>
      <c r="AB294" s="28">
        <f>SUMPRODUCT(Y294:AA294,'Fisico SPOT MAT'!Y294:AA294)*E294</f>
        <v>38638.844624999991</v>
      </c>
      <c r="AC294" s="122">
        <f>(T294*'Fisico SPOT MAT'!T294+'Mono SPOT MAT'!V294*'Fisico SPOT MAT'!V294+'Mono SPOT MAT'!W294*'Fisico SPOT MAT'!W294)/'Fisico SPOT MAT'!AC294</f>
        <v>63.176885956703742</v>
      </c>
      <c r="AD294" s="85"/>
      <c r="AE294" s="41">
        <v>161.85740001841737</v>
      </c>
      <c r="AF294" s="42">
        <v>225.81355587402419</v>
      </c>
      <c r="AG294">
        <v>5050</v>
      </c>
      <c r="AH294" s="64">
        <f t="shared" si="104"/>
        <v>10.452874501243173</v>
      </c>
      <c r="AI294">
        <v>2.5</v>
      </c>
      <c r="AJ294" s="41">
        <v>0.85</v>
      </c>
      <c r="AK294">
        <v>378</v>
      </c>
    </row>
    <row r="295" spans="1:37" hidden="1" x14ac:dyDescent="0.3">
      <c r="A295" s="3">
        <f>+'Mono ASIG'!A295</f>
        <v>1483.0198</v>
      </c>
      <c r="B295" s="3">
        <f>+'Mono ASIG'!B295</f>
        <v>1445.3979999999999</v>
      </c>
      <c r="C295" s="1">
        <f>+'Mono ASIG'!C295</f>
        <v>2026</v>
      </c>
      <c r="D295" s="1">
        <f t="shared" ref="D295:D296" si="121">MONTH(G295)</f>
        <v>6</v>
      </c>
      <c r="E295" s="1">
        <f>+'Fisico SPOT MAT'!E295</f>
        <v>4</v>
      </c>
      <c r="F295" s="1" t="str">
        <f>+'Mono ASIG'!F295</f>
        <v>dom</v>
      </c>
      <c r="G295" s="56">
        <f>+'Mono ASIG'!G295</f>
        <v>46201</v>
      </c>
      <c r="H295" s="17">
        <f t="shared" ref="H295:H296" si="122">+AE295+AH295+AI295+AJ295</f>
        <v>171.68280599443483</v>
      </c>
      <c r="I295" s="17">
        <f t="shared" ref="I295:I296" si="123">+AF295+AH295+AI295+AJ295</f>
        <v>179.1693758159208</v>
      </c>
      <c r="J295" s="17">
        <v>24.898720918228449</v>
      </c>
      <c r="K295" s="17">
        <v>24.898720918228449</v>
      </c>
      <c r="L295" s="17">
        <f>+Precios!E295</f>
        <v>129.8859804996587</v>
      </c>
      <c r="M295" s="44">
        <f>SUMPRODUCT(H295:L295,'Fisico SPOT MAT'!H295:L295)*24</f>
        <v>26172033.527222816</v>
      </c>
      <c r="N295" s="19">
        <f>+'Fisico SPOT MAT'!AH295</f>
        <v>16.831276817902239</v>
      </c>
      <c r="O295" s="19">
        <f t="shared" ref="O295:O296" si="124">AG295/AK295</f>
        <v>13.359788359788359</v>
      </c>
      <c r="P295" s="19">
        <v>6</v>
      </c>
      <c r="Q295" s="19">
        <v>6</v>
      </c>
      <c r="R295" s="19">
        <v>0</v>
      </c>
      <c r="S295" s="44">
        <f>SUMPRODUCT(N295:R295,'Fisico SPOT MAT'!N295:R295)*E295</f>
        <v>911795.66500105732</v>
      </c>
      <c r="T295" s="17">
        <v>70</v>
      </c>
      <c r="U295" s="17">
        <v>18</v>
      </c>
      <c r="V295" s="17">
        <v>50</v>
      </c>
      <c r="W295" s="17">
        <v>60</v>
      </c>
      <c r="X295" s="28">
        <f>SUMPRODUCT(T295:W295,'Fisico SPOT MAT'!T295:W295)*24</f>
        <v>2964233.8510000017</v>
      </c>
      <c r="Y295" s="19">
        <v>0</v>
      </c>
      <c r="Z295" s="19">
        <v>5</v>
      </c>
      <c r="AA295" s="19">
        <v>0</v>
      </c>
      <c r="AB295" s="28">
        <f>SUMPRODUCT(Y295:AA295,'Fisico SPOT MAT'!Y295:AA295)*E295</f>
        <v>25694.350999999995</v>
      </c>
      <c r="AC295" s="122">
        <f>(T295*'Fisico SPOT MAT'!T295+'Mono SPOT MAT'!V295*'Fisico SPOT MAT'!V295+'Mono SPOT MAT'!W295*'Fisico SPOT MAT'!W295)/'Fisico SPOT MAT'!AC295</f>
        <v>63.068668127829127</v>
      </c>
      <c r="AD295" s="85"/>
      <c r="AE295" s="41">
        <v>158.13143418682421</v>
      </c>
      <c r="AF295" s="42">
        <v>165.61800400831018</v>
      </c>
      <c r="AG295">
        <v>5050</v>
      </c>
      <c r="AH295" s="64">
        <f t="shared" si="104"/>
        <v>10.201371807610634</v>
      </c>
      <c r="AI295">
        <v>2.5</v>
      </c>
      <c r="AJ295" s="41">
        <v>0.85</v>
      </c>
      <c r="AK295">
        <v>378</v>
      </c>
    </row>
    <row r="296" spans="1:37" hidden="1" x14ac:dyDescent="0.3">
      <c r="A296" s="3">
        <f>+'Mono ASIG'!A296</f>
        <v>1483.0198</v>
      </c>
      <c r="B296" s="3">
        <f>+'Mono ASIG'!B296</f>
        <v>1457.306</v>
      </c>
      <c r="C296" s="1">
        <f>+'Mono ASIG'!C296</f>
        <v>2026</v>
      </c>
      <c r="D296" s="1">
        <f t="shared" si="121"/>
        <v>6</v>
      </c>
      <c r="E296" s="1">
        <f>+'Fisico SPOT MAT'!E296</f>
        <v>16</v>
      </c>
      <c r="F296" s="1" t="str">
        <f>+'Mono ASIG'!F296</f>
        <v>lun</v>
      </c>
      <c r="G296" s="56">
        <f>+'Mono ASIG'!G296</f>
        <v>46202</v>
      </c>
      <c r="H296" s="17">
        <f t="shared" si="122"/>
        <v>161.30389893972546</v>
      </c>
      <c r="I296" s="17">
        <f t="shared" si="123"/>
        <v>139.07457404634167</v>
      </c>
      <c r="J296" s="17">
        <v>29.259424920391655</v>
      </c>
      <c r="K296" s="17">
        <v>29.259424920391655</v>
      </c>
      <c r="L296" s="17">
        <f>+Precios!E296</f>
        <v>172.19880537751607</v>
      </c>
      <c r="M296" s="44">
        <f>SUMPRODUCT(H296:L296,'Fisico SPOT MAT'!H296:L296)*24</f>
        <v>26721537.555026203</v>
      </c>
      <c r="N296" s="19">
        <f>+'Fisico SPOT MAT'!AH296</f>
        <v>16.898260001554103</v>
      </c>
      <c r="O296" s="19">
        <f t="shared" si="124"/>
        <v>13.359788359788359</v>
      </c>
      <c r="P296" s="19">
        <v>6</v>
      </c>
      <c r="Q296" s="19">
        <v>6</v>
      </c>
      <c r="R296" s="19">
        <v>0</v>
      </c>
      <c r="S296" s="44">
        <f>SUMPRODUCT(N296:R296,'Fisico SPOT MAT'!N296:R296)*E296</f>
        <v>3866193.5769022927</v>
      </c>
      <c r="T296" s="17">
        <v>70</v>
      </c>
      <c r="U296" s="17">
        <v>18</v>
      </c>
      <c r="V296" s="17">
        <v>50</v>
      </c>
      <c r="W296" s="17">
        <v>60</v>
      </c>
      <c r="X296" s="28">
        <f>SUMPRODUCT(T296:W296,'Fisico SPOT MAT'!T296:W296)*24</f>
        <v>2823006.5660000015</v>
      </c>
      <c r="Y296" s="19">
        <v>0</v>
      </c>
      <c r="Z296" s="19">
        <v>5</v>
      </c>
      <c r="AA296" s="19">
        <v>0</v>
      </c>
      <c r="AB296" s="28">
        <f>SUMPRODUCT(Y296:AA296,'Fisico SPOT MAT'!Y296:AA296)*E296</f>
        <v>103370.75599999999</v>
      </c>
      <c r="AC296" s="122">
        <f>(T296*'Fisico SPOT MAT'!T296+'Mono SPOT MAT'!V296*'Fisico SPOT MAT'!V296+'Mono SPOT MAT'!W296*'Fisico SPOT MAT'!W296)/'Fisico SPOT MAT'!AC296</f>
        <v>62.981789163816444</v>
      </c>
      <c r="AD296" s="85"/>
      <c r="AE296" s="41">
        <v>148.40880462737749</v>
      </c>
      <c r="AF296" s="42">
        <v>126.1794797339937</v>
      </c>
      <c r="AG296">
        <v>5050</v>
      </c>
      <c r="AH296" s="64">
        <f t="shared" si="104"/>
        <v>9.545094312347981</v>
      </c>
      <c r="AI296">
        <v>2.5</v>
      </c>
      <c r="AJ296" s="41">
        <v>0.85</v>
      </c>
      <c r="AK296">
        <v>378</v>
      </c>
    </row>
    <row r="297" spans="1:37" hidden="1" x14ac:dyDescent="0.3">
      <c r="A297" s="3">
        <f>+'Mono ASIG'!A297</f>
        <v>1483.0198</v>
      </c>
      <c r="B297" s="3">
        <f>+'Mono ASIG'!B297</f>
        <v>1457.306</v>
      </c>
      <c r="C297" s="1">
        <f>+'Mono ASIG'!C297</f>
        <v>2026</v>
      </c>
      <c r="D297" s="1">
        <f t="shared" ref="D297" si="125">MONTH(G297)</f>
        <v>6</v>
      </c>
      <c r="E297" s="1">
        <f>+'Fisico SPOT MAT'!E297</f>
        <v>16</v>
      </c>
      <c r="F297" s="1" t="str">
        <f>+'Mono ASIG'!F297</f>
        <v>mar</v>
      </c>
      <c r="G297" s="56">
        <f>+'Mono ASIG'!G297</f>
        <v>46203</v>
      </c>
      <c r="H297" s="17">
        <f t="shared" ref="H297" si="126">+AE297+AH297+AI297+AJ297</f>
        <v>145.9331971388726</v>
      </c>
      <c r="I297" s="17">
        <f t="shared" ref="I297" si="127">+AF297+AH297+AI297+AJ297</f>
        <v>133.71368082026672</v>
      </c>
      <c r="J297" s="17">
        <v>25.410597253519061</v>
      </c>
      <c r="K297" s="17">
        <v>25.410597253519061</v>
      </c>
      <c r="L297" s="17">
        <f>+Precios!E297</f>
        <v>141.89471375005496</v>
      </c>
      <c r="M297" s="44">
        <f>SUMPRODUCT(H297:L297,'Fisico SPOT MAT'!H297:L297)*24</f>
        <v>23811984.768640779</v>
      </c>
      <c r="N297" s="19">
        <f>+'Fisico SPOT MAT'!AH297</f>
        <v>16.892813924751213</v>
      </c>
      <c r="O297" s="19">
        <f t="shared" ref="O297:O301" si="128">AG297/AK297</f>
        <v>13.359788359788359</v>
      </c>
      <c r="P297" s="19">
        <v>6</v>
      </c>
      <c r="Q297" s="19">
        <v>6</v>
      </c>
      <c r="R297" s="19">
        <v>0</v>
      </c>
      <c r="S297" s="44">
        <f>SUMPRODUCT(N297:R297,'Fisico SPOT MAT'!N297:R297)*E297</f>
        <v>3849687.0373671944</v>
      </c>
      <c r="T297" s="17">
        <v>70</v>
      </c>
      <c r="U297" s="17">
        <v>18</v>
      </c>
      <c r="V297" s="17">
        <v>50</v>
      </c>
      <c r="W297" s="17">
        <v>60</v>
      </c>
      <c r="X297" s="28">
        <f>SUMPRODUCT(T297:W297,'Fisico SPOT MAT'!T297:W297)*24</f>
        <v>3930114.1409999998</v>
      </c>
      <c r="Y297" s="19">
        <v>0</v>
      </c>
      <c r="Z297" s="19">
        <v>5</v>
      </c>
      <c r="AA297" s="19">
        <v>0</v>
      </c>
      <c r="AB297" s="28">
        <f>SUMPRODUCT(Y297:AA297,'Fisico SPOT MAT'!Y297:AA297)*E297</f>
        <v>103370.32699999999</v>
      </c>
      <c r="AC297" s="122">
        <f>(T297*'Fisico SPOT MAT'!T297+'Mono SPOT MAT'!V297*'Fisico SPOT MAT'!V297+'Mono SPOT MAT'!W297*'Fisico SPOT MAT'!W297)/'Fisico SPOT MAT'!AC297</f>
        <v>62.170511698595185</v>
      </c>
      <c r="AD297" s="85"/>
      <c r="AE297" s="41">
        <v>134.01002073899073</v>
      </c>
      <c r="AF297" s="42">
        <v>121.79050442038483</v>
      </c>
      <c r="AG297">
        <v>5050</v>
      </c>
      <c r="AH297" s="64">
        <f t="shared" si="104"/>
        <v>8.5731763998818753</v>
      </c>
      <c r="AI297">
        <v>2.5</v>
      </c>
      <c r="AJ297" s="41">
        <v>0.85</v>
      </c>
      <c r="AK297">
        <v>378</v>
      </c>
    </row>
    <row r="298" spans="1:37" hidden="1" x14ac:dyDescent="0.3">
      <c r="A298" s="3">
        <f>+'Mono ASIG'!A298</f>
        <v>1488.4530999999999</v>
      </c>
      <c r="B298" s="3">
        <f>+'Mono ASIG'!B298</f>
        <v>1457.306</v>
      </c>
      <c r="C298" s="1">
        <f>+'Mono ASIG'!C298</f>
        <v>2026</v>
      </c>
      <c r="D298" s="1">
        <f t="shared" ref="D298:D301" si="129">MONTH(G298)</f>
        <v>7</v>
      </c>
      <c r="E298" s="1">
        <f>+'Fisico SPOT MAT'!E298</f>
        <v>16</v>
      </c>
      <c r="F298" s="1" t="str">
        <f>+'Mono ASIG'!F298</f>
        <v>mié</v>
      </c>
      <c r="G298" s="56">
        <f>+'Mono ASIG'!G298</f>
        <v>46204</v>
      </c>
      <c r="H298" s="17">
        <f t="shared" ref="H298:H301" si="130">+AE298+AH298+AI298+AJ298</f>
        <v>165.80987003720699</v>
      </c>
      <c r="I298" s="17">
        <f>+AF298+AH298+AI298+AJ298</f>
        <v>158.48012112854545</v>
      </c>
      <c r="J298" s="17">
        <v>22.862683447047669</v>
      </c>
      <c r="K298" s="17">
        <f>+J298</f>
        <v>22.862683447047669</v>
      </c>
      <c r="L298" s="17">
        <f>+Precios!E298</f>
        <v>190.35113479920832</v>
      </c>
      <c r="M298" s="44">
        <f>SUMPRODUCT(H298:L298,'Fisico SPOT MAT'!H298:L298)*24</f>
        <v>27601622.097217105</v>
      </c>
      <c r="N298" s="19">
        <f>+'Fisico SPOT MAT'!AH298</f>
        <v>16.883778962189353</v>
      </c>
      <c r="O298" s="19">
        <f>AG298/AK298</f>
        <v>12.752525252525253</v>
      </c>
      <c r="P298" s="19">
        <v>6</v>
      </c>
      <c r="Q298" s="19">
        <v>6</v>
      </c>
      <c r="R298" s="19">
        <v>0</v>
      </c>
      <c r="S298" s="44">
        <f>SUMPRODUCT(N298:R298,'Fisico SPOT MAT'!N298:R298)*E298</f>
        <v>3817876.158168348</v>
      </c>
      <c r="T298" s="17">
        <v>80</v>
      </c>
      <c r="U298" s="17">
        <v>18</v>
      </c>
      <c r="V298" s="17">
        <v>50</v>
      </c>
      <c r="W298" s="17">
        <v>60</v>
      </c>
      <c r="X298" s="28">
        <f>SUMPRODUCT(T298:W298,'Fisico SPOT MAT'!T298:W298)*24</f>
        <v>3603696.1800000016</v>
      </c>
      <c r="Y298" s="19">
        <v>0</v>
      </c>
      <c r="Z298" s="19">
        <v>5</v>
      </c>
      <c r="AA298" s="19">
        <v>0</v>
      </c>
      <c r="AB298" s="28">
        <f>SUMPRODUCT(Y298:AA298,'Fisico SPOT MAT'!Y298:AA298)*E298</f>
        <v>90022.736666666679</v>
      </c>
      <c r="AC298" s="122">
        <f>(T298*'Fisico SPOT MAT'!T298+'Mono SPOT MAT'!V298*'Fisico SPOT MAT'!V298+'Mono SPOT MAT'!W298*'Fisico SPOT MAT'!W298)/'Fisico SPOT MAT'!AC298</f>
        <v>65.44786508431784</v>
      </c>
      <c r="AD298" s="85"/>
      <c r="AE298" s="41">
        <v>152.62985483579109</v>
      </c>
      <c r="AF298" s="42">
        <v>145.30010592712955</v>
      </c>
      <c r="AG298">
        <v>5050</v>
      </c>
      <c r="AH298" s="64">
        <f t="shared" si="104"/>
        <v>9.8300152014158986</v>
      </c>
      <c r="AI298">
        <v>2.5</v>
      </c>
      <c r="AJ298" s="41">
        <v>0.85</v>
      </c>
      <c r="AK298">
        <v>396</v>
      </c>
    </row>
    <row r="299" spans="1:37" hidden="1" x14ac:dyDescent="0.3">
      <c r="A299" s="3">
        <f>+'Mono ASIG'!A299</f>
        <v>1488.4530999999999</v>
      </c>
      <c r="B299" s="3">
        <f>+'Mono ASIG'!B299</f>
        <v>1457.306</v>
      </c>
      <c r="C299" s="1">
        <f>+'Mono ASIG'!C299</f>
        <v>2026</v>
      </c>
      <c r="D299" s="1">
        <f t="shared" si="129"/>
        <v>7</v>
      </c>
      <c r="E299" s="1">
        <f>+'Fisico SPOT MAT'!E299</f>
        <v>16</v>
      </c>
      <c r="F299" s="1" t="str">
        <f>+'Mono ASIG'!F299</f>
        <v>jue</v>
      </c>
      <c r="G299" s="56">
        <f>+'Mono ASIG'!G299</f>
        <v>46205</v>
      </c>
      <c r="H299" s="17">
        <f t="shared" si="130"/>
        <v>172.01711614925927</v>
      </c>
      <c r="I299" s="17">
        <f t="shared" ref="I299:I301" si="131">+AF299+AH299+AI299+AJ299</f>
        <v>211.1164600745802</v>
      </c>
      <c r="J299" s="17">
        <v>24.279900489020719</v>
      </c>
      <c r="K299" s="17">
        <f t="shared" ref="K299:K315" si="132">+J299</f>
        <v>24.279900489020719</v>
      </c>
      <c r="L299" s="17">
        <f>+Precios!E299</f>
        <v>207.66341546865442</v>
      </c>
      <c r="M299" s="44">
        <f>SUMPRODUCT(H299:L299,'Fisico SPOT MAT'!H299:L299)*24</f>
        <v>35052006.703567334</v>
      </c>
      <c r="N299" s="19">
        <f>+'Fisico SPOT MAT'!AH299</f>
        <v>16.899028579402238</v>
      </c>
      <c r="O299" s="19">
        <f t="shared" si="128"/>
        <v>12.752525252525253</v>
      </c>
      <c r="P299" s="19">
        <v>6</v>
      </c>
      <c r="Q299" s="19">
        <v>6</v>
      </c>
      <c r="R299" s="19">
        <v>0</v>
      </c>
      <c r="S299" s="44">
        <f>SUMPRODUCT(N299:R299,'Fisico SPOT MAT'!N299:R299)*E299</f>
        <v>3867484.8381952834</v>
      </c>
      <c r="T299" s="17">
        <v>80</v>
      </c>
      <c r="U299" s="17">
        <v>18</v>
      </c>
      <c r="V299" s="17">
        <v>50</v>
      </c>
      <c r="W299" s="17">
        <v>60</v>
      </c>
      <c r="X299" s="28">
        <f>SUMPRODUCT(T299:W299,'Fisico SPOT MAT'!T299:W299)*24</f>
        <v>2651114.3600000013</v>
      </c>
      <c r="Y299" s="19">
        <v>0</v>
      </c>
      <c r="Z299" s="19">
        <v>5</v>
      </c>
      <c r="AA299" s="19">
        <v>0</v>
      </c>
      <c r="AB299" s="28">
        <f>SUMPRODUCT(Y299:AA299,'Fisico SPOT MAT'!Y299:AA299)*E299</f>
        <v>90022.146666666682</v>
      </c>
      <c r="AC299" s="122">
        <f>(T299*'Fisico SPOT MAT'!T299+'Mono SPOT MAT'!V299*'Fisico SPOT MAT'!V299+'Mono SPOT MAT'!W299*'Fisico SPOT MAT'!W299)/'Fisico SPOT MAT'!AC299</f>
        <v>67.318129723644731</v>
      </c>
      <c r="AD299" s="85"/>
      <c r="AE299" s="41">
        <v>158.44460529204616</v>
      </c>
      <c r="AF299" s="42">
        <v>197.5439492173671</v>
      </c>
      <c r="AG299">
        <v>5050</v>
      </c>
      <c r="AH299" s="64">
        <f t="shared" si="104"/>
        <v>10.222510857213116</v>
      </c>
      <c r="AI299">
        <v>2.5</v>
      </c>
      <c r="AJ299" s="41">
        <v>0.85</v>
      </c>
      <c r="AK299">
        <v>396</v>
      </c>
    </row>
    <row r="300" spans="1:37" hidden="1" x14ac:dyDescent="0.3">
      <c r="A300" s="3">
        <f>+'Mono ASIG'!A300</f>
        <v>1488.4530999999999</v>
      </c>
      <c r="B300" s="3">
        <f>+'Mono ASIG'!B300</f>
        <v>1457.306</v>
      </c>
      <c r="C300" s="1">
        <f>+'Mono ASIG'!C300</f>
        <v>2026</v>
      </c>
      <c r="D300" s="1">
        <f t="shared" si="129"/>
        <v>7</v>
      </c>
      <c r="E300" s="1">
        <f>+'Fisico SPOT MAT'!E300</f>
        <v>16</v>
      </c>
      <c r="F300" s="1" t="str">
        <f>+'Mono ASIG'!F300</f>
        <v>vie</v>
      </c>
      <c r="G300" s="56">
        <f>+'Mono ASIG'!G300</f>
        <v>46206</v>
      </c>
      <c r="H300" s="17">
        <f t="shared" si="130"/>
        <v>168.3087596955553</v>
      </c>
      <c r="I300" s="17">
        <f t="shared" si="131"/>
        <v>213.22968499787424</v>
      </c>
      <c r="J300" s="17">
        <v>22.222817699853355</v>
      </c>
      <c r="K300" s="17">
        <f t="shared" si="132"/>
        <v>22.222817699853355</v>
      </c>
      <c r="L300" s="17">
        <f>+Precios!E300</f>
        <v>225.4028253638152</v>
      </c>
      <c r="M300" s="44">
        <f>SUMPRODUCT(H300:L300,'Fisico SPOT MAT'!H300:L300)*24</f>
        <v>35519032.542706236</v>
      </c>
      <c r="N300" s="19">
        <f>+'Fisico SPOT MAT'!AH300</f>
        <v>16.900976291126597</v>
      </c>
      <c r="O300" s="19">
        <f t="shared" si="128"/>
        <v>12.752525252525253</v>
      </c>
      <c r="P300" s="19">
        <v>6</v>
      </c>
      <c r="Q300" s="19">
        <v>6</v>
      </c>
      <c r="R300" s="19">
        <v>0</v>
      </c>
      <c r="S300" s="44">
        <f>SUMPRODUCT(N300:R300,'Fisico SPOT MAT'!N300:R300)*E300</f>
        <v>3873022.2703063958</v>
      </c>
      <c r="T300" s="17">
        <v>80</v>
      </c>
      <c r="U300" s="17">
        <v>18</v>
      </c>
      <c r="V300" s="17">
        <v>50</v>
      </c>
      <c r="W300" s="17">
        <v>60</v>
      </c>
      <c r="X300" s="28">
        <f>SUMPRODUCT(T300:W300,'Fisico SPOT MAT'!T300:W300)*24</f>
        <v>2673011.9850000003</v>
      </c>
      <c r="Y300" s="19">
        <v>0</v>
      </c>
      <c r="Z300" s="19">
        <v>5</v>
      </c>
      <c r="AA300" s="19">
        <v>0</v>
      </c>
      <c r="AB300" s="28">
        <f>SUMPRODUCT(Y300:AA300,'Fisico SPOT MAT'!Y300:AA300)*E300</f>
        <v>89861.27</v>
      </c>
      <c r="AC300" s="122">
        <f>(T300*'Fisico SPOT MAT'!T300+'Mono SPOT MAT'!V300*'Fisico SPOT MAT'!V300+'Mono SPOT MAT'!W300*'Fisico SPOT MAT'!W300)/'Fisico SPOT MAT'!AC300</f>
        <v>67.395432367999987</v>
      </c>
      <c r="AD300" s="85"/>
      <c r="AE300" s="41">
        <v>154.97073507780357</v>
      </c>
      <c r="AF300" s="42">
        <v>199.89166038012252</v>
      </c>
      <c r="AG300">
        <v>5050</v>
      </c>
      <c r="AH300" s="64">
        <f t="shared" si="104"/>
        <v>9.9880246177517407</v>
      </c>
      <c r="AI300">
        <v>2.5</v>
      </c>
      <c r="AJ300" s="41">
        <v>0.85</v>
      </c>
      <c r="AK300">
        <v>396</v>
      </c>
    </row>
    <row r="301" spans="1:37" hidden="1" x14ac:dyDescent="0.3">
      <c r="A301" s="3">
        <f>+'Mono ASIG'!A301</f>
        <v>1488.4530999999999</v>
      </c>
      <c r="B301" s="3">
        <f>+'Mono ASIG'!B301</f>
        <v>1457.306</v>
      </c>
      <c r="C301" s="1">
        <f>+'Mono ASIG'!C301</f>
        <v>2026</v>
      </c>
      <c r="D301" s="1">
        <f t="shared" si="129"/>
        <v>7</v>
      </c>
      <c r="E301" s="1">
        <f>+'Fisico SPOT MAT'!E301</f>
        <v>6</v>
      </c>
      <c r="F301" s="1" t="str">
        <f>+'Mono ASIG'!F301</f>
        <v>sáb</v>
      </c>
      <c r="G301" s="56">
        <f>+'Mono ASIG'!G301</f>
        <v>46207</v>
      </c>
      <c r="H301" s="17">
        <f t="shared" si="130"/>
        <v>171.90453369043124</v>
      </c>
      <c r="I301" s="17">
        <f t="shared" si="131"/>
        <v>215.02277936163992</v>
      </c>
      <c r="J301" s="17">
        <v>24.508066268226067</v>
      </c>
      <c r="K301" s="17">
        <f t="shared" si="132"/>
        <v>24.508066268226067</v>
      </c>
      <c r="L301" s="17">
        <f>+Precios!E301</f>
        <v>197.32038713860203</v>
      </c>
      <c r="M301" s="44">
        <f>SUMPRODUCT(H301:L301,'Fisico SPOT MAT'!H301:L301)*24</f>
        <v>32655537.946355179</v>
      </c>
      <c r="N301" s="19">
        <f>+'Fisico SPOT MAT'!AH301</f>
        <v>16.881184196084487</v>
      </c>
      <c r="O301" s="19">
        <f t="shared" si="128"/>
        <v>12.752525252525253</v>
      </c>
      <c r="P301" s="19">
        <v>6</v>
      </c>
      <c r="Q301" s="19">
        <v>6</v>
      </c>
      <c r="R301" s="19">
        <v>0</v>
      </c>
      <c r="S301" s="44">
        <f>SUMPRODUCT(N301:R301,'Fisico SPOT MAT'!N301:R301)*E301</f>
        <v>1427728.5170555545</v>
      </c>
      <c r="T301" s="17">
        <v>80</v>
      </c>
      <c r="U301" s="17">
        <v>18</v>
      </c>
      <c r="V301" s="17">
        <v>50</v>
      </c>
      <c r="W301" s="17">
        <v>60</v>
      </c>
      <c r="X301" s="28">
        <f>SUMPRODUCT(T301:W301,'Fisico SPOT MAT'!T301:W301)*24</f>
        <v>2613702.9150000019</v>
      </c>
      <c r="Y301" s="19">
        <v>0</v>
      </c>
      <c r="Z301" s="19">
        <v>5</v>
      </c>
      <c r="AA301" s="19">
        <v>0</v>
      </c>
      <c r="AB301" s="28">
        <f>SUMPRODUCT(Y301:AA301,'Fisico SPOT MAT'!Y301:AA301)*E301</f>
        <v>33667.746250000004</v>
      </c>
      <c r="AC301" s="122">
        <f>(T301*'Fisico SPOT MAT'!T301+'Mono SPOT MAT'!V301*'Fisico SPOT MAT'!V301+'Mono SPOT MAT'!W301*'Fisico SPOT MAT'!W301)/'Fisico SPOT MAT'!AC301</f>
        <v>67.727873995535248</v>
      </c>
      <c r="AD301" s="85"/>
      <c r="AE301" s="41">
        <v>158.33914163038057</v>
      </c>
      <c r="AF301" s="42">
        <v>201.45738730158922</v>
      </c>
      <c r="AG301">
        <v>5050</v>
      </c>
      <c r="AH301" s="64">
        <f t="shared" si="104"/>
        <v>10.215392060050689</v>
      </c>
      <c r="AI301">
        <v>2.5</v>
      </c>
      <c r="AJ301" s="41">
        <v>0.85</v>
      </c>
      <c r="AK301">
        <v>396</v>
      </c>
    </row>
    <row r="302" spans="1:37" hidden="1" x14ac:dyDescent="0.3">
      <c r="A302" s="3">
        <f>+'Mono ASIG'!A302</f>
        <v>1488.4530999999999</v>
      </c>
      <c r="B302" s="3">
        <f>+'Mono ASIG'!B302</f>
        <v>1457.306</v>
      </c>
      <c r="C302" s="1">
        <f>+'Mono ASIG'!C302</f>
        <v>2026</v>
      </c>
      <c r="D302" s="1">
        <f t="shared" ref="D302:D308" si="133">MONTH(G302)</f>
        <v>7</v>
      </c>
      <c r="E302" s="1">
        <f>+'Fisico SPOT MAT'!E302</f>
        <v>4</v>
      </c>
      <c r="F302" s="1" t="str">
        <f>+'Mono ASIG'!F302</f>
        <v>dom</v>
      </c>
      <c r="G302" s="56">
        <f>+'Mono ASIG'!G302</f>
        <v>46208</v>
      </c>
      <c r="H302" s="17">
        <f t="shared" ref="H302:H308" si="134">+AE302+AH302+AI302+AJ302</f>
        <v>168.44470739090323</v>
      </c>
      <c r="I302" s="17">
        <f t="shared" ref="I302:I308" si="135">+AF302+AH302+AI302+AJ302</f>
        <v>220.93311243936643</v>
      </c>
      <c r="J302" s="17">
        <v>23.374593600810751</v>
      </c>
      <c r="K302" s="17">
        <f t="shared" si="132"/>
        <v>23.374593600810751</v>
      </c>
      <c r="L302" s="17">
        <f>+Precios!E302</f>
        <v>200.96805299754763</v>
      </c>
      <c r="M302" s="44">
        <f>SUMPRODUCT(H302:L302,'Fisico SPOT MAT'!H302:L302)*24</f>
        <v>30133525.277963463</v>
      </c>
      <c r="N302" s="19">
        <f>+'Fisico SPOT MAT'!AH302</f>
        <v>16.878993094470957</v>
      </c>
      <c r="O302" s="19">
        <f t="shared" ref="O302:O308" si="136">AG302/AK302</f>
        <v>12.752525252525253</v>
      </c>
      <c r="P302" s="19">
        <v>6</v>
      </c>
      <c r="Q302" s="19">
        <v>6</v>
      </c>
      <c r="R302" s="19">
        <v>0</v>
      </c>
      <c r="S302" s="44">
        <f>SUMPRODUCT(N302:R302,'Fisico SPOT MAT'!N302:R302)*E302</f>
        <v>949218.48734848422</v>
      </c>
      <c r="T302" s="17">
        <v>80</v>
      </c>
      <c r="U302" s="17">
        <v>18</v>
      </c>
      <c r="V302" s="17">
        <v>50</v>
      </c>
      <c r="W302" s="17">
        <v>60</v>
      </c>
      <c r="X302" s="28">
        <f>SUMPRODUCT(T302:W302,'Fisico SPOT MAT'!T302:W302)*24</f>
        <v>2501186.0050000008</v>
      </c>
      <c r="Y302" s="19">
        <v>0</v>
      </c>
      <c r="Z302" s="19">
        <v>5</v>
      </c>
      <c r="AA302" s="19">
        <v>0</v>
      </c>
      <c r="AB302" s="28">
        <f>SUMPRODUCT(Y302:AA302,'Fisico SPOT MAT'!Y302:AA302)*E302</f>
        <v>22425.061666666668</v>
      </c>
      <c r="AC302" s="122">
        <f>(T302*'Fisico SPOT MAT'!T302+'Mono SPOT MAT'!V302*'Fisico SPOT MAT'!V302+'Mono SPOT MAT'!W302*'Fisico SPOT MAT'!W302)/'Fisico SPOT MAT'!AC302</f>
        <v>68.731338134543591</v>
      </c>
      <c r="AD302" s="85"/>
      <c r="AE302" s="41">
        <v>155.09808654885549</v>
      </c>
      <c r="AF302" s="42">
        <v>207.58649159731868</v>
      </c>
      <c r="AG302">
        <v>5050</v>
      </c>
      <c r="AH302" s="64">
        <f t="shared" si="104"/>
        <v>9.9966208420477471</v>
      </c>
      <c r="AI302">
        <v>2.5</v>
      </c>
      <c r="AJ302" s="41">
        <v>0.85</v>
      </c>
      <c r="AK302">
        <v>396</v>
      </c>
    </row>
    <row r="303" spans="1:37" hidden="1" x14ac:dyDescent="0.3">
      <c r="A303" s="3">
        <f>+'Mono ASIG'!A303</f>
        <v>1488.4530999999999</v>
      </c>
      <c r="B303" s="3">
        <f>+'Mono ASIG'!B303</f>
        <v>1457.306</v>
      </c>
      <c r="C303" s="1">
        <f>+'Mono ASIG'!C303</f>
        <v>2026</v>
      </c>
      <c r="D303" s="1">
        <f t="shared" si="133"/>
        <v>7</v>
      </c>
      <c r="E303" s="1">
        <f>+'Fisico SPOT MAT'!E303</f>
        <v>16</v>
      </c>
      <c r="F303" s="1" t="str">
        <f>+'Mono ASIG'!F303</f>
        <v>lun</v>
      </c>
      <c r="G303" s="56">
        <f>+'Mono ASIG'!G303</f>
        <v>46209</v>
      </c>
      <c r="H303" s="17">
        <f t="shared" si="134"/>
        <v>169.27331312143653</v>
      </c>
      <c r="I303" s="17">
        <f t="shared" si="135"/>
        <v>215.39393146026262</v>
      </c>
      <c r="J303" s="17">
        <v>26.099131399041102</v>
      </c>
      <c r="K303" s="17">
        <f t="shared" si="132"/>
        <v>26.099131399041102</v>
      </c>
      <c r="L303" s="17">
        <f>+Precios!E303</f>
        <v>190.08877106234726</v>
      </c>
      <c r="M303" s="44">
        <f>SUMPRODUCT(H303:L303,'Fisico SPOT MAT'!H303:L303)*24</f>
        <v>30989602.578093581</v>
      </c>
      <c r="N303" s="19">
        <f>+'Fisico SPOT MAT'!AH303</f>
        <v>16.901478987217661</v>
      </c>
      <c r="O303" s="19">
        <f t="shared" si="136"/>
        <v>12.752525252525253</v>
      </c>
      <c r="P303" s="19">
        <v>6</v>
      </c>
      <c r="Q303" s="19">
        <v>6</v>
      </c>
      <c r="R303" s="19">
        <v>0</v>
      </c>
      <c r="S303" s="44">
        <f>SUMPRODUCT(N303:R303,'Fisico SPOT MAT'!N303:R303)*E303</f>
        <v>3876382.9208585834</v>
      </c>
      <c r="T303" s="17">
        <v>80</v>
      </c>
      <c r="U303" s="17">
        <v>18</v>
      </c>
      <c r="V303" s="17">
        <v>50</v>
      </c>
      <c r="W303" s="17">
        <v>60</v>
      </c>
      <c r="X303" s="28">
        <f>SUMPRODUCT(T303:W303,'Fisico SPOT MAT'!T303:W303)*24</f>
        <v>3096562.209999999</v>
      </c>
      <c r="Y303" s="19">
        <v>0</v>
      </c>
      <c r="Z303" s="19">
        <v>5</v>
      </c>
      <c r="AA303" s="19">
        <v>0</v>
      </c>
      <c r="AB303" s="28">
        <f>SUMPRODUCT(Y303:AA303,'Fisico SPOT MAT'!Y303:AA303)*E303</f>
        <v>89619.333333333343</v>
      </c>
      <c r="AC303" s="122">
        <f>(T303*'Fisico SPOT MAT'!T303+'Mono SPOT MAT'!V303*'Fisico SPOT MAT'!V303+'Mono SPOT MAT'!W303*'Fisico SPOT MAT'!W303)/'Fisico SPOT MAT'!AC303</f>
        <v>66.516419157055878</v>
      </c>
      <c r="AD303" s="85"/>
      <c r="AE303" s="41">
        <v>155.87429800602953</v>
      </c>
      <c r="AF303" s="42">
        <v>201.99491634485562</v>
      </c>
      <c r="AG303">
        <v>5050</v>
      </c>
      <c r="AH303" s="64">
        <f t="shared" si="104"/>
        <v>10.049015115406995</v>
      </c>
      <c r="AI303">
        <v>2.5</v>
      </c>
      <c r="AJ303" s="41">
        <v>0.85</v>
      </c>
      <c r="AK303">
        <v>396</v>
      </c>
    </row>
    <row r="304" spans="1:37" hidden="1" x14ac:dyDescent="0.3">
      <c r="A304" s="3">
        <f>+'Mono ASIG'!A304</f>
        <v>1488.4530999999999</v>
      </c>
      <c r="B304" s="3">
        <f>+'Mono ASIG'!B304</f>
        <v>1457.306</v>
      </c>
      <c r="C304" s="1">
        <f>+'Mono ASIG'!C304</f>
        <v>2026</v>
      </c>
      <c r="D304" s="1">
        <f t="shared" si="133"/>
        <v>7</v>
      </c>
      <c r="E304" s="1">
        <f>+'Fisico SPOT MAT'!E304</f>
        <v>16</v>
      </c>
      <c r="F304" s="1" t="str">
        <f>+'Mono ASIG'!F304</f>
        <v>mar</v>
      </c>
      <c r="G304" s="56">
        <f>+'Mono ASIG'!G304</f>
        <v>46210</v>
      </c>
      <c r="H304" s="17">
        <f t="shared" si="134"/>
        <v>172.26241776521039</v>
      </c>
      <c r="I304" s="17">
        <f t="shared" si="135"/>
        <v>216.1343009971111</v>
      </c>
      <c r="J304" s="17">
        <v>23.870297306477852</v>
      </c>
      <c r="K304" s="17">
        <f t="shared" si="132"/>
        <v>23.870297306477852</v>
      </c>
      <c r="L304" s="17">
        <f>+Precios!E304</f>
        <v>141.38239440653808</v>
      </c>
      <c r="M304" s="44">
        <f>SUMPRODUCT(H304:L304,'Fisico SPOT MAT'!H304:L304)*24</f>
        <v>28840444.769932631</v>
      </c>
      <c r="N304" s="19">
        <f>+'Fisico SPOT MAT'!AH304</f>
        <v>16.890493731348972</v>
      </c>
      <c r="O304" s="19">
        <f t="shared" si="136"/>
        <v>12.752525252525253</v>
      </c>
      <c r="P304" s="19">
        <v>6</v>
      </c>
      <c r="Q304" s="19">
        <v>6</v>
      </c>
      <c r="R304" s="19">
        <v>0</v>
      </c>
      <c r="S304" s="44">
        <f>SUMPRODUCT(N304:R304,'Fisico SPOT MAT'!N304:R304)*E304</f>
        <v>3834055.6484915814</v>
      </c>
      <c r="T304" s="17">
        <v>80</v>
      </c>
      <c r="U304" s="17">
        <v>18</v>
      </c>
      <c r="V304" s="17">
        <v>50</v>
      </c>
      <c r="W304" s="17">
        <v>60</v>
      </c>
      <c r="X304" s="28">
        <f>SUMPRODUCT(T304:W304,'Fisico SPOT MAT'!T304:W304)*24</f>
        <v>4230303.9900000021</v>
      </c>
      <c r="Y304" s="19">
        <v>0</v>
      </c>
      <c r="Z304" s="19">
        <v>5</v>
      </c>
      <c r="AA304" s="19">
        <v>0</v>
      </c>
      <c r="AB304" s="28">
        <f>SUMPRODUCT(Y304:AA304,'Fisico SPOT MAT'!Y304:AA304)*E304</f>
        <v>89458.666666666686</v>
      </c>
      <c r="AC304" s="122">
        <f>(T304*'Fisico SPOT MAT'!T304+'Mono SPOT MAT'!V304*'Fisico SPOT MAT'!V304+'Mono SPOT MAT'!W304*'Fisico SPOT MAT'!W304)/'Fisico SPOT MAT'!AC304</f>
        <v>64.484066609492089</v>
      </c>
      <c r="AD304" s="85"/>
      <c r="AE304" s="41">
        <v>158.67439603298396</v>
      </c>
      <c r="AF304" s="42">
        <v>202.54627926488467</v>
      </c>
      <c r="AG304">
        <v>5050</v>
      </c>
      <c r="AH304" s="64">
        <f t="shared" si="104"/>
        <v>10.238021732226418</v>
      </c>
      <c r="AI304">
        <v>2.5</v>
      </c>
      <c r="AJ304" s="41">
        <v>0.85</v>
      </c>
      <c r="AK304">
        <v>396</v>
      </c>
    </row>
    <row r="305" spans="1:37" hidden="1" x14ac:dyDescent="0.3">
      <c r="A305" s="3">
        <f>+'Mono ASIG'!A305</f>
        <v>1488.4530999999999</v>
      </c>
      <c r="B305" s="3">
        <f>+'Mono ASIG'!B305</f>
        <v>1457.306</v>
      </c>
      <c r="C305" s="1">
        <f>+'Mono ASIG'!C305</f>
        <v>2026</v>
      </c>
      <c r="D305" s="1">
        <f t="shared" si="133"/>
        <v>7</v>
      </c>
      <c r="E305" s="1">
        <f>+'Fisico SPOT MAT'!E305</f>
        <v>16</v>
      </c>
      <c r="F305" s="1" t="str">
        <f>+'Mono ASIG'!F305</f>
        <v>mié</v>
      </c>
      <c r="G305" s="56">
        <f>+'Mono ASIG'!G305</f>
        <v>46211</v>
      </c>
      <c r="H305" s="17">
        <f t="shared" si="134"/>
        <v>172.11027907029177</v>
      </c>
      <c r="I305" s="17">
        <f t="shared" si="135"/>
        <v>182.83123566369736</v>
      </c>
      <c r="J305" s="17">
        <v>25.486085374569679</v>
      </c>
      <c r="K305" s="17">
        <f t="shared" si="132"/>
        <v>25.486085374569679</v>
      </c>
      <c r="L305" s="17">
        <f>+Precios!E305</f>
        <v>172.46489381738056</v>
      </c>
      <c r="M305" s="44">
        <f>SUMPRODUCT(H305:L305,'Fisico SPOT MAT'!H305:L305)*24</f>
        <v>28958951.802941233</v>
      </c>
      <c r="N305" s="19">
        <f>+'Fisico SPOT MAT'!AH305</f>
        <v>16.89275236224924</v>
      </c>
      <c r="O305" s="19">
        <f t="shared" si="136"/>
        <v>12.752525252525253</v>
      </c>
      <c r="P305" s="19">
        <v>6</v>
      </c>
      <c r="Q305" s="19">
        <v>6</v>
      </c>
      <c r="R305" s="19">
        <v>0</v>
      </c>
      <c r="S305" s="44">
        <f>SUMPRODUCT(N305:R305,'Fisico SPOT MAT'!N305:R305)*E305</f>
        <v>3842312.9022592581</v>
      </c>
      <c r="T305" s="17">
        <v>80</v>
      </c>
      <c r="U305" s="17">
        <v>18</v>
      </c>
      <c r="V305" s="17">
        <v>50</v>
      </c>
      <c r="W305" s="17">
        <v>60</v>
      </c>
      <c r="X305" s="28">
        <f>SUMPRODUCT(T305:W305,'Fisico SPOT MAT'!T305:W305)*24</f>
        <v>3214509.0299999993</v>
      </c>
      <c r="Y305" s="19">
        <v>0</v>
      </c>
      <c r="Z305" s="19">
        <v>5</v>
      </c>
      <c r="AA305" s="19">
        <v>0</v>
      </c>
      <c r="AB305" s="28">
        <f>SUMPRODUCT(Y305:AA305,'Fisico SPOT MAT'!Y305:AA305)*E305</f>
        <v>88204.13333333336</v>
      </c>
      <c r="AC305" s="122">
        <f>(T305*'Fisico SPOT MAT'!T305+'Mono SPOT MAT'!V305*'Fisico SPOT MAT'!V305+'Mono SPOT MAT'!W305*'Fisico SPOT MAT'!W305)/'Fisico SPOT MAT'!AC305</f>
        <v>66.065096558755911</v>
      </c>
      <c r="AD305" s="85"/>
      <c r="AE305" s="41">
        <v>158.53187734921946</v>
      </c>
      <c r="AF305" s="42">
        <v>169.25283394262505</v>
      </c>
      <c r="AG305">
        <v>5050</v>
      </c>
      <c r="AH305" s="64">
        <f t="shared" si="104"/>
        <v>10.228401721072315</v>
      </c>
      <c r="AI305">
        <v>2.5</v>
      </c>
      <c r="AJ305" s="41">
        <v>0.85</v>
      </c>
      <c r="AK305">
        <v>396</v>
      </c>
    </row>
    <row r="306" spans="1:37" hidden="1" x14ac:dyDescent="0.3">
      <c r="A306" s="3">
        <f>+'Mono ASIG'!A306</f>
        <v>1488.4530999999999</v>
      </c>
      <c r="B306" s="3">
        <f>+'Mono ASIG'!B306</f>
        <v>1457.306</v>
      </c>
      <c r="C306" s="1">
        <f>+'Mono ASIG'!C306</f>
        <v>2026</v>
      </c>
      <c r="D306" s="1">
        <f t="shared" si="133"/>
        <v>7</v>
      </c>
      <c r="E306" s="1">
        <f>+'Fisico SPOT MAT'!E306</f>
        <v>4</v>
      </c>
      <c r="F306" s="1" t="str">
        <f>+'Mono ASIG'!F306</f>
        <v>jue</v>
      </c>
      <c r="G306" s="56">
        <f>+'Mono ASIG'!G306</f>
        <v>46212</v>
      </c>
      <c r="H306" s="17">
        <f>+AE306+AH306+AI306+AJ306</f>
        <v>147.79942076615166</v>
      </c>
      <c r="I306" s="17">
        <f t="shared" si="135"/>
        <v>103.08206145899123</v>
      </c>
      <c r="J306" s="17">
        <v>22.000000000000007</v>
      </c>
      <c r="K306" s="17">
        <f t="shared" si="132"/>
        <v>22.000000000000007</v>
      </c>
      <c r="L306" s="17">
        <f>+Precios!E306</f>
        <v>146.14778487957167</v>
      </c>
      <c r="M306" s="44">
        <f>SUMPRODUCT(H306:L306,'Fisico SPOT MAT'!H306:L306)*24</f>
        <v>22496777.986455075</v>
      </c>
      <c r="N306" s="19">
        <f>+'Fisico SPOT MAT'!AH306</f>
        <v>16.887469478927496</v>
      </c>
      <c r="O306" s="19">
        <f t="shared" si="136"/>
        <v>12.752525252525253</v>
      </c>
      <c r="P306" s="19">
        <v>6</v>
      </c>
      <c r="Q306" s="19">
        <v>6</v>
      </c>
      <c r="R306" s="19">
        <v>0</v>
      </c>
      <c r="S306" s="44">
        <f>SUMPRODUCT(N306:R306,'Fisico SPOT MAT'!N306:R306)*E306</f>
        <v>955504.80642760894</v>
      </c>
      <c r="T306" s="17">
        <v>80</v>
      </c>
      <c r="U306" s="17">
        <v>18</v>
      </c>
      <c r="V306" s="17">
        <v>50</v>
      </c>
      <c r="W306" s="17">
        <v>60</v>
      </c>
      <c r="X306" s="28">
        <f>SUMPRODUCT(T306:W306,'Fisico SPOT MAT'!T306:W306)*24</f>
        <v>2589654.4100000006</v>
      </c>
      <c r="Y306" s="19">
        <v>0</v>
      </c>
      <c r="Z306" s="19">
        <v>5</v>
      </c>
      <c r="AA306" s="19">
        <v>0</v>
      </c>
      <c r="AB306" s="28">
        <f>SUMPRODUCT(Y306:AA306,'Fisico SPOT MAT'!Y306:AA306)*E306</f>
        <v>22365.000000000004</v>
      </c>
      <c r="AC306" s="122">
        <f>(T306*'Fisico SPOT MAT'!T306+'Mono SPOT MAT'!V306*'Fisico SPOT MAT'!V306+'Mono SPOT MAT'!W306*'Fisico SPOT MAT'!W306)/'Fisico SPOT MAT'!AC306</f>
        <v>68.096772972135312</v>
      </c>
      <c r="AD306" s="85"/>
      <c r="AE306" s="41">
        <v>135.7582395935847</v>
      </c>
      <c r="AF306" s="42">
        <v>91.040880286424269</v>
      </c>
      <c r="AG306">
        <v>5050</v>
      </c>
      <c r="AH306" s="64">
        <f t="shared" si="104"/>
        <v>8.691181172566969</v>
      </c>
      <c r="AI306">
        <v>2.5</v>
      </c>
      <c r="AJ306" s="41">
        <v>0.85</v>
      </c>
      <c r="AK306">
        <v>396</v>
      </c>
    </row>
    <row r="307" spans="1:37" hidden="1" x14ac:dyDescent="0.3">
      <c r="A307" s="3">
        <f>+'Mono ASIG'!A307</f>
        <v>1488.4530999999999</v>
      </c>
      <c r="B307" s="3">
        <f>+'Mono ASIG'!B307</f>
        <v>1457.306</v>
      </c>
      <c r="C307" s="1">
        <f>+'Mono ASIG'!C307</f>
        <v>2026</v>
      </c>
      <c r="D307" s="1">
        <f t="shared" si="133"/>
        <v>7</v>
      </c>
      <c r="E307" s="1">
        <f>+'Fisico SPOT MAT'!E307</f>
        <v>6</v>
      </c>
      <c r="F307" s="1" t="str">
        <f>+'Mono ASIG'!F307</f>
        <v>vie</v>
      </c>
      <c r="G307" s="56">
        <f>+'Mono ASIG'!G307</f>
        <v>46213</v>
      </c>
      <c r="H307" s="17">
        <f t="shared" si="134"/>
        <v>146.31995873753792</v>
      </c>
      <c r="I307" s="17">
        <f t="shared" si="135"/>
        <v>61.560008871375516</v>
      </c>
      <c r="J307" s="17">
        <v>22</v>
      </c>
      <c r="K307" s="17">
        <f t="shared" si="132"/>
        <v>22</v>
      </c>
      <c r="L307" s="17">
        <f>+Precios!E307</f>
        <v>153.49193035882024</v>
      </c>
      <c r="M307" s="44">
        <f>SUMPRODUCT(H307:L307,'Fisico SPOT MAT'!H307:L307)*24</f>
        <v>22978084.473336712</v>
      </c>
      <c r="N307" s="19">
        <f>+'Fisico SPOT MAT'!AH307</f>
        <v>16.898351175337208</v>
      </c>
      <c r="O307" s="19">
        <f t="shared" si="136"/>
        <v>12.752525252525253</v>
      </c>
      <c r="P307" s="19">
        <v>6</v>
      </c>
      <c r="Q307" s="19">
        <v>6</v>
      </c>
      <c r="R307" s="19">
        <v>0</v>
      </c>
      <c r="S307" s="44">
        <f>SUMPRODUCT(N307:R307,'Fisico SPOT MAT'!N307:R307)*E307</f>
        <v>1445900.5999760095</v>
      </c>
      <c r="T307" s="17">
        <v>80</v>
      </c>
      <c r="U307" s="17">
        <v>18</v>
      </c>
      <c r="V307" s="17">
        <v>50</v>
      </c>
      <c r="W307" s="17">
        <v>60</v>
      </c>
      <c r="X307" s="28">
        <f>SUMPRODUCT(T307:W307,'Fisico SPOT MAT'!T307:W307)*24</f>
        <v>2488840.2749999985</v>
      </c>
      <c r="Y307" s="19">
        <v>0</v>
      </c>
      <c r="Z307" s="19">
        <v>5</v>
      </c>
      <c r="AA307" s="19">
        <v>0</v>
      </c>
      <c r="AB307" s="28">
        <f>SUMPRODUCT(Y307:AA307,'Fisico SPOT MAT'!Y307:AA307)*E307</f>
        <v>33517.500000000007</v>
      </c>
      <c r="AC307" s="122">
        <f>(T307*'Fisico SPOT MAT'!T307+'Mono SPOT MAT'!V307*'Fisico SPOT MAT'!V307+'Mono SPOT MAT'!W307*'Fisico SPOT MAT'!W307)/'Fisico SPOT MAT'!AC307</f>
        <v>68.400796068549852</v>
      </c>
      <c r="AD307" s="85"/>
      <c r="AE307" s="41">
        <v>134.3723266862182</v>
      </c>
      <c r="AF307" s="42">
        <v>49.612376820055786</v>
      </c>
      <c r="AG307">
        <v>5050</v>
      </c>
      <c r="AH307" s="64">
        <f t="shared" si="104"/>
        <v>8.5976320513197297</v>
      </c>
      <c r="AI307">
        <v>2.5</v>
      </c>
      <c r="AJ307" s="41">
        <v>0.85</v>
      </c>
      <c r="AK307">
        <v>396</v>
      </c>
    </row>
    <row r="308" spans="1:37" hidden="1" x14ac:dyDescent="0.3">
      <c r="A308" s="3">
        <f>+'Mono ASIG'!A308</f>
        <v>1488.4530999999999</v>
      </c>
      <c r="B308" s="3">
        <f>+'Mono ASIG'!B308</f>
        <v>1457.306</v>
      </c>
      <c r="C308" s="1">
        <f>+'Mono ASIG'!C308</f>
        <v>2026</v>
      </c>
      <c r="D308" s="1">
        <f t="shared" si="133"/>
        <v>7</v>
      </c>
      <c r="E308" s="1">
        <f>+'Fisico SPOT MAT'!E308</f>
        <v>6</v>
      </c>
      <c r="F308" s="1" t="str">
        <f>+'Mono ASIG'!F308</f>
        <v>sáb</v>
      </c>
      <c r="G308" s="56">
        <f>+'Mono ASIG'!G308</f>
        <v>46214</v>
      </c>
      <c r="H308" s="17">
        <f t="shared" si="134"/>
        <v>148.17171309621449</v>
      </c>
      <c r="I308" s="17">
        <f t="shared" si="135"/>
        <v>65.029330499319002</v>
      </c>
      <c r="J308" s="17">
        <v>21.999999999999993</v>
      </c>
      <c r="K308" s="17">
        <f t="shared" si="132"/>
        <v>21.999999999999993</v>
      </c>
      <c r="L308" s="17">
        <f>+Precios!E308</f>
        <v>182.61836620409704</v>
      </c>
      <c r="M308" s="44">
        <f>SUMPRODUCT(H308:L308,'Fisico SPOT MAT'!H308:L308)*24</f>
        <v>23099708.969173815</v>
      </c>
      <c r="N308" s="19">
        <f>+'Fisico SPOT MAT'!AH308</f>
        <v>16.898483039990221</v>
      </c>
      <c r="O308" s="19">
        <f t="shared" si="136"/>
        <v>12.752525252525253</v>
      </c>
      <c r="P308" s="19">
        <v>6</v>
      </c>
      <c r="Q308" s="19">
        <v>6</v>
      </c>
      <c r="R308" s="19">
        <v>0</v>
      </c>
      <c r="S308" s="44">
        <f>SUMPRODUCT(N308:R308,'Fisico SPOT MAT'!N308:R308)*E308</f>
        <v>1449477.2372272725</v>
      </c>
      <c r="T308" s="17">
        <v>80</v>
      </c>
      <c r="U308" s="17">
        <v>18</v>
      </c>
      <c r="V308" s="17">
        <v>50</v>
      </c>
      <c r="W308" s="17">
        <v>60</v>
      </c>
      <c r="X308" s="28">
        <f>SUMPRODUCT(T308:W308,'Fisico SPOT MAT'!T308:W308)*24</f>
        <v>2656344.3199999994</v>
      </c>
      <c r="Y308" s="19">
        <v>0</v>
      </c>
      <c r="Z308" s="19">
        <v>5</v>
      </c>
      <c r="AA308" s="19">
        <v>0</v>
      </c>
      <c r="AB308" s="28">
        <f>SUMPRODUCT(Y308:AA308,'Fisico SPOT MAT'!Y308:AA308)*E308</f>
        <v>33487.500000000007</v>
      </c>
      <c r="AC308" s="122">
        <f>(T308*'Fisico SPOT MAT'!T308+'Mono SPOT MAT'!V308*'Fisico SPOT MAT'!V308+'Mono SPOT MAT'!W308*'Fisico SPOT MAT'!W308)/'Fisico SPOT MAT'!AC308</f>
        <v>67.753639528680893</v>
      </c>
      <c r="AD308" s="85"/>
      <c r="AE308" s="41">
        <v>136.10699119083324</v>
      </c>
      <c r="AF308" s="42">
        <v>52.964608593937761</v>
      </c>
      <c r="AG308">
        <v>5050</v>
      </c>
      <c r="AH308" s="64">
        <f t="shared" si="104"/>
        <v>8.7147219053812446</v>
      </c>
      <c r="AI308">
        <v>2.5</v>
      </c>
      <c r="AJ308" s="41">
        <v>0.85</v>
      </c>
      <c r="AK308">
        <v>396</v>
      </c>
    </row>
    <row r="309" spans="1:37" hidden="1" x14ac:dyDescent="0.3">
      <c r="A309" s="3">
        <f>+'Mono ASIG'!A309</f>
        <v>1488.4530999999999</v>
      </c>
      <c r="B309" s="3">
        <f>+'Mono ASIG'!B309</f>
        <v>1457.306</v>
      </c>
      <c r="C309" s="1">
        <f>+'Mono ASIG'!C309</f>
        <v>2026</v>
      </c>
      <c r="D309" s="1">
        <f t="shared" ref="D309:D315" si="137">MONTH(G309)</f>
        <v>7</v>
      </c>
      <c r="E309" s="1">
        <f>+'Fisico SPOT MAT'!E309</f>
        <v>4</v>
      </c>
      <c r="F309" s="1" t="str">
        <f>+'Mono ASIG'!F309</f>
        <v>dom</v>
      </c>
      <c r="G309" s="56">
        <f>+'Mono ASIG'!G309</f>
        <v>46215</v>
      </c>
      <c r="H309" s="17">
        <f t="shared" ref="H309:H315" si="138">+AE309+AH309+AI309+AJ309</f>
        <v>148.37336846341637</v>
      </c>
      <c r="I309" s="17">
        <f t="shared" ref="I309:I315" si="139">+AF309+AH309+AI309+AJ309</f>
        <v>142.59130655637173</v>
      </c>
      <c r="J309" s="17">
        <v>22</v>
      </c>
      <c r="K309" s="17">
        <f t="shared" si="132"/>
        <v>22</v>
      </c>
      <c r="L309" s="17">
        <f>+Precios!E309</f>
        <v>170.97128023723025</v>
      </c>
      <c r="M309" s="44">
        <f>SUMPRODUCT(H309:L309,'Fisico SPOT MAT'!H309:L309)*24</f>
        <v>23124507.785444684</v>
      </c>
      <c r="N309" s="19">
        <f>+'Fisico SPOT MAT'!AH309</f>
        <v>16.896156381065559</v>
      </c>
      <c r="O309" s="19">
        <f t="shared" ref="O309:O315" si="140">AG309/AK309</f>
        <v>12.752525252525253</v>
      </c>
      <c r="P309" s="19">
        <v>6</v>
      </c>
      <c r="Q309" s="19">
        <v>6</v>
      </c>
      <c r="R309" s="19">
        <v>0</v>
      </c>
      <c r="S309" s="44">
        <f>SUMPRODUCT(N309:R309,'Fisico SPOT MAT'!N309:R309)*E309</f>
        <v>964553.34578114445</v>
      </c>
      <c r="T309" s="17">
        <v>80</v>
      </c>
      <c r="U309" s="17">
        <v>18</v>
      </c>
      <c r="V309" s="17">
        <v>50</v>
      </c>
      <c r="W309" s="17">
        <v>60</v>
      </c>
      <c r="X309" s="28">
        <f>SUMPRODUCT(T309:W309,'Fisico SPOT MAT'!T309:W309)*24</f>
        <v>2853901.0300000003</v>
      </c>
      <c r="Y309" s="19">
        <v>0</v>
      </c>
      <c r="Z309" s="19">
        <v>5</v>
      </c>
      <c r="AA309" s="19">
        <v>0</v>
      </c>
      <c r="AB309" s="28">
        <f>SUMPRODUCT(Y309:AA309,'Fisico SPOT MAT'!Y309:AA309)*E309</f>
        <v>22304.833333333336</v>
      </c>
      <c r="AC309" s="122">
        <f>(T309*'Fisico SPOT MAT'!T309+'Mono SPOT MAT'!V309*'Fisico SPOT MAT'!V309+'Mono SPOT MAT'!W309*'Fisico SPOT MAT'!W309)/'Fisico SPOT MAT'!AC309</f>
        <v>66.950094098372816</v>
      </c>
      <c r="AD309" s="85"/>
      <c r="AE309" s="41">
        <v>136.29589551608092</v>
      </c>
      <c r="AF309" s="42">
        <v>130.51383360903628</v>
      </c>
      <c r="AG309">
        <v>5050</v>
      </c>
      <c r="AH309" s="64">
        <f t="shared" si="104"/>
        <v>8.7274729473354622</v>
      </c>
      <c r="AI309">
        <v>2.5</v>
      </c>
      <c r="AJ309" s="41">
        <v>0.85</v>
      </c>
      <c r="AK309">
        <v>396</v>
      </c>
    </row>
    <row r="310" spans="1:37" hidden="1" x14ac:dyDescent="0.3">
      <c r="A310" s="3">
        <f>+'Mono ASIG'!A310</f>
        <v>1488.4530999999999</v>
      </c>
      <c r="B310" s="3">
        <f>+'Mono ASIG'!B310</f>
        <v>1489.595</v>
      </c>
      <c r="C310" s="1">
        <f>+'Mono ASIG'!C310</f>
        <v>2026</v>
      </c>
      <c r="D310" s="1">
        <f t="shared" si="137"/>
        <v>7</v>
      </c>
      <c r="E310" s="1">
        <f>+'Fisico SPOT MAT'!E310</f>
        <v>16</v>
      </c>
      <c r="F310" s="1" t="str">
        <f>+'Mono ASIG'!F310</f>
        <v>lun</v>
      </c>
      <c r="G310" s="56">
        <f>+'Mono ASIG'!G310</f>
        <v>46216</v>
      </c>
      <c r="H310" s="17">
        <f t="shared" si="138"/>
        <v>153.26338466305899</v>
      </c>
      <c r="I310" s="17">
        <f t="shared" si="139"/>
        <v>182.76028179817092</v>
      </c>
      <c r="J310" s="17">
        <v>22</v>
      </c>
      <c r="K310" s="17">
        <f t="shared" si="132"/>
        <v>22</v>
      </c>
      <c r="L310" s="17">
        <f>+Precios!E310</f>
        <v>202.63899315000174</v>
      </c>
      <c r="M310" s="44">
        <f>SUMPRODUCT(H310:L310,'Fisico SPOT MAT'!H310:L310)*24</f>
        <v>26240190.103753641</v>
      </c>
      <c r="N310" s="19">
        <f>+'Fisico SPOT MAT'!AH310</f>
        <v>16.902246990825063</v>
      </c>
      <c r="O310" s="19">
        <f t="shared" si="140"/>
        <v>12.752525252525253</v>
      </c>
      <c r="P310" s="19">
        <v>6</v>
      </c>
      <c r="Q310" s="19">
        <v>6</v>
      </c>
      <c r="R310" s="19">
        <v>0</v>
      </c>
      <c r="S310" s="44">
        <f>SUMPRODUCT(N310:R310,'Fisico SPOT MAT'!N310:R310)*E310</f>
        <v>3880259.3089158237</v>
      </c>
      <c r="T310" s="17">
        <v>80</v>
      </c>
      <c r="U310" s="17">
        <v>18</v>
      </c>
      <c r="V310" s="17">
        <v>50</v>
      </c>
      <c r="W310" s="17">
        <v>60</v>
      </c>
      <c r="X310" s="28">
        <f>SUMPRODUCT(T310:W310,'Fisico SPOT MAT'!T310:W310)*24</f>
        <v>4431042.2800000012</v>
      </c>
      <c r="Y310" s="19">
        <v>0</v>
      </c>
      <c r="Z310" s="19">
        <v>5</v>
      </c>
      <c r="AA310" s="19">
        <v>0</v>
      </c>
      <c r="AB310" s="28">
        <f>SUMPRODUCT(Y310:AA310,'Fisico SPOT MAT'!Y310:AA310)*E310</f>
        <v>89220.000000000015</v>
      </c>
      <c r="AC310" s="122">
        <f>(T310*'Fisico SPOT MAT'!T310+'Mono SPOT MAT'!V310*'Fisico SPOT MAT'!V310+'Mono SPOT MAT'!W310*'Fisico SPOT MAT'!W310)/'Fisico SPOT MAT'!AC310</f>
        <v>64.227430269099514</v>
      </c>
      <c r="AD310" s="85"/>
      <c r="AE310" s="41">
        <v>140.87670694431756</v>
      </c>
      <c r="AF310" s="42">
        <v>170.3736040794295</v>
      </c>
      <c r="AG310">
        <v>5050</v>
      </c>
      <c r="AH310" s="64">
        <f t="shared" si="104"/>
        <v>9.0366777187414353</v>
      </c>
      <c r="AI310">
        <v>2.5</v>
      </c>
      <c r="AJ310" s="41">
        <v>0.85</v>
      </c>
      <c r="AK310">
        <v>396</v>
      </c>
    </row>
    <row r="311" spans="1:37" hidden="1" x14ac:dyDescent="0.3">
      <c r="A311" s="3">
        <f>+'Mono ASIG'!A311</f>
        <v>1488.4530999999999</v>
      </c>
      <c r="B311" s="3">
        <f>+'Mono ASIG'!B311</f>
        <v>1489.595</v>
      </c>
      <c r="C311" s="1">
        <f>+'Mono ASIG'!C311</f>
        <v>2026</v>
      </c>
      <c r="D311" s="1">
        <f t="shared" si="137"/>
        <v>7</v>
      </c>
      <c r="E311" s="1">
        <f>+'Fisico SPOT MAT'!E311</f>
        <v>16</v>
      </c>
      <c r="F311" s="1" t="str">
        <f>+'Mono ASIG'!F311</f>
        <v>mar</v>
      </c>
      <c r="G311" s="56">
        <f>+'Mono ASIG'!G311</f>
        <v>46217</v>
      </c>
      <c r="H311" s="17">
        <f t="shared" si="138"/>
        <v>156.66587370090051</v>
      </c>
      <c r="I311" s="17">
        <f t="shared" si="139"/>
        <v>210.12265900187879</v>
      </c>
      <c r="J311" s="17">
        <v>21.999999999999996</v>
      </c>
      <c r="K311" s="17">
        <f t="shared" si="132"/>
        <v>21.999999999999996</v>
      </c>
      <c r="L311" s="17">
        <f>+Precios!E311</f>
        <v>178.40911878321714</v>
      </c>
      <c r="M311" s="44">
        <f>SUMPRODUCT(H311:L311,'Fisico SPOT MAT'!H311:L311)*24</f>
        <v>27542753.51037626</v>
      </c>
      <c r="N311" s="19">
        <f>+'Fisico SPOT MAT'!AH311</f>
        <v>16.896641486509974</v>
      </c>
      <c r="O311" s="19">
        <f t="shared" si="140"/>
        <v>12.752525252525253</v>
      </c>
      <c r="P311" s="19">
        <v>6</v>
      </c>
      <c r="Q311" s="19">
        <v>6</v>
      </c>
      <c r="R311" s="19">
        <v>0</v>
      </c>
      <c r="S311" s="44">
        <f>SUMPRODUCT(N311:R311,'Fisico SPOT MAT'!N311:R311)*E311</f>
        <v>3859557.1296464643</v>
      </c>
      <c r="T311" s="17">
        <v>80</v>
      </c>
      <c r="U311" s="17">
        <v>18</v>
      </c>
      <c r="V311" s="17">
        <v>50</v>
      </c>
      <c r="W311" s="17">
        <v>60</v>
      </c>
      <c r="X311" s="28">
        <f>SUMPRODUCT(T311:W311,'Fisico SPOT MAT'!T311:W311)*24</f>
        <v>3768409.3850000021</v>
      </c>
      <c r="Y311" s="19">
        <v>0</v>
      </c>
      <c r="Z311" s="19">
        <v>5</v>
      </c>
      <c r="AA311" s="19">
        <v>0</v>
      </c>
      <c r="AB311" s="28">
        <f>SUMPRODUCT(Y311:AA311,'Fisico SPOT MAT'!Y311:AA311)*E311</f>
        <v>89220.000000000015</v>
      </c>
      <c r="AC311" s="122">
        <f>(T311*'Fisico SPOT MAT'!T311+'Mono SPOT MAT'!V311*'Fisico SPOT MAT'!V311+'Mono SPOT MAT'!W311*'Fisico SPOT MAT'!W311)/'Fisico SPOT MAT'!AC311</f>
        <v>65.125708484533718</v>
      </c>
      <c r="AD311" s="85"/>
      <c r="AE311" s="41">
        <v>144.06405030529322</v>
      </c>
      <c r="AF311" s="42">
        <v>197.5208356062715</v>
      </c>
      <c r="AG311">
        <v>5050</v>
      </c>
      <c r="AH311" s="64">
        <f t="shared" si="104"/>
        <v>9.2518233956072926</v>
      </c>
      <c r="AI311">
        <v>2.5</v>
      </c>
      <c r="AJ311" s="41">
        <v>0.85</v>
      </c>
      <c r="AK311">
        <v>396</v>
      </c>
    </row>
    <row r="312" spans="1:37" hidden="1" x14ac:dyDescent="0.3">
      <c r="A312" s="3">
        <f>+'Mono ASIG'!A312</f>
        <v>1488.4530999999999</v>
      </c>
      <c r="B312" s="3">
        <f>+'Mono ASIG'!B312</f>
        <v>1489.595</v>
      </c>
      <c r="C312" s="1">
        <f>+'Mono ASIG'!C312</f>
        <v>2026</v>
      </c>
      <c r="D312" s="1">
        <f t="shared" si="137"/>
        <v>7</v>
      </c>
      <c r="E312" s="1">
        <f>+'Fisico SPOT MAT'!E312</f>
        <v>16</v>
      </c>
      <c r="F312" s="1" t="str">
        <f>+'Mono ASIG'!F312</f>
        <v>mié</v>
      </c>
      <c r="G312" s="56">
        <f>+'Mono ASIG'!G312</f>
        <v>46218</v>
      </c>
      <c r="H312" s="17">
        <f t="shared" si="138"/>
        <v>143.30232817029051</v>
      </c>
      <c r="I312" s="17">
        <f t="shared" si="139"/>
        <v>118.36772632807453</v>
      </c>
      <c r="J312" s="17">
        <v>22.024957502220797</v>
      </c>
      <c r="K312" s="17">
        <f t="shared" si="132"/>
        <v>22.024957502220797</v>
      </c>
      <c r="L312" s="17">
        <f>+Precios!E312</f>
        <v>136.68860679554115</v>
      </c>
      <c r="M312" s="44">
        <f>SUMPRODUCT(H312:L312,'Fisico SPOT MAT'!H312:L312)*24</f>
        <v>21193194.142007783</v>
      </c>
      <c r="N312" s="19">
        <f>+'Fisico SPOT MAT'!AH312</f>
        <v>16.893667095318381</v>
      </c>
      <c r="O312" s="19">
        <f t="shared" si="140"/>
        <v>12.752525252525253</v>
      </c>
      <c r="P312" s="19">
        <v>6</v>
      </c>
      <c r="Q312" s="19">
        <v>6</v>
      </c>
      <c r="R312" s="19">
        <v>0</v>
      </c>
      <c r="S312" s="44">
        <f>SUMPRODUCT(N312:R312,'Fisico SPOT MAT'!N312:R312)*E312</f>
        <v>3846233.4938585847</v>
      </c>
      <c r="T312" s="17">
        <v>80</v>
      </c>
      <c r="U312" s="17">
        <v>18</v>
      </c>
      <c r="V312" s="17">
        <v>50</v>
      </c>
      <c r="W312" s="17">
        <v>60</v>
      </c>
      <c r="X312" s="28">
        <f>SUMPRODUCT(T312:W312,'Fisico SPOT MAT'!T312:W312)*24</f>
        <v>3334127.2950000004</v>
      </c>
      <c r="Y312" s="19">
        <v>0</v>
      </c>
      <c r="Z312" s="19">
        <v>5</v>
      </c>
      <c r="AA312" s="19">
        <v>0</v>
      </c>
      <c r="AB312" s="28">
        <f>SUMPRODUCT(Y312:AA312,'Fisico SPOT MAT'!Y312:AA312)*E312</f>
        <v>89022</v>
      </c>
      <c r="AC312" s="122">
        <f>(T312*'Fisico SPOT MAT'!T312+'Mono SPOT MAT'!V312*'Fisico SPOT MAT'!V312+'Mono SPOT MAT'!W312*'Fisico SPOT MAT'!W312)/'Fisico SPOT MAT'!AC312</f>
        <v>65.915472285413159</v>
      </c>
      <c r="AD312" s="85"/>
      <c r="AE312" s="41">
        <v>131.54550648270774</v>
      </c>
      <c r="AF312" s="42">
        <v>106.61090464049175</v>
      </c>
      <c r="AG312">
        <v>5050</v>
      </c>
      <c r="AH312" s="64">
        <f t="shared" si="104"/>
        <v>8.4068216875827719</v>
      </c>
      <c r="AI312">
        <v>2.5</v>
      </c>
      <c r="AJ312" s="41">
        <v>0.85</v>
      </c>
      <c r="AK312">
        <v>396</v>
      </c>
    </row>
    <row r="313" spans="1:37" hidden="1" x14ac:dyDescent="0.3">
      <c r="A313" s="3">
        <f>+'Mono ASIG'!A313</f>
        <v>1488.4530999999999</v>
      </c>
      <c r="B313" s="3">
        <f>+'Mono ASIG'!B313</f>
        <v>1489.595</v>
      </c>
      <c r="C313" s="1">
        <f>+'Mono ASIG'!C313</f>
        <v>2026</v>
      </c>
      <c r="D313" s="1">
        <f t="shared" si="137"/>
        <v>7</v>
      </c>
      <c r="E313" s="1">
        <f>+'Fisico SPOT MAT'!E313</f>
        <v>16</v>
      </c>
      <c r="F313" s="1" t="str">
        <f>+'Mono ASIG'!F313</f>
        <v>jue</v>
      </c>
      <c r="G313" s="56">
        <f>+'Mono ASIG'!G313</f>
        <v>46219</v>
      </c>
      <c r="H313" s="17">
        <f t="shared" si="138"/>
        <v>141.8795177437236</v>
      </c>
      <c r="I313" s="17">
        <f t="shared" si="139"/>
        <v>64.393659784602875</v>
      </c>
      <c r="J313" s="17">
        <v>22.000000000000004</v>
      </c>
      <c r="K313" s="17">
        <f t="shared" si="132"/>
        <v>22.000000000000004</v>
      </c>
      <c r="L313" s="17">
        <f>+Precios!E313</f>
        <v>129.32231535759863</v>
      </c>
      <c r="M313" s="44">
        <f>SUMPRODUCT(H313:L313,'Fisico SPOT MAT'!H313:L313)*24</f>
        <v>18671421.806662206</v>
      </c>
      <c r="N313" s="19">
        <f>+'Fisico SPOT MAT'!AH313</f>
        <v>16.850660277047275</v>
      </c>
      <c r="O313" s="19">
        <f t="shared" si="140"/>
        <v>12.752525252525253</v>
      </c>
      <c r="P313" s="19">
        <v>6</v>
      </c>
      <c r="Q313" s="19">
        <v>6</v>
      </c>
      <c r="R313" s="19">
        <v>0</v>
      </c>
      <c r="S313" s="44">
        <f>SUMPRODUCT(N313:R313,'Fisico SPOT MAT'!N313:R313)*E313</f>
        <v>3704968.2193131312</v>
      </c>
      <c r="T313" s="17">
        <v>80</v>
      </c>
      <c r="U313" s="17">
        <v>18</v>
      </c>
      <c r="V313" s="17">
        <v>50</v>
      </c>
      <c r="W313" s="17">
        <v>60</v>
      </c>
      <c r="X313" s="28">
        <f>SUMPRODUCT(T313:W313,'Fisico SPOT MAT'!T313:W313)*24</f>
        <v>3197443.450000003</v>
      </c>
      <c r="Y313" s="19">
        <v>0</v>
      </c>
      <c r="Z313" s="19">
        <v>5</v>
      </c>
      <c r="AA313" s="19">
        <v>0</v>
      </c>
      <c r="AB313" s="28">
        <f>SUMPRODUCT(Y313:AA313,'Fisico SPOT MAT'!Y313:AA313)*E313</f>
        <v>89220.000000000015</v>
      </c>
      <c r="AC313" s="122">
        <f>(T313*'Fisico SPOT MAT'!T313+'Mono SPOT MAT'!V313*'Fisico SPOT MAT'!V313+'Mono SPOT MAT'!W313*'Fisico SPOT MAT'!W313)/'Fisico SPOT MAT'!AC313</f>
        <v>66.389924200667352</v>
      </c>
      <c r="AD313" s="85"/>
      <c r="AE313" s="41">
        <v>130.21266299177856</v>
      </c>
      <c r="AF313" s="42">
        <v>52.726805032657822</v>
      </c>
      <c r="AG313">
        <v>5050</v>
      </c>
      <c r="AH313" s="64">
        <f t="shared" si="104"/>
        <v>8.3168547519450531</v>
      </c>
      <c r="AI313">
        <v>2.5</v>
      </c>
      <c r="AJ313" s="41">
        <v>0.85</v>
      </c>
      <c r="AK313">
        <v>396</v>
      </c>
    </row>
    <row r="314" spans="1:37" hidden="1" x14ac:dyDescent="0.3">
      <c r="A314" s="3">
        <f>+'Mono ASIG'!A314</f>
        <v>1488.4530999999999</v>
      </c>
      <c r="B314" s="3">
        <f>+'Mono ASIG'!B314</f>
        <v>1489.595</v>
      </c>
      <c r="C314" s="1">
        <f>+'Mono ASIG'!C314</f>
        <v>2026</v>
      </c>
      <c r="D314" s="1">
        <f t="shared" si="137"/>
        <v>7</v>
      </c>
      <c r="E314" s="1">
        <f>+'Fisico SPOT MAT'!E314</f>
        <v>16</v>
      </c>
      <c r="F314" s="1" t="str">
        <f>+'Mono ASIG'!F314</f>
        <v>vie</v>
      </c>
      <c r="G314" s="56">
        <f>+'Mono ASIG'!G314</f>
        <v>46220</v>
      </c>
      <c r="H314" s="17">
        <f t="shared" si="138"/>
        <v>106.92563109159174</v>
      </c>
      <c r="I314" s="17">
        <f t="shared" si="139"/>
        <v>57.977960417180945</v>
      </c>
      <c r="J314" s="17">
        <v>22</v>
      </c>
      <c r="K314" s="17">
        <f t="shared" si="132"/>
        <v>22</v>
      </c>
      <c r="L314" s="17">
        <f>+Precios!E314</f>
        <v>113.0067360095383</v>
      </c>
      <c r="M314" s="44">
        <f>SUMPRODUCT(H314:L314,'Fisico SPOT MAT'!H314:L314)*24</f>
        <v>12454642.080886297</v>
      </c>
      <c r="N314" s="19">
        <f>+'Fisico SPOT MAT'!AH314</f>
        <v>16.841797474152653</v>
      </c>
      <c r="O314" s="19">
        <f t="shared" si="140"/>
        <v>12.752525252525253</v>
      </c>
      <c r="P314" s="19">
        <v>6</v>
      </c>
      <c r="Q314" s="19">
        <v>6</v>
      </c>
      <c r="R314" s="19">
        <v>0</v>
      </c>
      <c r="S314" s="44">
        <f>SUMPRODUCT(N314:R314,'Fisico SPOT MAT'!N314:R314)*E314</f>
        <v>3673241.9255420854</v>
      </c>
      <c r="T314" s="17">
        <v>80</v>
      </c>
      <c r="U314" s="17">
        <v>18</v>
      </c>
      <c r="V314" s="17">
        <v>50</v>
      </c>
      <c r="W314" s="17">
        <v>60</v>
      </c>
      <c r="X314" s="28">
        <f>SUMPRODUCT(T314:W314,'Fisico SPOT MAT'!T314:W314)*24</f>
        <v>3362920.9550000033</v>
      </c>
      <c r="Y314" s="19">
        <v>0</v>
      </c>
      <c r="Z314" s="19">
        <v>5</v>
      </c>
      <c r="AA314" s="19">
        <v>0</v>
      </c>
      <c r="AB314" s="28">
        <f>SUMPRODUCT(Y314:AA314,'Fisico SPOT MAT'!Y314:AA314)*E314</f>
        <v>89130.000000000015</v>
      </c>
      <c r="AC314" s="122">
        <f>(T314*'Fisico SPOT MAT'!T314+'Mono SPOT MAT'!V314*'Fisico SPOT MAT'!V314+'Mono SPOT MAT'!W314*'Fisico SPOT MAT'!W314)/'Fisico SPOT MAT'!AC314</f>
        <v>66.009145705621194</v>
      </c>
      <c r="AD314" s="85"/>
      <c r="AE314" s="41">
        <v>97.468975261444257</v>
      </c>
      <c r="AF314" s="42">
        <v>48.521304587033455</v>
      </c>
      <c r="AG314">
        <v>5050</v>
      </c>
      <c r="AH314" s="64">
        <f t="shared" si="104"/>
        <v>6.1066558301474876</v>
      </c>
      <c r="AI314">
        <v>2.5</v>
      </c>
      <c r="AJ314" s="41">
        <v>0.85</v>
      </c>
      <c r="AK314">
        <v>396</v>
      </c>
    </row>
    <row r="315" spans="1:37" hidden="1" x14ac:dyDescent="0.3">
      <c r="A315" s="3">
        <f>+'Mono ASIG'!A315</f>
        <v>1488.4530999999999</v>
      </c>
      <c r="B315" s="3">
        <f>+'Mono ASIG'!B315</f>
        <v>1489.595</v>
      </c>
      <c r="C315" s="1">
        <f>+'Mono ASIG'!C315</f>
        <v>2026</v>
      </c>
      <c r="D315" s="1">
        <f t="shared" si="137"/>
        <v>7</v>
      </c>
      <c r="E315" s="1">
        <f>+'Fisico SPOT MAT'!E315</f>
        <v>6</v>
      </c>
      <c r="F315" s="1" t="str">
        <f>+'Mono ASIG'!F315</f>
        <v>sáb</v>
      </c>
      <c r="G315" s="56">
        <f>+'Mono ASIG'!G315</f>
        <v>46221</v>
      </c>
      <c r="H315" s="17">
        <f t="shared" si="138"/>
        <v>87.970341778439789</v>
      </c>
      <c r="I315" s="17">
        <f t="shared" si="139"/>
        <v>57.455653124148675</v>
      </c>
      <c r="J315" s="17">
        <v>21.999999999999993</v>
      </c>
      <c r="K315" s="17">
        <f t="shared" si="132"/>
        <v>21.999999999999993</v>
      </c>
      <c r="L315" s="17">
        <f>+Precios!E315</f>
        <v>76.235341316603098</v>
      </c>
      <c r="M315" s="44">
        <f>SUMPRODUCT(H315:L315,'Fisico SPOT MAT'!H315:L315)*24</f>
        <v>10368492.658030109</v>
      </c>
      <c r="N315" s="19">
        <f>+'Fisico SPOT MAT'!AH315</f>
        <v>16.848756213668448</v>
      </c>
      <c r="O315" s="19">
        <f t="shared" si="140"/>
        <v>12.752525252525253</v>
      </c>
      <c r="P315" s="19">
        <v>6</v>
      </c>
      <c r="Q315" s="19">
        <v>6</v>
      </c>
      <c r="R315" s="19">
        <v>0</v>
      </c>
      <c r="S315" s="44">
        <f>SUMPRODUCT(N315:R315,'Fisico SPOT MAT'!N315:R315)*E315</f>
        <v>1385414.4144255049</v>
      </c>
      <c r="T315" s="17">
        <v>80</v>
      </c>
      <c r="U315" s="17">
        <v>18</v>
      </c>
      <c r="V315" s="17">
        <v>50</v>
      </c>
      <c r="W315" s="17">
        <v>60</v>
      </c>
      <c r="X315" s="28">
        <f>SUMPRODUCT(T315:W315,'Fisico SPOT MAT'!T315:W315)*24</f>
        <v>2892527.4099999978</v>
      </c>
      <c r="Y315" s="19">
        <v>0</v>
      </c>
      <c r="Z315" s="19">
        <v>5</v>
      </c>
      <c r="AA315" s="19">
        <v>0</v>
      </c>
      <c r="AB315" s="28">
        <f>SUMPRODUCT(Y315:AA315,'Fisico SPOT MAT'!Y315:AA315)*E315</f>
        <v>33457.25</v>
      </c>
      <c r="AC315" s="122">
        <f>(T315*'Fisico SPOT MAT'!T315+'Mono SPOT MAT'!V315*'Fisico SPOT MAT'!V315+'Mono SPOT MAT'!W315*'Fisico SPOT MAT'!W315)/'Fisico SPOT MAT'!AC315</f>
        <v>67.084155237858127</v>
      </c>
      <c r="AD315" s="85"/>
      <c r="AE315" s="41">
        <v>79.71226396106772</v>
      </c>
      <c r="AF315" s="42">
        <v>49.197575306776599</v>
      </c>
      <c r="AG315">
        <v>5050</v>
      </c>
      <c r="AH315" s="64">
        <f t="shared" si="104"/>
        <v>4.9080778173720718</v>
      </c>
      <c r="AI315">
        <v>2.5</v>
      </c>
      <c r="AJ315" s="41">
        <v>0.85</v>
      </c>
      <c r="AK315">
        <v>396</v>
      </c>
    </row>
    <row r="316" spans="1:37" hidden="1" x14ac:dyDescent="0.3">
      <c r="A316" s="3">
        <f>+'Mono ASIG'!A316</f>
        <v>1488.4530999999999</v>
      </c>
      <c r="B316" s="3">
        <f>+'Mono ASIG'!B316</f>
        <v>1489.595</v>
      </c>
      <c r="C316" s="1">
        <f>+'Mono ASIG'!C316</f>
        <v>2026</v>
      </c>
      <c r="D316" s="1">
        <f t="shared" ref="D316:D322" si="141">MONTH(G316)</f>
        <v>7</v>
      </c>
      <c r="E316" s="1">
        <f>+'Fisico SPOT MAT'!E316</f>
        <v>4</v>
      </c>
      <c r="F316" s="1" t="str">
        <f>+'Mono ASIG'!F316</f>
        <v>dom</v>
      </c>
      <c r="G316" s="56">
        <f>+'Mono ASIG'!G316</f>
        <v>46222</v>
      </c>
      <c r="H316" s="17">
        <f t="shared" ref="H316:H322" si="142">+AE316+AH316+AI316+AJ316</f>
        <v>99.660519666993068</v>
      </c>
      <c r="I316" s="17">
        <f t="shared" ref="I316:I322" si="143">+AF316+AH316+AI316+AJ316</f>
        <v>60.425354559484738</v>
      </c>
      <c r="J316" s="17">
        <v>22.000000000000007</v>
      </c>
      <c r="K316" s="17">
        <f t="shared" ref="K316:K322" si="144">+J316</f>
        <v>22.000000000000007</v>
      </c>
      <c r="L316" s="17">
        <f>+Precios!E316</f>
        <v>119.76964036569269</v>
      </c>
      <c r="M316" s="44">
        <f>SUMPRODUCT(H316:L316,'Fisico SPOT MAT'!H316:L316)*24</f>
        <v>13168531.426866716</v>
      </c>
      <c r="N316" s="19">
        <f>+'Fisico SPOT MAT'!AH316</f>
        <v>16.859787749885548</v>
      </c>
      <c r="O316" s="19">
        <f t="shared" ref="O316:O322" si="145">AG316/AK316</f>
        <v>12.752525252525253</v>
      </c>
      <c r="P316" s="19">
        <v>6</v>
      </c>
      <c r="Q316" s="19">
        <v>6</v>
      </c>
      <c r="R316" s="19">
        <v>0</v>
      </c>
      <c r="S316" s="44">
        <f>SUMPRODUCT(N316:R316,'Fisico SPOT MAT'!N316:R316)*E316</f>
        <v>933241.45227525209</v>
      </c>
      <c r="T316" s="17">
        <v>80</v>
      </c>
      <c r="U316" s="17">
        <v>18</v>
      </c>
      <c r="V316" s="17">
        <v>50</v>
      </c>
      <c r="W316" s="17">
        <v>60</v>
      </c>
      <c r="X316" s="28">
        <f>SUMPRODUCT(T316:W316,'Fisico SPOT MAT'!T316:W316)*24</f>
        <v>2342545.1800000006</v>
      </c>
      <c r="Y316" s="19">
        <v>0</v>
      </c>
      <c r="Z316" s="19">
        <v>5</v>
      </c>
      <c r="AA316" s="19">
        <v>0</v>
      </c>
      <c r="AB316" s="28">
        <f>SUMPRODUCT(Y316:AA316,'Fisico SPOT MAT'!Y316:AA316)*E316</f>
        <v>22305.000000000004</v>
      </c>
      <c r="AC316" s="122">
        <f>(T316*'Fisico SPOT MAT'!T316+'Mono SPOT MAT'!V316*'Fisico SPOT MAT'!V316+'Mono SPOT MAT'!W316*'Fisico SPOT MAT'!W316)/'Fisico SPOT MAT'!AC316</f>
        <v>69.392758926185479</v>
      </c>
      <c r="AD316" s="85"/>
      <c r="AE316" s="41">
        <v>90.663250273529812</v>
      </c>
      <c r="AF316" s="42">
        <v>51.428085166021475</v>
      </c>
      <c r="AG316">
        <v>5050</v>
      </c>
      <c r="AH316" s="64">
        <f t="shared" si="104"/>
        <v>5.6472693934632625</v>
      </c>
      <c r="AI316">
        <v>2.5</v>
      </c>
      <c r="AJ316" s="41">
        <v>0.85</v>
      </c>
      <c r="AK316">
        <v>396</v>
      </c>
    </row>
    <row r="317" spans="1:37" hidden="1" x14ac:dyDescent="0.3">
      <c r="A317" s="3">
        <f>+'Mono ASIG'!A317</f>
        <v>1488.4530999999999</v>
      </c>
      <c r="B317" s="3">
        <f>+'Mono ASIG'!B317</f>
        <v>1489.595</v>
      </c>
      <c r="C317" s="1">
        <f>+'Mono ASIG'!C317</f>
        <v>2026</v>
      </c>
      <c r="D317" s="1">
        <f t="shared" si="141"/>
        <v>7</v>
      </c>
      <c r="E317" s="1">
        <f>+'Fisico SPOT MAT'!E317</f>
        <v>16</v>
      </c>
      <c r="F317" s="1" t="str">
        <f>+'Mono ASIG'!F317</f>
        <v>lun</v>
      </c>
      <c r="G317" s="56">
        <f>+'Mono ASIG'!G317</f>
        <v>46223</v>
      </c>
      <c r="H317" s="17">
        <f t="shared" si="142"/>
        <v>137.9668801647361</v>
      </c>
      <c r="I317" s="17">
        <f t="shared" si="143"/>
        <v>62.769858979460579</v>
      </c>
      <c r="J317" s="17">
        <v>27.21513194452498</v>
      </c>
      <c r="K317" s="17">
        <f t="shared" si="144"/>
        <v>27.21513194452498</v>
      </c>
      <c r="L317" s="17">
        <f>+Precios!E317</f>
        <v>187.32829498083558</v>
      </c>
      <c r="M317" s="44">
        <f>SUMPRODUCT(H317:L317,'Fisico SPOT MAT'!H317:L317)*24</f>
        <v>21662798.161122374</v>
      </c>
      <c r="N317" s="19">
        <f>+'Fisico SPOT MAT'!AH317</f>
        <v>16.869724520141972</v>
      </c>
      <c r="O317" s="19">
        <f t="shared" si="145"/>
        <v>12.752525252525253</v>
      </c>
      <c r="P317" s="19">
        <v>6</v>
      </c>
      <c r="Q317" s="19">
        <v>6</v>
      </c>
      <c r="R317" s="19">
        <v>0</v>
      </c>
      <c r="S317" s="44">
        <f>SUMPRODUCT(N317:R317,'Fisico SPOT MAT'!N317:R317)*E317</f>
        <v>3766323.0240202006</v>
      </c>
      <c r="T317" s="17">
        <v>80</v>
      </c>
      <c r="U317" s="17">
        <v>18</v>
      </c>
      <c r="V317" s="17">
        <v>50</v>
      </c>
      <c r="W317" s="17">
        <v>60</v>
      </c>
      <c r="X317" s="28">
        <f>SUMPRODUCT(T317:W317,'Fisico SPOT MAT'!T317:W317)*24</f>
        <v>2532042.2950000009</v>
      </c>
      <c r="Y317" s="19">
        <v>0</v>
      </c>
      <c r="Z317" s="19">
        <v>5</v>
      </c>
      <c r="AA317" s="19">
        <v>0</v>
      </c>
      <c r="AB317" s="28">
        <f>SUMPRODUCT(Y317:AA317,'Fisico SPOT MAT'!Y317:AA317)*E317</f>
        <v>87298.666666666672</v>
      </c>
      <c r="AC317" s="122">
        <f>(T317*'Fisico SPOT MAT'!T317+'Mono SPOT MAT'!V317*'Fisico SPOT MAT'!V317+'Mono SPOT MAT'!W317*'Fisico SPOT MAT'!W317)/'Fisico SPOT MAT'!AC317</f>
        <v>68.223350258863107</v>
      </c>
      <c r="AD317" s="85"/>
      <c r="AE317" s="41">
        <v>126.54742872574811</v>
      </c>
      <c r="AF317" s="42">
        <v>51.350407540472581</v>
      </c>
      <c r="AG317">
        <v>5050</v>
      </c>
      <c r="AH317" s="64">
        <f t="shared" si="104"/>
        <v>8.069451438987997</v>
      </c>
      <c r="AI317">
        <v>2.5</v>
      </c>
      <c r="AJ317" s="41">
        <v>0.85</v>
      </c>
      <c r="AK317">
        <v>396</v>
      </c>
    </row>
    <row r="318" spans="1:37" hidden="1" x14ac:dyDescent="0.3">
      <c r="A318" s="3">
        <f>+'Mono ASIG'!A318</f>
        <v>1488.4530999999999</v>
      </c>
      <c r="B318" s="3">
        <f>+'Mono ASIG'!B318</f>
        <v>1489.595</v>
      </c>
      <c r="C318" s="1">
        <f>+'Mono ASIG'!C318</f>
        <v>2026</v>
      </c>
      <c r="D318" s="1">
        <f t="shared" si="141"/>
        <v>7</v>
      </c>
      <c r="E318" s="1">
        <f>+'Fisico SPOT MAT'!E318</f>
        <v>16</v>
      </c>
      <c r="F318" s="1" t="str">
        <f>+'Mono ASIG'!F318</f>
        <v>mar</v>
      </c>
      <c r="G318" s="56">
        <f>+'Mono ASIG'!G318</f>
        <v>46224</v>
      </c>
      <c r="H318" s="17">
        <f t="shared" si="142"/>
        <v>155.48811768782838</v>
      </c>
      <c r="I318" s="17">
        <f t="shared" si="143"/>
        <v>134.26687865383468</v>
      </c>
      <c r="J318" s="17">
        <v>21.999999999999996</v>
      </c>
      <c r="K318" s="17">
        <f t="shared" si="144"/>
        <v>21.999999999999996</v>
      </c>
      <c r="L318" s="17">
        <f>+Precios!E318</f>
        <v>208.54127088102712</v>
      </c>
      <c r="M318" s="44">
        <f>SUMPRODUCT(H318:L318,'Fisico SPOT MAT'!H318:L318)*24</f>
        <v>26954543.5836863</v>
      </c>
      <c r="N318" s="19">
        <f>+'Fisico SPOT MAT'!AH318</f>
        <v>16.894865116112967</v>
      </c>
      <c r="O318" s="19">
        <f t="shared" si="145"/>
        <v>12.752525252525253</v>
      </c>
      <c r="P318" s="19">
        <v>6</v>
      </c>
      <c r="Q318" s="19">
        <v>6</v>
      </c>
      <c r="R318" s="19">
        <v>0</v>
      </c>
      <c r="S318" s="44">
        <f>SUMPRODUCT(N318:R318,'Fisico SPOT MAT'!N318:R318)*E318</f>
        <v>3848875.2787777786</v>
      </c>
      <c r="T318" s="17">
        <v>80</v>
      </c>
      <c r="U318" s="17">
        <v>18</v>
      </c>
      <c r="V318" s="17">
        <v>50</v>
      </c>
      <c r="W318" s="17">
        <v>60</v>
      </c>
      <c r="X318" s="28">
        <f>SUMPRODUCT(T318:W318,'Fisico SPOT MAT'!T318:W318)*24</f>
        <v>2225885.8550000004</v>
      </c>
      <c r="Y318" s="19">
        <v>0</v>
      </c>
      <c r="Z318" s="19">
        <v>5</v>
      </c>
      <c r="AA318" s="19">
        <v>0</v>
      </c>
      <c r="AB318" s="28">
        <f>SUMPRODUCT(Y318:AA318,'Fisico SPOT MAT'!Y318:AA318)*E318</f>
        <v>88966.000000000029</v>
      </c>
      <c r="AC318" s="122">
        <f>(T318*'Fisico SPOT MAT'!T318+'Mono SPOT MAT'!V318*'Fisico SPOT MAT'!V318+'Mono SPOT MAT'!W318*'Fisico SPOT MAT'!W318)/'Fisico SPOT MAT'!AC318</f>
        <v>69.660823314234136</v>
      </c>
      <c r="AD318" s="85"/>
      <c r="AE318" s="41">
        <v>142.96076598391417</v>
      </c>
      <c r="AF318" s="42">
        <v>121.73952694992049</v>
      </c>
      <c r="AG318">
        <v>5050</v>
      </c>
      <c r="AH318" s="64">
        <f t="shared" si="104"/>
        <v>9.1773517039142067</v>
      </c>
      <c r="AI318">
        <v>2.5</v>
      </c>
      <c r="AJ318" s="41">
        <v>0.85</v>
      </c>
      <c r="AK318">
        <v>396</v>
      </c>
    </row>
    <row r="319" spans="1:37" hidden="1" x14ac:dyDescent="0.3">
      <c r="A319" s="3">
        <f>+'Mono ASIG'!A319</f>
        <v>1488.4530999999999</v>
      </c>
      <c r="B319" s="3">
        <f>+'Mono ASIG'!B319</f>
        <v>1489.595</v>
      </c>
      <c r="C319" s="1">
        <f>+'Mono ASIG'!C319</f>
        <v>2026</v>
      </c>
      <c r="D319" s="1">
        <f t="shared" si="141"/>
        <v>7</v>
      </c>
      <c r="E319" s="1">
        <f>+'Fisico SPOT MAT'!E319</f>
        <v>16</v>
      </c>
      <c r="F319" s="1" t="str">
        <f>+'Mono ASIG'!F319</f>
        <v>mié</v>
      </c>
      <c r="G319" s="56">
        <f>+'Mono ASIG'!G319</f>
        <v>46225</v>
      </c>
      <c r="H319" s="17">
        <f t="shared" si="142"/>
        <v>156.12971623196756</v>
      </c>
      <c r="I319" s="17">
        <f t="shared" si="143"/>
        <v>215.33638729193322</v>
      </c>
      <c r="J319" s="17">
        <v>25.087407420155422</v>
      </c>
      <c r="K319" s="17">
        <f t="shared" si="144"/>
        <v>25.087407420155422</v>
      </c>
      <c r="L319" s="17">
        <f>+Precios!E319</f>
        <v>184.52904482791351</v>
      </c>
      <c r="M319" s="44">
        <f>SUMPRODUCT(H319:L319,'Fisico SPOT MAT'!H319:L319)*24</f>
        <v>25504219.428103544</v>
      </c>
      <c r="N319" s="19">
        <f>+'Fisico SPOT MAT'!AH319</f>
        <v>16.907812418716997</v>
      </c>
      <c r="O319" s="19">
        <f t="shared" si="145"/>
        <v>12.752525252525253</v>
      </c>
      <c r="P319" s="19">
        <v>6</v>
      </c>
      <c r="Q319" s="19">
        <v>6</v>
      </c>
      <c r="R319" s="19">
        <v>0</v>
      </c>
      <c r="S319" s="44">
        <f>SUMPRODUCT(N319:R319,'Fisico SPOT MAT'!N319:R319)*E319</f>
        <v>3894157.1294242404</v>
      </c>
      <c r="T319" s="17">
        <v>80</v>
      </c>
      <c r="U319" s="17">
        <v>18</v>
      </c>
      <c r="V319" s="17">
        <v>50</v>
      </c>
      <c r="W319" s="17">
        <v>60</v>
      </c>
      <c r="X319" s="28">
        <f>SUMPRODUCT(T319:W319,'Fisico SPOT MAT'!T319:W319)*24</f>
        <v>2785738.4649999985</v>
      </c>
      <c r="Y319" s="19">
        <v>0</v>
      </c>
      <c r="Z319" s="19">
        <v>5</v>
      </c>
      <c r="AA319" s="19">
        <v>0</v>
      </c>
      <c r="AB319" s="28">
        <f>SUMPRODUCT(Y319:AA319,'Fisico SPOT MAT'!Y319:AA319)*E319</f>
        <v>82890.733333333337</v>
      </c>
      <c r="AC319" s="122">
        <f>(T319*'Fisico SPOT MAT'!T319+'Mono SPOT MAT'!V319*'Fisico SPOT MAT'!V319+'Mono SPOT MAT'!W319*'Fisico SPOT MAT'!W319)/'Fisico SPOT MAT'!AC319</f>
        <v>67.250752153768445</v>
      </c>
      <c r="AD319" s="85"/>
      <c r="AE319" s="41">
        <v>143.56179506507502</v>
      </c>
      <c r="AF319" s="42">
        <v>202.76846612504067</v>
      </c>
      <c r="AG319">
        <v>5050</v>
      </c>
      <c r="AH319" s="64">
        <f t="shared" si="104"/>
        <v>9.2179211668925642</v>
      </c>
      <c r="AI319">
        <v>2.5</v>
      </c>
      <c r="AJ319" s="41">
        <v>0.85</v>
      </c>
      <c r="AK319">
        <v>396</v>
      </c>
    </row>
    <row r="320" spans="1:37" hidden="1" x14ac:dyDescent="0.3">
      <c r="A320" s="3">
        <f>+'Mono ASIG'!A320</f>
        <v>1488.4530999999999</v>
      </c>
      <c r="B320" s="3">
        <f>+'Mono ASIG'!B320</f>
        <v>1489.595</v>
      </c>
      <c r="C320" s="1">
        <f>+'Mono ASIG'!C320</f>
        <v>2026</v>
      </c>
      <c r="D320" s="1">
        <f t="shared" si="141"/>
        <v>7</v>
      </c>
      <c r="E320" s="1">
        <f>+'Fisico SPOT MAT'!E320</f>
        <v>16</v>
      </c>
      <c r="F320" s="1" t="str">
        <f>+'Mono ASIG'!F320</f>
        <v>jue</v>
      </c>
      <c r="G320" s="56">
        <f>+'Mono ASIG'!G320</f>
        <v>46226</v>
      </c>
      <c r="H320" s="17">
        <f t="shared" si="142"/>
        <v>151.43554315285056</v>
      </c>
      <c r="I320" s="17">
        <f t="shared" si="143"/>
        <v>223.31705867523547</v>
      </c>
      <c r="J320" s="17">
        <v>22.148385496710869</v>
      </c>
      <c r="K320" s="17">
        <f t="shared" si="144"/>
        <v>22.148385496710869</v>
      </c>
      <c r="L320" s="17">
        <f>+Precios!E320</f>
        <v>162.4984540073863</v>
      </c>
      <c r="M320" s="44">
        <f>SUMPRODUCT(H320:L320,'Fisico SPOT MAT'!H320:L320)*24</f>
        <v>22277081.287853576</v>
      </c>
      <c r="N320" s="19">
        <f>+'Fisico SPOT MAT'!AH320</f>
        <v>16.916116455421182</v>
      </c>
      <c r="O320" s="19">
        <f t="shared" si="145"/>
        <v>12.752525252525253</v>
      </c>
      <c r="P320" s="19">
        <v>6</v>
      </c>
      <c r="Q320" s="19">
        <v>6</v>
      </c>
      <c r="R320" s="19">
        <v>0</v>
      </c>
      <c r="S320" s="44">
        <f>SUMPRODUCT(N320:R320,'Fisico SPOT MAT'!N320:R320)*E320</f>
        <v>3923880.9641818167</v>
      </c>
      <c r="T320" s="17">
        <v>80</v>
      </c>
      <c r="U320" s="17">
        <v>18</v>
      </c>
      <c r="V320" s="17">
        <v>50</v>
      </c>
      <c r="W320" s="17">
        <v>60</v>
      </c>
      <c r="X320" s="28">
        <f>SUMPRODUCT(T320:W320,'Fisico SPOT MAT'!T320:W320)*24</f>
        <v>3703778.3300000038</v>
      </c>
      <c r="Y320" s="19">
        <v>0</v>
      </c>
      <c r="Z320" s="19">
        <v>5</v>
      </c>
      <c r="AA320" s="19">
        <v>0</v>
      </c>
      <c r="AB320" s="28">
        <f>SUMPRODUCT(Y320:AA320,'Fisico SPOT MAT'!Y320:AA320)*E320</f>
        <v>83935.94</v>
      </c>
      <c r="AC320" s="122">
        <f>(T320*'Fisico SPOT MAT'!T320+'Mono SPOT MAT'!V320*'Fisico SPOT MAT'!V320+'Mono SPOT MAT'!W320*'Fisico SPOT MAT'!W320)/'Fisico SPOT MAT'!AC320</f>
        <v>65.379171860487162</v>
      </c>
      <c r="AD320" s="85"/>
      <c r="AE320" s="41">
        <v>139.16444323452043</v>
      </c>
      <c r="AF320" s="42">
        <v>211.04595875690535</v>
      </c>
      <c r="AG320">
        <v>5050</v>
      </c>
      <c r="AH320" s="64">
        <f t="shared" si="104"/>
        <v>8.9210999183301301</v>
      </c>
      <c r="AI320">
        <v>2.5</v>
      </c>
      <c r="AJ320" s="41">
        <v>0.85</v>
      </c>
      <c r="AK320">
        <v>396</v>
      </c>
    </row>
    <row r="321" spans="1:37" hidden="1" x14ac:dyDescent="0.3">
      <c r="A321" s="3">
        <f>+'Mono ASIG'!A321</f>
        <v>1488.4530999999999</v>
      </c>
      <c r="B321" s="3">
        <f>+'Mono ASIG'!B321</f>
        <v>1489.595</v>
      </c>
      <c r="C321" s="1">
        <f>+'Mono ASIG'!C321</f>
        <v>2026</v>
      </c>
      <c r="D321" s="1">
        <f t="shared" si="141"/>
        <v>7</v>
      </c>
      <c r="E321" s="1">
        <f>+'Fisico SPOT MAT'!E321</f>
        <v>16</v>
      </c>
      <c r="F321" s="1" t="str">
        <f>+'Mono ASIG'!F321</f>
        <v>vie</v>
      </c>
      <c r="G321" s="56">
        <f>+'Mono ASIG'!G321</f>
        <v>46227</v>
      </c>
      <c r="H321" s="17">
        <f t="shared" si="142"/>
        <v>152.90134452976451</v>
      </c>
      <c r="I321" s="17">
        <f t="shared" si="143"/>
        <v>12.363785251296585</v>
      </c>
      <c r="J321" s="17">
        <v>22</v>
      </c>
      <c r="K321" s="17">
        <f t="shared" si="144"/>
        <v>22</v>
      </c>
      <c r="L321" s="17">
        <f>+Precios!E321</f>
        <v>150.87771839995278</v>
      </c>
      <c r="M321" s="44">
        <f>SUMPRODUCT(H321:L321,'Fisico SPOT MAT'!H321:L321)*24</f>
        <v>22640996.074620724</v>
      </c>
      <c r="N321" s="19">
        <f>+'Fisico SPOT MAT'!AH321</f>
        <v>16.921057104417038</v>
      </c>
      <c r="O321" s="19">
        <f t="shared" si="145"/>
        <v>12.752525252525253</v>
      </c>
      <c r="P321" s="19">
        <v>6</v>
      </c>
      <c r="Q321" s="19">
        <v>6</v>
      </c>
      <c r="R321" s="19">
        <v>0</v>
      </c>
      <c r="S321" s="44">
        <f>SUMPRODUCT(N321:R321,'Fisico SPOT MAT'!N321:R321)*E321</f>
        <v>3941841.5782222208</v>
      </c>
      <c r="T321" s="17">
        <v>80</v>
      </c>
      <c r="U321" s="17">
        <v>18</v>
      </c>
      <c r="V321" s="17">
        <v>50</v>
      </c>
      <c r="W321" s="17">
        <v>60</v>
      </c>
      <c r="X321" s="28">
        <f>SUMPRODUCT(T321:W321,'Fisico SPOT MAT'!T321:W321)*24</f>
        <v>3394895.040000001</v>
      </c>
      <c r="Y321" s="19">
        <v>0</v>
      </c>
      <c r="Z321" s="19">
        <v>5</v>
      </c>
      <c r="AA321" s="19">
        <v>0</v>
      </c>
      <c r="AB321" s="28">
        <f>SUMPRODUCT(Y321:AA321,'Fisico SPOT MAT'!Y321:AA321)*E321</f>
        <v>83925.82</v>
      </c>
      <c r="AC321" s="122">
        <f>(T321*'Fisico SPOT MAT'!T321+'Mono SPOT MAT'!V321*'Fisico SPOT MAT'!V321+'Mono SPOT MAT'!W321*'Fisico SPOT MAT'!W321)/'Fisico SPOT MAT'!AC321</f>
        <v>65.922810653509956</v>
      </c>
      <c r="AD321" s="85"/>
      <c r="AE321" s="41">
        <v>140.53755927846794</v>
      </c>
      <c r="AF321" s="42">
        <v>0</v>
      </c>
      <c r="AG321">
        <v>5050</v>
      </c>
      <c r="AH321" s="64">
        <f t="shared" si="104"/>
        <v>9.0137852512965857</v>
      </c>
      <c r="AI321">
        <v>2.5</v>
      </c>
      <c r="AJ321" s="41">
        <v>0.85</v>
      </c>
      <c r="AK321">
        <v>396</v>
      </c>
    </row>
    <row r="322" spans="1:37" hidden="1" x14ac:dyDescent="0.3">
      <c r="A322" s="3">
        <f>+'Mono ASIG'!A322</f>
        <v>1488.4530999999999</v>
      </c>
      <c r="B322" s="3">
        <f>+'Mono ASIG'!B322</f>
        <v>1489.595</v>
      </c>
      <c r="C322" s="1">
        <f>+'Mono ASIG'!C322</f>
        <v>2026</v>
      </c>
      <c r="D322" s="1">
        <f t="shared" si="141"/>
        <v>7</v>
      </c>
      <c r="E322" s="1">
        <f>+'Fisico SPOT MAT'!E322</f>
        <v>6</v>
      </c>
      <c r="F322" s="1" t="str">
        <f>+'Mono ASIG'!F322</f>
        <v>sáb</v>
      </c>
      <c r="G322" s="56">
        <f>+'Mono ASIG'!G322</f>
        <v>46228</v>
      </c>
      <c r="H322" s="17">
        <f t="shared" si="142"/>
        <v>118.42570999947996</v>
      </c>
      <c r="I322" s="17">
        <f t="shared" si="143"/>
        <v>10.183827095985853</v>
      </c>
      <c r="J322" s="17">
        <v>22</v>
      </c>
      <c r="K322" s="17">
        <f t="shared" si="144"/>
        <v>22</v>
      </c>
      <c r="L322" s="17">
        <f>+Precios!E322</f>
        <v>106.09301199262329</v>
      </c>
      <c r="M322" s="44">
        <f>SUMPRODUCT(H322:L322,'Fisico SPOT MAT'!H322:L322)*24</f>
        <v>14218106.689500885</v>
      </c>
      <c r="N322" s="19">
        <f>+'Fisico SPOT MAT'!AH322</f>
        <v>16.923460670242921</v>
      </c>
      <c r="O322" s="19">
        <f t="shared" si="145"/>
        <v>12.752525252525253</v>
      </c>
      <c r="P322" s="19">
        <v>6</v>
      </c>
      <c r="Q322" s="19">
        <v>6</v>
      </c>
      <c r="R322" s="19">
        <v>0</v>
      </c>
      <c r="S322" s="44">
        <f>SUMPRODUCT(N322:R322,'Fisico SPOT MAT'!N322:R322)*E322</f>
        <v>1481336.7983333329</v>
      </c>
      <c r="T322" s="17">
        <v>80</v>
      </c>
      <c r="U322" s="17">
        <v>18</v>
      </c>
      <c r="V322" s="17">
        <v>50</v>
      </c>
      <c r="W322" s="17">
        <v>60</v>
      </c>
      <c r="X322" s="28">
        <f>SUMPRODUCT(T322:W322,'Fisico SPOT MAT'!T322:W322)*24</f>
        <v>3807163.160000002</v>
      </c>
      <c r="Y322" s="19">
        <v>0</v>
      </c>
      <c r="Z322" s="19">
        <v>5</v>
      </c>
      <c r="AA322" s="19">
        <v>0</v>
      </c>
      <c r="AB322" s="28">
        <f>SUMPRODUCT(Y322:AA322,'Fisico SPOT MAT'!Y322:AA322)*E322</f>
        <v>31470.612499999999</v>
      </c>
      <c r="AC322" s="122">
        <f>(T322*'Fisico SPOT MAT'!T322+'Mono SPOT MAT'!V322*'Fisico SPOT MAT'!V322+'Mono SPOT MAT'!W322*'Fisico SPOT MAT'!W322)/'Fisico SPOT MAT'!AC322</f>
        <v>65.328452236242924</v>
      </c>
      <c r="AD322" s="85"/>
      <c r="AE322" s="41">
        <v>108.24188290349412</v>
      </c>
      <c r="AF322" s="42">
        <v>0</v>
      </c>
      <c r="AG322">
        <v>5050</v>
      </c>
      <c r="AH322" s="64">
        <f t="shared" si="104"/>
        <v>6.8338270959858534</v>
      </c>
      <c r="AI322">
        <v>2.5</v>
      </c>
      <c r="AJ322" s="41">
        <v>0.85</v>
      </c>
      <c r="AK322">
        <v>396</v>
      </c>
    </row>
    <row r="323" spans="1:37" hidden="1" x14ac:dyDescent="0.3">
      <c r="A323" s="3">
        <f>+'Mono ASIG'!A323</f>
        <v>1488.4530999999999</v>
      </c>
      <c r="B323" s="3">
        <f>+'Mono ASIG'!B323</f>
        <v>1489.595</v>
      </c>
      <c r="C323" s="1">
        <f>+'Mono ASIG'!C323</f>
        <v>2026</v>
      </c>
      <c r="D323" s="1">
        <f t="shared" ref="D323:D328" si="146">MONTH(G323)</f>
        <v>7</v>
      </c>
      <c r="E323" s="1">
        <f>+'Fisico SPOT MAT'!E323</f>
        <v>4</v>
      </c>
      <c r="F323" s="1" t="str">
        <f>+'Mono ASIG'!F323</f>
        <v>dom</v>
      </c>
      <c r="G323" s="56">
        <f>+'Mono ASIG'!G323</f>
        <v>46229</v>
      </c>
      <c r="H323" s="17">
        <f t="shared" ref="H323:H328" si="147">+AE323+AH323+AI323+AJ323</f>
        <v>110.92695342544626</v>
      </c>
      <c r="I323" s="17">
        <f t="shared" ref="I323:I328" si="148">+AF323+AH323+AI323+AJ323</f>
        <v>9.7096668442319647</v>
      </c>
      <c r="J323" s="17">
        <v>22</v>
      </c>
      <c r="K323" s="17">
        <f t="shared" ref="K323:K328" si="149">+J323</f>
        <v>22</v>
      </c>
      <c r="L323" s="17">
        <f>+Precios!E323</f>
        <v>76.311866961326984</v>
      </c>
      <c r="M323" s="44">
        <f>SUMPRODUCT(H323:L323,'Fisico SPOT MAT'!H323:L323)*24</f>
        <v>12009092.263882305</v>
      </c>
      <c r="N323" s="19">
        <f>+'Fisico SPOT MAT'!AH323</f>
        <v>16.920742242659209</v>
      </c>
      <c r="O323" s="19">
        <f t="shared" ref="O323:O328" si="150">AG323/AK323</f>
        <v>12.752525252525253</v>
      </c>
      <c r="P323" s="19">
        <v>6</v>
      </c>
      <c r="Q323" s="19">
        <v>6</v>
      </c>
      <c r="R323" s="19">
        <v>0</v>
      </c>
      <c r="S323" s="44">
        <f>SUMPRODUCT(N323:R323,'Fisico SPOT MAT'!N323:R323)*E323</f>
        <v>985180.05055555492</v>
      </c>
      <c r="T323" s="17">
        <v>80</v>
      </c>
      <c r="U323" s="17">
        <v>18</v>
      </c>
      <c r="V323" s="17">
        <v>50</v>
      </c>
      <c r="W323" s="17">
        <v>60</v>
      </c>
      <c r="X323" s="28">
        <f>SUMPRODUCT(T323:W323,'Fisico SPOT MAT'!T323:W323)*24</f>
        <v>2999123.9050000031</v>
      </c>
      <c r="Y323" s="19">
        <v>0</v>
      </c>
      <c r="Z323" s="19">
        <v>5</v>
      </c>
      <c r="AA323" s="19">
        <v>0</v>
      </c>
      <c r="AB323" s="28">
        <f>SUMPRODUCT(Y323:AA323,'Fisico SPOT MAT'!Y323:AA323)*E323</f>
        <v>20980.755833333336</v>
      </c>
      <c r="AC323" s="122">
        <f>(T323*'Fisico SPOT MAT'!T323+'Mono SPOT MAT'!V323*'Fisico SPOT MAT'!V323+'Mono SPOT MAT'!W323*'Fisico SPOT MAT'!W323)/'Fisico SPOT MAT'!AC323</f>
        <v>67.128314522378005</v>
      </c>
      <c r="AD323" s="85"/>
      <c r="AE323" s="41">
        <v>101.2172865812143</v>
      </c>
      <c r="AF323" s="42">
        <v>0</v>
      </c>
      <c r="AG323">
        <v>5050</v>
      </c>
      <c r="AH323" s="64">
        <f t="shared" si="104"/>
        <v>6.359666844231965</v>
      </c>
      <c r="AI323">
        <v>2.5</v>
      </c>
      <c r="AJ323" s="41">
        <v>0.85</v>
      </c>
      <c r="AK323">
        <v>396</v>
      </c>
    </row>
    <row r="324" spans="1:37" hidden="1" x14ac:dyDescent="0.3">
      <c r="A324" s="3">
        <f>+'Mono ASIG'!A324</f>
        <v>1488.4530999999999</v>
      </c>
      <c r="B324" s="3">
        <f>+'Mono ASIG'!B324</f>
        <v>1489.595</v>
      </c>
      <c r="C324" s="1">
        <f>+'Mono ASIG'!C324</f>
        <v>2026</v>
      </c>
      <c r="D324" s="1">
        <f t="shared" si="146"/>
        <v>7</v>
      </c>
      <c r="E324" s="1">
        <f>+'Fisico SPOT MAT'!E324</f>
        <v>16</v>
      </c>
      <c r="F324" s="1" t="str">
        <f>+'Mono ASIG'!F324</f>
        <v>lun</v>
      </c>
      <c r="G324" s="56">
        <f>+'Mono ASIG'!G324</f>
        <v>46230</v>
      </c>
      <c r="H324" s="17">
        <f t="shared" si="147"/>
        <v>100.60803526111272</v>
      </c>
      <c r="I324" s="17">
        <f t="shared" si="148"/>
        <v>75.440406300594375</v>
      </c>
      <c r="J324" s="17">
        <v>22</v>
      </c>
      <c r="K324" s="17">
        <f t="shared" si="149"/>
        <v>22</v>
      </c>
      <c r="L324" s="17">
        <f>+Precios!E324</f>
        <v>130.03579388383753</v>
      </c>
      <c r="M324" s="44">
        <f>SUMPRODUCT(H324:L324,'Fisico SPOT MAT'!H324:L324)*24</f>
        <v>12158931.31885015</v>
      </c>
      <c r="N324" s="19">
        <f>+'Fisico SPOT MAT'!AH324</f>
        <v>16.91392337412632</v>
      </c>
      <c r="O324" s="19">
        <f t="shared" si="150"/>
        <v>12.752525252525253</v>
      </c>
      <c r="P324" s="19">
        <v>6</v>
      </c>
      <c r="Q324" s="19">
        <v>6</v>
      </c>
      <c r="R324" s="19">
        <v>0</v>
      </c>
      <c r="S324" s="44">
        <f>SUMPRODUCT(N324:R324,'Fisico SPOT MAT'!N324:R324)*E324</f>
        <v>3920140.6559191905</v>
      </c>
      <c r="T324" s="17">
        <v>80</v>
      </c>
      <c r="U324" s="17">
        <v>18</v>
      </c>
      <c r="V324" s="17">
        <v>50</v>
      </c>
      <c r="W324" s="17">
        <v>60</v>
      </c>
      <c r="X324" s="28">
        <f>SUMPRODUCT(T324:W324,'Fisico SPOT MAT'!T324:W324)*24</f>
        <v>3505858.674999998</v>
      </c>
      <c r="Y324" s="19">
        <v>0</v>
      </c>
      <c r="Z324" s="19">
        <v>5</v>
      </c>
      <c r="AA324" s="19">
        <v>0</v>
      </c>
      <c r="AB324" s="28">
        <f>SUMPRODUCT(Y324:AA324,'Fisico SPOT MAT'!Y324:AA324)*E324</f>
        <v>83929.590000000011</v>
      </c>
      <c r="AC324" s="122">
        <f>(T324*'Fisico SPOT MAT'!T324+'Mono SPOT MAT'!V324*'Fisico SPOT MAT'!V324+'Mono SPOT MAT'!W324*'Fisico SPOT MAT'!W324)/'Fisico SPOT MAT'!AC324</f>
        <v>65.666447935058386</v>
      </c>
      <c r="AD324" s="85"/>
      <c r="AE324" s="41">
        <v>91.550852703618474</v>
      </c>
      <c r="AF324" s="42">
        <v>66.383223743100132</v>
      </c>
      <c r="AG324">
        <v>5050</v>
      </c>
      <c r="AH324" s="64">
        <f t="shared" si="104"/>
        <v>5.7071825574942476</v>
      </c>
      <c r="AI324">
        <v>2.5</v>
      </c>
      <c r="AJ324" s="41">
        <v>0.85</v>
      </c>
      <c r="AK324">
        <v>396</v>
      </c>
    </row>
    <row r="325" spans="1:37" hidden="1" x14ac:dyDescent="0.3">
      <c r="A325" s="3">
        <f>+'Mono ASIG'!A325</f>
        <v>1488.4530999999999</v>
      </c>
      <c r="B325" s="3">
        <f>+'Mono ASIG'!B325</f>
        <v>1489.595</v>
      </c>
      <c r="C325" s="1">
        <f>+'Mono ASIG'!C325</f>
        <v>2026</v>
      </c>
      <c r="D325" s="1">
        <f t="shared" si="146"/>
        <v>7</v>
      </c>
      <c r="E325" s="1">
        <f>+'Fisico SPOT MAT'!E325</f>
        <v>16</v>
      </c>
      <c r="F325" s="1" t="str">
        <f>+'Mono ASIG'!F325</f>
        <v>mar</v>
      </c>
      <c r="G325" s="56">
        <f>+'Mono ASIG'!G325</f>
        <v>46231</v>
      </c>
      <c r="H325" s="17">
        <f t="shared" si="147"/>
        <v>104.12166527542946</v>
      </c>
      <c r="I325" s="17">
        <f t="shared" si="148"/>
        <v>57.318758115557507</v>
      </c>
      <c r="J325" s="17">
        <v>22</v>
      </c>
      <c r="K325" s="17">
        <f t="shared" si="149"/>
        <v>22</v>
      </c>
      <c r="L325" s="17">
        <f>+Precios!E325</f>
        <v>133.17817450635008</v>
      </c>
      <c r="M325" s="44">
        <f>SUMPRODUCT(H325:L325,'Fisico SPOT MAT'!H325:L325)*24</f>
        <v>14908754.394778021</v>
      </c>
      <c r="N325" s="19">
        <f>+'Fisico SPOT MAT'!AH325</f>
        <v>16.917417435012883</v>
      </c>
      <c r="O325" s="19">
        <f t="shared" si="150"/>
        <v>12.752525252525253</v>
      </c>
      <c r="P325" s="19">
        <v>6</v>
      </c>
      <c r="Q325" s="19">
        <v>6</v>
      </c>
      <c r="R325" s="19">
        <v>0</v>
      </c>
      <c r="S325" s="44">
        <f>SUMPRODUCT(N325:R325,'Fisico SPOT MAT'!N325:R325)*E325</f>
        <v>3947695.6430269354</v>
      </c>
      <c r="T325" s="17">
        <v>80</v>
      </c>
      <c r="U325" s="17">
        <v>18</v>
      </c>
      <c r="V325" s="17">
        <v>50</v>
      </c>
      <c r="W325" s="17">
        <v>60</v>
      </c>
      <c r="X325" s="28">
        <f>SUMPRODUCT(T325:W325,'Fisico SPOT MAT'!T325:W325)*24</f>
        <v>2736558.6950000012</v>
      </c>
      <c r="Y325" s="19">
        <v>0</v>
      </c>
      <c r="Z325" s="19">
        <v>5</v>
      </c>
      <c r="AA325" s="19">
        <v>0</v>
      </c>
      <c r="AB325" s="28">
        <f>SUMPRODUCT(Y325:AA325,'Fisico SPOT MAT'!Y325:AA325)*E325</f>
        <v>83928.553333333344</v>
      </c>
      <c r="AC325" s="122">
        <f>(T325*'Fisico SPOT MAT'!T325+'Mono SPOT MAT'!V325*'Fisico SPOT MAT'!V325+'Mono SPOT MAT'!W325*'Fisico SPOT MAT'!W325)/'Fisico SPOT MAT'!AC325</f>
        <v>67.719834452098397</v>
      </c>
      <c r="AD325" s="85"/>
      <c r="AE325" s="41">
        <v>94.842309391503022</v>
      </c>
      <c r="AF325" s="42">
        <v>48.039402231631051</v>
      </c>
      <c r="AG325">
        <v>5050</v>
      </c>
      <c r="AH325" s="64">
        <f t="shared" si="104"/>
        <v>5.929355883926454</v>
      </c>
      <c r="AI325">
        <v>2.5</v>
      </c>
      <c r="AJ325" s="41">
        <v>0.85</v>
      </c>
      <c r="AK325">
        <v>396</v>
      </c>
    </row>
    <row r="326" spans="1:37" hidden="1" x14ac:dyDescent="0.3">
      <c r="A326" s="3">
        <f>+'Mono ASIG'!A326</f>
        <v>1488.4530999999999</v>
      </c>
      <c r="B326" s="3">
        <f>+'Mono ASIG'!B326</f>
        <v>1489.595</v>
      </c>
      <c r="C326" s="1">
        <f>+'Mono ASIG'!C326</f>
        <v>2026</v>
      </c>
      <c r="D326" s="1">
        <f t="shared" si="146"/>
        <v>7</v>
      </c>
      <c r="E326" s="1">
        <f>+'Fisico SPOT MAT'!E326</f>
        <v>16</v>
      </c>
      <c r="F326" s="1" t="str">
        <f>+'Mono ASIG'!F326</f>
        <v>mié</v>
      </c>
      <c r="G326" s="56">
        <f>+'Mono ASIG'!G326</f>
        <v>46232</v>
      </c>
      <c r="H326" s="17">
        <f t="shared" si="147"/>
        <v>113.2521105155929</v>
      </c>
      <c r="I326" s="17">
        <f t="shared" si="148"/>
        <v>58.867647878269558</v>
      </c>
      <c r="J326" s="17">
        <v>22</v>
      </c>
      <c r="K326" s="17">
        <f t="shared" si="149"/>
        <v>22</v>
      </c>
      <c r="L326" s="17">
        <f>+Precios!E326</f>
        <v>127.19283905406861</v>
      </c>
      <c r="M326" s="44">
        <f>SUMPRODUCT(H326:L326,'Fisico SPOT MAT'!H326:L326)*24</f>
        <v>16877718.056885097</v>
      </c>
      <c r="N326" s="19">
        <f>+'Fisico SPOT MAT'!AH326</f>
        <v>16.928429260076218</v>
      </c>
      <c r="O326" s="19">
        <f t="shared" si="150"/>
        <v>12.752525252525253</v>
      </c>
      <c r="P326" s="19">
        <v>6</v>
      </c>
      <c r="Q326" s="19">
        <v>6</v>
      </c>
      <c r="R326" s="19">
        <v>0</v>
      </c>
      <c r="S326" s="44">
        <f>SUMPRODUCT(N326:R326,'Fisico SPOT MAT'!N326:R326)*E326</f>
        <v>3988205.5408417499</v>
      </c>
      <c r="T326" s="17">
        <v>80</v>
      </c>
      <c r="U326" s="17">
        <v>18</v>
      </c>
      <c r="V326" s="17">
        <v>50</v>
      </c>
      <c r="W326" s="17">
        <v>60</v>
      </c>
      <c r="X326" s="28">
        <f>SUMPRODUCT(T326:W326,'Fisico SPOT MAT'!T326:W326)*24</f>
        <v>2402812.3149999999</v>
      </c>
      <c r="Y326" s="19">
        <v>0</v>
      </c>
      <c r="Z326" s="19">
        <v>5</v>
      </c>
      <c r="AA326" s="19">
        <v>0</v>
      </c>
      <c r="AB326" s="28">
        <f>SUMPRODUCT(Y326:AA326,'Fisico SPOT MAT'!Y326:AA326)*E326</f>
        <v>83926.463333333348</v>
      </c>
      <c r="AC326" s="122">
        <f>(T326*'Fisico SPOT MAT'!T326+'Mono SPOT MAT'!V326*'Fisico SPOT MAT'!V326+'Mono SPOT MAT'!W326*'Fisico SPOT MAT'!W326)/'Fisico SPOT MAT'!AC326</f>
        <v>68.882614900369958</v>
      </c>
      <c r="AD326" s="85"/>
      <c r="AE326" s="41">
        <v>103.39541968673809</v>
      </c>
      <c r="AF326" s="42">
        <v>49.010957049414735</v>
      </c>
      <c r="AG326">
        <v>5050</v>
      </c>
      <c r="AH326" s="64">
        <f t="shared" si="104"/>
        <v>6.506690828854822</v>
      </c>
      <c r="AI326">
        <v>2.5</v>
      </c>
      <c r="AJ326" s="41">
        <v>0.85</v>
      </c>
      <c r="AK326">
        <v>396</v>
      </c>
    </row>
    <row r="327" spans="1:37" hidden="1" x14ac:dyDescent="0.3">
      <c r="A327" s="3">
        <f>+'Mono ASIG'!A327</f>
        <v>1488.4530999999999</v>
      </c>
      <c r="B327" s="3">
        <f>+'Mono ASIG'!B327</f>
        <v>1489.595</v>
      </c>
      <c r="C327" s="1">
        <f>+'Mono ASIG'!C327</f>
        <v>2026</v>
      </c>
      <c r="D327" s="1">
        <f t="shared" si="146"/>
        <v>7</v>
      </c>
      <c r="E327" s="1">
        <f>+'Fisico SPOT MAT'!E327</f>
        <v>16</v>
      </c>
      <c r="F327" s="1" t="str">
        <f>+'Mono ASIG'!F327</f>
        <v>jue</v>
      </c>
      <c r="G327" s="56">
        <f>+'Mono ASIG'!G327</f>
        <v>46233</v>
      </c>
      <c r="H327" s="17">
        <f t="shared" si="147"/>
        <v>91.46681238626465</v>
      </c>
      <c r="I327" s="17">
        <f t="shared" si="148"/>
        <v>59.121938957024106</v>
      </c>
      <c r="J327" s="17">
        <v>22</v>
      </c>
      <c r="K327" s="17">
        <f t="shared" si="149"/>
        <v>22</v>
      </c>
      <c r="L327" s="17">
        <f>+Precios!E327</f>
        <v>85.929456345972525</v>
      </c>
      <c r="M327" s="44">
        <f>SUMPRODUCT(H327:L327,'Fisico SPOT MAT'!H327:L327)*24</f>
        <v>10775607.060500115</v>
      </c>
      <c r="N327" s="19">
        <f>+'Fisico SPOT MAT'!AH327</f>
        <v>16.927846059392657</v>
      </c>
      <c r="O327" s="19">
        <f t="shared" si="150"/>
        <v>12.752525252525253</v>
      </c>
      <c r="P327" s="19">
        <v>6</v>
      </c>
      <c r="Q327" s="19">
        <v>6</v>
      </c>
      <c r="R327" s="19">
        <v>0</v>
      </c>
      <c r="S327" s="44">
        <f>SUMPRODUCT(N327:R327,'Fisico SPOT MAT'!N327:R327)*E327</f>
        <v>3982191.5646430957</v>
      </c>
      <c r="T327" s="17">
        <v>80</v>
      </c>
      <c r="U327" s="17">
        <v>18</v>
      </c>
      <c r="V327" s="17">
        <v>50</v>
      </c>
      <c r="W327" s="17">
        <v>60</v>
      </c>
      <c r="X327" s="28">
        <f>SUMPRODUCT(T327:W327,'Fisico SPOT MAT'!T327:W327)*24</f>
        <v>4024525.0550000006</v>
      </c>
      <c r="Y327" s="19">
        <v>0</v>
      </c>
      <c r="Z327" s="19">
        <v>5</v>
      </c>
      <c r="AA327" s="19">
        <v>0</v>
      </c>
      <c r="AB327" s="28">
        <f>SUMPRODUCT(Y327:AA327,'Fisico SPOT MAT'!Y327:AA327)*E327</f>
        <v>83925.373333333337</v>
      </c>
      <c r="AC327" s="122">
        <f>(T327*'Fisico SPOT MAT'!T327+'Mono SPOT MAT'!V327*'Fisico SPOT MAT'!V327+'Mono SPOT MAT'!W327*'Fisico SPOT MAT'!W327)/'Fisico SPOT MAT'!AC327</f>
        <v>64.978563144281424</v>
      </c>
      <c r="AD327" s="85"/>
      <c r="AE327" s="41">
        <v>82.987646263479775</v>
      </c>
      <c r="AF327" s="42">
        <v>50.642772834239217</v>
      </c>
      <c r="AG327">
        <v>5050</v>
      </c>
      <c r="AH327" s="64">
        <f t="shared" si="104"/>
        <v>5.129166122784885</v>
      </c>
      <c r="AI327">
        <v>2.5</v>
      </c>
      <c r="AJ327" s="41">
        <v>0.85</v>
      </c>
      <c r="AK327">
        <v>396</v>
      </c>
    </row>
    <row r="328" spans="1:37" hidden="1" x14ac:dyDescent="0.3">
      <c r="A328" s="3">
        <f>+'Mono ASIG'!A328</f>
        <v>1488.4530999999999</v>
      </c>
      <c r="B328" s="3">
        <f>+'Mono ASIG'!B328</f>
        <v>1489.595</v>
      </c>
      <c r="C328" s="1">
        <f>+'Mono ASIG'!C328</f>
        <v>2026</v>
      </c>
      <c r="D328" s="1">
        <f t="shared" si="146"/>
        <v>7</v>
      </c>
      <c r="E328" s="1">
        <f>+'Fisico SPOT MAT'!E328</f>
        <v>16</v>
      </c>
      <c r="F328" s="1" t="str">
        <f>+'Mono ASIG'!F328</f>
        <v>vie</v>
      </c>
      <c r="G328" s="56">
        <f>+'Mono ASIG'!G328</f>
        <v>46234</v>
      </c>
      <c r="H328" s="17">
        <f t="shared" si="147"/>
        <v>91.916925844230377</v>
      </c>
      <c r="I328" s="17">
        <f t="shared" si="148"/>
        <v>60.316050225147727</v>
      </c>
      <c r="J328" s="17">
        <v>22</v>
      </c>
      <c r="K328" s="17">
        <f t="shared" si="149"/>
        <v>22</v>
      </c>
      <c r="L328" s="17">
        <f>+Precios!E328</f>
        <v>93.052879703666207</v>
      </c>
      <c r="M328" s="44">
        <f>SUMPRODUCT(H328:L328,'Fisico SPOT MAT'!H328:L328)*24</f>
        <v>9033558.4225068688</v>
      </c>
      <c r="N328" s="19">
        <f>+'Fisico SPOT MAT'!AH328</f>
        <v>16.925570741112576</v>
      </c>
      <c r="O328" s="19">
        <f t="shared" si="150"/>
        <v>13.502673796791443</v>
      </c>
      <c r="P328" s="19">
        <v>6</v>
      </c>
      <c r="Q328" s="19">
        <v>6</v>
      </c>
      <c r="R328" s="19">
        <v>0</v>
      </c>
      <c r="S328" s="44">
        <f>SUMPRODUCT(N328:R328,'Fisico SPOT MAT'!N328:R328)*E328</f>
        <v>3997418.5186524037</v>
      </c>
      <c r="T328" s="17">
        <v>80</v>
      </c>
      <c r="U328" s="17">
        <v>18</v>
      </c>
      <c r="V328" s="17">
        <v>50</v>
      </c>
      <c r="W328" s="17">
        <v>60</v>
      </c>
      <c r="X328" s="28">
        <f>SUMPRODUCT(T328:W328,'Fisico SPOT MAT'!T328:W328)*24</f>
        <v>3923184.5350000011</v>
      </c>
      <c r="Y328" s="19">
        <v>0</v>
      </c>
      <c r="Z328" s="19">
        <v>5</v>
      </c>
      <c r="AA328" s="19">
        <v>0</v>
      </c>
      <c r="AB328" s="28">
        <f>SUMPRODUCT(Y328:AA328,'Fisico SPOT MAT'!Y328:AA328)*E328</f>
        <v>83848.186666666676</v>
      </c>
      <c r="AC328" s="122">
        <f>(T328*'Fisico SPOT MAT'!T328+'Mono SPOT MAT'!V328*'Fisico SPOT MAT'!V328+'Mono SPOT MAT'!W328*'Fisico SPOT MAT'!W328)/'Fisico SPOT MAT'!AC328</f>
        <v>65.091055148035352</v>
      </c>
      <c r="AD328" s="85"/>
      <c r="AE328" s="41">
        <v>83.409298214735728</v>
      </c>
      <c r="AF328" s="42">
        <v>51.808422595653063</v>
      </c>
      <c r="AG328">
        <v>5050</v>
      </c>
      <c r="AH328" s="64">
        <f t="shared" si="104"/>
        <v>5.1576276294946624</v>
      </c>
      <c r="AI328">
        <v>2.5</v>
      </c>
      <c r="AJ328" s="41">
        <v>0.85</v>
      </c>
      <c r="AK328">
        <v>374</v>
      </c>
    </row>
    <row r="329" spans="1:37" x14ac:dyDescent="0.3">
      <c r="A329" s="3">
        <f>+'Mono ASIG'!A329</f>
        <v>1509.4685999999999</v>
      </c>
      <c r="B329" s="3">
        <f>+'Mono ASIG'!B329</f>
        <v>1489.595</v>
      </c>
      <c r="C329" s="1">
        <f>+'Mono ASIG'!C329</f>
        <v>2026</v>
      </c>
      <c r="D329" s="1">
        <f t="shared" ref="D329:D344" si="151">MONTH(G329)</f>
        <v>8</v>
      </c>
      <c r="E329" s="1">
        <f>+'Fisico SPOT MAT'!E329</f>
        <v>6</v>
      </c>
      <c r="F329" s="1" t="str">
        <f>+'Mono ASIG'!F329</f>
        <v>sáb</v>
      </c>
      <c r="G329" s="56">
        <f>+'Mono ASIG'!G329</f>
        <v>46235</v>
      </c>
      <c r="H329" s="17">
        <f t="shared" ref="H329:H336" si="152">+AE329+AH329+AI329+AJ329</f>
        <v>88.891467557238343</v>
      </c>
      <c r="I329" s="17">
        <f t="shared" ref="I329:I336" si="153">+AF329+AH329+AI329+AJ329</f>
        <v>8.3163223045560546</v>
      </c>
      <c r="J329" s="17">
        <v>22</v>
      </c>
      <c r="K329" s="17">
        <f t="shared" ref="K329:K336" si="154">+J329</f>
        <v>22</v>
      </c>
      <c r="L329" s="17">
        <f>+Precios!E329</f>
        <v>59.552946718179548</v>
      </c>
      <c r="M329" s="44">
        <f>SUMPRODUCT(H329:L329,'Fisico SPOT MAT'!H329:L329)*24</f>
        <v>8471130.2192082331</v>
      </c>
      <c r="N329" s="19">
        <f>+'Fisico SPOT MAT'!AH329</f>
        <v>16.903694028032778</v>
      </c>
      <c r="O329" s="19">
        <f t="shared" ref="O329:O336" si="155">AG329/AK329</f>
        <v>13.502673796791443</v>
      </c>
      <c r="P329" s="19">
        <v>6</v>
      </c>
      <c r="Q329" s="19">
        <v>6</v>
      </c>
      <c r="R329" s="19">
        <v>0</v>
      </c>
      <c r="S329" s="44">
        <f>SUMPRODUCT(N329:R329,'Fisico SPOT MAT'!N329:R329)*E329</f>
        <v>1429634.215997326</v>
      </c>
      <c r="T329" s="17">
        <v>80</v>
      </c>
      <c r="U329" s="17">
        <v>18</v>
      </c>
      <c r="V329" s="17">
        <v>50</v>
      </c>
      <c r="W329" s="17">
        <v>60</v>
      </c>
      <c r="X329" s="28">
        <f>SUMPRODUCT(T329:W329,'Fisico SPOT MAT'!T329:W329)*24</f>
        <v>3453617.2700000005</v>
      </c>
      <c r="Y329" s="19">
        <v>0</v>
      </c>
      <c r="Z329" s="19">
        <v>5</v>
      </c>
      <c r="AA329" s="19">
        <v>0</v>
      </c>
      <c r="AB329" s="28">
        <f>SUMPRODUCT(Y329:AA329,'Fisico SPOT MAT'!Y329:AA329)*E329</f>
        <v>37123.548749999994</v>
      </c>
      <c r="AC329" s="122">
        <f>(T329*'Fisico SPOT MAT'!T329+'Mono SPOT MAT'!V329*'Fisico SPOT MAT'!V329+'Mono SPOT MAT'!W329*'Fisico SPOT MAT'!W329)/'Fisico SPOT MAT'!AC329</f>
        <v>66.033256775346203</v>
      </c>
      <c r="AD329" s="85"/>
      <c r="AE329" s="41">
        <v>80.57514525268229</v>
      </c>
      <c r="AF329" s="42">
        <v>0</v>
      </c>
      <c r="AG329">
        <v>5050</v>
      </c>
      <c r="AH329" s="64">
        <f t="shared" ref="AH329:AH336" si="156">0.075*0.9*(AE329-7)</f>
        <v>4.9663223045560549</v>
      </c>
      <c r="AI329">
        <v>2.5</v>
      </c>
      <c r="AJ329" s="41">
        <v>0.85</v>
      </c>
      <c r="AK329">
        <v>374</v>
      </c>
    </row>
    <row r="330" spans="1:37" x14ac:dyDescent="0.3">
      <c r="A330" s="3">
        <f>+'Mono ASIG'!A330</f>
        <v>1509.4685999999999</v>
      </c>
      <c r="B330" s="3">
        <f>+'Mono ASIG'!B330</f>
        <v>1489.595</v>
      </c>
      <c r="C330" s="1">
        <f>+'Mono ASIG'!C330</f>
        <v>2026</v>
      </c>
      <c r="D330" s="1">
        <f t="shared" si="151"/>
        <v>8</v>
      </c>
      <c r="E330" s="1">
        <f>+'Fisico SPOT MAT'!E330</f>
        <v>4</v>
      </c>
      <c r="F330" s="1" t="str">
        <f>+'Mono ASIG'!F330</f>
        <v>dom</v>
      </c>
      <c r="G330" s="56">
        <f>+'Mono ASIG'!G330</f>
        <v>46236</v>
      </c>
      <c r="H330" s="17">
        <f t="shared" si="152"/>
        <v>82.570024295480806</v>
      </c>
      <c r="I330" s="17">
        <f t="shared" si="153"/>
        <v>7.9166057517048758</v>
      </c>
      <c r="J330" s="17">
        <v>22.000000000000004</v>
      </c>
      <c r="K330" s="17">
        <f t="shared" si="154"/>
        <v>22.000000000000004</v>
      </c>
      <c r="L330" s="17">
        <f>+Precios!E330</f>
        <v>50.684735336338633</v>
      </c>
      <c r="M330" s="44">
        <f>SUMPRODUCT(H330:L330,'Fisico SPOT MAT'!H330:L330)*24</f>
        <v>7119187.1369074527</v>
      </c>
      <c r="N330" s="19">
        <f>+'Fisico SPOT MAT'!AH330</f>
        <v>16.925259818749794</v>
      </c>
      <c r="O330" s="19">
        <f t="shared" si="155"/>
        <v>13.502673796791443</v>
      </c>
      <c r="P330" s="19">
        <v>6</v>
      </c>
      <c r="Q330" s="19">
        <v>6</v>
      </c>
      <c r="R330" s="19">
        <v>0</v>
      </c>
      <c r="S330" s="44">
        <f>SUMPRODUCT(N330:R330,'Fisico SPOT MAT'!N330:R330)*E330</f>
        <v>972066.37033155037</v>
      </c>
      <c r="T330" s="17">
        <v>80</v>
      </c>
      <c r="U330" s="17">
        <v>18</v>
      </c>
      <c r="V330" s="17">
        <v>50</v>
      </c>
      <c r="W330" s="17">
        <v>60</v>
      </c>
      <c r="X330" s="28">
        <f>SUMPRODUCT(T330:W330,'Fisico SPOT MAT'!T330:W330)*24</f>
        <v>4098721.1399999931</v>
      </c>
      <c r="Y330" s="19">
        <v>0</v>
      </c>
      <c r="Z330" s="19">
        <v>5</v>
      </c>
      <c r="AA330" s="19">
        <v>0</v>
      </c>
      <c r="AB330" s="28">
        <f>SUMPRODUCT(Y330:AA330,'Fisico SPOT MAT'!Y330:AA330)*E330</f>
        <v>24875.268333333333</v>
      </c>
      <c r="AC330" s="122">
        <f>(T330*'Fisico SPOT MAT'!T330+'Mono SPOT MAT'!V330*'Fisico SPOT MAT'!V330+'Mono SPOT MAT'!W330*'Fisico SPOT MAT'!W330)/'Fisico SPOT MAT'!AC330</f>
        <v>64.884972851720477</v>
      </c>
      <c r="AD330" s="85"/>
      <c r="AE330" s="41">
        <v>74.653418543775942</v>
      </c>
      <c r="AF330" s="42">
        <v>0</v>
      </c>
      <c r="AG330">
        <v>5050</v>
      </c>
      <c r="AH330" s="64">
        <f t="shared" si="156"/>
        <v>4.5666057517048761</v>
      </c>
      <c r="AI330">
        <v>2.5</v>
      </c>
      <c r="AJ330" s="41">
        <v>0.85</v>
      </c>
      <c r="AK330">
        <v>374</v>
      </c>
    </row>
    <row r="331" spans="1:37" x14ac:dyDescent="0.3">
      <c r="A331" s="3">
        <f>+'Mono ASIG'!A331</f>
        <v>1509.4685999999999</v>
      </c>
      <c r="B331" s="3">
        <f>+'Mono ASIG'!B331</f>
        <v>1498.5119999999999</v>
      </c>
      <c r="C331" s="1">
        <f>+'Mono ASIG'!C331</f>
        <v>2026</v>
      </c>
      <c r="D331" s="1">
        <f t="shared" si="151"/>
        <v>8</v>
      </c>
      <c r="E331" s="1">
        <f>+'Fisico SPOT MAT'!E331</f>
        <v>16</v>
      </c>
      <c r="F331" s="1" t="str">
        <f>+'Mono ASIG'!F331</f>
        <v>lun</v>
      </c>
      <c r="G331" s="56">
        <f>+'Mono ASIG'!G331</f>
        <v>46237</v>
      </c>
      <c r="H331" s="17">
        <f t="shared" si="152"/>
        <v>109.81328673728402</v>
      </c>
      <c r="I331" s="17">
        <f t="shared" si="153"/>
        <v>9.6392476391256867</v>
      </c>
      <c r="J331" s="17">
        <v>21.999999999999993</v>
      </c>
      <c r="K331" s="17">
        <f t="shared" si="154"/>
        <v>21.999999999999993</v>
      </c>
      <c r="L331" s="17">
        <f>+Precios!E331</f>
        <v>120.22470957856862</v>
      </c>
      <c r="M331" s="44">
        <f>SUMPRODUCT(H331:L331,'Fisico SPOT MAT'!H331:L331)*24</f>
        <v>12346545.941168467</v>
      </c>
      <c r="N331" s="19">
        <f>+'Fisico SPOT MAT'!AH331</f>
        <v>16.923377298126859</v>
      </c>
      <c r="O331" s="19">
        <f t="shared" si="155"/>
        <v>13.502673796791443</v>
      </c>
      <c r="P331" s="19">
        <v>6</v>
      </c>
      <c r="Q331" s="19">
        <v>6</v>
      </c>
      <c r="R331" s="19">
        <v>0</v>
      </c>
      <c r="S331" s="44">
        <f>SUMPRODUCT(N331:R331,'Fisico SPOT MAT'!N331:R331)*E331</f>
        <v>3880503.0173262022</v>
      </c>
      <c r="T331" s="17">
        <v>80</v>
      </c>
      <c r="U331" s="17">
        <v>18</v>
      </c>
      <c r="V331" s="17">
        <v>50</v>
      </c>
      <c r="W331" s="17">
        <v>60</v>
      </c>
      <c r="X331" s="28">
        <f>SUMPRODUCT(T331:W331,'Fisico SPOT MAT'!T331:W331)*24</f>
        <v>3045698.9850000008</v>
      </c>
      <c r="Y331" s="19">
        <v>0</v>
      </c>
      <c r="Z331" s="19">
        <v>5</v>
      </c>
      <c r="AA331" s="19">
        <v>0</v>
      </c>
      <c r="AB331" s="28">
        <f>SUMPRODUCT(Y331:AA331,'Fisico SPOT MAT'!Y331:AA331)*E331</f>
        <v>99586.603333333333</v>
      </c>
      <c r="AC331" s="122">
        <f>(T331*'Fisico SPOT MAT'!T331+'Mono SPOT MAT'!V331*'Fisico SPOT MAT'!V331+'Mono SPOT MAT'!W331*'Fisico SPOT MAT'!W331)/'Fisico SPOT MAT'!AC331</f>
        <v>66.394606926706786</v>
      </c>
      <c r="AD331" s="85"/>
      <c r="AE331" s="41">
        <v>100.17403909815833</v>
      </c>
      <c r="AF331" s="42">
        <v>0</v>
      </c>
      <c r="AG331">
        <v>5050</v>
      </c>
      <c r="AH331" s="64">
        <f t="shared" si="156"/>
        <v>6.289247639125688</v>
      </c>
      <c r="AI331">
        <v>2.5</v>
      </c>
      <c r="AJ331" s="41">
        <v>0.85</v>
      </c>
      <c r="AK331">
        <v>374</v>
      </c>
    </row>
    <row r="332" spans="1:37" x14ac:dyDescent="0.3">
      <c r="A332" s="3">
        <f>+'Mono ASIG'!A332</f>
        <v>1509.4685999999999</v>
      </c>
      <c r="B332" s="3">
        <f>+'Mono ASIG'!B332</f>
        <v>1498.5119999999999</v>
      </c>
      <c r="C332" s="1">
        <f>+'Mono ASIG'!C332</f>
        <v>2026</v>
      </c>
      <c r="D332" s="1">
        <f t="shared" si="151"/>
        <v>8</v>
      </c>
      <c r="E332" s="1">
        <f>+'Fisico SPOT MAT'!E332</f>
        <v>16</v>
      </c>
      <c r="F332" s="1" t="str">
        <f>+'Mono ASIG'!F332</f>
        <v>mar</v>
      </c>
      <c r="G332" s="56">
        <f>+'Mono ASIG'!G332</f>
        <v>46238</v>
      </c>
      <c r="H332" s="17">
        <f t="shared" si="152"/>
        <v>104.36832366997959</v>
      </c>
      <c r="I332" s="17">
        <f t="shared" si="153"/>
        <v>9.2949525505607706</v>
      </c>
      <c r="J332" s="17">
        <v>22</v>
      </c>
      <c r="K332" s="17">
        <f t="shared" si="154"/>
        <v>22</v>
      </c>
      <c r="L332" s="17">
        <f>+Precios!E332</f>
        <v>120.14231033852245</v>
      </c>
      <c r="M332" s="44">
        <f>SUMPRODUCT(H332:L332,'Fisico SPOT MAT'!H332:L332)*24</f>
        <v>13277875.702741362</v>
      </c>
      <c r="N332" s="19">
        <f>+'Fisico SPOT MAT'!AH332</f>
        <v>16.922006496258351</v>
      </c>
      <c r="O332" s="19">
        <f t="shared" si="155"/>
        <v>13.502673796791443</v>
      </c>
      <c r="P332" s="19">
        <v>6</v>
      </c>
      <c r="Q332" s="19">
        <v>6</v>
      </c>
      <c r="R332" s="19">
        <v>0</v>
      </c>
      <c r="S332" s="44">
        <f>SUMPRODUCT(N332:R332,'Fisico SPOT MAT'!N332:R332)*E332</f>
        <v>3876619.8653262025</v>
      </c>
      <c r="T332" s="17">
        <v>80</v>
      </c>
      <c r="U332" s="17">
        <v>18</v>
      </c>
      <c r="V332" s="17">
        <v>50</v>
      </c>
      <c r="W332" s="17">
        <v>60</v>
      </c>
      <c r="X332" s="28">
        <f>SUMPRODUCT(T332:W332,'Fisico SPOT MAT'!T332:W332)*24</f>
        <v>2999444.51</v>
      </c>
      <c r="Y332" s="19">
        <v>0</v>
      </c>
      <c r="Z332" s="19">
        <v>5</v>
      </c>
      <c r="AA332" s="19">
        <v>0</v>
      </c>
      <c r="AB332" s="28">
        <f>SUMPRODUCT(Y332:AA332,'Fisico SPOT MAT'!Y332:AA332)*E332</f>
        <v>99390.036666666681</v>
      </c>
      <c r="AC332" s="122">
        <f>(T332*'Fisico SPOT MAT'!T332+'Mono SPOT MAT'!V332*'Fisico SPOT MAT'!V332+'Mono SPOT MAT'!W332*'Fisico SPOT MAT'!W332)/'Fisico SPOT MAT'!AC332</f>
        <v>66.670885841379643</v>
      </c>
      <c r="AD332" s="85"/>
      <c r="AE332" s="41">
        <v>95.073371119418823</v>
      </c>
      <c r="AF332" s="42">
        <v>0</v>
      </c>
      <c r="AG332">
        <v>5050</v>
      </c>
      <c r="AH332" s="64">
        <f t="shared" si="156"/>
        <v>5.944952550560771</v>
      </c>
      <c r="AI332">
        <v>2.5</v>
      </c>
      <c r="AJ332" s="41">
        <v>0.85</v>
      </c>
      <c r="AK332">
        <v>374</v>
      </c>
    </row>
    <row r="333" spans="1:37" x14ac:dyDescent="0.3">
      <c r="A333" s="3">
        <f>+'Mono ASIG'!A333</f>
        <v>1509.4685999999999</v>
      </c>
      <c r="B333" s="3">
        <f>+'Mono ASIG'!B333</f>
        <v>1498.5119999999999</v>
      </c>
      <c r="C333" s="1">
        <f>+'Mono ASIG'!C333</f>
        <v>2026</v>
      </c>
      <c r="D333" s="1">
        <f t="shared" si="151"/>
        <v>8</v>
      </c>
      <c r="E333" s="1">
        <f>+'Fisico SPOT MAT'!E333</f>
        <v>16</v>
      </c>
      <c r="F333" s="1" t="str">
        <f>+'Mono ASIG'!F333</f>
        <v>mié</v>
      </c>
      <c r="G333" s="56">
        <f>+'Mono ASIG'!G333</f>
        <v>46239</v>
      </c>
      <c r="H333" s="17">
        <f t="shared" si="152"/>
        <v>109.09656924776085</v>
      </c>
      <c r="I333" s="17">
        <f t="shared" si="153"/>
        <v>80.171922208372436</v>
      </c>
      <c r="J333" s="17">
        <v>22.126609428675568</v>
      </c>
      <c r="K333" s="17">
        <f t="shared" si="154"/>
        <v>22.126609428675568</v>
      </c>
      <c r="L333" s="17">
        <f>+Precios!E333</f>
        <v>141.4575300364628</v>
      </c>
      <c r="M333" s="44">
        <f>SUMPRODUCT(H333:L333,'Fisico SPOT MAT'!H333:L333)*24</f>
        <v>13578746.181796297</v>
      </c>
      <c r="N333" s="19">
        <f>+'Fisico SPOT MAT'!AH333</f>
        <v>16.923096894011081</v>
      </c>
      <c r="O333" s="19">
        <f t="shared" si="155"/>
        <v>13.502673796791443</v>
      </c>
      <c r="P333" s="19">
        <v>6</v>
      </c>
      <c r="Q333" s="19">
        <v>6</v>
      </c>
      <c r="R333" s="19">
        <v>0</v>
      </c>
      <c r="S333" s="44">
        <f>SUMPRODUCT(N333:R333,'Fisico SPOT MAT'!N333:R333)*E333</f>
        <v>3880693.4566203183</v>
      </c>
      <c r="T333" s="17">
        <v>80</v>
      </c>
      <c r="U333" s="17">
        <v>18</v>
      </c>
      <c r="V333" s="17">
        <v>50</v>
      </c>
      <c r="W333" s="17">
        <v>60</v>
      </c>
      <c r="X333" s="28">
        <f>SUMPRODUCT(T333:W333,'Fisico SPOT MAT'!T333:W333)*24</f>
        <v>2763488.5300000012</v>
      </c>
      <c r="Y333" s="19">
        <v>0</v>
      </c>
      <c r="Z333" s="19">
        <v>5</v>
      </c>
      <c r="AA333" s="19">
        <v>0</v>
      </c>
      <c r="AB333" s="28">
        <f>SUMPRODUCT(Y333:AA333,'Fisico SPOT MAT'!Y333:AA333)*E333</f>
        <v>99398.459999999992</v>
      </c>
      <c r="AC333" s="122">
        <f>(T333*'Fisico SPOT MAT'!T333+'Mono SPOT MAT'!V333*'Fisico SPOT MAT'!V333+'Mono SPOT MAT'!W333*'Fisico SPOT MAT'!W333)/'Fisico SPOT MAT'!AC333</f>
        <v>67.169978468265327</v>
      </c>
      <c r="AD333" s="85"/>
      <c r="AE333" s="41">
        <v>99.502640981509003</v>
      </c>
      <c r="AF333" s="42">
        <v>70.577993942120585</v>
      </c>
      <c r="AG333">
        <v>5050</v>
      </c>
      <c r="AH333" s="64">
        <f t="shared" si="156"/>
        <v>6.2439282662518583</v>
      </c>
      <c r="AI333">
        <v>2.5</v>
      </c>
      <c r="AJ333" s="41">
        <v>0.85</v>
      </c>
      <c r="AK333">
        <v>374</v>
      </c>
    </row>
    <row r="334" spans="1:37" x14ac:dyDescent="0.3">
      <c r="A334" s="3">
        <f>+'Mono ASIG'!A334</f>
        <v>1509.4685999999999</v>
      </c>
      <c r="B334" s="3">
        <f>+'Mono ASIG'!B334</f>
        <v>1498.5119999999999</v>
      </c>
      <c r="C334" s="1">
        <f>+'Mono ASIG'!C334</f>
        <v>2026</v>
      </c>
      <c r="D334" s="1">
        <f t="shared" si="151"/>
        <v>8</v>
      </c>
      <c r="E334" s="1">
        <f>+'Fisico SPOT MAT'!E334</f>
        <v>16</v>
      </c>
      <c r="F334" s="1" t="str">
        <f>+'Mono ASIG'!F334</f>
        <v>jue</v>
      </c>
      <c r="G334" s="56">
        <f>+'Mono ASIG'!G334</f>
        <v>46240</v>
      </c>
      <c r="H334" s="17">
        <f t="shared" si="152"/>
        <v>130.99370605159137</v>
      </c>
      <c r="I334" s="17">
        <f t="shared" si="153"/>
        <v>82.819532664948539</v>
      </c>
      <c r="J334" s="17">
        <v>22.000000000000004</v>
      </c>
      <c r="K334" s="17">
        <f t="shared" si="154"/>
        <v>22.000000000000004</v>
      </c>
      <c r="L334" s="17">
        <f>+Precios!E334</f>
        <v>173.82654398719086</v>
      </c>
      <c r="M334" s="44">
        <f>SUMPRODUCT(H334:L334,'Fisico SPOT MAT'!H334:L334)*24</f>
        <v>15270327.471520994</v>
      </c>
      <c r="N334" s="19">
        <f>+'Fisico SPOT MAT'!AH334</f>
        <v>16.919509491074276</v>
      </c>
      <c r="O334" s="19">
        <f t="shared" si="155"/>
        <v>13.502673796791443</v>
      </c>
      <c r="P334" s="19">
        <v>6</v>
      </c>
      <c r="Q334" s="19">
        <v>6</v>
      </c>
      <c r="R334" s="19">
        <v>0</v>
      </c>
      <c r="S334" s="44">
        <f>SUMPRODUCT(N334:R334,'Fisico SPOT MAT'!N334:R334)*E334</f>
        <v>3856631.0106773609</v>
      </c>
      <c r="T334" s="17">
        <v>80</v>
      </c>
      <c r="U334" s="17">
        <v>18</v>
      </c>
      <c r="V334" s="17">
        <v>50</v>
      </c>
      <c r="W334" s="17">
        <v>60</v>
      </c>
      <c r="X334" s="28">
        <f>SUMPRODUCT(T334:W334,'Fisico SPOT MAT'!T334:W334)*24</f>
        <v>4074199.5249999971</v>
      </c>
      <c r="Y334" s="19">
        <v>0</v>
      </c>
      <c r="Z334" s="19">
        <v>5</v>
      </c>
      <c r="AA334" s="19">
        <v>0</v>
      </c>
      <c r="AB334" s="28">
        <f>SUMPRODUCT(Y334:AA334,'Fisico SPOT MAT'!Y334:AA334)*E334</f>
        <v>99395.133333333346</v>
      </c>
      <c r="AC334" s="122">
        <f>(T334*'Fisico SPOT MAT'!T334+'Mono SPOT MAT'!V334*'Fisico SPOT MAT'!V334+'Mono SPOT MAT'!W334*'Fisico SPOT MAT'!W334)/'Fisico SPOT MAT'!AC334</f>
        <v>64.700686429319802</v>
      </c>
      <c r="AD334" s="85"/>
      <c r="AE334" s="41">
        <v>120.01518131296615</v>
      </c>
      <c r="AF334" s="42">
        <v>71.841007926323329</v>
      </c>
      <c r="AG334">
        <v>5050</v>
      </c>
      <c r="AH334" s="64">
        <f t="shared" si="156"/>
        <v>7.6285247386252157</v>
      </c>
      <c r="AI334">
        <v>2.5</v>
      </c>
      <c r="AJ334" s="41">
        <v>0.85</v>
      </c>
      <c r="AK334">
        <v>374</v>
      </c>
    </row>
    <row r="335" spans="1:37" x14ac:dyDescent="0.3">
      <c r="A335" s="3">
        <f>+'Mono ASIG'!A335</f>
        <v>1509.4685999999999</v>
      </c>
      <c r="B335" s="3">
        <f>+'Mono ASIG'!B335</f>
        <v>1498.5119999999999</v>
      </c>
      <c r="C335" s="1">
        <f>+'Mono ASIG'!C335</f>
        <v>2026</v>
      </c>
      <c r="D335" s="1">
        <f t="shared" si="151"/>
        <v>8</v>
      </c>
      <c r="E335" s="1">
        <f>+'Fisico SPOT MAT'!E335</f>
        <v>16</v>
      </c>
      <c r="F335" s="1" t="str">
        <f>+'Mono ASIG'!F335</f>
        <v>vie</v>
      </c>
      <c r="G335" s="56">
        <f>+'Mono ASIG'!G335</f>
        <v>46241</v>
      </c>
      <c r="H335" s="17">
        <f t="shared" si="152"/>
        <v>140.03204326052983</v>
      </c>
      <c r="I335" s="17">
        <f t="shared" si="153"/>
        <v>87.822562473778873</v>
      </c>
      <c r="J335" s="17">
        <v>22.139833464861248</v>
      </c>
      <c r="K335" s="17">
        <f t="shared" si="154"/>
        <v>22.139833464861248</v>
      </c>
      <c r="L335" s="17">
        <f>+Precios!E335</f>
        <v>162.40182844715292</v>
      </c>
      <c r="M335" s="44">
        <f>SUMPRODUCT(H335:L335,'Fisico SPOT MAT'!H335:L335)*24</f>
        <v>14789726.41119463</v>
      </c>
      <c r="N335" s="19">
        <f>+'Fisico SPOT MAT'!AH335</f>
        <v>16.927755168231723</v>
      </c>
      <c r="O335" s="19">
        <f t="shared" si="155"/>
        <v>13.502673796791443</v>
      </c>
      <c r="P335" s="19">
        <v>6</v>
      </c>
      <c r="Q335" s="19">
        <v>6</v>
      </c>
      <c r="R335" s="19">
        <v>0</v>
      </c>
      <c r="S335" s="44">
        <f>SUMPRODUCT(N335:R335,'Fisico SPOT MAT'!N335:R335)*E335</f>
        <v>3897451.2520213891</v>
      </c>
      <c r="T335" s="17">
        <v>80</v>
      </c>
      <c r="U335" s="17">
        <v>18</v>
      </c>
      <c r="V335" s="17">
        <v>50</v>
      </c>
      <c r="W335" s="17">
        <v>60</v>
      </c>
      <c r="X335" s="28">
        <f>SUMPRODUCT(T335:W335,'Fisico SPOT MAT'!T335:W335)*24</f>
        <v>4367547.7299999986</v>
      </c>
      <c r="Y335" s="19">
        <v>0</v>
      </c>
      <c r="Z335" s="19">
        <v>5</v>
      </c>
      <c r="AA335" s="19">
        <v>0</v>
      </c>
      <c r="AB335" s="28">
        <f>SUMPRODUCT(Y335:AA335,'Fisico SPOT MAT'!Y335:AA335)*E335</f>
        <v>100393.37000000001</v>
      </c>
      <c r="AC335" s="122">
        <f>(T335*'Fisico SPOT MAT'!T335+'Mono SPOT MAT'!V335*'Fisico SPOT MAT'!V335+'Mono SPOT MAT'!W335*'Fisico SPOT MAT'!W335)/'Fisico SPOT MAT'!AC335</f>
        <v>64.330864909292671</v>
      </c>
      <c r="AD335" s="85"/>
      <c r="AE335" s="41">
        <v>128.48200773820125</v>
      </c>
      <c r="AF335" s="42">
        <v>76.272526951450288</v>
      </c>
      <c r="AG335">
        <v>5050</v>
      </c>
      <c r="AH335" s="64">
        <f t="shared" si="156"/>
        <v>8.2000355223285855</v>
      </c>
      <c r="AI335">
        <v>2.5</v>
      </c>
      <c r="AJ335" s="41">
        <v>0.85</v>
      </c>
      <c r="AK335">
        <v>374</v>
      </c>
    </row>
    <row r="336" spans="1:37" x14ac:dyDescent="0.3">
      <c r="A336" s="3">
        <f>+'Mono ASIG'!A336</f>
        <v>1509.4685999999999</v>
      </c>
      <c r="B336" s="3">
        <f>+'Mono ASIG'!B336</f>
        <v>1498.5119999999999</v>
      </c>
      <c r="C336" s="1">
        <f>+'Mono ASIG'!C336</f>
        <v>2026</v>
      </c>
      <c r="D336" s="1">
        <f t="shared" si="151"/>
        <v>8</v>
      </c>
      <c r="E336" s="1">
        <f>+'Fisico SPOT MAT'!E336</f>
        <v>6</v>
      </c>
      <c r="F336" s="1" t="str">
        <f>+'Mono ASIG'!F336</f>
        <v>sáb</v>
      </c>
      <c r="G336" s="56">
        <f>+'Mono ASIG'!G336</f>
        <v>46242</v>
      </c>
      <c r="H336" s="17">
        <f t="shared" si="152"/>
        <v>148.91849038400844</v>
      </c>
      <c r="I336" s="17">
        <f t="shared" si="153"/>
        <v>81.898484642227217</v>
      </c>
      <c r="J336" s="17">
        <v>22.284586123372232</v>
      </c>
      <c r="K336" s="17">
        <f t="shared" si="154"/>
        <v>22.284586123372232</v>
      </c>
      <c r="L336" s="17">
        <f>+Precios!E336</f>
        <v>145.58697867173126</v>
      </c>
      <c r="M336" s="44">
        <f>SUMPRODUCT(H336:L336,'Fisico SPOT MAT'!H336:L336)*24</f>
        <v>14200195.296216127</v>
      </c>
      <c r="N336" s="19">
        <f>+'Fisico SPOT MAT'!AH336</f>
        <v>16.926434822189929</v>
      </c>
      <c r="O336" s="19">
        <f t="shared" si="155"/>
        <v>13.502673796791443</v>
      </c>
      <c r="P336" s="19">
        <v>6</v>
      </c>
      <c r="Q336" s="19">
        <v>6</v>
      </c>
      <c r="R336" s="19">
        <v>0</v>
      </c>
      <c r="S336" s="44">
        <f>SUMPRODUCT(N336:R336,'Fisico SPOT MAT'!N336:R336)*E336</f>
        <v>1459690.1425962565</v>
      </c>
      <c r="T336" s="17">
        <v>80</v>
      </c>
      <c r="U336" s="17">
        <v>18</v>
      </c>
      <c r="V336" s="17">
        <v>50</v>
      </c>
      <c r="W336" s="17">
        <v>60</v>
      </c>
      <c r="X336" s="28">
        <f>SUMPRODUCT(T336:W336,'Fisico SPOT MAT'!T336:W336)*24</f>
        <v>5040598.7199999969</v>
      </c>
      <c r="Y336" s="19">
        <v>0</v>
      </c>
      <c r="Z336" s="19">
        <v>5</v>
      </c>
      <c r="AA336" s="19">
        <v>0</v>
      </c>
      <c r="AB336" s="28">
        <f>SUMPRODUCT(Y336:AA336,'Fisico SPOT MAT'!Y336:AA336)*E336</f>
        <v>38298.000000000007</v>
      </c>
      <c r="AC336" s="122">
        <f>(T336*'Fisico SPOT MAT'!T336+'Mono SPOT MAT'!V336*'Fisico SPOT MAT'!V336+'Mono SPOT MAT'!W336*'Fisico SPOT MAT'!W336)/'Fisico SPOT MAT'!AC336</f>
        <v>63.765641775346815</v>
      </c>
      <c r="AD336" s="85"/>
      <c r="AE336" s="41">
        <v>136.80654836909457</v>
      </c>
      <c r="AF336" s="42">
        <v>69.786542627313338</v>
      </c>
      <c r="AG336">
        <v>5050</v>
      </c>
      <c r="AH336" s="64">
        <f t="shared" si="156"/>
        <v>8.7619420149138847</v>
      </c>
      <c r="AI336">
        <v>2.5</v>
      </c>
      <c r="AJ336" s="41">
        <v>0.85</v>
      </c>
      <c r="AK336">
        <v>374</v>
      </c>
    </row>
    <row r="337" spans="1:37" x14ac:dyDescent="0.3">
      <c r="A337" s="3">
        <f>+'Mono ASIG'!A337</f>
        <v>1509.4685999999999</v>
      </c>
      <c r="B337" s="3">
        <f>+'Mono ASIG'!B337</f>
        <v>1498.5119999999999</v>
      </c>
      <c r="C337" s="1">
        <f>+'Mono ASIG'!C337</f>
        <v>2026</v>
      </c>
      <c r="D337" s="1">
        <f t="shared" si="151"/>
        <v>8</v>
      </c>
      <c r="E337" s="1">
        <f>+'Fisico SPOT MAT'!E337</f>
        <v>4</v>
      </c>
      <c r="F337" s="1" t="str">
        <f>+'Mono ASIG'!F337</f>
        <v>dom</v>
      </c>
      <c r="G337" s="56">
        <f>+'Mono ASIG'!G337</f>
        <v>46243</v>
      </c>
      <c r="H337" s="17">
        <f t="shared" ref="H337:H344" si="157">+AE337+AH337+AI337+AJ337</f>
        <v>154.34032726464298</v>
      </c>
      <c r="I337" s="17">
        <f t="shared" ref="I337:I344" si="158">+AF337+AH337+AI337+AJ337</f>
        <v>12.454774791909511</v>
      </c>
      <c r="J337" s="17">
        <v>24.218233550942962</v>
      </c>
      <c r="K337" s="17">
        <f t="shared" ref="K337:K344" si="159">+J337</f>
        <v>24.218233550942962</v>
      </c>
      <c r="L337" s="17">
        <f>+Precios!E337</f>
        <v>104.60210834703581</v>
      </c>
      <c r="M337" s="44">
        <f>SUMPRODUCT(H337:L337,'Fisico SPOT MAT'!H337:L337)*24</f>
        <v>14401317.727325857</v>
      </c>
      <c r="N337" s="19">
        <f>+'Fisico SPOT MAT'!AH337</f>
        <v>16.931574001749045</v>
      </c>
      <c r="O337" s="19">
        <f t="shared" ref="O337:O344" si="160">AG337/AK337</f>
        <v>13.502673796791443</v>
      </c>
      <c r="P337" s="19">
        <v>6</v>
      </c>
      <c r="Q337" s="19">
        <v>6</v>
      </c>
      <c r="R337" s="19">
        <v>0</v>
      </c>
      <c r="S337" s="44">
        <f>SUMPRODUCT(N337:R337,'Fisico SPOT MAT'!N337:R337)*E337</f>
        <v>978654.831032085</v>
      </c>
      <c r="T337" s="17">
        <v>80</v>
      </c>
      <c r="U337" s="17">
        <v>18</v>
      </c>
      <c r="V337" s="17">
        <v>50</v>
      </c>
      <c r="W337" s="17">
        <v>60</v>
      </c>
      <c r="X337" s="28">
        <f>SUMPRODUCT(T337:W337,'Fisico SPOT MAT'!T337:W337)*24</f>
        <v>4467888.394999994</v>
      </c>
      <c r="Y337" s="19">
        <v>0</v>
      </c>
      <c r="Z337" s="19">
        <v>5</v>
      </c>
      <c r="AA337" s="19">
        <v>0</v>
      </c>
      <c r="AB337" s="28">
        <f>SUMPRODUCT(Y337:AA337,'Fisico SPOT MAT'!Y337:AA337)*E337</f>
        <v>25572.000000000004</v>
      </c>
      <c r="AC337" s="122">
        <f>(T337*'Fisico SPOT MAT'!T337+'Mono SPOT MAT'!V337*'Fisico SPOT MAT'!V337+'Mono SPOT MAT'!W337*'Fisico SPOT MAT'!W337)/'Fisico SPOT MAT'!AC337</f>
        <v>64.212482254841234</v>
      </c>
      <c r="AD337" s="85"/>
      <c r="AE337" s="41">
        <v>141.88555247273348</v>
      </c>
      <c r="AF337" s="42">
        <v>0</v>
      </c>
      <c r="AG337">
        <v>5050</v>
      </c>
      <c r="AH337" s="64">
        <f t="shared" ref="AH337:AH344" si="161">0.075*0.9*(AE337-7)</f>
        <v>9.1047747919095112</v>
      </c>
      <c r="AI337">
        <v>2.5</v>
      </c>
      <c r="AJ337" s="41">
        <v>0.85</v>
      </c>
      <c r="AK337">
        <v>374</v>
      </c>
    </row>
    <row r="338" spans="1:37" x14ac:dyDescent="0.3">
      <c r="A338" s="3">
        <f>+'Mono ASIG'!A338</f>
        <v>1509.4685999999999</v>
      </c>
      <c r="B338" s="3">
        <f>+'Mono ASIG'!B338</f>
        <v>1498.5119999999999</v>
      </c>
      <c r="C338" s="1">
        <f>+'Mono ASIG'!C338</f>
        <v>2026</v>
      </c>
      <c r="D338" s="1">
        <f t="shared" si="151"/>
        <v>8</v>
      </c>
      <c r="E338" s="1">
        <f>+'Fisico SPOT MAT'!E338</f>
        <v>16</v>
      </c>
      <c r="F338" s="1" t="str">
        <f>+'Mono ASIG'!F338</f>
        <v>lun</v>
      </c>
      <c r="G338" s="56">
        <f>+'Mono ASIG'!G338</f>
        <v>46244</v>
      </c>
      <c r="H338" s="17">
        <f t="shared" si="157"/>
        <v>174.77161925138014</v>
      </c>
      <c r="I338" s="17">
        <f t="shared" si="158"/>
        <v>82.143542787563973</v>
      </c>
      <c r="J338" s="17">
        <v>22</v>
      </c>
      <c r="K338" s="17">
        <f t="shared" si="159"/>
        <v>22</v>
      </c>
      <c r="L338" s="17">
        <f>+Precios!E338</f>
        <v>196.91493739567429</v>
      </c>
      <c r="M338" s="44">
        <f>SUMPRODUCT(H338:L338,'Fisico SPOT MAT'!H338:L338)*24</f>
        <v>22106278.346891046</v>
      </c>
      <c r="N338" s="19">
        <f>+'Fisico SPOT MAT'!AH338</f>
        <v>16.914355200040532</v>
      </c>
      <c r="O338" s="19">
        <f t="shared" si="160"/>
        <v>13.502673796791443</v>
      </c>
      <c r="P338" s="19">
        <v>6</v>
      </c>
      <c r="Q338" s="19">
        <v>6</v>
      </c>
      <c r="R338" s="19">
        <v>0</v>
      </c>
      <c r="S338" s="44">
        <f>SUMPRODUCT(N338:R338,'Fisico SPOT MAT'!N338:R338)*E338</f>
        <v>3853746.3709376086</v>
      </c>
      <c r="T338" s="17">
        <v>80</v>
      </c>
      <c r="U338" s="17">
        <v>18</v>
      </c>
      <c r="V338" s="17">
        <v>50</v>
      </c>
      <c r="W338" s="17">
        <v>60</v>
      </c>
      <c r="X338" s="28">
        <f>SUMPRODUCT(T338:W338,'Fisico SPOT MAT'!T338:W338)*24</f>
        <v>3243285.8249999993</v>
      </c>
      <c r="Y338" s="19">
        <v>0</v>
      </c>
      <c r="Z338" s="19">
        <v>5</v>
      </c>
      <c r="AA338" s="19">
        <v>0</v>
      </c>
      <c r="AB338" s="28">
        <f>SUMPRODUCT(Y338:AA338,'Fisico SPOT MAT'!Y338:AA338)*E338</f>
        <v>102288.00000000001</v>
      </c>
      <c r="AC338" s="122">
        <f>(T338*'Fisico SPOT MAT'!T338+'Mono SPOT MAT'!V338*'Fisico SPOT MAT'!V338+'Mono SPOT MAT'!W338*'Fisico SPOT MAT'!W338)/'Fisico SPOT MAT'!AC338</f>
        <v>65.770431942761306</v>
      </c>
      <c r="AD338" s="85"/>
      <c r="AE338" s="41">
        <v>161.02493606686664</v>
      </c>
      <c r="AF338" s="42">
        <v>68.396859603050473</v>
      </c>
      <c r="AG338">
        <v>5050</v>
      </c>
      <c r="AH338" s="64">
        <f t="shared" si="161"/>
        <v>10.396683184513499</v>
      </c>
      <c r="AI338">
        <v>2.5</v>
      </c>
      <c r="AJ338" s="41">
        <v>0.85</v>
      </c>
      <c r="AK338">
        <v>374</v>
      </c>
    </row>
    <row r="339" spans="1:37" x14ac:dyDescent="0.3">
      <c r="A339" s="3">
        <f>+'Mono ASIG'!A339</f>
        <v>1509.4685999999999</v>
      </c>
      <c r="B339" s="3">
        <f>+'Mono ASIG'!B339</f>
        <v>1498.5119999999999</v>
      </c>
      <c r="C339" s="1">
        <f>+'Mono ASIG'!C339</f>
        <v>2026</v>
      </c>
      <c r="D339" s="1">
        <f t="shared" si="151"/>
        <v>8</v>
      </c>
      <c r="E339" s="1">
        <f>+'Fisico SPOT MAT'!E339</f>
        <v>16</v>
      </c>
      <c r="F339" s="1" t="str">
        <f>+'Mono ASIG'!F339</f>
        <v>mar</v>
      </c>
      <c r="G339" s="56">
        <f>+'Mono ASIG'!G339</f>
        <v>46245</v>
      </c>
      <c r="H339" s="17">
        <f t="shared" si="157"/>
        <v>186.69825782046479</v>
      </c>
      <c r="I339" s="17">
        <f t="shared" si="158"/>
        <v>82.060073686182989</v>
      </c>
      <c r="J339" s="17">
        <v>22.000000000000004</v>
      </c>
      <c r="K339" s="17">
        <f t="shared" si="159"/>
        <v>22.000000000000004</v>
      </c>
      <c r="L339" s="17">
        <f>+Precios!E339</f>
        <v>206.90159276891563</v>
      </c>
      <c r="M339" s="44">
        <f>SUMPRODUCT(H339:L339,'Fisico SPOT MAT'!H339:L339)*24</f>
        <v>27390694.368642107</v>
      </c>
      <c r="N339" s="19">
        <f>+'Fisico SPOT MAT'!AH339</f>
        <v>16.908375822893454</v>
      </c>
      <c r="O339" s="19">
        <f t="shared" si="160"/>
        <v>13.502673796791443</v>
      </c>
      <c r="P339" s="19">
        <v>6</v>
      </c>
      <c r="Q339" s="19">
        <v>6</v>
      </c>
      <c r="R339" s="19">
        <v>0</v>
      </c>
      <c r="S339" s="44">
        <f>SUMPRODUCT(N339:R339,'Fisico SPOT MAT'!N339:R339)*E339</f>
        <v>3833880.580534758</v>
      </c>
      <c r="T339" s="17">
        <v>80</v>
      </c>
      <c r="U339" s="17">
        <v>18</v>
      </c>
      <c r="V339" s="17">
        <v>50</v>
      </c>
      <c r="W339" s="17">
        <v>60</v>
      </c>
      <c r="X339" s="28">
        <f>SUMPRODUCT(T339:W339,'Fisico SPOT MAT'!T339:W339)*24</f>
        <v>3110007.5049999971</v>
      </c>
      <c r="Y339" s="19">
        <v>0</v>
      </c>
      <c r="Z339" s="19">
        <v>5</v>
      </c>
      <c r="AA339" s="19">
        <v>0</v>
      </c>
      <c r="AB339" s="28">
        <f>SUMPRODUCT(Y339:AA339,'Fisico SPOT MAT'!Y339:AA339)*E339</f>
        <v>102166.40000000001</v>
      </c>
      <c r="AC339" s="122">
        <f>(T339*'Fisico SPOT MAT'!T339+'Mono SPOT MAT'!V339*'Fisico SPOT MAT'!V339+'Mono SPOT MAT'!W339*'Fisico SPOT MAT'!W339)/'Fisico SPOT MAT'!AC339</f>
        <v>66.012029361654285</v>
      </c>
      <c r="AD339" s="85"/>
      <c r="AE339" s="41">
        <v>172.19743121355015</v>
      </c>
      <c r="AF339" s="42">
        <v>67.55924707926836</v>
      </c>
      <c r="AG339">
        <v>5050</v>
      </c>
      <c r="AH339" s="64">
        <f t="shared" si="161"/>
        <v>11.150826606914636</v>
      </c>
      <c r="AI339">
        <v>2.5</v>
      </c>
      <c r="AJ339" s="41">
        <v>0.85</v>
      </c>
      <c r="AK339">
        <v>374</v>
      </c>
    </row>
    <row r="340" spans="1:37" x14ac:dyDescent="0.3">
      <c r="A340" s="3">
        <f>+'Mono ASIG'!A340</f>
        <v>1509.4685999999999</v>
      </c>
      <c r="B340" s="3">
        <f>+'Mono ASIG'!B340</f>
        <v>1498.5119999999999</v>
      </c>
      <c r="C340" s="1">
        <f>+'Mono ASIG'!C340</f>
        <v>2026</v>
      </c>
      <c r="D340" s="1">
        <f t="shared" si="151"/>
        <v>8</v>
      </c>
      <c r="E340" s="1">
        <f>+'Fisico SPOT MAT'!E340</f>
        <v>16</v>
      </c>
      <c r="F340" s="1" t="str">
        <f>+'Mono ASIG'!F340</f>
        <v>mié</v>
      </c>
      <c r="G340" s="56">
        <f>+'Mono ASIG'!G340</f>
        <v>46246</v>
      </c>
      <c r="H340" s="17">
        <f t="shared" si="157"/>
        <v>186.5065344269529</v>
      </c>
      <c r="I340" s="17">
        <f t="shared" si="158"/>
        <v>292.50488590971537</v>
      </c>
      <c r="J340" s="17">
        <v>30.008112714997662</v>
      </c>
      <c r="K340" s="17">
        <f t="shared" si="159"/>
        <v>30.008112714997662</v>
      </c>
      <c r="L340" s="17">
        <f>+Precios!E340</f>
        <v>249.19771830322347</v>
      </c>
      <c r="M340" s="44">
        <f>SUMPRODUCT(H340:L340,'Fisico SPOT MAT'!H340:L340)*24</f>
        <v>28044429.169391565</v>
      </c>
      <c r="N340" s="19">
        <f>+'Fisico SPOT MAT'!AH340</f>
        <v>16.845877934994444</v>
      </c>
      <c r="O340" s="19">
        <f t="shared" si="160"/>
        <v>13.502673796791443</v>
      </c>
      <c r="P340" s="19">
        <v>6</v>
      </c>
      <c r="Q340" s="19">
        <v>6</v>
      </c>
      <c r="R340" s="19">
        <v>0</v>
      </c>
      <c r="S340" s="44">
        <f>SUMPRODUCT(N340:R340,'Fisico SPOT MAT'!N340:R340)*E340</f>
        <v>3627471.8839928717</v>
      </c>
      <c r="T340" s="17">
        <v>80</v>
      </c>
      <c r="U340" s="17">
        <v>18</v>
      </c>
      <c r="V340" s="17">
        <v>50</v>
      </c>
      <c r="W340" s="17">
        <v>60</v>
      </c>
      <c r="X340" s="28">
        <f>SUMPRODUCT(T340:W340,'Fisico SPOT MAT'!T340:W340)*24</f>
        <v>2942050.410000002</v>
      </c>
      <c r="Y340" s="19">
        <v>0</v>
      </c>
      <c r="Z340" s="19">
        <v>5</v>
      </c>
      <c r="AA340" s="19">
        <v>0</v>
      </c>
      <c r="AB340" s="28">
        <f>SUMPRODUCT(Y340:AA340,'Fisico SPOT MAT'!Y340:AA340)*E340</f>
        <v>102166.40000000001</v>
      </c>
      <c r="AC340" s="122">
        <f>(T340*'Fisico SPOT MAT'!T340+'Mono SPOT MAT'!V340*'Fisico SPOT MAT'!V340+'Mono SPOT MAT'!W340*'Fisico SPOT MAT'!W340)/'Fisico SPOT MAT'!AC340</f>
        <v>66.374538459155403</v>
      </c>
      <c r="AD340" s="85"/>
      <c r="AE340" s="41">
        <v>172.01783084492075</v>
      </c>
      <c r="AF340" s="42">
        <v>278.01618232768317</v>
      </c>
      <c r="AG340">
        <v>5050</v>
      </c>
      <c r="AH340" s="64">
        <f t="shared" si="161"/>
        <v>11.138703582032152</v>
      </c>
      <c r="AI340">
        <v>2.5</v>
      </c>
      <c r="AJ340" s="41">
        <v>0.85</v>
      </c>
      <c r="AK340">
        <v>374</v>
      </c>
    </row>
    <row r="341" spans="1:37" x14ac:dyDescent="0.3">
      <c r="A341" s="3">
        <f>+'Mono ASIG'!A341</f>
        <v>1509.4685999999999</v>
      </c>
      <c r="B341" s="3">
        <f>+'Mono ASIG'!B341</f>
        <v>1498.5119999999999</v>
      </c>
      <c r="C341" s="1">
        <f>+'Mono ASIG'!C341</f>
        <v>2026</v>
      </c>
      <c r="D341" s="1">
        <f t="shared" si="151"/>
        <v>8</v>
      </c>
      <c r="E341" s="1">
        <f>+'Fisico SPOT MAT'!E341</f>
        <v>16</v>
      </c>
      <c r="F341" s="1" t="str">
        <f>+'Mono ASIG'!F341</f>
        <v>jue</v>
      </c>
      <c r="G341" s="56">
        <f>+'Mono ASIG'!G341</f>
        <v>46247</v>
      </c>
      <c r="H341" s="17">
        <f t="shared" si="157"/>
        <v>184.4285291524485</v>
      </c>
      <c r="I341" s="17">
        <f t="shared" si="158"/>
        <v>82.924032275460746</v>
      </c>
      <c r="J341" s="17">
        <v>27.825535417655171</v>
      </c>
      <c r="K341" s="17">
        <f t="shared" si="159"/>
        <v>27.825535417655171</v>
      </c>
      <c r="L341" s="17">
        <f>+Precios!E341</f>
        <v>200.53736556664208</v>
      </c>
      <c r="M341" s="44">
        <f>SUMPRODUCT(H341:L341,'Fisico SPOT MAT'!H341:L341)*24</f>
        <v>25957960.330928754</v>
      </c>
      <c r="N341" s="19">
        <f>+'Fisico SPOT MAT'!AH341</f>
        <v>16.911807611616076</v>
      </c>
      <c r="O341" s="19">
        <f t="shared" si="160"/>
        <v>13.502673796791443</v>
      </c>
      <c r="P341" s="19">
        <v>6</v>
      </c>
      <c r="Q341" s="19">
        <v>6</v>
      </c>
      <c r="R341" s="19">
        <v>0</v>
      </c>
      <c r="S341" s="44">
        <f>SUMPRODUCT(N341:R341,'Fisico SPOT MAT'!N341:R341)*E341</f>
        <v>3841861.5505882343</v>
      </c>
      <c r="T341" s="17">
        <v>80</v>
      </c>
      <c r="U341" s="17">
        <v>18</v>
      </c>
      <c r="V341" s="17">
        <v>50</v>
      </c>
      <c r="W341" s="17">
        <v>60</v>
      </c>
      <c r="X341" s="28">
        <f>SUMPRODUCT(T341:W341,'Fisico SPOT MAT'!T341:W341)*24</f>
        <v>3595961.9400000013</v>
      </c>
      <c r="Y341" s="19">
        <v>0</v>
      </c>
      <c r="Z341" s="19">
        <v>5</v>
      </c>
      <c r="AA341" s="19">
        <v>0</v>
      </c>
      <c r="AB341" s="28">
        <f>SUMPRODUCT(Y341:AA341,'Fisico SPOT MAT'!Y341:AA341)*E341</f>
        <v>101926.40000000001</v>
      </c>
      <c r="AC341" s="122">
        <f>(T341*'Fisico SPOT MAT'!T341+'Mono SPOT MAT'!V341*'Fisico SPOT MAT'!V341+'Mono SPOT MAT'!W341*'Fisico SPOT MAT'!W341)/'Fisico SPOT MAT'!AC341</f>
        <v>65.059301780337705</v>
      </c>
      <c r="AD341" s="85"/>
      <c r="AE341" s="41">
        <v>170.07122168847636</v>
      </c>
      <c r="AF341" s="42">
        <v>68.566724811488598</v>
      </c>
      <c r="AG341">
        <v>5050</v>
      </c>
      <c r="AH341" s="64">
        <f t="shared" si="161"/>
        <v>11.007307463972154</v>
      </c>
      <c r="AI341">
        <v>2.5</v>
      </c>
      <c r="AJ341" s="41">
        <v>0.85</v>
      </c>
      <c r="AK341">
        <v>374</v>
      </c>
    </row>
    <row r="342" spans="1:37" x14ac:dyDescent="0.3">
      <c r="A342" s="3">
        <f>+'Mono ASIG'!A342</f>
        <v>1509.4685999999999</v>
      </c>
      <c r="B342" s="3">
        <f>+'Mono ASIG'!B342</f>
        <v>1498.5119999999999</v>
      </c>
      <c r="C342" s="1">
        <f>+'Mono ASIG'!C342</f>
        <v>2026</v>
      </c>
      <c r="D342" s="1">
        <f t="shared" si="151"/>
        <v>8</v>
      </c>
      <c r="E342" s="1">
        <f>+'Fisico SPOT MAT'!E342</f>
        <v>16</v>
      </c>
      <c r="F342" s="1" t="str">
        <f>+'Mono ASIG'!F342</f>
        <v>vie</v>
      </c>
      <c r="G342" s="56">
        <f>+'Mono ASIG'!G342</f>
        <v>46248</v>
      </c>
      <c r="H342" s="17">
        <f t="shared" si="157"/>
        <v>185.28565740717244</v>
      </c>
      <c r="I342" s="17">
        <f t="shared" si="158"/>
        <v>14.411505269305986</v>
      </c>
      <c r="J342" s="17">
        <v>23.45106292794755</v>
      </c>
      <c r="K342" s="17">
        <f t="shared" si="159"/>
        <v>23.45106292794755</v>
      </c>
      <c r="L342" s="17">
        <f>+Precios!E342</f>
        <v>170.41948223749071</v>
      </c>
      <c r="M342" s="44">
        <f>SUMPRODUCT(H342:L342,'Fisico SPOT MAT'!H342:L342)*24</f>
        <v>23765424.78152252</v>
      </c>
      <c r="N342" s="19">
        <f>+'Fisico SPOT MAT'!AH342</f>
        <v>16.868797045654002</v>
      </c>
      <c r="O342" s="19">
        <f t="shared" si="160"/>
        <v>13.502673796791443</v>
      </c>
      <c r="P342" s="19">
        <v>6</v>
      </c>
      <c r="Q342" s="19">
        <v>6</v>
      </c>
      <c r="R342" s="19">
        <v>0</v>
      </c>
      <c r="S342" s="44">
        <f>SUMPRODUCT(N342:R342,'Fisico SPOT MAT'!N342:R342)*E342</f>
        <v>3698148.8147165766</v>
      </c>
      <c r="T342" s="17">
        <v>80</v>
      </c>
      <c r="U342" s="17">
        <v>18</v>
      </c>
      <c r="V342" s="17">
        <v>50</v>
      </c>
      <c r="W342" s="17">
        <v>60</v>
      </c>
      <c r="X342" s="28">
        <f>SUMPRODUCT(T342:W342,'Fisico SPOT MAT'!T342:W342)*24</f>
        <v>4603146.41</v>
      </c>
      <c r="Y342" s="19">
        <v>0</v>
      </c>
      <c r="Z342" s="19">
        <v>5</v>
      </c>
      <c r="AA342" s="19">
        <v>0</v>
      </c>
      <c r="AB342" s="28">
        <f>SUMPRODUCT(Y342:AA342,'Fisico SPOT MAT'!Y342:AA342)*E342</f>
        <v>103158.20000000001</v>
      </c>
      <c r="AC342" s="122">
        <f>(T342*'Fisico SPOT MAT'!T342+'Mono SPOT MAT'!V342*'Fisico SPOT MAT'!V342+'Mono SPOT MAT'!W342*'Fisico SPOT MAT'!W342)/'Fisico SPOT MAT'!AC342</f>
        <v>63.910058067040474</v>
      </c>
      <c r="AD342" s="85"/>
      <c r="AE342" s="41">
        <v>170.87415213786645</v>
      </c>
      <c r="AF342" s="42">
        <v>0</v>
      </c>
      <c r="AG342">
        <v>5050</v>
      </c>
      <c r="AH342" s="64">
        <f t="shared" si="161"/>
        <v>11.061505269305986</v>
      </c>
      <c r="AI342">
        <v>2.5</v>
      </c>
      <c r="AJ342" s="41">
        <v>0.85</v>
      </c>
      <c r="AK342">
        <v>374</v>
      </c>
    </row>
    <row r="343" spans="1:37" x14ac:dyDescent="0.3">
      <c r="A343" s="3">
        <f>+'Mono ASIG'!A343</f>
        <v>1509.4685999999999</v>
      </c>
      <c r="B343" s="3">
        <f>+'Mono ASIG'!B343</f>
        <v>1498.5119999999999</v>
      </c>
      <c r="C343" s="1">
        <f>+'Mono ASIG'!C343</f>
        <v>2026</v>
      </c>
      <c r="D343" s="1">
        <f t="shared" si="151"/>
        <v>8</v>
      </c>
      <c r="E343" s="1">
        <f>+'Fisico SPOT MAT'!E343</f>
        <v>6</v>
      </c>
      <c r="F343" s="1" t="str">
        <f>+'Mono ASIG'!F343</f>
        <v>sáb</v>
      </c>
      <c r="G343" s="56">
        <f>+'Mono ASIG'!G343</f>
        <v>46249</v>
      </c>
      <c r="H343" s="17">
        <f t="shared" si="157"/>
        <v>150.34437713897196</v>
      </c>
      <c r="I343" s="17">
        <f t="shared" si="158"/>
        <v>12.202103472487689</v>
      </c>
      <c r="J343" s="17">
        <v>21.999999999999996</v>
      </c>
      <c r="K343" s="17">
        <f t="shared" si="159"/>
        <v>21.999999999999996</v>
      </c>
      <c r="L343" s="17">
        <f>+Precios!E343</f>
        <v>124.56049095146834</v>
      </c>
      <c r="M343" s="44">
        <f>SUMPRODUCT(H343:L343,'Fisico SPOT MAT'!H343:L343)*24</f>
        <v>16253956.985689651</v>
      </c>
      <c r="N343" s="19">
        <f>+'Fisico SPOT MAT'!AH343</f>
        <v>16.85257691387606</v>
      </c>
      <c r="O343" s="19">
        <f t="shared" si="160"/>
        <v>13.502673796791443</v>
      </c>
      <c r="P343" s="19">
        <v>6</v>
      </c>
      <c r="Q343" s="19">
        <v>6</v>
      </c>
      <c r="R343" s="19">
        <v>0</v>
      </c>
      <c r="S343" s="44">
        <f>SUMPRODUCT(N343:R343,'Fisico SPOT MAT'!N343:R343)*E343</f>
        <v>1367587.1650187164</v>
      </c>
      <c r="T343" s="17">
        <v>80</v>
      </c>
      <c r="U343" s="17">
        <v>18</v>
      </c>
      <c r="V343" s="17">
        <v>50</v>
      </c>
      <c r="W343" s="17">
        <v>60</v>
      </c>
      <c r="X343" s="28">
        <f>SUMPRODUCT(T343:W343,'Fisico SPOT MAT'!T343:W343)*24</f>
        <v>3585328.0100000021</v>
      </c>
      <c r="Y343" s="19">
        <v>0</v>
      </c>
      <c r="Z343" s="19">
        <v>5</v>
      </c>
      <c r="AA343" s="19">
        <v>0</v>
      </c>
      <c r="AB343" s="28">
        <f>SUMPRODUCT(Y343:AA343,'Fisico SPOT MAT'!Y343:AA343)*E343</f>
        <v>39197.105000000003</v>
      </c>
      <c r="AC343" s="122">
        <f>(T343*'Fisico SPOT MAT'!T343+'Mono SPOT MAT'!V343*'Fisico SPOT MAT'!V343+'Mono SPOT MAT'!W343*'Fisico SPOT MAT'!W343)/'Fisico SPOT MAT'!AC343</f>
        <v>65.264652839128587</v>
      </c>
      <c r="AD343" s="85"/>
      <c r="AE343" s="41">
        <v>138.14227366648427</v>
      </c>
      <c r="AF343" s="42">
        <v>0</v>
      </c>
      <c r="AG343">
        <v>5050</v>
      </c>
      <c r="AH343" s="64">
        <f t="shared" si="161"/>
        <v>8.8521034724876895</v>
      </c>
      <c r="AI343">
        <v>2.5</v>
      </c>
      <c r="AJ343" s="41">
        <v>0.85</v>
      </c>
      <c r="AK343">
        <v>374</v>
      </c>
    </row>
    <row r="344" spans="1:37" x14ac:dyDescent="0.3">
      <c r="A344" s="3">
        <f>+'Mono ASIG'!A344</f>
        <v>1509.4685999999999</v>
      </c>
      <c r="B344" s="3">
        <f>+'Mono ASIG'!B344</f>
        <v>1498.5119999999999</v>
      </c>
      <c r="C344" s="1">
        <f>+'Mono ASIG'!C344</f>
        <v>2026</v>
      </c>
      <c r="D344" s="1">
        <f t="shared" si="151"/>
        <v>8</v>
      </c>
      <c r="E344" s="1">
        <f>+'Fisico SPOT MAT'!E344</f>
        <v>4</v>
      </c>
      <c r="F344" s="1" t="str">
        <f>+'Mono ASIG'!F344</f>
        <v>dom</v>
      </c>
      <c r="G344" s="56">
        <f>+'Mono ASIG'!G344</f>
        <v>46250</v>
      </c>
      <c r="H344" s="17">
        <f t="shared" si="157"/>
        <v>109.01941063855008</v>
      </c>
      <c r="I344" s="17">
        <f t="shared" si="158"/>
        <v>9.589049384638999</v>
      </c>
      <c r="J344" s="17">
        <v>21.999999999999996</v>
      </c>
      <c r="K344" s="17">
        <f t="shared" si="159"/>
        <v>21.999999999999996</v>
      </c>
      <c r="L344" s="17">
        <f>+Precios!E344</f>
        <v>136.97928178085999</v>
      </c>
      <c r="M344" s="44">
        <f>SUMPRODUCT(H344:L344,'Fisico SPOT MAT'!H344:L344)*24</f>
        <v>9128709.5408454277</v>
      </c>
      <c r="N344" s="19">
        <f>+'Fisico SPOT MAT'!AH344</f>
        <v>16.830852554800124</v>
      </c>
      <c r="O344" s="19">
        <f t="shared" si="160"/>
        <v>13.502673796791443</v>
      </c>
      <c r="P344" s="19">
        <v>6</v>
      </c>
      <c r="Q344" s="19">
        <v>6</v>
      </c>
      <c r="R344" s="19">
        <v>0</v>
      </c>
      <c r="S344" s="44">
        <f>SUMPRODUCT(N344:R344,'Fisico SPOT MAT'!N344:R344)*E344</f>
        <v>895126.83867914404</v>
      </c>
      <c r="T344" s="17">
        <v>80</v>
      </c>
      <c r="U344" s="17">
        <v>18</v>
      </c>
      <c r="V344" s="17">
        <v>50</v>
      </c>
      <c r="W344" s="17">
        <v>60</v>
      </c>
      <c r="X344" s="28">
        <f>SUMPRODUCT(T344:W344,'Fisico SPOT MAT'!T344:W344)*24</f>
        <v>3241159.7599999993</v>
      </c>
      <c r="Y344" s="19">
        <v>0</v>
      </c>
      <c r="Z344" s="19">
        <v>5</v>
      </c>
      <c r="AA344" s="19">
        <v>0</v>
      </c>
      <c r="AB344" s="28">
        <f>SUMPRODUCT(Y344:AA344,'Fisico SPOT MAT'!Y344:AA344)*E344</f>
        <v>26131.000000000004</v>
      </c>
      <c r="AC344" s="122">
        <f>(T344*'Fisico SPOT MAT'!T344+'Mono SPOT MAT'!V344*'Fisico SPOT MAT'!V344+'Mono SPOT MAT'!W344*'Fisico SPOT MAT'!W344)/'Fisico SPOT MAT'!AC344</f>
        <v>65.827978069435602</v>
      </c>
      <c r="AD344" s="85"/>
      <c r="AE344" s="41">
        <v>99.430361253911087</v>
      </c>
      <c r="AF344" s="42">
        <v>0</v>
      </c>
      <c r="AG344">
        <v>5050</v>
      </c>
      <c r="AH344" s="64">
        <f t="shared" si="161"/>
        <v>6.2390493846389985</v>
      </c>
      <c r="AI344">
        <v>2.5</v>
      </c>
      <c r="AJ344" s="41">
        <v>0.85</v>
      </c>
      <c r="AK344">
        <v>374</v>
      </c>
    </row>
    <row r="345" spans="1:37" x14ac:dyDescent="0.3">
      <c r="A345" s="3">
        <f>+'Mono ASIG'!A345</f>
        <v>1509.4685999999999</v>
      </c>
      <c r="B345" s="3">
        <f>+'Mono ASIG'!B345</f>
        <v>1498.0940000000001</v>
      </c>
      <c r="C345" s="1">
        <f>+'Mono ASIG'!C345</f>
        <v>2026</v>
      </c>
      <c r="D345" s="1">
        <f t="shared" ref="D345:D350" si="162">MONTH(G345)</f>
        <v>8</v>
      </c>
      <c r="E345" s="1">
        <f>+'Fisico SPOT MAT'!E345</f>
        <v>4</v>
      </c>
      <c r="F345" s="1" t="str">
        <f>+'Mono ASIG'!F345</f>
        <v>lun</v>
      </c>
      <c r="G345" s="56">
        <f>+'Mono ASIG'!G345</f>
        <v>46251</v>
      </c>
      <c r="H345" s="17">
        <f t="shared" ref="H345:H350" si="163">+AE345+AH345+AI345+AJ345</f>
        <v>101.41097514124512</v>
      </c>
      <c r="I345" s="17">
        <f t="shared" ref="I345:I350" si="164">+AF345+AH345+AI345+AJ345</f>
        <v>84.241651263136646</v>
      </c>
      <c r="J345" s="17">
        <v>22.765648713333306</v>
      </c>
      <c r="K345" s="17">
        <f t="shared" ref="K345:K350" si="165">+J345</f>
        <v>22.765648713333306</v>
      </c>
      <c r="L345" s="17">
        <f>+Precios!E345</f>
        <v>142.99282844289698</v>
      </c>
      <c r="M345" s="44">
        <f>SUMPRODUCT(H345:L345,'Fisico SPOT MAT'!H345:L345)*24</f>
        <v>9190260.7559915911</v>
      </c>
      <c r="N345" s="19">
        <f>+'Fisico SPOT MAT'!AH345</f>
        <v>16.845562084947879</v>
      </c>
      <c r="O345" s="19">
        <f t="shared" ref="O345:O350" si="166">AG345/AK345</f>
        <v>13.502673796791443</v>
      </c>
      <c r="P345" s="19">
        <v>6</v>
      </c>
      <c r="Q345" s="19">
        <v>6</v>
      </c>
      <c r="R345" s="19">
        <v>0</v>
      </c>
      <c r="S345" s="44">
        <f>SUMPRODUCT(N345:R345,'Fisico SPOT MAT'!N345:R345)*E345</f>
        <v>906470.38926737965</v>
      </c>
      <c r="T345" s="17">
        <v>80</v>
      </c>
      <c r="U345" s="17">
        <v>18</v>
      </c>
      <c r="V345" s="17">
        <v>50</v>
      </c>
      <c r="W345" s="17">
        <v>60</v>
      </c>
      <c r="X345" s="28">
        <f>SUMPRODUCT(T345:W345,'Fisico SPOT MAT'!T345:W345)*24</f>
        <v>3390973.1399999997</v>
      </c>
      <c r="Y345" s="19">
        <v>0</v>
      </c>
      <c r="Z345" s="19">
        <v>5</v>
      </c>
      <c r="AA345" s="19">
        <v>0</v>
      </c>
      <c r="AB345" s="28">
        <f>SUMPRODUCT(Y345:AA345,'Fisico SPOT MAT'!Y345:AA345)*E345</f>
        <v>26111.000000000004</v>
      </c>
      <c r="AC345" s="122">
        <f>(T345*'Fisico SPOT MAT'!T345+'Mono SPOT MAT'!V345*'Fisico SPOT MAT'!V345+'Mono SPOT MAT'!W345*'Fisico SPOT MAT'!W345)/'Fisico SPOT MAT'!AC345</f>
        <v>65.458507766257156</v>
      </c>
      <c r="AD345" s="85"/>
      <c r="AE345" s="41">
        <v>92.303021209597304</v>
      </c>
      <c r="AF345" s="42">
        <v>75.133697331488833</v>
      </c>
      <c r="AG345">
        <v>5050</v>
      </c>
      <c r="AH345" s="64">
        <f t="shared" ref="AH345:AH350" si="167">0.075*0.9*(AE345-7)</f>
        <v>5.7579539316478181</v>
      </c>
      <c r="AI345">
        <v>2.5</v>
      </c>
      <c r="AJ345" s="41">
        <v>0.85</v>
      </c>
      <c r="AK345">
        <v>374</v>
      </c>
    </row>
    <row r="346" spans="1:37" x14ac:dyDescent="0.3">
      <c r="A346" s="3">
        <f>+'Mono ASIG'!A346</f>
        <v>1509.4685999999999</v>
      </c>
      <c r="B346" s="3">
        <f>+'Mono ASIG'!B346</f>
        <v>1498.0940000000001</v>
      </c>
      <c r="C346" s="1">
        <f>+'Mono ASIG'!C346</f>
        <v>2026</v>
      </c>
      <c r="D346" s="1">
        <f t="shared" si="162"/>
        <v>8</v>
      </c>
      <c r="E346" s="1">
        <f>+'Fisico SPOT MAT'!E346</f>
        <v>16</v>
      </c>
      <c r="F346" s="1" t="str">
        <f>+'Mono ASIG'!F346</f>
        <v>mar</v>
      </c>
      <c r="G346" s="56">
        <f>+'Mono ASIG'!G346</f>
        <v>46252</v>
      </c>
      <c r="H346" s="17">
        <f t="shared" si="163"/>
        <v>137.58144023409591</v>
      </c>
      <c r="I346" s="17">
        <f t="shared" si="164"/>
        <v>338.10353992322496</v>
      </c>
      <c r="J346" s="17">
        <v>24.084351958285108</v>
      </c>
      <c r="K346" s="17">
        <f t="shared" si="165"/>
        <v>24.084351958285108</v>
      </c>
      <c r="L346" s="17">
        <f>+Precios!E346</f>
        <v>239.87727210931578</v>
      </c>
      <c r="M346" s="44">
        <f>SUMPRODUCT(H346:L346,'Fisico SPOT MAT'!H346:L346)*24</f>
        <v>16353395.901847372</v>
      </c>
      <c r="N346" s="19">
        <f>+'Fisico SPOT MAT'!AH346</f>
        <v>16.852590601418221</v>
      </c>
      <c r="O346" s="19">
        <f t="shared" si="166"/>
        <v>13.502673796791443</v>
      </c>
      <c r="P346" s="19">
        <v>6</v>
      </c>
      <c r="Q346" s="19">
        <v>6</v>
      </c>
      <c r="R346" s="19">
        <v>0</v>
      </c>
      <c r="S346" s="44">
        <f>SUMPRODUCT(N346:R346,'Fisico SPOT MAT'!N346:R346)*E346</f>
        <v>3615365.4096149723</v>
      </c>
      <c r="T346" s="17">
        <v>80</v>
      </c>
      <c r="U346" s="17">
        <v>18</v>
      </c>
      <c r="V346" s="17">
        <v>50</v>
      </c>
      <c r="W346" s="17">
        <v>60</v>
      </c>
      <c r="X346" s="28">
        <f>SUMPRODUCT(T346:W346,'Fisico SPOT MAT'!T346:W346)*24</f>
        <v>3300707.7649999978</v>
      </c>
      <c r="Y346" s="19">
        <v>0</v>
      </c>
      <c r="Z346" s="19">
        <v>5</v>
      </c>
      <c r="AA346" s="19">
        <v>0</v>
      </c>
      <c r="AB346" s="28">
        <f>SUMPRODUCT(Y346:AA346,'Fisico SPOT MAT'!Y346:AA346)*E346</f>
        <v>104419.79166666669</v>
      </c>
      <c r="AC346" s="122">
        <f>(T346*'Fisico SPOT MAT'!T346+'Mono SPOT MAT'!V346*'Fisico SPOT MAT'!V346+'Mono SPOT MAT'!W346*'Fisico SPOT MAT'!W346)/'Fisico SPOT MAT'!AC346</f>
        <v>65.679599248469927</v>
      </c>
      <c r="AD346" s="85"/>
      <c r="AE346" s="41">
        <v>126.18636087503131</v>
      </c>
      <c r="AF346" s="42">
        <v>326.7084605641603</v>
      </c>
      <c r="AG346">
        <v>5050</v>
      </c>
      <c r="AH346" s="64">
        <f t="shared" si="167"/>
        <v>8.0450793590646139</v>
      </c>
      <c r="AI346">
        <v>2.5</v>
      </c>
      <c r="AJ346" s="41">
        <v>0.85</v>
      </c>
      <c r="AK346">
        <v>374</v>
      </c>
    </row>
    <row r="347" spans="1:37" x14ac:dyDescent="0.3">
      <c r="A347" s="3">
        <f>+'Mono ASIG'!A347</f>
        <v>1509.4685999999999</v>
      </c>
      <c r="B347" s="3">
        <f>+'Mono ASIG'!B347</f>
        <v>1498.0940000000001</v>
      </c>
      <c r="C347" s="1">
        <f>+'Mono ASIG'!C347</f>
        <v>2026</v>
      </c>
      <c r="D347" s="1">
        <f t="shared" si="162"/>
        <v>8</v>
      </c>
      <c r="E347" s="1">
        <f>+'Fisico SPOT MAT'!E347</f>
        <v>16</v>
      </c>
      <c r="F347" s="1" t="str">
        <f>+'Mono ASIG'!F347</f>
        <v>mié</v>
      </c>
      <c r="G347" s="56">
        <f>+'Mono ASIG'!G347</f>
        <v>46253</v>
      </c>
      <c r="H347" s="17">
        <f t="shared" si="163"/>
        <v>143.46477774198763</v>
      </c>
      <c r="I347" s="17">
        <f t="shared" si="164"/>
        <v>245.65100748733795</v>
      </c>
      <c r="J347" s="17">
        <v>22.305302737723167</v>
      </c>
      <c r="K347" s="17">
        <f t="shared" si="165"/>
        <v>22.305302737723167</v>
      </c>
      <c r="L347" s="17">
        <f>+Precios!E347</f>
        <v>163.78279333606571</v>
      </c>
      <c r="M347" s="44">
        <f>SUMPRODUCT(H347:L347,'Fisico SPOT MAT'!H347:L347)*24</f>
        <v>18176371.847391542</v>
      </c>
      <c r="N347" s="19">
        <f>+'Fisico SPOT MAT'!AH347</f>
        <v>16.863215466890367</v>
      </c>
      <c r="O347" s="19">
        <f t="shared" si="166"/>
        <v>13.502673796791443</v>
      </c>
      <c r="P347" s="19">
        <v>6</v>
      </c>
      <c r="Q347" s="19">
        <v>6</v>
      </c>
      <c r="R347" s="19">
        <v>0</v>
      </c>
      <c r="S347" s="44">
        <f>SUMPRODUCT(N347:R347,'Fisico SPOT MAT'!N347:R347)*E347</f>
        <v>3662806.7155115828</v>
      </c>
      <c r="T347" s="17">
        <v>80</v>
      </c>
      <c r="U347" s="17">
        <v>18</v>
      </c>
      <c r="V347" s="17">
        <v>50</v>
      </c>
      <c r="W347" s="17">
        <v>60</v>
      </c>
      <c r="X347" s="28">
        <f>SUMPRODUCT(T347:W347,'Fisico SPOT MAT'!T347:W347)*24</f>
        <v>4025044.7099999995</v>
      </c>
      <c r="Y347" s="19">
        <v>0</v>
      </c>
      <c r="Z347" s="19">
        <v>5</v>
      </c>
      <c r="AA347" s="19">
        <v>0</v>
      </c>
      <c r="AB347" s="28">
        <f>SUMPRODUCT(Y347:AA347,'Fisico SPOT MAT'!Y347:AA347)*E347</f>
        <v>103815.6466666667</v>
      </c>
      <c r="AC347" s="122">
        <f>(T347*'Fisico SPOT MAT'!T347+'Mono SPOT MAT'!V347*'Fisico SPOT MAT'!V347+'Mono SPOT MAT'!W347*'Fisico SPOT MAT'!W347)/'Fisico SPOT MAT'!AC347</f>
        <v>64.597847938666149</v>
      </c>
      <c r="AD347" s="85"/>
      <c r="AE347" s="41">
        <v>131.69768406743572</v>
      </c>
      <c r="AF347" s="42">
        <v>233.88391381278603</v>
      </c>
      <c r="AG347">
        <v>5050</v>
      </c>
      <c r="AH347" s="64">
        <f t="shared" si="167"/>
        <v>8.4170936745519107</v>
      </c>
      <c r="AI347">
        <v>2.5</v>
      </c>
      <c r="AJ347" s="41">
        <v>0.85</v>
      </c>
      <c r="AK347">
        <v>374</v>
      </c>
    </row>
    <row r="348" spans="1:37" x14ac:dyDescent="0.3">
      <c r="A348" s="3">
        <f>+'Mono ASIG'!A348</f>
        <v>1509.4685999999999</v>
      </c>
      <c r="B348" s="3">
        <f>+'Mono ASIG'!B348</f>
        <v>1498.0940000000001</v>
      </c>
      <c r="C348" s="1">
        <f>+'Mono ASIG'!C348</f>
        <v>2026</v>
      </c>
      <c r="D348" s="1">
        <f t="shared" si="162"/>
        <v>8</v>
      </c>
      <c r="E348" s="1">
        <f>+'Fisico SPOT MAT'!E348</f>
        <v>16</v>
      </c>
      <c r="F348" s="1" t="str">
        <f>+'Mono ASIG'!F348</f>
        <v>jue</v>
      </c>
      <c r="G348" s="56">
        <f>+'Mono ASIG'!G348</f>
        <v>46254</v>
      </c>
      <c r="H348" s="17">
        <f t="shared" si="163"/>
        <v>138.09686112016459</v>
      </c>
      <c r="I348" s="17">
        <f t="shared" si="164"/>
        <v>64.767961544412074</v>
      </c>
      <c r="J348" s="17">
        <v>22.00148527746531</v>
      </c>
      <c r="K348" s="17">
        <f t="shared" si="165"/>
        <v>22.00148527746531</v>
      </c>
      <c r="L348" s="17">
        <f>+Precios!E348</f>
        <v>112.57126027027232</v>
      </c>
      <c r="M348" s="44">
        <f>SUMPRODUCT(H348:L348,'Fisico SPOT MAT'!H348:L348)*24</f>
        <v>15178020.310748652</v>
      </c>
      <c r="N348" s="19">
        <f>+'Fisico SPOT MAT'!AH348</f>
        <v>16.859679564810431</v>
      </c>
      <c r="O348" s="19">
        <f t="shared" si="166"/>
        <v>13.502673796791443</v>
      </c>
      <c r="P348" s="19">
        <v>6</v>
      </c>
      <c r="Q348" s="19">
        <v>6</v>
      </c>
      <c r="R348" s="19">
        <v>0</v>
      </c>
      <c r="S348" s="44">
        <f>SUMPRODUCT(N348:R348,'Fisico SPOT MAT'!N348:R348)*E348</f>
        <v>3649720.1391657735</v>
      </c>
      <c r="T348" s="17">
        <v>80</v>
      </c>
      <c r="U348" s="17">
        <v>18</v>
      </c>
      <c r="V348" s="17">
        <v>50</v>
      </c>
      <c r="W348" s="17">
        <v>60</v>
      </c>
      <c r="X348" s="28">
        <f>SUMPRODUCT(T348:W348,'Fisico SPOT MAT'!T348:W348)*24</f>
        <v>4721457.8249999974</v>
      </c>
      <c r="Y348" s="19">
        <v>0</v>
      </c>
      <c r="Z348" s="19">
        <v>5</v>
      </c>
      <c r="AA348" s="19">
        <v>0</v>
      </c>
      <c r="AB348" s="28">
        <f>SUMPRODUCT(Y348:AA348,'Fisico SPOT MAT'!Y348:AA348)*E348</f>
        <v>103723.32333333336</v>
      </c>
      <c r="AC348" s="122">
        <f>(T348*'Fisico SPOT MAT'!T348+'Mono SPOT MAT'!V348*'Fisico SPOT MAT'!V348+'Mono SPOT MAT'!W348*'Fisico SPOT MAT'!W348)/'Fisico SPOT MAT'!AC348</f>
        <v>63.840531479222435</v>
      </c>
      <c r="AD348" s="85"/>
      <c r="AE348" s="41">
        <v>126.66919074488486</v>
      </c>
      <c r="AF348" s="42">
        <v>53.34029116913235</v>
      </c>
      <c r="AG348">
        <v>5050</v>
      </c>
      <c r="AH348" s="64">
        <f t="shared" si="167"/>
        <v>8.0776703752797285</v>
      </c>
      <c r="AI348">
        <v>2.5</v>
      </c>
      <c r="AJ348" s="41">
        <v>0.85</v>
      </c>
      <c r="AK348">
        <v>374</v>
      </c>
    </row>
    <row r="349" spans="1:37" x14ac:dyDescent="0.3">
      <c r="A349" s="3">
        <f>+'Mono ASIG'!A349</f>
        <v>1509.4685999999999</v>
      </c>
      <c r="B349" s="3">
        <f>+'Mono ASIG'!B349</f>
        <v>1498.0940000000001</v>
      </c>
      <c r="C349" s="1">
        <f>+'Mono ASIG'!C349</f>
        <v>2026</v>
      </c>
      <c r="D349" s="1">
        <f t="shared" si="162"/>
        <v>8</v>
      </c>
      <c r="E349" s="1">
        <f>+'Fisico SPOT MAT'!E349</f>
        <v>16</v>
      </c>
      <c r="F349" s="1" t="str">
        <f>+'Mono ASIG'!F349</f>
        <v>vie</v>
      </c>
      <c r="G349" s="56">
        <f>+'Mono ASIG'!G349</f>
        <v>46255</v>
      </c>
      <c r="H349" s="17">
        <f t="shared" si="163"/>
        <v>146.97153861842673</v>
      </c>
      <c r="I349" s="17">
        <f t="shared" si="164"/>
        <v>79.332480757331382</v>
      </c>
      <c r="J349" s="17">
        <v>21.999999999999996</v>
      </c>
      <c r="K349" s="17">
        <f t="shared" si="165"/>
        <v>21.999999999999996</v>
      </c>
      <c r="L349" s="17">
        <f>+Precios!E349</f>
        <v>130.1169168957355</v>
      </c>
      <c r="M349" s="44">
        <f>SUMPRODUCT(H349:L349,'Fisico SPOT MAT'!H349:L349)*24</f>
        <v>17332349.273813486</v>
      </c>
      <c r="N349" s="19">
        <f>+'Fisico SPOT MAT'!AH349</f>
        <v>16.872497270593527</v>
      </c>
      <c r="O349" s="19">
        <f t="shared" si="166"/>
        <v>13.502673796791443</v>
      </c>
      <c r="P349" s="19">
        <v>6</v>
      </c>
      <c r="Q349" s="19">
        <v>6</v>
      </c>
      <c r="R349" s="19">
        <v>0</v>
      </c>
      <c r="S349" s="44">
        <f>SUMPRODUCT(N349:R349,'Fisico SPOT MAT'!N349:R349)*E349</f>
        <v>3690869.1383957202</v>
      </c>
      <c r="T349" s="17">
        <v>80</v>
      </c>
      <c r="U349" s="17">
        <v>18</v>
      </c>
      <c r="V349" s="17">
        <v>50</v>
      </c>
      <c r="W349" s="17">
        <v>60</v>
      </c>
      <c r="X349" s="28">
        <f>SUMPRODUCT(T349:W349,'Fisico SPOT MAT'!T349:W349)*24</f>
        <v>4313189.6750000035</v>
      </c>
      <c r="Y349" s="19">
        <v>0</v>
      </c>
      <c r="Z349" s="19">
        <v>5</v>
      </c>
      <c r="AA349" s="19">
        <v>0</v>
      </c>
      <c r="AB349" s="28">
        <f>SUMPRODUCT(Y349:AA349,'Fisico SPOT MAT'!Y349:AA349)*E349</f>
        <v>103798.57000000002</v>
      </c>
      <c r="AC349" s="122">
        <f>(T349*'Fisico SPOT MAT'!T349+'Mono SPOT MAT'!V349*'Fisico SPOT MAT'!V349+'Mono SPOT MAT'!W349*'Fisico SPOT MAT'!W349)/'Fisico SPOT MAT'!AC349</f>
        <v>64.194733639822999</v>
      </c>
      <c r="AD349" s="85"/>
      <c r="AE349" s="41">
        <v>134.98270596573934</v>
      </c>
      <c r="AF349" s="42">
        <v>67.343648104643975</v>
      </c>
      <c r="AG349">
        <v>5050</v>
      </c>
      <c r="AH349" s="64">
        <f t="shared" si="167"/>
        <v>8.6388326526874053</v>
      </c>
      <c r="AI349">
        <v>2.5</v>
      </c>
      <c r="AJ349" s="41">
        <v>0.85</v>
      </c>
      <c r="AK349">
        <v>374</v>
      </c>
    </row>
    <row r="350" spans="1:37" x14ac:dyDescent="0.3">
      <c r="A350" s="3">
        <f>+'Mono ASIG'!A350</f>
        <v>1509.4685999999999</v>
      </c>
      <c r="B350" s="3">
        <f>+'Mono ASIG'!B350</f>
        <v>1498.0940000000001</v>
      </c>
      <c r="C350" s="1">
        <f>+'Mono ASIG'!C350</f>
        <v>2026</v>
      </c>
      <c r="D350" s="1">
        <f t="shared" si="162"/>
        <v>8</v>
      </c>
      <c r="E350" s="1">
        <f>+'Fisico SPOT MAT'!E350</f>
        <v>6</v>
      </c>
      <c r="F350" s="1" t="str">
        <f>+'Mono ASIG'!F350</f>
        <v>sáb</v>
      </c>
      <c r="G350" s="56">
        <f>+'Mono ASIG'!G350</f>
        <v>46256</v>
      </c>
      <c r="H350" s="17">
        <f t="shared" si="163"/>
        <v>143.53168438192634</v>
      </c>
      <c r="I350" s="17">
        <f t="shared" si="164"/>
        <v>77.911317595561627</v>
      </c>
      <c r="J350" s="17">
        <v>22</v>
      </c>
      <c r="K350" s="17">
        <f t="shared" si="165"/>
        <v>22</v>
      </c>
      <c r="L350" s="17">
        <f>+Precios!E350</f>
        <v>122.70040993199804</v>
      </c>
      <c r="M350" s="44">
        <f>SUMPRODUCT(H350:L350,'Fisico SPOT MAT'!H350:L350)*24</f>
        <v>15270999.553223088</v>
      </c>
      <c r="N350" s="19">
        <f>+'Fisico SPOT MAT'!AH350</f>
        <v>16.864520320946486</v>
      </c>
      <c r="O350" s="19">
        <f t="shared" si="166"/>
        <v>13.502673796791443</v>
      </c>
      <c r="P350" s="19">
        <v>6</v>
      </c>
      <c r="Q350" s="19">
        <v>6</v>
      </c>
      <c r="R350" s="19">
        <v>0</v>
      </c>
      <c r="S350" s="44">
        <f>SUMPRODUCT(N350:R350,'Fisico SPOT MAT'!N350:R350)*E350</f>
        <v>1374137.6311163094</v>
      </c>
      <c r="T350" s="17">
        <v>80</v>
      </c>
      <c r="U350" s="17">
        <v>18</v>
      </c>
      <c r="V350" s="17">
        <v>50</v>
      </c>
      <c r="W350" s="17">
        <v>60</v>
      </c>
      <c r="X350" s="28">
        <f>SUMPRODUCT(T350:W350,'Fisico SPOT MAT'!T350:W350)*24</f>
        <v>4149350.0250000036</v>
      </c>
      <c r="Y350" s="19">
        <v>0</v>
      </c>
      <c r="Z350" s="19">
        <v>5</v>
      </c>
      <c r="AA350" s="19">
        <v>0</v>
      </c>
      <c r="AB350" s="28">
        <f>SUMPRODUCT(Y350:AA350,'Fisico SPOT MAT'!Y350:AA350)*E350</f>
        <v>38923.411250000005</v>
      </c>
      <c r="AC350" s="122">
        <f>(T350*'Fisico SPOT MAT'!T350+'Mono SPOT MAT'!V350*'Fisico SPOT MAT'!V350+'Mono SPOT MAT'!W350*'Fisico SPOT MAT'!W350)/'Fisico SPOT MAT'!AC350</f>
        <v>64.451800957437442</v>
      </c>
      <c r="AD350" s="85"/>
      <c r="AE350" s="41">
        <v>131.760360076746</v>
      </c>
      <c r="AF350" s="42">
        <v>66.13999329038127</v>
      </c>
      <c r="AG350">
        <v>5050</v>
      </c>
      <c r="AH350" s="64">
        <f t="shared" si="167"/>
        <v>8.4213243051803559</v>
      </c>
      <c r="AI350">
        <v>2.5</v>
      </c>
      <c r="AJ350" s="41">
        <v>0.85</v>
      </c>
      <c r="AK350">
        <v>374</v>
      </c>
    </row>
    <row r="351" spans="1:37" x14ac:dyDescent="0.3">
      <c r="A351" s="3">
        <f>+'Mono ASIG'!A351</f>
        <v>1509.4685999999999</v>
      </c>
      <c r="B351" s="3">
        <f>+'Mono ASIG'!B351</f>
        <v>1498.0940000000001</v>
      </c>
      <c r="C351" s="1">
        <f>+'Mono ASIG'!C351</f>
        <v>2026</v>
      </c>
      <c r="D351" s="1">
        <f t="shared" ref="D351:D357" si="168">MONTH(G351)</f>
        <v>8</v>
      </c>
      <c r="E351" s="1">
        <f>+'Fisico SPOT MAT'!E351</f>
        <v>4</v>
      </c>
      <c r="F351" s="1" t="str">
        <f>+'Mono ASIG'!F351</f>
        <v>dom</v>
      </c>
      <c r="G351" s="56">
        <f>+'Mono ASIG'!G351</f>
        <v>46257</v>
      </c>
      <c r="H351" s="17">
        <f t="shared" ref="H351:H357" si="169">+AE351+AH351+AI351+AJ351</f>
        <v>134.37552638355177</v>
      </c>
      <c r="I351" s="17">
        <f t="shared" ref="I351:I357" si="170">+AF351+AH351+AI351+AJ351</f>
        <v>78.909198975263621</v>
      </c>
      <c r="J351" s="17">
        <v>22.000000000000004</v>
      </c>
      <c r="K351" s="17">
        <f t="shared" ref="K351:K357" si="171">+J351</f>
        <v>22.000000000000004</v>
      </c>
      <c r="L351" s="17">
        <f>+Precios!E351</f>
        <v>121.73483439623946</v>
      </c>
      <c r="M351" s="44">
        <f>SUMPRODUCT(H351:L351,'Fisico SPOT MAT'!H351:L351)*24</f>
        <v>13655298.57210983</v>
      </c>
      <c r="N351" s="19">
        <f>+'Fisico SPOT MAT'!AH351</f>
        <v>16.86279568019777</v>
      </c>
      <c r="O351" s="19">
        <f t="shared" ref="O351:O357" si="172">AG351/AK351</f>
        <v>13.502673796791443</v>
      </c>
      <c r="P351" s="19">
        <v>6</v>
      </c>
      <c r="Q351" s="19">
        <v>6</v>
      </c>
      <c r="R351" s="19">
        <v>0</v>
      </c>
      <c r="S351" s="44">
        <f>SUMPRODUCT(N351:R351,'Fisico SPOT MAT'!N351:R351)*E351</f>
        <v>910068.41429768258</v>
      </c>
      <c r="T351" s="17">
        <v>80</v>
      </c>
      <c r="U351" s="17">
        <v>18</v>
      </c>
      <c r="V351" s="17">
        <v>50</v>
      </c>
      <c r="W351" s="17">
        <v>60</v>
      </c>
      <c r="X351" s="28">
        <f>SUMPRODUCT(T351:W351,'Fisico SPOT MAT'!T351:W351)*24</f>
        <v>3075886.6599999992</v>
      </c>
      <c r="Y351" s="19">
        <v>0</v>
      </c>
      <c r="Z351" s="19">
        <v>5</v>
      </c>
      <c r="AA351" s="19">
        <v>0</v>
      </c>
      <c r="AB351" s="28">
        <f>SUMPRODUCT(Y351:AA351,'Fisico SPOT MAT'!Y351:AA351)*E351</f>
        <v>25950.865833333337</v>
      </c>
      <c r="AC351" s="122">
        <f>(T351*'Fisico SPOT MAT'!T351+'Mono SPOT MAT'!V351*'Fisico SPOT MAT'!V351+'Mono SPOT MAT'!W351*'Fisico SPOT MAT'!W351)/'Fisico SPOT MAT'!AC351</f>
        <v>66.158813321952124</v>
      </c>
      <c r="AD351" s="85"/>
      <c r="AE351" s="41">
        <v>123.18316288857309</v>
      </c>
      <c r="AF351" s="42">
        <v>67.716835480284942</v>
      </c>
      <c r="AG351">
        <v>5050</v>
      </c>
      <c r="AH351" s="64">
        <f t="shared" ref="AH351:AH357" si="173">0.075*0.9*(AE351-7)</f>
        <v>7.8423634949786845</v>
      </c>
      <c r="AI351">
        <v>2.5</v>
      </c>
      <c r="AJ351" s="41">
        <v>0.85</v>
      </c>
      <c r="AK351">
        <v>374</v>
      </c>
    </row>
    <row r="352" spans="1:37" x14ac:dyDescent="0.3">
      <c r="A352" s="3">
        <f>+'Mono ASIG'!A352</f>
        <v>1509.4685999999999</v>
      </c>
      <c r="B352" s="3">
        <f>+'Mono ASIG'!B352</f>
        <v>1498.0940000000001</v>
      </c>
      <c r="C352" s="1">
        <f>+'Mono ASIG'!C352</f>
        <v>2026</v>
      </c>
      <c r="D352" s="1">
        <f t="shared" si="168"/>
        <v>8</v>
      </c>
      <c r="E352" s="1">
        <f>+'Fisico SPOT MAT'!E352</f>
        <v>16</v>
      </c>
      <c r="F352" s="1" t="str">
        <f>+'Mono ASIG'!F352</f>
        <v>lun</v>
      </c>
      <c r="G352" s="56">
        <f>+'Mono ASIG'!G352</f>
        <v>46258</v>
      </c>
      <c r="H352" s="17">
        <f t="shared" si="169"/>
        <v>130.50522473282524</v>
      </c>
      <c r="I352" s="17">
        <f t="shared" si="170"/>
        <v>89.21172575530673</v>
      </c>
      <c r="J352" s="17">
        <v>22.000000000000004</v>
      </c>
      <c r="K352" s="17">
        <f t="shared" si="171"/>
        <v>22.000000000000004</v>
      </c>
      <c r="L352" s="17">
        <f>+Precios!E352</f>
        <v>133.98061664799849</v>
      </c>
      <c r="M352" s="44">
        <f>SUMPRODUCT(H352:L352,'Fisico SPOT MAT'!H352:L352)*24</f>
        <v>15159626.863796975</v>
      </c>
      <c r="N352" s="19">
        <f>+'Fisico SPOT MAT'!AH352</f>
        <v>16.831699284263689</v>
      </c>
      <c r="O352" s="19">
        <f t="shared" si="172"/>
        <v>13.502673796791443</v>
      </c>
      <c r="P352" s="19">
        <v>6</v>
      </c>
      <c r="Q352" s="19">
        <v>6</v>
      </c>
      <c r="R352" s="19">
        <v>0</v>
      </c>
      <c r="S352" s="44">
        <f>SUMPRODUCT(N352:R352,'Fisico SPOT MAT'!N352:R352)*E352</f>
        <v>3553429.5575401052</v>
      </c>
      <c r="T352" s="17">
        <v>80</v>
      </c>
      <c r="U352" s="17">
        <v>18</v>
      </c>
      <c r="V352" s="17">
        <v>50</v>
      </c>
      <c r="W352" s="17">
        <v>60</v>
      </c>
      <c r="X352" s="28">
        <f>SUMPRODUCT(T352:W352,'Fisico SPOT MAT'!T352:W352)*24</f>
        <v>4013734.864999997</v>
      </c>
      <c r="Y352" s="19">
        <v>0</v>
      </c>
      <c r="Z352" s="19">
        <v>5</v>
      </c>
      <c r="AA352" s="19">
        <v>0</v>
      </c>
      <c r="AB352" s="28">
        <f>SUMPRODUCT(Y352:AA352,'Fisico SPOT MAT'!Y352:AA352)*E352</f>
        <v>104084.22</v>
      </c>
      <c r="AC352" s="122">
        <f>(T352*'Fisico SPOT MAT'!T352+'Mono SPOT MAT'!V352*'Fisico SPOT MAT'!V352+'Mono SPOT MAT'!W352*'Fisico SPOT MAT'!W352)/'Fisico SPOT MAT'!AC352</f>
        <v>64.508586240436884</v>
      </c>
      <c r="AD352" s="85"/>
      <c r="AE352" s="41">
        <v>119.55758757173325</v>
      </c>
      <c r="AF352" s="42">
        <v>78.264088594214741</v>
      </c>
      <c r="AG352">
        <v>5050</v>
      </c>
      <c r="AH352" s="64">
        <f t="shared" si="173"/>
        <v>7.5976371610919946</v>
      </c>
      <c r="AI352">
        <v>2.5</v>
      </c>
      <c r="AJ352" s="41">
        <v>0.85</v>
      </c>
      <c r="AK352">
        <v>374</v>
      </c>
    </row>
    <row r="353" spans="1:37" x14ac:dyDescent="0.3">
      <c r="A353" s="3">
        <f>+'Mono ASIG'!A353</f>
        <v>1509.4685999999999</v>
      </c>
      <c r="B353" s="3">
        <f>+'Mono ASIG'!B353</f>
        <v>1498.0940000000001</v>
      </c>
      <c r="C353" s="1">
        <f>+'Mono ASIG'!C353</f>
        <v>2026</v>
      </c>
      <c r="D353" s="1">
        <f t="shared" si="168"/>
        <v>8</v>
      </c>
      <c r="E353" s="1">
        <f>+'Fisico SPOT MAT'!E353</f>
        <v>16</v>
      </c>
      <c r="F353" s="1" t="str">
        <f>+'Mono ASIG'!F353</f>
        <v>mar</v>
      </c>
      <c r="G353" s="56">
        <f>+'Mono ASIG'!G353</f>
        <v>46259</v>
      </c>
      <c r="H353" s="17">
        <f t="shared" si="169"/>
        <v>129.02546050481166</v>
      </c>
      <c r="I353" s="17">
        <f t="shared" si="170"/>
        <v>10.854068931217601</v>
      </c>
      <c r="J353" s="17">
        <v>22.000000000000004</v>
      </c>
      <c r="K353" s="17">
        <f t="shared" si="171"/>
        <v>22.000000000000004</v>
      </c>
      <c r="L353" s="17">
        <f>+Precios!E353</f>
        <v>152.6502806788715</v>
      </c>
      <c r="M353" s="44">
        <f>SUMPRODUCT(H353:L353,'Fisico SPOT MAT'!H353:L353)*24</f>
        <v>13425635.510055486</v>
      </c>
      <c r="N353" s="19">
        <f>+'Fisico SPOT MAT'!AH353</f>
        <v>16.862263536570179</v>
      </c>
      <c r="O353" s="19">
        <f t="shared" si="172"/>
        <v>13.502673796791443</v>
      </c>
      <c r="P353" s="19">
        <v>6</v>
      </c>
      <c r="Q353" s="19">
        <v>6</v>
      </c>
      <c r="R353" s="19">
        <v>0</v>
      </c>
      <c r="S353" s="44">
        <f>SUMPRODUCT(N353:R353,'Fisico SPOT MAT'!N353:R353)*E353</f>
        <v>3658296.5298395711</v>
      </c>
      <c r="T353" s="17">
        <v>80</v>
      </c>
      <c r="U353" s="17">
        <v>18</v>
      </c>
      <c r="V353" s="17">
        <v>50</v>
      </c>
      <c r="W353" s="17">
        <v>60</v>
      </c>
      <c r="X353" s="28">
        <f>SUMPRODUCT(T353:W353,'Fisico SPOT MAT'!T353:W353)*24</f>
        <v>4579182.6899999995</v>
      </c>
      <c r="Y353" s="19">
        <v>0</v>
      </c>
      <c r="Z353" s="19">
        <v>5</v>
      </c>
      <c r="AA353" s="19">
        <v>0</v>
      </c>
      <c r="AB353" s="28">
        <f>SUMPRODUCT(Y353:AA353,'Fisico SPOT MAT'!Y353:AA353)*E353</f>
        <v>103846.37666666668</v>
      </c>
      <c r="AC353" s="122">
        <f>(T353*'Fisico SPOT MAT'!T353+'Mono SPOT MAT'!V353*'Fisico SPOT MAT'!V353+'Mono SPOT MAT'!W353*'Fisico SPOT MAT'!W353)/'Fisico SPOT MAT'!AC353</f>
        <v>63.857635450695128</v>
      </c>
      <c r="AD353" s="85"/>
      <c r="AE353" s="41">
        <v>118.17139157359408</v>
      </c>
      <c r="AF353" s="42">
        <v>0</v>
      </c>
      <c r="AG353">
        <v>5050</v>
      </c>
      <c r="AH353" s="64">
        <f t="shared" si="173"/>
        <v>7.504068931217601</v>
      </c>
      <c r="AI353">
        <v>2.5</v>
      </c>
      <c r="AJ353" s="41">
        <v>0.85</v>
      </c>
      <c r="AK353">
        <v>374</v>
      </c>
    </row>
    <row r="354" spans="1:37" x14ac:dyDescent="0.3">
      <c r="A354" s="3">
        <f>+'Mono ASIG'!A354</f>
        <v>1509.4685999999999</v>
      </c>
      <c r="B354" s="3">
        <f>+'Mono ASIG'!B354</f>
        <v>1498.0940000000001</v>
      </c>
      <c r="C354" s="1">
        <f>+'Mono ASIG'!C354</f>
        <v>2026</v>
      </c>
      <c r="D354" s="1">
        <f t="shared" si="168"/>
        <v>8</v>
      </c>
      <c r="E354" s="1">
        <f>+'Fisico SPOT MAT'!E354</f>
        <v>16</v>
      </c>
      <c r="F354" s="1" t="str">
        <f>+'Mono ASIG'!F354</f>
        <v>mié</v>
      </c>
      <c r="G354" s="56">
        <f>+'Mono ASIG'!G354</f>
        <v>46260</v>
      </c>
      <c r="H354" s="17">
        <f t="shared" si="169"/>
        <v>111.0271164702319</v>
      </c>
      <c r="I354" s="17">
        <f t="shared" si="170"/>
        <v>9.7160003388671239</v>
      </c>
      <c r="J354" s="17">
        <v>21.999999999999996</v>
      </c>
      <c r="K354" s="17">
        <f t="shared" si="171"/>
        <v>21.999999999999996</v>
      </c>
      <c r="L354" s="17">
        <f>+Precios!E354</f>
        <v>125.87948614483913</v>
      </c>
      <c r="M354" s="44">
        <f>SUMPRODUCT(H354:L354,'Fisico SPOT MAT'!H354:L354)*24</f>
        <v>10224213.228646806</v>
      </c>
      <c r="N354" s="19">
        <f>+'Fisico SPOT MAT'!AH354</f>
        <v>16.880284448702589</v>
      </c>
      <c r="O354" s="19">
        <f t="shared" si="172"/>
        <v>13.502673796791443</v>
      </c>
      <c r="P354" s="19">
        <v>6</v>
      </c>
      <c r="Q354" s="19">
        <v>6</v>
      </c>
      <c r="R354" s="19">
        <v>0</v>
      </c>
      <c r="S354" s="44">
        <f>SUMPRODUCT(N354:R354,'Fisico SPOT MAT'!N354:R354)*E354</f>
        <v>3716961.9738395717</v>
      </c>
      <c r="T354" s="17">
        <v>80</v>
      </c>
      <c r="U354" s="17">
        <v>18</v>
      </c>
      <c r="V354" s="17">
        <v>50</v>
      </c>
      <c r="W354" s="17">
        <v>60</v>
      </c>
      <c r="X354" s="28">
        <f>SUMPRODUCT(T354:W354,'Fisico SPOT MAT'!T354:W354)*24</f>
        <v>4454772.8500000071</v>
      </c>
      <c r="Y354" s="19">
        <v>0</v>
      </c>
      <c r="Z354" s="19">
        <v>5</v>
      </c>
      <c r="AA354" s="19">
        <v>0</v>
      </c>
      <c r="AB354" s="28">
        <f>SUMPRODUCT(Y354:AA354,'Fisico SPOT MAT'!Y354:AA354)*E354</f>
        <v>103394.26000000001</v>
      </c>
      <c r="AC354" s="122">
        <f>(T354*'Fisico SPOT MAT'!T354+'Mono SPOT MAT'!V354*'Fisico SPOT MAT'!V354+'Mono SPOT MAT'!W354*'Fisico SPOT MAT'!W354)/'Fisico SPOT MAT'!AC354</f>
        <v>63.9394267637105</v>
      </c>
      <c r="AD354" s="85"/>
      <c r="AE354" s="41">
        <v>101.31111613136478</v>
      </c>
      <c r="AF354" s="42">
        <v>0</v>
      </c>
      <c r="AG354">
        <v>5050</v>
      </c>
      <c r="AH354" s="64">
        <f t="shared" si="173"/>
        <v>6.3660003388671234</v>
      </c>
      <c r="AI354">
        <v>2.5</v>
      </c>
      <c r="AJ354" s="41">
        <v>0.85</v>
      </c>
      <c r="AK354">
        <v>374</v>
      </c>
    </row>
    <row r="355" spans="1:37" x14ac:dyDescent="0.3">
      <c r="A355" s="3">
        <f>+'Mono ASIG'!A355</f>
        <v>1509.4685999999999</v>
      </c>
      <c r="B355" s="3">
        <f>+'Mono ASIG'!B355</f>
        <v>1498.0940000000001</v>
      </c>
      <c r="C355" s="1">
        <f>+'Mono ASIG'!C355</f>
        <v>2026</v>
      </c>
      <c r="D355" s="1">
        <f t="shared" si="168"/>
        <v>8</v>
      </c>
      <c r="E355" s="1">
        <f>+'Fisico SPOT MAT'!E355</f>
        <v>16</v>
      </c>
      <c r="F355" s="1" t="str">
        <f>+'Mono ASIG'!F355</f>
        <v>jue</v>
      </c>
      <c r="G355" s="56">
        <f>+'Mono ASIG'!G355</f>
        <v>46261</v>
      </c>
      <c r="H355" s="17">
        <f t="shared" si="169"/>
        <v>113.33437677746045</v>
      </c>
      <c r="I355" s="17">
        <f t="shared" si="170"/>
        <v>81.317878214038458</v>
      </c>
      <c r="J355" s="17">
        <v>22</v>
      </c>
      <c r="K355" s="17">
        <f t="shared" si="171"/>
        <v>22</v>
      </c>
      <c r="L355" s="17">
        <f>+Precios!E355</f>
        <v>141.62530383051171</v>
      </c>
      <c r="M355" s="44">
        <f>SUMPRODUCT(H355:L355,'Fisico SPOT MAT'!H355:L355)*24</f>
        <v>10841545.484809577</v>
      </c>
      <c r="N355" s="19">
        <f>+'Fisico SPOT MAT'!AH355</f>
        <v>16.896203450247</v>
      </c>
      <c r="O355" s="19">
        <f t="shared" si="172"/>
        <v>13.502673796791443</v>
      </c>
      <c r="P355" s="19">
        <v>6</v>
      </c>
      <c r="Q355" s="19">
        <v>6</v>
      </c>
      <c r="R355" s="19">
        <v>0</v>
      </c>
      <c r="S355" s="44">
        <f>SUMPRODUCT(N355:R355,'Fisico SPOT MAT'!N355:R355)*E355</f>
        <v>3769475.8051265585</v>
      </c>
      <c r="T355" s="17">
        <v>80</v>
      </c>
      <c r="U355" s="17">
        <v>18</v>
      </c>
      <c r="V355" s="17">
        <v>50</v>
      </c>
      <c r="W355" s="17">
        <v>60</v>
      </c>
      <c r="X355" s="28">
        <f>SUMPRODUCT(T355:W355,'Fisico SPOT MAT'!T355:W355)*24</f>
        <v>3832779.5250000032</v>
      </c>
      <c r="Y355" s="19">
        <v>0</v>
      </c>
      <c r="Z355" s="19">
        <v>5</v>
      </c>
      <c r="AA355" s="19">
        <v>0</v>
      </c>
      <c r="AB355" s="28">
        <f>SUMPRODUCT(Y355:AA355,'Fisico SPOT MAT'!Y355:AA355)*E355</f>
        <v>103295.42333333334</v>
      </c>
      <c r="AC355" s="122">
        <f>(T355*'Fisico SPOT MAT'!T355+'Mono SPOT MAT'!V355*'Fisico SPOT MAT'!V355+'Mono SPOT MAT'!W355*'Fisico SPOT MAT'!W355)/'Fisico SPOT MAT'!AC355</f>
        <v>64.585228386085632</v>
      </c>
      <c r="AD355" s="85"/>
      <c r="AE355" s="41">
        <v>103.47248410066553</v>
      </c>
      <c r="AF355" s="42">
        <v>71.455985537243535</v>
      </c>
      <c r="AG355">
        <v>5050</v>
      </c>
      <c r="AH355" s="64">
        <f t="shared" si="173"/>
        <v>6.5118926767949237</v>
      </c>
      <c r="AI355">
        <v>2.5</v>
      </c>
      <c r="AJ355" s="41">
        <v>0.85</v>
      </c>
      <c r="AK355">
        <v>374</v>
      </c>
    </row>
    <row r="356" spans="1:37" x14ac:dyDescent="0.3">
      <c r="A356" s="3">
        <f>+'Mono ASIG'!A356</f>
        <v>1509.4685999999999</v>
      </c>
      <c r="B356" s="3">
        <f>+'Mono ASIG'!B356</f>
        <v>1498.0940000000001</v>
      </c>
      <c r="C356" s="1">
        <f>+'Mono ASIG'!C356</f>
        <v>2026</v>
      </c>
      <c r="D356" s="1">
        <f t="shared" si="168"/>
        <v>8</v>
      </c>
      <c r="E356" s="1">
        <f>+'Fisico SPOT MAT'!E356</f>
        <v>16</v>
      </c>
      <c r="F356" s="1" t="str">
        <f>+'Mono ASIG'!F356</f>
        <v>vie</v>
      </c>
      <c r="G356" s="56">
        <f>+'Mono ASIG'!G356</f>
        <v>46262</v>
      </c>
      <c r="H356" s="17">
        <f t="shared" si="169"/>
        <v>110.28766426925641</v>
      </c>
      <c r="I356" s="17">
        <f t="shared" si="170"/>
        <v>80.977056135616181</v>
      </c>
      <c r="J356" s="17">
        <v>22.020273423246916</v>
      </c>
      <c r="K356" s="17">
        <f t="shared" si="171"/>
        <v>22.020273423246916</v>
      </c>
      <c r="L356" s="17">
        <f>+Precios!E356</f>
        <v>133.13550028680891</v>
      </c>
      <c r="M356" s="44">
        <f>SUMPRODUCT(H356:L356,'Fisico SPOT MAT'!H356:L356)*24</f>
        <v>10515070.135218607</v>
      </c>
      <c r="N356" s="19">
        <f>+'Fisico SPOT MAT'!AH356</f>
        <v>16.899526775497481</v>
      </c>
      <c r="O356" s="19">
        <f t="shared" si="172"/>
        <v>13.502673796791443</v>
      </c>
      <c r="P356" s="19">
        <v>6</v>
      </c>
      <c r="Q356" s="19">
        <v>6</v>
      </c>
      <c r="R356" s="19">
        <v>0</v>
      </c>
      <c r="S356" s="44">
        <f>SUMPRODUCT(N356:R356,'Fisico SPOT MAT'!N356:R356)*E356</f>
        <v>3779320.3383743297</v>
      </c>
      <c r="T356" s="17">
        <v>80</v>
      </c>
      <c r="U356" s="17">
        <v>18</v>
      </c>
      <c r="V356" s="17">
        <v>50</v>
      </c>
      <c r="W356" s="17">
        <v>60</v>
      </c>
      <c r="X356" s="28">
        <f>SUMPRODUCT(T356:W356,'Fisico SPOT MAT'!T356:W356)*24</f>
        <v>3354659.7950000037</v>
      </c>
      <c r="Y356" s="19">
        <v>0</v>
      </c>
      <c r="Z356" s="19">
        <v>5</v>
      </c>
      <c r="AA356" s="19">
        <v>0</v>
      </c>
      <c r="AB356" s="28">
        <f>SUMPRODUCT(Y356:AA356,'Fisico SPOT MAT'!Y356:AA356)*E356</f>
        <v>103380.05000000002</v>
      </c>
      <c r="AC356" s="122">
        <f>(T356*'Fisico SPOT MAT'!T356+'Mono SPOT MAT'!V356*'Fisico SPOT MAT'!V356+'Mono SPOT MAT'!W356*'Fisico SPOT MAT'!W356)/'Fisico SPOT MAT'!AC356</f>
        <v>65.307160485041166</v>
      </c>
      <c r="AD356" s="85"/>
      <c r="AE356" s="41">
        <v>100.61842086113013</v>
      </c>
      <c r="AF356" s="42">
        <v>71.307812727489903</v>
      </c>
      <c r="AG356">
        <v>5050</v>
      </c>
      <c r="AH356" s="64">
        <f t="shared" si="173"/>
        <v>6.319243408126284</v>
      </c>
      <c r="AI356">
        <v>2.5</v>
      </c>
      <c r="AJ356" s="41">
        <v>0.85</v>
      </c>
      <c r="AK356">
        <v>374</v>
      </c>
    </row>
    <row r="357" spans="1:37" x14ac:dyDescent="0.3">
      <c r="A357" s="3">
        <f>+'Mono ASIG'!A357</f>
        <v>1509.4685999999999</v>
      </c>
      <c r="B357" s="3">
        <f>+'Mono ASIG'!B357</f>
        <v>1498.0940000000001</v>
      </c>
      <c r="C357" s="1">
        <f>+'Mono ASIG'!C357</f>
        <v>2026</v>
      </c>
      <c r="D357" s="1">
        <f t="shared" si="168"/>
        <v>8</v>
      </c>
      <c r="E357" s="1">
        <f>+'Fisico SPOT MAT'!E357</f>
        <v>6</v>
      </c>
      <c r="F357" s="1" t="str">
        <f>+'Mono ASIG'!F357</f>
        <v>sáb</v>
      </c>
      <c r="G357" s="56">
        <f>+'Mono ASIG'!G357</f>
        <v>46263</v>
      </c>
      <c r="H357" s="17">
        <f t="shared" si="169"/>
        <v>91.577495010884164</v>
      </c>
      <c r="I357" s="17">
        <f t="shared" si="170"/>
        <v>81.569931702483927</v>
      </c>
      <c r="J357" s="17">
        <v>21.999999999999993</v>
      </c>
      <c r="K357" s="17">
        <f t="shared" si="171"/>
        <v>21.999999999999993</v>
      </c>
      <c r="L357" s="17">
        <f>+Precios!E357</f>
        <v>117.26596734472827</v>
      </c>
      <c r="M357" s="44">
        <f>SUMPRODUCT(H357:L357,'Fisico SPOT MAT'!H357:L357)*24</f>
        <v>8536017.2006509434</v>
      </c>
      <c r="N357" s="19">
        <f>+'Fisico SPOT MAT'!AH357</f>
        <v>16.902481390811403</v>
      </c>
      <c r="O357" s="19">
        <f t="shared" si="172"/>
        <v>13.502673796791443</v>
      </c>
      <c r="P357" s="19">
        <v>6</v>
      </c>
      <c r="Q357" s="19">
        <v>6</v>
      </c>
      <c r="R357" s="19">
        <v>0</v>
      </c>
      <c r="S357" s="44">
        <f>SUMPRODUCT(N357:R357,'Fisico SPOT MAT'!N357:R357)*E357</f>
        <v>1420395.3480882347</v>
      </c>
      <c r="T357" s="17">
        <v>80</v>
      </c>
      <c r="U357" s="17">
        <v>18</v>
      </c>
      <c r="V357" s="17">
        <v>50</v>
      </c>
      <c r="W357" s="17">
        <v>60</v>
      </c>
      <c r="X357" s="28">
        <f>SUMPRODUCT(T357:W357,'Fisico SPOT MAT'!T357:W357)*24</f>
        <v>3337522.0950000016</v>
      </c>
      <c r="Y357" s="19">
        <v>0</v>
      </c>
      <c r="Z357" s="19">
        <v>5</v>
      </c>
      <c r="AA357" s="19">
        <v>0</v>
      </c>
      <c r="AB357" s="28">
        <f>SUMPRODUCT(Y357:AA357,'Fisico SPOT MAT'!Y357:AA357)*E357</f>
        <v>38791.601250000007</v>
      </c>
      <c r="AC357" s="122">
        <f>(T357*'Fisico SPOT MAT'!T357+'Mono SPOT MAT'!V357*'Fisico SPOT MAT'!V357+'Mono SPOT MAT'!W357*'Fisico SPOT MAT'!W357)/'Fisico SPOT MAT'!AC357</f>
        <v>65.620747439676848</v>
      </c>
      <c r="AD357" s="85"/>
      <c r="AE357" s="41">
        <v>83.091330220968771</v>
      </c>
      <c r="AF357" s="42">
        <v>73.083766912568535</v>
      </c>
      <c r="AG357">
        <v>5050</v>
      </c>
      <c r="AH357" s="64">
        <f t="shared" si="173"/>
        <v>5.1361647899153926</v>
      </c>
      <c r="AI357">
        <v>2.5</v>
      </c>
      <c r="AJ357" s="41">
        <v>0.85</v>
      </c>
      <c r="AK357">
        <v>374</v>
      </c>
    </row>
    <row r="358" spans="1:37" x14ac:dyDescent="0.3">
      <c r="A358" s="3">
        <f>+'Mono ASIG'!A358</f>
        <v>1509.4685999999999</v>
      </c>
      <c r="B358" s="3">
        <f>+'Mono ASIG'!B358</f>
        <v>1498.0940000000001</v>
      </c>
      <c r="C358" s="1">
        <f>+'Mono ASIG'!C358</f>
        <v>2026</v>
      </c>
      <c r="D358" s="1">
        <f t="shared" ref="D358:D359" si="174">MONTH(G358)</f>
        <v>8</v>
      </c>
      <c r="E358" s="1">
        <f>+'Fisico SPOT MAT'!E358</f>
        <v>4</v>
      </c>
      <c r="F358" s="1" t="str">
        <f>+'Mono ASIG'!F358</f>
        <v>dom</v>
      </c>
      <c r="G358" s="56">
        <f>+'Mono ASIG'!G358</f>
        <v>46264</v>
      </c>
      <c r="H358" s="17">
        <f t="shared" ref="H358:H359" si="175">+AE358+AH358+AI358+AJ358</f>
        <v>96.18741250997779</v>
      </c>
      <c r="I358" s="17">
        <f t="shared" ref="I358:I359" si="176">+AF358+AH358+AI358+AJ358</f>
        <v>8.7776584022702604</v>
      </c>
      <c r="J358" s="17">
        <v>22</v>
      </c>
      <c r="K358" s="17">
        <f t="shared" ref="K358:K359" si="177">+J358</f>
        <v>22</v>
      </c>
      <c r="L358" s="17">
        <f>+Precios!E358</f>
        <v>91.63189720849735</v>
      </c>
      <c r="M358" s="44">
        <f>SUMPRODUCT(H358:L358,'Fisico SPOT MAT'!H358:L358)*24</f>
        <v>7335926.0416555339</v>
      </c>
      <c r="N358" s="19">
        <f>+'Fisico SPOT MAT'!AH358</f>
        <v>16.844510946881286</v>
      </c>
      <c r="O358" s="19">
        <f t="shared" ref="O358:O359" si="178">AG358/AK358</f>
        <v>13.502673796791443</v>
      </c>
      <c r="P358" s="19">
        <v>6</v>
      </c>
      <c r="Q358" s="19">
        <v>6</v>
      </c>
      <c r="R358" s="19">
        <v>0</v>
      </c>
      <c r="S358" s="44">
        <f>SUMPRODUCT(N358:R358,'Fisico SPOT MAT'!N358:R358)*E358</f>
        <v>899536.17505882343</v>
      </c>
      <c r="T358" s="17">
        <v>80</v>
      </c>
      <c r="U358" s="17">
        <v>18</v>
      </c>
      <c r="V358" s="17">
        <v>50</v>
      </c>
      <c r="W358" s="17">
        <v>60</v>
      </c>
      <c r="X358" s="28">
        <f>SUMPRODUCT(T358:W358,'Fisico SPOT MAT'!T358:W358)*24</f>
        <v>3901434.2499999981</v>
      </c>
      <c r="Y358" s="19">
        <v>0</v>
      </c>
      <c r="Z358" s="19">
        <v>5</v>
      </c>
      <c r="AA358" s="19">
        <v>0</v>
      </c>
      <c r="AB358" s="28">
        <f>SUMPRODUCT(Y358:AA358,'Fisico SPOT MAT'!Y358:AA358)*E358</f>
        <v>25852.420000000006</v>
      </c>
      <c r="AC358" s="122">
        <f>(T358*'Fisico SPOT MAT'!T358+'Mono SPOT MAT'!V358*'Fisico SPOT MAT'!V358+'Mono SPOT MAT'!W358*'Fisico SPOT MAT'!W358)/'Fisico SPOT MAT'!AC358</f>
        <v>64.759881411767424</v>
      </c>
      <c r="AD358" s="85"/>
      <c r="AE358" s="41">
        <v>87.409754107707542</v>
      </c>
      <c r="AF358" s="42">
        <v>0</v>
      </c>
      <c r="AG358">
        <v>5050</v>
      </c>
      <c r="AH358" s="64">
        <f t="shared" ref="AH358:AH359" si="179">0.075*0.9*(AE358-7)</f>
        <v>5.4276584022702599</v>
      </c>
      <c r="AI358">
        <v>2.5</v>
      </c>
      <c r="AJ358" s="41">
        <v>0.85</v>
      </c>
      <c r="AK358">
        <v>374</v>
      </c>
    </row>
    <row r="359" spans="1:37" x14ac:dyDescent="0.3">
      <c r="A359" s="3">
        <f>+'Mono ASIG'!A359</f>
        <v>1509.4685999999999</v>
      </c>
      <c r="B359" s="3">
        <f>+'Mono ASIG'!B359</f>
        <v>1506.9</v>
      </c>
      <c r="C359" s="1">
        <f>+'Mono ASIG'!C359</f>
        <v>2026</v>
      </c>
      <c r="D359" s="1">
        <f t="shared" si="174"/>
        <v>8</v>
      </c>
      <c r="E359" s="1">
        <f>+'Fisico SPOT MAT'!E359</f>
        <v>16</v>
      </c>
      <c r="F359" s="1" t="str">
        <f>+'Mono ASIG'!F359</f>
        <v>lun</v>
      </c>
      <c r="G359" s="56">
        <f>+'Mono ASIG'!G359</f>
        <v>46265</v>
      </c>
      <c r="H359" s="17">
        <f t="shared" si="175"/>
        <v>78.040152347783234</v>
      </c>
      <c r="I359" s="17">
        <f t="shared" si="176"/>
        <v>79.599393243142856</v>
      </c>
      <c r="J359" s="17">
        <v>22.000000000000004</v>
      </c>
      <c r="K359" s="17">
        <f t="shared" si="177"/>
        <v>22.000000000000004</v>
      </c>
      <c r="L359" s="17">
        <f>+Precios!E359</f>
        <v>88.587141648417273</v>
      </c>
      <c r="M359" s="44">
        <f>SUMPRODUCT(H359:L359,'Fisico SPOT MAT'!H359:L359)*24</f>
        <v>6617748.0479788948</v>
      </c>
      <c r="N359" s="19">
        <f>+'Fisico SPOT MAT'!AH359</f>
        <v>16.840490992612953</v>
      </c>
      <c r="O359" s="19">
        <f t="shared" si="178"/>
        <v>13.502673796791443</v>
      </c>
      <c r="P359" s="19">
        <v>6</v>
      </c>
      <c r="Q359" s="19">
        <v>6</v>
      </c>
      <c r="R359" s="19">
        <v>0</v>
      </c>
      <c r="S359" s="44">
        <f>SUMPRODUCT(N359:R359,'Fisico SPOT MAT'!N359:R359)*E359</f>
        <v>3529704.9283850277</v>
      </c>
      <c r="T359" s="17">
        <v>80</v>
      </c>
      <c r="U359" s="17">
        <v>18</v>
      </c>
      <c r="V359" s="17">
        <v>50</v>
      </c>
      <c r="W359" s="17">
        <v>60</v>
      </c>
      <c r="X359" s="28">
        <f>SUMPRODUCT(T359:W359,'Fisico SPOT MAT'!T359:W359)*24</f>
        <v>4345173.5950000007</v>
      </c>
      <c r="Y359" s="19">
        <v>0</v>
      </c>
      <c r="Z359" s="19">
        <v>5</v>
      </c>
      <c r="AA359" s="19">
        <v>0</v>
      </c>
      <c r="AB359" s="28">
        <f>SUMPRODUCT(Y359:AA359,'Fisico SPOT MAT'!Y359:AA359)*E359</f>
        <v>102875</v>
      </c>
      <c r="AC359" s="122">
        <f>(T359*'Fisico SPOT MAT'!T359+'Mono SPOT MAT'!V359*'Fisico SPOT MAT'!V359+'Mono SPOT MAT'!W359*'Fisico SPOT MAT'!W359)/'Fisico SPOT MAT'!AC359</f>
        <v>64.228781753179973</v>
      </c>
      <c r="AD359" s="85"/>
      <c r="AE359" s="41">
        <v>70.409978780124817</v>
      </c>
      <c r="AF359" s="42">
        <v>71.969219675484439</v>
      </c>
      <c r="AG359">
        <v>5050</v>
      </c>
      <c r="AH359" s="64">
        <f t="shared" si="179"/>
        <v>4.2801735676584256</v>
      </c>
      <c r="AI359">
        <v>2.5</v>
      </c>
      <c r="AJ359" s="41">
        <v>0.85</v>
      </c>
      <c r="AK359">
        <v>374</v>
      </c>
    </row>
    <row r="360" spans="1:37" x14ac:dyDescent="0.3">
      <c r="A360" s="3">
        <f>+'Mono ASIG'!A360</f>
        <v>1517.5209</v>
      </c>
      <c r="B360" s="3">
        <f>+'Mono ASIG'!B360</f>
        <v>1506.9</v>
      </c>
      <c r="C360" s="1">
        <f>+'Mono ASIG'!C360</f>
        <v>2026</v>
      </c>
      <c r="D360" s="1">
        <f t="shared" ref="D360:D366" si="180">MONTH(G360)</f>
        <v>9</v>
      </c>
      <c r="E360" s="1">
        <f>+'Fisico SPOT MAT'!E360</f>
        <v>16</v>
      </c>
      <c r="F360" s="1" t="str">
        <f>+'Mono ASIG'!F360</f>
        <v>mar</v>
      </c>
      <c r="G360" s="56">
        <f>+'Mono ASIG'!G360</f>
        <v>46266</v>
      </c>
      <c r="H360" s="17">
        <f t="shared" ref="H360:H366" si="181">+AE360+AH360+AI360+AJ360</f>
        <v>62.746469331088321</v>
      </c>
      <c r="I360" s="17">
        <f t="shared" ref="I360:I366" si="182">+AF360+AH360+AI360+AJ360</f>
        <v>56.637087084626799</v>
      </c>
      <c r="J360" s="17">
        <v>22.000000000000004</v>
      </c>
      <c r="K360" s="17">
        <f t="shared" ref="K360:K366" si="183">+J360</f>
        <v>22.000000000000004</v>
      </c>
      <c r="L360" s="17">
        <f>+Precios!E360</f>
        <v>60.899121177632679</v>
      </c>
      <c r="M360" s="44">
        <f>SUMPRODUCT(H360:L360,'Fisico SPOT MAT'!H360:L360)*24</f>
        <v>6749237.9068196937</v>
      </c>
      <c r="N360" s="19">
        <f>+'Fisico SPOT MAT'!AH360</f>
        <v>16.324475424655382</v>
      </c>
      <c r="O360" s="19">
        <f t="shared" ref="O360:O366" si="184">AG360/AK360</f>
        <v>12.88265306122449</v>
      </c>
      <c r="P360" s="19">
        <v>6</v>
      </c>
      <c r="Q360" s="19">
        <v>6</v>
      </c>
      <c r="R360" s="19">
        <v>0</v>
      </c>
      <c r="S360" s="44">
        <f>SUMPRODUCT(N360:R360,'Fisico SPOT MAT'!N360:R360)*E360</f>
        <v>3531222.3647074802</v>
      </c>
      <c r="T360" s="17">
        <v>80</v>
      </c>
      <c r="U360" s="17">
        <v>18</v>
      </c>
      <c r="V360" s="17">
        <v>50</v>
      </c>
      <c r="W360" s="17">
        <v>60</v>
      </c>
      <c r="X360" s="28">
        <f>SUMPRODUCT(T360:W360,'Fisico SPOT MAT'!T360:W360)*24</f>
        <v>3065765.8199999989</v>
      </c>
      <c r="Y360" s="19">
        <v>0</v>
      </c>
      <c r="Z360" s="19">
        <v>5</v>
      </c>
      <c r="AA360" s="19">
        <v>0</v>
      </c>
      <c r="AB360" s="28">
        <f>SUMPRODUCT(Y360:AA360,'Fisico SPOT MAT'!Y360:AA360)*E360</f>
        <v>103951.88833333334</v>
      </c>
      <c r="AC360" s="122">
        <f>(T360*'Fisico SPOT MAT'!T360+'Mono SPOT MAT'!V360*'Fisico SPOT MAT'!V360+'Mono SPOT MAT'!W360*'Fisico SPOT MAT'!W360)/'Fisico SPOT MAT'!AC360</f>
        <v>65.179475736582873</v>
      </c>
      <c r="AD360" s="85"/>
      <c r="AE360" s="41">
        <v>58.425264010387181</v>
      </c>
      <c r="AF360" s="42">
        <v>52.31588176392566</v>
      </c>
      <c r="AG360">
        <v>5050</v>
      </c>
      <c r="AH360" s="64">
        <f t="shared" ref="AH360:AH366" si="185">0.075*0.9*(AE360-7)</f>
        <v>3.4712053207011349</v>
      </c>
      <c r="AJ360" s="41">
        <v>0.85</v>
      </c>
      <c r="AK360">
        <v>392</v>
      </c>
    </row>
    <row r="361" spans="1:37" x14ac:dyDescent="0.3">
      <c r="A361" s="3">
        <f>+'Mono ASIG'!A361</f>
        <v>1517.5209</v>
      </c>
      <c r="B361" s="3">
        <f>+'Mono ASIG'!B361</f>
        <v>1506.9</v>
      </c>
      <c r="C361" s="1">
        <f>+'Mono ASIG'!C361</f>
        <v>2026</v>
      </c>
      <c r="D361" s="1">
        <f t="shared" si="180"/>
        <v>9</v>
      </c>
      <c r="E361" s="1">
        <f>+'Fisico SPOT MAT'!E361</f>
        <v>16</v>
      </c>
      <c r="F361" s="1" t="str">
        <f>+'Mono ASIG'!F361</f>
        <v>mié</v>
      </c>
      <c r="G361" s="56">
        <f>+'Mono ASIG'!G361</f>
        <v>46267</v>
      </c>
      <c r="H361" s="17">
        <f t="shared" si="181"/>
        <v>58.3652393258578</v>
      </c>
      <c r="I361" s="17">
        <f t="shared" si="182"/>
        <v>53.616084058034787</v>
      </c>
      <c r="J361" s="17">
        <v>22.000000000000004</v>
      </c>
      <c r="K361" s="17">
        <f t="shared" si="183"/>
        <v>22.000000000000004</v>
      </c>
      <c r="L361" s="17">
        <f>+Precios!E361</f>
        <v>48.249708973818841</v>
      </c>
      <c r="M361" s="44">
        <f>SUMPRODUCT(H361:L361,'Fisico SPOT MAT'!H361:L361)*24</f>
        <v>5478338.0690914718</v>
      </c>
      <c r="N361" s="19">
        <f>+'Fisico SPOT MAT'!AH361</f>
        <v>16.353248464701998</v>
      </c>
      <c r="O361" s="19">
        <f t="shared" si="184"/>
        <v>12.88265306122449</v>
      </c>
      <c r="P361" s="19">
        <v>6</v>
      </c>
      <c r="Q361" s="19">
        <v>6</v>
      </c>
      <c r="R361" s="19">
        <v>0</v>
      </c>
      <c r="S361" s="44">
        <f>SUMPRODUCT(N361:R361,'Fisico SPOT MAT'!N361:R361)*E361</f>
        <v>3606512.9401564598</v>
      </c>
      <c r="T361" s="17">
        <v>80</v>
      </c>
      <c r="U361" s="17">
        <v>18</v>
      </c>
      <c r="V361" s="17">
        <v>50</v>
      </c>
      <c r="W361" s="17">
        <v>60</v>
      </c>
      <c r="X361" s="28">
        <f>SUMPRODUCT(T361:W361,'Fisico SPOT MAT'!T361:W361)*24</f>
        <v>4032905.3300000019</v>
      </c>
      <c r="Y361" s="19">
        <v>0</v>
      </c>
      <c r="Z361" s="19">
        <v>5</v>
      </c>
      <c r="AA361" s="19">
        <v>0</v>
      </c>
      <c r="AB361" s="28">
        <f>SUMPRODUCT(Y361:AA361,'Fisico SPOT MAT'!Y361:AA361)*E361</f>
        <v>104448.00000000001</v>
      </c>
      <c r="AC361" s="122">
        <f>(T361*'Fisico SPOT MAT'!T361+'Mono SPOT MAT'!V361*'Fisico SPOT MAT'!V361+'Mono SPOT MAT'!W361*'Fisico SPOT MAT'!W361)/'Fisico SPOT MAT'!AC361</f>
        <v>63.864181851841678</v>
      </c>
      <c r="AD361" s="85"/>
      <c r="AE361" s="41">
        <v>54.321067284175925</v>
      </c>
      <c r="AF361" s="42">
        <v>49.571912016352911</v>
      </c>
      <c r="AG361">
        <v>5050</v>
      </c>
      <c r="AH361" s="64">
        <f t="shared" si="185"/>
        <v>3.1941720416818753</v>
      </c>
      <c r="AJ361" s="41">
        <v>0.85</v>
      </c>
      <c r="AK361">
        <v>392</v>
      </c>
    </row>
    <row r="362" spans="1:37" x14ac:dyDescent="0.3">
      <c r="A362" s="3">
        <f>+'Mono ASIG'!A362</f>
        <v>1517.5209</v>
      </c>
      <c r="B362" s="3">
        <f>+'Mono ASIG'!B362</f>
        <v>1506.9</v>
      </c>
      <c r="C362" s="1">
        <f>+'Mono ASIG'!C362</f>
        <v>2026</v>
      </c>
      <c r="D362" s="1">
        <f t="shared" si="180"/>
        <v>9</v>
      </c>
      <c r="E362" s="1">
        <f>+'Fisico SPOT MAT'!E362</f>
        <v>16</v>
      </c>
      <c r="F362" s="1" t="str">
        <f>+'Mono ASIG'!F362</f>
        <v>jue</v>
      </c>
      <c r="G362" s="56">
        <f>+'Mono ASIG'!G362</f>
        <v>46268</v>
      </c>
      <c r="H362" s="17">
        <f t="shared" si="181"/>
        <v>57.965011035238888</v>
      </c>
      <c r="I362" s="17">
        <f t="shared" si="182"/>
        <v>57.042863802015702</v>
      </c>
      <c r="J362" s="17">
        <v>22.000000000000004</v>
      </c>
      <c r="K362" s="17">
        <f t="shared" si="183"/>
        <v>22.000000000000004</v>
      </c>
      <c r="L362" s="17">
        <f>+Precios!E362</f>
        <v>43.687637617131998</v>
      </c>
      <c r="M362" s="44">
        <f>SUMPRODUCT(H362:L362,'Fisico SPOT MAT'!H362:L362)*24</f>
        <v>5525915.6840012586</v>
      </c>
      <c r="N362" s="19">
        <f>+'Fisico SPOT MAT'!AH362</f>
        <v>16.357074624443626</v>
      </c>
      <c r="O362" s="19">
        <f t="shared" si="184"/>
        <v>12.88265306122449</v>
      </c>
      <c r="P362" s="19">
        <v>6</v>
      </c>
      <c r="Q362" s="19">
        <v>6</v>
      </c>
      <c r="R362" s="19">
        <v>0</v>
      </c>
      <c r="S362" s="44">
        <f>SUMPRODUCT(N362:R362,'Fisico SPOT MAT'!N362:R362)*E362</f>
        <v>3615941.7214149646</v>
      </c>
      <c r="T362" s="17">
        <v>80</v>
      </c>
      <c r="U362" s="17">
        <v>18</v>
      </c>
      <c r="V362" s="17">
        <v>50</v>
      </c>
      <c r="W362" s="17">
        <v>60</v>
      </c>
      <c r="X362" s="28">
        <f>SUMPRODUCT(T362:W362,'Fisico SPOT MAT'!T362:W362)*24</f>
        <v>4073082.5500000007</v>
      </c>
      <c r="Y362" s="19">
        <v>0</v>
      </c>
      <c r="Z362" s="19">
        <v>5</v>
      </c>
      <c r="AA362" s="19">
        <v>0</v>
      </c>
      <c r="AB362" s="28">
        <f>SUMPRODUCT(Y362:AA362,'Fisico SPOT MAT'!Y362:AA362)*E362</f>
        <v>104456.29000000002</v>
      </c>
      <c r="AC362" s="122">
        <f>(T362*'Fisico SPOT MAT'!T362+'Mono SPOT MAT'!V362*'Fisico SPOT MAT'!V362+'Mono SPOT MAT'!W362*'Fisico SPOT MAT'!W362)/'Fisico SPOT MAT'!AC362</f>
        <v>63.790757988345987</v>
      </c>
      <c r="AD362" s="85"/>
      <c r="AE362" s="41">
        <v>53.946146168842048</v>
      </c>
      <c r="AF362" s="42">
        <v>53.023998935618863</v>
      </c>
      <c r="AG362">
        <v>5050</v>
      </c>
      <c r="AH362" s="64">
        <f t="shared" si="185"/>
        <v>3.1688648663968384</v>
      </c>
      <c r="AJ362" s="41">
        <v>0.85</v>
      </c>
      <c r="AK362">
        <v>392</v>
      </c>
    </row>
    <row r="363" spans="1:37" x14ac:dyDescent="0.3">
      <c r="A363" s="3">
        <f>+'Mono ASIG'!A363</f>
        <v>1517.5209</v>
      </c>
      <c r="B363" s="3">
        <f>+'Mono ASIG'!B363</f>
        <v>1506.9</v>
      </c>
      <c r="C363" s="1">
        <f>+'Mono ASIG'!C363</f>
        <v>2026</v>
      </c>
      <c r="D363" s="1">
        <f t="shared" si="180"/>
        <v>9</v>
      </c>
      <c r="E363" s="1">
        <f>+'Fisico SPOT MAT'!E363</f>
        <v>16</v>
      </c>
      <c r="F363" s="1" t="str">
        <f>+'Mono ASIG'!F363</f>
        <v>vie</v>
      </c>
      <c r="G363" s="56">
        <f>+'Mono ASIG'!G363</f>
        <v>46269</v>
      </c>
      <c r="H363" s="17">
        <f t="shared" si="181"/>
        <v>59.153800679577692</v>
      </c>
      <c r="I363" s="17">
        <f t="shared" si="182"/>
        <v>55.989950928011901</v>
      </c>
      <c r="J363" s="17">
        <v>22.000000000000004</v>
      </c>
      <c r="K363" s="17">
        <f t="shared" si="183"/>
        <v>22.000000000000004</v>
      </c>
      <c r="L363" s="17">
        <f>+Precios!E363</f>
        <v>51.717701921483034</v>
      </c>
      <c r="M363" s="44">
        <f>SUMPRODUCT(H363:L363,'Fisico SPOT MAT'!H363:L363)*24</f>
        <v>5344185.731352563</v>
      </c>
      <c r="N363" s="19">
        <f>+'Fisico SPOT MAT'!AH363</f>
        <v>16.361409271599609</v>
      </c>
      <c r="O363" s="19">
        <f t="shared" si="184"/>
        <v>12.88265306122449</v>
      </c>
      <c r="P363" s="19">
        <v>6</v>
      </c>
      <c r="Q363" s="19">
        <v>6</v>
      </c>
      <c r="R363" s="19">
        <v>0</v>
      </c>
      <c r="S363" s="44">
        <f>SUMPRODUCT(N363:R363,'Fisico SPOT MAT'!N363:R363)*E363</f>
        <v>3637432.8120442168</v>
      </c>
      <c r="T363" s="17">
        <v>80</v>
      </c>
      <c r="U363" s="17">
        <v>18</v>
      </c>
      <c r="V363" s="17">
        <v>50</v>
      </c>
      <c r="W363" s="17">
        <v>60</v>
      </c>
      <c r="X363" s="28">
        <f>SUMPRODUCT(T363:W363,'Fisico SPOT MAT'!T363:W363)*24</f>
        <v>4524260.0949999951</v>
      </c>
      <c r="Y363" s="19">
        <v>0</v>
      </c>
      <c r="Z363" s="19">
        <v>5</v>
      </c>
      <c r="AA363" s="19">
        <v>0</v>
      </c>
      <c r="AB363" s="28">
        <f>SUMPRODUCT(Y363:AA363,'Fisico SPOT MAT'!Y363:AA363)*E363</f>
        <v>103931.33333333334</v>
      </c>
      <c r="AC363" s="122">
        <f>(T363*'Fisico SPOT MAT'!T363+'Mono SPOT MAT'!V363*'Fisico SPOT MAT'!V363+'Mono SPOT MAT'!W363*'Fisico SPOT MAT'!W363)/'Fisico SPOT MAT'!AC363</f>
        <v>63.263283712407187</v>
      </c>
      <c r="AD363" s="85"/>
      <c r="AE363" s="41">
        <v>55.059766444569263</v>
      </c>
      <c r="AF363" s="42">
        <v>51.895916693003471</v>
      </c>
      <c r="AG363">
        <v>5050</v>
      </c>
      <c r="AH363" s="64">
        <f t="shared" si="185"/>
        <v>3.2440342350084252</v>
      </c>
      <c r="AJ363" s="41">
        <v>0.85</v>
      </c>
      <c r="AK363">
        <v>392</v>
      </c>
    </row>
    <row r="364" spans="1:37" x14ac:dyDescent="0.3">
      <c r="A364" s="3">
        <f>+'Mono ASIG'!A364</f>
        <v>1517.5209</v>
      </c>
      <c r="B364" s="3">
        <f>+'Mono ASIG'!B364</f>
        <v>1506.9</v>
      </c>
      <c r="C364" s="1">
        <f>+'Mono ASIG'!C364</f>
        <v>2026</v>
      </c>
      <c r="D364" s="1">
        <f t="shared" si="180"/>
        <v>9</v>
      </c>
      <c r="E364" s="1">
        <f>+'Fisico SPOT MAT'!E364</f>
        <v>6</v>
      </c>
      <c r="F364" s="1" t="str">
        <f>+'Mono ASIG'!F364</f>
        <v>sáb</v>
      </c>
      <c r="G364" s="56">
        <f>+'Mono ASIG'!G364</f>
        <v>46270</v>
      </c>
      <c r="H364" s="17">
        <f t="shared" si="181"/>
        <v>72.189458374616819</v>
      </c>
      <c r="I364" s="17">
        <f t="shared" si="182"/>
        <v>76.135811982896882</v>
      </c>
      <c r="J364" s="17">
        <v>22.000000000000004</v>
      </c>
      <c r="K364" s="17">
        <f t="shared" si="183"/>
        <v>22.000000000000004</v>
      </c>
      <c r="L364" s="17">
        <f>+Precios!E364</f>
        <v>48.213520410174638</v>
      </c>
      <c r="M364" s="44">
        <f>SUMPRODUCT(H364:L364,'Fisico SPOT MAT'!H364:L364)*24</f>
        <v>6309950.6943093594</v>
      </c>
      <c r="N364" s="19">
        <f>+'Fisico SPOT MAT'!AH364</f>
        <v>16.332239052877785</v>
      </c>
      <c r="O364" s="19">
        <f t="shared" si="184"/>
        <v>12.88265306122449</v>
      </c>
      <c r="P364" s="19">
        <v>6</v>
      </c>
      <c r="Q364" s="19">
        <v>6</v>
      </c>
      <c r="R364" s="19">
        <v>0</v>
      </c>
      <c r="S364" s="44">
        <f>SUMPRODUCT(N364:R364,'Fisico SPOT MAT'!N364:R364)*E364</f>
        <v>1341004.9226147954</v>
      </c>
      <c r="T364" s="17">
        <v>80</v>
      </c>
      <c r="U364" s="17">
        <v>18</v>
      </c>
      <c r="V364" s="17">
        <v>50</v>
      </c>
      <c r="W364" s="17">
        <v>60</v>
      </c>
      <c r="X364" s="28">
        <f>SUMPRODUCT(T364:W364,'Fisico SPOT MAT'!T364:W364)*24</f>
        <v>4064480.7549999976</v>
      </c>
      <c r="Y364" s="19">
        <v>0</v>
      </c>
      <c r="Z364" s="19">
        <v>5</v>
      </c>
      <c r="AA364" s="19">
        <v>0</v>
      </c>
      <c r="AB364" s="28">
        <f>SUMPRODUCT(Y364:AA364,'Fisico SPOT MAT'!Y364:AA364)*E364</f>
        <v>38830.708125000005</v>
      </c>
      <c r="AC364" s="122">
        <f>(T364*'Fisico SPOT MAT'!T364+'Mono SPOT MAT'!V364*'Fisico SPOT MAT'!V364+'Mono SPOT MAT'!W364*'Fisico SPOT MAT'!W364)/'Fisico SPOT MAT'!AC364</f>
        <v>63.703281267943808</v>
      </c>
      <c r="AD364" s="85"/>
      <c r="AE364" s="41">
        <v>67.271155386057913</v>
      </c>
      <c r="AF364" s="42">
        <v>71.217508994337976</v>
      </c>
      <c r="AG364">
        <v>5050</v>
      </c>
      <c r="AH364" s="64">
        <f t="shared" si="185"/>
        <v>4.0683029885589095</v>
      </c>
      <c r="AJ364" s="41">
        <v>0.85</v>
      </c>
      <c r="AK364">
        <v>392</v>
      </c>
    </row>
    <row r="365" spans="1:37" x14ac:dyDescent="0.3">
      <c r="A365" s="3">
        <f>+'Mono ASIG'!A365</f>
        <v>1517.5209</v>
      </c>
      <c r="B365" s="3">
        <f>+'Mono ASIG'!B365</f>
        <v>1506.9</v>
      </c>
      <c r="C365" s="1">
        <f>+'Mono ASIG'!C365</f>
        <v>2026</v>
      </c>
      <c r="D365" s="1">
        <f t="shared" si="180"/>
        <v>9</v>
      </c>
      <c r="E365" s="1">
        <f>+'Fisico SPOT MAT'!E365</f>
        <v>4</v>
      </c>
      <c r="F365" s="1" t="str">
        <f>+'Mono ASIG'!F365</f>
        <v>dom</v>
      </c>
      <c r="G365" s="56">
        <f>+'Mono ASIG'!G365</f>
        <v>46271</v>
      </c>
      <c r="H365" s="17">
        <f t="shared" si="181"/>
        <v>86.296743348714045</v>
      </c>
      <c r="I365" s="17">
        <f t="shared" si="182"/>
        <v>81.34448057932795</v>
      </c>
      <c r="J365" s="17">
        <v>22.000000000000004</v>
      </c>
      <c r="K365" s="17">
        <f t="shared" si="183"/>
        <v>22.000000000000004</v>
      </c>
      <c r="L365" s="17">
        <f>+Precios!E365</f>
        <v>105.7109568311265</v>
      </c>
      <c r="M365" s="44">
        <f>SUMPRODUCT(H365:L365,'Fisico SPOT MAT'!H365:L365)*24</f>
        <v>8481982.9483004287</v>
      </c>
      <c r="N365" s="19">
        <f>+'Fisico SPOT MAT'!AH365</f>
        <v>16.342297472735925</v>
      </c>
      <c r="O365" s="19">
        <f t="shared" si="184"/>
        <v>12.88265306122449</v>
      </c>
      <c r="P365" s="19">
        <v>6</v>
      </c>
      <c r="Q365" s="19">
        <v>6</v>
      </c>
      <c r="R365" s="19">
        <v>0</v>
      </c>
      <c r="S365" s="44">
        <f>SUMPRODUCT(N365:R365,'Fisico SPOT MAT'!N365:R365)*E365</f>
        <v>902096.52288775484</v>
      </c>
      <c r="T365" s="17">
        <v>80</v>
      </c>
      <c r="U365" s="17">
        <v>18</v>
      </c>
      <c r="V365" s="17">
        <v>50</v>
      </c>
      <c r="W365" s="17">
        <v>60</v>
      </c>
      <c r="X365" s="28">
        <f>SUMPRODUCT(T365:W365,'Fisico SPOT MAT'!T365:W365)*24</f>
        <v>2756622.7650000015</v>
      </c>
      <c r="Y365" s="19">
        <v>0</v>
      </c>
      <c r="Z365" s="19">
        <v>5</v>
      </c>
      <c r="AA365" s="19">
        <v>0</v>
      </c>
      <c r="AB365" s="28">
        <f>SUMPRODUCT(Y365:AA365,'Fisico SPOT MAT'!Y365:AA365)*E365</f>
        <v>25912.000000000004</v>
      </c>
      <c r="AC365" s="122">
        <f>(T365*'Fisico SPOT MAT'!T365+'Mono SPOT MAT'!V365*'Fisico SPOT MAT'!V365+'Mono SPOT MAT'!W365*'Fisico SPOT MAT'!W365)/'Fisico SPOT MAT'!AC365</f>
        <v>65.462794655791882</v>
      </c>
      <c r="AD365" s="85"/>
      <c r="AE365" s="41">
        <v>80.48641063111387</v>
      </c>
      <c r="AF365" s="42">
        <v>75.534147861727774</v>
      </c>
      <c r="AG365">
        <v>5050</v>
      </c>
      <c r="AH365" s="64">
        <f t="shared" si="185"/>
        <v>4.9603327176001866</v>
      </c>
      <c r="AJ365" s="41">
        <v>0.85</v>
      </c>
      <c r="AK365">
        <v>392</v>
      </c>
    </row>
    <row r="366" spans="1:37" x14ac:dyDescent="0.3">
      <c r="A366" s="3">
        <f>+'Mono ASIG'!A366</f>
        <v>1517.5209</v>
      </c>
      <c r="B366" s="3">
        <f>+'Mono ASIG'!B366</f>
        <v>1506.9</v>
      </c>
      <c r="C366" s="1">
        <f>+'Mono ASIG'!C366</f>
        <v>2026</v>
      </c>
      <c r="D366" s="1">
        <f t="shared" si="180"/>
        <v>9</v>
      </c>
      <c r="E366" s="1">
        <f>+'Fisico SPOT MAT'!E366</f>
        <v>16</v>
      </c>
      <c r="F366" s="1" t="str">
        <f>+'Mono ASIG'!F366</f>
        <v>lun</v>
      </c>
      <c r="G366" s="56">
        <f>+'Mono ASIG'!G366</f>
        <v>46272</v>
      </c>
      <c r="H366" s="17">
        <f t="shared" si="181"/>
        <v>88.716045860704796</v>
      </c>
      <c r="I366" s="17">
        <f t="shared" si="182"/>
        <v>77.491535292000719</v>
      </c>
      <c r="J366" s="17">
        <v>22.000000000000004</v>
      </c>
      <c r="K366" s="17">
        <f t="shared" si="183"/>
        <v>22.000000000000004</v>
      </c>
      <c r="L366" s="17">
        <f>+Precios!E366</f>
        <v>104.38864514324284</v>
      </c>
      <c r="M366" s="44">
        <f>SUMPRODUCT(H366:L366,'Fisico SPOT MAT'!H366:L366)*24</f>
        <v>10263796.583082274</v>
      </c>
      <c r="N366" s="19">
        <f>+'Fisico SPOT MAT'!AH366</f>
        <v>16.321493000115847</v>
      </c>
      <c r="O366" s="19">
        <f t="shared" si="184"/>
        <v>12.88265306122449</v>
      </c>
      <c r="P366" s="19">
        <v>6</v>
      </c>
      <c r="Q366" s="19">
        <v>6</v>
      </c>
      <c r="R366" s="19">
        <v>0</v>
      </c>
      <c r="S366" s="44">
        <f>SUMPRODUCT(N366:R366,'Fisico SPOT MAT'!N366:R366)*E366</f>
        <v>3557364.1246088417</v>
      </c>
      <c r="T366" s="17">
        <v>80</v>
      </c>
      <c r="U366" s="17">
        <v>18</v>
      </c>
      <c r="V366" s="17">
        <v>50</v>
      </c>
      <c r="W366" s="17">
        <v>60</v>
      </c>
      <c r="X366" s="28">
        <f>SUMPRODUCT(T366:W366,'Fisico SPOT MAT'!T366:W366)*24</f>
        <v>4413591.2650000062</v>
      </c>
      <c r="Y366" s="19">
        <v>0</v>
      </c>
      <c r="Z366" s="19">
        <v>5</v>
      </c>
      <c r="AA366" s="19">
        <v>0</v>
      </c>
      <c r="AB366" s="28">
        <f>SUMPRODUCT(Y366:AA366,'Fisico SPOT MAT'!Y366:AA366)*E366</f>
        <v>99223.890000000014</v>
      </c>
      <c r="AC366" s="122">
        <f>(T366*'Fisico SPOT MAT'!T366+'Mono SPOT MAT'!V366*'Fisico SPOT MAT'!V366+'Mono SPOT MAT'!W366*'Fisico SPOT MAT'!W366)/'Fisico SPOT MAT'!AC366</f>
        <v>63.414754937125473</v>
      </c>
      <c r="AD366" s="85"/>
      <c r="AE366" s="41">
        <v>82.752736169278506</v>
      </c>
      <c r="AF366" s="42">
        <v>71.52822560057443</v>
      </c>
      <c r="AG366">
        <v>5050</v>
      </c>
      <c r="AH366" s="64">
        <f t="shared" si="185"/>
        <v>5.1133096914262994</v>
      </c>
      <c r="AJ366" s="41">
        <v>0.85</v>
      </c>
      <c r="AK366">
        <v>392</v>
      </c>
    </row>
    <row r="367" spans="1:37" x14ac:dyDescent="0.3">
      <c r="A367" s="3">
        <f>+'Mono ASIG'!A367</f>
        <v>1517.5209</v>
      </c>
      <c r="B367" s="3">
        <f>+'Mono ASIG'!B367</f>
        <v>1506.9</v>
      </c>
      <c r="C367" s="1">
        <f>+'Mono ASIG'!C367</f>
        <v>2026</v>
      </c>
      <c r="D367" s="1">
        <f t="shared" ref="D367:D372" si="186">MONTH(G367)</f>
        <v>9</v>
      </c>
      <c r="E367" s="1">
        <f>+'Fisico SPOT MAT'!E367</f>
        <v>16</v>
      </c>
      <c r="F367" s="1" t="str">
        <f>+'Mono ASIG'!F367</f>
        <v>mar</v>
      </c>
      <c r="G367" s="56">
        <f>+'Mono ASIG'!G367</f>
        <v>46273</v>
      </c>
      <c r="H367" s="17">
        <f t="shared" ref="H367:H372" si="187">+AE367+AH367+AI367+AJ367</f>
        <v>96.978634151943169</v>
      </c>
      <c r="I367" s="17">
        <f t="shared" ref="I367:I372" si="188">+AF367+AH367+AI367+AJ367</f>
        <v>87.338308151140751</v>
      </c>
      <c r="J367" s="17">
        <v>22.000000000000004</v>
      </c>
      <c r="K367" s="17">
        <f t="shared" ref="K367:K372" si="189">+J367</f>
        <v>22.000000000000004</v>
      </c>
      <c r="L367" s="17">
        <f>+Precios!E367</f>
        <v>81.799631414661604</v>
      </c>
      <c r="M367" s="44">
        <f>SUMPRODUCT(H367:L367,'Fisico SPOT MAT'!H367:L367)*24</f>
        <v>9910830.1570141912</v>
      </c>
      <c r="N367" s="19">
        <f>+'Fisico SPOT MAT'!AH367</f>
        <v>16.303440682513244</v>
      </c>
      <c r="O367" s="19">
        <f t="shared" ref="O367:O372" si="190">AG367/AK367</f>
        <v>12.88265306122449</v>
      </c>
      <c r="P367" s="19">
        <v>6</v>
      </c>
      <c r="Q367" s="19">
        <v>6</v>
      </c>
      <c r="R367" s="19">
        <v>0</v>
      </c>
      <c r="S367" s="44">
        <f>SUMPRODUCT(N367:R367,'Fisico SPOT MAT'!N367:R367)*E367</f>
        <v>3517175.3846768695</v>
      </c>
      <c r="T367" s="17">
        <v>80</v>
      </c>
      <c r="U367" s="17">
        <v>18</v>
      </c>
      <c r="V367" s="17">
        <v>50</v>
      </c>
      <c r="W367" s="17">
        <v>60</v>
      </c>
      <c r="X367" s="28">
        <f>SUMPRODUCT(T367:W367,'Fisico SPOT MAT'!T367:W367)*24</f>
        <v>4760758.4550000001</v>
      </c>
      <c r="Y367" s="19">
        <v>0</v>
      </c>
      <c r="Z367" s="19">
        <v>5</v>
      </c>
      <c r="AA367" s="19">
        <v>0</v>
      </c>
      <c r="AB367" s="28">
        <f>SUMPRODUCT(Y367:AA367,'Fisico SPOT MAT'!Y367:AA367)*E367</f>
        <v>96768</v>
      </c>
      <c r="AC367" s="122">
        <f>(T367*'Fisico SPOT MAT'!T367+'Mono SPOT MAT'!V367*'Fisico SPOT MAT'!V367+'Mono SPOT MAT'!W367*'Fisico SPOT MAT'!W367)/'Fisico SPOT MAT'!AC367</f>
        <v>63.109024038399582</v>
      </c>
      <c r="AD367" s="85"/>
      <c r="AE367" s="41">
        <v>90.492865716106024</v>
      </c>
      <c r="AF367" s="42">
        <v>80.852539715303607</v>
      </c>
      <c r="AG367">
        <v>5050</v>
      </c>
      <c r="AH367" s="64">
        <f t="shared" ref="AH367:AH372" si="191">0.075*0.9*(AE367-7)</f>
        <v>5.6357684358371571</v>
      </c>
      <c r="AJ367" s="41">
        <v>0.85</v>
      </c>
      <c r="AK367">
        <v>392</v>
      </c>
    </row>
    <row r="368" spans="1:37" x14ac:dyDescent="0.3">
      <c r="A368" s="3">
        <f>+'Mono ASIG'!A368</f>
        <v>1517.5209</v>
      </c>
      <c r="B368" s="3">
        <f>+'Mono ASIG'!B368</f>
        <v>1506.9</v>
      </c>
      <c r="C368" s="1">
        <f>+'Mono ASIG'!C368</f>
        <v>2026</v>
      </c>
      <c r="D368" s="1">
        <f t="shared" si="186"/>
        <v>9</v>
      </c>
      <c r="E368" s="1">
        <f>+'Fisico SPOT MAT'!E368</f>
        <v>16</v>
      </c>
      <c r="F368" s="1" t="str">
        <f>+'Mono ASIG'!F368</f>
        <v>mié</v>
      </c>
      <c r="G368" s="56">
        <f>+'Mono ASIG'!G368</f>
        <v>46274</v>
      </c>
      <c r="H368" s="17">
        <f t="shared" si="187"/>
        <v>103.01027875375281</v>
      </c>
      <c r="I368" s="17">
        <f t="shared" si="188"/>
        <v>87.676014007634024</v>
      </c>
      <c r="J368" s="17">
        <v>22.000000000000004</v>
      </c>
      <c r="K368" s="17">
        <f t="shared" si="189"/>
        <v>22.000000000000004</v>
      </c>
      <c r="L368" s="17">
        <f>+Precios!E368</f>
        <v>84.727072766095347</v>
      </c>
      <c r="M368" s="44">
        <f>SUMPRODUCT(H368:L368,'Fisico SPOT MAT'!H368:L368)*24</f>
        <v>9914838.7784388084</v>
      </c>
      <c r="N368" s="19">
        <f>+'Fisico SPOT MAT'!AH368</f>
        <v>16.312696456618294</v>
      </c>
      <c r="O368" s="19">
        <f t="shared" si="190"/>
        <v>12.88265306122449</v>
      </c>
      <c r="P368" s="19">
        <v>6</v>
      </c>
      <c r="Q368" s="19">
        <v>6</v>
      </c>
      <c r="R368" s="19">
        <v>0</v>
      </c>
      <c r="S368" s="44">
        <f>SUMPRODUCT(N368:R368,'Fisico SPOT MAT'!N368:R368)*E368</f>
        <v>3536803.9035680266</v>
      </c>
      <c r="T368" s="17">
        <v>80</v>
      </c>
      <c r="U368" s="17">
        <v>18</v>
      </c>
      <c r="V368" s="17">
        <v>50</v>
      </c>
      <c r="W368" s="17">
        <v>60</v>
      </c>
      <c r="X368" s="28">
        <f>SUMPRODUCT(T368:W368,'Fisico SPOT MAT'!T368:W368)*24</f>
        <v>4297930.8450000007</v>
      </c>
      <c r="Y368" s="19">
        <v>0</v>
      </c>
      <c r="Z368" s="19">
        <v>5</v>
      </c>
      <c r="AA368" s="19">
        <v>0</v>
      </c>
      <c r="AB368" s="28">
        <f>SUMPRODUCT(Y368:AA368,'Fisico SPOT MAT'!Y368:AA368)*E368</f>
        <v>96890.776666666658</v>
      </c>
      <c r="AC368" s="122">
        <f>(T368*'Fisico SPOT MAT'!T368+'Mono SPOT MAT'!V368*'Fisico SPOT MAT'!V368+'Mono SPOT MAT'!W368*'Fisico SPOT MAT'!W368)/'Fisico SPOT MAT'!AC368</f>
        <v>63.437441562977675</v>
      </c>
      <c r="AD368" s="85"/>
      <c r="AE368" s="41">
        <v>96.14311827049444</v>
      </c>
      <c r="AF368" s="42">
        <v>80.80885352437565</v>
      </c>
      <c r="AG368">
        <v>5050</v>
      </c>
      <c r="AH368" s="64">
        <f t="shared" si="191"/>
        <v>6.0171604832583752</v>
      </c>
      <c r="AJ368" s="41">
        <v>0.85</v>
      </c>
      <c r="AK368">
        <v>392</v>
      </c>
    </row>
    <row r="369" spans="1:37" x14ac:dyDescent="0.3">
      <c r="A369" s="3">
        <f>+'Mono ASIG'!A369</f>
        <v>1517.5209</v>
      </c>
      <c r="B369" s="3">
        <f>+'Mono ASIG'!B369</f>
        <v>1506.9</v>
      </c>
      <c r="C369" s="1">
        <f>+'Mono ASIG'!C369</f>
        <v>2026</v>
      </c>
      <c r="D369" s="1">
        <f t="shared" si="186"/>
        <v>9</v>
      </c>
      <c r="E369" s="1">
        <f>+'Fisico SPOT MAT'!E369</f>
        <v>16</v>
      </c>
      <c r="F369" s="1" t="str">
        <f>+'Mono ASIG'!F369</f>
        <v>jue</v>
      </c>
      <c r="G369" s="56">
        <f>+'Mono ASIG'!G369</f>
        <v>46275</v>
      </c>
      <c r="H369" s="17">
        <f t="shared" si="187"/>
        <v>96.221720188307103</v>
      </c>
      <c r="I369" s="17">
        <f t="shared" si="188"/>
        <v>86.067504450606833</v>
      </c>
      <c r="J369" s="17">
        <v>22.000000000000004</v>
      </c>
      <c r="K369" s="17">
        <f t="shared" si="189"/>
        <v>22.000000000000004</v>
      </c>
      <c r="L369" s="17">
        <f>+Precios!E369</f>
        <v>115.43855337812782</v>
      </c>
      <c r="M369" s="44">
        <f>SUMPRODUCT(H369:L369,'Fisico SPOT MAT'!H369:L369)*24</f>
        <v>10157736.10506201</v>
      </c>
      <c r="N369" s="19">
        <f>+'Fisico SPOT MAT'!AH369</f>
        <v>16.310644519064233</v>
      </c>
      <c r="O369" s="19">
        <f t="shared" si="190"/>
        <v>12.88265306122449</v>
      </c>
      <c r="P369" s="19">
        <v>6</v>
      </c>
      <c r="Q369" s="19">
        <v>6</v>
      </c>
      <c r="R369" s="19">
        <v>0</v>
      </c>
      <c r="S369" s="44">
        <f>SUMPRODUCT(N369:R369,'Fisico SPOT MAT'!N369:R369)*E369</f>
        <v>3532703.1282925168</v>
      </c>
      <c r="T369" s="17">
        <v>80</v>
      </c>
      <c r="U369" s="17">
        <v>18</v>
      </c>
      <c r="V369" s="17">
        <v>50</v>
      </c>
      <c r="W369" s="17">
        <v>60</v>
      </c>
      <c r="X369" s="28">
        <f>SUMPRODUCT(T369:W369,'Fisico SPOT MAT'!T369:W369)*24</f>
        <v>3165261.5250000013</v>
      </c>
      <c r="Y369" s="19">
        <v>0</v>
      </c>
      <c r="Z369" s="19">
        <v>5</v>
      </c>
      <c r="AA369" s="19">
        <v>0</v>
      </c>
      <c r="AB369" s="28">
        <f>SUMPRODUCT(Y369:AA369,'Fisico SPOT MAT'!Y369:AA369)*E369</f>
        <v>97356.451666666675</v>
      </c>
      <c r="AC369" s="122">
        <f>(T369*'Fisico SPOT MAT'!T369+'Mono SPOT MAT'!V369*'Fisico SPOT MAT'!V369+'Mono SPOT MAT'!W369*'Fisico SPOT MAT'!W369)/'Fisico SPOT MAT'!AC369</f>
        <v>64.770537172524854</v>
      </c>
      <c r="AD369" s="85"/>
      <c r="AE369" s="41">
        <v>89.78381282277013</v>
      </c>
      <c r="AF369" s="42">
        <v>79.629597085069861</v>
      </c>
      <c r="AG369">
        <v>5050</v>
      </c>
      <c r="AH369" s="64">
        <f t="shared" si="191"/>
        <v>5.5879073655369842</v>
      </c>
      <c r="AJ369" s="41">
        <v>0.85</v>
      </c>
      <c r="AK369">
        <v>392</v>
      </c>
    </row>
    <row r="370" spans="1:37" x14ac:dyDescent="0.3">
      <c r="A370" s="3">
        <f>+'Mono ASIG'!A370</f>
        <v>1517.5209</v>
      </c>
      <c r="B370" s="3">
        <f>+'Mono ASIG'!B370</f>
        <v>1506.9</v>
      </c>
      <c r="C370" s="1">
        <f>+'Mono ASIG'!C370</f>
        <v>2026</v>
      </c>
      <c r="D370" s="1">
        <f t="shared" si="186"/>
        <v>9</v>
      </c>
      <c r="E370" s="1">
        <f>+'Fisico SPOT MAT'!E370</f>
        <v>16</v>
      </c>
      <c r="F370" s="1" t="str">
        <f>+'Mono ASIG'!F370</f>
        <v>vie</v>
      </c>
      <c r="G370" s="56">
        <f>+'Mono ASIG'!G370</f>
        <v>46276</v>
      </c>
      <c r="H370" s="17">
        <f t="shared" si="187"/>
        <v>81.136648760051088</v>
      </c>
      <c r="I370" s="17">
        <f t="shared" si="188"/>
        <v>89.654100424763357</v>
      </c>
      <c r="J370" s="17">
        <v>22.000000000000004</v>
      </c>
      <c r="K370" s="17">
        <f t="shared" si="189"/>
        <v>22.000000000000004</v>
      </c>
      <c r="L370" s="17">
        <f>+Precios!E370</f>
        <v>59.399665609291397</v>
      </c>
      <c r="M370" s="44">
        <f>SUMPRODUCT(H370:L370,'Fisico SPOT MAT'!H370:L370)*24</f>
        <v>7804022.1250623707</v>
      </c>
      <c r="N370" s="19">
        <f>+'Fisico SPOT MAT'!AH370</f>
        <v>16.296833507288049</v>
      </c>
      <c r="O370" s="19">
        <f t="shared" si="190"/>
        <v>12.88265306122449</v>
      </c>
      <c r="P370" s="19">
        <v>6</v>
      </c>
      <c r="Q370" s="19">
        <v>6</v>
      </c>
      <c r="R370" s="19">
        <v>0</v>
      </c>
      <c r="S370" s="44">
        <f>SUMPRODUCT(N370:R370,'Fisico SPOT MAT'!N370:R370)*E370</f>
        <v>3502554.6966088424</v>
      </c>
      <c r="T370" s="17">
        <v>80</v>
      </c>
      <c r="U370" s="17">
        <v>18</v>
      </c>
      <c r="V370" s="17">
        <v>50</v>
      </c>
      <c r="W370" s="17">
        <v>60</v>
      </c>
      <c r="X370" s="28">
        <f>SUMPRODUCT(T370:W370,'Fisico SPOT MAT'!T370:W370)*24</f>
        <v>3941521.8350000004</v>
      </c>
      <c r="Y370" s="19">
        <v>0</v>
      </c>
      <c r="Z370" s="19">
        <v>5</v>
      </c>
      <c r="AA370" s="19">
        <v>0</v>
      </c>
      <c r="AB370" s="28">
        <f>SUMPRODUCT(Y370:AA370,'Fisico SPOT MAT'!Y370:AA370)*E370</f>
        <v>97968</v>
      </c>
      <c r="AC370" s="122">
        <f>(T370*'Fisico SPOT MAT'!T370+'Mono SPOT MAT'!V370*'Fisico SPOT MAT'!V370+'Mono SPOT MAT'!W370*'Fisico SPOT MAT'!W370)/'Fisico SPOT MAT'!AC370</f>
        <v>63.807673930687173</v>
      </c>
      <c r="AD370" s="85"/>
      <c r="AE370" s="41">
        <v>75.652598370071289</v>
      </c>
      <c r="AF370" s="42">
        <v>84.170050034783543</v>
      </c>
      <c r="AG370">
        <v>5050</v>
      </c>
      <c r="AH370" s="64">
        <f t="shared" si="191"/>
        <v>4.6340503899798122</v>
      </c>
      <c r="AJ370" s="41">
        <v>0.85</v>
      </c>
      <c r="AK370">
        <v>392</v>
      </c>
    </row>
    <row r="371" spans="1:37" x14ac:dyDescent="0.3">
      <c r="A371" s="3">
        <f>+'Mono ASIG'!A371</f>
        <v>1517.5209</v>
      </c>
      <c r="B371" s="3">
        <f>+'Mono ASIG'!B371</f>
        <v>1506.9</v>
      </c>
      <c r="C371" s="1">
        <f>+'Mono ASIG'!C371</f>
        <v>2026</v>
      </c>
      <c r="D371" s="1">
        <f t="shared" si="186"/>
        <v>9</v>
      </c>
      <c r="E371" s="1">
        <f>+'Fisico SPOT MAT'!E371</f>
        <v>6</v>
      </c>
      <c r="F371" s="1" t="str">
        <f>+'Mono ASIG'!F371</f>
        <v>sáb</v>
      </c>
      <c r="G371" s="56">
        <f>+'Mono ASIG'!G371</f>
        <v>46277</v>
      </c>
      <c r="H371" s="17">
        <f t="shared" si="187"/>
        <v>85.527481302091914</v>
      </c>
      <c r="I371" s="17">
        <f t="shared" si="188"/>
        <v>86.253208514658141</v>
      </c>
      <c r="J371" s="17">
        <v>22.000000000000004</v>
      </c>
      <c r="K371" s="17">
        <f t="shared" si="189"/>
        <v>22.000000000000004</v>
      </c>
      <c r="L371" s="17">
        <f>+Precios!E371</f>
        <v>78.852023207510072</v>
      </c>
      <c r="M371" s="44">
        <f>SUMPRODUCT(H371:L371,'Fisico SPOT MAT'!H371:L371)*24</f>
        <v>7804504.5354809398</v>
      </c>
      <c r="N371" s="19">
        <f>+'Fisico SPOT MAT'!AH371</f>
        <v>16.208133363545734</v>
      </c>
      <c r="O371" s="19">
        <f t="shared" si="190"/>
        <v>12.88265306122449</v>
      </c>
      <c r="P371" s="19">
        <v>6</v>
      </c>
      <c r="Q371" s="19">
        <v>6</v>
      </c>
      <c r="R371" s="19">
        <v>0</v>
      </c>
      <c r="S371" s="44">
        <f>SUMPRODUCT(N371:R371,'Fisico SPOT MAT'!N371:R371)*E371</f>
        <v>1246208.2753864792</v>
      </c>
      <c r="T371" s="17">
        <v>80</v>
      </c>
      <c r="U371" s="17">
        <v>18</v>
      </c>
      <c r="V371" s="17">
        <v>50</v>
      </c>
      <c r="W371" s="17">
        <v>60</v>
      </c>
      <c r="X371" s="28">
        <f>SUMPRODUCT(T371:W371,'Fisico SPOT MAT'!T371:W371)*24</f>
        <v>3431036.8649999974</v>
      </c>
      <c r="Y371" s="19">
        <v>0</v>
      </c>
      <c r="Z371" s="19">
        <v>5</v>
      </c>
      <c r="AA371" s="19">
        <v>0</v>
      </c>
      <c r="AB371" s="28">
        <f>SUMPRODUCT(Y371:AA371,'Fisico SPOT MAT'!Y371:AA371)*E371</f>
        <v>36738</v>
      </c>
      <c r="AC371" s="122">
        <f>(T371*'Fisico SPOT MAT'!T371+'Mono SPOT MAT'!V371*'Fisico SPOT MAT'!V371+'Mono SPOT MAT'!W371*'Fisico SPOT MAT'!W371)/'Fisico SPOT MAT'!AC371</f>
        <v>64.152848180344165</v>
      </c>
      <c r="AD371" s="85"/>
      <c r="AE371" s="41">
        <v>79.765790446924512</v>
      </c>
      <c r="AF371" s="42">
        <v>80.491517659490739</v>
      </c>
      <c r="AG371">
        <v>5050</v>
      </c>
      <c r="AH371" s="64">
        <f t="shared" si="191"/>
        <v>4.9116908551674046</v>
      </c>
      <c r="AJ371" s="41">
        <v>0.85</v>
      </c>
      <c r="AK371">
        <v>392</v>
      </c>
    </row>
    <row r="372" spans="1:37" x14ac:dyDescent="0.3">
      <c r="A372" s="3">
        <f>+'Mono ASIG'!A372</f>
        <v>1517.5209</v>
      </c>
      <c r="B372" s="3">
        <f>+'Mono ASIG'!B372</f>
        <v>1506.9</v>
      </c>
      <c r="C372" s="1">
        <f>+'Mono ASIG'!C372</f>
        <v>2026</v>
      </c>
      <c r="D372" s="1">
        <f t="shared" si="186"/>
        <v>9</v>
      </c>
      <c r="E372" s="1">
        <f>+'Fisico SPOT MAT'!E372</f>
        <v>4</v>
      </c>
      <c r="F372" s="1" t="str">
        <f>+'Mono ASIG'!F372</f>
        <v>dom</v>
      </c>
      <c r="G372" s="56">
        <f>+'Mono ASIG'!G372</f>
        <v>46278</v>
      </c>
      <c r="H372" s="17">
        <f t="shared" si="187"/>
        <v>88.042593778181924</v>
      </c>
      <c r="I372" s="17">
        <f t="shared" si="188"/>
        <v>89.701894913489724</v>
      </c>
      <c r="J372" s="17">
        <v>22.000000000000004</v>
      </c>
      <c r="K372" s="17">
        <f t="shared" si="189"/>
        <v>22.000000000000004</v>
      </c>
      <c r="L372" s="17">
        <f>+Precios!E372</f>
        <v>72.601587492674355</v>
      </c>
      <c r="M372" s="44">
        <f>SUMPRODUCT(H372:L372,'Fisico SPOT MAT'!H372:L372)*24</f>
        <v>7697573.0409155563</v>
      </c>
      <c r="N372" s="19">
        <f>+'Fisico SPOT MAT'!AH372</f>
        <v>16.19915039917721</v>
      </c>
      <c r="O372" s="19">
        <f t="shared" si="190"/>
        <v>12.88265306122449</v>
      </c>
      <c r="P372" s="19">
        <v>6</v>
      </c>
      <c r="Q372" s="19">
        <v>6</v>
      </c>
      <c r="R372" s="19">
        <v>0</v>
      </c>
      <c r="S372" s="44">
        <f>SUMPRODUCT(N372:R372,'Fisico SPOT MAT'!N372:R372)*E372</f>
        <v>827589.86841581622</v>
      </c>
      <c r="T372" s="17">
        <v>80</v>
      </c>
      <c r="U372" s="17">
        <v>18</v>
      </c>
      <c r="V372" s="17">
        <v>50</v>
      </c>
      <c r="W372" s="17">
        <v>60</v>
      </c>
      <c r="X372" s="28">
        <f>SUMPRODUCT(T372:W372,'Fisico SPOT MAT'!T372:W372)*24</f>
        <v>3425773.919999999</v>
      </c>
      <c r="Y372" s="19">
        <v>0</v>
      </c>
      <c r="Z372" s="19">
        <v>5</v>
      </c>
      <c r="AA372" s="19">
        <v>0</v>
      </c>
      <c r="AB372" s="28">
        <f>SUMPRODUCT(Y372:AA372,'Fisico SPOT MAT'!Y372:AA372)*E372</f>
        <v>24492.032500000001</v>
      </c>
      <c r="AC372" s="122">
        <f>(T372*'Fisico SPOT MAT'!T372+'Mono SPOT MAT'!V372*'Fisico SPOT MAT'!V372+'Mono SPOT MAT'!W372*'Fisico SPOT MAT'!W372)/'Fisico SPOT MAT'!AC372</f>
        <v>64.327465560065178</v>
      </c>
      <c r="AD372" s="85"/>
      <c r="AE372" s="41">
        <v>82.121867707898758</v>
      </c>
      <c r="AF372" s="42">
        <v>83.781168843206558</v>
      </c>
      <c r="AG372">
        <v>5050</v>
      </c>
      <c r="AH372" s="64">
        <f t="shared" si="191"/>
        <v>5.0707260702831665</v>
      </c>
      <c r="AJ372" s="41">
        <v>0.85</v>
      </c>
      <c r="AK372">
        <v>392</v>
      </c>
    </row>
    <row r="373" spans="1:37" x14ac:dyDescent="0.3">
      <c r="A373" s="3">
        <f>+'Mono ASIG'!A373</f>
        <v>1517.5209</v>
      </c>
      <c r="B373" s="3">
        <f>+'Mono ASIG'!B373</f>
        <v>1511.154</v>
      </c>
      <c r="C373" s="1">
        <f>+'Mono ASIG'!C373</f>
        <v>2026</v>
      </c>
      <c r="D373" s="1">
        <f t="shared" ref="D373:D378" si="192">MONTH(G373)</f>
        <v>9</v>
      </c>
      <c r="E373" s="1">
        <f>+'Fisico SPOT MAT'!E373</f>
        <v>16</v>
      </c>
      <c r="F373" s="1" t="str">
        <f>+'Mono ASIG'!F373</f>
        <v>lun</v>
      </c>
      <c r="G373" s="56">
        <f>+'Mono ASIG'!G373</f>
        <v>46279</v>
      </c>
      <c r="H373" s="17">
        <f t="shared" ref="H373:H378" si="193">+AE373+AH373+AI373+AJ373</f>
        <v>87.481482064785311</v>
      </c>
      <c r="I373" s="17">
        <f t="shared" ref="I373:I378" si="194">+AF373+AH373+AI373+AJ373</f>
        <v>85.29809015364809</v>
      </c>
      <c r="J373" s="17">
        <v>22.000000000000004</v>
      </c>
      <c r="K373" s="17">
        <f t="shared" ref="K373:K378" si="195">+J373</f>
        <v>22.000000000000004</v>
      </c>
      <c r="L373" s="17">
        <f>+Precios!E373</f>
        <v>82.715804720540376</v>
      </c>
      <c r="M373" s="44">
        <f>SUMPRODUCT(H373:L373,'Fisico SPOT MAT'!H373:L373)*24</f>
        <v>8577085.0764284134</v>
      </c>
      <c r="N373" s="19">
        <f>+'Fisico SPOT MAT'!AH373</f>
        <v>16.260118167175854</v>
      </c>
      <c r="O373" s="19">
        <f t="shared" ref="O373:O378" si="196">AG373/AK373</f>
        <v>12.88265306122449</v>
      </c>
      <c r="P373" s="19">
        <v>6</v>
      </c>
      <c r="Q373" s="19">
        <v>6</v>
      </c>
      <c r="R373" s="19">
        <v>0</v>
      </c>
      <c r="S373" s="44">
        <f>SUMPRODUCT(N373:R373,'Fisico SPOT MAT'!N373:R373)*E373</f>
        <v>3431354.001707484</v>
      </c>
      <c r="T373" s="17">
        <v>80</v>
      </c>
      <c r="U373" s="17">
        <v>18</v>
      </c>
      <c r="V373" s="17">
        <v>50</v>
      </c>
      <c r="W373" s="17">
        <v>60</v>
      </c>
      <c r="X373" s="28">
        <f>SUMPRODUCT(T373:W373,'Fisico SPOT MAT'!T373:W373)*24</f>
        <v>5232516.5600000005</v>
      </c>
      <c r="Y373" s="19">
        <v>0</v>
      </c>
      <c r="Z373" s="19">
        <v>5</v>
      </c>
      <c r="AA373" s="19">
        <v>0</v>
      </c>
      <c r="AB373" s="28">
        <f>SUMPRODUCT(Y373:AA373,'Fisico SPOT MAT'!Y373:AA373)*E373</f>
        <v>97968</v>
      </c>
      <c r="AC373" s="122">
        <f>(T373*'Fisico SPOT MAT'!T373+'Mono SPOT MAT'!V373*'Fisico SPOT MAT'!V373+'Mono SPOT MAT'!W373*'Fisico SPOT MAT'!W373)/'Fisico SPOT MAT'!AC373</f>
        <v>62.868062544131</v>
      </c>
      <c r="AD373" s="85"/>
      <c r="AE373" s="41">
        <v>81.596236126262596</v>
      </c>
      <c r="AF373" s="42">
        <v>79.412844215125375</v>
      </c>
      <c r="AG373">
        <v>5050</v>
      </c>
      <c r="AH373" s="64">
        <f t="shared" ref="AH373:AH378" si="197">0.075*0.9*(AE373-7)</f>
        <v>5.035245938522726</v>
      </c>
      <c r="AJ373" s="41">
        <v>0.85</v>
      </c>
      <c r="AK373">
        <v>392</v>
      </c>
    </row>
    <row r="374" spans="1:37" x14ac:dyDescent="0.3">
      <c r="A374" s="3">
        <f>+'Mono ASIG'!A374</f>
        <v>1517.5209</v>
      </c>
      <c r="B374" s="3">
        <f>+'Mono ASIG'!B374</f>
        <v>1511.154</v>
      </c>
      <c r="C374" s="1">
        <f>+'Mono ASIG'!C374</f>
        <v>2026</v>
      </c>
      <c r="D374" s="1">
        <f t="shared" si="192"/>
        <v>9</v>
      </c>
      <c r="E374" s="1">
        <f>+'Fisico SPOT MAT'!E374</f>
        <v>16</v>
      </c>
      <c r="F374" s="1" t="str">
        <f>+'Mono ASIG'!F374</f>
        <v>mar</v>
      </c>
      <c r="G374" s="56">
        <f>+'Mono ASIG'!G374</f>
        <v>46280</v>
      </c>
      <c r="H374" s="17">
        <f t="shared" si="193"/>
        <v>97.980369368338742</v>
      </c>
      <c r="I374" s="17">
        <f t="shared" si="194"/>
        <v>82.608516192357314</v>
      </c>
      <c r="J374" s="17">
        <v>22.000000000000004</v>
      </c>
      <c r="K374" s="17">
        <f t="shared" si="195"/>
        <v>22.000000000000004</v>
      </c>
      <c r="L374" s="17">
        <f>+Precios!E374</f>
        <v>143.74149033303081</v>
      </c>
      <c r="M374" s="44">
        <f>SUMPRODUCT(H374:L374,'Fisico SPOT MAT'!H374:L374)*24</f>
        <v>7586557.4556707293</v>
      </c>
      <c r="N374" s="19">
        <f>+'Fisico SPOT MAT'!AH374</f>
        <v>16.199162297823051</v>
      </c>
      <c r="O374" s="19">
        <f t="shared" si="196"/>
        <v>12.88265306122449</v>
      </c>
      <c r="P374" s="19">
        <v>6</v>
      </c>
      <c r="Q374" s="19">
        <v>6</v>
      </c>
      <c r="R374" s="19">
        <v>0</v>
      </c>
      <c r="S374" s="44">
        <f>SUMPRODUCT(N374:R374,'Fisico SPOT MAT'!N374:R374)*E374</f>
        <v>3309394.2357482975</v>
      </c>
      <c r="T374" s="17">
        <v>80</v>
      </c>
      <c r="U374" s="17">
        <v>18</v>
      </c>
      <c r="V374" s="17">
        <v>50</v>
      </c>
      <c r="W374" s="17">
        <v>60</v>
      </c>
      <c r="X374" s="28">
        <f>SUMPRODUCT(T374:W374,'Fisico SPOT MAT'!T374:W374)*24</f>
        <v>4589050.3200000022</v>
      </c>
      <c r="Y374" s="19">
        <v>0</v>
      </c>
      <c r="Z374" s="19">
        <v>5</v>
      </c>
      <c r="AA374" s="19">
        <v>0</v>
      </c>
      <c r="AB374" s="28">
        <f>SUMPRODUCT(Y374:AA374,'Fisico SPOT MAT'!Y374:AA374)*E374</f>
        <v>97451.333333333314</v>
      </c>
      <c r="AC374" s="122">
        <f>(T374*'Fisico SPOT MAT'!T374+'Mono SPOT MAT'!V374*'Fisico SPOT MAT'!V374+'Mono SPOT MAT'!W374*'Fisico SPOT MAT'!W374)/'Fisico SPOT MAT'!AC374</f>
        <v>63.255451602279777</v>
      </c>
      <c r="AD374" s="85"/>
      <c r="AE374" s="41">
        <v>91.431259361441448</v>
      </c>
      <c r="AF374" s="42">
        <v>76.05940618546002</v>
      </c>
      <c r="AG374">
        <v>5050</v>
      </c>
      <c r="AH374" s="64">
        <f t="shared" si="197"/>
        <v>5.699110006897298</v>
      </c>
      <c r="AJ374" s="41">
        <v>0.85</v>
      </c>
      <c r="AK374">
        <v>392</v>
      </c>
    </row>
    <row r="375" spans="1:37" x14ac:dyDescent="0.3">
      <c r="A375" s="3">
        <f>+'Mono ASIG'!A375</f>
        <v>1517.5209</v>
      </c>
      <c r="B375" s="3">
        <f>+'Mono ASIG'!B375</f>
        <v>1511.154</v>
      </c>
      <c r="C375" s="1">
        <f>+'Mono ASIG'!C375</f>
        <v>2026</v>
      </c>
      <c r="D375" s="1">
        <f t="shared" si="192"/>
        <v>9</v>
      </c>
      <c r="E375" s="1">
        <f>+'Fisico SPOT MAT'!E375</f>
        <v>16</v>
      </c>
      <c r="F375" s="1" t="str">
        <f>+'Mono ASIG'!F375</f>
        <v>mié</v>
      </c>
      <c r="G375" s="56">
        <f>+'Mono ASIG'!G375</f>
        <v>46281</v>
      </c>
      <c r="H375" s="17">
        <f t="shared" si="193"/>
        <v>87.514259734830475</v>
      </c>
      <c r="I375" s="17">
        <f t="shared" si="194"/>
        <v>81.016274997860918</v>
      </c>
      <c r="J375" s="17">
        <v>22.000000000000004</v>
      </c>
      <c r="K375" s="17">
        <f t="shared" si="195"/>
        <v>22.000000000000004</v>
      </c>
      <c r="L375" s="17">
        <f>+Precios!E375</f>
        <v>102.22329789184194</v>
      </c>
      <c r="M375" s="44">
        <f>SUMPRODUCT(H375:L375,'Fisico SPOT MAT'!H375:L375)*24</f>
        <v>7268450.8461543657</v>
      </c>
      <c r="N375" s="19">
        <f>+'Fisico SPOT MAT'!AH375</f>
        <v>16.200219204551949</v>
      </c>
      <c r="O375" s="19">
        <f t="shared" si="196"/>
        <v>12.88265306122449</v>
      </c>
      <c r="P375" s="19">
        <v>6</v>
      </c>
      <c r="Q375" s="19">
        <v>6</v>
      </c>
      <c r="R375" s="19">
        <v>0</v>
      </c>
      <c r="S375" s="44">
        <f>SUMPRODUCT(N375:R375,'Fisico SPOT MAT'!N375:R375)*E375</f>
        <v>3310039.6261088401</v>
      </c>
      <c r="T375" s="17">
        <v>80</v>
      </c>
      <c r="U375" s="17">
        <v>18</v>
      </c>
      <c r="V375" s="17">
        <v>50</v>
      </c>
      <c r="W375" s="17">
        <v>60</v>
      </c>
      <c r="X375" s="28">
        <f>SUMPRODUCT(T375:W375,'Fisico SPOT MAT'!T375:W375)*24</f>
        <v>4866670.6849999987</v>
      </c>
      <c r="Y375" s="19">
        <v>0</v>
      </c>
      <c r="Z375" s="19">
        <v>5</v>
      </c>
      <c r="AA375" s="19">
        <v>0</v>
      </c>
      <c r="AB375" s="28">
        <f>SUMPRODUCT(Y375:AA375,'Fisico SPOT MAT'!Y375:AA375)*E375</f>
        <v>97168</v>
      </c>
      <c r="AC375" s="122">
        <f>(T375*'Fisico SPOT MAT'!T375+'Mono SPOT MAT'!V375*'Fisico SPOT MAT'!V375+'Mono SPOT MAT'!W375*'Fisico SPOT MAT'!W375)/'Fisico SPOT MAT'!AC375</f>
        <v>63.132725284776669</v>
      </c>
      <c r="AD375" s="85"/>
      <c r="AE375" s="41">
        <v>81.626941203588274</v>
      </c>
      <c r="AF375" s="42">
        <v>75.128956466618718</v>
      </c>
      <c r="AG375">
        <v>5050</v>
      </c>
      <c r="AH375" s="64">
        <f t="shared" si="197"/>
        <v>5.0373185312422084</v>
      </c>
      <c r="AJ375" s="41">
        <v>0.85</v>
      </c>
      <c r="AK375">
        <v>392</v>
      </c>
    </row>
    <row r="376" spans="1:37" x14ac:dyDescent="0.3">
      <c r="A376" s="3">
        <f>+'Mono ASIG'!A376</f>
        <v>1517.5209</v>
      </c>
      <c r="B376" s="3">
        <f>+'Mono ASIG'!B376</f>
        <v>1511.154</v>
      </c>
      <c r="C376" s="1">
        <f>+'Mono ASIG'!C376</f>
        <v>2026</v>
      </c>
      <c r="D376" s="1">
        <f t="shared" si="192"/>
        <v>9</v>
      </c>
      <c r="E376" s="1">
        <f>+'Fisico SPOT MAT'!E376</f>
        <v>16</v>
      </c>
      <c r="F376" s="1" t="str">
        <f>+'Mono ASIG'!F376</f>
        <v>jue</v>
      </c>
      <c r="G376" s="56">
        <f>+'Mono ASIG'!G376</f>
        <v>46282</v>
      </c>
      <c r="H376" s="17">
        <f t="shared" si="193"/>
        <v>72.334946614473452</v>
      </c>
      <c r="I376" s="17">
        <f t="shared" si="194"/>
        <v>82.253879810406175</v>
      </c>
      <c r="J376" s="17">
        <v>22.000000000000004</v>
      </c>
      <c r="K376" s="17">
        <f t="shared" si="195"/>
        <v>22.000000000000004</v>
      </c>
      <c r="L376" s="17">
        <f>+Precios!E376</f>
        <v>60.652552894457124</v>
      </c>
      <c r="M376" s="44">
        <f>SUMPRODUCT(H376:L376,'Fisico SPOT MAT'!H376:L376)*24</f>
        <v>6164930.2167845387</v>
      </c>
      <c r="N376" s="19">
        <f>+'Fisico SPOT MAT'!AH376</f>
        <v>16.214443582853004</v>
      </c>
      <c r="O376" s="19">
        <f t="shared" si="196"/>
        <v>12.88265306122449</v>
      </c>
      <c r="P376" s="19">
        <v>6</v>
      </c>
      <c r="Q376" s="19">
        <v>6</v>
      </c>
      <c r="R376" s="19">
        <v>0</v>
      </c>
      <c r="S376" s="44">
        <f>SUMPRODUCT(N376:R376,'Fisico SPOT MAT'!N376:R376)*E376</f>
        <v>3334805.6400544187</v>
      </c>
      <c r="T376" s="17">
        <v>80</v>
      </c>
      <c r="U376" s="17">
        <v>18</v>
      </c>
      <c r="V376" s="17">
        <v>50</v>
      </c>
      <c r="W376" s="17">
        <v>60</v>
      </c>
      <c r="X376" s="28">
        <f>SUMPRODUCT(T376:W376,'Fisico SPOT MAT'!T376:W376)*24</f>
        <v>4368396.254999998</v>
      </c>
      <c r="Y376" s="19">
        <v>0</v>
      </c>
      <c r="Z376" s="19">
        <v>5</v>
      </c>
      <c r="AA376" s="19">
        <v>0</v>
      </c>
      <c r="AB376" s="28">
        <f>SUMPRODUCT(Y376:AA376,'Fisico SPOT MAT'!Y376:AA376)*E376</f>
        <v>97640.22166666665</v>
      </c>
      <c r="AC376" s="122">
        <f>(T376*'Fisico SPOT MAT'!T376+'Mono SPOT MAT'!V376*'Fisico SPOT MAT'!V376+'Mono SPOT MAT'!W376*'Fisico SPOT MAT'!W376)/'Fisico SPOT MAT'!AC376</f>
        <v>63.450574269822653</v>
      </c>
      <c r="AD376" s="85"/>
      <c r="AE376" s="41">
        <v>67.407444135338139</v>
      </c>
      <c r="AF376" s="42">
        <v>77.326377331270862</v>
      </c>
      <c r="AG376">
        <v>5050</v>
      </c>
      <c r="AH376" s="64">
        <f t="shared" si="197"/>
        <v>4.0775024791353243</v>
      </c>
      <c r="AJ376" s="41">
        <v>0.85</v>
      </c>
      <c r="AK376">
        <v>392</v>
      </c>
    </row>
    <row r="377" spans="1:37" x14ac:dyDescent="0.3">
      <c r="A377" s="3">
        <f>+'Mono ASIG'!A377</f>
        <v>1517.5209</v>
      </c>
      <c r="B377" s="3">
        <f>+'Mono ASIG'!B377</f>
        <v>1511.154</v>
      </c>
      <c r="C377" s="1">
        <f>+'Mono ASIG'!C377</f>
        <v>2026</v>
      </c>
      <c r="D377" s="1">
        <f t="shared" si="192"/>
        <v>9</v>
      </c>
      <c r="E377" s="1">
        <f>+'Fisico SPOT MAT'!E377</f>
        <v>16</v>
      </c>
      <c r="F377" s="1" t="str">
        <f>+'Mono ASIG'!F377</f>
        <v>vie</v>
      </c>
      <c r="G377" s="56">
        <f>+'Mono ASIG'!G377</f>
        <v>46283</v>
      </c>
      <c r="H377" s="17">
        <f t="shared" si="193"/>
        <v>64.238528300681097</v>
      </c>
      <c r="I377" s="17">
        <f t="shared" si="194"/>
        <v>86.682686315276158</v>
      </c>
      <c r="J377" s="17">
        <v>22.000000000000004</v>
      </c>
      <c r="K377" s="17">
        <f t="shared" si="195"/>
        <v>22.000000000000004</v>
      </c>
      <c r="L377" s="17">
        <f>+Precios!E377</f>
        <v>42.384984759246976</v>
      </c>
      <c r="M377" s="44">
        <f>SUMPRODUCT(H377:L377,'Fisico SPOT MAT'!H377:L377)*24</f>
        <v>4975046.3588564033</v>
      </c>
      <c r="N377" s="19">
        <f>+'Fisico SPOT MAT'!AH377</f>
        <v>16.202088922961646</v>
      </c>
      <c r="O377" s="19">
        <f t="shared" si="196"/>
        <v>12.88265306122449</v>
      </c>
      <c r="P377" s="19">
        <v>6</v>
      </c>
      <c r="Q377" s="19">
        <v>6</v>
      </c>
      <c r="R377" s="19">
        <v>0</v>
      </c>
      <c r="S377" s="44">
        <f>SUMPRODUCT(N377:R377,'Fisico SPOT MAT'!N377:R377)*E377</f>
        <v>3307029.5754081612</v>
      </c>
      <c r="T377" s="17">
        <v>80</v>
      </c>
      <c r="U377" s="17">
        <v>18</v>
      </c>
      <c r="V377" s="17">
        <v>50</v>
      </c>
      <c r="W377" s="17">
        <v>60</v>
      </c>
      <c r="X377" s="28">
        <f>SUMPRODUCT(T377:W377,'Fisico SPOT MAT'!T377:W377)*24</f>
        <v>4300239.0350000095</v>
      </c>
      <c r="Y377" s="19">
        <v>0</v>
      </c>
      <c r="Z377" s="19">
        <v>5</v>
      </c>
      <c r="AA377" s="19">
        <v>0</v>
      </c>
      <c r="AB377" s="28">
        <f>SUMPRODUCT(Y377:AA377,'Fisico SPOT MAT'!Y377:AA377)*E377</f>
        <v>98048</v>
      </c>
      <c r="AC377" s="122">
        <f>(T377*'Fisico SPOT MAT'!T377+'Mono SPOT MAT'!V377*'Fisico SPOT MAT'!V377+'Mono SPOT MAT'!W377*'Fisico SPOT MAT'!W377)/'Fisico SPOT MAT'!AC377</f>
        <v>63.60004221947846</v>
      </c>
      <c r="AD377" s="85"/>
      <c r="AE377" s="41">
        <v>59.822977330848801</v>
      </c>
      <c r="AF377" s="42">
        <v>82.267135345443862</v>
      </c>
      <c r="AG377">
        <v>5050</v>
      </c>
      <c r="AH377" s="64">
        <f t="shared" si="197"/>
        <v>3.5655509698322945</v>
      </c>
      <c r="AJ377" s="41">
        <v>0.85</v>
      </c>
      <c r="AK377">
        <v>392</v>
      </c>
    </row>
    <row r="378" spans="1:37" x14ac:dyDescent="0.3">
      <c r="A378" s="3">
        <f>+'Mono ASIG'!A378</f>
        <v>1517.5209</v>
      </c>
      <c r="B378" s="3">
        <f>+'Mono ASIG'!B378</f>
        <v>1511.154</v>
      </c>
      <c r="C378" s="1">
        <f>+'Mono ASIG'!C378</f>
        <v>2026</v>
      </c>
      <c r="D378" s="1">
        <f t="shared" si="192"/>
        <v>9</v>
      </c>
      <c r="E378" s="1">
        <f>+'Fisico SPOT MAT'!E378</f>
        <v>6</v>
      </c>
      <c r="F378" s="1" t="str">
        <f>+'Mono ASIG'!F378</f>
        <v>sáb</v>
      </c>
      <c r="G378" s="56">
        <f>+'Mono ASIG'!G378</f>
        <v>46284</v>
      </c>
      <c r="H378" s="17">
        <f t="shared" si="193"/>
        <v>58.578878467024602</v>
      </c>
      <c r="I378" s="17">
        <f t="shared" si="194"/>
        <v>4.0576808398352791</v>
      </c>
      <c r="J378" s="17">
        <v>22.000000000000004</v>
      </c>
      <c r="K378" s="17">
        <f t="shared" si="195"/>
        <v>22.000000000000004</v>
      </c>
      <c r="L378" s="17">
        <f>+Precios!E378</f>
        <v>36.586419964339612</v>
      </c>
      <c r="M378" s="44">
        <f>SUMPRODUCT(H378:L378,'Fisico SPOT MAT'!H378:L378)*24</f>
        <v>3319360.2416686392</v>
      </c>
      <c r="N378" s="19">
        <f>+'Fisico SPOT MAT'!AH378</f>
        <v>16.167148024837886</v>
      </c>
      <c r="O378" s="19">
        <f t="shared" si="196"/>
        <v>12.88265306122449</v>
      </c>
      <c r="P378" s="19">
        <v>6</v>
      </c>
      <c r="Q378" s="19">
        <v>6</v>
      </c>
      <c r="R378" s="19">
        <v>0</v>
      </c>
      <c r="S378" s="44">
        <f>SUMPRODUCT(N378:R378,'Fisico SPOT MAT'!N378:R378)*E378</f>
        <v>1215420.0844897954</v>
      </c>
      <c r="T378" s="17">
        <v>80</v>
      </c>
      <c r="U378" s="17">
        <v>18</v>
      </c>
      <c r="V378" s="17">
        <v>50</v>
      </c>
      <c r="W378" s="17">
        <v>60</v>
      </c>
      <c r="X378" s="28">
        <f>SUMPRODUCT(T378:W378,'Fisico SPOT MAT'!T378:W378)*24</f>
        <v>4263604.9399999967</v>
      </c>
      <c r="Y378" s="19">
        <v>0</v>
      </c>
      <c r="Z378" s="19">
        <v>5</v>
      </c>
      <c r="AA378" s="19">
        <v>0</v>
      </c>
      <c r="AB378" s="28">
        <f>SUMPRODUCT(Y378:AA378,'Fisico SPOT MAT'!Y378:AA378)*E378</f>
        <v>36734.999999999993</v>
      </c>
      <c r="AC378" s="122">
        <f>(T378*'Fisico SPOT MAT'!T378+'Mono SPOT MAT'!V378*'Fisico SPOT MAT'!V378+'Mono SPOT MAT'!W378*'Fisico SPOT MAT'!W378)/'Fisico SPOT MAT'!AC378</f>
        <v>63.62523434893032</v>
      </c>
      <c r="AD378" s="85"/>
      <c r="AE378" s="41">
        <v>54.521197627189323</v>
      </c>
      <c r="AF378" s="42">
        <v>0</v>
      </c>
      <c r="AG378">
        <v>5050</v>
      </c>
      <c r="AH378" s="64">
        <f t="shared" si="197"/>
        <v>3.2076808398352794</v>
      </c>
      <c r="AJ378" s="41">
        <v>0.85</v>
      </c>
      <c r="AK378">
        <v>392</v>
      </c>
    </row>
    <row r="379" spans="1:37" x14ac:dyDescent="0.3">
      <c r="A379" s="3">
        <f>+'Mono ASIG'!A379</f>
        <v>1517.5209</v>
      </c>
      <c r="B379" s="3">
        <f>+'Mono ASIG'!B379</f>
        <v>1511.154</v>
      </c>
      <c r="C379" s="1">
        <f>+'Mono ASIG'!C379</f>
        <v>2026</v>
      </c>
      <c r="D379" s="1">
        <f t="shared" ref="D379:D385" si="198">MONTH(G379)</f>
        <v>9</v>
      </c>
      <c r="E379" s="1">
        <f>+'Fisico SPOT MAT'!E379</f>
        <v>4</v>
      </c>
      <c r="F379" s="1" t="str">
        <f>+'Mono ASIG'!F379</f>
        <v>dom</v>
      </c>
      <c r="G379" s="56">
        <f>+'Mono ASIG'!G379</f>
        <v>46285</v>
      </c>
      <c r="H379" s="17">
        <f t="shared" ref="H379:H385" si="199">+AE379+AH379+AI379+AJ379</f>
        <v>63.255556080388367</v>
      </c>
      <c r="I379" s="17">
        <f t="shared" ref="I379:I385" si="200">+AF379+AH379+AI379+AJ379</f>
        <v>73.954284553274121</v>
      </c>
      <c r="J379" s="17">
        <v>22.000000000000004</v>
      </c>
      <c r="K379" s="17">
        <f t="shared" ref="K379:K385" si="201">+J379</f>
        <v>22.000000000000004</v>
      </c>
      <c r="L379" s="17">
        <f>+Precios!E379</f>
        <v>26.915606935713896</v>
      </c>
      <c r="M379" s="44">
        <f>SUMPRODUCT(H379:L379,'Fisico SPOT MAT'!H379:L379)*24</f>
        <v>3215010.9396095695</v>
      </c>
      <c r="N379" s="19">
        <f>+'Fisico SPOT MAT'!AH379</f>
        <v>16.080653146625508</v>
      </c>
      <c r="O379" s="19">
        <f t="shared" ref="O379:O385" si="202">AG379/AK379</f>
        <v>12.88265306122449</v>
      </c>
      <c r="P379" s="19">
        <v>6</v>
      </c>
      <c r="Q379" s="19">
        <v>6</v>
      </c>
      <c r="R379" s="19">
        <v>0</v>
      </c>
      <c r="S379" s="44">
        <f>SUMPRODUCT(N379:R379,'Fisico SPOT MAT'!N379:R379)*E379</f>
        <v>775933.75127721019</v>
      </c>
      <c r="T379" s="17">
        <v>80</v>
      </c>
      <c r="U379" s="17">
        <v>18</v>
      </c>
      <c r="V379" s="17">
        <v>50</v>
      </c>
      <c r="W379" s="17">
        <v>60</v>
      </c>
      <c r="X379" s="28">
        <f>SUMPRODUCT(T379:W379,'Fisico SPOT MAT'!T379:W379)*24</f>
        <v>4204268.8900000015</v>
      </c>
      <c r="Y379" s="19">
        <v>0</v>
      </c>
      <c r="Z379" s="19">
        <v>5</v>
      </c>
      <c r="AA379" s="19">
        <v>0</v>
      </c>
      <c r="AB379" s="28">
        <f>SUMPRODUCT(Y379:AA379,'Fisico SPOT MAT'!Y379:AA379)*E379</f>
        <v>24617.858333333334</v>
      </c>
      <c r="AC379" s="122">
        <f>(T379*'Fisico SPOT MAT'!T379+'Mono SPOT MAT'!V379*'Fisico SPOT MAT'!V379+'Mono SPOT MAT'!W379*'Fisico SPOT MAT'!W379)/'Fisico SPOT MAT'!AC379</f>
        <v>63.733684505103383</v>
      </c>
      <c r="AD379" s="85"/>
      <c r="AE379" s="41">
        <v>58.902160262658889</v>
      </c>
      <c r="AF379" s="42">
        <v>69.600888735544657</v>
      </c>
      <c r="AG379">
        <v>5050</v>
      </c>
      <c r="AH379" s="64">
        <f t="shared" ref="AH379:AH385" si="203">0.075*0.9*(AE379-7)</f>
        <v>3.5033958177294751</v>
      </c>
      <c r="AJ379" s="41">
        <v>0.85</v>
      </c>
      <c r="AK379">
        <v>392</v>
      </c>
    </row>
    <row r="380" spans="1:37" x14ac:dyDescent="0.3">
      <c r="A380" s="3">
        <f>+'Mono ASIG'!A380</f>
        <v>1517.5209</v>
      </c>
      <c r="B380" s="3">
        <f>+'Mono ASIG'!B380</f>
        <v>1511.154</v>
      </c>
      <c r="C380" s="1">
        <f>+'Mono ASIG'!C380</f>
        <v>2026</v>
      </c>
      <c r="D380" s="1">
        <f t="shared" si="198"/>
        <v>9</v>
      </c>
      <c r="E380" s="1">
        <f>+'Fisico SPOT MAT'!E380</f>
        <v>16</v>
      </c>
      <c r="F380" s="1" t="str">
        <f>+'Mono ASIG'!F380</f>
        <v>lun</v>
      </c>
      <c r="G380" s="56">
        <f>+'Mono ASIG'!G380</f>
        <v>46286</v>
      </c>
      <c r="H380" s="17">
        <f t="shared" si="199"/>
        <v>58.047986168688645</v>
      </c>
      <c r="I380" s="17">
        <f t="shared" si="200"/>
        <v>67.049492193948822</v>
      </c>
      <c r="J380" s="17">
        <v>22.000000000000004</v>
      </c>
      <c r="K380" s="17">
        <f t="shared" si="201"/>
        <v>22.000000000000004</v>
      </c>
      <c r="L380" s="17">
        <f>+Precios!E380</f>
        <v>42.871366949901621</v>
      </c>
      <c r="M380" s="44">
        <f>SUMPRODUCT(H380:L380,'Fisico SPOT MAT'!H380:L380)*24</f>
        <v>4018638.4387337994</v>
      </c>
      <c r="N380" s="19">
        <f>+'Fisico SPOT MAT'!AH380</f>
        <v>16.188325063465935</v>
      </c>
      <c r="O380" s="19">
        <f t="shared" si="202"/>
        <v>12.88265306122449</v>
      </c>
      <c r="P380" s="19">
        <v>6</v>
      </c>
      <c r="Q380" s="19">
        <v>6</v>
      </c>
      <c r="R380" s="19">
        <v>0</v>
      </c>
      <c r="S380" s="44">
        <f>SUMPRODUCT(N380:R380,'Fisico SPOT MAT'!N380:R380)*E380</f>
        <v>3283768.4923401345</v>
      </c>
      <c r="T380" s="17">
        <v>80</v>
      </c>
      <c r="U380" s="17">
        <v>18</v>
      </c>
      <c r="V380" s="17">
        <v>50</v>
      </c>
      <c r="W380" s="17">
        <v>60</v>
      </c>
      <c r="X380" s="28">
        <f>SUMPRODUCT(T380:W380,'Fisico SPOT MAT'!T380:W380)*24</f>
        <v>5260684.1750000007</v>
      </c>
      <c r="Y380" s="19">
        <v>0</v>
      </c>
      <c r="Z380" s="19">
        <v>5</v>
      </c>
      <c r="AA380" s="19">
        <v>0</v>
      </c>
      <c r="AB380" s="28">
        <f>SUMPRODUCT(Y380:AA380,'Fisico SPOT MAT'!Y380:AA380)*E380</f>
        <v>98020.203333333338</v>
      </c>
      <c r="AC380" s="122">
        <f>(T380*'Fisico SPOT MAT'!T380+'Mono SPOT MAT'!V380*'Fisico SPOT MAT'!V380+'Mono SPOT MAT'!W380*'Fisico SPOT MAT'!W380)/'Fisico SPOT MAT'!AC380</f>
        <v>62.850116083515026</v>
      </c>
      <c r="AD380" s="85"/>
      <c r="AE380" s="41">
        <v>54.023874631090067</v>
      </c>
      <c r="AF380" s="42">
        <v>63.025380656350244</v>
      </c>
      <c r="AG380">
        <v>5050</v>
      </c>
      <c r="AH380" s="64">
        <f t="shared" si="203"/>
        <v>3.1741115375985798</v>
      </c>
      <c r="AJ380" s="41">
        <v>0.85</v>
      </c>
      <c r="AK380">
        <v>392</v>
      </c>
    </row>
    <row r="381" spans="1:37" x14ac:dyDescent="0.3">
      <c r="A381" s="3">
        <f>+'Mono ASIG'!A381</f>
        <v>1517.5209</v>
      </c>
      <c r="B381" s="3">
        <f>+'Mono ASIG'!B381</f>
        <v>1511.154</v>
      </c>
      <c r="C381" s="1">
        <f>+'Mono ASIG'!C381</f>
        <v>2026</v>
      </c>
      <c r="D381" s="1">
        <f t="shared" si="198"/>
        <v>9</v>
      </c>
      <c r="E381" s="1">
        <f>+'Fisico SPOT MAT'!E381</f>
        <v>16</v>
      </c>
      <c r="F381" s="1" t="str">
        <f>+'Mono ASIG'!F381</f>
        <v>mar</v>
      </c>
      <c r="G381" s="56">
        <f>+'Mono ASIG'!G381</f>
        <v>46287</v>
      </c>
      <c r="H381" s="17">
        <f t="shared" si="199"/>
        <v>59.571827026032842</v>
      </c>
      <c r="I381" s="17">
        <f t="shared" si="200"/>
        <v>59.76558081216217</v>
      </c>
      <c r="J381" s="17">
        <v>22.000000000000004</v>
      </c>
      <c r="K381" s="17">
        <f t="shared" si="201"/>
        <v>22.000000000000004</v>
      </c>
      <c r="L381" s="17">
        <f>+Precios!E381</f>
        <v>51.644673389811466</v>
      </c>
      <c r="M381" s="44">
        <f>SUMPRODUCT(H381:L381,'Fisico SPOT MAT'!H381:L381)*24</f>
        <v>5092345.7464662362</v>
      </c>
      <c r="N381" s="19">
        <f>+'Fisico SPOT MAT'!AH381</f>
        <v>16.263615857592491</v>
      </c>
      <c r="O381" s="19">
        <f t="shared" si="202"/>
        <v>12.88265306122449</v>
      </c>
      <c r="P381" s="19">
        <v>6</v>
      </c>
      <c r="Q381" s="19">
        <v>6</v>
      </c>
      <c r="R381" s="19">
        <v>0</v>
      </c>
      <c r="S381" s="44">
        <f>SUMPRODUCT(N381:R381,'Fisico SPOT MAT'!N381:R381)*E381</f>
        <v>3433348.1104693869</v>
      </c>
      <c r="T381" s="17">
        <v>80</v>
      </c>
      <c r="U381" s="17">
        <v>18</v>
      </c>
      <c r="V381" s="17">
        <v>50</v>
      </c>
      <c r="W381" s="17">
        <v>60</v>
      </c>
      <c r="X381" s="28">
        <f>SUMPRODUCT(T381:W381,'Fisico SPOT MAT'!T381:W381)*24</f>
        <v>3761985.0599999973</v>
      </c>
      <c r="Y381" s="19">
        <v>0</v>
      </c>
      <c r="Z381" s="19">
        <v>5</v>
      </c>
      <c r="AA381" s="19">
        <v>0</v>
      </c>
      <c r="AB381" s="28">
        <f>SUMPRODUCT(Y381:AA381,'Fisico SPOT MAT'!Y381:AA381)*E381</f>
        <v>97232.444999999992</v>
      </c>
      <c r="AC381" s="122">
        <f>(T381*'Fisico SPOT MAT'!T381+'Mono SPOT MAT'!V381*'Fisico SPOT MAT'!V381+'Mono SPOT MAT'!W381*'Fisico SPOT MAT'!W381)/'Fisico SPOT MAT'!AC381</f>
        <v>63.816653223455319</v>
      </c>
      <c r="AD381" s="85"/>
      <c r="AE381" s="41">
        <v>55.451360211740365</v>
      </c>
      <c r="AF381" s="42">
        <v>55.645113997869693</v>
      </c>
      <c r="AG381">
        <v>5050</v>
      </c>
      <c r="AH381" s="64">
        <f t="shared" si="203"/>
        <v>3.2704668142924747</v>
      </c>
      <c r="AJ381" s="41">
        <v>0.85</v>
      </c>
      <c r="AK381">
        <v>392</v>
      </c>
    </row>
    <row r="382" spans="1:37" x14ac:dyDescent="0.3">
      <c r="A382" s="3">
        <f>+'Mono ASIG'!A382</f>
        <v>1517.5209</v>
      </c>
      <c r="B382" s="3">
        <f>+'Mono ASIG'!B382</f>
        <v>1511.154</v>
      </c>
      <c r="C382" s="1">
        <f>+'Mono ASIG'!C382</f>
        <v>2026</v>
      </c>
      <c r="D382" s="1">
        <f t="shared" si="198"/>
        <v>9</v>
      </c>
      <c r="E382" s="1">
        <f>+'Fisico SPOT MAT'!E382</f>
        <v>16</v>
      </c>
      <c r="F382" s="1" t="str">
        <f>+'Mono ASIG'!F382</f>
        <v>mié</v>
      </c>
      <c r="G382" s="56">
        <f>+'Mono ASIG'!G382</f>
        <v>46288</v>
      </c>
      <c r="H382" s="17">
        <f t="shared" si="199"/>
        <v>57.879548465298193</v>
      </c>
      <c r="I382" s="17">
        <f t="shared" si="200"/>
        <v>60.651983155188326</v>
      </c>
      <c r="J382" s="17">
        <v>22.000000000000004</v>
      </c>
      <c r="K382" s="17">
        <f t="shared" si="201"/>
        <v>22.000000000000004</v>
      </c>
      <c r="L382" s="17">
        <f>+Precios!E382</f>
        <v>48.345983433850201</v>
      </c>
      <c r="M382" s="44">
        <f>SUMPRODUCT(H382:L382,'Fisico SPOT MAT'!H382:L382)*24</f>
        <v>4303754.8439358417</v>
      </c>
      <c r="N382" s="19">
        <f>+'Fisico SPOT MAT'!AH382</f>
        <v>16.274990740553594</v>
      </c>
      <c r="O382" s="19">
        <f t="shared" si="202"/>
        <v>12.88265306122449</v>
      </c>
      <c r="P382" s="19">
        <v>6</v>
      </c>
      <c r="Q382" s="19">
        <v>6</v>
      </c>
      <c r="R382" s="19">
        <v>0</v>
      </c>
      <c r="S382" s="44">
        <f>SUMPRODUCT(N382:R382,'Fisico SPOT MAT'!N382:R382)*E382</f>
        <v>3456350.8352857134</v>
      </c>
      <c r="T382" s="17">
        <v>80</v>
      </c>
      <c r="U382" s="17">
        <v>18</v>
      </c>
      <c r="V382" s="17">
        <v>50</v>
      </c>
      <c r="W382" s="17">
        <v>60</v>
      </c>
      <c r="X382" s="28">
        <f>SUMPRODUCT(T382:W382,'Fisico SPOT MAT'!T382:W382)*24</f>
        <v>5133420.76</v>
      </c>
      <c r="Y382" s="19">
        <v>0</v>
      </c>
      <c r="Z382" s="19">
        <v>5</v>
      </c>
      <c r="AA382" s="19">
        <v>0</v>
      </c>
      <c r="AB382" s="28">
        <f>SUMPRODUCT(Y382:AA382,'Fisico SPOT MAT'!Y382:AA382)*E382</f>
        <v>97327.333333333314</v>
      </c>
      <c r="AC382" s="122">
        <f>(T382*'Fisico SPOT MAT'!T382+'Mono SPOT MAT'!V382*'Fisico SPOT MAT'!V382+'Mono SPOT MAT'!W382*'Fisico SPOT MAT'!W382)/'Fisico SPOT MAT'!AC382</f>
        <v>62.860915690777524</v>
      </c>
      <c r="AD382" s="85"/>
      <c r="AE382" s="41">
        <v>53.866087555314465</v>
      </c>
      <c r="AF382" s="42">
        <v>56.638522245204598</v>
      </c>
      <c r="AG382">
        <v>5050</v>
      </c>
      <c r="AH382" s="64">
        <f t="shared" si="203"/>
        <v>3.1634609099837268</v>
      </c>
      <c r="AJ382" s="41">
        <v>0.85</v>
      </c>
      <c r="AK382">
        <v>392</v>
      </c>
    </row>
    <row r="383" spans="1:37" x14ac:dyDescent="0.3">
      <c r="A383" s="3">
        <f>+'Mono ASIG'!A383</f>
        <v>1517.5209</v>
      </c>
      <c r="B383" s="3">
        <f>+'Mono ASIG'!B383</f>
        <v>1511.154</v>
      </c>
      <c r="C383" s="1">
        <f>+'Mono ASIG'!C383</f>
        <v>2026</v>
      </c>
      <c r="D383" s="1">
        <f t="shared" si="198"/>
        <v>9</v>
      </c>
      <c r="E383" s="1">
        <f>+'Fisico SPOT MAT'!E383</f>
        <v>16</v>
      </c>
      <c r="F383" s="1" t="str">
        <f>+'Mono ASIG'!F383</f>
        <v>jue</v>
      </c>
      <c r="G383" s="56">
        <f>+'Mono ASIG'!G383</f>
        <v>46289</v>
      </c>
      <c r="H383" s="17">
        <f t="shared" si="199"/>
        <v>57.122268722559426</v>
      </c>
      <c r="I383" s="17">
        <f t="shared" si="200"/>
        <v>83.490753587103285</v>
      </c>
      <c r="J383" s="17">
        <v>22.000000000000004</v>
      </c>
      <c r="K383" s="17">
        <f t="shared" si="201"/>
        <v>22.000000000000004</v>
      </c>
      <c r="L383" s="17">
        <f>+Precios!E383</f>
        <v>47.069119580055911</v>
      </c>
      <c r="M383" s="44">
        <f>SUMPRODUCT(H383:L383,'Fisico SPOT MAT'!H383:L383)*24</f>
        <v>4120599.9687020974</v>
      </c>
      <c r="N383" s="19">
        <f>+'Fisico SPOT MAT'!AH383</f>
        <v>16.251921577061051</v>
      </c>
      <c r="O383" s="19">
        <f t="shared" si="202"/>
        <v>12.88265306122449</v>
      </c>
      <c r="P383" s="19">
        <v>6</v>
      </c>
      <c r="Q383" s="19">
        <v>6</v>
      </c>
      <c r="R383" s="19">
        <v>0</v>
      </c>
      <c r="S383" s="44">
        <f>SUMPRODUCT(N383:R383,'Fisico SPOT MAT'!N383:R383)*E383</f>
        <v>3408321.6939557819</v>
      </c>
      <c r="T383" s="17">
        <v>80</v>
      </c>
      <c r="U383" s="17">
        <v>18</v>
      </c>
      <c r="V383" s="17">
        <v>50</v>
      </c>
      <c r="W383" s="17">
        <v>60</v>
      </c>
      <c r="X383" s="28">
        <f>SUMPRODUCT(T383:W383,'Fisico SPOT MAT'!T383:W383)*24</f>
        <v>4093896.7650000034</v>
      </c>
      <c r="Y383" s="19">
        <v>0</v>
      </c>
      <c r="Z383" s="19">
        <v>5</v>
      </c>
      <c r="AA383" s="19">
        <v>0</v>
      </c>
      <c r="AB383" s="28">
        <f>SUMPRODUCT(Y383:AA383,'Fisico SPOT MAT'!Y383:AA383)*E383</f>
        <v>97232.444999999992</v>
      </c>
      <c r="AC383" s="122">
        <f>(T383*'Fisico SPOT MAT'!T383+'Mono SPOT MAT'!V383*'Fisico SPOT MAT'!V383+'Mono SPOT MAT'!W383*'Fisico SPOT MAT'!W383)/'Fisico SPOT MAT'!AC383</f>
        <v>63.632422800824209</v>
      </c>
      <c r="AD383" s="85"/>
      <c r="AE383" s="41">
        <v>53.156692011765266</v>
      </c>
      <c r="AF383" s="42">
        <v>79.525176876309132</v>
      </c>
      <c r="AG383">
        <v>5050</v>
      </c>
      <c r="AH383" s="64">
        <f t="shared" si="203"/>
        <v>3.1155767107941554</v>
      </c>
      <c r="AJ383" s="41">
        <v>0.85</v>
      </c>
      <c r="AK383">
        <v>392</v>
      </c>
    </row>
    <row r="384" spans="1:37" x14ac:dyDescent="0.3">
      <c r="A384" s="3">
        <f>+'Mono ASIG'!A384</f>
        <v>1517.5209</v>
      </c>
      <c r="B384" s="3">
        <f>+'Mono ASIG'!B384</f>
        <v>1511.154</v>
      </c>
      <c r="C384" s="1">
        <f>+'Mono ASIG'!C384</f>
        <v>2026</v>
      </c>
      <c r="D384" s="1">
        <f t="shared" si="198"/>
        <v>9</v>
      </c>
      <c r="E384" s="1">
        <f>+'Fisico SPOT MAT'!E384</f>
        <v>16</v>
      </c>
      <c r="F384" s="1" t="str">
        <f>+'Mono ASIG'!F384</f>
        <v>vie</v>
      </c>
      <c r="G384" s="56">
        <f>+'Mono ASIG'!G384</f>
        <v>46290</v>
      </c>
      <c r="H384" s="17">
        <f t="shared" si="199"/>
        <v>58.87057489554585</v>
      </c>
      <c r="I384" s="17">
        <f t="shared" si="200"/>
        <v>122.9560623919739</v>
      </c>
      <c r="J384" s="17">
        <v>22.000000000000004</v>
      </c>
      <c r="K384" s="17">
        <f t="shared" si="201"/>
        <v>22.000000000000004</v>
      </c>
      <c r="L384" s="17">
        <f>+Precios!E384</f>
        <v>36.153176645129435</v>
      </c>
      <c r="M384" s="44">
        <f>SUMPRODUCT(H384:L384,'Fisico SPOT MAT'!H384:L384)*24</f>
        <v>4422080.6233172929</v>
      </c>
      <c r="N384" s="19">
        <f>+'Fisico SPOT MAT'!AH384</f>
        <v>16.301134133882361</v>
      </c>
      <c r="O384" s="19">
        <f t="shared" si="202"/>
        <v>12.88265306122449</v>
      </c>
      <c r="P384" s="19">
        <v>6</v>
      </c>
      <c r="Q384" s="19">
        <v>6</v>
      </c>
      <c r="R384" s="19">
        <v>0</v>
      </c>
      <c r="S384" s="44">
        <f>SUMPRODUCT(N384:R384,'Fisico SPOT MAT'!N384:R384)*E384</f>
        <v>3513680.3038945561</v>
      </c>
      <c r="T384" s="17">
        <v>80</v>
      </c>
      <c r="U384" s="17">
        <v>18</v>
      </c>
      <c r="V384" s="17">
        <v>50</v>
      </c>
      <c r="W384" s="17">
        <v>60</v>
      </c>
      <c r="X384" s="28">
        <f>SUMPRODUCT(T384:W384,'Fisico SPOT MAT'!T384:W384)*24</f>
        <v>4252032.0449999999</v>
      </c>
      <c r="Y384" s="19">
        <v>0</v>
      </c>
      <c r="Z384" s="19">
        <v>5</v>
      </c>
      <c r="AA384" s="19">
        <v>0</v>
      </c>
      <c r="AB384" s="28">
        <f>SUMPRODUCT(Y384:AA384,'Fisico SPOT MAT'!Y384:AA384)*E384</f>
        <v>98178.739999999991</v>
      </c>
      <c r="AC384" s="122">
        <f>(T384*'Fisico SPOT MAT'!T384+'Mono SPOT MAT'!V384*'Fisico SPOT MAT'!V384+'Mono SPOT MAT'!W384*'Fisico SPOT MAT'!W384)/'Fisico SPOT MAT'!AC384</f>
        <v>63.395669510862696</v>
      </c>
      <c r="AD384" s="85"/>
      <c r="AE384" s="41">
        <v>54.794449550862623</v>
      </c>
      <c r="AF384" s="42">
        <v>118.87993704729068</v>
      </c>
      <c r="AG384">
        <v>5050</v>
      </c>
      <c r="AH384" s="64">
        <f t="shared" si="203"/>
        <v>3.2261253446832274</v>
      </c>
      <c r="AJ384" s="41">
        <v>0.85</v>
      </c>
      <c r="AK384">
        <v>392</v>
      </c>
    </row>
    <row r="385" spans="1:37" x14ac:dyDescent="0.3">
      <c r="A385" s="3">
        <f>+'Mono ASIG'!A385</f>
        <v>1517.5209</v>
      </c>
      <c r="B385" s="3">
        <f>+'Mono ASIG'!B385</f>
        <v>1511.154</v>
      </c>
      <c r="C385" s="1">
        <f>+'Mono ASIG'!C385</f>
        <v>2026</v>
      </c>
      <c r="D385" s="1">
        <f t="shared" si="198"/>
        <v>9</v>
      </c>
      <c r="E385" s="1">
        <f>+'Fisico SPOT MAT'!E385</f>
        <v>6</v>
      </c>
      <c r="F385" s="1" t="str">
        <f>+'Mono ASIG'!F385</f>
        <v>sáb</v>
      </c>
      <c r="G385" s="56">
        <f>+'Mono ASIG'!G385</f>
        <v>46291</v>
      </c>
      <c r="H385" s="17">
        <f t="shared" si="199"/>
        <v>56.98037651188644</v>
      </c>
      <c r="I385" s="17">
        <f t="shared" si="200"/>
        <v>383.97323334262552</v>
      </c>
      <c r="J385" s="17">
        <v>22.000000000000004</v>
      </c>
      <c r="K385" s="17">
        <f t="shared" si="201"/>
        <v>22.000000000000004</v>
      </c>
      <c r="L385" s="17">
        <f>+Precios!E385</f>
        <v>25.894328109509441</v>
      </c>
      <c r="M385" s="44">
        <f>SUMPRODUCT(H385:L385,'Fisico SPOT MAT'!H385:L385)*24</f>
        <v>3436011.0744401505</v>
      </c>
      <c r="N385" s="19">
        <f>+'Fisico SPOT MAT'!AH385</f>
        <v>16.301026976755111</v>
      </c>
      <c r="O385" s="19">
        <f t="shared" si="202"/>
        <v>12.88265306122449</v>
      </c>
      <c r="P385" s="19">
        <v>6</v>
      </c>
      <c r="Q385" s="19">
        <v>6</v>
      </c>
      <c r="R385" s="19">
        <v>0</v>
      </c>
      <c r="S385" s="44">
        <f>SUMPRODUCT(N385:R385,'Fisico SPOT MAT'!N385:R385)*E385</f>
        <v>1317057.098613519</v>
      </c>
      <c r="T385" s="17">
        <v>80</v>
      </c>
      <c r="U385" s="17">
        <v>18</v>
      </c>
      <c r="V385" s="17">
        <v>50</v>
      </c>
      <c r="W385" s="17">
        <v>60</v>
      </c>
      <c r="X385" s="28">
        <f>SUMPRODUCT(T385:W385,'Fisico SPOT MAT'!T385:W385)*24</f>
        <v>3642769.6199999959</v>
      </c>
      <c r="Y385" s="19">
        <v>0</v>
      </c>
      <c r="Z385" s="19">
        <v>5</v>
      </c>
      <c r="AA385" s="19">
        <v>0</v>
      </c>
      <c r="AB385" s="28">
        <f>SUMPRODUCT(Y385:AA385,'Fisico SPOT MAT'!Y385:AA385)*E385</f>
        <v>36920.5</v>
      </c>
      <c r="AC385" s="122">
        <f>(T385*'Fisico SPOT MAT'!T385+'Mono SPOT MAT'!V385*'Fisico SPOT MAT'!V385+'Mono SPOT MAT'!W385*'Fisico SPOT MAT'!W385)/'Fisico SPOT MAT'!AC385</f>
        <v>64.057352400925097</v>
      </c>
      <c r="AD385" s="85"/>
      <c r="AE385" s="41">
        <v>53.023771908090339</v>
      </c>
      <c r="AF385" s="42">
        <v>380.01662873882941</v>
      </c>
      <c r="AG385">
        <v>5050</v>
      </c>
      <c r="AH385" s="64">
        <f t="shared" si="203"/>
        <v>3.1066046037960979</v>
      </c>
      <c r="AJ385" s="41">
        <v>0.85</v>
      </c>
      <c r="AK385">
        <v>392</v>
      </c>
    </row>
    <row r="386" spans="1:37" x14ac:dyDescent="0.3">
      <c r="A386" s="3">
        <f>+'Mono ASIG'!A386</f>
        <v>1517.5209</v>
      </c>
      <c r="B386" s="3">
        <f>+'Mono ASIG'!B386</f>
        <v>1511.154</v>
      </c>
      <c r="C386" s="1">
        <f>+'Mono ASIG'!C386</f>
        <v>2026</v>
      </c>
      <c r="D386" s="1">
        <f t="shared" ref="D386:D389" si="204">MONTH(G386)</f>
        <v>9</v>
      </c>
      <c r="E386" s="1">
        <f>+'Fisico SPOT MAT'!E386</f>
        <v>4</v>
      </c>
      <c r="F386" s="1" t="str">
        <f>+'Mono ASIG'!F386</f>
        <v>dom</v>
      </c>
      <c r="G386" s="56">
        <f>+'Mono ASIG'!G386</f>
        <v>46292</v>
      </c>
      <c r="H386" s="17">
        <f t="shared" ref="H386:H389" si="205">+AE386+AH386+AI386+AJ386</f>
        <v>59.664959638505849</v>
      </c>
      <c r="I386" s="17">
        <f t="shared" ref="I386:I389" si="206">+AF386+AH386+AI386+AJ386</f>
        <v>77.459604691600646</v>
      </c>
      <c r="J386" s="17">
        <v>22.000000000000004</v>
      </c>
      <c r="K386" s="17">
        <f t="shared" ref="K386:K389" si="207">+J386</f>
        <v>22.000000000000004</v>
      </c>
      <c r="L386" s="17">
        <f>+Precios!E386</f>
        <v>33.340610884138542</v>
      </c>
      <c r="M386" s="44">
        <f>SUMPRODUCT(H386:L386,'Fisico SPOT MAT'!H386:L386)*24</f>
        <v>3768344.0075325845</v>
      </c>
      <c r="N386" s="19">
        <f>+'Fisico SPOT MAT'!AH386</f>
        <v>16.320311372279363</v>
      </c>
      <c r="O386" s="19">
        <f t="shared" ref="O386:O389" si="208">AG386/AK386</f>
        <v>12.88265306122449</v>
      </c>
      <c r="P386" s="19">
        <v>6</v>
      </c>
      <c r="Q386" s="19">
        <v>6</v>
      </c>
      <c r="R386" s="19">
        <v>0</v>
      </c>
      <c r="S386" s="44">
        <f>SUMPRODUCT(N386:R386,'Fisico SPOT MAT'!N386:R386)*E386</f>
        <v>892539.95642857114</v>
      </c>
      <c r="T386" s="17">
        <v>80</v>
      </c>
      <c r="U386" s="17">
        <v>18</v>
      </c>
      <c r="V386" s="17">
        <v>50</v>
      </c>
      <c r="W386" s="17">
        <v>60</v>
      </c>
      <c r="X386" s="28">
        <f>SUMPRODUCT(T386:W386,'Fisico SPOT MAT'!T386:W386)*24</f>
        <v>4130336.3450000016</v>
      </c>
      <c r="Y386" s="19">
        <v>0</v>
      </c>
      <c r="Z386" s="19">
        <v>5</v>
      </c>
      <c r="AA386" s="19">
        <v>0</v>
      </c>
      <c r="AB386" s="28">
        <f>SUMPRODUCT(Y386:AA386,'Fisico SPOT MAT'!Y386:AA386)*E386</f>
        <v>24534.679166666665</v>
      </c>
      <c r="AC386" s="122">
        <f>(T386*'Fisico SPOT MAT'!T386+'Mono SPOT MAT'!V386*'Fisico SPOT MAT'!V386+'Mono SPOT MAT'!W386*'Fisico SPOT MAT'!W386)/'Fisico SPOT MAT'!AC386</f>
        <v>63.610352121736426</v>
      </c>
      <c r="AD386" s="85"/>
      <c r="AE386" s="41">
        <v>55.538603876820467</v>
      </c>
      <c r="AF386" s="42">
        <v>73.333248929915271</v>
      </c>
      <c r="AG386">
        <v>5050</v>
      </c>
      <c r="AH386" s="64">
        <f t="shared" ref="AH386:AH389" si="209">0.075*0.9*(AE386-7)</f>
        <v>3.2763557616853816</v>
      </c>
      <c r="AJ386" s="41">
        <v>0.85</v>
      </c>
      <c r="AK386">
        <v>392</v>
      </c>
    </row>
    <row r="387" spans="1:37" x14ac:dyDescent="0.3">
      <c r="A387" s="3">
        <f>+'Mono ASIG'!A387</f>
        <v>1517.5209</v>
      </c>
      <c r="B387" s="3">
        <f>+'Mono ASIG'!B387</f>
        <v>1514.913</v>
      </c>
      <c r="C387" s="1">
        <f>+'Mono ASIG'!C387</f>
        <v>2026</v>
      </c>
      <c r="D387" s="1">
        <f t="shared" si="204"/>
        <v>9</v>
      </c>
      <c r="E387" s="1">
        <f>+'Fisico SPOT MAT'!E387</f>
        <v>16</v>
      </c>
      <c r="F387" s="1" t="str">
        <f>+'Mono ASIG'!F387</f>
        <v>lun</v>
      </c>
      <c r="G387" s="56">
        <f>+'Mono ASIG'!G387</f>
        <v>46293</v>
      </c>
      <c r="H387" s="17">
        <f t="shared" si="205"/>
        <v>57.500252810645634</v>
      </c>
      <c r="I387" s="17">
        <f t="shared" si="206"/>
        <v>64.183254882763109</v>
      </c>
      <c r="J387" s="17">
        <v>22.000000000000004</v>
      </c>
      <c r="K387" s="17">
        <f t="shared" si="207"/>
        <v>22.000000000000004</v>
      </c>
      <c r="L387" s="17">
        <f>+Precios!E387</f>
        <v>56.684158014340632</v>
      </c>
      <c r="M387" s="44">
        <f>SUMPRODUCT(H387:L387,'Fisico SPOT MAT'!H387:L387)*24</f>
        <v>4770714.9298592862</v>
      </c>
      <c r="N387" s="19">
        <f>+'Fisico SPOT MAT'!AH387</f>
        <v>16.31640143277356</v>
      </c>
      <c r="O387" s="19">
        <f t="shared" si="208"/>
        <v>12.88265306122449</v>
      </c>
      <c r="P387" s="19">
        <v>6</v>
      </c>
      <c r="Q387" s="19">
        <v>6</v>
      </c>
      <c r="R387" s="19">
        <v>0</v>
      </c>
      <c r="S387" s="44">
        <f>SUMPRODUCT(N387:R387,'Fisico SPOT MAT'!N387:R387)*E387</f>
        <v>3572927.7532108836</v>
      </c>
      <c r="T387" s="17">
        <v>80</v>
      </c>
      <c r="U387" s="17">
        <v>18</v>
      </c>
      <c r="V387" s="17">
        <v>50</v>
      </c>
      <c r="W387" s="17">
        <v>60</v>
      </c>
      <c r="X387" s="28">
        <f>SUMPRODUCT(T387:W387,'Fisico SPOT MAT'!T387:W387)*24</f>
        <v>2925958.6049999986</v>
      </c>
      <c r="Y387" s="19">
        <v>0</v>
      </c>
      <c r="Z387" s="19">
        <v>5</v>
      </c>
      <c r="AA387" s="19">
        <v>0</v>
      </c>
      <c r="AB387" s="28">
        <f>SUMPRODUCT(Y387:AA387,'Fisico SPOT MAT'!Y387:AA387)*E387</f>
        <v>98577.444999999992</v>
      </c>
      <c r="AC387" s="122">
        <f>(T387*'Fisico SPOT MAT'!T387+'Mono SPOT MAT'!V387*'Fisico SPOT MAT'!V387+'Mono SPOT MAT'!W387*'Fisico SPOT MAT'!W387)/'Fisico SPOT MAT'!AC387</f>
        <v>64.80605503786893</v>
      </c>
      <c r="AD387" s="85"/>
      <c r="AE387" s="41">
        <v>53.510775466646962</v>
      </c>
      <c r="AF387" s="42">
        <v>60.193777538764444</v>
      </c>
      <c r="AG387">
        <v>5050</v>
      </c>
      <c r="AH387" s="64">
        <f t="shared" si="209"/>
        <v>3.1394773439986703</v>
      </c>
      <c r="AJ387" s="41">
        <v>0.85</v>
      </c>
      <c r="AK387">
        <v>392</v>
      </c>
    </row>
    <row r="388" spans="1:37" x14ac:dyDescent="0.3">
      <c r="A388" s="3">
        <f>+'Mono ASIG'!A388</f>
        <v>1517.5209</v>
      </c>
      <c r="B388" s="3">
        <f>+'Mono ASIG'!B388</f>
        <v>1514.913</v>
      </c>
      <c r="C388" s="1">
        <f>+'Mono ASIG'!C388</f>
        <v>2026</v>
      </c>
      <c r="D388" s="1">
        <f t="shared" si="204"/>
        <v>9</v>
      </c>
      <c r="E388" s="1">
        <f>+'Fisico SPOT MAT'!E388</f>
        <v>16</v>
      </c>
      <c r="F388" s="1" t="str">
        <f>+'Mono ASIG'!F388</f>
        <v>mar</v>
      </c>
      <c r="G388" s="56">
        <f>+'Mono ASIG'!G388</f>
        <v>46294</v>
      </c>
      <c r="H388" s="17">
        <f t="shared" si="205"/>
        <v>53.260042947825994</v>
      </c>
      <c r="I388" s="17">
        <f t="shared" si="206"/>
        <v>73.27872859754784</v>
      </c>
      <c r="J388" s="17">
        <v>22.000000000000004</v>
      </c>
      <c r="K388" s="17">
        <f t="shared" si="207"/>
        <v>22.000000000000004</v>
      </c>
      <c r="L388" s="17">
        <f>+Precios!E388</f>
        <v>41.193901338674081</v>
      </c>
      <c r="M388" s="44">
        <f>SUMPRODUCT(H388:L388,'Fisico SPOT MAT'!H388:L388)*24</f>
        <v>4178236.6614441625</v>
      </c>
      <c r="N388" s="19">
        <f>+'Fisico SPOT MAT'!AH388</f>
        <v>16.328873266719373</v>
      </c>
      <c r="O388" s="19">
        <f t="shared" si="208"/>
        <v>12.88265306122449</v>
      </c>
      <c r="P388" s="19">
        <v>6</v>
      </c>
      <c r="Q388" s="19">
        <v>6</v>
      </c>
      <c r="R388" s="19">
        <v>0</v>
      </c>
      <c r="S388" s="44">
        <f>SUMPRODUCT(N388:R388,'Fisico SPOT MAT'!N388:R388)*E388</f>
        <v>3630935.3054727875</v>
      </c>
      <c r="T388" s="17">
        <v>80</v>
      </c>
      <c r="U388" s="17">
        <v>18</v>
      </c>
      <c r="V388" s="17">
        <v>50</v>
      </c>
      <c r="W388" s="17">
        <v>60</v>
      </c>
      <c r="X388" s="28">
        <f>SUMPRODUCT(T388:W388,'Fisico SPOT MAT'!T388:W388)*24</f>
        <v>3309586.13</v>
      </c>
      <c r="Y388" s="19">
        <v>0</v>
      </c>
      <c r="Z388" s="19">
        <v>5</v>
      </c>
      <c r="AA388" s="19">
        <v>0</v>
      </c>
      <c r="AB388" s="28">
        <f>SUMPRODUCT(Y388:AA388,'Fisico SPOT MAT'!Y388:AA388)*E388</f>
        <v>98208</v>
      </c>
      <c r="AC388" s="122">
        <f>(T388*'Fisico SPOT MAT'!T388+'Mono SPOT MAT'!V388*'Fisico SPOT MAT'!V388+'Mono SPOT MAT'!W388*'Fisico SPOT MAT'!W388)/'Fisico SPOT MAT'!AC388</f>
        <v>64.278801802062148</v>
      </c>
      <c r="AD388" s="85"/>
      <c r="AE388" s="41">
        <v>49.538681918338163</v>
      </c>
      <c r="AF388" s="42">
        <v>69.557367568060016</v>
      </c>
      <c r="AG388">
        <v>5050</v>
      </c>
      <c r="AH388" s="64">
        <f t="shared" si="209"/>
        <v>2.8713610294878262</v>
      </c>
      <c r="AJ388" s="41">
        <v>0.85</v>
      </c>
      <c r="AK388">
        <v>392</v>
      </c>
    </row>
    <row r="389" spans="1:37" x14ac:dyDescent="0.3">
      <c r="A389" s="3">
        <f>+'Mono ASIG'!A389</f>
        <v>1517.5209</v>
      </c>
      <c r="B389" s="3">
        <f>+'Mono ASIG'!B389</f>
        <v>1514.913</v>
      </c>
      <c r="C389" s="1">
        <f>+'Mono ASIG'!C389</f>
        <v>2026</v>
      </c>
      <c r="D389" s="1">
        <f t="shared" si="204"/>
        <v>9</v>
      </c>
      <c r="E389" s="1">
        <f>+'Fisico SPOT MAT'!E389</f>
        <v>16</v>
      </c>
      <c r="F389" s="1" t="str">
        <f>+'Mono ASIG'!F389</f>
        <v>mié</v>
      </c>
      <c r="G389" s="56">
        <f>+'Mono ASIG'!G389</f>
        <v>46295</v>
      </c>
      <c r="H389" s="17">
        <f t="shared" si="205"/>
        <v>53.88215872726159</v>
      </c>
      <c r="I389" s="17">
        <f t="shared" si="206"/>
        <v>93.614532585761467</v>
      </c>
      <c r="J389" s="17">
        <v>22.000000000000004</v>
      </c>
      <c r="K389" s="17">
        <f t="shared" si="207"/>
        <v>22.000000000000004</v>
      </c>
      <c r="L389" s="17">
        <f>+Precios!E389</f>
        <v>33.995463666717093</v>
      </c>
      <c r="M389" s="44">
        <f>SUMPRODUCT(H389:L389,'Fisico SPOT MAT'!H389:L389)*24</f>
        <v>4755459.0706882449</v>
      </c>
      <c r="N389" s="19">
        <f>+'Fisico SPOT MAT'!AH389</f>
        <v>16.357386218196602</v>
      </c>
      <c r="O389" s="19">
        <f t="shared" si="208"/>
        <v>12.88265306122449</v>
      </c>
      <c r="P389" s="19">
        <v>6</v>
      </c>
      <c r="Q389" s="19">
        <v>6</v>
      </c>
      <c r="R389" s="19">
        <v>0</v>
      </c>
      <c r="S389" s="44">
        <f>SUMPRODUCT(N389:R389,'Fisico SPOT MAT'!N389:R389)*E389</f>
        <v>3685811.9153197263</v>
      </c>
      <c r="T389" s="17">
        <v>80</v>
      </c>
      <c r="U389" s="17">
        <v>18</v>
      </c>
      <c r="V389" s="17">
        <v>50</v>
      </c>
      <c r="W389" s="17">
        <v>60</v>
      </c>
      <c r="X389" s="28">
        <f>SUMPRODUCT(T389:W389,'Fisico SPOT MAT'!T389:W389)*24</f>
        <v>3445328.6700000004</v>
      </c>
      <c r="Y389" s="19">
        <v>0</v>
      </c>
      <c r="Z389" s="19">
        <v>5</v>
      </c>
      <c r="AA389" s="19">
        <v>0</v>
      </c>
      <c r="AB389" s="28">
        <f>SUMPRODUCT(Y389:AA389,'Fisico SPOT MAT'!Y389:AA389)*E389</f>
        <v>98288</v>
      </c>
      <c r="AC389" s="122">
        <f>(T389*'Fisico SPOT MAT'!T389+'Mono SPOT MAT'!V389*'Fisico SPOT MAT'!V389+'Mono SPOT MAT'!W389*'Fisico SPOT MAT'!W389)/'Fisico SPOT MAT'!AC389</f>
        <v>63.99219765039107</v>
      </c>
      <c r="AD389" s="85"/>
      <c r="AE389" s="41">
        <v>50.121460166053012</v>
      </c>
      <c r="AF389" s="42">
        <v>89.853834024552896</v>
      </c>
      <c r="AG389">
        <v>5050</v>
      </c>
      <c r="AH389" s="64">
        <f t="shared" si="209"/>
        <v>2.9106985612085787</v>
      </c>
      <c r="AJ389" s="41">
        <v>0.85</v>
      </c>
      <c r="AK389">
        <v>392</v>
      </c>
    </row>
    <row r="390" spans="1:37" x14ac:dyDescent="0.3">
      <c r="A390" s="3">
        <f>+'Mono ASIG'!A390</f>
        <v>1530</v>
      </c>
      <c r="B390" s="3">
        <f>+'Mono ASIG'!B390</f>
        <v>1514.9</v>
      </c>
      <c r="C390" s="1">
        <f>+'Mono ASIG'!C390</f>
        <v>2026</v>
      </c>
      <c r="D390" s="1">
        <f t="shared" ref="D390:D394" si="210">MONTH(G390)</f>
        <v>10</v>
      </c>
      <c r="E390" s="1">
        <f>+'Fisico SPOT MAT'!E390</f>
        <v>16</v>
      </c>
      <c r="F390" s="1" t="str">
        <f>+'Mono ASIG'!F390</f>
        <v>jue</v>
      </c>
      <c r="G390" s="56">
        <f>+'Mono ASIG'!G390</f>
        <v>46296</v>
      </c>
      <c r="H390" s="17">
        <f t="shared" ref="H390:H394" si="211">+AE390+AH390+AI390+AJ390</f>
        <v>36.138750000000002</v>
      </c>
      <c r="I390" s="17">
        <f t="shared" ref="I390:I394" si="212">+AF390+AH390+AI390+AJ390</f>
        <v>83.818749999999994</v>
      </c>
      <c r="J390" s="17">
        <v>22.000000000000004</v>
      </c>
      <c r="K390" s="17">
        <f t="shared" ref="K390:K394" si="213">+J390</f>
        <v>22.000000000000004</v>
      </c>
      <c r="L390" s="17">
        <f>+Precios!E390</f>
        <v>34.5</v>
      </c>
      <c r="M390" s="44">
        <f>SUMPRODUCT(H390:L390,'Fisico SPOT MAT'!H390:L390)*24</f>
        <v>3807132.81</v>
      </c>
      <c r="N390" s="19">
        <f>+'Fisico SPOT MAT'!AH390</f>
        <v>16.365246348293347</v>
      </c>
      <c r="O390" s="19">
        <f t="shared" ref="O390:O392" si="214">AG390/AK390</f>
        <v>13.082901554404145</v>
      </c>
      <c r="P390" s="19">
        <v>6</v>
      </c>
      <c r="Q390" s="19">
        <v>6</v>
      </c>
      <c r="R390" s="19">
        <v>0</v>
      </c>
      <c r="S390" s="44">
        <f>SUMPRODUCT(N390:R390,'Fisico SPOT MAT'!N390:R390)*E390</f>
        <v>3832834.487046632</v>
      </c>
      <c r="T390" s="17">
        <v>80</v>
      </c>
      <c r="U390" s="17">
        <v>18</v>
      </c>
      <c r="V390" s="17">
        <v>50</v>
      </c>
      <c r="W390" s="17">
        <v>60</v>
      </c>
      <c r="X390" s="28">
        <f>SUMPRODUCT(T390:W390,'Fisico SPOT MAT'!T390:W390)*24</f>
        <v>3627744</v>
      </c>
      <c r="Y390" s="19">
        <v>0</v>
      </c>
      <c r="Z390" s="19">
        <v>5</v>
      </c>
      <c r="AA390" s="19">
        <v>0</v>
      </c>
      <c r="AB390" s="28">
        <f>SUMPRODUCT(Y390:AA390,'Fisico SPOT MAT'!Y390:AA390)*E390</f>
        <v>98480</v>
      </c>
      <c r="AC390" s="122">
        <f>(T390*'Fisico SPOT MAT'!T390+'Mono SPOT MAT'!V390*'Fisico SPOT MAT'!V390+'Mono SPOT MAT'!W390*'Fisico SPOT MAT'!W390)/'Fisico SPOT MAT'!AC390</f>
        <v>63.923010380622834</v>
      </c>
      <c r="AD390" s="85"/>
      <c r="AE390" s="41">
        <v>33.5</v>
      </c>
      <c r="AF390" s="41">
        <v>81.180000000000007</v>
      </c>
      <c r="AG390">
        <v>5050</v>
      </c>
      <c r="AH390" s="64">
        <f t="shared" ref="AH390:AH394" si="215">0.075*0.9*(AE390-7)</f>
        <v>1.7887500000000001</v>
      </c>
      <c r="AJ390" s="41">
        <v>0.85</v>
      </c>
      <c r="AK390">
        <v>386</v>
      </c>
    </row>
    <row r="391" spans="1:37" x14ac:dyDescent="0.3">
      <c r="A391" s="3">
        <f>+'Mono ASIG'!A391</f>
        <v>1530</v>
      </c>
      <c r="B391" s="3">
        <f>+'Mono ASIG'!B391</f>
        <v>1514.9</v>
      </c>
      <c r="C391" s="1">
        <f>+'Mono ASIG'!C391</f>
        <v>2026</v>
      </c>
      <c r="D391" s="1">
        <f t="shared" si="210"/>
        <v>10</v>
      </c>
      <c r="E391" s="1">
        <f>+'Fisico SPOT MAT'!E391</f>
        <v>16</v>
      </c>
      <c r="F391" s="1" t="str">
        <f>+'Mono ASIG'!F391</f>
        <v>vie</v>
      </c>
      <c r="G391" s="56">
        <f>+'Mono ASIG'!G391</f>
        <v>46297</v>
      </c>
      <c r="H391" s="17">
        <f t="shared" si="211"/>
        <v>35.071249999999999</v>
      </c>
      <c r="I391" s="17">
        <f t="shared" si="212"/>
        <v>44.541249999999998</v>
      </c>
      <c r="J391" s="17">
        <v>22.000000000000004</v>
      </c>
      <c r="K391" s="17">
        <f t="shared" si="213"/>
        <v>22.000000000000004</v>
      </c>
      <c r="L391" s="17">
        <f>+Precios!E391</f>
        <v>29.5</v>
      </c>
      <c r="M391" s="44">
        <f>SUMPRODUCT(H391:L391,'Fisico SPOT MAT'!H391:L391)*24</f>
        <v>2659826.0700000003</v>
      </c>
      <c r="N391" s="19">
        <f>+'Fisico SPOT MAT'!AH391</f>
        <v>16.326748779920987</v>
      </c>
      <c r="O391" s="19">
        <f t="shared" si="214"/>
        <v>13.082901554404145</v>
      </c>
      <c r="P391" s="19">
        <v>6</v>
      </c>
      <c r="Q391" s="19">
        <v>6</v>
      </c>
      <c r="R391" s="19">
        <v>0</v>
      </c>
      <c r="S391" s="44">
        <f>SUMPRODUCT(N391:R391,'Fisico SPOT MAT'!N391:R391)*E391</f>
        <v>3752399.5854922286</v>
      </c>
      <c r="T391" s="17">
        <v>80</v>
      </c>
      <c r="U391" s="17">
        <v>18</v>
      </c>
      <c r="V391" s="17">
        <v>50</v>
      </c>
      <c r="W391" s="17">
        <v>60</v>
      </c>
      <c r="X391" s="28">
        <f>SUMPRODUCT(T391:W391,'Fisico SPOT MAT'!T391:W391)*24</f>
        <v>4615488</v>
      </c>
      <c r="Y391" s="19">
        <v>0</v>
      </c>
      <c r="Z391" s="19">
        <v>5</v>
      </c>
      <c r="AA391" s="19">
        <v>0</v>
      </c>
      <c r="AB391" s="28">
        <f>SUMPRODUCT(Y391:AA391,'Fisico SPOT MAT'!Y391:AA391)*E391</f>
        <v>99120</v>
      </c>
      <c r="AC391" s="122">
        <f>(T391*'Fisico SPOT MAT'!T391+'Mono SPOT MAT'!V391*'Fisico SPOT MAT'!V391+'Mono SPOT MAT'!W391*'Fisico SPOT MAT'!W391)/'Fisico SPOT MAT'!AC391</f>
        <v>63.138368983957221</v>
      </c>
      <c r="AD391" s="85"/>
      <c r="AE391" s="41">
        <v>32.5</v>
      </c>
      <c r="AF391" s="41">
        <v>41.97</v>
      </c>
      <c r="AG391">
        <v>5050</v>
      </c>
      <c r="AH391" s="64">
        <f t="shared" si="215"/>
        <v>1.7212500000000002</v>
      </c>
      <c r="AJ391" s="41">
        <v>0.85</v>
      </c>
      <c r="AK391">
        <v>386</v>
      </c>
    </row>
    <row r="392" spans="1:37" x14ac:dyDescent="0.3">
      <c r="A392" s="3">
        <f>+'Mono ASIG'!A392</f>
        <v>1530</v>
      </c>
      <c r="B392" s="3">
        <f>+'Mono ASIG'!B392</f>
        <v>1514.9</v>
      </c>
      <c r="C392" s="1">
        <f>+'Mono ASIG'!C392</f>
        <v>2026</v>
      </c>
      <c r="D392" s="1">
        <f t="shared" si="210"/>
        <v>10</v>
      </c>
      <c r="E392" s="1">
        <f>+'Fisico SPOT MAT'!E392</f>
        <v>6</v>
      </c>
      <c r="F392" s="1" t="str">
        <f>+'Mono ASIG'!F392</f>
        <v>sáb</v>
      </c>
      <c r="G392" s="56">
        <f>+'Mono ASIG'!G392</f>
        <v>46298</v>
      </c>
      <c r="H392" s="17">
        <f t="shared" si="211"/>
        <v>36.138750000000002</v>
      </c>
      <c r="I392" s="17">
        <f t="shared" si="212"/>
        <v>46.098750000000003</v>
      </c>
      <c r="J392" s="17">
        <v>22.000000000000004</v>
      </c>
      <c r="K392" s="17">
        <f t="shared" si="213"/>
        <v>22.000000000000004</v>
      </c>
      <c r="L392" s="17">
        <f>+Precios!E392</f>
        <v>28.4</v>
      </c>
      <c r="M392" s="44">
        <f>SUMPRODUCT(H392:L392,'Fisico SPOT MAT'!H392:L392)*24</f>
        <v>3071870.1900000004</v>
      </c>
      <c r="N392" s="19">
        <f>+'Fisico SPOT MAT'!AH392</f>
        <v>16.215023551772582</v>
      </c>
      <c r="O392" s="19">
        <f t="shared" si="214"/>
        <v>13.082901554404145</v>
      </c>
      <c r="P392" s="19">
        <v>6</v>
      </c>
      <c r="Q392" s="19">
        <v>6</v>
      </c>
      <c r="R392" s="19">
        <v>0</v>
      </c>
      <c r="S392" s="44">
        <f>SUMPRODUCT(N392:R392,'Fisico SPOT MAT'!N392:R392)*E392</f>
        <v>1317923.4093264248</v>
      </c>
      <c r="T392" s="17">
        <v>80</v>
      </c>
      <c r="U392" s="17">
        <v>18</v>
      </c>
      <c r="V392" s="17">
        <v>50</v>
      </c>
      <c r="W392" s="17">
        <v>60</v>
      </c>
      <c r="X392" s="28">
        <f>SUMPRODUCT(T392:W392,'Fisico SPOT MAT'!T392:W392)*24</f>
        <v>4035456</v>
      </c>
      <c r="Y392" s="19">
        <v>0</v>
      </c>
      <c r="Z392" s="19">
        <v>5</v>
      </c>
      <c r="AA392" s="19">
        <v>0</v>
      </c>
      <c r="AB392" s="28">
        <f>SUMPRODUCT(Y392:AA392,'Fisico SPOT MAT'!Y392:AA392)*E392</f>
        <v>37380</v>
      </c>
      <c r="AC392" s="122">
        <f>(T392*'Fisico SPOT MAT'!T392+'Mono SPOT MAT'!V392*'Fisico SPOT MAT'!V392+'Mono SPOT MAT'!W392*'Fisico SPOT MAT'!W392)/'Fisico SPOT MAT'!AC392</f>
        <v>63.638470451911935</v>
      </c>
      <c r="AD392" s="85"/>
      <c r="AE392" s="41">
        <v>33.5</v>
      </c>
      <c r="AF392" s="41">
        <v>43.46</v>
      </c>
      <c r="AG392">
        <v>5050</v>
      </c>
      <c r="AH392" s="64">
        <f t="shared" si="215"/>
        <v>1.7887500000000001</v>
      </c>
      <c r="AJ392" s="41">
        <v>0.85</v>
      </c>
      <c r="AK392">
        <v>386</v>
      </c>
    </row>
    <row r="393" spans="1:37" x14ac:dyDescent="0.3">
      <c r="A393" s="3">
        <f>+'Mono ASIG'!A393</f>
        <v>1530</v>
      </c>
      <c r="B393" s="3">
        <f>+'Mono ASIG'!B393</f>
        <v>1514.9</v>
      </c>
      <c r="C393" s="1">
        <f>+'Mono ASIG'!C393</f>
        <v>2026</v>
      </c>
      <c r="D393" s="1">
        <f t="shared" si="210"/>
        <v>10</v>
      </c>
      <c r="E393" s="1">
        <f>+'Fisico SPOT MAT'!E393</f>
        <v>4</v>
      </c>
      <c r="F393" s="1" t="str">
        <f>+'Mono ASIG'!F393</f>
        <v>dom</v>
      </c>
      <c r="G393" s="56">
        <f>+'Mono ASIG'!G393</f>
        <v>46299</v>
      </c>
      <c r="H393" s="17">
        <f t="shared" si="211"/>
        <v>36.032000000000004</v>
      </c>
      <c r="I393" s="17">
        <f t="shared" si="212"/>
        <v>44.222000000000001</v>
      </c>
      <c r="J393" s="17">
        <v>22.000000000000004</v>
      </c>
      <c r="K393" s="17">
        <f t="shared" si="213"/>
        <v>22.000000000000004</v>
      </c>
      <c r="L393" s="17">
        <f>+Precios!E393</f>
        <v>17</v>
      </c>
      <c r="M393" s="44">
        <f>SUMPRODUCT(H393:L393,'Fisico SPOT MAT'!H393:L393)*24</f>
        <v>2207518.7520000003</v>
      </c>
      <c r="N393" s="19">
        <f>+'Fisico SPOT MAT'!AH393</f>
        <v>16.190196899874319</v>
      </c>
      <c r="O393" s="19">
        <f t="shared" ref="O393:O400" si="216">AG393/AK393</f>
        <v>13.082901554404145</v>
      </c>
      <c r="P393" s="19">
        <v>6</v>
      </c>
      <c r="Q393" s="19">
        <v>6</v>
      </c>
      <c r="R393" s="19">
        <v>0</v>
      </c>
      <c r="S393" s="44">
        <f>SUMPRODUCT(N393:R393,'Fisico SPOT MAT'!N393:R393)*E393</f>
        <v>866297.28497409332</v>
      </c>
      <c r="T393" s="17">
        <v>80</v>
      </c>
      <c r="U393" s="17">
        <v>18</v>
      </c>
      <c r="V393" s="17">
        <v>50</v>
      </c>
      <c r="W393" s="17">
        <v>60</v>
      </c>
      <c r="X393" s="28">
        <f>SUMPRODUCT(T393:W393,'Fisico SPOT MAT'!T393:W393)*24</f>
        <v>4084896</v>
      </c>
      <c r="Y393" s="19">
        <v>0</v>
      </c>
      <c r="Z393" s="19">
        <v>5</v>
      </c>
      <c r="AA393" s="19">
        <v>0</v>
      </c>
      <c r="AB393" s="28">
        <f>SUMPRODUCT(Y393:AA393,'Fisico SPOT MAT'!Y393:AA393)*E393</f>
        <v>24960</v>
      </c>
      <c r="AC393" s="122">
        <f>(T393*'Fisico SPOT MAT'!T393+'Mono SPOT MAT'!V393*'Fisico SPOT MAT'!V393+'Mono SPOT MAT'!W393*'Fisico SPOT MAT'!W393)/'Fisico SPOT MAT'!AC393</f>
        <v>63.671755725190842</v>
      </c>
      <c r="AD393" s="85"/>
      <c r="AE393" s="41">
        <v>33.4</v>
      </c>
      <c r="AF393" s="41">
        <v>41.59</v>
      </c>
      <c r="AG393">
        <v>5050</v>
      </c>
      <c r="AH393" s="64">
        <f t="shared" si="215"/>
        <v>1.782</v>
      </c>
      <c r="AJ393" s="41">
        <v>0.85</v>
      </c>
      <c r="AK393">
        <v>386</v>
      </c>
    </row>
    <row r="394" spans="1:37" x14ac:dyDescent="0.3">
      <c r="A394" s="3">
        <f>+'Mono ASIG'!A394</f>
        <v>1530</v>
      </c>
      <c r="B394" s="3">
        <f>+'Mono ASIG'!B394</f>
        <v>1514.9</v>
      </c>
      <c r="C394" s="1">
        <f>+'Mono ASIG'!C394</f>
        <v>2026</v>
      </c>
      <c r="D394" s="1">
        <f t="shared" si="210"/>
        <v>10</v>
      </c>
      <c r="E394" s="1">
        <f>+'Fisico SPOT MAT'!E394</f>
        <v>16</v>
      </c>
      <c r="F394" s="1" t="str">
        <f>+'Mono ASIG'!F394</f>
        <v>lun</v>
      </c>
      <c r="G394" s="56">
        <f>+'Mono ASIG'!G394</f>
        <v>46300</v>
      </c>
      <c r="H394" s="17">
        <f t="shared" si="211"/>
        <v>36.138750000000002</v>
      </c>
      <c r="I394" s="17">
        <f t="shared" si="212"/>
        <v>48.958750000000002</v>
      </c>
      <c r="J394" s="17">
        <v>22.000000000000004</v>
      </c>
      <c r="K394" s="17">
        <f t="shared" si="213"/>
        <v>22.000000000000004</v>
      </c>
      <c r="L394" s="17">
        <f>+Precios!E394</f>
        <v>33.200000000000003</v>
      </c>
      <c r="M394" s="44">
        <f>SUMPRODUCT(H394:L394,'Fisico SPOT MAT'!H394:L394)*24</f>
        <v>2574627.87</v>
      </c>
      <c r="N394" s="19">
        <f>+'Fisico SPOT MAT'!AH394</f>
        <v>16.080511863503066</v>
      </c>
      <c r="O394" s="19">
        <f t="shared" si="216"/>
        <v>13.082901554404145</v>
      </c>
      <c r="P394" s="19">
        <v>6</v>
      </c>
      <c r="Q394" s="19">
        <v>6</v>
      </c>
      <c r="R394" s="19">
        <v>0</v>
      </c>
      <c r="S394" s="44">
        <f>SUMPRODUCT(N394:R394,'Fisico SPOT MAT'!N394:R394)*E394</f>
        <v>3240723.3989637308</v>
      </c>
      <c r="T394" s="17">
        <v>80</v>
      </c>
      <c r="U394" s="17">
        <v>18</v>
      </c>
      <c r="V394" s="17">
        <v>50</v>
      </c>
      <c r="W394" s="17">
        <v>60</v>
      </c>
      <c r="X394" s="28">
        <f>SUMPRODUCT(T394:W394,'Fisico SPOT MAT'!T394:W394)*24</f>
        <v>3759792</v>
      </c>
      <c r="Y394" s="19">
        <v>0</v>
      </c>
      <c r="Z394" s="19">
        <v>5</v>
      </c>
      <c r="AA394" s="19">
        <v>0</v>
      </c>
      <c r="AB394" s="28">
        <f>SUMPRODUCT(Y394:AA394,'Fisico SPOT MAT'!Y394:AA394)*E394</f>
        <v>99920</v>
      </c>
      <c r="AC394" s="122">
        <f>(T394*'Fisico SPOT MAT'!T394+'Mono SPOT MAT'!V394*'Fisico SPOT MAT'!V394+'Mono SPOT MAT'!W394*'Fisico SPOT MAT'!W394)/'Fisico SPOT MAT'!AC394</f>
        <v>63.788509575353871</v>
      </c>
      <c r="AD394" s="85"/>
      <c r="AE394" s="41">
        <v>33.5</v>
      </c>
      <c r="AF394" s="41">
        <v>46.32</v>
      </c>
      <c r="AG394">
        <v>5050</v>
      </c>
      <c r="AH394" s="64">
        <f t="shared" si="215"/>
        <v>1.7887500000000001</v>
      </c>
      <c r="AJ394" s="41">
        <v>0.85</v>
      </c>
      <c r="AK394">
        <v>386</v>
      </c>
    </row>
    <row r="395" spans="1:37" x14ac:dyDescent="0.3">
      <c r="A395" s="3">
        <f>+'Mono ASIG'!A395</f>
        <v>1530</v>
      </c>
      <c r="B395" s="3">
        <f>+'Mono ASIG'!B395</f>
        <v>1514.9</v>
      </c>
      <c r="C395" s="1">
        <f>+'Mono ASIG'!C395</f>
        <v>2026</v>
      </c>
      <c r="D395" s="1">
        <f t="shared" ref="D395:D400" si="217">MONTH(G395)</f>
        <v>10</v>
      </c>
      <c r="E395" s="1">
        <f>+'Fisico SPOT MAT'!E395</f>
        <v>16</v>
      </c>
      <c r="F395" s="1" t="str">
        <f>+'Mono ASIG'!F395</f>
        <v>mar</v>
      </c>
      <c r="G395" s="56">
        <f>+'Mono ASIG'!G395</f>
        <v>46301</v>
      </c>
      <c r="H395" s="17">
        <f t="shared" ref="H395:H400" si="218">+AE395+AH395+AI395+AJ395</f>
        <v>37.419750000000008</v>
      </c>
      <c r="I395" s="17">
        <f t="shared" ref="I395:I400" si="219">+AF395+AH395+AI395+AJ395</f>
        <v>43.549750000000003</v>
      </c>
      <c r="J395" s="17">
        <v>22.000000000000004</v>
      </c>
      <c r="K395" s="17">
        <f t="shared" ref="K395:K400" si="220">+J395</f>
        <v>22.000000000000004</v>
      </c>
      <c r="L395" s="17">
        <f>+Precios!E395</f>
        <v>35.6</v>
      </c>
      <c r="M395" s="44">
        <f>SUMPRODUCT(H395:L395,'Fisico SPOT MAT'!H395:L395)*24</f>
        <v>2946926.0820000009</v>
      </c>
      <c r="N395" s="19">
        <f>+'Fisico SPOT MAT'!AH395</f>
        <v>16.13889367568499</v>
      </c>
      <c r="O395" s="19">
        <f t="shared" si="216"/>
        <v>13.082901554404145</v>
      </c>
      <c r="P395" s="19">
        <v>6</v>
      </c>
      <c r="Q395" s="19">
        <v>6</v>
      </c>
      <c r="R395" s="19">
        <v>0</v>
      </c>
      <c r="S395" s="44">
        <f>SUMPRODUCT(N395:R395,'Fisico SPOT MAT'!N395:R395)*E395</f>
        <v>3364576</v>
      </c>
      <c r="T395" s="17">
        <v>80</v>
      </c>
      <c r="U395" s="17">
        <v>18</v>
      </c>
      <c r="V395" s="17">
        <v>50</v>
      </c>
      <c r="W395" s="17">
        <v>60</v>
      </c>
      <c r="X395" s="28">
        <f>SUMPRODUCT(T395:W395,'Fisico SPOT MAT'!T395:W395)*24</f>
        <v>3347568</v>
      </c>
      <c r="Y395" s="19">
        <v>0</v>
      </c>
      <c r="Z395" s="19">
        <v>5</v>
      </c>
      <c r="AA395" s="19">
        <v>0</v>
      </c>
      <c r="AB395" s="28">
        <f>SUMPRODUCT(Y395:AA395,'Fisico SPOT MAT'!Y395:AA395)*E395</f>
        <v>100000</v>
      </c>
      <c r="AC395" s="122">
        <f>(T395*'Fisico SPOT MAT'!T395+'Mono SPOT MAT'!V395*'Fisico SPOT MAT'!V395+'Mono SPOT MAT'!W395*'Fisico SPOT MAT'!W395)/'Fisico SPOT MAT'!AC395</f>
        <v>64.13402548371873</v>
      </c>
      <c r="AD395" s="85"/>
      <c r="AE395" s="41">
        <v>34.700000000000003</v>
      </c>
      <c r="AF395" s="41">
        <v>40.83</v>
      </c>
      <c r="AG395">
        <v>5050</v>
      </c>
      <c r="AH395" s="64">
        <f t="shared" ref="AH395:AH400" si="221">0.075*0.9*(AE395-7)</f>
        <v>1.8697500000000002</v>
      </c>
      <c r="AJ395" s="41">
        <v>0.85</v>
      </c>
      <c r="AK395">
        <v>386</v>
      </c>
    </row>
    <row r="396" spans="1:37" x14ac:dyDescent="0.3">
      <c r="A396" s="3">
        <f>+'Mono ASIG'!A396</f>
        <v>1530</v>
      </c>
      <c r="B396" s="3">
        <f>+'Mono ASIG'!B396</f>
        <v>1514.9</v>
      </c>
      <c r="C396" s="1">
        <f>+'Mono ASIG'!C396</f>
        <v>2026</v>
      </c>
      <c r="D396" s="1">
        <f t="shared" si="217"/>
        <v>10</v>
      </c>
      <c r="E396" s="1">
        <f>+'Fisico SPOT MAT'!E396</f>
        <v>16</v>
      </c>
      <c r="F396" s="1" t="str">
        <f>+'Mono ASIG'!F396</f>
        <v>mié</v>
      </c>
      <c r="G396" s="56">
        <f>+'Mono ASIG'!G396</f>
        <v>46302</v>
      </c>
      <c r="H396" s="17">
        <f t="shared" si="218"/>
        <v>37.206250000000004</v>
      </c>
      <c r="I396" s="17">
        <f t="shared" si="219"/>
        <v>45.866250000000001</v>
      </c>
      <c r="J396" s="17">
        <v>22.000000000000004</v>
      </c>
      <c r="K396" s="17">
        <f t="shared" si="220"/>
        <v>22.000000000000004</v>
      </c>
      <c r="L396" s="17">
        <f>+Precios!E396</f>
        <v>29.4</v>
      </c>
      <c r="M396" s="44">
        <f>SUMPRODUCT(H396:L396,'Fisico SPOT MAT'!H396:L396)*24</f>
        <v>2975428.1700000004</v>
      </c>
      <c r="N396" s="19">
        <f>+'Fisico SPOT MAT'!AH396</f>
        <v>16.155422715627669</v>
      </c>
      <c r="O396" s="19">
        <f t="shared" si="216"/>
        <v>13.082901554404145</v>
      </c>
      <c r="P396" s="19">
        <v>6</v>
      </c>
      <c r="Q396" s="19">
        <v>6</v>
      </c>
      <c r="R396" s="19">
        <v>0</v>
      </c>
      <c r="S396" s="44">
        <f>SUMPRODUCT(N396:R396,'Fisico SPOT MAT'!N396:R396)*E396</f>
        <v>3395155.9792746115</v>
      </c>
      <c r="T396" s="17">
        <v>80</v>
      </c>
      <c r="U396" s="17">
        <v>18</v>
      </c>
      <c r="V396" s="17">
        <v>50</v>
      </c>
      <c r="W396" s="17">
        <v>60</v>
      </c>
      <c r="X396" s="28">
        <f>SUMPRODUCT(T396:W396,'Fisico SPOT MAT'!T396:W396)*24</f>
        <v>4264416</v>
      </c>
      <c r="Y396" s="19">
        <v>0</v>
      </c>
      <c r="Z396" s="19">
        <v>5</v>
      </c>
      <c r="AA396" s="19">
        <v>0</v>
      </c>
      <c r="AB396" s="28">
        <f>SUMPRODUCT(Y396:AA396,'Fisico SPOT MAT'!Y396:AA396)*E396</f>
        <v>103680</v>
      </c>
      <c r="AC396" s="122">
        <f>(T396*'Fisico SPOT MAT'!T396+'Mono SPOT MAT'!V396*'Fisico SPOT MAT'!V396+'Mono SPOT MAT'!W396*'Fisico SPOT MAT'!W396)/'Fisico SPOT MAT'!AC396</f>
        <v>63.165337200870198</v>
      </c>
      <c r="AD396" s="85"/>
      <c r="AE396" s="41">
        <v>34.5</v>
      </c>
      <c r="AF396" s="41">
        <v>43.16</v>
      </c>
      <c r="AG396">
        <v>5050</v>
      </c>
      <c r="AH396" s="64">
        <f t="shared" si="221"/>
        <v>1.8562500000000002</v>
      </c>
      <c r="AJ396" s="41">
        <v>0.85</v>
      </c>
      <c r="AK396">
        <v>386</v>
      </c>
    </row>
    <row r="397" spans="1:37" x14ac:dyDescent="0.3">
      <c r="A397" s="3">
        <f>+'Mono ASIG'!A397</f>
        <v>1530</v>
      </c>
      <c r="B397" s="3">
        <f>+'Mono ASIG'!B397</f>
        <v>1514.9</v>
      </c>
      <c r="C397" s="1">
        <f>+'Mono ASIG'!C397</f>
        <v>2026</v>
      </c>
      <c r="D397" s="1">
        <f t="shared" si="217"/>
        <v>10</v>
      </c>
      <c r="E397" s="196">
        <f>+'Fisico SPOT MAT'!E397</f>
        <v>16</v>
      </c>
      <c r="F397" s="1" t="str">
        <f>+'Mono ASIG'!F397</f>
        <v>jue</v>
      </c>
      <c r="G397" s="56">
        <f>+'Mono ASIG'!G397</f>
        <v>46303</v>
      </c>
      <c r="H397" s="17">
        <f t="shared" si="218"/>
        <v>35.605000000000004</v>
      </c>
      <c r="I397" s="17">
        <f t="shared" si="219"/>
        <v>45.305000000000007</v>
      </c>
      <c r="J397" s="17">
        <v>22.000000000000004</v>
      </c>
      <c r="K397" s="17">
        <f t="shared" si="220"/>
        <v>22.000000000000004</v>
      </c>
      <c r="L397" s="17">
        <f>+Precios!E397</f>
        <v>33.4</v>
      </c>
      <c r="M397" s="44">
        <f>SUMPRODUCT(H397:L397,'Fisico SPOT MAT'!H397:L397)*24</f>
        <v>3058611.6000000006</v>
      </c>
      <c r="N397" s="19">
        <f>+'Fisico SPOT MAT'!AH397</f>
        <v>16.18548387096774</v>
      </c>
      <c r="O397" s="19">
        <f t="shared" si="216"/>
        <v>13.082901554404145</v>
      </c>
      <c r="P397" s="19">
        <v>6</v>
      </c>
      <c r="Q397" s="19">
        <v>6</v>
      </c>
      <c r="R397" s="19">
        <v>0</v>
      </c>
      <c r="S397" s="44">
        <f>SUMPRODUCT(N397:R397,'Fisico SPOT MAT'!N397:R397)*E397</f>
        <v>3453223.7927461136</v>
      </c>
      <c r="T397" s="17">
        <v>80</v>
      </c>
      <c r="U397" s="17">
        <v>18</v>
      </c>
      <c r="V397" s="17">
        <v>50</v>
      </c>
      <c r="W397" s="17">
        <v>60</v>
      </c>
      <c r="X397" s="28">
        <f>SUMPRODUCT(T397:W397,'Fisico SPOT MAT'!T397:W397)*24</f>
        <v>4000416</v>
      </c>
      <c r="Y397" s="19">
        <v>0</v>
      </c>
      <c r="Z397" s="19">
        <v>5</v>
      </c>
      <c r="AA397" s="19">
        <v>0</v>
      </c>
      <c r="AB397" s="28">
        <f>SUMPRODUCT(Y397:AA397,'Fisico SPOT MAT'!Y397:AA397)*E397</f>
        <v>107520</v>
      </c>
      <c r="AC397" s="122">
        <f>(T397*'Fisico SPOT MAT'!T397+'Mono SPOT MAT'!V397*'Fisico SPOT MAT'!V397+'Mono SPOT MAT'!W397*'Fisico SPOT MAT'!W397)/'Fisico SPOT MAT'!AC397</f>
        <v>63.284218689414502</v>
      </c>
      <c r="AD397" s="85"/>
      <c r="AE397" s="41">
        <v>33</v>
      </c>
      <c r="AF397" s="41">
        <v>42.7</v>
      </c>
      <c r="AG397">
        <v>5050</v>
      </c>
      <c r="AH397" s="64">
        <f t="shared" si="221"/>
        <v>1.7550000000000001</v>
      </c>
      <c r="AJ397" s="41">
        <v>0.85</v>
      </c>
      <c r="AK397">
        <v>386</v>
      </c>
    </row>
    <row r="398" spans="1:37" x14ac:dyDescent="0.3">
      <c r="A398" s="3">
        <f>+'Mono ASIG'!A398</f>
        <v>1530</v>
      </c>
      <c r="B398" s="3">
        <f>+'Mono ASIG'!B398</f>
        <v>1514.9</v>
      </c>
      <c r="C398" s="1">
        <f>+'Mono ASIG'!C398</f>
        <v>2026</v>
      </c>
      <c r="D398" s="1">
        <f t="shared" si="217"/>
        <v>10</v>
      </c>
      <c r="E398" s="196">
        <f>+'Fisico SPOT MAT'!E398</f>
        <v>16</v>
      </c>
      <c r="F398" s="1" t="str">
        <f>+'Mono ASIG'!F398</f>
        <v>vie</v>
      </c>
      <c r="G398" s="56">
        <f>+'Mono ASIG'!G398</f>
        <v>46304</v>
      </c>
      <c r="H398" s="17">
        <f t="shared" si="218"/>
        <v>35.284750000000003</v>
      </c>
      <c r="I398" s="17">
        <f t="shared" si="219"/>
        <v>46.024749999999997</v>
      </c>
      <c r="J398" s="17">
        <v>22.000000000000004</v>
      </c>
      <c r="K398" s="17">
        <f t="shared" si="220"/>
        <v>22.000000000000004</v>
      </c>
      <c r="L398" s="17">
        <f>+Precios!E398</f>
        <v>36.200000000000003</v>
      </c>
      <c r="M398" s="44">
        <f>SUMPRODUCT(H398:L398,'Fisico SPOT MAT'!H398:L398)*24</f>
        <v>3124026.1500000004</v>
      </c>
      <c r="N398" s="19">
        <f>+'Fisico SPOT MAT'!AH398</f>
        <v>16.217086256706562</v>
      </c>
      <c r="O398" s="19">
        <f t="shared" si="216"/>
        <v>13.082901554404145</v>
      </c>
      <c r="P398" s="19">
        <v>6</v>
      </c>
      <c r="Q398" s="19">
        <v>6</v>
      </c>
      <c r="R398" s="19">
        <v>0</v>
      </c>
      <c r="S398" s="44">
        <f>SUMPRODUCT(N398:R398,'Fisico SPOT MAT'!N398:R398)*E398</f>
        <v>3520186.3626943007</v>
      </c>
      <c r="T398" s="17">
        <v>80</v>
      </c>
      <c r="U398" s="17">
        <v>18</v>
      </c>
      <c r="V398" s="17">
        <v>50</v>
      </c>
      <c r="W398" s="17">
        <v>60</v>
      </c>
      <c r="X398" s="28">
        <f>SUMPRODUCT(T398:W398,'Fisico SPOT MAT'!T398:W398)*24</f>
        <v>3536640</v>
      </c>
      <c r="Y398" s="19">
        <v>0</v>
      </c>
      <c r="Z398" s="19">
        <v>5</v>
      </c>
      <c r="AA398" s="19">
        <v>0</v>
      </c>
      <c r="AB398" s="28">
        <f>SUMPRODUCT(Y398:AA398,'Fisico SPOT MAT'!Y398:AA398)*E398</f>
        <v>107600</v>
      </c>
      <c r="AC398" s="122">
        <f>(T398*'Fisico SPOT MAT'!T398+'Mono SPOT MAT'!V398*'Fisico SPOT MAT'!V398+'Mono SPOT MAT'!W398*'Fisico SPOT MAT'!W398)/'Fisico SPOT MAT'!AC398</f>
        <v>63.774922463447055</v>
      </c>
      <c r="AD398" s="85"/>
      <c r="AE398" s="41">
        <v>32.700000000000003</v>
      </c>
      <c r="AF398" s="41">
        <v>43.44</v>
      </c>
      <c r="AG398">
        <v>5050</v>
      </c>
      <c r="AH398" s="64">
        <f t="shared" si="221"/>
        <v>1.7347500000000002</v>
      </c>
      <c r="AJ398" s="41">
        <v>0.85</v>
      </c>
      <c r="AK398">
        <v>386</v>
      </c>
    </row>
    <row r="399" spans="1:37" x14ac:dyDescent="0.3">
      <c r="A399" s="3">
        <f>+'Mono ASIG'!A399</f>
        <v>1530</v>
      </c>
      <c r="B399" s="3">
        <f>+'Mono ASIG'!B399</f>
        <v>1514.9</v>
      </c>
      <c r="C399" s="1">
        <f>+'Mono ASIG'!C399</f>
        <v>2026</v>
      </c>
      <c r="D399" s="1">
        <f t="shared" si="217"/>
        <v>10</v>
      </c>
      <c r="E399" s="196">
        <f>+'Fisico SPOT MAT'!E399</f>
        <v>6</v>
      </c>
      <c r="F399" s="1" t="str">
        <f>+'Mono ASIG'!F399</f>
        <v>sáb</v>
      </c>
      <c r="G399" s="56">
        <f>+'Mono ASIG'!G399</f>
        <v>46305</v>
      </c>
      <c r="H399" s="17">
        <f t="shared" si="218"/>
        <v>34.644250000000007</v>
      </c>
      <c r="I399" s="17">
        <f t="shared" si="219"/>
        <v>48.334250000000004</v>
      </c>
      <c r="J399" s="17">
        <v>22.000000000000004</v>
      </c>
      <c r="K399" s="17">
        <f t="shared" si="220"/>
        <v>22.000000000000004</v>
      </c>
      <c r="L399" s="17">
        <f>+Precios!E399</f>
        <v>33.700000000000003</v>
      </c>
      <c r="M399" s="44">
        <f>SUMPRODUCT(H399:L399,'Fisico SPOT MAT'!H399:L399)*24</f>
        <v>2581957.2660000003</v>
      </c>
      <c r="N399" s="19">
        <f>+'Fisico SPOT MAT'!AH399</f>
        <v>16.189286612457039</v>
      </c>
      <c r="O399" s="19">
        <f t="shared" si="216"/>
        <v>13.082901554404145</v>
      </c>
      <c r="P399" s="19">
        <v>6</v>
      </c>
      <c r="Q399" s="19">
        <v>6</v>
      </c>
      <c r="R399" s="19">
        <v>0</v>
      </c>
      <c r="S399" s="44">
        <f>SUMPRODUCT(N399:R399,'Fisico SPOT MAT'!N399:R399)*E399</f>
        <v>1260222.1554404146</v>
      </c>
      <c r="T399" s="17">
        <v>80</v>
      </c>
      <c r="U399" s="17">
        <v>18</v>
      </c>
      <c r="V399" s="17">
        <v>50</v>
      </c>
      <c r="W399" s="17">
        <v>60</v>
      </c>
      <c r="X399" s="28">
        <f>SUMPRODUCT(T399:W399,'Fisico SPOT MAT'!T399:W399)*24</f>
        <v>3267312</v>
      </c>
      <c r="Y399" s="19">
        <v>0</v>
      </c>
      <c r="Z399" s="19">
        <v>5</v>
      </c>
      <c r="AA399" s="19">
        <v>0</v>
      </c>
      <c r="AB399" s="28">
        <f>SUMPRODUCT(Y399:AA399,'Fisico SPOT MAT'!Y399:AA399)*E399</f>
        <v>40410</v>
      </c>
      <c r="AC399" s="122">
        <f>(T399*'Fisico SPOT MAT'!T399+'Mono SPOT MAT'!V399*'Fisico SPOT MAT'!V399+'Mono SPOT MAT'!W399*'Fisico SPOT MAT'!W399)/'Fisico SPOT MAT'!AC399</f>
        <v>64.168278529980654</v>
      </c>
      <c r="AD399" s="85"/>
      <c r="AE399" s="41">
        <v>32.1</v>
      </c>
      <c r="AF399" s="41">
        <v>45.79</v>
      </c>
      <c r="AG399">
        <v>5050</v>
      </c>
      <c r="AH399" s="64">
        <f t="shared" si="221"/>
        <v>1.6942500000000003</v>
      </c>
      <c r="AJ399" s="41">
        <v>0.85</v>
      </c>
      <c r="AK399">
        <v>386</v>
      </c>
    </row>
    <row r="400" spans="1:37" x14ac:dyDescent="0.3">
      <c r="A400" s="3">
        <f>+'Mono ASIG'!A400</f>
        <v>1530</v>
      </c>
      <c r="B400" s="3">
        <f>+'Mono ASIG'!B400</f>
        <v>1514.9</v>
      </c>
      <c r="C400" s="1">
        <f>+'Mono ASIG'!C400</f>
        <v>2026</v>
      </c>
      <c r="D400" s="1">
        <f t="shared" si="217"/>
        <v>10</v>
      </c>
      <c r="E400" s="196">
        <f>+'Fisico SPOT MAT'!E400</f>
        <v>4</v>
      </c>
      <c r="F400" s="1" t="str">
        <f>+'Mono ASIG'!F400</f>
        <v>dom</v>
      </c>
      <c r="G400" s="56">
        <f>+'Mono ASIG'!G400</f>
        <v>46306</v>
      </c>
      <c r="H400" s="17">
        <f t="shared" si="218"/>
        <v>34.964500000000001</v>
      </c>
      <c r="I400" s="17">
        <f t="shared" si="219"/>
        <v>52.0745</v>
      </c>
      <c r="J400" s="17">
        <v>22.000000000000004</v>
      </c>
      <c r="K400" s="17">
        <f t="shared" si="220"/>
        <v>22.000000000000004</v>
      </c>
      <c r="L400" s="17">
        <f>+Precios!E400</f>
        <v>24.5</v>
      </c>
      <c r="M400" s="44">
        <f>SUMPRODUCT(H400:L400,'Fisico SPOT MAT'!H400:L400)*24</f>
        <v>2203044.0840000003</v>
      </c>
      <c r="N400" s="19">
        <f>+'Fisico SPOT MAT'!AH400</f>
        <v>16.182124221511529</v>
      </c>
      <c r="O400" s="19">
        <f t="shared" si="216"/>
        <v>13.082901554404145</v>
      </c>
      <c r="P400" s="19">
        <v>6</v>
      </c>
      <c r="Q400" s="19">
        <v>6</v>
      </c>
      <c r="R400" s="19">
        <v>0</v>
      </c>
      <c r="S400" s="44">
        <f>SUMPRODUCT(N400:R400,'Fisico SPOT MAT'!N400:R400)*E400</f>
        <v>837069.78238341969</v>
      </c>
      <c r="T400" s="17">
        <v>80</v>
      </c>
      <c r="U400" s="17">
        <v>18</v>
      </c>
      <c r="V400" s="17">
        <v>50</v>
      </c>
      <c r="W400" s="17">
        <v>60</v>
      </c>
      <c r="X400" s="28">
        <f>SUMPRODUCT(T400:W400,'Fisico SPOT MAT'!T400:W400)*24</f>
        <v>3463920</v>
      </c>
      <c r="Y400" s="19">
        <v>0</v>
      </c>
      <c r="Z400" s="19">
        <v>5</v>
      </c>
      <c r="AA400" s="19">
        <v>0</v>
      </c>
      <c r="AB400" s="28">
        <f>SUMPRODUCT(Y400:AA400,'Fisico SPOT MAT'!Y400:AA400)*E400</f>
        <v>26960</v>
      </c>
      <c r="AC400" s="122">
        <f>(T400*'Fisico SPOT MAT'!T400+'Mono SPOT MAT'!V400*'Fisico SPOT MAT'!V400+'Mono SPOT MAT'!W400*'Fisico SPOT MAT'!W400)/'Fisico SPOT MAT'!AC400</f>
        <v>64.02089959109496</v>
      </c>
      <c r="AD400" s="85"/>
      <c r="AE400" s="41">
        <v>32.4</v>
      </c>
      <c r="AF400" s="41">
        <v>49.51</v>
      </c>
      <c r="AG400">
        <v>5050</v>
      </c>
      <c r="AH400" s="64">
        <f t="shared" si="221"/>
        <v>1.7144999999999999</v>
      </c>
      <c r="AJ400" s="41">
        <v>0.85</v>
      </c>
      <c r="AK400">
        <v>386</v>
      </c>
    </row>
    <row r="401" spans="1:37" x14ac:dyDescent="0.3">
      <c r="A401" s="3">
        <f>+'Mono ASIG'!A401</f>
        <v>1530</v>
      </c>
      <c r="B401" s="3">
        <f>+'Mono ASIG'!B401</f>
        <v>1519.2</v>
      </c>
      <c r="C401" s="1">
        <f>+'Mono ASIG'!C401</f>
        <v>2026</v>
      </c>
      <c r="D401" s="1">
        <f t="shared" ref="D401:D414" si="222">MONTH(G401)</f>
        <v>10</v>
      </c>
      <c r="E401" s="196">
        <f>+'Fisico SPOT MAT'!E401</f>
        <v>4</v>
      </c>
      <c r="F401" s="1" t="str">
        <f>+'Mono ASIG'!F401</f>
        <v>lun</v>
      </c>
      <c r="G401" s="56">
        <f>+'Mono ASIG'!G401</f>
        <v>46307</v>
      </c>
      <c r="H401" s="17">
        <f t="shared" ref="H401:H414" si="223">+AE401+AH401+AI401+AJ401</f>
        <v>34.003750000000004</v>
      </c>
      <c r="I401" s="17">
        <f t="shared" ref="I401:I414" si="224">+AF401+AH401+AI401+AJ401</f>
        <v>49.813750000000006</v>
      </c>
      <c r="J401" s="17">
        <v>22.000000000000004</v>
      </c>
      <c r="K401" s="17">
        <f t="shared" ref="K401:K414" si="225">+J401</f>
        <v>22.000000000000004</v>
      </c>
      <c r="L401" s="17">
        <f>+Precios!E401</f>
        <v>29.9</v>
      </c>
      <c r="M401" s="44">
        <f>SUMPRODUCT(H401:L401,'Fisico SPOT MAT'!H401:L401)*24</f>
        <v>2431935.4800000004</v>
      </c>
      <c r="N401" s="19">
        <f>+'Fisico SPOT MAT'!AH401</f>
        <v>16.263107108394983</v>
      </c>
      <c r="O401" s="19">
        <f t="shared" ref="O401:O414" si="226">AG401/AK401</f>
        <v>13.082901554404145</v>
      </c>
      <c r="P401" s="19">
        <v>6</v>
      </c>
      <c r="Q401" s="19">
        <v>6</v>
      </c>
      <c r="R401" s="19">
        <v>0</v>
      </c>
      <c r="S401" s="44">
        <f>SUMPRODUCT(N401:R401,'Fisico SPOT MAT'!N401:R401)*E401</f>
        <v>877069.11917098449</v>
      </c>
      <c r="T401" s="17">
        <v>80</v>
      </c>
      <c r="U401" s="17">
        <v>18</v>
      </c>
      <c r="V401" s="17">
        <v>50</v>
      </c>
      <c r="W401" s="17">
        <v>60</v>
      </c>
      <c r="X401" s="28">
        <f>SUMPRODUCT(T401:W401,'Fisico SPOT MAT'!T401:W401)*24</f>
        <v>3469680</v>
      </c>
      <c r="Y401" s="19">
        <v>0</v>
      </c>
      <c r="Z401" s="19">
        <v>5</v>
      </c>
      <c r="AA401" s="19">
        <v>0</v>
      </c>
      <c r="AB401" s="28">
        <f>SUMPRODUCT(Y401:AA401,'Fisico SPOT MAT'!Y401:AA401)*E401</f>
        <v>26980</v>
      </c>
      <c r="AC401" s="122">
        <f>(T401*'Fisico SPOT MAT'!T401+'Mono SPOT MAT'!V401*'Fisico SPOT MAT'!V401+'Mono SPOT MAT'!W401*'Fisico SPOT MAT'!W401)/'Fisico SPOT MAT'!AC401</f>
        <v>64.042649727767696</v>
      </c>
      <c r="AD401" s="85"/>
      <c r="AE401" s="41">
        <v>31.5</v>
      </c>
      <c r="AF401" s="41">
        <v>47.31</v>
      </c>
      <c r="AG401">
        <v>5050</v>
      </c>
      <c r="AH401" s="64">
        <f t="shared" ref="AH401:AH414" si="227">0.075*0.9*(AE401-7)</f>
        <v>1.6537500000000001</v>
      </c>
      <c r="AJ401" s="41">
        <v>0.85</v>
      </c>
      <c r="AK401">
        <v>386</v>
      </c>
    </row>
    <row r="402" spans="1:37" x14ac:dyDescent="0.3">
      <c r="A402" s="3">
        <f>+'Mono ASIG'!A402</f>
        <v>1530</v>
      </c>
      <c r="B402" s="3">
        <f>+'Mono ASIG'!B402</f>
        <v>1519.2</v>
      </c>
      <c r="C402" s="1">
        <f>+'Mono ASIG'!C402</f>
        <v>2026</v>
      </c>
      <c r="D402" s="1">
        <f t="shared" si="222"/>
        <v>10</v>
      </c>
      <c r="E402" s="196">
        <f>+'Fisico SPOT MAT'!E402</f>
        <v>16</v>
      </c>
      <c r="F402" s="1" t="str">
        <f>+'Mono ASIG'!F402</f>
        <v>mar</v>
      </c>
      <c r="G402" s="56">
        <f>+'Mono ASIG'!G402</f>
        <v>46308</v>
      </c>
      <c r="H402" s="17">
        <f t="shared" si="223"/>
        <v>36.458999999999996</v>
      </c>
      <c r="I402" s="17">
        <f t="shared" si="224"/>
        <v>51.759</v>
      </c>
      <c r="J402" s="17">
        <v>22.000000000000004</v>
      </c>
      <c r="K402" s="17">
        <f t="shared" si="225"/>
        <v>22.000000000000004</v>
      </c>
      <c r="L402" s="17">
        <f>+Precios!E402</f>
        <v>35</v>
      </c>
      <c r="M402" s="44">
        <f>SUMPRODUCT(H402:L402,'Fisico SPOT MAT'!H402:L402)*24</f>
        <v>3220624.0320000001</v>
      </c>
      <c r="N402" s="19">
        <f>+'Fisico SPOT MAT'!AH402</f>
        <v>16.23095823095823</v>
      </c>
      <c r="O402" s="19">
        <f t="shared" si="226"/>
        <v>13.082901554404145</v>
      </c>
      <c r="P402" s="19">
        <v>6</v>
      </c>
      <c r="Q402" s="19">
        <v>6</v>
      </c>
      <c r="R402" s="19">
        <v>0</v>
      </c>
      <c r="S402" s="44">
        <f>SUMPRODUCT(N402:R402,'Fisico SPOT MAT'!N402:R402)*E402</f>
        <v>3444131.1502590668</v>
      </c>
      <c r="T402" s="17">
        <v>80</v>
      </c>
      <c r="U402" s="17">
        <v>18</v>
      </c>
      <c r="V402" s="17">
        <v>50</v>
      </c>
      <c r="W402" s="17">
        <v>60</v>
      </c>
      <c r="X402" s="28">
        <f>SUMPRODUCT(T402:W402,'Fisico SPOT MAT'!T402:W402)*24</f>
        <v>3399648</v>
      </c>
      <c r="Y402" s="19">
        <v>0</v>
      </c>
      <c r="Z402" s="19">
        <v>5</v>
      </c>
      <c r="AA402" s="19">
        <v>0</v>
      </c>
      <c r="AB402" s="28">
        <f>SUMPRODUCT(Y402:AA402,'Fisico SPOT MAT'!Y402:AA402)*E402</f>
        <v>107760</v>
      </c>
      <c r="AC402" s="122">
        <f>(T402*'Fisico SPOT MAT'!T402+'Mono SPOT MAT'!V402*'Fisico SPOT MAT'!V402+'Mono SPOT MAT'!W402*'Fisico SPOT MAT'!W402)/'Fisico SPOT MAT'!AC402</f>
        <v>64.230046948356801</v>
      </c>
      <c r="AD402" s="85"/>
      <c r="AE402" s="41">
        <v>33.799999999999997</v>
      </c>
      <c r="AF402" s="41">
        <v>49.1</v>
      </c>
      <c r="AG402">
        <v>5050</v>
      </c>
      <c r="AH402" s="64">
        <f t="shared" si="227"/>
        <v>1.8089999999999999</v>
      </c>
      <c r="AJ402" s="41">
        <v>0.85</v>
      </c>
      <c r="AK402">
        <v>386</v>
      </c>
    </row>
    <row r="403" spans="1:37" x14ac:dyDescent="0.3">
      <c r="A403" s="3">
        <f>+'Mono ASIG'!A403</f>
        <v>1530</v>
      </c>
      <c r="B403" s="3">
        <f>+'Mono ASIG'!B403</f>
        <v>1519.2</v>
      </c>
      <c r="C403" s="1">
        <f>+'Mono ASIG'!C403</f>
        <v>2026</v>
      </c>
      <c r="D403" s="1">
        <f t="shared" si="222"/>
        <v>10</v>
      </c>
      <c r="E403" s="196">
        <f>+'Fisico SPOT MAT'!E403</f>
        <v>16</v>
      </c>
      <c r="F403" s="1" t="str">
        <f>+'Mono ASIG'!F403</f>
        <v>mié</v>
      </c>
      <c r="G403" s="56">
        <f>+'Mono ASIG'!G403</f>
        <v>46309</v>
      </c>
      <c r="H403" s="17">
        <f t="shared" si="223"/>
        <v>37.206250000000004</v>
      </c>
      <c r="I403" s="17">
        <f t="shared" si="224"/>
        <v>51.696250000000006</v>
      </c>
      <c r="J403" s="17">
        <v>22.000000000000004</v>
      </c>
      <c r="K403" s="17">
        <f t="shared" si="225"/>
        <v>22.000000000000004</v>
      </c>
      <c r="L403" s="17">
        <f>+Precios!E403</f>
        <v>39.9</v>
      </c>
      <c r="M403" s="44">
        <f>SUMPRODUCT(H403:L403,'Fisico SPOT MAT'!H403:L403)*24</f>
        <v>3741136.2900000005</v>
      </c>
      <c r="N403" s="19">
        <f>+'Fisico SPOT MAT'!AH403</f>
        <v>16.249452954048142</v>
      </c>
      <c r="O403" s="19">
        <f t="shared" si="226"/>
        <v>13.082901554404145</v>
      </c>
      <c r="P403" s="19">
        <v>6</v>
      </c>
      <c r="Q403" s="19">
        <v>6</v>
      </c>
      <c r="R403" s="19">
        <v>0</v>
      </c>
      <c r="S403" s="44">
        <f>SUMPRODUCT(N403:R403,'Fisico SPOT MAT'!N403:R403)*E403</f>
        <v>3477853.8445595861</v>
      </c>
      <c r="T403" s="17">
        <v>80</v>
      </c>
      <c r="U403" s="17">
        <v>18</v>
      </c>
      <c r="V403" s="17">
        <v>50</v>
      </c>
      <c r="W403" s="17">
        <v>60</v>
      </c>
      <c r="X403" s="28">
        <f>SUMPRODUCT(T403:W403,'Fisico SPOT MAT'!T403:W403)*24</f>
        <v>2974416</v>
      </c>
      <c r="Y403" s="19">
        <v>0</v>
      </c>
      <c r="Z403" s="19">
        <v>5</v>
      </c>
      <c r="AA403" s="19">
        <v>0</v>
      </c>
      <c r="AB403" s="28">
        <f>SUMPRODUCT(Y403:AA403,'Fisico SPOT MAT'!Y403:AA403)*E403</f>
        <v>107840</v>
      </c>
      <c r="AC403" s="122">
        <f>(T403*'Fisico SPOT MAT'!T403+'Mono SPOT MAT'!V403*'Fisico SPOT MAT'!V403+'Mono SPOT MAT'!W403*'Fisico SPOT MAT'!W403)/'Fisico SPOT MAT'!AC403</f>
        <v>64.991771804717501</v>
      </c>
      <c r="AD403" s="85"/>
      <c r="AE403" s="41">
        <v>34.5</v>
      </c>
      <c r="AF403" s="41">
        <v>48.99</v>
      </c>
      <c r="AG403">
        <v>5050</v>
      </c>
      <c r="AH403" s="64">
        <f t="shared" si="227"/>
        <v>1.8562500000000002</v>
      </c>
      <c r="AJ403" s="41">
        <v>0.85</v>
      </c>
      <c r="AK403">
        <v>386</v>
      </c>
    </row>
    <row r="404" spans="1:37" x14ac:dyDescent="0.3">
      <c r="A404" s="3">
        <f>+'Mono ASIG'!A404</f>
        <v>1530</v>
      </c>
      <c r="B404" s="3">
        <f>+'Mono ASIG'!B404</f>
        <v>1519.2</v>
      </c>
      <c r="C404" s="1">
        <f>+'Mono ASIG'!C404</f>
        <v>2026</v>
      </c>
      <c r="D404" s="1">
        <f t="shared" si="222"/>
        <v>10</v>
      </c>
      <c r="E404" s="196">
        <f>+'Fisico SPOT MAT'!E404</f>
        <v>16</v>
      </c>
      <c r="F404" s="1" t="str">
        <f>+'Mono ASIG'!F404</f>
        <v>jue</v>
      </c>
      <c r="G404" s="56">
        <f>+'Mono ASIG'!G404</f>
        <v>46310</v>
      </c>
      <c r="H404" s="17">
        <f t="shared" si="223"/>
        <v>36.886000000000003</v>
      </c>
      <c r="I404" s="17">
        <f t="shared" si="224"/>
        <v>49.576000000000001</v>
      </c>
      <c r="J404" s="17">
        <v>22.000000000000004</v>
      </c>
      <c r="K404" s="17">
        <f t="shared" si="225"/>
        <v>22.000000000000004</v>
      </c>
      <c r="L404" s="17">
        <f>+Precios!E404</f>
        <v>38.6</v>
      </c>
      <c r="M404" s="44">
        <f>SUMPRODUCT(H404:L404,'Fisico SPOT MAT'!H404:L404)*24</f>
        <v>3703696.9920000006</v>
      </c>
      <c r="N404" s="19">
        <f>+'Fisico SPOT MAT'!AH404</f>
        <v>16.237597911227155</v>
      </c>
      <c r="O404" s="19">
        <f t="shared" si="226"/>
        <v>13.082901554404145</v>
      </c>
      <c r="P404" s="19">
        <v>6</v>
      </c>
      <c r="Q404" s="19">
        <v>6</v>
      </c>
      <c r="R404" s="19">
        <v>0</v>
      </c>
      <c r="S404" s="44">
        <f>SUMPRODUCT(N404:R404,'Fisico SPOT MAT'!N404:R404)*E404</f>
        <v>3453984.4974093265</v>
      </c>
      <c r="T404" s="17">
        <v>80</v>
      </c>
      <c r="U404" s="17">
        <v>18</v>
      </c>
      <c r="V404" s="17">
        <v>50</v>
      </c>
      <c r="W404" s="17">
        <v>60</v>
      </c>
      <c r="X404" s="28">
        <f>SUMPRODUCT(T404:W404,'Fisico SPOT MAT'!T404:W404)*24</f>
        <v>3321792</v>
      </c>
      <c r="Y404" s="19">
        <v>0</v>
      </c>
      <c r="Z404" s="19">
        <v>5</v>
      </c>
      <c r="AA404" s="19">
        <v>0</v>
      </c>
      <c r="AB404" s="28">
        <f>SUMPRODUCT(Y404:AA404,'Fisico SPOT MAT'!Y404:AA404)*E404</f>
        <v>107920</v>
      </c>
      <c r="AC404" s="122">
        <f>(T404*'Fisico SPOT MAT'!T404+'Mono SPOT MAT'!V404*'Fisico SPOT MAT'!V404+'Mono SPOT MAT'!W404*'Fisico SPOT MAT'!W404)/'Fisico SPOT MAT'!AC404</f>
        <v>64.432641236117817</v>
      </c>
      <c r="AD404" s="85"/>
      <c r="AE404" s="41">
        <v>34.200000000000003</v>
      </c>
      <c r="AF404" s="41">
        <v>46.89</v>
      </c>
      <c r="AG404">
        <v>5050</v>
      </c>
      <c r="AH404" s="64">
        <f t="shared" si="227"/>
        <v>1.8360000000000003</v>
      </c>
      <c r="AJ404" s="41">
        <v>0.85</v>
      </c>
      <c r="AK404">
        <v>386</v>
      </c>
    </row>
    <row r="405" spans="1:37" x14ac:dyDescent="0.3">
      <c r="A405" s="3">
        <f>+'Mono ASIG'!A405</f>
        <v>1530</v>
      </c>
      <c r="B405" s="3">
        <f>+'Mono ASIG'!B405</f>
        <v>1519.2</v>
      </c>
      <c r="C405" s="1">
        <f>+'Mono ASIG'!C405</f>
        <v>2026</v>
      </c>
      <c r="D405" s="1">
        <f t="shared" si="222"/>
        <v>10</v>
      </c>
      <c r="E405" s="196">
        <f>+'Fisico SPOT MAT'!E405</f>
        <v>16</v>
      </c>
      <c r="F405" s="1" t="str">
        <f>+'Mono ASIG'!F405</f>
        <v>vie</v>
      </c>
      <c r="G405" s="56">
        <f>+'Mono ASIG'!G405</f>
        <v>46311</v>
      </c>
      <c r="H405" s="17">
        <f t="shared" si="223"/>
        <v>36.565750000000001</v>
      </c>
      <c r="I405" s="17">
        <f t="shared" si="224"/>
        <v>50.165750000000003</v>
      </c>
      <c r="J405" s="17">
        <v>22.000000000000004</v>
      </c>
      <c r="K405" s="17">
        <f t="shared" si="225"/>
        <v>22.000000000000004</v>
      </c>
      <c r="L405" s="17">
        <f>+Precios!E405</f>
        <v>39.6</v>
      </c>
      <c r="M405" s="44">
        <f>SUMPRODUCT(H405:L405,'Fisico SPOT MAT'!H405:L405)*24</f>
        <v>3743999.1180000007</v>
      </c>
      <c r="N405" s="19">
        <f>+'Fisico SPOT MAT'!AH405</f>
        <v>16.255954784012918</v>
      </c>
      <c r="O405" s="19">
        <f t="shared" si="226"/>
        <v>13.082901554404145</v>
      </c>
      <c r="P405" s="19">
        <v>6</v>
      </c>
      <c r="Q405" s="19">
        <v>6</v>
      </c>
      <c r="R405" s="19">
        <v>0</v>
      </c>
      <c r="S405" s="44">
        <f>SUMPRODUCT(N405:R405,'Fisico SPOT MAT'!N405:R405)*E405</f>
        <v>3491973.8031088081</v>
      </c>
      <c r="T405" s="17">
        <v>80</v>
      </c>
      <c r="U405" s="17">
        <v>18</v>
      </c>
      <c r="V405" s="17">
        <v>50</v>
      </c>
      <c r="W405" s="17">
        <v>60</v>
      </c>
      <c r="X405" s="28">
        <f>SUMPRODUCT(T405:W405,'Fisico SPOT MAT'!T405:W405)*24</f>
        <v>3456960</v>
      </c>
      <c r="Y405" s="19">
        <v>0</v>
      </c>
      <c r="Z405" s="19">
        <v>5</v>
      </c>
      <c r="AA405" s="19">
        <v>0</v>
      </c>
      <c r="AB405" s="28">
        <f>SUMPRODUCT(Y405:AA405,'Fisico SPOT MAT'!Y405:AA405)*E405</f>
        <v>108000</v>
      </c>
      <c r="AC405" s="122">
        <f>(T405*'Fisico SPOT MAT'!T405+'Mono SPOT MAT'!V405*'Fisico SPOT MAT'!V405+'Mono SPOT MAT'!W405*'Fisico SPOT MAT'!W405)/'Fisico SPOT MAT'!AC405</f>
        <v>64.167819271553711</v>
      </c>
      <c r="AD405" s="85"/>
      <c r="AE405" s="41">
        <v>33.9</v>
      </c>
      <c r="AF405" s="41">
        <v>47.5</v>
      </c>
      <c r="AG405">
        <v>5050</v>
      </c>
      <c r="AH405" s="64">
        <f t="shared" si="227"/>
        <v>1.81575</v>
      </c>
      <c r="AJ405" s="41">
        <v>0.85</v>
      </c>
      <c r="AK405">
        <v>386</v>
      </c>
    </row>
    <row r="406" spans="1:37" x14ac:dyDescent="0.3">
      <c r="A406" s="3">
        <f>+'Mono ASIG'!A406</f>
        <v>1530</v>
      </c>
      <c r="B406" s="3">
        <f>+'Mono ASIG'!B406</f>
        <v>1519.2</v>
      </c>
      <c r="C406" s="1">
        <f>+'Mono ASIG'!C406</f>
        <v>2026</v>
      </c>
      <c r="D406" s="1">
        <f t="shared" si="222"/>
        <v>10</v>
      </c>
      <c r="E406" s="196">
        <f>+'Fisico SPOT MAT'!E406</f>
        <v>6</v>
      </c>
      <c r="F406" s="1" t="str">
        <f>+'Mono ASIG'!F406</f>
        <v>sáb</v>
      </c>
      <c r="G406" s="56">
        <f>+'Mono ASIG'!G406</f>
        <v>46312</v>
      </c>
      <c r="H406" s="17">
        <f t="shared" si="223"/>
        <v>40.622250000000001</v>
      </c>
      <c r="I406" s="17">
        <f t="shared" si="224"/>
        <v>50.822250000000004</v>
      </c>
      <c r="J406" s="17">
        <v>22.000000000000004</v>
      </c>
      <c r="K406" s="17">
        <f t="shared" si="225"/>
        <v>22.000000000000004</v>
      </c>
      <c r="L406" s="17">
        <f>+Precios!E406</f>
        <v>79.099999999999994</v>
      </c>
      <c r="M406" s="44">
        <f>SUMPRODUCT(H406:L406,'Fisico SPOT MAT'!H406:L406)*24</f>
        <v>3709346.2620000001</v>
      </c>
      <c r="N406" s="19">
        <f>+'Fisico SPOT MAT'!AH406</f>
        <v>16.23471722785224</v>
      </c>
      <c r="O406" s="19">
        <f t="shared" si="226"/>
        <v>13.082901554404145</v>
      </c>
      <c r="P406" s="19">
        <v>6</v>
      </c>
      <c r="Q406" s="19">
        <v>6</v>
      </c>
      <c r="R406" s="19">
        <v>0</v>
      </c>
      <c r="S406" s="44">
        <f>SUMPRODUCT(N406:R406,'Fisico SPOT MAT'!N406:R406)*E406</f>
        <v>1293496.1658031088</v>
      </c>
      <c r="T406" s="17">
        <v>80</v>
      </c>
      <c r="U406" s="17">
        <v>18</v>
      </c>
      <c r="V406" s="17">
        <v>50</v>
      </c>
      <c r="W406" s="17">
        <v>60</v>
      </c>
      <c r="X406" s="28">
        <f>SUMPRODUCT(T406:W406,'Fisico SPOT MAT'!T406:W406)*24</f>
        <v>3641328</v>
      </c>
      <c r="Y406" s="19">
        <v>0</v>
      </c>
      <c r="Z406" s="19">
        <v>5</v>
      </c>
      <c r="AA406" s="19">
        <v>0</v>
      </c>
      <c r="AB406" s="28">
        <f>SUMPRODUCT(Y406:AA406,'Fisico SPOT MAT'!Y406:AA406)*E406</f>
        <v>40530</v>
      </c>
      <c r="AC406" s="122">
        <f>(T406*'Fisico SPOT MAT'!T406+'Mono SPOT MAT'!V406*'Fisico SPOT MAT'!V406+'Mono SPOT MAT'!W406*'Fisico SPOT MAT'!W406)/'Fisico SPOT MAT'!AC406</f>
        <v>63.931034482758619</v>
      </c>
      <c r="AD406" s="85"/>
      <c r="AE406" s="41">
        <v>37.700000000000003</v>
      </c>
      <c r="AF406" s="41">
        <v>47.9</v>
      </c>
      <c r="AG406">
        <v>5050</v>
      </c>
      <c r="AH406" s="64">
        <f t="shared" si="227"/>
        <v>2.0722500000000004</v>
      </c>
      <c r="AJ406" s="41">
        <v>0.85</v>
      </c>
      <c r="AK406">
        <v>386</v>
      </c>
    </row>
    <row r="407" spans="1:37" x14ac:dyDescent="0.3">
      <c r="A407" s="3">
        <f>+'Mono ASIG'!A407</f>
        <v>1530</v>
      </c>
      <c r="B407" s="3">
        <f>+'Mono ASIG'!B407</f>
        <v>1519.2</v>
      </c>
      <c r="C407" s="1">
        <f>+'Mono ASIG'!C407</f>
        <v>2026</v>
      </c>
      <c r="D407" s="1">
        <f t="shared" ref="D407:D414" si="228">MONTH(G407)</f>
        <v>10</v>
      </c>
      <c r="E407" s="196">
        <f>+'Fisico SPOT MAT'!E407</f>
        <v>4</v>
      </c>
      <c r="F407" s="1" t="str">
        <f>+'Mono ASIG'!F407</f>
        <v>dom</v>
      </c>
      <c r="G407" s="56">
        <f>+'Mono ASIG'!G407</f>
        <v>46313</v>
      </c>
      <c r="H407" s="17">
        <f t="shared" ref="H407:H414" si="229">+AE407+AH407+AI407+AJ407</f>
        <v>36.672499999999999</v>
      </c>
      <c r="I407" s="17">
        <f t="shared" ref="I407:I414" si="230">+AF407+AH407+AI407+AJ407</f>
        <v>51.732500000000002</v>
      </c>
      <c r="J407" s="17">
        <v>22.000000000000004</v>
      </c>
      <c r="K407" s="17">
        <f t="shared" ref="K407:K414" si="231">+J407</f>
        <v>22.000000000000004</v>
      </c>
      <c r="L407" s="17">
        <f>+Precios!E407</f>
        <v>54.9</v>
      </c>
      <c r="M407" s="44">
        <f>SUMPRODUCT(H407:L407,'Fisico SPOT MAT'!H407:L407)*24</f>
        <v>2888348.34</v>
      </c>
      <c r="N407" s="19">
        <f>+'Fisico SPOT MAT'!AH407</f>
        <v>16.219584569732937</v>
      </c>
      <c r="O407" s="19">
        <f t="shared" ref="O407:O414" si="232">AG407/AK407</f>
        <v>13.082901554404145</v>
      </c>
      <c r="P407" s="19">
        <v>6</v>
      </c>
      <c r="Q407" s="19">
        <v>6</v>
      </c>
      <c r="R407" s="19">
        <v>0</v>
      </c>
      <c r="S407" s="44">
        <f>SUMPRODUCT(N407:R407,'Fisico SPOT MAT'!N407:R407)*E407</f>
        <v>854515.79274611396</v>
      </c>
      <c r="T407" s="17">
        <v>80</v>
      </c>
      <c r="U407" s="17">
        <v>18</v>
      </c>
      <c r="V407" s="17">
        <v>50</v>
      </c>
      <c r="W407" s="17">
        <v>60</v>
      </c>
      <c r="X407" s="28">
        <f>SUMPRODUCT(T407:W407,'Fisico SPOT MAT'!T407:W407)*24</f>
        <v>3718704</v>
      </c>
      <c r="Y407" s="19">
        <v>0</v>
      </c>
      <c r="Z407" s="19">
        <v>5</v>
      </c>
      <c r="AA407" s="19">
        <v>0</v>
      </c>
      <c r="AB407" s="28">
        <f>SUMPRODUCT(Y407:AA407,'Fisico SPOT MAT'!Y407:AA407)*E407</f>
        <v>27080</v>
      </c>
      <c r="AC407" s="122">
        <f>(T407*'Fisico SPOT MAT'!T407+'Mono SPOT MAT'!V407*'Fisico SPOT MAT'!V407+'Mono SPOT MAT'!W407*'Fisico SPOT MAT'!W407)/'Fisico SPOT MAT'!AC407</f>
        <v>63.930830873049345</v>
      </c>
      <c r="AD407" s="85"/>
      <c r="AE407" s="41">
        <v>34</v>
      </c>
      <c r="AF407" s="41">
        <v>49.06</v>
      </c>
      <c r="AG407">
        <v>5050</v>
      </c>
      <c r="AH407" s="64">
        <f t="shared" ref="AH407:AH414" si="233">0.075*0.9*(AE407-7)</f>
        <v>1.8225000000000002</v>
      </c>
      <c r="AJ407" s="41">
        <v>0.85</v>
      </c>
      <c r="AK407">
        <v>386</v>
      </c>
    </row>
    <row r="408" spans="1:37" x14ac:dyDescent="0.3">
      <c r="A408" s="3">
        <f>+'Mono ASIG'!A408</f>
        <v>1530</v>
      </c>
      <c r="B408" s="3">
        <f>+'Mono ASIG'!B408</f>
        <v>1519.2</v>
      </c>
      <c r="C408" s="1">
        <f>+'Mono ASIG'!C408</f>
        <v>2026</v>
      </c>
      <c r="D408" s="1">
        <f t="shared" si="228"/>
        <v>10</v>
      </c>
      <c r="E408" s="196">
        <f>+'Fisico SPOT MAT'!E408</f>
        <v>16</v>
      </c>
      <c r="F408" s="1" t="str">
        <f>+'Mono ASIG'!F408</f>
        <v>lun</v>
      </c>
      <c r="G408" s="56">
        <f>+'Mono ASIG'!G408</f>
        <v>46314</v>
      </c>
      <c r="H408" s="17">
        <f t="shared" si="229"/>
        <v>40.302</v>
      </c>
      <c r="I408" s="17">
        <f t="shared" si="230"/>
        <v>84.852000000000004</v>
      </c>
      <c r="J408" s="17">
        <v>22.000000000000004</v>
      </c>
      <c r="K408" s="17">
        <f t="shared" si="231"/>
        <v>22.000000000000004</v>
      </c>
      <c r="L408" s="17">
        <f>+Precios!E408</f>
        <v>37.6</v>
      </c>
      <c r="M408" s="44">
        <f>SUMPRODUCT(H408:L408,'Fisico SPOT MAT'!H408:L408)*24</f>
        <v>4005239.8080000002</v>
      </c>
      <c r="N408" s="19">
        <f>+'Fisico SPOT MAT'!AH408</f>
        <v>16.241901351131368</v>
      </c>
      <c r="O408" s="19">
        <f t="shared" si="232"/>
        <v>13.082901554404145</v>
      </c>
      <c r="P408" s="19">
        <v>6</v>
      </c>
      <c r="Q408" s="19">
        <v>6</v>
      </c>
      <c r="R408" s="19">
        <v>0</v>
      </c>
      <c r="S408" s="44">
        <f>SUMPRODUCT(N408:R408,'Fisico SPOT MAT'!N408:R408)*E408</f>
        <v>3477242.6943005184</v>
      </c>
      <c r="T408" s="17">
        <v>80</v>
      </c>
      <c r="U408" s="17">
        <v>18</v>
      </c>
      <c r="V408" s="17">
        <v>50</v>
      </c>
      <c r="W408" s="17">
        <v>60</v>
      </c>
      <c r="X408" s="28">
        <f>SUMPRODUCT(T408:W408,'Fisico SPOT MAT'!T408:W408)*24</f>
        <v>4015728</v>
      </c>
      <c r="Y408" s="19">
        <v>0</v>
      </c>
      <c r="Z408" s="19">
        <v>5</v>
      </c>
      <c r="AA408" s="19">
        <v>0</v>
      </c>
      <c r="AB408" s="28">
        <f>SUMPRODUCT(Y408:AA408,'Fisico SPOT MAT'!Y408:AA408)*E408</f>
        <v>107760</v>
      </c>
      <c r="AC408" s="122">
        <f>(T408*'Fisico SPOT MAT'!T408+'Mono SPOT MAT'!V408*'Fisico SPOT MAT'!V408+'Mono SPOT MAT'!W408*'Fisico SPOT MAT'!W408)/'Fisico SPOT MAT'!AC408</f>
        <v>63.608847497089641</v>
      </c>
      <c r="AD408" s="85"/>
      <c r="AE408" s="41">
        <v>37.4</v>
      </c>
      <c r="AF408" s="41">
        <v>81.95</v>
      </c>
      <c r="AG408">
        <v>5050</v>
      </c>
      <c r="AH408" s="64">
        <f t="shared" si="233"/>
        <v>2.052</v>
      </c>
      <c r="AJ408" s="41">
        <v>0.85</v>
      </c>
      <c r="AK408">
        <v>386</v>
      </c>
    </row>
    <row r="409" spans="1:37" x14ac:dyDescent="0.3">
      <c r="A409" s="3">
        <f>+'Mono ASIG'!A409</f>
        <v>1530</v>
      </c>
      <c r="B409" s="3">
        <f>+'Mono ASIG'!B409</f>
        <v>1519.2</v>
      </c>
      <c r="C409" s="1">
        <f>+'Mono ASIG'!C409</f>
        <v>2026</v>
      </c>
      <c r="D409" s="1">
        <f t="shared" si="228"/>
        <v>10</v>
      </c>
      <c r="E409" s="196">
        <f>+'Fisico SPOT MAT'!E409</f>
        <v>16</v>
      </c>
      <c r="F409" s="1" t="str">
        <f>+'Mono ASIG'!F409</f>
        <v>mar</v>
      </c>
      <c r="G409" s="56">
        <f>+'Mono ASIG'!G409</f>
        <v>46315</v>
      </c>
      <c r="H409" s="17">
        <f t="shared" si="229"/>
        <v>40.728999999999999</v>
      </c>
      <c r="I409" s="17">
        <f t="shared" si="230"/>
        <v>102.06899999999999</v>
      </c>
      <c r="J409" s="17">
        <v>22.000000000000004</v>
      </c>
      <c r="K409" s="17">
        <f t="shared" si="231"/>
        <v>22.000000000000004</v>
      </c>
      <c r="L409" s="17">
        <f>+Precios!E409</f>
        <v>29</v>
      </c>
      <c r="M409" s="44">
        <f>SUMPRODUCT(H409:L409,'Fisico SPOT MAT'!H409:L409)*24</f>
        <v>3235499.5439999998</v>
      </c>
      <c r="N409" s="19">
        <f>+'Fisico SPOT MAT'!AH409</f>
        <v>16.28720957893902</v>
      </c>
      <c r="O409" s="19">
        <f t="shared" si="232"/>
        <v>13.082901554404145</v>
      </c>
      <c r="P409" s="19">
        <v>6</v>
      </c>
      <c r="Q409" s="19">
        <v>6</v>
      </c>
      <c r="R409" s="19">
        <v>0</v>
      </c>
      <c r="S409" s="44">
        <f>SUMPRODUCT(N409:R409,'Fisico SPOT MAT'!N409:R409)*E409</f>
        <v>3555177.8652849738</v>
      </c>
      <c r="T409" s="17">
        <v>80</v>
      </c>
      <c r="U409" s="17">
        <v>18</v>
      </c>
      <c r="V409" s="17">
        <v>50</v>
      </c>
      <c r="W409" s="17">
        <v>60</v>
      </c>
      <c r="X409" s="28">
        <f>SUMPRODUCT(T409:W409,'Fisico SPOT MAT'!T409:W409)*24</f>
        <v>4724160</v>
      </c>
      <c r="Y409" s="19">
        <v>0</v>
      </c>
      <c r="Z409" s="19">
        <v>5</v>
      </c>
      <c r="AA409" s="19">
        <v>0</v>
      </c>
      <c r="AB409" s="28">
        <f>SUMPRODUCT(Y409:AA409,'Fisico SPOT MAT'!Y409:AA409)*E409</f>
        <v>107200</v>
      </c>
      <c r="AC409" s="122">
        <f>(T409*'Fisico SPOT MAT'!T409+'Mono SPOT MAT'!V409*'Fisico SPOT MAT'!V409+'Mono SPOT MAT'!W409*'Fisico SPOT MAT'!W409)/'Fisico SPOT MAT'!AC409</f>
        <v>63.126631853785902</v>
      </c>
      <c r="AD409" s="85"/>
      <c r="AE409" s="41">
        <v>37.799999999999997</v>
      </c>
      <c r="AF409" s="41">
        <v>99.14</v>
      </c>
      <c r="AG409">
        <v>5050</v>
      </c>
      <c r="AH409" s="64">
        <f t="shared" si="233"/>
        <v>2.0789999999999997</v>
      </c>
      <c r="AJ409" s="41">
        <v>0.85</v>
      </c>
      <c r="AK409">
        <v>386</v>
      </c>
    </row>
    <row r="410" spans="1:37" x14ac:dyDescent="0.3">
      <c r="A410" s="3">
        <f>+'Mono ASIG'!A410</f>
        <v>1530</v>
      </c>
      <c r="B410" s="3">
        <f>+'Mono ASIG'!B410</f>
        <v>1519.2</v>
      </c>
      <c r="C410" s="1">
        <f>+'Mono ASIG'!C410</f>
        <v>2026</v>
      </c>
      <c r="D410" s="1">
        <f t="shared" si="228"/>
        <v>10</v>
      </c>
      <c r="E410" s="196">
        <f>+'Fisico SPOT MAT'!E410</f>
        <v>16</v>
      </c>
      <c r="F410" s="1" t="str">
        <f>+'Mono ASIG'!F410</f>
        <v>mié</v>
      </c>
      <c r="G410" s="56">
        <f>+'Mono ASIG'!G410</f>
        <v>46316</v>
      </c>
      <c r="H410" s="17">
        <f t="shared" si="229"/>
        <v>41.796500000000002</v>
      </c>
      <c r="I410" s="17">
        <f t="shared" si="230"/>
        <v>78.966499999999996</v>
      </c>
      <c r="J410" s="17">
        <v>22.000000000000004</v>
      </c>
      <c r="K410" s="17">
        <f t="shared" si="231"/>
        <v>22.000000000000004</v>
      </c>
      <c r="L410" s="17">
        <f>+Precios!E410</f>
        <v>23.2</v>
      </c>
      <c r="M410" s="44">
        <f>SUMPRODUCT(H410:L410,'Fisico SPOT MAT'!H410:L410)*24</f>
        <v>3168320.7960000001</v>
      </c>
      <c r="N410" s="19">
        <f>+'Fisico SPOT MAT'!AH410</f>
        <v>16.200749687630154</v>
      </c>
      <c r="O410" s="19">
        <f t="shared" si="232"/>
        <v>13.082901554404145</v>
      </c>
      <c r="P410" s="19">
        <v>6</v>
      </c>
      <c r="Q410" s="19">
        <v>6</v>
      </c>
      <c r="R410" s="19">
        <v>0</v>
      </c>
      <c r="S410" s="44">
        <f>SUMPRODUCT(N410:R410,'Fisico SPOT MAT'!N410:R410)*E410</f>
        <v>3404722.4041450778</v>
      </c>
      <c r="T410" s="17">
        <v>80</v>
      </c>
      <c r="U410" s="17">
        <v>18</v>
      </c>
      <c r="V410" s="17">
        <v>50</v>
      </c>
      <c r="W410" s="17">
        <v>60</v>
      </c>
      <c r="X410" s="28">
        <f>SUMPRODUCT(T410:W410,'Fisico SPOT MAT'!T410:W410)*24</f>
        <v>4526208</v>
      </c>
      <c r="Y410" s="19">
        <v>0</v>
      </c>
      <c r="Z410" s="19">
        <v>5</v>
      </c>
      <c r="AA410" s="19">
        <v>0</v>
      </c>
      <c r="AB410" s="28">
        <f>SUMPRODUCT(Y410:AA410,'Fisico SPOT MAT'!Y410:AA410)*E410</f>
        <v>107280</v>
      </c>
      <c r="AC410" s="122">
        <f>(T410*'Fisico SPOT MAT'!T410+'Mono SPOT MAT'!V410*'Fisico SPOT MAT'!V410+'Mono SPOT MAT'!W410*'Fisico SPOT MAT'!W410)/'Fisico SPOT MAT'!AC410</f>
        <v>63.16166439290587</v>
      </c>
      <c r="AD410" s="85"/>
      <c r="AE410" s="41">
        <v>38.799999999999997</v>
      </c>
      <c r="AF410" s="41">
        <v>75.97</v>
      </c>
      <c r="AG410">
        <v>5050</v>
      </c>
      <c r="AH410" s="64">
        <f t="shared" si="233"/>
        <v>2.1465000000000001</v>
      </c>
      <c r="AJ410" s="41">
        <v>0.85</v>
      </c>
      <c r="AK410">
        <v>386</v>
      </c>
    </row>
    <row r="411" spans="1:37" x14ac:dyDescent="0.3">
      <c r="A411" s="3">
        <f>+'Mono ASIG'!A411</f>
        <v>1530</v>
      </c>
      <c r="B411" s="3">
        <f>+'Mono ASIG'!B411</f>
        <v>1519.2</v>
      </c>
      <c r="C411" s="1">
        <f>+'Mono ASIG'!C411</f>
        <v>2026</v>
      </c>
      <c r="D411" s="1">
        <f t="shared" si="228"/>
        <v>10</v>
      </c>
      <c r="E411" s="196">
        <f>+'Fisico SPOT MAT'!E411</f>
        <v>16</v>
      </c>
      <c r="F411" s="1" t="str">
        <f>+'Mono ASIG'!F411</f>
        <v>jue</v>
      </c>
      <c r="G411" s="56">
        <f>+'Mono ASIG'!G411</f>
        <v>46317</v>
      </c>
      <c r="H411" s="17">
        <f t="shared" si="229"/>
        <v>42.757250000000006</v>
      </c>
      <c r="I411" s="17">
        <f t="shared" si="230"/>
        <v>71.577249999999992</v>
      </c>
      <c r="J411" s="17">
        <v>22.000000000000004</v>
      </c>
      <c r="K411" s="17">
        <f t="shared" si="231"/>
        <v>22.000000000000004</v>
      </c>
      <c r="L411" s="17">
        <f>+Precios!E411</f>
        <v>38.299999999999997</v>
      </c>
      <c r="M411" s="44">
        <f>SUMPRODUCT(H411:L411,'Fisico SPOT MAT'!H411:L411)*24</f>
        <v>3583561.5060000001</v>
      </c>
      <c r="N411" s="19">
        <f>+'Fisico SPOT MAT'!AH411</f>
        <v>16.153214774281807</v>
      </c>
      <c r="O411" s="19">
        <f t="shared" si="232"/>
        <v>13.082901554404145</v>
      </c>
      <c r="P411" s="19">
        <v>6</v>
      </c>
      <c r="Q411" s="19">
        <v>6</v>
      </c>
      <c r="R411" s="19">
        <v>0</v>
      </c>
      <c r="S411" s="44">
        <f>SUMPRODUCT(N411:R411,'Fisico SPOT MAT'!N411:R411)*E411</f>
        <v>3314474.4455958549</v>
      </c>
      <c r="T411" s="17">
        <v>80</v>
      </c>
      <c r="U411" s="17">
        <v>18</v>
      </c>
      <c r="V411" s="17">
        <v>50</v>
      </c>
      <c r="W411" s="17">
        <v>60</v>
      </c>
      <c r="X411" s="28">
        <f>SUMPRODUCT(T411:W411,'Fisico SPOT MAT'!T411:W411)*24</f>
        <v>3487152</v>
      </c>
      <c r="Y411" s="19">
        <v>0</v>
      </c>
      <c r="Z411" s="19">
        <v>5</v>
      </c>
      <c r="AA411" s="19">
        <v>0</v>
      </c>
      <c r="AB411" s="28">
        <f>SUMPRODUCT(Y411:AA411,'Fisico SPOT MAT'!Y411:AA411)*E411</f>
        <v>107360</v>
      </c>
      <c r="AC411" s="122">
        <f>(T411*'Fisico SPOT MAT'!T411+'Mono SPOT MAT'!V411*'Fisico SPOT MAT'!V411+'Mono SPOT MAT'!W411*'Fisico SPOT MAT'!W411)/'Fisico SPOT MAT'!AC411</f>
        <v>64.207178555202177</v>
      </c>
      <c r="AD411" s="85"/>
      <c r="AE411" s="41">
        <v>39.700000000000003</v>
      </c>
      <c r="AF411" s="41">
        <v>68.52</v>
      </c>
      <c r="AG411">
        <v>5050</v>
      </c>
      <c r="AH411" s="64">
        <f t="shared" si="233"/>
        <v>2.2072500000000002</v>
      </c>
      <c r="AJ411" s="41">
        <v>0.85</v>
      </c>
      <c r="AK411">
        <v>386</v>
      </c>
    </row>
    <row r="412" spans="1:37" x14ac:dyDescent="0.3">
      <c r="A412" s="3">
        <f>+'Mono ASIG'!A412</f>
        <v>1530</v>
      </c>
      <c r="B412" s="3">
        <f>+'Mono ASIG'!B412</f>
        <v>1519.2</v>
      </c>
      <c r="C412" s="1">
        <f>+'Mono ASIG'!C412</f>
        <v>2026</v>
      </c>
      <c r="D412" s="1">
        <f t="shared" si="228"/>
        <v>10</v>
      </c>
      <c r="E412" s="196">
        <f>+'Fisico SPOT MAT'!E412</f>
        <v>16</v>
      </c>
      <c r="F412" s="1" t="str">
        <f>+'Mono ASIG'!F412</f>
        <v>vie</v>
      </c>
      <c r="G412" s="56">
        <f>+'Mono ASIG'!G412</f>
        <v>46318</v>
      </c>
      <c r="H412" s="17">
        <f t="shared" si="229"/>
        <v>42.116750000000003</v>
      </c>
      <c r="I412" s="17">
        <f t="shared" si="230"/>
        <v>65.696749999999994</v>
      </c>
      <c r="J412" s="17">
        <v>22.000000000000004</v>
      </c>
      <c r="K412" s="17">
        <f t="shared" si="231"/>
        <v>22.000000000000004</v>
      </c>
      <c r="L412" s="17">
        <f>+Precios!E412</f>
        <v>39.4</v>
      </c>
      <c r="M412" s="44">
        <f>SUMPRODUCT(H412:L412,'Fisico SPOT MAT'!H412:L412)*24</f>
        <v>3668030.6100000003</v>
      </c>
      <c r="N412" s="19">
        <f>+'Fisico SPOT MAT'!AH412</f>
        <v>16.217233410366457</v>
      </c>
      <c r="O412" s="19">
        <f t="shared" si="232"/>
        <v>13.082901554404145</v>
      </c>
      <c r="P412" s="19">
        <v>6</v>
      </c>
      <c r="Q412" s="19">
        <v>6</v>
      </c>
      <c r="R412" s="19">
        <v>0</v>
      </c>
      <c r="S412" s="44">
        <f>SUMPRODUCT(N412:R412,'Fisico SPOT MAT'!N412:R412)*E412</f>
        <v>3450348.6010362692</v>
      </c>
      <c r="T412" s="17">
        <v>80</v>
      </c>
      <c r="U412" s="17">
        <v>18</v>
      </c>
      <c r="V412" s="17">
        <v>50</v>
      </c>
      <c r="W412" s="17">
        <v>60</v>
      </c>
      <c r="X412" s="28">
        <f>SUMPRODUCT(T412:W412,'Fisico SPOT MAT'!T412:W412)*24</f>
        <v>3632592</v>
      </c>
      <c r="Y412" s="19">
        <v>0</v>
      </c>
      <c r="Z412" s="19">
        <v>5</v>
      </c>
      <c r="AA412" s="19">
        <v>0</v>
      </c>
      <c r="AB412" s="28">
        <f>SUMPRODUCT(Y412:AA412,'Fisico SPOT MAT'!Y412:AA412)*E412</f>
        <v>105040</v>
      </c>
      <c r="AC412" s="122">
        <f>(T412*'Fisico SPOT MAT'!T412+'Mono SPOT MAT'!V412*'Fisico SPOT MAT'!V412+'Mono SPOT MAT'!W412*'Fisico SPOT MAT'!W412)/'Fisico SPOT MAT'!AC412</f>
        <v>63.967013888888886</v>
      </c>
      <c r="AD412" s="85"/>
      <c r="AE412" s="41">
        <v>39.1</v>
      </c>
      <c r="AF412" s="41">
        <v>62.68</v>
      </c>
      <c r="AG412">
        <v>5050</v>
      </c>
      <c r="AH412" s="64">
        <f t="shared" si="233"/>
        <v>2.1667500000000004</v>
      </c>
      <c r="AJ412" s="41">
        <v>0.85</v>
      </c>
      <c r="AK412">
        <v>386</v>
      </c>
    </row>
    <row r="413" spans="1:37" x14ac:dyDescent="0.3">
      <c r="A413" s="3">
        <f>+'Mono ASIG'!A413</f>
        <v>1530</v>
      </c>
      <c r="B413" s="3">
        <f>+'Mono ASIG'!B413</f>
        <v>1519.2</v>
      </c>
      <c r="C413" s="1">
        <f>+'Mono ASIG'!C413</f>
        <v>2026</v>
      </c>
      <c r="D413" s="1">
        <f t="shared" si="228"/>
        <v>10</v>
      </c>
      <c r="E413" s="196">
        <f>+'Fisico SPOT MAT'!E413</f>
        <v>6</v>
      </c>
      <c r="F413" s="1" t="str">
        <f>+'Mono ASIG'!F413</f>
        <v>sáb</v>
      </c>
      <c r="G413" s="56">
        <f>+'Mono ASIG'!G413</f>
        <v>46319</v>
      </c>
      <c r="H413" s="17">
        <f t="shared" si="229"/>
        <v>43.611249999999998</v>
      </c>
      <c r="I413" s="17">
        <f t="shared" si="230"/>
        <v>67.401250000000005</v>
      </c>
      <c r="J413" s="17">
        <v>22.000000000000004</v>
      </c>
      <c r="K413" s="17">
        <f t="shared" si="231"/>
        <v>22.000000000000004</v>
      </c>
      <c r="L413" s="17">
        <f>+Precios!E413</f>
        <v>31.6</v>
      </c>
      <c r="M413" s="44">
        <f>SUMPRODUCT(H413:L413,'Fisico SPOT MAT'!H413:L413)*24</f>
        <v>2734875.63</v>
      </c>
      <c r="N413" s="19">
        <f>+'Fisico SPOT MAT'!AH413</f>
        <v>16.231247952833279</v>
      </c>
      <c r="O413" s="19">
        <f t="shared" si="232"/>
        <v>13.082901554404145</v>
      </c>
      <c r="P413" s="19">
        <v>6</v>
      </c>
      <c r="Q413" s="19">
        <v>6</v>
      </c>
      <c r="R413" s="19">
        <v>0</v>
      </c>
      <c r="S413" s="44">
        <f>SUMPRODUCT(N413:R413,'Fisico SPOT MAT'!N413:R413)*E413</f>
        <v>1303888.725388601</v>
      </c>
      <c r="T413" s="17">
        <v>80</v>
      </c>
      <c r="U413" s="17">
        <v>18</v>
      </c>
      <c r="V413" s="17">
        <v>50</v>
      </c>
      <c r="W413" s="17">
        <v>60</v>
      </c>
      <c r="X413" s="28">
        <f>SUMPRODUCT(T413:W413,'Fisico SPOT MAT'!T413:W413)*24</f>
        <v>3482112</v>
      </c>
      <c r="Y413" s="19">
        <v>0</v>
      </c>
      <c r="Z413" s="19">
        <v>5</v>
      </c>
      <c r="AA413" s="19">
        <v>0</v>
      </c>
      <c r="AB413" s="28">
        <f>SUMPRODUCT(Y413:AA413,'Fisico SPOT MAT'!Y413:AA413)*E413</f>
        <v>40500</v>
      </c>
      <c r="AC413" s="122">
        <f>(T413*'Fisico SPOT MAT'!T413+'Mono SPOT MAT'!V413*'Fisico SPOT MAT'!V413+'Mono SPOT MAT'!W413*'Fisico SPOT MAT'!W413)/'Fisico SPOT MAT'!AC413</f>
        <v>64.339708561020032</v>
      </c>
      <c r="AD413" s="85"/>
      <c r="AE413" s="41">
        <v>40.5</v>
      </c>
      <c r="AF413" s="41">
        <v>64.290000000000006</v>
      </c>
      <c r="AG413">
        <v>5050</v>
      </c>
      <c r="AH413" s="64">
        <f t="shared" si="233"/>
        <v>2.26125</v>
      </c>
      <c r="AJ413" s="41">
        <v>0.85</v>
      </c>
      <c r="AK413">
        <v>386</v>
      </c>
    </row>
    <row r="414" spans="1:37" x14ac:dyDescent="0.3">
      <c r="A414" s="3">
        <f>+'Mono ASIG'!A414</f>
        <v>1530</v>
      </c>
      <c r="B414" s="3">
        <f>+'Mono ASIG'!B414</f>
        <v>1519.2</v>
      </c>
      <c r="C414" s="1">
        <f>+'Mono ASIG'!C414</f>
        <v>2026</v>
      </c>
      <c r="D414" s="1">
        <f t="shared" si="228"/>
        <v>10</v>
      </c>
      <c r="E414" s="196">
        <f>+'Fisico SPOT MAT'!E414</f>
        <v>4</v>
      </c>
      <c r="F414" s="1" t="str">
        <f>+'Mono ASIG'!F414</f>
        <v>dom</v>
      </c>
      <c r="G414" s="56">
        <f>+'Mono ASIG'!G414</f>
        <v>46320</v>
      </c>
      <c r="H414" s="17">
        <f t="shared" si="229"/>
        <v>41.583000000000006</v>
      </c>
      <c r="I414" s="17">
        <f t="shared" si="230"/>
        <v>61.433000000000007</v>
      </c>
      <c r="J414" s="17">
        <v>22.000000000000004</v>
      </c>
      <c r="K414" s="17">
        <f t="shared" si="231"/>
        <v>22.000000000000004</v>
      </c>
      <c r="L414" s="17">
        <f>+Precios!E414</f>
        <v>36.4</v>
      </c>
      <c r="M414" s="44">
        <f>SUMPRODUCT(H414:L414,'Fisico SPOT MAT'!H414:L414)*24</f>
        <v>2553045.6960000005</v>
      </c>
      <c r="N414" s="19">
        <f>+'Fisico SPOT MAT'!AH414</f>
        <v>16.19834848611227</v>
      </c>
      <c r="O414" s="19">
        <f t="shared" si="232"/>
        <v>13.082901554404145</v>
      </c>
      <c r="P414" s="19">
        <v>6</v>
      </c>
      <c r="Q414" s="19">
        <v>6</v>
      </c>
      <c r="R414" s="19">
        <v>0</v>
      </c>
      <c r="S414" s="44">
        <f>SUMPRODUCT(N414:R414,'Fisico SPOT MAT'!N414:R414)*E414</f>
        <v>864432.78756476683</v>
      </c>
      <c r="T414" s="17">
        <v>80</v>
      </c>
      <c r="U414" s="17">
        <v>18</v>
      </c>
      <c r="V414" s="17">
        <v>50</v>
      </c>
      <c r="W414" s="17">
        <v>60</v>
      </c>
      <c r="X414" s="28">
        <f>SUMPRODUCT(T414:W414,'Fisico SPOT MAT'!T414:W414)*24</f>
        <v>3222768</v>
      </c>
      <c r="Y414" s="19">
        <v>0</v>
      </c>
      <c r="Z414" s="19">
        <v>5</v>
      </c>
      <c r="AA414" s="19">
        <v>0</v>
      </c>
      <c r="AB414" s="28">
        <f>SUMPRODUCT(Y414:AA414,'Fisico SPOT MAT'!Y414:AA414)*E414</f>
        <v>27040</v>
      </c>
      <c r="AC414" s="122">
        <f>(T414*'Fisico SPOT MAT'!T414+'Mono SPOT MAT'!V414*'Fisico SPOT MAT'!V414+'Mono SPOT MAT'!W414*'Fisico SPOT MAT'!W414)/'Fisico SPOT MAT'!AC414</f>
        <v>64.985104270109233</v>
      </c>
      <c r="AD414" s="85"/>
      <c r="AE414" s="41">
        <v>38.6</v>
      </c>
      <c r="AF414" s="41">
        <v>58.45</v>
      </c>
      <c r="AG414">
        <v>5050</v>
      </c>
      <c r="AH414" s="64">
        <f t="shared" si="233"/>
        <v>2.1330000000000005</v>
      </c>
      <c r="AJ414" s="41">
        <v>0.85</v>
      </c>
      <c r="AK414">
        <v>386</v>
      </c>
    </row>
    <row r="415" spans="1:37" x14ac:dyDescent="0.3">
      <c r="A415" s="3"/>
      <c r="B415" s="3"/>
      <c r="C415" s="1"/>
      <c r="D415" s="1"/>
      <c r="E415" s="1"/>
      <c r="G415" s="56"/>
      <c r="H415" s="17"/>
      <c r="I415" s="17"/>
      <c r="J415" s="105"/>
      <c r="K415" s="17"/>
      <c r="L415" s="105"/>
      <c r="N415" s="19"/>
      <c r="O415" s="19"/>
      <c r="P415" s="19"/>
      <c r="Q415" s="19"/>
      <c r="R415" s="19"/>
      <c r="AD415" s="85"/>
      <c r="AE415" s="41"/>
      <c r="AF415" s="42"/>
      <c r="AH415" s="64"/>
      <c r="AJ415" s="41"/>
    </row>
    <row r="419" spans="1:1" x14ac:dyDescent="0.3">
      <c r="A419" s="65" t="s">
        <v>5</v>
      </c>
    </row>
  </sheetData>
  <autoFilter ref="A24:AG414" xr:uid="{1C87ACD4-9C6E-4352-8700-10693FF92FCB}">
    <filterColumn colId="6">
      <filters>
        <dateGroupItem year="2026" month="8" dateTimeGrouping="month"/>
        <dateGroupItem year="2026" month="9" dateTimeGrouping="month"/>
        <dateGroupItem year="2026" month="10" dateTimeGrouping="month"/>
      </filters>
    </filterColumn>
  </autoFilter>
  <phoneticPr fontId="2" type="noConversion"/>
  <pageMargins left="0.7" right="0.7" top="0.75" bottom="0.75" header="0.3" footer="0.3"/>
  <ignoredErrors>
    <ignoredError sqref="H268:I274 M268:S274 H14:Q14 X8:AB13 S14 H25:S267 W21:AB23 N21:Q21 U25:U274 H22:U23 H8:S13 H24:T24 X14:AB14 T21:U21 Y15:AA15 R15 H17:S17 H15:Q15 S15 AB15 H16:S16 X17:AB17 X15 X16:AB16 W25:AB274 W24:AA24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B9FA002523FD4E8F50B6ADAA10F021" ma:contentTypeVersion="12" ma:contentTypeDescription="Crear nuevo documento." ma:contentTypeScope="" ma:versionID="3caba0b227e97a57734973329c0ab55d">
  <xsd:schema xmlns:xsd="http://www.w3.org/2001/XMLSchema" xmlns:xs="http://www.w3.org/2001/XMLSchema" xmlns:p="http://schemas.microsoft.com/office/2006/metadata/properties" xmlns:ns2="79735e5c-8018-456a-845d-1b5efa834d1c" xmlns:ns3="36f51209-9f10-4f36-8de1-59c1c6f75fc5" targetNamespace="http://schemas.microsoft.com/office/2006/metadata/properties" ma:root="true" ma:fieldsID="998942b465790eaa9427ded6c07532cf" ns2:_="" ns3:_="">
    <xsd:import namespace="79735e5c-8018-456a-845d-1b5efa834d1c"/>
    <xsd:import namespace="36f51209-9f10-4f36-8de1-59c1c6f75f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35e5c-8018-456a-845d-1b5efa834d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3d4b3072-c78a-4ddf-b4ed-0da3e1b51e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f51209-9f10-4f36-8de1-59c1c6f75fc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5fa5358-9754-4775-b2d1-e2a3f825675b}" ma:internalName="TaxCatchAll" ma:showField="CatchAllData" ma:web="36f51209-9f10-4f36-8de1-59c1c6f75f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f51209-9f10-4f36-8de1-59c1c6f75fc5" xsi:nil="true"/>
    <lcf76f155ced4ddcb4097134ff3c332f xmlns="79735e5c-8018-456a-845d-1b5efa834d1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95C7B3-6CE9-415E-9348-3B28A72FA7B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C9FCE16-A61A-4CDC-8EDB-061D35DD88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9BAEE4-C4CF-4C71-B5F1-9599C9A9B00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79735e5c-8018-456a-845d-1b5efa834d1c"/>
    <ds:schemaRef ds:uri="36f51209-9f10-4f36-8de1-59c1c6f75fc5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88AE42E-6842-4035-993E-4464DCC7B5C2}">
  <ds:schemaRefs>
    <ds:schemaRef ds:uri="http://schemas.microsoft.com/office/2006/metadata/properties"/>
    <ds:schemaRef ds:uri="http://www.w3.org/2000/xmlns/"/>
    <ds:schemaRef ds:uri="36f51209-9f10-4f36-8de1-59c1c6f75fc5"/>
    <ds:schemaRef ds:uri="http://www.w3.org/2001/XMLSchema-instance"/>
    <ds:schemaRef ds:uri="79735e5c-8018-456a-845d-1b5efa834d1c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Gráficos</vt:lpstr>
      </vt:variant>
      <vt:variant>
        <vt:i4>1</vt:i4>
      </vt:variant>
    </vt:vector>
  </HeadingPairs>
  <TitlesOfParts>
    <vt:vector size="7" baseType="lpstr">
      <vt:lpstr>PRECIOS ACUM</vt:lpstr>
      <vt:lpstr>Precios</vt:lpstr>
      <vt:lpstr>Fisico ASIG</vt:lpstr>
      <vt:lpstr>Mono ASIG</vt:lpstr>
      <vt:lpstr>Fisico SPOT MAT</vt:lpstr>
      <vt:lpstr>Mono SPOT MAT</vt:lpstr>
      <vt:lpstr>Gráfico Térmico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Luchilo</dc:creator>
  <cp:keywords/>
  <dc:description/>
  <cp:lastModifiedBy>Agustina Lesce</cp:lastModifiedBy>
  <cp:revision/>
  <dcterms:created xsi:type="dcterms:W3CDTF">2025-11-04T12:01:28Z</dcterms:created>
  <dcterms:modified xsi:type="dcterms:W3CDTF">2026-10-27T12:31:26Z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0x010100C4B9FA002523FD4E8F50B6ADAA10F021</vt:lpwstr>
  </property>
  <property fmtid="{D5CDD505-2E9C-101B-9397-08002B2CF9AE}" pid="3" name="MediaServiceImageTags">
    <vt:lpwstr/>
  </property>
</Properties>
</file>