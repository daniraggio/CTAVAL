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vranac\ESTADÍSTICAS\Base Semanal\"/>
    </mc:Choice>
  </mc:AlternateContent>
  <xr:revisionPtr revIDLastSave="0" documentId="13_ncr:1_{95FFCF6C-CD84-43EE-BBB7-132DAC0503AA}" xr6:coauthVersionLast="47" xr6:coauthVersionMax="47" xr10:uidLastSave="{00000000-0000-0000-0000-000000000000}"/>
  <bookViews>
    <workbookView xWindow="-28920" yWindow="-3255" windowWidth="29040" windowHeight="15720" xr2:uid="{D8F25644-2E1E-4ADD-B16E-D78A4F46659D}"/>
  </bookViews>
  <sheets>
    <sheet name="PRECIOS ACUM" sheetId="14" r:id="rId1"/>
    <sheet name="Gráfico1" sheetId="16" r:id="rId2"/>
    <sheet name="Precios" sheetId="5" r:id="rId3"/>
    <sheet name="Fisico ASIG" sheetId="9" r:id="rId4"/>
    <sheet name="Mono ASIG" sheetId="10" r:id="rId5"/>
    <sheet name="Fisico SPOT MAT" sheetId="12" r:id="rId6"/>
    <sheet name="Mono SPOT MAT" sheetId="13" r:id="rId7"/>
  </sheets>
  <definedNames>
    <definedName name="_xlnm._FilterDatabase" localSheetId="3" hidden="1">'Fisico ASIG'!$A$19:$W$284</definedName>
    <definedName name="_xlnm._FilterDatabase" localSheetId="5" hidden="1">'Fisico SPOT MAT'!$C$19:$AM$284</definedName>
    <definedName name="_xlnm._FilterDatabase" localSheetId="4" hidden="1">'Mono ASIG'!$A$19:$AM$284</definedName>
    <definedName name="_xlnm._FilterDatabase" localSheetId="6" hidden="1">'Mono SPOT MAT'!$A$19:$AF$284</definedName>
    <definedName name="_xlnm._FilterDatabase" localSheetId="2" hidden="1">Precios!$A$19:$P$284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4" l="1"/>
  <c r="D15" i="14"/>
  <c r="H23" i="14"/>
  <c r="J13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13" i="5" s="1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14" i="5" s="1"/>
  <c r="H24" i="14" s="1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0" i="5"/>
  <c r="Z274" i="5"/>
  <c r="Z275" i="5"/>
  <c r="Z276" i="5"/>
  <c r="Z277" i="5"/>
  <c r="Z278" i="5"/>
  <c r="Z279" i="5"/>
  <c r="Z280" i="5"/>
  <c r="Z281" i="5"/>
  <c r="Z282" i="5"/>
  <c r="Z283" i="5"/>
  <c r="Z284" i="5"/>
  <c r="J275" i="5"/>
  <c r="J276" i="5"/>
  <c r="J277" i="5"/>
  <c r="J278" i="5"/>
  <c r="J279" i="5"/>
  <c r="J280" i="5"/>
  <c r="J281" i="5"/>
  <c r="J282" i="5"/>
  <c r="J283" i="5"/>
  <c r="J284" i="5"/>
  <c r="H275" i="5"/>
  <c r="H276" i="5"/>
  <c r="H277" i="5"/>
  <c r="H278" i="5"/>
  <c r="H279" i="5"/>
  <c r="H280" i="5"/>
  <c r="H281" i="5"/>
  <c r="H282" i="5"/>
  <c r="H283" i="5"/>
  <c r="H284" i="5"/>
  <c r="G276" i="5"/>
  <c r="G277" i="5"/>
  <c r="G278" i="5"/>
  <c r="G279" i="5"/>
  <c r="G280" i="5"/>
  <c r="G281" i="5"/>
  <c r="G282" i="5"/>
  <c r="G283" i="5"/>
  <c r="G284" i="5"/>
  <c r="H25" i="14" l="1"/>
  <c r="A278" i="13"/>
  <c r="B278" i="13"/>
  <c r="C278" i="13"/>
  <c r="E278" i="13"/>
  <c r="AA278" i="13" s="1"/>
  <c r="F278" i="13"/>
  <c r="G278" i="13"/>
  <c r="D278" i="13" s="1"/>
  <c r="I278" i="13"/>
  <c r="N278" i="13"/>
  <c r="O278" i="13"/>
  <c r="S278" i="13"/>
  <c r="N278" i="5" s="1"/>
  <c r="W278" i="13"/>
  <c r="AG278" i="13"/>
  <c r="H278" i="13" s="1"/>
  <c r="A279" i="13"/>
  <c r="B279" i="13"/>
  <c r="C279" i="13"/>
  <c r="E279" i="13"/>
  <c r="AA279" i="13" s="1"/>
  <c r="F279" i="13"/>
  <c r="G279" i="13"/>
  <c r="D279" i="13" s="1"/>
  <c r="N279" i="13"/>
  <c r="O279" i="13"/>
  <c r="S279" i="13" s="1"/>
  <c r="N279" i="5" s="1"/>
  <c r="W279" i="13"/>
  <c r="AG279" i="13"/>
  <c r="H279" i="13" s="1"/>
  <c r="A280" i="13"/>
  <c r="B280" i="13"/>
  <c r="C280" i="13"/>
  <c r="E280" i="13"/>
  <c r="AA280" i="13" s="1"/>
  <c r="F280" i="13"/>
  <c r="G280" i="13"/>
  <c r="D280" i="13" s="1"/>
  <c r="I280" i="13"/>
  <c r="N280" i="13"/>
  <c r="O280" i="13"/>
  <c r="S280" i="13" s="1"/>
  <c r="N280" i="5" s="1"/>
  <c r="W280" i="13"/>
  <c r="AG280" i="13"/>
  <c r="H280" i="13" s="1"/>
  <c r="A281" i="13"/>
  <c r="B281" i="13"/>
  <c r="C281" i="13"/>
  <c r="E281" i="13"/>
  <c r="AA281" i="13" s="1"/>
  <c r="F281" i="13"/>
  <c r="G281" i="13"/>
  <c r="D281" i="13" s="1"/>
  <c r="N281" i="13"/>
  <c r="O281" i="13"/>
  <c r="S281" i="13"/>
  <c r="N281" i="5" s="1"/>
  <c r="W281" i="13"/>
  <c r="AG281" i="13"/>
  <c r="H281" i="13" s="1"/>
  <c r="A282" i="13"/>
  <c r="B282" i="13"/>
  <c r="C282" i="13"/>
  <c r="E282" i="13"/>
  <c r="AA282" i="13" s="1"/>
  <c r="F282" i="13"/>
  <c r="G282" i="13"/>
  <c r="D282" i="13" s="1"/>
  <c r="N282" i="13"/>
  <c r="O282" i="13"/>
  <c r="S282" i="13"/>
  <c r="N282" i="5" s="1"/>
  <c r="W282" i="13"/>
  <c r="AG282" i="13"/>
  <c r="H282" i="13" s="1"/>
  <c r="A283" i="13"/>
  <c r="B283" i="13"/>
  <c r="C283" i="13"/>
  <c r="E283" i="13"/>
  <c r="AA283" i="13" s="1"/>
  <c r="F283" i="13"/>
  <c r="G283" i="13"/>
  <c r="D283" i="13" s="1"/>
  <c r="N283" i="13"/>
  <c r="O283" i="13"/>
  <c r="S283" i="13" s="1"/>
  <c r="N283" i="5" s="1"/>
  <c r="W283" i="13"/>
  <c r="AG283" i="13"/>
  <c r="H283" i="13" s="1"/>
  <c r="A284" i="13"/>
  <c r="B284" i="13"/>
  <c r="C284" i="13"/>
  <c r="E284" i="13"/>
  <c r="AA284" i="13" s="1"/>
  <c r="F284" i="13"/>
  <c r="G284" i="13"/>
  <c r="D284" i="13" s="1"/>
  <c r="I284" i="13"/>
  <c r="N284" i="13"/>
  <c r="O284" i="13"/>
  <c r="S284" i="13"/>
  <c r="N284" i="5" s="1"/>
  <c r="W284" i="13"/>
  <c r="AG284" i="13"/>
  <c r="H284" i="13" s="1"/>
  <c r="AK278" i="12"/>
  <c r="AL278" i="12" s="1"/>
  <c r="AK279" i="12"/>
  <c r="AM279" i="12" s="1"/>
  <c r="AL279" i="12"/>
  <c r="AK280" i="12"/>
  <c r="AM280" i="12" s="1"/>
  <c r="AL280" i="12"/>
  <c r="AK281" i="12"/>
  <c r="AL281" i="12" s="1"/>
  <c r="AK282" i="12"/>
  <c r="AL282" i="12" s="1"/>
  <c r="AM282" i="12"/>
  <c r="AK283" i="12"/>
  <c r="AL283" i="12" s="1"/>
  <c r="AK284" i="12"/>
  <c r="AL284" i="12" s="1"/>
  <c r="AM284" i="12"/>
  <c r="AD278" i="12"/>
  <c r="AE278" i="12"/>
  <c r="AF278" i="12"/>
  <c r="AG278" i="12" s="1"/>
  <c r="AD279" i="12"/>
  <c r="AE279" i="12"/>
  <c r="AG279" i="12" s="1"/>
  <c r="AF279" i="12"/>
  <c r="AD280" i="12"/>
  <c r="AE280" i="12"/>
  <c r="AF280" i="12"/>
  <c r="AD281" i="12"/>
  <c r="AE281" i="12"/>
  <c r="AG281" i="12" s="1"/>
  <c r="AF281" i="12"/>
  <c r="AD282" i="12"/>
  <c r="AE282" i="12"/>
  <c r="AF282" i="12"/>
  <c r="AD283" i="12"/>
  <c r="AE283" i="12"/>
  <c r="AF283" i="12"/>
  <c r="AD284" i="12"/>
  <c r="AE284" i="12"/>
  <c r="AF284" i="12"/>
  <c r="AA276" i="12"/>
  <c r="AA277" i="12"/>
  <c r="AA278" i="12"/>
  <c r="AA279" i="12"/>
  <c r="AA280" i="12"/>
  <c r="AA281" i="12"/>
  <c r="AA282" i="12"/>
  <c r="AA283" i="12"/>
  <c r="AA284" i="12"/>
  <c r="W278" i="12"/>
  <c r="W279" i="12"/>
  <c r="W280" i="12"/>
  <c r="W281" i="12"/>
  <c r="W282" i="12"/>
  <c r="W283" i="12"/>
  <c r="W284" i="12"/>
  <c r="S278" i="12"/>
  <c r="S279" i="12"/>
  <c r="S280" i="12"/>
  <c r="S281" i="12"/>
  <c r="S282" i="12"/>
  <c r="S283" i="12"/>
  <c r="M278" i="12"/>
  <c r="M279" i="12"/>
  <c r="M280" i="12"/>
  <c r="M281" i="12"/>
  <c r="M282" i="12"/>
  <c r="M283" i="12"/>
  <c r="M284" i="12"/>
  <c r="AK278" i="10"/>
  <c r="AL278" i="10"/>
  <c r="AO278" i="10"/>
  <c r="AK279" i="10"/>
  <c r="AL279" i="10"/>
  <c r="AO279" i="10"/>
  <c r="N279" i="10" s="1"/>
  <c r="AK280" i="10"/>
  <c r="AL280" i="10"/>
  <c r="J280" i="10" s="1"/>
  <c r="AO280" i="10"/>
  <c r="AK281" i="10"/>
  <c r="R281" i="10" s="1"/>
  <c r="AL281" i="10"/>
  <c r="AO281" i="10"/>
  <c r="AK282" i="10"/>
  <c r="AL282" i="10"/>
  <c r="AO282" i="10"/>
  <c r="N282" i="10" s="1"/>
  <c r="AK283" i="10"/>
  <c r="R283" i="10" s="1"/>
  <c r="AL283" i="10"/>
  <c r="AO283" i="10"/>
  <c r="AK284" i="10"/>
  <c r="AL284" i="10"/>
  <c r="AO284" i="10"/>
  <c r="T284" i="10"/>
  <c r="S284" i="10"/>
  <c r="R284" i="10"/>
  <c r="T283" i="10"/>
  <c r="S283" i="10"/>
  <c r="T282" i="10"/>
  <c r="S282" i="10"/>
  <c r="R282" i="10"/>
  <c r="T281" i="10"/>
  <c r="S281" i="10"/>
  <c r="T280" i="10"/>
  <c r="S280" i="10"/>
  <c r="R280" i="10"/>
  <c r="T279" i="10"/>
  <c r="Y279" i="10" s="1"/>
  <c r="S279" i="10"/>
  <c r="R279" i="10"/>
  <c r="T278" i="10"/>
  <c r="S278" i="10"/>
  <c r="R278" i="10"/>
  <c r="P284" i="10"/>
  <c r="N278" i="10"/>
  <c r="N280" i="10"/>
  <c r="N281" i="10"/>
  <c r="N283" i="10"/>
  <c r="N284" i="10"/>
  <c r="K278" i="10"/>
  <c r="K279" i="10"/>
  <c r="K280" i="10"/>
  <c r="K281" i="10"/>
  <c r="K282" i="10"/>
  <c r="K283" i="10"/>
  <c r="K284" i="10"/>
  <c r="J278" i="10"/>
  <c r="J279" i="10"/>
  <c r="J281" i="10"/>
  <c r="J282" i="10"/>
  <c r="J283" i="10"/>
  <c r="J284" i="10"/>
  <c r="I278" i="10"/>
  <c r="P278" i="10" s="1"/>
  <c r="I279" i="10"/>
  <c r="I280" i="10"/>
  <c r="I281" i="10"/>
  <c r="P281" i="10" s="1"/>
  <c r="I282" i="10"/>
  <c r="I283" i="10"/>
  <c r="I284" i="10"/>
  <c r="D278" i="10"/>
  <c r="F278" i="10"/>
  <c r="G278" i="10"/>
  <c r="D279" i="10"/>
  <c r="F279" i="10"/>
  <c r="G279" i="10"/>
  <c r="D280" i="10"/>
  <c r="F280" i="10"/>
  <c r="G280" i="10"/>
  <c r="G281" i="10" s="1"/>
  <c r="G282" i="10" s="1"/>
  <c r="G283" i="10" s="1"/>
  <c r="G284" i="10" s="1"/>
  <c r="D281" i="10"/>
  <c r="F281" i="10"/>
  <c r="D282" i="10"/>
  <c r="F282" i="10"/>
  <c r="D283" i="10"/>
  <c r="F283" i="10"/>
  <c r="D284" i="10"/>
  <c r="F284" i="10"/>
  <c r="W276" i="9"/>
  <c r="W277" i="9"/>
  <c r="W278" i="9"/>
  <c r="W279" i="9"/>
  <c r="W280" i="9"/>
  <c r="W281" i="9"/>
  <c r="W282" i="9"/>
  <c r="W283" i="9"/>
  <c r="W284" i="9"/>
  <c r="N278" i="9"/>
  <c r="N279" i="9"/>
  <c r="N280" i="9"/>
  <c r="N281" i="9"/>
  <c r="N282" i="9"/>
  <c r="N283" i="9"/>
  <c r="N284" i="9"/>
  <c r="AG272" i="13"/>
  <c r="H272" i="13" s="1"/>
  <c r="AG273" i="13"/>
  <c r="H273" i="13" s="1"/>
  <c r="AG274" i="13"/>
  <c r="H274" i="13" s="1"/>
  <c r="AG275" i="13"/>
  <c r="H275" i="13" s="1"/>
  <c r="AG276" i="13"/>
  <c r="H276" i="13" s="1"/>
  <c r="AG277" i="13"/>
  <c r="H277" i="13" s="1"/>
  <c r="B264" i="13"/>
  <c r="B265" i="13"/>
  <c r="B266" i="13"/>
  <c r="B267" i="13"/>
  <c r="B268" i="13"/>
  <c r="B269" i="13"/>
  <c r="B270" i="13"/>
  <c r="B271" i="13"/>
  <c r="B272" i="13"/>
  <c r="B273" i="13"/>
  <c r="B274" i="13"/>
  <c r="B275" i="13"/>
  <c r="B276" i="13"/>
  <c r="B277" i="13"/>
  <c r="B263" i="13"/>
  <c r="A272" i="13"/>
  <c r="C272" i="13"/>
  <c r="E272" i="13"/>
  <c r="AA272" i="13" s="1"/>
  <c r="O272" i="13"/>
  <c r="W272" i="13"/>
  <c r="A273" i="13"/>
  <c r="C273" i="13"/>
  <c r="E273" i="13"/>
  <c r="AA273" i="13" s="1"/>
  <c r="O273" i="13"/>
  <c r="W273" i="13"/>
  <c r="A274" i="13"/>
  <c r="C274" i="13"/>
  <c r="E274" i="13"/>
  <c r="AA274" i="13" s="1"/>
  <c r="O274" i="13"/>
  <c r="W274" i="13"/>
  <c r="A275" i="13"/>
  <c r="C275" i="13"/>
  <c r="E275" i="13"/>
  <c r="AA275" i="13" s="1"/>
  <c r="O275" i="13"/>
  <c r="W275" i="13"/>
  <c r="A276" i="13"/>
  <c r="C276" i="13"/>
  <c r="E276" i="13"/>
  <c r="AA276" i="13" s="1"/>
  <c r="I276" i="13"/>
  <c r="O276" i="13"/>
  <c r="W276" i="13"/>
  <c r="A277" i="13"/>
  <c r="C277" i="13"/>
  <c r="E277" i="13"/>
  <c r="AA277" i="13" s="1"/>
  <c r="O277" i="13"/>
  <c r="W277" i="13"/>
  <c r="S271" i="12"/>
  <c r="S272" i="12"/>
  <c r="S273" i="12"/>
  <c r="S274" i="12"/>
  <c r="S275" i="12"/>
  <c r="S276" i="12"/>
  <c r="S277" i="12"/>
  <c r="S284" i="12"/>
  <c r="M271" i="12"/>
  <c r="M272" i="12"/>
  <c r="M273" i="12"/>
  <c r="M274" i="12"/>
  <c r="M275" i="12"/>
  <c r="M276" i="12"/>
  <c r="M277" i="12"/>
  <c r="W272" i="12"/>
  <c r="AA272" i="12"/>
  <c r="AD272" i="12"/>
  <c r="AE272" i="12"/>
  <c r="AF272" i="12"/>
  <c r="W273" i="12"/>
  <c r="AA273" i="12"/>
  <c r="AD273" i="12"/>
  <c r="AK273" i="12" s="1"/>
  <c r="AL273" i="12" s="1"/>
  <c r="AE273" i="12"/>
  <c r="AF273" i="12"/>
  <c r="W274" i="12"/>
  <c r="AA274" i="12"/>
  <c r="AD274" i="12"/>
  <c r="AK274" i="12" s="1"/>
  <c r="AL274" i="12" s="1"/>
  <c r="AE274" i="12"/>
  <c r="AF274" i="12"/>
  <c r="W275" i="12"/>
  <c r="AA275" i="12"/>
  <c r="AD275" i="12"/>
  <c r="AE275" i="12"/>
  <c r="AF275" i="12"/>
  <c r="W276" i="12"/>
  <c r="AD276" i="12"/>
  <c r="AK276" i="12" s="1"/>
  <c r="AE276" i="12"/>
  <c r="AF276" i="12"/>
  <c r="W277" i="12"/>
  <c r="AD277" i="12"/>
  <c r="AK277" i="12" s="1"/>
  <c r="AE277" i="12"/>
  <c r="AF277" i="12"/>
  <c r="AO277" i="10"/>
  <c r="N277" i="10" s="1"/>
  <c r="AL277" i="10"/>
  <c r="AK277" i="10"/>
  <c r="R277" i="10" s="1"/>
  <c r="AO276" i="10"/>
  <c r="N276" i="10" s="1"/>
  <c r="AL276" i="10"/>
  <c r="J276" i="10" s="1"/>
  <c r="AK276" i="10"/>
  <c r="R276" i="10" s="1"/>
  <c r="AO275" i="10"/>
  <c r="AL275" i="10"/>
  <c r="AK275" i="10"/>
  <c r="AO274" i="10"/>
  <c r="N274" i="10" s="1"/>
  <c r="AL274" i="10"/>
  <c r="J274" i="10" s="1"/>
  <c r="AK274" i="10"/>
  <c r="AO273" i="10"/>
  <c r="N273" i="10" s="1"/>
  <c r="AL273" i="10"/>
  <c r="J273" i="10" s="1"/>
  <c r="AK273" i="10"/>
  <c r="R273" i="10" s="1"/>
  <c r="AO272" i="10"/>
  <c r="AL272" i="10"/>
  <c r="J272" i="10" s="1"/>
  <c r="AK272" i="10"/>
  <c r="R272" i="10" s="1"/>
  <c r="I272" i="10"/>
  <c r="K272" i="10"/>
  <c r="N272" i="10"/>
  <c r="S272" i="10"/>
  <c r="T272" i="10"/>
  <c r="I273" i="10"/>
  <c r="K273" i="10"/>
  <c r="S273" i="10"/>
  <c r="T273" i="10"/>
  <c r="I274" i="10"/>
  <c r="K274" i="10"/>
  <c r="R274" i="10"/>
  <c r="S274" i="10"/>
  <c r="T274" i="10"/>
  <c r="I275" i="10"/>
  <c r="J275" i="10"/>
  <c r="K275" i="10"/>
  <c r="N275" i="10"/>
  <c r="R275" i="10"/>
  <c r="S275" i="10"/>
  <c r="T275" i="10"/>
  <c r="I276" i="10"/>
  <c r="K276" i="10"/>
  <c r="S276" i="10"/>
  <c r="T276" i="10"/>
  <c r="I277" i="10"/>
  <c r="J277" i="10"/>
  <c r="K277" i="10"/>
  <c r="S277" i="10"/>
  <c r="T277" i="10"/>
  <c r="D272" i="10"/>
  <c r="D273" i="10"/>
  <c r="D274" i="10"/>
  <c r="D275" i="10"/>
  <c r="D276" i="10"/>
  <c r="D277" i="10"/>
  <c r="N271" i="9"/>
  <c r="N272" i="9"/>
  <c r="N273" i="9"/>
  <c r="N274" i="9"/>
  <c r="N275" i="9"/>
  <c r="N276" i="9"/>
  <c r="N277" i="9"/>
  <c r="W272" i="9"/>
  <c r="W273" i="9"/>
  <c r="W274" i="9"/>
  <c r="W275" i="9"/>
  <c r="G272" i="5"/>
  <c r="J272" i="5"/>
  <c r="Z272" i="5"/>
  <c r="G273" i="5"/>
  <c r="J273" i="5"/>
  <c r="Z273" i="5"/>
  <c r="G274" i="5"/>
  <c r="J274" i="5"/>
  <c r="G275" i="5"/>
  <c r="I282" i="13" l="1"/>
  <c r="M284" i="13"/>
  <c r="F284" i="5" s="1"/>
  <c r="AA284" i="5" s="1"/>
  <c r="M282" i="13"/>
  <c r="F282" i="5" s="1"/>
  <c r="AA282" i="5" s="1"/>
  <c r="M280" i="13"/>
  <c r="F280" i="5" s="1"/>
  <c r="AA280" i="5" s="1"/>
  <c r="M278" i="13"/>
  <c r="F278" i="5" s="1"/>
  <c r="AA278" i="5" s="1"/>
  <c r="I283" i="13"/>
  <c r="M283" i="13" s="1"/>
  <c r="F283" i="5" s="1"/>
  <c r="AA283" i="5" s="1"/>
  <c r="I281" i="13"/>
  <c r="M281" i="13" s="1"/>
  <c r="F281" i="5" s="1"/>
  <c r="AA281" i="5" s="1"/>
  <c r="I279" i="13"/>
  <c r="M279" i="13" s="1"/>
  <c r="F279" i="5" s="1"/>
  <c r="AA279" i="5" s="1"/>
  <c r="AG283" i="12"/>
  <c r="AG280" i="12"/>
  <c r="AG282" i="12"/>
  <c r="AM281" i="12"/>
  <c r="AM278" i="12"/>
  <c r="AG284" i="12"/>
  <c r="AM283" i="12"/>
  <c r="P279" i="10"/>
  <c r="P283" i="10"/>
  <c r="P282" i="10"/>
  <c r="P280" i="10"/>
  <c r="Y278" i="10"/>
  <c r="Z278" i="10" s="1"/>
  <c r="AA278" i="10" s="1"/>
  <c r="Y280" i="10"/>
  <c r="Z280" i="10" s="1"/>
  <c r="AA280" i="10" s="1"/>
  <c r="Y282" i="10"/>
  <c r="Y284" i="10"/>
  <c r="Z284" i="10" s="1"/>
  <c r="AA284" i="10" s="1"/>
  <c r="Z279" i="10"/>
  <c r="AA279" i="10" s="1"/>
  <c r="Y281" i="10"/>
  <c r="Z281" i="10" s="1"/>
  <c r="AA281" i="10" s="1"/>
  <c r="Y283" i="10"/>
  <c r="Z283" i="10" s="1"/>
  <c r="AA283" i="10" s="1"/>
  <c r="P275" i="10"/>
  <c r="Y272" i="10"/>
  <c r="Y274" i="10"/>
  <c r="Y277" i="10"/>
  <c r="AG275" i="12"/>
  <c r="N275" i="13" s="1"/>
  <c r="S275" i="13" s="1"/>
  <c r="N275" i="5" s="1"/>
  <c r="AG277" i="12"/>
  <c r="N277" i="13" s="1"/>
  <c r="M276" i="13"/>
  <c r="F276" i="5" s="1"/>
  <c r="AA276" i="5" s="1"/>
  <c r="I277" i="13"/>
  <c r="M277" i="13" s="1"/>
  <c r="F277" i="5" s="1"/>
  <c r="AA277" i="5" s="1"/>
  <c r="I273" i="13"/>
  <c r="M273" i="13" s="1"/>
  <c r="I275" i="13"/>
  <c r="M275" i="13" s="1"/>
  <c r="F275" i="5" s="1"/>
  <c r="AA275" i="5" s="1"/>
  <c r="I274" i="13"/>
  <c r="M274" i="13" s="1"/>
  <c r="F274" i="5" s="1"/>
  <c r="AA274" i="5" s="1"/>
  <c r="I272" i="13"/>
  <c r="M272" i="13" s="1"/>
  <c r="S277" i="13"/>
  <c r="N277" i="5" s="1"/>
  <c r="AG274" i="12"/>
  <c r="N274" i="13" s="1"/>
  <c r="S274" i="13" s="1"/>
  <c r="N274" i="5" s="1"/>
  <c r="AK275" i="12"/>
  <c r="AL275" i="12" s="1"/>
  <c r="AK272" i="12"/>
  <c r="AL272" i="12" s="1"/>
  <c r="AG272" i="12"/>
  <c r="N272" i="13" s="1"/>
  <c r="S272" i="13" s="1"/>
  <c r="N272" i="5" s="1"/>
  <c r="AM273" i="12"/>
  <c r="AG276" i="12"/>
  <c r="N276" i="13" s="1"/>
  <c r="S276" i="13" s="1"/>
  <c r="N276" i="5" s="1"/>
  <c r="AG273" i="12"/>
  <c r="N273" i="13" s="1"/>
  <c r="S273" i="13" s="1"/>
  <c r="N273" i="5" s="1"/>
  <c r="AM276" i="12"/>
  <c r="AL276" i="12"/>
  <c r="AL277" i="12"/>
  <c r="AM277" i="12"/>
  <c r="AM274" i="12"/>
  <c r="P272" i="10"/>
  <c r="P274" i="10"/>
  <c r="P273" i="10"/>
  <c r="Y276" i="10"/>
  <c r="P277" i="10"/>
  <c r="Y273" i="10"/>
  <c r="P276" i="10"/>
  <c r="Y275" i="10"/>
  <c r="Z275" i="10" s="1"/>
  <c r="AA275" i="10" s="1"/>
  <c r="A270" i="13"/>
  <c r="C270" i="13"/>
  <c r="E270" i="13"/>
  <c r="AA270" i="13" s="1"/>
  <c r="O270" i="13"/>
  <c r="W270" i="13"/>
  <c r="AG270" i="13"/>
  <c r="H270" i="13" s="1"/>
  <c r="A271" i="13"/>
  <c r="C271" i="13"/>
  <c r="E271" i="13"/>
  <c r="AA271" i="13" s="1"/>
  <c r="O271" i="13"/>
  <c r="W271" i="13"/>
  <c r="AG271" i="13"/>
  <c r="H271" i="13" s="1"/>
  <c r="AD270" i="12"/>
  <c r="AK270" i="12" s="1"/>
  <c r="AL270" i="12" s="1"/>
  <c r="AE270" i="12"/>
  <c r="AF270" i="12"/>
  <c r="AD271" i="12"/>
  <c r="AK271" i="12" s="1"/>
  <c r="AE271" i="12"/>
  <c r="AF271" i="12"/>
  <c r="AA270" i="12"/>
  <c r="AA271" i="12"/>
  <c r="W269" i="12"/>
  <c r="W270" i="12"/>
  <c r="W271" i="12"/>
  <c r="S270" i="12"/>
  <c r="M269" i="12"/>
  <c r="M270" i="12"/>
  <c r="W265" i="9"/>
  <c r="W266" i="9"/>
  <c r="W267" i="9"/>
  <c r="W268" i="9"/>
  <c r="W269" i="9"/>
  <c r="W270" i="9"/>
  <c r="W271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N248" i="9"/>
  <c r="N249" i="9"/>
  <c r="N250" i="9"/>
  <c r="N251" i="9"/>
  <c r="N252" i="9"/>
  <c r="N253" i="9"/>
  <c r="N254" i="9"/>
  <c r="N255" i="9"/>
  <c r="N256" i="9"/>
  <c r="N257" i="9"/>
  <c r="N258" i="9"/>
  <c r="N259" i="9"/>
  <c r="N260" i="9"/>
  <c r="N261" i="9"/>
  <c r="N263" i="9"/>
  <c r="N264" i="9"/>
  <c r="N265" i="9"/>
  <c r="N266" i="9"/>
  <c r="N267" i="9"/>
  <c r="N268" i="9"/>
  <c r="N269" i="9"/>
  <c r="N270" i="9"/>
  <c r="G270" i="5"/>
  <c r="J270" i="5"/>
  <c r="Z270" i="5"/>
  <c r="G271" i="5"/>
  <c r="J271" i="5"/>
  <c r="Z271" i="5"/>
  <c r="I270" i="10"/>
  <c r="K270" i="10"/>
  <c r="S270" i="10"/>
  <c r="T270" i="10"/>
  <c r="AK270" i="10"/>
  <c r="R270" i="10" s="1"/>
  <c r="AL270" i="10"/>
  <c r="J270" i="10" s="1"/>
  <c r="AO270" i="10"/>
  <c r="N270" i="10" s="1"/>
  <c r="I271" i="10"/>
  <c r="K271" i="10"/>
  <c r="S271" i="10"/>
  <c r="T271" i="10"/>
  <c r="AK271" i="10"/>
  <c r="R271" i="10" s="1"/>
  <c r="AL271" i="10"/>
  <c r="J271" i="10" s="1"/>
  <c r="AO271" i="10"/>
  <c r="N271" i="10" s="1"/>
  <c r="D271" i="10"/>
  <c r="D270" i="10"/>
  <c r="Q14" i="5"/>
  <c r="Q13" i="5"/>
  <c r="AB260" i="10" s="1"/>
  <c r="E261" i="13"/>
  <c r="E262" i="13"/>
  <c r="AA262" i="13" s="1"/>
  <c r="E263" i="13"/>
  <c r="AA263" i="13" s="1"/>
  <c r="E264" i="13"/>
  <c r="AA264" i="13" s="1"/>
  <c r="E265" i="13"/>
  <c r="AA265" i="13" s="1"/>
  <c r="E266" i="13"/>
  <c r="AA266" i="13" s="1"/>
  <c r="E267" i="13"/>
  <c r="AA267" i="13" s="1"/>
  <c r="E268" i="13"/>
  <c r="AA268" i="13" s="1"/>
  <c r="E269" i="13"/>
  <c r="AA269" i="13" s="1"/>
  <c r="AG263" i="13"/>
  <c r="I263" i="13" s="1"/>
  <c r="AG264" i="13"/>
  <c r="H264" i="13" s="1"/>
  <c r="AG265" i="13"/>
  <c r="H265" i="13" s="1"/>
  <c r="AG266" i="13"/>
  <c r="I266" i="13" s="1"/>
  <c r="AG267" i="13"/>
  <c r="I267" i="13" s="1"/>
  <c r="AG268" i="13"/>
  <c r="I268" i="13" s="1"/>
  <c r="AG269" i="13"/>
  <c r="I269" i="13" s="1"/>
  <c r="W263" i="13"/>
  <c r="W264" i="13"/>
  <c r="W265" i="13"/>
  <c r="W266" i="13"/>
  <c r="W267" i="13"/>
  <c r="W268" i="13"/>
  <c r="W269" i="13"/>
  <c r="O263" i="13"/>
  <c r="O264" i="13"/>
  <c r="O265" i="13"/>
  <c r="O266" i="13"/>
  <c r="O267" i="13"/>
  <c r="O268" i="13"/>
  <c r="O269" i="13"/>
  <c r="AO269" i="10"/>
  <c r="N269" i="10" s="1"/>
  <c r="AL269" i="10"/>
  <c r="J269" i="10" s="1"/>
  <c r="AK269" i="10"/>
  <c r="R269" i="10" s="1"/>
  <c r="T269" i="10"/>
  <c r="S269" i="10"/>
  <c r="K269" i="10"/>
  <c r="I269" i="10"/>
  <c r="AO268" i="10"/>
  <c r="N268" i="10" s="1"/>
  <c r="AL268" i="10"/>
  <c r="J268" i="10" s="1"/>
  <c r="AK268" i="10"/>
  <c r="R268" i="10" s="1"/>
  <c r="T268" i="10"/>
  <c r="S268" i="10"/>
  <c r="K268" i="10"/>
  <c r="I268" i="10"/>
  <c r="AO267" i="10"/>
  <c r="N267" i="10" s="1"/>
  <c r="AL267" i="10"/>
  <c r="J267" i="10" s="1"/>
  <c r="AK267" i="10"/>
  <c r="T267" i="10"/>
  <c r="S267" i="10"/>
  <c r="R267" i="10"/>
  <c r="K267" i="10"/>
  <c r="I267" i="10"/>
  <c r="AO266" i="10"/>
  <c r="N266" i="10" s="1"/>
  <c r="AL266" i="10"/>
  <c r="J266" i="10" s="1"/>
  <c r="AK266" i="10"/>
  <c r="R266" i="10" s="1"/>
  <c r="T266" i="10"/>
  <c r="S266" i="10"/>
  <c r="K266" i="10"/>
  <c r="I266" i="10"/>
  <c r="AO265" i="10"/>
  <c r="N265" i="10" s="1"/>
  <c r="AL265" i="10"/>
  <c r="J265" i="10" s="1"/>
  <c r="AK265" i="10"/>
  <c r="R265" i="10" s="1"/>
  <c r="T265" i="10"/>
  <c r="S265" i="10"/>
  <c r="K265" i="10"/>
  <c r="I265" i="10"/>
  <c r="AO264" i="10"/>
  <c r="N264" i="10" s="1"/>
  <c r="AL264" i="10"/>
  <c r="J264" i="10" s="1"/>
  <c r="AK264" i="10"/>
  <c r="R264" i="10" s="1"/>
  <c r="T264" i="10"/>
  <c r="S264" i="10"/>
  <c r="K264" i="10"/>
  <c r="I264" i="10"/>
  <c r="AO263" i="10"/>
  <c r="N263" i="10" s="1"/>
  <c r="AL263" i="10"/>
  <c r="J263" i="10" s="1"/>
  <c r="AK263" i="10"/>
  <c r="R263" i="10" s="1"/>
  <c r="T263" i="10"/>
  <c r="S263" i="10"/>
  <c r="K263" i="10"/>
  <c r="I263" i="10"/>
  <c r="AO262" i="10"/>
  <c r="N262" i="10" s="1"/>
  <c r="AL262" i="10"/>
  <c r="J262" i="10" s="1"/>
  <c r="AK262" i="10"/>
  <c r="R262" i="10" s="1"/>
  <c r="T262" i="10"/>
  <c r="S262" i="10"/>
  <c r="K262" i="10"/>
  <c r="I262" i="10"/>
  <c r="A263" i="13"/>
  <c r="C263" i="13"/>
  <c r="A264" i="13"/>
  <c r="C264" i="13"/>
  <c r="A265" i="13"/>
  <c r="C265" i="13"/>
  <c r="A266" i="13"/>
  <c r="C266" i="13"/>
  <c r="A267" i="13"/>
  <c r="C267" i="13"/>
  <c r="A268" i="13"/>
  <c r="C268" i="13"/>
  <c r="A269" i="13"/>
  <c r="C269" i="13"/>
  <c r="AD263" i="12"/>
  <c r="AK263" i="12" s="1"/>
  <c r="AM263" i="12" s="1"/>
  <c r="AE263" i="12"/>
  <c r="AF263" i="12"/>
  <c r="AD264" i="12"/>
  <c r="AK264" i="12" s="1"/>
  <c r="AL264" i="12" s="1"/>
  <c r="AE264" i="12"/>
  <c r="AF264" i="12"/>
  <c r="AD265" i="12"/>
  <c r="AK265" i="12" s="1"/>
  <c r="AE265" i="12"/>
  <c r="AF265" i="12"/>
  <c r="AD266" i="12"/>
  <c r="AK266" i="12" s="1"/>
  <c r="AM266" i="12" s="1"/>
  <c r="AE266" i="12"/>
  <c r="AF266" i="12"/>
  <c r="AD267" i="12"/>
  <c r="AK267" i="12" s="1"/>
  <c r="AM267" i="12" s="1"/>
  <c r="AE267" i="12"/>
  <c r="AF267" i="12"/>
  <c r="AD268" i="12"/>
  <c r="AK268" i="12" s="1"/>
  <c r="AE268" i="12"/>
  <c r="AF268" i="12"/>
  <c r="AD269" i="12"/>
  <c r="AK269" i="12" s="1"/>
  <c r="AE269" i="12"/>
  <c r="AF269" i="12"/>
  <c r="AA263" i="12"/>
  <c r="AA264" i="12"/>
  <c r="AA265" i="12"/>
  <c r="AA266" i="12"/>
  <c r="AA267" i="12"/>
  <c r="AA268" i="12"/>
  <c r="AA269" i="12"/>
  <c r="S269" i="12"/>
  <c r="S268" i="12"/>
  <c r="S267" i="12"/>
  <c r="S266" i="12"/>
  <c r="S265" i="12"/>
  <c r="S264" i="12"/>
  <c r="S263" i="12"/>
  <c r="W263" i="12"/>
  <c r="W264" i="12"/>
  <c r="W265" i="12"/>
  <c r="W266" i="12"/>
  <c r="W267" i="12"/>
  <c r="W268" i="12"/>
  <c r="M263" i="12"/>
  <c r="M264" i="12"/>
  <c r="M265" i="12"/>
  <c r="M266" i="12"/>
  <c r="M267" i="12"/>
  <c r="M268" i="12"/>
  <c r="D263" i="10"/>
  <c r="D264" i="10"/>
  <c r="D265" i="10"/>
  <c r="D266" i="10"/>
  <c r="D267" i="10"/>
  <c r="D268" i="10"/>
  <c r="D269" i="10"/>
  <c r="N262" i="9"/>
  <c r="G263" i="5"/>
  <c r="J263" i="5"/>
  <c r="Z263" i="5"/>
  <c r="G264" i="5"/>
  <c r="J264" i="5"/>
  <c r="Z264" i="5"/>
  <c r="G265" i="5"/>
  <c r="J265" i="5"/>
  <c r="Z265" i="5"/>
  <c r="G266" i="5"/>
  <c r="J266" i="5"/>
  <c r="Z266" i="5"/>
  <c r="G267" i="5"/>
  <c r="J267" i="5"/>
  <c r="Z267" i="5"/>
  <c r="G268" i="5"/>
  <c r="J268" i="5"/>
  <c r="Z268" i="5"/>
  <c r="G269" i="5"/>
  <c r="J269" i="5"/>
  <c r="Z269" i="5"/>
  <c r="W263" i="9"/>
  <c r="W264" i="9"/>
  <c r="E14" i="9"/>
  <c r="G14" i="12" s="1"/>
  <c r="C13" i="5"/>
  <c r="G14" i="13"/>
  <c r="G15" i="13"/>
  <c r="AF262" i="12"/>
  <c r="AE262" i="12"/>
  <c r="AD262" i="12"/>
  <c r="AA262" i="12"/>
  <c r="W262" i="12"/>
  <c r="S262" i="12"/>
  <c r="M262" i="12"/>
  <c r="AG262" i="13"/>
  <c r="H262" i="13" s="1"/>
  <c r="O262" i="13"/>
  <c r="W262" i="13"/>
  <c r="A262" i="13"/>
  <c r="B262" i="13"/>
  <c r="C262" i="13"/>
  <c r="D262" i="10"/>
  <c r="W262" i="9"/>
  <c r="J262" i="5"/>
  <c r="G262" i="5"/>
  <c r="Z262" i="5"/>
  <c r="C262" i="5"/>
  <c r="D262" i="9" s="1"/>
  <c r="AG261" i="13"/>
  <c r="I261" i="13" s="1"/>
  <c r="O261" i="13"/>
  <c r="C261" i="13"/>
  <c r="B261" i="13"/>
  <c r="A261" i="13"/>
  <c r="AG260" i="13"/>
  <c r="I260" i="13" s="1"/>
  <c r="O260" i="13"/>
  <c r="E260" i="13"/>
  <c r="AA260" i="13" s="1"/>
  <c r="C260" i="13"/>
  <c r="B260" i="13"/>
  <c r="A260" i="13"/>
  <c r="AG259" i="13"/>
  <c r="I259" i="13" s="1"/>
  <c r="O259" i="13"/>
  <c r="E259" i="13"/>
  <c r="C259" i="13"/>
  <c r="B259" i="13"/>
  <c r="A259" i="13"/>
  <c r="AG258" i="13"/>
  <c r="I258" i="13" s="1"/>
  <c r="O258" i="13"/>
  <c r="E258" i="13"/>
  <c r="C258" i="13"/>
  <c r="B258" i="13"/>
  <c r="A258" i="13"/>
  <c r="AG257" i="13"/>
  <c r="I257" i="13" s="1"/>
  <c r="O257" i="13"/>
  <c r="E257" i="13"/>
  <c r="C257" i="13"/>
  <c r="B257" i="13"/>
  <c r="A257" i="13"/>
  <c r="AF261" i="12"/>
  <c r="AE261" i="12"/>
  <c r="AD261" i="12"/>
  <c r="AA261" i="12"/>
  <c r="W261" i="12"/>
  <c r="S261" i="12"/>
  <c r="M261" i="12"/>
  <c r="AF260" i="12"/>
  <c r="AE260" i="12"/>
  <c r="AD260" i="12"/>
  <c r="AA260" i="12"/>
  <c r="W260" i="12"/>
  <c r="S260" i="12"/>
  <c r="M260" i="12"/>
  <c r="AF259" i="12"/>
  <c r="AE259" i="12"/>
  <c r="AD259" i="12"/>
  <c r="AK259" i="12" s="1"/>
  <c r="AL259" i="12" s="1"/>
  <c r="AA259" i="12"/>
  <c r="W259" i="12"/>
  <c r="S259" i="12"/>
  <c r="M259" i="12"/>
  <c r="AF258" i="12"/>
  <c r="AE258" i="12"/>
  <c r="AD258" i="12"/>
  <c r="AK258" i="12" s="1"/>
  <c r="AL258" i="12" s="1"/>
  <c r="AA258" i="12"/>
  <c r="W258" i="12"/>
  <c r="S258" i="12"/>
  <c r="M258" i="12"/>
  <c r="AF257" i="12"/>
  <c r="AE257" i="12"/>
  <c r="AD257" i="12"/>
  <c r="AK257" i="12" s="1"/>
  <c r="AM257" i="12" s="1"/>
  <c r="AA257" i="12"/>
  <c r="W257" i="12"/>
  <c r="S257" i="12"/>
  <c r="M257" i="12"/>
  <c r="AO257" i="10"/>
  <c r="AO258" i="10"/>
  <c r="AO259" i="10"/>
  <c r="AO260" i="10"/>
  <c r="AO261" i="10"/>
  <c r="AK257" i="10"/>
  <c r="AL257" i="10"/>
  <c r="AK258" i="10"/>
  <c r="AL258" i="10"/>
  <c r="AK259" i="10"/>
  <c r="AL259" i="10"/>
  <c r="AK260" i="10"/>
  <c r="AL260" i="10"/>
  <c r="AK261" i="10"/>
  <c r="AL261" i="10"/>
  <c r="W232" i="9"/>
  <c r="W233" i="9"/>
  <c r="W234" i="9"/>
  <c r="W235" i="9"/>
  <c r="W236" i="9"/>
  <c r="W237" i="9"/>
  <c r="W238" i="9"/>
  <c r="W239" i="9"/>
  <c r="W240" i="9"/>
  <c r="W241" i="9"/>
  <c r="W242" i="9"/>
  <c r="W243" i="9"/>
  <c r="W244" i="9"/>
  <c r="W245" i="9"/>
  <c r="W246" i="9"/>
  <c r="W247" i="9"/>
  <c r="W248" i="9"/>
  <c r="W249" i="9"/>
  <c r="W250" i="9"/>
  <c r="W251" i="9"/>
  <c r="W252" i="9"/>
  <c r="W253" i="9"/>
  <c r="W254" i="9"/>
  <c r="W255" i="9"/>
  <c r="W256" i="9"/>
  <c r="W257" i="9"/>
  <c r="W258" i="9"/>
  <c r="W259" i="9"/>
  <c r="W260" i="9"/>
  <c r="W261" i="9"/>
  <c r="F273" i="5" l="1"/>
  <c r="AA273" i="5" s="1"/>
  <c r="AA272" i="5"/>
  <c r="F272" i="5"/>
  <c r="AC279" i="10"/>
  <c r="AB280" i="10"/>
  <c r="AC280" i="10" s="1"/>
  <c r="AB278" i="10"/>
  <c r="AB282" i="10"/>
  <c r="AB284" i="10"/>
  <c r="AB279" i="10"/>
  <c r="AB281" i="10"/>
  <c r="AB283" i="10"/>
  <c r="AC283" i="10" s="1"/>
  <c r="AC284" i="10"/>
  <c r="AC278" i="10"/>
  <c r="AC281" i="10"/>
  <c r="Z282" i="10"/>
  <c r="AA282" i="10" s="1"/>
  <c r="AC282" i="10" s="1"/>
  <c r="Y269" i="10"/>
  <c r="Z274" i="10"/>
  <c r="AA274" i="10" s="1"/>
  <c r="Z272" i="10"/>
  <c r="AA272" i="10" s="1"/>
  <c r="Z276" i="10"/>
  <c r="AA276" i="10" s="1"/>
  <c r="Z277" i="10"/>
  <c r="AA277" i="10" s="1"/>
  <c r="I264" i="13"/>
  <c r="Y262" i="10"/>
  <c r="Y268" i="10"/>
  <c r="AB267" i="10"/>
  <c r="AB275" i="10"/>
  <c r="AC275" i="10" s="1"/>
  <c r="AB273" i="10"/>
  <c r="AB277" i="10"/>
  <c r="AB276" i="10"/>
  <c r="AB274" i="10"/>
  <c r="AB272" i="10"/>
  <c r="AB268" i="10"/>
  <c r="AB266" i="10"/>
  <c r="AB265" i="10"/>
  <c r="AB271" i="10"/>
  <c r="AB270" i="10"/>
  <c r="AB237" i="10"/>
  <c r="AB245" i="10"/>
  <c r="AM275" i="12"/>
  <c r="AM272" i="12"/>
  <c r="AG270" i="12"/>
  <c r="N270" i="13" s="1"/>
  <c r="S270" i="13" s="1"/>
  <c r="N270" i="5" s="1"/>
  <c r="Z273" i="10"/>
  <c r="AA273" i="10" s="1"/>
  <c r="H273" i="5" s="1"/>
  <c r="H272" i="5"/>
  <c r="H274" i="5"/>
  <c r="Y265" i="10"/>
  <c r="C269" i="5"/>
  <c r="C276" i="5" s="1"/>
  <c r="C283" i="5" s="1"/>
  <c r="AB253" i="10"/>
  <c r="AB261" i="10"/>
  <c r="G14" i="5"/>
  <c r="T14" i="5" s="1"/>
  <c r="Y267" i="10"/>
  <c r="Y271" i="10"/>
  <c r="Y270" i="10"/>
  <c r="Y266" i="10"/>
  <c r="Y264" i="10"/>
  <c r="AG271" i="12"/>
  <c r="N271" i="13" s="1"/>
  <c r="S271" i="13" s="1"/>
  <c r="N271" i="5" s="1"/>
  <c r="H266" i="13"/>
  <c r="M266" i="13" s="1"/>
  <c r="I270" i="13"/>
  <c r="M270" i="13" s="1"/>
  <c r="I271" i="13"/>
  <c r="M271" i="13" s="1"/>
  <c r="AL271" i="12"/>
  <c r="AM271" i="12"/>
  <c r="AM270" i="12"/>
  <c r="J14" i="5"/>
  <c r="P271" i="10"/>
  <c r="P270" i="10"/>
  <c r="Y263" i="10"/>
  <c r="H267" i="13"/>
  <c r="M267" i="13" s="1"/>
  <c r="P263" i="10"/>
  <c r="P269" i="10"/>
  <c r="Z269" i="10" s="1"/>
  <c r="AA269" i="10" s="1"/>
  <c r="G14" i="10"/>
  <c r="AB263" i="10"/>
  <c r="AB232" i="10"/>
  <c r="AB240" i="10"/>
  <c r="AB248" i="10"/>
  <c r="AB256" i="10"/>
  <c r="AB254" i="10"/>
  <c r="AB264" i="10"/>
  <c r="AB247" i="10"/>
  <c r="AB255" i="10"/>
  <c r="AB233" i="10"/>
  <c r="AB241" i="10"/>
  <c r="AB249" i="10"/>
  <c r="AB257" i="10"/>
  <c r="AB238" i="10"/>
  <c r="AB246" i="10"/>
  <c r="AB262" i="10"/>
  <c r="AB239" i="10"/>
  <c r="AB269" i="10"/>
  <c r="AB234" i="10"/>
  <c r="AB242" i="10"/>
  <c r="AB250" i="10"/>
  <c r="AB258" i="10"/>
  <c r="AB235" i="10"/>
  <c r="AB243" i="10"/>
  <c r="AB251" i="10"/>
  <c r="AB259" i="10"/>
  <c r="AB236" i="10"/>
  <c r="AB244" i="10"/>
  <c r="AB252" i="10"/>
  <c r="AG267" i="12"/>
  <c r="N267" i="13" s="1"/>
  <c r="S267" i="13" s="1"/>
  <c r="N267" i="5" s="1"/>
  <c r="AM264" i="12"/>
  <c r="AG266" i="12"/>
  <c r="N266" i="13" s="1"/>
  <c r="S266" i="13" s="1"/>
  <c r="N266" i="5" s="1"/>
  <c r="AL268" i="12"/>
  <c r="AM268" i="12"/>
  <c r="AM265" i="12"/>
  <c r="AL265" i="12"/>
  <c r="AM269" i="12"/>
  <c r="AL269" i="12"/>
  <c r="AG264" i="12"/>
  <c r="N264" i="13" s="1"/>
  <c r="S264" i="13" s="1"/>
  <c r="N264" i="5" s="1"/>
  <c r="AG269" i="12"/>
  <c r="N269" i="13" s="1"/>
  <c r="S269" i="13" s="1"/>
  <c r="N269" i="5" s="1"/>
  <c r="AG268" i="12"/>
  <c r="N268" i="13" s="1"/>
  <c r="S268" i="13" s="1"/>
  <c r="N268" i="5" s="1"/>
  <c r="AL267" i="12"/>
  <c r="AG265" i="12"/>
  <c r="N265" i="13" s="1"/>
  <c r="S265" i="13" s="1"/>
  <c r="N265" i="5" s="1"/>
  <c r="H269" i="13"/>
  <c r="M269" i="13" s="1"/>
  <c r="H268" i="13"/>
  <c r="M268" i="13" s="1"/>
  <c r="H263" i="13"/>
  <c r="I265" i="13"/>
  <c r="M265" i="13" s="1"/>
  <c r="M264" i="13"/>
  <c r="P264" i="10"/>
  <c r="P265" i="10"/>
  <c r="P266" i="10"/>
  <c r="P267" i="10"/>
  <c r="P268" i="10"/>
  <c r="P262" i="10"/>
  <c r="AL266" i="12"/>
  <c r="AG263" i="12"/>
  <c r="N263" i="13" s="1"/>
  <c r="S263" i="13" s="1"/>
  <c r="N263" i="5" s="1"/>
  <c r="AL263" i="12"/>
  <c r="F262" i="12"/>
  <c r="I262" i="13"/>
  <c r="M262" i="13" s="1"/>
  <c r="F262" i="5" s="1"/>
  <c r="AA262" i="5" s="1"/>
  <c r="W261" i="13"/>
  <c r="AG262" i="12"/>
  <c r="N262" i="13" s="1"/>
  <c r="S262" i="13" s="1"/>
  <c r="N262" i="5" s="1"/>
  <c r="AK262" i="12"/>
  <c r="AL262" i="12" s="1"/>
  <c r="H257" i="13"/>
  <c r="M257" i="13" s="1"/>
  <c r="H258" i="13"/>
  <c r="H260" i="13"/>
  <c r="M260" i="13" s="1"/>
  <c r="AG261" i="12"/>
  <c r="N261" i="13" s="1"/>
  <c r="S261" i="13" s="1"/>
  <c r="AG260" i="12"/>
  <c r="N260" i="13" s="1"/>
  <c r="S260" i="13" s="1"/>
  <c r="AA257" i="13"/>
  <c r="AA259" i="13"/>
  <c r="AA261" i="13"/>
  <c r="AA258" i="13"/>
  <c r="M258" i="13"/>
  <c r="H259" i="13"/>
  <c r="M259" i="13" s="1"/>
  <c r="H261" i="13"/>
  <c r="M261" i="13" s="1"/>
  <c r="AG258" i="12"/>
  <c r="N258" i="13" s="1"/>
  <c r="S258" i="13" s="1"/>
  <c r="AG259" i="12"/>
  <c r="N259" i="13" s="1"/>
  <c r="S259" i="13" s="1"/>
  <c r="AM259" i="12"/>
  <c r="AG257" i="12"/>
  <c r="N257" i="13" s="1"/>
  <c r="S257" i="13" s="1"/>
  <c r="AM258" i="12"/>
  <c r="AK261" i="12"/>
  <c r="AL261" i="12" s="1"/>
  <c r="AK260" i="12"/>
  <c r="AL260" i="12" s="1"/>
  <c r="AL257" i="12"/>
  <c r="F264" i="5" l="1"/>
  <c r="AA264" i="5" s="1"/>
  <c r="F266" i="5"/>
  <c r="AA266" i="5" s="1"/>
  <c r="F265" i="5"/>
  <c r="AA265" i="5" s="1"/>
  <c r="AA268" i="5"/>
  <c r="F268" i="5"/>
  <c r="F267" i="5"/>
  <c r="AA267" i="5" s="1"/>
  <c r="F271" i="5"/>
  <c r="AA271" i="5" s="1"/>
  <c r="F269" i="5"/>
  <c r="AA269" i="5" s="1"/>
  <c r="F270" i="5"/>
  <c r="AA270" i="5" s="1"/>
  <c r="X14" i="5"/>
  <c r="F283" i="12"/>
  <c r="D283" i="9"/>
  <c r="AC272" i="10"/>
  <c r="AC277" i="10"/>
  <c r="AC274" i="10"/>
  <c r="AC276" i="10"/>
  <c r="Z268" i="10"/>
  <c r="AA268" i="10" s="1"/>
  <c r="H268" i="5" s="1"/>
  <c r="Z267" i="10"/>
  <c r="AA267" i="10" s="1"/>
  <c r="H267" i="5" s="1"/>
  <c r="Z262" i="10"/>
  <c r="AA262" i="10" s="1"/>
  <c r="AC262" i="10" s="1"/>
  <c r="Z265" i="10"/>
  <c r="AA265" i="10" s="1"/>
  <c r="AC265" i="10" s="1"/>
  <c r="D276" i="9"/>
  <c r="F276" i="12"/>
  <c r="AC273" i="10"/>
  <c r="Z264" i="10"/>
  <c r="AA264" i="10" s="1"/>
  <c r="H264" i="5" s="1"/>
  <c r="Z266" i="10"/>
  <c r="AA266" i="10" s="1"/>
  <c r="H266" i="5" s="1"/>
  <c r="Z270" i="10"/>
  <c r="AA270" i="10" s="1"/>
  <c r="AC270" i="10" s="1"/>
  <c r="Z271" i="10"/>
  <c r="AA271" i="10" s="1"/>
  <c r="AC271" i="10" s="1"/>
  <c r="F269" i="12"/>
  <c r="D269" i="9"/>
  <c r="Z263" i="10"/>
  <c r="AA263" i="10" s="1"/>
  <c r="AC269" i="10"/>
  <c r="H269" i="5"/>
  <c r="M263" i="13"/>
  <c r="H262" i="5"/>
  <c r="W260" i="13"/>
  <c r="AM262" i="12"/>
  <c r="AM260" i="12"/>
  <c r="AM261" i="12"/>
  <c r="AC268" i="10" l="1"/>
  <c r="AC267" i="10"/>
  <c r="H265" i="5"/>
  <c r="AC266" i="10"/>
  <c r="H270" i="5"/>
  <c r="AC264" i="10"/>
  <c r="H271" i="5"/>
  <c r="H263" i="5"/>
  <c r="AC263" i="10"/>
  <c r="F263" i="5"/>
  <c r="W259" i="13"/>
  <c r="T261" i="10"/>
  <c r="S261" i="10"/>
  <c r="R261" i="10"/>
  <c r="N261" i="10"/>
  <c r="K261" i="10"/>
  <c r="J261" i="10"/>
  <c r="I261" i="10"/>
  <c r="D261" i="10"/>
  <c r="T260" i="10"/>
  <c r="S260" i="10"/>
  <c r="R260" i="10"/>
  <c r="N260" i="10"/>
  <c r="K260" i="10"/>
  <c r="J260" i="10"/>
  <c r="I260" i="10"/>
  <c r="D260" i="10"/>
  <c r="T259" i="10"/>
  <c r="S259" i="10"/>
  <c r="R259" i="10"/>
  <c r="N259" i="10"/>
  <c r="K259" i="10"/>
  <c r="J259" i="10"/>
  <c r="I259" i="10"/>
  <c r="D259" i="10"/>
  <c r="T258" i="10"/>
  <c r="S258" i="10"/>
  <c r="R258" i="10"/>
  <c r="N258" i="10"/>
  <c r="K258" i="10"/>
  <c r="J258" i="10"/>
  <c r="I258" i="10"/>
  <c r="D258" i="10"/>
  <c r="T257" i="10"/>
  <c r="S257" i="10"/>
  <c r="R257" i="10"/>
  <c r="N257" i="10"/>
  <c r="K257" i="10"/>
  <c r="J257" i="10"/>
  <c r="I257" i="10"/>
  <c r="D257" i="10"/>
  <c r="Z261" i="5"/>
  <c r="Z260" i="5"/>
  <c r="Z259" i="5"/>
  <c r="Z258" i="5"/>
  <c r="Z257" i="5"/>
  <c r="N261" i="5"/>
  <c r="J261" i="5"/>
  <c r="G261" i="5"/>
  <c r="F261" i="5"/>
  <c r="AA261" i="5" s="1"/>
  <c r="N260" i="5"/>
  <c r="J260" i="5"/>
  <c r="G260" i="5"/>
  <c r="F260" i="5"/>
  <c r="AA260" i="5" s="1"/>
  <c r="N259" i="5"/>
  <c r="J259" i="5"/>
  <c r="G259" i="5"/>
  <c r="F259" i="5"/>
  <c r="AA259" i="5" s="1"/>
  <c r="N258" i="5"/>
  <c r="J258" i="5"/>
  <c r="G258" i="5"/>
  <c r="F258" i="5"/>
  <c r="AA258" i="5" s="1"/>
  <c r="N257" i="5"/>
  <c r="J257" i="5"/>
  <c r="G257" i="5"/>
  <c r="F257" i="5"/>
  <c r="C261" i="5"/>
  <c r="C260" i="5"/>
  <c r="C259" i="5"/>
  <c r="C258" i="5"/>
  <c r="C257" i="5"/>
  <c r="C256" i="5"/>
  <c r="C263" i="5" s="1"/>
  <c r="C270" i="5" s="1"/>
  <c r="C277" i="5" s="1"/>
  <c r="C284" i="5" s="1"/>
  <c r="F284" i="12" l="1"/>
  <c r="D284" i="9"/>
  <c r="D277" i="9"/>
  <c r="F277" i="12"/>
  <c r="H14" i="5"/>
  <c r="F270" i="12"/>
  <c r="D270" i="9"/>
  <c r="F260" i="12"/>
  <c r="C267" i="5"/>
  <c r="C274" i="5" s="1"/>
  <c r="C281" i="5" s="1"/>
  <c r="F261" i="12"/>
  <c r="C268" i="5"/>
  <c r="C275" i="5" s="1"/>
  <c r="C282" i="5" s="1"/>
  <c r="D263" i="9"/>
  <c r="F263" i="12"/>
  <c r="F257" i="12"/>
  <c r="C264" i="5"/>
  <c r="C271" i="5" s="1"/>
  <c r="C278" i="5" s="1"/>
  <c r="F258" i="12"/>
  <c r="C265" i="5"/>
  <c r="C272" i="5" s="1"/>
  <c r="C279" i="5" s="1"/>
  <c r="F259" i="12"/>
  <c r="C266" i="5"/>
  <c r="C273" i="5" s="1"/>
  <c r="C280" i="5" s="1"/>
  <c r="AA263" i="5"/>
  <c r="F14" i="5"/>
  <c r="U14" i="5" s="1"/>
  <c r="AA257" i="5"/>
  <c r="W258" i="13"/>
  <c r="D261" i="9"/>
  <c r="D258" i="9"/>
  <c r="D259" i="9"/>
  <c r="D260" i="9"/>
  <c r="D257" i="9"/>
  <c r="Y258" i="10"/>
  <c r="Y260" i="10"/>
  <c r="Y261" i="10"/>
  <c r="Y257" i="10"/>
  <c r="P260" i="10"/>
  <c r="Y259" i="10"/>
  <c r="P257" i="10"/>
  <c r="P261" i="10"/>
  <c r="P258" i="10"/>
  <c r="P259" i="10"/>
  <c r="D280" i="9" l="1"/>
  <c r="F280" i="12"/>
  <c r="F279" i="12"/>
  <c r="D279" i="9"/>
  <c r="D281" i="9"/>
  <c r="F281" i="12"/>
  <c r="D282" i="9"/>
  <c r="F282" i="12"/>
  <c r="D278" i="9"/>
  <c r="F278" i="12"/>
  <c r="F273" i="12"/>
  <c r="D273" i="9"/>
  <c r="D275" i="9"/>
  <c r="F275" i="12"/>
  <c r="F272" i="12"/>
  <c r="D272" i="9"/>
  <c r="D274" i="9"/>
  <c r="F274" i="12"/>
  <c r="D271" i="9"/>
  <c r="F271" i="12"/>
  <c r="Z258" i="10"/>
  <c r="AA258" i="10" s="1"/>
  <c r="H258" i="5" s="1"/>
  <c r="D268" i="9"/>
  <c r="F268" i="12"/>
  <c r="D265" i="9"/>
  <c r="F265" i="12"/>
  <c r="D267" i="9"/>
  <c r="F267" i="12"/>
  <c r="D266" i="9"/>
  <c r="F266" i="12"/>
  <c r="F264" i="12"/>
  <c r="D264" i="9"/>
  <c r="Z257" i="10"/>
  <c r="AA257" i="10" s="1"/>
  <c r="H257" i="5" s="1"/>
  <c r="W257" i="13"/>
  <c r="Z261" i="10"/>
  <c r="AA261" i="10" s="1"/>
  <c r="H261" i="5" s="1"/>
  <c r="Z260" i="10"/>
  <c r="AA260" i="10" s="1"/>
  <c r="H260" i="5" s="1"/>
  <c r="Z259" i="10"/>
  <c r="AA259" i="10" s="1"/>
  <c r="H259" i="5" s="1"/>
  <c r="E251" i="9" l="1"/>
  <c r="E252" i="9" s="1"/>
  <c r="E253" i="9" s="1"/>
  <c r="E254" i="9" s="1"/>
  <c r="E255" i="9" s="1"/>
  <c r="E256" i="9" s="1"/>
  <c r="D248" i="5"/>
  <c r="Y248" i="5" s="1"/>
  <c r="Z256" i="5"/>
  <c r="J256" i="5"/>
  <c r="G256" i="5"/>
  <c r="Z255" i="5"/>
  <c r="J255" i="5"/>
  <c r="G255" i="5"/>
  <c r="Z254" i="5"/>
  <c r="J254" i="5"/>
  <c r="G254" i="5"/>
  <c r="Z253" i="5"/>
  <c r="J253" i="5"/>
  <c r="G253" i="5"/>
  <c r="Z252" i="5"/>
  <c r="J252" i="5"/>
  <c r="G252" i="5"/>
  <c r="Z251" i="5"/>
  <c r="J251" i="5"/>
  <c r="G251" i="5"/>
  <c r="AO256" i="10"/>
  <c r="N256" i="10" s="1"/>
  <c r="AL256" i="10"/>
  <c r="J256" i="10" s="1"/>
  <c r="AK256" i="10"/>
  <c r="R256" i="10" s="1"/>
  <c r="T256" i="10"/>
  <c r="S256" i="10"/>
  <c r="K256" i="10"/>
  <c r="I256" i="10"/>
  <c r="D256" i="10"/>
  <c r="AO255" i="10"/>
  <c r="N255" i="10" s="1"/>
  <c r="AL255" i="10"/>
  <c r="J255" i="10" s="1"/>
  <c r="AK255" i="10"/>
  <c r="R255" i="10" s="1"/>
  <c r="T255" i="10"/>
  <c r="S255" i="10"/>
  <c r="K255" i="10"/>
  <c r="I255" i="10"/>
  <c r="D255" i="10"/>
  <c r="AO254" i="10"/>
  <c r="N254" i="10" s="1"/>
  <c r="AL254" i="10"/>
  <c r="J254" i="10" s="1"/>
  <c r="AK254" i="10"/>
  <c r="R254" i="10" s="1"/>
  <c r="T254" i="10"/>
  <c r="S254" i="10"/>
  <c r="K254" i="10"/>
  <c r="I254" i="10"/>
  <c r="D254" i="10"/>
  <c r="AO253" i="10"/>
  <c r="N253" i="10" s="1"/>
  <c r="AL253" i="10"/>
  <c r="J253" i="10" s="1"/>
  <c r="AK253" i="10"/>
  <c r="R253" i="10" s="1"/>
  <c r="T253" i="10"/>
  <c r="S253" i="10"/>
  <c r="K253" i="10"/>
  <c r="I253" i="10"/>
  <c r="D253" i="10"/>
  <c r="AO252" i="10"/>
  <c r="N252" i="10" s="1"/>
  <c r="AL252" i="10"/>
  <c r="J252" i="10" s="1"/>
  <c r="AK252" i="10"/>
  <c r="R252" i="10" s="1"/>
  <c r="T252" i="10"/>
  <c r="S252" i="10"/>
  <c r="K252" i="10"/>
  <c r="I252" i="10"/>
  <c r="D252" i="10"/>
  <c r="AO251" i="10"/>
  <c r="N251" i="10" s="1"/>
  <c r="AL251" i="10"/>
  <c r="J251" i="10" s="1"/>
  <c r="AK251" i="10"/>
  <c r="R251" i="10" s="1"/>
  <c r="T251" i="10"/>
  <c r="S251" i="10"/>
  <c r="K251" i="10"/>
  <c r="I251" i="10"/>
  <c r="D251" i="10"/>
  <c r="AF256" i="12"/>
  <c r="AE256" i="12"/>
  <c r="AD256" i="12"/>
  <c r="AK256" i="12" s="1"/>
  <c r="AL256" i="12" s="1"/>
  <c r="AA256" i="12"/>
  <c r="W256" i="12"/>
  <c r="S256" i="12"/>
  <c r="M256" i="12"/>
  <c r="F256" i="12"/>
  <c r="AF255" i="12"/>
  <c r="AE255" i="12"/>
  <c r="AD255" i="12"/>
  <c r="AA255" i="12"/>
  <c r="W255" i="12"/>
  <c r="S255" i="12"/>
  <c r="M255" i="12"/>
  <c r="F255" i="12"/>
  <c r="AF254" i="12"/>
  <c r="AE254" i="12"/>
  <c r="AD254" i="12"/>
  <c r="AA254" i="12"/>
  <c r="W254" i="12"/>
  <c r="S254" i="12"/>
  <c r="M254" i="12"/>
  <c r="F254" i="12"/>
  <c r="AF253" i="12"/>
  <c r="AE253" i="12"/>
  <c r="AD253" i="12"/>
  <c r="AK253" i="12" s="1"/>
  <c r="AL253" i="12" s="1"/>
  <c r="AA253" i="12"/>
  <c r="W253" i="12"/>
  <c r="S253" i="12"/>
  <c r="M253" i="12"/>
  <c r="F253" i="12"/>
  <c r="AF252" i="12"/>
  <c r="AE252" i="12"/>
  <c r="AD252" i="12"/>
  <c r="AA252" i="12"/>
  <c r="W252" i="12"/>
  <c r="S252" i="12"/>
  <c r="M252" i="12"/>
  <c r="F252" i="12"/>
  <c r="AF251" i="12"/>
  <c r="AE251" i="12"/>
  <c r="AD251" i="12"/>
  <c r="AK251" i="12" s="1"/>
  <c r="AL251" i="12" s="1"/>
  <c r="AA251" i="12"/>
  <c r="W251" i="12"/>
  <c r="S251" i="12"/>
  <c r="M251" i="12"/>
  <c r="F251" i="12"/>
  <c r="AG256" i="13"/>
  <c r="I256" i="13" s="1"/>
  <c r="W256" i="13"/>
  <c r="O256" i="13"/>
  <c r="E256" i="13"/>
  <c r="AA256" i="13" s="1"/>
  <c r="C256" i="13"/>
  <c r="B256" i="13"/>
  <c r="A256" i="13"/>
  <c r="AG255" i="13"/>
  <c r="I255" i="13" s="1"/>
  <c r="W255" i="13"/>
  <c r="O255" i="13"/>
  <c r="E255" i="13"/>
  <c r="AA255" i="13" s="1"/>
  <c r="C255" i="13"/>
  <c r="B255" i="13"/>
  <c r="A255" i="13"/>
  <c r="AG254" i="13"/>
  <c r="I254" i="13" s="1"/>
  <c r="W254" i="13"/>
  <c r="O254" i="13"/>
  <c r="E254" i="13"/>
  <c r="AA254" i="13" s="1"/>
  <c r="C254" i="13"/>
  <c r="B254" i="13"/>
  <c r="A254" i="13"/>
  <c r="AG253" i="13"/>
  <c r="I253" i="13" s="1"/>
  <c r="W253" i="13"/>
  <c r="O253" i="13"/>
  <c r="E253" i="13"/>
  <c r="AA253" i="13" s="1"/>
  <c r="C253" i="13"/>
  <c r="B253" i="13"/>
  <c r="A253" i="13"/>
  <c r="AG252" i="13"/>
  <c r="I252" i="13" s="1"/>
  <c r="W252" i="13"/>
  <c r="O252" i="13"/>
  <c r="E252" i="13"/>
  <c r="AA252" i="13" s="1"/>
  <c r="C252" i="13"/>
  <c r="B252" i="13"/>
  <c r="A252" i="13"/>
  <c r="AG251" i="13"/>
  <c r="I251" i="13" s="1"/>
  <c r="W251" i="13"/>
  <c r="O251" i="13"/>
  <c r="E251" i="13"/>
  <c r="AA251" i="13" s="1"/>
  <c r="C251" i="13"/>
  <c r="B251" i="13"/>
  <c r="A251" i="13"/>
  <c r="Z250" i="5"/>
  <c r="J250" i="5"/>
  <c r="G250" i="5"/>
  <c r="Z249" i="5"/>
  <c r="J249" i="5"/>
  <c r="G249" i="5"/>
  <c r="Z248" i="5"/>
  <c r="J248" i="5"/>
  <c r="G248" i="5"/>
  <c r="Z247" i="5"/>
  <c r="Y247" i="5"/>
  <c r="J247" i="5"/>
  <c r="G247" i="5"/>
  <c r="Z246" i="5"/>
  <c r="Y246" i="5"/>
  <c r="J246" i="5"/>
  <c r="G246" i="5"/>
  <c r="Z245" i="5"/>
  <c r="Y245" i="5"/>
  <c r="J245" i="5"/>
  <c r="G245" i="5"/>
  <c r="Z244" i="5"/>
  <c r="Y244" i="5"/>
  <c r="J244" i="5"/>
  <c r="G244" i="5"/>
  <c r="E233" i="13"/>
  <c r="E234" i="13"/>
  <c r="E235" i="13"/>
  <c r="E236" i="13"/>
  <c r="E237" i="13"/>
  <c r="E238" i="13"/>
  <c r="E239" i="13"/>
  <c r="E240" i="13"/>
  <c r="E241" i="13"/>
  <c r="E242" i="13"/>
  <c r="E243" i="13"/>
  <c r="AA243" i="13" s="1"/>
  <c r="E244" i="13"/>
  <c r="AA244" i="13" s="1"/>
  <c r="E245" i="13"/>
  <c r="AA245" i="13" s="1"/>
  <c r="E246" i="13"/>
  <c r="AA246" i="13" s="1"/>
  <c r="E247" i="13"/>
  <c r="AA247" i="13" s="1"/>
  <c r="E248" i="13"/>
  <c r="AA248" i="13" s="1"/>
  <c r="E249" i="13"/>
  <c r="AA249" i="13" s="1"/>
  <c r="E250" i="13"/>
  <c r="AA250" i="13" s="1"/>
  <c r="E232" i="13"/>
  <c r="AD243" i="12"/>
  <c r="AK243" i="12" s="1"/>
  <c r="AE243" i="12"/>
  <c r="AF243" i="12"/>
  <c r="AD244" i="12"/>
  <c r="AK244" i="12" s="1"/>
  <c r="AL244" i="12" s="1"/>
  <c r="AE244" i="12"/>
  <c r="AF244" i="12"/>
  <c r="AD245" i="12"/>
  <c r="AK245" i="12" s="1"/>
  <c r="AL245" i="12" s="1"/>
  <c r="AE245" i="12"/>
  <c r="AF245" i="12"/>
  <c r="AD246" i="12"/>
  <c r="AK246" i="12" s="1"/>
  <c r="AL246" i="12" s="1"/>
  <c r="AE246" i="12"/>
  <c r="AF246" i="12"/>
  <c r="AD247" i="12"/>
  <c r="AK247" i="12" s="1"/>
  <c r="AL247" i="12" s="1"/>
  <c r="AE247" i="12"/>
  <c r="AF247" i="12"/>
  <c r="AD248" i="12"/>
  <c r="AE248" i="12"/>
  <c r="AF248" i="12"/>
  <c r="AD249" i="12"/>
  <c r="AK249" i="12" s="1"/>
  <c r="AM249" i="12" s="1"/>
  <c r="AE249" i="12"/>
  <c r="AF249" i="12"/>
  <c r="AD250" i="12"/>
  <c r="AK250" i="12" s="1"/>
  <c r="AL250" i="12" s="1"/>
  <c r="AE250" i="12"/>
  <c r="AF250" i="12"/>
  <c r="AA244" i="12"/>
  <c r="AA245" i="12"/>
  <c r="AA246" i="12"/>
  <c r="AA247" i="12"/>
  <c r="AA248" i="12"/>
  <c r="AA249" i="12"/>
  <c r="AA250" i="12"/>
  <c r="AO250" i="10"/>
  <c r="N250" i="10" s="1"/>
  <c r="AL250" i="10"/>
  <c r="J250" i="10" s="1"/>
  <c r="AK250" i="10"/>
  <c r="R250" i="10" s="1"/>
  <c r="T250" i="10"/>
  <c r="S250" i="10"/>
  <c r="K250" i="10"/>
  <c r="I250" i="10"/>
  <c r="AO249" i="10"/>
  <c r="N249" i="10" s="1"/>
  <c r="AL249" i="10"/>
  <c r="J249" i="10" s="1"/>
  <c r="AK249" i="10"/>
  <c r="R249" i="10" s="1"/>
  <c r="T249" i="10"/>
  <c r="S249" i="10"/>
  <c r="K249" i="10"/>
  <c r="I249" i="10"/>
  <c r="AO248" i="10"/>
  <c r="N248" i="10" s="1"/>
  <c r="AL248" i="10"/>
  <c r="J248" i="10" s="1"/>
  <c r="AK248" i="10"/>
  <c r="R248" i="10" s="1"/>
  <c r="T248" i="10"/>
  <c r="S248" i="10"/>
  <c r="K248" i="10"/>
  <c r="I248" i="10"/>
  <c r="AO247" i="10"/>
  <c r="N247" i="10" s="1"/>
  <c r="AL247" i="10"/>
  <c r="J247" i="10" s="1"/>
  <c r="AK247" i="10"/>
  <c r="R247" i="10" s="1"/>
  <c r="T247" i="10"/>
  <c r="S247" i="10"/>
  <c r="K247" i="10"/>
  <c r="I247" i="10"/>
  <c r="AO246" i="10"/>
  <c r="N246" i="10" s="1"/>
  <c r="AL246" i="10"/>
  <c r="J246" i="10" s="1"/>
  <c r="AK246" i="10"/>
  <c r="R246" i="10" s="1"/>
  <c r="T246" i="10"/>
  <c r="S246" i="10"/>
  <c r="K246" i="10"/>
  <c r="I246" i="10"/>
  <c r="AO245" i="10"/>
  <c r="N245" i="10" s="1"/>
  <c r="AL245" i="10"/>
  <c r="J245" i="10" s="1"/>
  <c r="AK245" i="10"/>
  <c r="R245" i="10" s="1"/>
  <c r="T245" i="10"/>
  <c r="S245" i="10"/>
  <c r="K245" i="10"/>
  <c r="I245" i="10"/>
  <c r="AO244" i="10"/>
  <c r="N244" i="10" s="1"/>
  <c r="AL244" i="10"/>
  <c r="J244" i="10" s="1"/>
  <c r="AK244" i="10"/>
  <c r="R244" i="10" s="1"/>
  <c r="T244" i="10"/>
  <c r="S244" i="10"/>
  <c r="K244" i="10"/>
  <c r="I244" i="10"/>
  <c r="D244" i="10"/>
  <c r="D245" i="10"/>
  <c r="D246" i="10"/>
  <c r="D247" i="10"/>
  <c r="D248" i="10"/>
  <c r="D249" i="10"/>
  <c r="D250" i="10"/>
  <c r="AG244" i="13"/>
  <c r="I244" i="13" s="1"/>
  <c r="AG245" i="13"/>
  <c r="I245" i="13" s="1"/>
  <c r="AG246" i="13"/>
  <c r="H246" i="13" s="1"/>
  <c r="AG247" i="13"/>
  <c r="I247" i="13" s="1"/>
  <c r="AG248" i="13"/>
  <c r="H248" i="13" s="1"/>
  <c r="AG249" i="13"/>
  <c r="H249" i="13" s="1"/>
  <c r="AG250" i="13"/>
  <c r="H250" i="13" s="1"/>
  <c r="O244" i="13"/>
  <c r="W244" i="13"/>
  <c r="O245" i="13"/>
  <c r="W245" i="13"/>
  <c r="O246" i="13"/>
  <c r="W246" i="13"/>
  <c r="O247" i="13"/>
  <c r="W247" i="13"/>
  <c r="O248" i="13"/>
  <c r="W248" i="13"/>
  <c r="O249" i="13"/>
  <c r="W249" i="13"/>
  <c r="O250" i="13"/>
  <c r="W250" i="13"/>
  <c r="A243" i="13"/>
  <c r="B243" i="13"/>
  <c r="C243" i="13"/>
  <c r="A244" i="13"/>
  <c r="B244" i="13"/>
  <c r="C244" i="13"/>
  <c r="A245" i="13"/>
  <c r="B245" i="13"/>
  <c r="C245" i="13"/>
  <c r="A246" i="13"/>
  <c r="B246" i="13"/>
  <c r="C246" i="13"/>
  <c r="A247" i="13"/>
  <c r="B247" i="13"/>
  <c r="C247" i="13"/>
  <c r="A248" i="13"/>
  <c r="B248" i="13"/>
  <c r="C248" i="13"/>
  <c r="A249" i="13"/>
  <c r="B249" i="13"/>
  <c r="C249" i="13"/>
  <c r="A250" i="13"/>
  <c r="B250" i="13"/>
  <c r="C250" i="13"/>
  <c r="W244" i="12"/>
  <c r="W245" i="12"/>
  <c r="W246" i="12"/>
  <c r="W247" i="12"/>
  <c r="W248" i="12"/>
  <c r="W249" i="12"/>
  <c r="W250" i="12"/>
  <c r="S244" i="12"/>
  <c r="S245" i="12"/>
  <c r="S246" i="12"/>
  <c r="S247" i="12"/>
  <c r="S248" i="12"/>
  <c r="S249" i="12"/>
  <c r="S250" i="12"/>
  <c r="M244" i="12"/>
  <c r="M245" i="12"/>
  <c r="M246" i="12"/>
  <c r="M247" i="12"/>
  <c r="M248" i="12"/>
  <c r="M249" i="12"/>
  <c r="M250" i="12"/>
  <c r="M242" i="12"/>
  <c r="M243" i="12"/>
  <c r="F232" i="12"/>
  <c r="G232" i="12"/>
  <c r="F233" i="12"/>
  <c r="G233" i="12"/>
  <c r="F234" i="12"/>
  <c r="G234" i="12"/>
  <c r="F235" i="12"/>
  <c r="G235" i="12"/>
  <c r="F236" i="12"/>
  <c r="G236" i="12"/>
  <c r="F237" i="12"/>
  <c r="G237" i="12"/>
  <c r="F238" i="12"/>
  <c r="G238" i="12"/>
  <c r="F239" i="12"/>
  <c r="G239" i="12"/>
  <c r="F240" i="12"/>
  <c r="G240" i="12"/>
  <c r="F241" i="12"/>
  <c r="G241" i="12"/>
  <c r="F242" i="12"/>
  <c r="G242" i="12"/>
  <c r="F243" i="12"/>
  <c r="G243" i="12"/>
  <c r="F244" i="12"/>
  <c r="G244" i="12"/>
  <c r="F245" i="12"/>
  <c r="G245" i="12"/>
  <c r="F246" i="12"/>
  <c r="G246" i="12"/>
  <c r="F247" i="12"/>
  <c r="G247" i="12"/>
  <c r="F248" i="12"/>
  <c r="F249" i="12"/>
  <c r="F250" i="12"/>
  <c r="Z243" i="5"/>
  <c r="Y243" i="5"/>
  <c r="J243" i="5"/>
  <c r="G243" i="5"/>
  <c r="D243" i="10"/>
  <c r="AO243" i="10"/>
  <c r="N243" i="10" s="1"/>
  <c r="AL243" i="10"/>
  <c r="J243" i="10" s="1"/>
  <c r="AK243" i="10"/>
  <c r="R243" i="10" s="1"/>
  <c r="T243" i="10"/>
  <c r="S243" i="10"/>
  <c r="K243" i="10"/>
  <c r="I243" i="10"/>
  <c r="AA243" i="12"/>
  <c r="W243" i="12"/>
  <c r="S243" i="12"/>
  <c r="AG243" i="13"/>
  <c r="I243" i="13" s="1"/>
  <c r="W243" i="13"/>
  <c r="O243" i="13"/>
  <c r="H244" i="13" l="1"/>
  <c r="M244" i="13" s="1"/>
  <c r="F244" i="5" s="1"/>
  <c r="AA244" i="5" s="1"/>
  <c r="H245" i="13"/>
  <c r="M245" i="13" s="1"/>
  <c r="F245" i="5" s="1"/>
  <c r="AA245" i="5" s="1"/>
  <c r="H251" i="13"/>
  <c r="M251" i="13" s="1"/>
  <c r="F251" i="5" s="1"/>
  <c r="AA251" i="5" s="1"/>
  <c r="H252" i="13"/>
  <c r="M252" i="13" s="1"/>
  <c r="F252" i="5" s="1"/>
  <c r="AA252" i="5" s="1"/>
  <c r="H253" i="13"/>
  <c r="M253" i="13" s="1"/>
  <c r="F253" i="5" s="1"/>
  <c r="AA253" i="5" s="1"/>
  <c r="AG251" i="12"/>
  <c r="N251" i="13" s="1"/>
  <c r="S251" i="13" s="1"/>
  <c r="N251" i="5" s="1"/>
  <c r="AG255" i="12"/>
  <c r="N255" i="13" s="1"/>
  <c r="S255" i="13" s="1"/>
  <c r="N255" i="5" s="1"/>
  <c r="AG256" i="12"/>
  <c r="N256" i="13" s="1"/>
  <c r="S256" i="13" s="1"/>
  <c r="N256" i="5" s="1"/>
  <c r="Y254" i="10"/>
  <c r="Y251" i="10"/>
  <c r="Y247" i="10"/>
  <c r="P251" i="10"/>
  <c r="P246" i="10"/>
  <c r="P243" i="10"/>
  <c r="P245" i="10"/>
  <c r="P254" i="10"/>
  <c r="AG253" i="12"/>
  <c r="N253" i="13" s="1"/>
  <c r="S253" i="13" s="1"/>
  <c r="N253" i="5" s="1"/>
  <c r="AG244" i="12"/>
  <c r="N244" i="13" s="1"/>
  <c r="S244" i="13" s="1"/>
  <c r="N244" i="5" s="1"/>
  <c r="AG249" i="12"/>
  <c r="N249" i="13" s="1"/>
  <c r="S249" i="13" s="1"/>
  <c r="N249" i="5" s="1"/>
  <c r="AG248" i="12"/>
  <c r="N248" i="13" s="1"/>
  <c r="S248" i="13" s="1"/>
  <c r="N248" i="5" s="1"/>
  <c r="AG250" i="12"/>
  <c r="N250" i="13" s="1"/>
  <c r="S250" i="13" s="1"/>
  <c r="N250" i="5" s="1"/>
  <c r="P248" i="10"/>
  <c r="P249" i="10"/>
  <c r="P250" i="10"/>
  <c r="P255" i="10"/>
  <c r="P247" i="10"/>
  <c r="P252" i="10"/>
  <c r="P244" i="10"/>
  <c r="P256" i="10"/>
  <c r="P253" i="10"/>
  <c r="D249" i="5"/>
  <c r="Y249" i="5" s="1"/>
  <c r="H247" i="13"/>
  <c r="M247" i="13" s="1"/>
  <c r="F247" i="5" s="1"/>
  <c r="AA247" i="5" s="1"/>
  <c r="H254" i="13"/>
  <c r="M254" i="13" s="1"/>
  <c r="F254" i="5" s="1"/>
  <c r="AA254" i="5" s="1"/>
  <c r="H255" i="13"/>
  <c r="M255" i="13" s="1"/>
  <c r="F255" i="5" s="1"/>
  <c r="AA255" i="5" s="1"/>
  <c r="H256" i="13"/>
  <c r="M256" i="13" s="1"/>
  <c r="F256" i="5" s="1"/>
  <c r="AA256" i="5" s="1"/>
  <c r="AM253" i="12"/>
  <c r="AK254" i="12"/>
  <c r="AL254" i="12" s="1"/>
  <c r="AM256" i="12"/>
  <c r="AK255" i="12"/>
  <c r="AL255" i="12" s="1"/>
  <c r="AG254" i="12"/>
  <c r="N254" i="13" s="1"/>
  <c r="S254" i="13" s="1"/>
  <c r="N254" i="5" s="1"/>
  <c r="Y250" i="10"/>
  <c r="Y244" i="10"/>
  <c r="Y246" i="10"/>
  <c r="Y249" i="10"/>
  <c r="Y252" i="10"/>
  <c r="Y256" i="10"/>
  <c r="Y245" i="10"/>
  <c r="Y248" i="10"/>
  <c r="Y253" i="10"/>
  <c r="Y255" i="10"/>
  <c r="G248" i="12"/>
  <c r="AM251" i="12"/>
  <c r="AG252" i="12"/>
  <c r="N252" i="13" s="1"/>
  <c r="S252" i="13" s="1"/>
  <c r="N252" i="5" s="1"/>
  <c r="AK252" i="12"/>
  <c r="AL252" i="12" s="1"/>
  <c r="I248" i="13"/>
  <c r="M248" i="13" s="1"/>
  <c r="F248" i="5" s="1"/>
  <c r="AA248" i="5" s="1"/>
  <c r="I246" i="13"/>
  <c r="M246" i="13" s="1"/>
  <c r="F246" i="5" s="1"/>
  <c r="AA246" i="5" s="1"/>
  <c r="AG243" i="12"/>
  <c r="N243" i="13" s="1"/>
  <c r="S243" i="13" s="1"/>
  <c r="N243" i="5" s="1"/>
  <c r="AG247" i="12"/>
  <c r="N247" i="13" s="1"/>
  <c r="S247" i="13" s="1"/>
  <c r="N247" i="5" s="1"/>
  <c r="AM244" i="12"/>
  <c r="AM247" i="12"/>
  <c r="AG246" i="12"/>
  <c r="N246" i="13" s="1"/>
  <c r="S246" i="13" s="1"/>
  <c r="N246" i="5" s="1"/>
  <c r="AM250" i="12"/>
  <c r="AG245" i="12"/>
  <c r="N245" i="13" s="1"/>
  <c r="S245" i="13" s="1"/>
  <c r="N245" i="5" s="1"/>
  <c r="Y243" i="10"/>
  <c r="H243" i="13"/>
  <c r="M243" i="13" s="1"/>
  <c r="F243" i="5" s="1"/>
  <c r="AA243" i="5" s="1"/>
  <c r="AL243" i="12"/>
  <c r="AM243" i="12"/>
  <c r="AL249" i="12"/>
  <c r="AK248" i="12"/>
  <c r="AL248" i="12" s="1"/>
  <c r="AM245" i="12"/>
  <c r="AM246" i="12"/>
  <c r="I249" i="13"/>
  <c r="M249" i="13" s="1"/>
  <c r="F249" i="5" s="1"/>
  <c r="AA249" i="5" s="1"/>
  <c r="I250" i="13"/>
  <c r="M250" i="13" s="1"/>
  <c r="F250" i="5" s="1"/>
  <c r="AA250" i="5" s="1"/>
  <c r="Z244" i="10" l="1"/>
  <c r="AA244" i="10" s="1"/>
  <c r="H244" i="5" s="1"/>
  <c r="Z247" i="10"/>
  <c r="AA247" i="10" s="1"/>
  <c r="H247" i="5" s="1"/>
  <c r="Z251" i="10"/>
  <c r="AA251" i="10" s="1"/>
  <c r="H251" i="5" s="1"/>
  <c r="AM248" i="12"/>
  <c r="Z246" i="10"/>
  <c r="AA246" i="10" s="1"/>
  <c r="H246" i="5" s="1"/>
  <c r="Z254" i="10"/>
  <c r="AA254" i="10" s="1"/>
  <c r="H254" i="5" s="1"/>
  <c r="Z245" i="10"/>
  <c r="AA245" i="10" s="1"/>
  <c r="H245" i="5" s="1"/>
  <c r="Z243" i="10"/>
  <c r="AA243" i="10" s="1"/>
  <c r="H243" i="5" s="1"/>
  <c r="Z250" i="10"/>
  <c r="AA250" i="10" s="1"/>
  <c r="H250" i="5" s="1"/>
  <c r="Z249" i="10"/>
  <c r="AA249" i="10" s="1"/>
  <c r="H249" i="5" s="1"/>
  <c r="Z248" i="10"/>
  <c r="AA248" i="10" s="1"/>
  <c r="H248" i="5" s="1"/>
  <c r="Z253" i="10"/>
  <c r="AA253" i="10" s="1"/>
  <c r="H253" i="5" s="1"/>
  <c r="AM255" i="12"/>
  <c r="Z256" i="10"/>
  <c r="AA256" i="10" s="1"/>
  <c r="H256" i="5" s="1"/>
  <c r="Z252" i="10"/>
  <c r="AA252" i="10" s="1"/>
  <c r="H252" i="5" s="1"/>
  <c r="G249" i="12"/>
  <c r="D250" i="5"/>
  <c r="AM254" i="12"/>
  <c r="Z255" i="10"/>
  <c r="AA255" i="10" s="1"/>
  <c r="AM252" i="12"/>
  <c r="D251" i="5" l="1"/>
  <c r="G250" i="12"/>
  <c r="Y250" i="5"/>
  <c r="H255" i="5"/>
  <c r="O210" i="13"/>
  <c r="G251" i="12" l="1"/>
  <c r="D252" i="5"/>
  <c r="Y251" i="5"/>
  <c r="M235" i="12"/>
  <c r="E15" i="9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124" i="13"/>
  <c r="O125" i="13"/>
  <c r="O126" i="13"/>
  <c r="O127" i="13"/>
  <c r="O128" i="13"/>
  <c r="O129" i="13"/>
  <c r="O130" i="13"/>
  <c r="O131" i="13"/>
  <c r="O132" i="13"/>
  <c r="O133" i="13"/>
  <c r="O134" i="13"/>
  <c r="O135" i="13"/>
  <c r="O136" i="13"/>
  <c r="O137" i="13"/>
  <c r="O138" i="13"/>
  <c r="O139" i="13"/>
  <c r="O140" i="13"/>
  <c r="O141" i="13"/>
  <c r="O142" i="13"/>
  <c r="O143" i="13"/>
  <c r="O144" i="13"/>
  <c r="O145" i="13"/>
  <c r="O146" i="13"/>
  <c r="O147" i="13"/>
  <c r="O148" i="13"/>
  <c r="O149" i="13"/>
  <c r="O150" i="13"/>
  <c r="O151" i="13"/>
  <c r="O152" i="13"/>
  <c r="O153" i="13"/>
  <c r="O154" i="13"/>
  <c r="O155" i="13"/>
  <c r="O156" i="13"/>
  <c r="O157" i="13"/>
  <c r="O158" i="13"/>
  <c r="O159" i="13"/>
  <c r="O160" i="13"/>
  <c r="O161" i="13"/>
  <c r="O162" i="13"/>
  <c r="O163" i="13"/>
  <c r="O164" i="13"/>
  <c r="O165" i="13"/>
  <c r="O166" i="13"/>
  <c r="O167" i="13"/>
  <c r="O168" i="13"/>
  <c r="O169" i="13"/>
  <c r="O170" i="13"/>
  <c r="O171" i="13"/>
  <c r="O172" i="13"/>
  <c r="O173" i="13"/>
  <c r="O174" i="13"/>
  <c r="O175" i="13"/>
  <c r="O176" i="13"/>
  <c r="O177" i="13"/>
  <c r="O178" i="13"/>
  <c r="O179" i="13"/>
  <c r="O180" i="13"/>
  <c r="O181" i="13"/>
  <c r="O182" i="13"/>
  <c r="O183" i="13"/>
  <c r="O184" i="13"/>
  <c r="O185" i="13"/>
  <c r="O186" i="13"/>
  <c r="O187" i="13"/>
  <c r="O188" i="13"/>
  <c r="O189" i="13"/>
  <c r="O190" i="13"/>
  <c r="O191" i="13"/>
  <c r="O192" i="13"/>
  <c r="O193" i="13"/>
  <c r="O194" i="13"/>
  <c r="O195" i="13"/>
  <c r="O196" i="13"/>
  <c r="O197" i="13"/>
  <c r="O198" i="13"/>
  <c r="O199" i="13"/>
  <c r="O200" i="13"/>
  <c r="O201" i="13"/>
  <c r="O202" i="13"/>
  <c r="O203" i="13"/>
  <c r="O204" i="13"/>
  <c r="O205" i="13"/>
  <c r="O206" i="13"/>
  <c r="O207" i="13"/>
  <c r="O208" i="13"/>
  <c r="O209" i="13"/>
  <c r="O211" i="13"/>
  <c r="O212" i="13"/>
  <c r="O213" i="13"/>
  <c r="O214" i="13"/>
  <c r="O215" i="13"/>
  <c r="O216" i="13"/>
  <c r="O217" i="13"/>
  <c r="O218" i="13"/>
  <c r="O219" i="13"/>
  <c r="O220" i="13"/>
  <c r="O221" i="13"/>
  <c r="O222" i="13"/>
  <c r="O223" i="13"/>
  <c r="O224" i="13"/>
  <c r="O225" i="13"/>
  <c r="O226" i="13"/>
  <c r="O227" i="13"/>
  <c r="O228" i="13"/>
  <c r="O229" i="13"/>
  <c r="O230" i="13"/>
  <c r="O231" i="13"/>
  <c r="O232" i="13"/>
  <c r="O233" i="13"/>
  <c r="O234" i="13"/>
  <c r="O235" i="13"/>
  <c r="O236" i="13"/>
  <c r="O237" i="13"/>
  <c r="O238" i="13"/>
  <c r="O239" i="13"/>
  <c r="O240" i="13"/>
  <c r="O241" i="13"/>
  <c r="O242" i="13"/>
  <c r="O51" i="13"/>
  <c r="B14" i="5"/>
  <c r="AA242" i="13"/>
  <c r="AA241" i="13"/>
  <c r="AA240" i="13"/>
  <c r="AA239" i="13"/>
  <c r="AA238" i="13"/>
  <c r="AA237" i="13"/>
  <c r="AA236" i="13"/>
  <c r="AA235" i="13"/>
  <c r="AA234" i="13"/>
  <c r="AA233" i="13"/>
  <c r="AA232" i="13"/>
  <c r="W232" i="13"/>
  <c r="W233" i="13"/>
  <c r="W234" i="13"/>
  <c r="W235" i="13"/>
  <c r="W236" i="13"/>
  <c r="W237" i="13"/>
  <c r="W238" i="13"/>
  <c r="W239" i="13"/>
  <c r="W240" i="13"/>
  <c r="W241" i="13"/>
  <c r="W242" i="13"/>
  <c r="AG232" i="13"/>
  <c r="I232" i="13" s="1"/>
  <c r="AG233" i="13"/>
  <c r="H233" i="13" s="1"/>
  <c r="AG234" i="13"/>
  <c r="I234" i="13" s="1"/>
  <c r="AG235" i="13"/>
  <c r="I235" i="13" s="1"/>
  <c r="AG236" i="13"/>
  <c r="I236" i="13" s="1"/>
  <c r="AG237" i="13"/>
  <c r="H237" i="13" s="1"/>
  <c r="AG238" i="13"/>
  <c r="I238" i="13" s="1"/>
  <c r="AG239" i="13"/>
  <c r="I239" i="13" s="1"/>
  <c r="AG240" i="13"/>
  <c r="I240" i="13" s="1"/>
  <c r="AG241" i="13"/>
  <c r="H241" i="13" s="1"/>
  <c r="AG242" i="13"/>
  <c r="H242" i="13" s="1"/>
  <c r="C232" i="13"/>
  <c r="C233" i="13"/>
  <c r="C234" i="13"/>
  <c r="C235" i="13"/>
  <c r="C236" i="13"/>
  <c r="C237" i="13"/>
  <c r="C238" i="13"/>
  <c r="C239" i="13"/>
  <c r="C240" i="13"/>
  <c r="C241" i="13"/>
  <c r="C242" i="13"/>
  <c r="B232" i="13"/>
  <c r="B233" i="13"/>
  <c r="B234" i="13"/>
  <c r="B235" i="13"/>
  <c r="B236" i="13"/>
  <c r="B237" i="13"/>
  <c r="B238" i="13"/>
  <c r="B239" i="13"/>
  <c r="B240" i="13"/>
  <c r="B241" i="13"/>
  <c r="B242" i="13"/>
  <c r="A232" i="13"/>
  <c r="A233" i="13"/>
  <c r="A234" i="13"/>
  <c r="A235" i="13"/>
  <c r="A236" i="13"/>
  <c r="A237" i="13"/>
  <c r="A238" i="13"/>
  <c r="A239" i="13"/>
  <c r="A240" i="13"/>
  <c r="A241" i="13"/>
  <c r="A242" i="13"/>
  <c r="AO231" i="10"/>
  <c r="N231" i="10" s="1"/>
  <c r="AO232" i="10"/>
  <c r="N232" i="10" s="1"/>
  <c r="AO233" i="10"/>
  <c r="N233" i="10" s="1"/>
  <c r="AO234" i="10"/>
  <c r="N234" i="10" s="1"/>
  <c r="AO235" i="10"/>
  <c r="N235" i="10" s="1"/>
  <c r="AO236" i="10"/>
  <c r="N236" i="10" s="1"/>
  <c r="AO237" i="10"/>
  <c r="N237" i="10" s="1"/>
  <c r="AO238" i="10"/>
  <c r="N238" i="10" s="1"/>
  <c r="AO239" i="10"/>
  <c r="N239" i="10" s="1"/>
  <c r="AO240" i="10"/>
  <c r="N240" i="10" s="1"/>
  <c r="AO241" i="10"/>
  <c r="N241" i="10" s="1"/>
  <c r="AO242" i="10"/>
  <c r="N242" i="10" s="1"/>
  <c r="AK231" i="10"/>
  <c r="AL231" i="10"/>
  <c r="AK232" i="10"/>
  <c r="R232" i="10" s="1"/>
  <c r="AL232" i="10"/>
  <c r="J232" i="10" s="1"/>
  <c r="AK233" i="10"/>
  <c r="R233" i="10" s="1"/>
  <c r="AL233" i="10"/>
  <c r="J233" i="10" s="1"/>
  <c r="AK234" i="10"/>
  <c r="AL234" i="10"/>
  <c r="J234" i="10" s="1"/>
  <c r="AK235" i="10"/>
  <c r="R235" i="10" s="1"/>
  <c r="AL235" i="10"/>
  <c r="J235" i="10" s="1"/>
  <c r="AK236" i="10"/>
  <c r="R236" i="10" s="1"/>
  <c r="AL236" i="10"/>
  <c r="J236" i="10" s="1"/>
  <c r="AK237" i="10"/>
  <c r="R237" i="10" s="1"/>
  <c r="AL237" i="10"/>
  <c r="AK238" i="10"/>
  <c r="R238" i="10" s="1"/>
  <c r="AL238" i="10"/>
  <c r="AK239" i="10"/>
  <c r="R239" i="10" s="1"/>
  <c r="AL239" i="10"/>
  <c r="J239" i="10" s="1"/>
  <c r="AK240" i="10"/>
  <c r="R240" i="10" s="1"/>
  <c r="AL240" i="10"/>
  <c r="J240" i="10" s="1"/>
  <c r="AK241" i="10"/>
  <c r="R241" i="10" s="1"/>
  <c r="AL241" i="10"/>
  <c r="J241" i="10" s="1"/>
  <c r="AK242" i="10"/>
  <c r="R242" i="10" s="1"/>
  <c r="AL242" i="10"/>
  <c r="J242" i="10" s="1"/>
  <c r="T232" i="10"/>
  <c r="T233" i="10"/>
  <c r="T234" i="10"/>
  <c r="T235" i="10"/>
  <c r="T236" i="10"/>
  <c r="T237" i="10"/>
  <c r="T238" i="10"/>
  <c r="T239" i="10"/>
  <c r="T240" i="10"/>
  <c r="T241" i="10"/>
  <c r="T242" i="10"/>
  <c r="S232" i="10"/>
  <c r="S233" i="10"/>
  <c r="S234" i="10"/>
  <c r="S235" i="10"/>
  <c r="S236" i="10"/>
  <c r="S237" i="10"/>
  <c r="S238" i="10"/>
  <c r="S239" i="10"/>
  <c r="S240" i="10"/>
  <c r="S241" i="10"/>
  <c r="S242" i="10"/>
  <c r="R234" i="10"/>
  <c r="K232" i="10"/>
  <c r="K233" i="10"/>
  <c r="K234" i="10"/>
  <c r="K235" i="10"/>
  <c r="K236" i="10"/>
  <c r="K237" i="10"/>
  <c r="K238" i="10"/>
  <c r="K239" i="10"/>
  <c r="K240" i="10"/>
  <c r="K241" i="10"/>
  <c r="K242" i="10"/>
  <c r="J237" i="10"/>
  <c r="J238" i="10"/>
  <c r="I232" i="10"/>
  <c r="I233" i="10"/>
  <c r="I234" i="10"/>
  <c r="I235" i="10"/>
  <c r="I236" i="10"/>
  <c r="I237" i="10"/>
  <c r="I238" i="10"/>
  <c r="I239" i="10"/>
  <c r="I240" i="10"/>
  <c r="I241" i="10"/>
  <c r="I242" i="10"/>
  <c r="D232" i="10"/>
  <c r="D233" i="10"/>
  <c r="D234" i="10"/>
  <c r="D235" i="10"/>
  <c r="D236" i="10"/>
  <c r="D237" i="10"/>
  <c r="D238" i="10"/>
  <c r="D239" i="10"/>
  <c r="D240" i="10"/>
  <c r="D241" i="10"/>
  <c r="D242" i="10"/>
  <c r="AD231" i="12"/>
  <c r="AE231" i="12"/>
  <c r="AF231" i="12"/>
  <c r="AD232" i="12"/>
  <c r="AK232" i="12" s="1"/>
  <c r="AL232" i="12" s="1"/>
  <c r="AE232" i="12"/>
  <c r="AF232" i="12"/>
  <c r="AD233" i="12"/>
  <c r="AK233" i="12" s="1"/>
  <c r="AL233" i="12" s="1"/>
  <c r="AE233" i="12"/>
  <c r="AF233" i="12"/>
  <c r="AD234" i="12"/>
  <c r="AK234" i="12" s="1"/>
  <c r="AL234" i="12" s="1"/>
  <c r="AE234" i="12"/>
  <c r="AF234" i="12"/>
  <c r="AD235" i="12"/>
  <c r="AK235" i="12" s="1"/>
  <c r="AL235" i="12" s="1"/>
  <c r="AE235" i="12"/>
  <c r="AF235" i="12"/>
  <c r="AD236" i="12"/>
  <c r="AE236" i="12"/>
  <c r="AF236" i="12"/>
  <c r="AD237" i="12"/>
  <c r="AK237" i="12" s="1"/>
  <c r="AE237" i="12"/>
  <c r="AF237" i="12"/>
  <c r="AD238" i="12"/>
  <c r="AE238" i="12"/>
  <c r="AF238" i="12"/>
  <c r="AD239" i="12"/>
  <c r="AK239" i="12" s="1"/>
  <c r="AL239" i="12" s="1"/>
  <c r="AE239" i="12"/>
  <c r="AF239" i="12"/>
  <c r="AD240" i="12"/>
  <c r="AK240" i="12" s="1"/>
  <c r="AL240" i="12" s="1"/>
  <c r="AE240" i="12"/>
  <c r="AF240" i="12"/>
  <c r="AD241" i="12"/>
  <c r="AK241" i="12" s="1"/>
  <c r="AL241" i="12" s="1"/>
  <c r="AE241" i="12"/>
  <c r="AF241" i="12"/>
  <c r="AD242" i="12"/>
  <c r="AE242" i="12"/>
  <c r="AF242" i="12"/>
  <c r="AA226" i="12"/>
  <c r="AA227" i="12"/>
  <c r="AA228" i="12"/>
  <c r="AA229" i="12"/>
  <c r="AA230" i="12"/>
  <c r="AA231" i="12"/>
  <c r="AA232" i="12"/>
  <c r="AA233" i="12"/>
  <c r="AA234" i="12"/>
  <c r="AA235" i="12"/>
  <c r="AA236" i="12"/>
  <c r="AA237" i="12"/>
  <c r="AA238" i="12"/>
  <c r="AA239" i="12"/>
  <c r="AA240" i="12"/>
  <c r="AA241" i="12"/>
  <c r="AA242" i="12"/>
  <c r="W232" i="12"/>
  <c r="W233" i="12"/>
  <c r="W234" i="12"/>
  <c r="W235" i="12"/>
  <c r="W236" i="12"/>
  <c r="W237" i="12"/>
  <c r="W238" i="12"/>
  <c r="W239" i="12"/>
  <c r="W240" i="12"/>
  <c r="W241" i="12"/>
  <c r="W242" i="12"/>
  <c r="S232" i="12"/>
  <c r="S233" i="12"/>
  <c r="S234" i="12"/>
  <c r="S235" i="12"/>
  <c r="S236" i="12"/>
  <c r="S237" i="12"/>
  <c r="S238" i="12"/>
  <c r="S239" i="12"/>
  <c r="S240" i="12"/>
  <c r="S241" i="12"/>
  <c r="S242" i="12"/>
  <c r="M232" i="12"/>
  <c r="M233" i="12"/>
  <c r="M234" i="12"/>
  <c r="M236" i="12"/>
  <c r="M237" i="12"/>
  <c r="M238" i="12"/>
  <c r="M239" i="12"/>
  <c r="M240" i="12"/>
  <c r="M241" i="12"/>
  <c r="N232" i="9"/>
  <c r="N233" i="9"/>
  <c r="Y232" i="5"/>
  <c r="Z232" i="5"/>
  <c r="Y233" i="5"/>
  <c r="Z233" i="5"/>
  <c r="Y234" i="5"/>
  <c r="Z234" i="5"/>
  <c r="Y235" i="5"/>
  <c r="Z235" i="5"/>
  <c r="Y236" i="5"/>
  <c r="Z236" i="5"/>
  <c r="Y237" i="5"/>
  <c r="Z237" i="5"/>
  <c r="Y238" i="5"/>
  <c r="Z238" i="5"/>
  <c r="Y239" i="5"/>
  <c r="Z239" i="5"/>
  <c r="Y240" i="5"/>
  <c r="Z240" i="5"/>
  <c r="Y241" i="5"/>
  <c r="Z241" i="5"/>
  <c r="Y242" i="5"/>
  <c r="Z242" i="5"/>
  <c r="J232" i="5"/>
  <c r="J233" i="5"/>
  <c r="J234" i="5"/>
  <c r="J235" i="5"/>
  <c r="J236" i="5"/>
  <c r="J237" i="5"/>
  <c r="J238" i="5"/>
  <c r="J239" i="5"/>
  <c r="J240" i="5"/>
  <c r="J241" i="5"/>
  <c r="J242" i="5"/>
  <c r="G232" i="5"/>
  <c r="G233" i="5"/>
  <c r="G234" i="5"/>
  <c r="G235" i="5"/>
  <c r="G236" i="5"/>
  <c r="G237" i="5"/>
  <c r="G238" i="5"/>
  <c r="G239" i="5"/>
  <c r="G240" i="5"/>
  <c r="G241" i="5"/>
  <c r="G242" i="5"/>
  <c r="AG231" i="13"/>
  <c r="H231" i="13" s="1"/>
  <c r="X13" i="5" l="1"/>
  <c r="G13" i="5"/>
  <c r="T13" i="5" s="1"/>
  <c r="P242" i="10"/>
  <c r="P241" i="10"/>
  <c r="P240" i="10"/>
  <c r="Y237" i="10"/>
  <c r="P239" i="10"/>
  <c r="P238" i="10"/>
  <c r="D253" i="5"/>
  <c r="Y252" i="5"/>
  <c r="G252" i="12"/>
  <c r="Y241" i="10"/>
  <c r="Y236" i="10"/>
  <c r="Y232" i="10"/>
  <c r="Y239" i="10"/>
  <c r="AK242" i="12"/>
  <c r="AL242" i="12" s="1"/>
  <c r="AG238" i="12"/>
  <c r="N238" i="13" s="1"/>
  <c r="S238" i="13" s="1"/>
  <c r="N238" i="5" s="1"/>
  <c r="AK238" i="12"/>
  <c r="AL238" i="12" s="1"/>
  <c r="AK236" i="12"/>
  <c r="AL236" i="12" s="1"/>
  <c r="Y240" i="10"/>
  <c r="Y238" i="10"/>
  <c r="Y233" i="10"/>
  <c r="Y234" i="10"/>
  <c r="Y242" i="10"/>
  <c r="Y235" i="10"/>
  <c r="G15" i="10"/>
  <c r="G15" i="12"/>
  <c r="AM237" i="12"/>
  <c r="AL237" i="12"/>
  <c r="AG239" i="12"/>
  <c r="N239" i="13" s="1"/>
  <c r="S239" i="13" s="1"/>
  <c r="N239" i="5" s="1"/>
  <c r="AG231" i="12"/>
  <c r="AM239" i="12"/>
  <c r="AM235" i="12"/>
  <c r="AG237" i="12"/>
  <c r="N237" i="13" s="1"/>
  <c r="S237" i="13" s="1"/>
  <c r="N237" i="5" s="1"/>
  <c r="P237" i="10"/>
  <c r="H239" i="13"/>
  <c r="M239" i="13" s="1"/>
  <c r="F239" i="5" s="1"/>
  <c r="AA239" i="5" s="1"/>
  <c r="H235" i="13"/>
  <c r="M235" i="13" s="1"/>
  <c r="F235" i="5" s="1"/>
  <c r="AA235" i="5" s="1"/>
  <c r="H234" i="13"/>
  <c r="M234" i="13" s="1"/>
  <c r="F234" i="5" s="1"/>
  <c r="AA234" i="5" s="1"/>
  <c r="I237" i="13"/>
  <c r="M237" i="13" s="1"/>
  <c r="F237" i="5" s="1"/>
  <c r="AA237" i="5" s="1"/>
  <c r="I242" i="13"/>
  <c r="M242" i="13" s="1"/>
  <c r="F242" i="5" s="1"/>
  <c r="AA242" i="5" s="1"/>
  <c r="I233" i="13"/>
  <c r="M233" i="13" s="1"/>
  <c r="H236" i="13"/>
  <c r="M236" i="13" s="1"/>
  <c r="F236" i="5" s="1"/>
  <c r="AA236" i="5" s="1"/>
  <c r="H240" i="13"/>
  <c r="M240" i="13" s="1"/>
  <c r="F240" i="5" s="1"/>
  <c r="AA240" i="5" s="1"/>
  <c r="H232" i="13"/>
  <c r="H238" i="13"/>
  <c r="M238" i="13" s="1"/>
  <c r="F238" i="5" s="1"/>
  <c r="AA238" i="5" s="1"/>
  <c r="I241" i="13"/>
  <c r="M241" i="13" s="1"/>
  <c r="F241" i="5" s="1"/>
  <c r="AA241" i="5" s="1"/>
  <c r="P235" i="10"/>
  <c r="P233" i="10"/>
  <c r="P236" i="10"/>
  <c r="P234" i="10"/>
  <c r="P232" i="10"/>
  <c r="AM234" i="12"/>
  <c r="AM241" i="12"/>
  <c r="AM233" i="12"/>
  <c r="AM240" i="12"/>
  <c r="AM232" i="12"/>
  <c r="AG236" i="12"/>
  <c r="N236" i="13" s="1"/>
  <c r="S236" i="13" s="1"/>
  <c r="N236" i="5" s="1"/>
  <c r="AG241" i="12"/>
  <c r="N241" i="13" s="1"/>
  <c r="S241" i="13" s="1"/>
  <c r="N241" i="5" s="1"/>
  <c r="AG233" i="12"/>
  <c r="N233" i="13" s="1"/>
  <c r="S233" i="13" s="1"/>
  <c r="N233" i="5" s="1"/>
  <c r="AG235" i="12"/>
  <c r="N235" i="13" s="1"/>
  <c r="S235" i="13" s="1"/>
  <c r="N235" i="5" s="1"/>
  <c r="AG240" i="12"/>
  <c r="N240" i="13" s="1"/>
  <c r="S240" i="13" s="1"/>
  <c r="N240" i="5" s="1"/>
  <c r="AG232" i="12"/>
  <c r="N232" i="13" s="1"/>
  <c r="S232" i="13" s="1"/>
  <c r="N232" i="5" s="1"/>
  <c r="AG242" i="12"/>
  <c r="N242" i="13" s="1"/>
  <c r="S242" i="13" s="1"/>
  <c r="N242" i="5" s="1"/>
  <c r="AG234" i="12"/>
  <c r="N234" i="13" s="1"/>
  <c r="S234" i="13" s="1"/>
  <c r="N234" i="5" s="1"/>
  <c r="I231" i="13"/>
  <c r="AK231" i="12"/>
  <c r="AL231" i="12" s="1"/>
  <c r="Z241" i="10" l="1"/>
  <c r="AA241" i="10" s="1"/>
  <c r="H241" i="5" s="1"/>
  <c r="Z235" i="10"/>
  <c r="AA235" i="10" s="1"/>
  <c r="M232" i="13"/>
  <c r="F233" i="5"/>
  <c r="AA233" i="5" s="1"/>
  <c r="Z242" i="10"/>
  <c r="AA242" i="10" s="1"/>
  <c r="Z237" i="10"/>
  <c r="AA237" i="10" s="1"/>
  <c r="H237" i="5" s="1"/>
  <c r="Z232" i="10"/>
  <c r="AA232" i="10" s="1"/>
  <c r="H232" i="5" s="1"/>
  <c r="D254" i="5"/>
  <c r="G253" i="12"/>
  <c r="Y253" i="5"/>
  <c r="Z236" i="10"/>
  <c r="AA236" i="10" s="1"/>
  <c r="H236" i="5" s="1"/>
  <c r="Z239" i="10"/>
  <c r="AA239" i="10" s="1"/>
  <c r="H239" i="5" s="1"/>
  <c r="Z238" i="10"/>
  <c r="AA238" i="10" s="1"/>
  <c r="H238" i="5" s="1"/>
  <c r="Z234" i="10"/>
  <c r="AA234" i="10" s="1"/>
  <c r="H234" i="5" s="1"/>
  <c r="Z240" i="10"/>
  <c r="AA240" i="10" s="1"/>
  <c r="H240" i="5" s="1"/>
  <c r="Z233" i="10"/>
  <c r="AA233" i="10" s="1"/>
  <c r="H233" i="5" s="1"/>
  <c r="AM238" i="12"/>
  <c r="AM236" i="12"/>
  <c r="AM242" i="12"/>
  <c r="D25" i="14"/>
  <c r="D14" i="14"/>
  <c r="H235" i="5"/>
  <c r="H242" i="5"/>
  <c r="AM231" i="12"/>
  <c r="H13" i="5" l="1"/>
  <c r="F232" i="5"/>
  <c r="G254" i="12"/>
  <c r="D255" i="5"/>
  <c r="Y254" i="5"/>
  <c r="Z230" i="5"/>
  <c r="Z231" i="5"/>
  <c r="J231" i="5"/>
  <c r="G231" i="5"/>
  <c r="W231" i="9"/>
  <c r="N231" i="9"/>
  <c r="T231" i="10"/>
  <c r="S231" i="10"/>
  <c r="R231" i="10"/>
  <c r="K231" i="10"/>
  <c r="J231" i="10"/>
  <c r="I231" i="10"/>
  <c r="D231" i="10"/>
  <c r="W231" i="12"/>
  <c r="S231" i="12"/>
  <c r="M231" i="12"/>
  <c r="D231" i="12"/>
  <c r="AA231" i="13"/>
  <c r="W231" i="13"/>
  <c r="N231" i="13"/>
  <c r="S231" i="13" s="1"/>
  <c r="M231" i="13"/>
  <c r="C231" i="13"/>
  <c r="B231" i="13"/>
  <c r="A231" i="13"/>
  <c r="AG230" i="13"/>
  <c r="I230" i="13" s="1"/>
  <c r="AA230" i="13"/>
  <c r="W230" i="13"/>
  <c r="C230" i="13"/>
  <c r="B230" i="13"/>
  <c r="A230" i="13"/>
  <c r="AG229" i="13"/>
  <c r="I229" i="13" s="1"/>
  <c r="AA229" i="13"/>
  <c r="W229" i="13"/>
  <c r="C229" i="13"/>
  <c r="B229" i="13"/>
  <c r="A229" i="13"/>
  <c r="AG228" i="13"/>
  <c r="I228" i="13" s="1"/>
  <c r="AA228" i="13"/>
  <c r="W228" i="13"/>
  <c r="C228" i="13"/>
  <c r="B228" i="13"/>
  <c r="A228" i="13"/>
  <c r="AG227" i="13"/>
  <c r="I227" i="13" s="1"/>
  <c r="AA227" i="13"/>
  <c r="W227" i="13"/>
  <c r="C227" i="13"/>
  <c r="B227" i="13"/>
  <c r="A227" i="13"/>
  <c r="AD227" i="12"/>
  <c r="AK227" i="12" s="1"/>
  <c r="AL227" i="12" s="1"/>
  <c r="AE227" i="12"/>
  <c r="AF227" i="12"/>
  <c r="AD228" i="12"/>
  <c r="AK228" i="12" s="1"/>
  <c r="AL228" i="12" s="1"/>
  <c r="AE228" i="12"/>
  <c r="AF228" i="12"/>
  <c r="AD229" i="12"/>
  <c r="AE229" i="12"/>
  <c r="AF229" i="12"/>
  <c r="AD230" i="12"/>
  <c r="AK230" i="12" s="1"/>
  <c r="AL230" i="12" s="1"/>
  <c r="AE230" i="12"/>
  <c r="AF230" i="12"/>
  <c r="AA225" i="12"/>
  <c r="W226" i="12"/>
  <c r="W227" i="12"/>
  <c r="W228" i="12"/>
  <c r="W229" i="12"/>
  <c r="W230" i="12"/>
  <c r="S226" i="12"/>
  <c r="S227" i="12"/>
  <c r="S228" i="12"/>
  <c r="S229" i="12"/>
  <c r="S230" i="12"/>
  <c r="M226" i="12"/>
  <c r="M227" i="12"/>
  <c r="M228" i="12"/>
  <c r="M229" i="12"/>
  <c r="M230" i="12"/>
  <c r="Z227" i="5"/>
  <c r="Z228" i="5"/>
  <c r="Z229" i="5"/>
  <c r="J230" i="5"/>
  <c r="G230" i="5"/>
  <c r="J229" i="5"/>
  <c r="G229" i="5"/>
  <c r="J228" i="5"/>
  <c r="G228" i="5"/>
  <c r="J227" i="5"/>
  <c r="G227" i="5"/>
  <c r="D227" i="12"/>
  <c r="D228" i="12"/>
  <c r="D229" i="12"/>
  <c r="D230" i="12"/>
  <c r="AO230" i="10"/>
  <c r="N230" i="10" s="1"/>
  <c r="AL230" i="10"/>
  <c r="J230" i="10" s="1"/>
  <c r="AK230" i="10"/>
  <c r="R230" i="10" s="1"/>
  <c r="T230" i="10"/>
  <c r="S230" i="10"/>
  <c r="K230" i="10"/>
  <c r="I230" i="10"/>
  <c r="AO229" i="10"/>
  <c r="N229" i="10" s="1"/>
  <c r="AL229" i="10"/>
  <c r="J229" i="10" s="1"/>
  <c r="AK229" i="10"/>
  <c r="R229" i="10" s="1"/>
  <c r="T229" i="10"/>
  <c r="S229" i="10"/>
  <c r="K229" i="10"/>
  <c r="I229" i="10"/>
  <c r="AO228" i="10"/>
  <c r="N228" i="10" s="1"/>
  <c r="AL228" i="10"/>
  <c r="J228" i="10" s="1"/>
  <c r="AK228" i="10"/>
  <c r="R228" i="10" s="1"/>
  <c r="T228" i="10"/>
  <c r="S228" i="10"/>
  <c r="K228" i="10"/>
  <c r="I228" i="10"/>
  <c r="AO227" i="10"/>
  <c r="N227" i="10" s="1"/>
  <c r="AL227" i="10"/>
  <c r="J227" i="10" s="1"/>
  <c r="AK227" i="10"/>
  <c r="R227" i="10" s="1"/>
  <c r="T227" i="10"/>
  <c r="S227" i="10"/>
  <c r="K227" i="10"/>
  <c r="I227" i="10"/>
  <c r="D230" i="10"/>
  <c r="D229" i="10"/>
  <c r="D228" i="10"/>
  <c r="D227" i="10"/>
  <c r="W203" i="9"/>
  <c r="W204" i="9"/>
  <c r="W205" i="9"/>
  <c r="W206" i="9"/>
  <c r="W207" i="9"/>
  <c r="W208" i="9"/>
  <c r="W209" i="9"/>
  <c r="W210" i="9"/>
  <c r="W211" i="9"/>
  <c r="W212" i="9"/>
  <c r="W213" i="9"/>
  <c r="W214" i="9"/>
  <c r="W215" i="9"/>
  <c r="W216" i="9"/>
  <c r="W217" i="9"/>
  <c r="W218" i="9"/>
  <c r="W219" i="9"/>
  <c r="W220" i="9"/>
  <c r="W221" i="9"/>
  <c r="W222" i="9"/>
  <c r="W223" i="9"/>
  <c r="W224" i="9"/>
  <c r="W225" i="9"/>
  <c r="W226" i="9"/>
  <c r="W227" i="9"/>
  <c r="W228" i="9"/>
  <c r="W229" i="9"/>
  <c r="W230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M207" i="12"/>
  <c r="M208" i="12"/>
  <c r="M209" i="12"/>
  <c r="M210" i="12"/>
  <c r="M211" i="12"/>
  <c r="M212" i="12"/>
  <c r="M213" i="12"/>
  <c r="M214" i="12"/>
  <c r="M215" i="12"/>
  <c r="M216" i="12"/>
  <c r="M217" i="12"/>
  <c r="M218" i="12"/>
  <c r="M219" i="12"/>
  <c r="M220" i="12"/>
  <c r="M221" i="12"/>
  <c r="M222" i="12"/>
  <c r="M223" i="12"/>
  <c r="M224" i="12"/>
  <c r="M225" i="12"/>
  <c r="M205" i="12"/>
  <c r="M206" i="12"/>
  <c r="M204" i="12"/>
  <c r="M203" i="12"/>
  <c r="M202" i="12"/>
  <c r="Z222" i="5"/>
  <c r="Z223" i="5"/>
  <c r="Z224" i="5"/>
  <c r="Z225" i="5"/>
  <c r="Z226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I222" i="10"/>
  <c r="K222" i="10"/>
  <c r="S222" i="10"/>
  <c r="T222" i="10"/>
  <c r="AK222" i="10"/>
  <c r="R222" i="10" s="1"/>
  <c r="AL222" i="10"/>
  <c r="J222" i="10" s="1"/>
  <c r="AO222" i="10"/>
  <c r="N222" i="10" s="1"/>
  <c r="I223" i="10"/>
  <c r="K223" i="10"/>
  <c r="S223" i="10"/>
  <c r="T223" i="10"/>
  <c r="AK223" i="10"/>
  <c r="R223" i="10" s="1"/>
  <c r="AL223" i="10"/>
  <c r="J223" i="10" s="1"/>
  <c r="AO223" i="10"/>
  <c r="N223" i="10" s="1"/>
  <c r="I224" i="10"/>
  <c r="K224" i="10"/>
  <c r="S224" i="10"/>
  <c r="T224" i="10"/>
  <c r="AK224" i="10"/>
  <c r="R224" i="10" s="1"/>
  <c r="AL224" i="10"/>
  <c r="J224" i="10" s="1"/>
  <c r="AO224" i="10"/>
  <c r="N224" i="10" s="1"/>
  <c r="I225" i="10"/>
  <c r="K225" i="10"/>
  <c r="S225" i="10"/>
  <c r="T225" i="10"/>
  <c r="AK225" i="10"/>
  <c r="R225" i="10" s="1"/>
  <c r="AL225" i="10"/>
  <c r="J225" i="10" s="1"/>
  <c r="AO225" i="10"/>
  <c r="N225" i="10" s="1"/>
  <c r="I226" i="10"/>
  <c r="K226" i="10"/>
  <c r="S226" i="10"/>
  <c r="T226" i="10"/>
  <c r="AK226" i="10"/>
  <c r="R226" i="10" s="1"/>
  <c r="AL226" i="10"/>
  <c r="J226" i="10" s="1"/>
  <c r="AO226" i="10"/>
  <c r="N226" i="10" s="1"/>
  <c r="W222" i="13"/>
  <c r="AG222" i="13"/>
  <c r="I222" i="13" s="1"/>
  <c r="W223" i="13"/>
  <c r="AG223" i="13"/>
  <c r="H223" i="13" s="1"/>
  <c r="W224" i="13"/>
  <c r="AG224" i="13"/>
  <c r="H224" i="13" s="1"/>
  <c r="W225" i="13"/>
  <c r="AG225" i="13"/>
  <c r="H225" i="13" s="1"/>
  <c r="W226" i="13"/>
  <c r="AG226" i="13"/>
  <c r="H226" i="13" s="1"/>
  <c r="AD221" i="12"/>
  <c r="AE221" i="12"/>
  <c r="AF221" i="12"/>
  <c r="AD222" i="12"/>
  <c r="AK222" i="12" s="1"/>
  <c r="AM222" i="12" s="1"/>
  <c r="AE222" i="12"/>
  <c r="AF222" i="12"/>
  <c r="AD223" i="12"/>
  <c r="AK223" i="12" s="1"/>
  <c r="AE223" i="12"/>
  <c r="AF223" i="12"/>
  <c r="AD224" i="12"/>
  <c r="AE224" i="12"/>
  <c r="AF224" i="12"/>
  <c r="AD225" i="12"/>
  <c r="AK225" i="12" s="1"/>
  <c r="AL225" i="12" s="1"/>
  <c r="AE225" i="12"/>
  <c r="AF225" i="12"/>
  <c r="AD226" i="12"/>
  <c r="AK226" i="12" s="1"/>
  <c r="AE226" i="12"/>
  <c r="AF226" i="12"/>
  <c r="AA191" i="12"/>
  <c r="AA192" i="12"/>
  <c r="AA193" i="12"/>
  <c r="AA194" i="12"/>
  <c r="AA195" i="12"/>
  <c r="AA196" i="12"/>
  <c r="AA197" i="12"/>
  <c r="AA198" i="12"/>
  <c r="AA199" i="12"/>
  <c r="AA200" i="12"/>
  <c r="AA201" i="12"/>
  <c r="AA202" i="12"/>
  <c r="AA203" i="12"/>
  <c r="AA204" i="12"/>
  <c r="AA205" i="12"/>
  <c r="AA206" i="12"/>
  <c r="AA207" i="12"/>
  <c r="AA208" i="12"/>
  <c r="AA209" i="12"/>
  <c r="AA210" i="12"/>
  <c r="AA211" i="12"/>
  <c r="AA212" i="12"/>
  <c r="AA213" i="12"/>
  <c r="AA214" i="12"/>
  <c r="AA215" i="12"/>
  <c r="AA216" i="12"/>
  <c r="AA217" i="12"/>
  <c r="AA218" i="12"/>
  <c r="AA219" i="12"/>
  <c r="AA220" i="12"/>
  <c r="AA221" i="12"/>
  <c r="AA222" i="12"/>
  <c r="AA223" i="12"/>
  <c r="AA224" i="12"/>
  <c r="W202" i="12"/>
  <c r="W203" i="12"/>
  <c r="W204" i="12"/>
  <c r="W205" i="12"/>
  <c r="W206" i="12"/>
  <c r="W207" i="12"/>
  <c r="W208" i="12"/>
  <c r="W209" i="12"/>
  <c r="W210" i="12"/>
  <c r="W211" i="12"/>
  <c r="W212" i="12"/>
  <c r="W213" i="12"/>
  <c r="W214" i="12"/>
  <c r="W215" i="12"/>
  <c r="W216" i="12"/>
  <c r="W217" i="12"/>
  <c r="W218" i="12"/>
  <c r="W219" i="12"/>
  <c r="W220" i="12"/>
  <c r="W221" i="12"/>
  <c r="W222" i="12"/>
  <c r="W223" i="12"/>
  <c r="W224" i="12"/>
  <c r="W225" i="12"/>
  <c r="S172" i="12"/>
  <c r="S173" i="12"/>
  <c r="S174" i="12"/>
  <c r="S175" i="12"/>
  <c r="S176" i="12"/>
  <c r="S177" i="12"/>
  <c r="S178" i="12"/>
  <c r="S179" i="12"/>
  <c r="S180" i="12"/>
  <c r="S181" i="12"/>
  <c r="S182" i="12"/>
  <c r="S183" i="12"/>
  <c r="S184" i="12"/>
  <c r="S185" i="12"/>
  <c r="S186" i="12"/>
  <c r="S187" i="12"/>
  <c r="S188" i="12"/>
  <c r="S189" i="12"/>
  <c r="S190" i="12"/>
  <c r="S191" i="12"/>
  <c r="S192" i="12"/>
  <c r="S193" i="12"/>
  <c r="S194" i="12"/>
  <c r="S195" i="12"/>
  <c r="S196" i="12"/>
  <c r="S197" i="12"/>
  <c r="S198" i="12"/>
  <c r="S199" i="12"/>
  <c r="S200" i="12"/>
  <c r="S201" i="12"/>
  <c r="S202" i="12"/>
  <c r="S203" i="12"/>
  <c r="S204" i="12"/>
  <c r="S205" i="12"/>
  <c r="S206" i="12"/>
  <c r="S207" i="12"/>
  <c r="S208" i="12"/>
  <c r="S209" i="12"/>
  <c r="S210" i="12"/>
  <c r="S211" i="12"/>
  <c r="S212" i="12"/>
  <c r="S213" i="12"/>
  <c r="S214" i="12"/>
  <c r="S215" i="12"/>
  <c r="S216" i="12"/>
  <c r="S217" i="12"/>
  <c r="S218" i="12"/>
  <c r="S219" i="12"/>
  <c r="S220" i="12"/>
  <c r="S221" i="12"/>
  <c r="S222" i="12"/>
  <c r="S223" i="12"/>
  <c r="S224" i="12"/>
  <c r="S225" i="12"/>
  <c r="M172" i="12"/>
  <c r="M173" i="12"/>
  <c r="M174" i="12"/>
  <c r="M175" i="12"/>
  <c r="M176" i="12"/>
  <c r="M177" i="12"/>
  <c r="M178" i="12"/>
  <c r="M179" i="12"/>
  <c r="M180" i="12"/>
  <c r="M181" i="12"/>
  <c r="M182" i="12"/>
  <c r="M183" i="12"/>
  <c r="M184" i="12"/>
  <c r="M185" i="12"/>
  <c r="M186" i="12"/>
  <c r="M187" i="12"/>
  <c r="M188" i="12"/>
  <c r="M189" i="12"/>
  <c r="M190" i="12"/>
  <c r="M191" i="12"/>
  <c r="M192" i="12"/>
  <c r="M193" i="12"/>
  <c r="M194" i="12"/>
  <c r="M195" i="12"/>
  <c r="M196" i="12"/>
  <c r="M197" i="12"/>
  <c r="M198" i="12"/>
  <c r="M199" i="12"/>
  <c r="M200" i="12"/>
  <c r="M201" i="12"/>
  <c r="M171" i="12"/>
  <c r="N202" i="9"/>
  <c r="A222" i="13"/>
  <c r="B222" i="13"/>
  <c r="C222" i="13"/>
  <c r="AA222" i="13"/>
  <c r="A223" i="13"/>
  <c r="B223" i="13"/>
  <c r="C223" i="13"/>
  <c r="AA223" i="13"/>
  <c r="A224" i="13"/>
  <c r="B224" i="13"/>
  <c r="C224" i="13"/>
  <c r="AA224" i="13"/>
  <c r="A225" i="13"/>
  <c r="B225" i="13"/>
  <c r="C225" i="13"/>
  <c r="AA225" i="13"/>
  <c r="A226" i="13"/>
  <c r="B226" i="13"/>
  <c r="C226" i="13"/>
  <c r="AA226" i="13"/>
  <c r="D222" i="12"/>
  <c r="D223" i="12"/>
  <c r="D224" i="12"/>
  <c r="D225" i="12"/>
  <c r="D226" i="12"/>
  <c r="AA232" i="5" l="1"/>
  <c r="F13" i="5"/>
  <c r="U13" i="5" s="1"/>
  <c r="F231" i="5"/>
  <c r="AA231" i="5" s="1"/>
  <c r="Y255" i="5"/>
  <c r="D256" i="5"/>
  <c r="D257" i="5" s="1"/>
  <c r="G255" i="12"/>
  <c r="N231" i="5"/>
  <c r="AG229" i="12"/>
  <c r="N229" i="13" s="1"/>
  <c r="S229" i="13" s="1"/>
  <c r="N229" i="5" s="1"/>
  <c r="AG230" i="12"/>
  <c r="N230" i="13" s="1"/>
  <c r="S230" i="13" s="1"/>
  <c r="N230" i="5" s="1"/>
  <c r="AG227" i="12"/>
  <c r="N227" i="13" s="1"/>
  <c r="S227" i="13" s="1"/>
  <c r="N227" i="5" s="1"/>
  <c r="P228" i="10"/>
  <c r="P227" i="10"/>
  <c r="Y231" i="10"/>
  <c r="H228" i="13"/>
  <c r="M228" i="13" s="1"/>
  <c r="F228" i="5" s="1"/>
  <c r="AA228" i="5" s="1"/>
  <c r="P231" i="10"/>
  <c r="H230" i="13"/>
  <c r="M230" i="13" s="1"/>
  <c r="F230" i="5" s="1"/>
  <c r="AA230" i="5" s="1"/>
  <c r="AG228" i="12"/>
  <c r="N228" i="13" s="1"/>
  <c r="S228" i="13" s="1"/>
  <c r="N228" i="5" s="1"/>
  <c r="AM230" i="12"/>
  <c r="Y230" i="10"/>
  <c r="P230" i="10"/>
  <c r="Y228" i="10"/>
  <c r="Y227" i="10"/>
  <c r="Y229" i="10"/>
  <c r="H227" i="13"/>
  <c r="M227" i="13" s="1"/>
  <c r="F227" i="5" s="1"/>
  <c r="AA227" i="5" s="1"/>
  <c r="H229" i="13"/>
  <c r="M229" i="13" s="1"/>
  <c r="F229" i="5" s="1"/>
  <c r="AA229" i="5" s="1"/>
  <c r="AM227" i="12"/>
  <c r="AM228" i="12"/>
  <c r="AK229" i="12"/>
  <c r="AL229" i="12" s="1"/>
  <c r="P229" i="10"/>
  <c r="AG221" i="12"/>
  <c r="AG223" i="12"/>
  <c r="N223" i="13" s="1"/>
  <c r="S223" i="13" s="1"/>
  <c r="N223" i="5" s="1"/>
  <c r="AL222" i="12"/>
  <c r="Y225" i="10"/>
  <c r="Y224" i="10"/>
  <c r="Y223" i="10"/>
  <c r="Y222" i="10"/>
  <c r="I226" i="13"/>
  <c r="P222" i="10"/>
  <c r="Y226" i="10"/>
  <c r="AM223" i="12"/>
  <c r="AL223" i="12"/>
  <c r="AG225" i="12"/>
  <c r="N225" i="13" s="1"/>
  <c r="S225" i="13" s="1"/>
  <c r="N225" i="5" s="1"/>
  <c r="AM225" i="12"/>
  <c r="AG222" i="12"/>
  <c r="N222" i="13" s="1"/>
  <c r="S222" i="13" s="1"/>
  <c r="N222" i="5" s="1"/>
  <c r="AK224" i="12"/>
  <c r="AL224" i="12" s="1"/>
  <c r="AG226" i="12"/>
  <c r="N226" i="13" s="1"/>
  <c r="S226" i="13" s="1"/>
  <c r="N226" i="5" s="1"/>
  <c r="AK221" i="12"/>
  <c r="AL221" i="12" s="1"/>
  <c r="P226" i="10"/>
  <c r="P223" i="10"/>
  <c r="P225" i="10"/>
  <c r="P224" i="10"/>
  <c r="I224" i="13"/>
  <c r="I225" i="13"/>
  <c r="H222" i="13"/>
  <c r="I223" i="13"/>
  <c r="AL226" i="12"/>
  <c r="AM226" i="12"/>
  <c r="AG224" i="12"/>
  <c r="N224" i="13" s="1"/>
  <c r="S224" i="13" s="1"/>
  <c r="N224" i="5" s="1"/>
  <c r="G257" i="12" l="1"/>
  <c r="D258" i="5"/>
  <c r="E257" i="9"/>
  <c r="Y257" i="5"/>
  <c r="G256" i="12"/>
  <c r="Y256" i="5"/>
  <c r="Z228" i="10"/>
  <c r="AA228" i="10" s="1"/>
  <c r="H228" i="5" s="1"/>
  <c r="Z227" i="10"/>
  <c r="AA227" i="10" s="1"/>
  <c r="H227" i="5" s="1"/>
  <c r="Z225" i="10"/>
  <c r="AA225" i="10" s="1"/>
  <c r="H225" i="5" s="1"/>
  <c r="Z231" i="10"/>
  <c r="AA231" i="10" s="1"/>
  <c r="Z229" i="10"/>
  <c r="AA229" i="10" s="1"/>
  <c r="H229" i="5" s="1"/>
  <c r="Z230" i="10"/>
  <c r="AA230" i="10" s="1"/>
  <c r="H230" i="5" s="1"/>
  <c r="Z223" i="10"/>
  <c r="AA223" i="10" s="1"/>
  <c r="H223" i="5" s="1"/>
  <c r="AM229" i="12"/>
  <c r="Z222" i="10"/>
  <c r="AA222" i="10" s="1"/>
  <c r="H222" i="5" s="1"/>
  <c r="Z224" i="10"/>
  <c r="AA224" i="10" s="1"/>
  <c r="H224" i="5" s="1"/>
  <c r="AM224" i="12"/>
  <c r="Z226" i="10"/>
  <c r="AA226" i="10" s="1"/>
  <c r="H226" i="5" s="1"/>
  <c r="AM221" i="12"/>
  <c r="D259" i="5" l="1"/>
  <c r="G258" i="12"/>
  <c r="Y258" i="5"/>
  <c r="E258" i="9"/>
  <c r="H231" i="5"/>
  <c r="D221" i="12"/>
  <c r="D222" i="10"/>
  <c r="D223" i="10"/>
  <c r="D224" i="10"/>
  <c r="D225" i="10"/>
  <c r="D226" i="10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AG213" i="13"/>
  <c r="I213" i="13" s="1"/>
  <c r="AG214" i="13"/>
  <c r="I214" i="13" s="1"/>
  <c r="AG215" i="13"/>
  <c r="I215" i="13" s="1"/>
  <c r="AG216" i="13"/>
  <c r="I216" i="13" s="1"/>
  <c r="AG217" i="13"/>
  <c r="I217" i="13" s="1"/>
  <c r="AG218" i="13"/>
  <c r="I218" i="13" s="1"/>
  <c r="AG219" i="13"/>
  <c r="I219" i="13" s="1"/>
  <c r="AG220" i="13"/>
  <c r="I220" i="13" s="1"/>
  <c r="AG221" i="13"/>
  <c r="H221" i="13" s="1"/>
  <c r="AD213" i="12"/>
  <c r="AK213" i="12" s="1"/>
  <c r="AL213" i="12" s="1"/>
  <c r="AE213" i="12"/>
  <c r="AF213" i="12"/>
  <c r="AD214" i="12"/>
  <c r="AK214" i="12" s="1"/>
  <c r="AE214" i="12"/>
  <c r="AF214" i="12"/>
  <c r="AD215" i="12"/>
  <c r="AE215" i="12"/>
  <c r="AF215" i="12"/>
  <c r="AD216" i="12"/>
  <c r="AE216" i="12"/>
  <c r="AF216" i="12"/>
  <c r="AD217" i="12"/>
  <c r="AK217" i="12" s="1"/>
  <c r="AL217" i="12" s="1"/>
  <c r="AE217" i="12"/>
  <c r="AF217" i="12"/>
  <c r="AD218" i="12"/>
  <c r="AE218" i="12"/>
  <c r="AF218" i="12"/>
  <c r="AD219" i="12"/>
  <c r="AK219" i="12" s="1"/>
  <c r="AM219" i="12" s="1"/>
  <c r="AE219" i="12"/>
  <c r="AF219" i="12"/>
  <c r="AD220" i="12"/>
  <c r="AK220" i="12" s="1"/>
  <c r="AL220" i="12" s="1"/>
  <c r="AE220" i="12"/>
  <c r="AF220" i="12"/>
  <c r="N221" i="13"/>
  <c r="W221" i="13"/>
  <c r="W220" i="13"/>
  <c r="W219" i="13"/>
  <c r="W218" i="13"/>
  <c r="W217" i="13"/>
  <c r="W216" i="13"/>
  <c r="W215" i="13"/>
  <c r="W214" i="13"/>
  <c r="W213" i="13"/>
  <c r="W212" i="13"/>
  <c r="W211" i="13"/>
  <c r="W210" i="13"/>
  <c r="W209" i="13"/>
  <c r="W208" i="13"/>
  <c r="A209" i="13"/>
  <c r="B209" i="13"/>
  <c r="C209" i="13"/>
  <c r="AA209" i="13"/>
  <c r="A210" i="13"/>
  <c r="B210" i="13"/>
  <c r="C210" i="13"/>
  <c r="AA210" i="13"/>
  <c r="A211" i="13"/>
  <c r="B211" i="13"/>
  <c r="C211" i="13"/>
  <c r="AA211" i="13"/>
  <c r="A212" i="13"/>
  <c r="B212" i="13"/>
  <c r="C212" i="13"/>
  <c r="AA212" i="13"/>
  <c r="A213" i="13"/>
  <c r="B213" i="13"/>
  <c r="C213" i="13"/>
  <c r="AA213" i="13"/>
  <c r="A214" i="13"/>
  <c r="B214" i="13"/>
  <c r="C214" i="13"/>
  <c r="AA214" i="13"/>
  <c r="A215" i="13"/>
  <c r="B215" i="13"/>
  <c r="C215" i="13"/>
  <c r="AA215" i="13"/>
  <c r="A216" i="13"/>
  <c r="B216" i="13"/>
  <c r="C216" i="13"/>
  <c r="AA216" i="13"/>
  <c r="A217" i="13"/>
  <c r="B217" i="13"/>
  <c r="C217" i="13"/>
  <c r="AA217" i="13"/>
  <c r="A218" i="13"/>
  <c r="B218" i="13"/>
  <c r="C218" i="13"/>
  <c r="AA218" i="13"/>
  <c r="A219" i="13"/>
  <c r="B219" i="13"/>
  <c r="C219" i="13"/>
  <c r="AA219" i="13"/>
  <c r="A220" i="13"/>
  <c r="B220" i="13"/>
  <c r="C220" i="13"/>
  <c r="AA220" i="13"/>
  <c r="A221" i="13"/>
  <c r="B221" i="13"/>
  <c r="C221" i="13"/>
  <c r="AA221" i="13"/>
  <c r="AO161" i="10"/>
  <c r="AO162" i="10"/>
  <c r="AO163" i="10"/>
  <c r="AO164" i="10"/>
  <c r="AO165" i="10"/>
  <c r="AO166" i="10"/>
  <c r="AO167" i="10"/>
  <c r="AO168" i="10"/>
  <c r="AO169" i="10"/>
  <c r="AO170" i="10"/>
  <c r="AO171" i="10"/>
  <c r="AO172" i="10"/>
  <c r="AO173" i="10"/>
  <c r="AO174" i="10"/>
  <c r="AO175" i="10"/>
  <c r="AO176" i="10"/>
  <c r="AO177" i="10"/>
  <c r="AO178" i="10"/>
  <c r="AO179" i="10"/>
  <c r="AO180" i="10"/>
  <c r="AO181" i="10"/>
  <c r="AO182" i="10"/>
  <c r="AO183" i="10"/>
  <c r="AO184" i="10"/>
  <c r="AO185" i="10"/>
  <c r="AO186" i="10"/>
  <c r="AO187" i="10"/>
  <c r="AO188" i="10"/>
  <c r="AO189" i="10"/>
  <c r="AO190" i="10"/>
  <c r="AO191" i="10"/>
  <c r="AO192" i="10"/>
  <c r="AO193" i="10"/>
  <c r="AO194" i="10"/>
  <c r="AO195" i="10"/>
  <c r="AO196" i="10"/>
  <c r="AO197" i="10"/>
  <c r="AO198" i="10"/>
  <c r="AO199" i="10"/>
  <c r="AO200" i="10"/>
  <c r="AO201" i="10"/>
  <c r="AO202" i="10"/>
  <c r="AO203" i="10"/>
  <c r="AO204" i="10"/>
  <c r="AO205" i="10"/>
  <c r="AO206" i="10"/>
  <c r="AO207" i="10"/>
  <c r="AO208" i="10"/>
  <c r="AO209" i="10"/>
  <c r="AO210" i="10"/>
  <c r="AO211" i="10"/>
  <c r="AO212" i="10"/>
  <c r="AO213" i="10"/>
  <c r="N213" i="10" s="1"/>
  <c r="AO214" i="10"/>
  <c r="N214" i="10" s="1"/>
  <c r="AO215" i="10"/>
  <c r="N215" i="10" s="1"/>
  <c r="AO216" i="10"/>
  <c r="N216" i="10" s="1"/>
  <c r="AO217" i="10"/>
  <c r="N217" i="10" s="1"/>
  <c r="AO218" i="10"/>
  <c r="N218" i="10" s="1"/>
  <c r="AO219" i="10"/>
  <c r="N219" i="10" s="1"/>
  <c r="AO220" i="10"/>
  <c r="N220" i="10" s="1"/>
  <c r="AO221" i="10"/>
  <c r="N221" i="10" s="1"/>
  <c r="AL221" i="10"/>
  <c r="J221" i="10" s="1"/>
  <c r="AK221" i="10"/>
  <c r="R221" i="10" s="1"/>
  <c r="AL220" i="10"/>
  <c r="J220" i="10" s="1"/>
  <c r="AK220" i="10"/>
  <c r="R220" i="10" s="1"/>
  <c r="AL219" i="10"/>
  <c r="J219" i="10" s="1"/>
  <c r="AK219" i="10"/>
  <c r="R219" i="10" s="1"/>
  <c r="AL218" i="10"/>
  <c r="J218" i="10" s="1"/>
  <c r="AK218" i="10"/>
  <c r="R218" i="10" s="1"/>
  <c r="AL217" i="10"/>
  <c r="J217" i="10" s="1"/>
  <c r="AK217" i="10"/>
  <c r="R217" i="10" s="1"/>
  <c r="AL216" i="10"/>
  <c r="J216" i="10" s="1"/>
  <c r="AK216" i="10"/>
  <c r="R216" i="10" s="1"/>
  <c r="AL215" i="10"/>
  <c r="J215" i="10" s="1"/>
  <c r="AK215" i="10"/>
  <c r="R215" i="10" s="1"/>
  <c r="AL214" i="10"/>
  <c r="J214" i="10" s="1"/>
  <c r="AK214" i="10"/>
  <c r="R214" i="10" s="1"/>
  <c r="AL213" i="10"/>
  <c r="J213" i="10" s="1"/>
  <c r="AK213" i="10"/>
  <c r="R213" i="10" s="1"/>
  <c r="AL212" i="10"/>
  <c r="J212" i="10" s="1"/>
  <c r="AK212" i="10"/>
  <c r="AL211" i="10"/>
  <c r="J211" i="10" s="1"/>
  <c r="AK211" i="10"/>
  <c r="AL210" i="10"/>
  <c r="J210" i="10" s="1"/>
  <c r="AK210" i="10"/>
  <c r="T221" i="10"/>
  <c r="S221" i="10"/>
  <c r="T220" i="10"/>
  <c r="S220" i="10"/>
  <c r="T219" i="10"/>
  <c r="S219" i="10"/>
  <c r="T218" i="10"/>
  <c r="S218" i="10"/>
  <c r="T217" i="10"/>
  <c r="S217" i="10"/>
  <c r="T216" i="10"/>
  <c r="S216" i="10"/>
  <c r="T215" i="10"/>
  <c r="S215" i="10"/>
  <c r="T214" i="10"/>
  <c r="S214" i="10"/>
  <c r="T213" i="10"/>
  <c r="S213" i="10"/>
  <c r="K211" i="10"/>
  <c r="K212" i="10"/>
  <c r="K213" i="10"/>
  <c r="K214" i="10"/>
  <c r="K215" i="10"/>
  <c r="K216" i="10"/>
  <c r="K217" i="10"/>
  <c r="K218" i="10"/>
  <c r="K219" i="10"/>
  <c r="K220" i="10"/>
  <c r="K221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07" i="10"/>
  <c r="D220" i="10"/>
  <c r="D22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13" i="12"/>
  <c r="D214" i="12"/>
  <c r="D215" i="12"/>
  <c r="D216" i="12"/>
  <c r="D217" i="12"/>
  <c r="D218" i="12"/>
  <c r="D219" i="12"/>
  <c r="D220" i="12"/>
  <c r="N191" i="9"/>
  <c r="N192" i="9"/>
  <c r="N193" i="9"/>
  <c r="N194" i="9"/>
  <c r="N195" i="9"/>
  <c r="N196" i="9"/>
  <c r="N197" i="9"/>
  <c r="N198" i="9"/>
  <c r="N199" i="9"/>
  <c r="N200" i="9"/>
  <c r="N201" i="9"/>
  <c r="W202" i="9"/>
  <c r="H14" i="14" s="1"/>
  <c r="D260" i="5" l="1"/>
  <c r="G259" i="12"/>
  <c r="E259" i="9"/>
  <c r="Y259" i="5"/>
  <c r="D13" i="14"/>
  <c r="H217" i="13"/>
  <c r="M217" i="13" s="1"/>
  <c r="F217" i="5" s="1"/>
  <c r="H214" i="13"/>
  <c r="Y216" i="10"/>
  <c r="M226" i="13"/>
  <c r="F226" i="5" s="1"/>
  <c r="AA226" i="5" s="1"/>
  <c r="M224" i="13"/>
  <c r="F224" i="5" s="1"/>
  <c r="Y220" i="10"/>
  <c r="Y218" i="10"/>
  <c r="Y215" i="10"/>
  <c r="H218" i="13"/>
  <c r="AG213" i="12"/>
  <c r="N213" i="13" s="1"/>
  <c r="S213" i="13" s="1"/>
  <c r="N213" i="5" s="1"/>
  <c r="AG220" i="12"/>
  <c r="N220" i="13" s="1"/>
  <c r="S220" i="13" s="1"/>
  <c r="N220" i="5" s="1"/>
  <c r="P214" i="10"/>
  <c r="AM214" i="12"/>
  <c r="AL214" i="12"/>
  <c r="AK216" i="12"/>
  <c r="AL216" i="12" s="1"/>
  <c r="AG218" i="12"/>
  <c r="N218" i="13" s="1"/>
  <c r="S218" i="13" s="1"/>
  <c r="N218" i="5" s="1"/>
  <c r="AG216" i="12"/>
  <c r="N216" i="13" s="1"/>
  <c r="S216" i="13" s="1"/>
  <c r="N216" i="5" s="1"/>
  <c r="AG214" i="12"/>
  <c r="N214" i="13" s="1"/>
  <c r="S214" i="13" s="1"/>
  <c r="N214" i="5" s="1"/>
  <c r="AG217" i="12"/>
  <c r="N217" i="13" s="1"/>
  <c r="S217" i="13" s="1"/>
  <c r="N217" i="5" s="1"/>
  <c r="AG215" i="12"/>
  <c r="N215" i="13" s="1"/>
  <c r="S215" i="13" s="1"/>
  <c r="N215" i="5" s="1"/>
  <c r="AG219" i="12"/>
  <c r="N219" i="13" s="1"/>
  <c r="S219" i="13" s="1"/>
  <c r="N219" i="5" s="1"/>
  <c r="Y214" i="10"/>
  <c r="P220" i="10"/>
  <c r="I221" i="13"/>
  <c r="H213" i="13"/>
  <c r="H220" i="13"/>
  <c r="H215" i="13"/>
  <c r="H219" i="13"/>
  <c r="H216" i="13"/>
  <c r="S221" i="13"/>
  <c r="N221" i="5" s="1"/>
  <c r="AM220" i="12"/>
  <c r="AL219" i="12"/>
  <c r="AK218" i="12"/>
  <c r="AL218" i="12" s="1"/>
  <c r="AM213" i="12"/>
  <c r="AM217" i="12"/>
  <c r="AK215" i="12"/>
  <c r="P218" i="10"/>
  <c r="P216" i="10"/>
  <c r="P213" i="10"/>
  <c r="Y217" i="10"/>
  <c r="P219" i="10"/>
  <c r="Y221" i="10"/>
  <c r="Y213" i="10"/>
  <c r="P215" i="10"/>
  <c r="Y219" i="10"/>
  <c r="P221" i="10"/>
  <c r="P217" i="10"/>
  <c r="Q12" i="5"/>
  <c r="I275" i="5" l="1"/>
  <c r="I282" i="5"/>
  <c r="I281" i="5"/>
  <c r="I277" i="5"/>
  <c r="I284" i="5"/>
  <c r="I276" i="5"/>
  <c r="I280" i="5"/>
  <c r="I279" i="5"/>
  <c r="I283" i="5"/>
  <c r="I278" i="5"/>
  <c r="I274" i="5"/>
  <c r="I272" i="5"/>
  <c r="I273" i="5"/>
  <c r="I271" i="5"/>
  <c r="I270" i="5"/>
  <c r="I263" i="5"/>
  <c r="I264" i="5"/>
  <c r="I269" i="5"/>
  <c r="I266" i="5"/>
  <c r="I262" i="5"/>
  <c r="I265" i="5"/>
  <c r="I268" i="5"/>
  <c r="I267" i="5"/>
  <c r="Z216" i="10"/>
  <c r="AA216" i="10" s="1"/>
  <c r="H216" i="5" s="1"/>
  <c r="I216" i="5" s="1"/>
  <c r="AC261" i="10"/>
  <c r="AC260" i="10"/>
  <c r="AC259" i="10"/>
  <c r="AC258" i="10"/>
  <c r="AC257" i="10"/>
  <c r="I257" i="5"/>
  <c r="I261" i="5"/>
  <c r="I259" i="5"/>
  <c r="I260" i="5"/>
  <c r="I258" i="5"/>
  <c r="D261" i="5"/>
  <c r="D262" i="5" s="1"/>
  <c r="D263" i="5" s="1"/>
  <c r="G260" i="12"/>
  <c r="Y260" i="5"/>
  <c r="E260" i="9"/>
  <c r="AC256" i="10"/>
  <c r="AC251" i="10"/>
  <c r="AC253" i="10"/>
  <c r="AC255" i="10"/>
  <c r="AC254" i="10"/>
  <c r="AC252" i="10"/>
  <c r="I253" i="5"/>
  <c r="I252" i="5"/>
  <c r="I256" i="5"/>
  <c r="I251" i="5"/>
  <c r="I254" i="5"/>
  <c r="I255" i="5"/>
  <c r="AC246" i="10"/>
  <c r="AC243" i="10"/>
  <c r="AC248" i="10"/>
  <c r="AC245" i="10"/>
  <c r="AC250" i="10"/>
  <c r="AC247" i="10"/>
  <c r="AC244" i="10"/>
  <c r="AC249" i="10"/>
  <c r="I249" i="5"/>
  <c r="I247" i="5"/>
  <c r="I248" i="5"/>
  <c r="I250" i="5"/>
  <c r="I246" i="5"/>
  <c r="I244" i="5"/>
  <c r="I245" i="5"/>
  <c r="I243" i="5"/>
  <c r="AC235" i="10"/>
  <c r="AC237" i="10"/>
  <c r="AC234" i="10"/>
  <c r="AC236" i="10"/>
  <c r="AC242" i="10"/>
  <c r="AC238" i="10"/>
  <c r="AB231" i="10"/>
  <c r="AC231" i="10" s="1"/>
  <c r="AC239" i="10"/>
  <c r="AC233" i="10"/>
  <c r="AC232" i="10"/>
  <c r="AC240" i="10"/>
  <c r="AC241" i="10"/>
  <c r="I234" i="5"/>
  <c r="I232" i="5"/>
  <c r="I238" i="5"/>
  <c r="I241" i="5"/>
  <c r="I239" i="5"/>
  <c r="I236" i="5"/>
  <c r="I237" i="5"/>
  <c r="I242" i="5"/>
  <c r="I233" i="5"/>
  <c r="I240" i="5"/>
  <c r="I235" i="5"/>
  <c r="I231" i="5"/>
  <c r="AB227" i="10"/>
  <c r="AC227" i="10" s="1"/>
  <c r="I230" i="5"/>
  <c r="AB230" i="10"/>
  <c r="AC230" i="10" s="1"/>
  <c r="AB228" i="10"/>
  <c r="AC228" i="10" s="1"/>
  <c r="AB229" i="10"/>
  <c r="AC229" i="10" s="1"/>
  <c r="I229" i="5"/>
  <c r="I228" i="5"/>
  <c r="I227" i="5"/>
  <c r="M218" i="13"/>
  <c r="F218" i="5" s="1"/>
  <c r="AA218" i="5" s="1"/>
  <c r="M214" i="13"/>
  <c r="F214" i="5" s="1"/>
  <c r="AA214" i="5" s="1"/>
  <c r="Z218" i="10"/>
  <c r="AA218" i="10" s="1"/>
  <c r="H218" i="5" s="1"/>
  <c r="I218" i="5" s="1"/>
  <c r="Z215" i="10"/>
  <c r="AA215" i="10" s="1"/>
  <c r="H215" i="5" s="1"/>
  <c r="I215" i="5" s="1"/>
  <c r="Z220" i="10"/>
  <c r="AA220" i="10" s="1"/>
  <c r="H220" i="5" s="1"/>
  <c r="I220" i="5" s="1"/>
  <c r="AB222" i="10"/>
  <c r="AC222" i="10" s="1"/>
  <c r="AB223" i="10"/>
  <c r="AC223" i="10" s="1"/>
  <c r="AB224" i="10"/>
  <c r="AC224" i="10" s="1"/>
  <c r="AB225" i="10"/>
  <c r="AC225" i="10" s="1"/>
  <c r="AB226" i="10"/>
  <c r="AC226" i="10" s="1"/>
  <c r="I223" i="5"/>
  <c r="I224" i="5"/>
  <c r="I225" i="5"/>
  <c r="I222" i="5"/>
  <c r="I226" i="5"/>
  <c r="M222" i="13"/>
  <c r="F222" i="5" s="1"/>
  <c r="AA222" i="5" s="1"/>
  <c r="M215" i="13"/>
  <c r="F215" i="5" s="1"/>
  <c r="AA215" i="5" s="1"/>
  <c r="M223" i="13"/>
  <c r="F223" i="5" s="1"/>
  <c r="AA223" i="5" s="1"/>
  <c r="M220" i="13"/>
  <c r="F220" i="5" s="1"/>
  <c r="AA220" i="5" s="1"/>
  <c r="M213" i="13"/>
  <c r="F213" i="5" s="1"/>
  <c r="AA213" i="5" s="1"/>
  <c r="M216" i="13"/>
  <c r="F216" i="5" s="1"/>
  <c r="AA216" i="5" s="1"/>
  <c r="M221" i="13"/>
  <c r="F221" i="5" s="1"/>
  <c r="AA221" i="5" s="1"/>
  <c r="M219" i="13"/>
  <c r="F219" i="5" s="1"/>
  <c r="AA219" i="5" s="1"/>
  <c r="AA224" i="5"/>
  <c r="M225" i="13"/>
  <c r="F225" i="5" s="1"/>
  <c r="AA225" i="5" s="1"/>
  <c r="AM216" i="12"/>
  <c r="Z214" i="10"/>
  <c r="AA214" i="10" s="1"/>
  <c r="H214" i="5" s="1"/>
  <c r="I214" i="5" s="1"/>
  <c r="Z219" i="10"/>
  <c r="AA219" i="10" s="1"/>
  <c r="AB221" i="10"/>
  <c r="AB219" i="10"/>
  <c r="AB217" i="10"/>
  <c r="AB215" i="10"/>
  <c r="AB213" i="10"/>
  <c r="AB220" i="10"/>
  <c r="AB218" i="10"/>
  <c r="AB216" i="10"/>
  <c r="AC216" i="10" s="1"/>
  <c r="AB214" i="10"/>
  <c r="AA217" i="5"/>
  <c r="Z213" i="10"/>
  <c r="AA213" i="10" s="1"/>
  <c r="H213" i="5" s="1"/>
  <c r="I213" i="5" s="1"/>
  <c r="Z221" i="10"/>
  <c r="AA221" i="10" s="1"/>
  <c r="AM215" i="12"/>
  <c r="AL215" i="12"/>
  <c r="AM218" i="12"/>
  <c r="Z217" i="10"/>
  <c r="AA217" i="10" s="1"/>
  <c r="H217" i="5" s="1"/>
  <c r="I217" i="5" s="1"/>
  <c r="AG209" i="13"/>
  <c r="AG210" i="13"/>
  <c r="AG211" i="13"/>
  <c r="AG212" i="13"/>
  <c r="AB203" i="10"/>
  <c r="AB204" i="10"/>
  <c r="AB205" i="10"/>
  <c r="AB206" i="10"/>
  <c r="AB207" i="10"/>
  <c r="AB208" i="10"/>
  <c r="AB209" i="10"/>
  <c r="AB210" i="10"/>
  <c r="AB211" i="10"/>
  <c r="AB212" i="10"/>
  <c r="F206" i="10"/>
  <c r="F206" i="13" s="1"/>
  <c r="F207" i="10"/>
  <c r="F214" i="10" s="1"/>
  <c r="F208" i="10"/>
  <c r="F215" i="10" s="1"/>
  <c r="F222" i="10" s="1"/>
  <c r="F209" i="10"/>
  <c r="F210" i="10"/>
  <c r="F211" i="10"/>
  <c r="F205" i="10"/>
  <c r="F205" i="13" s="1"/>
  <c r="G209" i="10"/>
  <c r="T212" i="10"/>
  <c r="R212" i="10"/>
  <c r="N212" i="10"/>
  <c r="R211" i="10"/>
  <c r="T211" i="10"/>
  <c r="N211" i="10"/>
  <c r="R210" i="10"/>
  <c r="T210" i="10"/>
  <c r="N210" i="10"/>
  <c r="K210" i="10"/>
  <c r="S210" i="10"/>
  <c r="AL209" i="10"/>
  <c r="J209" i="10" s="1"/>
  <c r="AK209" i="10"/>
  <c r="T209" i="10"/>
  <c r="N209" i="10"/>
  <c r="K209" i="10"/>
  <c r="S209" i="10"/>
  <c r="AD209" i="12"/>
  <c r="AK209" i="12" s="1"/>
  <c r="AL209" i="12" s="1"/>
  <c r="AE209" i="12"/>
  <c r="AF209" i="12"/>
  <c r="AD210" i="12"/>
  <c r="AK210" i="12" s="1"/>
  <c r="AE210" i="12"/>
  <c r="AF210" i="12"/>
  <c r="AD211" i="12"/>
  <c r="AK211" i="12" s="1"/>
  <c r="AL211" i="12" s="1"/>
  <c r="AE211" i="12"/>
  <c r="AF211" i="12"/>
  <c r="AD212" i="12"/>
  <c r="AE212" i="12"/>
  <c r="AF212" i="12"/>
  <c r="AA124" i="12"/>
  <c r="AA125" i="12"/>
  <c r="AA126" i="12"/>
  <c r="AA127" i="12"/>
  <c r="AA128" i="12"/>
  <c r="AA129" i="12"/>
  <c r="AA130" i="12"/>
  <c r="AA131" i="12"/>
  <c r="AA132" i="12"/>
  <c r="AA133" i="12"/>
  <c r="AA134" i="12"/>
  <c r="AA135" i="12"/>
  <c r="AA136" i="12"/>
  <c r="AA137" i="12"/>
  <c r="AA138" i="12"/>
  <c r="AA139" i="12"/>
  <c r="AA140" i="12"/>
  <c r="AA141" i="12"/>
  <c r="AA142" i="12"/>
  <c r="AA143" i="12"/>
  <c r="AA144" i="12"/>
  <c r="AA145" i="12"/>
  <c r="AA146" i="12"/>
  <c r="AA147" i="12"/>
  <c r="AA148" i="12"/>
  <c r="AA149" i="12"/>
  <c r="AA150" i="12"/>
  <c r="AA151" i="12"/>
  <c r="AA152" i="12"/>
  <c r="AA153" i="12"/>
  <c r="AA154" i="12"/>
  <c r="AA14" i="13" s="1"/>
  <c r="AA155" i="12"/>
  <c r="AA156" i="12"/>
  <c r="AA157" i="12"/>
  <c r="AA158" i="12"/>
  <c r="AA159" i="12"/>
  <c r="AA160" i="12"/>
  <c r="AA161" i="12"/>
  <c r="AA162" i="12"/>
  <c r="AA163" i="12"/>
  <c r="AA164" i="12"/>
  <c r="AA165" i="12"/>
  <c r="AA166" i="12"/>
  <c r="AA167" i="12"/>
  <c r="AA168" i="12"/>
  <c r="AA169" i="12"/>
  <c r="AA170" i="12"/>
  <c r="AA171" i="12"/>
  <c r="AA172" i="12"/>
  <c r="AA173" i="12"/>
  <c r="AA174" i="12"/>
  <c r="AA175" i="12"/>
  <c r="AA176" i="12"/>
  <c r="AA177" i="12"/>
  <c r="AA178" i="12"/>
  <c r="AA179" i="12"/>
  <c r="AA180" i="12"/>
  <c r="AA181" i="12"/>
  <c r="AA182" i="12"/>
  <c r="AA183" i="12"/>
  <c r="AA184" i="12"/>
  <c r="AA185" i="12"/>
  <c r="AA186" i="12"/>
  <c r="AA187" i="12"/>
  <c r="AA188" i="12"/>
  <c r="AA189" i="12"/>
  <c r="AA190" i="12"/>
  <c r="W124" i="12"/>
  <c r="W125" i="12"/>
  <c r="W126" i="12"/>
  <c r="W127" i="12"/>
  <c r="W128" i="12"/>
  <c r="W129" i="12"/>
  <c r="W130" i="12"/>
  <c r="W131" i="12"/>
  <c r="W132" i="12"/>
  <c r="W133" i="12"/>
  <c r="W134" i="12"/>
  <c r="W135" i="12"/>
  <c r="W136" i="12"/>
  <c r="W137" i="12"/>
  <c r="W138" i="12"/>
  <c r="W139" i="12"/>
  <c r="W140" i="12"/>
  <c r="W141" i="12"/>
  <c r="W142" i="12"/>
  <c r="W143" i="12"/>
  <c r="W144" i="12"/>
  <c r="W145" i="12"/>
  <c r="W146" i="12"/>
  <c r="W147" i="12"/>
  <c r="W148" i="12"/>
  <c r="W149" i="12"/>
  <c r="W150" i="12"/>
  <c r="W151" i="12"/>
  <c r="W152" i="12"/>
  <c r="W153" i="12"/>
  <c r="W154" i="12"/>
  <c r="W155" i="12"/>
  <c r="W156" i="12"/>
  <c r="W157" i="12"/>
  <c r="W158" i="12"/>
  <c r="W159" i="12"/>
  <c r="W160" i="12"/>
  <c r="W161" i="12"/>
  <c r="W162" i="12"/>
  <c r="W163" i="12"/>
  <c r="W164" i="12"/>
  <c r="W165" i="12"/>
  <c r="W166" i="12"/>
  <c r="W167" i="12"/>
  <c r="W168" i="12"/>
  <c r="W169" i="12"/>
  <c r="W170" i="12"/>
  <c r="W171" i="12"/>
  <c r="W172" i="12"/>
  <c r="W173" i="12"/>
  <c r="W174" i="12"/>
  <c r="W175" i="12"/>
  <c r="W176" i="12"/>
  <c r="W177" i="12"/>
  <c r="W178" i="12"/>
  <c r="W179" i="12"/>
  <c r="W180" i="12"/>
  <c r="W181" i="12"/>
  <c r="W182" i="12"/>
  <c r="W183" i="12"/>
  <c r="W184" i="12"/>
  <c r="W185" i="12"/>
  <c r="W186" i="12"/>
  <c r="W187" i="12"/>
  <c r="W188" i="12"/>
  <c r="W189" i="12"/>
  <c r="W190" i="12"/>
  <c r="W191" i="12"/>
  <c r="W192" i="12"/>
  <c r="W193" i="12"/>
  <c r="W194" i="12"/>
  <c r="W195" i="12"/>
  <c r="W196" i="12"/>
  <c r="W197" i="12"/>
  <c r="W198" i="12"/>
  <c r="W199" i="12"/>
  <c r="W200" i="12"/>
  <c r="W201" i="12"/>
  <c r="S124" i="12"/>
  <c r="S125" i="12"/>
  <c r="S126" i="12"/>
  <c r="S127" i="12"/>
  <c r="S128" i="12"/>
  <c r="S129" i="12"/>
  <c r="S130" i="12"/>
  <c r="S131" i="12"/>
  <c r="S132" i="12"/>
  <c r="S133" i="12"/>
  <c r="S134" i="12"/>
  <c r="S135" i="12"/>
  <c r="S136" i="12"/>
  <c r="S137" i="12"/>
  <c r="S138" i="12"/>
  <c r="S139" i="12"/>
  <c r="S140" i="12"/>
  <c r="S141" i="12"/>
  <c r="S142" i="12"/>
  <c r="S143" i="12"/>
  <c r="S144" i="12"/>
  <c r="S145" i="12"/>
  <c r="S146" i="12"/>
  <c r="S147" i="12"/>
  <c r="S148" i="12"/>
  <c r="S149" i="12"/>
  <c r="S150" i="12"/>
  <c r="S151" i="12"/>
  <c r="S152" i="12"/>
  <c r="S153" i="12"/>
  <c r="S154" i="12"/>
  <c r="S155" i="12"/>
  <c r="S156" i="12"/>
  <c r="S157" i="12"/>
  <c r="S158" i="12"/>
  <c r="S159" i="12"/>
  <c r="S160" i="12"/>
  <c r="S161" i="12"/>
  <c r="S162" i="12"/>
  <c r="S163" i="12"/>
  <c r="S164" i="12"/>
  <c r="S165" i="12"/>
  <c r="S166" i="12"/>
  <c r="S167" i="12"/>
  <c r="S168" i="12"/>
  <c r="S169" i="12"/>
  <c r="S170" i="12"/>
  <c r="S171" i="12"/>
  <c r="D209" i="12"/>
  <c r="D210" i="12"/>
  <c r="D211" i="12"/>
  <c r="D212" i="12"/>
  <c r="W201" i="9"/>
  <c r="G13" i="13"/>
  <c r="F13" i="13" s="1"/>
  <c r="E13" i="9"/>
  <c r="G201" i="5"/>
  <c r="J201" i="5"/>
  <c r="Z201" i="5"/>
  <c r="G202" i="5"/>
  <c r="J202" i="5"/>
  <c r="Z202" i="5"/>
  <c r="G203" i="5"/>
  <c r="J203" i="5"/>
  <c r="S208" i="10"/>
  <c r="S207" i="10"/>
  <c r="A206" i="13"/>
  <c r="A205" i="13"/>
  <c r="I204" i="10"/>
  <c r="S203" i="10"/>
  <c r="A202" i="13"/>
  <c r="AF208" i="12"/>
  <c r="AE208" i="12"/>
  <c r="AD208" i="12"/>
  <c r="AF207" i="12"/>
  <c r="AE207" i="12"/>
  <c r="AD207" i="12"/>
  <c r="AK207" i="12" s="1"/>
  <c r="AL207" i="12" s="1"/>
  <c r="AF206" i="12"/>
  <c r="AE206" i="12"/>
  <c r="AD206" i="12"/>
  <c r="AK206" i="12" s="1"/>
  <c r="AF205" i="12"/>
  <c r="AE205" i="12"/>
  <c r="AD205" i="12"/>
  <c r="AK205" i="12" s="1"/>
  <c r="AM205" i="12" s="1"/>
  <c r="AF204" i="12"/>
  <c r="AE204" i="12"/>
  <c r="AD204" i="12"/>
  <c r="AF203" i="12"/>
  <c r="AE203" i="12"/>
  <c r="AD203" i="12"/>
  <c r="AF202" i="12"/>
  <c r="AE202" i="12"/>
  <c r="AD202" i="12"/>
  <c r="AF201" i="12"/>
  <c r="AE201" i="12"/>
  <c r="AD201" i="12"/>
  <c r="AG208" i="13"/>
  <c r="G208" i="13"/>
  <c r="D208" i="13" s="1"/>
  <c r="AA208" i="13"/>
  <c r="C208" i="13"/>
  <c r="B208" i="13"/>
  <c r="AG207" i="13"/>
  <c r="I207" i="13" s="1"/>
  <c r="W207" i="13"/>
  <c r="G207" i="13"/>
  <c r="D207" i="13" s="1"/>
  <c r="AA207" i="13"/>
  <c r="C207" i="13"/>
  <c r="B207" i="13"/>
  <c r="AG206" i="13"/>
  <c r="I206" i="13" s="1"/>
  <c r="W206" i="13"/>
  <c r="G206" i="13"/>
  <c r="D206" i="13" s="1"/>
  <c r="AA206" i="13"/>
  <c r="C206" i="13"/>
  <c r="B206" i="13"/>
  <c r="AG205" i="13"/>
  <c r="I205" i="13" s="1"/>
  <c r="W205" i="13"/>
  <c r="G205" i="13"/>
  <c r="D205" i="13" s="1"/>
  <c r="AA205" i="13"/>
  <c r="C205" i="13"/>
  <c r="B205" i="13"/>
  <c r="AG204" i="13"/>
  <c r="I204" i="13" s="1"/>
  <c r="W204" i="13"/>
  <c r="G204" i="13"/>
  <c r="D204" i="13" s="1"/>
  <c r="F204" i="13"/>
  <c r="AA204" i="13"/>
  <c r="C204" i="13"/>
  <c r="B204" i="13"/>
  <c r="AG203" i="13"/>
  <c r="I203" i="13" s="1"/>
  <c r="W203" i="13"/>
  <c r="G203" i="13"/>
  <c r="D203" i="13" s="1"/>
  <c r="F203" i="13"/>
  <c r="AA203" i="13"/>
  <c r="C203" i="13"/>
  <c r="B203" i="13"/>
  <c r="AG202" i="13"/>
  <c r="I202" i="13" s="1"/>
  <c r="W202" i="13"/>
  <c r="G202" i="13"/>
  <c r="D202" i="13" s="1"/>
  <c r="F202" i="13"/>
  <c r="AA202" i="13"/>
  <c r="C202" i="13"/>
  <c r="B202" i="13"/>
  <c r="AG201" i="13"/>
  <c r="I201" i="13" s="1"/>
  <c r="W201" i="13"/>
  <c r="G201" i="13"/>
  <c r="D201" i="13" s="1"/>
  <c r="F201" i="13"/>
  <c r="E201" i="13"/>
  <c r="AA201" i="13" s="1"/>
  <c r="C201" i="13"/>
  <c r="B201" i="13"/>
  <c r="A201" i="13"/>
  <c r="N208" i="10"/>
  <c r="N201" i="10"/>
  <c r="AL208" i="10"/>
  <c r="AK208" i="10"/>
  <c r="T208" i="10"/>
  <c r="K208" i="10"/>
  <c r="AL207" i="10"/>
  <c r="AK207" i="10"/>
  <c r="T207" i="10"/>
  <c r="N207" i="10"/>
  <c r="K207" i="10"/>
  <c r="AL206" i="10"/>
  <c r="AK206" i="10"/>
  <c r="T206" i="10"/>
  <c r="N206" i="10"/>
  <c r="K206" i="10"/>
  <c r="AL205" i="10"/>
  <c r="J205" i="10" s="1"/>
  <c r="AK205" i="10"/>
  <c r="T205" i="10"/>
  <c r="N205" i="10"/>
  <c r="K205" i="10"/>
  <c r="AL204" i="10"/>
  <c r="AK204" i="10"/>
  <c r="R204" i="10" s="1"/>
  <c r="T204" i="10"/>
  <c r="S204" i="10"/>
  <c r="N204" i="10"/>
  <c r="K204" i="10"/>
  <c r="AL203" i="10"/>
  <c r="AK203" i="10"/>
  <c r="T203" i="10"/>
  <c r="N203" i="10"/>
  <c r="K203" i="10"/>
  <c r="AL202" i="10"/>
  <c r="AK202" i="10"/>
  <c r="T202" i="10"/>
  <c r="N202" i="10"/>
  <c r="K202" i="10"/>
  <c r="AL201" i="10"/>
  <c r="J201" i="10" s="1"/>
  <c r="AK201" i="10"/>
  <c r="R201" i="10" s="1"/>
  <c r="T201" i="10"/>
  <c r="S201" i="10"/>
  <c r="K201" i="10"/>
  <c r="I201" i="10"/>
  <c r="D199" i="10"/>
  <c r="D200" i="10"/>
  <c r="D201" i="10"/>
  <c r="E12" i="9"/>
  <c r="G12" i="10" s="1"/>
  <c r="W146" i="9"/>
  <c r="W147" i="9"/>
  <c r="W148" i="9"/>
  <c r="W149" i="9"/>
  <c r="W150" i="9"/>
  <c r="W151" i="9"/>
  <c r="W152" i="9"/>
  <c r="W153" i="9"/>
  <c r="W154" i="9"/>
  <c r="W155" i="9"/>
  <c r="W156" i="9"/>
  <c r="W157" i="9"/>
  <c r="W158" i="9"/>
  <c r="W159" i="9"/>
  <c r="W160" i="9"/>
  <c r="W161" i="9"/>
  <c r="W162" i="9"/>
  <c r="W163" i="9"/>
  <c r="W164" i="9"/>
  <c r="W165" i="9"/>
  <c r="W166" i="9"/>
  <c r="W167" i="9"/>
  <c r="W168" i="9"/>
  <c r="W169" i="9"/>
  <c r="W170" i="9"/>
  <c r="W171" i="9"/>
  <c r="W172" i="9"/>
  <c r="W173" i="9"/>
  <c r="W174" i="9"/>
  <c r="W175" i="9"/>
  <c r="W176" i="9"/>
  <c r="W177" i="9"/>
  <c r="W178" i="9"/>
  <c r="W179" i="9"/>
  <c r="W180" i="9"/>
  <c r="W181" i="9"/>
  <c r="W182" i="9"/>
  <c r="W183" i="9"/>
  <c r="W184" i="9"/>
  <c r="W185" i="9"/>
  <c r="W186" i="9"/>
  <c r="W187" i="9"/>
  <c r="W188" i="9"/>
  <c r="W189" i="9"/>
  <c r="W190" i="9"/>
  <c r="W191" i="9"/>
  <c r="W192" i="9"/>
  <c r="W193" i="9"/>
  <c r="W194" i="9"/>
  <c r="W195" i="9"/>
  <c r="W196" i="9"/>
  <c r="W197" i="9"/>
  <c r="W198" i="9"/>
  <c r="W199" i="9"/>
  <c r="W200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D201" i="12"/>
  <c r="D202" i="12"/>
  <c r="D203" i="12"/>
  <c r="D204" i="12"/>
  <c r="D205" i="12"/>
  <c r="D206" i="12"/>
  <c r="D207" i="12"/>
  <c r="D208" i="12"/>
  <c r="Y263" i="5" l="1"/>
  <c r="E263" i="9"/>
  <c r="D264" i="5"/>
  <c r="G263" i="12"/>
  <c r="I13" i="5"/>
  <c r="I14" i="5"/>
  <c r="E262" i="9"/>
  <c r="G262" i="12"/>
  <c r="Y262" i="5"/>
  <c r="J12" i="5"/>
  <c r="G261" i="12"/>
  <c r="E261" i="9"/>
  <c r="Y261" i="5"/>
  <c r="G12" i="5"/>
  <c r="T12" i="5" s="1"/>
  <c r="F222" i="13"/>
  <c r="F229" i="10"/>
  <c r="AC220" i="10"/>
  <c r="AC215" i="10"/>
  <c r="AC218" i="10"/>
  <c r="F208" i="13"/>
  <c r="AC214" i="10"/>
  <c r="AC219" i="10"/>
  <c r="H219" i="5"/>
  <c r="I219" i="5" s="1"/>
  <c r="AC221" i="10"/>
  <c r="H221" i="5"/>
  <c r="I221" i="5" s="1"/>
  <c r="AC213" i="10"/>
  <c r="AG210" i="12"/>
  <c r="N210" i="13" s="1"/>
  <c r="S210" i="13" s="1"/>
  <c r="N210" i="5" s="1"/>
  <c r="AG209" i="12"/>
  <c r="N209" i="13" s="1"/>
  <c r="S209" i="13" s="1"/>
  <c r="N209" i="5" s="1"/>
  <c r="G210" i="10"/>
  <c r="G209" i="13"/>
  <c r="D209" i="13" s="1"/>
  <c r="F214" i="13"/>
  <c r="F221" i="10"/>
  <c r="F218" i="10"/>
  <c r="F211" i="13"/>
  <c r="F217" i="10"/>
  <c r="F210" i="13"/>
  <c r="F216" i="10"/>
  <c r="F209" i="13"/>
  <c r="F207" i="13"/>
  <c r="F215" i="13"/>
  <c r="AC217" i="10"/>
  <c r="H208" i="13"/>
  <c r="I208" i="13"/>
  <c r="I212" i="13"/>
  <c r="H212" i="13"/>
  <c r="I211" i="13"/>
  <c r="H211" i="13"/>
  <c r="H210" i="13"/>
  <c r="I210" i="13"/>
  <c r="I209" i="13"/>
  <c r="H209" i="13"/>
  <c r="F213" i="10"/>
  <c r="AG211" i="12"/>
  <c r="N211" i="13" s="1"/>
  <c r="S211" i="13" s="1"/>
  <c r="N211" i="5" s="1"/>
  <c r="AM211" i="12"/>
  <c r="Y204" i="10"/>
  <c r="Y210" i="10"/>
  <c r="F212" i="10"/>
  <c r="P209" i="10"/>
  <c r="P210" i="10"/>
  <c r="S211" i="10"/>
  <c r="Y211" i="10" s="1"/>
  <c r="P211" i="10"/>
  <c r="P212" i="10"/>
  <c r="R209" i="10"/>
  <c r="Y209" i="10" s="1"/>
  <c r="S212" i="10"/>
  <c r="Y212" i="10" s="1"/>
  <c r="AM210" i="12"/>
  <c r="AL210" i="12"/>
  <c r="AK212" i="12"/>
  <c r="AL212" i="12" s="1"/>
  <c r="AG212" i="12"/>
  <c r="N212" i="13" s="1"/>
  <c r="S212" i="13" s="1"/>
  <c r="N212" i="5" s="1"/>
  <c r="AM209" i="12"/>
  <c r="H207" i="13"/>
  <c r="M207" i="13" s="1"/>
  <c r="F207" i="5" s="1"/>
  <c r="R208" i="10"/>
  <c r="Y208" i="10" s="1"/>
  <c r="H203" i="13"/>
  <c r="M203" i="13" s="1"/>
  <c r="AG207" i="12"/>
  <c r="N207" i="13" s="1"/>
  <c r="S207" i="13" s="1"/>
  <c r="N207" i="5" s="1"/>
  <c r="AG203" i="12"/>
  <c r="N203" i="13" s="1"/>
  <c r="I202" i="10"/>
  <c r="J202" i="10"/>
  <c r="S202" i="10"/>
  <c r="R207" i="10"/>
  <c r="Y207" i="10" s="1"/>
  <c r="J208" i="10"/>
  <c r="A207" i="13"/>
  <c r="G13" i="12"/>
  <c r="G13" i="10"/>
  <c r="AG204" i="12"/>
  <c r="N204" i="13" s="1"/>
  <c r="S204" i="13" s="1"/>
  <c r="N204" i="5" s="1"/>
  <c r="AG202" i="12"/>
  <c r="N202" i="13" s="1"/>
  <c r="S202" i="13" s="1"/>
  <c r="N202" i="5" s="1"/>
  <c r="AM207" i="12"/>
  <c r="AG206" i="12"/>
  <c r="N206" i="13" s="1"/>
  <c r="S206" i="13" s="1"/>
  <c r="N206" i="5" s="1"/>
  <c r="AG208" i="12"/>
  <c r="AK202" i="12"/>
  <c r="AL202" i="12" s="1"/>
  <c r="AK208" i="12"/>
  <c r="AL208" i="12" s="1"/>
  <c r="AG205" i="12"/>
  <c r="N205" i="13" s="1"/>
  <c r="S205" i="13" s="1"/>
  <c r="N205" i="5" s="1"/>
  <c r="AG201" i="12"/>
  <c r="N201" i="13" s="1"/>
  <c r="S201" i="13" s="1"/>
  <c r="N201" i="5" s="1"/>
  <c r="J204" i="10"/>
  <c r="P204" i="10" s="1"/>
  <c r="Y201" i="10"/>
  <c r="R202" i="10"/>
  <c r="R205" i="10"/>
  <c r="J206" i="10"/>
  <c r="J207" i="10"/>
  <c r="P207" i="10" s="1"/>
  <c r="A204" i="13"/>
  <c r="H202" i="13"/>
  <c r="M202" i="13" s="1"/>
  <c r="F202" i="5" s="1"/>
  <c r="H205" i="13"/>
  <c r="M205" i="13" s="1"/>
  <c r="F205" i="5" s="1"/>
  <c r="I205" i="10"/>
  <c r="P205" i="10" s="1"/>
  <c r="R206" i="10"/>
  <c r="I206" i="10"/>
  <c r="A203" i="13"/>
  <c r="A208" i="13"/>
  <c r="I203" i="10"/>
  <c r="J203" i="10"/>
  <c r="S205" i="10"/>
  <c r="S206" i="10"/>
  <c r="R203" i="10"/>
  <c r="Y203" i="10" s="1"/>
  <c r="AL206" i="12"/>
  <c r="AM206" i="12"/>
  <c r="AK204" i="12"/>
  <c r="AL204" i="12" s="1"/>
  <c r="AL205" i="12"/>
  <c r="AK203" i="12"/>
  <c r="AL203" i="12" s="1"/>
  <c r="AK201" i="12"/>
  <c r="AL201" i="12" s="1"/>
  <c r="H206" i="13"/>
  <c r="M206" i="13" s="1"/>
  <c r="F206" i="5" s="1"/>
  <c r="H201" i="13"/>
  <c r="M201" i="13" s="1"/>
  <c r="F201" i="5" s="1"/>
  <c r="AA201" i="5" s="1"/>
  <c r="H204" i="13"/>
  <c r="M204" i="13" s="1"/>
  <c r="F204" i="5" s="1"/>
  <c r="P201" i="10"/>
  <c r="G264" i="12" l="1"/>
  <c r="D265" i="5"/>
  <c r="E264" i="9"/>
  <c r="Y264" i="5"/>
  <c r="F229" i="13"/>
  <c r="F236" i="10"/>
  <c r="F243" i="10" s="1"/>
  <c r="F203" i="5"/>
  <c r="AA203" i="5" s="1"/>
  <c r="S203" i="13"/>
  <c r="F221" i="13"/>
  <c r="F228" i="10"/>
  <c r="M209" i="13"/>
  <c r="F209" i="5" s="1"/>
  <c r="AA209" i="5" s="1"/>
  <c r="F216" i="13"/>
  <c r="F223" i="10"/>
  <c r="F217" i="13"/>
  <c r="F224" i="10"/>
  <c r="F231" i="10" s="1"/>
  <c r="F218" i="13"/>
  <c r="F225" i="10"/>
  <c r="M211" i="13"/>
  <c r="M208" i="13"/>
  <c r="AA204" i="5"/>
  <c r="AA206" i="5"/>
  <c r="AA205" i="5"/>
  <c r="N208" i="13"/>
  <c r="S208" i="13" s="1"/>
  <c r="N208" i="5" s="1"/>
  <c r="AA207" i="5"/>
  <c r="F213" i="13"/>
  <c r="F220" i="10"/>
  <c r="F227" i="10" s="1"/>
  <c r="F212" i="13"/>
  <c r="F219" i="10"/>
  <c r="G211" i="10"/>
  <c r="G210" i="13"/>
  <c r="D210" i="13" s="1"/>
  <c r="M210" i="13"/>
  <c r="F210" i="5" s="1"/>
  <c r="M212" i="13"/>
  <c r="F212" i="5" s="1"/>
  <c r="Z204" i="10"/>
  <c r="AA204" i="10" s="1"/>
  <c r="H204" i="5" s="1"/>
  <c r="I204" i="5" s="1"/>
  <c r="Z210" i="10"/>
  <c r="AA210" i="10" s="1"/>
  <c r="P208" i="10"/>
  <c r="Z208" i="10" s="1"/>
  <c r="AA208" i="10" s="1"/>
  <c r="H208" i="5" s="1"/>
  <c r="I208" i="5" s="1"/>
  <c r="Z201" i="10"/>
  <c r="AA201" i="10" s="1"/>
  <c r="H201" i="5" s="1"/>
  <c r="Z209" i="10"/>
  <c r="AA209" i="10" s="1"/>
  <c r="H209" i="5" s="1"/>
  <c r="I209" i="5" s="1"/>
  <c r="P202" i="10"/>
  <c r="Z211" i="10"/>
  <c r="AA211" i="10" s="1"/>
  <c r="H211" i="5" s="1"/>
  <c r="I211" i="5" s="1"/>
  <c r="Z212" i="10"/>
  <c r="AA212" i="10" s="1"/>
  <c r="H212" i="5" s="1"/>
  <c r="I212" i="5" s="1"/>
  <c r="AM212" i="12"/>
  <c r="AM204" i="12"/>
  <c r="AM202" i="12"/>
  <c r="Y202" i="10"/>
  <c r="AM208" i="12"/>
  <c r="AA202" i="5"/>
  <c r="Y205" i="10"/>
  <c r="Z205" i="10" s="1"/>
  <c r="AA205" i="10" s="1"/>
  <c r="H205" i="5" s="1"/>
  <c r="I205" i="5" s="1"/>
  <c r="P206" i="10"/>
  <c r="P203" i="10"/>
  <c r="Z203" i="10" s="1"/>
  <c r="AA203" i="10" s="1"/>
  <c r="H203" i="5" s="1"/>
  <c r="Z207" i="10"/>
  <c r="AA207" i="10" s="1"/>
  <c r="H207" i="5" s="1"/>
  <c r="I207" i="5" s="1"/>
  <c r="Y206" i="10"/>
  <c r="AM203" i="12"/>
  <c r="AM201" i="12"/>
  <c r="E265" i="9" l="1"/>
  <c r="G265" i="12"/>
  <c r="Y265" i="5"/>
  <c r="D266" i="5"/>
  <c r="F243" i="13"/>
  <c r="F250" i="10"/>
  <c r="F257" i="10" s="1"/>
  <c r="F236" i="13"/>
  <c r="F227" i="13"/>
  <c r="F234" i="10"/>
  <c r="F228" i="13"/>
  <c r="F235" i="10"/>
  <c r="F225" i="13"/>
  <c r="F232" i="10"/>
  <c r="F238" i="10"/>
  <c r="F231" i="13"/>
  <c r="N203" i="5"/>
  <c r="F224" i="13"/>
  <c r="F223" i="13"/>
  <c r="F230" i="10"/>
  <c r="AC210" i="10"/>
  <c r="H210" i="5"/>
  <c r="I210" i="5" s="1"/>
  <c r="F208" i="5"/>
  <c r="AA208" i="5" s="1"/>
  <c r="F211" i="5"/>
  <c r="AA211" i="5" s="1"/>
  <c r="F219" i="13"/>
  <c r="F226" i="10"/>
  <c r="F220" i="13"/>
  <c r="AA210" i="5"/>
  <c r="AA212" i="5"/>
  <c r="G212" i="10"/>
  <c r="G211" i="13"/>
  <c r="D211" i="13" s="1"/>
  <c r="AC209" i="10"/>
  <c r="AC212" i="10"/>
  <c r="AC211" i="10"/>
  <c r="Z202" i="10"/>
  <c r="AA202" i="10" s="1"/>
  <c r="H202" i="5" s="1"/>
  <c r="Z206" i="10"/>
  <c r="AA206" i="10" s="1"/>
  <c r="H206" i="5" s="1"/>
  <c r="I206" i="5" s="1"/>
  <c r="F257" i="13" l="1"/>
  <c r="F264" i="10"/>
  <c r="G266" i="12"/>
  <c r="Y266" i="5"/>
  <c r="D267" i="5"/>
  <c r="E266" i="9"/>
  <c r="H15" i="14"/>
  <c r="F250" i="13"/>
  <c r="F238" i="13"/>
  <c r="F245" i="10"/>
  <c r="H12" i="5"/>
  <c r="F12" i="5"/>
  <c r="U12" i="5" s="1"/>
  <c r="F230" i="13"/>
  <c r="F237" i="10"/>
  <c r="F239" i="10"/>
  <c r="F232" i="13"/>
  <c r="F242" i="10"/>
  <c r="F235" i="13"/>
  <c r="F234" i="13"/>
  <c r="F241" i="10"/>
  <c r="F226" i="13"/>
  <c r="F233" i="10"/>
  <c r="G213" i="10"/>
  <c r="G212" i="13"/>
  <c r="D212" i="13" s="1"/>
  <c r="W144" i="9"/>
  <c r="W145" i="9"/>
  <c r="W143" i="9"/>
  <c r="AB144" i="10"/>
  <c r="AB145" i="10"/>
  <c r="AB146" i="10"/>
  <c r="AB147" i="10"/>
  <c r="AB148" i="10"/>
  <c r="AB149" i="10"/>
  <c r="AB150" i="10"/>
  <c r="AB151" i="10"/>
  <c r="AB152" i="10"/>
  <c r="AB153" i="10"/>
  <c r="AB154" i="10"/>
  <c r="AB155" i="10"/>
  <c r="AB156" i="10"/>
  <c r="AB157" i="10"/>
  <c r="AB158" i="10"/>
  <c r="AB159" i="10"/>
  <c r="AB160" i="10"/>
  <c r="AB161" i="10"/>
  <c r="AB162" i="10"/>
  <c r="AB163" i="10"/>
  <c r="AB164" i="10"/>
  <c r="AB165" i="10"/>
  <c r="AB166" i="10"/>
  <c r="AB167" i="10"/>
  <c r="AB168" i="10"/>
  <c r="AB169" i="10"/>
  <c r="AB170" i="10"/>
  <c r="AB143" i="10"/>
  <c r="F264" i="13" l="1"/>
  <c r="F271" i="10"/>
  <c r="G267" i="12"/>
  <c r="D268" i="5"/>
  <c r="E267" i="9"/>
  <c r="Y267" i="5"/>
  <c r="F245" i="13"/>
  <c r="F252" i="10"/>
  <c r="F239" i="13"/>
  <c r="F246" i="10"/>
  <c r="F237" i="13"/>
  <c r="F244" i="10"/>
  <c r="F251" i="10" s="1"/>
  <c r="F241" i="13"/>
  <c r="F248" i="10"/>
  <c r="F242" i="13"/>
  <c r="F249" i="10"/>
  <c r="F240" i="10"/>
  <c r="F233" i="13"/>
  <c r="G214" i="10"/>
  <c r="G213" i="13"/>
  <c r="D213" i="13" s="1"/>
  <c r="G6" i="14"/>
  <c r="C7" i="5"/>
  <c r="Q7" i="5" s="1"/>
  <c r="C8" i="5"/>
  <c r="Q8" i="5" s="1"/>
  <c r="C9" i="5"/>
  <c r="Q9" i="5" s="1"/>
  <c r="C10" i="5"/>
  <c r="Q10" i="5" s="1"/>
  <c r="G8" i="13"/>
  <c r="F8" i="13" s="1"/>
  <c r="G9" i="13"/>
  <c r="F9" i="13" s="1"/>
  <c r="G10" i="13"/>
  <c r="F10" i="13" s="1"/>
  <c r="G11" i="13"/>
  <c r="F11" i="13" s="1"/>
  <c r="B112" i="9"/>
  <c r="D112" i="12" s="1"/>
  <c r="B113" i="9"/>
  <c r="D113" i="12" s="1"/>
  <c r="B114" i="9"/>
  <c r="D114" i="12" s="1"/>
  <c r="B115" i="9"/>
  <c r="D115" i="12" s="1"/>
  <c r="B116" i="9"/>
  <c r="D116" i="12" s="1"/>
  <c r="B117" i="9"/>
  <c r="D117" i="12" s="1"/>
  <c r="B118" i="9"/>
  <c r="D118" i="10" s="1"/>
  <c r="B119" i="9"/>
  <c r="D119" i="10" s="1"/>
  <c r="B120" i="9"/>
  <c r="D120" i="12" s="1"/>
  <c r="B121" i="9"/>
  <c r="D121" i="12" s="1"/>
  <c r="B122" i="9"/>
  <c r="D122" i="12" s="1"/>
  <c r="B123" i="9"/>
  <c r="D123" i="12" s="1"/>
  <c r="B124" i="9"/>
  <c r="D124" i="12" s="1"/>
  <c r="B125" i="9"/>
  <c r="D125" i="10" s="1"/>
  <c r="B126" i="9"/>
  <c r="D126" i="10" s="1"/>
  <c r="B127" i="9"/>
  <c r="D127" i="10" s="1"/>
  <c r="B128" i="9"/>
  <c r="D128" i="12" s="1"/>
  <c r="B129" i="9"/>
  <c r="D129" i="12" s="1"/>
  <c r="B130" i="9"/>
  <c r="D130" i="12" s="1"/>
  <c r="B131" i="9"/>
  <c r="D131" i="12" s="1"/>
  <c r="B132" i="9"/>
  <c r="D132" i="12" s="1"/>
  <c r="B133" i="9"/>
  <c r="D133" i="12" s="1"/>
  <c r="B134" i="9"/>
  <c r="D134" i="10" s="1"/>
  <c r="B135" i="9"/>
  <c r="D135" i="10" s="1"/>
  <c r="B136" i="9"/>
  <c r="D136" i="12" s="1"/>
  <c r="B137" i="9"/>
  <c r="D137" i="12" s="1"/>
  <c r="B138" i="9"/>
  <c r="D138" i="12" s="1"/>
  <c r="B139" i="9"/>
  <c r="D139" i="12" s="1"/>
  <c r="B140" i="9"/>
  <c r="D140" i="12" s="1"/>
  <c r="B141" i="9"/>
  <c r="D141" i="10" s="1"/>
  <c r="B142" i="9"/>
  <c r="D142" i="10" s="1"/>
  <c r="B143" i="9"/>
  <c r="D143" i="10" s="1"/>
  <c r="B144" i="9"/>
  <c r="D144" i="12" s="1"/>
  <c r="B145" i="9"/>
  <c r="D145" i="12" s="1"/>
  <c r="B146" i="9"/>
  <c r="D146" i="12" s="1"/>
  <c r="B147" i="9"/>
  <c r="D147" i="12" s="1"/>
  <c r="B148" i="9"/>
  <c r="D148" i="12" s="1"/>
  <c r="B149" i="9"/>
  <c r="D149" i="12" s="1"/>
  <c r="B150" i="9"/>
  <c r="D150" i="10" s="1"/>
  <c r="B151" i="9"/>
  <c r="D151" i="10" s="1"/>
  <c r="B152" i="9"/>
  <c r="D152" i="12" s="1"/>
  <c r="B153" i="9"/>
  <c r="D153" i="12" s="1"/>
  <c r="B154" i="9"/>
  <c r="D154" i="12" s="1"/>
  <c r="B155" i="9"/>
  <c r="D155" i="12" s="1"/>
  <c r="B156" i="9"/>
  <c r="D156" i="12" s="1"/>
  <c r="B157" i="9"/>
  <c r="D157" i="10" s="1"/>
  <c r="B158" i="9"/>
  <c r="D158" i="10" s="1"/>
  <c r="B159" i="9"/>
  <c r="D159" i="10" s="1"/>
  <c r="B160" i="9"/>
  <c r="D160" i="12" s="1"/>
  <c r="B161" i="9"/>
  <c r="D161" i="12" s="1"/>
  <c r="B162" i="9"/>
  <c r="D162" i="12" s="1"/>
  <c r="B163" i="9"/>
  <c r="D163" i="12" s="1"/>
  <c r="B164" i="9"/>
  <c r="D164" i="12" s="1"/>
  <c r="B165" i="9"/>
  <c r="D165" i="10" s="1"/>
  <c r="B166" i="9"/>
  <c r="D166" i="10" s="1"/>
  <c r="B167" i="9"/>
  <c r="D167" i="10" s="1"/>
  <c r="B168" i="9"/>
  <c r="D168" i="12" s="1"/>
  <c r="B169" i="9"/>
  <c r="D169" i="12" s="1"/>
  <c r="B170" i="9"/>
  <c r="D170" i="12" s="1"/>
  <c r="E8" i="9"/>
  <c r="E9" i="9"/>
  <c r="G9" i="12" s="1"/>
  <c r="E10" i="9"/>
  <c r="G10" i="12" s="1"/>
  <c r="E11" i="9"/>
  <c r="G11" i="12" s="1"/>
  <c r="G172" i="5"/>
  <c r="J172" i="5"/>
  <c r="G173" i="5"/>
  <c r="J173" i="5"/>
  <c r="G174" i="5"/>
  <c r="J174" i="5"/>
  <c r="G175" i="5"/>
  <c r="J175" i="5"/>
  <c r="G176" i="5"/>
  <c r="J176" i="5"/>
  <c r="G177" i="5"/>
  <c r="J177" i="5"/>
  <c r="G178" i="5"/>
  <c r="J178" i="5"/>
  <c r="G179" i="5"/>
  <c r="J179" i="5"/>
  <c r="G180" i="5"/>
  <c r="J180" i="5"/>
  <c r="G181" i="5"/>
  <c r="J181" i="5"/>
  <c r="G182" i="5"/>
  <c r="J182" i="5"/>
  <c r="G183" i="5"/>
  <c r="J183" i="5"/>
  <c r="G184" i="5"/>
  <c r="J184" i="5"/>
  <c r="G185" i="5"/>
  <c r="J185" i="5"/>
  <c r="G186" i="5"/>
  <c r="J186" i="5"/>
  <c r="G187" i="5"/>
  <c r="J187" i="5"/>
  <c r="G188" i="5"/>
  <c r="J188" i="5"/>
  <c r="G189" i="5"/>
  <c r="J189" i="5"/>
  <c r="G190" i="5"/>
  <c r="J190" i="5"/>
  <c r="G191" i="5"/>
  <c r="J191" i="5"/>
  <c r="G192" i="5"/>
  <c r="J192" i="5"/>
  <c r="G193" i="5"/>
  <c r="J193" i="5"/>
  <c r="G194" i="5"/>
  <c r="J194" i="5"/>
  <c r="G195" i="5"/>
  <c r="J195" i="5"/>
  <c r="G196" i="5"/>
  <c r="J196" i="5"/>
  <c r="G197" i="5"/>
  <c r="J197" i="5"/>
  <c r="G198" i="5"/>
  <c r="J198" i="5"/>
  <c r="G199" i="5"/>
  <c r="J199" i="5"/>
  <c r="G200" i="5"/>
  <c r="J200" i="5"/>
  <c r="AG196" i="13"/>
  <c r="H196" i="13" s="1"/>
  <c r="AG197" i="13"/>
  <c r="I197" i="13" s="1"/>
  <c r="AG198" i="13"/>
  <c r="H198" i="13" s="1"/>
  <c r="AG199" i="13"/>
  <c r="H199" i="13" s="1"/>
  <c r="AG200" i="13"/>
  <c r="H200" i="13" s="1"/>
  <c r="W194" i="13"/>
  <c r="W195" i="13"/>
  <c r="W196" i="13"/>
  <c r="W197" i="13"/>
  <c r="W198" i="13"/>
  <c r="W199" i="13"/>
  <c r="W200" i="13"/>
  <c r="A172" i="13"/>
  <c r="B172" i="13"/>
  <c r="C172" i="13"/>
  <c r="E172" i="13"/>
  <c r="AA172" i="13" s="1"/>
  <c r="F172" i="13"/>
  <c r="G172" i="13"/>
  <c r="D172" i="13" s="1"/>
  <c r="A173" i="13"/>
  <c r="B173" i="13"/>
  <c r="C173" i="13"/>
  <c r="E173" i="13"/>
  <c r="F173" i="13"/>
  <c r="G173" i="13"/>
  <c r="D173" i="13" s="1"/>
  <c r="A174" i="13"/>
  <c r="B174" i="13"/>
  <c r="C174" i="13"/>
  <c r="E174" i="13"/>
  <c r="F174" i="13"/>
  <c r="G174" i="13"/>
  <c r="D174" i="13" s="1"/>
  <c r="A175" i="13"/>
  <c r="B175" i="13"/>
  <c r="C175" i="13"/>
  <c r="E175" i="13"/>
  <c r="F175" i="13"/>
  <c r="G175" i="13"/>
  <c r="D175" i="13" s="1"/>
  <c r="A176" i="13"/>
  <c r="B176" i="13"/>
  <c r="C176" i="13"/>
  <c r="E176" i="13"/>
  <c r="F176" i="13"/>
  <c r="G176" i="13"/>
  <c r="D176" i="13" s="1"/>
  <c r="A177" i="13"/>
  <c r="B177" i="13"/>
  <c r="C177" i="13"/>
  <c r="E177" i="13"/>
  <c r="F177" i="13"/>
  <c r="G177" i="13"/>
  <c r="D177" i="13" s="1"/>
  <c r="A178" i="13"/>
  <c r="B178" i="13"/>
  <c r="C178" i="13"/>
  <c r="E178" i="13"/>
  <c r="F178" i="13"/>
  <c r="G178" i="13"/>
  <c r="D178" i="13" s="1"/>
  <c r="A179" i="13"/>
  <c r="B179" i="13"/>
  <c r="C179" i="13"/>
  <c r="E179" i="13"/>
  <c r="F179" i="13"/>
  <c r="G179" i="13"/>
  <c r="D179" i="13" s="1"/>
  <c r="A180" i="13"/>
  <c r="B180" i="13"/>
  <c r="C180" i="13"/>
  <c r="E180" i="13"/>
  <c r="F180" i="13"/>
  <c r="G180" i="13"/>
  <c r="D180" i="13" s="1"/>
  <c r="A181" i="13"/>
  <c r="B181" i="13"/>
  <c r="C181" i="13"/>
  <c r="E181" i="13"/>
  <c r="F181" i="13"/>
  <c r="G181" i="13"/>
  <c r="D181" i="13" s="1"/>
  <c r="A182" i="13"/>
  <c r="B182" i="13"/>
  <c r="C182" i="13"/>
  <c r="E182" i="13"/>
  <c r="F182" i="13"/>
  <c r="G182" i="13"/>
  <c r="D182" i="13" s="1"/>
  <c r="A183" i="13"/>
  <c r="B183" i="13"/>
  <c r="C183" i="13"/>
  <c r="E183" i="13"/>
  <c r="F183" i="13"/>
  <c r="G183" i="13"/>
  <c r="D183" i="13" s="1"/>
  <c r="A184" i="13"/>
  <c r="B184" i="13"/>
  <c r="C184" i="13"/>
  <c r="E184" i="13"/>
  <c r="F184" i="13"/>
  <c r="G184" i="13"/>
  <c r="D184" i="13" s="1"/>
  <c r="A185" i="13"/>
  <c r="B185" i="13"/>
  <c r="C185" i="13"/>
  <c r="E185" i="13"/>
  <c r="F185" i="13"/>
  <c r="G185" i="13"/>
  <c r="D185" i="13" s="1"/>
  <c r="A186" i="13"/>
  <c r="B186" i="13"/>
  <c r="C186" i="13"/>
  <c r="E186" i="13"/>
  <c r="F186" i="13"/>
  <c r="G186" i="13"/>
  <c r="D186" i="13" s="1"/>
  <c r="A187" i="13"/>
  <c r="B187" i="13"/>
  <c r="C187" i="13"/>
  <c r="E187" i="13"/>
  <c r="F187" i="13"/>
  <c r="G187" i="13"/>
  <c r="D187" i="13" s="1"/>
  <c r="A188" i="13"/>
  <c r="B188" i="13"/>
  <c r="C188" i="13"/>
  <c r="E188" i="13"/>
  <c r="F188" i="13"/>
  <c r="G188" i="13"/>
  <c r="D188" i="13" s="1"/>
  <c r="A189" i="13"/>
  <c r="B189" i="13"/>
  <c r="C189" i="13"/>
  <c r="E189" i="13"/>
  <c r="F189" i="13"/>
  <c r="G189" i="13"/>
  <c r="D189" i="13" s="1"/>
  <c r="A190" i="13"/>
  <c r="B190" i="13"/>
  <c r="C190" i="13"/>
  <c r="E190" i="13"/>
  <c r="F190" i="13"/>
  <c r="G190" i="13"/>
  <c r="D190" i="13" s="1"/>
  <c r="A191" i="13"/>
  <c r="B191" i="13"/>
  <c r="C191" i="13"/>
  <c r="E191" i="13"/>
  <c r="F191" i="13"/>
  <c r="G191" i="13"/>
  <c r="D191" i="13" s="1"/>
  <c r="A192" i="13"/>
  <c r="B192" i="13"/>
  <c r="C192" i="13"/>
  <c r="E192" i="13"/>
  <c r="F192" i="13"/>
  <c r="G192" i="13"/>
  <c r="D192" i="13" s="1"/>
  <c r="A193" i="13"/>
  <c r="B193" i="13"/>
  <c r="C193" i="13"/>
  <c r="E193" i="13"/>
  <c r="F193" i="13"/>
  <c r="G193" i="13"/>
  <c r="D193" i="13" s="1"/>
  <c r="A194" i="13"/>
  <c r="B194" i="13"/>
  <c r="C194" i="13"/>
  <c r="E194" i="13"/>
  <c r="AA194" i="13" s="1"/>
  <c r="F194" i="13"/>
  <c r="G194" i="13"/>
  <c r="D194" i="13" s="1"/>
  <c r="A195" i="13"/>
  <c r="B195" i="13"/>
  <c r="C195" i="13"/>
  <c r="E195" i="13"/>
  <c r="AA195" i="13" s="1"/>
  <c r="F195" i="13"/>
  <c r="G195" i="13"/>
  <c r="D195" i="13" s="1"/>
  <c r="A196" i="13"/>
  <c r="B196" i="13"/>
  <c r="C196" i="13"/>
  <c r="E196" i="13"/>
  <c r="AA196" i="13" s="1"/>
  <c r="F196" i="13"/>
  <c r="G196" i="13"/>
  <c r="D196" i="13" s="1"/>
  <c r="A197" i="13"/>
  <c r="B197" i="13"/>
  <c r="C197" i="13"/>
  <c r="E197" i="13"/>
  <c r="AA197" i="13" s="1"/>
  <c r="F197" i="13"/>
  <c r="G197" i="13"/>
  <c r="D197" i="13" s="1"/>
  <c r="A198" i="13"/>
  <c r="B198" i="13"/>
  <c r="C198" i="13"/>
  <c r="E198" i="13"/>
  <c r="AA198" i="13" s="1"/>
  <c r="F198" i="13"/>
  <c r="G198" i="13"/>
  <c r="D198" i="13" s="1"/>
  <c r="A199" i="13"/>
  <c r="B199" i="13"/>
  <c r="C199" i="13"/>
  <c r="E199" i="13"/>
  <c r="AA199" i="13" s="1"/>
  <c r="F199" i="13"/>
  <c r="G199" i="13"/>
  <c r="D199" i="13" s="1"/>
  <c r="A200" i="13"/>
  <c r="B200" i="13"/>
  <c r="C200" i="13"/>
  <c r="E200" i="13"/>
  <c r="AA200" i="13" s="1"/>
  <c r="F200" i="13"/>
  <c r="G200" i="13"/>
  <c r="D200" i="13" s="1"/>
  <c r="AF195" i="12"/>
  <c r="AF196" i="12"/>
  <c r="AF197" i="12"/>
  <c r="AF198" i="12"/>
  <c r="AF199" i="12"/>
  <c r="AF200" i="12"/>
  <c r="AE196" i="12"/>
  <c r="AE197" i="12"/>
  <c r="AE198" i="12"/>
  <c r="AE199" i="12"/>
  <c r="AE200" i="12"/>
  <c r="AD199" i="12"/>
  <c r="AK199" i="12" s="1"/>
  <c r="AL199" i="12" s="1"/>
  <c r="AD200" i="12"/>
  <c r="AK200" i="12" s="1"/>
  <c r="AL200" i="12" s="1"/>
  <c r="AD197" i="12"/>
  <c r="AK197" i="12" s="1"/>
  <c r="AL197" i="12" s="1"/>
  <c r="AD198" i="12"/>
  <c r="AK198" i="12" s="1"/>
  <c r="AL198" i="12" s="1"/>
  <c r="E171" i="13"/>
  <c r="AK195" i="10"/>
  <c r="AL195" i="10"/>
  <c r="AK196" i="10"/>
  <c r="R196" i="10" s="1"/>
  <c r="AL196" i="10"/>
  <c r="J196" i="10" s="1"/>
  <c r="AK197" i="10"/>
  <c r="R197" i="10" s="1"/>
  <c r="AL197" i="10"/>
  <c r="J197" i="10" s="1"/>
  <c r="AK198" i="10"/>
  <c r="R198" i="10" s="1"/>
  <c r="AL198" i="10"/>
  <c r="J198" i="10" s="1"/>
  <c r="AK199" i="10"/>
  <c r="R199" i="10" s="1"/>
  <c r="AL199" i="10"/>
  <c r="J199" i="10" s="1"/>
  <c r="AK200" i="10"/>
  <c r="R200" i="10" s="1"/>
  <c r="AL200" i="10"/>
  <c r="J200" i="10" s="1"/>
  <c r="I197" i="10"/>
  <c r="I196" i="10"/>
  <c r="K196" i="10"/>
  <c r="N196" i="10"/>
  <c r="S196" i="10"/>
  <c r="T196" i="10"/>
  <c r="K197" i="10"/>
  <c r="N197" i="10"/>
  <c r="S197" i="10"/>
  <c r="T197" i="10"/>
  <c r="I198" i="10"/>
  <c r="K198" i="10"/>
  <c r="N198" i="10"/>
  <c r="S198" i="10"/>
  <c r="T198" i="10"/>
  <c r="I199" i="10"/>
  <c r="K199" i="10"/>
  <c r="N199" i="10"/>
  <c r="S199" i="10"/>
  <c r="T199" i="10"/>
  <c r="I200" i="10"/>
  <c r="K200" i="10"/>
  <c r="N200" i="10"/>
  <c r="S200" i="10"/>
  <c r="T200" i="10"/>
  <c r="Z197" i="5"/>
  <c r="Z198" i="5"/>
  <c r="Z199" i="5"/>
  <c r="Z200" i="5"/>
  <c r="W188" i="13"/>
  <c r="AG188" i="13"/>
  <c r="H188" i="13" s="1"/>
  <c r="W189" i="13"/>
  <c r="AG189" i="13"/>
  <c r="H189" i="13" s="1"/>
  <c r="W190" i="13"/>
  <c r="AG190" i="13"/>
  <c r="H190" i="13" s="1"/>
  <c r="W191" i="13"/>
  <c r="AG191" i="13"/>
  <c r="H191" i="13" s="1"/>
  <c r="W192" i="13"/>
  <c r="AG192" i="13"/>
  <c r="H192" i="13" s="1"/>
  <c r="W193" i="13"/>
  <c r="AG193" i="13"/>
  <c r="AG194" i="13"/>
  <c r="H194" i="13" s="1"/>
  <c r="AG195" i="13"/>
  <c r="H195" i="13" s="1"/>
  <c r="AD189" i="12"/>
  <c r="AK189" i="12" s="1"/>
  <c r="AL189" i="12" s="1"/>
  <c r="AE189" i="12"/>
  <c r="AF189" i="12"/>
  <c r="AD190" i="12"/>
  <c r="AK190" i="12" s="1"/>
  <c r="AE190" i="12"/>
  <c r="AF190" i="12"/>
  <c r="AD191" i="12"/>
  <c r="AK191" i="12" s="1"/>
  <c r="AE191" i="12"/>
  <c r="AF191" i="12"/>
  <c r="AD192" i="12"/>
  <c r="AE192" i="12"/>
  <c r="AF192" i="12"/>
  <c r="AD193" i="12"/>
  <c r="AE193" i="12"/>
  <c r="AF193" i="12"/>
  <c r="AD194" i="12"/>
  <c r="AE194" i="12"/>
  <c r="AF194" i="12"/>
  <c r="AD195" i="12"/>
  <c r="AK195" i="12" s="1"/>
  <c r="AE195" i="12"/>
  <c r="AD196" i="12"/>
  <c r="AK196" i="12" s="1"/>
  <c r="K189" i="10"/>
  <c r="N189" i="10"/>
  <c r="T189" i="10"/>
  <c r="AK189" i="10"/>
  <c r="AL189" i="10"/>
  <c r="K190" i="10"/>
  <c r="N190" i="10"/>
  <c r="T190" i="10"/>
  <c r="AK190" i="10"/>
  <c r="AL190" i="10"/>
  <c r="K191" i="10"/>
  <c r="N191" i="10"/>
  <c r="T191" i="10"/>
  <c r="AK191" i="10"/>
  <c r="AL191" i="10"/>
  <c r="K192" i="10"/>
  <c r="N192" i="10"/>
  <c r="T192" i="10"/>
  <c r="AK192" i="10"/>
  <c r="AL192" i="10"/>
  <c r="K193" i="10"/>
  <c r="N193" i="10"/>
  <c r="T193" i="10"/>
  <c r="AK193" i="10"/>
  <c r="AL193" i="10"/>
  <c r="K194" i="10"/>
  <c r="N194" i="10"/>
  <c r="T194" i="10"/>
  <c r="AK194" i="10"/>
  <c r="AL194" i="10"/>
  <c r="K195" i="10"/>
  <c r="N195" i="10"/>
  <c r="T195" i="10"/>
  <c r="Z189" i="5"/>
  <c r="Z190" i="5"/>
  <c r="Z191" i="5"/>
  <c r="Z192" i="5"/>
  <c r="Z193" i="5"/>
  <c r="Z194" i="5"/>
  <c r="Z195" i="5"/>
  <c r="Z196" i="5"/>
  <c r="W176" i="13"/>
  <c r="AG176" i="13"/>
  <c r="H176" i="13" s="1"/>
  <c r="W177" i="13"/>
  <c r="AG177" i="13"/>
  <c r="I177" i="13" s="1"/>
  <c r="W178" i="13"/>
  <c r="AG178" i="13"/>
  <c r="H178" i="13" s="1"/>
  <c r="W179" i="13"/>
  <c r="AG179" i="13"/>
  <c r="H179" i="13" s="1"/>
  <c r="W180" i="13"/>
  <c r="AG180" i="13"/>
  <c r="I180" i="13" s="1"/>
  <c r="W181" i="13"/>
  <c r="AG181" i="13"/>
  <c r="I181" i="13" s="1"/>
  <c r="W182" i="13"/>
  <c r="AG182" i="13"/>
  <c r="W183" i="13"/>
  <c r="AG183" i="13"/>
  <c r="H183" i="13" s="1"/>
  <c r="W184" i="13"/>
  <c r="AG184" i="13"/>
  <c r="H184" i="13" s="1"/>
  <c r="W185" i="13"/>
  <c r="AG185" i="13"/>
  <c r="I185" i="13" s="1"/>
  <c r="W186" i="13"/>
  <c r="AG186" i="13"/>
  <c r="H186" i="13" s="1"/>
  <c r="W187" i="13"/>
  <c r="AG187" i="13"/>
  <c r="H187" i="13" s="1"/>
  <c r="AK172" i="10"/>
  <c r="R172" i="10" s="1"/>
  <c r="AL172" i="10"/>
  <c r="J172" i="10" s="1"/>
  <c r="AK173" i="10"/>
  <c r="AL173" i="10"/>
  <c r="J173" i="10" s="1"/>
  <c r="AK174" i="10"/>
  <c r="AL174" i="10"/>
  <c r="AK175" i="10"/>
  <c r="AL175" i="10"/>
  <c r="AK176" i="10"/>
  <c r="AL176" i="10"/>
  <c r="AK177" i="10"/>
  <c r="AL177" i="10"/>
  <c r="AK178" i="10"/>
  <c r="AL178" i="10"/>
  <c r="AK179" i="10"/>
  <c r="AL179" i="10"/>
  <c r="AK180" i="10"/>
  <c r="AL180" i="10"/>
  <c r="AK181" i="10"/>
  <c r="AL181" i="10"/>
  <c r="AK182" i="10"/>
  <c r="AL182" i="10"/>
  <c r="AK183" i="10"/>
  <c r="AL183" i="10"/>
  <c r="AK184" i="10"/>
  <c r="AL184" i="10"/>
  <c r="T176" i="10"/>
  <c r="T177" i="10"/>
  <c r="T178" i="10"/>
  <c r="T179" i="10"/>
  <c r="T180" i="10"/>
  <c r="T181" i="10"/>
  <c r="T182" i="10"/>
  <c r="T183" i="10"/>
  <c r="T184" i="10"/>
  <c r="K176" i="10"/>
  <c r="K177" i="10"/>
  <c r="K178" i="10"/>
  <c r="K179" i="10"/>
  <c r="K180" i="10"/>
  <c r="K181" i="10"/>
  <c r="K182" i="10"/>
  <c r="K183" i="10"/>
  <c r="K184" i="10"/>
  <c r="K185" i="10"/>
  <c r="K186" i="10"/>
  <c r="N176" i="10"/>
  <c r="N177" i="10"/>
  <c r="N178" i="10"/>
  <c r="N179" i="10"/>
  <c r="N180" i="10"/>
  <c r="N181" i="10"/>
  <c r="N182" i="10"/>
  <c r="N183" i="10"/>
  <c r="N184" i="10"/>
  <c r="AE172" i="12"/>
  <c r="AF172" i="12"/>
  <c r="AE173" i="12"/>
  <c r="AF173" i="12"/>
  <c r="AE174" i="12"/>
  <c r="AF174" i="12"/>
  <c r="AE175" i="12"/>
  <c r="AF175" i="12"/>
  <c r="AE176" i="12"/>
  <c r="AF176" i="12"/>
  <c r="AE177" i="12"/>
  <c r="AF177" i="12"/>
  <c r="AE178" i="12"/>
  <c r="AF178" i="12"/>
  <c r="AE179" i="12"/>
  <c r="AF179" i="12"/>
  <c r="AE180" i="12"/>
  <c r="AF180" i="12"/>
  <c r="AE181" i="12"/>
  <c r="AF181" i="12"/>
  <c r="AE182" i="12"/>
  <c r="AF182" i="12"/>
  <c r="AE183" i="12"/>
  <c r="AF183" i="12"/>
  <c r="AE184" i="12"/>
  <c r="AF184" i="12"/>
  <c r="AE185" i="12"/>
  <c r="AF185" i="12"/>
  <c r="AE186" i="12"/>
  <c r="AF186" i="12"/>
  <c r="AE187" i="12"/>
  <c r="AF187" i="12"/>
  <c r="AE188" i="12"/>
  <c r="AF188" i="12"/>
  <c r="AD176" i="12"/>
  <c r="AD177" i="12"/>
  <c r="AK177" i="12" s="1"/>
  <c r="AL177" i="12" s="1"/>
  <c r="AD178" i="12"/>
  <c r="AK178" i="12" s="1"/>
  <c r="AL178" i="12" s="1"/>
  <c r="AD179" i="12"/>
  <c r="AK179" i="12" s="1"/>
  <c r="AM179" i="12" s="1"/>
  <c r="AD180" i="12"/>
  <c r="AK180" i="12" s="1"/>
  <c r="AL180" i="12" s="1"/>
  <c r="AD181" i="12"/>
  <c r="AK181" i="12" s="1"/>
  <c r="AD182" i="12"/>
  <c r="AK182" i="12" s="1"/>
  <c r="AD183" i="12"/>
  <c r="AK183" i="12" s="1"/>
  <c r="AL183" i="12" s="1"/>
  <c r="AD184" i="12"/>
  <c r="AK184" i="12" s="1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J143" i="5"/>
  <c r="J171" i="5"/>
  <c r="F17" i="14"/>
  <c r="F16" i="14"/>
  <c r="K188" i="10"/>
  <c r="K187" i="10"/>
  <c r="K175" i="10"/>
  <c r="K174" i="10"/>
  <c r="K173" i="10"/>
  <c r="K172" i="10"/>
  <c r="AL188" i="10"/>
  <c r="AL187" i="10"/>
  <c r="AL186" i="10"/>
  <c r="AL185" i="10"/>
  <c r="AL171" i="10"/>
  <c r="J171" i="10" s="1"/>
  <c r="K171" i="10"/>
  <c r="C11" i="5"/>
  <c r="Q11" i="5" s="1"/>
  <c r="AG172" i="13"/>
  <c r="H172" i="13" s="1"/>
  <c r="AG173" i="13"/>
  <c r="I173" i="13" s="1"/>
  <c r="AG174" i="13"/>
  <c r="H174" i="13" s="1"/>
  <c r="AG175" i="13"/>
  <c r="H175" i="13" s="1"/>
  <c r="AD174" i="12"/>
  <c r="AK174" i="12" s="1"/>
  <c r="AD172" i="12"/>
  <c r="AK172" i="12" s="1"/>
  <c r="AL172" i="12" s="1"/>
  <c r="AD173" i="12"/>
  <c r="AK173" i="12" s="1"/>
  <c r="AL173" i="12" s="1"/>
  <c r="AD175" i="12"/>
  <c r="AK175" i="12" s="1"/>
  <c r="AM175" i="12" s="1"/>
  <c r="AD185" i="12"/>
  <c r="AK185" i="12" s="1"/>
  <c r="AL185" i="12" s="1"/>
  <c r="AD186" i="12"/>
  <c r="AD187" i="12"/>
  <c r="AK187" i="12" s="1"/>
  <c r="AL187" i="12" s="1"/>
  <c r="AD188" i="12"/>
  <c r="AK188" i="12" s="1"/>
  <c r="AL188" i="12" s="1"/>
  <c r="W172" i="13"/>
  <c r="W173" i="13"/>
  <c r="W174" i="13"/>
  <c r="W175" i="13"/>
  <c r="N186" i="10"/>
  <c r="N187" i="10"/>
  <c r="N188" i="10"/>
  <c r="N174" i="10"/>
  <c r="N172" i="10"/>
  <c r="I172" i="10"/>
  <c r="S172" i="10"/>
  <c r="T172" i="10"/>
  <c r="S173" i="10"/>
  <c r="T173" i="10"/>
  <c r="N173" i="10"/>
  <c r="T174" i="10"/>
  <c r="T175" i="10"/>
  <c r="N175" i="10"/>
  <c r="T185" i="10"/>
  <c r="AK185" i="10"/>
  <c r="N185" i="10"/>
  <c r="T186" i="10"/>
  <c r="AK186" i="10"/>
  <c r="T187" i="10"/>
  <c r="AK187" i="10"/>
  <c r="T188" i="10"/>
  <c r="AK188" i="10"/>
  <c r="AG167" i="13"/>
  <c r="H167" i="13" s="1"/>
  <c r="AG168" i="13"/>
  <c r="H168" i="13" s="1"/>
  <c r="AG169" i="13"/>
  <c r="H169" i="13" s="1"/>
  <c r="AG170" i="13"/>
  <c r="I170" i="13" s="1"/>
  <c r="AG171" i="13"/>
  <c r="H171" i="13" s="1"/>
  <c r="AK171" i="10"/>
  <c r="R171" i="10" s="1"/>
  <c r="AL170" i="10"/>
  <c r="AK170" i="10"/>
  <c r="AL169" i="10"/>
  <c r="AK169" i="10"/>
  <c r="AL168" i="10"/>
  <c r="AK168" i="10"/>
  <c r="AL167" i="10"/>
  <c r="AK167" i="10"/>
  <c r="N167" i="10"/>
  <c r="N168" i="10"/>
  <c r="N169" i="10"/>
  <c r="N170" i="10"/>
  <c r="N171" i="10"/>
  <c r="F166" i="10"/>
  <c r="F166" i="13" s="1"/>
  <c r="G166" i="10"/>
  <c r="K166" i="10"/>
  <c r="T166" i="10"/>
  <c r="F167" i="10"/>
  <c r="F167" i="13" s="1"/>
  <c r="G167" i="10"/>
  <c r="G167" i="13" s="1"/>
  <c r="D167" i="13" s="1"/>
  <c r="K167" i="10"/>
  <c r="T167" i="10"/>
  <c r="F168" i="10"/>
  <c r="F168" i="13" s="1"/>
  <c r="G168" i="10"/>
  <c r="G168" i="13" s="1"/>
  <c r="D168" i="13" s="1"/>
  <c r="K168" i="10"/>
  <c r="T168" i="10"/>
  <c r="F169" i="10"/>
  <c r="F169" i="13" s="1"/>
  <c r="G169" i="10"/>
  <c r="K169" i="10"/>
  <c r="T169" i="10"/>
  <c r="F170" i="10"/>
  <c r="F170" i="13" s="1"/>
  <c r="G170" i="10"/>
  <c r="G170" i="13" s="1"/>
  <c r="D170" i="13" s="1"/>
  <c r="K170" i="10"/>
  <c r="T170" i="10"/>
  <c r="T171" i="10"/>
  <c r="G166" i="5"/>
  <c r="J166" i="5"/>
  <c r="Z166" i="5"/>
  <c r="G167" i="5"/>
  <c r="J167" i="5"/>
  <c r="Z167" i="5"/>
  <c r="G168" i="5"/>
  <c r="J168" i="5"/>
  <c r="Z168" i="5"/>
  <c r="G169" i="5"/>
  <c r="J169" i="5"/>
  <c r="Z169" i="5"/>
  <c r="G170" i="5"/>
  <c r="J170" i="5"/>
  <c r="Z170" i="5"/>
  <c r="G171" i="5"/>
  <c r="Z171" i="5"/>
  <c r="B166" i="13"/>
  <c r="E166" i="13"/>
  <c r="AA166" i="13" s="1"/>
  <c r="W166" i="13"/>
  <c r="B167" i="13"/>
  <c r="E167" i="13"/>
  <c r="AA167" i="13" s="1"/>
  <c r="W167" i="13"/>
  <c r="B168" i="13"/>
  <c r="E168" i="13"/>
  <c r="AA168" i="13" s="1"/>
  <c r="W168" i="13"/>
  <c r="B169" i="13"/>
  <c r="E169" i="13"/>
  <c r="AA169" i="13" s="1"/>
  <c r="W169" i="13"/>
  <c r="B170" i="13"/>
  <c r="W170" i="13"/>
  <c r="B171" i="13"/>
  <c r="W171" i="13"/>
  <c r="AD166" i="12"/>
  <c r="AK166" i="12" s="1"/>
  <c r="AL166" i="12" s="1"/>
  <c r="AE166" i="12"/>
  <c r="AF166" i="12"/>
  <c r="AD167" i="12"/>
  <c r="AK167" i="12" s="1"/>
  <c r="AE167" i="12"/>
  <c r="AF167" i="12"/>
  <c r="AD168" i="12"/>
  <c r="AK168" i="12" s="1"/>
  <c r="AL168" i="12" s="1"/>
  <c r="AE168" i="12"/>
  <c r="AF168" i="12"/>
  <c r="AD169" i="12"/>
  <c r="AK169" i="12" s="1"/>
  <c r="AL169" i="12" s="1"/>
  <c r="AE169" i="12"/>
  <c r="AF169" i="12"/>
  <c r="AD170" i="12"/>
  <c r="AK170" i="12" s="1"/>
  <c r="AL170" i="12" s="1"/>
  <c r="AE170" i="12"/>
  <c r="AF170" i="12"/>
  <c r="AD171" i="12"/>
  <c r="AK171" i="12" s="1"/>
  <c r="AE171" i="12"/>
  <c r="AF171" i="12"/>
  <c r="C170" i="12"/>
  <c r="C169" i="12"/>
  <c r="C168" i="12"/>
  <c r="C167" i="12"/>
  <c r="N144" i="9"/>
  <c r="N145" i="9"/>
  <c r="N146" i="9"/>
  <c r="E165" i="13"/>
  <c r="AA165" i="13" s="1"/>
  <c r="E159" i="13"/>
  <c r="AA159" i="13" s="1"/>
  <c r="E158" i="13"/>
  <c r="AA158" i="13" s="1"/>
  <c r="G155" i="5"/>
  <c r="J155" i="5"/>
  <c r="Z155" i="5"/>
  <c r="G156" i="5"/>
  <c r="J156" i="5"/>
  <c r="Z156" i="5"/>
  <c r="G157" i="5"/>
  <c r="J157" i="5"/>
  <c r="Z157" i="5"/>
  <c r="G158" i="5"/>
  <c r="J158" i="5"/>
  <c r="Z158" i="5"/>
  <c r="G159" i="5"/>
  <c r="J159" i="5"/>
  <c r="Z159" i="5"/>
  <c r="G160" i="5"/>
  <c r="J160" i="5"/>
  <c r="Z160" i="5"/>
  <c r="G161" i="5"/>
  <c r="J161" i="5"/>
  <c r="Z161" i="5"/>
  <c r="G162" i="5"/>
  <c r="J162" i="5"/>
  <c r="Z162" i="5"/>
  <c r="G163" i="5"/>
  <c r="J163" i="5"/>
  <c r="Z163" i="5"/>
  <c r="G164" i="5"/>
  <c r="J164" i="5"/>
  <c r="Z164" i="5"/>
  <c r="G165" i="5"/>
  <c r="J165" i="5"/>
  <c r="Z165" i="5"/>
  <c r="B156" i="13"/>
  <c r="W156" i="13"/>
  <c r="AG156" i="13"/>
  <c r="I156" i="13" s="1"/>
  <c r="B157" i="13"/>
  <c r="W157" i="13"/>
  <c r="AG157" i="13"/>
  <c r="H157" i="13" s="1"/>
  <c r="B158" i="13"/>
  <c r="W158" i="13"/>
  <c r="AG158" i="13"/>
  <c r="I158" i="13" s="1"/>
  <c r="B159" i="13"/>
  <c r="W159" i="13"/>
  <c r="AG159" i="13"/>
  <c r="H159" i="13" s="1"/>
  <c r="B160" i="13"/>
  <c r="W160" i="13"/>
  <c r="AG160" i="13"/>
  <c r="I160" i="13" s="1"/>
  <c r="B161" i="13"/>
  <c r="W161" i="13"/>
  <c r="AG161" i="13"/>
  <c r="I161" i="13" s="1"/>
  <c r="B162" i="13"/>
  <c r="W162" i="13"/>
  <c r="AG162" i="13"/>
  <c r="H162" i="13" s="1"/>
  <c r="B163" i="13"/>
  <c r="W163" i="13"/>
  <c r="AG163" i="13"/>
  <c r="H163" i="13" s="1"/>
  <c r="B164" i="13"/>
  <c r="W164" i="13"/>
  <c r="AG164" i="13"/>
  <c r="H164" i="13" s="1"/>
  <c r="B165" i="13"/>
  <c r="W165" i="13"/>
  <c r="AG165" i="13"/>
  <c r="I165" i="13" s="1"/>
  <c r="AG166" i="13"/>
  <c r="H166" i="13" s="1"/>
  <c r="N166" i="10"/>
  <c r="AL166" i="10"/>
  <c r="AK166" i="10"/>
  <c r="N165" i="10"/>
  <c r="AL165" i="10"/>
  <c r="AK165" i="10"/>
  <c r="N164" i="10"/>
  <c r="AL164" i="10"/>
  <c r="AK164" i="10"/>
  <c r="N163" i="10"/>
  <c r="AL163" i="10"/>
  <c r="AK163" i="10"/>
  <c r="N162" i="10"/>
  <c r="AL162" i="10"/>
  <c r="AK162" i="10"/>
  <c r="N161" i="10"/>
  <c r="AL161" i="10"/>
  <c r="AK161" i="10"/>
  <c r="AO160" i="10"/>
  <c r="N160" i="10" s="1"/>
  <c r="AL160" i="10"/>
  <c r="AK160" i="10"/>
  <c r="AO159" i="10"/>
  <c r="N159" i="10" s="1"/>
  <c r="AL159" i="10"/>
  <c r="AK159" i="10"/>
  <c r="AO158" i="10"/>
  <c r="N158" i="10" s="1"/>
  <c r="AL158" i="10"/>
  <c r="AK158" i="10"/>
  <c r="AO157" i="10"/>
  <c r="N157" i="10" s="1"/>
  <c r="AL157" i="10"/>
  <c r="AK157" i="10"/>
  <c r="AO156" i="10"/>
  <c r="N156" i="10" s="1"/>
  <c r="AL156" i="10"/>
  <c r="AK156" i="10"/>
  <c r="AO155" i="10"/>
  <c r="N155" i="10" s="1"/>
  <c r="AL155" i="10"/>
  <c r="AK155" i="10"/>
  <c r="K154" i="10"/>
  <c r="T154" i="10"/>
  <c r="K155" i="10"/>
  <c r="T155" i="10"/>
  <c r="K156" i="10"/>
  <c r="T156" i="10"/>
  <c r="K157" i="10"/>
  <c r="T157" i="10"/>
  <c r="K158" i="10"/>
  <c r="T158" i="10"/>
  <c r="K159" i="10"/>
  <c r="T159" i="10"/>
  <c r="K160" i="10"/>
  <c r="T160" i="10"/>
  <c r="K161" i="10"/>
  <c r="T161" i="10"/>
  <c r="K162" i="10"/>
  <c r="T162" i="10"/>
  <c r="K163" i="10"/>
  <c r="T163" i="10"/>
  <c r="K164" i="10"/>
  <c r="T164" i="10"/>
  <c r="K165" i="10"/>
  <c r="T165" i="10"/>
  <c r="G171" i="13"/>
  <c r="D171" i="13" s="1"/>
  <c r="F171" i="13"/>
  <c r="G165" i="10"/>
  <c r="C165" i="10" s="1"/>
  <c r="C165" i="13" s="1"/>
  <c r="F165" i="10"/>
  <c r="F165" i="13" s="1"/>
  <c r="G164" i="10"/>
  <c r="F164" i="10"/>
  <c r="F164" i="13" s="1"/>
  <c r="G163" i="10"/>
  <c r="F163" i="10"/>
  <c r="F163" i="13" s="1"/>
  <c r="G162" i="10"/>
  <c r="G162" i="13" s="1"/>
  <c r="D162" i="13" s="1"/>
  <c r="F162" i="10"/>
  <c r="F162" i="13" s="1"/>
  <c r="G161" i="10"/>
  <c r="F161" i="10"/>
  <c r="F161" i="13" s="1"/>
  <c r="G160" i="10"/>
  <c r="G160" i="13" s="1"/>
  <c r="D160" i="13" s="1"/>
  <c r="F160" i="10"/>
  <c r="F160" i="13" s="1"/>
  <c r="G159" i="10"/>
  <c r="F159" i="10"/>
  <c r="F159" i="13" s="1"/>
  <c r="G158" i="10"/>
  <c r="C158" i="10" s="1"/>
  <c r="C158" i="13" s="1"/>
  <c r="F158" i="10"/>
  <c r="F158" i="13" s="1"/>
  <c r="G157" i="10"/>
  <c r="C157" i="10" s="1"/>
  <c r="C157" i="13" s="1"/>
  <c r="F157" i="10"/>
  <c r="F157" i="13" s="1"/>
  <c r="A144" i="10"/>
  <c r="AD156" i="12"/>
  <c r="AK156" i="12" s="1"/>
  <c r="AL156" i="12" s="1"/>
  <c r="AE156" i="12"/>
  <c r="AF156" i="12"/>
  <c r="AD157" i="12"/>
  <c r="AK157" i="12" s="1"/>
  <c r="AE157" i="12"/>
  <c r="AF157" i="12"/>
  <c r="AD158" i="12"/>
  <c r="AE158" i="12"/>
  <c r="AF158" i="12"/>
  <c r="AD159" i="12"/>
  <c r="AE159" i="12"/>
  <c r="AF159" i="12"/>
  <c r="AD160" i="12"/>
  <c r="AK160" i="12" s="1"/>
  <c r="AE160" i="12"/>
  <c r="AF160" i="12"/>
  <c r="AD161" i="12"/>
  <c r="AK161" i="12" s="1"/>
  <c r="AL161" i="12" s="1"/>
  <c r="AE161" i="12"/>
  <c r="AF161" i="12"/>
  <c r="AD162" i="12"/>
  <c r="AE162" i="12"/>
  <c r="AF162" i="12"/>
  <c r="AD163" i="12"/>
  <c r="AK163" i="12" s="1"/>
  <c r="AL163" i="12" s="1"/>
  <c r="AE163" i="12"/>
  <c r="AF163" i="12"/>
  <c r="AD164" i="12"/>
  <c r="AE164" i="12"/>
  <c r="AF164" i="12"/>
  <c r="AD165" i="12"/>
  <c r="AK165" i="12" s="1"/>
  <c r="AL165" i="12" s="1"/>
  <c r="AE165" i="12"/>
  <c r="AF165" i="12"/>
  <c r="C166" i="12"/>
  <c r="C165" i="12"/>
  <c r="C164" i="12"/>
  <c r="C163" i="12"/>
  <c r="C162" i="12"/>
  <c r="C161" i="12"/>
  <c r="C160" i="12"/>
  <c r="C157" i="12"/>
  <c r="M143" i="12"/>
  <c r="E144" i="12"/>
  <c r="E151" i="12" s="1"/>
  <c r="E151" i="13" s="1"/>
  <c r="AA151" i="13" s="1"/>
  <c r="E145" i="12"/>
  <c r="E145" i="13" s="1"/>
  <c r="AA145" i="13" s="1"/>
  <c r="E146" i="12"/>
  <c r="E146" i="13" s="1"/>
  <c r="AA146" i="13" s="1"/>
  <c r="E147" i="12"/>
  <c r="E147" i="13" s="1"/>
  <c r="AA147" i="13" s="1"/>
  <c r="E148" i="12"/>
  <c r="E148" i="13" s="1"/>
  <c r="E149" i="12"/>
  <c r="E149" i="13" s="1"/>
  <c r="AA149" i="13" s="1"/>
  <c r="AD155" i="12"/>
  <c r="W155" i="13"/>
  <c r="AD154" i="12"/>
  <c r="AK154" i="12" s="1"/>
  <c r="AM154" i="12" s="1"/>
  <c r="W154" i="13"/>
  <c r="W153" i="13"/>
  <c r="W152" i="13"/>
  <c r="AD151" i="12"/>
  <c r="AK151" i="12" s="1"/>
  <c r="AL151" i="12" s="1"/>
  <c r="W151" i="13"/>
  <c r="W150" i="13"/>
  <c r="AD147" i="12"/>
  <c r="AK147" i="12" s="1"/>
  <c r="AL147" i="12" s="1"/>
  <c r="AD146" i="12"/>
  <c r="AK146" i="12" s="1"/>
  <c r="AD145" i="12"/>
  <c r="AK145" i="12" s="1"/>
  <c r="AL145" i="12" s="1"/>
  <c r="AD144" i="12"/>
  <c r="AK144" i="12" s="1"/>
  <c r="AL144" i="12" s="1"/>
  <c r="Z154" i="5"/>
  <c r="J154" i="5"/>
  <c r="G154" i="5"/>
  <c r="Z153" i="5"/>
  <c r="J153" i="5"/>
  <c r="G153" i="5"/>
  <c r="Z152" i="5"/>
  <c r="J152" i="5"/>
  <c r="G152" i="5"/>
  <c r="Z151" i="5"/>
  <c r="J151" i="5"/>
  <c r="G151" i="5"/>
  <c r="Z150" i="5"/>
  <c r="J150" i="5"/>
  <c r="G150" i="5"/>
  <c r="B155" i="13"/>
  <c r="B154" i="13"/>
  <c r="B153" i="13"/>
  <c r="B152" i="13"/>
  <c r="B151" i="13"/>
  <c r="B150" i="13"/>
  <c r="AG150" i="13"/>
  <c r="I150" i="13" s="1"/>
  <c r="AG151" i="13"/>
  <c r="H151" i="13" s="1"/>
  <c r="AG152" i="13"/>
  <c r="I152" i="13" s="1"/>
  <c r="AG153" i="13"/>
  <c r="I153" i="13" s="1"/>
  <c r="AG154" i="13"/>
  <c r="H154" i="13" s="1"/>
  <c r="AG155" i="13"/>
  <c r="H155" i="13" s="1"/>
  <c r="AO150" i="10"/>
  <c r="N150" i="10" s="1"/>
  <c r="AO151" i="10"/>
  <c r="N151" i="10" s="1"/>
  <c r="AO152" i="10"/>
  <c r="N152" i="10" s="1"/>
  <c r="AO153" i="10"/>
  <c r="N153" i="10" s="1"/>
  <c r="AO154" i="10"/>
  <c r="N154" i="10" s="1"/>
  <c r="AL154" i="10"/>
  <c r="AL153" i="10"/>
  <c r="AL152" i="10"/>
  <c r="AL151" i="10"/>
  <c r="AL150" i="10"/>
  <c r="AL149" i="10"/>
  <c r="AL148" i="10"/>
  <c r="AK154" i="10"/>
  <c r="AK153" i="10"/>
  <c r="AK152" i="10"/>
  <c r="AK151" i="10"/>
  <c r="AK150" i="10"/>
  <c r="AK149" i="10"/>
  <c r="T144" i="10"/>
  <c r="T145" i="10"/>
  <c r="T146" i="10"/>
  <c r="T147" i="10"/>
  <c r="T148" i="10"/>
  <c r="T149" i="10"/>
  <c r="T150" i="10"/>
  <c r="T151" i="10"/>
  <c r="T152" i="10"/>
  <c r="T153" i="10"/>
  <c r="K153" i="10"/>
  <c r="K152" i="10"/>
  <c r="K151" i="10"/>
  <c r="K150" i="10"/>
  <c r="K149" i="10"/>
  <c r="K148" i="10"/>
  <c r="K147" i="10"/>
  <c r="K146" i="10"/>
  <c r="K145" i="10"/>
  <c r="F150" i="10"/>
  <c r="F150" i="13" s="1"/>
  <c r="AE144" i="12"/>
  <c r="AF144" i="12"/>
  <c r="AE145" i="12"/>
  <c r="AF145" i="12"/>
  <c r="AE146" i="12"/>
  <c r="AF146" i="12"/>
  <c r="AE147" i="12"/>
  <c r="AF147" i="12"/>
  <c r="AE148" i="12"/>
  <c r="AF148" i="12"/>
  <c r="AD149" i="12"/>
  <c r="AE149" i="12"/>
  <c r="AF149" i="12"/>
  <c r="AE150" i="12"/>
  <c r="AF150" i="12"/>
  <c r="AE151" i="12"/>
  <c r="AF151" i="12"/>
  <c r="AE152" i="12"/>
  <c r="AF152" i="12"/>
  <c r="AD153" i="12"/>
  <c r="AK153" i="12" s="1"/>
  <c r="AE153" i="12"/>
  <c r="AF153" i="12"/>
  <c r="AE154" i="12"/>
  <c r="AF154" i="12"/>
  <c r="AE155" i="12"/>
  <c r="AF155" i="12"/>
  <c r="C171" i="13"/>
  <c r="C145" i="12"/>
  <c r="F152" i="10"/>
  <c r="F152" i="13" s="1"/>
  <c r="F151" i="10"/>
  <c r="F151" i="13" s="1"/>
  <c r="F155" i="10"/>
  <c r="F155" i="13" s="1"/>
  <c r="F154" i="10"/>
  <c r="F154" i="13" s="1"/>
  <c r="F156" i="10"/>
  <c r="F156" i="13" s="1"/>
  <c r="F153" i="10"/>
  <c r="F153" i="13" s="1"/>
  <c r="C144" i="12"/>
  <c r="AD150" i="12"/>
  <c r="AK150" i="12" s="1"/>
  <c r="AL150" i="12" s="1"/>
  <c r="AD152" i="12"/>
  <c r="AK152" i="12" s="1"/>
  <c r="AL152" i="12" s="1"/>
  <c r="AD148" i="12"/>
  <c r="AK148" i="12" s="1"/>
  <c r="AL148" i="12" s="1"/>
  <c r="AL147" i="10"/>
  <c r="AL146" i="10"/>
  <c r="AL145" i="10"/>
  <c r="AL144" i="10"/>
  <c r="AL143" i="10"/>
  <c r="J143" i="10" s="1"/>
  <c r="AL142" i="10"/>
  <c r="AL141" i="10"/>
  <c r="AL140" i="10"/>
  <c r="AL139" i="10"/>
  <c r="AL138" i="10"/>
  <c r="AL137" i="10"/>
  <c r="AL136" i="10"/>
  <c r="AL135" i="10"/>
  <c r="AL134" i="10"/>
  <c r="AL133" i="10"/>
  <c r="AL132" i="10"/>
  <c r="AL131" i="10"/>
  <c r="AL130" i="10"/>
  <c r="AL129" i="10"/>
  <c r="AL128" i="10"/>
  <c r="AL127" i="10"/>
  <c r="AL126" i="10"/>
  <c r="AL125" i="10"/>
  <c r="AL124" i="10"/>
  <c r="AL123" i="10"/>
  <c r="AL122" i="10"/>
  <c r="AL121" i="10"/>
  <c r="AL120" i="10"/>
  <c r="AL119" i="10"/>
  <c r="AL118" i="10"/>
  <c r="AL117" i="10"/>
  <c r="AL116" i="10"/>
  <c r="AL115" i="10"/>
  <c r="AL114" i="10"/>
  <c r="AL113" i="10"/>
  <c r="AL112" i="10"/>
  <c r="C146" i="12"/>
  <c r="C149" i="5"/>
  <c r="C156" i="5" s="1"/>
  <c r="C163" i="5" s="1"/>
  <c r="C170" i="5" s="1"/>
  <c r="C177" i="5" s="1"/>
  <c r="C184" i="5" s="1"/>
  <c r="C191" i="5" s="1"/>
  <c r="C198" i="5" s="1"/>
  <c r="C205" i="5" s="1"/>
  <c r="C212" i="5" s="1"/>
  <c r="C219" i="5" s="1"/>
  <c r="C226" i="5" s="1"/>
  <c r="F226" i="12" s="1"/>
  <c r="C148" i="5"/>
  <c r="C155" i="5" s="1"/>
  <c r="C162" i="5" s="1"/>
  <c r="C169" i="5" s="1"/>
  <c r="C176" i="5" s="1"/>
  <c r="C183" i="5" s="1"/>
  <c r="C190" i="5" s="1"/>
  <c r="C197" i="5" s="1"/>
  <c r="C204" i="5" s="1"/>
  <c r="C211" i="5" s="1"/>
  <c r="C218" i="5" s="1"/>
  <c r="C225" i="5" s="1"/>
  <c r="F225" i="12" s="1"/>
  <c r="C147" i="5"/>
  <c r="C154" i="5" s="1"/>
  <c r="C161" i="5" s="1"/>
  <c r="C168" i="5" s="1"/>
  <c r="C175" i="5" s="1"/>
  <c r="C182" i="5" s="1"/>
  <c r="C189" i="5" s="1"/>
  <c r="C196" i="5" s="1"/>
  <c r="C203" i="5" s="1"/>
  <c r="C210" i="5" s="1"/>
  <c r="C217" i="5" s="1"/>
  <c r="C224" i="5" s="1"/>
  <c r="C146" i="5"/>
  <c r="C153" i="5" s="1"/>
  <c r="C160" i="5" s="1"/>
  <c r="C167" i="5" s="1"/>
  <c r="C174" i="5" s="1"/>
  <c r="C181" i="5" s="1"/>
  <c r="C188" i="5" s="1"/>
  <c r="C195" i="5" s="1"/>
  <c r="C202" i="5" s="1"/>
  <c r="C209" i="5" s="1"/>
  <c r="C216" i="5" s="1"/>
  <c r="C223" i="5" s="1"/>
  <c r="C230" i="5" s="1"/>
  <c r="F230" i="12" s="1"/>
  <c r="C145" i="5"/>
  <c r="C152" i="5" s="1"/>
  <c r="C159" i="5" s="1"/>
  <c r="C166" i="5" s="1"/>
  <c r="C173" i="5" s="1"/>
  <c r="C180" i="5" s="1"/>
  <c r="C187" i="5" s="1"/>
  <c r="C194" i="5" s="1"/>
  <c r="C201" i="5" s="1"/>
  <c r="C208" i="5" s="1"/>
  <c r="C215" i="5" s="1"/>
  <c r="C222" i="5" s="1"/>
  <c r="C229" i="5" s="1"/>
  <c r="F229" i="12" s="1"/>
  <c r="C144" i="5"/>
  <c r="C151" i="5" s="1"/>
  <c r="C158" i="5" s="1"/>
  <c r="C165" i="5" s="1"/>
  <c r="C172" i="5" s="1"/>
  <c r="C179" i="5" s="1"/>
  <c r="C186" i="5" s="1"/>
  <c r="C193" i="5" s="1"/>
  <c r="C200" i="5" s="1"/>
  <c r="C207" i="5" s="1"/>
  <c r="C214" i="5" s="1"/>
  <c r="C221" i="5" s="1"/>
  <c r="C228" i="5" s="1"/>
  <c r="F228" i="12" s="1"/>
  <c r="C143" i="5"/>
  <c r="C150" i="5" s="1"/>
  <c r="C157" i="5" s="1"/>
  <c r="C164" i="5" s="1"/>
  <c r="C171" i="5" s="1"/>
  <c r="C178" i="5" s="1"/>
  <c r="C185" i="5" s="1"/>
  <c r="C192" i="5" s="1"/>
  <c r="C199" i="5" s="1"/>
  <c r="C206" i="5" s="1"/>
  <c r="C213" i="5" s="1"/>
  <c r="C220" i="5" s="1"/>
  <c r="C227" i="5" s="1"/>
  <c r="F227" i="12" s="1"/>
  <c r="G143" i="5"/>
  <c r="Z143" i="5"/>
  <c r="G144" i="5"/>
  <c r="J144" i="5"/>
  <c r="Z144" i="5"/>
  <c r="G145" i="5"/>
  <c r="J145" i="5"/>
  <c r="Z145" i="5"/>
  <c r="G146" i="5"/>
  <c r="J146" i="5"/>
  <c r="Z146" i="5"/>
  <c r="G147" i="5"/>
  <c r="J147" i="5"/>
  <c r="Z147" i="5"/>
  <c r="G148" i="5"/>
  <c r="J148" i="5"/>
  <c r="Z148" i="5"/>
  <c r="G149" i="5"/>
  <c r="J149" i="5"/>
  <c r="Z149" i="5"/>
  <c r="AG146" i="13"/>
  <c r="H146" i="13" s="1"/>
  <c r="AG147" i="13"/>
  <c r="I147" i="13" s="1"/>
  <c r="AG148" i="13"/>
  <c r="I148" i="13" s="1"/>
  <c r="AG149" i="13"/>
  <c r="I149" i="13" s="1"/>
  <c r="W146" i="13"/>
  <c r="W147" i="13"/>
  <c r="W148" i="13"/>
  <c r="W149" i="13"/>
  <c r="M138" i="12"/>
  <c r="M139" i="12"/>
  <c r="M140" i="12"/>
  <c r="M141" i="12"/>
  <c r="M142" i="12"/>
  <c r="AD143" i="12"/>
  <c r="AK143" i="12" s="1"/>
  <c r="E143" i="12"/>
  <c r="E143" i="13" s="1"/>
  <c r="C143" i="12"/>
  <c r="E142" i="13"/>
  <c r="AA142" i="13" s="1"/>
  <c r="B146" i="13"/>
  <c r="B147" i="13"/>
  <c r="B148" i="13"/>
  <c r="B149" i="13"/>
  <c r="AO146" i="10"/>
  <c r="N146" i="10" s="1"/>
  <c r="AO147" i="10"/>
  <c r="N147" i="10" s="1"/>
  <c r="AO148" i="10"/>
  <c r="N148" i="10" s="1"/>
  <c r="AO149" i="10"/>
  <c r="N149" i="10" s="1"/>
  <c r="AK148" i="10"/>
  <c r="AK147" i="10"/>
  <c r="AK146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2" i="13" s="1"/>
  <c r="F143" i="10"/>
  <c r="F143" i="13" s="1"/>
  <c r="G112" i="10"/>
  <c r="C112" i="10" s="1"/>
  <c r="G113" i="10"/>
  <c r="G114" i="10"/>
  <c r="C114" i="10" s="1"/>
  <c r="G115" i="10"/>
  <c r="C115" i="10" s="1"/>
  <c r="G116" i="10"/>
  <c r="C116" i="10" s="1"/>
  <c r="G117" i="10"/>
  <c r="G118" i="10"/>
  <c r="G119" i="10"/>
  <c r="G120" i="10"/>
  <c r="C120" i="10" s="1"/>
  <c r="G121" i="10"/>
  <c r="G122" i="10"/>
  <c r="G123" i="10"/>
  <c r="C123" i="10" s="1"/>
  <c r="G124" i="10"/>
  <c r="C124" i="10" s="1"/>
  <c r="G125" i="10"/>
  <c r="G126" i="10"/>
  <c r="G127" i="10"/>
  <c r="C127" i="10" s="1"/>
  <c r="G128" i="10"/>
  <c r="G129" i="10"/>
  <c r="C129" i="10" s="1"/>
  <c r="G130" i="10"/>
  <c r="C130" i="10" s="1"/>
  <c r="G131" i="10"/>
  <c r="C131" i="10" s="1"/>
  <c r="G132" i="10"/>
  <c r="G133" i="10"/>
  <c r="C133" i="10" s="1"/>
  <c r="G134" i="10"/>
  <c r="G135" i="10"/>
  <c r="C135" i="10" s="1"/>
  <c r="G136" i="10"/>
  <c r="G137" i="10"/>
  <c r="C137" i="10" s="1"/>
  <c r="G138" i="10"/>
  <c r="G139" i="10"/>
  <c r="G140" i="10"/>
  <c r="C140" i="10" s="1"/>
  <c r="G141" i="10"/>
  <c r="G142" i="10"/>
  <c r="G142" i="13" s="1"/>
  <c r="D142" i="13" s="1"/>
  <c r="G143" i="10"/>
  <c r="F145" i="10"/>
  <c r="F145" i="13" s="1"/>
  <c r="G145" i="10"/>
  <c r="G145" i="13" s="1"/>
  <c r="D145" i="13" s="1"/>
  <c r="F146" i="10"/>
  <c r="F146" i="13" s="1"/>
  <c r="G146" i="10"/>
  <c r="G146" i="13" s="1"/>
  <c r="D146" i="13" s="1"/>
  <c r="F147" i="10"/>
  <c r="F147" i="13" s="1"/>
  <c r="G147" i="10"/>
  <c r="G147" i="13" s="1"/>
  <c r="D147" i="13" s="1"/>
  <c r="F148" i="10"/>
  <c r="F148" i="13" s="1"/>
  <c r="F149" i="10"/>
  <c r="F149" i="13" s="1"/>
  <c r="G144" i="10"/>
  <c r="G144" i="13" s="1"/>
  <c r="D144" i="13" s="1"/>
  <c r="F144" i="10"/>
  <c r="F144" i="13" s="1"/>
  <c r="W142" i="9"/>
  <c r="N142" i="9"/>
  <c r="N143" i="9"/>
  <c r="Z142" i="5"/>
  <c r="J142" i="5"/>
  <c r="G142" i="5"/>
  <c r="G12" i="13"/>
  <c r="F12" i="13" s="1"/>
  <c r="AG145" i="13"/>
  <c r="I145" i="13" s="1"/>
  <c r="AG144" i="13"/>
  <c r="I144" i="13" s="1"/>
  <c r="AG143" i="13"/>
  <c r="I143" i="13" s="1"/>
  <c r="AF143" i="12"/>
  <c r="AE143" i="12"/>
  <c r="AF142" i="12"/>
  <c r="AE142" i="12"/>
  <c r="AD142" i="12"/>
  <c r="AK142" i="12" s="1"/>
  <c r="W145" i="13"/>
  <c r="W144" i="13"/>
  <c r="W143" i="13"/>
  <c r="B143" i="13"/>
  <c r="B144" i="13"/>
  <c r="B145" i="13"/>
  <c r="B142" i="13"/>
  <c r="I143" i="10"/>
  <c r="K143" i="10"/>
  <c r="T143" i="10"/>
  <c r="K144" i="10"/>
  <c r="AG142" i="13"/>
  <c r="H142" i="13" s="1"/>
  <c r="W142" i="13"/>
  <c r="AO145" i="10"/>
  <c r="N145" i="10" s="1"/>
  <c r="AK145" i="10"/>
  <c r="AO144" i="10"/>
  <c r="N144" i="10" s="1"/>
  <c r="AK144" i="10"/>
  <c r="AO143" i="10"/>
  <c r="N143" i="10" s="1"/>
  <c r="AK143" i="10"/>
  <c r="R143" i="10" s="1"/>
  <c r="AO142" i="10"/>
  <c r="N142" i="10" s="1"/>
  <c r="AK142" i="10"/>
  <c r="AB142" i="10"/>
  <c r="T142" i="10"/>
  <c r="K142" i="10"/>
  <c r="C142" i="12"/>
  <c r="C147" i="12"/>
  <c r="S143" i="10"/>
  <c r="A143" i="13"/>
  <c r="C148" i="12"/>
  <c r="G148" i="10"/>
  <c r="G148" i="13" s="1"/>
  <c r="D148" i="13" s="1"/>
  <c r="C149" i="12"/>
  <c r="G149" i="10"/>
  <c r="C149" i="10" s="1"/>
  <c r="C149" i="13" s="1"/>
  <c r="G150" i="10"/>
  <c r="C150" i="12"/>
  <c r="Y19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12" i="5"/>
  <c r="C151" i="12"/>
  <c r="G151" i="10"/>
  <c r="Z19" i="5"/>
  <c r="C152" i="12"/>
  <c r="G152" i="10"/>
  <c r="AG112" i="13"/>
  <c r="H112" i="13" s="1"/>
  <c r="G153" i="10"/>
  <c r="C153" i="10" s="1"/>
  <c r="C153" i="13" s="1"/>
  <c r="C153" i="12"/>
  <c r="G154" i="10"/>
  <c r="G154" i="13" s="1"/>
  <c r="D154" i="13" s="1"/>
  <c r="C154" i="12"/>
  <c r="AA131" i="13"/>
  <c r="AA132" i="13"/>
  <c r="AA133" i="13"/>
  <c r="AA134" i="13"/>
  <c r="AA135" i="13"/>
  <c r="AA136" i="13"/>
  <c r="AA137" i="13"/>
  <c r="AA138" i="13"/>
  <c r="AA139" i="13"/>
  <c r="AA140" i="13"/>
  <c r="AA141" i="13"/>
  <c r="W129" i="13"/>
  <c r="W130" i="13"/>
  <c r="W131" i="13"/>
  <c r="W132" i="13"/>
  <c r="W133" i="13"/>
  <c r="W134" i="13"/>
  <c r="W135" i="13"/>
  <c r="W136" i="13"/>
  <c r="W137" i="13"/>
  <c r="W138" i="13"/>
  <c r="W139" i="13"/>
  <c r="W140" i="13"/>
  <c r="W141" i="13"/>
  <c r="AB137" i="10"/>
  <c r="AB138" i="10"/>
  <c r="AB139" i="10"/>
  <c r="AB140" i="10"/>
  <c r="AB141" i="10"/>
  <c r="K138" i="10"/>
  <c r="K139" i="10"/>
  <c r="K140" i="10"/>
  <c r="K141" i="10"/>
  <c r="G137" i="5"/>
  <c r="J137" i="5"/>
  <c r="G138" i="5"/>
  <c r="J138" i="5"/>
  <c r="G139" i="5"/>
  <c r="J139" i="5"/>
  <c r="G140" i="5"/>
  <c r="J140" i="5"/>
  <c r="G141" i="5"/>
  <c r="J141" i="5"/>
  <c r="AO141" i="10"/>
  <c r="N141" i="10" s="1"/>
  <c r="AK141" i="10"/>
  <c r="T141" i="10"/>
  <c r="AO140" i="10"/>
  <c r="N140" i="10" s="1"/>
  <c r="AK140" i="10"/>
  <c r="T140" i="10"/>
  <c r="AO139" i="10"/>
  <c r="N139" i="10" s="1"/>
  <c r="AK139" i="10"/>
  <c r="T139" i="10"/>
  <c r="AO138" i="10"/>
  <c r="N138" i="10" s="1"/>
  <c r="AK138" i="10"/>
  <c r="T138" i="10"/>
  <c r="A112" i="10"/>
  <c r="S112" i="10" s="1"/>
  <c r="AG138" i="13"/>
  <c r="I138" i="13" s="1"/>
  <c r="AG139" i="13"/>
  <c r="I139" i="13" s="1"/>
  <c r="AG140" i="13"/>
  <c r="I140" i="13" s="1"/>
  <c r="AG141" i="13"/>
  <c r="H141" i="13" s="1"/>
  <c r="AF140" i="12"/>
  <c r="AE140" i="12"/>
  <c r="AD140" i="12"/>
  <c r="AK140" i="12" s="1"/>
  <c r="AL140" i="12" s="1"/>
  <c r="AF139" i="12"/>
  <c r="AE139" i="12"/>
  <c r="AD139" i="12"/>
  <c r="AK139" i="12" s="1"/>
  <c r="AF138" i="12"/>
  <c r="AE138" i="12"/>
  <c r="AD138" i="12"/>
  <c r="AF137" i="12"/>
  <c r="AE137" i="12"/>
  <c r="AD137" i="12"/>
  <c r="AK137" i="12" s="1"/>
  <c r="AA119" i="12"/>
  <c r="AA120" i="12"/>
  <c r="AA121" i="12"/>
  <c r="AA122" i="12"/>
  <c r="AA123" i="12"/>
  <c r="W120" i="12"/>
  <c r="W121" i="12"/>
  <c r="W122" i="12"/>
  <c r="W123" i="12"/>
  <c r="S120" i="12"/>
  <c r="S121" i="12"/>
  <c r="S122" i="12"/>
  <c r="S123" i="12"/>
  <c r="M120" i="12"/>
  <c r="M121" i="12"/>
  <c r="M122" i="12"/>
  <c r="M123" i="12"/>
  <c r="M124" i="12"/>
  <c r="M125" i="12"/>
  <c r="M126" i="12"/>
  <c r="M127" i="12"/>
  <c r="M128" i="12"/>
  <c r="M129" i="12"/>
  <c r="M130" i="12"/>
  <c r="M131" i="12"/>
  <c r="M132" i="12"/>
  <c r="M133" i="12"/>
  <c r="M134" i="12"/>
  <c r="M135" i="12"/>
  <c r="M136" i="12"/>
  <c r="M137" i="12"/>
  <c r="W120" i="9"/>
  <c r="W121" i="9"/>
  <c r="W122" i="9"/>
  <c r="W123" i="9"/>
  <c r="W124" i="9"/>
  <c r="W125" i="9"/>
  <c r="W126" i="9"/>
  <c r="W127" i="9"/>
  <c r="W128" i="9"/>
  <c r="W129" i="9"/>
  <c r="W130" i="9"/>
  <c r="W131" i="9"/>
  <c r="W132" i="9"/>
  <c r="W133" i="9"/>
  <c r="W134" i="9"/>
  <c r="W135" i="9"/>
  <c r="W136" i="9"/>
  <c r="W137" i="9"/>
  <c r="W138" i="9"/>
  <c r="W139" i="9"/>
  <c r="W140" i="9"/>
  <c r="W141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C137" i="12"/>
  <c r="J132" i="5"/>
  <c r="J133" i="5"/>
  <c r="J134" i="5"/>
  <c r="J135" i="5"/>
  <c r="J136" i="5"/>
  <c r="G134" i="5"/>
  <c r="G135" i="5"/>
  <c r="G136" i="5"/>
  <c r="AG137" i="13"/>
  <c r="I137" i="13" s="1"/>
  <c r="AO137" i="10"/>
  <c r="N137" i="10" s="1"/>
  <c r="AK137" i="10"/>
  <c r="T137" i="10"/>
  <c r="K137" i="10"/>
  <c r="AD134" i="12"/>
  <c r="AK134" i="12" s="1"/>
  <c r="AE134" i="12"/>
  <c r="AF134" i="12"/>
  <c r="AD135" i="12"/>
  <c r="AK135" i="12" s="1"/>
  <c r="AL135" i="12" s="1"/>
  <c r="AE135" i="12"/>
  <c r="AF135" i="12"/>
  <c r="AD136" i="12"/>
  <c r="AK136" i="12" s="1"/>
  <c r="AL136" i="12" s="1"/>
  <c r="AE136" i="12"/>
  <c r="AF136" i="12"/>
  <c r="AD141" i="12"/>
  <c r="AK141" i="12" s="1"/>
  <c r="AE141" i="12"/>
  <c r="AF141" i="12"/>
  <c r="W119" i="12"/>
  <c r="AG136" i="13"/>
  <c r="H136" i="13" s="1"/>
  <c r="AG135" i="13"/>
  <c r="I135" i="13" s="1"/>
  <c r="AG134" i="13"/>
  <c r="H134" i="13" s="1"/>
  <c r="AG133" i="13"/>
  <c r="I133" i="13" s="1"/>
  <c r="AG132" i="13"/>
  <c r="I132" i="13" s="1"/>
  <c r="AG131" i="13"/>
  <c r="H131" i="13" s="1"/>
  <c r="W118" i="9"/>
  <c r="W119" i="9"/>
  <c r="N119" i="9"/>
  <c r="C155" i="12"/>
  <c r="G155" i="10"/>
  <c r="C138" i="12"/>
  <c r="C131" i="12"/>
  <c r="AF133" i="12"/>
  <c r="AE133" i="12"/>
  <c r="AD133" i="12"/>
  <c r="AK133" i="12" s="1"/>
  <c r="AL133" i="12" s="1"/>
  <c r="AF132" i="12"/>
  <c r="AE132" i="12"/>
  <c r="AD132" i="12"/>
  <c r="AK132" i="12" s="1"/>
  <c r="AF131" i="12"/>
  <c r="AE131" i="12"/>
  <c r="AD131" i="12"/>
  <c r="AK131" i="12" s="1"/>
  <c r="AL131" i="12" s="1"/>
  <c r="AO136" i="10"/>
  <c r="N136" i="10" s="1"/>
  <c r="AK136" i="10"/>
  <c r="AB136" i="10"/>
  <c r="T136" i="10"/>
  <c r="K136" i="10"/>
  <c r="AO135" i="10"/>
  <c r="N135" i="10" s="1"/>
  <c r="AK135" i="10"/>
  <c r="AB135" i="10"/>
  <c r="T135" i="10"/>
  <c r="K135" i="10"/>
  <c r="AO134" i="10"/>
  <c r="N134" i="10" s="1"/>
  <c r="AK134" i="10"/>
  <c r="AB134" i="10"/>
  <c r="T134" i="10"/>
  <c r="K134" i="10"/>
  <c r="AO133" i="10"/>
  <c r="N133" i="10" s="1"/>
  <c r="AK133" i="10"/>
  <c r="AB133" i="10"/>
  <c r="T133" i="10"/>
  <c r="K133" i="10"/>
  <c r="AO132" i="10"/>
  <c r="N132" i="10" s="1"/>
  <c r="AK132" i="10"/>
  <c r="AB132" i="10"/>
  <c r="T132" i="10"/>
  <c r="K132" i="10"/>
  <c r="AO131" i="10"/>
  <c r="N131" i="10" s="1"/>
  <c r="AK131" i="10"/>
  <c r="AB131" i="10"/>
  <c r="T131" i="10"/>
  <c r="K131" i="10"/>
  <c r="G133" i="5"/>
  <c r="G132" i="5"/>
  <c r="J131" i="5"/>
  <c r="G131" i="5"/>
  <c r="T130" i="10"/>
  <c r="T129" i="10"/>
  <c r="T128" i="10"/>
  <c r="T127" i="10"/>
  <c r="T126" i="10"/>
  <c r="T125" i="10"/>
  <c r="T124" i="10"/>
  <c r="T123" i="10"/>
  <c r="T122" i="10"/>
  <c r="T121" i="10"/>
  <c r="T120" i="10"/>
  <c r="K130" i="10"/>
  <c r="K129" i="10"/>
  <c r="K128" i="10"/>
  <c r="K127" i="10"/>
  <c r="K126" i="10"/>
  <c r="K125" i="10"/>
  <c r="K124" i="10"/>
  <c r="K123" i="10"/>
  <c r="K122" i="10"/>
  <c r="K121" i="10"/>
  <c r="K120" i="10"/>
  <c r="AG130" i="13"/>
  <c r="I130" i="13" s="1"/>
  <c r="AG129" i="13"/>
  <c r="H129" i="13" s="1"/>
  <c r="AG128" i="13"/>
  <c r="H128" i="13" s="1"/>
  <c r="AG127" i="13"/>
  <c r="H127" i="13" s="1"/>
  <c r="AG126" i="13"/>
  <c r="H126" i="13" s="1"/>
  <c r="AG125" i="13"/>
  <c r="H125" i="13" s="1"/>
  <c r="AA130" i="13"/>
  <c r="AA129" i="13"/>
  <c r="AA128" i="13"/>
  <c r="W128" i="13"/>
  <c r="AA127" i="13"/>
  <c r="W127" i="13"/>
  <c r="AA126" i="13"/>
  <c r="W126" i="13"/>
  <c r="AA125" i="13"/>
  <c r="W125" i="13"/>
  <c r="AO130" i="10"/>
  <c r="N130" i="10" s="1"/>
  <c r="AO129" i="10"/>
  <c r="N129" i="10" s="1"/>
  <c r="AO128" i="10"/>
  <c r="N128" i="10" s="1"/>
  <c r="AO127" i="10"/>
  <c r="N127" i="10" s="1"/>
  <c r="AO126" i="10"/>
  <c r="N126" i="10" s="1"/>
  <c r="AO125" i="10"/>
  <c r="N125" i="10" s="1"/>
  <c r="AK130" i="10"/>
  <c r="AK129" i="10"/>
  <c r="AK128" i="10"/>
  <c r="AK127" i="10"/>
  <c r="AK126" i="10"/>
  <c r="AK125" i="10"/>
  <c r="AB130" i="10"/>
  <c r="AB129" i="10"/>
  <c r="AB128" i="10"/>
  <c r="AB127" i="10"/>
  <c r="AB126" i="10"/>
  <c r="AB125" i="10"/>
  <c r="J130" i="5"/>
  <c r="G130" i="5"/>
  <c r="J129" i="5"/>
  <c r="G129" i="5"/>
  <c r="J128" i="5"/>
  <c r="G128" i="5"/>
  <c r="J127" i="5"/>
  <c r="G127" i="5"/>
  <c r="J126" i="5"/>
  <c r="G126" i="5"/>
  <c r="J125" i="5"/>
  <c r="G125" i="5"/>
  <c r="AD123" i="12"/>
  <c r="AK123" i="12" s="1"/>
  <c r="AE123" i="12"/>
  <c r="AF123" i="12"/>
  <c r="AD124" i="12"/>
  <c r="AK124" i="12" s="1"/>
  <c r="AL124" i="12" s="1"/>
  <c r="AE124" i="12"/>
  <c r="AF124" i="12"/>
  <c r="AD125" i="12"/>
  <c r="AE125" i="12"/>
  <c r="AF125" i="12"/>
  <c r="AD126" i="12"/>
  <c r="AK126" i="12" s="1"/>
  <c r="AL126" i="12" s="1"/>
  <c r="AE126" i="12"/>
  <c r="AF126" i="12"/>
  <c r="AD127" i="12"/>
  <c r="AK127" i="12" s="1"/>
  <c r="AL127" i="12" s="1"/>
  <c r="AE127" i="12"/>
  <c r="AF127" i="12"/>
  <c r="AD128" i="12"/>
  <c r="AK128" i="12" s="1"/>
  <c r="AL128" i="12" s="1"/>
  <c r="AE128" i="12"/>
  <c r="AF128" i="12"/>
  <c r="AD129" i="12"/>
  <c r="AK129" i="12" s="1"/>
  <c r="AE129" i="12"/>
  <c r="AF129" i="12"/>
  <c r="AD130" i="12"/>
  <c r="AE130" i="12"/>
  <c r="AF130" i="12"/>
  <c r="C130" i="12"/>
  <c r="C129" i="12"/>
  <c r="C128" i="12"/>
  <c r="C127" i="12"/>
  <c r="C126" i="12"/>
  <c r="C125" i="12"/>
  <c r="C124" i="12"/>
  <c r="C123" i="12"/>
  <c r="AG124" i="13"/>
  <c r="H124" i="13" s="1"/>
  <c r="AG123" i="13"/>
  <c r="I123" i="13" s="1"/>
  <c r="AG122" i="13"/>
  <c r="I122" i="13" s="1"/>
  <c r="AG121" i="13"/>
  <c r="I121" i="13" s="1"/>
  <c r="AG120" i="13"/>
  <c r="H120" i="13" s="1"/>
  <c r="AG119" i="13"/>
  <c r="H119" i="13" s="1"/>
  <c r="AG118" i="13"/>
  <c r="H118" i="13" s="1"/>
  <c r="AA124" i="13"/>
  <c r="W124" i="13"/>
  <c r="AA123" i="13"/>
  <c r="W123" i="13"/>
  <c r="AA122" i="13"/>
  <c r="W122" i="13"/>
  <c r="AA121" i="13"/>
  <c r="W121" i="13"/>
  <c r="AA120" i="13"/>
  <c r="W120" i="13"/>
  <c r="AA119" i="13"/>
  <c r="W119" i="13"/>
  <c r="AA118" i="13"/>
  <c r="W118" i="13"/>
  <c r="A113" i="13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O124" i="10"/>
  <c r="N124" i="10" s="1"/>
  <c r="AK124" i="10"/>
  <c r="AO123" i="10"/>
  <c r="N123" i="10" s="1"/>
  <c r="AK123" i="10"/>
  <c r="AO122" i="10"/>
  <c r="N122" i="10" s="1"/>
  <c r="AK122" i="10"/>
  <c r="AO121" i="10"/>
  <c r="N121" i="10" s="1"/>
  <c r="AK121" i="10"/>
  <c r="AO120" i="10"/>
  <c r="N120" i="10" s="1"/>
  <c r="AK120" i="10"/>
  <c r="AO119" i="10"/>
  <c r="N119" i="10" s="1"/>
  <c r="AK119" i="10"/>
  <c r="AO118" i="10"/>
  <c r="N118" i="10" s="1"/>
  <c r="AK118" i="10"/>
  <c r="AB124" i="10"/>
  <c r="AB123" i="10"/>
  <c r="AB122" i="10"/>
  <c r="AB121" i="10"/>
  <c r="AB120" i="10"/>
  <c r="AB119" i="10"/>
  <c r="AB118" i="10"/>
  <c r="J124" i="5"/>
  <c r="G124" i="5"/>
  <c r="J123" i="5"/>
  <c r="G123" i="5"/>
  <c r="J122" i="5"/>
  <c r="G122" i="5"/>
  <c r="J121" i="5"/>
  <c r="G121" i="5"/>
  <c r="J120" i="5"/>
  <c r="G120" i="5"/>
  <c r="J119" i="5"/>
  <c r="G119" i="5"/>
  <c r="J118" i="5"/>
  <c r="G118" i="5"/>
  <c r="M115" i="12"/>
  <c r="AF122" i="12"/>
  <c r="AE122" i="12"/>
  <c r="AD122" i="12"/>
  <c r="AK122" i="12" s="1"/>
  <c r="AL122" i="12" s="1"/>
  <c r="AF121" i="12"/>
  <c r="AE121" i="12"/>
  <c r="AD121" i="12"/>
  <c r="AK121" i="12" s="1"/>
  <c r="AL121" i="12" s="1"/>
  <c r="AF120" i="12"/>
  <c r="AE120" i="12"/>
  <c r="AD120" i="12"/>
  <c r="AK120" i="12" s="1"/>
  <c r="AL120" i="12" s="1"/>
  <c r="AF119" i="12"/>
  <c r="AE119" i="12"/>
  <c r="AD119" i="12"/>
  <c r="AK119" i="12" s="1"/>
  <c r="AL119" i="12" s="1"/>
  <c r="AF118" i="12"/>
  <c r="AE118" i="12"/>
  <c r="AD118" i="12"/>
  <c r="AF117" i="12"/>
  <c r="AE117" i="12"/>
  <c r="AD117" i="12"/>
  <c r="AF116" i="12"/>
  <c r="AE116" i="12"/>
  <c r="AD116" i="12"/>
  <c r="AK116" i="12" s="1"/>
  <c r="AF115" i="12"/>
  <c r="AE115" i="12"/>
  <c r="AD115" i="12"/>
  <c r="AK115" i="12" s="1"/>
  <c r="AL115" i="12" s="1"/>
  <c r="AF114" i="12"/>
  <c r="AE114" i="12"/>
  <c r="AD114" i="12"/>
  <c r="AK114" i="12" s="1"/>
  <c r="AA118" i="12"/>
  <c r="AA117" i="12"/>
  <c r="AA116" i="12"/>
  <c r="AA115" i="12"/>
  <c r="AA114" i="12"/>
  <c r="W114" i="12"/>
  <c r="W115" i="12"/>
  <c r="W116" i="12"/>
  <c r="W117" i="12"/>
  <c r="W118" i="12"/>
  <c r="S113" i="12"/>
  <c r="S114" i="12"/>
  <c r="S115" i="12"/>
  <c r="S116" i="12"/>
  <c r="S117" i="12"/>
  <c r="S118" i="12"/>
  <c r="S119" i="12"/>
  <c r="C122" i="12"/>
  <c r="C121" i="12"/>
  <c r="C120" i="12"/>
  <c r="C119" i="12"/>
  <c r="C118" i="12"/>
  <c r="M118" i="12"/>
  <c r="M119" i="12"/>
  <c r="M116" i="12"/>
  <c r="M117" i="12"/>
  <c r="M114" i="12"/>
  <c r="M113" i="12"/>
  <c r="C113" i="12"/>
  <c r="M112" i="12"/>
  <c r="C112" i="12"/>
  <c r="N118" i="9"/>
  <c r="N117" i="9"/>
  <c r="N116" i="9"/>
  <c r="N115" i="9"/>
  <c r="N114" i="9"/>
  <c r="N113" i="9"/>
  <c r="N112" i="9"/>
  <c r="W114" i="9"/>
  <c r="W115" i="9"/>
  <c r="W116" i="9"/>
  <c r="W117" i="9"/>
  <c r="W113" i="9"/>
  <c r="AG117" i="13"/>
  <c r="H117" i="13" s="1"/>
  <c r="AG116" i="13"/>
  <c r="H116" i="13" s="1"/>
  <c r="AA117" i="13"/>
  <c r="W117" i="13"/>
  <c r="AA116" i="13"/>
  <c r="W116" i="13"/>
  <c r="C111" i="12"/>
  <c r="C110" i="12"/>
  <c r="C109" i="12"/>
  <c r="C108" i="12"/>
  <c r="C107" i="12"/>
  <c r="C106" i="12"/>
  <c r="C105" i="12"/>
  <c r="C104" i="12"/>
  <c r="C103" i="12"/>
  <c r="C102" i="12"/>
  <c r="C101" i="12"/>
  <c r="C100" i="12"/>
  <c r="C99" i="12"/>
  <c r="C98" i="12"/>
  <c r="C97" i="12"/>
  <c r="C96" i="12"/>
  <c r="C95" i="12"/>
  <c r="C94" i="12"/>
  <c r="C93" i="12"/>
  <c r="C92" i="12"/>
  <c r="C91" i="12"/>
  <c r="C90" i="12"/>
  <c r="C89" i="12"/>
  <c r="C88" i="12"/>
  <c r="C87" i="12"/>
  <c r="C86" i="12"/>
  <c r="C85" i="12"/>
  <c r="C84" i="12"/>
  <c r="C83" i="12"/>
  <c r="C82" i="12"/>
  <c r="C81" i="12"/>
  <c r="C80" i="12"/>
  <c r="C79" i="12"/>
  <c r="C78" i="12"/>
  <c r="C77" i="12"/>
  <c r="C76" i="12"/>
  <c r="C75" i="12"/>
  <c r="C74" i="12"/>
  <c r="C73" i="12"/>
  <c r="C72" i="12"/>
  <c r="C71" i="12"/>
  <c r="C70" i="12"/>
  <c r="C69" i="12"/>
  <c r="C68" i="12"/>
  <c r="C67" i="12"/>
  <c r="C66" i="12"/>
  <c r="C65" i="12"/>
  <c r="C64" i="12"/>
  <c r="C63" i="12"/>
  <c r="C62" i="12"/>
  <c r="C61" i="12"/>
  <c r="C60" i="12"/>
  <c r="C59" i="12"/>
  <c r="C58" i="12"/>
  <c r="C57" i="12"/>
  <c r="C56" i="12"/>
  <c r="C55" i="12"/>
  <c r="C54" i="12"/>
  <c r="C53" i="12"/>
  <c r="C52" i="12"/>
  <c r="C51" i="12"/>
  <c r="AO117" i="10"/>
  <c r="N117" i="10" s="1"/>
  <c r="AO116" i="10"/>
  <c r="N116" i="10" s="1"/>
  <c r="AK117" i="10"/>
  <c r="AK116" i="10"/>
  <c r="AB117" i="10"/>
  <c r="AB116" i="10"/>
  <c r="C108" i="10"/>
  <c r="C107" i="10"/>
  <c r="C106" i="10"/>
  <c r="C105" i="10"/>
  <c r="C104" i="10"/>
  <c r="C103" i="10"/>
  <c r="C102" i="10"/>
  <c r="A111" i="9"/>
  <c r="B111" i="9" s="1"/>
  <c r="D111" i="10" s="1"/>
  <c r="A110" i="9"/>
  <c r="B110" i="9" s="1"/>
  <c r="D110" i="10" s="1"/>
  <c r="A109" i="9"/>
  <c r="B109" i="9" s="1"/>
  <c r="D109" i="12" s="1"/>
  <c r="A108" i="9"/>
  <c r="B108" i="9" s="1"/>
  <c r="D108" i="12" s="1"/>
  <c r="A107" i="9"/>
  <c r="B107" i="9" s="1"/>
  <c r="D107" i="12" s="1"/>
  <c r="A106" i="9"/>
  <c r="B106" i="9" s="1"/>
  <c r="D106" i="12" s="1"/>
  <c r="A105" i="9"/>
  <c r="B105" i="9" s="1"/>
  <c r="D105" i="12" s="1"/>
  <c r="A104" i="9"/>
  <c r="B104" i="9" s="1"/>
  <c r="D104" i="12" s="1"/>
  <c r="A103" i="9"/>
  <c r="B103" i="9" s="1"/>
  <c r="D103" i="10" s="1"/>
  <c r="A102" i="9"/>
  <c r="B102" i="9" s="1"/>
  <c r="D102" i="10" s="1"/>
  <c r="A101" i="9"/>
  <c r="B101" i="9" s="1"/>
  <c r="D101" i="12" s="1"/>
  <c r="A100" i="9"/>
  <c r="B100" i="9" s="1"/>
  <c r="D100" i="12" s="1"/>
  <c r="A99" i="9"/>
  <c r="B99" i="9" s="1"/>
  <c r="D99" i="12" s="1"/>
  <c r="A98" i="9"/>
  <c r="B98" i="9" s="1"/>
  <c r="D98" i="12" s="1"/>
  <c r="A97" i="9"/>
  <c r="B97" i="9" s="1"/>
  <c r="D97" i="12" s="1"/>
  <c r="A96" i="9"/>
  <c r="B96" i="9" s="1"/>
  <c r="D96" i="12" s="1"/>
  <c r="A95" i="9"/>
  <c r="B95" i="9" s="1"/>
  <c r="A94" i="9"/>
  <c r="B94" i="9" s="1"/>
  <c r="D94" i="10" s="1"/>
  <c r="A93" i="9"/>
  <c r="B93" i="9" s="1"/>
  <c r="D93" i="12" s="1"/>
  <c r="A92" i="9"/>
  <c r="B92" i="9" s="1"/>
  <c r="D92" i="12" s="1"/>
  <c r="A91" i="9"/>
  <c r="B91" i="9" s="1"/>
  <c r="D91" i="12" s="1"/>
  <c r="A90" i="9"/>
  <c r="B90" i="9" s="1"/>
  <c r="D90" i="12" s="1"/>
  <c r="A89" i="9"/>
  <c r="B89" i="9" s="1"/>
  <c r="D89" i="12" s="1"/>
  <c r="A88" i="9"/>
  <c r="B88" i="9" s="1"/>
  <c r="D88" i="12" s="1"/>
  <c r="A87" i="9"/>
  <c r="B87" i="9" s="1"/>
  <c r="A86" i="9"/>
  <c r="B86" i="9" s="1"/>
  <c r="D86" i="10" s="1"/>
  <c r="A85" i="9"/>
  <c r="B85" i="9" s="1"/>
  <c r="D85" i="12" s="1"/>
  <c r="A84" i="9"/>
  <c r="B84" i="9" s="1"/>
  <c r="D84" i="12" s="1"/>
  <c r="A83" i="9"/>
  <c r="B83" i="9" s="1"/>
  <c r="D83" i="12" s="1"/>
  <c r="A82" i="9"/>
  <c r="B82" i="9" s="1"/>
  <c r="D82" i="12" s="1"/>
  <c r="A81" i="9"/>
  <c r="B81" i="9" s="1"/>
  <c r="D81" i="12" s="1"/>
  <c r="A80" i="9"/>
  <c r="B80" i="9" s="1"/>
  <c r="D80" i="12" s="1"/>
  <c r="A79" i="9"/>
  <c r="B79" i="9" s="1"/>
  <c r="A78" i="9"/>
  <c r="B78" i="9" s="1"/>
  <c r="D78" i="10" s="1"/>
  <c r="A77" i="9"/>
  <c r="B77" i="9" s="1"/>
  <c r="D77" i="12" s="1"/>
  <c r="A76" i="9"/>
  <c r="B76" i="9" s="1"/>
  <c r="D76" i="12" s="1"/>
  <c r="A75" i="9"/>
  <c r="B75" i="9" s="1"/>
  <c r="D75" i="12" s="1"/>
  <c r="A74" i="9"/>
  <c r="B74" i="9" s="1"/>
  <c r="D74" i="12" s="1"/>
  <c r="A73" i="9"/>
  <c r="B73" i="9" s="1"/>
  <c r="D73" i="12" s="1"/>
  <c r="A72" i="9"/>
  <c r="B72" i="9" s="1"/>
  <c r="D72" i="12" s="1"/>
  <c r="A71" i="9"/>
  <c r="B71" i="9" s="1"/>
  <c r="A70" i="9"/>
  <c r="B70" i="9" s="1"/>
  <c r="D70" i="10" s="1"/>
  <c r="A69" i="9"/>
  <c r="B69" i="9" s="1"/>
  <c r="D69" i="12" s="1"/>
  <c r="A68" i="9"/>
  <c r="B68" i="9" s="1"/>
  <c r="D68" i="12" s="1"/>
  <c r="A67" i="9"/>
  <c r="B67" i="9" s="1"/>
  <c r="D67" i="12" s="1"/>
  <c r="A66" i="9"/>
  <c r="B66" i="9" s="1"/>
  <c r="D66" i="12" s="1"/>
  <c r="A65" i="9"/>
  <c r="B65" i="9" s="1"/>
  <c r="D65" i="12" s="1"/>
  <c r="A64" i="9"/>
  <c r="B64" i="9" s="1"/>
  <c r="D64" i="12" s="1"/>
  <c r="A63" i="9"/>
  <c r="B63" i="9" s="1"/>
  <c r="A62" i="9"/>
  <c r="B62" i="9" s="1"/>
  <c r="D62" i="10" s="1"/>
  <c r="A61" i="9"/>
  <c r="B61" i="9" s="1"/>
  <c r="D61" i="12" s="1"/>
  <c r="A60" i="9"/>
  <c r="B60" i="9" s="1"/>
  <c r="D60" i="10" s="1"/>
  <c r="A59" i="9"/>
  <c r="B59" i="9" s="1"/>
  <c r="D59" i="12" s="1"/>
  <c r="A58" i="9"/>
  <c r="B58" i="9" s="1"/>
  <c r="D58" i="12" s="1"/>
  <c r="A57" i="9"/>
  <c r="B57" i="9" s="1"/>
  <c r="D57" i="12" s="1"/>
  <c r="A56" i="9"/>
  <c r="B56" i="9" s="1"/>
  <c r="D56" i="12" s="1"/>
  <c r="A55" i="9"/>
  <c r="B55" i="9" s="1"/>
  <c r="A54" i="9"/>
  <c r="B54" i="9" s="1"/>
  <c r="D54" i="10" s="1"/>
  <c r="A53" i="9"/>
  <c r="B53" i="9" s="1"/>
  <c r="D53" i="12" s="1"/>
  <c r="A52" i="9"/>
  <c r="B52" i="9" s="1"/>
  <c r="D52" i="12" s="1"/>
  <c r="A51" i="9"/>
  <c r="B51" i="9" s="1"/>
  <c r="D51" i="12" s="1"/>
  <c r="J117" i="5"/>
  <c r="G117" i="5"/>
  <c r="J116" i="5"/>
  <c r="G116" i="5"/>
  <c r="J115" i="5"/>
  <c r="G115" i="5"/>
  <c r="A108" i="5"/>
  <c r="B108" i="5" s="1"/>
  <c r="A107" i="5"/>
  <c r="B107" i="5" s="1"/>
  <c r="A106" i="5"/>
  <c r="B106" i="5" s="1"/>
  <c r="A105" i="5"/>
  <c r="B105" i="5" s="1"/>
  <c r="A104" i="5"/>
  <c r="B104" i="5" s="1"/>
  <c r="A103" i="5"/>
  <c r="B103" i="5" s="1"/>
  <c r="A102" i="5"/>
  <c r="B102" i="5" s="1"/>
  <c r="AA51" i="12"/>
  <c r="AA52" i="12"/>
  <c r="AA53" i="12"/>
  <c r="AA54" i="12"/>
  <c r="AA55" i="12"/>
  <c r="AA56" i="12"/>
  <c r="AA57" i="12"/>
  <c r="AA58" i="12"/>
  <c r="AA59" i="12"/>
  <c r="AA60" i="12"/>
  <c r="AA61" i="12"/>
  <c r="AA62" i="12"/>
  <c r="AA63" i="12"/>
  <c r="AA64" i="12"/>
  <c r="AA65" i="12"/>
  <c r="AA66" i="12"/>
  <c r="AA67" i="12"/>
  <c r="AA68" i="12"/>
  <c r="AA69" i="12"/>
  <c r="AA70" i="12"/>
  <c r="AA71" i="12"/>
  <c r="AA72" i="12"/>
  <c r="AA73" i="12"/>
  <c r="AA74" i="12"/>
  <c r="AA75" i="12"/>
  <c r="AA76" i="12"/>
  <c r="AA77" i="12"/>
  <c r="AA78" i="12"/>
  <c r="AA79" i="12"/>
  <c r="AA80" i="12"/>
  <c r="AA81" i="12"/>
  <c r="AA82" i="12"/>
  <c r="AA83" i="12"/>
  <c r="AA84" i="12"/>
  <c r="AA85" i="12"/>
  <c r="AA86" i="12"/>
  <c r="AA87" i="12"/>
  <c r="AA88" i="12"/>
  <c r="AA89" i="12"/>
  <c r="AA90" i="12"/>
  <c r="AA91" i="12"/>
  <c r="AA92" i="12"/>
  <c r="AA93" i="12"/>
  <c r="AA94" i="12"/>
  <c r="AA95" i="12"/>
  <c r="AA96" i="12"/>
  <c r="AA97" i="12"/>
  <c r="AA98" i="12"/>
  <c r="AA99" i="12"/>
  <c r="AA100" i="12"/>
  <c r="AA101" i="12"/>
  <c r="AA102" i="12"/>
  <c r="AA103" i="12"/>
  <c r="AA104" i="12"/>
  <c r="AA105" i="12"/>
  <c r="AA106" i="12"/>
  <c r="AA107" i="12"/>
  <c r="AA108" i="12"/>
  <c r="AA109" i="12"/>
  <c r="AA110" i="12"/>
  <c r="AA111" i="12"/>
  <c r="AA112" i="12"/>
  <c r="AA113" i="12"/>
  <c r="W51" i="12"/>
  <c r="W52" i="12"/>
  <c r="W53" i="12"/>
  <c r="W54" i="12"/>
  <c r="W55" i="12"/>
  <c r="W56" i="12"/>
  <c r="W57" i="12"/>
  <c r="W58" i="12"/>
  <c r="W59" i="12"/>
  <c r="W60" i="12"/>
  <c r="W61" i="12"/>
  <c r="W62" i="12"/>
  <c r="W63" i="12"/>
  <c r="W64" i="12"/>
  <c r="W65" i="12"/>
  <c r="W66" i="12"/>
  <c r="W67" i="12"/>
  <c r="W68" i="12"/>
  <c r="W69" i="12"/>
  <c r="W70" i="12"/>
  <c r="W71" i="12"/>
  <c r="W72" i="12"/>
  <c r="W73" i="12"/>
  <c r="W74" i="12"/>
  <c r="W75" i="12"/>
  <c r="W76" i="12"/>
  <c r="W77" i="12"/>
  <c r="W78" i="12"/>
  <c r="W79" i="12"/>
  <c r="W80" i="12"/>
  <c r="W81" i="12"/>
  <c r="W82" i="12"/>
  <c r="W83" i="12"/>
  <c r="W84" i="12"/>
  <c r="W85" i="12"/>
  <c r="W86" i="12"/>
  <c r="W87" i="12"/>
  <c r="W88" i="12"/>
  <c r="W89" i="12"/>
  <c r="W90" i="12"/>
  <c r="W91" i="12"/>
  <c r="W92" i="12"/>
  <c r="W93" i="12"/>
  <c r="W94" i="12"/>
  <c r="W95" i="12"/>
  <c r="W96" i="12"/>
  <c r="W97" i="12"/>
  <c r="W98" i="12"/>
  <c r="W99" i="12"/>
  <c r="W100" i="12"/>
  <c r="W101" i="12"/>
  <c r="W102" i="12"/>
  <c r="W103" i="12"/>
  <c r="W104" i="12"/>
  <c r="W105" i="12"/>
  <c r="W106" i="12"/>
  <c r="W107" i="12"/>
  <c r="W108" i="12"/>
  <c r="W109" i="12"/>
  <c r="W110" i="12"/>
  <c r="W111" i="12"/>
  <c r="W112" i="12"/>
  <c r="W113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3" i="12"/>
  <c r="S74" i="12"/>
  <c r="S75" i="12"/>
  <c r="S76" i="12"/>
  <c r="S77" i="12"/>
  <c r="S78" i="12"/>
  <c r="S79" i="12"/>
  <c r="S80" i="12"/>
  <c r="S81" i="12"/>
  <c r="S82" i="12"/>
  <c r="S83" i="12"/>
  <c r="S84" i="12"/>
  <c r="S85" i="12"/>
  <c r="S86" i="12"/>
  <c r="S87" i="12"/>
  <c r="S88" i="12"/>
  <c r="S89" i="12"/>
  <c r="S90" i="12"/>
  <c r="S91" i="12"/>
  <c r="S92" i="12"/>
  <c r="S93" i="12"/>
  <c r="S94" i="12"/>
  <c r="S95" i="12"/>
  <c r="S96" i="12"/>
  <c r="S97" i="12"/>
  <c r="S98" i="12"/>
  <c r="S99" i="12"/>
  <c r="S100" i="12"/>
  <c r="S101" i="12"/>
  <c r="S102" i="12"/>
  <c r="S103" i="12"/>
  <c r="S104" i="12"/>
  <c r="S105" i="12"/>
  <c r="S106" i="12"/>
  <c r="S107" i="12"/>
  <c r="S108" i="12"/>
  <c r="S109" i="12"/>
  <c r="S110" i="12"/>
  <c r="S111" i="12"/>
  <c r="S112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W81" i="9"/>
  <c r="W82" i="9"/>
  <c r="W83" i="9"/>
  <c r="W84" i="9"/>
  <c r="W85" i="9"/>
  <c r="W86" i="9"/>
  <c r="W87" i="9"/>
  <c r="W88" i="9"/>
  <c r="W89" i="9"/>
  <c r="W90" i="9"/>
  <c r="W91" i="9"/>
  <c r="W92" i="9"/>
  <c r="W93" i="9"/>
  <c r="W94" i="9"/>
  <c r="W95" i="9"/>
  <c r="W96" i="9"/>
  <c r="W97" i="9"/>
  <c r="W98" i="9"/>
  <c r="W99" i="9"/>
  <c r="W100" i="9"/>
  <c r="W101" i="9"/>
  <c r="W102" i="9"/>
  <c r="W103" i="9"/>
  <c r="W104" i="9"/>
  <c r="W105" i="9"/>
  <c r="W106" i="9"/>
  <c r="W107" i="9"/>
  <c r="W108" i="9"/>
  <c r="W109" i="9"/>
  <c r="W110" i="9"/>
  <c r="W111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AG115" i="13"/>
  <c r="H115" i="13" s="1"/>
  <c r="AG114" i="13"/>
  <c r="H114" i="13" s="1"/>
  <c r="AG113" i="13"/>
  <c r="H113" i="13" s="1"/>
  <c r="AG111" i="13"/>
  <c r="H111" i="13" s="1"/>
  <c r="AG110" i="13"/>
  <c r="H110" i="13" s="1"/>
  <c r="AG109" i="13"/>
  <c r="I109" i="13" s="1"/>
  <c r="W115" i="13"/>
  <c r="W114" i="13"/>
  <c r="W113" i="13"/>
  <c r="W112" i="13"/>
  <c r="W111" i="13"/>
  <c r="W110" i="13"/>
  <c r="W109" i="13"/>
  <c r="AO115" i="10"/>
  <c r="N115" i="10" s="1"/>
  <c r="AO114" i="10"/>
  <c r="N114" i="10" s="1"/>
  <c r="AO113" i="10"/>
  <c r="N113" i="10" s="1"/>
  <c r="AO112" i="10"/>
  <c r="N112" i="10" s="1"/>
  <c r="AO111" i="10"/>
  <c r="N111" i="10" s="1"/>
  <c r="AO110" i="10"/>
  <c r="N110" i="10" s="1"/>
  <c r="AO109" i="10"/>
  <c r="N109" i="10" s="1"/>
  <c r="AK115" i="10"/>
  <c r="AK114" i="10"/>
  <c r="AK113" i="10"/>
  <c r="AK112" i="10"/>
  <c r="AL111" i="10"/>
  <c r="AK111" i="10"/>
  <c r="AL110" i="10"/>
  <c r="AK110" i="10"/>
  <c r="AL109" i="10"/>
  <c r="AK109" i="10"/>
  <c r="AB115" i="10"/>
  <c r="AB114" i="10"/>
  <c r="AB113" i="10"/>
  <c r="AB112" i="10"/>
  <c r="AB111" i="10"/>
  <c r="AB110" i="10"/>
  <c r="AB109" i="10"/>
  <c r="G109" i="10"/>
  <c r="G110" i="10" s="1"/>
  <c r="J114" i="5"/>
  <c r="G114" i="5"/>
  <c r="J113" i="5"/>
  <c r="G113" i="5"/>
  <c r="J112" i="5"/>
  <c r="G112" i="5"/>
  <c r="J111" i="5"/>
  <c r="G111" i="5"/>
  <c r="J110" i="5"/>
  <c r="G110" i="5"/>
  <c r="J109" i="5"/>
  <c r="G109" i="5"/>
  <c r="C156" i="12"/>
  <c r="G156" i="10"/>
  <c r="C156" i="10" s="1"/>
  <c r="C156" i="13" s="1"/>
  <c r="C139" i="12"/>
  <c r="W112" i="9"/>
  <c r="C140" i="12"/>
  <c r="C133" i="12"/>
  <c r="C132" i="12"/>
  <c r="C114" i="12"/>
  <c r="C141" i="12"/>
  <c r="C134" i="12"/>
  <c r="C115" i="12"/>
  <c r="C135" i="12"/>
  <c r="C116" i="12"/>
  <c r="I171" i="10"/>
  <c r="C136" i="12"/>
  <c r="C117" i="12"/>
  <c r="A171" i="13"/>
  <c r="S171" i="10"/>
  <c r="D109" i="5"/>
  <c r="D110" i="5" s="1"/>
  <c r="AF113" i="12"/>
  <c r="AE113" i="12"/>
  <c r="AD113" i="12"/>
  <c r="AF112" i="12"/>
  <c r="AE112" i="12"/>
  <c r="AD112" i="12"/>
  <c r="AK112" i="12" s="1"/>
  <c r="AL112" i="12" s="1"/>
  <c r="AF111" i="12"/>
  <c r="AE111" i="12"/>
  <c r="AD111" i="12"/>
  <c r="AK111" i="12" s="1"/>
  <c r="AL111" i="12" s="1"/>
  <c r="AF110" i="12"/>
  <c r="AE110" i="12"/>
  <c r="AD110" i="12"/>
  <c r="AK110" i="12" s="1"/>
  <c r="AM110" i="12" s="1"/>
  <c r="AF109" i="12"/>
  <c r="AE109" i="12"/>
  <c r="AD109" i="12"/>
  <c r="AK109" i="12" s="1"/>
  <c r="AA110" i="13"/>
  <c r="AA111" i="13"/>
  <c r="AA115" i="13"/>
  <c r="AA114" i="13"/>
  <c r="AA113" i="13"/>
  <c r="AA112" i="13"/>
  <c r="AA109" i="13"/>
  <c r="AG108" i="13"/>
  <c r="H108" i="13" s="1"/>
  <c r="AG107" i="13"/>
  <c r="I107" i="13" s="1"/>
  <c r="AG106" i="13"/>
  <c r="H106" i="13" s="1"/>
  <c r="AG105" i="13"/>
  <c r="I105" i="13" s="1"/>
  <c r="AG104" i="13"/>
  <c r="I104" i="13" s="1"/>
  <c r="AG103" i="13"/>
  <c r="H103" i="13" s="1"/>
  <c r="AG102" i="13"/>
  <c r="I102" i="13" s="1"/>
  <c r="AA108" i="13"/>
  <c r="W108" i="13"/>
  <c r="AA107" i="13"/>
  <c r="W107" i="13"/>
  <c r="AA106" i="13"/>
  <c r="W106" i="13"/>
  <c r="AA105" i="13"/>
  <c r="W105" i="13"/>
  <c r="AA104" i="13"/>
  <c r="W104" i="13"/>
  <c r="AA103" i="13"/>
  <c r="W103" i="13"/>
  <c r="AA102" i="13"/>
  <c r="W102" i="13"/>
  <c r="AO108" i="10"/>
  <c r="N108" i="10" s="1"/>
  <c r="AO107" i="10"/>
  <c r="N107" i="10" s="1"/>
  <c r="AO106" i="10"/>
  <c r="N106" i="10" s="1"/>
  <c r="AO105" i="10"/>
  <c r="N105" i="10" s="1"/>
  <c r="AO104" i="10"/>
  <c r="N104" i="10" s="1"/>
  <c r="AO103" i="10"/>
  <c r="N103" i="10" s="1"/>
  <c r="AO102" i="10"/>
  <c r="N102" i="10" s="1"/>
  <c r="AL108" i="10"/>
  <c r="AL107" i="10"/>
  <c r="AL106" i="10"/>
  <c r="AL105" i="10"/>
  <c r="AL104" i="10"/>
  <c r="AL103" i="10"/>
  <c r="AL102" i="10"/>
  <c r="AK108" i="10"/>
  <c r="AK107" i="10"/>
  <c r="AK106" i="10"/>
  <c r="AK105" i="10"/>
  <c r="AK104" i="10"/>
  <c r="AK103" i="10"/>
  <c r="AK102" i="10"/>
  <c r="AB108" i="10"/>
  <c r="AB107" i="10"/>
  <c r="AB106" i="10"/>
  <c r="AB105" i="10"/>
  <c r="AB104" i="10"/>
  <c r="AB103" i="10"/>
  <c r="AB102" i="10"/>
  <c r="J108" i="5"/>
  <c r="G108" i="5"/>
  <c r="J107" i="5"/>
  <c r="G107" i="5"/>
  <c r="J106" i="5"/>
  <c r="G106" i="5"/>
  <c r="J105" i="5"/>
  <c r="G105" i="5"/>
  <c r="J104" i="5"/>
  <c r="G104" i="5"/>
  <c r="J103" i="5"/>
  <c r="G103" i="5"/>
  <c r="J102" i="5"/>
  <c r="G102" i="5"/>
  <c r="AF108" i="12"/>
  <c r="AE108" i="12"/>
  <c r="AD108" i="12"/>
  <c r="AK108" i="12" s="1"/>
  <c r="AL108" i="12" s="1"/>
  <c r="AF107" i="12"/>
  <c r="AE107" i="12"/>
  <c r="AD107" i="12"/>
  <c r="AF106" i="12"/>
  <c r="AE106" i="12"/>
  <c r="AD106" i="12"/>
  <c r="AF105" i="12"/>
  <c r="AE105" i="12"/>
  <c r="AD105" i="12"/>
  <c r="AK105" i="12" s="1"/>
  <c r="AL105" i="12" s="1"/>
  <c r="AF104" i="12"/>
  <c r="AE104" i="12"/>
  <c r="AD104" i="12"/>
  <c r="AK104" i="12" s="1"/>
  <c r="AL104" i="12" s="1"/>
  <c r="AF103" i="12"/>
  <c r="AE103" i="12"/>
  <c r="AD103" i="12"/>
  <c r="AK103" i="12" s="1"/>
  <c r="AM103" i="12" s="1"/>
  <c r="AF102" i="12"/>
  <c r="AE102" i="12"/>
  <c r="AD102" i="12"/>
  <c r="AK102" i="12" s="1"/>
  <c r="AG101" i="13"/>
  <c r="H101" i="13" s="1"/>
  <c r="AG100" i="13"/>
  <c r="I100" i="13" s="1"/>
  <c r="AG99" i="13"/>
  <c r="I99" i="13" s="1"/>
  <c r="AG98" i="13"/>
  <c r="I98" i="13" s="1"/>
  <c r="AG97" i="13"/>
  <c r="H97" i="13" s="1"/>
  <c r="AG96" i="13"/>
  <c r="H96" i="13" s="1"/>
  <c r="AO101" i="10"/>
  <c r="N101" i="10" s="1"/>
  <c r="AO100" i="10"/>
  <c r="N100" i="10" s="1"/>
  <c r="AO99" i="10"/>
  <c r="N99" i="10" s="1"/>
  <c r="AO98" i="10"/>
  <c r="N98" i="10" s="1"/>
  <c r="AO97" i="10"/>
  <c r="N97" i="10" s="1"/>
  <c r="AO96" i="10"/>
  <c r="N96" i="10" s="1"/>
  <c r="AL101" i="10"/>
  <c r="AK101" i="10"/>
  <c r="AL100" i="10"/>
  <c r="AK100" i="10"/>
  <c r="AL99" i="10"/>
  <c r="AK99" i="10"/>
  <c r="AL98" i="10"/>
  <c r="AK98" i="10"/>
  <c r="AL97" i="10"/>
  <c r="AK97" i="10"/>
  <c r="AL96" i="10"/>
  <c r="AK96" i="10"/>
  <c r="AB101" i="10"/>
  <c r="AB100" i="10"/>
  <c r="AB99" i="10"/>
  <c r="AB98" i="10"/>
  <c r="AB97" i="10"/>
  <c r="AB96" i="10"/>
  <c r="G96" i="5"/>
  <c r="J96" i="5"/>
  <c r="G97" i="5"/>
  <c r="J97" i="5"/>
  <c r="G98" i="5"/>
  <c r="J98" i="5"/>
  <c r="G99" i="5"/>
  <c r="J99" i="5"/>
  <c r="G100" i="5"/>
  <c r="J100" i="5"/>
  <c r="G101" i="5"/>
  <c r="J101" i="5"/>
  <c r="AF101" i="12"/>
  <c r="AE101" i="12"/>
  <c r="AD101" i="12"/>
  <c r="AK101" i="12" s="1"/>
  <c r="AF100" i="12"/>
  <c r="AE100" i="12"/>
  <c r="AD100" i="12"/>
  <c r="AK100" i="12" s="1"/>
  <c r="AL100" i="12" s="1"/>
  <c r="AF99" i="12"/>
  <c r="AE99" i="12"/>
  <c r="AD99" i="12"/>
  <c r="AK99" i="12" s="1"/>
  <c r="AL99" i="12" s="1"/>
  <c r="AF98" i="12"/>
  <c r="AE98" i="12"/>
  <c r="AD98" i="12"/>
  <c r="AF97" i="12"/>
  <c r="AE97" i="12"/>
  <c r="AD97" i="12"/>
  <c r="AK97" i="12" s="1"/>
  <c r="AF96" i="12"/>
  <c r="AE96" i="12"/>
  <c r="AD96" i="12"/>
  <c r="AO95" i="10"/>
  <c r="N95" i="10" s="1"/>
  <c r="AO94" i="10"/>
  <c r="N94" i="10" s="1"/>
  <c r="AO93" i="10"/>
  <c r="N93" i="10" s="1"/>
  <c r="AO92" i="10"/>
  <c r="N92" i="10" s="1"/>
  <c r="AO91" i="10"/>
  <c r="N91" i="10" s="1"/>
  <c r="AO90" i="10"/>
  <c r="N90" i="10" s="1"/>
  <c r="AO89" i="10"/>
  <c r="N89" i="10" s="1"/>
  <c r="AO88" i="10"/>
  <c r="N88" i="10" s="1"/>
  <c r="AO87" i="10"/>
  <c r="N87" i="10" s="1"/>
  <c r="AO86" i="10"/>
  <c r="N86" i="10" s="1"/>
  <c r="AO85" i="10"/>
  <c r="N85" i="10" s="1"/>
  <c r="AO84" i="10"/>
  <c r="N84" i="10" s="1"/>
  <c r="AO83" i="10"/>
  <c r="N83" i="10" s="1"/>
  <c r="AO82" i="10"/>
  <c r="N82" i="10" s="1"/>
  <c r="AO81" i="10"/>
  <c r="N81" i="10" s="1"/>
  <c r="AO80" i="10"/>
  <c r="N80" i="10" s="1"/>
  <c r="AO79" i="10"/>
  <c r="N79" i="10" s="1"/>
  <c r="AO78" i="10"/>
  <c r="N78" i="10" s="1"/>
  <c r="AO77" i="10"/>
  <c r="N77" i="10" s="1"/>
  <c r="AO76" i="10"/>
  <c r="N76" i="10" s="1"/>
  <c r="AO75" i="10"/>
  <c r="N75" i="10" s="1"/>
  <c r="AO74" i="10"/>
  <c r="N74" i="10" s="1"/>
  <c r="AO73" i="10"/>
  <c r="N73" i="10" s="1"/>
  <c r="AO72" i="10"/>
  <c r="N72" i="10" s="1"/>
  <c r="AO71" i="10"/>
  <c r="N71" i="10" s="1"/>
  <c r="AO70" i="10"/>
  <c r="N70" i="10" s="1"/>
  <c r="AO69" i="10"/>
  <c r="N69" i="10" s="1"/>
  <c r="AO68" i="10"/>
  <c r="N68" i="10" s="1"/>
  <c r="AO67" i="10"/>
  <c r="N67" i="10" s="1"/>
  <c r="AO66" i="10"/>
  <c r="N66" i="10" s="1"/>
  <c r="AO65" i="10"/>
  <c r="N65" i="10" s="1"/>
  <c r="AO64" i="10"/>
  <c r="N64" i="10" s="1"/>
  <c r="AO63" i="10"/>
  <c r="N63" i="10" s="1"/>
  <c r="AO62" i="10"/>
  <c r="N62" i="10" s="1"/>
  <c r="AO61" i="10"/>
  <c r="N61" i="10" s="1"/>
  <c r="AO60" i="10"/>
  <c r="N60" i="10" s="1"/>
  <c r="AO59" i="10"/>
  <c r="N59" i="10" s="1"/>
  <c r="AO58" i="10"/>
  <c r="N58" i="10" s="1"/>
  <c r="AO57" i="10"/>
  <c r="N57" i="10" s="1"/>
  <c r="AO56" i="10"/>
  <c r="N56" i="10" s="1"/>
  <c r="AO55" i="10"/>
  <c r="N55" i="10" s="1"/>
  <c r="AO54" i="10"/>
  <c r="N54" i="10" s="1"/>
  <c r="AO53" i="10"/>
  <c r="N53" i="10" s="1"/>
  <c r="AO52" i="10"/>
  <c r="N52" i="10" s="1"/>
  <c r="AO51" i="10"/>
  <c r="N51" i="10" s="1"/>
  <c r="AO50" i="10"/>
  <c r="N50" i="10" s="1"/>
  <c r="AO49" i="10"/>
  <c r="N49" i="10" s="1"/>
  <c r="AO48" i="10"/>
  <c r="N48" i="10" s="1"/>
  <c r="AO47" i="10"/>
  <c r="N47" i="10" s="1"/>
  <c r="AO46" i="10"/>
  <c r="N46" i="10" s="1"/>
  <c r="AO45" i="10"/>
  <c r="N45" i="10" s="1"/>
  <c r="AO44" i="10"/>
  <c r="N44" i="10" s="1"/>
  <c r="AO43" i="10"/>
  <c r="N43" i="10" s="1"/>
  <c r="AO42" i="10"/>
  <c r="N42" i="10" s="1"/>
  <c r="AO41" i="10"/>
  <c r="N41" i="10" s="1"/>
  <c r="AO40" i="10"/>
  <c r="N40" i="10" s="1"/>
  <c r="AO39" i="10"/>
  <c r="N39" i="10" s="1"/>
  <c r="AO38" i="10"/>
  <c r="N38" i="10" s="1"/>
  <c r="AO37" i="10"/>
  <c r="N37" i="10" s="1"/>
  <c r="AO36" i="10"/>
  <c r="N36" i="10" s="1"/>
  <c r="AO35" i="10"/>
  <c r="N35" i="10" s="1"/>
  <c r="AO34" i="10"/>
  <c r="N34" i="10" s="1"/>
  <c r="AO33" i="10"/>
  <c r="N33" i="10" s="1"/>
  <c r="AO32" i="10"/>
  <c r="N32" i="10" s="1"/>
  <c r="AO31" i="10"/>
  <c r="N31" i="10" s="1"/>
  <c r="AO30" i="10"/>
  <c r="N30" i="10" s="1"/>
  <c r="AO29" i="10"/>
  <c r="N29" i="10" s="1"/>
  <c r="AO28" i="10"/>
  <c r="N28" i="10" s="1"/>
  <c r="AO27" i="10"/>
  <c r="N27" i="10" s="1"/>
  <c r="AO26" i="10"/>
  <c r="N26" i="10" s="1"/>
  <c r="AO25" i="10"/>
  <c r="N25" i="10" s="1"/>
  <c r="AO24" i="10"/>
  <c r="N24" i="10" s="1"/>
  <c r="AO23" i="10"/>
  <c r="N23" i="10" s="1"/>
  <c r="AO22" i="10"/>
  <c r="N22" i="10" s="1"/>
  <c r="AO21" i="10"/>
  <c r="N21" i="10" s="1"/>
  <c r="AO20" i="10"/>
  <c r="N20" i="10" s="1"/>
  <c r="AG95" i="13"/>
  <c r="I95" i="13" s="1"/>
  <c r="AG94" i="13"/>
  <c r="H94" i="13" s="1"/>
  <c r="AG93" i="13"/>
  <c r="I93" i="13" s="1"/>
  <c r="AG92" i="13"/>
  <c r="H92" i="13" s="1"/>
  <c r="AG91" i="13"/>
  <c r="H91" i="13" s="1"/>
  <c r="AG90" i="13"/>
  <c r="I90" i="13" s="1"/>
  <c r="AG89" i="13"/>
  <c r="H89" i="13" s="1"/>
  <c r="AG88" i="13"/>
  <c r="I88" i="13" s="1"/>
  <c r="AG87" i="13"/>
  <c r="I87" i="13" s="1"/>
  <c r="AG86" i="13"/>
  <c r="H86" i="13" s="1"/>
  <c r="AG85" i="13"/>
  <c r="H85" i="13" s="1"/>
  <c r="AG84" i="13"/>
  <c r="I84" i="13" s="1"/>
  <c r="AG83" i="13"/>
  <c r="H83" i="13" s="1"/>
  <c r="AG82" i="13"/>
  <c r="I82" i="13" s="1"/>
  <c r="AG80" i="13"/>
  <c r="I80" i="13" s="1"/>
  <c r="AG79" i="13"/>
  <c r="I79" i="13" s="1"/>
  <c r="AG78" i="13"/>
  <c r="H78" i="13" s="1"/>
  <c r="AG77" i="13"/>
  <c r="I77" i="13" s="1"/>
  <c r="AG76" i="13"/>
  <c r="I76" i="13" s="1"/>
  <c r="AG75" i="13"/>
  <c r="I75" i="13" s="1"/>
  <c r="AG74" i="13"/>
  <c r="I74" i="13" s="1"/>
  <c r="AG73" i="13"/>
  <c r="I73" i="13" s="1"/>
  <c r="AG72" i="13"/>
  <c r="I72" i="13" s="1"/>
  <c r="AG71" i="13"/>
  <c r="H71" i="13" s="1"/>
  <c r="AG70" i="13"/>
  <c r="I70" i="13" s="1"/>
  <c r="AG69" i="13"/>
  <c r="I69" i="13" s="1"/>
  <c r="AG68" i="13"/>
  <c r="I68" i="13" s="1"/>
  <c r="AG67" i="13"/>
  <c r="H67" i="13" s="1"/>
  <c r="AG66" i="13"/>
  <c r="H66" i="13" s="1"/>
  <c r="AG65" i="13"/>
  <c r="I65" i="13" s="1"/>
  <c r="AG64" i="13"/>
  <c r="I64" i="13" s="1"/>
  <c r="AG63" i="13"/>
  <c r="H63" i="13" s="1"/>
  <c r="AG62" i="13"/>
  <c r="I62" i="13" s="1"/>
  <c r="AG61" i="13"/>
  <c r="I61" i="13" s="1"/>
  <c r="AG60" i="13"/>
  <c r="H60" i="13" s="1"/>
  <c r="AG59" i="13"/>
  <c r="I59" i="13" s="1"/>
  <c r="AG58" i="13"/>
  <c r="H58" i="13" s="1"/>
  <c r="AG57" i="13"/>
  <c r="H57" i="13" s="1"/>
  <c r="AG56" i="13"/>
  <c r="H56" i="13" s="1"/>
  <c r="AG55" i="13"/>
  <c r="H55" i="13" s="1"/>
  <c r="AG54" i="13"/>
  <c r="I54" i="13" s="1"/>
  <c r="AG53" i="13"/>
  <c r="I53" i="13" s="1"/>
  <c r="AG52" i="13"/>
  <c r="H52" i="13" s="1"/>
  <c r="AG51" i="13"/>
  <c r="H51" i="13" s="1"/>
  <c r="AG50" i="13"/>
  <c r="H50" i="13" s="1"/>
  <c r="AG49" i="13"/>
  <c r="H49" i="13" s="1"/>
  <c r="AG48" i="13"/>
  <c r="H48" i="13" s="1"/>
  <c r="AG47" i="13"/>
  <c r="H47" i="13" s="1"/>
  <c r="AG46" i="13"/>
  <c r="H46" i="13" s="1"/>
  <c r="AG45" i="13"/>
  <c r="H45" i="13" s="1"/>
  <c r="AG44" i="13"/>
  <c r="H44" i="13" s="1"/>
  <c r="AG43" i="13"/>
  <c r="H43" i="13" s="1"/>
  <c r="AG42" i="13"/>
  <c r="H42" i="13" s="1"/>
  <c r="AG41" i="13"/>
  <c r="H41" i="13" s="1"/>
  <c r="AG40" i="13"/>
  <c r="H40" i="13" s="1"/>
  <c r="AG39" i="13"/>
  <c r="H39" i="13" s="1"/>
  <c r="AG38" i="13"/>
  <c r="H38" i="13" s="1"/>
  <c r="AG37" i="13"/>
  <c r="H37" i="13" s="1"/>
  <c r="AG36" i="13"/>
  <c r="H36" i="13" s="1"/>
  <c r="AG35" i="13"/>
  <c r="H35" i="13" s="1"/>
  <c r="AG34" i="13"/>
  <c r="H34" i="13" s="1"/>
  <c r="AG33" i="13"/>
  <c r="H33" i="13" s="1"/>
  <c r="AG32" i="13"/>
  <c r="H32" i="13" s="1"/>
  <c r="AG31" i="13"/>
  <c r="H31" i="13" s="1"/>
  <c r="AG30" i="13"/>
  <c r="H30" i="13" s="1"/>
  <c r="AG29" i="13"/>
  <c r="H29" i="13" s="1"/>
  <c r="AG28" i="13"/>
  <c r="H28" i="13" s="1"/>
  <c r="AG27" i="13"/>
  <c r="H27" i="13" s="1"/>
  <c r="AG26" i="13"/>
  <c r="H26" i="13" s="1"/>
  <c r="AG25" i="13"/>
  <c r="H25" i="13" s="1"/>
  <c r="AG24" i="13"/>
  <c r="H24" i="13" s="1"/>
  <c r="AG23" i="13"/>
  <c r="H23" i="13" s="1"/>
  <c r="AG22" i="13"/>
  <c r="H22" i="13" s="1"/>
  <c r="AG21" i="13"/>
  <c r="H21" i="13" s="1"/>
  <c r="AG20" i="13"/>
  <c r="H20" i="13" s="1"/>
  <c r="AG81" i="13"/>
  <c r="I81" i="13" s="1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A82" i="13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B95" i="10"/>
  <c r="AB94" i="10"/>
  <c r="AB93" i="10"/>
  <c r="AB92" i="10"/>
  <c r="AB91" i="10"/>
  <c r="AB90" i="10"/>
  <c r="AB89" i="10"/>
  <c r="AL95" i="10"/>
  <c r="AK95" i="10"/>
  <c r="AL94" i="10"/>
  <c r="AK94" i="10"/>
  <c r="AL93" i="10"/>
  <c r="AK93" i="10"/>
  <c r="AL92" i="10"/>
  <c r="AK92" i="10"/>
  <c r="AL91" i="10"/>
  <c r="AK91" i="10"/>
  <c r="AL90" i="10"/>
  <c r="AK90" i="10"/>
  <c r="AL89" i="10"/>
  <c r="AK89" i="10"/>
  <c r="G95" i="5"/>
  <c r="G94" i="5"/>
  <c r="G93" i="5"/>
  <c r="G92" i="5"/>
  <c r="G91" i="5"/>
  <c r="G90" i="5"/>
  <c r="G89" i="5"/>
  <c r="AD89" i="12"/>
  <c r="AK89" i="12" s="1"/>
  <c r="AL89" i="12" s="1"/>
  <c r="AE89" i="12"/>
  <c r="AF89" i="12"/>
  <c r="AD90" i="12"/>
  <c r="AK90" i="12" s="1"/>
  <c r="AL90" i="12" s="1"/>
  <c r="AE90" i="12"/>
  <c r="AF90" i="12"/>
  <c r="AD91" i="12"/>
  <c r="AK91" i="12" s="1"/>
  <c r="AL91" i="12" s="1"/>
  <c r="AE91" i="12"/>
  <c r="AF91" i="12"/>
  <c r="AD92" i="12"/>
  <c r="AK92" i="12" s="1"/>
  <c r="AM92" i="12" s="1"/>
  <c r="AE92" i="12"/>
  <c r="AF92" i="12"/>
  <c r="AD93" i="12"/>
  <c r="AE93" i="12"/>
  <c r="AF93" i="12"/>
  <c r="AD94" i="12"/>
  <c r="AK94" i="12" s="1"/>
  <c r="AE94" i="12"/>
  <c r="AF94" i="12"/>
  <c r="AD95" i="12"/>
  <c r="AE95" i="12"/>
  <c r="AF95" i="12"/>
  <c r="W69" i="9"/>
  <c r="W70" i="9"/>
  <c r="W71" i="9"/>
  <c r="W72" i="9"/>
  <c r="W73" i="9"/>
  <c r="W74" i="9"/>
  <c r="W75" i="9"/>
  <c r="W76" i="9"/>
  <c r="W77" i="9"/>
  <c r="W78" i="9"/>
  <c r="W79" i="9"/>
  <c r="W80" i="9"/>
  <c r="N69" i="9"/>
  <c r="N70" i="9"/>
  <c r="N71" i="9"/>
  <c r="N72" i="9"/>
  <c r="N73" i="9"/>
  <c r="N74" i="9"/>
  <c r="N75" i="9"/>
  <c r="N76" i="9"/>
  <c r="N77" i="9"/>
  <c r="N78" i="9"/>
  <c r="N79" i="9"/>
  <c r="N80" i="9"/>
  <c r="AF21" i="12"/>
  <c r="AF22" i="12"/>
  <c r="AF23" i="12"/>
  <c r="AF24" i="12"/>
  <c r="AF25" i="12"/>
  <c r="AF26" i="12"/>
  <c r="AF27" i="12"/>
  <c r="AF28" i="12"/>
  <c r="AF29" i="12"/>
  <c r="AF30" i="12"/>
  <c r="AF31" i="12"/>
  <c r="AF32" i="12"/>
  <c r="AF33" i="12"/>
  <c r="AF34" i="12"/>
  <c r="AF35" i="12"/>
  <c r="AF36" i="12"/>
  <c r="AF37" i="12"/>
  <c r="AF38" i="12"/>
  <c r="AF39" i="12"/>
  <c r="AF40" i="12"/>
  <c r="AF41" i="12"/>
  <c r="AF42" i="12"/>
  <c r="AF43" i="12"/>
  <c r="AF44" i="12"/>
  <c r="AF45" i="12"/>
  <c r="AF46" i="12"/>
  <c r="AF47" i="12"/>
  <c r="AF48" i="12"/>
  <c r="AF49" i="12"/>
  <c r="AF50" i="12"/>
  <c r="AF51" i="12"/>
  <c r="AF52" i="12"/>
  <c r="AF53" i="12"/>
  <c r="AF54" i="12"/>
  <c r="AF55" i="12"/>
  <c r="AF56" i="12"/>
  <c r="AF57" i="12"/>
  <c r="AF58" i="12"/>
  <c r="AF59" i="12"/>
  <c r="AF60" i="12"/>
  <c r="AF61" i="12"/>
  <c r="AF62" i="12"/>
  <c r="AF63" i="12"/>
  <c r="AF64" i="12"/>
  <c r="AF65" i="12"/>
  <c r="AF66" i="12"/>
  <c r="AF67" i="12"/>
  <c r="AF68" i="12"/>
  <c r="AF69" i="12"/>
  <c r="AF70" i="12"/>
  <c r="AF71" i="12"/>
  <c r="AF72" i="12"/>
  <c r="AF73" i="12"/>
  <c r="AF74" i="12"/>
  <c r="AF75" i="12"/>
  <c r="AF76" i="12"/>
  <c r="AF77" i="12"/>
  <c r="AF78" i="12"/>
  <c r="AF79" i="12"/>
  <c r="AF80" i="12"/>
  <c r="AF81" i="12"/>
  <c r="AF82" i="12"/>
  <c r="AF83" i="12"/>
  <c r="AF84" i="12"/>
  <c r="AF85" i="12"/>
  <c r="AF86" i="12"/>
  <c r="AF87" i="12"/>
  <c r="AF88" i="12"/>
  <c r="AF20" i="12"/>
  <c r="AE21" i="12"/>
  <c r="AE22" i="12"/>
  <c r="AE23" i="12"/>
  <c r="AE24" i="12"/>
  <c r="AE25" i="12"/>
  <c r="AE26" i="12"/>
  <c r="AE27" i="12"/>
  <c r="AE28" i="12"/>
  <c r="AE29" i="12"/>
  <c r="AE30" i="12"/>
  <c r="AE31" i="12"/>
  <c r="AE32" i="12"/>
  <c r="AE33" i="12"/>
  <c r="AE34" i="12"/>
  <c r="AE35" i="12"/>
  <c r="AE36" i="12"/>
  <c r="AE37" i="12"/>
  <c r="AE38" i="12"/>
  <c r="AE39" i="12"/>
  <c r="AE40" i="12"/>
  <c r="AE41" i="12"/>
  <c r="AE42" i="12"/>
  <c r="AE43" i="12"/>
  <c r="AE44" i="12"/>
  <c r="AE45" i="12"/>
  <c r="AE46" i="12"/>
  <c r="AE47" i="12"/>
  <c r="AE48" i="12"/>
  <c r="AE49" i="12"/>
  <c r="AE50" i="12"/>
  <c r="AE51" i="12"/>
  <c r="AE52" i="12"/>
  <c r="AE53" i="12"/>
  <c r="AE54" i="12"/>
  <c r="AE55" i="12"/>
  <c r="AE56" i="12"/>
  <c r="AE57" i="12"/>
  <c r="AE58" i="12"/>
  <c r="AE59" i="12"/>
  <c r="AE60" i="12"/>
  <c r="AE61" i="12"/>
  <c r="AE62" i="12"/>
  <c r="AE63" i="12"/>
  <c r="AE64" i="12"/>
  <c r="AE65" i="12"/>
  <c r="AE66" i="12"/>
  <c r="AE67" i="12"/>
  <c r="AE68" i="12"/>
  <c r="AE69" i="12"/>
  <c r="AE70" i="12"/>
  <c r="AE71" i="12"/>
  <c r="AE72" i="12"/>
  <c r="AE73" i="12"/>
  <c r="AE74" i="12"/>
  <c r="AE75" i="12"/>
  <c r="AE76" i="12"/>
  <c r="AE77" i="12"/>
  <c r="AE78" i="12"/>
  <c r="AE79" i="12"/>
  <c r="AE80" i="12"/>
  <c r="AE81" i="12"/>
  <c r="AE82" i="12"/>
  <c r="AE83" i="12"/>
  <c r="AE84" i="12"/>
  <c r="AE85" i="12"/>
  <c r="AE86" i="12"/>
  <c r="AE87" i="12"/>
  <c r="AE88" i="12"/>
  <c r="AE20" i="12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AA83" i="13"/>
  <c r="W83" i="13"/>
  <c r="AA82" i="13"/>
  <c r="W82" i="13"/>
  <c r="AA81" i="13"/>
  <c r="W81" i="13"/>
  <c r="AL88" i="10"/>
  <c r="AK88" i="10"/>
  <c r="AL87" i="10"/>
  <c r="AK87" i="10"/>
  <c r="AL86" i="10"/>
  <c r="AK86" i="10"/>
  <c r="AL85" i="10"/>
  <c r="AK85" i="10"/>
  <c r="AL84" i="10"/>
  <c r="AK84" i="10"/>
  <c r="AL83" i="10"/>
  <c r="AK83" i="10"/>
  <c r="AL82" i="10"/>
  <c r="AK82" i="10"/>
  <c r="AL81" i="10"/>
  <c r="J81" i="10" s="1"/>
  <c r="AK81" i="10"/>
  <c r="R81" i="10" s="1"/>
  <c r="AB88" i="10"/>
  <c r="AB87" i="10"/>
  <c r="AB86" i="10"/>
  <c r="AB85" i="10"/>
  <c r="AB84" i="10"/>
  <c r="AB83" i="10"/>
  <c r="AB82" i="10"/>
  <c r="AB81" i="10"/>
  <c r="AA84" i="13"/>
  <c r="S81" i="10"/>
  <c r="A82" i="10"/>
  <c r="S82" i="10" s="1"/>
  <c r="I81" i="10"/>
  <c r="W84" i="13"/>
  <c r="AA85" i="13"/>
  <c r="AA89" i="13"/>
  <c r="W89" i="13"/>
  <c r="AA86" i="13"/>
  <c r="W85" i="13"/>
  <c r="AD88" i="12"/>
  <c r="AD87" i="12"/>
  <c r="AK87" i="12" s="1"/>
  <c r="AD86" i="12"/>
  <c r="AK86" i="12" s="1"/>
  <c r="AD85" i="12"/>
  <c r="AK85" i="12" s="1"/>
  <c r="AL85" i="12" s="1"/>
  <c r="AD84" i="12"/>
  <c r="AD83" i="12"/>
  <c r="AK83" i="12" s="1"/>
  <c r="AL83" i="12" s="1"/>
  <c r="AD82" i="12"/>
  <c r="AD81" i="12"/>
  <c r="W50" i="12"/>
  <c r="W52" i="9"/>
  <c r="W53" i="9"/>
  <c r="W54" i="9"/>
  <c r="W55" i="9"/>
  <c r="W56" i="9"/>
  <c r="W57" i="9"/>
  <c r="W58" i="9"/>
  <c r="W59" i="9"/>
  <c r="W60" i="9"/>
  <c r="W61" i="9"/>
  <c r="W62" i="9"/>
  <c r="W63" i="9"/>
  <c r="W64" i="9"/>
  <c r="W65" i="9"/>
  <c r="W66" i="9"/>
  <c r="W67" i="9"/>
  <c r="W68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W90" i="13"/>
  <c r="AA90" i="13"/>
  <c r="W86" i="13"/>
  <c r="AA87" i="13"/>
  <c r="AA91" i="13"/>
  <c r="W91" i="13"/>
  <c r="AA88" i="13"/>
  <c r="W87" i="13"/>
  <c r="AA92" i="13"/>
  <c r="W92" i="13"/>
  <c r="W88" i="13"/>
  <c r="W93" i="13"/>
  <c r="AA93" i="13"/>
  <c r="AA80" i="13"/>
  <c r="W80" i="13"/>
  <c r="AA79" i="13"/>
  <c r="W79" i="13"/>
  <c r="AA78" i="13"/>
  <c r="W78" i="13"/>
  <c r="AA77" i="13"/>
  <c r="W77" i="13"/>
  <c r="AA76" i="13"/>
  <c r="W76" i="13"/>
  <c r="AA75" i="13"/>
  <c r="W75" i="13"/>
  <c r="AA74" i="13"/>
  <c r="W74" i="13"/>
  <c r="AL80" i="10"/>
  <c r="J80" i="10" s="1"/>
  <c r="AK80" i="10"/>
  <c r="R80" i="10" s="1"/>
  <c r="AL79" i="10"/>
  <c r="J79" i="10" s="1"/>
  <c r="AK79" i="10"/>
  <c r="R79" i="10" s="1"/>
  <c r="AL78" i="10"/>
  <c r="J78" i="10" s="1"/>
  <c r="AK78" i="10"/>
  <c r="R78" i="10" s="1"/>
  <c r="AL77" i="10"/>
  <c r="J77" i="10" s="1"/>
  <c r="AK77" i="10"/>
  <c r="R77" i="10" s="1"/>
  <c r="AL76" i="10"/>
  <c r="J76" i="10" s="1"/>
  <c r="AK76" i="10"/>
  <c r="R76" i="10" s="1"/>
  <c r="AL75" i="10"/>
  <c r="J75" i="10" s="1"/>
  <c r="AK75" i="10"/>
  <c r="R75" i="10" s="1"/>
  <c r="AL74" i="10"/>
  <c r="J74" i="10" s="1"/>
  <c r="AK74" i="10"/>
  <c r="R74" i="10" s="1"/>
  <c r="AB80" i="10"/>
  <c r="AB79" i="10"/>
  <c r="AB78" i="10"/>
  <c r="AB77" i="10"/>
  <c r="AB76" i="10"/>
  <c r="AB75" i="10"/>
  <c r="AB74" i="10"/>
  <c r="S80" i="10"/>
  <c r="S79" i="10"/>
  <c r="I78" i="10"/>
  <c r="I77" i="10"/>
  <c r="S76" i="10"/>
  <c r="S75" i="10"/>
  <c r="I74" i="10"/>
  <c r="AD80" i="12"/>
  <c r="AD79" i="12"/>
  <c r="AK79" i="12" s="1"/>
  <c r="AL79" i="12" s="1"/>
  <c r="AD78" i="12"/>
  <c r="AK78" i="12" s="1"/>
  <c r="AL78" i="12" s="1"/>
  <c r="AD77" i="12"/>
  <c r="AD76" i="12"/>
  <c r="AK76" i="12" s="1"/>
  <c r="AL76" i="12" s="1"/>
  <c r="AD75" i="12"/>
  <c r="AK75" i="12" s="1"/>
  <c r="AL75" i="12" s="1"/>
  <c r="AD74" i="12"/>
  <c r="AK74" i="12" s="1"/>
  <c r="AA94" i="13"/>
  <c r="W94" i="13"/>
  <c r="S77" i="10"/>
  <c r="I80" i="10"/>
  <c r="S74" i="10"/>
  <c r="S78" i="10"/>
  <c r="I79" i="10"/>
  <c r="I75" i="10"/>
  <c r="I76" i="10"/>
  <c r="W95" i="13"/>
  <c r="AA95" i="13"/>
  <c r="AA96" i="13"/>
  <c r="W96" i="13"/>
  <c r="AA73" i="13"/>
  <c r="W73" i="13"/>
  <c r="AA72" i="13"/>
  <c r="W72" i="13"/>
  <c r="AA71" i="13"/>
  <c r="W71" i="13"/>
  <c r="AA70" i="13"/>
  <c r="W70" i="13"/>
  <c r="AA69" i="13"/>
  <c r="W69" i="13"/>
  <c r="AA68" i="13"/>
  <c r="W68" i="13"/>
  <c r="AA67" i="13"/>
  <c r="W67" i="13"/>
  <c r="W97" i="13"/>
  <c r="AA97" i="13"/>
  <c r="AL73" i="10"/>
  <c r="J73" i="10" s="1"/>
  <c r="AK73" i="10"/>
  <c r="R73" i="10" s="1"/>
  <c r="AL72" i="10"/>
  <c r="J72" i="10" s="1"/>
  <c r="AK72" i="10"/>
  <c r="AL71" i="10"/>
  <c r="J71" i="10" s="1"/>
  <c r="AK71" i="10"/>
  <c r="R71" i="10" s="1"/>
  <c r="AL70" i="10"/>
  <c r="J70" i="10" s="1"/>
  <c r="AK70" i="10"/>
  <c r="R70" i="10" s="1"/>
  <c r="AL69" i="10"/>
  <c r="J69" i="10" s="1"/>
  <c r="AK69" i="10"/>
  <c r="R69" i="10" s="1"/>
  <c r="AL68" i="10"/>
  <c r="J68" i="10" s="1"/>
  <c r="AK68" i="10"/>
  <c r="R68" i="10" s="1"/>
  <c r="AL67" i="10"/>
  <c r="J67" i="10" s="1"/>
  <c r="AK67" i="10"/>
  <c r="R67" i="10" s="1"/>
  <c r="AB73" i="10"/>
  <c r="AB72" i="10"/>
  <c r="AB71" i="10"/>
  <c r="AB70" i="10"/>
  <c r="AB69" i="10"/>
  <c r="AB68" i="10"/>
  <c r="AB67" i="10"/>
  <c r="I73" i="10"/>
  <c r="I72" i="10"/>
  <c r="I71" i="10"/>
  <c r="S70" i="10"/>
  <c r="I67" i="10"/>
  <c r="AD73" i="12"/>
  <c r="AK73" i="12" s="1"/>
  <c r="AL73" i="12" s="1"/>
  <c r="AD72" i="12"/>
  <c r="AK72" i="12" s="1"/>
  <c r="AD71" i="12"/>
  <c r="AK71" i="12" s="1"/>
  <c r="AL71" i="12" s="1"/>
  <c r="AD70" i="12"/>
  <c r="AK70" i="12" s="1"/>
  <c r="AL70" i="12" s="1"/>
  <c r="AD69" i="12"/>
  <c r="AK69" i="12" s="1"/>
  <c r="AL69" i="12" s="1"/>
  <c r="AD68" i="12"/>
  <c r="AK68" i="12" s="1"/>
  <c r="AL68" i="12" s="1"/>
  <c r="AD67" i="12"/>
  <c r="AK67" i="12" s="1"/>
  <c r="AA98" i="13"/>
  <c r="W98" i="13"/>
  <c r="R72" i="10"/>
  <c r="S72" i="10"/>
  <c r="I68" i="10"/>
  <c r="S68" i="10"/>
  <c r="S67" i="10"/>
  <c r="S71" i="10"/>
  <c r="S73" i="10"/>
  <c r="I69" i="10"/>
  <c r="I70" i="10"/>
  <c r="S69" i="10"/>
  <c r="W99" i="13"/>
  <c r="AA99" i="13"/>
  <c r="AA100" i="13"/>
  <c r="W100" i="13"/>
  <c r="W101" i="13"/>
  <c r="AA101" i="13"/>
  <c r="W51" i="9"/>
  <c r="AA66" i="13"/>
  <c r="W66" i="13"/>
  <c r="AA65" i="13"/>
  <c r="W65" i="13"/>
  <c r="AA64" i="13"/>
  <c r="W64" i="13"/>
  <c r="AA63" i="13"/>
  <c r="W63" i="13"/>
  <c r="AA62" i="13"/>
  <c r="W62" i="13"/>
  <c r="AA61" i="13"/>
  <c r="W61" i="13"/>
  <c r="AA60" i="13"/>
  <c r="W60" i="13"/>
  <c r="AB66" i="10"/>
  <c r="S66" i="10"/>
  <c r="AB65" i="10"/>
  <c r="AB64" i="10"/>
  <c r="AB63" i="10"/>
  <c r="AB62" i="10"/>
  <c r="AB61" i="10"/>
  <c r="AB60" i="10"/>
  <c r="S60" i="10"/>
  <c r="I66" i="10"/>
  <c r="I65" i="10"/>
  <c r="I64" i="10"/>
  <c r="I63" i="10"/>
  <c r="I60" i="10"/>
  <c r="AL66" i="10"/>
  <c r="J66" i="10" s="1"/>
  <c r="AK66" i="10"/>
  <c r="R66" i="10" s="1"/>
  <c r="AL65" i="10"/>
  <c r="AK65" i="10"/>
  <c r="R65" i="10" s="1"/>
  <c r="AL64" i="10"/>
  <c r="J64" i="10" s="1"/>
  <c r="AK64" i="10"/>
  <c r="R64" i="10" s="1"/>
  <c r="AL63" i="10"/>
  <c r="J63" i="10" s="1"/>
  <c r="AK63" i="10"/>
  <c r="R63" i="10" s="1"/>
  <c r="AL62" i="10"/>
  <c r="J62" i="10" s="1"/>
  <c r="AK62" i="10"/>
  <c r="R62" i="10" s="1"/>
  <c r="AL61" i="10"/>
  <c r="J61" i="10" s="1"/>
  <c r="AK61" i="10"/>
  <c r="R61" i="10" s="1"/>
  <c r="AL60" i="10"/>
  <c r="J60" i="10" s="1"/>
  <c r="AK60" i="10"/>
  <c r="R60" i="10" s="1"/>
  <c r="S65" i="10"/>
  <c r="I62" i="10"/>
  <c r="I61" i="10"/>
  <c r="AD66" i="12"/>
  <c r="AK66" i="12" s="1"/>
  <c r="AL66" i="12" s="1"/>
  <c r="AD65" i="12"/>
  <c r="AK65" i="12" s="1"/>
  <c r="AL65" i="12" s="1"/>
  <c r="AD64" i="12"/>
  <c r="AD63" i="12"/>
  <c r="AK63" i="12" s="1"/>
  <c r="AL63" i="12" s="1"/>
  <c r="AD62" i="12"/>
  <c r="AD61" i="12"/>
  <c r="AD60" i="12"/>
  <c r="AK60" i="12" s="1"/>
  <c r="AL60" i="12" s="1"/>
  <c r="S63" i="10"/>
  <c r="S64" i="10"/>
  <c r="J65" i="10"/>
  <c r="S62" i="10"/>
  <c r="S61" i="10"/>
  <c r="E30" i="14"/>
  <c r="E33" i="14"/>
  <c r="A30" i="14"/>
  <c r="A31" i="14" s="1"/>
  <c r="A32" i="14" s="1"/>
  <c r="A33" i="14" s="1"/>
  <c r="A34" i="14" s="1"/>
  <c r="A11" i="14"/>
  <c r="A12" i="14" s="1"/>
  <c r="A13" i="14" s="1"/>
  <c r="A14" i="14" s="1"/>
  <c r="A15" i="14" s="1"/>
  <c r="AD20" i="12"/>
  <c r="AK20" i="12" s="1"/>
  <c r="AD21" i="12"/>
  <c r="AK21" i="12" s="1"/>
  <c r="AL21" i="12" s="1"/>
  <c r="AD22" i="12"/>
  <c r="AK22" i="12" s="1"/>
  <c r="AD23" i="12"/>
  <c r="AK23" i="12" s="1"/>
  <c r="AL23" i="12" s="1"/>
  <c r="AD24" i="12"/>
  <c r="AK24" i="12" s="1"/>
  <c r="AL24" i="12" s="1"/>
  <c r="AD25" i="12"/>
  <c r="AK25" i="12" s="1"/>
  <c r="AL25" i="12" s="1"/>
  <c r="AD26" i="12"/>
  <c r="AD27" i="12"/>
  <c r="AK27" i="12" s="1"/>
  <c r="AL27" i="12" s="1"/>
  <c r="AD28" i="12"/>
  <c r="AK28" i="12" s="1"/>
  <c r="AL28" i="12" s="1"/>
  <c r="AD29" i="12"/>
  <c r="AK29" i="12" s="1"/>
  <c r="AM29" i="12" s="1"/>
  <c r="AD30" i="12"/>
  <c r="AD31" i="12"/>
  <c r="AK31" i="12" s="1"/>
  <c r="AL31" i="12" s="1"/>
  <c r="AD32" i="12"/>
  <c r="AD33" i="12"/>
  <c r="AK33" i="12" s="1"/>
  <c r="AL33" i="12" s="1"/>
  <c r="AD34" i="12"/>
  <c r="AK34" i="12" s="1"/>
  <c r="AL34" i="12" s="1"/>
  <c r="AD35" i="12"/>
  <c r="AD36" i="12"/>
  <c r="AK36" i="12" s="1"/>
  <c r="AL36" i="12" s="1"/>
  <c r="AD37" i="12"/>
  <c r="AD38" i="12"/>
  <c r="AK38" i="12" s="1"/>
  <c r="AM38" i="12" s="1"/>
  <c r="AD39" i="12"/>
  <c r="AK39" i="12" s="1"/>
  <c r="AL39" i="12" s="1"/>
  <c r="AD40" i="12"/>
  <c r="AK40" i="12" s="1"/>
  <c r="AL40" i="12" s="1"/>
  <c r="AD41" i="12"/>
  <c r="AK41" i="12" s="1"/>
  <c r="AL41" i="12" s="1"/>
  <c r="AD42" i="12"/>
  <c r="AK42" i="12" s="1"/>
  <c r="AD43" i="12"/>
  <c r="AD44" i="12"/>
  <c r="AD45" i="12"/>
  <c r="AK45" i="12" s="1"/>
  <c r="AL45" i="12" s="1"/>
  <c r="AD46" i="12"/>
  <c r="AK46" i="12" s="1"/>
  <c r="AD47" i="12"/>
  <c r="AD48" i="12"/>
  <c r="AK48" i="12" s="1"/>
  <c r="AL48" i="12" s="1"/>
  <c r="AD49" i="12"/>
  <c r="AK49" i="12" s="1"/>
  <c r="AD50" i="12"/>
  <c r="AD51" i="12"/>
  <c r="AK51" i="12" s="1"/>
  <c r="AL51" i="12" s="1"/>
  <c r="AD52" i="12"/>
  <c r="AK52" i="12" s="1"/>
  <c r="AD53" i="12"/>
  <c r="AK53" i="12" s="1"/>
  <c r="AL53" i="12" s="1"/>
  <c r="AD54" i="12"/>
  <c r="AK54" i="12" s="1"/>
  <c r="AL54" i="12" s="1"/>
  <c r="AD55" i="12"/>
  <c r="AK55" i="12" s="1"/>
  <c r="AL55" i="12" s="1"/>
  <c r="AD56" i="12"/>
  <c r="AK56" i="12" s="1"/>
  <c r="AL56" i="12" s="1"/>
  <c r="AD57" i="12"/>
  <c r="AD58" i="12"/>
  <c r="AK58" i="12" s="1"/>
  <c r="AD59" i="12"/>
  <c r="Y6" i="10"/>
  <c r="Z6" i="10" s="1"/>
  <c r="AA59" i="13"/>
  <c r="W59" i="13"/>
  <c r="AA58" i="13"/>
  <c r="W58" i="13"/>
  <c r="AA57" i="13"/>
  <c r="W57" i="13"/>
  <c r="AB59" i="10"/>
  <c r="AB58" i="10"/>
  <c r="AB57" i="10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W51" i="13"/>
  <c r="AA51" i="13"/>
  <c r="W52" i="13"/>
  <c r="AA52" i="13"/>
  <c r="W53" i="13"/>
  <c r="AA53" i="13"/>
  <c r="W54" i="13"/>
  <c r="AA54" i="13"/>
  <c r="W55" i="13"/>
  <c r="AA55" i="13"/>
  <c r="W56" i="13"/>
  <c r="AA56" i="13"/>
  <c r="AB56" i="10"/>
  <c r="AB55" i="10"/>
  <c r="AB54" i="10"/>
  <c r="AB53" i="10"/>
  <c r="AB52" i="10"/>
  <c r="AB51" i="10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20" i="13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20" i="10"/>
  <c r="AL21" i="10"/>
  <c r="J21" i="10" s="1"/>
  <c r="AL22" i="10"/>
  <c r="J22" i="10" s="1"/>
  <c r="AL23" i="10"/>
  <c r="J23" i="10" s="1"/>
  <c r="AL24" i="10"/>
  <c r="J24" i="10" s="1"/>
  <c r="AL25" i="10"/>
  <c r="J25" i="10" s="1"/>
  <c r="AL26" i="10"/>
  <c r="J26" i="10" s="1"/>
  <c r="AL27" i="10"/>
  <c r="J27" i="10" s="1"/>
  <c r="AL28" i="10"/>
  <c r="J28" i="10" s="1"/>
  <c r="AL29" i="10"/>
  <c r="J29" i="10" s="1"/>
  <c r="AL30" i="10"/>
  <c r="J30" i="10" s="1"/>
  <c r="AL31" i="10"/>
  <c r="J31" i="10" s="1"/>
  <c r="AL32" i="10"/>
  <c r="J32" i="10" s="1"/>
  <c r="AL33" i="10"/>
  <c r="J33" i="10" s="1"/>
  <c r="AL34" i="10"/>
  <c r="J34" i="10" s="1"/>
  <c r="AL35" i="10"/>
  <c r="J35" i="10" s="1"/>
  <c r="AL36" i="10"/>
  <c r="J36" i="10" s="1"/>
  <c r="AL37" i="10"/>
  <c r="J37" i="10" s="1"/>
  <c r="AL38" i="10"/>
  <c r="J38" i="10" s="1"/>
  <c r="AL39" i="10"/>
  <c r="J39" i="10" s="1"/>
  <c r="AL40" i="10"/>
  <c r="J40" i="10" s="1"/>
  <c r="AL41" i="10"/>
  <c r="J41" i="10" s="1"/>
  <c r="AL42" i="10"/>
  <c r="J42" i="10" s="1"/>
  <c r="AL43" i="10"/>
  <c r="J43" i="10" s="1"/>
  <c r="AL44" i="10"/>
  <c r="J44" i="10" s="1"/>
  <c r="AL45" i="10"/>
  <c r="J45" i="10" s="1"/>
  <c r="AL46" i="10"/>
  <c r="J46" i="10" s="1"/>
  <c r="AL47" i="10"/>
  <c r="J47" i="10" s="1"/>
  <c r="AL48" i="10"/>
  <c r="J48" i="10" s="1"/>
  <c r="AL49" i="10"/>
  <c r="J49" i="10" s="1"/>
  <c r="AL50" i="10"/>
  <c r="J50" i="10" s="1"/>
  <c r="AL51" i="10"/>
  <c r="J51" i="10" s="1"/>
  <c r="AL52" i="10"/>
  <c r="J52" i="10" s="1"/>
  <c r="AL53" i="10"/>
  <c r="J53" i="10" s="1"/>
  <c r="AL54" i="10"/>
  <c r="J54" i="10" s="1"/>
  <c r="AL55" i="10"/>
  <c r="J55" i="10" s="1"/>
  <c r="AL56" i="10"/>
  <c r="J56" i="10" s="1"/>
  <c r="AL57" i="10"/>
  <c r="J57" i="10" s="1"/>
  <c r="AL58" i="10"/>
  <c r="J58" i="10" s="1"/>
  <c r="AL59" i="10"/>
  <c r="J59" i="10" s="1"/>
  <c r="AL20" i="10"/>
  <c r="J20" i="10" s="1"/>
  <c r="AK21" i="10"/>
  <c r="R21" i="10" s="1"/>
  <c r="AK22" i="10"/>
  <c r="R22" i="10" s="1"/>
  <c r="AK23" i="10"/>
  <c r="R23" i="10" s="1"/>
  <c r="AK24" i="10"/>
  <c r="R24" i="10" s="1"/>
  <c r="AK25" i="10"/>
  <c r="R25" i="10" s="1"/>
  <c r="AK26" i="10"/>
  <c r="R26" i="10" s="1"/>
  <c r="AK27" i="10"/>
  <c r="R27" i="10" s="1"/>
  <c r="AK28" i="10"/>
  <c r="R28" i="10" s="1"/>
  <c r="AK29" i="10"/>
  <c r="R29" i="10" s="1"/>
  <c r="AK30" i="10"/>
  <c r="R30" i="10" s="1"/>
  <c r="AK31" i="10"/>
  <c r="R31" i="10" s="1"/>
  <c r="AK32" i="10"/>
  <c r="R32" i="10" s="1"/>
  <c r="AK33" i="10"/>
  <c r="R33" i="10" s="1"/>
  <c r="AK34" i="10"/>
  <c r="R34" i="10" s="1"/>
  <c r="AK35" i="10"/>
  <c r="R35" i="10" s="1"/>
  <c r="AK36" i="10"/>
  <c r="R36" i="10" s="1"/>
  <c r="AK37" i="10"/>
  <c r="R37" i="10" s="1"/>
  <c r="AK38" i="10"/>
  <c r="R38" i="10" s="1"/>
  <c r="AK39" i="10"/>
  <c r="R39" i="10" s="1"/>
  <c r="AK40" i="10"/>
  <c r="R40" i="10" s="1"/>
  <c r="AK41" i="10"/>
  <c r="R41" i="10" s="1"/>
  <c r="AK42" i="10"/>
  <c r="R42" i="10" s="1"/>
  <c r="AK43" i="10"/>
  <c r="R43" i="10" s="1"/>
  <c r="AK44" i="10"/>
  <c r="R44" i="10" s="1"/>
  <c r="AK45" i="10"/>
  <c r="R45" i="10" s="1"/>
  <c r="AK46" i="10"/>
  <c r="R46" i="10" s="1"/>
  <c r="AK47" i="10"/>
  <c r="R47" i="10" s="1"/>
  <c r="AK48" i="10"/>
  <c r="R48" i="10" s="1"/>
  <c r="AK49" i="10"/>
  <c r="R49" i="10" s="1"/>
  <c r="AK50" i="10"/>
  <c r="R50" i="10" s="1"/>
  <c r="AK51" i="10"/>
  <c r="R51" i="10" s="1"/>
  <c r="AK52" i="10"/>
  <c r="R52" i="10" s="1"/>
  <c r="AK53" i="10"/>
  <c r="R53" i="10" s="1"/>
  <c r="AK54" i="10"/>
  <c r="R54" i="10" s="1"/>
  <c r="AK55" i="10"/>
  <c r="R55" i="10" s="1"/>
  <c r="AK56" i="10"/>
  <c r="R56" i="10" s="1"/>
  <c r="AK57" i="10"/>
  <c r="R57" i="10" s="1"/>
  <c r="AK58" i="10"/>
  <c r="R58" i="10" s="1"/>
  <c r="AK59" i="10"/>
  <c r="R59" i="10" s="1"/>
  <c r="AK20" i="10"/>
  <c r="R20" i="10" s="1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20" i="10"/>
  <c r="I59" i="10"/>
  <c r="I58" i="10"/>
  <c r="I57" i="10"/>
  <c r="I56" i="10"/>
  <c r="S55" i="10"/>
  <c r="S54" i="10"/>
  <c r="I53" i="10"/>
  <c r="S52" i="10"/>
  <c r="S51" i="10"/>
  <c r="I51" i="10"/>
  <c r="I55" i="10"/>
  <c r="I52" i="10"/>
  <c r="I54" i="10"/>
  <c r="S57" i="10"/>
  <c r="S58" i="10"/>
  <c r="S59" i="10"/>
  <c r="S53" i="10"/>
  <c r="S56" i="10"/>
  <c r="M49" i="12"/>
  <c r="M48" i="12"/>
  <c r="M47" i="12"/>
  <c r="M42" i="12"/>
  <c r="M35" i="12"/>
  <c r="M34" i="12"/>
  <c r="M25" i="12"/>
  <c r="M24" i="12"/>
  <c r="M23" i="12"/>
  <c r="M22" i="12"/>
  <c r="S49" i="12"/>
  <c r="S48" i="12"/>
  <c r="S47" i="12"/>
  <c r="S44" i="12"/>
  <c r="S42" i="12"/>
  <c r="S41" i="12"/>
  <c r="S31" i="12"/>
  <c r="S30" i="12"/>
  <c r="W50" i="9"/>
  <c r="D21" i="5"/>
  <c r="D22" i="5" s="1"/>
  <c r="AA50" i="13"/>
  <c r="W50" i="13"/>
  <c r="G21" i="13"/>
  <c r="D20" i="13"/>
  <c r="C20" i="13"/>
  <c r="S25" i="12"/>
  <c r="S37" i="12"/>
  <c r="M39" i="12"/>
  <c r="AA50" i="12"/>
  <c r="S38" i="12"/>
  <c r="S28" i="12"/>
  <c r="S23" i="12"/>
  <c r="S39" i="12"/>
  <c r="M43" i="12"/>
  <c r="M41" i="12"/>
  <c r="M32" i="12"/>
  <c r="G21" i="12"/>
  <c r="G22" i="12" s="1"/>
  <c r="AB50" i="10"/>
  <c r="G21" i="10"/>
  <c r="C21" i="10" s="1"/>
  <c r="C20" i="10"/>
  <c r="W21" i="9"/>
  <c r="W45" i="9"/>
  <c r="W49" i="9"/>
  <c r="W20" i="9"/>
  <c r="W37" i="9"/>
  <c r="W25" i="9"/>
  <c r="W29" i="9"/>
  <c r="A20" i="5"/>
  <c r="B20" i="5" s="1"/>
  <c r="AA49" i="13"/>
  <c r="W49" i="13"/>
  <c r="AA48" i="13"/>
  <c r="W48" i="13"/>
  <c r="AA47" i="13"/>
  <c r="W47" i="13"/>
  <c r="AA46" i="13"/>
  <c r="W46" i="13"/>
  <c r="AA45" i="13"/>
  <c r="W45" i="13"/>
  <c r="AA44" i="13"/>
  <c r="W44" i="13"/>
  <c r="AA43" i="13"/>
  <c r="W43" i="13"/>
  <c r="AA42" i="13"/>
  <c r="W42" i="13"/>
  <c r="AA41" i="13"/>
  <c r="W41" i="13"/>
  <c r="AA40" i="13"/>
  <c r="W40" i="13"/>
  <c r="AA39" i="13"/>
  <c r="W39" i="13"/>
  <c r="AA38" i="13"/>
  <c r="W38" i="13"/>
  <c r="AA37" i="13"/>
  <c r="W37" i="13"/>
  <c r="AA36" i="13"/>
  <c r="W36" i="13"/>
  <c r="AA35" i="13"/>
  <c r="W35" i="13"/>
  <c r="AA34" i="13"/>
  <c r="W34" i="13"/>
  <c r="AA33" i="13"/>
  <c r="W33" i="13"/>
  <c r="AA32" i="13"/>
  <c r="W32" i="13"/>
  <c r="AA31" i="13"/>
  <c r="W31" i="13"/>
  <c r="AA30" i="13"/>
  <c r="W30" i="13"/>
  <c r="AA29" i="13"/>
  <c r="W29" i="13"/>
  <c r="AA28" i="13"/>
  <c r="W28" i="13"/>
  <c r="AA27" i="13"/>
  <c r="W27" i="13"/>
  <c r="AA26" i="13"/>
  <c r="W26" i="13"/>
  <c r="AA25" i="13"/>
  <c r="W25" i="13"/>
  <c r="AA24" i="13"/>
  <c r="W24" i="13"/>
  <c r="AA23" i="13"/>
  <c r="W23" i="13"/>
  <c r="AA22" i="13"/>
  <c r="W22" i="13"/>
  <c r="AA21" i="13"/>
  <c r="W21" i="13"/>
  <c r="AA49" i="12"/>
  <c r="W49" i="12"/>
  <c r="AA48" i="12"/>
  <c r="W48" i="12"/>
  <c r="AA47" i="12"/>
  <c r="W47" i="12"/>
  <c r="AA46" i="12"/>
  <c r="W46" i="12"/>
  <c r="AA45" i="12"/>
  <c r="W45" i="12"/>
  <c r="AA44" i="12"/>
  <c r="W44" i="12"/>
  <c r="AA43" i="12"/>
  <c r="W43" i="12"/>
  <c r="AA42" i="12"/>
  <c r="W42" i="12"/>
  <c r="AA41" i="12"/>
  <c r="W41" i="12"/>
  <c r="AA40" i="12"/>
  <c r="W40" i="12"/>
  <c r="AA39" i="12"/>
  <c r="W39" i="12"/>
  <c r="AA38" i="12"/>
  <c r="W38" i="12"/>
  <c r="AA37" i="12"/>
  <c r="W37" i="12"/>
  <c r="AA36" i="12"/>
  <c r="W36" i="12"/>
  <c r="AA35" i="12"/>
  <c r="W35" i="12"/>
  <c r="AA34" i="12"/>
  <c r="W34" i="12"/>
  <c r="AA33" i="12"/>
  <c r="W33" i="12"/>
  <c r="M33" i="12"/>
  <c r="AA32" i="12"/>
  <c r="W32" i="12"/>
  <c r="AA31" i="12"/>
  <c r="W31" i="12"/>
  <c r="AA30" i="12"/>
  <c r="W30" i="12"/>
  <c r="AA29" i="12"/>
  <c r="W29" i="12"/>
  <c r="AA28" i="12"/>
  <c r="W28" i="12"/>
  <c r="AA27" i="12"/>
  <c r="W27" i="12"/>
  <c r="AA26" i="12"/>
  <c r="W26" i="12"/>
  <c r="AA25" i="12"/>
  <c r="W25" i="12"/>
  <c r="AA24" i="12"/>
  <c r="W24" i="12"/>
  <c r="AA23" i="12"/>
  <c r="W23" i="12"/>
  <c r="AA22" i="12"/>
  <c r="W22" i="12"/>
  <c r="AA21" i="12"/>
  <c r="W21" i="12"/>
  <c r="W48" i="9"/>
  <c r="W47" i="9"/>
  <c r="W46" i="9"/>
  <c r="W43" i="9"/>
  <c r="W41" i="9"/>
  <c r="W40" i="9"/>
  <c r="W39" i="9"/>
  <c r="W38" i="9"/>
  <c r="W35" i="9"/>
  <c r="W32" i="9"/>
  <c r="W31" i="9"/>
  <c r="W30" i="9"/>
  <c r="W27" i="9"/>
  <c r="W24" i="9"/>
  <c r="W23" i="9"/>
  <c r="W22" i="9"/>
  <c r="AA20" i="13"/>
  <c r="W20" i="13"/>
  <c r="AA20" i="12"/>
  <c r="W20" i="12"/>
  <c r="C20" i="12"/>
  <c r="A20" i="9"/>
  <c r="B20" i="9" s="1"/>
  <c r="Y18" i="10"/>
  <c r="Z18" i="10" s="1"/>
  <c r="E21" i="9"/>
  <c r="E22" i="9" s="1"/>
  <c r="S22" i="12"/>
  <c r="M26" i="12"/>
  <c r="M50" i="12"/>
  <c r="M40" i="12"/>
  <c r="M29" i="12"/>
  <c r="S50" i="12"/>
  <c r="S46" i="12"/>
  <c r="S32" i="12"/>
  <c r="S33" i="12"/>
  <c r="M27" i="12"/>
  <c r="S35" i="12"/>
  <c r="S26" i="12"/>
  <c r="M31" i="12"/>
  <c r="S45" i="12"/>
  <c r="S21" i="12"/>
  <c r="M37" i="12"/>
  <c r="S29" i="12"/>
  <c r="S24" i="12"/>
  <c r="M30" i="12"/>
  <c r="M38" i="12"/>
  <c r="S34" i="12"/>
  <c r="S36" i="12"/>
  <c r="S27" i="12"/>
  <c r="S43" i="12"/>
  <c r="M46" i="12"/>
  <c r="S40" i="12"/>
  <c r="M21" i="12"/>
  <c r="M45" i="12"/>
  <c r="M36" i="12"/>
  <c r="M44" i="12"/>
  <c r="S20" i="12"/>
  <c r="M28" i="12"/>
  <c r="M20" i="12"/>
  <c r="W33" i="9"/>
  <c r="W42" i="9"/>
  <c r="W34" i="9"/>
  <c r="W26" i="9"/>
  <c r="W44" i="9"/>
  <c r="W36" i="9"/>
  <c r="W28" i="9"/>
  <c r="AB37" i="10"/>
  <c r="AB45" i="10"/>
  <c r="AB20" i="10"/>
  <c r="AB40" i="10"/>
  <c r="AB36" i="10"/>
  <c r="AB41" i="10"/>
  <c r="AB29" i="10"/>
  <c r="AB27" i="10"/>
  <c r="AB22" i="10"/>
  <c r="AB47" i="10"/>
  <c r="AB42" i="10"/>
  <c r="AB44" i="10"/>
  <c r="AB49" i="10"/>
  <c r="AB21" i="10"/>
  <c r="AB32" i="10"/>
  <c r="AB23" i="10"/>
  <c r="AB34" i="10"/>
  <c r="AB35" i="10"/>
  <c r="AB30" i="10"/>
  <c r="AB24" i="10"/>
  <c r="AB25" i="10"/>
  <c r="AB46" i="10"/>
  <c r="AB26" i="10"/>
  <c r="AB38" i="10"/>
  <c r="AB48" i="10"/>
  <c r="AB43" i="10"/>
  <c r="AB31" i="10"/>
  <c r="AB28" i="10"/>
  <c r="AB33" i="10"/>
  <c r="AB39" i="10"/>
  <c r="N20" i="9"/>
  <c r="G8" i="10" l="1"/>
  <c r="F271" i="13"/>
  <c r="G268" i="12"/>
  <c r="D269" i="5"/>
  <c r="D270" i="5" s="1"/>
  <c r="Y268" i="5"/>
  <c r="E268" i="9"/>
  <c r="F251" i="13"/>
  <c r="F258" i="10"/>
  <c r="F252" i="13"/>
  <c r="F259" i="10"/>
  <c r="F248" i="13"/>
  <c r="F255" i="10"/>
  <c r="F262" i="10" s="1"/>
  <c r="F246" i="13"/>
  <c r="F253" i="10"/>
  <c r="F249" i="13"/>
  <c r="F256" i="10"/>
  <c r="F244" i="13"/>
  <c r="F240" i="13"/>
  <c r="F247" i="10"/>
  <c r="C231" i="5"/>
  <c r="F231" i="12" s="1"/>
  <c r="F224" i="12"/>
  <c r="D227" i="9"/>
  <c r="D228" i="9"/>
  <c r="D229" i="9"/>
  <c r="D230" i="9"/>
  <c r="C21" i="13"/>
  <c r="D225" i="9"/>
  <c r="D226" i="9"/>
  <c r="F221" i="12"/>
  <c r="D221" i="9"/>
  <c r="F222" i="12"/>
  <c r="D222" i="9"/>
  <c r="F223" i="12"/>
  <c r="D223" i="9"/>
  <c r="D224" i="9"/>
  <c r="I141" i="13"/>
  <c r="M141" i="13" s="1"/>
  <c r="Y44" i="10"/>
  <c r="I92" i="13"/>
  <c r="M92" i="13" s="1"/>
  <c r="F92" i="5" s="1"/>
  <c r="H104" i="13"/>
  <c r="H81" i="13"/>
  <c r="M81" i="13" s="1"/>
  <c r="F81" i="5" s="1"/>
  <c r="I51" i="13"/>
  <c r="M51" i="13" s="1"/>
  <c r="F51" i="5" s="1"/>
  <c r="G215" i="10"/>
  <c r="G214" i="13"/>
  <c r="D214" i="13" s="1"/>
  <c r="M27" i="13"/>
  <c r="F27" i="5" s="1"/>
  <c r="I67" i="13"/>
  <c r="M67" i="13" s="1"/>
  <c r="F67" i="5" s="1"/>
  <c r="I101" i="13"/>
  <c r="M101" i="13" s="1"/>
  <c r="F101" i="5" s="1"/>
  <c r="I126" i="13"/>
  <c r="M126" i="13" s="1"/>
  <c r="F126" i="5" s="1"/>
  <c r="AA126" i="5" s="1"/>
  <c r="M35" i="13"/>
  <c r="F35" i="5" s="1"/>
  <c r="H59" i="13"/>
  <c r="M59" i="13" s="1"/>
  <c r="F59" i="5" s="1"/>
  <c r="H75" i="13"/>
  <c r="M75" i="13" s="1"/>
  <c r="F75" i="5" s="1"/>
  <c r="H84" i="13"/>
  <c r="M84" i="13" s="1"/>
  <c r="F84" i="5" s="1"/>
  <c r="Y46" i="10"/>
  <c r="H54" i="13"/>
  <c r="M54" i="13" s="1"/>
  <c r="F54" i="5" s="1"/>
  <c r="I78" i="13"/>
  <c r="M78" i="13" s="1"/>
  <c r="F78" i="5" s="1"/>
  <c r="H62" i="13"/>
  <c r="M62" i="13" s="1"/>
  <c r="F62" i="5" s="1"/>
  <c r="H87" i="13"/>
  <c r="M87" i="13" s="1"/>
  <c r="F87" i="5" s="1"/>
  <c r="G22" i="13"/>
  <c r="D22" i="13" s="1"/>
  <c r="I96" i="13"/>
  <c r="M96" i="13" s="1"/>
  <c r="F96" i="5" s="1"/>
  <c r="I167" i="13"/>
  <c r="M167" i="13" s="1"/>
  <c r="D20" i="12"/>
  <c r="G11" i="5"/>
  <c r="J11" i="5"/>
  <c r="P23" i="10"/>
  <c r="Y45" i="10"/>
  <c r="I129" i="13"/>
  <c r="M129" i="13" s="1"/>
  <c r="F129" i="5" s="1"/>
  <c r="AA129" i="5" s="1"/>
  <c r="AM120" i="12"/>
  <c r="AG81" i="12"/>
  <c r="N81" i="13" s="1"/>
  <c r="S81" i="13" s="1"/>
  <c r="N81" i="5" s="1"/>
  <c r="I116" i="13"/>
  <c r="M116" i="13" s="1"/>
  <c r="F116" i="5" s="1"/>
  <c r="AA116" i="5" s="1"/>
  <c r="I117" i="13"/>
  <c r="M117" i="13" s="1"/>
  <c r="F117" i="5" s="1"/>
  <c r="AA117" i="5" s="1"/>
  <c r="Y60" i="10"/>
  <c r="Y52" i="10"/>
  <c r="D141" i="12"/>
  <c r="D142" i="12"/>
  <c r="D110" i="12"/>
  <c r="D164" i="10"/>
  <c r="D140" i="10"/>
  <c r="D117" i="10"/>
  <c r="D67" i="10"/>
  <c r="D102" i="12"/>
  <c r="D163" i="10"/>
  <c r="D139" i="10"/>
  <c r="D116" i="10"/>
  <c r="D59" i="10"/>
  <c r="D166" i="12"/>
  <c r="D134" i="12"/>
  <c r="D94" i="12"/>
  <c r="D156" i="10"/>
  <c r="D133" i="10"/>
  <c r="D115" i="10"/>
  <c r="D51" i="10"/>
  <c r="D165" i="12"/>
  <c r="D86" i="12"/>
  <c r="D155" i="10"/>
  <c r="D132" i="10"/>
  <c r="D107" i="10"/>
  <c r="D158" i="12"/>
  <c r="D126" i="12"/>
  <c r="D78" i="12"/>
  <c r="D149" i="10"/>
  <c r="D131" i="10"/>
  <c r="D99" i="10"/>
  <c r="D157" i="12"/>
  <c r="D125" i="12"/>
  <c r="D70" i="12"/>
  <c r="D148" i="10"/>
  <c r="D91" i="10"/>
  <c r="D150" i="12"/>
  <c r="D118" i="12"/>
  <c r="D62" i="12"/>
  <c r="D147" i="10"/>
  <c r="D124" i="10"/>
  <c r="D83" i="10"/>
  <c r="D54" i="12"/>
  <c r="D123" i="10"/>
  <c r="D75" i="10"/>
  <c r="I55" i="13"/>
  <c r="M55" i="13" s="1"/>
  <c r="F55" i="5" s="1"/>
  <c r="H79" i="13"/>
  <c r="M79" i="13" s="1"/>
  <c r="F79" i="5" s="1"/>
  <c r="D21" i="13"/>
  <c r="I120" i="13"/>
  <c r="M120" i="13" s="1"/>
  <c r="F120" i="5" s="1"/>
  <c r="AA120" i="5" s="1"/>
  <c r="M47" i="13"/>
  <c r="F47" i="5" s="1"/>
  <c r="I89" i="13"/>
  <c r="M89" i="13" s="1"/>
  <c r="F89" i="5" s="1"/>
  <c r="H121" i="13"/>
  <c r="M121" i="13" s="1"/>
  <c r="F121" i="5" s="1"/>
  <c r="AA121" i="5" s="1"/>
  <c r="I71" i="13"/>
  <c r="M71" i="13" s="1"/>
  <c r="F71" i="5" s="1"/>
  <c r="D55" i="10"/>
  <c r="D55" i="12"/>
  <c r="D95" i="10"/>
  <c r="D95" i="12"/>
  <c r="D71" i="10"/>
  <c r="D71" i="12"/>
  <c r="D63" i="10"/>
  <c r="D63" i="12"/>
  <c r="D79" i="10"/>
  <c r="D79" i="12"/>
  <c r="D87" i="10"/>
  <c r="D87" i="12"/>
  <c r="D92" i="10"/>
  <c r="D52" i="10"/>
  <c r="D167" i="12"/>
  <c r="D159" i="12"/>
  <c r="D151" i="12"/>
  <c r="D143" i="12"/>
  <c r="D135" i="12"/>
  <c r="D127" i="12"/>
  <c r="D119" i="12"/>
  <c r="D111" i="12"/>
  <c r="D103" i="12"/>
  <c r="D109" i="10"/>
  <c r="D101" i="10"/>
  <c r="D93" i="10"/>
  <c r="D85" i="10"/>
  <c r="D77" i="10"/>
  <c r="D69" i="10"/>
  <c r="D61" i="10"/>
  <c r="D53" i="10"/>
  <c r="D108" i="10"/>
  <c r="D84" i="10"/>
  <c r="D68" i="10"/>
  <c r="D100" i="10"/>
  <c r="D76" i="10"/>
  <c r="D60" i="12"/>
  <c r="D20" i="10"/>
  <c r="D170" i="10"/>
  <c r="D162" i="10"/>
  <c r="D154" i="10"/>
  <c r="D146" i="10"/>
  <c r="D138" i="10"/>
  <c r="D130" i="10"/>
  <c r="D122" i="10"/>
  <c r="D114" i="10"/>
  <c r="D106" i="10"/>
  <c r="D98" i="10"/>
  <c r="D90" i="10"/>
  <c r="D82" i="10"/>
  <c r="D74" i="10"/>
  <c r="D66" i="10"/>
  <c r="D58" i="10"/>
  <c r="D169" i="10"/>
  <c r="D161" i="10"/>
  <c r="D153" i="10"/>
  <c r="D145" i="10"/>
  <c r="D137" i="10"/>
  <c r="D129" i="10"/>
  <c r="D121" i="10"/>
  <c r="D113" i="10"/>
  <c r="D105" i="10"/>
  <c r="D97" i="10"/>
  <c r="D89" i="10"/>
  <c r="D81" i="10"/>
  <c r="D73" i="10"/>
  <c r="D65" i="10"/>
  <c r="D57" i="10"/>
  <c r="D168" i="10"/>
  <c r="D160" i="10"/>
  <c r="D152" i="10"/>
  <c r="D144" i="10"/>
  <c r="D136" i="10"/>
  <c r="D128" i="10"/>
  <c r="D120" i="10"/>
  <c r="D112" i="10"/>
  <c r="D104" i="10"/>
  <c r="D96" i="10"/>
  <c r="D88" i="10"/>
  <c r="D80" i="10"/>
  <c r="D72" i="10"/>
  <c r="D64" i="10"/>
  <c r="D56" i="10"/>
  <c r="K9" i="13"/>
  <c r="Q9" i="13"/>
  <c r="Q8" i="13"/>
  <c r="K8" i="13"/>
  <c r="J9" i="5"/>
  <c r="J8" i="5"/>
  <c r="J7" i="5"/>
  <c r="H53" i="13"/>
  <c r="M53" i="13" s="1"/>
  <c r="F53" i="5" s="1"/>
  <c r="H153" i="13"/>
  <c r="M153" i="13" s="1"/>
  <c r="F153" i="5" s="1"/>
  <c r="AA153" i="5" s="1"/>
  <c r="H145" i="13"/>
  <c r="M145" i="13" s="1"/>
  <c r="F145" i="5" s="1"/>
  <c r="AA145" i="5" s="1"/>
  <c r="H61" i="13"/>
  <c r="M61" i="13" s="1"/>
  <c r="F61" i="5" s="1"/>
  <c r="H148" i="13"/>
  <c r="M148" i="13" s="1"/>
  <c r="F148" i="5" s="1"/>
  <c r="H138" i="13"/>
  <c r="M138" i="13" s="1"/>
  <c r="F138" i="5" s="1"/>
  <c r="AA138" i="5" s="1"/>
  <c r="H158" i="13"/>
  <c r="M158" i="13" s="1"/>
  <c r="F158" i="5" s="1"/>
  <c r="E152" i="12"/>
  <c r="E152" i="13" s="1"/>
  <c r="AA152" i="13" s="1"/>
  <c r="M38" i="13"/>
  <c r="F38" i="5" s="1"/>
  <c r="M29" i="13"/>
  <c r="F29" i="5" s="1"/>
  <c r="M45" i="13"/>
  <c r="F45" i="5" s="1"/>
  <c r="I57" i="13"/>
  <c r="M57" i="13" s="1"/>
  <c r="F57" i="5" s="1"/>
  <c r="I94" i="13"/>
  <c r="M94" i="13" s="1"/>
  <c r="F94" i="5" s="1"/>
  <c r="H77" i="13"/>
  <c r="M77" i="13" s="1"/>
  <c r="F77" i="5" s="1"/>
  <c r="I86" i="13"/>
  <c r="M86" i="13" s="1"/>
  <c r="F86" i="5" s="1"/>
  <c r="H102" i="13"/>
  <c r="M102" i="13" s="1"/>
  <c r="F102" i="5" s="1"/>
  <c r="H69" i="13"/>
  <c r="M69" i="13" s="1"/>
  <c r="F69" i="5" s="1"/>
  <c r="I56" i="13"/>
  <c r="M56" i="13" s="1"/>
  <c r="F56" i="5" s="1"/>
  <c r="I136" i="13"/>
  <c r="M136" i="13" s="1"/>
  <c r="F136" i="5" s="1"/>
  <c r="AA136" i="5" s="1"/>
  <c r="H64" i="13"/>
  <c r="M64" i="13" s="1"/>
  <c r="F64" i="5" s="1"/>
  <c r="H72" i="13"/>
  <c r="M72" i="13" s="1"/>
  <c r="F72" i="5" s="1"/>
  <c r="H80" i="13"/>
  <c r="M80" i="13" s="1"/>
  <c r="F80" i="5" s="1"/>
  <c r="M21" i="13"/>
  <c r="F21" i="5" s="1"/>
  <c r="I114" i="13"/>
  <c r="M114" i="13" s="1"/>
  <c r="F114" i="5" s="1"/>
  <c r="AA114" i="5" s="1"/>
  <c r="M48" i="13"/>
  <c r="F48" i="5" s="1"/>
  <c r="M24" i="13"/>
  <c r="F24" i="5" s="1"/>
  <c r="H98" i="13"/>
  <c r="M98" i="13" s="1"/>
  <c r="F98" i="5" s="1"/>
  <c r="H109" i="13"/>
  <c r="M109" i="13" s="1"/>
  <c r="F109" i="5" s="1"/>
  <c r="H139" i="13"/>
  <c r="M139" i="13" s="1"/>
  <c r="F139" i="5" s="1"/>
  <c r="AA139" i="5" s="1"/>
  <c r="H132" i="13"/>
  <c r="M132" i="13" s="1"/>
  <c r="F132" i="5" s="1"/>
  <c r="AA132" i="5" s="1"/>
  <c r="I159" i="13"/>
  <c r="M159" i="13" s="1"/>
  <c r="F159" i="5" s="1"/>
  <c r="AA159" i="5" s="1"/>
  <c r="M40" i="13"/>
  <c r="F40" i="5" s="1"/>
  <c r="I146" i="13"/>
  <c r="M146" i="13" s="1"/>
  <c r="F146" i="5" s="1"/>
  <c r="H137" i="13"/>
  <c r="M137" i="13" s="1"/>
  <c r="F137" i="5" s="1"/>
  <c r="AA137" i="5" s="1"/>
  <c r="I142" i="13"/>
  <c r="M142" i="13" s="1"/>
  <c r="M22" i="13"/>
  <c r="F22" i="5" s="1"/>
  <c r="I112" i="10"/>
  <c r="I128" i="13"/>
  <c r="M128" i="13" s="1"/>
  <c r="F128" i="5" s="1"/>
  <c r="AA128" i="5" s="1"/>
  <c r="H143" i="13"/>
  <c r="M143" i="13" s="1"/>
  <c r="F143" i="5" s="1"/>
  <c r="M41" i="13"/>
  <c r="F41" i="5" s="1"/>
  <c r="I110" i="13"/>
  <c r="M110" i="13" s="1"/>
  <c r="F110" i="5" s="1"/>
  <c r="M30" i="13"/>
  <c r="F30" i="5" s="1"/>
  <c r="I119" i="13"/>
  <c r="M119" i="13" s="1"/>
  <c r="F119" i="5" s="1"/>
  <c r="AA119" i="5" s="1"/>
  <c r="I172" i="13"/>
  <c r="M172" i="13" s="1"/>
  <c r="F172" i="5" s="1"/>
  <c r="M42" i="13"/>
  <c r="F42" i="5" s="1"/>
  <c r="M25" i="13"/>
  <c r="F25" i="5" s="1"/>
  <c r="M33" i="13"/>
  <c r="F33" i="5" s="1"/>
  <c r="M49" i="13"/>
  <c r="F49" i="5" s="1"/>
  <c r="I108" i="13"/>
  <c r="M108" i="13" s="1"/>
  <c r="F108" i="5" s="1"/>
  <c r="H122" i="13"/>
  <c r="M122" i="13" s="1"/>
  <c r="F122" i="5" s="1"/>
  <c r="AA122" i="5" s="1"/>
  <c r="H140" i="13"/>
  <c r="M140" i="13" s="1"/>
  <c r="H147" i="13"/>
  <c r="M147" i="13" s="1"/>
  <c r="F147" i="5" s="1"/>
  <c r="H70" i="13"/>
  <c r="M70" i="13" s="1"/>
  <c r="F70" i="5" s="1"/>
  <c r="M43" i="13"/>
  <c r="F43" i="5" s="1"/>
  <c r="I97" i="13"/>
  <c r="M97" i="13" s="1"/>
  <c r="F97" i="5" s="1"/>
  <c r="H88" i="13"/>
  <c r="M88" i="13" s="1"/>
  <c r="F88" i="5" s="1"/>
  <c r="I134" i="13"/>
  <c r="M134" i="13" s="1"/>
  <c r="F134" i="5" s="1"/>
  <c r="AA134" i="5" s="1"/>
  <c r="M32" i="13"/>
  <c r="F32" i="5" s="1"/>
  <c r="H95" i="13"/>
  <c r="M95" i="13" s="1"/>
  <c r="F95" i="5" s="1"/>
  <c r="I115" i="13"/>
  <c r="M115" i="13" s="1"/>
  <c r="F115" i="5" s="1"/>
  <c r="AA115" i="5" s="1"/>
  <c r="I63" i="13"/>
  <c r="M63" i="13" s="1"/>
  <c r="F63" i="5" s="1"/>
  <c r="I118" i="13"/>
  <c r="M118" i="13" s="1"/>
  <c r="F118" i="5" s="1"/>
  <c r="AA118" i="5" s="1"/>
  <c r="I196" i="13"/>
  <c r="M196" i="13" s="1"/>
  <c r="F196" i="5" s="1"/>
  <c r="M39" i="13"/>
  <c r="F39" i="5" s="1"/>
  <c r="H100" i="13"/>
  <c r="M100" i="13" s="1"/>
  <c r="F100" i="5" s="1"/>
  <c r="I127" i="13"/>
  <c r="M127" i="13" s="1"/>
  <c r="F127" i="5" s="1"/>
  <c r="AA127" i="5" s="1"/>
  <c r="H160" i="13"/>
  <c r="M160" i="13" s="1"/>
  <c r="F160" i="5" s="1"/>
  <c r="I168" i="13"/>
  <c r="H82" i="13"/>
  <c r="M82" i="13" s="1"/>
  <c r="F82" i="5" s="1"/>
  <c r="I125" i="13"/>
  <c r="M125" i="13" s="1"/>
  <c r="F125" i="5" s="1"/>
  <c r="AA125" i="5" s="1"/>
  <c r="I111" i="13"/>
  <c r="M111" i="13" s="1"/>
  <c r="F111" i="5" s="1"/>
  <c r="H123" i="13"/>
  <c r="M123" i="13" s="1"/>
  <c r="F123" i="5" s="1"/>
  <c r="AA123" i="5" s="1"/>
  <c r="H144" i="13"/>
  <c r="M144" i="13" s="1"/>
  <c r="F144" i="5" s="1"/>
  <c r="I163" i="13"/>
  <c r="M163" i="13" s="1"/>
  <c r="F163" i="5" s="1"/>
  <c r="AA163" i="5" s="1"/>
  <c r="H180" i="13"/>
  <c r="M180" i="13" s="1"/>
  <c r="F180" i="5" s="1"/>
  <c r="H73" i="13"/>
  <c r="M73" i="13" s="1"/>
  <c r="F73" i="5" s="1"/>
  <c r="H65" i="13"/>
  <c r="M65" i="13" s="1"/>
  <c r="F65" i="5" s="1"/>
  <c r="H90" i="13"/>
  <c r="M90" i="13" s="1"/>
  <c r="F90" i="5" s="1"/>
  <c r="H133" i="13"/>
  <c r="M133" i="13" s="1"/>
  <c r="F133" i="5" s="1"/>
  <c r="AA133" i="5" s="1"/>
  <c r="I155" i="13"/>
  <c r="M155" i="13" s="1"/>
  <c r="F155" i="5" s="1"/>
  <c r="M46" i="13"/>
  <c r="F46" i="5" s="1"/>
  <c r="M20" i="13"/>
  <c r="F20" i="5" s="1"/>
  <c r="M36" i="13"/>
  <c r="F36" i="5" s="1"/>
  <c r="M44" i="13"/>
  <c r="F44" i="5" s="1"/>
  <c r="M31" i="13"/>
  <c r="F31" i="5" s="1"/>
  <c r="M23" i="13"/>
  <c r="F23" i="5" s="1"/>
  <c r="M37" i="13"/>
  <c r="F37" i="5" s="1"/>
  <c r="H99" i="13"/>
  <c r="M99" i="13" s="1"/>
  <c r="F99" i="5" s="1"/>
  <c r="M104" i="13"/>
  <c r="F104" i="5" s="1"/>
  <c r="I151" i="13"/>
  <c r="M151" i="13" s="1"/>
  <c r="F151" i="5" s="1"/>
  <c r="I200" i="13"/>
  <c r="M200" i="13" s="1"/>
  <c r="M28" i="13"/>
  <c r="F28" i="5" s="1"/>
  <c r="I112" i="13"/>
  <c r="M112" i="13" s="1"/>
  <c r="F112" i="5" s="1"/>
  <c r="AA112" i="5" s="1"/>
  <c r="H150" i="13"/>
  <c r="M150" i="13" s="1"/>
  <c r="F150" i="5" s="1"/>
  <c r="I184" i="13"/>
  <c r="G10" i="5"/>
  <c r="G8" i="12"/>
  <c r="G12" i="12"/>
  <c r="AG29" i="12"/>
  <c r="N29" i="13" s="1"/>
  <c r="S29" i="13" s="1"/>
  <c r="N29" i="5" s="1"/>
  <c r="AG25" i="12"/>
  <c r="N25" i="13" s="1"/>
  <c r="S25" i="13" s="1"/>
  <c r="N25" i="5" s="1"/>
  <c r="AG123" i="12"/>
  <c r="N123" i="13" s="1"/>
  <c r="S123" i="13" s="1"/>
  <c r="N123" i="5" s="1"/>
  <c r="I124" i="13"/>
  <c r="M124" i="13" s="1"/>
  <c r="F124" i="5" s="1"/>
  <c r="AA124" i="5" s="1"/>
  <c r="H130" i="13"/>
  <c r="M130" i="13" s="1"/>
  <c r="F130" i="5" s="1"/>
  <c r="AA130" i="5" s="1"/>
  <c r="H161" i="13"/>
  <c r="M161" i="13" s="1"/>
  <c r="F161" i="5" s="1"/>
  <c r="AA161" i="5" s="1"/>
  <c r="I171" i="13"/>
  <c r="H197" i="13"/>
  <c r="M197" i="13" s="1"/>
  <c r="F197" i="5" s="1"/>
  <c r="I85" i="13"/>
  <c r="M85" i="13" s="1"/>
  <c r="F85" i="5" s="1"/>
  <c r="H165" i="13"/>
  <c r="M165" i="13" s="1"/>
  <c r="F165" i="5" s="1"/>
  <c r="AA165" i="5" s="1"/>
  <c r="I169" i="13"/>
  <c r="I192" i="13"/>
  <c r="M192" i="13" s="1"/>
  <c r="I176" i="13"/>
  <c r="M176" i="13" s="1"/>
  <c r="F176" i="5" s="1"/>
  <c r="AA176" i="5" s="1"/>
  <c r="H76" i="13"/>
  <c r="M76" i="13" s="1"/>
  <c r="F76" i="5" s="1"/>
  <c r="H105" i="13"/>
  <c r="M105" i="13" s="1"/>
  <c r="F105" i="5" s="1"/>
  <c r="H152" i="13"/>
  <c r="M152" i="13" s="1"/>
  <c r="F152" i="5" s="1"/>
  <c r="I166" i="13"/>
  <c r="M166" i="13" s="1"/>
  <c r="F166" i="5" s="1"/>
  <c r="I162" i="13"/>
  <c r="M162" i="13" s="1"/>
  <c r="F162" i="5" s="1"/>
  <c r="AA162" i="5" s="1"/>
  <c r="I157" i="13"/>
  <c r="M157" i="13" s="1"/>
  <c r="F157" i="5" s="1"/>
  <c r="I188" i="13"/>
  <c r="M188" i="13" s="1"/>
  <c r="F188" i="5" s="1"/>
  <c r="I60" i="13"/>
  <c r="M60" i="13" s="1"/>
  <c r="F60" i="5" s="1"/>
  <c r="H68" i="13"/>
  <c r="M68" i="13" s="1"/>
  <c r="F68" i="5" s="1"/>
  <c r="H135" i="13"/>
  <c r="M135" i="13" s="1"/>
  <c r="F135" i="5" s="1"/>
  <c r="AA135" i="5" s="1"/>
  <c r="I52" i="13"/>
  <c r="M52" i="13" s="1"/>
  <c r="F52" i="5" s="1"/>
  <c r="H93" i="13"/>
  <c r="M93" i="13" s="1"/>
  <c r="F93" i="5" s="1"/>
  <c r="M26" i="13"/>
  <c r="F26" i="5" s="1"/>
  <c r="I154" i="13"/>
  <c r="M154" i="13" s="1"/>
  <c r="F154" i="5" s="1"/>
  <c r="AG120" i="12"/>
  <c r="N120" i="13" s="1"/>
  <c r="S120" i="13" s="1"/>
  <c r="N120" i="5" s="1"/>
  <c r="G9" i="5"/>
  <c r="AM128" i="12"/>
  <c r="G11" i="10"/>
  <c r="G10" i="10"/>
  <c r="G9" i="10"/>
  <c r="Y72" i="10"/>
  <c r="Y36" i="10"/>
  <c r="Y28" i="10"/>
  <c r="Y43" i="10"/>
  <c r="Y64" i="10"/>
  <c r="Y58" i="10"/>
  <c r="Y40" i="10"/>
  <c r="Y171" i="10"/>
  <c r="Y30" i="10"/>
  <c r="P58" i="10"/>
  <c r="J144" i="10"/>
  <c r="Y37" i="10"/>
  <c r="Y29" i="10"/>
  <c r="Y21" i="10"/>
  <c r="Y32" i="10"/>
  <c r="C168" i="10"/>
  <c r="C168" i="13" s="1"/>
  <c r="P29" i="10"/>
  <c r="Y22" i="10"/>
  <c r="Y39" i="10"/>
  <c r="Y31" i="10"/>
  <c r="Y38" i="10"/>
  <c r="Y77" i="10"/>
  <c r="Y27" i="10"/>
  <c r="Y23" i="10"/>
  <c r="P48" i="10"/>
  <c r="P36" i="10"/>
  <c r="P28" i="10"/>
  <c r="Y20" i="10"/>
  <c r="Y56" i="10"/>
  <c r="Y80" i="10"/>
  <c r="Y55" i="10"/>
  <c r="Y71" i="10"/>
  <c r="Y61" i="10"/>
  <c r="Y78" i="10"/>
  <c r="P42" i="10"/>
  <c r="Y199" i="10"/>
  <c r="Y54" i="10"/>
  <c r="Y75" i="10"/>
  <c r="P30" i="10"/>
  <c r="P56" i="10"/>
  <c r="Y74" i="10"/>
  <c r="P47" i="10"/>
  <c r="P31" i="10"/>
  <c r="P60" i="10"/>
  <c r="C146" i="10"/>
  <c r="C146" i="13" s="1"/>
  <c r="P78" i="10"/>
  <c r="Y70" i="10"/>
  <c r="P46" i="10"/>
  <c r="Y65" i="10"/>
  <c r="Y67" i="10"/>
  <c r="Y79" i="10"/>
  <c r="R82" i="10"/>
  <c r="Y82" i="10" s="1"/>
  <c r="Y24" i="10"/>
  <c r="Y59" i="10"/>
  <c r="Y51" i="10"/>
  <c r="P67" i="10"/>
  <c r="J82" i="10"/>
  <c r="C139" i="10"/>
  <c r="P32" i="10"/>
  <c r="P53" i="10"/>
  <c r="Y57" i="10"/>
  <c r="P43" i="10"/>
  <c r="P27" i="10"/>
  <c r="Y200" i="10"/>
  <c r="P74" i="10"/>
  <c r="Y42" i="10"/>
  <c r="Y35" i="10"/>
  <c r="P45" i="10"/>
  <c r="P80" i="10"/>
  <c r="Y81" i="10"/>
  <c r="Y48" i="10"/>
  <c r="Y41" i="10"/>
  <c r="Y34" i="10"/>
  <c r="P20" i="10"/>
  <c r="Y66" i="10"/>
  <c r="A83" i="10"/>
  <c r="P22" i="10"/>
  <c r="C109" i="10"/>
  <c r="Y143" i="10"/>
  <c r="Y197" i="10"/>
  <c r="Y47" i="10"/>
  <c r="Y33" i="10"/>
  <c r="P66" i="10"/>
  <c r="Z66" i="10" s="1"/>
  <c r="AA66" i="10" s="1"/>
  <c r="AC66" i="10" s="1"/>
  <c r="P73" i="10"/>
  <c r="I82" i="10"/>
  <c r="P38" i="10"/>
  <c r="P44" i="10"/>
  <c r="A113" i="10"/>
  <c r="A114" i="10" s="1"/>
  <c r="R114" i="10" s="1"/>
  <c r="P64" i="10"/>
  <c r="G22" i="10"/>
  <c r="Y26" i="10"/>
  <c r="P35" i="10"/>
  <c r="Y198" i="10"/>
  <c r="P59" i="10"/>
  <c r="Y25" i="10"/>
  <c r="Y73" i="10"/>
  <c r="P26" i="10"/>
  <c r="P54" i="10"/>
  <c r="R112" i="10"/>
  <c r="Y62" i="10"/>
  <c r="Y50" i="10"/>
  <c r="P39" i="10"/>
  <c r="P70" i="10"/>
  <c r="P49" i="10"/>
  <c r="P41" i="10"/>
  <c r="P33" i="10"/>
  <c r="P25" i="10"/>
  <c r="Y49" i="10"/>
  <c r="C136" i="10"/>
  <c r="C144" i="10"/>
  <c r="C144" i="13" s="1"/>
  <c r="C121" i="10"/>
  <c r="C126" i="10"/>
  <c r="C142" i="10"/>
  <c r="C142" i="13" s="1"/>
  <c r="C125" i="10"/>
  <c r="C118" i="10"/>
  <c r="C134" i="10"/>
  <c r="J10" i="5"/>
  <c r="C117" i="10"/>
  <c r="C141" i="10"/>
  <c r="G151" i="13"/>
  <c r="D151" i="13" s="1"/>
  <c r="C151" i="10"/>
  <c r="C151" i="13" s="1"/>
  <c r="AG131" i="12"/>
  <c r="N131" i="13" s="1"/>
  <c r="S131" i="13" s="1"/>
  <c r="N131" i="5" s="1"/>
  <c r="AG20" i="12"/>
  <c r="N20" i="13" s="1"/>
  <c r="S20" i="13" s="1"/>
  <c r="N20" i="5" s="1"/>
  <c r="AG34" i="12"/>
  <c r="N34" i="13" s="1"/>
  <c r="S34" i="13" s="1"/>
  <c r="N34" i="5" s="1"/>
  <c r="AG160" i="12"/>
  <c r="N160" i="13" s="1"/>
  <c r="AM124" i="12"/>
  <c r="G8" i="5"/>
  <c r="AG125" i="12"/>
  <c r="N125" i="13" s="1"/>
  <c r="S125" i="13" s="1"/>
  <c r="N125" i="5" s="1"/>
  <c r="AG132" i="12"/>
  <c r="N132" i="13" s="1"/>
  <c r="S132" i="13" s="1"/>
  <c r="N132" i="5" s="1"/>
  <c r="AM136" i="12"/>
  <c r="AG142" i="12"/>
  <c r="N142" i="13" s="1"/>
  <c r="S142" i="13" s="1"/>
  <c r="AM161" i="12"/>
  <c r="E155" i="12"/>
  <c r="E155" i="13" s="1"/>
  <c r="AA155" i="13" s="1"/>
  <c r="AG163" i="12"/>
  <c r="N163" i="13" s="1"/>
  <c r="AM188" i="12"/>
  <c r="AG171" i="12"/>
  <c r="N171" i="13" s="1"/>
  <c r="AG178" i="12"/>
  <c r="N178" i="13" s="1"/>
  <c r="AG114" i="12"/>
  <c r="N114" i="13" s="1"/>
  <c r="S114" i="13" s="1"/>
  <c r="N114" i="5" s="1"/>
  <c r="AG165" i="12"/>
  <c r="N165" i="13" s="1"/>
  <c r="S165" i="13" s="1"/>
  <c r="N165" i="5" s="1"/>
  <c r="AG173" i="12"/>
  <c r="N173" i="13" s="1"/>
  <c r="AG78" i="12"/>
  <c r="N78" i="13" s="1"/>
  <c r="S78" i="13" s="1"/>
  <c r="N78" i="5" s="1"/>
  <c r="AG83" i="12"/>
  <c r="N83" i="13" s="1"/>
  <c r="S83" i="13" s="1"/>
  <c r="N83" i="5" s="1"/>
  <c r="AG96" i="12"/>
  <c r="N96" i="13" s="1"/>
  <c r="S96" i="13" s="1"/>
  <c r="N96" i="5" s="1"/>
  <c r="AG45" i="12"/>
  <c r="N45" i="13" s="1"/>
  <c r="S45" i="13" s="1"/>
  <c r="N45" i="5" s="1"/>
  <c r="AM172" i="12"/>
  <c r="AG188" i="12"/>
  <c r="N188" i="13" s="1"/>
  <c r="AG184" i="12"/>
  <c r="N184" i="13" s="1"/>
  <c r="AG61" i="12"/>
  <c r="N61" i="13" s="1"/>
  <c r="S61" i="13" s="1"/>
  <c r="N61" i="5" s="1"/>
  <c r="AK81" i="12"/>
  <c r="AL81" i="12" s="1"/>
  <c r="AG26" i="12"/>
  <c r="N26" i="13" s="1"/>
  <c r="S26" i="13" s="1"/>
  <c r="N26" i="5" s="1"/>
  <c r="AG82" i="12"/>
  <c r="N82" i="13" s="1"/>
  <c r="S82" i="13" s="1"/>
  <c r="N82" i="5" s="1"/>
  <c r="AL142" i="12"/>
  <c r="AM142" i="12"/>
  <c r="G23" i="12"/>
  <c r="C22" i="12"/>
  <c r="AL102" i="12"/>
  <c r="AM102" i="12"/>
  <c r="AG53" i="12"/>
  <c r="N53" i="13" s="1"/>
  <c r="S53" i="13" s="1"/>
  <c r="AG100" i="12"/>
  <c r="N100" i="13" s="1"/>
  <c r="S100" i="13" s="1"/>
  <c r="N100" i="5" s="1"/>
  <c r="AG110" i="12"/>
  <c r="N110" i="13" s="1"/>
  <c r="S110" i="13" s="1"/>
  <c r="N110" i="5" s="1"/>
  <c r="AK125" i="12"/>
  <c r="AM125" i="12" s="1"/>
  <c r="AG37" i="12"/>
  <c r="N37" i="13" s="1"/>
  <c r="S37" i="13" s="1"/>
  <c r="N37" i="5" s="1"/>
  <c r="AK84" i="12"/>
  <c r="AL84" i="12" s="1"/>
  <c r="E154" i="12"/>
  <c r="E161" i="12" s="1"/>
  <c r="E161" i="13" s="1"/>
  <c r="AA161" i="13" s="1"/>
  <c r="AG70" i="12"/>
  <c r="N70" i="13" s="1"/>
  <c r="S70" i="13" s="1"/>
  <c r="N70" i="5" s="1"/>
  <c r="AG46" i="12"/>
  <c r="N46" i="13" s="1"/>
  <c r="S46" i="13" s="1"/>
  <c r="N46" i="5" s="1"/>
  <c r="AG38" i="12"/>
  <c r="N38" i="13" s="1"/>
  <c r="S38" i="13" s="1"/>
  <c r="N38" i="5" s="1"/>
  <c r="AG22" i="12"/>
  <c r="N22" i="13" s="1"/>
  <c r="S22" i="13" s="1"/>
  <c r="N22" i="5" s="1"/>
  <c r="AG75" i="12"/>
  <c r="N75" i="13" s="1"/>
  <c r="S75" i="13" s="1"/>
  <c r="N75" i="5" s="1"/>
  <c r="AG51" i="12"/>
  <c r="N51" i="13" s="1"/>
  <c r="S51" i="13" s="1"/>
  <c r="N51" i="5" s="1"/>
  <c r="E156" i="12"/>
  <c r="AG176" i="12"/>
  <c r="N176" i="13" s="1"/>
  <c r="AG172" i="12"/>
  <c r="N172" i="13" s="1"/>
  <c r="S172" i="13" s="1"/>
  <c r="N172" i="5" s="1"/>
  <c r="AG198" i="12"/>
  <c r="N198" i="13" s="1"/>
  <c r="S198" i="13" s="1"/>
  <c r="N198" i="5" s="1"/>
  <c r="C21" i="12"/>
  <c r="AG93" i="12"/>
  <c r="N93" i="13" s="1"/>
  <c r="S93" i="13" s="1"/>
  <c r="N93" i="5" s="1"/>
  <c r="G7" i="5"/>
  <c r="AG126" i="12"/>
  <c r="N126" i="13" s="1"/>
  <c r="S126" i="13" s="1"/>
  <c r="N126" i="5" s="1"/>
  <c r="AM156" i="12"/>
  <c r="AG56" i="12"/>
  <c r="N56" i="13" s="1"/>
  <c r="S56" i="13" s="1"/>
  <c r="N56" i="5" s="1"/>
  <c r="AM68" i="12"/>
  <c r="AM34" i="12"/>
  <c r="AK82" i="12"/>
  <c r="AL82" i="12" s="1"/>
  <c r="E153" i="12"/>
  <c r="E153" i="13" s="1"/>
  <c r="AA153" i="13" s="1"/>
  <c r="AG66" i="12"/>
  <c r="N66" i="13" s="1"/>
  <c r="S66" i="13" s="1"/>
  <c r="N66" i="5" s="1"/>
  <c r="AG112" i="12"/>
  <c r="N112" i="13" s="1"/>
  <c r="S112" i="13" s="1"/>
  <c r="AG135" i="12"/>
  <c r="N135" i="13" s="1"/>
  <c r="S135" i="13" s="1"/>
  <c r="N135" i="5" s="1"/>
  <c r="AG137" i="12"/>
  <c r="N137" i="13" s="1"/>
  <c r="S137" i="13" s="1"/>
  <c r="N137" i="5" s="1"/>
  <c r="AG148" i="12"/>
  <c r="N148" i="13" s="1"/>
  <c r="S148" i="13" s="1"/>
  <c r="N148" i="5" s="1"/>
  <c r="AG158" i="12"/>
  <c r="N158" i="13" s="1"/>
  <c r="S158" i="13" s="1"/>
  <c r="N158" i="5" s="1"/>
  <c r="AL146" i="12"/>
  <c r="AM146" i="12"/>
  <c r="AM94" i="12"/>
  <c r="AL94" i="12"/>
  <c r="AL67" i="12"/>
  <c r="AM67" i="12"/>
  <c r="AL174" i="12"/>
  <c r="AM174" i="12"/>
  <c r="AL52" i="12"/>
  <c r="AM52" i="12"/>
  <c r="AM23" i="12"/>
  <c r="AK61" i="12"/>
  <c r="AL61" i="12" s="1"/>
  <c r="AG80" i="12"/>
  <c r="N80" i="13" s="1"/>
  <c r="S80" i="13" s="1"/>
  <c r="N80" i="5" s="1"/>
  <c r="AG92" i="12"/>
  <c r="N92" i="13" s="1"/>
  <c r="S92" i="13" s="1"/>
  <c r="N92" i="5" s="1"/>
  <c r="AG103" i="12"/>
  <c r="N103" i="13" s="1"/>
  <c r="S103" i="13" s="1"/>
  <c r="N103" i="5" s="1"/>
  <c r="AG129" i="12"/>
  <c r="N129" i="13" s="1"/>
  <c r="S129" i="13" s="1"/>
  <c r="N129" i="5" s="1"/>
  <c r="AG124" i="12"/>
  <c r="N124" i="13" s="1"/>
  <c r="S124" i="13" s="1"/>
  <c r="N124" i="5" s="1"/>
  <c r="AG133" i="12"/>
  <c r="N133" i="13" s="1"/>
  <c r="S133" i="13" s="1"/>
  <c r="N133" i="5" s="1"/>
  <c r="AG40" i="12"/>
  <c r="N40" i="13" s="1"/>
  <c r="S40" i="13" s="1"/>
  <c r="N40" i="5" s="1"/>
  <c r="AM51" i="12"/>
  <c r="AG88" i="12"/>
  <c r="N88" i="13" s="1"/>
  <c r="S88" i="13" s="1"/>
  <c r="N88" i="5" s="1"/>
  <c r="AM115" i="12"/>
  <c r="AG117" i="12"/>
  <c r="N117" i="13" s="1"/>
  <c r="S117" i="13" s="1"/>
  <c r="N117" i="5" s="1"/>
  <c r="AG122" i="12"/>
  <c r="N122" i="13" s="1"/>
  <c r="S122" i="13" s="1"/>
  <c r="N122" i="5" s="1"/>
  <c r="AG147" i="12"/>
  <c r="N147" i="13" s="1"/>
  <c r="S147" i="13" s="1"/>
  <c r="N147" i="5" s="1"/>
  <c r="AG106" i="12"/>
  <c r="N106" i="13" s="1"/>
  <c r="S106" i="13" s="1"/>
  <c r="N106" i="5" s="1"/>
  <c r="AG115" i="12"/>
  <c r="N115" i="13" s="1"/>
  <c r="S115" i="13" s="1"/>
  <c r="N115" i="5" s="1"/>
  <c r="AG136" i="12"/>
  <c r="N136" i="13" s="1"/>
  <c r="S136" i="13" s="1"/>
  <c r="N136" i="5" s="1"/>
  <c r="AG134" i="12"/>
  <c r="N134" i="13" s="1"/>
  <c r="S134" i="13" s="1"/>
  <c r="N134" i="5" s="1"/>
  <c r="AM147" i="12"/>
  <c r="AM152" i="12"/>
  <c r="AG74" i="12"/>
  <c r="N74" i="13" s="1"/>
  <c r="S74" i="13" s="1"/>
  <c r="N74" i="5" s="1"/>
  <c r="AK88" i="12"/>
  <c r="AL88" i="12" s="1"/>
  <c r="AM90" i="12"/>
  <c r="AG111" i="12"/>
  <c r="N111" i="13" s="1"/>
  <c r="S111" i="13" s="1"/>
  <c r="N111" i="5" s="1"/>
  <c r="AG128" i="12"/>
  <c r="N128" i="13" s="1"/>
  <c r="S128" i="13" s="1"/>
  <c r="N128" i="5" s="1"/>
  <c r="AG182" i="12"/>
  <c r="N182" i="13" s="1"/>
  <c r="AG43" i="12"/>
  <c r="N43" i="13" s="1"/>
  <c r="S43" i="13" s="1"/>
  <c r="N43" i="5" s="1"/>
  <c r="AK37" i="12"/>
  <c r="AL37" i="12" s="1"/>
  <c r="AG97" i="12"/>
  <c r="N97" i="13" s="1"/>
  <c r="S97" i="13" s="1"/>
  <c r="N97" i="5" s="1"/>
  <c r="AG102" i="12"/>
  <c r="N102" i="13" s="1"/>
  <c r="S102" i="13" s="1"/>
  <c r="N102" i="5" s="1"/>
  <c r="AM127" i="12"/>
  <c r="AG143" i="12"/>
  <c r="N143" i="13" s="1"/>
  <c r="S143" i="13" s="1"/>
  <c r="AG153" i="12"/>
  <c r="N153" i="13" s="1"/>
  <c r="AG146" i="12"/>
  <c r="N146" i="13" s="1"/>
  <c r="S146" i="13" s="1"/>
  <c r="N146" i="5" s="1"/>
  <c r="AG157" i="12"/>
  <c r="N157" i="13" s="1"/>
  <c r="AM170" i="12"/>
  <c r="AG127" i="12"/>
  <c r="N127" i="13" s="1"/>
  <c r="S127" i="13" s="1"/>
  <c r="N127" i="5" s="1"/>
  <c r="AG144" i="12"/>
  <c r="N144" i="13" s="1"/>
  <c r="AL175" i="12"/>
  <c r="AG167" i="12"/>
  <c r="N167" i="13" s="1"/>
  <c r="AG79" i="12"/>
  <c r="N79" i="13" s="1"/>
  <c r="S79" i="13" s="1"/>
  <c r="N79" i="5" s="1"/>
  <c r="AG71" i="12"/>
  <c r="N71" i="13" s="1"/>
  <c r="S71" i="13" s="1"/>
  <c r="N71" i="5" s="1"/>
  <c r="AG63" i="12"/>
  <c r="N63" i="13" s="1"/>
  <c r="S63" i="13" s="1"/>
  <c r="N63" i="5" s="1"/>
  <c r="AG55" i="12"/>
  <c r="N55" i="13" s="1"/>
  <c r="S55" i="13" s="1"/>
  <c r="N55" i="5" s="1"/>
  <c r="AG39" i="12"/>
  <c r="N39" i="13" s="1"/>
  <c r="S39" i="13" s="1"/>
  <c r="N39" i="5" s="1"/>
  <c r="AG31" i="12"/>
  <c r="N31" i="13" s="1"/>
  <c r="S31" i="13" s="1"/>
  <c r="N31" i="5" s="1"/>
  <c r="AG23" i="12"/>
  <c r="N23" i="13" s="1"/>
  <c r="S23" i="13" s="1"/>
  <c r="N23" i="5" s="1"/>
  <c r="AG76" i="12"/>
  <c r="N76" i="13" s="1"/>
  <c r="S76" i="13" s="1"/>
  <c r="N76" i="5" s="1"/>
  <c r="AG52" i="12"/>
  <c r="N52" i="13" s="1"/>
  <c r="S52" i="13" s="1"/>
  <c r="N52" i="5" s="1"/>
  <c r="AG36" i="12"/>
  <c r="N36" i="13" s="1"/>
  <c r="S36" i="13" s="1"/>
  <c r="N36" i="5" s="1"/>
  <c r="AG28" i="12"/>
  <c r="N28" i="13" s="1"/>
  <c r="S28" i="13" s="1"/>
  <c r="N28" i="5" s="1"/>
  <c r="AG139" i="12"/>
  <c r="N139" i="13" s="1"/>
  <c r="S139" i="13" s="1"/>
  <c r="AG156" i="12"/>
  <c r="N156" i="13" s="1"/>
  <c r="AL137" i="12"/>
  <c r="AM137" i="12"/>
  <c r="AM157" i="12"/>
  <c r="AL157" i="12"/>
  <c r="AM101" i="12"/>
  <c r="AL101" i="12"/>
  <c r="AL181" i="12"/>
  <c r="AM181" i="12"/>
  <c r="AL129" i="12"/>
  <c r="AM129" i="12"/>
  <c r="AL20" i="12"/>
  <c r="AM20" i="12"/>
  <c r="AM109" i="12"/>
  <c r="AL109" i="12"/>
  <c r="AM195" i="12"/>
  <c r="AL195" i="12"/>
  <c r="AM196" i="12"/>
  <c r="AL196" i="12"/>
  <c r="AL139" i="12"/>
  <c r="AM139" i="12"/>
  <c r="AK57" i="12"/>
  <c r="AL57" i="12" s="1"/>
  <c r="AM48" i="12"/>
  <c r="AK43" i="12"/>
  <c r="AM28" i="12"/>
  <c r="AM66" i="12"/>
  <c r="AK64" i="12"/>
  <c r="AL64" i="12" s="1"/>
  <c r="AG72" i="12"/>
  <c r="N72" i="13" s="1"/>
  <c r="S72" i="13" s="1"/>
  <c r="N72" i="5" s="1"/>
  <c r="AG91" i="12"/>
  <c r="N91" i="13" s="1"/>
  <c r="S91" i="13" s="1"/>
  <c r="N91" i="5" s="1"/>
  <c r="AG99" i="12"/>
  <c r="N99" i="13" s="1"/>
  <c r="S99" i="13" s="1"/>
  <c r="N99" i="5" s="1"/>
  <c r="AG101" i="12"/>
  <c r="N101" i="13" s="1"/>
  <c r="S101" i="13" s="1"/>
  <c r="N101" i="5" s="1"/>
  <c r="AG104" i="12"/>
  <c r="N104" i="13" s="1"/>
  <c r="S104" i="13" s="1"/>
  <c r="N104" i="5" s="1"/>
  <c r="AG107" i="12"/>
  <c r="N107" i="13" s="1"/>
  <c r="S107" i="13" s="1"/>
  <c r="N107" i="5" s="1"/>
  <c r="AK117" i="12"/>
  <c r="AL117" i="12" s="1"/>
  <c r="AG141" i="12"/>
  <c r="N141" i="13" s="1"/>
  <c r="S141" i="13" s="1"/>
  <c r="AM165" i="12"/>
  <c r="AG162" i="12"/>
  <c r="N162" i="13" s="1"/>
  <c r="AM168" i="12"/>
  <c r="AG166" i="12"/>
  <c r="N166" i="13" s="1"/>
  <c r="S166" i="13" s="1"/>
  <c r="N166" i="5" s="1"/>
  <c r="AG195" i="12"/>
  <c r="N195" i="13" s="1"/>
  <c r="S195" i="13" s="1"/>
  <c r="N195" i="5" s="1"/>
  <c r="AG196" i="12"/>
  <c r="N196" i="13" s="1"/>
  <c r="S196" i="13" s="1"/>
  <c r="N196" i="5" s="1"/>
  <c r="AK194" i="12"/>
  <c r="AL194" i="12" s="1"/>
  <c r="AM33" i="12"/>
  <c r="AG86" i="12"/>
  <c r="N86" i="13" s="1"/>
  <c r="S86" i="13" s="1"/>
  <c r="N86" i="5" s="1"/>
  <c r="AG67" i="12"/>
  <c r="N67" i="13" s="1"/>
  <c r="S67" i="13" s="1"/>
  <c r="N67" i="5" s="1"/>
  <c r="AG27" i="12"/>
  <c r="N27" i="13" s="1"/>
  <c r="S27" i="13" s="1"/>
  <c r="N27" i="5" s="1"/>
  <c r="AG161" i="12"/>
  <c r="N161" i="13" s="1"/>
  <c r="AM178" i="12"/>
  <c r="AG200" i="12"/>
  <c r="N200" i="13" s="1"/>
  <c r="S200" i="13" s="1"/>
  <c r="N200" i="5" s="1"/>
  <c r="AG24" i="12"/>
  <c r="N24" i="13" s="1"/>
  <c r="S24" i="13" s="1"/>
  <c r="N24" i="5" s="1"/>
  <c r="AK26" i="12"/>
  <c r="AM26" i="12" s="1"/>
  <c r="AM76" i="12"/>
  <c r="AK80" i="12"/>
  <c r="AL80" i="12" s="1"/>
  <c r="AG85" i="12"/>
  <c r="N85" i="13" s="1"/>
  <c r="S85" i="13" s="1"/>
  <c r="N85" i="5" s="1"/>
  <c r="AG90" i="12"/>
  <c r="N90" i="13" s="1"/>
  <c r="S90" i="13" s="1"/>
  <c r="N90" i="5" s="1"/>
  <c r="AG98" i="12"/>
  <c r="N98" i="13" s="1"/>
  <c r="S98" i="13" s="1"/>
  <c r="N98" i="5" s="1"/>
  <c r="AG108" i="12"/>
  <c r="N108" i="13" s="1"/>
  <c r="S108" i="13" s="1"/>
  <c r="N108" i="5" s="1"/>
  <c r="AG105" i="12"/>
  <c r="N105" i="13" s="1"/>
  <c r="S105" i="13" s="1"/>
  <c r="N105" i="5" s="1"/>
  <c r="AM131" i="12"/>
  <c r="AM140" i="12"/>
  <c r="AG140" i="12"/>
  <c r="N140" i="13" s="1"/>
  <c r="S140" i="13" s="1"/>
  <c r="AM145" i="12"/>
  <c r="AL154" i="12"/>
  <c r="AK158" i="12"/>
  <c r="AL158" i="12" s="1"/>
  <c r="AG152" i="12"/>
  <c r="N152" i="13" s="1"/>
  <c r="AG145" i="12"/>
  <c r="N145" i="13" s="1"/>
  <c r="S145" i="13" s="1"/>
  <c r="N145" i="5" s="1"/>
  <c r="AG169" i="12"/>
  <c r="N169" i="13" s="1"/>
  <c r="S169" i="13" s="1"/>
  <c r="N169" i="5" s="1"/>
  <c r="AG199" i="12"/>
  <c r="N199" i="13" s="1"/>
  <c r="S199" i="13" s="1"/>
  <c r="N199" i="5" s="1"/>
  <c r="AM31" i="12"/>
  <c r="AM41" i="12"/>
  <c r="AG84" i="12"/>
  <c r="N84" i="13" s="1"/>
  <c r="S84" i="13" s="1"/>
  <c r="N84" i="5" s="1"/>
  <c r="AG94" i="12"/>
  <c r="N94" i="13" s="1"/>
  <c r="S94" i="13" s="1"/>
  <c r="N94" i="5" s="1"/>
  <c r="AL92" i="12"/>
  <c r="AM122" i="12"/>
  <c r="AM133" i="12"/>
  <c r="AM144" i="12"/>
  <c r="AG180" i="12"/>
  <c r="N180" i="13" s="1"/>
  <c r="AK93" i="12"/>
  <c r="AM151" i="12"/>
  <c r="AG42" i="12"/>
  <c r="N42" i="13" s="1"/>
  <c r="S42" i="13" s="1"/>
  <c r="N42" i="5" s="1"/>
  <c r="AM36" i="12"/>
  <c r="AG30" i="12"/>
  <c r="N30" i="13" s="1"/>
  <c r="S30" i="13" s="1"/>
  <c r="N30" i="5" s="1"/>
  <c r="AG64" i="12"/>
  <c r="N64" i="13" s="1"/>
  <c r="S64" i="13" s="1"/>
  <c r="N64" i="5" s="1"/>
  <c r="AM71" i="12"/>
  <c r="AM99" i="12"/>
  <c r="AL110" i="12"/>
  <c r="AG151" i="12"/>
  <c r="N151" i="13" s="1"/>
  <c r="S151" i="13" s="1"/>
  <c r="N151" i="5" s="1"/>
  <c r="AG174" i="12"/>
  <c r="N174" i="13" s="1"/>
  <c r="AM200" i="12"/>
  <c r="AM54" i="12"/>
  <c r="AM69" i="12"/>
  <c r="AG73" i="12"/>
  <c r="N73" i="13" s="1"/>
  <c r="S73" i="13" s="1"/>
  <c r="N73" i="5" s="1"/>
  <c r="AM79" i="12"/>
  <c r="AM91" i="12"/>
  <c r="AG170" i="12"/>
  <c r="N170" i="13" s="1"/>
  <c r="AM169" i="12"/>
  <c r="AG57" i="12"/>
  <c r="N57" i="13" s="1"/>
  <c r="S57" i="13" s="1"/>
  <c r="N57" i="5" s="1"/>
  <c r="AG116" i="12"/>
  <c r="N116" i="13" s="1"/>
  <c r="S116" i="13" s="1"/>
  <c r="N116" i="5" s="1"/>
  <c r="AG119" i="12"/>
  <c r="N119" i="13" s="1"/>
  <c r="S119" i="13" s="1"/>
  <c r="N119" i="5" s="1"/>
  <c r="AG121" i="12"/>
  <c r="N121" i="13" s="1"/>
  <c r="S121" i="13" s="1"/>
  <c r="N121" i="5" s="1"/>
  <c r="AG154" i="12"/>
  <c r="N154" i="13" s="1"/>
  <c r="AG168" i="12"/>
  <c r="N168" i="13" s="1"/>
  <c r="AG175" i="12"/>
  <c r="N175" i="13" s="1"/>
  <c r="AG197" i="12"/>
  <c r="N197" i="13" s="1"/>
  <c r="S197" i="13" s="1"/>
  <c r="N197" i="5" s="1"/>
  <c r="A109" i="5"/>
  <c r="B109" i="5" s="1"/>
  <c r="D23" i="5"/>
  <c r="A22" i="5"/>
  <c r="B22" i="5" s="1"/>
  <c r="A21" i="5"/>
  <c r="B21" i="5" s="1"/>
  <c r="I198" i="13"/>
  <c r="M198" i="13" s="1"/>
  <c r="F198" i="5" s="1"/>
  <c r="H193" i="13"/>
  <c r="H185" i="13"/>
  <c r="M185" i="13" s="1"/>
  <c r="F185" i="5" s="1"/>
  <c r="AA185" i="5" s="1"/>
  <c r="H181" i="13"/>
  <c r="M181" i="13" s="1"/>
  <c r="F181" i="5" s="1"/>
  <c r="AA181" i="5" s="1"/>
  <c r="H177" i="13"/>
  <c r="M177" i="13" s="1"/>
  <c r="F177" i="5" s="1"/>
  <c r="AA177" i="5" s="1"/>
  <c r="H173" i="13"/>
  <c r="M173" i="13" s="1"/>
  <c r="I199" i="13"/>
  <c r="M199" i="13" s="1"/>
  <c r="I195" i="13"/>
  <c r="M195" i="13" s="1"/>
  <c r="F195" i="5" s="1"/>
  <c r="I191" i="13"/>
  <c r="M191" i="13" s="1"/>
  <c r="F191" i="5" s="1"/>
  <c r="I187" i="13"/>
  <c r="M187" i="13" s="1"/>
  <c r="F187" i="5" s="1"/>
  <c r="I183" i="13"/>
  <c r="M183" i="13" s="1"/>
  <c r="F183" i="5" s="1"/>
  <c r="I179" i="13"/>
  <c r="M179" i="13" s="1"/>
  <c r="F179" i="5" s="1"/>
  <c r="I175" i="13"/>
  <c r="M175" i="13" s="1"/>
  <c r="I194" i="13"/>
  <c r="M194" i="13" s="1"/>
  <c r="I190" i="13"/>
  <c r="M190" i="13" s="1"/>
  <c r="F190" i="5" s="1"/>
  <c r="AA190" i="5" s="1"/>
  <c r="I186" i="13"/>
  <c r="M186" i="13" s="1"/>
  <c r="F186" i="5" s="1"/>
  <c r="I182" i="13"/>
  <c r="I178" i="13"/>
  <c r="M178" i="13" s="1"/>
  <c r="I174" i="13"/>
  <c r="M174" i="13" s="1"/>
  <c r="F174" i="5" s="1"/>
  <c r="H182" i="13"/>
  <c r="I193" i="13"/>
  <c r="I189" i="13"/>
  <c r="M189" i="13" s="1"/>
  <c r="F189" i="5" s="1"/>
  <c r="M34" i="13"/>
  <c r="F34" i="5" s="1"/>
  <c r="M50" i="13"/>
  <c r="F50" i="5" s="1"/>
  <c r="I91" i="13"/>
  <c r="M91" i="13" s="1"/>
  <c r="F91" i="5" s="1"/>
  <c r="I131" i="13"/>
  <c r="M131" i="13" s="1"/>
  <c r="F131" i="5" s="1"/>
  <c r="AA131" i="5" s="1"/>
  <c r="H149" i="13"/>
  <c r="M149" i="13" s="1"/>
  <c r="F149" i="5" s="1"/>
  <c r="AA149" i="5" s="1"/>
  <c r="H107" i="13"/>
  <c r="M107" i="13" s="1"/>
  <c r="F107" i="5" s="1"/>
  <c r="I103" i="13"/>
  <c r="M103" i="13" s="1"/>
  <c r="F103" i="5" s="1"/>
  <c r="I106" i="13"/>
  <c r="M106" i="13" s="1"/>
  <c r="F106" i="5" s="1"/>
  <c r="H156" i="13"/>
  <c r="M156" i="13" s="1"/>
  <c r="F156" i="5" s="1"/>
  <c r="I83" i="13"/>
  <c r="M83" i="13" s="1"/>
  <c r="F83" i="5" s="1"/>
  <c r="H74" i="13"/>
  <c r="M74" i="13" s="1"/>
  <c r="F74" i="5" s="1"/>
  <c r="I113" i="13"/>
  <c r="M113" i="13" s="1"/>
  <c r="F113" i="5" s="1"/>
  <c r="AA113" i="5" s="1"/>
  <c r="I58" i="13"/>
  <c r="M58" i="13" s="1"/>
  <c r="F58" i="5" s="1"/>
  <c r="I66" i="13"/>
  <c r="M66" i="13" s="1"/>
  <c r="F66" i="5" s="1"/>
  <c r="I164" i="13"/>
  <c r="M164" i="13" s="1"/>
  <c r="F164" i="5" s="1"/>
  <c r="H170" i="13"/>
  <c r="AM198" i="12"/>
  <c r="AM197" i="12"/>
  <c r="AM199" i="12"/>
  <c r="AM177" i="12"/>
  <c r="AG194" i="12"/>
  <c r="N194" i="13" s="1"/>
  <c r="AM173" i="12"/>
  <c r="AG185" i="12"/>
  <c r="N185" i="13" s="1"/>
  <c r="AG181" i="12"/>
  <c r="N181" i="13" s="1"/>
  <c r="AG177" i="12"/>
  <c r="N177" i="13" s="1"/>
  <c r="AG192" i="12"/>
  <c r="N192" i="13" s="1"/>
  <c r="AM185" i="12"/>
  <c r="AK192" i="12"/>
  <c r="AL192" i="12" s="1"/>
  <c r="AM180" i="12"/>
  <c r="AG187" i="12"/>
  <c r="N187" i="13" s="1"/>
  <c r="AG183" i="12"/>
  <c r="N183" i="13" s="1"/>
  <c r="AG179" i="12"/>
  <c r="N179" i="13" s="1"/>
  <c r="AG191" i="12"/>
  <c r="N191" i="13" s="1"/>
  <c r="AG190" i="12"/>
  <c r="N190" i="13" s="1"/>
  <c r="AM183" i="12"/>
  <c r="AA173" i="13"/>
  <c r="AK35" i="12"/>
  <c r="AL35" i="12" s="1"/>
  <c r="AL49" i="12"/>
  <c r="AM49" i="12"/>
  <c r="AK77" i="12"/>
  <c r="AL77" i="12" s="1"/>
  <c r="AG77" i="12"/>
  <c r="N77" i="13" s="1"/>
  <c r="S77" i="13" s="1"/>
  <c r="N77" i="5" s="1"/>
  <c r="AL87" i="12"/>
  <c r="AM87" i="12"/>
  <c r="AG35" i="12"/>
  <c r="N35" i="13" s="1"/>
  <c r="S35" i="13" s="1"/>
  <c r="N35" i="5" s="1"/>
  <c r="AG47" i="12"/>
  <c r="N47" i="13" s="1"/>
  <c r="S47" i="13" s="1"/>
  <c r="N47" i="5" s="1"/>
  <c r="AK47" i="12"/>
  <c r="AL47" i="12" s="1"/>
  <c r="AL42" i="12"/>
  <c r="AM42" i="12"/>
  <c r="AL46" i="12"/>
  <c r="AM46" i="12"/>
  <c r="AG32" i="12"/>
  <c r="N32" i="13" s="1"/>
  <c r="S32" i="13" s="1"/>
  <c r="N32" i="5" s="1"/>
  <c r="AK32" i="12"/>
  <c r="AL32" i="12" s="1"/>
  <c r="AL22" i="12"/>
  <c r="AM22" i="12"/>
  <c r="AL97" i="12"/>
  <c r="AM97" i="12"/>
  <c r="AL72" i="12"/>
  <c r="AM72" i="12"/>
  <c r="AM160" i="12"/>
  <c r="AL160" i="12"/>
  <c r="AG59" i="12"/>
  <c r="N59" i="13" s="1"/>
  <c r="S59" i="13" s="1"/>
  <c r="N59" i="5" s="1"/>
  <c r="AK59" i="12"/>
  <c r="AL59" i="12" s="1"/>
  <c r="AL58" i="12"/>
  <c r="AM58" i="12"/>
  <c r="AG50" i="12"/>
  <c r="N50" i="13" s="1"/>
  <c r="S50" i="13" s="1"/>
  <c r="N50" i="5" s="1"/>
  <c r="AK50" i="12"/>
  <c r="AL50" i="12" s="1"/>
  <c r="AG44" i="12"/>
  <c r="N44" i="13" s="1"/>
  <c r="S44" i="13" s="1"/>
  <c r="N44" i="5" s="1"/>
  <c r="AK44" i="12"/>
  <c r="AL44" i="12" s="1"/>
  <c r="AM39" i="12"/>
  <c r="AK113" i="12"/>
  <c r="AL113" i="12" s="1"/>
  <c r="AG41" i="12"/>
  <c r="N41" i="13" s="1"/>
  <c r="S41" i="13" s="1"/>
  <c r="N41" i="5" s="1"/>
  <c r="AG48" i="12"/>
  <c r="N48" i="13" s="1"/>
  <c r="S48" i="13" s="1"/>
  <c r="N48" i="5" s="1"/>
  <c r="AG58" i="12"/>
  <c r="N58" i="13" s="1"/>
  <c r="S58" i="13" s="1"/>
  <c r="N58" i="5" s="1"/>
  <c r="AL38" i="12"/>
  <c r="AM56" i="12"/>
  <c r="AM53" i="12"/>
  <c r="AM63" i="12"/>
  <c r="AM78" i="12"/>
  <c r="AM85" i="12"/>
  <c r="AM83" i="12"/>
  <c r="AL86" i="12"/>
  <c r="AM86" i="12"/>
  <c r="AG89" i="12"/>
  <c r="N89" i="13" s="1"/>
  <c r="S89" i="13" s="1"/>
  <c r="N89" i="5" s="1"/>
  <c r="AM108" i="12"/>
  <c r="AM104" i="12"/>
  <c r="AM132" i="12"/>
  <c r="AL132" i="12"/>
  <c r="AM135" i="12"/>
  <c r="AG54" i="12"/>
  <c r="N54" i="13" s="1"/>
  <c r="S54" i="13" s="1"/>
  <c r="N54" i="5" s="1"/>
  <c r="AM25" i="12"/>
  <c r="AM65" i="12"/>
  <c r="AG65" i="12"/>
  <c r="N65" i="13" s="1"/>
  <c r="S65" i="13" s="1"/>
  <c r="N65" i="5" s="1"/>
  <c r="AM70" i="12"/>
  <c r="AL74" i="12"/>
  <c r="AM74" i="12"/>
  <c r="AK107" i="12"/>
  <c r="AL107" i="12" s="1"/>
  <c r="AG113" i="12"/>
  <c r="N113" i="13" s="1"/>
  <c r="S113" i="13" s="1"/>
  <c r="N113" i="5" s="1"/>
  <c r="AM55" i="12"/>
  <c r="AG49" i="12"/>
  <c r="N49" i="13" s="1"/>
  <c r="S49" i="13" s="1"/>
  <c r="N49" i="5" s="1"/>
  <c r="AM40" i="12"/>
  <c r="AM21" i="12"/>
  <c r="AM60" i="12"/>
  <c r="AM73" i="12"/>
  <c r="AM75" i="12"/>
  <c r="AG21" i="12"/>
  <c r="N21" i="13" s="1"/>
  <c r="S21" i="13" s="1"/>
  <c r="N21" i="5" s="1"/>
  <c r="AG33" i="12"/>
  <c r="N33" i="13" s="1"/>
  <c r="S33" i="13" s="1"/>
  <c r="N33" i="5" s="1"/>
  <c r="AL29" i="12"/>
  <c r="AM27" i="12"/>
  <c r="AK30" i="12"/>
  <c r="AL30" i="12" s="1"/>
  <c r="AM24" i="12"/>
  <c r="AG87" i="12"/>
  <c r="N87" i="13" s="1"/>
  <c r="S87" i="13" s="1"/>
  <c r="N87" i="5" s="1"/>
  <c r="AM89" i="12"/>
  <c r="AK98" i="12"/>
  <c r="AL98" i="12" s="1"/>
  <c r="AM100" i="12"/>
  <c r="AL123" i="12"/>
  <c r="AM123" i="12"/>
  <c r="AM143" i="12"/>
  <c r="AL143" i="12"/>
  <c r="AL179" i="12"/>
  <c r="AG62" i="12"/>
  <c r="N62" i="13" s="1"/>
  <c r="S62" i="13" s="1"/>
  <c r="N62" i="5" s="1"/>
  <c r="AG109" i="12"/>
  <c r="N109" i="13" s="1"/>
  <c r="S109" i="13" s="1"/>
  <c r="N109" i="5" s="1"/>
  <c r="AM112" i="12"/>
  <c r="AM134" i="12"/>
  <c r="AL134" i="12"/>
  <c r="AG138" i="12"/>
  <c r="N138" i="13" s="1"/>
  <c r="S138" i="13" s="1"/>
  <c r="N138" i="5" s="1"/>
  <c r="AK138" i="12"/>
  <c r="AL138" i="12" s="1"/>
  <c r="AM45" i="12"/>
  <c r="AG95" i="12"/>
  <c r="N95" i="13" s="1"/>
  <c r="S95" i="13" s="1"/>
  <c r="N95" i="5" s="1"/>
  <c r="AK96" i="12"/>
  <c r="AL96" i="12" s="1"/>
  <c r="AL116" i="12"/>
  <c r="AM116" i="12"/>
  <c r="AG118" i="12"/>
  <c r="N118" i="13" s="1"/>
  <c r="S118" i="13" s="1"/>
  <c r="N118" i="5" s="1"/>
  <c r="AK118" i="12"/>
  <c r="AG130" i="12"/>
  <c r="N130" i="13" s="1"/>
  <c r="S130" i="13" s="1"/>
  <c r="N130" i="5" s="1"/>
  <c r="AK130" i="12"/>
  <c r="AK62" i="12"/>
  <c r="AL62" i="12" s="1"/>
  <c r="AG69" i="12"/>
  <c r="N69" i="13" s="1"/>
  <c r="S69" i="13" s="1"/>
  <c r="N69" i="5" s="1"/>
  <c r="AG68" i="12"/>
  <c r="N68" i="13" s="1"/>
  <c r="S68" i="13" s="1"/>
  <c r="N68" i="5" s="1"/>
  <c r="AG60" i="12"/>
  <c r="N60" i="13" s="1"/>
  <c r="S60" i="13" s="1"/>
  <c r="N60" i="5" s="1"/>
  <c r="AK95" i="12"/>
  <c r="AL95" i="12" s="1"/>
  <c r="AM114" i="12"/>
  <c r="AL114" i="12"/>
  <c r="AM111" i="12"/>
  <c r="AM126" i="12"/>
  <c r="AL171" i="12"/>
  <c r="AM171" i="12"/>
  <c r="AM167" i="12"/>
  <c r="AL167" i="12"/>
  <c r="AL184" i="12"/>
  <c r="AM184" i="12"/>
  <c r="AL103" i="12"/>
  <c r="AK106" i="12"/>
  <c r="AL106" i="12" s="1"/>
  <c r="AM121" i="12"/>
  <c r="AL182" i="12"/>
  <c r="AM182" i="12"/>
  <c r="AM105" i="12"/>
  <c r="AM119" i="12"/>
  <c r="AG155" i="12"/>
  <c r="N155" i="13" s="1"/>
  <c r="AK155" i="12"/>
  <c r="AL155" i="12" s="1"/>
  <c r="AM191" i="12"/>
  <c r="AL191" i="12"/>
  <c r="AL190" i="12"/>
  <c r="AM190" i="12"/>
  <c r="AM189" i="12"/>
  <c r="AL153" i="12"/>
  <c r="AM153" i="12"/>
  <c r="AG164" i="12"/>
  <c r="N164" i="13" s="1"/>
  <c r="AG159" i="12"/>
  <c r="N159" i="13" s="1"/>
  <c r="S159" i="13" s="1"/>
  <c r="N159" i="5" s="1"/>
  <c r="AK159" i="12"/>
  <c r="AL159" i="12" s="1"/>
  <c r="AK176" i="12"/>
  <c r="AL176" i="12" s="1"/>
  <c r="AG193" i="12"/>
  <c r="N193" i="13" s="1"/>
  <c r="AL141" i="12"/>
  <c r="AM141" i="12"/>
  <c r="AG149" i="12"/>
  <c r="N149" i="13" s="1"/>
  <c r="S149" i="13" s="1"/>
  <c r="N149" i="5" s="1"/>
  <c r="AK149" i="12"/>
  <c r="AL149" i="12" s="1"/>
  <c r="AK164" i="12"/>
  <c r="AL164" i="12" s="1"/>
  <c r="AK186" i="12"/>
  <c r="AL186" i="12" s="1"/>
  <c r="AG186" i="12"/>
  <c r="N186" i="13" s="1"/>
  <c r="AK193" i="12"/>
  <c r="AL193" i="12" s="1"/>
  <c r="AM150" i="12"/>
  <c r="AM166" i="12"/>
  <c r="AM187" i="12"/>
  <c r="AG189" i="12"/>
  <c r="N189" i="13" s="1"/>
  <c r="AG150" i="12"/>
  <c r="N150" i="13" s="1"/>
  <c r="AK162" i="12"/>
  <c r="AL162" i="12" s="1"/>
  <c r="E144" i="13"/>
  <c r="E150" i="12"/>
  <c r="AM163" i="12"/>
  <c r="AM148" i="12"/>
  <c r="Y196" i="10"/>
  <c r="P196" i="10"/>
  <c r="P200" i="10"/>
  <c r="P198" i="10"/>
  <c r="P197" i="10"/>
  <c r="P199" i="10"/>
  <c r="R173" i="10"/>
  <c r="I173" i="10"/>
  <c r="P173" i="10" s="1"/>
  <c r="P62" i="10"/>
  <c r="Y53" i="10"/>
  <c r="Y76" i="10"/>
  <c r="P69" i="10"/>
  <c r="P75" i="10"/>
  <c r="J112" i="10"/>
  <c r="AA148" i="13"/>
  <c r="P76" i="10"/>
  <c r="G150" i="13"/>
  <c r="D150" i="13" s="1"/>
  <c r="Y68" i="10"/>
  <c r="P51" i="10"/>
  <c r="P50" i="10"/>
  <c r="P37" i="10"/>
  <c r="P24" i="10"/>
  <c r="P63" i="10"/>
  <c r="P77" i="10"/>
  <c r="P52" i="10"/>
  <c r="P65" i="10"/>
  <c r="P143" i="10"/>
  <c r="P61" i="10"/>
  <c r="Y69" i="10"/>
  <c r="P72" i="10"/>
  <c r="P79" i="10"/>
  <c r="Y172" i="10"/>
  <c r="P57" i="10"/>
  <c r="P21" i="10"/>
  <c r="Y63" i="10"/>
  <c r="C164" i="10"/>
  <c r="C164" i="13" s="1"/>
  <c r="P40" i="10"/>
  <c r="P34" i="10"/>
  <c r="P55" i="10"/>
  <c r="P68" i="10"/>
  <c r="P81" i="10"/>
  <c r="G157" i="13"/>
  <c r="D157" i="13" s="1"/>
  <c r="G169" i="13"/>
  <c r="D169" i="13" s="1"/>
  <c r="P71" i="10"/>
  <c r="C110" i="10"/>
  <c r="G111" i="10"/>
  <c r="AA171" i="13"/>
  <c r="C119" i="10"/>
  <c r="P172" i="10"/>
  <c r="P171" i="10"/>
  <c r="AA143" i="13"/>
  <c r="C163" i="10"/>
  <c r="C163" i="13" s="1"/>
  <c r="G163" i="13"/>
  <c r="D163" i="13" s="1"/>
  <c r="C166" i="10"/>
  <c r="C166" i="13" s="1"/>
  <c r="G166" i="13"/>
  <c r="D166" i="13" s="1"/>
  <c r="A145" i="10"/>
  <c r="R145" i="10" s="1"/>
  <c r="S144" i="10"/>
  <c r="R144" i="10"/>
  <c r="I144" i="10"/>
  <c r="A144" i="13"/>
  <c r="C154" i="10"/>
  <c r="C154" i="13" s="1"/>
  <c r="C150" i="10"/>
  <c r="C150" i="13" s="1"/>
  <c r="C148" i="10"/>
  <c r="C148" i="13" s="1"/>
  <c r="C155" i="10"/>
  <c r="C155" i="13" s="1"/>
  <c r="C138" i="10"/>
  <c r="G153" i="13"/>
  <c r="D153" i="13" s="1"/>
  <c r="G164" i="13"/>
  <c r="D164" i="13" s="1"/>
  <c r="C122" i="10"/>
  <c r="C145" i="10"/>
  <c r="C145" i="13" s="1"/>
  <c r="C169" i="10"/>
  <c r="C169" i="13" s="1"/>
  <c r="C128" i="10"/>
  <c r="G152" i="13"/>
  <c r="D152" i="13" s="1"/>
  <c r="C152" i="10"/>
  <c r="C152" i="13" s="1"/>
  <c r="C143" i="10"/>
  <c r="C143" i="13" s="1"/>
  <c r="G143" i="13"/>
  <c r="D143" i="13" s="1"/>
  <c r="A22" i="9"/>
  <c r="B22" i="9" s="1"/>
  <c r="E23" i="9"/>
  <c r="C161" i="10"/>
  <c r="C161" i="13" s="1"/>
  <c r="C113" i="10"/>
  <c r="G155" i="13"/>
  <c r="D155" i="13" s="1"/>
  <c r="G165" i="13"/>
  <c r="D165" i="13" s="1"/>
  <c r="C159" i="10"/>
  <c r="C159" i="13" s="1"/>
  <c r="C170" i="10"/>
  <c r="C170" i="13" s="1"/>
  <c r="C167" i="10"/>
  <c r="C167" i="13" s="1"/>
  <c r="A21" i="9"/>
  <c r="B21" i="9" s="1"/>
  <c r="G159" i="13"/>
  <c r="D159" i="13" s="1"/>
  <c r="G156" i="13"/>
  <c r="D156" i="13" s="1"/>
  <c r="G161" i="13"/>
  <c r="D161" i="13" s="1"/>
  <c r="G158" i="13"/>
  <c r="D158" i="13" s="1"/>
  <c r="C147" i="10"/>
  <c r="C147" i="13" s="1"/>
  <c r="G149" i="13"/>
  <c r="D149" i="13" s="1"/>
  <c r="C160" i="10"/>
  <c r="C160" i="13" s="1"/>
  <c r="C162" i="10"/>
  <c r="C162" i="13" s="1"/>
  <c r="C132" i="10"/>
  <c r="D111" i="5"/>
  <c r="A110" i="5"/>
  <c r="B110" i="5" s="1"/>
  <c r="G270" i="12" l="1"/>
  <c r="D271" i="5"/>
  <c r="D272" i="5" s="1"/>
  <c r="Y270" i="5"/>
  <c r="E270" i="9"/>
  <c r="F259" i="13"/>
  <c r="F266" i="10"/>
  <c r="F256" i="13"/>
  <c r="F263" i="10"/>
  <c r="F270" i="10" s="1"/>
  <c r="F258" i="13"/>
  <c r="F265" i="10"/>
  <c r="F272" i="10" s="1"/>
  <c r="F272" i="13" s="1"/>
  <c r="F262" i="13"/>
  <c r="F269" i="10"/>
  <c r="G269" i="12"/>
  <c r="E269" i="9"/>
  <c r="Y269" i="5"/>
  <c r="Z44" i="10"/>
  <c r="AA44" i="10" s="1"/>
  <c r="AC44" i="10" s="1"/>
  <c r="F253" i="13"/>
  <c r="F260" i="10"/>
  <c r="F255" i="13"/>
  <c r="F247" i="13"/>
  <c r="F254" i="10"/>
  <c r="D231" i="9"/>
  <c r="S152" i="13"/>
  <c r="N152" i="5" s="1"/>
  <c r="C22" i="13"/>
  <c r="P144" i="10"/>
  <c r="G216" i="10"/>
  <c r="G215" i="13"/>
  <c r="D215" i="13" s="1"/>
  <c r="Z37" i="10"/>
  <c r="AA37" i="10" s="1"/>
  <c r="H37" i="5" s="1"/>
  <c r="I37" i="5" s="1"/>
  <c r="Z46" i="10"/>
  <c r="AA46" i="10" s="1"/>
  <c r="H46" i="5" s="1"/>
  <c r="I46" i="5" s="1"/>
  <c r="Z52" i="10"/>
  <c r="AA52" i="10" s="1"/>
  <c r="H52" i="5" s="1"/>
  <c r="I52" i="5" s="1"/>
  <c r="Z45" i="10"/>
  <c r="AA45" i="10" s="1"/>
  <c r="AC45" i="10" s="1"/>
  <c r="Z67" i="10"/>
  <c r="AA67" i="10" s="1"/>
  <c r="AC67" i="10" s="1"/>
  <c r="G23" i="13"/>
  <c r="D23" i="13" s="1"/>
  <c r="Z23" i="10"/>
  <c r="AA23" i="10" s="1"/>
  <c r="H23" i="5" s="1"/>
  <c r="I23" i="5" s="1"/>
  <c r="Z65" i="10"/>
  <c r="AA65" i="10" s="1"/>
  <c r="AC65" i="10" s="1"/>
  <c r="Z60" i="10"/>
  <c r="AA60" i="10" s="1"/>
  <c r="H60" i="5" s="1"/>
  <c r="I60" i="5" s="1"/>
  <c r="AM61" i="12"/>
  <c r="AA172" i="5"/>
  <c r="Z40" i="10"/>
  <c r="AA40" i="10" s="1"/>
  <c r="AC40" i="10" s="1"/>
  <c r="Z32" i="10"/>
  <c r="AA32" i="10" s="1"/>
  <c r="AC32" i="10" s="1"/>
  <c r="Z64" i="10"/>
  <c r="AA64" i="10" s="1"/>
  <c r="AC64" i="10" s="1"/>
  <c r="Z43" i="10"/>
  <c r="AA43" i="10" s="1"/>
  <c r="AC43" i="10" s="1"/>
  <c r="Z21" i="10"/>
  <c r="AA21" i="10" s="1"/>
  <c r="AC21" i="10" s="1"/>
  <c r="Z81" i="10"/>
  <c r="AA81" i="10" s="1"/>
  <c r="AC81" i="10" s="1"/>
  <c r="Z80" i="10"/>
  <c r="AA80" i="10" s="1"/>
  <c r="AC80" i="10" s="1"/>
  <c r="AM80" i="12"/>
  <c r="Z77" i="10"/>
  <c r="AA77" i="10" s="1"/>
  <c r="H77" i="5" s="1"/>
  <c r="I77" i="5" s="1"/>
  <c r="Z50" i="10"/>
  <c r="AA50" i="10" s="1"/>
  <c r="AC50" i="10" s="1"/>
  <c r="Z75" i="10"/>
  <c r="AA75" i="10" s="1"/>
  <c r="H75" i="5" s="1"/>
  <c r="I75" i="5" s="1"/>
  <c r="Z58" i="10"/>
  <c r="AA58" i="10" s="1"/>
  <c r="H58" i="5" s="1"/>
  <c r="I58" i="5" s="1"/>
  <c r="D186" i="12"/>
  <c r="D186" i="10"/>
  <c r="D194" i="12"/>
  <c r="D194" i="10"/>
  <c r="D190" i="10"/>
  <c r="D190" i="12"/>
  <c r="D21" i="12"/>
  <c r="D21" i="10"/>
  <c r="D177" i="12"/>
  <c r="D177" i="10"/>
  <c r="D171" i="12"/>
  <c r="D171" i="10"/>
  <c r="D196" i="10"/>
  <c r="D196" i="12"/>
  <c r="D198" i="10"/>
  <c r="D198" i="12"/>
  <c r="Z36" i="10"/>
  <c r="AA36" i="10" s="1"/>
  <c r="H36" i="5" s="1"/>
  <c r="I36" i="5" s="1"/>
  <c r="Z79" i="10"/>
  <c r="AA79" i="10" s="1"/>
  <c r="H79" i="5" s="1"/>
  <c r="I79" i="5" s="1"/>
  <c r="D185" i="12"/>
  <c r="D185" i="10"/>
  <c r="D179" i="12"/>
  <c r="D179" i="10"/>
  <c r="D173" i="12"/>
  <c r="D173" i="10"/>
  <c r="D176" i="12"/>
  <c r="D176" i="10"/>
  <c r="D172" i="12"/>
  <c r="D172" i="10"/>
  <c r="D22" i="10"/>
  <c r="D22" i="12"/>
  <c r="D193" i="12"/>
  <c r="D193" i="10"/>
  <c r="D187" i="12"/>
  <c r="D187" i="10"/>
  <c r="D181" i="12"/>
  <c r="D181" i="10"/>
  <c r="D184" i="12"/>
  <c r="D184" i="10"/>
  <c r="D175" i="10"/>
  <c r="D175" i="12"/>
  <c r="D183" i="10"/>
  <c r="D183" i="12"/>
  <c r="D182" i="10"/>
  <c r="D182" i="12"/>
  <c r="D188" i="10"/>
  <c r="D188" i="12"/>
  <c r="D195" i="12"/>
  <c r="D195" i="10"/>
  <c r="D189" i="12"/>
  <c r="D189" i="10"/>
  <c r="D192" i="12"/>
  <c r="D192" i="10"/>
  <c r="D199" i="12"/>
  <c r="D174" i="10"/>
  <c r="D174" i="12"/>
  <c r="D180" i="12"/>
  <c r="D180" i="10"/>
  <c r="D178" i="12"/>
  <c r="D178" i="10"/>
  <c r="D197" i="12"/>
  <c r="D197" i="10"/>
  <c r="D200" i="12"/>
  <c r="D191" i="10"/>
  <c r="D191" i="12"/>
  <c r="S171" i="13"/>
  <c r="N171" i="5" s="1"/>
  <c r="M171" i="13"/>
  <c r="M168" i="13"/>
  <c r="F167" i="5"/>
  <c r="AA167" i="5" s="1"/>
  <c r="N53" i="5"/>
  <c r="AA146" i="5"/>
  <c r="M193" i="13"/>
  <c r="F193" i="5" s="1"/>
  <c r="AA193" i="5" s="1"/>
  <c r="AA158" i="5"/>
  <c r="N112" i="5"/>
  <c r="AA144" i="5"/>
  <c r="AA151" i="5"/>
  <c r="AA152" i="5"/>
  <c r="AA155" i="5"/>
  <c r="AA147" i="5"/>
  <c r="M182" i="13"/>
  <c r="F182" i="5" s="1"/>
  <c r="AA182" i="5" s="1"/>
  <c r="AA150" i="5"/>
  <c r="AA196" i="5"/>
  <c r="AA148" i="5"/>
  <c r="M184" i="13"/>
  <c r="F184" i="5" s="1"/>
  <c r="AA184" i="5" s="1"/>
  <c r="M169" i="13"/>
  <c r="M170" i="13"/>
  <c r="P112" i="10"/>
  <c r="Y112" i="10"/>
  <c r="Z71" i="10"/>
  <c r="AA71" i="10" s="1"/>
  <c r="H71" i="5" s="1"/>
  <c r="I71" i="5" s="1"/>
  <c r="Z72" i="10"/>
  <c r="AA72" i="10" s="1"/>
  <c r="H72" i="5" s="1"/>
  <c r="I72" i="5" s="1"/>
  <c r="Z48" i="10"/>
  <c r="AA48" i="10" s="1"/>
  <c r="H48" i="5" s="1"/>
  <c r="I48" i="5" s="1"/>
  <c r="Z59" i="10"/>
  <c r="AA59" i="10" s="1"/>
  <c r="H59" i="5" s="1"/>
  <c r="I59" i="5" s="1"/>
  <c r="Z33" i="10"/>
  <c r="AA33" i="10" s="1"/>
  <c r="H33" i="5" s="1"/>
  <c r="I33" i="5" s="1"/>
  <c r="Z30" i="10"/>
  <c r="AA30" i="10" s="1"/>
  <c r="AC30" i="10" s="1"/>
  <c r="Z35" i="10"/>
  <c r="AA35" i="10" s="1"/>
  <c r="H35" i="5" s="1"/>
  <c r="I35" i="5" s="1"/>
  <c r="Z28" i="10"/>
  <c r="AA28" i="10" s="1"/>
  <c r="H28" i="5" s="1"/>
  <c r="I28" i="5" s="1"/>
  <c r="N141" i="5"/>
  <c r="N139" i="5"/>
  <c r="F142" i="5"/>
  <c r="AA142" i="5" s="1"/>
  <c r="N140" i="5"/>
  <c r="F141" i="5"/>
  <c r="AA141" i="5" s="1"/>
  <c r="F140" i="5"/>
  <c r="AA140" i="5" s="1"/>
  <c r="S167" i="13"/>
  <c r="N167" i="5" s="1"/>
  <c r="S168" i="13"/>
  <c r="N168" i="5" s="1"/>
  <c r="N142" i="5"/>
  <c r="AA157" i="5"/>
  <c r="AA154" i="5"/>
  <c r="AA166" i="5"/>
  <c r="G24" i="12"/>
  <c r="G25" i="12" s="1"/>
  <c r="E162" i="12"/>
  <c r="E162" i="13" s="1"/>
  <c r="AA162" i="13" s="1"/>
  <c r="Z51" i="10"/>
  <c r="AA51" i="10" s="1"/>
  <c r="H51" i="5" s="1"/>
  <c r="I51" i="5" s="1"/>
  <c r="Z74" i="10"/>
  <c r="AA74" i="10" s="1"/>
  <c r="H74" i="5" s="1"/>
  <c r="I74" i="5" s="1"/>
  <c r="Z29" i="10"/>
  <c r="AA29" i="10" s="1"/>
  <c r="H29" i="5" s="1"/>
  <c r="I29" i="5" s="1"/>
  <c r="Z22" i="10"/>
  <c r="AA22" i="10" s="1"/>
  <c r="AC22" i="10" s="1"/>
  <c r="Z39" i="10"/>
  <c r="AA39" i="10" s="1"/>
  <c r="H39" i="5" s="1"/>
  <c r="I39" i="5" s="1"/>
  <c r="Z56" i="10"/>
  <c r="AA56" i="10" s="1"/>
  <c r="H56" i="5" s="1"/>
  <c r="I56" i="5" s="1"/>
  <c r="Z41" i="10"/>
  <c r="AA41" i="10" s="1"/>
  <c r="H41" i="5" s="1"/>
  <c r="I41" i="5" s="1"/>
  <c r="Z27" i="10"/>
  <c r="AA27" i="10" s="1"/>
  <c r="AC27" i="10" s="1"/>
  <c r="Z42" i="10"/>
  <c r="AA42" i="10" s="1"/>
  <c r="AC42" i="10" s="1"/>
  <c r="Z20" i="10"/>
  <c r="AA20" i="10" s="1"/>
  <c r="H20" i="5" s="1"/>
  <c r="I20" i="5" s="1"/>
  <c r="Z171" i="10"/>
  <c r="AA171" i="10" s="1"/>
  <c r="H171" i="5" s="1"/>
  <c r="Z55" i="10"/>
  <c r="AA55" i="10" s="1"/>
  <c r="H55" i="5" s="1"/>
  <c r="I55" i="5" s="1"/>
  <c r="Z38" i="10"/>
  <c r="AA38" i="10" s="1"/>
  <c r="H38" i="5" s="1"/>
  <c r="I38" i="5" s="1"/>
  <c r="Z31" i="10"/>
  <c r="AA31" i="10" s="1"/>
  <c r="AC31" i="10" s="1"/>
  <c r="Z54" i="10"/>
  <c r="AA54" i="10" s="1"/>
  <c r="AC54" i="10" s="1"/>
  <c r="Z143" i="10"/>
  <c r="AA143" i="10" s="1"/>
  <c r="P82" i="10"/>
  <c r="Z82" i="10" s="1"/>
  <c r="AA82" i="10" s="1"/>
  <c r="AC82" i="10" s="1"/>
  <c r="Z199" i="10"/>
  <c r="AA199" i="10" s="1"/>
  <c r="H199" i="5" s="1"/>
  <c r="Z25" i="10"/>
  <c r="AA25" i="10" s="1"/>
  <c r="H25" i="5" s="1"/>
  <c r="I25" i="5" s="1"/>
  <c r="Z73" i="10"/>
  <c r="AA73" i="10" s="1"/>
  <c r="AC73" i="10" s="1"/>
  <c r="Z200" i="10"/>
  <c r="AA200" i="10" s="1"/>
  <c r="H200" i="5" s="1"/>
  <c r="Z198" i="10"/>
  <c r="AA198" i="10" s="1"/>
  <c r="J113" i="10"/>
  <c r="Z61" i="10"/>
  <c r="AA61" i="10" s="1"/>
  <c r="AC61" i="10" s="1"/>
  <c r="Z70" i="10"/>
  <c r="AA70" i="10" s="1"/>
  <c r="H70" i="5" s="1"/>
  <c r="I70" i="5" s="1"/>
  <c r="Z26" i="10"/>
  <c r="AA26" i="10" s="1"/>
  <c r="AC26" i="10" s="1"/>
  <c r="Z47" i="10"/>
  <c r="AA47" i="10" s="1"/>
  <c r="H47" i="5" s="1"/>
  <c r="I47" i="5" s="1"/>
  <c r="Z78" i="10"/>
  <c r="AA78" i="10" s="1"/>
  <c r="H78" i="5" s="1"/>
  <c r="I78" i="5" s="1"/>
  <c r="Z24" i="10"/>
  <c r="AA24" i="10" s="1"/>
  <c r="AC24" i="10" s="1"/>
  <c r="Z197" i="10"/>
  <c r="AA197" i="10" s="1"/>
  <c r="H197" i="5" s="1"/>
  <c r="Z57" i="10"/>
  <c r="AA57" i="10" s="1"/>
  <c r="H57" i="5" s="1"/>
  <c r="I57" i="5" s="1"/>
  <c r="Z53" i="10"/>
  <c r="AA53" i="10" s="1"/>
  <c r="AC53" i="10" s="1"/>
  <c r="Z34" i="10"/>
  <c r="AA34" i="10" s="1"/>
  <c r="H34" i="5" s="1"/>
  <c r="I34" i="5" s="1"/>
  <c r="Z62" i="10"/>
  <c r="AA62" i="10" s="1"/>
  <c r="H62" i="5" s="1"/>
  <c r="I62" i="5" s="1"/>
  <c r="S83" i="10"/>
  <c r="A84" i="10"/>
  <c r="I83" i="10"/>
  <c r="R83" i="10"/>
  <c r="J83" i="10"/>
  <c r="Z49" i="10"/>
  <c r="AA49" i="10" s="1"/>
  <c r="H49" i="5" s="1"/>
  <c r="I49" i="5" s="1"/>
  <c r="C22" i="10"/>
  <c r="G23" i="10"/>
  <c r="R113" i="10"/>
  <c r="S113" i="10"/>
  <c r="I113" i="10"/>
  <c r="Z63" i="10"/>
  <c r="AA63" i="10" s="1"/>
  <c r="H63" i="5" s="1"/>
  <c r="I63" i="5" s="1"/>
  <c r="Z196" i="10"/>
  <c r="AA196" i="10" s="1"/>
  <c r="Z76" i="10"/>
  <c r="AA76" i="10" s="1"/>
  <c r="AC76" i="10" s="1"/>
  <c r="AA186" i="5"/>
  <c r="AM82" i="12"/>
  <c r="AM37" i="12"/>
  <c r="F8" i="5"/>
  <c r="AM106" i="12"/>
  <c r="E154" i="13"/>
  <c r="S154" i="13" s="1"/>
  <c r="N154" i="5" s="1"/>
  <c r="S153" i="13"/>
  <c r="N153" i="5" s="1"/>
  <c r="S155" i="13"/>
  <c r="N155" i="5" s="1"/>
  <c r="E160" i="12"/>
  <c r="E160" i="13" s="1"/>
  <c r="S160" i="13" s="1"/>
  <c r="N160" i="5" s="1"/>
  <c r="AM81" i="12"/>
  <c r="C23" i="12"/>
  <c r="AM84" i="12"/>
  <c r="AL125" i="12"/>
  <c r="E156" i="13"/>
  <c r="AA156" i="13" s="1"/>
  <c r="E163" i="12"/>
  <c r="AL26" i="12"/>
  <c r="F7" i="5"/>
  <c r="AM57" i="12"/>
  <c r="AM88" i="12"/>
  <c r="F178" i="5"/>
  <c r="AA198" i="5"/>
  <c r="F200" i="5"/>
  <c r="AM117" i="12"/>
  <c r="AM107" i="12"/>
  <c r="AL93" i="12"/>
  <c r="AM93" i="12"/>
  <c r="AM98" i="12"/>
  <c r="F192" i="5"/>
  <c r="AA197" i="5"/>
  <c r="F199" i="5"/>
  <c r="AA199" i="5" s="1"/>
  <c r="AM64" i="12"/>
  <c r="AM44" i="12"/>
  <c r="AM59" i="12"/>
  <c r="F194" i="5"/>
  <c r="AM43" i="12"/>
  <c r="AL43" i="12"/>
  <c r="AM158" i="12"/>
  <c r="F173" i="5"/>
  <c r="AM162" i="12"/>
  <c r="AM50" i="12"/>
  <c r="F175" i="5"/>
  <c r="AM194" i="12"/>
  <c r="AA143" i="5"/>
  <c r="A23" i="5"/>
  <c r="B23" i="5" s="1"/>
  <c r="D24" i="5"/>
  <c r="AA183" i="5"/>
  <c r="AA174" i="5"/>
  <c r="AA189" i="5"/>
  <c r="AA187" i="5"/>
  <c r="AA195" i="5"/>
  <c r="AA191" i="5"/>
  <c r="AA179" i="5"/>
  <c r="AA164" i="5"/>
  <c r="AA160" i="5"/>
  <c r="AA156" i="5"/>
  <c r="I114" i="10"/>
  <c r="A115" i="10"/>
  <c r="J114" i="10"/>
  <c r="S114" i="10"/>
  <c r="Y114" i="10" s="1"/>
  <c r="AM192" i="12"/>
  <c r="S173" i="13"/>
  <c r="N173" i="5" s="1"/>
  <c r="S161" i="13"/>
  <c r="N161" i="5" s="1"/>
  <c r="E157" i="12"/>
  <c r="E150" i="13"/>
  <c r="AA150" i="13" s="1"/>
  <c r="AM193" i="12"/>
  <c r="AM164" i="12"/>
  <c r="AM159" i="12"/>
  <c r="AA180" i="5"/>
  <c r="AM96" i="12"/>
  <c r="AM30" i="12"/>
  <c r="AM77" i="12"/>
  <c r="AM176" i="12"/>
  <c r="AM113" i="12"/>
  <c r="AL130" i="12"/>
  <c r="AM130" i="12"/>
  <c r="AM149" i="12"/>
  <c r="AM47" i="12"/>
  <c r="S144" i="13"/>
  <c r="N144" i="5" s="1"/>
  <c r="AA144" i="13"/>
  <c r="AM95" i="12"/>
  <c r="AM62" i="12"/>
  <c r="AL118" i="12"/>
  <c r="AM118" i="12"/>
  <c r="AM138" i="12"/>
  <c r="AM32" i="12"/>
  <c r="AA188" i="5"/>
  <c r="AM186" i="12"/>
  <c r="AM155" i="12"/>
  <c r="AM35" i="12"/>
  <c r="Y173" i="10"/>
  <c r="Z173" i="10" s="1"/>
  <c r="R174" i="10"/>
  <c r="J174" i="10"/>
  <c r="S174" i="10"/>
  <c r="I174" i="10"/>
  <c r="Z69" i="10"/>
  <c r="AA69" i="10" s="1"/>
  <c r="AC69" i="10" s="1"/>
  <c r="Z68" i="10"/>
  <c r="AA68" i="10" s="1"/>
  <c r="AC68" i="10" s="1"/>
  <c r="Z172" i="10"/>
  <c r="AA172" i="10" s="1"/>
  <c r="H66" i="5"/>
  <c r="I66" i="5" s="1"/>
  <c r="Y144" i="10"/>
  <c r="C111" i="10"/>
  <c r="A146" i="10"/>
  <c r="A145" i="13"/>
  <c r="I145" i="10"/>
  <c r="S145" i="10"/>
  <c r="Y145" i="10" s="1"/>
  <c r="J145" i="10"/>
  <c r="N143" i="5"/>
  <c r="E24" i="9"/>
  <c r="A23" i="9"/>
  <c r="B23" i="9" s="1"/>
  <c r="A111" i="5"/>
  <c r="B111" i="5" s="1"/>
  <c r="D112" i="5"/>
  <c r="F270" i="13" l="1"/>
  <c r="F277" i="10"/>
  <c r="F277" i="13" s="1"/>
  <c r="F266" i="13"/>
  <c r="F273" i="10"/>
  <c r="F273" i="13" s="1"/>
  <c r="F269" i="13"/>
  <c r="F276" i="10"/>
  <c r="F276" i="13" s="1"/>
  <c r="D273" i="5"/>
  <c r="G272" i="12"/>
  <c r="E272" i="9"/>
  <c r="Y272" i="5"/>
  <c r="G271" i="12"/>
  <c r="E271" i="9"/>
  <c r="Y271" i="5"/>
  <c r="F265" i="13"/>
  <c r="F260" i="13"/>
  <c r="F267" i="10"/>
  <c r="F263" i="13"/>
  <c r="H65" i="5"/>
  <c r="I65" i="5" s="1"/>
  <c r="H44" i="5"/>
  <c r="I44" i="5" s="1"/>
  <c r="F254" i="13"/>
  <c r="F261" i="10"/>
  <c r="AC23" i="10"/>
  <c r="AC37" i="10"/>
  <c r="AC46" i="10"/>
  <c r="Z144" i="10"/>
  <c r="AA144" i="10" s="1"/>
  <c r="AC144" i="10" s="1"/>
  <c r="C23" i="13"/>
  <c r="H81" i="5"/>
  <c r="I81" i="5" s="1"/>
  <c r="AC36" i="10"/>
  <c r="H45" i="5"/>
  <c r="I45" i="5" s="1"/>
  <c r="H67" i="5"/>
  <c r="I67" i="5" s="1"/>
  <c r="H32" i="5"/>
  <c r="I32" i="5" s="1"/>
  <c r="G217" i="10"/>
  <c r="G216" i="13"/>
  <c r="D216" i="13" s="1"/>
  <c r="AC58" i="10"/>
  <c r="H21" i="5"/>
  <c r="I21" i="5" s="1"/>
  <c r="AC52" i="10"/>
  <c r="AC56" i="10"/>
  <c r="G24" i="13"/>
  <c r="AC60" i="10"/>
  <c r="AC75" i="10"/>
  <c r="H43" i="5"/>
  <c r="I43" i="5" s="1"/>
  <c r="H40" i="5"/>
  <c r="I40" i="5" s="1"/>
  <c r="AA173" i="10"/>
  <c r="H50" i="5"/>
  <c r="I50" i="5" s="1"/>
  <c r="H64" i="5"/>
  <c r="I64" i="5" s="1"/>
  <c r="AC59" i="10"/>
  <c r="H31" i="5"/>
  <c r="I31" i="5" s="1"/>
  <c r="AC71" i="10"/>
  <c r="AC29" i="10"/>
  <c r="C24" i="12"/>
  <c r="AC33" i="10"/>
  <c r="AC72" i="10"/>
  <c r="AC79" i="10"/>
  <c r="H80" i="5"/>
  <c r="I80" i="5" s="1"/>
  <c r="AC77" i="10"/>
  <c r="AC48" i="10"/>
  <c r="H143" i="5"/>
  <c r="AC143" i="10"/>
  <c r="H42" i="5"/>
  <c r="I42" i="5" s="1"/>
  <c r="H53" i="5"/>
  <c r="I53" i="5" s="1"/>
  <c r="AC20" i="10"/>
  <c r="AC74" i="10"/>
  <c r="AC28" i="10"/>
  <c r="AC70" i="10"/>
  <c r="D23" i="10"/>
  <c r="D23" i="12"/>
  <c r="H30" i="5"/>
  <c r="I30" i="5" s="1"/>
  <c r="F169" i="5"/>
  <c r="AA169" i="5" s="1"/>
  <c r="F171" i="5"/>
  <c r="F11" i="5" s="1"/>
  <c r="F170" i="5"/>
  <c r="AA170" i="5" s="1"/>
  <c r="F168" i="5"/>
  <c r="Z112" i="10"/>
  <c r="AA112" i="10" s="1"/>
  <c r="H112" i="5" s="1"/>
  <c r="I112" i="5" s="1"/>
  <c r="P113" i="10"/>
  <c r="AC39" i="10"/>
  <c r="H22" i="5"/>
  <c r="I22" i="5" s="1"/>
  <c r="AC55" i="10"/>
  <c r="AC35" i="10"/>
  <c r="H61" i="5"/>
  <c r="I61" i="5" s="1"/>
  <c r="F9" i="5"/>
  <c r="S162" i="13"/>
  <c r="N162" i="5" s="1"/>
  <c r="AC49" i="10"/>
  <c r="H27" i="5"/>
  <c r="I27" i="5" s="1"/>
  <c r="AC57" i="10"/>
  <c r="AC51" i="10"/>
  <c r="AC41" i="10"/>
  <c r="AC38" i="10"/>
  <c r="H54" i="5"/>
  <c r="I54" i="5" s="1"/>
  <c r="H198" i="5"/>
  <c r="H24" i="5"/>
  <c r="I24" i="5" s="1"/>
  <c r="AC47" i="10"/>
  <c r="Y113" i="10"/>
  <c r="H26" i="5"/>
  <c r="I26" i="5" s="1"/>
  <c r="AC62" i="10"/>
  <c r="H73" i="5"/>
  <c r="I73" i="5" s="1"/>
  <c r="P114" i="10"/>
  <c r="Z114" i="10" s="1"/>
  <c r="AA114" i="10" s="1"/>
  <c r="AC25" i="10"/>
  <c r="AC34" i="10"/>
  <c r="H82" i="5"/>
  <c r="I82" i="5" s="1"/>
  <c r="AC78" i="10"/>
  <c r="P83" i="10"/>
  <c r="Y83" i="10"/>
  <c r="G24" i="10"/>
  <c r="C23" i="10"/>
  <c r="A85" i="10"/>
  <c r="S84" i="10"/>
  <c r="J84" i="10"/>
  <c r="I84" i="10"/>
  <c r="R84" i="10"/>
  <c r="AC63" i="10"/>
  <c r="H68" i="5"/>
  <c r="I68" i="5" s="1"/>
  <c r="H76" i="5"/>
  <c r="I76" i="5" s="1"/>
  <c r="H172" i="5"/>
  <c r="H196" i="5"/>
  <c r="AA154" i="13"/>
  <c r="S156" i="13"/>
  <c r="N156" i="5" s="1"/>
  <c r="AA160" i="13"/>
  <c r="AA192" i="5"/>
  <c r="E170" i="12"/>
  <c r="E170" i="13" s="1"/>
  <c r="E163" i="13"/>
  <c r="AA175" i="5"/>
  <c r="S150" i="13"/>
  <c r="N150" i="5" s="1"/>
  <c r="AA194" i="5"/>
  <c r="AA173" i="5"/>
  <c r="AA200" i="5"/>
  <c r="AA178" i="5"/>
  <c r="A24" i="5"/>
  <c r="B24" i="5" s="1"/>
  <c r="D25" i="5"/>
  <c r="S115" i="10"/>
  <c r="A116" i="10"/>
  <c r="R115" i="10"/>
  <c r="J115" i="10"/>
  <c r="I115" i="10"/>
  <c r="AA174" i="13"/>
  <c r="S174" i="13"/>
  <c r="G26" i="12"/>
  <c r="C25" i="12"/>
  <c r="E164" i="12"/>
  <c r="E164" i="13" s="1"/>
  <c r="E157" i="13"/>
  <c r="S175" i="10"/>
  <c r="I175" i="10"/>
  <c r="J175" i="10"/>
  <c r="R175" i="10"/>
  <c r="P174" i="10"/>
  <c r="Y174" i="10"/>
  <c r="P145" i="10"/>
  <c r="Z145" i="10" s="1"/>
  <c r="AA145" i="10" s="1"/>
  <c r="AC145" i="10" s="1"/>
  <c r="H69" i="5"/>
  <c r="I69" i="5" s="1"/>
  <c r="J146" i="10"/>
  <c r="A146" i="13"/>
  <c r="R146" i="10"/>
  <c r="A147" i="10"/>
  <c r="S146" i="10"/>
  <c r="I146" i="10"/>
  <c r="E25" i="9"/>
  <c r="A24" i="9"/>
  <c r="B24" i="9" s="1"/>
  <c r="A112" i="5"/>
  <c r="B112" i="5" s="1"/>
  <c r="D113" i="5"/>
  <c r="Y112" i="5"/>
  <c r="F267" i="13" l="1"/>
  <c r="F274" i="10"/>
  <c r="F274" i="13" s="1"/>
  <c r="E273" i="9"/>
  <c r="G273" i="12"/>
  <c r="Y273" i="5"/>
  <c r="D274" i="5"/>
  <c r="Y274" i="5" s="1"/>
  <c r="F261" i="13"/>
  <c r="F268" i="10"/>
  <c r="H144" i="5"/>
  <c r="I144" i="5" s="1"/>
  <c r="C24" i="13"/>
  <c r="G218" i="10"/>
  <c r="G217" i="13"/>
  <c r="D217" i="13" s="1"/>
  <c r="G25" i="13"/>
  <c r="G26" i="13" s="1"/>
  <c r="G27" i="13" s="1"/>
  <c r="D24" i="13"/>
  <c r="H173" i="5"/>
  <c r="I143" i="5"/>
  <c r="AC112" i="10"/>
  <c r="D24" i="12"/>
  <c r="D24" i="10"/>
  <c r="AA168" i="5"/>
  <c r="AA171" i="5"/>
  <c r="F10" i="5"/>
  <c r="N174" i="5"/>
  <c r="Z113" i="10"/>
  <c r="AA113" i="10" s="1"/>
  <c r="AC113" i="10" s="1"/>
  <c r="Z83" i="10"/>
  <c r="AA83" i="10" s="1"/>
  <c r="AC83" i="10" s="1"/>
  <c r="Y115" i="10"/>
  <c r="Y84" i="10"/>
  <c r="P84" i="10"/>
  <c r="P175" i="10"/>
  <c r="A86" i="10"/>
  <c r="R85" i="10"/>
  <c r="J85" i="10"/>
  <c r="I85" i="10"/>
  <c r="S85" i="10"/>
  <c r="G25" i="10"/>
  <c r="C24" i="10"/>
  <c r="I7" i="5"/>
  <c r="H7" i="5"/>
  <c r="S163" i="13"/>
  <c r="N163" i="5" s="1"/>
  <c r="AA163" i="13"/>
  <c r="S170" i="13"/>
  <c r="AA170" i="13"/>
  <c r="A25" i="5"/>
  <c r="B25" i="5" s="1"/>
  <c r="D26" i="5"/>
  <c r="AC114" i="10"/>
  <c r="H114" i="5"/>
  <c r="I114" i="5" s="1"/>
  <c r="J116" i="10"/>
  <c r="R116" i="10"/>
  <c r="S116" i="10"/>
  <c r="I116" i="10"/>
  <c r="A117" i="10"/>
  <c r="P115" i="10"/>
  <c r="AA175" i="13"/>
  <c r="S175" i="13"/>
  <c r="N175" i="5" s="1"/>
  <c r="G27" i="12"/>
  <c r="C26" i="12"/>
  <c r="S157" i="13"/>
  <c r="AA157" i="13"/>
  <c r="AA164" i="13"/>
  <c r="S164" i="13"/>
  <c r="N164" i="5" s="1"/>
  <c r="Y175" i="10"/>
  <c r="S176" i="10"/>
  <c r="I176" i="10"/>
  <c r="R176" i="10"/>
  <c r="J176" i="10"/>
  <c r="Z174" i="10"/>
  <c r="AA174" i="10" s="1"/>
  <c r="H174" i="5" s="1"/>
  <c r="H145" i="5"/>
  <c r="I145" i="5" s="1"/>
  <c r="P146" i="10"/>
  <c r="I147" i="10"/>
  <c r="S147" i="10"/>
  <c r="A147" i="13"/>
  <c r="A148" i="10"/>
  <c r="R147" i="10"/>
  <c r="J147" i="10"/>
  <c r="Y146" i="10"/>
  <c r="E26" i="9"/>
  <c r="A25" i="9"/>
  <c r="B25" i="9" s="1"/>
  <c r="A113" i="5"/>
  <c r="B113" i="5" s="1"/>
  <c r="D114" i="5"/>
  <c r="Y113" i="5"/>
  <c r="F268" i="13" l="1"/>
  <c r="F275" i="10"/>
  <c r="F275" i="13" s="1"/>
  <c r="G274" i="12"/>
  <c r="E274" i="9"/>
  <c r="D275" i="5"/>
  <c r="Y275" i="5" s="1"/>
  <c r="D26" i="13"/>
  <c r="C26" i="13"/>
  <c r="G219" i="10"/>
  <c r="G218" i="13"/>
  <c r="D218" i="13" s="1"/>
  <c r="D25" i="13"/>
  <c r="C25" i="13"/>
  <c r="H113" i="5"/>
  <c r="I113" i="5" s="1"/>
  <c r="D25" i="12"/>
  <c r="D25" i="10"/>
  <c r="N170" i="5"/>
  <c r="Z115" i="10"/>
  <c r="AA115" i="10" s="1"/>
  <c r="H115" i="5" s="1"/>
  <c r="I115" i="5" s="1"/>
  <c r="Z84" i="10"/>
  <c r="AA84" i="10" s="1"/>
  <c r="AC84" i="10" s="1"/>
  <c r="H83" i="5"/>
  <c r="I83" i="5" s="1"/>
  <c r="P85" i="10"/>
  <c r="Y85" i="10"/>
  <c r="C25" i="10"/>
  <c r="G26" i="10"/>
  <c r="A87" i="10"/>
  <c r="R86" i="10"/>
  <c r="I86" i="10"/>
  <c r="J86" i="10"/>
  <c r="S86" i="10"/>
  <c r="A26" i="5"/>
  <c r="B26" i="5" s="1"/>
  <c r="D27" i="5"/>
  <c r="J117" i="10"/>
  <c r="R117" i="10"/>
  <c r="I117" i="10"/>
  <c r="S117" i="10"/>
  <c r="A118" i="10"/>
  <c r="P116" i="10"/>
  <c r="Y116" i="10"/>
  <c r="D27" i="13"/>
  <c r="C27" i="13"/>
  <c r="G28" i="13"/>
  <c r="AA176" i="13"/>
  <c r="S176" i="13"/>
  <c r="N176" i="5" s="1"/>
  <c r="N157" i="5"/>
  <c r="G28" i="12"/>
  <c r="C27" i="12"/>
  <c r="P176" i="10"/>
  <c r="Z175" i="10"/>
  <c r="AA175" i="10" s="1"/>
  <c r="H175" i="5" s="1"/>
  <c r="S177" i="10"/>
  <c r="R177" i="10"/>
  <c r="I177" i="10"/>
  <c r="J177" i="10"/>
  <c r="Y176" i="10"/>
  <c r="Y147" i="10"/>
  <c r="Z146" i="10"/>
  <c r="AA146" i="10" s="1"/>
  <c r="H146" i="5" s="1"/>
  <c r="I146" i="5" s="1"/>
  <c r="P147" i="10"/>
  <c r="A148" i="13"/>
  <c r="S148" i="10"/>
  <c r="A149" i="10"/>
  <c r="I148" i="10"/>
  <c r="J148" i="10"/>
  <c r="R148" i="10"/>
  <c r="E27" i="9"/>
  <c r="A26" i="9"/>
  <c r="B26" i="9" s="1"/>
  <c r="D115" i="5"/>
  <c r="A114" i="5"/>
  <c r="B114" i="5" s="1"/>
  <c r="Y114" i="5"/>
  <c r="E275" i="9" l="1"/>
  <c r="G275" i="12"/>
  <c r="D276" i="5"/>
  <c r="Y276" i="5" s="1"/>
  <c r="G220" i="10"/>
  <c r="G219" i="13"/>
  <c r="D219" i="13" s="1"/>
  <c r="D26" i="12"/>
  <c r="D26" i="10"/>
  <c r="AC115" i="10"/>
  <c r="H84" i="5"/>
  <c r="I84" i="5" s="1"/>
  <c r="Z85" i="10"/>
  <c r="AA85" i="10" s="1"/>
  <c r="H85" i="5" s="1"/>
  <c r="I85" i="5" s="1"/>
  <c r="Y117" i="10"/>
  <c r="P86" i="10"/>
  <c r="Y86" i="10"/>
  <c r="A88" i="10"/>
  <c r="S87" i="10"/>
  <c r="J87" i="10"/>
  <c r="R87" i="10"/>
  <c r="I87" i="10"/>
  <c r="G27" i="10"/>
  <c r="C26" i="10"/>
  <c r="Z116" i="10"/>
  <c r="AA116" i="10" s="1"/>
  <c r="H116" i="5" s="1"/>
  <c r="I116" i="5" s="1"/>
  <c r="Z147" i="10"/>
  <c r="AA147" i="10" s="1"/>
  <c r="AC147" i="10" s="1"/>
  <c r="D28" i="5"/>
  <c r="A27" i="5"/>
  <c r="B27" i="5" s="1"/>
  <c r="G29" i="13"/>
  <c r="D28" i="13"/>
  <c r="C28" i="13"/>
  <c r="I118" i="10"/>
  <c r="R118" i="10"/>
  <c r="A119" i="10"/>
  <c r="S118" i="10"/>
  <c r="J118" i="10"/>
  <c r="P117" i="10"/>
  <c r="S177" i="13"/>
  <c r="N177" i="5" s="1"/>
  <c r="AA177" i="13"/>
  <c r="C28" i="12"/>
  <c r="G29" i="12"/>
  <c r="Z176" i="10"/>
  <c r="AA176" i="10" s="1"/>
  <c r="H176" i="5" s="1"/>
  <c r="P177" i="10"/>
  <c r="J178" i="10"/>
  <c r="S178" i="10"/>
  <c r="I178" i="10"/>
  <c r="R178" i="10"/>
  <c r="Y177" i="10"/>
  <c r="AC146" i="10"/>
  <c r="P148" i="10"/>
  <c r="J149" i="10"/>
  <c r="A149" i="13"/>
  <c r="A150" i="10"/>
  <c r="S149" i="10"/>
  <c r="I149" i="10"/>
  <c r="R149" i="10"/>
  <c r="Y148" i="10"/>
  <c r="A27" i="9"/>
  <c r="B27" i="9" s="1"/>
  <c r="E28" i="9"/>
  <c r="A115" i="5"/>
  <c r="B115" i="5" s="1"/>
  <c r="Y115" i="5"/>
  <c r="D116" i="5"/>
  <c r="E276" i="9" l="1"/>
  <c r="G276" i="12"/>
  <c r="D277" i="5"/>
  <c r="G221" i="10"/>
  <c r="G222" i="10" s="1"/>
  <c r="G220" i="13"/>
  <c r="D220" i="13" s="1"/>
  <c r="P178" i="10"/>
  <c r="AC85" i="10"/>
  <c r="D27" i="12"/>
  <c r="D27" i="10"/>
  <c r="Z117" i="10"/>
  <c r="AA117" i="10" s="1"/>
  <c r="H117" i="5" s="1"/>
  <c r="I117" i="5" s="1"/>
  <c r="Z86" i="10"/>
  <c r="AA86" i="10" s="1"/>
  <c r="H86" i="5" s="1"/>
  <c r="I86" i="5" s="1"/>
  <c r="P118" i="10"/>
  <c r="S88" i="10"/>
  <c r="R88" i="10"/>
  <c r="J88" i="10"/>
  <c r="A89" i="10"/>
  <c r="I88" i="10"/>
  <c r="G28" i="10"/>
  <c r="C27" i="10"/>
  <c r="P87" i="10"/>
  <c r="Y118" i="10"/>
  <c r="Y87" i="10"/>
  <c r="AC116" i="10"/>
  <c r="H147" i="5"/>
  <c r="I147" i="5" s="1"/>
  <c r="Z148" i="10"/>
  <c r="AA148" i="10" s="1"/>
  <c r="H148" i="5" s="1"/>
  <c r="I148" i="5" s="1"/>
  <c r="D29" i="5"/>
  <c r="A28" i="5"/>
  <c r="B28" i="5" s="1"/>
  <c r="S119" i="10"/>
  <c r="J119" i="10"/>
  <c r="A120" i="10"/>
  <c r="I119" i="10"/>
  <c r="R119" i="10"/>
  <c r="C29" i="13"/>
  <c r="G30" i="13"/>
  <c r="D29" i="13"/>
  <c r="AA178" i="13"/>
  <c r="S178" i="13"/>
  <c r="N178" i="5" s="1"/>
  <c r="C29" i="12"/>
  <c r="G30" i="12"/>
  <c r="Z177" i="10"/>
  <c r="AA177" i="10" s="1"/>
  <c r="H177" i="5" s="1"/>
  <c r="Y178" i="10"/>
  <c r="R179" i="10"/>
  <c r="S179" i="10"/>
  <c r="I179" i="10"/>
  <c r="J179" i="10"/>
  <c r="Y149" i="10"/>
  <c r="P149" i="10"/>
  <c r="A150" i="13"/>
  <c r="S150" i="10"/>
  <c r="R150" i="10"/>
  <c r="A151" i="10"/>
  <c r="I150" i="10"/>
  <c r="J150" i="10"/>
  <c r="E29" i="9"/>
  <c r="A28" i="9"/>
  <c r="B28" i="9" s="1"/>
  <c r="Y116" i="5"/>
  <c r="D117" i="5"/>
  <c r="A116" i="5"/>
  <c r="B116" i="5" s="1"/>
  <c r="Y277" i="5" l="1"/>
  <c r="D278" i="5"/>
  <c r="E277" i="9"/>
  <c r="G277" i="12"/>
  <c r="G222" i="13"/>
  <c r="D222" i="13" s="1"/>
  <c r="G223" i="10"/>
  <c r="G221" i="13"/>
  <c r="D221" i="13" s="1"/>
  <c r="Z178" i="10"/>
  <c r="AA178" i="10" s="1"/>
  <c r="H178" i="5" s="1"/>
  <c r="D28" i="12"/>
  <c r="D28" i="10"/>
  <c r="AC117" i="10"/>
  <c r="Y119" i="10"/>
  <c r="Y88" i="10"/>
  <c r="Z118" i="10"/>
  <c r="AA118" i="10" s="1"/>
  <c r="H118" i="5" s="1"/>
  <c r="I118" i="5" s="1"/>
  <c r="AC86" i="10"/>
  <c r="AC148" i="10"/>
  <c r="Z87" i="10"/>
  <c r="AA87" i="10" s="1"/>
  <c r="P179" i="10"/>
  <c r="C28" i="10"/>
  <c r="G29" i="10"/>
  <c r="P88" i="10"/>
  <c r="I89" i="10"/>
  <c r="R89" i="10"/>
  <c r="S89" i="10"/>
  <c r="A90" i="10"/>
  <c r="J89" i="10"/>
  <c r="D30" i="5"/>
  <c r="A29" i="5"/>
  <c r="B29" i="5" s="1"/>
  <c r="P119" i="10"/>
  <c r="R120" i="10"/>
  <c r="I120" i="10"/>
  <c r="S120" i="10"/>
  <c r="J120" i="10"/>
  <c r="A121" i="10"/>
  <c r="D30" i="13"/>
  <c r="G31" i="13"/>
  <c r="C30" i="13"/>
  <c r="AA179" i="13"/>
  <c r="S179" i="13"/>
  <c r="N179" i="5" s="1"/>
  <c r="G31" i="12"/>
  <c r="C30" i="12"/>
  <c r="S180" i="10"/>
  <c r="I180" i="10"/>
  <c r="J180" i="10"/>
  <c r="R180" i="10"/>
  <c r="Y179" i="10"/>
  <c r="Z149" i="10"/>
  <c r="AA149" i="10" s="1"/>
  <c r="AC149" i="10" s="1"/>
  <c r="P150" i="10"/>
  <c r="J151" i="10"/>
  <c r="I151" i="10"/>
  <c r="S151" i="10"/>
  <c r="A151" i="13"/>
  <c r="A152" i="10"/>
  <c r="R151" i="10"/>
  <c r="Y150" i="10"/>
  <c r="E30" i="9"/>
  <c r="A29" i="9"/>
  <c r="B29" i="9" s="1"/>
  <c r="Y117" i="5"/>
  <c r="A117" i="5"/>
  <c r="B117" i="5" s="1"/>
  <c r="D118" i="5"/>
  <c r="D279" i="5" l="1"/>
  <c r="Y278" i="5"/>
  <c r="G278" i="12"/>
  <c r="E278" i="9"/>
  <c r="G224" i="10"/>
  <c r="G223" i="13"/>
  <c r="D223" i="13" s="1"/>
  <c r="Z88" i="10"/>
  <c r="AA88" i="10" s="1"/>
  <c r="H88" i="5" s="1"/>
  <c r="I88" i="5" s="1"/>
  <c r="D29" i="12"/>
  <c r="D29" i="10"/>
  <c r="AC118" i="10"/>
  <c r="Z119" i="10"/>
  <c r="AA119" i="10" s="1"/>
  <c r="H119" i="5" s="1"/>
  <c r="I119" i="5" s="1"/>
  <c r="P89" i="10"/>
  <c r="P151" i="10"/>
  <c r="A91" i="10"/>
  <c r="J90" i="10"/>
  <c r="R90" i="10"/>
  <c r="I90" i="10"/>
  <c r="S90" i="10"/>
  <c r="AC87" i="10"/>
  <c r="H87" i="5"/>
  <c r="I87" i="5" s="1"/>
  <c r="Y89" i="10"/>
  <c r="Z179" i="10"/>
  <c r="AA179" i="10" s="1"/>
  <c r="H179" i="5" s="1"/>
  <c r="C29" i="10"/>
  <c r="G30" i="10"/>
  <c r="H149" i="5"/>
  <c r="I149" i="5" s="1"/>
  <c r="D31" i="5"/>
  <c r="A30" i="5"/>
  <c r="B30" i="5" s="1"/>
  <c r="D31" i="13"/>
  <c r="G32" i="13"/>
  <c r="C31" i="13"/>
  <c r="S121" i="10"/>
  <c r="I121" i="10"/>
  <c r="R121" i="10"/>
  <c r="J121" i="10"/>
  <c r="A122" i="10"/>
  <c r="P120" i="10"/>
  <c r="Y120" i="10"/>
  <c r="AA180" i="13"/>
  <c r="S180" i="13"/>
  <c r="N180" i="5" s="1"/>
  <c r="G32" i="12"/>
  <c r="C31" i="12"/>
  <c r="R181" i="10"/>
  <c r="I181" i="10"/>
  <c r="S181" i="10"/>
  <c r="J181" i="10"/>
  <c r="Y180" i="10"/>
  <c r="P180" i="10"/>
  <c r="Z150" i="10"/>
  <c r="AA150" i="10" s="1"/>
  <c r="Y151" i="10"/>
  <c r="A153" i="10"/>
  <c r="A152" i="13"/>
  <c r="R152" i="10"/>
  <c r="J152" i="10"/>
  <c r="I152" i="10"/>
  <c r="S152" i="10"/>
  <c r="E31" i="9"/>
  <c r="A30" i="9"/>
  <c r="B30" i="9" s="1"/>
  <c r="Y118" i="5"/>
  <c r="A118" i="5"/>
  <c r="B118" i="5" s="1"/>
  <c r="D119" i="5"/>
  <c r="Y279" i="5" l="1"/>
  <c r="G279" i="12"/>
  <c r="D280" i="5"/>
  <c r="E279" i="9"/>
  <c r="G225" i="10"/>
  <c r="G224" i="13"/>
  <c r="D224" i="13" s="1"/>
  <c r="AC88" i="10"/>
  <c r="D30" i="10"/>
  <c r="D30" i="12"/>
  <c r="AC119" i="10"/>
  <c r="P152" i="10"/>
  <c r="Z89" i="10"/>
  <c r="AA89" i="10" s="1"/>
  <c r="AC89" i="10" s="1"/>
  <c r="Z151" i="10"/>
  <c r="AA151" i="10" s="1"/>
  <c r="AC151" i="10" s="1"/>
  <c r="Y90" i="10"/>
  <c r="Y121" i="10"/>
  <c r="A92" i="10"/>
  <c r="I91" i="10"/>
  <c r="S91" i="10"/>
  <c r="R91" i="10"/>
  <c r="J91" i="10"/>
  <c r="G31" i="10"/>
  <c r="C30" i="10"/>
  <c r="P90" i="10"/>
  <c r="A31" i="5"/>
  <c r="B31" i="5" s="1"/>
  <c r="D32" i="5"/>
  <c r="Z120" i="10"/>
  <c r="AA120" i="10" s="1"/>
  <c r="S122" i="10"/>
  <c r="A123" i="10"/>
  <c r="R122" i="10"/>
  <c r="J122" i="10"/>
  <c r="I122" i="10"/>
  <c r="D32" i="13"/>
  <c r="C32" i="13"/>
  <c r="G33" i="13"/>
  <c r="P121" i="10"/>
  <c r="AA181" i="13"/>
  <c r="S181" i="13"/>
  <c r="N181" i="5" s="1"/>
  <c r="C32" i="12"/>
  <c r="G33" i="12"/>
  <c r="P181" i="10"/>
  <c r="Y181" i="10"/>
  <c r="S182" i="10"/>
  <c r="I182" i="10"/>
  <c r="J182" i="10"/>
  <c r="R182" i="10"/>
  <c r="Z180" i="10"/>
  <c r="AA180" i="10" s="1"/>
  <c r="H180" i="5" s="1"/>
  <c r="Y152" i="10"/>
  <c r="AC150" i="10"/>
  <c r="H150" i="5"/>
  <c r="I150" i="5" s="1"/>
  <c r="A154" i="10"/>
  <c r="I153" i="10"/>
  <c r="S153" i="10"/>
  <c r="A153" i="13"/>
  <c r="J153" i="10"/>
  <c r="R153" i="10"/>
  <c r="E32" i="9"/>
  <c r="A31" i="9"/>
  <c r="B31" i="9" s="1"/>
  <c r="D120" i="5"/>
  <c r="A119" i="5"/>
  <c r="B119" i="5" s="1"/>
  <c r="Y119" i="5"/>
  <c r="Y280" i="5" l="1"/>
  <c r="G280" i="12"/>
  <c r="D281" i="5"/>
  <c r="E280" i="9"/>
  <c r="G226" i="10"/>
  <c r="G227" i="10" s="1"/>
  <c r="G225" i="13"/>
  <c r="D225" i="13" s="1"/>
  <c r="D31" i="10"/>
  <c r="D31" i="12"/>
  <c r="H151" i="5"/>
  <c r="I151" i="5" s="1"/>
  <c r="P122" i="10"/>
  <c r="Z121" i="10"/>
  <c r="AA121" i="10" s="1"/>
  <c r="H121" i="5" s="1"/>
  <c r="I121" i="5" s="1"/>
  <c r="H89" i="5"/>
  <c r="I89" i="5" s="1"/>
  <c r="Z152" i="10"/>
  <c r="AA152" i="10" s="1"/>
  <c r="AC152" i="10" s="1"/>
  <c r="Y91" i="10"/>
  <c r="Z90" i="10"/>
  <c r="AA90" i="10" s="1"/>
  <c r="AC90" i="10" s="1"/>
  <c r="P153" i="10"/>
  <c r="R92" i="10"/>
  <c r="I92" i="10"/>
  <c r="J92" i="10"/>
  <c r="A93" i="10"/>
  <c r="S92" i="10"/>
  <c r="G32" i="10"/>
  <c r="C31" i="10"/>
  <c r="P91" i="10"/>
  <c r="D33" i="5"/>
  <c r="A32" i="5"/>
  <c r="B32" i="5" s="1"/>
  <c r="D33" i="13"/>
  <c r="C33" i="13"/>
  <c r="G34" i="13"/>
  <c r="AC120" i="10"/>
  <c r="H120" i="5"/>
  <c r="I120" i="5" s="1"/>
  <c r="Y122" i="10"/>
  <c r="S123" i="10"/>
  <c r="R123" i="10"/>
  <c r="J123" i="10"/>
  <c r="A124" i="10"/>
  <c r="I123" i="10"/>
  <c r="AA182" i="13"/>
  <c r="S182" i="13"/>
  <c r="N182" i="5" s="1"/>
  <c r="G34" i="12"/>
  <c r="C33" i="12"/>
  <c r="Z181" i="10"/>
  <c r="AA181" i="10" s="1"/>
  <c r="H181" i="5" s="1"/>
  <c r="P182" i="10"/>
  <c r="Y182" i="10"/>
  <c r="R183" i="10"/>
  <c r="S183" i="10"/>
  <c r="I183" i="10"/>
  <c r="J183" i="10"/>
  <c r="A154" i="13"/>
  <c r="A155" i="10"/>
  <c r="S154" i="10"/>
  <c r="I154" i="10"/>
  <c r="R154" i="10"/>
  <c r="J154" i="10"/>
  <c r="Y153" i="10"/>
  <c r="A32" i="9"/>
  <c r="B32" i="9" s="1"/>
  <c r="E33" i="9"/>
  <c r="A120" i="5"/>
  <c r="B120" i="5" s="1"/>
  <c r="Y120" i="5"/>
  <c r="D121" i="5"/>
  <c r="Y281" i="5" l="1"/>
  <c r="G281" i="12"/>
  <c r="E281" i="9"/>
  <c r="D282" i="5"/>
  <c r="G228" i="10"/>
  <c r="G227" i="13"/>
  <c r="D227" i="13" s="1"/>
  <c r="G226" i="13"/>
  <c r="D226" i="13" s="1"/>
  <c r="H152" i="5"/>
  <c r="I152" i="5" s="1"/>
  <c r="D32" i="12"/>
  <c r="D32" i="10"/>
  <c r="Z153" i="10"/>
  <c r="AA153" i="10" s="1"/>
  <c r="AC153" i="10" s="1"/>
  <c r="Z122" i="10"/>
  <c r="AA122" i="10" s="1"/>
  <c r="AC122" i="10" s="1"/>
  <c r="AC121" i="10"/>
  <c r="Z91" i="10"/>
  <c r="AA91" i="10" s="1"/>
  <c r="AC91" i="10" s="1"/>
  <c r="H90" i="5"/>
  <c r="I90" i="5" s="1"/>
  <c r="Y123" i="10"/>
  <c r="Y92" i="10"/>
  <c r="G33" i="10"/>
  <c r="C32" i="10"/>
  <c r="S93" i="10"/>
  <c r="J93" i="10"/>
  <c r="I93" i="10"/>
  <c r="R93" i="10"/>
  <c r="A94" i="10"/>
  <c r="P92" i="10"/>
  <c r="A33" i="5"/>
  <c r="B33" i="5" s="1"/>
  <c r="D34" i="5"/>
  <c r="P123" i="10"/>
  <c r="I124" i="10"/>
  <c r="A125" i="10"/>
  <c r="S124" i="10"/>
  <c r="R124" i="10"/>
  <c r="J124" i="10"/>
  <c r="D34" i="13"/>
  <c r="G35" i="13"/>
  <c r="C34" i="13"/>
  <c r="AA183" i="13"/>
  <c r="S183" i="13"/>
  <c r="N183" i="5" s="1"/>
  <c r="C34" i="12"/>
  <c r="G35" i="12"/>
  <c r="Z182" i="10"/>
  <c r="AA182" i="10" s="1"/>
  <c r="H182" i="5" s="1"/>
  <c r="P183" i="10"/>
  <c r="Y183" i="10"/>
  <c r="I184" i="10"/>
  <c r="S184" i="10"/>
  <c r="R184" i="10"/>
  <c r="J184" i="10"/>
  <c r="Y154" i="10"/>
  <c r="P154" i="10"/>
  <c r="A156" i="10"/>
  <c r="S155" i="10"/>
  <c r="I155" i="10"/>
  <c r="A155" i="13"/>
  <c r="J155" i="10"/>
  <c r="R155" i="10"/>
  <c r="A33" i="9"/>
  <c r="B33" i="9" s="1"/>
  <c r="E34" i="9"/>
  <c r="A121" i="5"/>
  <c r="B121" i="5" s="1"/>
  <c r="Y121" i="5"/>
  <c r="D122" i="5"/>
  <c r="Y282" i="5" l="1"/>
  <c r="G282" i="12"/>
  <c r="D283" i="5"/>
  <c r="E282" i="9"/>
  <c r="G229" i="10"/>
  <c r="G228" i="13"/>
  <c r="D228" i="13" s="1"/>
  <c r="H153" i="5"/>
  <c r="I153" i="5" s="1"/>
  <c r="D33" i="12"/>
  <c r="D33" i="10"/>
  <c r="H122" i="5"/>
  <c r="I122" i="5" s="1"/>
  <c r="Z123" i="10"/>
  <c r="AA123" i="10" s="1"/>
  <c r="AC123" i="10" s="1"/>
  <c r="Y124" i="10"/>
  <c r="Z92" i="10"/>
  <c r="AA92" i="10" s="1"/>
  <c r="AC92" i="10" s="1"/>
  <c r="H91" i="5"/>
  <c r="I91" i="5" s="1"/>
  <c r="Y155" i="10"/>
  <c r="A95" i="10"/>
  <c r="J94" i="10"/>
  <c r="R94" i="10"/>
  <c r="S94" i="10"/>
  <c r="I94" i="10"/>
  <c r="Y93" i="10"/>
  <c r="P93" i="10"/>
  <c r="C33" i="10"/>
  <c r="G34" i="10"/>
  <c r="Z154" i="10"/>
  <c r="AA154" i="10" s="1"/>
  <c r="H154" i="5" s="1"/>
  <c r="I154" i="5" s="1"/>
  <c r="D35" i="5"/>
  <c r="A34" i="5"/>
  <c r="B34" i="5" s="1"/>
  <c r="P124" i="10"/>
  <c r="A126" i="10"/>
  <c r="I125" i="10"/>
  <c r="S125" i="10"/>
  <c r="J125" i="10"/>
  <c r="R125" i="10"/>
  <c r="G36" i="13"/>
  <c r="D35" i="13"/>
  <c r="C35" i="13"/>
  <c r="AA184" i="13"/>
  <c r="S184" i="13"/>
  <c r="N184" i="5" s="1"/>
  <c r="C35" i="12"/>
  <c r="G36" i="12"/>
  <c r="I185" i="10"/>
  <c r="J185" i="10"/>
  <c r="R185" i="10"/>
  <c r="S185" i="10"/>
  <c r="Y184" i="10"/>
  <c r="Z183" i="10"/>
  <c r="AA183" i="10" s="1"/>
  <c r="H183" i="5" s="1"/>
  <c r="P184" i="10"/>
  <c r="P155" i="10"/>
  <c r="R156" i="10"/>
  <c r="J156" i="10"/>
  <c r="A157" i="10"/>
  <c r="A156" i="13"/>
  <c r="S156" i="10"/>
  <c r="I156" i="10"/>
  <c r="A34" i="9"/>
  <c r="B34" i="9" s="1"/>
  <c r="E35" i="9"/>
  <c r="D123" i="5"/>
  <c r="A122" i="5"/>
  <c r="B122" i="5" s="1"/>
  <c r="Y122" i="5"/>
  <c r="Y283" i="5" l="1"/>
  <c r="G283" i="12"/>
  <c r="D284" i="5"/>
  <c r="E283" i="9"/>
  <c r="G230" i="10"/>
  <c r="G231" i="10" s="1"/>
  <c r="G229" i="13"/>
  <c r="D229" i="13" s="1"/>
  <c r="H123" i="5"/>
  <c r="I123" i="5" s="1"/>
  <c r="D34" i="12"/>
  <c r="D34" i="10"/>
  <c r="Z155" i="10"/>
  <c r="AA155" i="10" s="1"/>
  <c r="AC155" i="10" s="1"/>
  <c r="Z124" i="10"/>
  <c r="AA124" i="10" s="1"/>
  <c r="AC124" i="10" s="1"/>
  <c r="Z93" i="10"/>
  <c r="AA93" i="10" s="1"/>
  <c r="AC93" i="10" s="1"/>
  <c r="H92" i="5"/>
  <c r="I92" i="5" s="1"/>
  <c r="Y94" i="10"/>
  <c r="I95" i="10"/>
  <c r="S95" i="10"/>
  <c r="R95" i="10"/>
  <c r="A96" i="10"/>
  <c r="J95" i="10"/>
  <c r="P94" i="10"/>
  <c r="G35" i="10"/>
  <c r="C34" i="10"/>
  <c r="AC154" i="10"/>
  <c r="A35" i="5"/>
  <c r="B35" i="5" s="1"/>
  <c r="D36" i="5"/>
  <c r="Y125" i="10"/>
  <c r="P125" i="10"/>
  <c r="J126" i="10"/>
  <c r="I126" i="10"/>
  <c r="A127" i="10"/>
  <c r="S126" i="10"/>
  <c r="R126" i="10"/>
  <c r="C36" i="13"/>
  <c r="D36" i="13"/>
  <c r="G37" i="13"/>
  <c r="AA185" i="13"/>
  <c r="S185" i="13"/>
  <c r="N185" i="5" s="1"/>
  <c r="G37" i="12"/>
  <c r="C36" i="12"/>
  <c r="P185" i="10"/>
  <c r="Y185" i="10"/>
  <c r="R186" i="10"/>
  <c r="I186" i="10"/>
  <c r="S186" i="10"/>
  <c r="J186" i="10"/>
  <c r="Z184" i="10"/>
  <c r="AA184" i="10" s="1"/>
  <c r="H184" i="5" s="1"/>
  <c r="Y156" i="10"/>
  <c r="P156" i="10"/>
  <c r="A158" i="10"/>
  <c r="A157" i="13"/>
  <c r="I157" i="10"/>
  <c r="J157" i="10"/>
  <c r="S157" i="10"/>
  <c r="R157" i="10"/>
  <c r="A35" i="9"/>
  <c r="B35" i="9" s="1"/>
  <c r="E36" i="9"/>
  <c r="A123" i="5"/>
  <c r="B123" i="5" s="1"/>
  <c r="D124" i="5"/>
  <c r="Y123" i="5"/>
  <c r="E284" i="9" l="1"/>
  <c r="Y284" i="5"/>
  <c r="G284" i="12"/>
  <c r="G232" i="10"/>
  <c r="G231" i="13"/>
  <c r="D231" i="13" s="1"/>
  <c r="G230" i="13"/>
  <c r="D230" i="13" s="1"/>
  <c r="H93" i="5"/>
  <c r="I93" i="5" s="1"/>
  <c r="Z94" i="10"/>
  <c r="AA94" i="10" s="1"/>
  <c r="AC94" i="10" s="1"/>
  <c r="D35" i="10"/>
  <c r="D35" i="12"/>
  <c r="H155" i="5"/>
  <c r="I155" i="5" s="1"/>
  <c r="H124" i="5"/>
  <c r="I124" i="5" s="1"/>
  <c r="Y126" i="10"/>
  <c r="P126" i="10"/>
  <c r="Y95" i="10"/>
  <c r="Y157" i="10"/>
  <c r="P95" i="10"/>
  <c r="C35" i="10"/>
  <c r="G36" i="10"/>
  <c r="R96" i="10"/>
  <c r="A97" i="10"/>
  <c r="J96" i="10"/>
  <c r="S96" i="10"/>
  <c r="I96" i="10"/>
  <c r="Z156" i="10"/>
  <c r="AA156" i="10" s="1"/>
  <c r="H156" i="5" s="1"/>
  <c r="I156" i="5" s="1"/>
  <c r="Z125" i="10"/>
  <c r="AA125" i="10" s="1"/>
  <c r="H125" i="5" s="1"/>
  <c r="I125" i="5" s="1"/>
  <c r="D37" i="5"/>
  <c r="A36" i="5"/>
  <c r="B36" i="5" s="1"/>
  <c r="R127" i="10"/>
  <c r="J127" i="10"/>
  <c r="S127" i="10"/>
  <c r="A128" i="10"/>
  <c r="I127" i="10"/>
  <c r="D37" i="13"/>
  <c r="G38" i="13"/>
  <c r="C37" i="13"/>
  <c r="AA186" i="13"/>
  <c r="S186" i="13"/>
  <c r="N186" i="5" s="1"/>
  <c r="G38" i="12"/>
  <c r="C37" i="12"/>
  <c r="P186" i="10"/>
  <c r="I187" i="10"/>
  <c r="R187" i="10"/>
  <c r="J187" i="10"/>
  <c r="S187" i="10"/>
  <c r="Z185" i="10"/>
  <c r="AA185" i="10" s="1"/>
  <c r="H185" i="5" s="1"/>
  <c r="Y186" i="10"/>
  <c r="P157" i="10"/>
  <c r="A158" i="13"/>
  <c r="I158" i="10"/>
  <c r="J158" i="10"/>
  <c r="R158" i="10"/>
  <c r="S158" i="10"/>
  <c r="A159" i="10"/>
  <c r="A36" i="9"/>
  <c r="B36" i="9" s="1"/>
  <c r="E37" i="9"/>
  <c r="A124" i="5"/>
  <c r="B124" i="5" s="1"/>
  <c r="Y124" i="5"/>
  <c r="D125" i="5"/>
  <c r="G233" i="10" l="1"/>
  <c r="G232" i="13"/>
  <c r="D232" i="13" s="1"/>
  <c r="C12" i="5"/>
  <c r="H94" i="5"/>
  <c r="I94" i="5" s="1"/>
  <c r="D36" i="10"/>
  <c r="D36" i="12"/>
  <c r="P127" i="10"/>
  <c r="Z126" i="10"/>
  <c r="AA126" i="10" s="1"/>
  <c r="AC126" i="10" s="1"/>
  <c r="Z157" i="10"/>
  <c r="AA157" i="10" s="1"/>
  <c r="AC157" i="10" s="1"/>
  <c r="Z95" i="10"/>
  <c r="AA95" i="10" s="1"/>
  <c r="H95" i="5" s="1"/>
  <c r="I95" i="5" s="1"/>
  <c r="AC156" i="10"/>
  <c r="J97" i="10"/>
  <c r="A98" i="10"/>
  <c r="R97" i="10"/>
  <c r="I97" i="10"/>
  <c r="S97" i="10"/>
  <c r="Y96" i="10"/>
  <c r="P96" i="10"/>
  <c r="C36" i="10"/>
  <c r="G37" i="10"/>
  <c r="AC125" i="10"/>
  <c r="D38" i="5"/>
  <c r="A37" i="5"/>
  <c r="B37" i="5" s="1"/>
  <c r="A129" i="10"/>
  <c r="I128" i="10"/>
  <c r="J128" i="10"/>
  <c r="R128" i="10"/>
  <c r="S128" i="10"/>
  <c r="Y127" i="10"/>
  <c r="D38" i="13"/>
  <c r="C38" i="13"/>
  <c r="G39" i="13"/>
  <c r="AA187" i="13"/>
  <c r="S187" i="13"/>
  <c r="N187" i="5" s="1"/>
  <c r="C38" i="12"/>
  <c r="G39" i="12"/>
  <c r="P187" i="10"/>
  <c r="Y187" i="10"/>
  <c r="Z186" i="10"/>
  <c r="AA186" i="10" s="1"/>
  <c r="H186" i="5" s="1"/>
  <c r="R188" i="10"/>
  <c r="S188" i="10"/>
  <c r="I188" i="10"/>
  <c r="J188" i="10"/>
  <c r="Y158" i="10"/>
  <c r="A160" i="10"/>
  <c r="A159" i="13"/>
  <c r="I159" i="10"/>
  <c r="J159" i="10"/>
  <c r="S159" i="10"/>
  <c r="R159" i="10"/>
  <c r="P158" i="10"/>
  <c r="E38" i="9"/>
  <c r="A37" i="9"/>
  <c r="B37" i="9" s="1"/>
  <c r="D126" i="5"/>
  <c r="A125" i="5"/>
  <c r="B125" i="5" s="1"/>
  <c r="Y125" i="5"/>
  <c r="G234" i="10" l="1"/>
  <c r="G233" i="13"/>
  <c r="D233" i="13" s="1"/>
  <c r="H157" i="5"/>
  <c r="I157" i="5" s="1"/>
  <c r="D37" i="12"/>
  <c r="D37" i="10"/>
  <c r="H126" i="5"/>
  <c r="I126" i="5" s="1"/>
  <c r="Z127" i="10"/>
  <c r="AA127" i="10" s="1"/>
  <c r="H127" i="5" s="1"/>
  <c r="I127" i="5" s="1"/>
  <c r="AC95" i="10"/>
  <c r="Y128" i="10"/>
  <c r="Y97" i="10"/>
  <c r="Z96" i="10"/>
  <c r="AA96" i="10" s="1"/>
  <c r="AC96" i="10" s="1"/>
  <c r="P128" i="10"/>
  <c r="I98" i="10"/>
  <c r="S98" i="10"/>
  <c r="R98" i="10"/>
  <c r="J98" i="10"/>
  <c r="A99" i="10"/>
  <c r="C37" i="10"/>
  <c r="G38" i="10"/>
  <c r="P97" i="10"/>
  <c r="A38" i="5"/>
  <c r="B38" i="5" s="1"/>
  <c r="D39" i="5"/>
  <c r="G40" i="13"/>
  <c r="C39" i="13"/>
  <c r="D39" i="13"/>
  <c r="I129" i="10"/>
  <c r="S129" i="10"/>
  <c r="R129" i="10"/>
  <c r="A130" i="10"/>
  <c r="J129" i="10"/>
  <c r="S188" i="13"/>
  <c r="N188" i="5" s="1"/>
  <c r="AA188" i="13"/>
  <c r="G40" i="12"/>
  <c r="C39" i="12"/>
  <c r="Z187" i="10"/>
  <c r="AA187" i="10" s="1"/>
  <c r="H187" i="5" s="1"/>
  <c r="P188" i="10"/>
  <c r="S189" i="10"/>
  <c r="J189" i="10"/>
  <c r="I189" i="10"/>
  <c r="R189" i="10"/>
  <c r="Y188" i="10"/>
  <c r="Z158" i="10"/>
  <c r="AA158" i="10" s="1"/>
  <c r="H158" i="5" s="1"/>
  <c r="I158" i="5" s="1"/>
  <c r="Y159" i="10"/>
  <c r="P159" i="10"/>
  <c r="A161" i="10"/>
  <c r="A160" i="13"/>
  <c r="J160" i="10"/>
  <c r="S160" i="10"/>
  <c r="I160" i="10"/>
  <c r="R160" i="10"/>
  <c r="A38" i="9"/>
  <c r="B38" i="9" s="1"/>
  <c r="E39" i="9"/>
  <c r="Y126" i="5"/>
  <c r="A126" i="5"/>
  <c r="B126" i="5" s="1"/>
  <c r="D127" i="5"/>
  <c r="G235" i="10" l="1"/>
  <c r="G234" i="13"/>
  <c r="D234" i="13" s="1"/>
  <c r="AC127" i="10"/>
  <c r="D38" i="10"/>
  <c r="D38" i="12"/>
  <c r="Y98" i="10"/>
  <c r="Z128" i="10"/>
  <c r="AA128" i="10" s="1"/>
  <c r="AC128" i="10" s="1"/>
  <c r="Z97" i="10"/>
  <c r="AA97" i="10" s="1"/>
  <c r="H97" i="5" s="1"/>
  <c r="I97" i="5" s="1"/>
  <c r="H96" i="5"/>
  <c r="I96" i="5" s="1"/>
  <c r="C38" i="10"/>
  <c r="G39" i="10"/>
  <c r="A100" i="10"/>
  <c r="S99" i="10"/>
  <c r="I99" i="10"/>
  <c r="R99" i="10"/>
  <c r="J99" i="10"/>
  <c r="P129" i="10"/>
  <c r="Y160" i="10"/>
  <c r="P98" i="10"/>
  <c r="P160" i="10"/>
  <c r="AC158" i="10"/>
  <c r="Z159" i="10"/>
  <c r="AA159" i="10" s="1"/>
  <c r="AC159" i="10" s="1"/>
  <c r="A39" i="5"/>
  <c r="B39" i="5" s="1"/>
  <c r="D40" i="5"/>
  <c r="D40" i="13"/>
  <c r="C40" i="13"/>
  <c r="G41" i="13"/>
  <c r="A131" i="10"/>
  <c r="S130" i="10"/>
  <c r="R130" i="10"/>
  <c r="J130" i="10"/>
  <c r="I130" i="10"/>
  <c r="Y129" i="10"/>
  <c r="AA189" i="13"/>
  <c r="S189" i="13"/>
  <c r="N189" i="5" s="1"/>
  <c r="C40" i="12"/>
  <c r="G41" i="12"/>
  <c r="Z188" i="10"/>
  <c r="AA188" i="10" s="1"/>
  <c r="H188" i="5" s="1"/>
  <c r="P189" i="10"/>
  <c r="I190" i="10"/>
  <c r="J190" i="10"/>
  <c r="S190" i="10"/>
  <c r="R190" i="10"/>
  <c r="Y189" i="10"/>
  <c r="A161" i="13"/>
  <c r="S161" i="10"/>
  <c r="I161" i="10"/>
  <c r="R161" i="10"/>
  <c r="J161" i="10"/>
  <c r="A162" i="10"/>
  <c r="A39" i="9"/>
  <c r="B39" i="9" s="1"/>
  <c r="E40" i="9"/>
  <c r="A127" i="5"/>
  <c r="B127" i="5" s="1"/>
  <c r="Y127" i="5"/>
  <c r="D128" i="5"/>
  <c r="G236" i="10" l="1"/>
  <c r="G235" i="13"/>
  <c r="D235" i="13" s="1"/>
  <c r="Z98" i="10"/>
  <c r="AA98" i="10" s="1"/>
  <c r="AC98" i="10" s="1"/>
  <c r="D39" i="10"/>
  <c r="D39" i="12"/>
  <c r="AC97" i="10"/>
  <c r="H128" i="5"/>
  <c r="I128" i="5" s="1"/>
  <c r="Y130" i="10"/>
  <c r="P99" i="10"/>
  <c r="H159" i="5"/>
  <c r="I159" i="5" s="1"/>
  <c r="Z160" i="10"/>
  <c r="AA160" i="10" s="1"/>
  <c r="AC160" i="10" s="1"/>
  <c r="Z129" i="10"/>
  <c r="AA129" i="10" s="1"/>
  <c r="AC129" i="10" s="1"/>
  <c r="Y99" i="10"/>
  <c r="C39" i="10"/>
  <c r="G40" i="10"/>
  <c r="H98" i="5"/>
  <c r="I98" i="5" s="1"/>
  <c r="J100" i="10"/>
  <c r="S100" i="10"/>
  <c r="A101" i="10"/>
  <c r="R100" i="10"/>
  <c r="I100" i="10"/>
  <c r="Y161" i="10"/>
  <c r="A40" i="5"/>
  <c r="B40" i="5" s="1"/>
  <c r="D41" i="5"/>
  <c r="R131" i="10"/>
  <c r="J131" i="10"/>
  <c r="A132" i="10"/>
  <c r="S131" i="10"/>
  <c r="I131" i="10"/>
  <c r="C41" i="13"/>
  <c r="G42" i="13"/>
  <c r="D41" i="13"/>
  <c r="P130" i="10"/>
  <c r="S190" i="13"/>
  <c r="N190" i="5" s="1"/>
  <c r="AA190" i="13"/>
  <c r="C41" i="12"/>
  <c r="G42" i="12"/>
  <c r="P190" i="10"/>
  <c r="Y190" i="10"/>
  <c r="Z189" i="10"/>
  <c r="AA189" i="10" s="1"/>
  <c r="H189" i="5" s="1"/>
  <c r="I191" i="10"/>
  <c r="J191" i="10"/>
  <c r="S191" i="10"/>
  <c r="R191" i="10"/>
  <c r="S162" i="10"/>
  <c r="R162" i="10"/>
  <c r="J162" i="10"/>
  <c r="A163" i="10"/>
  <c r="A162" i="13"/>
  <c r="I162" i="10"/>
  <c r="P161" i="10"/>
  <c r="A40" i="9"/>
  <c r="B40" i="9" s="1"/>
  <c r="E41" i="9"/>
  <c r="D129" i="5"/>
  <c r="Y128" i="5"/>
  <c r="A128" i="5"/>
  <c r="B128" i="5" s="1"/>
  <c r="G237" i="10" l="1"/>
  <c r="G236" i="13"/>
  <c r="D236" i="13" s="1"/>
  <c r="Z99" i="10"/>
  <c r="AA99" i="10" s="1"/>
  <c r="AC99" i="10" s="1"/>
  <c r="D40" i="12"/>
  <c r="D40" i="10"/>
  <c r="Z130" i="10"/>
  <c r="AA130" i="10" s="1"/>
  <c r="H130" i="5" s="1"/>
  <c r="I130" i="5" s="1"/>
  <c r="H129" i="5"/>
  <c r="I129" i="5" s="1"/>
  <c r="H160" i="5"/>
  <c r="I160" i="5" s="1"/>
  <c r="Y162" i="10"/>
  <c r="Z161" i="10"/>
  <c r="AA161" i="10" s="1"/>
  <c r="AC161" i="10" s="1"/>
  <c r="P100" i="10"/>
  <c r="G41" i="10"/>
  <c r="C40" i="10"/>
  <c r="Y100" i="10"/>
  <c r="S101" i="10"/>
  <c r="A102" i="10"/>
  <c r="R101" i="10"/>
  <c r="I101" i="10"/>
  <c r="J101" i="10"/>
  <c r="P131" i="10"/>
  <c r="A41" i="5"/>
  <c r="B41" i="5" s="1"/>
  <c r="D42" i="5"/>
  <c r="J132" i="10"/>
  <c r="I132" i="10"/>
  <c r="A133" i="10"/>
  <c r="S132" i="10"/>
  <c r="R132" i="10"/>
  <c r="Y131" i="10"/>
  <c r="C42" i="13"/>
  <c r="D42" i="13"/>
  <c r="G43" i="13"/>
  <c r="AA191" i="13"/>
  <c r="S191" i="13"/>
  <c r="N191" i="5" s="1"/>
  <c r="C42" i="12"/>
  <c r="G43" i="12"/>
  <c r="Y191" i="10"/>
  <c r="P191" i="10"/>
  <c r="S192" i="10"/>
  <c r="I192" i="10"/>
  <c r="J192" i="10"/>
  <c r="R192" i="10"/>
  <c r="Z190" i="10"/>
  <c r="AA190" i="10" s="1"/>
  <c r="H190" i="5" s="1"/>
  <c r="P162" i="10"/>
  <c r="A164" i="10"/>
  <c r="A163" i="13"/>
  <c r="I163" i="10"/>
  <c r="R163" i="10"/>
  <c r="S163" i="10"/>
  <c r="J163" i="10"/>
  <c r="A41" i="9"/>
  <c r="B41" i="9" s="1"/>
  <c r="E42" i="9"/>
  <c r="Y129" i="5"/>
  <c r="D130" i="5"/>
  <c r="A129" i="5"/>
  <c r="B129" i="5" s="1"/>
  <c r="G238" i="10" l="1"/>
  <c r="G237" i="13"/>
  <c r="D237" i="13" s="1"/>
  <c r="H99" i="5"/>
  <c r="I99" i="5" s="1"/>
  <c r="AC130" i="10"/>
  <c r="D41" i="12"/>
  <c r="D41" i="10"/>
  <c r="H161" i="5"/>
  <c r="I161" i="5" s="1"/>
  <c r="Z162" i="10"/>
  <c r="AA162" i="10" s="1"/>
  <c r="AC162" i="10" s="1"/>
  <c r="Z131" i="10"/>
  <c r="AA131" i="10" s="1"/>
  <c r="AC131" i="10" s="1"/>
  <c r="P192" i="10"/>
  <c r="G42" i="10"/>
  <c r="C41" i="10"/>
  <c r="P101" i="10"/>
  <c r="Z100" i="10"/>
  <c r="AA100" i="10" s="1"/>
  <c r="I102" i="10"/>
  <c r="A103" i="10"/>
  <c r="J102" i="10"/>
  <c r="S102" i="10"/>
  <c r="R102" i="10"/>
  <c r="Y101" i="10"/>
  <c r="A42" i="5"/>
  <c r="B42" i="5" s="1"/>
  <c r="D43" i="5"/>
  <c r="Y132" i="10"/>
  <c r="C43" i="13"/>
  <c r="G44" i="13"/>
  <c r="D43" i="13"/>
  <c r="A142" i="10"/>
  <c r="J133" i="10"/>
  <c r="S133" i="10"/>
  <c r="R133" i="10"/>
  <c r="I133" i="10"/>
  <c r="A134" i="10"/>
  <c r="P132" i="10"/>
  <c r="AA192" i="13"/>
  <c r="S192" i="13"/>
  <c r="N192" i="5" s="1"/>
  <c r="C43" i="12"/>
  <c r="G44" i="12"/>
  <c r="Y192" i="10"/>
  <c r="S193" i="10"/>
  <c r="R193" i="10"/>
  <c r="J193" i="10"/>
  <c r="I193" i="10"/>
  <c r="Z191" i="10"/>
  <c r="AA191" i="10" s="1"/>
  <c r="H191" i="5" s="1"/>
  <c r="Y163" i="10"/>
  <c r="P163" i="10"/>
  <c r="A164" i="13"/>
  <c r="S164" i="10"/>
  <c r="I164" i="10"/>
  <c r="J164" i="10"/>
  <c r="R164" i="10"/>
  <c r="A165" i="10"/>
  <c r="A42" i="9"/>
  <c r="B42" i="9" s="1"/>
  <c r="E43" i="9"/>
  <c r="D131" i="5"/>
  <c r="A130" i="5"/>
  <c r="B130" i="5" s="1"/>
  <c r="Y130" i="5"/>
  <c r="G239" i="10" l="1"/>
  <c r="G238" i="13"/>
  <c r="D238" i="13" s="1"/>
  <c r="Y102" i="10"/>
  <c r="D42" i="12"/>
  <c r="D42" i="10"/>
  <c r="H131" i="5"/>
  <c r="I131" i="5" s="1"/>
  <c r="Y133" i="10"/>
  <c r="Z192" i="10"/>
  <c r="AA192" i="10" s="1"/>
  <c r="H192" i="5" s="1"/>
  <c r="H162" i="5"/>
  <c r="I162" i="5" s="1"/>
  <c r="Y164" i="10"/>
  <c r="Z101" i="10"/>
  <c r="AA101" i="10" s="1"/>
  <c r="AC101" i="10" s="1"/>
  <c r="S103" i="10"/>
  <c r="I103" i="10"/>
  <c r="R103" i="10"/>
  <c r="J103" i="10"/>
  <c r="A104" i="10"/>
  <c r="P102" i="10"/>
  <c r="AC100" i="10"/>
  <c r="H100" i="5"/>
  <c r="I100" i="5" s="1"/>
  <c r="G43" i="10"/>
  <c r="C42" i="10"/>
  <c r="Z163" i="10"/>
  <c r="AA163" i="10" s="1"/>
  <c r="AC163" i="10" s="1"/>
  <c r="Z132" i="10"/>
  <c r="AA132" i="10" s="1"/>
  <c r="H132" i="5" s="1"/>
  <c r="I132" i="5" s="1"/>
  <c r="A43" i="5"/>
  <c r="B43" i="5" s="1"/>
  <c r="D44" i="5"/>
  <c r="J142" i="10"/>
  <c r="R142" i="10"/>
  <c r="A142" i="13"/>
  <c r="S142" i="10"/>
  <c r="I142" i="10"/>
  <c r="C44" i="13"/>
  <c r="D44" i="13"/>
  <c r="G45" i="13"/>
  <c r="J134" i="10"/>
  <c r="I134" i="10"/>
  <c r="A135" i="10"/>
  <c r="R134" i="10"/>
  <c r="S134" i="10"/>
  <c r="P133" i="10"/>
  <c r="AA193" i="13"/>
  <c r="S193" i="13"/>
  <c r="N193" i="5" s="1"/>
  <c r="C44" i="12"/>
  <c r="G45" i="12"/>
  <c r="P193" i="10"/>
  <c r="Y193" i="10"/>
  <c r="S194" i="10"/>
  <c r="J194" i="10"/>
  <c r="I194" i="10"/>
  <c r="R194" i="10"/>
  <c r="A165" i="13"/>
  <c r="I165" i="10"/>
  <c r="R165" i="10"/>
  <c r="S165" i="10"/>
  <c r="J165" i="10"/>
  <c r="A166" i="10"/>
  <c r="P164" i="10"/>
  <c r="A43" i="9"/>
  <c r="B43" i="9" s="1"/>
  <c r="E44" i="9"/>
  <c r="Y131" i="5"/>
  <c r="A131" i="5"/>
  <c r="B131" i="5" s="1"/>
  <c r="D132" i="5"/>
  <c r="G240" i="10" l="1"/>
  <c r="G239" i="13"/>
  <c r="D239" i="13" s="1"/>
  <c r="Z102" i="10"/>
  <c r="AA102" i="10" s="1"/>
  <c r="AC102" i="10" s="1"/>
  <c r="P194" i="10"/>
  <c r="H163" i="5"/>
  <c r="I163" i="5" s="1"/>
  <c r="D43" i="10"/>
  <c r="D43" i="12"/>
  <c r="Z164" i="10"/>
  <c r="AA164" i="10" s="1"/>
  <c r="H164" i="5" s="1"/>
  <c r="I164" i="5" s="1"/>
  <c r="Z133" i="10"/>
  <c r="AA133" i="10" s="1"/>
  <c r="H133" i="5" s="1"/>
  <c r="I133" i="5" s="1"/>
  <c r="P142" i="10"/>
  <c r="P134" i="10"/>
  <c r="H101" i="5"/>
  <c r="I101" i="5" s="1"/>
  <c r="Y103" i="10"/>
  <c r="AC132" i="10"/>
  <c r="H102" i="5"/>
  <c r="I102" i="5" s="1"/>
  <c r="J104" i="10"/>
  <c r="I104" i="10"/>
  <c r="S104" i="10"/>
  <c r="R104" i="10"/>
  <c r="A105" i="10"/>
  <c r="C43" i="10"/>
  <c r="G44" i="10"/>
  <c r="Y142" i="10"/>
  <c r="P103" i="10"/>
  <c r="D45" i="5"/>
  <c r="A44" i="5"/>
  <c r="B44" i="5" s="1"/>
  <c r="D45" i="13"/>
  <c r="G46" i="13"/>
  <c r="C45" i="13"/>
  <c r="Y134" i="10"/>
  <c r="A136" i="10"/>
  <c r="I135" i="10"/>
  <c r="J135" i="10"/>
  <c r="S135" i="10"/>
  <c r="R135" i="10"/>
  <c r="S194" i="13"/>
  <c r="C45" i="12"/>
  <c r="G46" i="12"/>
  <c r="Z193" i="10"/>
  <c r="AA193" i="10" s="1"/>
  <c r="S195" i="10"/>
  <c r="I195" i="10"/>
  <c r="J195" i="10"/>
  <c r="R195" i="10"/>
  <c r="Y194" i="10"/>
  <c r="P165" i="10"/>
  <c r="Y165" i="10"/>
  <c r="R166" i="10"/>
  <c r="A167" i="10"/>
  <c r="S166" i="10"/>
  <c r="I166" i="10"/>
  <c r="A166" i="13"/>
  <c r="J166" i="10"/>
  <c r="A44" i="9"/>
  <c r="B44" i="9" s="1"/>
  <c r="E45" i="9"/>
  <c r="Y132" i="5"/>
  <c r="D133" i="5"/>
  <c r="A132" i="5"/>
  <c r="B132" i="5" s="1"/>
  <c r="G241" i="10" l="1"/>
  <c r="G240" i="13"/>
  <c r="D240" i="13" s="1"/>
  <c r="AC164" i="10"/>
  <c r="Z194" i="10"/>
  <c r="AA194" i="10" s="1"/>
  <c r="H194" i="5" s="1"/>
  <c r="D44" i="10"/>
  <c r="D44" i="12"/>
  <c r="AC133" i="10"/>
  <c r="N194" i="5"/>
  <c r="Z142" i="10"/>
  <c r="AA142" i="10" s="1"/>
  <c r="H142" i="5" s="1"/>
  <c r="I142" i="5" s="1"/>
  <c r="Z134" i="10"/>
  <c r="AA134" i="10" s="1"/>
  <c r="AC134" i="10" s="1"/>
  <c r="Y104" i="10"/>
  <c r="Z165" i="10"/>
  <c r="AA165" i="10" s="1"/>
  <c r="H165" i="5" s="1"/>
  <c r="I165" i="5" s="1"/>
  <c r="Z103" i="10"/>
  <c r="AA103" i="10" s="1"/>
  <c r="AC103" i="10" s="1"/>
  <c r="P104" i="10"/>
  <c r="J105" i="10"/>
  <c r="A106" i="10"/>
  <c r="S105" i="10"/>
  <c r="R105" i="10"/>
  <c r="I105" i="10"/>
  <c r="P195" i="10"/>
  <c r="G45" i="10"/>
  <c r="C44" i="10"/>
  <c r="H193" i="5"/>
  <c r="D46" i="5"/>
  <c r="A45" i="5"/>
  <c r="B45" i="5" s="1"/>
  <c r="Y135" i="10"/>
  <c r="P135" i="10"/>
  <c r="D46" i="13"/>
  <c r="G47" i="13"/>
  <c r="C46" i="13"/>
  <c r="S136" i="10"/>
  <c r="R136" i="10"/>
  <c r="J136" i="10"/>
  <c r="I136" i="10"/>
  <c r="A137" i="10"/>
  <c r="G47" i="12"/>
  <c r="C46" i="12"/>
  <c r="Y195" i="10"/>
  <c r="I167" i="10"/>
  <c r="S167" i="10"/>
  <c r="A167" i="13"/>
  <c r="J167" i="10"/>
  <c r="R167" i="10"/>
  <c r="A168" i="10"/>
  <c r="Y166" i="10"/>
  <c r="P166" i="10"/>
  <c r="E46" i="9"/>
  <c r="A45" i="9"/>
  <c r="B45" i="9" s="1"/>
  <c r="Y133" i="5"/>
  <c r="D134" i="5"/>
  <c r="A133" i="5"/>
  <c r="B133" i="5" s="1"/>
  <c r="G242" i="10" l="1"/>
  <c r="G243" i="10" s="1"/>
  <c r="G241" i="13"/>
  <c r="D241" i="13" s="1"/>
  <c r="H103" i="5"/>
  <c r="I103" i="5" s="1"/>
  <c r="D45" i="12"/>
  <c r="D45" i="10"/>
  <c r="AC142" i="10"/>
  <c r="H134" i="5"/>
  <c r="I134" i="5" s="1"/>
  <c r="P105" i="10"/>
  <c r="Y105" i="10"/>
  <c r="P136" i="10"/>
  <c r="Z104" i="10"/>
  <c r="AA104" i="10" s="1"/>
  <c r="H104" i="5" s="1"/>
  <c r="I104" i="5" s="1"/>
  <c r="AC165" i="10"/>
  <c r="Y136" i="10"/>
  <c r="R106" i="10"/>
  <c r="J106" i="10"/>
  <c r="A107" i="10"/>
  <c r="S106" i="10"/>
  <c r="I106" i="10"/>
  <c r="Z195" i="10"/>
  <c r="AA195" i="10" s="1"/>
  <c r="H195" i="5" s="1"/>
  <c r="C45" i="10"/>
  <c r="G46" i="10"/>
  <c r="Z135" i="10"/>
  <c r="AA135" i="10" s="1"/>
  <c r="H135" i="5" s="1"/>
  <c r="I135" i="5" s="1"/>
  <c r="A46" i="5"/>
  <c r="B46" i="5" s="1"/>
  <c r="D47" i="5"/>
  <c r="D47" i="13"/>
  <c r="C47" i="13"/>
  <c r="G48" i="13"/>
  <c r="A138" i="10"/>
  <c r="J137" i="10"/>
  <c r="I137" i="10"/>
  <c r="S137" i="10"/>
  <c r="R137" i="10"/>
  <c r="G48" i="12"/>
  <c r="C47" i="12"/>
  <c r="Z166" i="10"/>
  <c r="AA166" i="10" s="1"/>
  <c r="H166" i="5" s="1"/>
  <c r="I166" i="5" s="1"/>
  <c r="Y167" i="10"/>
  <c r="R168" i="10"/>
  <c r="A169" i="10"/>
  <c r="S168" i="10"/>
  <c r="I168" i="10"/>
  <c r="J168" i="10"/>
  <c r="A168" i="13"/>
  <c r="P167" i="10"/>
  <c r="A46" i="9"/>
  <c r="B46" i="9" s="1"/>
  <c r="E47" i="9"/>
  <c r="Y134" i="5"/>
  <c r="D135" i="5"/>
  <c r="A134" i="5"/>
  <c r="B134" i="5" s="1"/>
  <c r="G244" i="10" l="1"/>
  <c r="G243" i="13"/>
  <c r="D243" i="13" s="1"/>
  <c r="G242" i="13"/>
  <c r="D242" i="13" s="1"/>
  <c r="H11" i="5"/>
  <c r="Z105" i="10"/>
  <c r="AA105" i="10" s="1"/>
  <c r="AC105" i="10" s="1"/>
  <c r="D46" i="10"/>
  <c r="D46" i="12"/>
  <c r="Z136" i="10"/>
  <c r="AA136" i="10" s="1"/>
  <c r="H136" i="5" s="1"/>
  <c r="I136" i="5" s="1"/>
  <c r="AC104" i="10"/>
  <c r="P106" i="10"/>
  <c r="P137" i="10"/>
  <c r="Z167" i="10"/>
  <c r="AA167" i="10" s="1"/>
  <c r="AC167" i="10" s="1"/>
  <c r="A108" i="10"/>
  <c r="S107" i="10"/>
  <c r="I107" i="10"/>
  <c r="R107" i="10"/>
  <c r="J107" i="10"/>
  <c r="Y106" i="10"/>
  <c r="G47" i="10"/>
  <c r="C46" i="10"/>
  <c r="AC135" i="10"/>
  <c r="AC166" i="10"/>
  <c r="A47" i="5"/>
  <c r="B47" i="5" s="1"/>
  <c r="D48" i="5"/>
  <c r="A139" i="10"/>
  <c r="I138" i="10"/>
  <c r="S138" i="10"/>
  <c r="R138" i="10"/>
  <c r="J138" i="10"/>
  <c r="C48" i="13"/>
  <c r="G49" i="13"/>
  <c r="D48" i="13"/>
  <c r="Y137" i="10"/>
  <c r="C48" i="12"/>
  <c r="G49" i="12"/>
  <c r="A170" i="10"/>
  <c r="A169" i="13"/>
  <c r="S169" i="10"/>
  <c r="I169" i="10"/>
  <c r="R169" i="10"/>
  <c r="J169" i="10"/>
  <c r="P168" i="10"/>
  <c r="Y168" i="10"/>
  <c r="E48" i="9"/>
  <c r="A47" i="9"/>
  <c r="B47" i="9" s="1"/>
  <c r="Y135" i="5"/>
  <c r="D136" i="5"/>
  <c r="A135" i="5"/>
  <c r="B135" i="5" s="1"/>
  <c r="G244" i="13" l="1"/>
  <c r="D244" i="13" s="1"/>
  <c r="G245" i="10"/>
  <c r="H105" i="5"/>
  <c r="I105" i="5" s="1"/>
  <c r="AC136" i="10"/>
  <c r="Z106" i="10"/>
  <c r="AA106" i="10" s="1"/>
  <c r="AC106" i="10" s="1"/>
  <c r="D47" i="10"/>
  <c r="D47" i="12"/>
  <c r="Z137" i="10"/>
  <c r="AA137" i="10" s="1"/>
  <c r="H137" i="5" s="1"/>
  <c r="I137" i="5" s="1"/>
  <c r="Y138" i="10"/>
  <c r="Y107" i="10"/>
  <c r="H167" i="5"/>
  <c r="I167" i="5" s="1"/>
  <c r="P107" i="10"/>
  <c r="S108" i="10"/>
  <c r="A109" i="10"/>
  <c r="J108" i="10"/>
  <c r="R108" i="10"/>
  <c r="I108" i="10"/>
  <c r="C47" i="10"/>
  <c r="G48" i="10"/>
  <c r="D49" i="5"/>
  <c r="A48" i="5"/>
  <c r="B48" i="5" s="1"/>
  <c r="G50" i="13"/>
  <c r="C49" i="13"/>
  <c r="D49" i="13"/>
  <c r="P138" i="10"/>
  <c r="A140" i="10"/>
  <c r="J139" i="10"/>
  <c r="S139" i="10"/>
  <c r="R139" i="10"/>
  <c r="I139" i="10"/>
  <c r="C49" i="12"/>
  <c r="G50" i="12"/>
  <c r="Y169" i="10"/>
  <c r="P169" i="10"/>
  <c r="Z168" i="10"/>
  <c r="AA168" i="10" s="1"/>
  <c r="I170" i="10"/>
  <c r="J170" i="10"/>
  <c r="R170" i="10"/>
  <c r="S170" i="10"/>
  <c r="A170" i="13"/>
  <c r="A48" i="9"/>
  <c r="B48" i="9" s="1"/>
  <c r="E49" i="9"/>
  <c r="A136" i="5"/>
  <c r="B136" i="5" s="1"/>
  <c r="D137" i="5"/>
  <c r="Y136" i="5"/>
  <c r="G245" i="13" l="1"/>
  <c r="D245" i="13" s="1"/>
  <c r="G246" i="10"/>
  <c r="H106" i="5"/>
  <c r="I106" i="5" s="1"/>
  <c r="Z169" i="10"/>
  <c r="AA169" i="10" s="1"/>
  <c r="H169" i="5" s="1"/>
  <c r="I169" i="5" s="1"/>
  <c r="D48" i="12"/>
  <c r="D48" i="10"/>
  <c r="Z138" i="10"/>
  <c r="AA138" i="10" s="1"/>
  <c r="H138" i="5" s="1"/>
  <c r="I138" i="5" s="1"/>
  <c r="AC137" i="10"/>
  <c r="Y108" i="10"/>
  <c r="Z107" i="10"/>
  <c r="AA107" i="10" s="1"/>
  <c r="AC107" i="10" s="1"/>
  <c r="P108" i="10"/>
  <c r="J109" i="10"/>
  <c r="R109" i="10"/>
  <c r="I109" i="10"/>
  <c r="A110" i="10"/>
  <c r="S109" i="10"/>
  <c r="G49" i="10"/>
  <c r="C48" i="10"/>
  <c r="Y139" i="10"/>
  <c r="D50" i="5"/>
  <c r="A49" i="5"/>
  <c r="B49" i="5" s="1"/>
  <c r="S140" i="10"/>
  <c r="R140" i="10"/>
  <c r="I140" i="10"/>
  <c r="J140" i="10"/>
  <c r="A141" i="10"/>
  <c r="P139" i="10"/>
  <c r="C50" i="13"/>
  <c r="G51" i="13"/>
  <c r="D50" i="13"/>
  <c r="C50" i="12"/>
  <c r="Y170" i="10"/>
  <c r="P170" i="10"/>
  <c r="H168" i="5"/>
  <c r="I168" i="5" s="1"/>
  <c r="AC168" i="10"/>
  <c r="A49" i="9"/>
  <c r="B49" i="9" s="1"/>
  <c r="E50" i="9"/>
  <c r="D138" i="5"/>
  <c r="Y137" i="5"/>
  <c r="A137" i="5"/>
  <c r="B137" i="5" s="1"/>
  <c r="G247" i="10" l="1"/>
  <c r="G246" i="13"/>
  <c r="D246" i="13" s="1"/>
  <c r="P109" i="10"/>
  <c r="Z108" i="10"/>
  <c r="AA108" i="10" s="1"/>
  <c r="AC108" i="10" s="1"/>
  <c r="AC169" i="10"/>
  <c r="D49" i="12"/>
  <c r="D49" i="10"/>
  <c r="AC138" i="10"/>
  <c r="H107" i="5"/>
  <c r="I107" i="5" s="1"/>
  <c r="Y140" i="10"/>
  <c r="Y109" i="10"/>
  <c r="R110" i="10"/>
  <c r="J110" i="10"/>
  <c r="S110" i="10"/>
  <c r="A111" i="10"/>
  <c r="I110" i="10"/>
  <c r="G50" i="10"/>
  <c r="C49" i="10"/>
  <c r="Z139" i="10"/>
  <c r="AA139" i="10" s="1"/>
  <c r="AC139" i="10" s="1"/>
  <c r="Z170" i="10"/>
  <c r="AA170" i="10" s="1"/>
  <c r="AC170" i="10" s="1"/>
  <c r="D51" i="5"/>
  <c r="A50" i="5"/>
  <c r="B50" i="5" s="1"/>
  <c r="S141" i="10"/>
  <c r="I141" i="10"/>
  <c r="J141" i="10"/>
  <c r="R141" i="10"/>
  <c r="D51" i="13"/>
  <c r="C51" i="13"/>
  <c r="G52" i="13"/>
  <c r="P140" i="10"/>
  <c r="A50" i="9"/>
  <c r="B50" i="9" s="1"/>
  <c r="A138" i="5"/>
  <c r="B138" i="5" s="1"/>
  <c r="Y138" i="5"/>
  <c r="D139" i="5"/>
  <c r="P14" i="9" l="1"/>
  <c r="F14" i="9"/>
  <c r="G14" i="9"/>
  <c r="M14" i="9"/>
  <c r="J14" i="9"/>
  <c r="S14" i="9"/>
  <c r="R14" i="9"/>
  <c r="V14" i="9"/>
  <c r="L14" i="9"/>
  <c r="U14" i="9"/>
  <c r="I14" i="9"/>
  <c r="K14" i="9"/>
  <c r="T14" i="9"/>
  <c r="H14" i="9"/>
  <c r="Q14" i="9"/>
  <c r="O14" i="9"/>
  <c r="G248" i="10"/>
  <c r="G247" i="13"/>
  <c r="D247" i="13" s="1"/>
  <c r="G15" i="9"/>
  <c r="J15" i="9"/>
  <c r="O15" i="9"/>
  <c r="R15" i="9"/>
  <c r="S15" i="9"/>
  <c r="V15" i="9"/>
  <c r="I15" i="9"/>
  <c r="U15" i="9"/>
  <c r="T15" i="9"/>
  <c r="M15" i="9"/>
  <c r="L15" i="9"/>
  <c r="P15" i="9"/>
  <c r="K15" i="9"/>
  <c r="F15" i="9"/>
  <c r="H15" i="9"/>
  <c r="Q15" i="9"/>
  <c r="Z109" i="10"/>
  <c r="AA109" i="10" s="1"/>
  <c r="AC109" i="10" s="1"/>
  <c r="U13" i="9"/>
  <c r="F13" i="9"/>
  <c r="O13" i="9"/>
  <c r="J13" i="9"/>
  <c r="Q13" i="9"/>
  <c r="H13" i="9"/>
  <c r="I13" i="9"/>
  <c r="R13" i="9"/>
  <c r="S13" i="9"/>
  <c r="G13" i="9"/>
  <c r="L13" i="9"/>
  <c r="M13" i="9"/>
  <c r="P13" i="9"/>
  <c r="V13" i="9"/>
  <c r="T13" i="9"/>
  <c r="K13" i="9"/>
  <c r="H108" i="5"/>
  <c r="I108" i="5" s="1"/>
  <c r="D50" i="12"/>
  <c r="D50" i="10"/>
  <c r="Z140" i="10"/>
  <c r="AA140" i="10" s="1"/>
  <c r="H140" i="5" s="1"/>
  <c r="I140" i="5" s="1"/>
  <c r="H9" i="9"/>
  <c r="U9" i="9"/>
  <c r="J11" i="9"/>
  <c r="G12" i="9"/>
  <c r="I10" i="9"/>
  <c r="O8" i="9"/>
  <c r="K8" i="9"/>
  <c r="G9" i="9"/>
  <c r="T11" i="9"/>
  <c r="Q11" i="9"/>
  <c r="M8" i="9"/>
  <c r="F12" i="9"/>
  <c r="P12" i="9"/>
  <c r="M11" i="9"/>
  <c r="R12" i="9"/>
  <c r="H8" i="9"/>
  <c r="K9" i="9"/>
  <c r="R11" i="9"/>
  <c r="P10" i="9"/>
  <c r="G11" i="9"/>
  <c r="U11" i="9"/>
  <c r="J10" i="9"/>
  <c r="L12" i="9"/>
  <c r="T10" i="9"/>
  <c r="H12" i="9"/>
  <c r="G8" i="9"/>
  <c r="V11" i="9"/>
  <c r="I8" i="9"/>
  <c r="L8" i="9"/>
  <c r="J12" i="9"/>
  <c r="F10" i="9"/>
  <c r="U8" i="9"/>
  <c r="P8" i="9"/>
  <c r="U10" i="9"/>
  <c r="S12" i="9"/>
  <c r="H10" i="9"/>
  <c r="L9" i="9"/>
  <c r="J8" i="9"/>
  <c r="O12" i="9"/>
  <c r="O9" i="9"/>
  <c r="V12" i="9"/>
  <c r="S9" i="9"/>
  <c r="M12" i="9"/>
  <c r="S8" i="9"/>
  <c r="M10" i="9"/>
  <c r="O10" i="9"/>
  <c r="S10" i="9"/>
  <c r="H11" i="9"/>
  <c r="G10" i="9"/>
  <c r="F8" i="9"/>
  <c r="P11" i="9"/>
  <c r="I12" i="9"/>
  <c r="F9" i="9"/>
  <c r="Q10" i="9"/>
  <c r="R10" i="9"/>
  <c r="U12" i="9"/>
  <c r="K12" i="9"/>
  <c r="J9" i="9"/>
  <c r="S11" i="9"/>
  <c r="Q9" i="9"/>
  <c r="V9" i="9"/>
  <c r="P9" i="9"/>
  <c r="K10" i="9"/>
  <c r="V8" i="9"/>
  <c r="T8" i="9"/>
  <c r="O11" i="9"/>
  <c r="K11" i="9"/>
  <c r="T12" i="9"/>
  <c r="V10" i="9"/>
  <c r="T9" i="9"/>
  <c r="F11" i="9"/>
  <c r="Q8" i="9"/>
  <c r="I11" i="9"/>
  <c r="Q12" i="9"/>
  <c r="L11" i="9"/>
  <c r="M9" i="9"/>
  <c r="I9" i="9"/>
  <c r="L10" i="9"/>
  <c r="Y141" i="10"/>
  <c r="Y10" i="10" s="1"/>
  <c r="P110" i="10"/>
  <c r="H139" i="5"/>
  <c r="I139" i="5" s="1"/>
  <c r="C50" i="10"/>
  <c r="G51" i="10"/>
  <c r="Y110" i="10"/>
  <c r="I111" i="10"/>
  <c r="R111" i="10"/>
  <c r="J111" i="10"/>
  <c r="S111" i="10"/>
  <c r="H170" i="5"/>
  <c r="I170" i="5" s="1"/>
  <c r="I10" i="5" s="1"/>
  <c r="A51" i="5"/>
  <c r="B51" i="5" s="1"/>
  <c r="D52" i="5"/>
  <c r="D52" i="13"/>
  <c r="G53" i="13"/>
  <c r="C52" i="13"/>
  <c r="P141" i="10"/>
  <c r="P10" i="10" s="1"/>
  <c r="D140" i="5"/>
  <c r="Y139" i="5"/>
  <c r="A139" i="5"/>
  <c r="B139" i="5" s="1"/>
  <c r="W14" i="9" l="1"/>
  <c r="N15" i="10"/>
  <c r="H14" i="10"/>
  <c r="T14" i="10"/>
  <c r="U14" i="10"/>
  <c r="W14" i="10"/>
  <c r="O14" i="10"/>
  <c r="M14" i="10"/>
  <c r="J14" i="10"/>
  <c r="L14" i="10"/>
  <c r="I14" i="10"/>
  <c r="R14" i="10"/>
  <c r="X14" i="10"/>
  <c r="S14" i="10"/>
  <c r="Q14" i="10"/>
  <c r="K14" i="10"/>
  <c r="P14" i="10"/>
  <c r="V14" i="10"/>
  <c r="Y14" i="10"/>
  <c r="N14" i="10"/>
  <c r="N14" i="9"/>
  <c r="E14" i="12"/>
  <c r="I14" i="12"/>
  <c r="I14" i="13" s="1"/>
  <c r="J14" i="12"/>
  <c r="J14" i="13" s="1"/>
  <c r="R14" i="12"/>
  <c r="R14" i="13" s="1"/>
  <c r="L14" i="12"/>
  <c r="L14" i="13" s="1"/>
  <c r="Z14" i="12"/>
  <c r="X14" i="12"/>
  <c r="Y14" i="12"/>
  <c r="T14" i="12"/>
  <c r="T14" i="13" s="1"/>
  <c r="P14" i="12"/>
  <c r="P14" i="13" s="1"/>
  <c r="H14" i="12"/>
  <c r="H14" i="13" s="1"/>
  <c r="V13" i="5" s="1"/>
  <c r="Q14" i="12"/>
  <c r="Q14" i="13" s="1"/>
  <c r="U14" i="12"/>
  <c r="V14" i="12"/>
  <c r="O14" i="12"/>
  <c r="O14" i="13" s="1"/>
  <c r="K14" i="12"/>
  <c r="K14" i="13" s="1"/>
  <c r="N14" i="12"/>
  <c r="G249" i="10"/>
  <c r="G248" i="13"/>
  <c r="D248" i="13" s="1"/>
  <c r="N15" i="9"/>
  <c r="R10" i="10"/>
  <c r="O15" i="10"/>
  <c r="L15" i="10"/>
  <c r="M15" i="10"/>
  <c r="Q15" i="10"/>
  <c r="V15" i="10"/>
  <c r="X15" i="10"/>
  <c r="S15" i="10"/>
  <c r="R15" i="10"/>
  <c r="U15" i="10"/>
  <c r="T15" i="10"/>
  <c r="W15" i="10"/>
  <c r="H15" i="10"/>
  <c r="K15" i="10"/>
  <c r="J15" i="10"/>
  <c r="Y15" i="10"/>
  <c r="P15" i="10"/>
  <c r="I15" i="10"/>
  <c r="E13" i="12"/>
  <c r="T15" i="12"/>
  <c r="N15" i="12"/>
  <c r="Q15" i="12"/>
  <c r="E15" i="12"/>
  <c r="Y15" i="12"/>
  <c r="P15" i="12"/>
  <c r="Z15" i="12"/>
  <c r="R15" i="12"/>
  <c r="K15" i="12"/>
  <c r="L15" i="12"/>
  <c r="I15" i="12"/>
  <c r="U15" i="12"/>
  <c r="V15" i="12"/>
  <c r="J15" i="12"/>
  <c r="O15" i="12"/>
  <c r="X15" i="12"/>
  <c r="H15" i="12"/>
  <c r="W15" i="9"/>
  <c r="H109" i="5"/>
  <c r="I109" i="5" s="1"/>
  <c r="S10" i="10"/>
  <c r="X13" i="10"/>
  <c r="O13" i="10"/>
  <c r="J13" i="10"/>
  <c r="Y13" i="10"/>
  <c r="L13" i="10"/>
  <c r="V13" i="10"/>
  <c r="I13" i="10"/>
  <c r="P13" i="10"/>
  <c r="M13" i="10"/>
  <c r="S13" i="10"/>
  <c r="W13" i="10"/>
  <c r="Q13" i="10"/>
  <c r="N13" i="10"/>
  <c r="R13" i="10"/>
  <c r="U13" i="10"/>
  <c r="T13" i="10"/>
  <c r="K13" i="10"/>
  <c r="H13" i="10"/>
  <c r="Z13" i="12"/>
  <c r="V13" i="12"/>
  <c r="Q13" i="12"/>
  <c r="Q13" i="13" s="1"/>
  <c r="H13" i="12"/>
  <c r="Y13" i="12"/>
  <c r="I13" i="12"/>
  <c r="I13" i="13" s="1"/>
  <c r="N13" i="12"/>
  <c r="K13" i="12"/>
  <c r="K13" i="13" s="1"/>
  <c r="T13" i="12"/>
  <c r="L13" i="12"/>
  <c r="L13" i="13" s="1"/>
  <c r="O13" i="12"/>
  <c r="O13" i="13" s="1"/>
  <c r="X13" i="12"/>
  <c r="J13" i="12"/>
  <c r="J13" i="13" s="1"/>
  <c r="P13" i="12"/>
  <c r="P13" i="13" s="1"/>
  <c r="R13" i="12"/>
  <c r="R13" i="13" s="1"/>
  <c r="U13" i="12"/>
  <c r="W13" i="9"/>
  <c r="I10" i="10"/>
  <c r="N13" i="9"/>
  <c r="W12" i="9"/>
  <c r="AC140" i="10"/>
  <c r="N10" i="10"/>
  <c r="V9" i="10"/>
  <c r="W8" i="10"/>
  <c r="S9" i="10"/>
  <c r="W9" i="10"/>
  <c r="O10" i="10"/>
  <c r="H8" i="10"/>
  <c r="Y8" i="10"/>
  <c r="K10" i="10"/>
  <c r="J8" i="10"/>
  <c r="L12" i="10"/>
  <c r="S12" i="10"/>
  <c r="J12" i="10"/>
  <c r="X8" i="10"/>
  <c r="O11" i="10"/>
  <c r="M9" i="10"/>
  <c r="S8" i="10"/>
  <c r="P11" i="10"/>
  <c r="Q9" i="10"/>
  <c r="R12" i="10"/>
  <c r="W11" i="10"/>
  <c r="H10" i="10"/>
  <c r="P12" i="10"/>
  <c r="U11" i="10"/>
  <c r="N11" i="10"/>
  <c r="X10" i="10"/>
  <c r="X9" i="10"/>
  <c r="V10" i="10"/>
  <c r="U10" i="10"/>
  <c r="Q8" i="10"/>
  <c r="R8" i="10"/>
  <c r="T10" i="10"/>
  <c r="X12" i="10"/>
  <c r="V12" i="10"/>
  <c r="V11" i="10"/>
  <c r="M10" i="10"/>
  <c r="K11" i="10"/>
  <c r="N12" i="10"/>
  <c r="I12" i="10"/>
  <c r="T11" i="10"/>
  <c r="L11" i="10"/>
  <c r="I8" i="10"/>
  <c r="U12" i="10"/>
  <c r="J11" i="10"/>
  <c r="I11" i="10"/>
  <c r="H9" i="10"/>
  <c r="U8" i="10"/>
  <c r="W10" i="10"/>
  <c r="T12" i="10"/>
  <c r="L8" i="10"/>
  <c r="Y12" i="10"/>
  <c r="Y11" i="10"/>
  <c r="Q12" i="10"/>
  <c r="H11" i="10"/>
  <c r="N8" i="10"/>
  <c r="V8" i="10"/>
  <c r="Q11" i="10"/>
  <c r="H12" i="10"/>
  <c r="W12" i="10"/>
  <c r="R9" i="10"/>
  <c r="J9" i="10"/>
  <c r="P8" i="10"/>
  <c r="X11" i="10"/>
  <c r="L9" i="10"/>
  <c r="S11" i="10"/>
  <c r="O12" i="10"/>
  <c r="M11" i="10"/>
  <c r="M8" i="10"/>
  <c r="K12" i="10"/>
  <c r="M12" i="10"/>
  <c r="O9" i="10"/>
  <c r="O8" i="10"/>
  <c r="Q10" i="10"/>
  <c r="U9" i="10"/>
  <c r="L10" i="10"/>
  <c r="N9" i="10"/>
  <c r="I9" i="10"/>
  <c r="R11" i="10"/>
  <c r="P12" i="12"/>
  <c r="P12" i="13" s="1"/>
  <c r="V8" i="12"/>
  <c r="Z11" i="12"/>
  <c r="Y12" i="12"/>
  <c r="O9" i="12"/>
  <c r="O9" i="13" s="1"/>
  <c r="N12" i="12"/>
  <c r="E12" i="12"/>
  <c r="P11" i="5" s="1"/>
  <c r="H12" i="12"/>
  <c r="H12" i="13" s="1"/>
  <c r="P8" i="12"/>
  <c r="P8" i="13" s="1"/>
  <c r="T8" i="12"/>
  <c r="Q11" i="12"/>
  <c r="Q11" i="13" s="1"/>
  <c r="V9" i="12"/>
  <c r="H11" i="12"/>
  <c r="E9" i="12"/>
  <c r="Q12" i="12"/>
  <c r="Q12" i="13" s="1"/>
  <c r="P9" i="12"/>
  <c r="P9" i="13" s="1"/>
  <c r="V12" i="12"/>
  <c r="J9" i="12"/>
  <c r="J9" i="13" s="1"/>
  <c r="K10" i="12"/>
  <c r="K10" i="13" s="1"/>
  <c r="N8" i="12"/>
  <c r="R8" i="12"/>
  <c r="R8" i="13" s="1"/>
  <c r="H8" i="12"/>
  <c r="O12" i="12"/>
  <c r="O12" i="13" s="1"/>
  <c r="V11" i="12"/>
  <c r="E10" i="12"/>
  <c r="P11" i="12"/>
  <c r="P11" i="13" s="1"/>
  <c r="I8" i="12"/>
  <c r="I8" i="13" s="1"/>
  <c r="I11" i="12"/>
  <c r="I11" i="13" s="1"/>
  <c r="Y8" i="12"/>
  <c r="Z12" i="12"/>
  <c r="Y9" i="12"/>
  <c r="R11" i="12"/>
  <c r="R11" i="13" s="1"/>
  <c r="T10" i="12"/>
  <c r="L10" i="12"/>
  <c r="L10" i="13" s="1"/>
  <c r="U12" i="12"/>
  <c r="X9" i="12"/>
  <c r="P10" i="12"/>
  <c r="P10" i="13" s="1"/>
  <c r="N9" i="12"/>
  <c r="J11" i="12"/>
  <c r="J11" i="13" s="1"/>
  <c r="L11" i="12"/>
  <c r="L11" i="13" s="1"/>
  <c r="Z9" i="12"/>
  <c r="E8" i="12"/>
  <c r="P7" i="5" s="1"/>
  <c r="X8" i="12"/>
  <c r="Y11" i="12"/>
  <c r="R12" i="12"/>
  <c r="R12" i="13" s="1"/>
  <c r="Y10" i="12"/>
  <c r="L8" i="12"/>
  <c r="L8" i="13" s="1"/>
  <c r="L12" i="12"/>
  <c r="L12" i="13" s="1"/>
  <c r="U11" i="12"/>
  <c r="X10" i="12"/>
  <c r="R10" i="12"/>
  <c r="R10" i="13" s="1"/>
  <c r="O11" i="12"/>
  <c r="O11" i="13" s="1"/>
  <c r="N10" i="12"/>
  <c r="U8" i="12"/>
  <c r="Z10" i="12"/>
  <c r="X12" i="12"/>
  <c r="K12" i="12"/>
  <c r="K12" i="13" s="1"/>
  <c r="I10" i="12"/>
  <c r="I10" i="13" s="1"/>
  <c r="Z8" i="12"/>
  <c r="V10" i="12"/>
  <c r="T12" i="12"/>
  <c r="U10" i="12"/>
  <c r="O10" i="12"/>
  <c r="O10" i="13" s="1"/>
  <c r="T11" i="12"/>
  <c r="N11" i="12"/>
  <c r="H9" i="12"/>
  <c r="J12" i="12"/>
  <c r="J12" i="13" s="1"/>
  <c r="Q10" i="12"/>
  <c r="Q10" i="13" s="1"/>
  <c r="U9" i="12"/>
  <c r="J10" i="12"/>
  <c r="J10" i="13" s="1"/>
  <c r="O8" i="12"/>
  <c r="O8" i="13" s="1"/>
  <c r="L9" i="12"/>
  <c r="L9" i="13" s="1"/>
  <c r="R9" i="12"/>
  <c r="R9" i="13" s="1"/>
  <c r="J8" i="12"/>
  <c r="J8" i="13" s="1"/>
  <c r="X11" i="12"/>
  <c r="K11" i="12"/>
  <c r="K11" i="13" s="1"/>
  <c r="H10" i="12"/>
  <c r="I12" i="12"/>
  <c r="I12" i="13" s="1"/>
  <c r="I9" i="12"/>
  <c r="I9" i="13" s="1"/>
  <c r="T9" i="12"/>
  <c r="E11" i="12"/>
  <c r="J10" i="10"/>
  <c r="H10" i="5"/>
  <c r="Z10" i="10"/>
  <c r="P111" i="10"/>
  <c r="P9" i="10" s="1"/>
  <c r="N9" i="9"/>
  <c r="W10" i="9"/>
  <c r="W9" i="9"/>
  <c r="W8" i="9"/>
  <c r="W11" i="9"/>
  <c r="N11" i="9"/>
  <c r="N12" i="9"/>
  <c r="N8" i="9"/>
  <c r="N10" i="9"/>
  <c r="Z141" i="10"/>
  <c r="AA141" i="10" s="1"/>
  <c r="AC141" i="10" s="1"/>
  <c r="Z110" i="10"/>
  <c r="AA110" i="10" s="1"/>
  <c r="AC110" i="10" s="1"/>
  <c r="C51" i="10"/>
  <c r="G52" i="10"/>
  <c r="Y111" i="10"/>
  <c r="Y9" i="10" s="1"/>
  <c r="A52" i="5"/>
  <c r="B52" i="5" s="1"/>
  <c r="D53" i="5"/>
  <c r="C53" i="13"/>
  <c r="G54" i="13"/>
  <c r="D53" i="13"/>
  <c r="A140" i="5"/>
  <c r="B140" i="5" s="1"/>
  <c r="Y140" i="5"/>
  <c r="D141" i="5"/>
  <c r="AA14" i="12" l="1"/>
  <c r="W11" i="12"/>
  <c r="W11" i="13" s="1"/>
  <c r="W12" i="12"/>
  <c r="S15" i="12"/>
  <c r="N14" i="13"/>
  <c r="S14" i="12"/>
  <c r="W14" i="12"/>
  <c r="W14" i="13" s="1"/>
  <c r="W15" i="12"/>
  <c r="N12" i="13"/>
  <c r="S12" i="12"/>
  <c r="S12" i="13" s="1"/>
  <c r="W13" i="12"/>
  <c r="N13" i="13"/>
  <c r="S13" i="12"/>
  <c r="S13" i="13" s="1"/>
  <c r="M14" i="12"/>
  <c r="Z14" i="10"/>
  <c r="AA14" i="10" s="1"/>
  <c r="G249" i="13"/>
  <c r="D249" i="13" s="1"/>
  <c r="G250" i="10"/>
  <c r="G251" i="10" s="1"/>
  <c r="AA15" i="12"/>
  <c r="Z15" i="10"/>
  <c r="AA15" i="10" s="1"/>
  <c r="M15" i="12"/>
  <c r="D23" i="14"/>
  <c r="H13" i="13"/>
  <c r="V12" i="5" s="1"/>
  <c r="Z13" i="10"/>
  <c r="AA13" i="10" s="1"/>
  <c r="T11" i="5"/>
  <c r="V11" i="5" s="1"/>
  <c r="I189" i="5"/>
  <c r="H11" i="14"/>
  <c r="T7" i="5"/>
  <c r="U7" i="5" s="1"/>
  <c r="X7" i="5"/>
  <c r="P10" i="5"/>
  <c r="X10" i="5" s="1"/>
  <c r="P9" i="5"/>
  <c r="X9" i="5" s="1"/>
  <c r="AA13" i="12"/>
  <c r="AA13" i="13" s="1"/>
  <c r="M13" i="12"/>
  <c r="M13" i="13" s="1"/>
  <c r="I201" i="5"/>
  <c r="X11" i="5"/>
  <c r="I171" i="5"/>
  <c r="I197" i="5"/>
  <c r="I199" i="5"/>
  <c r="I200" i="5"/>
  <c r="I196" i="5"/>
  <c r="I198" i="5"/>
  <c r="I172" i="5"/>
  <c r="I174" i="5"/>
  <c r="I173" i="5"/>
  <c r="I175" i="5"/>
  <c r="I176" i="5"/>
  <c r="I178" i="5"/>
  <c r="I177" i="5"/>
  <c r="I179" i="5"/>
  <c r="I180" i="5"/>
  <c r="I181" i="5"/>
  <c r="I182" i="5"/>
  <c r="I183" i="5"/>
  <c r="I184" i="5"/>
  <c r="I185" i="5"/>
  <c r="I186" i="5"/>
  <c r="I187" i="5"/>
  <c r="I188" i="5"/>
  <c r="I190" i="5"/>
  <c r="I191" i="5"/>
  <c r="I192" i="5"/>
  <c r="I194" i="5"/>
  <c r="I193" i="5"/>
  <c r="I195" i="5"/>
  <c r="P8" i="5"/>
  <c r="X8" i="5" s="1"/>
  <c r="W13" i="13"/>
  <c r="AB202" i="10"/>
  <c r="AC202" i="10" s="1"/>
  <c r="X12" i="5"/>
  <c r="I202" i="5"/>
  <c r="I203" i="5"/>
  <c r="H13" i="14" s="1"/>
  <c r="AC205" i="10"/>
  <c r="AC204" i="10"/>
  <c r="AB201" i="10"/>
  <c r="AC201" i="10" s="1"/>
  <c r="AC207" i="10"/>
  <c r="AC203" i="10"/>
  <c r="AC208" i="10"/>
  <c r="AC206" i="10"/>
  <c r="Z12" i="10"/>
  <c r="AA12" i="10" s="1"/>
  <c r="W12" i="13"/>
  <c r="AA11" i="12"/>
  <c r="AA11" i="13" s="1"/>
  <c r="Z9" i="10"/>
  <c r="AA9" i="10" s="1"/>
  <c r="H10" i="13"/>
  <c r="M10" i="12"/>
  <c r="M10" i="13" s="1"/>
  <c r="H11" i="13"/>
  <c r="M11" i="12"/>
  <c r="AB181" i="10"/>
  <c r="AC181" i="10" s="1"/>
  <c r="AB191" i="10"/>
  <c r="AC191" i="10" s="1"/>
  <c r="AB179" i="10"/>
  <c r="AC179" i="10" s="1"/>
  <c r="AB183" i="10"/>
  <c r="AC183" i="10" s="1"/>
  <c r="AB177" i="10"/>
  <c r="AC177" i="10" s="1"/>
  <c r="AB197" i="10"/>
  <c r="AC197" i="10" s="1"/>
  <c r="AB175" i="10"/>
  <c r="AC175" i="10" s="1"/>
  <c r="AB184" i="10"/>
  <c r="AC184" i="10" s="1"/>
  <c r="AB186" i="10"/>
  <c r="AC186" i="10" s="1"/>
  <c r="AB176" i="10"/>
  <c r="AC176" i="10" s="1"/>
  <c r="AB200" i="10"/>
  <c r="AC200" i="10" s="1"/>
  <c r="AB189" i="10"/>
  <c r="AC189" i="10" s="1"/>
  <c r="AB172" i="10"/>
  <c r="AC172" i="10" s="1"/>
  <c r="AB182" i="10"/>
  <c r="AC182" i="10" s="1"/>
  <c r="AB193" i="10"/>
  <c r="AC193" i="10" s="1"/>
  <c r="AB192" i="10"/>
  <c r="AC192" i="10" s="1"/>
  <c r="AB188" i="10"/>
  <c r="AC188" i="10" s="1"/>
  <c r="AB180" i="10"/>
  <c r="AC180" i="10" s="1"/>
  <c r="AB178" i="10"/>
  <c r="AC178" i="10" s="1"/>
  <c r="AB171" i="10"/>
  <c r="AC171" i="10" s="1"/>
  <c r="AB196" i="10"/>
  <c r="AC196" i="10" s="1"/>
  <c r="AB194" i="10"/>
  <c r="AC194" i="10" s="1"/>
  <c r="AB185" i="10"/>
  <c r="AC185" i="10" s="1"/>
  <c r="AB174" i="10"/>
  <c r="AC174" i="10" s="1"/>
  <c r="AB173" i="10"/>
  <c r="AC173" i="10" s="1"/>
  <c r="AB195" i="10"/>
  <c r="AC195" i="10" s="1"/>
  <c r="AB190" i="10"/>
  <c r="AC190" i="10" s="1"/>
  <c r="AB187" i="10"/>
  <c r="AC187" i="10" s="1"/>
  <c r="AB198" i="10"/>
  <c r="AC198" i="10" s="1"/>
  <c r="AB199" i="10"/>
  <c r="AC199" i="10" s="1"/>
  <c r="Z111" i="10"/>
  <c r="AA111" i="10" s="1"/>
  <c r="AC111" i="10" s="1"/>
  <c r="AA9" i="12"/>
  <c r="AA9" i="13" s="1"/>
  <c r="N8" i="13"/>
  <c r="S8" i="12"/>
  <c r="S8" i="13" s="1"/>
  <c r="AA8" i="12"/>
  <c r="AA8" i="13" s="1"/>
  <c r="Z11" i="10"/>
  <c r="AA11" i="10" s="1"/>
  <c r="N9" i="13"/>
  <c r="S9" i="12"/>
  <c r="S9" i="13" s="1"/>
  <c r="N10" i="13"/>
  <c r="S10" i="12"/>
  <c r="S10" i="13" s="1"/>
  <c r="H9" i="13"/>
  <c r="M9" i="12"/>
  <c r="M9" i="13" s="1"/>
  <c r="AA10" i="12"/>
  <c r="AA10" i="13" s="1"/>
  <c r="W8" i="12"/>
  <c r="W8" i="13" s="1"/>
  <c r="N11" i="13"/>
  <c r="S11" i="12"/>
  <c r="S11" i="13" s="1"/>
  <c r="W10" i="12"/>
  <c r="W10" i="13" s="1"/>
  <c r="H8" i="13"/>
  <c r="M8" i="12"/>
  <c r="M8" i="13" s="1"/>
  <c r="W9" i="12"/>
  <c r="W9" i="13" s="1"/>
  <c r="AA12" i="12"/>
  <c r="AA12" i="13" s="1"/>
  <c r="M12" i="12"/>
  <c r="M12" i="13" s="1"/>
  <c r="Z8" i="10"/>
  <c r="AA8" i="10" s="1"/>
  <c r="AA10" i="10"/>
  <c r="H141" i="5"/>
  <c r="I141" i="5" s="1"/>
  <c r="H110" i="5"/>
  <c r="I110" i="5" s="1"/>
  <c r="C52" i="10"/>
  <c r="G53" i="10"/>
  <c r="D54" i="5"/>
  <c r="A53" i="5"/>
  <c r="B53" i="5" s="1"/>
  <c r="D54" i="13"/>
  <c r="G55" i="13"/>
  <c r="C54" i="13"/>
  <c r="Y141" i="5"/>
  <c r="A141" i="5"/>
  <c r="B141" i="5" s="1"/>
  <c r="D142" i="5"/>
  <c r="M14" i="13" l="1"/>
  <c r="M15" i="13"/>
  <c r="S15" i="13"/>
  <c r="S14" i="13"/>
  <c r="G252" i="10"/>
  <c r="G251" i="13"/>
  <c r="D251" i="13" s="1"/>
  <c r="G250" i="13"/>
  <c r="D250" i="13" s="1"/>
  <c r="I12" i="5"/>
  <c r="I11" i="5"/>
  <c r="V7" i="5"/>
  <c r="T8" i="5"/>
  <c r="U8" i="5" s="1"/>
  <c r="T9" i="5"/>
  <c r="V9" i="5" s="1"/>
  <c r="T10" i="5"/>
  <c r="H111" i="5"/>
  <c r="I111" i="5" s="1"/>
  <c r="I8" i="5" s="1"/>
  <c r="U11" i="5"/>
  <c r="M11" i="13"/>
  <c r="D11" i="14"/>
  <c r="I9" i="5"/>
  <c r="H9" i="5"/>
  <c r="C53" i="10"/>
  <c r="G54" i="10"/>
  <c r="A54" i="5"/>
  <c r="B54" i="5" s="1"/>
  <c r="D55" i="5"/>
  <c r="C55" i="13"/>
  <c r="G56" i="13"/>
  <c r="D55" i="13"/>
  <c r="A142" i="5"/>
  <c r="B142" i="5" s="1"/>
  <c r="D143" i="5"/>
  <c r="Y142" i="5"/>
  <c r="U10" i="5" l="1"/>
  <c r="V10" i="5"/>
  <c r="G253" i="10"/>
  <c r="G252" i="13"/>
  <c r="D252" i="13" s="1"/>
  <c r="H8" i="5"/>
  <c r="H18" i="14" s="1"/>
  <c r="V8" i="5"/>
  <c r="U9" i="5"/>
  <c r="D18" i="14"/>
  <c r="C54" i="10"/>
  <c r="G55" i="10"/>
  <c r="D56" i="5"/>
  <c r="A55" i="5"/>
  <c r="B55" i="5" s="1"/>
  <c r="C56" i="13"/>
  <c r="G57" i="13"/>
  <c r="D56" i="13"/>
  <c r="Y143" i="5"/>
  <c r="D144" i="5"/>
  <c r="A143" i="5"/>
  <c r="B143" i="5" s="1"/>
  <c r="G254" i="10" l="1"/>
  <c r="G253" i="13"/>
  <c r="D253" i="13" s="1"/>
  <c r="C55" i="10"/>
  <c r="G56" i="10"/>
  <c r="D57" i="5"/>
  <c r="A56" i="5"/>
  <c r="B56" i="5" s="1"/>
  <c r="G58" i="13"/>
  <c r="D57" i="13"/>
  <c r="C57" i="13"/>
  <c r="D145" i="5"/>
  <c r="A144" i="5"/>
  <c r="B144" i="5" s="1"/>
  <c r="Y144" i="5"/>
  <c r="G254" i="13" l="1"/>
  <c r="D254" i="13" s="1"/>
  <c r="G255" i="10"/>
  <c r="C56" i="10"/>
  <c r="G57" i="10"/>
  <c r="D58" i="5"/>
  <c r="A57" i="5"/>
  <c r="B57" i="5" s="1"/>
  <c r="C58" i="13"/>
  <c r="D58" i="13"/>
  <c r="G59" i="13"/>
  <c r="D146" i="5"/>
  <c r="A145" i="5"/>
  <c r="B145" i="5" s="1"/>
  <c r="Y145" i="5"/>
  <c r="G255" i="13" l="1"/>
  <c r="D255" i="13" s="1"/>
  <c r="G256" i="10"/>
  <c r="G257" i="10" s="1"/>
  <c r="C57" i="10"/>
  <c r="G58" i="10"/>
  <c r="D59" i="5"/>
  <c r="A58" i="5"/>
  <c r="B58" i="5" s="1"/>
  <c r="G60" i="13"/>
  <c r="D59" i="13"/>
  <c r="C59" i="13"/>
  <c r="A146" i="5"/>
  <c r="B146" i="5" s="1"/>
  <c r="Y146" i="5"/>
  <c r="D147" i="5"/>
  <c r="G258" i="10" l="1"/>
  <c r="G257" i="13"/>
  <c r="D257" i="13" s="1"/>
  <c r="G256" i="13"/>
  <c r="D256" i="13" s="1"/>
  <c r="C58" i="10"/>
  <c r="G59" i="10"/>
  <c r="D60" i="5"/>
  <c r="A59" i="5"/>
  <c r="B59" i="5" s="1"/>
  <c r="C60" i="13"/>
  <c r="G61" i="13"/>
  <c r="D60" i="13"/>
  <c r="A147" i="5"/>
  <c r="B147" i="5" s="1"/>
  <c r="Y147" i="5"/>
  <c r="D148" i="5"/>
  <c r="G259" i="10" l="1"/>
  <c r="G258" i="13"/>
  <c r="D258" i="13" s="1"/>
  <c r="C59" i="10"/>
  <c r="G60" i="10"/>
  <c r="A60" i="5"/>
  <c r="B60" i="5" s="1"/>
  <c r="D61" i="5"/>
  <c r="G62" i="13"/>
  <c r="C61" i="13"/>
  <c r="D61" i="13"/>
  <c r="D149" i="5"/>
  <c r="A148" i="5"/>
  <c r="B148" i="5" s="1"/>
  <c r="Y148" i="5"/>
  <c r="G260" i="10" l="1"/>
  <c r="G259" i="13"/>
  <c r="D259" i="13" s="1"/>
  <c r="G61" i="10"/>
  <c r="C60" i="10"/>
  <c r="A61" i="5"/>
  <c r="B61" i="5" s="1"/>
  <c r="D62" i="5"/>
  <c r="C62" i="13"/>
  <c r="D62" i="13"/>
  <c r="G63" i="13"/>
  <c r="D150" i="5"/>
  <c r="A149" i="5"/>
  <c r="B149" i="5" s="1"/>
  <c r="Y149" i="5"/>
  <c r="G261" i="10" l="1"/>
  <c r="G262" i="10" s="1"/>
  <c r="G260" i="13"/>
  <c r="D260" i="13" s="1"/>
  <c r="G62" i="10"/>
  <c r="C61" i="10"/>
  <c r="A62" i="5"/>
  <c r="B62" i="5" s="1"/>
  <c r="D63" i="5"/>
  <c r="G64" i="13"/>
  <c r="D63" i="13"/>
  <c r="C63" i="13"/>
  <c r="Y150" i="5"/>
  <c r="A150" i="5"/>
  <c r="B150" i="5" s="1"/>
  <c r="D151" i="5"/>
  <c r="G262" i="13" l="1"/>
  <c r="D262" i="13" s="1"/>
  <c r="G263" i="10"/>
  <c r="G261" i="13"/>
  <c r="D261" i="13" s="1"/>
  <c r="C62" i="10"/>
  <c r="G63" i="10"/>
  <c r="A63" i="5"/>
  <c r="B63" i="5" s="1"/>
  <c r="D64" i="5"/>
  <c r="D64" i="13"/>
  <c r="G65" i="13"/>
  <c r="C64" i="13"/>
  <c r="Y151" i="5"/>
  <c r="D152" i="5"/>
  <c r="A151" i="5"/>
  <c r="B151" i="5" s="1"/>
  <c r="G264" i="10" l="1"/>
  <c r="G263" i="13"/>
  <c r="D263" i="13" s="1"/>
  <c r="C63" i="10"/>
  <c r="G64" i="10"/>
  <c r="A64" i="5"/>
  <c r="B64" i="5" s="1"/>
  <c r="D65" i="5"/>
  <c r="C65" i="13"/>
  <c r="D65" i="13"/>
  <c r="G66" i="13"/>
  <c r="A152" i="5"/>
  <c r="B152" i="5" s="1"/>
  <c r="D153" i="5"/>
  <c r="Y152" i="5"/>
  <c r="G265" i="10" l="1"/>
  <c r="G264" i="13"/>
  <c r="D264" i="13" s="1"/>
  <c r="G65" i="10"/>
  <c r="C64" i="10"/>
  <c r="D66" i="5"/>
  <c r="A65" i="5"/>
  <c r="B65" i="5" s="1"/>
  <c r="D66" i="13"/>
  <c r="C66" i="13"/>
  <c r="G67" i="13"/>
  <c r="A153" i="5"/>
  <c r="B153" i="5" s="1"/>
  <c r="Y153" i="5"/>
  <c r="D154" i="5"/>
  <c r="G266" i="10" l="1"/>
  <c r="G265" i="13"/>
  <c r="D265" i="13" s="1"/>
  <c r="C65" i="10"/>
  <c r="G66" i="10"/>
  <c r="A66" i="5"/>
  <c r="B66" i="5" s="1"/>
  <c r="D67" i="5"/>
  <c r="C67" i="13"/>
  <c r="G68" i="13"/>
  <c r="D67" i="13"/>
  <c r="Y154" i="5"/>
  <c r="D155" i="5"/>
  <c r="A154" i="5"/>
  <c r="B154" i="5" s="1"/>
  <c r="G267" i="10" l="1"/>
  <c r="G266" i="13"/>
  <c r="D266" i="13" s="1"/>
  <c r="G67" i="10"/>
  <c r="C66" i="10"/>
  <c r="A67" i="5"/>
  <c r="B67" i="5" s="1"/>
  <c r="D68" i="5"/>
  <c r="G69" i="13"/>
  <c r="C68" i="13"/>
  <c r="D68" i="13"/>
  <c r="Y155" i="5"/>
  <c r="D156" i="5"/>
  <c r="A155" i="5"/>
  <c r="B155" i="5" s="1"/>
  <c r="G268" i="10" l="1"/>
  <c r="G267" i="13"/>
  <c r="D267" i="13" s="1"/>
  <c r="G68" i="10"/>
  <c r="C67" i="10"/>
  <c r="A68" i="5"/>
  <c r="B68" i="5" s="1"/>
  <c r="D69" i="5"/>
  <c r="G70" i="13"/>
  <c r="C69" i="13"/>
  <c r="D69" i="13"/>
  <c r="Y156" i="5"/>
  <c r="A156" i="5"/>
  <c r="B156" i="5" s="1"/>
  <c r="D157" i="5"/>
  <c r="G269" i="10" l="1"/>
  <c r="G270" i="10" s="1"/>
  <c r="G268" i="13"/>
  <c r="D268" i="13" s="1"/>
  <c r="G69" i="10"/>
  <c r="C68" i="10"/>
  <c r="D70" i="5"/>
  <c r="A69" i="5"/>
  <c r="B69" i="5" s="1"/>
  <c r="D70" i="13"/>
  <c r="G71" i="13"/>
  <c r="C70" i="13"/>
  <c r="D158" i="5"/>
  <c r="Y157" i="5"/>
  <c r="A157" i="5"/>
  <c r="B157" i="5" s="1"/>
  <c r="G271" i="10" l="1"/>
  <c r="G272" i="10" s="1"/>
  <c r="G270" i="13"/>
  <c r="D270" i="13" s="1"/>
  <c r="G269" i="13"/>
  <c r="D269" i="13" s="1"/>
  <c r="G70" i="10"/>
  <c r="C69" i="10"/>
  <c r="D71" i="5"/>
  <c r="A70" i="5"/>
  <c r="B70" i="5" s="1"/>
  <c r="G72" i="13"/>
  <c r="D71" i="13"/>
  <c r="C71" i="13"/>
  <c r="D159" i="5"/>
  <c r="A158" i="5"/>
  <c r="B158" i="5" s="1"/>
  <c r="Y158" i="5"/>
  <c r="G273" i="10" l="1"/>
  <c r="G272" i="13"/>
  <c r="D272" i="13" s="1"/>
  <c r="G271" i="13"/>
  <c r="D271" i="13" s="1"/>
  <c r="G71" i="10"/>
  <c r="C70" i="10"/>
  <c r="D72" i="5"/>
  <c r="A71" i="5"/>
  <c r="B71" i="5" s="1"/>
  <c r="C72" i="13"/>
  <c r="D72" i="13"/>
  <c r="G73" i="13"/>
  <c r="D160" i="5"/>
  <c r="A159" i="5"/>
  <c r="B159" i="5" s="1"/>
  <c r="Y159" i="5"/>
  <c r="G274" i="10" l="1"/>
  <c r="G273" i="13"/>
  <c r="D273" i="13" s="1"/>
  <c r="G72" i="10"/>
  <c r="C71" i="10"/>
  <c r="D73" i="5"/>
  <c r="A72" i="5"/>
  <c r="B72" i="5" s="1"/>
  <c r="D73" i="13"/>
  <c r="C73" i="13"/>
  <c r="G74" i="13"/>
  <c r="A160" i="5"/>
  <c r="B160" i="5" s="1"/>
  <c r="D161" i="5"/>
  <c r="Y160" i="5"/>
  <c r="G275" i="10" l="1"/>
  <c r="G274" i="13"/>
  <c r="D274" i="13" s="1"/>
  <c r="C72" i="10"/>
  <c r="G73" i="10"/>
  <c r="D74" i="5"/>
  <c r="A73" i="5"/>
  <c r="B73" i="5" s="1"/>
  <c r="D74" i="13"/>
  <c r="C74" i="13"/>
  <c r="G75" i="13"/>
  <c r="D162" i="5"/>
  <c r="Y161" i="5"/>
  <c r="A161" i="5"/>
  <c r="B161" i="5" s="1"/>
  <c r="G276" i="10" l="1"/>
  <c r="G275" i="13"/>
  <c r="D275" i="13" s="1"/>
  <c r="C73" i="10"/>
  <c r="G74" i="10"/>
  <c r="A74" i="5"/>
  <c r="B74" i="5" s="1"/>
  <c r="D75" i="5"/>
  <c r="G76" i="13"/>
  <c r="C75" i="13"/>
  <c r="D75" i="13"/>
  <c r="A162" i="5"/>
  <c r="B162" i="5" s="1"/>
  <c r="D163" i="5"/>
  <c r="Y162" i="5"/>
  <c r="G277" i="10" l="1"/>
  <c r="G276" i="13"/>
  <c r="D276" i="13" s="1"/>
  <c r="C74" i="10"/>
  <c r="G75" i="10"/>
  <c r="A75" i="5"/>
  <c r="B75" i="5" s="1"/>
  <c r="D76" i="5"/>
  <c r="D76" i="13"/>
  <c r="C76" i="13"/>
  <c r="G77" i="13"/>
  <c r="A163" i="5"/>
  <c r="B163" i="5" s="1"/>
  <c r="D164" i="5"/>
  <c r="Y163" i="5"/>
  <c r="G277" i="13" l="1"/>
  <c r="D277" i="13" s="1"/>
  <c r="F15" i="13"/>
  <c r="T15" i="13" s="1"/>
  <c r="G76" i="10"/>
  <c r="C75" i="10"/>
  <c r="D77" i="5"/>
  <c r="A76" i="5"/>
  <c r="B76" i="5" s="1"/>
  <c r="D77" i="13"/>
  <c r="G78" i="13"/>
  <c r="C77" i="13"/>
  <c r="D165" i="5"/>
  <c r="Y164" i="5"/>
  <c r="A164" i="5"/>
  <c r="B164" i="5" s="1"/>
  <c r="AA15" i="13" l="1"/>
  <c r="O15" i="13"/>
  <c r="J15" i="13"/>
  <c r="K15" i="13"/>
  <c r="I15" i="13"/>
  <c r="L15" i="13"/>
  <c r="N15" i="13"/>
  <c r="H15" i="13"/>
  <c r="W15" i="13"/>
  <c r="P15" i="13"/>
  <c r="C14" i="5"/>
  <c r="R15" i="13"/>
  <c r="Q15" i="13"/>
  <c r="C76" i="10"/>
  <c r="G77" i="10"/>
  <c r="D78" i="5"/>
  <c r="A77" i="5"/>
  <c r="B77" i="5" s="1"/>
  <c r="D78" i="13"/>
  <c r="G79" i="13"/>
  <c r="C78" i="13"/>
  <c r="D166" i="5"/>
  <c r="A165" i="5"/>
  <c r="B165" i="5" s="1"/>
  <c r="Y165" i="5"/>
  <c r="V14" i="5" l="1"/>
  <c r="D24" i="14"/>
  <c r="H26" i="14" s="1"/>
  <c r="G78" i="10"/>
  <c r="C77" i="10"/>
  <c r="D79" i="5"/>
  <c r="A78" i="5"/>
  <c r="B78" i="5" s="1"/>
  <c r="G80" i="13"/>
  <c r="D79" i="13"/>
  <c r="C79" i="13"/>
  <c r="A166" i="5"/>
  <c r="B166" i="5" s="1"/>
  <c r="D167" i="5"/>
  <c r="Y166" i="5"/>
  <c r="G79" i="10" l="1"/>
  <c r="C78" i="10"/>
  <c r="D80" i="5"/>
  <c r="A79" i="5"/>
  <c r="B79" i="5" s="1"/>
  <c r="C80" i="13"/>
  <c r="G81" i="13"/>
  <c r="D80" i="13"/>
  <c r="D168" i="5"/>
  <c r="Y167" i="5"/>
  <c r="A167" i="5"/>
  <c r="B167" i="5" s="1"/>
  <c r="G80" i="10" l="1"/>
  <c r="C79" i="10"/>
  <c r="A80" i="5"/>
  <c r="B80" i="5" s="1"/>
  <c r="D81" i="5"/>
  <c r="G82" i="13"/>
  <c r="D81" i="13"/>
  <c r="C81" i="13"/>
  <c r="A168" i="5"/>
  <c r="B168" i="5" s="1"/>
  <c r="D169" i="5"/>
  <c r="Y168" i="5"/>
  <c r="G81" i="10" l="1"/>
  <c r="C80" i="10"/>
  <c r="D82" i="5"/>
  <c r="A81" i="5"/>
  <c r="B81" i="5" s="1"/>
  <c r="C82" i="13"/>
  <c r="D82" i="13"/>
  <c r="G83" i="13"/>
  <c r="Y169" i="5"/>
  <c r="A169" i="5"/>
  <c r="B169" i="5" s="1"/>
  <c r="D170" i="5"/>
  <c r="C81" i="10" l="1"/>
  <c r="G82" i="10"/>
  <c r="A82" i="5"/>
  <c r="B82" i="5" s="1"/>
  <c r="D83" i="5"/>
  <c r="G84" i="13"/>
  <c r="D83" i="13"/>
  <c r="C83" i="13"/>
  <c r="A170" i="5"/>
  <c r="B170" i="5" s="1"/>
  <c r="D171" i="5"/>
  <c r="Y170" i="5"/>
  <c r="C82" i="10" l="1"/>
  <c r="G83" i="10"/>
  <c r="D84" i="5"/>
  <c r="A83" i="5"/>
  <c r="B83" i="5" s="1"/>
  <c r="C84" i="13"/>
  <c r="D84" i="13"/>
  <c r="G85" i="13"/>
  <c r="A171" i="5"/>
  <c r="B171" i="5" s="1"/>
  <c r="D172" i="5"/>
  <c r="Y171" i="5"/>
  <c r="C83" i="10" l="1"/>
  <c r="G84" i="10"/>
  <c r="D85" i="5"/>
  <c r="A84" i="5"/>
  <c r="B84" i="5" s="1"/>
  <c r="C85" i="13"/>
  <c r="G86" i="13"/>
  <c r="D85" i="13"/>
  <c r="Y172" i="5"/>
  <c r="D173" i="5"/>
  <c r="A172" i="5"/>
  <c r="B172" i="5" s="1"/>
  <c r="G85" i="10" l="1"/>
  <c r="C84" i="10"/>
  <c r="D86" i="5"/>
  <c r="A85" i="5"/>
  <c r="B85" i="5" s="1"/>
  <c r="D86" i="13"/>
  <c r="G87" i="13"/>
  <c r="C86" i="13"/>
  <c r="D174" i="5"/>
  <c r="Y173" i="5"/>
  <c r="A173" i="5"/>
  <c r="B173" i="5" s="1"/>
  <c r="C85" i="10" l="1"/>
  <c r="G86" i="10"/>
  <c r="A86" i="5"/>
  <c r="B86" i="5" s="1"/>
  <c r="D87" i="5"/>
  <c r="G88" i="13"/>
  <c r="D87" i="13"/>
  <c r="C87" i="13"/>
  <c r="Y174" i="5"/>
  <c r="A174" i="5"/>
  <c r="B174" i="5" s="1"/>
  <c r="D175" i="5"/>
  <c r="C86" i="10" l="1"/>
  <c r="G87" i="10"/>
  <c r="D88" i="5"/>
  <c r="A87" i="5"/>
  <c r="B87" i="5" s="1"/>
  <c r="C88" i="13"/>
  <c r="G89" i="13"/>
  <c r="D88" i="13"/>
  <c r="A175" i="5"/>
  <c r="B175" i="5" s="1"/>
  <c r="Y175" i="5"/>
  <c r="D176" i="5"/>
  <c r="G88" i="10" l="1"/>
  <c r="C87" i="10"/>
  <c r="D89" i="5"/>
  <c r="A88" i="5"/>
  <c r="B88" i="5" s="1"/>
  <c r="D89" i="13"/>
  <c r="G90" i="13"/>
  <c r="C89" i="13"/>
  <c r="D177" i="5"/>
  <c r="A176" i="5"/>
  <c r="B176" i="5" s="1"/>
  <c r="Y176" i="5"/>
  <c r="G89" i="10" l="1"/>
  <c r="C88" i="10"/>
  <c r="D90" i="5"/>
  <c r="A89" i="5"/>
  <c r="B89" i="5" s="1"/>
  <c r="G91" i="13"/>
  <c r="C90" i="13"/>
  <c r="D90" i="13"/>
  <c r="Y177" i="5"/>
  <c r="A177" i="5"/>
  <c r="B177" i="5" s="1"/>
  <c r="D178" i="5"/>
  <c r="G90" i="10" l="1"/>
  <c r="C89" i="10"/>
  <c r="A90" i="5"/>
  <c r="B90" i="5" s="1"/>
  <c r="D91" i="5"/>
  <c r="C91" i="13"/>
  <c r="G92" i="13"/>
  <c r="D91" i="13"/>
  <c r="Y178" i="5"/>
  <c r="D179" i="5"/>
  <c r="A178" i="5"/>
  <c r="B178" i="5" s="1"/>
  <c r="G91" i="10" l="1"/>
  <c r="C90" i="10"/>
  <c r="D92" i="5"/>
  <c r="A91" i="5"/>
  <c r="B91" i="5" s="1"/>
  <c r="G93" i="13"/>
  <c r="C92" i="13"/>
  <c r="D92" i="13"/>
  <c r="Y179" i="5"/>
  <c r="A179" i="5"/>
  <c r="B179" i="5" s="1"/>
  <c r="D180" i="5"/>
  <c r="G92" i="10" l="1"/>
  <c r="C91" i="10"/>
  <c r="A92" i="5"/>
  <c r="B92" i="5" s="1"/>
  <c r="D93" i="5"/>
  <c r="C93" i="13"/>
  <c r="D93" i="13"/>
  <c r="G94" i="13"/>
  <c r="Y180" i="5"/>
  <c r="A180" i="5"/>
  <c r="B180" i="5" s="1"/>
  <c r="D181" i="5"/>
  <c r="G93" i="10" l="1"/>
  <c r="C92" i="10"/>
  <c r="A93" i="5"/>
  <c r="B93" i="5" s="1"/>
  <c r="D94" i="5"/>
  <c r="C94" i="13"/>
  <c r="G95" i="13"/>
  <c r="D94" i="13"/>
  <c r="Y181" i="5"/>
  <c r="D182" i="5"/>
  <c r="A181" i="5"/>
  <c r="B181" i="5" s="1"/>
  <c r="C93" i="10" l="1"/>
  <c r="G94" i="10"/>
  <c r="A94" i="5"/>
  <c r="B94" i="5" s="1"/>
  <c r="D95" i="5"/>
  <c r="G96" i="13"/>
  <c r="D95" i="13"/>
  <c r="C95" i="13"/>
  <c r="D183" i="5"/>
  <c r="A182" i="5"/>
  <c r="B182" i="5" s="1"/>
  <c r="Y182" i="5"/>
  <c r="G95" i="10" l="1"/>
  <c r="C94" i="10"/>
  <c r="A95" i="5"/>
  <c r="B95" i="5" s="1"/>
  <c r="D96" i="5"/>
  <c r="G97" i="13"/>
  <c r="D96" i="13"/>
  <c r="C96" i="13"/>
  <c r="D184" i="5"/>
  <c r="A183" i="5"/>
  <c r="B183" i="5" s="1"/>
  <c r="Y183" i="5"/>
  <c r="G96" i="10" l="1"/>
  <c r="C95" i="10"/>
  <c r="A96" i="5"/>
  <c r="B96" i="5" s="1"/>
  <c r="D97" i="5"/>
  <c r="D97" i="13"/>
  <c r="G98" i="13"/>
  <c r="C97" i="13"/>
  <c r="Y184" i="5"/>
  <c r="A184" i="5"/>
  <c r="B184" i="5" s="1"/>
  <c r="D185" i="5"/>
  <c r="G97" i="10" l="1"/>
  <c r="C96" i="10"/>
  <c r="A97" i="5"/>
  <c r="B97" i="5" s="1"/>
  <c r="D98" i="5"/>
  <c r="G99" i="13"/>
  <c r="D98" i="13"/>
  <c r="C98" i="13"/>
  <c r="D186" i="5"/>
  <c r="A185" i="5"/>
  <c r="B185" i="5" s="1"/>
  <c r="Y185" i="5"/>
  <c r="C97" i="10" l="1"/>
  <c r="G98" i="10"/>
  <c r="D99" i="5"/>
  <c r="A98" i="5"/>
  <c r="B98" i="5" s="1"/>
  <c r="D99" i="13"/>
  <c r="G100" i="13"/>
  <c r="C99" i="13"/>
  <c r="Y186" i="5"/>
  <c r="A186" i="5"/>
  <c r="B186" i="5" s="1"/>
  <c r="D187" i="5"/>
  <c r="C98" i="10" l="1"/>
  <c r="G99" i="10"/>
  <c r="D100" i="5"/>
  <c r="A99" i="5"/>
  <c r="B99" i="5" s="1"/>
  <c r="D100" i="13"/>
  <c r="C100" i="13"/>
  <c r="G101" i="13"/>
  <c r="D188" i="5"/>
  <c r="A187" i="5"/>
  <c r="B187" i="5" s="1"/>
  <c r="Y187" i="5"/>
  <c r="C99" i="10" l="1"/>
  <c r="G100" i="10"/>
  <c r="A100" i="5"/>
  <c r="B100" i="5" s="1"/>
  <c r="D101" i="5"/>
  <c r="D101" i="13"/>
  <c r="G102" i="13"/>
  <c r="C101" i="13"/>
  <c r="D189" i="5"/>
  <c r="A188" i="5"/>
  <c r="B188" i="5" s="1"/>
  <c r="Y188" i="5"/>
  <c r="G101" i="10" l="1"/>
  <c r="C100" i="10"/>
  <c r="A101" i="5"/>
  <c r="B101" i="5" s="1"/>
  <c r="D102" i="13"/>
  <c r="G103" i="13"/>
  <c r="C102" i="13"/>
  <c r="D190" i="5"/>
  <c r="A189" i="5"/>
  <c r="B189" i="5" s="1"/>
  <c r="Y189" i="5"/>
  <c r="C101" i="10" l="1"/>
  <c r="G104" i="13"/>
  <c r="D103" i="13"/>
  <c r="C103" i="13"/>
  <c r="A190" i="5"/>
  <c r="B190" i="5" s="1"/>
  <c r="D191" i="5"/>
  <c r="Y190" i="5"/>
  <c r="C104" i="13" l="1"/>
  <c r="G105" i="13"/>
  <c r="D104" i="13"/>
  <c r="A191" i="5"/>
  <c r="B191" i="5" s="1"/>
  <c r="D192" i="5"/>
  <c r="Y191" i="5"/>
  <c r="C105" i="13" l="1"/>
  <c r="G106" i="13"/>
  <c r="D105" i="13"/>
  <c r="Y192" i="5"/>
  <c r="A192" i="5"/>
  <c r="B192" i="5" s="1"/>
  <c r="D193" i="5"/>
  <c r="D106" i="13" l="1"/>
  <c r="G107" i="13"/>
  <c r="C106" i="13"/>
  <c r="Y193" i="5"/>
  <c r="A193" i="5"/>
  <c r="B193" i="5" s="1"/>
  <c r="D194" i="5"/>
  <c r="G108" i="13" l="1"/>
  <c r="C107" i="13"/>
  <c r="D107" i="13"/>
  <c r="A194" i="5"/>
  <c r="B194" i="5" s="1"/>
  <c r="D195" i="5"/>
  <c r="Y194" i="5"/>
  <c r="C108" i="13" l="1"/>
  <c r="G109" i="13"/>
  <c r="D108" i="13"/>
  <c r="D196" i="5"/>
  <c r="D197" i="5" s="1"/>
  <c r="Y195" i="5"/>
  <c r="A195" i="5"/>
  <c r="B195" i="5" s="1"/>
  <c r="A197" i="5" l="1"/>
  <c r="B197" i="5" s="1"/>
  <c r="D198" i="5"/>
  <c r="Y197" i="5"/>
  <c r="C109" i="13"/>
  <c r="G110" i="13"/>
  <c r="D109" i="13"/>
  <c r="A196" i="5"/>
  <c r="B196" i="5" s="1"/>
  <c r="Y196" i="5"/>
  <c r="A198" i="5" l="1"/>
  <c r="B198" i="5" s="1"/>
  <c r="D199" i="5"/>
  <c r="Y198" i="5"/>
  <c r="D110" i="13"/>
  <c r="C110" i="13"/>
  <c r="G111" i="13"/>
  <c r="Y199" i="5" l="1"/>
  <c r="A199" i="5"/>
  <c r="B199" i="5" s="1"/>
  <c r="D200" i="5"/>
  <c r="D201" i="5" s="1"/>
  <c r="C111" i="13"/>
  <c r="G112" i="13"/>
  <c r="D111" i="13"/>
  <c r="A201" i="5" l="1"/>
  <c r="B201" i="5" s="1"/>
  <c r="D202" i="5"/>
  <c r="Y201" i="5"/>
  <c r="A200" i="5"/>
  <c r="B200" i="5" s="1"/>
  <c r="Y200" i="5"/>
  <c r="G113" i="13"/>
  <c r="C112" i="13"/>
  <c r="D112" i="13"/>
  <c r="A202" i="5" l="1"/>
  <c r="B202" i="5" s="1"/>
  <c r="D203" i="5"/>
  <c r="Y203" i="5" s="1"/>
  <c r="Y202" i="5"/>
  <c r="G114" i="13"/>
  <c r="C113" i="13"/>
  <c r="D113" i="13"/>
  <c r="A203" i="5" l="1"/>
  <c r="B203" i="5" s="1"/>
  <c r="D204" i="5"/>
  <c r="Y204" i="5" s="1"/>
  <c r="G115" i="13"/>
  <c r="D114" i="13"/>
  <c r="C114" i="13"/>
  <c r="A204" i="5" l="1"/>
  <c r="B204" i="5" s="1"/>
  <c r="D205" i="5"/>
  <c r="Y205" i="5" s="1"/>
  <c r="C115" i="13"/>
  <c r="G116" i="13"/>
  <c r="D115" i="13"/>
  <c r="A205" i="5" l="1"/>
  <c r="B205" i="5" s="1"/>
  <c r="D206" i="5"/>
  <c r="Y206" i="5" s="1"/>
  <c r="D116" i="13"/>
  <c r="C116" i="13"/>
  <c r="G117" i="13"/>
  <c r="D207" i="5" l="1"/>
  <c r="Y207" i="5" s="1"/>
  <c r="A206" i="5"/>
  <c r="B206" i="5" s="1"/>
  <c r="G118" i="13"/>
  <c r="C117" i="13"/>
  <c r="D117" i="13"/>
  <c r="A207" i="5" l="1"/>
  <c r="B207" i="5" s="1"/>
  <c r="D208" i="5"/>
  <c r="G119" i="13"/>
  <c r="C118" i="13"/>
  <c r="D118" i="13"/>
  <c r="D209" i="5" l="1"/>
  <c r="Y209" i="5" s="1"/>
  <c r="Y208" i="5"/>
  <c r="A209" i="5"/>
  <c r="B209" i="5" s="1"/>
  <c r="A208" i="5"/>
  <c r="B208" i="5" s="1"/>
  <c r="D119" i="13"/>
  <c r="C119" i="13"/>
  <c r="G120" i="13"/>
  <c r="D210" i="5" l="1"/>
  <c r="A210" i="5" s="1"/>
  <c r="B210" i="5" s="1"/>
  <c r="D120" i="13"/>
  <c r="C120" i="13"/>
  <c r="G121" i="13"/>
  <c r="Y210" i="5" l="1"/>
  <c r="D211" i="5"/>
  <c r="D121" i="13"/>
  <c r="C121" i="13"/>
  <c r="G122" i="13"/>
  <c r="D212" i="5" l="1"/>
  <c r="Y211" i="5"/>
  <c r="A211" i="5"/>
  <c r="B211" i="5" s="1"/>
  <c r="G123" i="13"/>
  <c r="C122" i="13"/>
  <c r="D122" i="13"/>
  <c r="A212" i="5" l="1"/>
  <c r="B212" i="5" s="1"/>
  <c r="Y212" i="5"/>
  <c r="D213" i="5"/>
  <c r="G124" i="13"/>
  <c r="D123" i="13"/>
  <c r="C123" i="13"/>
  <c r="Y213" i="5" l="1"/>
  <c r="A213" i="5"/>
  <c r="B213" i="5" s="1"/>
  <c r="D214" i="5"/>
  <c r="D124" i="13"/>
  <c r="C124" i="13"/>
  <c r="G125" i="13"/>
  <c r="Y214" i="5" l="1"/>
  <c r="A214" i="5"/>
  <c r="B214" i="5" s="1"/>
  <c r="D215" i="5"/>
  <c r="G126" i="13"/>
  <c r="D125" i="13"/>
  <c r="C125" i="13"/>
  <c r="Y215" i="5" l="1"/>
  <c r="A215" i="5"/>
  <c r="B215" i="5" s="1"/>
  <c r="D216" i="5"/>
  <c r="G127" i="13"/>
  <c r="D126" i="13"/>
  <c r="C126" i="13"/>
  <c r="Y216" i="5" l="1"/>
  <c r="D217" i="5"/>
  <c r="A216" i="5"/>
  <c r="B216" i="5" s="1"/>
  <c r="C127" i="13"/>
  <c r="G128" i="13"/>
  <c r="D127" i="13"/>
  <c r="Y217" i="5" l="1"/>
  <c r="D218" i="5"/>
  <c r="A217" i="5"/>
  <c r="B217" i="5" s="1"/>
  <c r="G129" i="13"/>
  <c r="D128" i="13"/>
  <c r="C128" i="13"/>
  <c r="Y218" i="5" l="1"/>
  <c r="D219" i="5"/>
  <c r="A218" i="5"/>
  <c r="B218" i="5" s="1"/>
  <c r="C129" i="13"/>
  <c r="D129" i="13"/>
  <c r="G130" i="13"/>
  <c r="Y219" i="5" l="1"/>
  <c r="A219" i="5"/>
  <c r="B219" i="5" s="1"/>
  <c r="D220" i="5"/>
  <c r="D130" i="13"/>
  <c r="C130" i="13"/>
  <c r="G131" i="13"/>
  <c r="Y220" i="5" l="1"/>
  <c r="A220" i="5"/>
  <c r="B220" i="5" s="1"/>
  <c r="D221" i="5"/>
  <c r="G132" i="13"/>
  <c r="D131" i="13"/>
  <c r="C131" i="13"/>
  <c r="G221" i="12" l="1"/>
  <c r="D222" i="5"/>
  <c r="Y222" i="5" s="1"/>
  <c r="E221" i="9"/>
  <c r="Y221" i="5"/>
  <c r="A221" i="5"/>
  <c r="B221" i="5" s="1"/>
  <c r="C132" i="13"/>
  <c r="G133" i="13"/>
  <c r="D132" i="13"/>
  <c r="D223" i="5" l="1"/>
  <c r="Y223" i="5" s="1"/>
  <c r="G222" i="12"/>
  <c r="E222" i="9"/>
  <c r="A222" i="5"/>
  <c r="B222" i="5" s="1"/>
  <c r="G134" i="13"/>
  <c r="D133" i="13"/>
  <c r="C133" i="13"/>
  <c r="G223" i="12" l="1"/>
  <c r="E223" i="9"/>
  <c r="D224" i="5"/>
  <c r="A223" i="5"/>
  <c r="B223" i="5" s="1"/>
  <c r="G135" i="13"/>
  <c r="C134" i="13"/>
  <c r="D134" i="13"/>
  <c r="Y224" i="5" l="1"/>
  <c r="G224" i="12"/>
  <c r="E224" i="9"/>
  <c r="A224" i="5"/>
  <c r="B224" i="5" s="1"/>
  <c r="D225" i="5"/>
  <c r="D135" i="13"/>
  <c r="C135" i="13"/>
  <c r="G136" i="13"/>
  <c r="Y225" i="5" l="1"/>
  <c r="G225" i="12"/>
  <c r="E225" i="9"/>
  <c r="D226" i="5"/>
  <c r="G226" i="12" s="1"/>
  <c r="A225" i="5"/>
  <c r="B225" i="5" s="1"/>
  <c r="C136" i="13"/>
  <c r="G137" i="13"/>
  <c r="D136" i="13"/>
  <c r="Y226" i="5" l="1"/>
  <c r="D227" i="5"/>
  <c r="G227" i="12" s="1"/>
  <c r="E226" i="9"/>
  <c r="A226" i="5"/>
  <c r="B226" i="5" s="1"/>
  <c r="D137" i="13"/>
  <c r="C137" i="13"/>
  <c r="G138" i="13"/>
  <c r="E227" i="9" l="1"/>
  <c r="Y227" i="5"/>
  <c r="A227" i="5"/>
  <c r="B227" i="5" s="1"/>
  <c r="D228" i="5"/>
  <c r="G228" i="12" s="1"/>
  <c r="C138" i="13"/>
  <c r="G139" i="13"/>
  <c r="D138" i="13"/>
  <c r="Y228" i="5" l="1"/>
  <c r="A228" i="5"/>
  <c r="B228" i="5" s="1"/>
  <c r="E228" i="9"/>
  <c r="D229" i="5"/>
  <c r="G229" i="12" s="1"/>
  <c r="G140" i="13"/>
  <c r="D139" i="13"/>
  <c r="C139" i="13"/>
  <c r="Y229" i="5" l="1"/>
  <c r="A229" i="5"/>
  <c r="B229" i="5" s="1"/>
  <c r="E229" i="9"/>
  <c r="D230" i="5"/>
  <c r="C140" i="13"/>
  <c r="G141" i="13"/>
  <c r="D140" i="13"/>
  <c r="D231" i="5" l="1"/>
  <c r="G231" i="12" s="1"/>
  <c r="G230" i="12"/>
  <c r="Y230" i="5"/>
  <c r="A230" i="5"/>
  <c r="B230" i="5" s="1"/>
  <c r="E230" i="9"/>
  <c r="G5" i="14"/>
  <c r="F5" i="14"/>
  <c r="C141" i="13"/>
  <c r="D141" i="13"/>
  <c r="Y231" i="5" l="1"/>
  <c r="E231" i="9"/>
  <c r="D15" i="12"/>
  <c r="A231" i="5"/>
  <c r="B231" i="5" s="1"/>
  <c r="E7" i="5" s="1"/>
  <c r="R8" i="5"/>
  <c r="AB9" i="10" s="1"/>
  <c r="AC9" i="10" s="1"/>
  <c r="R11" i="5"/>
  <c r="AB12" i="10" s="1"/>
  <c r="AC12" i="10" s="1"/>
  <c r="N9" i="5"/>
  <c r="R10" i="5"/>
  <c r="AB11" i="10" s="1"/>
  <c r="AC11" i="10" s="1"/>
  <c r="E9" i="5"/>
  <c r="N12" i="5" l="1"/>
  <c r="R12" i="5"/>
  <c r="AB13" i="10" s="1"/>
  <c r="AC13" i="10" s="1"/>
  <c r="R9" i="5"/>
  <c r="AB10" i="10" s="1"/>
  <c r="AC10" i="10" s="1"/>
  <c r="N13" i="5"/>
  <c r="E14" i="5"/>
  <c r="D12" i="14" s="1"/>
  <c r="N14" i="5"/>
  <c r="E13" i="5"/>
  <c r="R14" i="5"/>
  <c r="AB15" i="10" s="1"/>
  <c r="AC15" i="10" s="1"/>
  <c r="R13" i="5"/>
  <c r="AB14" i="10" s="1"/>
  <c r="AC14" i="10" s="1"/>
  <c r="N8" i="5"/>
  <c r="N10" i="5"/>
  <c r="N11" i="5"/>
  <c r="E10" i="5"/>
  <c r="E8" i="5"/>
  <c r="R7" i="5"/>
  <c r="AB8" i="10" s="1"/>
  <c r="AC8" i="10" s="1"/>
  <c r="E11" i="5"/>
  <c r="E12" i="5"/>
  <c r="N7" i="5"/>
</calcChain>
</file>

<file path=xl/sharedStrings.xml><?xml version="1.0" encoding="utf-8"?>
<sst xmlns="http://schemas.openxmlformats.org/spreadsheetml/2006/main" count="1557" uniqueCount="154">
  <si>
    <t>PRECIOS ESTIMADOS DE ENERGIA y POTENCIA  x MERCADO</t>
  </si>
  <si>
    <t>Incluye CVP y estimación de renta marginal en base a datos operativos</t>
  </si>
  <si>
    <t>Incluye estimación de costos variables y fijos de la generación asignada</t>
  </si>
  <si>
    <t>No incluye costos de servicios adicionales ni de transporte en AT/DT</t>
  </si>
  <si>
    <t>No incluye contratos MATE - MATP a ser transaccionados</t>
  </si>
  <si>
    <t>Datos provisorios a confirmar con la salida del DTE</t>
  </si>
  <si>
    <t>VALORES  ACUMULADO MES</t>
  </si>
  <si>
    <t>Mercado asociado a Grandes Usuarios y demanda</t>
  </si>
  <si>
    <t>Mercado asociado a demanda estacionalizada</t>
  </si>
  <si>
    <t>estacionalizada no cubierta por la generación asignada</t>
  </si>
  <si>
    <t>(Res/NO Res) cubierta por la generación asignada</t>
  </si>
  <si>
    <t>MERCADO SPOT</t>
  </si>
  <si>
    <t>MERCADO ASIGNADA</t>
  </si>
  <si>
    <t>POT MEDIA</t>
  </si>
  <si>
    <t>MW med</t>
  </si>
  <si>
    <t>CMg</t>
  </si>
  <si>
    <t>usd/MWh</t>
  </si>
  <si>
    <t>MONO ASIG</t>
  </si>
  <si>
    <t>ENERGIA</t>
  </si>
  <si>
    <t>POTENCIA</t>
  </si>
  <si>
    <t>usd/MWhrp</t>
  </si>
  <si>
    <t>MONO E + P para FC</t>
  </si>
  <si>
    <t>HRP</t>
  </si>
  <si>
    <t>Potencia Media de generación spot en el período</t>
  </si>
  <si>
    <t>Potencia Media de generación asignada en el período</t>
  </si>
  <si>
    <t>Costo Marginal Medio</t>
  </si>
  <si>
    <t>Monómico de Costo de la Generación Asignada</t>
  </si>
  <si>
    <t>Precio de la Energía en el Mercado Spot</t>
  </si>
  <si>
    <t>Precio de la Energía mensual para el Mercado de Asignada</t>
  </si>
  <si>
    <t>Precio de la Potencia en el Mercado Spot</t>
  </si>
  <si>
    <t>Precio de la Potencia para el Mercado de Asignada</t>
  </si>
  <si>
    <t>Valor monómico simulado Mercado Spot para FC y HRP</t>
  </si>
  <si>
    <t>VALORES ECONOMICOS - ACUMULADO MES</t>
  </si>
  <si>
    <t>MES</t>
  </si>
  <si>
    <t>ENER SPOT</t>
  </si>
  <si>
    <t>POT SPOT</t>
  </si>
  <si>
    <t>ENER ASIG</t>
  </si>
  <si>
    <t>POT ASIG</t>
  </si>
  <si>
    <t>HMES</t>
  </si>
  <si>
    <t>VALORES FISICOS - PASO DIARIO</t>
  </si>
  <si>
    <t>AÑO</t>
  </si>
  <si>
    <t>TIPO dia</t>
  </si>
  <si>
    <t>DIA</t>
  </si>
  <si>
    <t>Factor Potencia</t>
  </si>
  <si>
    <t>mié.</t>
  </si>
  <si>
    <t>jue.</t>
  </si>
  <si>
    <t>vie.</t>
  </si>
  <si>
    <t>sáb.</t>
  </si>
  <si>
    <t>dom.</t>
  </si>
  <si>
    <t>lun.</t>
  </si>
  <si>
    <t>mar.</t>
  </si>
  <si>
    <t>sáb</t>
  </si>
  <si>
    <t>dom</t>
  </si>
  <si>
    <t>lun</t>
  </si>
  <si>
    <t>mar</t>
  </si>
  <si>
    <t>mié</t>
  </si>
  <si>
    <t>jue</t>
  </si>
  <si>
    <t>vie</t>
  </si>
  <si>
    <t>ASIGNADA - POTENCIA</t>
  </si>
  <si>
    <t>VALORES FISICOS - ACUMULADO MES</t>
  </si>
  <si>
    <t>MW med d</t>
  </si>
  <si>
    <t>YACYRETA</t>
  </si>
  <si>
    <t>SALTO GRANDE</t>
  </si>
  <si>
    <t>HIDRO NAC</t>
  </si>
  <si>
    <t>NUCLEAR</t>
  </si>
  <si>
    <t>PPA RENOV</t>
  </si>
  <si>
    <t>PPA TERM</t>
  </si>
  <si>
    <t>IMPORTACION</t>
  </si>
  <si>
    <t>promedio MW/dia</t>
  </si>
  <si>
    <t># dias/mes</t>
  </si>
  <si>
    <t>PRECIOS UNITARIOS REPRESENTATIVOS</t>
  </si>
  <si>
    <t>$ ASIGNADA - ENERGIA $</t>
  </si>
  <si>
    <t>$ ASIGNADA - POTENCIA $</t>
  </si>
  <si>
    <t>$ ASIGNADA $</t>
  </si>
  <si>
    <t>VARIABLES</t>
  </si>
  <si>
    <t>FIJOS</t>
  </si>
  <si>
    <t>FIJ + VAR</t>
  </si>
  <si>
    <t>usd/dia</t>
  </si>
  <si>
    <t>usd/MW mes</t>
  </si>
  <si>
    <t>usd/Mwh</t>
  </si>
  <si>
    <t>VAR ASIG</t>
  </si>
  <si>
    <t>FIJOS ASIG</t>
  </si>
  <si>
    <t>SUMA ASIG</t>
  </si>
  <si>
    <t>MONO</t>
  </si>
  <si>
    <t>POT</t>
  </si>
  <si>
    <t>ENER</t>
  </si>
  <si>
    <t>VALORES ECONOMICOS - PASO DIARIO</t>
  </si>
  <si>
    <t>$/MWh</t>
  </si>
  <si>
    <t>$/MW mes</t>
  </si>
  <si>
    <t>K</t>
  </si>
  <si>
    <t>TC fin de mes</t>
  </si>
  <si>
    <t>TC quincena</t>
  </si>
  <si>
    <t>ADIC</t>
  </si>
  <si>
    <t>TER TOTAL</t>
  </si>
  <si>
    <t>SPOT - ENERGIA</t>
  </si>
  <si>
    <t>SPOT - POTENCIA</t>
  </si>
  <si>
    <t>MAT - ENERGIA</t>
  </si>
  <si>
    <t>MAT - POTENCIA</t>
  </si>
  <si>
    <t>TERM SPOT</t>
  </si>
  <si>
    <t>TERM FON 1</t>
  </si>
  <si>
    <t>HIDRO PROV</t>
  </si>
  <si>
    <t>RENOV</t>
  </si>
  <si>
    <t>SUMA SPOT</t>
  </si>
  <si>
    <t>TERM MAT</t>
  </si>
  <si>
    <t>HIDRO MAT</t>
  </si>
  <si>
    <t>RENOV MAT</t>
  </si>
  <si>
    <t>SUMA MAT</t>
  </si>
  <si>
    <t>pot</t>
  </si>
  <si>
    <t>precio</t>
  </si>
  <si>
    <t>GN</t>
  </si>
  <si>
    <t>ALT</t>
  </si>
  <si>
    <t># HRP/dia</t>
  </si>
  <si>
    <t>Explicito POT DISP</t>
  </si>
  <si>
    <t>$ SPOT - ENERGIA $</t>
  </si>
  <si>
    <t>$ SPOT - POTENCIA $</t>
  </si>
  <si>
    <t>$ MAT - ENERGIA $</t>
  </si>
  <si>
    <t>$ MAT - POTENCIA $</t>
  </si>
  <si>
    <t>usd/d</t>
  </si>
  <si>
    <t>ADICIONALES Transporte</t>
  </si>
  <si>
    <t>ADICIONALES Fondo Fiduciario</t>
  </si>
  <si>
    <t>mie</t>
  </si>
  <si>
    <t>HIDRO NAC Resto</t>
  </si>
  <si>
    <r>
      <t xml:space="preserve">HIDRO COM </t>
    </r>
    <r>
      <rPr>
        <sz val="8"/>
        <color theme="1"/>
        <rFont val="Proxima Nova Rg"/>
        <family val="3"/>
        <scheme val="minor"/>
      </rPr>
      <t>CONCESION</t>
    </r>
  </si>
  <si>
    <t>HIDRO COM</t>
  </si>
  <si>
    <t>ADICIONALES Costo Combustible</t>
  </si>
  <si>
    <t>TÉRMICO SPOT</t>
  </si>
  <si>
    <t>RMA</t>
  </si>
  <si>
    <t>CVP</t>
  </si>
  <si>
    <t>Días del mes:</t>
  </si>
  <si>
    <t>Res. 34 =&gt;</t>
  </si>
  <si>
    <t>Cant días:</t>
  </si>
  <si>
    <t>Transporte</t>
  </si>
  <si>
    <t>Servicios</t>
  </si>
  <si>
    <t>MONO SPOT</t>
  </si>
  <si>
    <t>promedio [MW]</t>
  </si>
  <si>
    <t>VALORES FISICOS</t>
  </si>
  <si>
    <t>FC SPOT</t>
  </si>
  <si>
    <t>FC Asignado</t>
  </si>
  <si>
    <t>días en análisis:</t>
  </si>
  <si>
    <t>POT asig</t>
  </si>
  <si>
    <t xml:space="preserve"> </t>
  </si>
  <si>
    <t>Mercado ASIGNADO</t>
  </si>
  <si>
    <t>Potencia disponible por día</t>
  </si>
  <si>
    <t>Energía Generada por tipo</t>
  </si>
  <si>
    <t>Mercado SPOT / MAT</t>
  </si>
  <si>
    <t>Por Energía  / Por Potencia</t>
  </si>
  <si>
    <t>Hasta:</t>
  </si>
  <si>
    <t>MW disp</t>
  </si>
  <si>
    <t>TERM MATE</t>
  </si>
  <si>
    <t>TÉRMICO MATE</t>
  </si>
  <si>
    <t>Mercado a término de Energía</t>
  </si>
  <si>
    <t>Generación Térmica asociada al MAT</t>
  </si>
  <si>
    <t>ENER TERM MAT</t>
  </si>
  <si>
    <t>MONO 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</si>
</sst>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"/>
    <numFmt numFmtId="167" formatCode="_-&quot;$&quot;\ * #,##0.0_-;\-&quot;$&quot;\ * #,##0.0_-;_-&quot;$&quot;\ * &quot;-&quot;??_-;_-@_-"/>
    <numFmt numFmtId="168" formatCode="_-&quot;$&quot;\ * #,##0_-;\-&quot;$&quot;\ * #,##0_-;_-&quot;$&quot;\ * &quot;-&quot;??_-;_-@_-"/>
    <numFmt numFmtId="169" formatCode="#,##0.0"/>
    <numFmt numFmtId="170" formatCode="0.0%"/>
    <numFmt numFmtId="171" formatCode="_(* #,##0.0_);_(* \(#,##0.0\);_(* &quot;-&quot;??_);_(@_)"/>
    <numFmt numFmtId="172" formatCode="_(* #,##0_);_(* \(#,##0\);_(* &quot;-&quot;??_);_(@_)"/>
    <numFmt numFmtId="173" formatCode="_-* #,##0.0_-;\-* #,##0.0_-;_-* &quot;-&quot;??_-;_-@_-"/>
  </numFmts>
  <fonts count="59" x14ac:knownFonts="1">
    <font>
      <sz val="11"/>
      <color theme="1"/>
      <name val="Proxima Nova Rg"/>
      <family val="2"/>
      <scheme val="minor"/>
    </font>
    <font>
      <sz val="11"/>
      <color theme="1"/>
      <name val="Proxima Nova Rg"/>
      <family val="2"/>
      <scheme val="minor"/>
    </font>
    <font>
      <sz val="8"/>
      <name val="Proxima Nova Rg"/>
      <family val="2"/>
      <scheme val="minor"/>
    </font>
    <font>
      <b/>
      <sz val="11"/>
      <color theme="0"/>
      <name val="Proxima Nova Rg"/>
      <family val="2"/>
      <scheme val="minor"/>
    </font>
    <font>
      <sz val="11"/>
      <color theme="0"/>
      <name val="Proxima Nova Rg"/>
      <family val="2"/>
      <scheme val="minor"/>
    </font>
    <font>
      <sz val="24"/>
      <color theme="1"/>
      <name val="Proxima Nova Rg"/>
      <family val="2"/>
      <scheme val="minor"/>
    </font>
    <font>
      <sz val="11"/>
      <color rgb="FFFF0000"/>
      <name val="Proxima Nova Rg"/>
      <family val="2"/>
      <scheme val="minor"/>
    </font>
    <font>
      <b/>
      <sz val="11"/>
      <color theme="1"/>
      <name val="Proxima Nova Rg"/>
      <family val="2"/>
      <scheme val="minor"/>
    </font>
    <font>
      <sz val="24"/>
      <color theme="1"/>
      <name val="Proxima Nova Bl"/>
      <family val="3"/>
      <scheme val="major"/>
    </font>
    <font>
      <sz val="11"/>
      <color theme="1"/>
      <name val="Proxima Nova Bl"/>
      <family val="3"/>
      <scheme val="major"/>
    </font>
    <font>
      <b/>
      <sz val="11"/>
      <color theme="1"/>
      <name val="Proxima Nova Rg"/>
      <family val="3"/>
      <scheme val="minor"/>
    </font>
    <font>
      <sz val="12"/>
      <color theme="1"/>
      <name val="Proxima Nova Rg"/>
      <family val="2"/>
      <scheme val="minor"/>
    </font>
    <font>
      <sz val="14"/>
      <color theme="1"/>
      <name val="Proxima Nova Rg"/>
      <family val="2"/>
      <scheme val="minor"/>
    </font>
    <font>
      <sz val="16"/>
      <color theme="1"/>
      <name val="Proxima Nova Rg"/>
      <family val="2"/>
      <scheme val="minor"/>
    </font>
    <font>
      <sz val="18"/>
      <color theme="1"/>
      <name val="Proxima Nova Rg"/>
      <family val="2"/>
      <scheme val="minor"/>
    </font>
    <font>
      <sz val="14"/>
      <color theme="1"/>
      <name val="Proxima Nova Rg"/>
      <family val="3"/>
      <scheme val="minor"/>
    </font>
    <font>
      <b/>
      <i/>
      <sz val="10"/>
      <color theme="1"/>
      <name val="Proxima Nova Rg"/>
      <family val="3"/>
      <scheme val="minor"/>
    </font>
    <font>
      <b/>
      <sz val="16"/>
      <color theme="0"/>
      <name val="Proxima Nova Rg"/>
      <family val="3"/>
      <scheme val="minor"/>
    </font>
    <font>
      <b/>
      <sz val="18"/>
      <color theme="4"/>
      <name val="Proxima Nova Rg"/>
      <family val="3"/>
      <scheme val="minor"/>
    </font>
    <font>
      <b/>
      <sz val="14"/>
      <color theme="4"/>
      <name val="Proxima Nova Rg"/>
      <family val="3"/>
      <scheme val="minor"/>
    </font>
    <font>
      <b/>
      <sz val="20"/>
      <color theme="4"/>
      <name val="Proxima Nova Rg"/>
      <family val="3"/>
      <scheme val="minor"/>
    </font>
    <font>
      <sz val="11"/>
      <color theme="4"/>
      <name val="Proxima Nova Rg"/>
      <family val="3"/>
      <scheme val="minor"/>
    </font>
    <font>
      <sz val="18"/>
      <color theme="4"/>
      <name val="Proxima Nova Rg"/>
      <family val="3"/>
      <scheme val="minor"/>
    </font>
    <font>
      <b/>
      <sz val="14"/>
      <color theme="3"/>
      <name val="Proxima Nova Rg"/>
      <family val="3"/>
      <scheme val="minor"/>
    </font>
    <font>
      <sz val="14"/>
      <color theme="3"/>
      <name val="Proxima Nova Rg"/>
      <family val="3"/>
      <scheme val="minor"/>
    </font>
    <font>
      <b/>
      <sz val="18"/>
      <color theme="3"/>
      <name val="Proxima Nova Rg"/>
      <family val="3"/>
      <scheme val="minor"/>
    </font>
    <font>
      <b/>
      <sz val="20"/>
      <color theme="3"/>
      <name val="Proxima Nova Rg"/>
      <family val="3"/>
      <scheme val="minor"/>
    </font>
    <font>
      <b/>
      <sz val="14"/>
      <color theme="0"/>
      <name val="Proxima Nova Rg"/>
      <family val="3"/>
      <scheme val="minor"/>
    </font>
    <font>
      <sz val="8"/>
      <color theme="1"/>
      <name val="Proxima Nova Rg"/>
      <family val="3"/>
      <scheme val="minor"/>
    </font>
    <font>
      <b/>
      <sz val="12"/>
      <color theme="1"/>
      <name val="Proxima Nova Rg"/>
      <family val="3"/>
      <scheme val="minor"/>
    </font>
    <font>
      <sz val="11"/>
      <color theme="0"/>
      <name val="Proxima Nova Rg"/>
      <family val="3"/>
      <scheme val="minor"/>
    </font>
    <font>
      <sz val="20"/>
      <color theme="1"/>
      <name val="Proxima Nova Bl"/>
      <family val="3"/>
      <scheme val="major"/>
    </font>
    <font>
      <b/>
      <i/>
      <sz val="16"/>
      <color theme="1"/>
      <name val="Proxima Nova Bl"/>
      <family val="3"/>
      <scheme val="major"/>
    </font>
    <font>
      <sz val="18"/>
      <color theme="3"/>
      <name val="Proxima Nova Bl"/>
      <family val="2"/>
      <scheme val="major"/>
    </font>
    <font>
      <sz val="11"/>
      <name val="Proxima Nova Rg"/>
      <family val="3"/>
      <scheme val="minor"/>
    </font>
    <font>
      <sz val="10"/>
      <name val="Arial"/>
      <family val="2"/>
    </font>
    <font>
      <sz val="10"/>
      <name val="Arial"/>
      <family val="2"/>
    </font>
    <font>
      <b/>
      <sz val="15"/>
      <color theme="3"/>
      <name val="Proxima Nova Rg"/>
      <family val="2"/>
      <scheme val="minor"/>
    </font>
    <font>
      <b/>
      <sz val="13"/>
      <color theme="3"/>
      <name val="Proxima Nova Rg"/>
      <family val="2"/>
      <scheme val="minor"/>
    </font>
    <font>
      <b/>
      <sz val="11"/>
      <color theme="3"/>
      <name val="Proxima Nova Rg"/>
      <family val="2"/>
      <scheme val="minor"/>
    </font>
    <font>
      <sz val="11"/>
      <color rgb="FF006100"/>
      <name val="Proxima Nova Rg"/>
      <family val="2"/>
      <scheme val="minor"/>
    </font>
    <font>
      <sz val="11"/>
      <color rgb="FF9C0006"/>
      <name val="Proxima Nova Rg"/>
      <family val="2"/>
      <scheme val="minor"/>
    </font>
    <font>
      <sz val="11"/>
      <color rgb="FF9C5700"/>
      <name val="Proxima Nova Rg"/>
      <family val="2"/>
      <scheme val="minor"/>
    </font>
    <font>
      <sz val="11"/>
      <color rgb="FF3F3F76"/>
      <name val="Proxima Nova Rg"/>
      <family val="2"/>
      <scheme val="minor"/>
    </font>
    <font>
      <b/>
      <sz val="11"/>
      <color rgb="FF3F3F3F"/>
      <name val="Proxima Nova Rg"/>
      <family val="2"/>
      <scheme val="minor"/>
    </font>
    <font>
      <b/>
      <sz val="11"/>
      <color rgb="FFFA7D00"/>
      <name val="Proxima Nova Rg"/>
      <family val="2"/>
      <scheme val="minor"/>
    </font>
    <font>
      <sz val="11"/>
      <color rgb="FFFA7D00"/>
      <name val="Proxima Nova Rg"/>
      <family val="2"/>
      <scheme val="minor"/>
    </font>
    <font>
      <i/>
      <sz val="11"/>
      <color rgb="FF7F7F7F"/>
      <name val="Proxima Nova Rg"/>
      <family val="2"/>
      <scheme val="minor"/>
    </font>
    <font>
      <sz val="11"/>
      <color theme="3"/>
      <name val="Proxima Nova Rg"/>
      <family val="3"/>
      <scheme val="minor"/>
    </font>
    <font>
      <sz val="18"/>
      <color theme="3"/>
      <name val="Proxima Nova Rg"/>
      <family val="3"/>
      <scheme val="minor"/>
    </font>
    <font>
      <b/>
      <sz val="16"/>
      <color theme="3"/>
      <name val="Proxima Nova Rg"/>
      <family val="3"/>
      <scheme val="minor"/>
    </font>
    <font>
      <sz val="16"/>
      <color theme="3"/>
      <name val="Proxima Nova Rg"/>
      <family val="3"/>
      <scheme val="minor"/>
    </font>
    <font>
      <sz val="11"/>
      <color theme="3"/>
      <name val="Proxima Nova Rg"/>
      <family val="2"/>
      <scheme val="minor"/>
    </font>
    <font>
      <sz val="18"/>
      <color theme="1" tint="0.34998626667073579"/>
      <name val="Proxima Nova Rg"/>
      <family val="3"/>
      <scheme val="minor"/>
    </font>
    <font>
      <b/>
      <sz val="16"/>
      <color theme="1" tint="0.34998626667073579"/>
      <name val="Proxima Nova Rg"/>
      <family val="3"/>
      <scheme val="minor"/>
    </font>
    <font>
      <b/>
      <sz val="18"/>
      <color theme="1" tint="0.34998626667073579"/>
      <name val="Proxima Nova Rg"/>
      <family val="3"/>
      <scheme val="minor"/>
    </font>
    <font>
      <b/>
      <sz val="14"/>
      <color theme="1" tint="0.34998626667073579"/>
      <name val="Proxima Nova Rg"/>
      <family val="3"/>
      <scheme val="minor"/>
    </font>
    <font>
      <b/>
      <sz val="20"/>
      <color theme="1" tint="0.34998626667073579"/>
      <name val="Proxima Nova Rg"/>
      <family val="3"/>
      <scheme val="minor"/>
    </font>
    <font>
      <b/>
      <sz val="14"/>
      <color theme="1" tint="0.499984740745262"/>
      <name val="Proxima Nova Rg"/>
      <family val="3"/>
      <scheme val="minor"/>
    </font>
  </fonts>
  <fills count="5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CEEF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1" fillId="25" borderId="9" applyNumberFormat="0" applyFont="0" applyAlignment="0" applyProtection="0"/>
    <xf numFmtId="0" fontId="35" fillId="0" borderId="0"/>
    <xf numFmtId="43" fontId="35" fillId="0" borderId="0" applyFont="0" applyFill="0" applyBorder="0" applyAlignment="0" applyProtection="0"/>
    <xf numFmtId="0" fontId="36" fillId="0" borderId="0"/>
    <xf numFmtId="0" fontId="37" fillId="0" borderId="2" applyNumberFormat="0" applyFill="0" applyAlignment="0" applyProtection="0"/>
    <xf numFmtId="0" fontId="38" fillId="0" borderId="3" applyNumberFormat="0" applyFill="0" applyAlignment="0" applyProtection="0"/>
    <xf numFmtId="0" fontId="39" fillId="0" borderId="4" applyNumberFormat="0" applyFill="0" applyAlignment="0" applyProtection="0"/>
    <xf numFmtId="0" fontId="39" fillId="0" borderId="0" applyNumberFormat="0" applyFill="0" applyBorder="0" applyAlignment="0" applyProtection="0"/>
    <xf numFmtId="0" fontId="40" fillId="19" borderId="0" applyNumberFormat="0" applyBorder="0" applyAlignment="0" applyProtection="0"/>
    <xf numFmtId="0" fontId="41" fillId="20" borderId="0" applyNumberFormat="0" applyBorder="0" applyAlignment="0" applyProtection="0"/>
    <xf numFmtId="0" fontId="42" fillId="21" borderId="0" applyNumberFormat="0" applyBorder="0" applyAlignment="0" applyProtection="0"/>
    <xf numFmtId="0" fontId="43" fillId="22" borderId="5" applyNumberFormat="0" applyAlignment="0" applyProtection="0"/>
    <xf numFmtId="0" fontId="44" fillId="23" borderId="6" applyNumberFormat="0" applyAlignment="0" applyProtection="0"/>
    <xf numFmtId="0" fontId="45" fillId="23" borderId="5" applyNumberFormat="0" applyAlignment="0" applyProtection="0"/>
    <xf numFmtId="0" fontId="46" fillId="0" borderId="7" applyNumberFormat="0" applyFill="0" applyAlignment="0" applyProtection="0"/>
    <xf numFmtId="0" fontId="3" fillId="24" borderId="8" applyNumberFormat="0" applyAlignment="0" applyProtection="0"/>
    <xf numFmtId="0" fontId="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7" fillId="0" borderId="10" applyNumberFormat="0" applyFill="0" applyAlignment="0" applyProtection="0"/>
    <xf numFmtId="0" fontId="4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4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4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4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35" fillId="0" borderId="0"/>
    <xf numFmtId="0" fontId="35" fillId="0" borderId="0"/>
  </cellStyleXfs>
  <cellXfs count="17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14" fontId="0" fillId="0" borderId="0" xfId="0" applyNumberFormat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166" fontId="0" fillId="2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167" fontId="0" fillId="0" borderId="0" xfId="2" applyNumberFormat="1" applyFont="1" applyAlignment="1">
      <alignment horizontal="center"/>
    </xf>
    <xf numFmtId="168" fontId="0" fillId="2" borderId="0" xfId="2" applyNumberFormat="1" applyFont="1" applyFill="1" applyAlignment="1">
      <alignment horizontal="center"/>
    </xf>
    <xf numFmtId="167" fontId="0" fillId="0" borderId="0" xfId="2" applyNumberFormat="1" applyFont="1" applyFill="1" applyAlignment="1">
      <alignment horizontal="center"/>
    </xf>
    <xf numFmtId="168" fontId="0" fillId="0" borderId="0" xfId="2" applyNumberFormat="1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/>
    </xf>
    <xf numFmtId="0" fontId="4" fillId="7" borderId="0" xfId="0" applyFont="1" applyFill="1" applyAlignment="1">
      <alignment horizontal="center" vertical="center"/>
    </xf>
    <xf numFmtId="168" fontId="3" fillId="6" borderId="0" xfId="2" applyNumberFormat="1" applyFont="1" applyFill="1" applyAlignment="1">
      <alignment horizontal="center"/>
    </xf>
    <xf numFmtId="167" fontId="3" fillId="7" borderId="0" xfId="2" applyNumberFormat="1" applyFont="1" applyFill="1" applyAlignment="1">
      <alignment horizontal="center"/>
    </xf>
    <xf numFmtId="0" fontId="5" fillId="0" borderId="0" xfId="0" applyFont="1"/>
    <xf numFmtId="168" fontId="0" fillId="4" borderId="0" xfId="2" applyNumberFormat="1" applyFont="1" applyFill="1" applyAlignment="1">
      <alignment horizontal="center"/>
    </xf>
    <xf numFmtId="167" fontId="3" fillId="8" borderId="0" xfId="2" applyNumberFormat="1" applyFont="1" applyFill="1" applyAlignment="1">
      <alignment horizontal="center"/>
    </xf>
    <xf numFmtId="166" fontId="0" fillId="4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0" borderId="0" xfId="0" applyNumberFormat="1"/>
    <xf numFmtId="0" fontId="4" fillId="8" borderId="0" xfId="0" applyFont="1" applyFill="1" applyAlignment="1">
      <alignment horizontal="center"/>
    </xf>
    <xf numFmtId="0" fontId="4" fillId="8" borderId="0" xfId="0" applyFont="1" applyFill="1" applyAlignment="1">
      <alignment horizontal="center" vertical="center"/>
    </xf>
    <xf numFmtId="1" fontId="0" fillId="3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8" fontId="0" fillId="0" borderId="0" xfId="0" applyNumberFormat="1"/>
    <xf numFmtId="0" fontId="6" fillId="9" borderId="0" xfId="0" applyFont="1" applyFill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8" fontId="0" fillId="10" borderId="0" xfId="2" applyNumberFormat="1" applyFont="1" applyFill="1" applyAlignment="1">
      <alignment horizontal="center"/>
    </xf>
    <xf numFmtId="168" fontId="7" fillId="3" borderId="0" xfId="2" applyNumberFormat="1" applyFont="1" applyFill="1" applyAlignment="1">
      <alignment horizontal="center"/>
    </xf>
    <xf numFmtId="1" fontId="0" fillId="4" borderId="0" xfId="0" applyNumberFormat="1" applyFill="1" applyAlignment="1">
      <alignment horizontal="center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37" fontId="0" fillId="0" borderId="0" xfId="3" applyNumberFormat="1" applyFont="1" applyAlignment="1">
      <alignment horizontal="center" vertical="center"/>
    </xf>
    <xf numFmtId="169" fontId="0" fillId="0" borderId="0" xfId="3" applyNumberFormat="1" applyFont="1" applyFill="1"/>
    <xf numFmtId="169" fontId="0" fillId="0" borderId="0" xfId="3" applyNumberFormat="1" applyFont="1" applyFill="1" applyAlignment="1">
      <alignment horizontal="center"/>
    </xf>
    <xf numFmtId="17" fontId="0" fillId="0" borderId="0" xfId="0" applyNumberFormat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9" fontId="0" fillId="0" borderId="0" xfId="0" applyNumberFormat="1"/>
    <xf numFmtId="14" fontId="0" fillId="0" borderId="0" xfId="0" applyNumberForma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0" fontId="13" fillId="10" borderId="1" xfId="0" applyFont="1" applyFill="1" applyBorder="1" applyAlignment="1">
      <alignment horizontal="center"/>
    </xf>
    <xf numFmtId="1" fontId="11" fillId="0" borderId="0" xfId="1" applyNumberFormat="1" applyFont="1" applyAlignment="1">
      <alignment horizontal="center"/>
    </xf>
    <xf numFmtId="9" fontId="11" fillId="0" borderId="0" xfId="1" applyFont="1" applyAlignment="1">
      <alignment horizontal="center"/>
    </xf>
    <xf numFmtId="3" fontId="0" fillId="0" borderId="0" xfId="3" applyNumberFormat="1" applyFont="1" applyFill="1" applyAlignment="1">
      <alignment horizontal="center"/>
    </xf>
    <xf numFmtId="17" fontId="12" fillId="3" borderId="0" xfId="0" applyNumberFormat="1" applyFont="1" applyFill="1" applyAlignment="1">
      <alignment horizontal="center"/>
    </xf>
    <xf numFmtId="1" fontId="13" fillId="10" borderId="1" xfId="0" applyNumberFormat="1" applyFont="1" applyFill="1" applyBorder="1" applyAlignment="1">
      <alignment horizontal="center"/>
    </xf>
    <xf numFmtId="0" fontId="15" fillId="10" borderId="1" xfId="0" applyFont="1" applyFill="1" applyBorder="1" applyAlignment="1">
      <alignment horizontal="center" vertical="center"/>
    </xf>
    <xf numFmtId="0" fontId="15" fillId="0" borderId="0" xfId="0" applyFont="1"/>
    <xf numFmtId="166" fontId="0" fillId="0" borderId="0" xfId="0" applyNumberFormat="1"/>
    <xf numFmtId="0" fontId="16" fillId="0" borderId="0" xfId="0" applyFont="1"/>
    <xf numFmtId="170" fontId="0" fillId="0" borderId="0" xfId="1" applyNumberFormat="1" applyFont="1"/>
    <xf numFmtId="166" fontId="17" fillId="11" borderId="1" xfId="0" applyNumberFormat="1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/>
    </xf>
    <xf numFmtId="0" fontId="19" fillId="12" borderId="1" xfId="0" applyFont="1" applyFill="1" applyBorder="1" applyAlignment="1">
      <alignment horizontal="center" vertical="center"/>
    </xf>
    <xf numFmtId="166" fontId="20" fillId="12" borderId="1" xfId="0" applyNumberFormat="1" applyFont="1" applyFill="1" applyBorder="1" applyAlignment="1">
      <alignment horizontal="center"/>
    </xf>
    <xf numFmtId="166" fontId="17" fillId="13" borderId="1" xfId="0" applyNumberFormat="1" applyFont="1" applyFill="1" applyBorder="1" applyAlignment="1">
      <alignment horizontal="center" vertical="center" wrapText="1"/>
    </xf>
    <xf numFmtId="166" fontId="19" fillId="0" borderId="0" xfId="0" applyNumberFormat="1" applyFont="1" applyAlignment="1">
      <alignment horizontal="left"/>
    </xf>
    <xf numFmtId="0" fontId="21" fillId="0" borderId="0" xfId="0" applyFont="1"/>
    <xf numFmtId="0" fontId="22" fillId="0" borderId="0" xfId="0" applyFont="1"/>
    <xf numFmtId="166" fontId="20" fillId="0" borderId="0" xfId="0" applyNumberFormat="1" applyFont="1" applyAlignment="1">
      <alignment horizontal="center"/>
    </xf>
    <xf numFmtId="166" fontId="23" fillId="0" borderId="0" xfId="0" applyNumberFormat="1" applyFont="1" applyAlignment="1">
      <alignment horizontal="left"/>
    </xf>
    <xf numFmtId="0" fontId="24" fillId="0" borderId="0" xfId="0" applyFont="1" applyAlignment="1">
      <alignment horizontal="center"/>
    </xf>
    <xf numFmtId="0" fontId="24" fillId="0" borderId="0" xfId="0" applyFont="1"/>
    <xf numFmtId="166" fontId="23" fillId="0" borderId="0" xfId="0" applyNumberFormat="1" applyFont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 vertical="center"/>
    </xf>
    <xf numFmtId="166" fontId="26" fillId="3" borderId="1" xfId="0" applyNumberFormat="1" applyFont="1" applyFill="1" applyBorder="1" applyAlignment="1">
      <alignment horizontal="center"/>
    </xf>
    <xf numFmtId="0" fontId="13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 vertical="center"/>
    </xf>
    <xf numFmtId="166" fontId="13" fillId="14" borderId="1" xfId="0" applyNumberFormat="1" applyFont="1" applyFill="1" applyBorder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2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7" fillId="13" borderId="1" xfId="0" applyFont="1" applyFill="1" applyBorder="1" applyAlignment="1">
      <alignment horizontal="center" vertical="center"/>
    </xf>
    <xf numFmtId="166" fontId="17" fillId="13" borderId="1" xfId="0" applyNumberFormat="1" applyFont="1" applyFill="1" applyBorder="1" applyAlignment="1">
      <alignment horizontal="center"/>
    </xf>
    <xf numFmtId="0" fontId="23" fillId="0" borderId="0" xfId="0" applyFont="1"/>
    <xf numFmtId="0" fontId="19" fillId="0" borderId="0" xfId="0" applyFont="1"/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center" vertical="center"/>
    </xf>
    <xf numFmtId="0" fontId="0" fillId="15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3" fontId="0" fillId="16" borderId="0" xfId="0" applyNumberFormat="1" applyFill="1" applyAlignment="1">
      <alignment horizontal="center"/>
    </xf>
    <xf numFmtId="3" fontId="0" fillId="5" borderId="0" xfId="0" applyNumberFormat="1" applyFill="1" applyAlignment="1">
      <alignment horizontal="center"/>
    </xf>
    <xf numFmtId="3" fontId="0" fillId="0" borderId="0" xfId="3" applyNumberFormat="1" applyFont="1" applyAlignment="1">
      <alignment horizontal="center"/>
    </xf>
    <xf numFmtId="3" fontId="0" fillId="3" borderId="0" xfId="0" applyNumberFormat="1" applyFill="1" applyAlignment="1">
      <alignment horizontal="center"/>
    </xf>
    <xf numFmtId="3" fontId="0" fillId="4" borderId="0" xfId="0" applyNumberFormat="1" applyFill="1" applyAlignment="1">
      <alignment horizontal="center"/>
    </xf>
    <xf numFmtId="167" fontId="0" fillId="0" borderId="0" xfId="2" applyNumberFormat="1" applyFont="1" applyAlignment="1">
      <alignment horizontal="center" vertical="center"/>
    </xf>
    <xf numFmtId="3" fontId="0" fillId="0" borderId="0" xfId="0" applyNumberFormat="1"/>
    <xf numFmtId="2" fontId="0" fillId="0" borderId="0" xfId="0" applyNumberFormat="1"/>
    <xf numFmtId="171" fontId="0" fillId="0" borderId="0" xfId="3" applyNumberFormat="1" applyFont="1"/>
    <xf numFmtId="43" fontId="0" fillId="0" borderId="0" xfId="0" applyNumberFormat="1"/>
    <xf numFmtId="172" fontId="0" fillId="0" borderId="0" xfId="3" applyNumberFormat="1" applyFont="1"/>
    <xf numFmtId="9" fontId="0" fillId="0" borderId="0" xfId="1" applyFont="1"/>
    <xf numFmtId="173" fontId="0" fillId="0" borderId="0" xfId="0" applyNumberFormat="1" applyAlignment="1">
      <alignment horizontal="center" vertical="center"/>
    </xf>
    <xf numFmtId="166" fontId="14" fillId="0" borderId="0" xfId="0" applyNumberFormat="1" applyFont="1" applyAlignment="1">
      <alignment horizontal="center"/>
    </xf>
    <xf numFmtId="171" fontId="0" fillId="0" borderId="0" xfId="3" applyNumberFormat="1" applyFont="1" applyAlignment="1">
      <alignment horizontal="center"/>
    </xf>
    <xf numFmtId="171" fontId="10" fillId="0" borderId="0" xfId="3" applyNumberFormat="1" applyFont="1" applyAlignment="1">
      <alignment horizontal="center"/>
    </xf>
    <xf numFmtId="43" fontId="0" fillId="0" borderId="0" xfId="3" applyFont="1"/>
    <xf numFmtId="0" fontId="0" fillId="18" borderId="0" xfId="0" applyFill="1" applyAlignment="1">
      <alignment horizontal="center" vertical="center"/>
    </xf>
    <xf numFmtId="0" fontId="0" fillId="18" borderId="0" xfId="0" applyFill="1" applyAlignment="1">
      <alignment horizontal="center"/>
    </xf>
    <xf numFmtId="166" fontId="0" fillId="18" borderId="0" xfId="0" applyNumberFormat="1" applyFill="1" applyAlignment="1">
      <alignment horizontal="center"/>
    </xf>
    <xf numFmtId="166" fontId="30" fillId="17" borderId="1" xfId="0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0" fillId="0" borderId="0" xfId="0" applyNumberFormat="1" applyAlignment="1">
      <alignment horizontal="right"/>
    </xf>
    <xf numFmtId="0" fontId="31" fillId="0" borderId="0" xfId="0" applyFont="1"/>
    <xf numFmtId="44" fontId="0" fillId="0" borderId="0" xfId="0" applyNumberFormat="1"/>
    <xf numFmtId="0" fontId="32" fillId="0" borderId="0" xfId="0" applyFont="1"/>
    <xf numFmtId="43" fontId="0" fillId="0" borderId="0" xfId="3" applyFont="1" applyAlignment="1">
      <alignment horizontal="center"/>
    </xf>
    <xf numFmtId="171" fontId="0" fillId="0" borderId="0" xfId="0" applyNumberFormat="1"/>
    <xf numFmtId="171" fontId="34" fillId="0" borderId="0" xfId="9" applyNumberFormat="1" applyFont="1"/>
    <xf numFmtId="172" fontId="0" fillId="0" borderId="0" xfId="0" applyNumberFormat="1"/>
    <xf numFmtId="167" fontId="0" fillId="0" borderId="0" xfId="4" applyNumberFormat="1" applyFont="1" applyAlignment="1">
      <alignment horizontal="center"/>
    </xf>
    <xf numFmtId="166" fontId="0" fillId="0" borderId="0" xfId="3" applyNumberFormat="1" applyFont="1" applyAlignment="1">
      <alignment horizontal="center"/>
    </xf>
    <xf numFmtId="166" fontId="0" fillId="0" borderId="0" xfId="3" applyNumberFormat="1" applyFont="1" applyFill="1" applyAlignment="1">
      <alignment horizontal="center"/>
    </xf>
    <xf numFmtId="0" fontId="48" fillId="0" borderId="0" xfId="0" applyFont="1"/>
    <xf numFmtId="0" fontId="49" fillId="0" borderId="0" xfId="0" applyFont="1"/>
    <xf numFmtId="166" fontId="26" fillId="0" borderId="0" xfId="0" applyNumberFormat="1" applyFont="1" applyAlignment="1">
      <alignment horizontal="center"/>
    </xf>
    <xf numFmtId="0" fontId="49" fillId="0" borderId="1" xfId="0" applyFont="1" applyBorder="1" applyAlignment="1">
      <alignment horizontal="center"/>
    </xf>
    <xf numFmtId="0" fontId="49" fillId="0" borderId="1" xfId="0" applyFont="1" applyBorder="1"/>
    <xf numFmtId="0" fontId="51" fillId="4" borderId="1" xfId="0" applyFont="1" applyFill="1" applyBorder="1" applyAlignment="1">
      <alignment horizontal="center"/>
    </xf>
    <xf numFmtId="0" fontId="24" fillId="4" borderId="1" xfId="0" applyFont="1" applyFill="1" applyBorder="1" applyAlignment="1">
      <alignment horizontal="center" vertical="center"/>
    </xf>
    <xf numFmtId="0" fontId="50" fillId="4" borderId="1" xfId="0" applyFont="1" applyFill="1" applyBorder="1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166" fontId="50" fillId="4" borderId="1" xfId="0" applyNumberFormat="1" applyFont="1" applyFill="1" applyBorder="1" applyAlignment="1">
      <alignment horizontal="center"/>
    </xf>
    <xf numFmtId="166" fontId="50" fillId="50" borderId="1" xfId="0" applyNumberFormat="1" applyFont="1" applyFill="1" applyBorder="1" applyAlignment="1">
      <alignment horizontal="center" vertical="center" wrapText="1"/>
    </xf>
    <xf numFmtId="0" fontId="52" fillId="0" borderId="0" xfId="0" applyFont="1"/>
    <xf numFmtId="0" fontId="52" fillId="0" borderId="0" xfId="0" applyFont="1" applyAlignment="1">
      <alignment horizontal="center" vertical="center"/>
    </xf>
    <xf numFmtId="0" fontId="52" fillId="0" borderId="0" xfId="0" applyFont="1" applyAlignment="1">
      <alignment horizontal="center"/>
    </xf>
    <xf numFmtId="166" fontId="52" fillId="0" borderId="0" xfId="0" applyNumberFormat="1" applyFont="1" applyAlignment="1">
      <alignment horizontal="center"/>
    </xf>
    <xf numFmtId="3" fontId="24" fillId="4" borderId="1" xfId="0" applyNumberFormat="1" applyFont="1" applyFill="1" applyBorder="1" applyAlignment="1">
      <alignment horizontal="center" vertical="center"/>
    </xf>
    <xf numFmtId="3" fontId="13" fillId="14" borderId="1" xfId="0" applyNumberFormat="1" applyFont="1" applyFill="1" applyBorder="1" applyAlignment="1">
      <alignment horizontal="center"/>
    </xf>
    <xf numFmtId="0" fontId="25" fillId="51" borderId="1" xfId="0" applyFont="1" applyFill="1" applyBorder="1" applyAlignment="1">
      <alignment horizontal="center"/>
    </xf>
    <xf numFmtId="0" fontId="23" fillId="51" borderId="1" xfId="0" applyFont="1" applyFill="1" applyBorder="1" applyAlignment="1">
      <alignment horizontal="center" vertical="center"/>
    </xf>
    <xf numFmtId="166" fontId="26" fillId="51" borderId="1" xfId="0" applyNumberFormat="1" applyFont="1" applyFill="1" applyBorder="1" applyAlignment="1">
      <alignment horizontal="center"/>
    </xf>
    <xf numFmtId="0" fontId="53" fillId="0" borderId="1" xfId="0" applyFont="1" applyBorder="1" applyAlignment="1">
      <alignment horizontal="center"/>
    </xf>
    <xf numFmtId="0" fontId="53" fillId="0" borderId="1" xfId="0" applyFont="1" applyBorder="1"/>
    <xf numFmtId="166" fontId="54" fillId="50" borderId="1" xfId="0" applyNumberFormat="1" applyFont="1" applyFill="1" applyBorder="1" applyAlignment="1">
      <alignment horizontal="center" vertical="center" wrapText="1"/>
    </xf>
    <xf numFmtId="0" fontId="55" fillId="51" borderId="1" xfId="0" applyFont="1" applyFill="1" applyBorder="1" applyAlignment="1">
      <alignment horizontal="center"/>
    </xf>
    <xf numFmtId="0" fontId="56" fillId="51" borderId="1" xfId="0" applyFont="1" applyFill="1" applyBorder="1" applyAlignment="1">
      <alignment horizontal="center" vertical="center"/>
    </xf>
    <xf numFmtId="166" fontId="57" fillId="51" borderId="1" xfId="0" applyNumberFormat="1" applyFont="1" applyFill="1" applyBorder="1" applyAlignment="1">
      <alignment horizontal="center"/>
    </xf>
    <xf numFmtId="0" fontId="17" fillId="52" borderId="1" xfId="0" applyFont="1" applyFill="1" applyBorder="1" applyAlignment="1">
      <alignment horizontal="center"/>
    </xf>
    <xf numFmtId="0" fontId="27" fillId="52" borderId="1" xfId="0" applyFont="1" applyFill="1" applyBorder="1" applyAlignment="1">
      <alignment horizontal="center" vertical="center"/>
    </xf>
    <xf numFmtId="3" fontId="27" fillId="52" borderId="1" xfId="0" applyNumberFormat="1" applyFont="1" applyFill="1" applyBorder="1" applyAlignment="1">
      <alignment horizontal="center" vertical="center"/>
    </xf>
    <xf numFmtId="166" fontId="58" fillId="0" borderId="0" xfId="0" applyNumberFormat="1" applyFont="1" applyAlignment="1">
      <alignment horizontal="left"/>
    </xf>
    <xf numFmtId="166" fontId="17" fillId="52" borderId="1" xfId="0" applyNumberFormat="1" applyFont="1" applyFill="1" applyBorder="1" applyAlignment="1">
      <alignment horizontal="center"/>
    </xf>
  </cellXfs>
  <cellStyles count="52">
    <cellStyle name="20% - Énfasis1 2" xfId="27" xr:uid="{C2D0AC1C-651C-4157-841E-23884DF53E5D}"/>
    <cellStyle name="20% - Énfasis2 2" xfId="31" xr:uid="{A021DEB3-70A6-4A91-8B90-F16C4D13A1D1}"/>
    <cellStyle name="20% - Énfasis3 2" xfId="35" xr:uid="{64E183E3-5AFD-4F54-B168-163C10588A0B}"/>
    <cellStyle name="20% - Énfasis4 2" xfId="39" xr:uid="{126CA6DA-5568-418C-82AB-C1C4ABB2C77F}"/>
    <cellStyle name="20% - Énfasis5 2" xfId="43" xr:uid="{6EBEFD60-6FEC-4DE4-80D4-729553B12D21}"/>
    <cellStyle name="20% - Énfasis6 2" xfId="47" xr:uid="{6666D1F9-3B53-4D1A-814A-8136FE326427}"/>
    <cellStyle name="40% - Énfasis1 2" xfId="28" xr:uid="{EE4648D5-B508-4A61-8C44-B39293251284}"/>
    <cellStyle name="40% - Énfasis2 2" xfId="32" xr:uid="{9BD48A82-D01B-4567-8317-7642EB9A347F}"/>
    <cellStyle name="40% - Énfasis3 2" xfId="36" xr:uid="{6BB855A7-C613-409E-88E2-93E531A22137}"/>
    <cellStyle name="40% - Énfasis4 2" xfId="40" xr:uid="{AAEF6AA3-0F7C-4FC1-9517-8CAF73DAB0C6}"/>
    <cellStyle name="40% - Énfasis5 2" xfId="44" xr:uid="{99E44A95-08FA-45F9-B439-316027007AD2}"/>
    <cellStyle name="40% - Énfasis6 2" xfId="48" xr:uid="{C7A9A0B6-8638-4AE9-A9CA-1D404ECB6EC6}"/>
    <cellStyle name="60% - Énfasis1 2" xfId="29" xr:uid="{467FAB0F-5258-425A-8C6A-AEDAC5934D90}"/>
    <cellStyle name="60% - Énfasis2 2" xfId="33" xr:uid="{26760600-B524-4773-BF93-7C133A58FB36}"/>
    <cellStyle name="60% - Énfasis3 2" xfId="37" xr:uid="{9F08B0D4-B2E5-4BA2-8A61-7ED6D6F27D25}"/>
    <cellStyle name="60% - Énfasis4 2" xfId="41" xr:uid="{C57FFA15-B94E-4D92-8064-E21745DAE95B}"/>
    <cellStyle name="60% - Énfasis5 2" xfId="45" xr:uid="{6AC142D4-204A-4DA6-8EAA-7F2BC71E5A23}"/>
    <cellStyle name="60% - Énfasis6 2" xfId="49" xr:uid="{52503A94-3515-4C87-847F-0E35D8EAC483}"/>
    <cellStyle name="Bueno 2" xfId="15" xr:uid="{DBB2F752-82DD-4DFA-907C-4C462D3C7E7B}"/>
    <cellStyle name="Cálculo 2" xfId="20" xr:uid="{C892A4CE-48A5-4883-94A1-6EB4A0CF848B}"/>
    <cellStyle name="Celda de comprobación 2" xfId="22" xr:uid="{8D82DC60-38CB-4CCC-B830-9493F6E8B1D8}"/>
    <cellStyle name="Celda vinculada 2" xfId="21" xr:uid="{92B40B30-289D-401A-AE3A-FA86861A9D01}"/>
    <cellStyle name="Encabezado 1 2" xfId="11" xr:uid="{136FF82B-ED85-47FC-966F-8BE0296800DD}"/>
    <cellStyle name="Encabezado 4 2" xfId="14" xr:uid="{DDF9A741-C001-4F02-8281-E45ECE3F794F}"/>
    <cellStyle name="Énfasis1 2" xfId="26" xr:uid="{B401B2C1-A349-4BB3-8C02-AAB89B364F5A}"/>
    <cellStyle name="Énfasis2 2" xfId="30" xr:uid="{9BCC131F-1563-473C-8FFB-21E1EFC3662B}"/>
    <cellStyle name="Énfasis3 2" xfId="34" xr:uid="{5A3ED312-D1D1-498B-B625-546AB26CA823}"/>
    <cellStyle name="Énfasis4 2" xfId="38" xr:uid="{DF2C7956-77A3-4A79-B62E-6EC4FCB727A7}"/>
    <cellStyle name="Énfasis5 2" xfId="42" xr:uid="{76D79EEC-74C7-4D76-8127-DD99D7230B5D}"/>
    <cellStyle name="Énfasis6 2" xfId="46" xr:uid="{B576BDD0-D855-4710-9FE6-2AF69C68514C}"/>
    <cellStyle name="Entrada 2" xfId="18" xr:uid="{021DDF0F-FA6B-4614-95F4-C48C64AF2A6A}"/>
    <cellStyle name="Incorrecto 2" xfId="16" xr:uid="{5AFC04D7-8237-4F10-B810-C3FD86A7CDC9}"/>
    <cellStyle name="Millares" xfId="3" builtinId="3"/>
    <cellStyle name="Millares 2" xfId="5" xr:uid="{70F3B81D-5734-4BFC-8A9D-14C6C4715BCA}"/>
    <cellStyle name="Millares 2 2" xfId="9" xr:uid="{2FEC89FD-6A5D-4B28-9A9D-5FCDDB291CF2}"/>
    <cellStyle name="Moneda" xfId="2" builtinId="4"/>
    <cellStyle name="Moneda 2" xfId="4" xr:uid="{17D0D18B-940A-408C-B591-0EFD6BFF8989}"/>
    <cellStyle name="Neutral 2" xfId="17" xr:uid="{5B91CA09-E48E-41D5-A01F-0246EF44A253}"/>
    <cellStyle name="Normal" xfId="0" builtinId="0"/>
    <cellStyle name="Normal 2" xfId="8" xr:uid="{7254F743-B2A6-4C74-B0D1-A988B2EFF1A5}"/>
    <cellStyle name="Normal 3" xfId="10" xr:uid="{389D3485-5241-4243-B57C-9D638B7FB137}"/>
    <cellStyle name="Normal 3 2" xfId="50" xr:uid="{2DBE7B5B-5F55-456D-A071-EB1DE3BA9705}"/>
    <cellStyle name="Normal 4" xfId="51" xr:uid="{98D3FE03-0277-41B3-939B-896B28DBEE7E}"/>
    <cellStyle name="Notas" xfId="7" builtinId="10" customBuiltin="1"/>
    <cellStyle name="Porcentaje" xfId="1" builtinId="5"/>
    <cellStyle name="Salida 2" xfId="19" xr:uid="{6506BFEB-6CE1-4DA0-B244-57C4A2EB3F4F}"/>
    <cellStyle name="Texto de advertencia 2" xfId="23" xr:uid="{8F332B1C-48D1-4D53-AE03-F9A42CEBE201}"/>
    <cellStyle name="Texto explicativo 2" xfId="24" xr:uid="{904A778B-8C9E-456B-AB50-F0F89002E524}"/>
    <cellStyle name="Título" xfId="6" builtinId="15" customBuiltin="1"/>
    <cellStyle name="Título 2 2" xfId="12" xr:uid="{C7387DA9-FDCA-41EC-82C5-4AE689110F35}"/>
    <cellStyle name="Título 3 2" xfId="13" xr:uid="{0FBFCBC8-4407-4E93-AFAA-55EAD979AE97}"/>
    <cellStyle name="Total 2" xfId="25" xr:uid="{7B9A302A-B275-4D45-9444-C88BB374CD13}"/>
  </cellStyles>
  <dxfs count="0"/>
  <tableStyles count="0" defaultTableStyle="TableStyleMedium2" defaultPivotStyle="PivotStyleLight16"/>
  <colors>
    <mruColors>
      <color rgb="FFFCEEF0"/>
      <color rgb="FFFFE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calcChain" Target="calcChain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s-AR" sz="1800">
                <a:latin typeface="+mj-lt"/>
              </a:rPr>
              <a:t>CVP + RMA - Térmico SPOT vs CMg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Precios!$AA$19</c:f>
              <c:strCache>
                <c:ptCount val="1"/>
                <c:pt idx="0">
                  <c:v>CVP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Precios!$Y$20:$Y$284</c:f>
              <c:numCache>
                <c:formatCode>General</c:formatCode>
                <c:ptCount val="265"/>
                <c:pt idx="92" formatCode="m/d/yyyy">
                  <c:v>46023</c:v>
                </c:pt>
                <c:pt idx="93" formatCode="m/d/yyyy">
                  <c:v>46024</c:v>
                </c:pt>
                <c:pt idx="94" formatCode="m/d/yyyy">
                  <c:v>46025</c:v>
                </c:pt>
                <c:pt idx="95" formatCode="m/d/yyyy">
                  <c:v>46026</c:v>
                </c:pt>
                <c:pt idx="96" formatCode="m/d/yyyy">
                  <c:v>46027</c:v>
                </c:pt>
                <c:pt idx="97" formatCode="m/d/yyyy">
                  <c:v>46028</c:v>
                </c:pt>
                <c:pt idx="98" formatCode="m/d/yyyy">
                  <c:v>46029</c:v>
                </c:pt>
                <c:pt idx="99" formatCode="m/d/yyyy">
                  <c:v>46030</c:v>
                </c:pt>
                <c:pt idx="100" formatCode="m/d/yyyy">
                  <c:v>46031</c:v>
                </c:pt>
                <c:pt idx="101" formatCode="m/d/yyyy">
                  <c:v>46032</c:v>
                </c:pt>
                <c:pt idx="102" formatCode="m/d/yyyy">
                  <c:v>46033</c:v>
                </c:pt>
                <c:pt idx="103" formatCode="m/d/yyyy">
                  <c:v>46034</c:v>
                </c:pt>
                <c:pt idx="104" formatCode="m/d/yyyy">
                  <c:v>46035</c:v>
                </c:pt>
                <c:pt idx="105" formatCode="m/d/yyyy">
                  <c:v>46036</c:v>
                </c:pt>
                <c:pt idx="106" formatCode="m/d/yyyy">
                  <c:v>46037</c:v>
                </c:pt>
                <c:pt idx="107" formatCode="m/d/yyyy">
                  <c:v>46038</c:v>
                </c:pt>
                <c:pt idx="108" formatCode="m/d/yyyy">
                  <c:v>46039</c:v>
                </c:pt>
                <c:pt idx="109" formatCode="m/d/yyyy">
                  <c:v>46040</c:v>
                </c:pt>
                <c:pt idx="110" formatCode="m/d/yyyy">
                  <c:v>46041</c:v>
                </c:pt>
                <c:pt idx="111" formatCode="m/d/yyyy">
                  <c:v>46042</c:v>
                </c:pt>
                <c:pt idx="112" formatCode="m/d/yyyy">
                  <c:v>46043</c:v>
                </c:pt>
                <c:pt idx="113" formatCode="m/d/yyyy">
                  <c:v>46044</c:v>
                </c:pt>
                <c:pt idx="114" formatCode="m/d/yyyy">
                  <c:v>46045</c:v>
                </c:pt>
                <c:pt idx="115" formatCode="m/d/yyyy">
                  <c:v>46046</c:v>
                </c:pt>
                <c:pt idx="116" formatCode="m/d/yyyy">
                  <c:v>46047</c:v>
                </c:pt>
                <c:pt idx="117" formatCode="m/d/yyyy">
                  <c:v>46048</c:v>
                </c:pt>
                <c:pt idx="118" formatCode="m/d/yyyy">
                  <c:v>46049</c:v>
                </c:pt>
                <c:pt idx="119" formatCode="m/d/yyyy">
                  <c:v>46050</c:v>
                </c:pt>
                <c:pt idx="120" formatCode="m/d/yyyy">
                  <c:v>46051</c:v>
                </c:pt>
                <c:pt idx="121" formatCode="m/d/yyyy">
                  <c:v>46052</c:v>
                </c:pt>
                <c:pt idx="122" formatCode="m/d/yyyy">
                  <c:v>46053</c:v>
                </c:pt>
                <c:pt idx="123" formatCode="m/d/yyyy">
                  <c:v>46054</c:v>
                </c:pt>
                <c:pt idx="124" formatCode="m/d/yyyy">
                  <c:v>46055</c:v>
                </c:pt>
                <c:pt idx="125" formatCode="m/d/yyyy">
                  <c:v>46056</c:v>
                </c:pt>
                <c:pt idx="126" formatCode="m/d/yyyy">
                  <c:v>46057</c:v>
                </c:pt>
                <c:pt idx="127" formatCode="m/d/yyyy">
                  <c:v>46058</c:v>
                </c:pt>
                <c:pt idx="128" formatCode="m/d/yyyy">
                  <c:v>46059</c:v>
                </c:pt>
                <c:pt idx="129" formatCode="m/d/yyyy">
                  <c:v>46060</c:v>
                </c:pt>
                <c:pt idx="130" formatCode="m/d/yyyy">
                  <c:v>46061</c:v>
                </c:pt>
                <c:pt idx="131" formatCode="m/d/yyyy">
                  <c:v>46062</c:v>
                </c:pt>
                <c:pt idx="132" formatCode="m/d/yyyy">
                  <c:v>46063</c:v>
                </c:pt>
                <c:pt idx="133" formatCode="m/d/yyyy">
                  <c:v>46064</c:v>
                </c:pt>
                <c:pt idx="134" formatCode="m/d/yyyy">
                  <c:v>46065</c:v>
                </c:pt>
                <c:pt idx="135" formatCode="m/d/yyyy">
                  <c:v>46066</c:v>
                </c:pt>
                <c:pt idx="136" formatCode="m/d/yyyy">
                  <c:v>46067</c:v>
                </c:pt>
                <c:pt idx="137" formatCode="m/d/yyyy">
                  <c:v>46068</c:v>
                </c:pt>
                <c:pt idx="138" formatCode="m/d/yyyy">
                  <c:v>46069</c:v>
                </c:pt>
                <c:pt idx="139" formatCode="m/d/yyyy">
                  <c:v>46070</c:v>
                </c:pt>
                <c:pt idx="140" formatCode="m/d/yyyy">
                  <c:v>46071</c:v>
                </c:pt>
                <c:pt idx="141" formatCode="m/d/yyyy">
                  <c:v>46072</c:v>
                </c:pt>
                <c:pt idx="142" formatCode="m/d/yyyy">
                  <c:v>46073</c:v>
                </c:pt>
                <c:pt idx="143" formatCode="m/d/yyyy">
                  <c:v>46074</c:v>
                </c:pt>
                <c:pt idx="144" formatCode="m/d/yyyy">
                  <c:v>46075</c:v>
                </c:pt>
                <c:pt idx="145" formatCode="m/d/yyyy">
                  <c:v>46076</c:v>
                </c:pt>
                <c:pt idx="146" formatCode="m/d/yyyy">
                  <c:v>46077</c:v>
                </c:pt>
                <c:pt idx="147" formatCode="m/d/yyyy">
                  <c:v>46078</c:v>
                </c:pt>
                <c:pt idx="148" formatCode="m/d/yyyy">
                  <c:v>46079</c:v>
                </c:pt>
                <c:pt idx="149" formatCode="m/d/yyyy">
                  <c:v>46080</c:v>
                </c:pt>
                <c:pt idx="150" formatCode="m/d/yyyy">
                  <c:v>46081</c:v>
                </c:pt>
                <c:pt idx="151" formatCode="m/d/yyyy">
                  <c:v>46082</c:v>
                </c:pt>
                <c:pt idx="152" formatCode="m/d/yyyy">
                  <c:v>46083</c:v>
                </c:pt>
                <c:pt idx="153" formatCode="m/d/yyyy">
                  <c:v>46084</c:v>
                </c:pt>
                <c:pt idx="154" formatCode="m/d/yyyy">
                  <c:v>46085</c:v>
                </c:pt>
                <c:pt idx="155" formatCode="m/d/yyyy">
                  <c:v>46086</c:v>
                </c:pt>
                <c:pt idx="156" formatCode="m/d/yyyy">
                  <c:v>46087</c:v>
                </c:pt>
                <c:pt idx="157" formatCode="m/d/yyyy">
                  <c:v>46088</c:v>
                </c:pt>
                <c:pt idx="158" formatCode="m/d/yyyy">
                  <c:v>46089</c:v>
                </c:pt>
                <c:pt idx="159" formatCode="m/d/yyyy">
                  <c:v>46090</c:v>
                </c:pt>
                <c:pt idx="160" formatCode="m/d/yyyy">
                  <c:v>46091</c:v>
                </c:pt>
                <c:pt idx="161" formatCode="m/d/yyyy">
                  <c:v>46092</c:v>
                </c:pt>
                <c:pt idx="162" formatCode="m/d/yyyy">
                  <c:v>46093</c:v>
                </c:pt>
                <c:pt idx="163" formatCode="m/d/yyyy">
                  <c:v>46094</c:v>
                </c:pt>
                <c:pt idx="164" formatCode="m/d/yyyy">
                  <c:v>46095</c:v>
                </c:pt>
                <c:pt idx="165" formatCode="m/d/yyyy">
                  <c:v>46096</c:v>
                </c:pt>
                <c:pt idx="166" formatCode="m/d/yyyy">
                  <c:v>46097</c:v>
                </c:pt>
                <c:pt idx="167" formatCode="m/d/yyyy">
                  <c:v>46098</c:v>
                </c:pt>
                <c:pt idx="168" formatCode="m/d/yyyy">
                  <c:v>46099</c:v>
                </c:pt>
                <c:pt idx="169" formatCode="m/d/yyyy">
                  <c:v>46100</c:v>
                </c:pt>
                <c:pt idx="170" formatCode="m/d/yyyy">
                  <c:v>46101</c:v>
                </c:pt>
                <c:pt idx="171" formatCode="m/d/yyyy">
                  <c:v>46102</c:v>
                </c:pt>
                <c:pt idx="172" formatCode="m/d/yyyy">
                  <c:v>46103</c:v>
                </c:pt>
                <c:pt idx="173" formatCode="m/d/yyyy">
                  <c:v>46104</c:v>
                </c:pt>
                <c:pt idx="174" formatCode="m/d/yyyy">
                  <c:v>46105</c:v>
                </c:pt>
                <c:pt idx="175" formatCode="m/d/yyyy">
                  <c:v>46106</c:v>
                </c:pt>
                <c:pt idx="176" formatCode="m/d/yyyy">
                  <c:v>46107</c:v>
                </c:pt>
                <c:pt idx="177" formatCode="m/d/yyyy">
                  <c:v>46108</c:v>
                </c:pt>
                <c:pt idx="178" formatCode="m/d/yyyy">
                  <c:v>46109</c:v>
                </c:pt>
                <c:pt idx="179" formatCode="m/d/yyyy">
                  <c:v>46110</c:v>
                </c:pt>
                <c:pt idx="180" formatCode="m/d/yyyy">
                  <c:v>46111</c:v>
                </c:pt>
                <c:pt idx="181" formatCode="m/d/yyyy">
                  <c:v>46112</c:v>
                </c:pt>
                <c:pt idx="182" formatCode="m/d/yyyy">
                  <c:v>46113</c:v>
                </c:pt>
                <c:pt idx="183" formatCode="m/d/yyyy">
                  <c:v>46114</c:v>
                </c:pt>
                <c:pt idx="184" formatCode="m/d/yyyy">
                  <c:v>46115</c:v>
                </c:pt>
                <c:pt idx="185" formatCode="m/d/yyyy">
                  <c:v>46116</c:v>
                </c:pt>
                <c:pt idx="186" formatCode="m/d/yyyy">
                  <c:v>46117</c:v>
                </c:pt>
                <c:pt idx="187" formatCode="m/d/yyyy">
                  <c:v>46118</c:v>
                </c:pt>
                <c:pt idx="188" formatCode="m/d/yyyy">
                  <c:v>46119</c:v>
                </c:pt>
                <c:pt idx="189" formatCode="m/d/yyyy">
                  <c:v>46120</c:v>
                </c:pt>
                <c:pt idx="190" formatCode="m/d/yyyy">
                  <c:v>46121</c:v>
                </c:pt>
                <c:pt idx="191" formatCode="m/d/yyyy">
                  <c:v>46122</c:v>
                </c:pt>
                <c:pt idx="192" formatCode="m/d/yyyy">
                  <c:v>46123</c:v>
                </c:pt>
                <c:pt idx="193" formatCode="m/d/yyyy">
                  <c:v>46124</c:v>
                </c:pt>
                <c:pt idx="194" formatCode="m/d/yyyy">
                  <c:v>46125</c:v>
                </c:pt>
                <c:pt idx="195" formatCode="m/d/yyyy">
                  <c:v>46126</c:v>
                </c:pt>
                <c:pt idx="196" formatCode="m/d/yyyy">
                  <c:v>46127</c:v>
                </c:pt>
                <c:pt idx="197" formatCode="m/d/yyyy">
                  <c:v>46128</c:v>
                </c:pt>
                <c:pt idx="198" formatCode="m/d/yyyy">
                  <c:v>46129</c:v>
                </c:pt>
                <c:pt idx="199" formatCode="m/d/yyyy">
                  <c:v>46130</c:v>
                </c:pt>
                <c:pt idx="200" formatCode="m/d/yyyy">
                  <c:v>46131</c:v>
                </c:pt>
                <c:pt idx="201" formatCode="m/d/yyyy">
                  <c:v>46132</c:v>
                </c:pt>
                <c:pt idx="202" formatCode="m/d/yyyy">
                  <c:v>46133</c:v>
                </c:pt>
                <c:pt idx="203" formatCode="m/d/yyyy">
                  <c:v>46134</c:v>
                </c:pt>
                <c:pt idx="204" formatCode="m/d/yyyy">
                  <c:v>46135</c:v>
                </c:pt>
                <c:pt idx="205" formatCode="m/d/yyyy">
                  <c:v>46136</c:v>
                </c:pt>
                <c:pt idx="206" formatCode="m/d/yyyy">
                  <c:v>46137</c:v>
                </c:pt>
                <c:pt idx="207" formatCode="m/d/yyyy">
                  <c:v>46138</c:v>
                </c:pt>
                <c:pt idx="208" formatCode="m/d/yyyy">
                  <c:v>46139</c:v>
                </c:pt>
                <c:pt idx="209" formatCode="m/d/yyyy">
                  <c:v>46140</c:v>
                </c:pt>
                <c:pt idx="210" formatCode="m/d/yyyy">
                  <c:v>46141</c:v>
                </c:pt>
                <c:pt idx="211" formatCode="m/d/yyyy">
                  <c:v>46142</c:v>
                </c:pt>
                <c:pt idx="212" formatCode="m/d/yyyy">
                  <c:v>46143</c:v>
                </c:pt>
                <c:pt idx="213" formatCode="m/d/yyyy">
                  <c:v>46144</c:v>
                </c:pt>
                <c:pt idx="214" formatCode="m/d/yyyy">
                  <c:v>46145</c:v>
                </c:pt>
                <c:pt idx="215" formatCode="m/d/yyyy">
                  <c:v>46146</c:v>
                </c:pt>
                <c:pt idx="216" formatCode="m/d/yyyy">
                  <c:v>46147</c:v>
                </c:pt>
                <c:pt idx="217" formatCode="m/d/yyyy">
                  <c:v>46148</c:v>
                </c:pt>
                <c:pt idx="218" formatCode="m/d/yyyy">
                  <c:v>46149</c:v>
                </c:pt>
                <c:pt idx="219" formatCode="m/d/yyyy">
                  <c:v>46150</c:v>
                </c:pt>
                <c:pt idx="220" formatCode="m/d/yyyy">
                  <c:v>46151</c:v>
                </c:pt>
                <c:pt idx="221" formatCode="m/d/yyyy">
                  <c:v>46152</c:v>
                </c:pt>
                <c:pt idx="222" formatCode="m/d/yyyy">
                  <c:v>46153</c:v>
                </c:pt>
                <c:pt idx="223" formatCode="m/d/yyyy">
                  <c:v>46154</c:v>
                </c:pt>
                <c:pt idx="224" formatCode="m/d/yyyy">
                  <c:v>46155</c:v>
                </c:pt>
                <c:pt idx="225" formatCode="m/d/yyyy">
                  <c:v>46156</c:v>
                </c:pt>
                <c:pt idx="226" formatCode="m/d/yyyy">
                  <c:v>46157</c:v>
                </c:pt>
                <c:pt idx="227" formatCode="m/d/yyyy">
                  <c:v>46158</c:v>
                </c:pt>
                <c:pt idx="228" formatCode="m/d/yyyy">
                  <c:v>46159</c:v>
                </c:pt>
                <c:pt idx="229" formatCode="m/d/yyyy">
                  <c:v>46160</c:v>
                </c:pt>
                <c:pt idx="230" formatCode="m/d/yyyy">
                  <c:v>46161</c:v>
                </c:pt>
                <c:pt idx="231" formatCode="m/d/yyyy">
                  <c:v>46162</c:v>
                </c:pt>
                <c:pt idx="232" formatCode="m/d/yyyy">
                  <c:v>46163</c:v>
                </c:pt>
                <c:pt idx="233" formatCode="m/d/yyyy">
                  <c:v>46164</c:v>
                </c:pt>
                <c:pt idx="234" formatCode="m/d/yyyy">
                  <c:v>46165</c:v>
                </c:pt>
                <c:pt idx="235" formatCode="m/d/yyyy">
                  <c:v>46166</c:v>
                </c:pt>
                <c:pt idx="236" formatCode="m/d/yyyy">
                  <c:v>46167</c:v>
                </c:pt>
                <c:pt idx="237" formatCode="m/d/yyyy">
                  <c:v>46168</c:v>
                </c:pt>
                <c:pt idx="238" formatCode="m/d/yyyy">
                  <c:v>46169</c:v>
                </c:pt>
                <c:pt idx="239" formatCode="m/d/yyyy">
                  <c:v>46170</c:v>
                </c:pt>
                <c:pt idx="240" formatCode="m/d/yyyy">
                  <c:v>46171</c:v>
                </c:pt>
                <c:pt idx="241" formatCode="m/d/yyyy">
                  <c:v>46172</c:v>
                </c:pt>
                <c:pt idx="242" formatCode="m/d/yyyy">
                  <c:v>46173</c:v>
                </c:pt>
                <c:pt idx="243" formatCode="m/d/yyyy">
                  <c:v>46174</c:v>
                </c:pt>
                <c:pt idx="244" formatCode="m/d/yyyy">
                  <c:v>46175</c:v>
                </c:pt>
                <c:pt idx="245" formatCode="m/d/yyyy">
                  <c:v>46176</c:v>
                </c:pt>
                <c:pt idx="246" formatCode="m/d/yyyy">
                  <c:v>46177</c:v>
                </c:pt>
                <c:pt idx="247" formatCode="m/d/yyyy">
                  <c:v>46178</c:v>
                </c:pt>
                <c:pt idx="248" formatCode="m/d/yyyy">
                  <c:v>46179</c:v>
                </c:pt>
                <c:pt idx="249" formatCode="m/d/yyyy">
                  <c:v>46180</c:v>
                </c:pt>
                <c:pt idx="250" formatCode="m/d/yyyy">
                  <c:v>46181</c:v>
                </c:pt>
                <c:pt idx="251" formatCode="m/d/yyyy">
                  <c:v>46182</c:v>
                </c:pt>
                <c:pt idx="252" formatCode="m/d/yyyy">
                  <c:v>46183</c:v>
                </c:pt>
                <c:pt idx="253" formatCode="m/d/yyyy">
                  <c:v>46184</c:v>
                </c:pt>
                <c:pt idx="254" formatCode="m/d/yyyy">
                  <c:v>46185</c:v>
                </c:pt>
                <c:pt idx="255" formatCode="m/d/yyyy">
                  <c:v>46186</c:v>
                </c:pt>
                <c:pt idx="256" formatCode="m/d/yyyy">
                  <c:v>46187</c:v>
                </c:pt>
                <c:pt idx="257" formatCode="m/d/yyyy">
                  <c:v>46188</c:v>
                </c:pt>
                <c:pt idx="258" formatCode="m/d/yyyy">
                  <c:v>46189</c:v>
                </c:pt>
                <c:pt idx="259" formatCode="m/d/yyyy">
                  <c:v>46190</c:v>
                </c:pt>
                <c:pt idx="260" formatCode="m/d/yyyy">
                  <c:v>46191</c:v>
                </c:pt>
                <c:pt idx="261" formatCode="m/d/yyyy">
                  <c:v>46192</c:v>
                </c:pt>
                <c:pt idx="262" formatCode="m/d/yyyy">
                  <c:v>46193</c:v>
                </c:pt>
                <c:pt idx="263" formatCode="m/d/yyyy">
                  <c:v>46194</c:v>
                </c:pt>
                <c:pt idx="264" formatCode="m/d/yyyy">
                  <c:v>46195</c:v>
                </c:pt>
              </c:numCache>
            </c:numRef>
          </c:cat>
          <c:val>
            <c:numRef>
              <c:f>Precios!$AA$20:$AA$284</c:f>
              <c:numCache>
                <c:formatCode>General</c:formatCode>
                <c:ptCount val="265"/>
                <c:pt idx="92" formatCode="_(* #,##0.00_);_(* \(#,##0.00\);_(* &quot;-&quot;??_);_(@_)">
                  <c:v>38.148459722763441</c:v>
                </c:pt>
                <c:pt idx="93" formatCode="_(* #,##0.00_);_(* \(#,##0.00\);_(* &quot;-&quot;??_);_(@_)">
                  <c:v>38.56569918167169</c:v>
                </c:pt>
                <c:pt idx="94" formatCode="_(* #,##0.00_);_(* \(#,##0.00\);_(* &quot;-&quot;??_);_(@_)">
                  <c:v>36.075474779410044</c:v>
                </c:pt>
                <c:pt idx="95" formatCode="_(* #,##0.00_);_(* \(#,##0.00\);_(* &quot;-&quot;??_);_(@_)">
                  <c:v>35.02642048330911</c:v>
                </c:pt>
                <c:pt idx="96" formatCode="_(* #,##0.00_);_(* \(#,##0.00\);_(* &quot;-&quot;??_);_(@_)">
                  <c:v>35.009909940285382</c:v>
                </c:pt>
                <c:pt idx="97" formatCode="_(* #,##0.00_);_(* \(#,##0.00\);_(* &quot;-&quot;??_);_(@_)">
                  <c:v>35.968903466358888</c:v>
                </c:pt>
                <c:pt idx="98" formatCode="_(* #,##0.00_);_(* \(#,##0.00\);_(* &quot;-&quot;??_);_(@_)">
                  <c:v>36.277591469597553</c:v>
                </c:pt>
                <c:pt idx="99" formatCode="_(* #,##0.00_);_(* \(#,##0.00\);_(* &quot;-&quot;??_);_(@_)">
                  <c:v>35.630193317988109</c:v>
                </c:pt>
                <c:pt idx="100" formatCode="_(* #,##0.00_);_(* \(#,##0.00\);_(* &quot;-&quot;??_);_(@_)">
                  <c:v>36.173430774024204</c:v>
                </c:pt>
                <c:pt idx="101" formatCode="_(* #,##0.00_);_(* \(#,##0.00\);_(* &quot;-&quot;??_);_(@_)">
                  <c:v>34.365405509332881</c:v>
                </c:pt>
                <c:pt idx="102" formatCode="_(* #,##0.00_);_(* \(#,##0.00\);_(* &quot;-&quot;??_);_(@_)">
                  <c:v>36.15962846918589</c:v>
                </c:pt>
                <c:pt idx="103" formatCode="_(* #,##0.00_);_(* \(#,##0.00\);_(* &quot;-&quot;??_);_(@_)">
                  <c:v>37.873645889085942</c:v>
                </c:pt>
                <c:pt idx="104" formatCode="_(* #,##0.00_);_(* \(#,##0.00\);_(* &quot;-&quot;??_);_(@_)">
                  <c:v>36.320247395256295</c:v>
                </c:pt>
                <c:pt idx="105" formatCode="_(* #,##0.00_);_(* \(#,##0.00\);_(* &quot;-&quot;??_);_(@_)">
                  <c:v>36.721674579548683</c:v>
                </c:pt>
                <c:pt idx="106" formatCode="_(* #,##0.00_);_(* \(#,##0.00\);_(* &quot;-&quot;??_);_(@_)">
                  <c:v>36.396636430988295</c:v>
                </c:pt>
                <c:pt idx="107" formatCode="_(* #,##0.00_);_(* \(#,##0.00\);_(* &quot;-&quot;??_);_(@_)">
                  <c:v>38.532069094489934</c:v>
                </c:pt>
                <c:pt idx="108" formatCode="_(* #,##0.00_);_(* \(#,##0.00\);_(* &quot;-&quot;??_);_(@_)">
                  <c:v>38.457822014423151</c:v>
                </c:pt>
                <c:pt idx="109" formatCode="_(* #,##0.00_);_(* \(#,##0.00\);_(* &quot;-&quot;??_);_(@_)">
                  <c:v>37.813508824137543</c:v>
                </c:pt>
                <c:pt idx="110" formatCode="_(* #,##0.00_);_(* \(#,##0.00\);_(* &quot;-&quot;??_);_(@_)">
                  <c:v>38.429278132724178</c:v>
                </c:pt>
                <c:pt idx="111" formatCode="_(* #,##0.00_);_(* \(#,##0.00\);_(* &quot;-&quot;??_);_(@_)">
                  <c:v>38.180003377188612</c:v>
                </c:pt>
                <c:pt idx="112" formatCode="_(* #,##0.00_);_(* \(#,##0.00\);_(* &quot;-&quot;??_);_(@_)">
                  <c:v>37.90742094180596</c:v>
                </c:pt>
                <c:pt idx="113" formatCode="_(* #,##0.00_);_(* \(#,##0.00\);_(* &quot;-&quot;??_);_(@_)">
                  <c:v>37.294566278354566</c:v>
                </c:pt>
                <c:pt idx="114" formatCode="_(* #,##0.00_);_(* \(#,##0.00\);_(* &quot;-&quot;??_);_(@_)">
                  <c:v>37.508444014675419</c:v>
                </c:pt>
                <c:pt idx="115" formatCode="_(* #,##0.00_);_(* \(#,##0.00\);_(* &quot;-&quot;??_);_(@_)">
                  <c:v>36.979274770083165</c:v>
                </c:pt>
                <c:pt idx="116" formatCode="_(* #,##0.00_);_(* \(#,##0.00\);_(* &quot;-&quot;??_);_(@_)">
                  <c:v>39.421312503163563</c:v>
                </c:pt>
                <c:pt idx="117" formatCode="_(* #,##0.00_);_(* \(#,##0.00\);_(* &quot;-&quot;??_);_(@_)">
                  <c:v>41.261354985716189</c:v>
                </c:pt>
                <c:pt idx="118" formatCode="_(* #,##0.00_);_(* \(#,##0.00\);_(* &quot;-&quot;??_);_(@_)">
                  <c:v>41.835022738093016</c:v>
                </c:pt>
                <c:pt idx="119" formatCode="_(* #,##0.00_);_(* \(#,##0.00\);_(* &quot;-&quot;??_);_(@_)">
                  <c:v>41.783553889086917</c:v>
                </c:pt>
                <c:pt idx="120" formatCode="_(* #,##0.00_);_(* \(#,##0.00\);_(* &quot;-&quot;??_);_(@_)">
                  <c:v>42.524838300001115</c:v>
                </c:pt>
                <c:pt idx="121" formatCode="_(* #,##0.00_);_(* \(#,##0.00\);_(* &quot;-&quot;??_);_(@_)">
                  <c:v>44.216280119659487</c:v>
                </c:pt>
                <c:pt idx="122" formatCode="_(* #,##0.00_);_(* \(#,##0.00\);_(* &quot;-&quot;??_);_(@_)">
                  <c:v>45.257568560476273</c:v>
                </c:pt>
                <c:pt idx="123" formatCode="_(* #,##0.00_);_(* \(#,##0.00\);_(* &quot;-&quot;??_);_(@_)">
                  <c:v>45.312335795126685</c:v>
                </c:pt>
                <c:pt idx="124" formatCode="_(* #,##0.00_);_(* \(#,##0.00\);_(* &quot;-&quot;??_);_(@_)">
                  <c:v>42.237891311719665</c:v>
                </c:pt>
                <c:pt idx="125" formatCode="_(* #,##0.00_);_(* \(#,##0.00\);_(* &quot;-&quot;??_);_(@_)">
                  <c:v>46.616662921588983</c:v>
                </c:pt>
                <c:pt idx="126" formatCode="_(* #,##0.00_);_(* \(#,##0.00\);_(* &quot;-&quot;??_);_(@_)">
                  <c:v>45.688141893972492</c:v>
                </c:pt>
                <c:pt idx="127" formatCode="_(* #,##0.00_);_(* \(#,##0.00\);_(* &quot;-&quot;??_);_(@_)">
                  <c:v>46.807860246243031</c:v>
                </c:pt>
                <c:pt idx="128" formatCode="_(* #,##0.00_);_(* \(#,##0.00\);_(* &quot;-&quot;??_);_(@_)">
                  <c:v>43.460742743641916</c:v>
                </c:pt>
                <c:pt idx="129" formatCode="_(* #,##0.00_);_(* \(#,##0.00\);_(* &quot;-&quot;??_);_(@_)">
                  <c:v>41.897371762624353</c:v>
                </c:pt>
                <c:pt idx="130" formatCode="_(* #,##0.00_);_(* \(#,##0.00\);_(* &quot;-&quot;??_);_(@_)">
                  <c:v>41.372382099380701</c:v>
                </c:pt>
                <c:pt idx="131" formatCode="_(* #,##0.00_);_(* \(#,##0.00\);_(* &quot;-&quot;??_);_(@_)">
                  <c:v>41.574004935881014</c:v>
                </c:pt>
                <c:pt idx="132" formatCode="_(* #,##0.00_);_(* \(#,##0.00\);_(* &quot;-&quot;??_);_(@_)">
                  <c:v>41.839367656250971</c:v>
                </c:pt>
                <c:pt idx="133" formatCode="_(* #,##0.00_);_(* \(#,##0.00\);_(* &quot;-&quot;??_);_(@_)">
                  <c:v>42.349164936187435</c:v>
                </c:pt>
                <c:pt idx="134" formatCode="_(* #,##0.00_);_(* \(#,##0.00\);_(* &quot;-&quot;??_);_(@_)">
                  <c:v>38.461530049309218</c:v>
                </c:pt>
                <c:pt idx="135" formatCode="_(* #,##0.00_);_(* \(#,##0.00\);_(* &quot;-&quot;??_);_(@_)">
                  <c:v>37.077558923069013</c:v>
                </c:pt>
                <c:pt idx="136" formatCode="_(* #,##0.00_);_(* \(#,##0.00\);_(* &quot;-&quot;??_);_(@_)">
                  <c:v>37.010494477969907</c:v>
                </c:pt>
                <c:pt idx="137" formatCode="_(* #,##0.00_);_(* \(#,##0.00\);_(* &quot;-&quot;??_);_(@_)">
                  <c:v>36.469560583133543</c:v>
                </c:pt>
                <c:pt idx="138" formatCode="_(* #,##0.00_);_(* \(#,##0.00\);_(* &quot;-&quot;??_);_(@_)">
                  <c:v>37.416878718133283</c:v>
                </c:pt>
                <c:pt idx="139" formatCode="_(* #,##0.00_);_(* \(#,##0.00\);_(* &quot;-&quot;??_);_(@_)">
                  <c:v>38.025173070047096</c:v>
                </c:pt>
                <c:pt idx="140" formatCode="_(* #,##0.00_);_(* \(#,##0.00\);_(* &quot;-&quot;??_);_(@_)">
                  <c:v>39.727506020801513</c:v>
                </c:pt>
                <c:pt idx="141" formatCode="_(* #,##0.00_);_(* \(#,##0.00\);_(* &quot;-&quot;??_);_(@_)">
                  <c:v>38.635946457234859</c:v>
                </c:pt>
                <c:pt idx="142" formatCode="_(* #,##0.00_);_(* \(#,##0.00\);_(* &quot;-&quot;??_);_(@_)">
                  <c:v>37.80915638839199</c:v>
                </c:pt>
                <c:pt idx="143" formatCode="_(* #,##0.00_);_(* \(#,##0.00\);_(* &quot;-&quot;??_);_(@_)">
                  <c:v>37.719421963708683</c:v>
                </c:pt>
                <c:pt idx="144" formatCode="_(* #,##0.00_);_(* \(#,##0.00\);_(* &quot;-&quot;??_);_(@_)">
                  <c:v>37.634623637370801</c:v>
                </c:pt>
                <c:pt idx="145" formatCode="_(* #,##0.00_);_(* \(#,##0.00\);_(* &quot;-&quot;??_);_(@_)">
                  <c:v>37.906500401973794</c:v>
                </c:pt>
                <c:pt idx="146" formatCode="_(* #,##0.00_);_(* \(#,##0.00\);_(* &quot;-&quot;??_);_(@_)">
                  <c:v>38.627963538148542</c:v>
                </c:pt>
                <c:pt idx="147" formatCode="_(* #,##0.00_);_(* \(#,##0.00\);_(* &quot;-&quot;??_);_(@_)">
                  <c:v>38.058102886816819</c:v>
                </c:pt>
                <c:pt idx="148" formatCode="_(* #,##0.00_);_(* \(#,##0.00\);_(* &quot;-&quot;??_);_(@_)">
                  <c:v>38.097191324142855</c:v>
                </c:pt>
                <c:pt idx="149" formatCode="_(* #,##0.00_);_(* \(#,##0.00\);_(* &quot;-&quot;??_);_(@_)">
                  <c:v>38.121185146978647</c:v>
                </c:pt>
                <c:pt idx="150" formatCode="_(* #,##0.00_);_(* \(#,##0.00\);_(* &quot;-&quot;??_);_(@_)">
                  <c:v>37.737442853449309</c:v>
                </c:pt>
                <c:pt idx="151" formatCode="_(* #,##0.00_);_(* \(#,##0.00\);_(* &quot;-&quot;??_);_(@_)">
                  <c:v>37.822671685087954</c:v>
                </c:pt>
                <c:pt idx="152" formatCode="_(* #,##0.00_);_(* \(#,##0.00\);_(* &quot;-&quot;??_);_(@_)">
                  <c:v>42.826094749604763</c:v>
                </c:pt>
                <c:pt idx="153" formatCode="_(* #,##0.00_);_(* \(#,##0.00\);_(* &quot;-&quot;??_);_(@_)">
                  <c:v>44.294403071631983</c:v>
                </c:pt>
                <c:pt idx="154" formatCode="_(* #,##0.00_);_(* \(#,##0.00\);_(* &quot;-&quot;??_);_(@_)">
                  <c:v>39.368225996331006</c:v>
                </c:pt>
                <c:pt idx="155" formatCode="_(* #,##0.00_);_(* \(#,##0.00\);_(* &quot;-&quot;??_);_(@_)">
                  <c:v>37.507492003247982</c:v>
                </c:pt>
                <c:pt idx="156" formatCode="_(* #,##0.00_);_(* \(#,##0.00\);_(* &quot;-&quot;??_);_(@_)">
                  <c:v>36.930478066915406</c:v>
                </c:pt>
                <c:pt idx="157" formatCode="_(* #,##0.00_);_(* \(#,##0.00\);_(* &quot;-&quot;??_);_(@_)">
                  <c:v>36.955351968868399</c:v>
                </c:pt>
                <c:pt idx="158" formatCode="_(* #,##0.00_);_(* \(#,##0.00\);_(* &quot;-&quot;??_);_(@_)">
                  <c:v>36.813317101347046</c:v>
                </c:pt>
                <c:pt idx="159" formatCode="_(* #,##0.00_);_(* \(#,##0.00\);_(* &quot;-&quot;??_);_(@_)">
                  <c:v>36.351954191221779</c:v>
                </c:pt>
                <c:pt idx="160" formatCode="_(* #,##0.00_);_(* \(#,##0.00\);_(* &quot;-&quot;??_);_(@_)">
                  <c:v>37.182307566175695</c:v>
                </c:pt>
                <c:pt idx="161" formatCode="_(* #,##0.00_);_(* \(#,##0.00\);_(* &quot;-&quot;??_);_(@_)">
                  <c:v>36.775774610595704</c:v>
                </c:pt>
                <c:pt idx="162" formatCode="_(* #,##0.00_);_(* \(#,##0.00\);_(* &quot;-&quot;??_);_(@_)">
                  <c:v>36.787941545320813</c:v>
                </c:pt>
                <c:pt idx="163" formatCode="_(* #,##0.00_);_(* \(#,##0.00\);_(* &quot;-&quot;??_);_(@_)">
                  <c:v>36.755890189094195</c:v>
                </c:pt>
                <c:pt idx="164" formatCode="_(* #,##0.00_);_(* \(#,##0.00\);_(* &quot;-&quot;??_);_(@_)">
                  <c:v>36.289802821977688</c:v>
                </c:pt>
                <c:pt idx="165" formatCode="_(* #,##0.00_);_(* \(#,##0.00\);_(* &quot;-&quot;??_);_(@_)">
                  <c:v>37.656333596041272</c:v>
                </c:pt>
                <c:pt idx="166" formatCode="_(* #,##0.00_);_(* \(#,##0.00\);_(* &quot;-&quot;??_);_(@_)">
                  <c:v>40.872599402603001</c:v>
                </c:pt>
                <c:pt idx="167" formatCode="_(* #,##0.00_);_(* \(#,##0.00\);_(* &quot;-&quot;??_);_(@_)">
                  <c:v>39.29696295382066</c:v>
                </c:pt>
                <c:pt idx="168" formatCode="_(* #,##0.00_);_(* \(#,##0.00\);_(* &quot;-&quot;??_);_(@_)">
                  <c:v>39.102839295938615</c:v>
                </c:pt>
                <c:pt idx="169" formatCode="_(* #,##0.00_);_(* \(#,##0.00\);_(* &quot;-&quot;??_);_(@_)">
                  <c:v>39.172046438056164</c:v>
                </c:pt>
                <c:pt idx="170" formatCode="_(* #,##0.00_);_(* \(#,##0.00\);_(* &quot;-&quot;??_);_(@_)">
                  <c:v>39.785447873899734</c:v>
                </c:pt>
                <c:pt idx="171" formatCode="_(* #,##0.00_);_(* \(#,##0.00\);_(* &quot;-&quot;??_);_(@_)">
                  <c:v>39.191941886151881</c:v>
                </c:pt>
                <c:pt idx="172" formatCode="_(* #,##0.00_);_(* \(#,##0.00\);_(* &quot;-&quot;??_);_(@_)">
                  <c:v>39.448797532507015</c:v>
                </c:pt>
                <c:pt idx="173" formatCode="_(* #,##0.00_);_(* \(#,##0.00\);_(* &quot;-&quot;??_);_(@_)">
                  <c:v>40.891888445283897</c:v>
                </c:pt>
                <c:pt idx="174" formatCode="_(* #,##0.00_);_(* \(#,##0.00\);_(* &quot;-&quot;??_);_(@_)">
                  <c:v>39.468246564781026</c:v>
                </c:pt>
                <c:pt idx="175" formatCode="_(* #,##0.00_);_(* \(#,##0.00\);_(* &quot;-&quot;??_);_(@_)">
                  <c:v>38.281818878810618</c:v>
                </c:pt>
                <c:pt idx="176" formatCode="_(* #,##0.00_);_(* \(#,##0.00\);_(* &quot;-&quot;??_);_(@_)">
                  <c:v>36.804214973863544</c:v>
                </c:pt>
                <c:pt idx="177" formatCode="_(* #,##0.00_);_(* \(#,##0.00\);_(* &quot;-&quot;??_);_(@_)">
                  <c:v>37.949031205717958</c:v>
                </c:pt>
                <c:pt idx="178" formatCode="_(* #,##0.00_);_(* \(#,##0.00\);_(* &quot;-&quot;??_);_(@_)">
                  <c:v>38.257410673768881</c:v>
                </c:pt>
                <c:pt idx="179" formatCode="_(* #,##0.00_);_(* \(#,##0.00\);_(* &quot;-&quot;??_);_(@_)">
                  <c:v>38.820757395474374</c:v>
                </c:pt>
                <c:pt idx="180" formatCode="_(* #,##0.00_);_(* \(#,##0.00\);_(* &quot;-&quot;??_);_(@_)">
                  <c:v>61.736704343640483</c:v>
                </c:pt>
                <c:pt idx="181" formatCode="_(* #,##0.00_);_(* \(#,##0.00\);_(* &quot;-&quot;??_);_(@_)">
                  <c:v>79.313822916049318</c:v>
                </c:pt>
                <c:pt idx="182" formatCode="_(* #,##0.00_);_(* \(#,##0.00\);_(* &quot;-&quot;??_);_(@_)">
                  <c:v>74.877564251727193</c:v>
                </c:pt>
                <c:pt idx="183" formatCode="_(* #,##0.00_);_(* \(#,##0.00\);_(* &quot;-&quot;??_);_(@_)">
                  <c:v>46.278986376803836</c:v>
                </c:pt>
                <c:pt idx="184" formatCode="_(* #,##0.00_);_(* \(#,##0.00\);_(* &quot;-&quot;??_);_(@_)">
                  <c:v>45.686292944871013</c:v>
                </c:pt>
                <c:pt idx="185" formatCode="_(* #,##0.00_);_(* \(#,##0.00\);_(* &quot;-&quot;??_);_(@_)">
                  <c:v>47.90465939912648</c:v>
                </c:pt>
                <c:pt idx="186" formatCode="_(* #,##0.00_);_(* \(#,##0.00\);_(* &quot;-&quot;??_);_(@_)">
                  <c:v>49.112087924211252</c:v>
                </c:pt>
                <c:pt idx="187" formatCode="_(* #,##0.00_);_(* \(#,##0.00\);_(* &quot;-&quot;??_);_(@_)">
                  <c:v>47.590733812971735</c:v>
                </c:pt>
                <c:pt idx="188" formatCode="_(* #,##0.00_);_(* \(#,##0.00\);_(* &quot;-&quot;??_);_(@_)">
                  <c:v>44.870567713243631</c:v>
                </c:pt>
                <c:pt idx="189" formatCode="_(* #,##0.00_);_(* \(#,##0.00\);_(* &quot;-&quot;??_);_(@_)">
                  <c:v>45.639841192536288</c:v>
                </c:pt>
                <c:pt idx="190" formatCode="_(* #,##0.00_);_(* \(#,##0.00\);_(* &quot;-&quot;??_);_(@_)">
                  <c:v>38.191423838793185</c:v>
                </c:pt>
                <c:pt idx="191" formatCode="_(* #,##0.00_);_(* \(#,##0.00\);_(* &quot;-&quot;??_);_(@_)">
                  <c:v>39.415003678082726</c:v>
                </c:pt>
                <c:pt idx="192" formatCode="_(* #,##0.00_);_(* \(#,##0.00\);_(* &quot;-&quot;??_);_(@_)">
                  <c:v>37.380292167785306</c:v>
                </c:pt>
                <c:pt idx="193" formatCode="_(* #,##0.00_);_(* \(#,##0.00\);_(* &quot;-&quot;??_);_(@_)">
                  <c:v>38.501424518581452</c:v>
                </c:pt>
                <c:pt idx="194" formatCode="_(* #,##0.00_);_(* \(#,##0.00\);_(* &quot;-&quot;??_);_(@_)">
                  <c:v>36.353555916523739</c:v>
                </c:pt>
                <c:pt idx="195" formatCode="_(* #,##0.00_);_(* \(#,##0.00\);_(* &quot;-&quot;??_);_(@_)">
                  <c:v>37.733710547745801</c:v>
                </c:pt>
                <c:pt idx="196" formatCode="_(* #,##0.00_);_(* \(#,##0.00\);_(* &quot;-&quot;??_);_(@_)">
                  <c:v>36.571079147923868</c:v>
                </c:pt>
                <c:pt idx="197" formatCode="_(* #,##0.00_);_(* \(#,##0.00\);_(* &quot;-&quot;??_);_(@_)">
                  <c:v>36.719723496954479</c:v>
                </c:pt>
                <c:pt idx="198" formatCode="_(* #,##0.00_);_(* \(#,##0.00\);_(* &quot;-&quot;??_);_(@_)">
                  <c:v>36.956328899525474</c:v>
                </c:pt>
                <c:pt idx="199" formatCode="_(* #,##0.00_);_(* \(#,##0.00\);_(* &quot;-&quot;??_);_(@_)">
                  <c:v>37.59923064199247</c:v>
                </c:pt>
                <c:pt idx="200" formatCode="_(* #,##0.00_);_(* \(#,##0.00\);_(* &quot;-&quot;??_);_(@_)">
                  <c:v>38.040331840580549</c:v>
                </c:pt>
                <c:pt idx="201" formatCode="_(* #,##0.00_);_(* \(#,##0.00\);_(* &quot;-&quot;??_);_(@_)">
                  <c:v>38.999671898816018</c:v>
                </c:pt>
                <c:pt idx="202" formatCode="_(* #,##0.00_);_(* \(#,##0.00\);_(* &quot;-&quot;??_);_(@_)">
                  <c:v>38.139860196242282</c:v>
                </c:pt>
                <c:pt idx="203" formatCode="_(* #,##0.00_);_(* \(#,##0.00\);_(* &quot;-&quot;??_);_(@_)">
                  <c:v>37.257642022090025</c:v>
                </c:pt>
                <c:pt idx="204" formatCode="_(* #,##0.00_);_(* \(#,##0.00\);_(* &quot;-&quot;??_);_(@_)">
                  <c:v>39.236595499767844</c:v>
                </c:pt>
                <c:pt idx="205" formatCode="_(* #,##0.00_);_(* \(#,##0.00\);_(* &quot;-&quot;??_);_(@_)">
                  <c:v>36.991659910462658</c:v>
                </c:pt>
                <c:pt idx="206" formatCode="_(* #,##0.00_);_(* \(#,##0.00\);_(* &quot;-&quot;??_);_(@_)">
                  <c:v>39.695840887644209</c:v>
                </c:pt>
                <c:pt idx="207" formatCode="_(* #,##0.00_);_(* \(#,##0.00\);_(* &quot;-&quot;??_);_(@_)">
                  <c:v>46.062673056897268</c:v>
                </c:pt>
                <c:pt idx="208" formatCode="_(* #,##0.00_);_(* \(#,##0.00\);_(* &quot;-&quot;??_);_(@_)">
                  <c:v>42.763508355995789</c:v>
                </c:pt>
                <c:pt idx="209" formatCode="_(* #,##0.00_);_(* \(#,##0.00\);_(* &quot;-&quot;??_);_(@_)">
                  <c:v>54.053435966926649</c:v>
                </c:pt>
                <c:pt idx="210" formatCode="_(* #,##0.00_);_(* \(#,##0.00\);_(* &quot;-&quot;??_);_(@_)">
                  <c:v>50.966622030941167</c:v>
                </c:pt>
                <c:pt idx="211" formatCode="_(* #,##0.00_);_(* \(#,##0.00\);_(* &quot;-&quot;??_);_(@_)">
                  <c:v>50.634492461392291</c:v>
                </c:pt>
                <c:pt idx="212" formatCode="_(* #,##0.00_);_(* \(#,##0.00\);_(* &quot;-&quot;??_);_(@_)">
                  <c:v>66.776724673601535</c:v>
                </c:pt>
                <c:pt idx="213" formatCode="_(* #,##0.00_);_(* \(#,##0.00\);_(* &quot;-&quot;??_);_(@_)">
                  <c:v>60.674260710672129</c:v>
                </c:pt>
                <c:pt idx="214" formatCode="_(* #,##0.00_);_(* \(#,##0.00\);_(* &quot;-&quot;??_);_(@_)">
                  <c:v>57.461061450537514</c:v>
                </c:pt>
                <c:pt idx="215" formatCode="_(* #,##0.00_);_(* \(#,##0.00\);_(* &quot;-&quot;??_);_(@_)">
                  <c:v>58.385798012309955</c:v>
                </c:pt>
                <c:pt idx="216" formatCode="_(* #,##0.00_);_(* \(#,##0.00\);_(* &quot;-&quot;??_);_(@_)">
                  <c:v>62.598722726623272</c:v>
                </c:pt>
                <c:pt idx="217" formatCode="_(* #,##0.00_);_(* \(#,##0.00\);_(* &quot;-&quot;??_);_(@_)">
                  <c:v>68.650320518158793</c:v>
                </c:pt>
                <c:pt idx="218" formatCode="_(* #,##0.00_);_(* \(#,##0.00\);_(* &quot;-&quot;??_);_(@_)">
                  <c:v>66.307095540151963</c:v>
                </c:pt>
                <c:pt idx="219" formatCode="_(* #,##0.00_);_(* \(#,##0.00\);_(* &quot;-&quot;??_);_(@_)">
                  <c:v>73.423695287838669</c:v>
                </c:pt>
                <c:pt idx="220" formatCode="_(* #,##0.00_);_(* \(#,##0.00\);_(* &quot;-&quot;??_);_(@_)">
                  <c:v>76.466659766596663</c:v>
                </c:pt>
                <c:pt idx="221" formatCode="_(* #,##0.00_);_(* \(#,##0.00\);_(* &quot;-&quot;??_);_(@_)">
                  <c:v>88.071998335050552</c:v>
                </c:pt>
                <c:pt idx="222" formatCode="_(* #,##0.00_);_(* \(#,##0.00\);_(* &quot;-&quot;??_);_(@_)">
                  <c:v>94.302675404419091</c:v>
                </c:pt>
                <c:pt idx="223" formatCode="_(* #,##0.00_);_(* \(#,##0.00\);_(* &quot;-&quot;??_);_(@_)">
                  <c:v>106.44091848178597</c:v>
                </c:pt>
                <c:pt idx="224" formatCode="_(* #,##0.00_);_(* \(#,##0.00\);_(* &quot;-&quot;??_);_(@_)">
                  <c:v>104.99471113386609</c:v>
                </c:pt>
                <c:pt idx="225" formatCode="_(* #,##0.00_);_(* \(#,##0.00\);_(* &quot;-&quot;??_);_(@_)">
                  <c:v>99.846141117442031</c:v>
                </c:pt>
                <c:pt idx="226" formatCode="_(* #,##0.00_);_(* \(#,##0.00\);_(* &quot;-&quot;??_);_(@_)">
                  <c:v>99.791776514741144</c:v>
                </c:pt>
                <c:pt idx="227" formatCode="_(* #,##0.00_);_(* \(#,##0.00\);_(* &quot;-&quot;??_);_(@_)">
                  <c:v>111.23450341212046</c:v>
                </c:pt>
                <c:pt idx="228" formatCode="_(* #,##0.00_);_(* \(#,##0.00\);_(* &quot;-&quot;??_);_(@_)">
                  <c:v>118.22171902693202</c:v>
                </c:pt>
                <c:pt idx="229" formatCode="_(* #,##0.00_);_(* \(#,##0.00\);_(* &quot;-&quot;??_);_(@_)">
                  <c:v>127.13469941294969</c:v>
                </c:pt>
                <c:pt idx="230" formatCode="_(* #,##0.00_);_(* \(#,##0.00\);_(* &quot;-&quot;??_);_(@_)">
                  <c:v>126.83884206150007</c:v>
                </c:pt>
                <c:pt idx="231" formatCode="_(* #,##0.00_);_(* \(#,##0.00\);_(* &quot;-&quot;??_);_(@_)">
                  <c:v>123.41200713455491</c:v>
                </c:pt>
                <c:pt idx="232" formatCode="_(* #,##0.00_);_(* \(#,##0.00\);_(* &quot;-&quot;??_);_(@_)">
                  <c:v>126.05151348002717</c:v>
                </c:pt>
                <c:pt idx="233" formatCode="_(* #,##0.00_);_(* \(#,##0.00\);_(* &quot;-&quot;??_);_(@_)">
                  <c:v>129.94229098839853</c:v>
                </c:pt>
                <c:pt idx="234" formatCode="_(* #,##0.00_);_(* \(#,##0.00\);_(* &quot;-&quot;??_);_(@_)">
                  <c:v>106.12549513879516</c:v>
                </c:pt>
                <c:pt idx="235" formatCode="_(* #,##0.00_);_(* \(#,##0.00\);_(* &quot;-&quot;??_);_(@_)">
                  <c:v>96.535962984158829</c:v>
                </c:pt>
                <c:pt idx="236" formatCode="_(* #,##0.00_);_(* \(#,##0.00\);_(* &quot;-&quot;??_);_(@_)">
                  <c:v>93.985442399866955</c:v>
                </c:pt>
                <c:pt idx="237" formatCode="_(* #,##0.00_);_(* \(#,##0.00\);_(* &quot;-&quot;??_);_(@_)">
                  <c:v>104.39315504079187</c:v>
                </c:pt>
                <c:pt idx="238" formatCode="_(* #,##0.00_);_(* \(#,##0.00\);_(* &quot;-&quot;??_);_(@_)">
                  <c:v>132.05837779817318</c:v>
                </c:pt>
                <c:pt idx="239" formatCode="_(* #,##0.00_);_(* \(#,##0.00\);_(* &quot;-&quot;??_);_(@_)">
                  <c:v>140.51062142302999</c:v>
                </c:pt>
                <c:pt idx="240" formatCode="_(* #,##0.00_);_(* \(#,##0.00\);_(* &quot;-&quot;??_);_(@_)">
                  <c:v>137.86518451275001</c:v>
                </c:pt>
                <c:pt idx="241" formatCode="_(* #,##0.00_);_(* \(#,##0.00\);_(* &quot;-&quot;??_);_(@_)">
                  <c:v>125.48762971772675</c:v>
                </c:pt>
                <c:pt idx="242" formatCode="_(* #,##0.00_);_(* \(#,##0.00\);_(* &quot;-&quot;??_);_(@_)">
                  <c:v>117.07640714404565</c:v>
                </c:pt>
                <c:pt idx="243" formatCode="_(* #,##0.00_);_(* \(#,##0.00\);_(* &quot;-&quot;??_);_(@_)">
                  <c:v>145.28167591055214</c:v>
                </c:pt>
                <c:pt idx="244" formatCode="_(* #,##0.00_);_(* \(#,##0.00\);_(* &quot;-&quot;??_);_(@_)">
                  <c:v>145.34284070505694</c:v>
                </c:pt>
                <c:pt idx="245" formatCode="_(* #,##0.00_);_(* \(#,##0.00\);_(* &quot;-&quot;??_);_(@_)">
                  <c:v>143.26534570199902</c:v>
                </c:pt>
                <c:pt idx="246" formatCode="_(* #,##0.00_);_(* \(#,##0.00\);_(* &quot;-&quot;??_);_(@_)">
                  <c:v>144.22962939998249</c:v>
                </c:pt>
                <c:pt idx="247" formatCode="_(* #,##0.00_);_(* \(#,##0.00\);_(* &quot;-&quot;??_);_(@_)">
                  <c:v>140.74315894532833</c:v>
                </c:pt>
                <c:pt idx="248" formatCode="_(* #,##0.00_);_(* \(#,##0.00\);_(* &quot;-&quot;??_);_(@_)">
                  <c:v>144.38884261553974</c:v>
                </c:pt>
                <c:pt idx="249" formatCode="_(* #,##0.00_);_(* \(#,##0.00\);_(* &quot;-&quot;??_);_(@_)">
                  <c:v>141.3953583238426</c:v>
                </c:pt>
                <c:pt idx="250" formatCode="_(* #,##0.00_);_(* \(#,##0.00\);_(* &quot;-&quot;??_);_(@_)">
                  <c:v>141.01515939665092</c:v>
                </c:pt>
                <c:pt idx="251" formatCode="_(* #,##0.00_);_(* \(#,##0.00\);_(* &quot;-&quot;??_);_(@_)">
                  <c:v>145.11584239859985</c:v>
                </c:pt>
                <c:pt idx="252" formatCode="_(* #,##0.00_);_(* \(#,##0.00\);_(* &quot;-&quot;??_);_(@_)">
                  <c:v>153.51516717544837</c:v>
                </c:pt>
                <c:pt idx="253" formatCode="_(* #,##0.00_);_(* \(#,##0.00\);_(* &quot;-&quot;??_);_(@_)">
                  <c:v>158.43650720860904</c:v>
                </c:pt>
                <c:pt idx="254" formatCode="_(* #,##0.00_);_(* \(#,##0.00\);_(* &quot;-&quot;??_);_(@_)">
                  <c:v>154.21837391896608</c:v>
                </c:pt>
                <c:pt idx="255" formatCode="_(* #,##0.00_);_(* \(#,##0.00\);_(* &quot;-&quot;??_);_(@_)">
                  <c:v>146.7719904387823</c:v>
                </c:pt>
                <c:pt idx="256" formatCode="_(* #,##0.00_);_(* \(#,##0.00\);_(* &quot;-&quot;??_);_(@_)">
                  <c:v>144.02311756768782</c:v>
                </c:pt>
                <c:pt idx="257" formatCode="_(* #,##0.00_);_(* \(#,##0.00\);_(* &quot;-&quot;??_);_(@_)">
                  <c:v>137.61947737835996</c:v>
                </c:pt>
                <c:pt idx="258" formatCode="_(* #,##0.00_);_(* \(#,##0.00\);_(* &quot;-&quot;??_);_(@_)">
                  <c:v>145.58526737799744</c:v>
                </c:pt>
                <c:pt idx="259" formatCode="_(* #,##0.00_);_(* \(#,##0.00\);_(* &quot;-&quot;??_);_(@_)">
                  <c:v>125.02374547712085</c:v>
                </c:pt>
                <c:pt idx="260" formatCode="_(* #,##0.00_);_(* \(#,##0.00\);_(* &quot;-&quot;??_);_(@_)">
                  <c:v>138.1194315349322</c:v>
                </c:pt>
                <c:pt idx="261" formatCode="_(* #,##0.00_);_(* \(#,##0.00\);_(* &quot;-&quot;??_);_(@_)">
                  <c:v>152.2852681387682</c:v>
                </c:pt>
                <c:pt idx="262" formatCode="_(* #,##0.00_);_(* \(#,##0.00\);_(* &quot;-&quot;??_);_(@_)">
                  <c:v>144.46832654764881</c:v>
                </c:pt>
                <c:pt idx="263" formatCode="_(* #,##0.00_);_(* \(#,##0.00\);_(* &quot;-&quot;??_);_(@_)">
                  <c:v>148.72027917006662</c:v>
                </c:pt>
                <c:pt idx="264" formatCode="_(* #,##0.00_);_(* \(#,##0.00\);_(* &quot;-&quot;??_);_(@_)">
                  <c:v>146.98772515383698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91-454D-9476-0DAB431CF41A}"/>
            </c:ext>
          </c:extLst>
        </c:ser>
        <c:ser>
          <c:idx val="2"/>
          <c:order val="2"/>
          <c:tx>
            <c:strRef>
              <c:f>Precios!$AB$19</c:f>
              <c:strCache>
                <c:ptCount val="1"/>
                <c:pt idx="0">
                  <c:v>RMA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Precios!$Y$20:$Y$284</c:f>
              <c:numCache>
                <c:formatCode>General</c:formatCode>
                <c:ptCount val="265"/>
                <c:pt idx="92" formatCode="m/d/yyyy">
                  <c:v>46023</c:v>
                </c:pt>
                <c:pt idx="93" formatCode="m/d/yyyy">
                  <c:v>46024</c:v>
                </c:pt>
                <c:pt idx="94" formatCode="m/d/yyyy">
                  <c:v>46025</c:v>
                </c:pt>
                <c:pt idx="95" formatCode="m/d/yyyy">
                  <c:v>46026</c:v>
                </c:pt>
                <c:pt idx="96" formatCode="m/d/yyyy">
                  <c:v>46027</c:v>
                </c:pt>
                <c:pt idx="97" formatCode="m/d/yyyy">
                  <c:v>46028</c:v>
                </c:pt>
                <c:pt idx="98" formatCode="m/d/yyyy">
                  <c:v>46029</c:v>
                </c:pt>
                <c:pt idx="99" formatCode="m/d/yyyy">
                  <c:v>46030</c:v>
                </c:pt>
                <c:pt idx="100" formatCode="m/d/yyyy">
                  <c:v>46031</c:v>
                </c:pt>
                <c:pt idx="101" formatCode="m/d/yyyy">
                  <c:v>46032</c:v>
                </c:pt>
                <c:pt idx="102" formatCode="m/d/yyyy">
                  <c:v>46033</c:v>
                </c:pt>
                <c:pt idx="103" formatCode="m/d/yyyy">
                  <c:v>46034</c:v>
                </c:pt>
                <c:pt idx="104" formatCode="m/d/yyyy">
                  <c:v>46035</c:v>
                </c:pt>
                <c:pt idx="105" formatCode="m/d/yyyy">
                  <c:v>46036</c:v>
                </c:pt>
                <c:pt idx="106" formatCode="m/d/yyyy">
                  <c:v>46037</c:v>
                </c:pt>
                <c:pt idx="107" formatCode="m/d/yyyy">
                  <c:v>46038</c:v>
                </c:pt>
                <c:pt idx="108" formatCode="m/d/yyyy">
                  <c:v>46039</c:v>
                </c:pt>
                <c:pt idx="109" formatCode="m/d/yyyy">
                  <c:v>46040</c:v>
                </c:pt>
                <c:pt idx="110" formatCode="m/d/yyyy">
                  <c:v>46041</c:v>
                </c:pt>
                <c:pt idx="111" formatCode="m/d/yyyy">
                  <c:v>46042</c:v>
                </c:pt>
                <c:pt idx="112" formatCode="m/d/yyyy">
                  <c:v>46043</c:v>
                </c:pt>
                <c:pt idx="113" formatCode="m/d/yyyy">
                  <c:v>46044</c:v>
                </c:pt>
                <c:pt idx="114" formatCode="m/d/yyyy">
                  <c:v>46045</c:v>
                </c:pt>
                <c:pt idx="115" formatCode="m/d/yyyy">
                  <c:v>46046</c:v>
                </c:pt>
                <c:pt idx="116" formatCode="m/d/yyyy">
                  <c:v>46047</c:v>
                </c:pt>
                <c:pt idx="117" formatCode="m/d/yyyy">
                  <c:v>46048</c:v>
                </c:pt>
                <c:pt idx="118" formatCode="m/d/yyyy">
                  <c:v>46049</c:v>
                </c:pt>
                <c:pt idx="119" formatCode="m/d/yyyy">
                  <c:v>46050</c:v>
                </c:pt>
                <c:pt idx="120" formatCode="m/d/yyyy">
                  <c:v>46051</c:v>
                </c:pt>
                <c:pt idx="121" formatCode="m/d/yyyy">
                  <c:v>46052</c:v>
                </c:pt>
                <c:pt idx="122" formatCode="m/d/yyyy">
                  <c:v>46053</c:v>
                </c:pt>
                <c:pt idx="123" formatCode="m/d/yyyy">
                  <c:v>46054</c:v>
                </c:pt>
                <c:pt idx="124" formatCode="m/d/yyyy">
                  <c:v>46055</c:v>
                </c:pt>
                <c:pt idx="125" formatCode="m/d/yyyy">
                  <c:v>46056</c:v>
                </c:pt>
                <c:pt idx="126" formatCode="m/d/yyyy">
                  <c:v>46057</c:v>
                </c:pt>
                <c:pt idx="127" formatCode="m/d/yyyy">
                  <c:v>46058</c:v>
                </c:pt>
                <c:pt idx="128" formatCode="m/d/yyyy">
                  <c:v>46059</c:v>
                </c:pt>
                <c:pt idx="129" formatCode="m/d/yyyy">
                  <c:v>46060</c:v>
                </c:pt>
                <c:pt idx="130" formatCode="m/d/yyyy">
                  <c:v>46061</c:v>
                </c:pt>
                <c:pt idx="131" formatCode="m/d/yyyy">
                  <c:v>46062</c:v>
                </c:pt>
                <c:pt idx="132" formatCode="m/d/yyyy">
                  <c:v>46063</c:v>
                </c:pt>
                <c:pt idx="133" formatCode="m/d/yyyy">
                  <c:v>46064</c:v>
                </c:pt>
                <c:pt idx="134" formatCode="m/d/yyyy">
                  <c:v>46065</c:v>
                </c:pt>
                <c:pt idx="135" formatCode="m/d/yyyy">
                  <c:v>46066</c:v>
                </c:pt>
                <c:pt idx="136" formatCode="m/d/yyyy">
                  <c:v>46067</c:v>
                </c:pt>
                <c:pt idx="137" formatCode="m/d/yyyy">
                  <c:v>46068</c:v>
                </c:pt>
                <c:pt idx="138" formatCode="m/d/yyyy">
                  <c:v>46069</c:v>
                </c:pt>
                <c:pt idx="139" formatCode="m/d/yyyy">
                  <c:v>46070</c:v>
                </c:pt>
                <c:pt idx="140" formatCode="m/d/yyyy">
                  <c:v>46071</c:v>
                </c:pt>
                <c:pt idx="141" formatCode="m/d/yyyy">
                  <c:v>46072</c:v>
                </c:pt>
                <c:pt idx="142" formatCode="m/d/yyyy">
                  <c:v>46073</c:v>
                </c:pt>
                <c:pt idx="143" formatCode="m/d/yyyy">
                  <c:v>46074</c:v>
                </c:pt>
                <c:pt idx="144" formatCode="m/d/yyyy">
                  <c:v>46075</c:v>
                </c:pt>
                <c:pt idx="145" formatCode="m/d/yyyy">
                  <c:v>46076</c:v>
                </c:pt>
                <c:pt idx="146" formatCode="m/d/yyyy">
                  <c:v>46077</c:v>
                </c:pt>
                <c:pt idx="147" formatCode="m/d/yyyy">
                  <c:v>46078</c:v>
                </c:pt>
                <c:pt idx="148" formatCode="m/d/yyyy">
                  <c:v>46079</c:v>
                </c:pt>
                <c:pt idx="149" formatCode="m/d/yyyy">
                  <c:v>46080</c:v>
                </c:pt>
                <c:pt idx="150" formatCode="m/d/yyyy">
                  <c:v>46081</c:v>
                </c:pt>
                <c:pt idx="151" formatCode="m/d/yyyy">
                  <c:v>46082</c:v>
                </c:pt>
                <c:pt idx="152" formatCode="m/d/yyyy">
                  <c:v>46083</c:v>
                </c:pt>
                <c:pt idx="153" formatCode="m/d/yyyy">
                  <c:v>46084</c:v>
                </c:pt>
                <c:pt idx="154" formatCode="m/d/yyyy">
                  <c:v>46085</c:v>
                </c:pt>
                <c:pt idx="155" formatCode="m/d/yyyy">
                  <c:v>46086</c:v>
                </c:pt>
                <c:pt idx="156" formatCode="m/d/yyyy">
                  <c:v>46087</c:v>
                </c:pt>
                <c:pt idx="157" formatCode="m/d/yyyy">
                  <c:v>46088</c:v>
                </c:pt>
                <c:pt idx="158" formatCode="m/d/yyyy">
                  <c:v>46089</c:v>
                </c:pt>
                <c:pt idx="159" formatCode="m/d/yyyy">
                  <c:v>46090</c:v>
                </c:pt>
                <c:pt idx="160" formatCode="m/d/yyyy">
                  <c:v>46091</c:v>
                </c:pt>
                <c:pt idx="161" formatCode="m/d/yyyy">
                  <c:v>46092</c:v>
                </c:pt>
                <c:pt idx="162" formatCode="m/d/yyyy">
                  <c:v>46093</c:v>
                </c:pt>
                <c:pt idx="163" formatCode="m/d/yyyy">
                  <c:v>46094</c:v>
                </c:pt>
                <c:pt idx="164" formatCode="m/d/yyyy">
                  <c:v>46095</c:v>
                </c:pt>
                <c:pt idx="165" formatCode="m/d/yyyy">
                  <c:v>46096</c:v>
                </c:pt>
                <c:pt idx="166" formatCode="m/d/yyyy">
                  <c:v>46097</c:v>
                </c:pt>
                <c:pt idx="167" formatCode="m/d/yyyy">
                  <c:v>46098</c:v>
                </c:pt>
                <c:pt idx="168" formatCode="m/d/yyyy">
                  <c:v>46099</c:v>
                </c:pt>
                <c:pt idx="169" formatCode="m/d/yyyy">
                  <c:v>46100</c:v>
                </c:pt>
                <c:pt idx="170" formatCode="m/d/yyyy">
                  <c:v>46101</c:v>
                </c:pt>
                <c:pt idx="171" formatCode="m/d/yyyy">
                  <c:v>46102</c:v>
                </c:pt>
                <c:pt idx="172" formatCode="m/d/yyyy">
                  <c:v>46103</c:v>
                </c:pt>
                <c:pt idx="173" formatCode="m/d/yyyy">
                  <c:v>46104</c:v>
                </c:pt>
                <c:pt idx="174" formatCode="m/d/yyyy">
                  <c:v>46105</c:v>
                </c:pt>
                <c:pt idx="175" formatCode="m/d/yyyy">
                  <c:v>46106</c:v>
                </c:pt>
                <c:pt idx="176" formatCode="m/d/yyyy">
                  <c:v>46107</c:v>
                </c:pt>
                <c:pt idx="177" formatCode="m/d/yyyy">
                  <c:v>46108</c:v>
                </c:pt>
                <c:pt idx="178" formatCode="m/d/yyyy">
                  <c:v>46109</c:v>
                </c:pt>
                <c:pt idx="179" formatCode="m/d/yyyy">
                  <c:v>46110</c:v>
                </c:pt>
                <c:pt idx="180" formatCode="m/d/yyyy">
                  <c:v>46111</c:v>
                </c:pt>
                <c:pt idx="181" formatCode="m/d/yyyy">
                  <c:v>46112</c:v>
                </c:pt>
                <c:pt idx="182" formatCode="m/d/yyyy">
                  <c:v>46113</c:v>
                </c:pt>
                <c:pt idx="183" formatCode="m/d/yyyy">
                  <c:v>46114</c:v>
                </c:pt>
                <c:pt idx="184" formatCode="m/d/yyyy">
                  <c:v>46115</c:v>
                </c:pt>
                <c:pt idx="185" formatCode="m/d/yyyy">
                  <c:v>46116</c:v>
                </c:pt>
                <c:pt idx="186" formatCode="m/d/yyyy">
                  <c:v>46117</c:v>
                </c:pt>
                <c:pt idx="187" formatCode="m/d/yyyy">
                  <c:v>46118</c:v>
                </c:pt>
                <c:pt idx="188" formatCode="m/d/yyyy">
                  <c:v>46119</c:v>
                </c:pt>
                <c:pt idx="189" formatCode="m/d/yyyy">
                  <c:v>46120</c:v>
                </c:pt>
                <c:pt idx="190" formatCode="m/d/yyyy">
                  <c:v>46121</c:v>
                </c:pt>
                <c:pt idx="191" formatCode="m/d/yyyy">
                  <c:v>46122</c:v>
                </c:pt>
                <c:pt idx="192" formatCode="m/d/yyyy">
                  <c:v>46123</c:v>
                </c:pt>
                <c:pt idx="193" formatCode="m/d/yyyy">
                  <c:v>46124</c:v>
                </c:pt>
                <c:pt idx="194" formatCode="m/d/yyyy">
                  <c:v>46125</c:v>
                </c:pt>
                <c:pt idx="195" formatCode="m/d/yyyy">
                  <c:v>46126</c:v>
                </c:pt>
                <c:pt idx="196" formatCode="m/d/yyyy">
                  <c:v>46127</c:v>
                </c:pt>
                <c:pt idx="197" formatCode="m/d/yyyy">
                  <c:v>46128</c:v>
                </c:pt>
                <c:pt idx="198" formatCode="m/d/yyyy">
                  <c:v>46129</c:v>
                </c:pt>
                <c:pt idx="199" formatCode="m/d/yyyy">
                  <c:v>46130</c:v>
                </c:pt>
                <c:pt idx="200" formatCode="m/d/yyyy">
                  <c:v>46131</c:v>
                </c:pt>
                <c:pt idx="201" formatCode="m/d/yyyy">
                  <c:v>46132</c:v>
                </c:pt>
                <c:pt idx="202" formatCode="m/d/yyyy">
                  <c:v>46133</c:v>
                </c:pt>
                <c:pt idx="203" formatCode="m/d/yyyy">
                  <c:v>46134</c:v>
                </c:pt>
                <c:pt idx="204" formatCode="m/d/yyyy">
                  <c:v>46135</c:v>
                </c:pt>
                <c:pt idx="205" formatCode="m/d/yyyy">
                  <c:v>46136</c:v>
                </c:pt>
                <c:pt idx="206" formatCode="m/d/yyyy">
                  <c:v>46137</c:v>
                </c:pt>
                <c:pt idx="207" formatCode="m/d/yyyy">
                  <c:v>46138</c:v>
                </c:pt>
                <c:pt idx="208" formatCode="m/d/yyyy">
                  <c:v>46139</c:v>
                </c:pt>
                <c:pt idx="209" formatCode="m/d/yyyy">
                  <c:v>46140</c:v>
                </c:pt>
                <c:pt idx="210" formatCode="m/d/yyyy">
                  <c:v>46141</c:v>
                </c:pt>
                <c:pt idx="211" formatCode="m/d/yyyy">
                  <c:v>46142</c:v>
                </c:pt>
                <c:pt idx="212" formatCode="m/d/yyyy">
                  <c:v>46143</c:v>
                </c:pt>
                <c:pt idx="213" formatCode="m/d/yyyy">
                  <c:v>46144</c:v>
                </c:pt>
                <c:pt idx="214" formatCode="m/d/yyyy">
                  <c:v>46145</c:v>
                </c:pt>
                <c:pt idx="215" formatCode="m/d/yyyy">
                  <c:v>46146</c:v>
                </c:pt>
                <c:pt idx="216" formatCode="m/d/yyyy">
                  <c:v>46147</c:v>
                </c:pt>
                <c:pt idx="217" formatCode="m/d/yyyy">
                  <c:v>46148</c:v>
                </c:pt>
                <c:pt idx="218" formatCode="m/d/yyyy">
                  <c:v>46149</c:v>
                </c:pt>
                <c:pt idx="219" formatCode="m/d/yyyy">
                  <c:v>46150</c:v>
                </c:pt>
                <c:pt idx="220" formatCode="m/d/yyyy">
                  <c:v>46151</c:v>
                </c:pt>
                <c:pt idx="221" formatCode="m/d/yyyy">
                  <c:v>46152</c:v>
                </c:pt>
                <c:pt idx="222" formatCode="m/d/yyyy">
                  <c:v>46153</c:v>
                </c:pt>
                <c:pt idx="223" formatCode="m/d/yyyy">
                  <c:v>46154</c:v>
                </c:pt>
                <c:pt idx="224" formatCode="m/d/yyyy">
                  <c:v>46155</c:v>
                </c:pt>
                <c:pt idx="225" formatCode="m/d/yyyy">
                  <c:v>46156</c:v>
                </c:pt>
                <c:pt idx="226" formatCode="m/d/yyyy">
                  <c:v>46157</c:v>
                </c:pt>
                <c:pt idx="227" formatCode="m/d/yyyy">
                  <c:v>46158</c:v>
                </c:pt>
                <c:pt idx="228" formatCode="m/d/yyyy">
                  <c:v>46159</c:v>
                </c:pt>
                <c:pt idx="229" formatCode="m/d/yyyy">
                  <c:v>46160</c:v>
                </c:pt>
                <c:pt idx="230" formatCode="m/d/yyyy">
                  <c:v>46161</c:v>
                </c:pt>
                <c:pt idx="231" formatCode="m/d/yyyy">
                  <c:v>46162</c:v>
                </c:pt>
                <c:pt idx="232" formatCode="m/d/yyyy">
                  <c:v>46163</c:v>
                </c:pt>
                <c:pt idx="233" formatCode="m/d/yyyy">
                  <c:v>46164</c:v>
                </c:pt>
                <c:pt idx="234" formatCode="m/d/yyyy">
                  <c:v>46165</c:v>
                </c:pt>
                <c:pt idx="235" formatCode="m/d/yyyy">
                  <c:v>46166</c:v>
                </c:pt>
                <c:pt idx="236" formatCode="m/d/yyyy">
                  <c:v>46167</c:v>
                </c:pt>
                <c:pt idx="237" formatCode="m/d/yyyy">
                  <c:v>46168</c:v>
                </c:pt>
                <c:pt idx="238" formatCode="m/d/yyyy">
                  <c:v>46169</c:v>
                </c:pt>
                <c:pt idx="239" formatCode="m/d/yyyy">
                  <c:v>46170</c:v>
                </c:pt>
                <c:pt idx="240" formatCode="m/d/yyyy">
                  <c:v>46171</c:v>
                </c:pt>
                <c:pt idx="241" formatCode="m/d/yyyy">
                  <c:v>46172</c:v>
                </c:pt>
                <c:pt idx="242" formatCode="m/d/yyyy">
                  <c:v>46173</c:v>
                </c:pt>
                <c:pt idx="243" formatCode="m/d/yyyy">
                  <c:v>46174</c:v>
                </c:pt>
                <c:pt idx="244" formatCode="m/d/yyyy">
                  <c:v>46175</c:v>
                </c:pt>
                <c:pt idx="245" formatCode="m/d/yyyy">
                  <c:v>46176</c:v>
                </c:pt>
                <c:pt idx="246" formatCode="m/d/yyyy">
                  <c:v>46177</c:v>
                </c:pt>
                <c:pt idx="247" formatCode="m/d/yyyy">
                  <c:v>46178</c:v>
                </c:pt>
                <c:pt idx="248" formatCode="m/d/yyyy">
                  <c:v>46179</c:v>
                </c:pt>
                <c:pt idx="249" formatCode="m/d/yyyy">
                  <c:v>46180</c:v>
                </c:pt>
                <c:pt idx="250" formatCode="m/d/yyyy">
                  <c:v>46181</c:v>
                </c:pt>
                <c:pt idx="251" formatCode="m/d/yyyy">
                  <c:v>46182</c:v>
                </c:pt>
                <c:pt idx="252" formatCode="m/d/yyyy">
                  <c:v>46183</c:v>
                </c:pt>
                <c:pt idx="253" formatCode="m/d/yyyy">
                  <c:v>46184</c:v>
                </c:pt>
                <c:pt idx="254" formatCode="m/d/yyyy">
                  <c:v>46185</c:v>
                </c:pt>
                <c:pt idx="255" formatCode="m/d/yyyy">
                  <c:v>46186</c:v>
                </c:pt>
                <c:pt idx="256" formatCode="m/d/yyyy">
                  <c:v>46187</c:v>
                </c:pt>
                <c:pt idx="257" formatCode="m/d/yyyy">
                  <c:v>46188</c:v>
                </c:pt>
                <c:pt idx="258" formatCode="m/d/yyyy">
                  <c:v>46189</c:v>
                </c:pt>
                <c:pt idx="259" formatCode="m/d/yyyy">
                  <c:v>46190</c:v>
                </c:pt>
                <c:pt idx="260" formatCode="m/d/yyyy">
                  <c:v>46191</c:v>
                </c:pt>
                <c:pt idx="261" formatCode="m/d/yyyy">
                  <c:v>46192</c:v>
                </c:pt>
                <c:pt idx="262" formatCode="m/d/yyyy">
                  <c:v>46193</c:v>
                </c:pt>
                <c:pt idx="263" formatCode="m/d/yyyy">
                  <c:v>46194</c:v>
                </c:pt>
                <c:pt idx="264" formatCode="m/d/yyyy">
                  <c:v>46195</c:v>
                </c:pt>
              </c:numCache>
            </c:numRef>
          </c:cat>
          <c:val>
            <c:numRef>
              <c:f>Precios!$AB$20:$AB$284</c:f>
              <c:numCache>
                <c:formatCode>General</c:formatCode>
                <c:ptCount val="265"/>
                <c:pt idx="92" formatCode="_(* #,##0.0_);_(* \(#,##0.0\);_(* &quot;-&quot;??_);_(@_)">
                  <c:v>1.4579312589372662</c:v>
                </c:pt>
                <c:pt idx="93" formatCode="_(* #,##0.0_);_(* \(#,##0.0\);_(* &quot;-&quot;??_);_(@_)">
                  <c:v>1.0685323808280709</c:v>
                </c:pt>
                <c:pt idx="94" formatCode="_(* #,##0.0_);_(* \(#,##0.0\);_(* &quot;-&quot;??_);_(@_)">
                  <c:v>2.028009006476418</c:v>
                </c:pt>
                <c:pt idx="95" formatCode="_(* #,##0.0_);_(* \(#,##0.0\);_(* &quot;-&quot;??_);_(@_)">
                  <c:v>2.0264735244337393</c:v>
                </c:pt>
                <c:pt idx="96" formatCode="_(* #,##0.0_);_(* \(#,##0.0\);_(* &quot;-&quot;??_);_(@_)">
                  <c:v>2.0332903724203626</c:v>
                </c:pt>
                <c:pt idx="97" formatCode="_(* #,##0.0_);_(* \(#,##0.0\);_(* &quot;-&quot;??_);_(@_)">
                  <c:v>1.7638734526268078</c:v>
                </c:pt>
                <c:pt idx="98" formatCode="_(* #,##0.0_);_(* \(#,##0.0\);_(* &quot;-&quot;??_);_(@_)">
                  <c:v>1.0352455397267653</c:v>
                </c:pt>
                <c:pt idx="99" formatCode="_(* #,##0.0_);_(* \(#,##0.0\);_(* &quot;-&quot;??_);_(@_)">
                  <c:v>1.6237090999269421</c:v>
                </c:pt>
                <c:pt idx="100" formatCode="_(* #,##0.0_);_(* \(#,##0.0\);_(* &quot;-&quot;??_);_(@_)">
                  <c:v>1.0371908901058584</c:v>
                </c:pt>
                <c:pt idx="101" formatCode="_(* #,##0.0_);_(* \(#,##0.0\);_(* &quot;-&quot;??_);_(@_)">
                  <c:v>1.9926132274030577</c:v>
                </c:pt>
                <c:pt idx="102" formatCode="_(* #,##0.0_);_(* \(#,##0.0\);_(* &quot;-&quot;??_);_(@_)">
                  <c:v>1.2319647088720427</c:v>
                </c:pt>
                <c:pt idx="103" formatCode="_(* #,##0.0_);_(* \(#,##0.0\);_(* &quot;-&quot;??_);_(@_)">
                  <c:v>1.4456715517718082</c:v>
                </c:pt>
                <c:pt idx="104" formatCode="_(* #,##0.0_);_(* \(#,##0.0\);_(* &quot;-&quot;??_);_(@_)">
                  <c:v>1.6963861514313583</c:v>
                </c:pt>
                <c:pt idx="105" formatCode="_(* #,##0.0_);_(* \(#,##0.0\);_(* &quot;-&quot;??_);_(@_)">
                  <c:v>3.6637996140906259</c:v>
                </c:pt>
                <c:pt idx="106" formatCode="_(* #,##0.0_);_(* \(#,##0.0\);_(* &quot;-&quot;??_);_(@_)">
                  <c:v>7.187406545048094</c:v>
                </c:pt>
                <c:pt idx="107" formatCode="_(* #,##0.0_);_(* \(#,##0.0\);_(* &quot;-&quot;??_);_(@_)">
                  <c:v>2.9986984291881371</c:v>
                </c:pt>
                <c:pt idx="108" formatCode="_(* #,##0.0_);_(* \(#,##0.0\);_(* &quot;-&quot;??_);_(@_)">
                  <c:v>1.8112831946043713</c:v>
                </c:pt>
                <c:pt idx="109" formatCode="_(* #,##0.0_);_(* \(#,##0.0\);_(* &quot;-&quot;??_);_(@_)">
                  <c:v>1.200307227530153</c:v>
                </c:pt>
                <c:pt idx="110" formatCode="_(* #,##0.0_);_(* \(#,##0.0\);_(* &quot;-&quot;??_);_(@_)">
                  <c:v>1.1558520357547108</c:v>
                </c:pt>
                <c:pt idx="111" formatCode="_(* #,##0.0_);_(* \(#,##0.0\);_(* &quot;-&quot;??_);_(@_)">
                  <c:v>0.97612142304429506</c:v>
                </c:pt>
                <c:pt idx="112" formatCode="_(* #,##0.0_);_(* \(#,##0.0\);_(* &quot;-&quot;??_);_(@_)">
                  <c:v>1.3738665421760952</c:v>
                </c:pt>
                <c:pt idx="113" formatCode="_(* #,##0.0_);_(* \(#,##0.0\);_(* &quot;-&quot;??_);_(@_)">
                  <c:v>1.6673272758785398</c:v>
                </c:pt>
                <c:pt idx="114" formatCode="_(* #,##0.0_);_(* \(#,##0.0\);_(* &quot;-&quot;??_);_(@_)">
                  <c:v>2.6509794297450853</c:v>
                </c:pt>
                <c:pt idx="115" formatCode="_(* #,##0.0_);_(* \(#,##0.0\);_(* &quot;-&quot;??_);_(@_)">
                  <c:v>7.9193396200857205</c:v>
                </c:pt>
                <c:pt idx="116" formatCode="_(* #,##0.0_);_(* \(#,##0.0\);_(* &quot;-&quot;??_);_(@_)">
                  <c:v>7.8787361439402197</c:v>
                </c:pt>
                <c:pt idx="117" formatCode="_(* #,##0.0_);_(* \(#,##0.0\);_(* &quot;-&quot;??_);_(@_)">
                  <c:v>9.4630341140320571</c:v>
                </c:pt>
                <c:pt idx="118" formatCode="_(* #,##0.0_);_(* \(#,##0.0\);_(* &quot;-&quot;??_);_(@_)">
                  <c:v>10.528499410913531</c:v>
                </c:pt>
                <c:pt idx="119" formatCode="_(* #,##0.0_);_(* \(#,##0.0\);_(* &quot;-&quot;??_);_(@_)">
                  <c:v>9.1500158593368219</c:v>
                </c:pt>
                <c:pt idx="120" formatCode="_(* #,##0.0_);_(* \(#,##0.0\);_(* &quot;-&quot;??_);_(@_)">
                  <c:v>8.7702296951634011</c:v>
                </c:pt>
                <c:pt idx="121" formatCode="_(* #,##0.0_);_(* \(#,##0.0\);_(* &quot;-&quot;??_);_(@_)">
                  <c:v>9.9969644998543465</c:v>
                </c:pt>
                <c:pt idx="122" formatCode="_(* #,##0.0_);_(* \(#,##0.0\);_(* &quot;-&quot;??_);_(@_)">
                  <c:v>8.6710403317021107</c:v>
                </c:pt>
                <c:pt idx="123" formatCode="_(* #,##0.0_);_(* \(#,##0.0\);_(* &quot;-&quot;??_);_(@_)">
                  <c:v>3.4811846757374774</c:v>
                </c:pt>
                <c:pt idx="124" formatCode="_(* #,##0.0_);_(* \(#,##0.0\);_(* &quot;-&quot;??_);_(@_)">
                  <c:v>5.4277096861139817</c:v>
                </c:pt>
                <c:pt idx="125" formatCode="_(* #,##0.0_);_(* \(#,##0.0\);_(* &quot;-&quot;??_);_(@_)">
                  <c:v>8.4355585139041658</c:v>
                </c:pt>
                <c:pt idx="126" formatCode="_(* #,##0.0_);_(* \(#,##0.0\);_(* &quot;-&quot;??_);_(@_)">
                  <c:v>8.7196400224196182</c:v>
                </c:pt>
                <c:pt idx="127" formatCode="_(* #,##0.0_);_(* \(#,##0.0\);_(* &quot;-&quot;??_);_(@_)">
                  <c:v>2.0540869640775488</c:v>
                </c:pt>
                <c:pt idx="128" formatCode="_(* #,##0.0_);_(* \(#,##0.0\);_(* &quot;-&quot;??_);_(@_)">
                  <c:v>1.28193637730738</c:v>
                </c:pt>
                <c:pt idx="129" formatCode="_(* #,##0.0_);_(* \(#,##0.0\);_(* &quot;-&quot;??_);_(@_)">
                  <c:v>1.3690345270989532</c:v>
                </c:pt>
                <c:pt idx="130" formatCode="_(* #,##0.0_);_(* \(#,##0.0\);_(* &quot;-&quot;??_);_(@_)">
                  <c:v>1.3424452565731071</c:v>
                </c:pt>
                <c:pt idx="131" formatCode="_(* #,##0.0_);_(* \(#,##0.0\);_(* &quot;-&quot;??_);_(@_)">
                  <c:v>1.8625964692286086</c:v>
                </c:pt>
                <c:pt idx="132" formatCode="_(* #,##0.0_);_(* \(#,##0.0\);_(* &quot;-&quot;??_);_(@_)">
                  <c:v>10.387469585410036</c:v>
                </c:pt>
                <c:pt idx="133" formatCode="_(* #,##0.0_);_(* \(#,##0.0\);_(* &quot;-&quot;??_);_(@_)">
                  <c:v>1.1217569665266185</c:v>
                </c:pt>
                <c:pt idx="134" formatCode="_(* #,##0.0_);_(* \(#,##0.0\);_(* &quot;-&quot;??_);_(@_)">
                  <c:v>1.446982650439802</c:v>
                </c:pt>
                <c:pt idx="135" formatCode="_(* #,##0.0_);_(* \(#,##0.0\);_(* &quot;-&quot;??_);_(@_)">
                  <c:v>1.0231266408972959</c:v>
                </c:pt>
                <c:pt idx="136" formatCode="_(* #,##0.0_);_(* \(#,##0.0\);_(* &quot;-&quot;??_);_(@_)">
                  <c:v>0.79983853533526728</c:v>
                </c:pt>
                <c:pt idx="137" formatCode="_(* #,##0.0_);_(* \(#,##0.0\);_(* &quot;-&quot;??_);_(@_)">
                  <c:v>1.4073639874747161</c:v>
                </c:pt>
                <c:pt idx="138" formatCode="_(* #,##0.0_);_(* \(#,##0.0\);_(* &quot;-&quot;??_);_(@_)">
                  <c:v>1.22303655440571</c:v>
                </c:pt>
                <c:pt idx="139" formatCode="_(* #,##0.0_);_(* \(#,##0.0\);_(* &quot;-&quot;??_);_(@_)">
                  <c:v>1.4127635420106528</c:v>
                </c:pt>
                <c:pt idx="140" formatCode="_(* #,##0.0_);_(* \(#,##0.0\);_(* &quot;-&quot;??_);_(@_)">
                  <c:v>3.0123651316429818</c:v>
                </c:pt>
                <c:pt idx="141" formatCode="_(* #,##0.0_);_(* \(#,##0.0\);_(* &quot;-&quot;??_);_(@_)">
                  <c:v>1.5021977490532614</c:v>
                </c:pt>
                <c:pt idx="142" formatCode="_(* #,##0.0_);_(* \(#,##0.0\);_(* &quot;-&quot;??_);_(@_)">
                  <c:v>1.3532803702683094</c:v>
                </c:pt>
                <c:pt idx="143" formatCode="_(* #,##0.0_);_(* \(#,##0.0\);_(* &quot;-&quot;??_);_(@_)">
                  <c:v>1.2787819638321962</c:v>
                </c:pt>
                <c:pt idx="144" formatCode="_(* #,##0.0_);_(* \(#,##0.0\);_(* &quot;-&quot;??_);_(@_)">
                  <c:v>1.2489732267947453</c:v>
                </c:pt>
                <c:pt idx="145" formatCode="_(* #,##0.0_);_(* \(#,##0.0\);_(* &quot;-&quot;??_);_(@_)">
                  <c:v>1.7725309153552444</c:v>
                </c:pt>
                <c:pt idx="146" formatCode="_(* #,##0.0_);_(* \(#,##0.0\);_(* &quot;-&quot;??_);_(@_)">
                  <c:v>1.2466878972587965</c:v>
                </c:pt>
                <c:pt idx="147" formatCode="_(* #,##0.0_);_(* \(#,##0.0\);_(* &quot;-&quot;??_);_(@_)">
                  <c:v>1.1857393738838777</c:v>
                </c:pt>
                <c:pt idx="148" formatCode="_(* #,##0.0_);_(* \(#,##0.0\);_(* &quot;-&quot;??_);_(@_)">
                  <c:v>1.1414633660793974</c:v>
                </c:pt>
                <c:pt idx="149" formatCode="_(* #,##0.0_);_(* \(#,##0.0\);_(* &quot;-&quot;??_);_(@_)">
                  <c:v>1.0695232992970245</c:v>
                </c:pt>
                <c:pt idx="150" formatCode="_(* #,##0.0_);_(* \(#,##0.0\);_(* &quot;-&quot;??_);_(@_)">
                  <c:v>1.0682643331050707</c:v>
                </c:pt>
                <c:pt idx="151" formatCode="_(* #,##0.0_);_(* \(#,##0.0\);_(* &quot;-&quot;??_);_(@_)">
                  <c:v>0.86303328311595906</c:v>
                </c:pt>
                <c:pt idx="152" formatCode="_(* #,##0.0_);_(* \(#,##0.0\);_(* &quot;-&quot;??_);_(@_)">
                  <c:v>1.2488885406387809</c:v>
                </c:pt>
                <c:pt idx="153" formatCode="_(* #,##0.0_);_(* \(#,##0.0\);_(* &quot;-&quot;??_);_(@_)">
                  <c:v>0.78900277196738233</c:v>
                </c:pt>
                <c:pt idx="154" formatCode="_(* #,##0.0_);_(* \(#,##0.0\);_(* &quot;-&quot;??_);_(@_)">
                  <c:v>1.2010701876026435</c:v>
                </c:pt>
                <c:pt idx="155" formatCode="_(* #,##0.0_);_(* \(#,##0.0\);_(* &quot;-&quot;??_);_(@_)">
                  <c:v>1.446007615278774</c:v>
                </c:pt>
                <c:pt idx="156" formatCode="_(* #,##0.0_);_(* \(#,##0.0\);_(* &quot;-&quot;??_);_(@_)">
                  <c:v>1.378671329513081</c:v>
                </c:pt>
                <c:pt idx="157" formatCode="_(* #,##0.0_);_(* \(#,##0.0\);_(* &quot;-&quot;??_);_(@_)">
                  <c:v>0.97281238079455701</c:v>
                </c:pt>
                <c:pt idx="158" formatCode="_(* #,##0.0_);_(* \(#,##0.0\);_(* &quot;-&quot;??_);_(@_)">
                  <c:v>0.78859006986034963</c:v>
                </c:pt>
                <c:pt idx="159" formatCode="_(* #,##0.0_);_(* \(#,##0.0\);_(* &quot;-&quot;??_);_(@_)">
                  <c:v>1.0715982117783158</c:v>
                </c:pt>
                <c:pt idx="160" formatCode="_(* #,##0.0_);_(* \(#,##0.0\);_(* &quot;-&quot;??_);_(@_)">
                  <c:v>1.3949054849723759</c:v>
                </c:pt>
                <c:pt idx="161" formatCode="_(* #,##0.0_);_(* \(#,##0.0\);_(* &quot;-&quot;??_);_(@_)">
                  <c:v>1.3784463700751435</c:v>
                </c:pt>
                <c:pt idx="162" formatCode="_(* #,##0.0_);_(* \(#,##0.0\);_(* &quot;-&quot;??_);_(@_)">
                  <c:v>1.4779775766043228</c:v>
                </c:pt>
                <c:pt idx="163" formatCode="_(* #,##0.0_);_(* \(#,##0.0\);_(* &quot;-&quot;??_);_(@_)">
                  <c:v>1.5380500030599489</c:v>
                </c:pt>
                <c:pt idx="164" formatCode="_(* #,##0.0_);_(* \(#,##0.0\);_(* &quot;-&quot;??_);_(@_)">
                  <c:v>1.7459965572064675</c:v>
                </c:pt>
                <c:pt idx="165" formatCode="_(* #,##0.0_);_(* \(#,##0.0\);_(* &quot;-&quot;??_);_(@_)">
                  <c:v>1.2126476581594532</c:v>
                </c:pt>
                <c:pt idx="166" formatCode="_(* #,##0.0_);_(* \(#,##0.0\);_(* &quot;-&quot;??_);_(@_)">
                  <c:v>6.8382527338087167</c:v>
                </c:pt>
                <c:pt idx="167" formatCode="_(* #,##0.0_);_(* \(#,##0.0\);_(* &quot;-&quot;??_);_(@_)">
                  <c:v>6.6447362360913074</c:v>
                </c:pt>
                <c:pt idx="168" formatCode="_(* #,##0.0_);_(* \(#,##0.0\);_(* &quot;-&quot;??_);_(@_)">
                  <c:v>1.6450997970398149</c:v>
                </c:pt>
                <c:pt idx="169" formatCode="_(* #,##0.0_);_(* \(#,##0.0\);_(* &quot;-&quot;??_);_(@_)">
                  <c:v>1.3744415099001228</c:v>
                </c:pt>
                <c:pt idx="170" formatCode="_(* #,##0.0_);_(* \(#,##0.0\);_(* &quot;-&quot;??_);_(@_)">
                  <c:v>4.7202613592958373</c:v>
                </c:pt>
                <c:pt idx="171" formatCode="_(* #,##0.0_);_(* \(#,##0.0\);_(* &quot;-&quot;??_);_(@_)">
                  <c:v>1.3817961078561709</c:v>
                </c:pt>
                <c:pt idx="172" formatCode="_(* #,##0.0_);_(* \(#,##0.0\);_(* &quot;-&quot;??_);_(@_)">
                  <c:v>0.98945531224428096</c:v>
                </c:pt>
                <c:pt idx="173" formatCode="_(* #,##0.0_);_(* \(#,##0.0\);_(* &quot;-&quot;??_);_(@_)">
                  <c:v>1.2726115107307394</c:v>
                </c:pt>
                <c:pt idx="174" formatCode="_(* #,##0.0_);_(* \(#,##0.0\);_(* &quot;-&quot;??_);_(@_)">
                  <c:v>0.95831852345848234</c:v>
                </c:pt>
                <c:pt idx="175" formatCode="_(* #,##0.0_);_(* \(#,##0.0\);_(* &quot;-&quot;??_);_(@_)">
                  <c:v>1.4393110720959343</c:v>
                </c:pt>
                <c:pt idx="176" formatCode="_(* #,##0.0_);_(* \(#,##0.0\);_(* &quot;-&quot;??_);_(@_)">
                  <c:v>1.7416960174072682</c:v>
                </c:pt>
                <c:pt idx="177" formatCode="_(* #,##0.0_);_(* \(#,##0.0\);_(* &quot;-&quot;??_);_(@_)">
                  <c:v>1.7508731254159648</c:v>
                </c:pt>
                <c:pt idx="178" formatCode="_(* #,##0.0_);_(* \(#,##0.0\);_(* &quot;-&quot;??_);_(@_)">
                  <c:v>1.9244218840027376</c:v>
                </c:pt>
                <c:pt idx="179" formatCode="_(* #,##0.0_);_(* \(#,##0.0\);_(* &quot;-&quot;??_);_(@_)">
                  <c:v>6.8596996903463801</c:v>
                </c:pt>
                <c:pt idx="180" formatCode="_(* #,##0.0_);_(* \(#,##0.0\);_(* &quot;-&quot;??_);_(@_)">
                  <c:v>23.27431043093733</c:v>
                </c:pt>
                <c:pt idx="181" formatCode="_(* #,##0.0_);_(* \(#,##0.0\);_(* &quot;-&quot;??_);_(@_)">
                  <c:v>28.276559036837622</c:v>
                </c:pt>
                <c:pt idx="182" formatCode="_(* #,##0.0_);_(* \(#,##0.0\);_(* &quot;-&quot;??_);_(@_)">
                  <c:v>19.412151026742457</c:v>
                </c:pt>
                <c:pt idx="183" formatCode="_(* #,##0.0_);_(* \(#,##0.0\);_(* &quot;-&quot;??_);_(@_)">
                  <c:v>10.694977963909329</c:v>
                </c:pt>
                <c:pt idx="184" formatCode="_(* #,##0.0_);_(* \(#,##0.0\);_(* &quot;-&quot;??_);_(@_)">
                  <c:v>7.1091618972121431</c:v>
                </c:pt>
                <c:pt idx="185" formatCode="_(* #,##0.0_);_(* \(#,##0.0\);_(* &quot;-&quot;??_);_(@_)">
                  <c:v>8.3152159732147748</c:v>
                </c:pt>
                <c:pt idx="186" formatCode="_(* #,##0.0_);_(* \(#,##0.0\);_(* &quot;-&quot;??_);_(@_)">
                  <c:v>12.063888876246851</c:v>
                </c:pt>
                <c:pt idx="187" formatCode="_(* #,##0.0_);_(* \(#,##0.0\);_(* &quot;-&quot;??_);_(@_)">
                  <c:v>11.862905605855673</c:v>
                </c:pt>
                <c:pt idx="188" formatCode="_(* #,##0.0_);_(* \(#,##0.0\);_(* &quot;-&quot;??_);_(@_)">
                  <c:v>12.233277406310567</c:v>
                </c:pt>
                <c:pt idx="189" formatCode="_(* #,##0.0_);_(* \(#,##0.0\);_(* &quot;-&quot;??_);_(@_)">
                  <c:v>1.2834340883055131</c:v>
                </c:pt>
                <c:pt idx="190" formatCode="_(* #,##0.0_);_(* \(#,##0.0\);_(* &quot;-&quot;??_);_(@_)">
                  <c:v>1.0044106148206273</c:v>
                </c:pt>
                <c:pt idx="191" formatCode="_(* #,##0.0_);_(* \(#,##0.0\);_(* &quot;-&quot;??_);_(@_)">
                  <c:v>0.18134645924286696</c:v>
                </c:pt>
                <c:pt idx="192" formatCode="_(* #,##0.0_);_(* \(#,##0.0\);_(* &quot;-&quot;??_);_(@_)">
                  <c:v>0.93444368333650929</c:v>
                </c:pt>
                <c:pt idx="193" formatCode="_(* #,##0.0_);_(* \(#,##0.0\);_(* &quot;-&quot;??_);_(@_)">
                  <c:v>1.012432131546922</c:v>
                </c:pt>
                <c:pt idx="194" formatCode="_(* #,##0.0_);_(* \(#,##0.0\);_(* &quot;-&quot;??_);_(@_)">
                  <c:v>1.5715327492264348</c:v>
                </c:pt>
                <c:pt idx="195" formatCode="_(* #,##0.0_);_(* \(#,##0.0\);_(* &quot;-&quot;??_);_(@_)">
                  <c:v>1.4372570971495613</c:v>
                </c:pt>
                <c:pt idx="196" formatCode="_(* #,##0.0_);_(* \(#,##0.0\);_(* &quot;-&quot;??_);_(@_)">
                  <c:v>1.6091157911994043</c:v>
                </c:pt>
                <c:pt idx="197" formatCode="_(* #,##0.0_);_(* \(#,##0.0\);_(* &quot;-&quot;??_);_(@_)">
                  <c:v>1.6626265459048071</c:v>
                </c:pt>
                <c:pt idx="198" formatCode="_(* #,##0.0_);_(* \(#,##0.0\);_(* &quot;-&quot;??_);_(@_)">
                  <c:v>1.7726314085555497</c:v>
                </c:pt>
                <c:pt idx="199" formatCode="_(* #,##0.0_);_(* \(#,##0.0\);_(* &quot;-&quot;??_);_(@_)">
                  <c:v>1.7316285302049068</c:v>
                </c:pt>
                <c:pt idx="200" formatCode="_(* #,##0.0_);_(* \(#,##0.0\);_(* &quot;-&quot;??_);_(@_)">
                  <c:v>1.4113466621495052</c:v>
                </c:pt>
                <c:pt idx="201" formatCode="_(* #,##0.0_);_(* \(#,##0.0\);_(* &quot;-&quot;??_);_(@_)">
                  <c:v>2.1448415361537227</c:v>
                </c:pt>
                <c:pt idx="202" formatCode="_(* #,##0.0_);_(* \(#,##0.0\);_(* &quot;-&quot;??_);_(@_)">
                  <c:v>1.8037239660701105</c:v>
                </c:pt>
                <c:pt idx="203" formatCode="_(* #,##0.0_);_(* \(#,##0.0\);_(* &quot;-&quot;??_);_(@_)">
                  <c:v>6.4316593100650019</c:v>
                </c:pt>
                <c:pt idx="204" formatCode="_(* #,##0.0_);_(* \(#,##0.0\);_(* &quot;-&quot;??_);_(@_)">
                  <c:v>9.1251409008329833</c:v>
                </c:pt>
                <c:pt idx="205" formatCode="_(* #,##0.0_);_(* \(#,##0.0\);_(* &quot;-&quot;??_);_(@_)">
                  <c:v>9.5564344584427019</c:v>
                </c:pt>
                <c:pt idx="206" formatCode="_(* #,##0.0_);_(* \(#,##0.0\);_(* &quot;-&quot;??_);_(@_)">
                  <c:v>12.528100250694894</c:v>
                </c:pt>
                <c:pt idx="207" formatCode="_(* #,##0.0_);_(* \(#,##0.0\);_(* &quot;-&quot;??_);_(@_)">
                  <c:v>5.7988188862910581</c:v>
                </c:pt>
                <c:pt idx="208" formatCode="_(* #,##0.0_);_(* \(#,##0.0\);_(* &quot;-&quot;??_);_(@_)">
                  <c:v>12.21109728064001</c:v>
                </c:pt>
                <c:pt idx="209" formatCode="_(* #,##0.0_);_(* \(#,##0.0\);_(* &quot;-&quot;??_);_(@_)">
                  <c:v>13.532569418518809</c:v>
                </c:pt>
                <c:pt idx="210" formatCode="_(* #,##0.0_);_(* \(#,##0.0\);_(* &quot;-&quot;??_);_(@_)">
                  <c:v>11.784790264303245</c:v>
                </c:pt>
                <c:pt idx="211" formatCode="_(* #,##0.0_);_(* \(#,##0.0\);_(* &quot;-&quot;??_);_(@_)">
                  <c:v>15.13162281183134</c:v>
                </c:pt>
                <c:pt idx="212" formatCode="_(* #,##0.0_);_(* \(#,##0.0\);_(* &quot;-&quot;??_);_(@_)">
                  <c:v>7.2084169760060206</c:v>
                </c:pt>
                <c:pt idx="213" formatCode="_(* #,##0.0_);_(* \(#,##0.0\);_(* &quot;-&quot;??_);_(@_)">
                  <c:v>7.3750981092217121</c:v>
                </c:pt>
                <c:pt idx="214" formatCode="_(* #,##0.0_);_(* \(#,##0.0\);_(* &quot;-&quot;??_);_(@_)">
                  <c:v>5.1199566993328141</c:v>
                </c:pt>
                <c:pt idx="215" formatCode="_(* #,##0.0_);_(* \(#,##0.0\);_(* &quot;-&quot;??_);_(@_)">
                  <c:v>6.7286002865804804</c:v>
                </c:pt>
                <c:pt idx="216" formatCode="_(* #,##0.0_);_(* \(#,##0.0\);_(* &quot;-&quot;??_);_(@_)">
                  <c:v>8.4166885358696053</c:v>
                </c:pt>
                <c:pt idx="217" formatCode="_(* #,##0.0_);_(* \(#,##0.0\);_(* &quot;-&quot;??_);_(@_)">
                  <c:v>7.9638471379558347</c:v>
                </c:pt>
                <c:pt idx="218" formatCode="_(* #,##0.0_);_(* \(#,##0.0\);_(* &quot;-&quot;??_);_(@_)">
                  <c:v>6.1871289943896057</c:v>
                </c:pt>
                <c:pt idx="219" formatCode="_(* #,##0.0_);_(* \(#,##0.0\);_(* &quot;-&quot;??_);_(@_)">
                  <c:v>5.9047255391873996</c:v>
                </c:pt>
                <c:pt idx="220" formatCode="_(* #,##0.0_);_(* \(#,##0.0\);_(* &quot;-&quot;??_);_(@_)">
                  <c:v>11.479805126628085</c:v>
                </c:pt>
                <c:pt idx="221" formatCode="_(* #,##0.0_);_(* \(#,##0.0\);_(* &quot;-&quot;??_);_(@_)">
                  <c:v>7.1635088580227189</c:v>
                </c:pt>
                <c:pt idx="222" formatCode="_(* #,##0.0_);_(* \(#,##0.0\);_(* &quot;-&quot;??_);_(@_)">
                  <c:v>10.854074163844096</c:v>
                </c:pt>
                <c:pt idx="223" formatCode="_(* #,##0.0_);_(* \(#,##0.0\);_(* &quot;-&quot;??_);_(@_)">
                  <c:v>13.086367564535676</c:v>
                </c:pt>
                <c:pt idx="224" formatCode="_(* #,##0.0_);_(* \(#,##0.0\);_(* &quot;-&quot;??_);_(@_)">
                  <c:v>13.660155852966211</c:v>
                </c:pt>
                <c:pt idx="225" formatCode="_(* #,##0.0_);_(* \(#,##0.0\);_(* &quot;-&quot;??_);_(@_)">
                  <c:v>17.639499103146743</c:v>
                </c:pt>
                <c:pt idx="226" formatCode="_(* #,##0.0_);_(* \(#,##0.0\);_(* &quot;-&quot;??_);_(@_)">
                  <c:v>14.885363518531298</c:v>
                </c:pt>
                <c:pt idx="227" formatCode="_(* #,##0.0_);_(* \(#,##0.0\);_(* &quot;-&quot;??_);_(@_)">
                  <c:v>14.615716742373674</c:v>
                </c:pt>
                <c:pt idx="228" formatCode="_(* #,##0.0_);_(* \(#,##0.0\);_(* &quot;-&quot;??_);_(@_)">
                  <c:v>13.64206667944001</c:v>
                </c:pt>
                <c:pt idx="229" formatCode="_(* #,##0.0_);_(* \(#,##0.0\);_(* &quot;-&quot;??_);_(@_)">
                  <c:v>15.2140789106844</c:v>
                </c:pt>
                <c:pt idx="230" formatCode="_(* #,##0.0_);_(* \(#,##0.0\);_(* &quot;-&quot;??_);_(@_)">
                  <c:v>16.576173895546436</c:v>
                </c:pt>
                <c:pt idx="231" formatCode="_(* #,##0.0_);_(* \(#,##0.0\);_(* &quot;-&quot;??_);_(@_)">
                  <c:v>20.351792606031854</c:v>
                </c:pt>
                <c:pt idx="232" formatCode="_(* #,##0.0_);_(* \(#,##0.0\);_(* &quot;-&quot;??_);_(@_)">
                  <c:v>20.533567377395126</c:v>
                </c:pt>
                <c:pt idx="233" formatCode="_(* #,##0.0_);_(* \(#,##0.0\);_(* &quot;-&quot;??_);_(@_)">
                  <c:v>19.581075544607192</c:v>
                </c:pt>
                <c:pt idx="234" formatCode="_(* #,##0.0_);_(* \(#,##0.0\);_(* &quot;-&quot;??_);_(@_)">
                  <c:v>21.010049169966106</c:v>
                </c:pt>
                <c:pt idx="235" formatCode="_(* #,##0.0_);_(* \(#,##0.0\);_(* &quot;-&quot;??_);_(@_)">
                  <c:v>14.049416059234229</c:v>
                </c:pt>
                <c:pt idx="236" formatCode="_(* #,##0.0_);_(* \(#,##0.0\);_(* &quot;-&quot;??_);_(@_)">
                  <c:v>14.874703507634843</c:v>
                </c:pt>
                <c:pt idx="237" formatCode="_(* #,##0.0_);_(* \(#,##0.0\);_(* &quot;-&quot;??_);_(@_)">
                  <c:v>16.69660578066944</c:v>
                </c:pt>
                <c:pt idx="238" formatCode="_(* #,##0.0_);_(* \(#,##0.0\);_(* &quot;-&quot;??_);_(@_)">
                  <c:v>19.080386290626226</c:v>
                </c:pt>
                <c:pt idx="239" formatCode="_(* #,##0.0_);_(* \(#,##0.0\);_(* &quot;-&quot;??_);_(@_)">
                  <c:v>17.793795686287577</c:v>
                </c:pt>
                <c:pt idx="240" formatCode="_(* #,##0.0_);_(* \(#,##0.0\);_(* &quot;-&quot;??_);_(@_)">
                  <c:v>17.554341186811648</c:v>
                </c:pt>
                <c:pt idx="241" formatCode="_(* #,##0.0_);_(* \(#,##0.0\);_(* &quot;-&quot;??_);_(@_)">
                  <c:v>18.496850301211314</c:v>
                </c:pt>
                <c:pt idx="242" formatCode="_(* #,##0.0_);_(* \(#,##0.0\);_(* &quot;-&quot;??_);_(@_)">
                  <c:v>18.754227964181062</c:v>
                </c:pt>
                <c:pt idx="243" formatCode="_(* #,##0.0_);_(* \(#,##0.0\);_(* &quot;-&quot;??_);_(@_)">
                  <c:v>14.161923785318605</c:v>
                </c:pt>
                <c:pt idx="244" formatCode="_(* #,##0.0_);_(* \(#,##0.0\);_(* &quot;-&quot;??_);_(@_)">
                  <c:v>11.814934937237297</c:v>
                </c:pt>
                <c:pt idx="245" formatCode="_(* #,##0.0_);_(* \(#,##0.0\);_(* &quot;-&quot;??_);_(@_)">
                  <c:v>10.378451095267401</c:v>
                </c:pt>
                <c:pt idx="246" formatCode="_(* #,##0.0_);_(* \(#,##0.0\);_(* &quot;-&quot;??_);_(@_)">
                  <c:v>14.064832634476719</c:v>
                </c:pt>
                <c:pt idx="247" formatCode="_(* #,##0.0_);_(* \(#,##0.0\);_(* &quot;-&quot;??_);_(@_)">
                  <c:v>13.80305962625814</c:v>
                </c:pt>
                <c:pt idx="248" formatCode="_(* #,##0.0_);_(* \(#,##0.0\);_(* &quot;-&quot;??_);_(@_)">
                  <c:v>12.771009710783543</c:v>
                </c:pt>
                <c:pt idx="249" formatCode="_(* #,##0.0_);_(* \(#,##0.0\);_(* &quot;-&quot;??_);_(@_)">
                  <c:v>8.1891540655809845</c:v>
                </c:pt>
                <c:pt idx="250" formatCode="_(* #,##0.0_);_(* \(#,##0.0\);_(* &quot;-&quot;??_);_(@_)">
                  <c:v>13.772599837057856</c:v>
                </c:pt>
                <c:pt idx="251" formatCode="_(* #,##0.0_);_(* \(#,##0.0\);_(* &quot;-&quot;??_);_(@_)">
                  <c:v>14.096398208354595</c:v>
                </c:pt>
                <c:pt idx="252" formatCode="_(* #,##0.0_);_(* \(#,##0.0\);_(* &quot;-&quot;??_);_(@_)">
                  <c:v>12.980009374943494</c:v>
                </c:pt>
                <c:pt idx="253" formatCode="_(* #,##0.0_);_(* \(#,##0.0\);_(* &quot;-&quot;??_);_(@_)">
                  <c:v>12.838351196014351</c:v>
                </c:pt>
                <c:pt idx="254" formatCode="_(* #,##0.0_);_(* \(#,##0.0\);_(* &quot;-&quot;??_);_(@_)">
                  <c:v>8.3912094728561399</c:v>
                </c:pt>
                <c:pt idx="255" formatCode="_(* #,##0.0_);_(* \(#,##0.0\);_(* &quot;-&quot;??_);_(@_)">
                  <c:v>11.118531441233522</c:v>
                </c:pt>
                <c:pt idx="256" formatCode="_(* #,##0.0_);_(* \(#,##0.0\);_(* &quot;-&quot;??_);_(@_)">
                  <c:v>10.445600559742946</c:v>
                </c:pt>
                <c:pt idx="257" formatCode="_(* #,##0.0_);_(* \(#,##0.0\);_(* &quot;-&quot;??_);_(@_)">
                  <c:v>12.397924223128342</c:v>
                </c:pt>
                <c:pt idx="258" formatCode="_(* #,##0.0_);_(* \(#,##0.0\);_(* &quot;-&quot;??_);_(@_)">
                  <c:v>10.499523869907474</c:v>
                </c:pt>
                <c:pt idx="259" formatCode="_(* #,##0.0_);_(* \(#,##0.0\);_(* &quot;-&quot;??_);_(@_)">
                  <c:v>13.877849476557202</c:v>
                </c:pt>
                <c:pt idx="260" formatCode="_(* #,##0.0_);_(* \(#,##0.0\);_(* &quot;-&quot;??_);_(@_)">
                  <c:v>13.280452951186998</c:v>
                </c:pt>
                <c:pt idx="261" formatCode="_(* #,##0.0_);_(* \(#,##0.0\);_(* &quot;-&quot;??_);_(@_)">
                  <c:v>15.254760027598261</c:v>
                </c:pt>
                <c:pt idx="262" formatCode="_(* #,##0.0_);_(* \(#,##0.0\);_(* &quot;-&quot;??_);_(@_)">
                  <c:v>7.5688301937337723</c:v>
                </c:pt>
                <c:pt idx="263" formatCode="_(* #,##0.0_);_(* \(#,##0.0\);_(* &quot;-&quot;??_);_(@_)">
                  <c:v>6.1568246308540893</c:v>
                </c:pt>
                <c:pt idx="264" formatCode="_(* #,##0.0_);_(* \(#,##0.0\);_(* &quot;-&quot;??_);_(@_)">
                  <c:v>14.41509506686924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91-454D-9476-0DAB431CF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8599552"/>
        <c:axId val="408600032"/>
      </c:barChart>
      <c:lineChart>
        <c:grouping val="standard"/>
        <c:varyColors val="0"/>
        <c:ser>
          <c:idx val="0"/>
          <c:order val="0"/>
          <c:tx>
            <c:strRef>
              <c:f>Precios!$Z$19</c:f>
              <c:strCache>
                <c:ptCount val="1"/>
                <c:pt idx="0">
                  <c:v>CMg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Precios!$Y$20:$Y$284</c:f>
              <c:numCache>
                <c:formatCode>General</c:formatCode>
                <c:ptCount val="265"/>
                <c:pt idx="92" formatCode="m/d/yyyy">
                  <c:v>46023</c:v>
                </c:pt>
                <c:pt idx="93" formatCode="m/d/yyyy">
                  <c:v>46024</c:v>
                </c:pt>
                <c:pt idx="94" formatCode="m/d/yyyy">
                  <c:v>46025</c:v>
                </c:pt>
                <c:pt idx="95" formatCode="m/d/yyyy">
                  <c:v>46026</c:v>
                </c:pt>
                <c:pt idx="96" formatCode="m/d/yyyy">
                  <c:v>46027</c:v>
                </c:pt>
                <c:pt idx="97" formatCode="m/d/yyyy">
                  <c:v>46028</c:v>
                </c:pt>
                <c:pt idx="98" formatCode="m/d/yyyy">
                  <c:v>46029</c:v>
                </c:pt>
                <c:pt idx="99" formatCode="m/d/yyyy">
                  <c:v>46030</c:v>
                </c:pt>
                <c:pt idx="100" formatCode="m/d/yyyy">
                  <c:v>46031</c:v>
                </c:pt>
                <c:pt idx="101" formatCode="m/d/yyyy">
                  <c:v>46032</c:v>
                </c:pt>
                <c:pt idx="102" formatCode="m/d/yyyy">
                  <c:v>46033</c:v>
                </c:pt>
                <c:pt idx="103" formatCode="m/d/yyyy">
                  <c:v>46034</c:v>
                </c:pt>
                <c:pt idx="104" formatCode="m/d/yyyy">
                  <c:v>46035</c:v>
                </c:pt>
                <c:pt idx="105" formatCode="m/d/yyyy">
                  <c:v>46036</c:v>
                </c:pt>
                <c:pt idx="106" formatCode="m/d/yyyy">
                  <c:v>46037</c:v>
                </c:pt>
                <c:pt idx="107" formatCode="m/d/yyyy">
                  <c:v>46038</c:v>
                </c:pt>
                <c:pt idx="108" formatCode="m/d/yyyy">
                  <c:v>46039</c:v>
                </c:pt>
                <c:pt idx="109" formatCode="m/d/yyyy">
                  <c:v>46040</c:v>
                </c:pt>
                <c:pt idx="110" formatCode="m/d/yyyy">
                  <c:v>46041</c:v>
                </c:pt>
                <c:pt idx="111" formatCode="m/d/yyyy">
                  <c:v>46042</c:v>
                </c:pt>
                <c:pt idx="112" formatCode="m/d/yyyy">
                  <c:v>46043</c:v>
                </c:pt>
                <c:pt idx="113" formatCode="m/d/yyyy">
                  <c:v>46044</c:v>
                </c:pt>
                <c:pt idx="114" formatCode="m/d/yyyy">
                  <c:v>46045</c:v>
                </c:pt>
                <c:pt idx="115" formatCode="m/d/yyyy">
                  <c:v>46046</c:v>
                </c:pt>
                <c:pt idx="116" formatCode="m/d/yyyy">
                  <c:v>46047</c:v>
                </c:pt>
                <c:pt idx="117" formatCode="m/d/yyyy">
                  <c:v>46048</c:v>
                </c:pt>
                <c:pt idx="118" formatCode="m/d/yyyy">
                  <c:v>46049</c:v>
                </c:pt>
                <c:pt idx="119" formatCode="m/d/yyyy">
                  <c:v>46050</c:v>
                </c:pt>
                <c:pt idx="120" formatCode="m/d/yyyy">
                  <c:v>46051</c:v>
                </c:pt>
                <c:pt idx="121" formatCode="m/d/yyyy">
                  <c:v>46052</c:v>
                </c:pt>
                <c:pt idx="122" formatCode="m/d/yyyy">
                  <c:v>46053</c:v>
                </c:pt>
                <c:pt idx="123" formatCode="m/d/yyyy">
                  <c:v>46054</c:v>
                </c:pt>
                <c:pt idx="124" formatCode="m/d/yyyy">
                  <c:v>46055</c:v>
                </c:pt>
                <c:pt idx="125" formatCode="m/d/yyyy">
                  <c:v>46056</c:v>
                </c:pt>
                <c:pt idx="126" formatCode="m/d/yyyy">
                  <c:v>46057</c:v>
                </c:pt>
                <c:pt idx="127" formatCode="m/d/yyyy">
                  <c:v>46058</c:v>
                </c:pt>
                <c:pt idx="128" formatCode="m/d/yyyy">
                  <c:v>46059</c:v>
                </c:pt>
                <c:pt idx="129" formatCode="m/d/yyyy">
                  <c:v>46060</c:v>
                </c:pt>
                <c:pt idx="130" formatCode="m/d/yyyy">
                  <c:v>46061</c:v>
                </c:pt>
                <c:pt idx="131" formatCode="m/d/yyyy">
                  <c:v>46062</c:v>
                </c:pt>
                <c:pt idx="132" formatCode="m/d/yyyy">
                  <c:v>46063</c:v>
                </c:pt>
                <c:pt idx="133" formatCode="m/d/yyyy">
                  <c:v>46064</c:v>
                </c:pt>
                <c:pt idx="134" formatCode="m/d/yyyy">
                  <c:v>46065</c:v>
                </c:pt>
                <c:pt idx="135" formatCode="m/d/yyyy">
                  <c:v>46066</c:v>
                </c:pt>
                <c:pt idx="136" formatCode="m/d/yyyy">
                  <c:v>46067</c:v>
                </c:pt>
                <c:pt idx="137" formatCode="m/d/yyyy">
                  <c:v>46068</c:v>
                </c:pt>
                <c:pt idx="138" formatCode="m/d/yyyy">
                  <c:v>46069</c:v>
                </c:pt>
                <c:pt idx="139" formatCode="m/d/yyyy">
                  <c:v>46070</c:v>
                </c:pt>
                <c:pt idx="140" formatCode="m/d/yyyy">
                  <c:v>46071</c:v>
                </c:pt>
                <c:pt idx="141" formatCode="m/d/yyyy">
                  <c:v>46072</c:v>
                </c:pt>
                <c:pt idx="142" formatCode="m/d/yyyy">
                  <c:v>46073</c:v>
                </c:pt>
                <c:pt idx="143" formatCode="m/d/yyyy">
                  <c:v>46074</c:v>
                </c:pt>
                <c:pt idx="144" formatCode="m/d/yyyy">
                  <c:v>46075</c:v>
                </c:pt>
                <c:pt idx="145" formatCode="m/d/yyyy">
                  <c:v>46076</c:v>
                </c:pt>
                <c:pt idx="146" formatCode="m/d/yyyy">
                  <c:v>46077</c:v>
                </c:pt>
                <c:pt idx="147" formatCode="m/d/yyyy">
                  <c:v>46078</c:v>
                </c:pt>
                <c:pt idx="148" formatCode="m/d/yyyy">
                  <c:v>46079</c:v>
                </c:pt>
                <c:pt idx="149" formatCode="m/d/yyyy">
                  <c:v>46080</c:v>
                </c:pt>
                <c:pt idx="150" formatCode="m/d/yyyy">
                  <c:v>46081</c:v>
                </c:pt>
                <c:pt idx="151" formatCode="m/d/yyyy">
                  <c:v>46082</c:v>
                </c:pt>
                <c:pt idx="152" formatCode="m/d/yyyy">
                  <c:v>46083</c:v>
                </c:pt>
                <c:pt idx="153" formatCode="m/d/yyyy">
                  <c:v>46084</c:v>
                </c:pt>
                <c:pt idx="154" formatCode="m/d/yyyy">
                  <c:v>46085</c:v>
                </c:pt>
                <c:pt idx="155" formatCode="m/d/yyyy">
                  <c:v>46086</c:v>
                </c:pt>
                <c:pt idx="156" formatCode="m/d/yyyy">
                  <c:v>46087</c:v>
                </c:pt>
                <c:pt idx="157" formatCode="m/d/yyyy">
                  <c:v>46088</c:v>
                </c:pt>
                <c:pt idx="158" formatCode="m/d/yyyy">
                  <c:v>46089</c:v>
                </c:pt>
                <c:pt idx="159" formatCode="m/d/yyyy">
                  <c:v>46090</c:v>
                </c:pt>
                <c:pt idx="160" formatCode="m/d/yyyy">
                  <c:v>46091</c:v>
                </c:pt>
                <c:pt idx="161" formatCode="m/d/yyyy">
                  <c:v>46092</c:v>
                </c:pt>
                <c:pt idx="162" formatCode="m/d/yyyy">
                  <c:v>46093</c:v>
                </c:pt>
                <c:pt idx="163" formatCode="m/d/yyyy">
                  <c:v>46094</c:v>
                </c:pt>
                <c:pt idx="164" formatCode="m/d/yyyy">
                  <c:v>46095</c:v>
                </c:pt>
                <c:pt idx="165" formatCode="m/d/yyyy">
                  <c:v>46096</c:v>
                </c:pt>
                <c:pt idx="166" formatCode="m/d/yyyy">
                  <c:v>46097</c:v>
                </c:pt>
                <c:pt idx="167" formatCode="m/d/yyyy">
                  <c:v>46098</c:v>
                </c:pt>
                <c:pt idx="168" formatCode="m/d/yyyy">
                  <c:v>46099</c:v>
                </c:pt>
                <c:pt idx="169" formatCode="m/d/yyyy">
                  <c:v>46100</c:v>
                </c:pt>
                <c:pt idx="170" formatCode="m/d/yyyy">
                  <c:v>46101</c:v>
                </c:pt>
                <c:pt idx="171" formatCode="m/d/yyyy">
                  <c:v>46102</c:v>
                </c:pt>
                <c:pt idx="172" formatCode="m/d/yyyy">
                  <c:v>46103</c:v>
                </c:pt>
                <c:pt idx="173" formatCode="m/d/yyyy">
                  <c:v>46104</c:v>
                </c:pt>
                <c:pt idx="174" formatCode="m/d/yyyy">
                  <c:v>46105</c:v>
                </c:pt>
                <c:pt idx="175" formatCode="m/d/yyyy">
                  <c:v>46106</c:v>
                </c:pt>
                <c:pt idx="176" formatCode="m/d/yyyy">
                  <c:v>46107</c:v>
                </c:pt>
                <c:pt idx="177" formatCode="m/d/yyyy">
                  <c:v>46108</c:v>
                </c:pt>
                <c:pt idx="178" formatCode="m/d/yyyy">
                  <c:v>46109</c:v>
                </c:pt>
                <c:pt idx="179" formatCode="m/d/yyyy">
                  <c:v>46110</c:v>
                </c:pt>
                <c:pt idx="180" formatCode="m/d/yyyy">
                  <c:v>46111</c:v>
                </c:pt>
                <c:pt idx="181" formatCode="m/d/yyyy">
                  <c:v>46112</c:v>
                </c:pt>
                <c:pt idx="182" formatCode="m/d/yyyy">
                  <c:v>46113</c:v>
                </c:pt>
                <c:pt idx="183" formatCode="m/d/yyyy">
                  <c:v>46114</c:v>
                </c:pt>
                <c:pt idx="184" formatCode="m/d/yyyy">
                  <c:v>46115</c:v>
                </c:pt>
                <c:pt idx="185" formatCode="m/d/yyyy">
                  <c:v>46116</c:v>
                </c:pt>
                <c:pt idx="186" formatCode="m/d/yyyy">
                  <c:v>46117</c:v>
                </c:pt>
                <c:pt idx="187" formatCode="m/d/yyyy">
                  <c:v>46118</c:v>
                </c:pt>
                <c:pt idx="188" formatCode="m/d/yyyy">
                  <c:v>46119</c:v>
                </c:pt>
                <c:pt idx="189" formatCode="m/d/yyyy">
                  <c:v>46120</c:v>
                </c:pt>
                <c:pt idx="190" formatCode="m/d/yyyy">
                  <c:v>46121</c:v>
                </c:pt>
                <c:pt idx="191" formatCode="m/d/yyyy">
                  <c:v>46122</c:v>
                </c:pt>
                <c:pt idx="192" formatCode="m/d/yyyy">
                  <c:v>46123</c:v>
                </c:pt>
                <c:pt idx="193" formatCode="m/d/yyyy">
                  <c:v>46124</c:v>
                </c:pt>
                <c:pt idx="194" formatCode="m/d/yyyy">
                  <c:v>46125</c:v>
                </c:pt>
                <c:pt idx="195" formatCode="m/d/yyyy">
                  <c:v>46126</c:v>
                </c:pt>
                <c:pt idx="196" formatCode="m/d/yyyy">
                  <c:v>46127</c:v>
                </c:pt>
                <c:pt idx="197" formatCode="m/d/yyyy">
                  <c:v>46128</c:v>
                </c:pt>
                <c:pt idx="198" formatCode="m/d/yyyy">
                  <c:v>46129</c:v>
                </c:pt>
                <c:pt idx="199" formatCode="m/d/yyyy">
                  <c:v>46130</c:v>
                </c:pt>
                <c:pt idx="200" formatCode="m/d/yyyy">
                  <c:v>46131</c:v>
                </c:pt>
                <c:pt idx="201" formatCode="m/d/yyyy">
                  <c:v>46132</c:v>
                </c:pt>
                <c:pt idx="202" formatCode="m/d/yyyy">
                  <c:v>46133</c:v>
                </c:pt>
                <c:pt idx="203" formatCode="m/d/yyyy">
                  <c:v>46134</c:v>
                </c:pt>
                <c:pt idx="204" formatCode="m/d/yyyy">
                  <c:v>46135</c:v>
                </c:pt>
                <c:pt idx="205" formatCode="m/d/yyyy">
                  <c:v>46136</c:v>
                </c:pt>
                <c:pt idx="206" formatCode="m/d/yyyy">
                  <c:v>46137</c:v>
                </c:pt>
                <c:pt idx="207" formatCode="m/d/yyyy">
                  <c:v>46138</c:v>
                </c:pt>
                <c:pt idx="208" formatCode="m/d/yyyy">
                  <c:v>46139</c:v>
                </c:pt>
                <c:pt idx="209" formatCode="m/d/yyyy">
                  <c:v>46140</c:v>
                </c:pt>
                <c:pt idx="210" formatCode="m/d/yyyy">
                  <c:v>46141</c:v>
                </c:pt>
                <c:pt idx="211" formatCode="m/d/yyyy">
                  <c:v>46142</c:v>
                </c:pt>
                <c:pt idx="212" formatCode="m/d/yyyy">
                  <c:v>46143</c:v>
                </c:pt>
                <c:pt idx="213" formatCode="m/d/yyyy">
                  <c:v>46144</c:v>
                </c:pt>
                <c:pt idx="214" formatCode="m/d/yyyy">
                  <c:v>46145</c:v>
                </c:pt>
                <c:pt idx="215" formatCode="m/d/yyyy">
                  <c:v>46146</c:v>
                </c:pt>
                <c:pt idx="216" formatCode="m/d/yyyy">
                  <c:v>46147</c:v>
                </c:pt>
                <c:pt idx="217" formatCode="m/d/yyyy">
                  <c:v>46148</c:v>
                </c:pt>
                <c:pt idx="218" formatCode="m/d/yyyy">
                  <c:v>46149</c:v>
                </c:pt>
                <c:pt idx="219" formatCode="m/d/yyyy">
                  <c:v>46150</c:v>
                </c:pt>
                <c:pt idx="220" formatCode="m/d/yyyy">
                  <c:v>46151</c:v>
                </c:pt>
                <c:pt idx="221" formatCode="m/d/yyyy">
                  <c:v>46152</c:v>
                </c:pt>
                <c:pt idx="222" formatCode="m/d/yyyy">
                  <c:v>46153</c:v>
                </c:pt>
                <c:pt idx="223" formatCode="m/d/yyyy">
                  <c:v>46154</c:v>
                </c:pt>
                <c:pt idx="224" formatCode="m/d/yyyy">
                  <c:v>46155</c:v>
                </c:pt>
                <c:pt idx="225" formatCode="m/d/yyyy">
                  <c:v>46156</c:v>
                </c:pt>
                <c:pt idx="226" formatCode="m/d/yyyy">
                  <c:v>46157</c:v>
                </c:pt>
                <c:pt idx="227" formatCode="m/d/yyyy">
                  <c:v>46158</c:v>
                </c:pt>
                <c:pt idx="228" formatCode="m/d/yyyy">
                  <c:v>46159</c:v>
                </c:pt>
                <c:pt idx="229" formatCode="m/d/yyyy">
                  <c:v>46160</c:v>
                </c:pt>
                <c:pt idx="230" formatCode="m/d/yyyy">
                  <c:v>46161</c:v>
                </c:pt>
                <c:pt idx="231" formatCode="m/d/yyyy">
                  <c:v>46162</c:v>
                </c:pt>
                <c:pt idx="232" formatCode="m/d/yyyy">
                  <c:v>46163</c:v>
                </c:pt>
                <c:pt idx="233" formatCode="m/d/yyyy">
                  <c:v>46164</c:v>
                </c:pt>
                <c:pt idx="234" formatCode="m/d/yyyy">
                  <c:v>46165</c:v>
                </c:pt>
                <c:pt idx="235" formatCode="m/d/yyyy">
                  <c:v>46166</c:v>
                </c:pt>
                <c:pt idx="236" formatCode="m/d/yyyy">
                  <c:v>46167</c:v>
                </c:pt>
                <c:pt idx="237" formatCode="m/d/yyyy">
                  <c:v>46168</c:v>
                </c:pt>
                <c:pt idx="238" formatCode="m/d/yyyy">
                  <c:v>46169</c:v>
                </c:pt>
                <c:pt idx="239" formatCode="m/d/yyyy">
                  <c:v>46170</c:v>
                </c:pt>
                <c:pt idx="240" formatCode="m/d/yyyy">
                  <c:v>46171</c:v>
                </c:pt>
                <c:pt idx="241" formatCode="m/d/yyyy">
                  <c:v>46172</c:v>
                </c:pt>
                <c:pt idx="242" formatCode="m/d/yyyy">
                  <c:v>46173</c:v>
                </c:pt>
                <c:pt idx="243" formatCode="m/d/yyyy">
                  <c:v>46174</c:v>
                </c:pt>
                <c:pt idx="244" formatCode="m/d/yyyy">
                  <c:v>46175</c:v>
                </c:pt>
                <c:pt idx="245" formatCode="m/d/yyyy">
                  <c:v>46176</c:v>
                </c:pt>
                <c:pt idx="246" formatCode="m/d/yyyy">
                  <c:v>46177</c:v>
                </c:pt>
                <c:pt idx="247" formatCode="m/d/yyyy">
                  <c:v>46178</c:v>
                </c:pt>
                <c:pt idx="248" formatCode="m/d/yyyy">
                  <c:v>46179</c:v>
                </c:pt>
                <c:pt idx="249" formatCode="m/d/yyyy">
                  <c:v>46180</c:v>
                </c:pt>
                <c:pt idx="250" formatCode="m/d/yyyy">
                  <c:v>46181</c:v>
                </c:pt>
                <c:pt idx="251" formatCode="m/d/yyyy">
                  <c:v>46182</c:v>
                </c:pt>
                <c:pt idx="252" formatCode="m/d/yyyy">
                  <c:v>46183</c:v>
                </c:pt>
                <c:pt idx="253" formatCode="m/d/yyyy">
                  <c:v>46184</c:v>
                </c:pt>
                <c:pt idx="254" formatCode="m/d/yyyy">
                  <c:v>46185</c:v>
                </c:pt>
                <c:pt idx="255" formatCode="m/d/yyyy">
                  <c:v>46186</c:v>
                </c:pt>
                <c:pt idx="256" formatCode="m/d/yyyy">
                  <c:v>46187</c:v>
                </c:pt>
                <c:pt idx="257" formatCode="m/d/yyyy">
                  <c:v>46188</c:v>
                </c:pt>
                <c:pt idx="258" formatCode="m/d/yyyy">
                  <c:v>46189</c:v>
                </c:pt>
                <c:pt idx="259" formatCode="m/d/yyyy">
                  <c:v>46190</c:v>
                </c:pt>
                <c:pt idx="260" formatCode="m/d/yyyy">
                  <c:v>46191</c:v>
                </c:pt>
                <c:pt idx="261" formatCode="m/d/yyyy">
                  <c:v>46192</c:v>
                </c:pt>
                <c:pt idx="262" formatCode="m/d/yyyy">
                  <c:v>46193</c:v>
                </c:pt>
                <c:pt idx="263" formatCode="m/d/yyyy">
                  <c:v>46194</c:v>
                </c:pt>
                <c:pt idx="264" formatCode="m/d/yyyy">
                  <c:v>46195</c:v>
                </c:pt>
              </c:numCache>
            </c:numRef>
          </c:cat>
          <c:val>
            <c:numRef>
              <c:f>Precios!$Z$20:$Z$284</c:f>
              <c:numCache>
                <c:formatCode>General</c:formatCode>
                <c:ptCount val="265"/>
                <c:pt idx="92" formatCode="_(* #,##0.00_);_(* \(#,##0.00\);_(* &quot;-&quot;??_);_(@_)">
                  <c:v>34.517232802704335</c:v>
                </c:pt>
                <c:pt idx="93" formatCode="_(* #,##0.00_);_(* \(#,##0.00\);_(* &quot;-&quot;??_);_(@_)">
                  <c:v>35.87821783896171</c:v>
                </c:pt>
                <c:pt idx="94" formatCode="_(* #,##0.00_);_(* \(#,##0.00\);_(* &quot;-&quot;??_);_(@_)">
                  <c:v>24.226801096971887</c:v>
                </c:pt>
                <c:pt idx="95" formatCode="_(* #,##0.00_);_(* \(#,##0.00\);_(* &quot;-&quot;??_);_(@_)">
                  <c:v>27.778995914048632</c:v>
                </c:pt>
                <c:pt idx="96" formatCode="_(* #,##0.00_);_(* \(#,##0.00\);_(* &quot;-&quot;??_);_(@_)">
                  <c:v>30.16174141643404</c:v>
                </c:pt>
                <c:pt idx="97" formatCode="_(* #,##0.00_);_(* \(#,##0.00\);_(* &quot;-&quot;??_);_(@_)">
                  <c:v>32.978166221622246</c:v>
                </c:pt>
                <c:pt idx="98" formatCode="_(* #,##0.00_);_(* \(#,##0.00\);_(* &quot;-&quot;??_);_(@_)">
                  <c:v>34.478204946117792</c:v>
                </c:pt>
                <c:pt idx="99" formatCode="_(* #,##0.00_);_(* \(#,##0.00\);_(* &quot;-&quot;??_);_(@_)">
                  <c:v>32.759908874482299</c:v>
                </c:pt>
                <c:pt idx="100" formatCode="_(* #,##0.00_);_(* \(#,##0.00\);_(* &quot;-&quot;??_);_(@_)">
                  <c:v>34.173236903593931</c:v>
                </c:pt>
                <c:pt idx="101" formatCode="_(* #,##0.00_);_(* \(#,##0.00\);_(* &quot;-&quot;??_);_(@_)">
                  <c:v>31.925391686207025</c:v>
                </c:pt>
                <c:pt idx="102" formatCode="_(* #,##0.00_);_(* \(#,##0.00\);_(* &quot;-&quot;??_);_(@_)">
                  <c:v>34.015781036304283</c:v>
                </c:pt>
                <c:pt idx="103" formatCode="_(* #,##0.00_);_(* \(#,##0.00\);_(* &quot;-&quot;??_);_(@_)">
                  <c:v>43.634911972169704</c:v>
                </c:pt>
                <c:pt idx="104" formatCode="_(* #,##0.00_);_(* \(#,##0.00\);_(* &quot;-&quot;??_);_(@_)">
                  <c:v>43.739653037828724</c:v>
                </c:pt>
                <c:pt idx="105" formatCode="_(* #,##0.00_);_(* \(#,##0.00\);_(* &quot;-&quot;??_);_(@_)">
                  <c:v>56.822108752310051</c:v>
                </c:pt>
                <c:pt idx="106" formatCode="_(* #,##0.00_);_(* \(#,##0.00\);_(* &quot;-&quot;??_);_(@_)">
                  <c:v>83.951107689661299</c:v>
                </c:pt>
                <c:pt idx="107" formatCode="_(* #,##0.00_);_(* \(#,##0.00\);_(* &quot;-&quot;??_);_(@_)">
                  <c:v>52.990876102399064</c:v>
                </c:pt>
                <c:pt idx="108" formatCode="_(* #,##0.00_);_(* \(#,##0.00\);_(* &quot;-&quot;??_);_(@_)">
                  <c:v>46.005274766562451</c:v>
                </c:pt>
                <c:pt idx="109" formatCode="_(* #,##0.00_);_(* \(#,##0.00\);_(* &quot;-&quot;??_);_(@_)">
                  <c:v>36.026128823809678</c:v>
                </c:pt>
                <c:pt idx="110" formatCode="_(* #,##0.00_);_(* \(#,##0.00\);_(* &quot;-&quot;??_);_(@_)">
                  <c:v>37.791009301288653</c:v>
                </c:pt>
                <c:pt idx="111" formatCode="_(* #,##0.00_);_(* \(#,##0.00\);_(* &quot;-&quot;??_);_(@_)">
                  <c:v>38.300591812738432</c:v>
                </c:pt>
                <c:pt idx="112" formatCode="_(* #,##0.00_);_(* \(#,##0.00\);_(* &quot;-&quot;??_);_(@_)">
                  <c:v>35.587092495708106</c:v>
                </c:pt>
                <c:pt idx="113" formatCode="_(* #,##0.00_);_(* \(#,##0.00\);_(* &quot;-&quot;??_);_(@_)">
                  <c:v>41.539949764666879</c:v>
                </c:pt>
                <c:pt idx="114" formatCode="_(* #,##0.00_);_(* \(#,##0.00\);_(* &quot;-&quot;??_);_(@_)">
                  <c:v>49.590790264372067</c:v>
                </c:pt>
                <c:pt idx="115" formatCode="_(* #,##0.00_);_(* \(#,##0.00\);_(* &quot;-&quot;??_);_(@_)">
                  <c:v>89.84595554076823</c:v>
                </c:pt>
                <c:pt idx="116" formatCode="_(* #,##0.00_);_(* \(#,##0.00\);_(* &quot;-&quot;??_);_(@_)">
                  <c:v>90.264286627714213</c:v>
                </c:pt>
                <c:pt idx="117" formatCode="_(* #,##0.00_);_(* \(#,##0.00\);_(* &quot;-&quot;??_);_(@_)">
                  <c:v>103.00980007718067</c:v>
                </c:pt>
                <c:pt idx="118" formatCode="_(* #,##0.00_);_(* \(#,##0.00\);_(* &quot;-&quot;??_);_(@_)">
                  <c:v>110.64867915816491</c:v>
                </c:pt>
                <c:pt idx="119" formatCode="_(* #,##0.00_);_(* \(#,##0.00\);_(* &quot;-&quot;??_);_(@_)">
                  <c:v>101.15247867689065</c:v>
                </c:pt>
                <c:pt idx="120" formatCode="_(* #,##0.00_);_(* \(#,##0.00\);_(* &quot;-&quot;??_);_(@_)">
                  <c:v>99.112412708623623</c:v>
                </c:pt>
                <c:pt idx="121" formatCode="_(* #,##0.00_);_(* \(#,##0.00\);_(* &quot;-&quot;??_);_(@_)">
                  <c:v>109.98205775875044</c:v>
                </c:pt>
                <c:pt idx="122" formatCode="_(* #,##0.00_);_(* \(#,##0.00\);_(* &quot;-&quot;??_);_(@_)">
                  <c:v>101.10164955483698</c:v>
                </c:pt>
                <c:pt idx="123" formatCode="_(* #,##0.00_);_(* \(#,##0.00\);_(* &quot;-&quot;??_);_(@_)">
                  <c:v>75.550677537597721</c:v>
                </c:pt>
                <c:pt idx="124" formatCode="_(* #,##0.00_);_(* \(#,##0.00\);_(* &quot;-&quot;??_);_(@_)">
                  <c:v>91.368708549420532</c:v>
                </c:pt>
                <c:pt idx="125" formatCode="_(* #,##0.00_);_(* \(#,##0.00\);_(* &quot;-&quot;??_);_(@_)">
                  <c:v>116.15317799359542</c:v>
                </c:pt>
                <c:pt idx="126" formatCode="_(* #,##0.00_);_(* \(#,##0.00\);_(* &quot;-&quot;??_);_(@_)">
                  <c:v>120.7237795396935</c:v>
                </c:pt>
                <c:pt idx="127" formatCode="_(* #,##0.00_);_(* \(#,##0.00\);_(* &quot;-&quot;??_);_(@_)">
                  <c:v>60.581576535554547</c:v>
                </c:pt>
                <c:pt idx="128" formatCode="_(* #,##0.00_);_(* \(#,##0.00\);_(* &quot;-&quot;??_);_(@_)">
                  <c:v>44.886909437871388</c:v>
                </c:pt>
                <c:pt idx="129" formatCode="_(* #,##0.00_);_(* \(#,##0.00\);_(* &quot;-&quot;??_);_(@_)">
                  <c:v>40.387388538205371</c:v>
                </c:pt>
                <c:pt idx="130" formatCode="_(* #,##0.00_);_(* \(#,##0.00\);_(* &quot;-&quot;??_);_(@_)">
                  <c:v>39.628151518521946</c:v>
                </c:pt>
                <c:pt idx="131" formatCode="_(* #,##0.00_);_(* \(#,##0.00\);_(* &quot;-&quot;??_);_(@_)">
                  <c:v>52.190661077356019</c:v>
                </c:pt>
                <c:pt idx="132" formatCode="_(* #,##0.00_);_(* \(#,##0.00\);_(* &quot;-&quot;??_);_(@_)">
                  <c:v>123.3121845584857</c:v>
                </c:pt>
                <c:pt idx="133" formatCode="_(* #,##0.00_);_(* \(#,##0.00\);_(* &quot;-&quot;??_);_(@_)">
                  <c:v>37.37316760053556</c:v>
                </c:pt>
                <c:pt idx="134" formatCode="_(* #,##0.00_);_(* \(#,##0.00\);_(* &quot;-&quot;??_);_(@_)">
                  <c:v>37.984260076748484</c:v>
                </c:pt>
                <c:pt idx="135" formatCode="_(* #,##0.00_);_(* \(#,##0.00\);_(* &quot;-&quot;??_);_(@_)">
                  <c:v>33.991810396766738</c:v>
                </c:pt>
                <c:pt idx="136" formatCode="_(* #,##0.00_);_(* \(#,##0.00\);_(* &quot;-&quot;??_);_(@_)">
                  <c:v>32.293638972697721</c:v>
                </c:pt>
                <c:pt idx="137" formatCode="_(* #,##0.00_);_(* \(#,##0.00\);_(* &quot;-&quot;??_);_(@_)">
                  <c:v>35.825402108273238</c:v>
                </c:pt>
                <c:pt idx="138" formatCode="_(* #,##0.00_);_(* \(#,##0.00\);_(* &quot;-&quot;??_);_(@_)">
                  <c:v>36.466009104721991</c:v>
                </c:pt>
                <c:pt idx="139" formatCode="_(* #,##0.00_);_(* \(#,##0.00\);_(* &quot;-&quot;??_);_(@_)">
                  <c:v>45.706234198232771</c:v>
                </c:pt>
                <c:pt idx="140" formatCode="_(* #,##0.00_);_(* \(#,##0.00\);_(* &quot;-&quot;??_);_(@_)">
                  <c:v>63.014107482929894</c:v>
                </c:pt>
                <c:pt idx="141" formatCode="_(* #,##0.00_);_(* \(#,##0.00\);_(* &quot;-&quot;??_);_(@_)">
                  <c:v>44.234898803117169</c:v>
                </c:pt>
                <c:pt idx="142" formatCode="_(* #,##0.00_);_(* \(#,##0.00\);_(* &quot;-&quot;??_);_(@_)">
                  <c:v>36.959130505853089</c:v>
                </c:pt>
                <c:pt idx="143" formatCode="_(* #,##0.00_);_(* \(#,##0.00\);_(* &quot;-&quot;??_);_(@_)">
                  <c:v>39.504848783117382</c:v>
                </c:pt>
                <c:pt idx="144" formatCode="_(* #,##0.00_);_(* \(#,##0.00\);_(* &quot;-&quot;??_);_(@_)">
                  <c:v>37.501771331859189</c:v>
                </c:pt>
                <c:pt idx="145" formatCode="_(* #,##0.00_);_(* \(#,##0.00\);_(* &quot;-&quot;??_);_(@_)">
                  <c:v>46.254402422711429</c:v>
                </c:pt>
                <c:pt idx="146" formatCode="_(* #,##0.00_);_(* \(#,##0.00\);_(* &quot;-&quot;??_);_(@_)">
                  <c:v>41.730943384826283</c:v>
                </c:pt>
                <c:pt idx="147" formatCode="_(* #,##0.00_);_(* \(#,##0.00\);_(* &quot;-&quot;??_);_(@_)">
                  <c:v>35.978006738496376</c:v>
                </c:pt>
                <c:pt idx="148" formatCode="_(* #,##0.00_);_(* \(#,##0.00\);_(* &quot;-&quot;??_);_(@_)">
                  <c:v>33.906568347942041</c:v>
                </c:pt>
                <c:pt idx="149" formatCode="_(* #,##0.00_);_(* \(#,##0.00\);_(* &quot;-&quot;??_);_(@_)">
                  <c:v>33.181569624261087</c:v>
                </c:pt>
                <c:pt idx="150" formatCode="_(* #,##0.00_);_(* \(#,##0.00\);_(* &quot;-&quot;??_);_(@_)">
                  <c:v>33.721985966578529</c:v>
                </c:pt>
                <c:pt idx="151" formatCode="_(* #,##0.00_);_(* \(#,##0.00\);_(* &quot;-&quot;??_);_(@_)">
                  <c:v>31.876019591615353</c:v>
                </c:pt>
                <c:pt idx="152" formatCode="_(* #,##0.00_);_(* \(#,##0.00\);_(* &quot;-&quot;??_);_(@_)">
                  <c:v>41.855325574126468</c:v>
                </c:pt>
                <c:pt idx="153" formatCode="_(* #,##0.00_);_(* \(#,##0.00\);_(* &quot;-&quot;??_);_(@_)">
                  <c:v>36.19588321499225</c:v>
                </c:pt>
                <c:pt idx="154" formatCode="_(* #,##0.00_);_(* \(#,##0.00\);_(* &quot;-&quot;??_);_(@_)">
                  <c:v>36.665699996196508</c:v>
                </c:pt>
                <c:pt idx="155" formatCode="_(* #,##0.00_);_(* \(#,##0.00\);_(* &quot;-&quot;??_);_(@_)">
                  <c:v>40.343758929207446</c:v>
                </c:pt>
                <c:pt idx="156" formatCode="_(* #,##0.00_);_(* \(#,##0.00\);_(* &quot;-&quot;??_);_(@_)">
                  <c:v>37.58081511409376</c:v>
                </c:pt>
                <c:pt idx="157" formatCode="_(* #,##0.00_);_(* \(#,##0.00\);_(* &quot;-&quot;??_);_(@_)">
                  <c:v>33.389054023348393</c:v>
                </c:pt>
                <c:pt idx="158" formatCode="_(* #,##0.00_);_(* \(#,##0.00\);_(* &quot;-&quot;??_);_(@_)">
                  <c:v>30.592163983881672</c:v>
                </c:pt>
                <c:pt idx="159" formatCode="_(* #,##0.00_);_(* \(#,##0.00\);_(* &quot;-&quot;??_);_(@_)">
                  <c:v>33.375228075718603</c:v>
                </c:pt>
                <c:pt idx="160" formatCode="_(* #,##0.00_);_(* \(#,##0.00\);_(* &quot;-&quot;??_);_(@_)">
                  <c:v>38.141885039110598</c:v>
                </c:pt>
                <c:pt idx="161" formatCode="_(* #,##0.00_);_(* \(#,##0.00\);_(* &quot;-&quot;??_);_(@_)">
                  <c:v>36.512985566012922</c:v>
                </c:pt>
                <c:pt idx="162" formatCode="_(* #,##0.00_);_(* \(#,##0.00\);_(* &quot;-&quot;??_);_(@_)">
                  <c:v>40.316808570965897</c:v>
                </c:pt>
                <c:pt idx="163" formatCode="_(* #,##0.00_);_(* \(#,##0.00\);_(* &quot;-&quot;??_);_(@_)">
                  <c:v>40.08117380613124</c:v>
                </c:pt>
                <c:pt idx="164" formatCode="_(* #,##0.00_);_(* \(#,##0.00\);_(* &quot;-&quot;??_);_(@_)">
                  <c:v>41.099345077709174</c:v>
                </c:pt>
                <c:pt idx="165" formatCode="_(* #,##0.00_);_(* \(#,##0.00\);_(* &quot;-&quot;??_);_(@_)">
                  <c:v>34.18821653077233</c:v>
                </c:pt>
                <c:pt idx="166" formatCode="_(* #,##0.00_);_(* \(#,##0.00\);_(* &quot;-&quot;??_);_(@_)">
                  <c:v>96.755517077751932</c:v>
                </c:pt>
                <c:pt idx="167" formatCode="_(* #,##0.00_);_(* \(#,##0.00\);_(* &quot;-&quot;??_);_(@_)">
                  <c:v>97.406515154293118</c:v>
                </c:pt>
                <c:pt idx="168" formatCode="_(* #,##0.00_);_(* \(#,##0.00\);_(* &quot;-&quot;??_);_(@_)">
                  <c:v>46.71228360495342</c:v>
                </c:pt>
                <c:pt idx="169" formatCode="_(* #,##0.00_);_(* \(#,##0.00\);_(* &quot;-&quot;??_);_(@_)">
                  <c:v>46.967972487293117</c:v>
                </c:pt>
                <c:pt idx="170" formatCode="_(* #,##0.00_);_(* \(#,##0.00\);_(* &quot;-&quot;??_);_(@_)">
                  <c:v>86.121977379141512</c:v>
                </c:pt>
                <c:pt idx="171" formatCode="_(* #,##0.00_);_(* \(#,##0.00\);_(* &quot;-&quot;??_);_(@_)">
                  <c:v>42.068737287987986</c:v>
                </c:pt>
                <c:pt idx="172" formatCode="_(* #,##0.00_);_(* \(#,##0.00\);_(* &quot;-&quot;??_);_(@_)">
                  <c:v>35.97697965420047</c:v>
                </c:pt>
                <c:pt idx="173" formatCode="_(* #,##0.00_);_(* \(#,##0.00\);_(* &quot;-&quot;??_);_(@_)">
                  <c:v>46.08479760902582</c:v>
                </c:pt>
                <c:pt idx="174" formatCode="_(* #,##0.00_);_(* \(#,##0.00\);_(* &quot;-&quot;??_);_(@_)">
                  <c:v>36.7333155653074</c:v>
                </c:pt>
                <c:pt idx="175" formatCode="_(* #,##0.00_);_(* \(#,##0.00\);_(* &quot;-&quot;??_);_(@_)">
                  <c:v>41.02725159195375</c:v>
                </c:pt>
                <c:pt idx="176" formatCode="_(* #,##0.00_);_(* \(#,##0.00\);_(* &quot;-&quot;??_);_(@_)">
                  <c:v>45.984765504365022</c:v>
                </c:pt>
                <c:pt idx="177" formatCode="_(* #,##0.00_);_(* \(#,##0.00\);_(* &quot;-&quot;??_);_(@_)">
                  <c:v>47.939142866678488</c:v>
                </c:pt>
                <c:pt idx="178" formatCode="_(* #,##0.00_);_(* \(#,##0.00\);_(* &quot;-&quot;??_);_(@_)">
                  <c:v>51.770915739603716</c:v>
                </c:pt>
                <c:pt idx="179" formatCode="_(* #,##0.00_);_(* \(#,##0.00\);_(* &quot;-&quot;??_);_(@_)">
                  <c:v>103.15843403056355</c:v>
                </c:pt>
                <c:pt idx="180" formatCode="_(* #,##0.00_);_(* \(#,##0.00\);_(* &quot;-&quot;??_);_(@_)">
                  <c:v>276.4748370582206</c:v>
                </c:pt>
                <c:pt idx="181" formatCode="_(* #,##0.00_);_(* \(#,##0.00\);_(* &quot;-&quot;??_);_(@_)">
                  <c:v>277.474837058221</c:v>
                </c:pt>
                <c:pt idx="182" formatCode="_(* #,##0.00_);_(* \(#,##0.00\);_(* &quot;-&quot;??_);_(@_)">
                  <c:v>209.85886194686029</c:v>
                </c:pt>
                <c:pt idx="183" formatCode="_(* #,##0.00_);_(* \(#,##0.00\);_(* &quot;-&quot;??_);_(@_)">
                  <c:v>134.99318240656604</c:v>
                </c:pt>
                <c:pt idx="184" formatCode="_(* #,##0.00_);_(* \(#,##0.00\);_(* &quot;-&quot;??_);_(@_)">
                  <c:v>87.252310119613554</c:v>
                </c:pt>
                <c:pt idx="185" formatCode="_(* #,##0.00_);_(* \(#,##0.00\);_(* &quot;-&quot;??_);_(@_)">
                  <c:v>109.74052988138237</c:v>
                </c:pt>
                <c:pt idx="186" formatCode="_(* #,##0.00_);_(* \(#,##0.00\);_(* &quot;-&quot;??_);_(@_)">
                  <c:v>145.95300637650294</c:v>
                </c:pt>
                <c:pt idx="187" formatCode="_(* #,##0.00_);_(* \(#,##0.00\);_(* &quot;-&quot;??_);_(@_)">
                  <c:v>130.82210120991357</c:v>
                </c:pt>
                <c:pt idx="188" formatCode="_(* #,##0.00_);_(* \(#,##0.00\);_(* &quot;-&quot;??_);_(@_)">
                  <c:v>144.87144229976653</c:v>
                </c:pt>
                <c:pt idx="189" formatCode="_(* #,##0.00_);_(* \(#,##0.00\);_(* &quot;-&quot;??_);_(@_)">
                  <c:v>38.118939463710447</c:v>
                </c:pt>
                <c:pt idx="190" formatCode="_(* #,##0.00_);_(* \(#,##0.00\);_(* &quot;-&quot;??_);_(@_)">
                  <c:v>35.188984185527978</c:v>
                </c:pt>
                <c:pt idx="191" formatCode="_(* #,##0.00_);_(* \(#,##0.00\);_(* &quot;-&quot;??_);_(@_)">
                  <c:v>28.735413317244014</c:v>
                </c:pt>
                <c:pt idx="192" formatCode="_(* #,##0.00_);_(* \(#,##0.00\);_(* &quot;-&quot;??_);_(@_)">
                  <c:v>32.614797722066264</c:v>
                </c:pt>
                <c:pt idx="193" formatCode="_(* #,##0.00_);_(* \(#,##0.00\);_(* &quot;-&quot;??_);_(@_)">
                  <c:v>32.558232213100275</c:v>
                </c:pt>
                <c:pt idx="194" formatCode="_(* #,##0.00_);_(* \(#,##0.00\);_(* &quot;-&quot;??_);_(@_)">
                  <c:v>37.006520793558529</c:v>
                </c:pt>
                <c:pt idx="195" formatCode="_(* #,##0.00_);_(* \(#,##0.00\);_(* &quot;-&quot;??_);_(@_)">
                  <c:v>39.4077148941562</c:v>
                </c:pt>
                <c:pt idx="196" formatCode="_(* #,##0.00_);_(* \(#,##0.00\);_(* &quot;-&quot;??_);_(@_)">
                  <c:v>38.039758403877116</c:v>
                </c:pt>
                <c:pt idx="197" formatCode="_(* #,##0.00_);_(* \(#,##0.00\);_(* &quot;-&quot;??_);_(@_)">
                  <c:v>40.241149722866709</c:v>
                </c:pt>
                <c:pt idx="198" formatCode="_(* #,##0.00_);_(* \(#,##0.00\);_(* &quot;-&quot;??_);_(@_)">
                  <c:v>42.944655439062409</c:v>
                </c:pt>
                <c:pt idx="199" formatCode="_(* #,##0.00_);_(* \(#,##0.00\);_(* &quot;-&quot;??_);_(@_)">
                  <c:v>40.544922392862183</c:v>
                </c:pt>
                <c:pt idx="200" formatCode="_(* #,##0.00_);_(* \(#,##0.00\);_(* &quot;-&quot;??_);_(@_)">
                  <c:v>37.250021077506069</c:v>
                </c:pt>
                <c:pt idx="201" formatCode="_(* #,##0.00_);_(* \(#,##0.00\);_(* &quot;-&quot;??_);_(@_)">
                  <c:v>49.417593178744184</c:v>
                </c:pt>
                <c:pt idx="202" formatCode="_(* #,##0.00_);_(* \(#,##0.00\);_(* &quot;-&quot;??_);_(@_)">
                  <c:v>41.274284939618923</c:v>
                </c:pt>
                <c:pt idx="203" formatCode="_(* #,##0.00_);_(* \(#,##0.00\);_(* &quot;-&quot;??_);_(@_)">
                  <c:v>83.370812671988219</c:v>
                </c:pt>
                <c:pt idx="204" formatCode="_(* #,##0.00_);_(* \(#,##0.00\);_(* &quot;-&quot;??_);_(@_)">
                  <c:v>103.45145119826822</c:v>
                </c:pt>
                <c:pt idx="205" formatCode="_(* #,##0.00_);_(* \(#,##0.00\);_(* &quot;-&quot;??_);_(@_)">
                  <c:v>103.52535210812188</c:v>
                </c:pt>
                <c:pt idx="206" formatCode="_(* #,##0.00_);_(* \(#,##0.00\);_(* &quot;-&quot;??_);_(@_)">
                  <c:v>138.05220880287672</c:v>
                </c:pt>
                <c:pt idx="207" formatCode="_(* #,##0.00_);_(* \(#,##0.00\);_(* &quot;-&quot;??_);_(@_)">
                  <c:v>68.490458955508984</c:v>
                </c:pt>
                <c:pt idx="208" formatCode="_(* #,##0.00_);_(* \(#,##0.00\);_(* &quot;-&quot;??_);_(@_)">
                  <c:v>132.01032462473054</c:v>
                </c:pt>
                <c:pt idx="209" formatCode="_(* #,##0.00_);_(* \(#,##0.00\);_(* &quot;-&quot;??_);_(@_)">
                  <c:v>155.60620075079038</c:v>
                </c:pt>
                <c:pt idx="210" formatCode="_(* #,##0.00_);_(* \(#,##0.00\);_(* &quot;-&quot;??_);_(@_)">
                  <c:v>138.86196407147474</c:v>
                </c:pt>
                <c:pt idx="211" formatCode="_(* #,##0.00_);_(* \(#,##0.00\);_(* &quot;-&quot;??_);_(@_)">
                  <c:v>164.85348738116059</c:v>
                </c:pt>
                <c:pt idx="212" formatCode="_(* #,##0.00_);_(* \(#,##0.00\);_(* &quot;-&quot;??_);_(@_)">
                  <c:v>116.86856589277137</c:v>
                </c:pt>
                <c:pt idx="213" formatCode="_(* #,##0.00_);_(* \(#,##0.00\);_(* &quot;-&quot;??_);_(@_)">
                  <c:v>114.34444263644012</c:v>
                </c:pt>
                <c:pt idx="214" formatCode="_(* #,##0.00_);_(* \(#,##0.00\);_(* &quot;-&quot;??_);_(@_)">
                  <c:v>99.940224169878817</c:v>
                </c:pt>
                <c:pt idx="215" formatCode="_(* #,##0.00_);_(* \(#,##0.00\);_(* &quot;-&quot;??_);_(@_)">
                  <c:v>111.31722313557655</c:v>
                </c:pt>
                <c:pt idx="216" formatCode="_(* #,##0.00_);_(* \(#,##0.00\);_(* &quot;-&quot;??_);_(@_)">
                  <c:v>135.04494762087256</c:v>
                </c:pt>
                <c:pt idx="217" formatCode="_(* #,##0.00_);_(* \(#,##0.00\);_(* &quot;-&quot;??_);_(@_)">
                  <c:v>135.43188295433654</c:v>
                </c:pt>
                <c:pt idx="218" formatCode="_(* #,##0.00_);_(* \(#,##0.00\);_(* &quot;-&quot;??_);_(@_)">
                  <c:v>119.88528838228677</c:v>
                </c:pt>
                <c:pt idx="219" formatCode="_(* #,##0.00_);_(* \(#,##0.00\);_(* &quot;-&quot;??_);_(@_)">
                  <c:v>119.43078604256154</c:v>
                </c:pt>
                <c:pt idx="220" formatCode="_(* #,##0.00_);_(* \(#,##0.00\);_(* &quot;-&quot;??_);_(@_)">
                  <c:v>158.1882757383182</c:v>
                </c:pt>
                <c:pt idx="221" formatCode="_(* #,##0.00_);_(* \(#,##0.00\);_(* &quot;-&quot;??_);_(@_)">
                  <c:v>131.02865673900854</c:v>
                </c:pt>
                <c:pt idx="222" formatCode="_(* #,##0.00_);_(* \(#,##0.00\);_(* &quot;-&quot;??_);_(@_)">
                  <c:v>161.8666529328369</c:v>
                </c:pt>
                <c:pt idx="223" formatCode="_(* #,##0.00_);_(* \(#,##0.00\);_(* &quot;-&quot;??_);_(@_)">
                  <c:v>180.35853512545427</c:v>
                </c:pt>
                <c:pt idx="224" formatCode="_(* #,##0.00_);_(* \(#,##0.00\);_(* &quot;-&quot;??_);_(@_)">
                  <c:v>184.32449907401013</c:v>
                </c:pt>
                <c:pt idx="225" formatCode="_(* #,##0.00_);_(* \(#,##0.00\);_(* &quot;-&quot;??_);_(@_)">
                  <c:v>212.86789364680646</c:v>
                </c:pt>
                <c:pt idx="226" formatCode="_(* #,##0.00_);_(* \(#,##0.00\);_(* &quot;-&quot;??_);_(@_)">
                  <c:v>194.01757231731088</c:v>
                </c:pt>
                <c:pt idx="227" formatCode="_(* #,##0.00_);_(* \(#,##0.00\);_(* &quot;-&quot;??_);_(@_)">
                  <c:v>204.81501579570224</c:v>
                </c:pt>
                <c:pt idx="228" formatCode="_(* #,##0.00_);_(* \(#,##0.00\);_(* &quot;-&quot;??_);_(@_)">
                  <c:v>198.4632287758219</c:v>
                </c:pt>
                <c:pt idx="229" formatCode="_(* #,##0.00_);_(* \(#,##0.00\);_(* &quot;-&quot;??_);_(@_)">
                  <c:v>217.39420400321092</c:v>
                </c:pt>
                <c:pt idx="230" formatCode="_(* #,##0.00_);_(* \(#,##0.00\);_(* &quot;-&quot;??_);_(@_)">
                  <c:v>227.79299447312101</c:v>
                </c:pt>
                <c:pt idx="231" formatCode="_(* #,##0.00_);_(* \(#,##0.00\);_(* &quot;-&quot;??_);_(@_)">
                  <c:v>249.23183043116151</c:v>
                </c:pt>
                <c:pt idx="232" formatCode="_(* #,##0.00_);_(* \(#,##0.00\);_(* &quot;-&quot;??_);_(@_)">
                  <c:v>257.89501103718044</c:v>
                </c:pt>
                <c:pt idx="233" formatCode="_(* #,##0.00_);_(* \(#,##0.00\);_(* &quot;-&quot;??_);_(@_)">
                  <c:v>253.58276286977423</c:v>
                </c:pt>
                <c:pt idx="234" formatCode="_(* #,##0.00_);_(* \(#,##0.00\);_(* &quot;-&quot;??_);_(@_)">
                  <c:v>252.31977388191333</c:v>
                </c:pt>
                <c:pt idx="235" formatCode="_(* #,##0.00_);_(* \(#,##0.00\);_(* &quot;-&quot;??_);_(@_)">
                  <c:v>193.66410290369822</c:v>
                </c:pt>
                <c:pt idx="236" formatCode="_(* #,##0.00_);_(* \(#,##0.00\);_(* &quot;-&quot;??_);_(@_)">
                  <c:v>204.0185095663123</c:v>
                </c:pt>
                <c:pt idx="237" formatCode="_(* #,##0.00_);_(* \(#,##0.00\);_(* &quot;-&quot;??_);_(@_)">
                  <c:v>217.90915379942672</c:v>
                </c:pt>
                <c:pt idx="238" formatCode="_(* #,##0.00_);_(* \(#,##0.00\);_(* &quot;-&quot;??_);_(@_)">
                  <c:v>242.3112413912838</c:v>
                </c:pt>
                <c:pt idx="239" formatCode="_(* #,##0.00_);_(* \(#,##0.00\);_(* &quot;-&quot;??_);_(@_)">
                  <c:v>239.26472004582598</c:v>
                </c:pt>
                <c:pt idx="240" formatCode="_(* #,##0.00_);_(* \(#,##0.00\);_(* &quot;-&quot;??_);_(@_)">
                  <c:v>235.83050381726335</c:v>
                </c:pt>
                <c:pt idx="241" formatCode="_(* #,##0.00_);_(* \(#,##0.00\);_(* &quot;-&quot;??_);_(@_)">
                  <c:v>236.42740539878119</c:v>
                </c:pt>
                <c:pt idx="242" formatCode="_(* #,##0.00_);_(* \(#,##0.00\);_(* &quot;-&quot;??_);_(@_)">
                  <c:v>232.16518242463846</c:v>
                </c:pt>
                <c:pt idx="243" formatCode="_(* #,##0.00_);_(* \(#,##0.00\);_(* &quot;-&quot;??_);_(@_)">
                  <c:v>231.53314403465808</c:v>
                </c:pt>
                <c:pt idx="244" formatCode="_(* #,##0.00_);_(* \(#,##0.00\);_(* &quot;-&quot;??_);_(@_)">
                  <c:v>206.43680448265533</c:v>
                </c:pt>
                <c:pt idx="245" formatCode="_(* #,##0.00_);_(* \(#,##0.00\);_(* &quot;-&quot;??_);_(@_)">
                  <c:v>186.08416069497088</c:v>
                </c:pt>
                <c:pt idx="246" formatCode="_(* #,##0.00_);_(* \(#,##0.00\);_(* &quot;-&quot;??_);_(@_)">
                  <c:v>229.65020306570639</c:v>
                </c:pt>
                <c:pt idx="247" formatCode="_(* #,##0.00_);_(* \(#,##0.00\);_(* &quot;-&quot;??_);_(@_)">
                  <c:v>225.99750876633465</c:v>
                </c:pt>
                <c:pt idx="248" formatCode="_(* #,##0.00_);_(* \(#,##0.00\);_(* &quot;-&quot;??_);_(@_)">
                  <c:v>217.43017609198685</c:v>
                </c:pt>
                <c:pt idx="249" formatCode="_(* #,##0.00_);_(* \(#,##0.00\);_(* &quot;-&quot;??_);_(@_)">
                  <c:v>166.5091404096159</c:v>
                </c:pt>
                <c:pt idx="250" formatCode="_(* #,##0.00_);_(* \(#,##0.00\);_(* &quot;-&quot;??_);_(@_)">
                  <c:v>218.46703407663782</c:v>
                </c:pt>
                <c:pt idx="251" formatCode="_(* #,##0.00_);_(* \(#,##0.00\);_(* &quot;-&quot;??_);_(@_)">
                  <c:v>226.17379752551511</c:v>
                </c:pt>
                <c:pt idx="252" formatCode="_(* #,##0.00_);_(* \(#,##0.00\);_(* &quot;-&quot;??_);_(@_)">
                  <c:v>216.05093841974383</c:v>
                </c:pt>
                <c:pt idx="253" formatCode="_(* #,##0.00_);_(* \(#,##0.00\);_(* &quot;-&quot;??_);_(@_)">
                  <c:v>228.28561813128621</c:v>
                </c:pt>
                <c:pt idx="254" formatCode="_(* #,##0.00_);_(* \(#,##0.00\);_(* &quot;-&quot;??_);_(@_)">
                  <c:v>173.1042143892104</c:v>
                </c:pt>
                <c:pt idx="255" formatCode="_(* #,##0.00_);_(* \(#,##0.00\);_(* &quot;-&quot;??_);_(@_)">
                  <c:v>207.81149374385572</c:v>
                </c:pt>
                <c:pt idx="256" formatCode="_(* #,##0.00_);_(* \(#,##0.00\);_(* &quot;-&quot;??_);_(@_)">
                  <c:v>186.76553977881719</c:v>
                </c:pt>
                <c:pt idx="257" formatCode="_(* #,##0.00_);_(* \(#,##0.00\);_(* &quot;-&quot;??_);_(@_)">
                  <c:v>209.94647527188516</c:v>
                </c:pt>
                <c:pt idx="258" formatCode="_(* #,##0.00_);_(* \(#,##0.00\);_(* &quot;-&quot;??_);_(@_)">
                  <c:v>188.75076899304085</c:v>
                </c:pt>
                <c:pt idx="259" formatCode="_(* #,##0.00_);_(* \(#,##0.00\);_(* &quot;-&quot;??_);_(@_)">
                  <c:v>219.24361622740804</c:v>
                </c:pt>
                <c:pt idx="260" formatCode="_(* #,##0.00_);_(* \(#,##0.00\);_(* &quot;-&quot;??_);_(@_)">
                  <c:v>207.11210761646018</c:v>
                </c:pt>
                <c:pt idx="261" formatCode="_(* #,##0.00_);_(* \(#,##0.00\);_(* &quot;-&quot;??_);_(@_)">
                  <c:v>235.67469086967958</c:v>
                </c:pt>
                <c:pt idx="262" formatCode="_(* #,##0.00_);_(* \(#,##0.00\);_(* &quot;-&quot;??_);_(@_)">
                  <c:v>155.14172106166271</c:v>
                </c:pt>
                <c:pt idx="263" formatCode="_(* #,##0.00_);_(* \(#,##0.00\);_(* &quot;-&quot;??_);_(@_)">
                  <c:v>136.05060287886462</c:v>
                </c:pt>
                <c:pt idx="264" formatCode="_(* #,##0.00_);_(* \(#,##0.00\);_(* &quot;-&quot;??_);_(@_)">
                  <c:v>222.12114092519766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91-454D-9476-0DAB431CF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599552"/>
        <c:axId val="408600032"/>
      </c:lineChart>
      <c:dateAx>
        <c:axId val="408599552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08600032"/>
        <c:crosses val="autoZero"/>
        <c:auto val="1"/>
        <c:lblOffset val="100"/>
        <c:baseTimeUnit val="days"/>
      </c:dateAx>
      <c:valAx>
        <c:axId val="40860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[u$s/MWh]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0859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s-A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E0DBA43-9872-4B73-8537-B966A8E27EA4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2167" cy="606425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5525D9-38DB-C8B5-6B3D-DE209492B26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CAMMESA">
  <a:themeElements>
    <a:clrScheme name="CAMMESA">
      <a:dk1>
        <a:srgbClr val="000000"/>
      </a:dk1>
      <a:lt1>
        <a:srgbClr val="FFFFFF"/>
      </a:lt1>
      <a:dk2>
        <a:srgbClr val="002C7A"/>
      </a:dk2>
      <a:lt2>
        <a:srgbClr val="F7F7F7"/>
      </a:lt2>
      <a:accent1>
        <a:srgbClr val="E23348"/>
      </a:accent1>
      <a:accent2>
        <a:srgbClr val="74A0D2"/>
      </a:accent2>
      <a:accent3>
        <a:srgbClr val="51B37F"/>
      </a:accent3>
      <a:accent4>
        <a:srgbClr val="59D299"/>
      </a:accent4>
      <a:accent5>
        <a:srgbClr val="D3E8EF"/>
      </a:accent5>
      <a:accent6>
        <a:srgbClr val="676866"/>
      </a:accent6>
      <a:hlink>
        <a:srgbClr val="0000FF"/>
      </a:hlink>
      <a:folHlink>
        <a:srgbClr val="800080"/>
      </a:folHlink>
    </a:clrScheme>
    <a:fontScheme name="CAMMESA">
      <a:majorFont>
        <a:latin typeface="Proxima Nova Bl"/>
        <a:ea typeface=""/>
        <a:cs typeface=""/>
      </a:majorFont>
      <a:minorFont>
        <a:latin typeface="Proxima Nova Rg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D0FF-1B27-47BD-980C-F10A645EDB1C}">
  <dimension ref="A1:Q36"/>
  <sheetViews>
    <sheetView showGridLines="0" tabSelected="1" zoomScale="85" zoomScaleNormal="85" workbookViewId="0">
      <selection activeCell="A2" sqref="A2"/>
    </sheetView>
  </sheetViews>
  <sheetFormatPr baseColWidth="10" defaultColWidth="11" defaultRowHeight="15" x14ac:dyDescent="0.25"/>
  <cols>
    <col min="2" max="2" width="23.33203125" customWidth="1"/>
    <col min="3" max="3" width="17.33203125" customWidth="1"/>
    <col min="4" max="4" width="16.44140625" customWidth="1"/>
    <col min="5" max="5" width="12" bestFit="1" customWidth="1"/>
    <col min="6" max="6" width="19.77734375" customWidth="1"/>
    <col min="7" max="7" width="17.44140625" customWidth="1"/>
    <col min="8" max="8" width="14.5546875" bestFit="1" customWidth="1"/>
    <col min="9" max="10" width="11.6640625" bestFit="1" customWidth="1"/>
    <col min="11" max="11" width="14" bestFit="1" customWidth="1"/>
    <col min="17" max="17" width="11" hidden="1" customWidth="1"/>
  </cols>
  <sheetData>
    <row r="1" spans="1:17" ht="27" x14ac:dyDescent="0.45">
      <c r="B1" s="131" t="s">
        <v>0</v>
      </c>
    </row>
    <row r="2" spans="1:17" ht="21" x14ac:dyDescent="0.35">
      <c r="B2" s="61" t="s">
        <v>1</v>
      </c>
    </row>
    <row r="3" spans="1:17" ht="21" x14ac:dyDescent="0.35">
      <c r="B3" s="61" t="s">
        <v>2</v>
      </c>
      <c r="Q3" s="52">
        <v>45962</v>
      </c>
    </row>
    <row r="4" spans="1:17" ht="24" x14ac:dyDescent="0.4">
      <c r="B4" s="61" t="s">
        <v>3</v>
      </c>
      <c r="C4" s="62"/>
      <c r="D4" s="62"/>
      <c r="Q4" s="52">
        <v>45992</v>
      </c>
    </row>
    <row r="5" spans="1:17" ht="24" x14ac:dyDescent="0.4">
      <c r="B5" s="61" t="s">
        <v>4</v>
      </c>
      <c r="C5" s="62"/>
      <c r="D5" s="62"/>
      <c r="F5" t="str">
        <f>+IF(MONTH(D7)=MONTH(MAX('Mono SPOT MAT'!G19:G1048576)),"Análisis hasta:","")</f>
        <v>Análisis hasta:</v>
      </c>
      <c r="G5" s="130">
        <f>+IF(MONTH(D7)=MONTH(MAX('Mono SPOT MAT'!G19:G1048576)),MAX('Mono SPOT MAT'!G19:G1048576),"")</f>
        <v>46195</v>
      </c>
      <c r="Q5" s="52">
        <v>46023</v>
      </c>
    </row>
    <row r="6" spans="1:17" ht="24" x14ac:dyDescent="0.4">
      <c r="B6" s="133" t="s">
        <v>5</v>
      </c>
      <c r="C6" s="62"/>
      <c r="D6" s="62"/>
      <c r="F6" t="s">
        <v>128</v>
      </c>
      <c r="G6" s="118">
        <f>+EDATE(D7,1)-D7</f>
        <v>30</v>
      </c>
      <c r="Q6" s="52">
        <v>46054</v>
      </c>
    </row>
    <row r="7" spans="1:17" ht="19.5" x14ac:dyDescent="0.35">
      <c r="B7" s="57" t="s">
        <v>6</v>
      </c>
      <c r="C7" s="59"/>
      <c r="D7" s="70">
        <v>46174</v>
      </c>
      <c r="G7" s="60"/>
      <c r="Q7" s="52">
        <v>46082</v>
      </c>
    </row>
    <row r="8" spans="1:17" ht="19.5" x14ac:dyDescent="0.35">
      <c r="B8" s="86" t="s">
        <v>7</v>
      </c>
      <c r="C8" s="87"/>
      <c r="D8" s="88"/>
      <c r="E8" s="73"/>
      <c r="F8" s="82" t="s">
        <v>8</v>
      </c>
      <c r="G8" s="83"/>
      <c r="H8" s="83"/>
      <c r="J8" s="137"/>
      <c r="Q8" s="52">
        <v>46113</v>
      </c>
    </row>
    <row r="9" spans="1:17" ht="27" x14ac:dyDescent="0.45">
      <c r="B9" s="86" t="s">
        <v>9</v>
      </c>
      <c r="C9" s="88"/>
      <c r="D9" s="89"/>
      <c r="E9" s="73"/>
      <c r="F9" s="82" t="s">
        <v>10</v>
      </c>
      <c r="G9" s="84"/>
      <c r="H9" s="85"/>
      <c r="Q9" s="52">
        <v>46143</v>
      </c>
    </row>
    <row r="10" spans="1:17" ht="42" x14ac:dyDescent="0.4">
      <c r="B10" s="65"/>
      <c r="C10" s="64"/>
      <c r="D10" s="81" t="s">
        <v>11</v>
      </c>
      <c r="F10" s="65"/>
      <c r="G10" s="64"/>
      <c r="H10" s="77" t="s">
        <v>12</v>
      </c>
      <c r="Q10" s="52">
        <v>46174</v>
      </c>
    </row>
    <row r="11" spans="1:17" ht="21" x14ac:dyDescent="0.35">
      <c r="A11" s="1">
        <f>+A10+1</f>
        <v>1</v>
      </c>
      <c r="B11" s="93" t="s">
        <v>13</v>
      </c>
      <c r="C11" s="94" t="s">
        <v>14</v>
      </c>
      <c r="D11" s="157">
        <f>+VLOOKUP($D$7,'Fisico SPOT MAT'!$G$7:$M$16,7,FALSE)</f>
        <v>6350.6731742424272</v>
      </c>
      <c r="F11" s="66" t="s">
        <v>13</v>
      </c>
      <c r="G11" s="72" t="s">
        <v>14</v>
      </c>
      <c r="H11" s="71">
        <f>+VLOOKUP($D$7,'Fisico ASIG'!$E$8:$W$16,10,FALSE)</f>
        <v>9215.3934924242349</v>
      </c>
      <c r="J11" s="118"/>
      <c r="K11" s="118"/>
      <c r="Q11" s="5"/>
    </row>
    <row r="12" spans="1:17" ht="21" x14ac:dyDescent="0.35">
      <c r="A12" s="1">
        <f>+A11+1</f>
        <v>2</v>
      </c>
      <c r="B12" s="93" t="s">
        <v>15</v>
      </c>
      <c r="C12" s="94" t="s">
        <v>16</v>
      </c>
      <c r="D12" s="95">
        <f>+VLOOKUP($D$7,Precios!$D$6:$N$14,2,FALSE)</f>
        <v>204.28822261159968</v>
      </c>
      <c r="K12" s="117"/>
    </row>
    <row r="13" spans="1:17" ht="27" x14ac:dyDescent="0.45">
      <c r="A13" s="1">
        <f t="shared" ref="A13:A15" si="0">+A12+1</f>
        <v>3</v>
      </c>
      <c r="B13" s="90" t="s">
        <v>18</v>
      </c>
      <c r="C13" s="91" t="s">
        <v>16</v>
      </c>
      <c r="D13" s="92">
        <f>+VLOOKUP($D$7,Precios!$D$6:$N$14,3,FALSE)</f>
        <v>156.78838828512914</v>
      </c>
      <c r="F13" s="78" t="s">
        <v>18</v>
      </c>
      <c r="G13" s="79" t="s">
        <v>16</v>
      </c>
      <c r="H13" s="80">
        <f>+VLOOKUP($D$7,Precios!$D$6:$N$14,6,FALSE)</f>
        <v>80.42753215523031</v>
      </c>
      <c r="K13" s="118"/>
    </row>
    <row r="14" spans="1:17" ht="27" x14ac:dyDescent="0.45">
      <c r="A14" s="1">
        <f t="shared" si="0"/>
        <v>4</v>
      </c>
      <c r="B14" s="90" t="s">
        <v>19</v>
      </c>
      <c r="C14" s="91" t="s">
        <v>20</v>
      </c>
      <c r="D14" s="92">
        <f>+VLOOKUP($D$7,Precios!$D$6:$N$14,4,FALSE)</f>
        <v>17.599999999999994</v>
      </c>
      <c r="F14" s="78" t="s">
        <v>19</v>
      </c>
      <c r="G14" s="79" t="s">
        <v>20</v>
      </c>
      <c r="H14" s="80">
        <f>+VLOOKUP($D$7,Precios!$D$6:$N$14,7,FALSE)</f>
        <v>17.600000000000009</v>
      </c>
    </row>
    <row r="15" spans="1:17" ht="21" x14ac:dyDescent="0.35">
      <c r="A15" s="1">
        <f t="shared" si="0"/>
        <v>5</v>
      </c>
      <c r="B15" s="99" t="s">
        <v>21</v>
      </c>
      <c r="C15" s="100" t="s">
        <v>16</v>
      </c>
      <c r="D15" s="101">
        <f>+VLOOKUP($D$7,Precios!$D$6:$AC$14,18,FALSE)</f>
        <v>167.95362369293855</v>
      </c>
      <c r="F15" s="96" t="s">
        <v>17</v>
      </c>
      <c r="G15" s="97" t="s">
        <v>16</v>
      </c>
      <c r="H15" s="98">
        <f>+VLOOKUP($D$7,Precios!$D$6:$N$14,5,FALSE)</f>
        <v>95.202871466201927</v>
      </c>
    </row>
    <row r="16" spans="1:17" ht="27" hidden="1" x14ac:dyDescent="0.45">
      <c r="A16" s="1"/>
      <c r="B16" s="90" t="s">
        <v>132</v>
      </c>
      <c r="C16" s="91" t="s">
        <v>16</v>
      </c>
      <c r="D16" s="92"/>
      <c r="F16" s="78" t="str">
        <f>+B16</f>
        <v>Servicios</v>
      </c>
      <c r="G16" s="79" t="s">
        <v>16</v>
      </c>
      <c r="H16" s="80"/>
    </row>
    <row r="17" spans="1:8" ht="27" hidden="1" x14ac:dyDescent="0.45">
      <c r="A17" s="1"/>
      <c r="B17" s="90" t="s">
        <v>131</v>
      </c>
      <c r="C17" s="91" t="s">
        <v>16</v>
      </c>
      <c r="D17" s="92"/>
      <c r="F17" s="78" t="str">
        <f>+B17</f>
        <v>Transporte</v>
      </c>
      <c r="G17" s="79" t="s">
        <v>16</v>
      </c>
      <c r="H17" s="80"/>
    </row>
    <row r="18" spans="1:8" ht="21" hidden="1" x14ac:dyDescent="0.35">
      <c r="A18" s="1"/>
      <c r="B18" s="99" t="s">
        <v>21</v>
      </c>
      <c r="C18" s="100" t="s">
        <v>16</v>
      </c>
      <c r="D18" s="101">
        <f>+D15+D16+D17</f>
        <v>167.95362369293855</v>
      </c>
      <c r="F18" s="96" t="s">
        <v>17</v>
      </c>
      <c r="G18" s="97" t="s">
        <v>16</v>
      </c>
      <c r="H18" s="98">
        <f>+H15+H16+H17</f>
        <v>95.202871466201927</v>
      </c>
    </row>
    <row r="19" spans="1:8" ht="24" x14ac:dyDescent="0.4">
      <c r="A19" s="1"/>
      <c r="B19" s="58"/>
      <c r="C19" s="67"/>
      <c r="D19" s="121"/>
      <c r="H19" s="121"/>
    </row>
    <row r="20" spans="1:8" ht="19.5" x14ac:dyDescent="0.35">
      <c r="A20" s="74"/>
      <c r="B20" s="74"/>
      <c r="C20" s="74"/>
      <c r="D20" s="74"/>
      <c r="F20" s="170" t="s">
        <v>150</v>
      </c>
      <c r="G20" s="141"/>
      <c r="H20" s="141"/>
    </row>
    <row r="21" spans="1:8" ht="27" x14ac:dyDescent="0.45">
      <c r="B21" s="58"/>
      <c r="C21" s="68"/>
      <c r="D21" s="74"/>
      <c r="F21" s="170" t="s">
        <v>151</v>
      </c>
      <c r="G21" s="142"/>
      <c r="H21" s="143"/>
    </row>
    <row r="22" spans="1:8" ht="42" x14ac:dyDescent="0.4">
      <c r="B22" s="144"/>
      <c r="C22" s="145"/>
      <c r="D22" s="151" t="s">
        <v>125</v>
      </c>
      <c r="F22" s="161"/>
      <c r="G22" s="162"/>
      <c r="H22" s="163" t="s">
        <v>149</v>
      </c>
    </row>
    <row r="23" spans="1:8" ht="21" x14ac:dyDescent="0.35">
      <c r="B23" s="146" t="s">
        <v>13</v>
      </c>
      <c r="C23" s="147" t="s">
        <v>14</v>
      </c>
      <c r="D23" s="156">
        <f>+VLOOKUP($D$7,'Fisico SPOT MAT'!$G$7:$Z$16,2,FALSE)</f>
        <v>5811.3068939393961</v>
      </c>
      <c r="F23" s="167" t="s">
        <v>13</v>
      </c>
      <c r="G23" s="168" t="s">
        <v>14</v>
      </c>
      <c r="H23" s="169">
        <f>+VLOOKUP($D$7,'Fisico SPOT MAT'!$G$7:$Z$16,14,FALSE)</f>
        <v>700</v>
      </c>
    </row>
    <row r="24" spans="1:8" ht="27" x14ac:dyDescent="0.45">
      <c r="B24" s="158" t="s">
        <v>18</v>
      </c>
      <c r="C24" s="159" t="s">
        <v>16</v>
      </c>
      <c r="D24" s="160">
        <f>+VLOOKUP($D$7,'Mono SPOT MAT'!$G$7:$M$15,2,FALSE)</f>
        <v>161.35009562658041</v>
      </c>
      <c r="E24" s="124"/>
      <c r="F24" s="164" t="s">
        <v>18</v>
      </c>
      <c r="G24" s="165" t="s">
        <v>16</v>
      </c>
      <c r="H24" s="166">
        <f>+VLOOKUP($D$7,Precios!$D$6:$N$14,8,FALSE)</f>
        <v>75</v>
      </c>
    </row>
    <row r="25" spans="1:8" ht="27" x14ac:dyDescent="0.45">
      <c r="B25" s="158" t="s">
        <v>19</v>
      </c>
      <c r="C25" s="159" t="s">
        <v>20</v>
      </c>
      <c r="D25" s="160">
        <f>+VLOOKUP($D$7,Precios!$D$6:$N$14,4,FALSE)</f>
        <v>17.599999999999994</v>
      </c>
      <c r="F25" s="164" t="s">
        <v>19</v>
      </c>
      <c r="G25" s="165" t="s">
        <v>20</v>
      </c>
      <c r="H25" s="166">
        <f>+IF(H23=0,0,VLOOKUP($D$7,Precios!$D$6:$N$14,7,FALSE))</f>
        <v>17.600000000000009</v>
      </c>
    </row>
    <row r="26" spans="1:8" ht="21" x14ac:dyDescent="0.35">
      <c r="B26" s="148" t="s">
        <v>21</v>
      </c>
      <c r="C26" s="149" t="s">
        <v>16</v>
      </c>
      <c r="D26" s="150">
        <f>+VLOOKUP($D$7,Precios!$D$6:$AC$14,19,FALSE)</f>
        <v>172.51533103438982</v>
      </c>
      <c r="F26" s="167" t="s">
        <v>153</v>
      </c>
      <c r="G26" s="168" t="s">
        <v>16</v>
      </c>
      <c r="H26" s="171">
        <f>+IF(H23=0,0,+D26-D24+H24)</f>
        <v>86.165235407809405</v>
      </c>
    </row>
    <row r="27" spans="1:8" ht="24" x14ac:dyDescent="0.4">
      <c r="B27" s="58"/>
      <c r="C27" s="67"/>
      <c r="D27" s="63"/>
    </row>
    <row r="28" spans="1:8" ht="16.5" x14ac:dyDescent="0.3">
      <c r="B28" s="58"/>
      <c r="C28" s="68"/>
      <c r="D28" s="74"/>
    </row>
    <row r="29" spans="1:8" ht="16.5" x14ac:dyDescent="0.3">
      <c r="B29" s="58"/>
      <c r="C29" s="68"/>
    </row>
    <row r="30" spans="1:8" ht="19.5" x14ac:dyDescent="0.35">
      <c r="A30" s="1">
        <f>+A21+1</f>
        <v>1</v>
      </c>
      <c r="B30" s="102" t="s">
        <v>23</v>
      </c>
      <c r="E30" s="1">
        <f>+E21+1</f>
        <v>1</v>
      </c>
      <c r="F30" s="103" t="s">
        <v>24</v>
      </c>
    </row>
    <row r="31" spans="1:8" ht="19.5" x14ac:dyDescent="0.35">
      <c r="A31" s="1">
        <f>+A30+1</f>
        <v>2</v>
      </c>
      <c r="B31" s="102" t="s">
        <v>25</v>
      </c>
      <c r="F31" s="83"/>
    </row>
    <row r="32" spans="1:8" ht="19.5" x14ac:dyDescent="0.35">
      <c r="A32" s="1">
        <f t="shared" ref="A32:A34" si="1">+A31+1</f>
        <v>3</v>
      </c>
      <c r="B32" s="102" t="s">
        <v>27</v>
      </c>
      <c r="E32" s="1">
        <v>3</v>
      </c>
      <c r="F32" s="103" t="s">
        <v>28</v>
      </c>
    </row>
    <row r="33" spans="1:6" ht="19.5" x14ac:dyDescent="0.35">
      <c r="A33" s="1">
        <f t="shared" si="1"/>
        <v>4</v>
      </c>
      <c r="B33" s="102" t="s">
        <v>29</v>
      </c>
      <c r="E33" s="1">
        <f t="shared" ref="E33" si="2">+E32+1</f>
        <v>4</v>
      </c>
      <c r="F33" s="103" t="s">
        <v>30</v>
      </c>
    </row>
    <row r="34" spans="1:6" ht="19.5" x14ac:dyDescent="0.35">
      <c r="A34" s="1">
        <f t="shared" si="1"/>
        <v>5</v>
      </c>
      <c r="B34" s="102" t="s">
        <v>31</v>
      </c>
      <c r="E34" s="1">
        <v>5</v>
      </c>
      <c r="F34" s="103" t="s">
        <v>26</v>
      </c>
    </row>
    <row r="35" spans="1:6" ht="19.5" x14ac:dyDescent="0.35">
      <c r="A35" s="1"/>
      <c r="B35" s="102"/>
    </row>
    <row r="36" spans="1:6" ht="19.5" x14ac:dyDescent="0.35">
      <c r="A36" s="1"/>
      <c r="B36" s="102"/>
    </row>
  </sheetData>
  <dataValidations count="1">
    <dataValidation type="list" allowBlank="1" showInputMessage="1" showErrorMessage="1" sqref="D7" xr:uid="{77679F2B-82E2-4246-A55A-4731FCF29314}">
      <formula1>$Q$1:$Q$32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FE711-3039-401B-9725-A569DD4C7B71}">
  <dimension ref="A1:AJ288"/>
  <sheetViews>
    <sheetView zoomScale="130" zoomScaleNormal="130" workbookViewId="0">
      <pane xSplit="4" topLeftCell="E1" activePane="topRight" state="frozen"/>
      <selection pane="topRight" activeCell="K11" sqref="K11"/>
    </sheetView>
  </sheetViews>
  <sheetFormatPr baseColWidth="10" defaultColWidth="11" defaultRowHeight="15" x14ac:dyDescent="0.25"/>
  <cols>
    <col min="5" max="5" width="11.6640625" bestFit="1" customWidth="1"/>
    <col min="6" max="6" width="11.77734375" customWidth="1"/>
    <col min="7" max="7" width="12.21875" bestFit="1" customWidth="1"/>
    <col min="8" max="10" width="11.6640625" bestFit="1" customWidth="1"/>
    <col min="11" max="11" width="12.33203125" style="152" customWidth="1"/>
    <col min="14" max="15" width="11" customWidth="1"/>
    <col min="24" max="24" width="11" style="5"/>
  </cols>
  <sheetData>
    <row r="1" spans="2:30" ht="27" x14ac:dyDescent="0.45">
      <c r="B1" s="131" t="s">
        <v>0</v>
      </c>
    </row>
    <row r="2" spans="2:30" ht="21" x14ac:dyDescent="0.35">
      <c r="B2" s="61" t="s">
        <v>1</v>
      </c>
    </row>
    <row r="3" spans="2:30" ht="21" x14ac:dyDescent="0.35">
      <c r="B3" s="61" t="s">
        <v>2</v>
      </c>
    </row>
    <row r="5" spans="2:30" x14ac:dyDescent="0.25">
      <c r="B5" t="s">
        <v>32</v>
      </c>
      <c r="E5" s="9" t="s">
        <v>16</v>
      </c>
      <c r="F5" s="9" t="s">
        <v>16</v>
      </c>
      <c r="G5" s="9" t="s">
        <v>20</v>
      </c>
      <c r="H5" s="7" t="s">
        <v>16</v>
      </c>
      <c r="I5" s="7" t="s">
        <v>16</v>
      </c>
      <c r="J5" s="7" t="s">
        <v>20</v>
      </c>
      <c r="K5" s="153" t="s">
        <v>16</v>
      </c>
      <c r="T5" t="s">
        <v>16</v>
      </c>
      <c r="U5" s="125" t="s">
        <v>16</v>
      </c>
      <c r="X5" t="s">
        <v>16</v>
      </c>
      <c r="AD5" s="5"/>
    </row>
    <row r="6" spans="2:30" ht="30" x14ac:dyDescent="0.25">
      <c r="C6" s="1" t="s">
        <v>130</v>
      </c>
      <c r="D6" s="1" t="s">
        <v>33</v>
      </c>
      <c r="E6" s="10" t="s">
        <v>15</v>
      </c>
      <c r="F6" s="8" t="s">
        <v>34</v>
      </c>
      <c r="G6" s="8" t="s">
        <v>35</v>
      </c>
      <c r="H6" s="6" t="s">
        <v>17</v>
      </c>
      <c r="I6" s="6" t="s">
        <v>36</v>
      </c>
      <c r="J6" s="6" t="s">
        <v>37</v>
      </c>
      <c r="K6" s="154" t="s">
        <v>149</v>
      </c>
      <c r="N6" s="51" t="s">
        <v>35</v>
      </c>
      <c r="P6" s="51" t="s">
        <v>22</v>
      </c>
      <c r="Q6" s="51" t="s">
        <v>38</v>
      </c>
      <c r="R6" t="s">
        <v>43</v>
      </c>
      <c r="S6" s="51" t="s">
        <v>136</v>
      </c>
      <c r="T6" s="51" t="s">
        <v>35</v>
      </c>
      <c r="U6" s="126" t="s">
        <v>133</v>
      </c>
      <c r="V6" s="128" t="s">
        <v>125</v>
      </c>
      <c r="W6" s="51" t="s">
        <v>137</v>
      </c>
      <c r="X6" s="51" t="s">
        <v>139</v>
      </c>
      <c r="AD6" s="5"/>
    </row>
    <row r="7" spans="2:30" x14ac:dyDescent="0.25">
      <c r="B7" s="1"/>
      <c r="C7" s="118">
        <f t="shared" ref="C7:C10" si="0">+EDATE(D7,1)-D7</f>
        <v>30</v>
      </c>
      <c r="D7" s="52">
        <v>45962</v>
      </c>
      <c r="E7" s="30">
        <f t="shared" ref="E7:E14" si="1">AVERAGEIFS($E$20:$E$1048576,$B$20:$B$1048576,D7)</f>
        <v>32.334184096325224</v>
      </c>
      <c r="F7" s="14">
        <f>+SUMPRODUCT(F51:F80,'Fisico SPOT MAT'!M51:M80)/SUM('Fisico SPOT MAT'!M51:M80)</f>
        <v>35.782032489686124</v>
      </c>
      <c r="G7" s="14">
        <f>+SUMPRODUCT(G51:G80,'Fisico SPOT MAT'!S51:S80)/SUM('Fisico SPOT MAT'!S51:S80)</f>
        <v>14.4</v>
      </c>
      <c r="H7" s="12">
        <f>+SUMPRODUCT(H51:H80,'Fisico SPOT MAT'!$P$51:$P$80)/SUM('Fisico SPOT MAT'!$P$51:$P$80)</f>
        <v>62.201003619717504</v>
      </c>
      <c r="I7" s="12">
        <f>+SUMPRODUCT(I51:I80,'Fisico SPOT MAT'!$P$51:$P$80)/SUM('Fisico SPOT MAT'!$P$51:$P$80)</f>
        <v>47.785829752488844</v>
      </c>
      <c r="J7" s="12">
        <f>+SUMPRODUCT(J51:J80,'Fisico SPOT MAT'!$Y$51:$Y$80)/SUM('Fisico SPOT MAT'!$Y$51:$Y$80)</f>
        <v>14.399999999999999</v>
      </c>
      <c r="K7" s="155"/>
      <c r="L7" s="2"/>
      <c r="M7" s="2"/>
      <c r="N7" s="107">
        <f t="shared" ref="N7:N14" si="2">AVERAGEIFS($N$20:$N$1048576,$B$20:$B$1048576,D7)</f>
        <v>11.531159557568566</v>
      </c>
      <c r="O7" s="3"/>
      <c r="P7" s="107">
        <f>'Fisico SPOT MAT'!E8</f>
        <v>348</v>
      </c>
      <c r="Q7" s="69">
        <f t="shared" ref="Q7:Q10" si="3">+C7*24</f>
        <v>720</v>
      </c>
      <c r="R7">
        <f t="shared" ref="R7:R14" si="4">AVERAGEIFS(R$19:R$1048576,$B$19:$B$1048576,$D7)</f>
        <v>0.89999999999999958</v>
      </c>
      <c r="S7" s="51">
        <v>0.75</v>
      </c>
      <c r="T7" s="51">
        <f>+G7*P7/Q7/S7</f>
        <v>9.2799999999999994</v>
      </c>
      <c r="U7" s="127">
        <f>+T7+F7</f>
        <v>45.062032489686125</v>
      </c>
      <c r="V7" s="127">
        <f>+T7+'Mono SPOT MAT'!H8</f>
        <v>47.062842686628457</v>
      </c>
      <c r="W7" s="51">
        <v>0.52</v>
      </c>
      <c r="X7" s="51">
        <f>+J7*P7/Q7/W7</f>
        <v>13.384615384615383</v>
      </c>
      <c r="AD7" s="5"/>
    </row>
    <row r="8" spans="2:30" x14ac:dyDescent="0.25">
      <c r="B8" s="1"/>
      <c r="C8" s="118">
        <f t="shared" si="0"/>
        <v>31</v>
      </c>
      <c r="D8" s="52">
        <v>45992</v>
      </c>
      <c r="E8" s="30">
        <f t="shared" si="1"/>
        <v>40.553131985867729</v>
      </c>
      <c r="F8" s="14">
        <f>+SUMPRODUCT(F81:F111,'Fisico SPOT MAT'!M81:M111)/SUM('Fisico SPOT MAT'!M81:M111)</f>
        <v>40.399388650566706</v>
      </c>
      <c r="G8" s="14">
        <f>+SUMPRODUCT(G81:G111,'Fisico SPOT MAT'!S81:S111)/SUM('Fisico SPOT MAT'!S81:S111)</f>
        <v>17.599999999999994</v>
      </c>
      <c r="H8" s="12">
        <f>+SUMPRODUCT(H81:H111,'Fisico SPOT MAT'!$P$81:$P$111)/SUM('Fisico SPOT MAT'!$P$81:$P$111)</f>
        <v>63.804976664923345</v>
      </c>
      <c r="I8" s="12">
        <f>+SUMPRODUCT(I81:I111,'Fisico SPOT MAT'!$P$81:$P$111)/SUM('Fisico SPOT MAT'!$P$81:$P$111)</f>
        <v>46.335994034650405</v>
      </c>
      <c r="J8" s="12">
        <f>+SUMPRODUCT(J81:J111,'Fisico SPOT MAT'!$Y$81:$Y$111)/SUM('Fisico SPOT MAT'!$Y$81:$Y$111)</f>
        <v>17.600000000000001</v>
      </c>
      <c r="K8" s="155"/>
      <c r="L8" s="2"/>
      <c r="M8" s="2"/>
      <c r="N8" s="107">
        <f t="shared" si="2"/>
        <v>15.772536291202991</v>
      </c>
      <c r="O8" s="3"/>
      <c r="P8" s="107">
        <f>'Fisico SPOT MAT'!E9</f>
        <v>384</v>
      </c>
      <c r="Q8" s="69">
        <f t="shared" si="3"/>
        <v>744</v>
      </c>
      <c r="R8">
        <f t="shared" si="4"/>
        <v>1.1000000000000005</v>
      </c>
      <c r="S8" s="51">
        <v>0.75</v>
      </c>
      <c r="T8" s="51">
        <f t="shared" ref="T8:T10" si="5">+G8*P8/Q8/S8</f>
        <v>12.111827956989243</v>
      </c>
      <c r="U8" s="127">
        <f t="shared" ref="U8:U10" si="6">+T8+F8</f>
        <v>52.511216607555951</v>
      </c>
      <c r="V8" s="127">
        <f>+T8+'Mono SPOT MAT'!H9</f>
        <v>54.27180745294811</v>
      </c>
      <c r="W8" s="51">
        <v>0.52</v>
      </c>
      <c r="X8" s="51">
        <f t="shared" ref="X8:X12" si="7">+J8*P8/Q8/W8</f>
        <v>17.468982630272951</v>
      </c>
      <c r="AD8" s="5"/>
    </row>
    <row r="9" spans="2:30" x14ac:dyDescent="0.25">
      <c r="B9" s="1"/>
      <c r="C9" s="118">
        <f t="shared" si="0"/>
        <v>31</v>
      </c>
      <c r="D9" s="52">
        <v>46023</v>
      </c>
      <c r="E9" s="30">
        <f t="shared" si="1"/>
        <v>55.612596568512679</v>
      </c>
      <c r="F9" s="14">
        <f>+SUMPRODUCT(F112:F142,'Fisico SPOT MAT'!M112:M142)/SUM('Fisico SPOT MAT'!M112:M142)</f>
        <v>42.573442207314706</v>
      </c>
      <c r="G9" s="14">
        <f>+SUMPRODUCT(G112:G142,'Fisico SPOT MAT'!S112:S142)/SUM('Fisico SPOT MAT'!S112:S142)</f>
        <v>17.600000000000001</v>
      </c>
      <c r="H9" s="12">
        <f>+SUMPRODUCT(H112:H142,'Fisico SPOT MAT'!$P$112:$P$142)/SUM('Fisico SPOT MAT'!$P$112:$P$142)</f>
        <v>65.97292320932452</v>
      </c>
      <c r="I9" s="12">
        <f>+SUMPRODUCT(I112:I142,'Fisico SPOT MAT'!$P$112:$P$142)/SUM('Fisico SPOT MAT'!$P$112:$P$142)</f>
        <v>48.412956294518871</v>
      </c>
      <c r="J9" s="12">
        <f>+SUMPRODUCT(J112:J142,'Fisico SPOT MAT'!$Y$112:$Y$142)/SUM('Fisico SPOT MAT'!$Y$112:$Y$142)</f>
        <v>17.600000000000001</v>
      </c>
      <c r="K9" s="155"/>
      <c r="L9" s="2"/>
      <c r="M9" s="2"/>
      <c r="N9" s="107">
        <f t="shared" si="2"/>
        <v>15.674033153300803</v>
      </c>
      <c r="O9" s="3"/>
      <c r="P9" s="107">
        <f>'Fisico SPOT MAT'!E10</f>
        <v>386</v>
      </c>
      <c r="Q9" s="69">
        <f t="shared" si="3"/>
        <v>744</v>
      </c>
      <c r="R9">
        <f t="shared" si="4"/>
        <v>1.1000000000000005</v>
      </c>
      <c r="S9" s="51">
        <v>0.75</v>
      </c>
      <c r="T9" s="51">
        <f t="shared" si="5"/>
        <v>12.174910394265233</v>
      </c>
      <c r="U9" s="127">
        <f t="shared" si="6"/>
        <v>54.748352601579938</v>
      </c>
      <c r="V9" s="127">
        <f>+T9+'Mono SPOT MAT'!H10</f>
        <v>56.984422061616669</v>
      </c>
      <c r="W9" s="51">
        <v>0.52</v>
      </c>
      <c r="X9" s="51">
        <f t="shared" si="7"/>
        <v>17.559966914805624</v>
      </c>
      <c r="AD9" s="5"/>
    </row>
    <row r="10" spans="2:30" x14ac:dyDescent="0.25">
      <c r="B10" s="1"/>
      <c r="C10" s="118">
        <f t="shared" si="0"/>
        <v>28</v>
      </c>
      <c r="D10" s="52">
        <v>46054</v>
      </c>
      <c r="E10" s="30">
        <f t="shared" si="1"/>
        <v>52.514713254856119</v>
      </c>
      <c r="F10" s="14">
        <f>+SUMPRODUCT(F143:F170,'Fisico SPOT MAT'!M143:M170)/SUM('Fisico SPOT MAT'!M143:M170)</f>
        <v>42.909910509666268</v>
      </c>
      <c r="G10" s="14">
        <f>+SUMPRODUCT(G143:G170,'Fisico SPOT MAT'!S143:S170)/SUM('Fisico SPOT MAT'!S143:S170)</f>
        <v>17.599999999999998</v>
      </c>
      <c r="H10" s="12">
        <f>+SUMPRODUCT(H143:H170,'Fisico ASIG'!$N$143:$N$170)/SUM('Fisico ASIG'!$N$143:$N$170)</f>
        <v>73.131269490006659</v>
      </c>
      <c r="I10" s="12">
        <f>+SUMPRODUCT(I143:I170,'Fisico ASIG'!$N$143:$N$170)/SUM('Fisico ASIG'!$N$143:$N$170)</f>
        <v>56.208192566929739</v>
      </c>
      <c r="J10" s="12">
        <f>+SUMPRODUCT(J143:J170,'Fisico ASIG'!$W$143:$W$170)/SUM('Fisico ASIG'!$W$143:$W$170)</f>
        <v>17.600000000000001</v>
      </c>
      <c r="K10" s="155"/>
      <c r="L10" s="2"/>
      <c r="M10" s="2"/>
      <c r="N10" s="107">
        <f t="shared" si="2"/>
        <v>15.854856810864954</v>
      </c>
      <c r="O10" s="3"/>
      <c r="P10" s="107">
        <f>'Fisico SPOT MAT'!E11</f>
        <v>336</v>
      </c>
      <c r="Q10" s="69">
        <f t="shared" si="3"/>
        <v>672</v>
      </c>
      <c r="R10">
        <f t="shared" si="4"/>
        <v>1.1000000000000005</v>
      </c>
      <c r="S10" s="51">
        <v>0.75</v>
      </c>
      <c r="T10" s="51">
        <f t="shared" si="5"/>
        <v>11.733333333333333</v>
      </c>
      <c r="U10" s="127">
        <f t="shared" si="6"/>
        <v>54.643243842999603</v>
      </c>
      <c r="V10" s="127">
        <f>+T10+'Mono SPOT MAT'!H11</f>
        <v>57.10384016439064</v>
      </c>
      <c r="W10" s="51">
        <v>0.52</v>
      </c>
      <c r="X10" s="51">
        <f t="shared" si="7"/>
        <v>16.923076923076923</v>
      </c>
      <c r="AD10" s="5"/>
    </row>
    <row r="11" spans="2:30" x14ac:dyDescent="0.25">
      <c r="B11" s="1"/>
      <c r="C11" s="118">
        <f>+EDATE(D11,1)-D11</f>
        <v>31</v>
      </c>
      <c r="D11" s="52">
        <v>46082</v>
      </c>
      <c r="E11" s="30">
        <f t="shared" si="1"/>
        <v>62.286214282691716</v>
      </c>
      <c r="F11" s="14">
        <f>+SUMPRODUCT(F171:F201,'Fisico SPOT MAT'!M171:M201)/SUM('Fisico SPOT MAT'!M171:M201)</f>
        <v>45.274490519284939</v>
      </c>
      <c r="G11" s="14">
        <f>+SUMPRODUCT(G171:G201,'Fisico SPOT MAT'!S171:S201)/SUM('Fisico SPOT MAT'!S171:S201)</f>
        <v>14.4</v>
      </c>
      <c r="H11" s="12">
        <f>+SUMPRODUCT(H171:H201,'Fisico ASIG'!$N$171:$N$201)/SUM('Fisico ASIG'!$N$171:$N$201)</f>
        <v>71.173352107631047</v>
      </c>
      <c r="I11" s="12">
        <f>+SUMPRODUCT(I171:I201,'Fisico ASIG'!$N$171:$N$201)/SUM('Fisico ASIG'!$N$171:$N$201)</f>
        <v>58.680851132196004</v>
      </c>
      <c r="J11" s="12">
        <f>+SUMPRODUCT(J171:J201,'Fisico ASIG'!W$171:W$201)/SUM('Fisico ASIG'!W$171:W$201)</f>
        <v>14.400000000000004</v>
      </c>
      <c r="K11" s="155"/>
      <c r="L11" s="2"/>
      <c r="M11" s="2"/>
      <c r="N11" s="107">
        <f t="shared" si="2"/>
        <v>15.212011166056104</v>
      </c>
      <c r="O11" s="3"/>
      <c r="P11" s="107">
        <f>'Fisico SPOT MAT'!E12</f>
        <v>374</v>
      </c>
      <c r="Q11" s="69">
        <f>+C11*24</f>
        <v>744</v>
      </c>
      <c r="R11">
        <f t="shared" si="4"/>
        <v>0.89999999999999947</v>
      </c>
      <c r="S11" s="51">
        <v>0.82756875806999797</v>
      </c>
      <c r="T11" s="51">
        <f>+G11*P11/Q11/S11</f>
        <v>8.7469586144129021</v>
      </c>
      <c r="U11" s="127">
        <f>+T11+F11</f>
        <v>54.021449133697843</v>
      </c>
      <c r="V11" s="127">
        <f>+T11+'Mono SPOT MAT'!H12</f>
        <v>55.751221410929375</v>
      </c>
      <c r="W11" s="51">
        <v>0.579444395614088</v>
      </c>
      <c r="X11" s="51">
        <f t="shared" si="7"/>
        <v>12.49250097543503</v>
      </c>
      <c r="AD11" s="5"/>
    </row>
    <row r="12" spans="2:30" x14ac:dyDescent="0.25">
      <c r="B12" s="118"/>
      <c r="C12" s="118">
        <f>+'Mono SPOT MAT'!F13</f>
        <v>30</v>
      </c>
      <c r="D12" s="52">
        <v>46113</v>
      </c>
      <c r="E12" s="30">
        <f t="shared" si="1"/>
        <v>86.168556084980892</v>
      </c>
      <c r="F12" s="14">
        <f>+SUMPRODUCT(F202:F231,'Fisico SPOT MAT'!M202:M231)/SUM('Fisico SPOT MAT'!M202:M231)</f>
        <v>50.818294195878828</v>
      </c>
      <c r="G12" s="14">
        <f>+SUMPRODUCT(G202:G231,'Fisico SPOT MAT'!S202:S231)/SUM('Fisico SPOT MAT'!S202:S231)</f>
        <v>14.399999999999999</v>
      </c>
      <c r="H12" s="12">
        <f>+SUMPRODUCT(H202:H231,'Fisico ASIG'!$N$202:$N$231)/SUM('Fisico ASIG'!$N$202:$N$231)</f>
        <v>72.749402867220596</v>
      </c>
      <c r="I12" s="12">
        <f>+SUMPRODUCT(I202:I231,'Fisico ASIG'!$N$202:$N$231)/SUM('Fisico ASIG'!$N$202:$N$231)</f>
        <v>60.683829096728786</v>
      </c>
      <c r="J12" s="12">
        <f>+SUMPRODUCT(J202:J231,'Fisico ASIG'!W$202:W$231)/SUM('Fisico ASIG'!W$202:W$231)</f>
        <v>14.4</v>
      </c>
      <c r="K12" s="155"/>
      <c r="L12" s="2"/>
      <c r="M12" s="2"/>
      <c r="N12" s="107">
        <f t="shared" si="2"/>
        <v>15.093951419688818</v>
      </c>
      <c r="O12" s="3"/>
      <c r="P12" s="107">
        <v>368</v>
      </c>
      <c r="Q12" s="69">
        <f>30*24</f>
        <v>720</v>
      </c>
      <c r="R12">
        <f t="shared" si="4"/>
        <v>0.89999999999999958</v>
      </c>
      <c r="S12" s="51">
        <v>0.82756875806999797</v>
      </c>
      <c r="T12" s="51">
        <f>+G12*P12/Q12/S12</f>
        <v>8.8935208443157183</v>
      </c>
      <c r="U12" s="127">
        <f>+T12+F12</f>
        <v>59.711815040194544</v>
      </c>
      <c r="V12" s="127">
        <f>+T12+'Mono SPOT MAT'!H13</f>
        <v>63.092364906440181</v>
      </c>
      <c r="W12" s="51">
        <v>0.61</v>
      </c>
      <c r="X12" s="51">
        <f t="shared" si="7"/>
        <v>12.065573770491802</v>
      </c>
      <c r="AD12" s="5"/>
    </row>
    <row r="13" spans="2:30" x14ac:dyDescent="0.25">
      <c r="B13" s="118"/>
      <c r="C13" s="118">
        <f>+'Mono SPOT MAT'!F14</f>
        <v>31</v>
      </c>
      <c r="D13" s="52">
        <v>46143</v>
      </c>
      <c r="E13" s="30">
        <f t="shared" si="1"/>
        <v>188.32261571043819</v>
      </c>
      <c r="F13" s="14">
        <f>+SUMPRODUCT(F232:F262,'Fisico SPOT MAT'!M232:M262)/SUM('Fisico SPOT MAT'!M232:M262)</f>
        <v>115.34848611901295</v>
      </c>
      <c r="G13" s="14">
        <f>+SUMPRODUCT(G232:G262,'Fisico SPOT MAT'!S232:S262)/SUM('Fisico SPOT MAT'!S232:S262)</f>
        <v>14.399999999999999</v>
      </c>
      <c r="H13" s="12">
        <f>+SUMPRODUCT(H232:H262,'Fisico ASIG'!$N$232:$N$262)/SUM('Fisico ASIG'!$N$232:$N$262)</f>
        <v>85.536663163494936</v>
      </c>
      <c r="I13" s="12">
        <f>+SUMPRODUCT(I232:I262,'Fisico ASIG'!$N$232:$N$262)/SUM('Fisico ASIG'!$N$232:$N$262)</f>
        <v>73.471089393003112</v>
      </c>
      <c r="J13" s="12">
        <f>+SUMPRODUCT(J232:J262,'Fisico ASIG'!W$232:W$262)/SUM('Fisico ASIG'!W$232:W$262)</f>
        <v>14.400000000000004</v>
      </c>
      <c r="K13" s="155">
        <f>+SUMPRODUCT(K232:K262,'Fisico SPOT MAT'!T232:T262)/SUM('Fisico SPOT MAT'!T232:T262)</f>
        <v>75</v>
      </c>
      <c r="L13" s="2"/>
      <c r="M13" s="2"/>
      <c r="N13" s="107">
        <f t="shared" si="2"/>
        <v>15.324438467297046</v>
      </c>
      <c r="O13" s="3"/>
      <c r="P13" s="107">
        <v>362</v>
      </c>
      <c r="Q13" s="69">
        <f>31*24</f>
        <v>744</v>
      </c>
      <c r="R13">
        <f t="shared" si="4"/>
        <v>0.89999999999999947</v>
      </c>
      <c r="S13" s="51">
        <v>0.82756875806999797</v>
      </c>
      <c r="T13" s="51">
        <f t="shared" ref="T13:T14" si="8">+G13*P13/Q13/S13</f>
        <v>8.4663075358755879</v>
      </c>
      <c r="U13" s="127">
        <f t="shared" ref="U13" si="9">+T13+F13</f>
        <v>123.81479365488853</v>
      </c>
      <c r="V13" s="127">
        <f>+T13+'Mono SPOT MAT'!H14</f>
        <v>122.59213878270307</v>
      </c>
      <c r="W13" s="51">
        <v>0.61</v>
      </c>
      <c r="X13" s="51">
        <f t="shared" ref="X13:X14" si="10">+J13*P13/Q13/W13</f>
        <v>11.485986250661028</v>
      </c>
      <c r="AD13" s="5"/>
    </row>
    <row r="14" spans="2:30" x14ac:dyDescent="0.25">
      <c r="B14" s="118" t="str">
        <f>+'Mono SPOT MAT'!E15</f>
        <v>días en análisis:</v>
      </c>
      <c r="C14" s="118">
        <f>+'Mono SPOT MAT'!F15</f>
        <v>22</v>
      </c>
      <c r="D14" s="52">
        <v>46174</v>
      </c>
      <c r="E14" s="30">
        <f t="shared" si="1"/>
        <v>204.28822261159968</v>
      </c>
      <c r="F14" s="14">
        <f>+SUMPRODUCT(F263:F284,'Fisico SPOT MAT'!M263:M284)/SUM('Fisico SPOT MAT'!M263:M284)</f>
        <v>156.78838828512914</v>
      </c>
      <c r="G14" s="14">
        <f>+SUMPRODUCT(G263:G284,'Fisico SPOT MAT'!N263:N284)/SUM('Fisico SPOT MAT'!N263:N284)</f>
        <v>17.599999999999994</v>
      </c>
      <c r="H14" s="12">
        <f>+SUMPRODUCT(H263:H284,'Fisico SPOT MAT'!O263:O284)/SUM('Fisico SPOT MAT'!O263:O284)</f>
        <v>95.202871466201927</v>
      </c>
      <c r="I14" s="12">
        <f>+SUMPRODUCT(I263:I284,'Fisico SPOT MAT'!P263:P284)/SUM('Fisico SPOT MAT'!P263:P284)</f>
        <v>80.42753215523031</v>
      </c>
      <c r="J14" s="12">
        <f>+SUMPRODUCT(J263:J284,'Fisico SPOT MAT'!Q263:Q284)/SUM('Fisico SPOT MAT'!Q263:Q284)</f>
        <v>17.600000000000009</v>
      </c>
      <c r="K14" s="155">
        <f>+SUMPRODUCT(K263:K284,'Fisico SPOT MAT'!T263:T284)/SUM('Fisico SPOT MAT'!T263:T284)</f>
        <v>75</v>
      </c>
      <c r="L14" s="2"/>
      <c r="M14" s="2"/>
      <c r="N14" s="107">
        <f t="shared" si="2"/>
        <v>15.728858826986857</v>
      </c>
      <c r="P14" s="107">
        <v>378</v>
      </c>
      <c r="Q14" s="69">
        <f>30*24</f>
        <v>720</v>
      </c>
      <c r="R14">
        <f t="shared" si="4"/>
        <v>1.1000000000000003</v>
      </c>
      <c r="S14" s="51">
        <v>0.82756875806999797</v>
      </c>
      <c r="T14" s="51">
        <f t="shared" si="8"/>
        <v>11.165235407809405</v>
      </c>
      <c r="U14" s="127">
        <f>+T14+F14</f>
        <v>167.95362369293855</v>
      </c>
      <c r="V14" s="127">
        <f>+T14+'Mono SPOT MAT'!H15</f>
        <v>172.51533103438982</v>
      </c>
      <c r="W14" s="51">
        <v>0.61</v>
      </c>
      <c r="X14" s="51">
        <f t="shared" si="10"/>
        <v>15.147540983606564</v>
      </c>
      <c r="AD14" s="5"/>
    </row>
    <row r="15" spans="2:30" x14ac:dyDescent="0.25">
      <c r="C15" s="1"/>
      <c r="E15" s="50"/>
      <c r="F15" s="51"/>
      <c r="G15" s="51"/>
      <c r="T15" s="51"/>
      <c r="AD15" s="5"/>
    </row>
    <row r="16" spans="2:30" x14ac:dyDescent="0.25">
      <c r="C16" s="1"/>
      <c r="E16" s="50"/>
      <c r="F16" s="51"/>
      <c r="G16" s="51"/>
      <c r="T16" s="51"/>
      <c r="AD16" s="5"/>
    </row>
    <row r="17" spans="1:36" x14ac:dyDescent="0.25">
      <c r="B17" t="s">
        <v>39</v>
      </c>
      <c r="C17" s="1"/>
      <c r="E17" s="50"/>
      <c r="F17" s="51"/>
      <c r="G17" s="51"/>
      <c r="AD17" s="5"/>
    </row>
    <row r="18" spans="1:36" ht="16.5" x14ac:dyDescent="0.3">
      <c r="E18" s="9" t="s">
        <v>16</v>
      </c>
      <c r="F18" s="9" t="s">
        <v>16</v>
      </c>
      <c r="G18" s="9" t="s">
        <v>20</v>
      </c>
      <c r="H18" s="7" t="s">
        <v>16</v>
      </c>
      <c r="I18" s="7" t="s">
        <v>16</v>
      </c>
      <c r="J18" s="7" t="s">
        <v>20</v>
      </c>
      <c r="K18" s="153" t="s">
        <v>16</v>
      </c>
      <c r="Y18" s="129"/>
      <c r="Z18" s="129"/>
      <c r="AA18" s="129"/>
      <c r="AB18" s="129"/>
      <c r="AD18" s="5"/>
      <c r="AE18" s="129"/>
      <c r="AF18" s="129"/>
      <c r="AG18" s="129"/>
      <c r="AH18" s="129"/>
    </row>
    <row r="19" spans="1:36" x14ac:dyDescent="0.25">
      <c r="A19" s="1" t="s">
        <v>40</v>
      </c>
      <c r="B19" s="1" t="s">
        <v>33</v>
      </c>
      <c r="C19" s="1" t="s">
        <v>41</v>
      </c>
      <c r="D19" s="5" t="s">
        <v>42</v>
      </c>
      <c r="E19" s="10" t="s">
        <v>15</v>
      </c>
      <c r="F19" s="8" t="s">
        <v>34</v>
      </c>
      <c r="G19" s="8" t="s">
        <v>35</v>
      </c>
      <c r="H19" s="6" t="s">
        <v>17</v>
      </c>
      <c r="I19" s="6" t="s">
        <v>36</v>
      </c>
      <c r="J19" s="6" t="s">
        <v>37</v>
      </c>
      <c r="K19" s="154" t="s">
        <v>152</v>
      </c>
      <c r="N19" s="51" t="s">
        <v>35</v>
      </c>
      <c r="R19" t="s">
        <v>43</v>
      </c>
      <c r="Y19" s="5" t="str">
        <f>$D19</f>
        <v>DIA</v>
      </c>
      <c r="Z19" t="str">
        <f>+E19</f>
        <v>CMg</v>
      </c>
      <c r="AA19" t="s">
        <v>127</v>
      </c>
      <c r="AB19" t="s">
        <v>126</v>
      </c>
      <c r="AC19" s="123"/>
      <c r="AD19" s="5"/>
      <c r="AE19" s="122"/>
      <c r="AF19" s="122"/>
      <c r="AG19" s="122"/>
      <c r="AH19" s="122"/>
      <c r="AI19" s="123"/>
      <c r="AJ19" s="123"/>
    </row>
    <row r="20" spans="1:36" ht="15" customHeight="1" x14ac:dyDescent="0.25">
      <c r="A20" s="1">
        <f>YEAR(D20)</f>
        <v>2025</v>
      </c>
      <c r="B20" s="52">
        <f>DATE(A20,MONTH(D20),1)</f>
        <v>45931</v>
      </c>
      <c r="C20" s="1" t="s">
        <v>44</v>
      </c>
      <c r="D20" s="5">
        <v>45931</v>
      </c>
      <c r="E20" s="30">
        <v>24.854148385749735</v>
      </c>
      <c r="F20" s="14">
        <f>+'Mono SPOT MAT'!M20/'Fisico SPOT MAT'!M20/24</f>
        <v>29.684186242730046</v>
      </c>
      <c r="G20" s="13">
        <f>16*R20</f>
        <v>14.4</v>
      </c>
      <c r="H20" s="12">
        <f>+'Mono ASIG'!AA20</f>
        <v>61.946815007197607</v>
      </c>
      <c r="I20" s="12">
        <f>+H20-J20*380/730/0.52</f>
        <v>47.531641139968947</v>
      </c>
      <c r="J20" s="12">
        <f>16*R20</f>
        <v>14.4</v>
      </c>
      <c r="K20" s="155">
        <f>+'Mono SPOT MAT'!T20</f>
        <v>0</v>
      </c>
      <c r="N20" s="139">
        <f>+'Mono SPOT MAT'!S20/'Fisico SPOT MAT'!S20/'Fisico SPOT MAT'!E20</f>
        <v>11.380900024237556</v>
      </c>
      <c r="R20">
        <v>0.9</v>
      </c>
    </row>
    <row r="21" spans="1:36" ht="15" customHeight="1" x14ac:dyDescent="0.25">
      <c r="A21" s="1">
        <f t="shared" ref="A21:A84" si="11">YEAR(D21)</f>
        <v>2025</v>
      </c>
      <c r="B21" s="52">
        <f t="shared" ref="B21:B84" si="12">DATE(A21,MONTH(D21),1)</f>
        <v>45931</v>
      </c>
      <c r="C21" s="1" t="s">
        <v>45</v>
      </c>
      <c r="D21" s="5">
        <f>+ D20+1</f>
        <v>45932</v>
      </c>
      <c r="E21" s="30">
        <v>27.983237261342705</v>
      </c>
      <c r="F21" s="14">
        <f>+'Mono SPOT MAT'!M21/'Fisico SPOT MAT'!M21/24</f>
        <v>30.044257180422367</v>
      </c>
      <c r="G21" s="13">
        <f t="shared" ref="G21:G84" si="13">16*R21</f>
        <v>14.4</v>
      </c>
      <c r="H21" s="12">
        <f>+'Mono ASIG'!AA21</f>
        <v>60.11682897481095</v>
      </c>
      <c r="I21" s="12">
        <f t="shared" ref="I21:I50" si="14">+H21-J21*380/730/0.52</f>
        <v>45.70165510758229</v>
      </c>
      <c r="J21" s="12">
        <f t="shared" ref="J21:J84" si="15">16*R21</f>
        <v>14.4</v>
      </c>
      <c r="K21" s="155">
        <f>+'Mono SPOT MAT'!T21</f>
        <v>0</v>
      </c>
      <c r="N21" s="140">
        <f>+'Mono SPOT MAT'!S21/'Fisico SPOT MAT'!S21/'Fisico SPOT MAT'!E21</f>
        <v>11.407824551566703</v>
      </c>
      <c r="R21">
        <v>0.9</v>
      </c>
    </row>
    <row r="22" spans="1:36" ht="15" customHeight="1" x14ac:dyDescent="0.25">
      <c r="A22" s="1">
        <f t="shared" si="11"/>
        <v>2025</v>
      </c>
      <c r="B22" s="52">
        <f t="shared" si="12"/>
        <v>45931</v>
      </c>
      <c r="C22" s="1" t="s">
        <v>46</v>
      </c>
      <c r="D22" s="5">
        <f t="shared" ref="D22:D85" si="16">+ D21+1</f>
        <v>45933</v>
      </c>
      <c r="E22" s="30">
        <v>27.892877217003228</v>
      </c>
      <c r="F22" s="14">
        <f>+'Mono SPOT MAT'!M22/'Fisico SPOT MAT'!M22/24</f>
        <v>30.691543065727696</v>
      </c>
      <c r="G22" s="13">
        <f t="shared" si="13"/>
        <v>14.4</v>
      </c>
      <c r="H22" s="12">
        <f>+'Mono ASIG'!AA22</f>
        <v>58.648999718734643</v>
      </c>
      <c r="I22" s="12">
        <f t="shared" si="14"/>
        <v>44.233825851505983</v>
      </c>
      <c r="J22" s="12">
        <f t="shared" si="15"/>
        <v>14.4</v>
      </c>
      <c r="K22" s="155">
        <f>+'Mono SPOT MAT'!T22</f>
        <v>0</v>
      </c>
      <c r="N22" s="139">
        <f>+'Mono SPOT MAT'!S22/'Fisico SPOT MAT'!S22/'Fisico SPOT MAT'!E22</f>
        <v>11.413797767926548</v>
      </c>
      <c r="R22">
        <v>0.9</v>
      </c>
    </row>
    <row r="23" spans="1:36" ht="15" customHeight="1" x14ac:dyDescent="0.25">
      <c r="A23" s="1">
        <f t="shared" si="11"/>
        <v>2025</v>
      </c>
      <c r="B23" s="52">
        <f t="shared" si="12"/>
        <v>45931</v>
      </c>
      <c r="C23" s="1" t="s">
        <v>47</v>
      </c>
      <c r="D23" s="5">
        <f t="shared" si="16"/>
        <v>45934</v>
      </c>
      <c r="E23" s="30">
        <v>31.530274075222337</v>
      </c>
      <c r="F23" s="14">
        <f>+'Mono SPOT MAT'!M23/'Fisico SPOT MAT'!M23/24</f>
        <v>32.022818659521157</v>
      </c>
      <c r="G23" s="13">
        <f t="shared" si="13"/>
        <v>14.4</v>
      </c>
      <c r="H23" s="12">
        <f>+'Mono ASIG'!AA23</f>
        <v>61.223919730918311</v>
      </c>
      <c r="I23" s="12">
        <f t="shared" si="14"/>
        <v>46.808745863689651</v>
      </c>
      <c r="J23" s="12">
        <f t="shared" si="15"/>
        <v>14.4</v>
      </c>
      <c r="K23" s="155">
        <f>+'Mono SPOT MAT'!T23</f>
        <v>0</v>
      </c>
      <c r="N23" s="140">
        <f>+'Mono SPOT MAT'!S23/'Fisico SPOT MAT'!S23/'Fisico SPOT MAT'!E23</f>
        <v>11.377525958999565</v>
      </c>
      <c r="R23">
        <v>0.9</v>
      </c>
    </row>
    <row r="24" spans="1:36" ht="15" customHeight="1" x14ac:dyDescent="0.25">
      <c r="A24" s="1">
        <f t="shared" si="11"/>
        <v>2025</v>
      </c>
      <c r="B24" s="52">
        <f t="shared" si="12"/>
        <v>45931</v>
      </c>
      <c r="C24" s="1" t="s">
        <v>48</v>
      </c>
      <c r="D24" s="5">
        <f t="shared" si="16"/>
        <v>45935</v>
      </c>
      <c r="E24" s="30">
        <v>28.785433414675378</v>
      </c>
      <c r="F24" s="14">
        <f>+'Mono SPOT MAT'!M24/'Fisico SPOT MAT'!M24/24</f>
        <v>31.941739408438441</v>
      </c>
      <c r="G24" s="13">
        <f t="shared" si="13"/>
        <v>14.4</v>
      </c>
      <c r="H24" s="12">
        <f>+'Mono ASIG'!AA24</f>
        <v>63.18064623317813</v>
      </c>
      <c r="I24" s="12">
        <f t="shared" si="14"/>
        <v>48.765472365949471</v>
      </c>
      <c r="J24" s="12">
        <f t="shared" si="15"/>
        <v>14.4</v>
      </c>
      <c r="K24" s="155">
        <f>+'Mono SPOT MAT'!T24</f>
        <v>0</v>
      </c>
      <c r="N24" s="139">
        <f>+'Mono SPOT MAT'!S24/'Fisico SPOT MAT'!S24/'Fisico SPOT MAT'!E24</f>
        <v>11.374840398583778</v>
      </c>
      <c r="R24">
        <v>0.9</v>
      </c>
    </row>
    <row r="25" spans="1:36" ht="15" customHeight="1" x14ac:dyDescent="0.25">
      <c r="A25" s="1">
        <f t="shared" si="11"/>
        <v>2025</v>
      </c>
      <c r="B25" s="52">
        <f t="shared" si="12"/>
        <v>45931</v>
      </c>
      <c r="C25" s="1" t="s">
        <v>49</v>
      </c>
      <c r="D25" s="5">
        <f t="shared" si="16"/>
        <v>45936</v>
      </c>
      <c r="E25" s="30">
        <v>31.612931584537872</v>
      </c>
      <c r="F25" s="14">
        <f>+'Mono SPOT MAT'!M25/'Fisico SPOT MAT'!M25/24</f>
        <v>30.996047614657126</v>
      </c>
      <c r="G25" s="13">
        <f t="shared" si="13"/>
        <v>14.4</v>
      </c>
      <c r="H25" s="12">
        <f>+'Mono ASIG'!AA25</f>
        <v>61.080365549655504</v>
      </c>
      <c r="I25" s="12">
        <f t="shared" si="14"/>
        <v>46.665191682426844</v>
      </c>
      <c r="J25" s="12">
        <f t="shared" si="15"/>
        <v>14.4</v>
      </c>
      <c r="K25" s="155">
        <f>+'Mono SPOT MAT'!T25</f>
        <v>0</v>
      </c>
      <c r="N25" s="140">
        <f>+'Mono SPOT MAT'!S25/'Fisico SPOT MAT'!S25/'Fisico SPOT MAT'!E25</f>
        <v>11.380223051790985</v>
      </c>
      <c r="R25">
        <v>0.9</v>
      </c>
    </row>
    <row r="26" spans="1:36" ht="15" customHeight="1" x14ac:dyDescent="0.25">
      <c r="A26" s="1">
        <f t="shared" si="11"/>
        <v>2025</v>
      </c>
      <c r="B26" s="52">
        <f t="shared" si="12"/>
        <v>45931</v>
      </c>
      <c r="C26" s="1" t="s">
        <v>50</v>
      </c>
      <c r="D26" s="5">
        <f t="shared" si="16"/>
        <v>45937</v>
      </c>
      <c r="E26" s="30">
        <v>31.570177912046308</v>
      </c>
      <c r="F26" s="14">
        <f>+'Mono SPOT MAT'!M26/'Fisico SPOT MAT'!M26/24</f>
        <v>30.78496370219278</v>
      </c>
      <c r="G26" s="13">
        <f t="shared" si="13"/>
        <v>14.4</v>
      </c>
      <c r="H26" s="12">
        <f>+'Mono ASIG'!AA26</f>
        <v>63.155935136086178</v>
      </c>
      <c r="I26" s="12">
        <f t="shared" si="14"/>
        <v>48.740761268857518</v>
      </c>
      <c r="J26" s="12">
        <f t="shared" si="15"/>
        <v>14.4</v>
      </c>
      <c r="K26" s="155">
        <f>+'Mono SPOT MAT'!T26</f>
        <v>0</v>
      </c>
      <c r="N26" s="139">
        <f>+'Mono SPOT MAT'!S26/'Fisico SPOT MAT'!S26/'Fisico SPOT MAT'!E26</f>
        <v>11.376156681430603</v>
      </c>
      <c r="R26">
        <v>0.9</v>
      </c>
    </row>
    <row r="27" spans="1:36" ht="15" customHeight="1" x14ac:dyDescent="0.25">
      <c r="A27" s="1">
        <f t="shared" si="11"/>
        <v>2025</v>
      </c>
      <c r="B27" s="52">
        <f t="shared" si="12"/>
        <v>45931</v>
      </c>
      <c r="C27" s="1" t="s">
        <v>44</v>
      </c>
      <c r="D27" s="5">
        <f t="shared" si="16"/>
        <v>45938</v>
      </c>
      <c r="E27" s="30">
        <v>27.968369951281293</v>
      </c>
      <c r="F27" s="14">
        <f>+'Mono SPOT MAT'!M27/'Fisico SPOT MAT'!M27/24</f>
        <v>31.348177263664606</v>
      </c>
      <c r="G27" s="13">
        <f t="shared" si="13"/>
        <v>14.4</v>
      </c>
      <c r="H27" s="12">
        <f>+'Mono ASIG'!AA27</f>
        <v>65.376972881578254</v>
      </c>
      <c r="I27" s="12">
        <f t="shared" si="14"/>
        <v>50.961799014349594</v>
      </c>
      <c r="J27" s="12">
        <f t="shared" si="15"/>
        <v>14.4</v>
      </c>
      <c r="K27" s="155">
        <f>+'Mono SPOT MAT'!T27</f>
        <v>0</v>
      </c>
      <c r="N27" s="140">
        <f>+'Mono SPOT MAT'!S27/'Fisico SPOT MAT'!S27/'Fisico SPOT MAT'!E27</f>
        <v>11.37937460382839</v>
      </c>
      <c r="R27">
        <v>0.9</v>
      </c>
    </row>
    <row r="28" spans="1:36" ht="15" customHeight="1" x14ac:dyDescent="0.25">
      <c r="A28" s="1">
        <f t="shared" si="11"/>
        <v>2025</v>
      </c>
      <c r="B28" s="52">
        <f t="shared" si="12"/>
        <v>45931</v>
      </c>
      <c r="C28" s="1" t="s">
        <v>45</v>
      </c>
      <c r="D28" s="5">
        <f t="shared" si="16"/>
        <v>45939</v>
      </c>
      <c r="E28" s="30">
        <v>29.918786259343875</v>
      </c>
      <c r="F28" s="14">
        <f>+'Mono SPOT MAT'!M28/'Fisico SPOT MAT'!M28/24</f>
        <v>30.859800589690568</v>
      </c>
      <c r="G28" s="13">
        <f t="shared" si="13"/>
        <v>14.4</v>
      </c>
      <c r="H28" s="12">
        <f>+'Mono ASIG'!AA28</f>
        <v>63.346287415681076</v>
      </c>
      <c r="I28" s="12">
        <f t="shared" si="14"/>
        <v>48.931113548452416</v>
      </c>
      <c r="J28" s="12">
        <f t="shared" si="15"/>
        <v>14.4</v>
      </c>
      <c r="K28" s="155">
        <f>+'Mono SPOT MAT'!T28</f>
        <v>0</v>
      </c>
      <c r="N28" s="139">
        <f>+'Mono SPOT MAT'!S28/'Fisico SPOT MAT'!S28/'Fisico SPOT MAT'!E28</f>
        <v>11.375130353606233</v>
      </c>
      <c r="R28">
        <v>0.9</v>
      </c>
    </row>
    <row r="29" spans="1:36" ht="15" customHeight="1" x14ac:dyDescent="0.25">
      <c r="A29" s="1">
        <f t="shared" si="11"/>
        <v>2025</v>
      </c>
      <c r="B29" s="52">
        <f t="shared" si="12"/>
        <v>45931</v>
      </c>
      <c r="C29" s="1" t="s">
        <v>46</v>
      </c>
      <c r="D29" s="5">
        <f t="shared" si="16"/>
        <v>45940</v>
      </c>
      <c r="E29" s="30">
        <v>28.943680688875215</v>
      </c>
      <c r="F29" s="14">
        <f>+'Mono SPOT MAT'!M29/'Fisico SPOT MAT'!M29/24</f>
        <v>31.651831054431028</v>
      </c>
      <c r="G29" s="13">
        <f t="shared" si="13"/>
        <v>14.4</v>
      </c>
      <c r="H29" s="12">
        <f>+'Mono ASIG'!AA29</f>
        <v>63.163796122693476</v>
      </c>
      <c r="I29" s="12">
        <f t="shared" si="14"/>
        <v>48.748622255464817</v>
      </c>
      <c r="J29" s="12">
        <f t="shared" si="15"/>
        <v>14.4</v>
      </c>
      <c r="K29" s="155">
        <f>+'Mono SPOT MAT'!T29</f>
        <v>0</v>
      </c>
      <c r="N29" s="140">
        <f>+'Mono SPOT MAT'!S29/'Fisico SPOT MAT'!S29/'Fisico SPOT MAT'!E29</f>
        <v>11.374467390096161</v>
      </c>
      <c r="R29">
        <v>0.9</v>
      </c>
    </row>
    <row r="30" spans="1:36" ht="15" customHeight="1" x14ac:dyDescent="0.25">
      <c r="A30" s="1">
        <f t="shared" si="11"/>
        <v>2025</v>
      </c>
      <c r="B30" s="52">
        <f t="shared" si="12"/>
        <v>45931</v>
      </c>
      <c r="C30" s="1" t="s">
        <v>47</v>
      </c>
      <c r="D30" s="5">
        <f t="shared" si="16"/>
        <v>45941</v>
      </c>
      <c r="E30" s="30">
        <v>30.423262117544507</v>
      </c>
      <c r="F30" s="14">
        <f>+'Mono SPOT MAT'!M30/'Fisico SPOT MAT'!M30/24</f>
        <v>31.926911737247821</v>
      </c>
      <c r="G30" s="13">
        <f t="shared" si="13"/>
        <v>14.4</v>
      </c>
      <c r="H30" s="12">
        <f>+'Mono ASIG'!AA30</f>
        <v>62.649775550192466</v>
      </c>
      <c r="I30" s="12">
        <f t="shared" si="14"/>
        <v>48.234601682963806</v>
      </c>
      <c r="J30" s="12">
        <f t="shared" si="15"/>
        <v>14.4</v>
      </c>
      <c r="K30" s="155">
        <f>+'Mono SPOT MAT'!T30</f>
        <v>0</v>
      </c>
      <c r="N30" s="139">
        <f>+'Mono SPOT MAT'!S30/'Fisico SPOT MAT'!S30/'Fisico SPOT MAT'!E30</f>
        <v>11.373415123064882</v>
      </c>
      <c r="R30">
        <v>0.9</v>
      </c>
    </row>
    <row r="31" spans="1:36" ht="15" customHeight="1" x14ac:dyDescent="0.25">
      <c r="A31" s="1">
        <f t="shared" si="11"/>
        <v>2025</v>
      </c>
      <c r="B31" s="52">
        <f t="shared" si="12"/>
        <v>45931</v>
      </c>
      <c r="C31" s="1" t="s">
        <v>48</v>
      </c>
      <c r="D31" s="5">
        <f t="shared" si="16"/>
        <v>45942</v>
      </c>
      <c r="E31" s="30">
        <v>19.247503975332247</v>
      </c>
      <c r="F31" s="14">
        <f>+'Mono SPOT MAT'!M31/'Fisico SPOT MAT'!M31/24</f>
        <v>32.592034356444934</v>
      </c>
      <c r="G31" s="13">
        <f t="shared" si="13"/>
        <v>14.4</v>
      </c>
      <c r="H31" s="12">
        <f>+'Mono ASIG'!AA31</f>
        <v>68.841524512823995</v>
      </c>
      <c r="I31" s="12">
        <f t="shared" si="14"/>
        <v>54.426350645595335</v>
      </c>
      <c r="J31" s="12">
        <f t="shared" si="15"/>
        <v>14.4</v>
      </c>
      <c r="K31" s="155">
        <f>+'Mono SPOT MAT'!T31</f>
        <v>0</v>
      </c>
      <c r="N31" s="140">
        <f>+'Mono SPOT MAT'!S31/'Fisico SPOT MAT'!S31/'Fisico SPOT MAT'!E31</f>
        <v>11.366155439485077</v>
      </c>
      <c r="R31">
        <v>0.9</v>
      </c>
    </row>
    <row r="32" spans="1:36" ht="15" customHeight="1" x14ac:dyDescent="0.25">
      <c r="A32" s="1">
        <f t="shared" si="11"/>
        <v>2025</v>
      </c>
      <c r="B32" s="52">
        <f t="shared" si="12"/>
        <v>45931</v>
      </c>
      <c r="C32" s="1" t="s">
        <v>49</v>
      </c>
      <c r="D32" s="5">
        <f t="shared" si="16"/>
        <v>45943</v>
      </c>
      <c r="E32" s="30">
        <v>28.342065629189253</v>
      </c>
      <c r="F32" s="14">
        <f>+'Mono SPOT MAT'!M32/'Fisico SPOT MAT'!M32/24</f>
        <v>31.780015942961128</v>
      </c>
      <c r="G32" s="13">
        <f t="shared" si="13"/>
        <v>14.4</v>
      </c>
      <c r="H32" s="12">
        <f>+'Mono ASIG'!AA32</f>
        <v>61.63375252540277</v>
      </c>
      <c r="I32" s="12">
        <f t="shared" si="14"/>
        <v>47.21857865817411</v>
      </c>
      <c r="J32" s="12">
        <f t="shared" si="15"/>
        <v>14.4</v>
      </c>
      <c r="K32" s="155">
        <f>+'Mono SPOT MAT'!T32</f>
        <v>0</v>
      </c>
      <c r="N32" s="139">
        <f>+'Mono SPOT MAT'!S32/'Fisico SPOT MAT'!S32/'Fisico SPOT MAT'!E32</f>
        <v>11.369995449389315</v>
      </c>
      <c r="R32">
        <v>0.9</v>
      </c>
    </row>
    <row r="33" spans="1:18" ht="15" customHeight="1" x14ac:dyDescent="0.25">
      <c r="A33" s="1">
        <f t="shared" si="11"/>
        <v>2025</v>
      </c>
      <c r="B33" s="52">
        <f t="shared" si="12"/>
        <v>45931</v>
      </c>
      <c r="C33" s="1" t="s">
        <v>50</v>
      </c>
      <c r="D33" s="5">
        <f t="shared" si="16"/>
        <v>45944</v>
      </c>
      <c r="E33" s="30">
        <v>30.942644401701916</v>
      </c>
      <c r="F33" s="14">
        <f>+'Mono SPOT MAT'!M33/'Fisico SPOT MAT'!M33/24</f>
        <v>32.014639166270157</v>
      </c>
      <c r="G33" s="13">
        <f t="shared" si="13"/>
        <v>14.4</v>
      </c>
      <c r="H33" s="12">
        <f>+'Mono ASIG'!AA33</f>
        <v>60.126667355040979</v>
      </c>
      <c r="I33" s="12">
        <f t="shared" si="14"/>
        <v>45.711493487812319</v>
      </c>
      <c r="J33" s="12">
        <f t="shared" si="15"/>
        <v>14.4</v>
      </c>
      <c r="K33" s="155">
        <f>+'Mono SPOT MAT'!T33</f>
        <v>0</v>
      </c>
      <c r="N33" s="140">
        <f>+'Mono SPOT MAT'!S33/'Fisico SPOT MAT'!S33/'Fisico SPOT MAT'!E33</f>
        <v>11.379458942685627</v>
      </c>
      <c r="R33">
        <v>0.9</v>
      </c>
    </row>
    <row r="34" spans="1:18" ht="15" customHeight="1" x14ac:dyDescent="0.25">
      <c r="A34" s="1">
        <f t="shared" si="11"/>
        <v>2025</v>
      </c>
      <c r="B34" s="52">
        <f t="shared" si="12"/>
        <v>45931</v>
      </c>
      <c r="C34" s="1" t="s">
        <v>44</v>
      </c>
      <c r="D34" s="5">
        <f t="shared" si="16"/>
        <v>45945</v>
      </c>
      <c r="E34" s="30">
        <v>25.062145479979019</v>
      </c>
      <c r="F34" s="14">
        <f>+'Mono SPOT MAT'!M34/'Fisico SPOT MAT'!M34/24</f>
        <v>32.275032659748739</v>
      </c>
      <c r="G34" s="13">
        <f t="shared" si="13"/>
        <v>14.4</v>
      </c>
      <c r="H34" s="12">
        <f>+'Mono ASIG'!AA34</f>
        <v>60.412775000870255</v>
      </c>
      <c r="I34" s="12">
        <f t="shared" si="14"/>
        <v>45.997601133641595</v>
      </c>
      <c r="J34" s="12">
        <f t="shared" si="15"/>
        <v>14.4</v>
      </c>
      <c r="K34" s="155">
        <f>+'Mono SPOT MAT'!T34</f>
        <v>0</v>
      </c>
      <c r="N34" s="139">
        <f>+'Mono SPOT MAT'!S34/'Fisico SPOT MAT'!S34/'Fisico SPOT MAT'!E34</f>
        <v>11.365837956757305</v>
      </c>
      <c r="R34">
        <v>0.9</v>
      </c>
    </row>
    <row r="35" spans="1:18" ht="15" customHeight="1" x14ac:dyDescent="0.25">
      <c r="A35" s="1">
        <f t="shared" si="11"/>
        <v>2025</v>
      </c>
      <c r="B35" s="52">
        <f t="shared" si="12"/>
        <v>45931</v>
      </c>
      <c r="C35" s="1" t="s">
        <v>45</v>
      </c>
      <c r="D35" s="5">
        <f t="shared" si="16"/>
        <v>45946</v>
      </c>
      <c r="E35" s="30">
        <v>30.268996910881864</v>
      </c>
      <c r="F35" s="14">
        <f>+'Mono SPOT MAT'!M35/'Fisico SPOT MAT'!M35/24</f>
        <v>31.972206739151943</v>
      </c>
      <c r="G35" s="13">
        <f t="shared" si="13"/>
        <v>14.4</v>
      </c>
      <c r="H35" s="12">
        <f>+'Mono ASIG'!AA35</f>
        <v>57.279802281149898</v>
      </c>
      <c r="I35" s="12">
        <f t="shared" si="14"/>
        <v>42.864628413921238</v>
      </c>
      <c r="J35" s="12">
        <f t="shared" si="15"/>
        <v>14.4</v>
      </c>
      <c r="K35" s="155">
        <f>+'Mono SPOT MAT'!T35</f>
        <v>0</v>
      </c>
      <c r="N35" s="140">
        <f>+'Mono SPOT MAT'!S35/'Fisico SPOT MAT'!S35/'Fisico SPOT MAT'!E35</f>
        <v>11.368646187292921</v>
      </c>
      <c r="R35">
        <v>0.9</v>
      </c>
    </row>
    <row r="36" spans="1:18" ht="15" customHeight="1" x14ac:dyDescent="0.25">
      <c r="A36" s="1">
        <f t="shared" si="11"/>
        <v>2025</v>
      </c>
      <c r="B36" s="52">
        <f t="shared" si="12"/>
        <v>45931</v>
      </c>
      <c r="C36" s="1" t="s">
        <v>46</v>
      </c>
      <c r="D36" s="5">
        <f t="shared" si="16"/>
        <v>45947</v>
      </c>
      <c r="E36" s="30">
        <v>29.503057644110282</v>
      </c>
      <c r="F36" s="14">
        <f>+'Mono SPOT MAT'!M36/'Fisico SPOT MAT'!M36/24</f>
        <v>31.608974027235707</v>
      </c>
      <c r="G36" s="13">
        <f t="shared" si="13"/>
        <v>14.4</v>
      </c>
      <c r="H36" s="12">
        <f>+'Mono ASIG'!AA36</f>
        <v>57.831011633524561</v>
      </c>
      <c r="I36" s="12">
        <f t="shared" si="14"/>
        <v>43.415837766295901</v>
      </c>
      <c r="J36" s="12">
        <f t="shared" si="15"/>
        <v>14.4</v>
      </c>
      <c r="K36" s="155">
        <f>+'Mono SPOT MAT'!T36</f>
        <v>0</v>
      </c>
      <c r="N36" s="139">
        <f>+'Mono SPOT MAT'!S36/'Fisico SPOT MAT'!S36/'Fisico SPOT MAT'!E36</f>
        <v>11.369815537278525</v>
      </c>
      <c r="R36">
        <v>0.9</v>
      </c>
    </row>
    <row r="37" spans="1:18" ht="15" customHeight="1" x14ac:dyDescent="0.25">
      <c r="A37" s="1">
        <f t="shared" si="11"/>
        <v>2025</v>
      </c>
      <c r="B37" s="52">
        <f t="shared" si="12"/>
        <v>45931</v>
      </c>
      <c r="C37" s="1" t="s">
        <v>47</v>
      </c>
      <c r="D37" s="5">
        <f t="shared" si="16"/>
        <v>45948</v>
      </c>
      <c r="E37" s="30">
        <v>15.961585941598182</v>
      </c>
      <c r="F37" s="14">
        <f>+'Mono SPOT MAT'!M37/'Fisico SPOT MAT'!M37/24</f>
        <v>32.256299462561032</v>
      </c>
      <c r="G37" s="13">
        <f t="shared" si="13"/>
        <v>14.4</v>
      </c>
      <c r="H37" s="12">
        <f>+'Mono ASIG'!AA37</f>
        <v>62.391547245303933</v>
      </c>
      <c r="I37" s="12">
        <f t="shared" si="14"/>
        <v>47.976373378075273</v>
      </c>
      <c r="J37" s="12">
        <f t="shared" si="15"/>
        <v>14.4</v>
      </c>
      <c r="K37" s="155">
        <f>+'Mono SPOT MAT'!T37</f>
        <v>0</v>
      </c>
      <c r="N37" s="140">
        <f>+'Mono SPOT MAT'!S37/'Fisico SPOT MAT'!S37/'Fisico SPOT MAT'!E37</f>
        <v>11.374473818698705</v>
      </c>
      <c r="R37">
        <v>0.9</v>
      </c>
    </row>
    <row r="38" spans="1:18" ht="15" customHeight="1" x14ac:dyDescent="0.25">
      <c r="A38" s="1">
        <f t="shared" si="11"/>
        <v>2025</v>
      </c>
      <c r="B38" s="52">
        <f t="shared" si="12"/>
        <v>45931</v>
      </c>
      <c r="C38" s="1" t="s">
        <v>48</v>
      </c>
      <c r="D38" s="5">
        <f t="shared" si="16"/>
        <v>45949</v>
      </c>
      <c r="E38" s="30">
        <v>6.214335548172758</v>
      </c>
      <c r="F38" s="14">
        <f>+'Mono SPOT MAT'!M38/'Fisico SPOT MAT'!M38/24</f>
        <v>32.668207612296108</v>
      </c>
      <c r="G38" s="13">
        <f t="shared" si="13"/>
        <v>14.4</v>
      </c>
      <c r="H38" s="12">
        <f>+'Mono ASIG'!AA38</f>
        <v>68.164926644733967</v>
      </c>
      <c r="I38" s="12">
        <f t="shared" si="14"/>
        <v>53.749752777505307</v>
      </c>
      <c r="J38" s="12">
        <f t="shared" si="15"/>
        <v>14.4</v>
      </c>
      <c r="K38" s="155">
        <f>+'Mono SPOT MAT'!T38</f>
        <v>0</v>
      </c>
      <c r="N38" s="139">
        <f>+'Mono SPOT MAT'!S38/'Fisico SPOT MAT'!S38/'Fisico SPOT MAT'!E38</f>
        <v>11.374590247865601</v>
      </c>
      <c r="R38">
        <v>0.9</v>
      </c>
    </row>
    <row r="39" spans="1:18" ht="15" customHeight="1" x14ac:dyDescent="0.25">
      <c r="A39" s="1">
        <f t="shared" si="11"/>
        <v>2025</v>
      </c>
      <c r="B39" s="52">
        <f t="shared" si="12"/>
        <v>45931</v>
      </c>
      <c r="C39" s="1" t="s">
        <v>49</v>
      </c>
      <c r="D39" s="5">
        <f t="shared" si="16"/>
        <v>45950</v>
      </c>
      <c r="E39" s="30">
        <v>21.606415748674006</v>
      </c>
      <c r="F39" s="14">
        <f>+'Mono SPOT MAT'!M39/'Fisico SPOT MAT'!M39/24</f>
        <v>31.505143050688911</v>
      </c>
      <c r="G39" s="13">
        <f t="shared" si="13"/>
        <v>14.4</v>
      </c>
      <c r="H39" s="12">
        <f>+'Mono ASIG'!AA39</f>
        <v>64.827626995413297</v>
      </c>
      <c r="I39" s="12">
        <f t="shared" si="14"/>
        <v>50.412453128184637</v>
      </c>
      <c r="J39" s="12">
        <f t="shared" si="15"/>
        <v>14.4</v>
      </c>
      <c r="K39" s="155">
        <f>+'Mono SPOT MAT'!T39</f>
        <v>0</v>
      </c>
      <c r="N39" s="140">
        <f>+'Mono SPOT MAT'!S39/'Fisico SPOT MAT'!S39/'Fisico SPOT MAT'!E39</f>
        <v>11.373912973160786</v>
      </c>
      <c r="R39">
        <v>0.9</v>
      </c>
    </row>
    <row r="40" spans="1:18" ht="15" customHeight="1" x14ac:dyDescent="0.25">
      <c r="A40" s="1">
        <f t="shared" si="11"/>
        <v>2025</v>
      </c>
      <c r="B40" s="52">
        <f t="shared" si="12"/>
        <v>45931</v>
      </c>
      <c r="C40" s="1" t="s">
        <v>50</v>
      </c>
      <c r="D40" s="5">
        <f t="shared" si="16"/>
        <v>45951</v>
      </c>
      <c r="E40" s="30">
        <v>22.381515999300575</v>
      </c>
      <c r="F40" s="14">
        <f>+'Mono SPOT MAT'!M40/'Fisico SPOT MAT'!M40/24</f>
        <v>31.860349516526341</v>
      </c>
      <c r="G40" s="13">
        <f t="shared" si="13"/>
        <v>14.4</v>
      </c>
      <c r="H40" s="12">
        <f>+'Mono ASIG'!AA40</f>
        <v>58.217225422960439</v>
      </c>
      <c r="I40" s="12">
        <f t="shared" si="14"/>
        <v>43.802051555731779</v>
      </c>
      <c r="J40" s="12">
        <f t="shared" si="15"/>
        <v>14.4</v>
      </c>
      <c r="K40" s="155">
        <f>+'Mono SPOT MAT'!T40</f>
        <v>0</v>
      </c>
      <c r="N40" s="139">
        <f>+'Mono SPOT MAT'!S40/'Fisico SPOT MAT'!S40/'Fisico SPOT MAT'!E40</f>
        <v>11.343084440294289</v>
      </c>
      <c r="R40">
        <v>0.9</v>
      </c>
    </row>
    <row r="41" spans="1:18" ht="15" customHeight="1" x14ac:dyDescent="0.25">
      <c r="A41" s="1">
        <f t="shared" si="11"/>
        <v>2025</v>
      </c>
      <c r="B41" s="52">
        <f t="shared" si="12"/>
        <v>45931</v>
      </c>
      <c r="C41" s="1" t="s">
        <v>44</v>
      </c>
      <c r="D41" s="5">
        <f t="shared" si="16"/>
        <v>45952</v>
      </c>
      <c r="E41" s="30">
        <v>26.851387480328725</v>
      </c>
      <c r="F41" s="14">
        <f>+'Mono SPOT MAT'!M41/'Fisico SPOT MAT'!M41/24</f>
        <v>31.445659328292649</v>
      </c>
      <c r="G41" s="13">
        <f t="shared" si="13"/>
        <v>14.4</v>
      </c>
      <c r="H41" s="12">
        <f>+'Mono ASIG'!AA41</f>
        <v>58.885816718928595</v>
      </c>
      <c r="I41" s="12">
        <f t="shared" si="14"/>
        <v>44.470642851699935</v>
      </c>
      <c r="J41" s="12">
        <f t="shared" si="15"/>
        <v>14.4</v>
      </c>
      <c r="K41" s="155">
        <f>+'Mono SPOT MAT'!T41</f>
        <v>0</v>
      </c>
      <c r="N41" s="140">
        <f>+'Mono SPOT MAT'!S41/'Fisico SPOT MAT'!S41/'Fisico SPOT MAT'!E41</f>
        <v>11.340781393121297</v>
      </c>
      <c r="R41">
        <v>0.9</v>
      </c>
    </row>
    <row r="42" spans="1:18" ht="15" customHeight="1" x14ac:dyDescent="0.25">
      <c r="A42" s="1">
        <f t="shared" si="11"/>
        <v>2025</v>
      </c>
      <c r="B42" s="52">
        <f t="shared" si="12"/>
        <v>45931</v>
      </c>
      <c r="C42" s="1" t="s">
        <v>45</v>
      </c>
      <c r="D42" s="5">
        <f t="shared" si="16"/>
        <v>45953</v>
      </c>
      <c r="E42" s="30">
        <v>34.255806667832367</v>
      </c>
      <c r="F42" s="14">
        <f>+'Mono SPOT MAT'!M42/'Fisico SPOT MAT'!M42/24</f>
        <v>32.400185425728772</v>
      </c>
      <c r="G42" s="13">
        <f t="shared" si="13"/>
        <v>14.4</v>
      </c>
      <c r="H42" s="12">
        <f>+'Mono ASIG'!AA42</f>
        <v>54.055885370097883</v>
      </c>
      <c r="I42" s="12">
        <f t="shared" si="14"/>
        <v>39.640711502869223</v>
      </c>
      <c r="J42" s="12">
        <f t="shared" si="15"/>
        <v>14.4</v>
      </c>
      <c r="K42" s="155">
        <f>+'Mono SPOT MAT'!T42</f>
        <v>0</v>
      </c>
      <c r="N42" s="139">
        <f>+'Mono SPOT MAT'!S42/'Fisico SPOT MAT'!S42/'Fisico SPOT MAT'!E42</f>
        <v>11.350236545039987</v>
      </c>
      <c r="R42">
        <v>0.9</v>
      </c>
    </row>
    <row r="43" spans="1:18" ht="15" customHeight="1" x14ac:dyDescent="0.25">
      <c r="A43" s="1">
        <f t="shared" si="11"/>
        <v>2025</v>
      </c>
      <c r="B43" s="52">
        <f t="shared" si="12"/>
        <v>45931</v>
      </c>
      <c r="C43" s="1" t="s">
        <v>46</v>
      </c>
      <c r="D43" s="5">
        <f t="shared" si="16"/>
        <v>45954</v>
      </c>
      <c r="E43" s="30">
        <v>33.548430378271256</v>
      </c>
      <c r="F43" s="14">
        <f>+'Mono SPOT MAT'!M43/'Fisico SPOT MAT'!M43/24</f>
        <v>31.842554918194352</v>
      </c>
      <c r="G43" s="13">
        <f t="shared" si="13"/>
        <v>14.4</v>
      </c>
      <c r="H43" s="12">
        <f>+'Mono ASIG'!AA43</f>
        <v>57.845083978210084</v>
      </c>
      <c r="I43" s="12">
        <f t="shared" si="14"/>
        <v>43.429910110981425</v>
      </c>
      <c r="J43" s="12">
        <f t="shared" si="15"/>
        <v>14.4</v>
      </c>
      <c r="K43" s="155">
        <f>+'Mono SPOT MAT'!T43</f>
        <v>0</v>
      </c>
      <c r="N43" s="140">
        <f>+'Mono SPOT MAT'!S43/'Fisico SPOT MAT'!S43/'Fisico SPOT MAT'!E43</f>
        <v>11.321580826512788</v>
      </c>
      <c r="R43">
        <v>0.9</v>
      </c>
    </row>
    <row r="44" spans="1:18" ht="15" customHeight="1" x14ac:dyDescent="0.25">
      <c r="A44" s="1">
        <f t="shared" si="11"/>
        <v>2025</v>
      </c>
      <c r="B44" s="52">
        <f t="shared" si="12"/>
        <v>45931</v>
      </c>
      <c r="C44" s="1" t="s">
        <v>47</v>
      </c>
      <c r="D44" s="5">
        <f t="shared" si="16"/>
        <v>45955</v>
      </c>
      <c r="E44" s="30">
        <v>27.24482601853471</v>
      </c>
      <c r="F44" s="14">
        <f>+'Mono SPOT MAT'!M44/'Fisico SPOT MAT'!M44/24</f>
        <v>31.518444832332275</v>
      </c>
      <c r="G44" s="13">
        <f t="shared" si="13"/>
        <v>14.4</v>
      </c>
      <c r="H44" s="12">
        <f>+'Mono ASIG'!AA44</f>
        <v>62.94978720305901</v>
      </c>
      <c r="I44" s="12">
        <f t="shared" si="14"/>
        <v>48.53461333583035</v>
      </c>
      <c r="J44" s="12">
        <f t="shared" si="15"/>
        <v>14.4</v>
      </c>
      <c r="K44" s="155">
        <f>+'Mono SPOT MAT'!T44</f>
        <v>0</v>
      </c>
      <c r="N44" s="139">
        <f>+'Mono SPOT MAT'!S44/'Fisico SPOT MAT'!S44/'Fisico SPOT MAT'!E44</f>
        <v>11.337768399840039</v>
      </c>
      <c r="R44">
        <v>0.9</v>
      </c>
    </row>
    <row r="45" spans="1:18" ht="15" customHeight="1" x14ac:dyDescent="0.25">
      <c r="A45" s="1">
        <f t="shared" si="11"/>
        <v>2025</v>
      </c>
      <c r="B45" s="52">
        <f t="shared" si="12"/>
        <v>45931</v>
      </c>
      <c r="C45" s="1" t="s">
        <v>48</v>
      </c>
      <c r="D45" s="5">
        <f t="shared" si="16"/>
        <v>45956</v>
      </c>
      <c r="E45" s="30">
        <v>21.315767616716212</v>
      </c>
      <c r="F45" s="14">
        <f>+'Mono SPOT MAT'!M45/'Fisico SPOT MAT'!M45/24</f>
        <v>31.639494121595231</v>
      </c>
      <c r="G45" s="13">
        <f t="shared" si="13"/>
        <v>14.4</v>
      </c>
      <c r="H45" s="12">
        <f>+'Mono ASIG'!AA45</f>
        <v>65.831438332607704</v>
      </c>
      <c r="I45" s="12">
        <f t="shared" si="14"/>
        <v>51.416264465379044</v>
      </c>
      <c r="J45" s="12">
        <f t="shared" si="15"/>
        <v>14.4</v>
      </c>
      <c r="K45" s="155">
        <f>+'Mono SPOT MAT'!T45</f>
        <v>0</v>
      </c>
      <c r="N45" s="140">
        <f>+'Mono SPOT MAT'!S45/'Fisico SPOT MAT'!S45/'Fisico SPOT MAT'!E45</f>
        <v>11.343646534165284</v>
      </c>
      <c r="R45">
        <v>0.9</v>
      </c>
    </row>
    <row r="46" spans="1:18" ht="15" customHeight="1" x14ac:dyDescent="0.25">
      <c r="A46" s="1">
        <f t="shared" si="11"/>
        <v>2025</v>
      </c>
      <c r="B46" s="52">
        <f t="shared" si="12"/>
        <v>45931</v>
      </c>
      <c r="C46" s="1" t="s">
        <v>49</v>
      </c>
      <c r="D46" s="5">
        <f t="shared" si="16"/>
        <v>45957</v>
      </c>
      <c r="E46" s="30">
        <v>31.03281255464243</v>
      </c>
      <c r="F46" s="14">
        <f>+'Mono SPOT MAT'!M46/'Fisico SPOT MAT'!M46/24</f>
        <v>33.189353298576634</v>
      </c>
      <c r="G46" s="13">
        <f t="shared" si="13"/>
        <v>14.4</v>
      </c>
      <c r="H46" s="12">
        <f>+'Mono ASIG'!AA46</f>
        <v>56.551067948936769</v>
      </c>
      <c r="I46" s="12">
        <f t="shared" si="14"/>
        <v>42.135894081708109</v>
      </c>
      <c r="J46" s="12">
        <f t="shared" si="15"/>
        <v>14.4</v>
      </c>
      <c r="K46" s="155">
        <f>+'Mono SPOT MAT'!T46</f>
        <v>0</v>
      </c>
      <c r="N46" s="139">
        <f>+'Mono SPOT MAT'!S46/'Fisico SPOT MAT'!S46/'Fisico SPOT MAT'!E46</f>
        <v>11.354265750181321</v>
      </c>
      <c r="R46">
        <v>0.9</v>
      </c>
    </row>
    <row r="47" spans="1:18" ht="15" customHeight="1" x14ac:dyDescent="0.25">
      <c r="A47" s="1">
        <f t="shared" si="11"/>
        <v>2025</v>
      </c>
      <c r="B47" s="52">
        <f t="shared" si="12"/>
        <v>45931</v>
      </c>
      <c r="C47" s="1" t="s">
        <v>50</v>
      </c>
      <c r="D47" s="5">
        <f t="shared" si="16"/>
        <v>45958</v>
      </c>
      <c r="E47" s="30">
        <v>31.052292358803985</v>
      </c>
      <c r="F47" s="14">
        <f>+'Mono SPOT MAT'!M47/'Fisico SPOT MAT'!M47/24</f>
        <v>32.695901755256834</v>
      </c>
      <c r="G47" s="13">
        <f t="shared" si="13"/>
        <v>14.4</v>
      </c>
      <c r="H47" s="12">
        <f>+'Mono ASIG'!AA47</f>
        <v>54.824979708345857</v>
      </c>
      <c r="I47" s="12">
        <f t="shared" si="14"/>
        <v>40.409805841117198</v>
      </c>
      <c r="J47" s="12">
        <f t="shared" si="15"/>
        <v>14.4</v>
      </c>
      <c r="K47" s="155">
        <f>+'Mono SPOT MAT'!T47</f>
        <v>0</v>
      </c>
      <c r="N47" s="140">
        <f>+'Mono SPOT MAT'!S47/'Fisico SPOT MAT'!S47/'Fisico SPOT MAT'!E47</f>
        <v>11.366563019978553</v>
      </c>
      <c r="R47">
        <v>0.9</v>
      </c>
    </row>
    <row r="48" spans="1:18" ht="15" customHeight="1" x14ac:dyDescent="0.25">
      <c r="A48" s="1">
        <f t="shared" si="11"/>
        <v>2025</v>
      </c>
      <c r="B48" s="52">
        <f t="shared" si="12"/>
        <v>45931</v>
      </c>
      <c r="C48" s="1" t="s">
        <v>44</v>
      </c>
      <c r="D48" s="5">
        <f t="shared" si="16"/>
        <v>45959</v>
      </c>
      <c r="E48" s="30">
        <v>29.821598472926496</v>
      </c>
      <c r="F48" s="14">
        <f>+'Mono SPOT MAT'!M48/'Fisico SPOT MAT'!M48/24</f>
        <v>31.12090547934875</v>
      </c>
      <c r="G48" s="13">
        <f t="shared" si="13"/>
        <v>14.4</v>
      </c>
      <c r="H48" s="12">
        <f>+'Mono ASIG'!AA48</f>
        <v>55.727327783341565</v>
      </c>
      <c r="I48" s="12">
        <f t="shared" si="14"/>
        <v>41.312153916112905</v>
      </c>
      <c r="J48" s="12">
        <f t="shared" si="15"/>
        <v>14.4</v>
      </c>
      <c r="K48" s="155">
        <f>+'Mono SPOT MAT'!T48</f>
        <v>0</v>
      </c>
      <c r="N48" s="139">
        <f>+'Mono SPOT MAT'!S48/'Fisico SPOT MAT'!S48/'Fisico SPOT MAT'!E48</f>
        <v>11.388939500871068</v>
      </c>
      <c r="R48">
        <v>0.9</v>
      </c>
    </row>
    <row r="49" spans="1:18" ht="15" customHeight="1" x14ac:dyDescent="0.25">
      <c r="A49" s="1">
        <f t="shared" si="11"/>
        <v>2025</v>
      </c>
      <c r="B49" s="52">
        <f t="shared" si="12"/>
        <v>45931</v>
      </c>
      <c r="C49" s="1" t="s">
        <v>45</v>
      </c>
      <c r="D49" s="5">
        <f t="shared" si="16"/>
        <v>45960</v>
      </c>
      <c r="E49" s="30">
        <v>23.323789415398959</v>
      </c>
      <c r="F49" s="14">
        <f>+'Mono SPOT MAT'!M49/'Fisico SPOT MAT'!M49/24</f>
        <v>31.862766842523371</v>
      </c>
      <c r="G49" s="13">
        <f t="shared" si="13"/>
        <v>14.4</v>
      </c>
      <c r="H49" s="12">
        <f>+'Mono ASIG'!AA49</f>
        <v>60.772118648473885</v>
      </c>
      <c r="I49" s="12">
        <f t="shared" si="14"/>
        <v>46.356944781245225</v>
      </c>
      <c r="J49" s="12">
        <f t="shared" si="15"/>
        <v>14.4</v>
      </c>
      <c r="K49" s="155">
        <f>+'Mono SPOT MAT'!T49</f>
        <v>0</v>
      </c>
      <c r="N49" s="140">
        <f>+'Mono SPOT MAT'!S49/'Fisico SPOT MAT'!S49/'Fisico SPOT MAT'!E49</f>
        <v>11.385882230804377</v>
      </c>
      <c r="R49">
        <v>0.9</v>
      </c>
    </row>
    <row r="50" spans="1:18" ht="15" customHeight="1" x14ac:dyDescent="0.25">
      <c r="A50" s="1">
        <f t="shared" si="11"/>
        <v>2025</v>
      </c>
      <c r="B50" s="52">
        <f t="shared" si="12"/>
        <v>45931</v>
      </c>
      <c r="C50" s="1" t="s">
        <v>46</v>
      </c>
      <c r="D50" s="5">
        <f t="shared" si="16"/>
        <v>45961</v>
      </c>
      <c r="E50" s="30">
        <v>24.52913796118203</v>
      </c>
      <c r="F50" s="14">
        <f>+'Mono SPOT MAT'!M50/'Fisico SPOT MAT'!M50/24</f>
        <v>32.010296899123297</v>
      </c>
      <c r="G50" s="13">
        <f t="shared" si="13"/>
        <v>14.4</v>
      </c>
      <c r="H50" s="12">
        <f>+'Mono ASIG'!AA50</f>
        <v>62.294662321836363</v>
      </c>
      <c r="I50" s="12">
        <f t="shared" si="14"/>
        <v>47.879488454607703</v>
      </c>
      <c r="J50" s="12">
        <f t="shared" si="15"/>
        <v>14.4</v>
      </c>
      <c r="K50" s="155">
        <f>+'Mono SPOT MAT'!T50</f>
        <v>0</v>
      </c>
      <c r="N50" s="139">
        <f>+'Mono SPOT MAT'!S50/'Fisico SPOT MAT'!S50/'Fisico SPOT MAT'!E50</f>
        <v>11.388271938453045</v>
      </c>
      <c r="R50">
        <v>0.9</v>
      </c>
    </row>
    <row r="51" spans="1:18" ht="15" customHeight="1" x14ac:dyDescent="0.25">
      <c r="A51" s="1">
        <f t="shared" si="11"/>
        <v>2025</v>
      </c>
      <c r="B51" s="52">
        <f t="shared" si="12"/>
        <v>45962</v>
      </c>
      <c r="C51" s="1" t="s">
        <v>51</v>
      </c>
      <c r="D51" s="5">
        <f t="shared" si="16"/>
        <v>45962</v>
      </c>
      <c r="E51" s="30">
        <v>27.458570262866459</v>
      </c>
      <c r="F51" s="14">
        <f>+'Mono SPOT MAT'!M51/'Fisico SPOT MAT'!M51/24</f>
        <v>35.371961419275259</v>
      </c>
      <c r="G51" s="13">
        <f t="shared" si="13"/>
        <v>14.4</v>
      </c>
      <c r="H51" s="12">
        <f>+'Mono ASIG'!AA51</f>
        <v>64.545112033536569</v>
      </c>
      <c r="I51" s="12">
        <f>+H51-J51*380/730/0.52</f>
        <v>50.129938166307909</v>
      </c>
      <c r="J51" s="12">
        <f t="shared" si="15"/>
        <v>14.4</v>
      </c>
      <c r="K51" s="155">
        <f>+'Mono SPOT MAT'!T51</f>
        <v>0</v>
      </c>
      <c r="L51" s="116"/>
      <c r="M51" s="116"/>
      <c r="N51" s="140">
        <f>+'Mono SPOT MAT'!S51/'Fisico SPOT MAT'!S51/'Fisico SPOT MAT'!E51</f>
        <v>11.537654625421732</v>
      </c>
      <c r="O51" s="116"/>
      <c r="R51">
        <v>0.9</v>
      </c>
    </row>
    <row r="52" spans="1:18" ht="15" customHeight="1" x14ac:dyDescent="0.25">
      <c r="A52" s="1">
        <f t="shared" si="11"/>
        <v>2025</v>
      </c>
      <c r="B52" s="52">
        <f t="shared" si="12"/>
        <v>45962</v>
      </c>
      <c r="C52" s="1" t="s">
        <v>52</v>
      </c>
      <c r="D52" s="5">
        <f t="shared" si="16"/>
        <v>45963</v>
      </c>
      <c r="E52" s="30">
        <v>28.907395232266708</v>
      </c>
      <c r="F52" s="14">
        <f>+'Mono SPOT MAT'!M52/'Fisico SPOT MAT'!M52/24</f>
        <v>36.141391732584516</v>
      </c>
      <c r="G52" s="13">
        <f t="shared" si="13"/>
        <v>14.4</v>
      </c>
      <c r="H52" s="12">
        <f>+'Mono ASIG'!AA52</f>
        <v>66.526824204129099</v>
      </c>
      <c r="I52" s="12">
        <f t="shared" ref="I52:I80" si="17">+H52-J52*380/730/0.52</f>
        <v>52.111650336900439</v>
      </c>
      <c r="J52" s="12">
        <f t="shared" si="15"/>
        <v>14.4</v>
      </c>
      <c r="K52" s="155">
        <f>+'Mono SPOT MAT'!T52</f>
        <v>0</v>
      </c>
      <c r="L52" s="116"/>
      <c r="M52" s="116"/>
      <c r="N52" s="139">
        <f>+'Mono SPOT MAT'!S52/'Fisico SPOT MAT'!S52/'Fisico SPOT MAT'!E52</f>
        <v>11.539048018147261</v>
      </c>
      <c r="O52" s="116"/>
      <c r="R52">
        <v>0.9</v>
      </c>
    </row>
    <row r="53" spans="1:18" ht="15" customHeight="1" x14ac:dyDescent="0.25">
      <c r="A53" s="1">
        <f t="shared" si="11"/>
        <v>2025</v>
      </c>
      <c r="B53" s="52">
        <f t="shared" si="12"/>
        <v>45962</v>
      </c>
      <c r="C53" s="1" t="s">
        <v>53</v>
      </c>
      <c r="D53" s="5">
        <f t="shared" si="16"/>
        <v>45964</v>
      </c>
      <c r="E53" s="30">
        <v>34.306080862567896</v>
      </c>
      <c r="F53" s="14">
        <f>+'Mono SPOT MAT'!M53/'Fisico SPOT MAT'!M53/24</f>
        <v>36.602821448594405</v>
      </c>
      <c r="G53" s="13">
        <f t="shared" si="13"/>
        <v>14.4</v>
      </c>
      <c r="H53" s="12">
        <f>+'Mono ASIG'!AA53</f>
        <v>55.358458451347367</v>
      </c>
      <c r="I53" s="12">
        <f t="shared" si="17"/>
        <v>40.943284584118707</v>
      </c>
      <c r="J53" s="12">
        <f t="shared" si="15"/>
        <v>14.4</v>
      </c>
      <c r="K53" s="155">
        <f>+'Mono SPOT MAT'!T53</f>
        <v>0</v>
      </c>
      <c r="L53" s="116"/>
      <c r="M53" s="116"/>
      <c r="N53" s="140">
        <f>+'Mono SPOT MAT'!S53/'Fisico SPOT MAT'!S53/'Fisico SPOT MAT'!E53</f>
        <v>11.540235112459357</v>
      </c>
      <c r="O53" s="116"/>
      <c r="R53">
        <v>0.9</v>
      </c>
    </row>
    <row r="54" spans="1:18" ht="15" customHeight="1" x14ac:dyDescent="0.25">
      <c r="A54" s="1">
        <f t="shared" si="11"/>
        <v>2025</v>
      </c>
      <c r="B54" s="52">
        <f t="shared" si="12"/>
        <v>45962</v>
      </c>
      <c r="C54" s="1" t="s">
        <v>54</v>
      </c>
      <c r="D54" s="5">
        <f t="shared" si="16"/>
        <v>45965</v>
      </c>
      <c r="E54" s="30">
        <v>37.283947543104254</v>
      </c>
      <c r="F54" s="14">
        <f>+'Mono SPOT MAT'!M54/'Fisico SPOT MAT'!M54/24</f>
        <v>37.719444702077674</v>
      </c>
      <c r="G54" s="13">
        <f t="shared" si="13"/>
        <v>14.4</v>
      </c>
      <c r="H54" s="12">
        <f>+'Mono ASIG'!AA54</f>
        <v>56.658081008104176</v>
      </c>
      <c r="I54" s="12">
        <f t="shared" si="17"/>
        <v>42.242907140875516</v>
      </c>
      <c r="J54" s="12">
        <f t="shared" si="15"/>
        <v>14.4</v>
      </c>
      <c r="K54" s="155">
        <f>+'Mono SPOT MAT'!T54</f>
        <v>0</v>
      </c>
      <c r="L54" s="116"/>
      <c r="M54" s="116"/>
      <c r="N54" s="139">
        <f>+'Mono SPOT MAT'!S54/'Fisico SPOT MAT'!S54/'Fisico SPOT MAT'!E54</f>
        <v>11.535087204747166</v>
      </c>
      <c r="O54" s="116"/>
      <c r="R54">
        <v>0.9</v>
      </c>
    </row>
    <row r="55" spans="1:18" ht="15" customHeight="1" x14ac:dyDescent="0.25">
      <c r="A55" s="1">
        <f t="shared" si="11"/>
        <v>2025</v>
      </c>
      <c r="B55" s="52">
        <f t="shared" si="12"/>
        <v>45962</v>
      </c>
      <c r="C55" s="1" t="s">
        <v>55</v>
      </c>
      <c r="D55" s="5">
        <f t="shared" si="16"/>
        <v>45966</v>
      </c>
      <c r="E55" s="30">
        <v>31.682310579560468</v>
      </c>
      <c r="F55" s="14">
        <f>+'Mono SPOT MAT'!M55/'Fisico SPOT MAT'!M55/24</f>
        <v>36.314061929363696</v>
      </c>
      <c r="G55" s="13">
        <f t="shared" si="13"/>
        <v>14.4</v>
      </c>
      <c r="H55" s="12">
        <f>+'Mono ASIG'!AA55</f>
        <v>59.008242794356924</v>
      </c>
      <c r="I55" s="12">
        <f t="shared" si="17"/>
        <v>44.593068927128265</v>
      </c>
      <c r="J55" s="12">
        <f t="shared" si="15"/>
        <v>14.4</v>
      </c>
      <c r="K55" s="155">
        <f>+'Mono SPOT MAT'!T55</f>
        <v>0</v>
      </c>
      <c r="L55" s="116"/>
      <c r="M55" s="116"/>
      <c r="N55" s="140">
        <f>+'Mono SPOT MAT'!S55/'Fisico SPOT MAT'!S55/'Fisico SPOT MAT'!E55</f>
        <v>11.558313239126381</v>
      </c>
      <c r="O55" s="116"/>
      <c r="R55">
        <v>0.9</v>
      </c>
    </row>
    <row r="56" spans="1:18" ht="15" customHeight="1" x14ac:dyDescent="0.25">
      <c r="A56" s="1">
        <f t="shared" si="11"/>
        <v>2025</v>
      </c>
      <c r="B56" s="52">
        <f t="shared" si="12"/>
        <v>45962</v>
      </c>
      <c r="C56" s="1" t="s">
        <v>56</v>
      </c>
      <c r="D56" s="5">
        <f t="shared" si="16"/>
        <v>45967</v>
      </c>
      <c r="E56" s="30">
        <v>30.806295366865793</v>
      </c>
      <c r="F56" s="14">
        <f>+'Mono SPOT MAT'!M56/'Fisico SPOT MAT'!M56/24</f>
        <v>35.438549943514147</v>
      </c>
      <c r="G56" s="13">
        <f t="shared" si="13"/>
        <v>14.4</v>
      </c>
      <c r="H56" s="12">
        <f>+'Mono ASIG'!AA56</f>
        <v>60.176227505955246</v>
      </c>
      <c r="I56" s="12">
        <f t="shared" si="17"/>
        <v>45.761053638726587</v>
      </c>
      <c r="J56" s="12">
        <f t="shared" si="15"/>
        <v>14.4</v>
      </c>
      <c r="K56" s="155">
        <f>+'Mono SPOT MAT'!T56</f>
        <v>0</v>
      </c>
      <c r="L56" s="116"/>
      <c r="M56" s="116"/>
      <c r="N56" s="139">
        <f>+'Mono SPOT MAT'!S56/'Fisico SPOT MAT'!S56/'Fisico SPOT MAT'!E56</f>
        <v>11.569716114066978</v>
      </c>
      <c r="O56" s="116"/>
      <c r="R56">
        <v>0.9</v>
      </c>
    </row>
    <row r="57" spans="1:18" ht="15" customHeight="1" x14ac:dyDescent="0.25">
      <c r="A57" s="1">
        <f t="shared" si="11"/>
        <v>2025</v>
      </c>
      <c r="B57" s="52">
        <f t="shared" si="12"/>
        <v>45962</v>
      </c>
      <c r="C57" s="1" t="s">
        <v>57</v>
      </c>
      <c r="D57" s="5">
        <f t="shared" si="16"/>
        <v>45968</v>
      </c>
      <c r="E57" s="30">
        <v>27.040567601261785</v>
      </c>
      <c r="F57" s="14">
        <f>+'Mono SPOT MAT'!M57/'Fisico SPOT MAT'!M57/24</f>
        <v>35.228816185285389</v>
      </c>
      <c r="G57" s="13">
        <f t="shared" si="13"/>
        <v>14.4</v>
      </c>
      <c r="H57" s="12">
        <f>+'Mono ASIG'!AA57</f>
        <v>59.03138400754144</v>
      </c>
      <c r="I57" s="12">
        <f t="shared" si="17"/>
        <v>44.616210140312781</v>
      </c>
      <c r="J57" s="12">
        <f t="shared" si="15"/>
        <v>14.4</v>
      </c>
      <c r="K57" s="155">
        <f>+'Mono SPOT MAT'!T57</f>
        <v>0</v>
      </c>
      <c r="L57" s="116"/>
      <c r="M57" s="116"/>
      <c r="N57" s="140">
        <f>+'Mono SPOT MAT'!S57/'Fisico SPOT MAT'!S57/'Fisico SPOT MAT'!E57</f>
        <v>11.582797298858582</v>
      </c>
      <c r="O57" s="116"/>
      <c r="R57">
        <v>0.9</v>
      </c>
    </row>
    <row r="58" spans="1:18" ht="15" customHeight="1" x14ac:dyDescent="0.25">
      <c r="A58" s="1">
        <f t="shared" si="11"/>
        <v>2025</v>
      </c>
      <c r="B58" s="52">
        <f t="shared" si="12"/>
        <v>45962</v>
      </c>
      <c r="C58" s="1" t="s">
        <v>51</v>
      </c>
      <c r="D58" s="5">
        <f t="shared" si="16"/>
        <v>45969</v>
      </c>
      <c r="E58" s="30">
        <v>32.240077278204474</v>
      </c>
      <c r="F58" s="14">
        <f>+'Mono SPOT MAT'!M58/'Fisico SPOT MAT'!M58/24</f>
        <v>36.535630821410514</v>
      </c>
      <c r="G58" s="13">
        <f t="shared" si="13"/>
        <v>14.4</v>
      </c>
      <c r="H58" s="12">
        <f>+'Mono ASIG'!AA58</f>
        <v>59.259116327720541</v>
      </c>
      <c r="I58" s="12">
        <f t="shared" si="17"/>
        <v>44.843942460491881</v>
      </c>
      <c r="J58" s="12">
        <f t="shared" si="15"/>
        <v>14.4</v>
      </c>
      <c r="K58" s="155">
        <f>+'Mono SPOT MAT'!T58</f>
        <v>0</v>
      </c>
      <c r="L58" s="116"/>
      <c r="M58" s="116"/>
      <c r="N58" s="139">
        <f>+'Mono SPOT MAT'!S58/'Fisico SPOT MAT'!S58/'Fisico SPOT MAT'!E58</f>
        <v>11.556633344228752</v>
      </c>
      <c r="O58" s="116"/>
      <c r="R58">
        <v>0.9</v>
      </c>
    </row>
    <row r="59" spans="1:18" ht="15" customHeight="1" x14ac:dyDescent="0.25">
      <c r="A59" s="1">
        <f t="shared" si="11"/>
        <v>2025</v>
      </c>
      <c r="B59" s="52">
        <f t="shared" si="12"/>
        <v>45962</v>
      </c>
      <c r="C59" s="1" t="s">
        <v>52</v>
      </c>
      <c r="D59" s="5">
        <f t="shared" si="16"/>
        <v>45970</v>
      </c>
      <c r="E59" s="30">
        <v>25.893742978751945</v>
      </c>
      <c r="F59" s="14">
        <f>+'Mono SPOT MAT'!M59/'Fisico SPOT MAT'!M59/24</f>
        <v>34.59431598228624</v>
      </c>
      <c r="G59" s="13">
        <f t="shared" si="13"/>
        <v>14.4</v>
      </c>
      <c r="H59" s="12">
        <f>+'Mono ASIG'!AA59</f>
        <v>60.95084229636381</v>
      </c>
      <c r="I59" s="12">
        <f t="shared" si="17"/>
        <v>46.53566842913515</v>
      </c>
      <c r="J59" s="12">
        <f t="shared" si="15"/>
        <v>14.4</v>
      </c>
      <c r="K59" s="155">
        <f>+'Mono SPOT MAT'!T59</f>
        <v>0</v>
      </c>
      <c r="L59" s="116"/>
      <c r="M59" s="116"/>
      <c r="N59" s="140">
        <f>+'Mono SPOT MAT'!S59/'Fisico SPOT MAT'!S59/'Fisico SPOT MAT'!E59</f>
        <v>11.563637664425132</v>
      </c>
      <c r="O59" s="116"/>
      <c r="R59">
        <v>0.9</v>
      </c>
    </row>
    <row r="60" spans="1:18" ht="15" customHeight="1" x14ac:dyDescent="0.25">
      <c r="A60" s="1">
        <f t="shared" si="11"/>
        <v>2025</v>
      </c>
      <c r="B60" s="52">
        <f t="shared" si="12"/>
        <v>45962</v>
      </c>
      <c r="C60" s="1" t="s">
        <v>53</v>
      </c>
      <c r="D60" s="5">
        <f t="shared" si="16"/>
        <v>45971</v>
      </c>
      <c r="E60" s="30">
        <v>26.593350219456141</v>
      </c>
      <c r="F60" s="14">
        <f>+'Mono SPOT MAT'!M60/'Fisico SPOT MAT'!M60/24</f>
        <v>35.559461432556226</v>
      </c>
      <c r="G60" s="13">
        <f t="shared" si="13"/>
        <v>14.4</v>
      </c>
      <c r="H60" s="12">
        <f>+'Mono ASIG'!AA60</f>
        <v>59.950232526713627</v>
      </c>
      <c r="I60" s="12">
        <f t="shared" si="17"/>
        <v>45.535058659484967</v>
      </c>
      <c r="J60" s="12">
        <f t="shared" si="15"/>
        <v>14.4</v>
      </c>
      <c r="K60" s="155">
        <f>+'Mono SPOT MAT'!T60</f>
        <v>0</v>
      </c>
      <c r="L60" s="116"/>
      <c r="M60" s="116"/>
      <c r="N60" s="139">
        <f>+'Mono SPOT MAT'!S60/'Fisico SPOT MAT'!S60/'Fisico SPOT MAT'!E60</f>
        <v>11.568568229235836</v>
      </c>
      <c r="O60" s="116"/>
      <c r="R60">
        <v>0.9</v>
      </c>
    </row>
    <row r="61" spans="1:18" ht="15" customHeight="1" x14ac:dyDescent="0.25">
      <c r="A61" s="1">
        <f t="shared" si="11"/>
        <v>2025</v>
      </c>
      <c r="B61" s="52">
        <f t="shared" si="12"/>
        <v>45962</v>
      </c>
      <c r="C61" s="1" t="s">
        <v>54</v>
      </c>
      <c r="D61" s="5">
        <f t="shared" si="16"/>
        <v>45972</v>
      </c>
      <c r="E61" s="30">
        <v>21.018059720806736</v>
      </c>
      <c r="F61" s="14">
        <f>+'Mono SPOT MAT'!M61/'Fisico SPOT MAT'!M61/24</f>
        <v>35.712015694241749</v>
      </c>
      <c r="G61" s="13">
        <f t="shared" si="13"/>
        <v>14.4</v>
      </c>
      <c r="H61" s="12">
        <f>+'Mono ASIG'!AA61</f>
        <v>61.665552545117372</v>
      </c>
      <c r="I61" s="12">
        <f t="shared" si="17"/>
        <v>47.250378677888712</v>
      </c>
      <c r="J61" s="12">
        <f t="shared" si="15"/>
        <v>14.4</v>
      </c>
      <c r="K61" s="155">
        <f>+'Mono SPOT MAT'!T61</f>
        <v>0</v>
      </c>
      <c r="L61" s="116"/>
      <c r="M61" s="116"/>
      <c r="N61" s="140">
        <f>+'Mono SPOT MAT'!S61/'Fisico SPOT MAT'!S61/'Fisico SPOT MAT'!E61</f>
        <v>11.528389741677747</v>
      </c>
      <c r="O61" s="116"/>
      <c r="R61">
        <v>0.9</v>
      </c>
    </row>
    <row r="62" spans="1:18" ht="15" customHeight="1" x14ac:dyDescent="0.25">
      <c r="A62" s="1">
        <f t="shared" si="11"/>
        <v>2025</v>
      </c>
      <c r="B62" s="52">
        <f t="shared" si="12"/>
        <v>45962</v>
      </c>
      <c r="C62" s="1" t="s">
        <v>55</v>
      </c>
      <c r="D62" s="5">
        <f t="shared" si="16"/>
        <v>45973</v>
      </c>
      <c r="E62" s="30">
        <v>30.197886447113081</v>
      </c>
      <c r="F62" s="14">
        <f>+'Mono SPOT MAT'!M62/'Fisico SPOT MAT'!M62/24</f>
        <v>34.386101335434397</v>
      </c>
      <c r="G62" s="13">
        <f t="shared" si="13"/>
        <v>14.4</v>
      </c>
      <c r="H62" s="12">
        <f>+'Mono ASIG'!AA62</f>
        <v>62.512183069025532</v>
      </c>
      <c r="I62" s="12">
        <f t="shared" si="17"/>
        <v>48.097009201796872</v>
      </c>
      <c r="J62" s="12">
        <f t="shared" si="15"/>
        <v>14.4</v>
      </c>
      <c r="K62" s="155">
        <f>+'Mono SPOT MAT'!T62</f>
        <v>0</v>
      </c>
      <c r="L62" s="116"/>
      <c r="M62" s="116"/>
      <c r="N62" s="139">
        <f>+'Mono SPOT MAT'!S62/'Fisico SPOT MAT'!S62/'Fisico SPOT MAT'!E62</f>
        <v>11.504256703561468</v>
      </c>
      <c r="O62" s="116"/>
      <c r="R62">
        <v>0.9</v>
      </c>
    </row>
    <row r="63" spans="1:18" ht="15" customHeight="1" x14ac:dyDescent="0.25">
      <c r="A63" s="1">
        <f t="shared" si="11"/>
        <v>2025</v>
      </c>
      <c r="B63" s="52">
        <f t="shared" si="12"/>
        <v>45962</v>
      </c>
      <c r="C63" s="1" t="s">
        <v>56</v>
      </c>
      <c r="D63" s="5">
        <f t="shared" si="16"/>
        <v>45974</v>
      </c>
      <c r="E63" s="30">
        <v>29.941578457014955</v>
      </c>
      <c r="F63" s="14">
        <f>+'Mono SPOT MAT'!M63/'Fisico SPOT MAT'!M63/24</f>
        <v>34.46662519546036</v>
      </c>
      <c r="G63" s="13">
        <f t="shared" si="13"/>
        <v>14.4</v>
      </c>
      <c r="H63" s="12">
        <f>+'Mono ASIG'!AA63</f>
        <v>60.186020215721534</v>
      </c>
      <c r="I63" s="12">
        <f t="shared" si="17"/>
        <v>45.770846348492874</v>
      </c>
      <c r="J63" s="12">
        <f t="shared" si="15"/>
        <v>14.4</v>
      </c>
      <c r="K63" s="155">
        <f>+'Mono SPOT MAT'!T63</f>
        <v>0</v>
      </c>
      <c r="L63" s="116"/>
      <c r="M63" s="116"/>
      <c r="N63" s="140">
        <f>+'Mono SPOT MAT'!S63/'Fisico SPOT MAT'!S63/'Fisico SPOT MAT'!E63</f>
        <v>11.500454593989756</v>
      </c>
      <c r="O63" s="116"/>
      <c r="R63">
        <v>0.9</v>
      </c>
    </row>
    <row r="64" spans="1:18" ht="15" customHeight="1" x14ac:dyDescent="0.25">
      <c r="A64" s="1">
        <f t="shared" si="11"/>
        <v>2025</v>
      </c>
      <c r="B64" s="52">
        <f t="shared" si="12"/>
        <v>45962</v>
      </c>
      <c r="C64" s="1" t="s">
        <v>57</v>
      </c>
      <c r="D64" s="5">
        <f t="shared" si="16"/>
        <v>45975</v>
      </c>
      <c r="E64" s="30">
        <v>29.836369651301904</v>
      </c>
      <c r="F64" s="14">
        <f>+'Mono SPOT MAT'!M64/'Fisico SPOT MAT'!M64/24</f>
        <v>34.976659966474607</v>
      </c>
      <c r="G64" s="13">
        <f t="shared" si="13"/>
        <v>14.4</v>
      </c>
      <c r="H64" s="12">
        <f>+'Mono ASIG'!AA64</f>
        <v>60.147682196884027</v>
      </c>
      <c r="I64" s="12">
        <f t="shared" si="17"/>
        <v>45.732508329655367</v>
      </c>
      <c r="J64" s="12">
        <f t="shared" si="15"/>
        <v>14.4</v>
      </c>
      <c r="K64" s="155">
        <f>+'Mono SPOT MAT'!T64</f>
        <v>0</v>
      </c>
      <c r="L64" s="116"/>
      <c r="M64" s="116"/>
      <c r="N64" s="139">
        <f>+'Mono SPOT MAT'!S64/'Fisico SPOT MAT'!S64/'Fisico SPOT MAT'!E64</f>
        <v>11.494406867041686</v>
      </c>
      <c r="O64" s="116"/>
      <c r="R64">
        <v>0.9</v>
      </c>
    </row>
    <row r="65" spans="1:18" ht="15" customHeight="1" x14ac:dyDescent="0.25">
      <c r="A65" s="1">
        <f t="shared" si="11"/>
        <v>2025</v>
      </c>
      <c r="B65" s="52">
        <f t="shared" si="12"/>
        <v>45962</v>
      </c>
      <c r="C65" s="1" t="s">
        <v>51</v>
      </c>
      <c r="D65" s="5">
        <f t="shared" si="16"/>
        <v>45976</v>
      </c>
      <c r="E65" s="30">
        <v>30.521186803668389</v>
      </c>
      <c r="F65" s="14">
        <f>+'Mono SPOT MAT'!M65/'Fisico SPOT MAT'!M65/24</f>
        <v>34.556556768163546</v>
      </c>
      <c r="G65" s="13">
        <f t="shared" si="13"/>
        <v>14.4</v>
      </c>
      <c r="H65" s="12">
        <f>+'Mono ASIG'!AA65</f>
        <v>59.045669261541526</v>
      </c>
      <c r="I65" s="12">
        <f t="shared" si="17"/>
        <v>44.630495394312867</v>
      </c>
      <c r="J65" s="12">
        <f t="shared" si="15"/>
        <v>14.4</v>
      </c>
      <c r="K65" s="155">
        <f>+'Mono SPOT MAT'!T65</f>
        <v>0</v>
      </c>
      <c r="L65" s="116"/>
      <c r="M65" s="116"/>
      <c r="N65" s="140">
        <f>+'Mono SPOT MAT'!S65/'Fisico SPOT MAT'!S65/'Fisico SPOT MAT'!E65</f>
        <v>11.486489459066945</v>
      </c>
      <c r="O65" s="116"/>
      <c r="R65">
        <v>0.9</v>
      </c>
    </row>
    <row r="66" spans="1:18" ht="15" customHeight="1" x14ac:dyDescent="0.25">
      <c r="A66" s="1">
        <f t="shared" si="11"/>
        <v>2025</v>
      </c>
      <c r="B66" s="52">
        <f t="shared" si="12"/>
        <v>45962</v>
      </c>
      <c r="C66" s="1" t="s">
        <v>52</v>
      </c>
      <c r="D66" s="5">
        <f t="shared" si="16"/>
        <v>45977</v>
      </c>
      <c r="E66" s="30">
        <v>27.028260233033475</v>
      </c>
      <c r="F66" s="14">
        <f>+'Mono SPOT MAT'!M66/'Fisico SPOT MAT'!M66/24</f>
        <v>34.802958976891581</v>
      </c>
      <c r="G66" s="13">
        <f t="shared" si="13"/>
        <v>14.4</v>
      </c>
      <c r="H66" s="12">
        <f>+'Mono ASIG'!AA66</f>
        <v>67.416028372837403</v>
      </c>
      <c r="I66" s="12">
        <f t="shared" si="17"/>
        <v>53.000854505608743</v>
      </c>
      <c r="J66" s="12">
        <f t="shared" si="15"/>
        <v>14.4</v>
      </c>
      <c r="K66" s="155">
        <f>+'Mono SPOT MAT'!T66</f>
        <v>0</v>
      </c>
      <c r="L66" s="116"/>
      <c r="M66" s="116"/>
      <c r="N66" s="139">
        <f>+'Mono SPOT MAT'!S66/'Fisico SPOT MAT'!S66/'Fisico SPOT MAT'!E66</f>
        <v>11.490739156272232</v>
      </c>
      <c r="O66" s="116"/>
      <c r="R66">
        <v>0.9</v>
      </c>
    </row>
    <row r="67" spans="1:18" ht="15" customHeight="1" x14ac:dyDescent="0.25">
      <c r="A67" s="1">
        <f t="shared" si="11"/>
        <v>2025</v>
      </c>
      <c r="B67" s="52">
        <f t="shared" si="12"/>
        <v>45962</v>
      </c>
      <c r="C67" s="1" t="s">
        <v>53</v>
      </c>
      <c r="D67" s="5">
        <f t="shared" si="16"/>
        <v>45978</v>
      </c>
      <c r="E67" s="30">
        <v>29.901240876289538</v>
      </c>
      <c r="F67" s="14">
        <f>+'Mono SPOT MAT'!M67/'Fisico SPOT MAT'!M67/24</f>
        <v>34.788794382117679</v>
      </c>
      <c r="G67" s="13">
        <f t="shared" si="13"/>
        <v>14.4</v>
      </c>
      <c r="H67" s="12">
        <f>+'Mono ASIG'!AA67</f>
        <v>65.504190581600739</v>
      </c>
      <c r="I67" s="12">
        <f t="shared" si="17"/>
        <v>51.089016714372079</v>
      </c>
      <c r="J67" s="12">
        <f t="shared" si="15"/>
        <v>14.4</v>
      </c>
      <c r="K67" s="155">
        <f>+'Mono SPOT MAT'!T67</f>
        <v>0</v>
      </c>
      <c r="L67" s="116"/>
      <c r="M67" s="116"/>
      <c r="N67" s="140">
        <f>+'Mono SPOT MAT'!S67/'Fisico SPOT MAT'!S67/'Fisico SPOT MAT'!E67</f>
        <v>11.504030900554399</v>
      </c>
      <c r="O67" s="116"/>
      <c r="R67">
        <v>0.9</v>
      </c>
    </row>
    <row r="68" spans="1:18" ht="15" customHeight="1" x14ac:dyDescent="0.25">
      <c r="A68" s="1">
        <f t="shared" si="11"/>
        <v>2025</v>
      </c>
      <c r="B68" s="52">
        <f t="shared" si="12"/>
        <v>45962</v>
      </c>
      <c r="C68" s="1" t="s">
        <v>54</v>
      </c>
      <c r="D68" s="5">
        <f t="shared" si="16"/>
        <v>45979</v>
      </c>
      <c r="E68" s="30">
        <v>32.471683295369481</v>
      </c>
      <c r="F68" s="14">
        <f>+'Mono SPOT MAT'!M68/'Fisico SPOT MAT'!M68/24</f>
        <v>34.959678845228801</v>
      </c>
      <c r="G68" s="13">
        <f t="shared" si="13"/>
        <v>14.4</v>
      </c>
      <c r="H68" s="12">
        <f>+'Mono ASIG'!AA68</f>
        <v>61.661250918106781</v>
      </c>
      <c r="I68" s="12">
        <f t="shared" si="17"/>
        <v>47.246077050878121</v>
      </c>
      <c r="J68" s="12">
        <f t="shared" si="15"/>
        <v>14.4</v>
      </c>
      <c r="K68" s="155">
        <f>+'Mono SPOT MAT'!T68</f>
        <v>0</v>
      </c>
      <c r="L68" s="116"/>
      <c r="M68" s="116"/>
      <c r="N68" s="139">
        <f>+'Mono SPOT MAT'!S68/'Fisico SPOT MAT'!S68/'Fisico SPOT MAT'!E68</f>
        <v>11.497084726079816</v>
      </c>
      <c r="O68" s="116"/>
      <c r="R68">
        <v>0.9</v>
      </c>
    </row>
    <row r="69" spans="1:18" ht="15" customHeight="1" x14ac:dyDescent="0.25">
      <c r="A69" s="1">
        <f t="shared" si="11"/>
        <v>2025</v>
      </c>
      <c r="B69" s="52">
        <f t="shared" si="12"/>
        <v>45962</v>
      </c>
      <c r="C69" s="1" t="s">
        <v>55</v>
      </c>
      <c r="D69" s="5">
        <f t="shared" si="16"/>
        <v>45980</v>
      </c>
      <c r="E69" s="30">
        <v>34.777098350657205</v>
      </c>
      <c r="F69" s="14">
        <f>+'Mono SPOT MAT'!M69/'Fisico SPOT MAT'!M69/24</f>
        <v>35.060717116919612</v>
      </c>
      <c r="G69" s="13">
        <f t="shared" si="13"/>
        <v>14.4</v>
      </c>
      <c r="H69" s="12">
        <f>+'Mono ASIG'!AA69</f>
        <v>56.857047506854762</v>
      </c>
      <c r="I69" s="12">
        <f t="shared" si="17"/>
        <v>42.441873639626102</v>
      </c>
      <c r="J69" s="12">
        <f t="shared" si="15"/>
        <v>14.4</v>
      </c>
      <c r="K69" s="155">
        <f>+'Mono SPOT MAT'!T69</f>
        <v>0</v>
      </c>
      <c r="L69" s="116"/>
      <c r="M69" s="116"/>
      <c r="N69" s="140">
        <f>+'Mono SPOT MAT'!S69/'Fisico SPOT MAT'!S69/'Fisico SPOT MAT'!E69</f>
        <v>11.498149939427272</v>
      </c>
      <c r="O69" s="116"/>
      <c r="R69">
        <v>0.9</v>
      </c>
    </row>
    <row r="70" spans="1:18" ht="15" customHeight="1" x14ac:dyDescent="0.25">
      <c r="A70" s="1">
        <f t="shared" si="11"/>
        <v>2025</v>
      </c>
      <c r="B70" s="52">
        <f t="shared" si="12"/>
        <v>45962</v>
      </c>
      <c r="C70" s="1" t="s">
        <v>56</v>
      </c>
      <c r="D70" s="5">
        <f t="shared" si="16"/>
        <v>45981</v>
      </c>
      <c r="E70" s="30">
        <v>35.109025683190616</v>
      </c>
      <c r="F70" s="14">
        <f>+'Mono SPOT MAT'!M70/'Fisico SPOT MAT'!M70/24</f>
        <v>35.503686819969978</v>
      </c>
      <c r="G70" s="13">
        <f t="shared" si="13"/>
        <v>14.4</v>
      </c>
      <c r="H70" s="12">
        <f>+'Mono ASIG'!AA70</f>
        <v>59.193086657239604</v>
      </c>
      <c r="I70" s="12">
        <f t="shared" si="17"/>
        <v>44.777912790010944</v>
      </c>
      <c r="J70" s="12">
        <f t="shared" si="15"/>
        <v>14.4</v>
      </c>
      <c r="K70" s="155">
        <f>+'Mono SPOT MAT'!T70</f>
        <v>0</v>
      </c>
      <c r="L70" s="116"/>
      <c r="M70" s="116"/>
      <c r="N70" s="139">
        <f>+'Mono SPOT MAT'!S70/'Fisico SPOT MAT'!S70/'Fisico SPOT MAT'!E70</f>
        <v>11.493630137505326</v>
      </c>
      <c r="O70" s="116"/>
      <c r="R70">
        <v>0.9</v>
      </c>
    </row>
    <row r="71" spans="1:18" ht="15" customHeight="1" x14ac:dyDescent="0.25">
      <c r="A71" s="1">
        <f t="shared" si="11"/>
        <v>2025</v>
      </c>
      <c r="B71" s="52">
        <f t="shared" si="12"/>
        <v>45962</v>
      </c>
      <c r="C71" s="1" t="s">
        <v>57</v>
      </c>
      <c r="D71" s="5">
        <f t="shared" si="16"/>
        <v>45982</v>
      </c>
      <c r="E71" s="30">
        <v>35.905804874543172</v>
      </c>
      <c r="F71" s="14">
        <f>+'Mono SPOT MAT'!M71/'Fisico SPOT MAT'!M71/24</f>
        <v>34.521452971426534</v>
      </c>
      <c r="G71" s="13">
        <f t="shared" si="13"/>
        <v>14.4</v>
      </c>
      <c r="H71" s="12">
        <f>+'Mono ASIG'!AA71</f>
        <v>61.724991375959654</v>
      </c>
      <c r="I71" s="12">
        <f t="shared" si="17"/>
        <v>47.309817508730994</v>
      </c>
      <c r="J71" s="12">
        <f t="shared" si="15"/>
        <v>14.4</v>
      </c>
      <c r="K71" s="155">
        <f>+'Mono SPOT MAT'!T71</f>
        <v>0</v>
      </c>
      <c r="L71" s="116"/>
      <c r="M71" s="116"/>
      <c r="N71" s="140">
        <f>+'Mono SPOT MAT'!S71/'Fisico SPOT MAT'!S71/'Fisico SPOT MAT'!E71</f>
        <v>11.483839421364772</v>
      </c>
      <c r="O71" s="116"/>
      <c r="R71">
        <v>0.9</v>
      </c>
    </row>
    <row r="72" spans="1:18" ht="15" customHeight="1" x14ac:dyDescent="0.25">
      <c r="A72" s="1">
        <f t="shared" si="11"/>
        <v>2025</v>
      </c>
      <c r="B72" s="52">
        <f t="shared" si="12"/>
        <v>45962</v>
      </c>
      <c r="C72" s="1" t="s">
        <v>51</v>
      </c>
      <c r="D72" s="5">
        <f t="shared" si="16"/>
        <v>45983</v>
      </c>
      <c r="E72" s="30">
        <v>35.429349854239042</v>
      </c>
      <c r="F72" s="14">
        <f>+'Mono SPOT MAT'!M72/'Fisico SPOT MAT'!M72/24</f>
        <v>34.536057486639983</v>
      </c>
      <c r="G72" s="13">
        <f t="shared" si="13"/>
        <v>14.4</v>
      </c>
      <c r="H72" s="12">
        <f>+'Mono ASIG'!AA72</f>
        <v>64.647326427222225</v>
      </c>
      <c r="I72" s="12">
        <f t="shared" si="17"/>
        <v>50.232152559993565</v>
      </c>
      <c r="J72" s="12">
        <f t="shared" si="15"/>
        <v>14.4</v>
      </c>
      <c r="K72" s="155">
        <f>+'Mono SPOT MAT'!T72</f>
        <v>0</v>
      </c>
      <c r="L72" s="116"/>
      <c r="M72" s="116"/>
      <c r="N72" s="139">
        <f>+'Mono SPOT MAT'!S72/'Fisico SPOT MAT'!S72/'Fisico SPOT MAT'!E72</f>
        <v>11.48305402568643</v>
      </c>
      <c r="O72" s="116"/>
      <c r="R72">
        <v>0.9</v>
      </c>
    </row>
    <row r="73" spans="1:18" ht="15" customHeight="1" x14ac:dyDescent="0.25">
      <c r="A73" s="1">
        <f t="shared" si="11"/>
        <v>2025</v>
      </c>
      <c r="B73" s="52">
        <f t="shared" si="12"/>
        <v>45962</v>
      </c>
      <c r="C73" s="1" t="s">
        <v>52</v>
      </c>
      <c r="D73" s="5">
        <f t="shared" si="16"/>
        <v>45984</v>
      </c>
      <c r="E73" s="30">
        <v>25.941439276993723</v>
      </c>
      <c r="F73" s="14">
        <f>+'Mono SPOT MAT'!M73/'Fisico SPOT MAT'!M73/24</f>
        <v>34.660101497686767</v>
      </c>
      <c r="G73" s="13">
        <f t="shared" si="13"/>
        <v>14.4</v>
      </c>
      <c r="H73" s="12">
        <f>+'Mono ASIG'!AA73</f>
        <v>70.406290010366718</v>
      </c>
      <c r="I73" s="12">
        <f t="shared" si="17"/>
        <v>55.991116143138058</v>
      </c>
      <c r="J73" s="12">
        <f t="shared" si="15"/>
        <v>14.4</v>
      </c>
      <c r="K73" s="155">
        <f>+'Mono SPOT MAT'!T73</f>
        <v>0</v>
      </c>
      <c r="L73" s="116"/>
      <c r="M73" s="116"/>
      <c r="N73" s="140">
        <f>+'Mono SPOT MAT'!S73/'Fisico SPOT MAT'!S73/'Fisico SPOT MAT'!E73</f>
        <v>11.491194745515921</v>
      </c>
      <c r="O73" s="116"/>
      <c r="R73">
        <v>0.9</v>
      </c>
    </row>
    <row r="74" spans="1:18" ht="15" customHeight="1" x14ac:dyDescent="0.25">
      <c r="A74" s="1">
        <f t="shared" si="11"/>
        <v>2025</v>
      </c>
      <c r="B74" s="52">
        <f t="shared" si="12"/>
        <v>45962</v>
      </c>
      <c r="C74" s="1" t="s">
        <v>53</v>
      </c>
      <c r="D74" s="5">
        <f t="shared" si="16"/>
        <v>45985</v>
      </c>
      <c r="E74" s="30">
        <v>29.672451778405769</v>
      </c>
      <c r="F74" s="14">
        <f>+'Mono SPOT MAT'!M74/'Fisico SPOT MAT'!M74/24</f>
        <v>34.764344308295968</v>
      </c>
      <c r="G74" s="13">
        <f t="shared" si="13"/>
        <v>14.4</v>
      </c>
      <c r="H74" s="12">
        <f>+'Mono ASIG'!AA74</f>
        <v>68.710698135386934</v>
      </c>
      <c r="I74" s="12">
        <f t="shared" si="17"/>
        <v>54.295524268158275</v>
      </c>
      <c r="J74" s="12">
        <f t="shared" si="15"/>
        <v>14.4</v>
      </c>
      <c r="K74" s="155">
        <f>+'Mono SPOT MAT'!T74</f>
        <v>0</v>
      </c>
      <c r="L74" s="116"/>
      <c r="M74" s="116"/>
      <c r="N74" s="139">
        <f>+'Mono SPOT MAT'!S74/'Fisico SPOT MAT'!S74/'Fisico SPOT MAT'!E74</f>
        <v>11.515863729253727</v>
      </c>
      <c r="O74" s="116"/>
      <c r="R74">
        <v>0.9</v>
      </c>
    </row>
    <row r="75" spans="1:18" ht="15" customHeight="1" x14ac:dyDescent="0.25">
      <c r="A75" s="1">
        <f t="shared" si="11"/>
        <v>2025</v>
      </c>
      <c r="B75" s="52">
        <f t="shared" si="12"/>
        <v>45962</v>
      </c>
      <c r="C75" s="1" t="s">
        <v>54</v>
      </c>
      <c r="D75" s="5">
        <f t="shared" si="16"/>
        <v>45986</v>
      </c>
      <c r="E75" s="30">
        <v>39.566094308617728</v>
      </c>
      <c r="F75" s="14">
        <f>+'Mono SPOT MAT'!M75/'Fisico SPOT MAT'!M75/24</f>
        <v>37.110331096403115</v>
      </c>
      <c r="G75" s="13">
        <f t="shared" si="13"/>
        <v>14.4</v>
      </c>
      <c r="H75" s="12">
        <f>+'Mono ASIG'!AA75</f>
        <v>59.502603840170515</v>
      </c>
      <c r="I75" s="12">
        <f t="shared" si="17"/>
        <v>45.087429972941855</v>
      </c>
      <c r="J75" s="12">
        <f t="shared" si="15"/>
        <v>14.4</v>
      </c>
      <c r="K75" s="155">
        <f>+'Mono SPOT MAT'!T75</f>
        <v>0</v>
      </c>
      <c r="L75" s="116"/>
      <c r="M75" s="116"/>
      <c r="N75" s="140">
        <f>+'Mono SPOT MAT'!S75/'Fisico SPOT MAT'!S75/'Fisico SPOT MAT'!E75</f>
        <v>11.531118174998205</v>
      </c>
      <c r="O75" s="116"/>
      <c r="R75">
        <v>0.9</v>
      </c>
    </row>
    <row r="76" spans="1:18" ht="15" customHeight="1" x14ac:dyDescent="0.25">
      <c r="A76" s="1">
        <f t="shared" si="11"/>
        <v>2025</v>
      </c>
      <c r="B76" s="52">
        <f t="shared" si="12"/>
        <v>45962</v>
      </c>
      <c r="C76" s="1" t="s">
        <v>55</v>
      </c>
      <c r="D76" s="5">
        <f t="shared" si="16"/>
        <v>45987</v>
      </c>
      <c r="E76" s="30">
        <v>40.496669327540943</v>
      </c>
      <c r="F76" s="14">
        <f>+'Mono SPOT MAT'!M76/'Fisico SPOT MAT'!M76/24</f>
        <v>37.429719112888428</v>
      </c>
      <c r="G76" s="13">
        <f t="shared" si="13"/>
        <v>14.4</v>
      </c>
      <c r="H76" s="12">
        <f>+'Mono ASIG'!AA76</f>
        <v>59.160031823524058</v>
      </c>
      <c r="I76" s="12">
        <f t="shared" si="17"/>
        <v>44.744857956295398</v>
      </c>
      <c r="J76" s="12">
        <f t="shared" si="15"/>
        <v>14.4</v>
      </c>
      <c r="K76" s="155">
        <f>+'Mono SPOT MAT'!T76</f>
        <v>0</v>
      </c>
      <c r="L76" s="116"/>
      <c r="M76" s="116"/>
      <c r="N76" s="139">
        <f>+'Mono SPOT MAT'!S76/'Fisico SPOT MAT'!S76/'Fisico SPOT MAT'!E76</f>
        <v>11.526373496391987</v>
      </c>
      <c r="O76" s="116"/>
      <c r="R76">
        <v>0.9</v>
      </c>
    </row>
    <row r="77" spans="1:18" ht="15" customHeight="1" x14ac:dyDescent="0.25">
      <c r="A77" s="1">
        <f t="shared" si="11"/>
        <v>2025</v>
      </c>
      <c r="B77" s="52">
        <f t="shared" si="12"/>
        <v>45962</v>
      </c>
      <c r="C77" s="1" t="s">
        <v>56</v>
      </c>
      <c r="D77" s="5">
        <f t="shared" si="16"/>
        <v>45988</v>
      </c>
      <c r="E77" s="30">
        <v>39.856268754407886</v>
      </c>
      <c r="F77" s="14">
        <f>+'Mono SPOT MAT'!M77/'Fisico SPOT MAT'!M77/24</f>
        <v>37.624435953045982</v>
      </c>
      <c r="G77" s="13">
        <f t="shared" si="13"/>
        <v>14.4</v>
      </c>
      <c r="H77" s="12">
        <f>+'Mono ASIG'!AA77</f>
        <v>58.633899214127837</v>
      </c>
      <c r="I77" s="12">
        <f t="shared" si="17"/>
        <v>44.218725346899177</v>
      </c>
      <c r="J77" s="12">
        <f t="shared" si="15"/>
        <v>14.4</v>
      </c>
      <c r="K77" s="155">
        <f>+'Mono SPOT MAT'!T77</f>
        <v>0</v>
      </c>
      <c r="L77" s="116"/>
      <c r="M77" s="116"/>
      <c r="N77" s="140">
        <f>+'Mono SPOT MAT'!S77/'Fisico SPOT MAT'!S77/'Fisico SPOT MAT'!E77</f>
        <v>11.584046260304735</v>
      </c>
      <c r="O77" s="116"/>
      <c r="R77">
        <v>0.9</v>
      </c>
    </row>
    <row r="78" spans="1:18" ht="15" customHeight="1" x14ac:dyDescent="0.25">
      <c r="A78" s="1">
        <f t="shared" si="11"/>
        <v>2025</v>
      </c>
      <c r="B78" s="52">
        <f t="shared" si="12"/>
        <v>45962</v>
      </c>
      <c r="C78" s="1" t="s">
        <v>57</v>
      </c>
      <c r="D78" s="5">
        <f t="shared" si="16"/>
        <v>45989</v>
      </c>
      <c r="E78" s="30">
        <v>44.869096082455634</v>
      </c>
      <c r="F78" s="14">
        <f>+'Mono SPOT MAT'!M78/'Fisico SPOT MAT'!M78/24</f>
        <v>37.986995966888934</v>
      </c>
      <c r="G78" s="13">
        <f t="shared" si="13"/>
        <v>14.4</v>
      </c>
      <c r="H78" s="12">
        <f>+'Mono ASIG'!AA78</f>
        <v>62.0670422942313</v>
      </c>
      <c r="I78" s="12">
        <f t="shared" si="17"/>
        <v>47.65186842700264</v>
      </c>
      <c r="J78" s="12">
        <f t="shared" si="15"/>
        <v>14.4</v>
      </c>
      <c r="K78" s="155">
        <f>+'Mono SPOT MAT'!T78</f>
        <v>0</v>
      </c>
      <c r="L78" s="116"/>
      <c r="M78" s="116"/>
      <c r="N78" s="139">
        <f>+'Mono SPOT MAT'!S78/'Fisico SPOT MAT'!S78/'Fisico SPOT MAT'!E78</f>
        <v>11.590799585219045</v>
      </c>
      <c r="O78" s="116"/>
      <c r="R78">
        <v>0.9</v>
      </c>
    </row>
    <row r="79" spans="1:18" ht="15" customHeight="1" x14ac:dyDescent="0.25">
      <c r="A79" s="1">
        <f t="shared" si="11"/>
        <v>2025</v>
      </c>
      <c r="B79" s="52">
        <f t="shared" si="12"/>
        <v>45962</v>
      </c>
      <c r="C79" s="1" t="s">
        <v>51</v>
      </c>
      <c r="D79" s="5">
        <f t="shared" si="16"/>
        <v>45990</v>
      </c>
      <c r="E79" s="30">
        <v>37.855211743826146</v>
      </c>
      <c r="F79" s="14">
        <f>+'Mono SPOT MAT'!M79/'Fisico SPOT MAT'!M79/24</f>
        <v>36.631745943494245</v>
      </c>
      <c r="G79" s="13">
        <f t="shared" si="13"/>
        <v>14.4</v>
      </c>
      <c r="H79" s="12">
        <f>+'Mono ASIG'!AA79</f>
        <v>70.515989317034027</v>
      </c>
      <c r="I79" s="12">
        <f t="shared" si="17"/>
        <v>56.100815449805367</v>
      </c>
      <c r="J79" s="12">
        <f t="shared" si="15"/>
        <v>14.4</v>
      </c>
      <c r="K79" s="155">
        <f>+'Mono SPOT MAT'!T79</f>
        <v>0</v>
      </c>
      <c r="L79" s="116"/>
      <c r="M79" s="116"/>
      <c r="N79" s="140">
        <f>+'Mono SPOT MAT'!S79/'Fisico SPOT MAT'!S79/'Fisico SPOT MAT'!E79</f>
        <v>11.607455448912305</v>
      </c>
      <c r="O79" s="116"/>
      <c r="R79">
        <v>0.9</v>
      </c>
    </row>
    <row r="80" spans="1:18" ht="15" customHeight="1" x14ac:dyDescent="0.25">
      <c r="A80" s="1">
        <f t="shared" si="11"/>
        <v>2025</v>
      </c>
      <c r="B80" s="52">
        <f t="shared" si="12"/>
        <v>45962</v>
      </c>
      <c r="C80" s="1" t="s">
        <v>52</v>
      </c>
      <c r="D80" s="5">
        <f t="shared" si="16"/>
        <v>45991</v>
      </c>
      <c r="E80" s="30">
        <v>37.418409445375623</v>
      </c>
      <c r="F80" s="14">
        <f>+'Mono SPOT MAT'!M80/'Fisico SPOT MAT'!M80/24</f>
        <v>35.166271873467046</v>
      </c>
      <c r="G80" s="13">
        <f t="shared" si="13"/>
        <v>14.4</v>
      </c>
      <c r="H80" s="12">
        <f>+'Mono ASIG'!AA80</f>
        <v>71.721664124703906</v>
      </c>
      <c r="I80" s="12">
        <f t="shared" si="17"/>
        <v>57.306490257475247</v>
      </c>
      <c r="J80" s="12">
        <f t="shared" si="15"/>
        <v>14.4</v>
      </c>
      <c r="K80" s="155">
        <f>+'Mono SPOT MAT'!T80</f>
        <v>0</v>
      </c>
      <c r="L80" s="116"/>
      <c r="M80" s="116"/>
      <c r="N80" s="139">
        <f>+'Mono SPOT MAT'!S80/'Fisico SPOT MAT'!S80/'Fisico SPOT MAT'!E80</f>
        <v>11.571718763515989</v>
      </c>
      <c r="O80" s="116"/>
      <c r="R80">
        <v>0.9</v>
      </c>
    </row>
    <row r="81" spans="1:18" ht="15" customHeight="1" x14ac:dyDescent="0.25">
      <c r="A81" s="1">
        <f t="shared" si="11"/>
        <v>2025</v>
      </c>
      <c r="B81" s="52">
        <f t="shared" si="12"/>
        <v>45992</v>
      </c>
      <c r="C81" s="1" t="s">
        <v>53</v>
      </c>
      <c r="D81" s="5">
        <f t="shared" si="16"/>
        <v>45992</v>
      </c>
      <c r="E81" s="30">
        <v>47.852747857860201</v>
      </c>
      <c r="F81" s="14">
        <f>+'Mono SPOT MAT'!M81/'Fisico SPOT MAT'!M81/24</f>
        <v>39.212750804979741</v>
      </c>
      <c r="G81" s="13">
        <f t="shared" si="13"/>
        <v>17.600000000000001</v>
      </c>
      <c r="H81" s="12">
        <f>+'Mono ASIG'!AA81</f>
        <v>64.022508150421643</v>
      </c>
      <c r="I81" s="12">
        <f>+H81-J81*384/744/0.52</f>
        <v>46.553525520148696</v>
      </c>
      <c r="J81" s="12">
        <f t="shared" si="15"/>
        <v>17.600000000000001</v>
      </c>
      <c r="K81" s="155">
        <f>+'Mono SPOT MAT'!T81</f>
        <v>0</v>
      </c>
      <c r="L81" s="116"/>
      <c r="M81" s="116"/>
      <c r="N81" s="140">
        <f>+'Mono SPOT MAT'!S81/'Fisico SPOT MAT'!S81/'Fisico SPOT MAT'!E81</f>
        <v>15.791563134142015</v>
      </c>
      <c r="O81" s="116"/>
      <c r="R81">
        <v>1.1000000000000001</v>
      </c>
    </row>
    <row r="82" spans="1:18" ht="15" customHeight="1" x14ac:dyDescent="0.25">
      <c r="A82" s="1">
        <f t="shared" si="11"/>
        <v>2025</v>
      </c>
      <c r="B82" s="52">
        <f t="shared" si="12"/>
        <v>45992</v>
      </c>
      <c r="C82" s="1" t="s">
        <v>54</v>
      </c>
      <c r="D82" s="5">
        <f t="shared" si="16"/>
        <v>45993</v>
      </c>
      <c r="E82" s="30">
        <v>44.491078778116837</v>
      </c>
      <c r="F82" s="14">
        <f>+'Mono SPOT MAT'!M82/'Fisico SPOT MAT'!M82/24</f>
        <v>38.655333050726419</v>
      </c>
      <c r="G82" s="13">
        <f t="shared" si="13"/>
        <v>17.600000000000001</v>
      </c>
      <c r="H82" s="12">
        <f>+'Mono ASIG'!AA82</f>
        <v>65.403461479333814</v>
      </c>
      <c r="I82" s="12">
        <f t="shared" ref="I82:I111" si="18">+H82-J82*384/744/0.52</f>
        <v>47.934478849060866</v>
      </c>
      <c r="J82" s="12">
        <f t="shared" si="15"/>
        <v>17.600000000000001</v>
      </c>
      <c r="K82" s="155">
        <f>+'Mono SPOT MAT'!T82</f>
        <v>0</v>
      </c>
      <c r="L82" s="116"/>
      <c r="M82" s="116"/>
      <c r="N82" s="139">
        <f>+'Mono SPOT MAT'!S82/'Fisico SPOT MAT'!S82/'Fisico SPOT MAT'!E82</f>
        <v>15.717185355511919</v>
      </c>
      <c r="O82" s="116"/>
      <c r="R82">
        <v>1.1000000000000001</v>
      </c>
    </row>
    <row r="83" spans="1:18" ht="15" customHeight="1" x14ac:dyDescent="0.25">
      <c r="A83" s="1">
        <f t="shared" si="11"/>
        <v>2025</v>
      </c>
      <c r="B83" s="52">
        <f t="shared" si="12"/>
        <v>45992</v>
      </c>
      <c r="C83" s="1" t="s">
        <v>55</v>
      </c>
      <c r="D83" s="5">
        <f t="shared" si="16"/>
        <v>45994</v>
      </c>
      <c r="E83" s="30">
        <v>49.450391463645929</v>
      </c>
      <c r="F83" s="14">
        <f>+'Mono SPOT MAT'!M83/'Fisico SPOT MAT'!M83/24</f>
        <v>40.563122782016421</v>
      </c>
      <c r="G83" s="13">
        <f t="shared" si="13"/>
        <v>17.600000000000001</v>
      </c>
      <c r="H83" s="12">
        <f>+'Mono ASIG'!AA83</f>
        <v>60.136069089140086</v>
      </c>
      <c r="I83" s="12">
        <f t="shared" si="18"/>
        <v>42.667086458867132</v>
      </c>
      <c r="J83" s="12">
        <f t="shared" si="15"/>
        <v>17.600000000000001</v>
      </c>
      <c r="K83" s="155">
        <f>+'Mono SPOT MAT'!T83</f>
        <v>0</v>
      </c>
      <c r="L83" s="116"/>
      <c r="M83" s="116"/>
      <c r="N83" s="140">
        <f>+'Mono SPOT MAT'!S83/'Fisico SPOT MAT'!S83/'Fisico SPOT MAT'!E83</f>
        <v>15.603869440283482</v>
      </c>
      <c r="O83" s="116"/>
      <c r="R83">
        <v>1.1000000000000001</v>
      </c>
    </row>
    <row r="84" spans="1:18" ht="15" customHeight="1" x14ac:dyDescent="0.25">
      <c r="A84" s="1">
        <f t="shared" si="11"/>
        <v>2025</v>
      </c>
      <c r="B84" s="52">
        <f t="shared" si="12"/>
        <v>45992</v>
      </c>
      <c r="C84" s="1" t="s">
        <v>56</v>
      </c>
      <c r="D84" s="5">
        <f t="shared" si="16"/>
        <v>45995</v>
      </c>
      <c r="E84" s="30">
        <v>48.991630817056908</v>
      </c>
      <c r="F84" s="14">
        <f>+'Mono SPOT MAT'!M84/'Fisico SPOT MAT'!M84/24</f>
        <v>41.329226264254892</v>
      </c>
      <c r="G84" s="13">
        <f t="shared" si="13"/>
        <v>17.600000000000001</v>
      </c>
      <c r="H84" s="12">
        <f>+'Mono ASIG'!AA84</f>
        <v>58.429943954614167</v>
      </c>
      <c r="I84" s="12">
        <f t="shared" si="18"/>
        <v>40.960961324341213</v>
      </c>
      <c r="J84" s="12">
        <f t="shared" si="15"/>
        <v>17.600000000000001</v>
      </c>
      <c r="K84" s="155">
        <f>+'Mono SPOT MAT'!T84</f>
        <v>0</v>
      </c>
      <c r="L84" s="116"/>
      <c r="M84" s="116"/>
      <c r="N84" s="139">
        <f>+'Mono SPOT MAT'!S84/'Fisico SPOT MAT'!S84/'Fisico SPOT MAT'!E84</f>
        <v>15.598165782800431</v>
      </c>
      <c r="O84" s="116"/>
      <c r="R84">
        <v>1.1000000000000001</v>
      </c>
    </row>
    <row r="85" spans="1:18" ht="15" customHeight="1" x14ac:dyDescent="0.25">
      <c r="A85" s="1">
        <f t="shared" ref="A85:A117" si="19">YEAR(D85)</f>
        <v>2025</v>
      </c>
      <c r="B85" s="52">
        <f t="shared" ref="B85:B148" si="20">DATE(A85,MONTH(D85),1)</f>
        <v>45992</v>
      </c>
      <c r="C85" s="1" t="s">
        <v>57</v>
      </c>
      <c r="D85" s="5">
        <f t="shared" si="16"/>
        <v>45996</v>
      </c>
      <c r="E85" s="30">
        <v>46.557260091777778</v>
      </c>
      <c r="F85" s="14">
        <f>+'Mono SPOT MAT'!M85/'Fisico SPOT MAT'!M85/24</f>
        <v>41.498490297561041</v>
      </c>
      <c r="G85" s="13">
        <f t="shared" ref="G85:G95" si="21">16*R85</f>
        <v>17.600000000000001</v>
      </c>
      <c r="H85" s="12">
        <f>+'Mono ASIG'!AA85</f>
        <v>57.109960298952842</v>
      </c>
      <c r="I85" s="12">
        <f t="shared" si="18"/>
        <v>39.640977668679895</v>
      </c>
      <c r="J85" s="12">
        <f t="shared" ref="J85:J95" si="22">16*R85</f>
        <v>17.600000000000001</v>
      </c>
      <c r="K85" s="155">
        <f>+'Mono SPOT MAT'!T85</f>
        <v>0</v>
      </c>
      <c r="L85" s="116"/>
      <c r="M85" s="116"/>
      <c r="N85" s="140">
        <f>+'Mono SPOT MAT'!S85/'Fisico SPOT MAT'!S85/'Fisico SPOT MAT'!E85</f>
        <v>15.745533024955501</v>
      </c>
      <c r="O85" s="116"/>
      <c r="R85">
        <v>1.1000000000000001</v>
      </c>
    </row>
    <row r="86" spans="1:18" ht="15" customHeight="1" x14ac:dyDescent="0.25">
      <c r="A86" s="1">
        <f t="shared" si="19"/>
        <v>2025</v>
      </c>
      <c r="B86" s="52">
        <f t="shared" si="20"/>
        <v>45992</v>
      </c>
      <c r="C86" s="1" t="s">
        <v>51</v>
      </c>
      <c r="D86" s="5">
        <f t="shared" ref="D86:D101" si="23">+ D85+1</f>
        <v>45997</v>
      </c>
      <c r="E86" s="30">
        <v>59.777719135432385</v>
      </c>
      <c r="F86" s="14">
        <f>+'Mono SPOT MAT'!M86/'Fisico SPOT MAT'!M86/24</f>
        <v>45.074174799035738</v>
      </c>
      <c r="G86" s="13">
        <f t="shared" si="21"/>
        <v>17.600000000000001</v>
      </c>
      <c r="H86" s="12">
        <f>+'Mono ASIG'!AA86</f>
        <v>61.338369257079087</v>
      </c>
      <c r="I86" s="12">
        <f t="shared" si="18"/>
        <v>43.869386626806133</v>
      </c>
      <c r="J86" s="12">
        <f t="shared" si="22"/>
        <v>17.600000000000001</v>
      </c>
      <c r="K86" s="155">
        <f>+'Mono SPOT MAT'!T86</f>
        <v>0</v>
      </c>
      <c r="L86" s="116"/>
      <c r="M86" s="116"/>
      <c r="N86" s="139">
        <f>+'Mono SPOT MAT'!S86/'Fisico SPOT MAT'!S86/'Fisico SPOT MAT'!E86</f>
        <v>15.666098564587935</v>
      </c>
      <c r="O86" s="116"/>
      <c r="R86">
        <v>1.1000000000000001</v>
      </c>
    </row>
    <row r="87" spans="1:18" ht="15" customHeight="1" x14ac:dyDescent="0.25">
      <c r="A87" s="1">
        <f t="shared" si="19"/>
        <v>2025</v>
      </c>
      <c r="B87" s="52">
        <f t="shared" si="20"/>
        <v>45992</v>
      </c>
      <c r="C87" s="1" t="s">
        <v>52</v>
      </c>
      <c r="D87" s="5">
        <f t="shared" si="23"/>
        <v>45998</v>
      </c>
      <c r="E87" s="30">
        <v>59.78868714073861</v>
      </c>
      <c r="F87" s="14">
        <f>+'Mono SPOT MAT'!M87/'Fisico SPOT MAT'!M87/24</f>
        <v>44.279851665499848</v>
      </c>
      <c r="G87" s="13">
        <f t="shared" si="21"/>
        <v>17.600000000000001</v>
      </c>
      <c r="H87" s="12">
        <f>+'Mono ASIG'!AA87</f>
        <v>65.415919407452876</v>
      </c>
      <c r="I87" s="12">
        <f t="shared" si="18"/>
        <v>47.946936777179928</v>
      </c>
      <c r="J87" s="12">
        <f t="shared" si="22"/>
        <v>17.600000000000001</v>
      </c>
      <c r="K87" s="155">
        <f>+'Mono SPOT MAT'!T87</f>
        <v>0</v>
      </c>
      <c r="L87" s="116"/>
      <c r="M87" s="116"/>
      <c r="N87" s="140">
        <f>+'Mono SPOT MAT'!S87/'Fisico SPOT MAT'!S87/'Fisico SPOT MAT'!E87</f>
        <v>15.759381217854768</v>
      </c>
      <c r="O87" s="116"/>
      <c r="R87">
        <v>1.1000000000000001</v>
      </c>
    </row>
    <row r="88" spans="1:18" ht="15" customHeight="1" x14ac:dyDescent="0.25">
      <c r="A88" s="1">
        <f t="shared" si="19"/>
        <v>2025</v>
      </c>
      <c r="B88" s="52">
        <f t="shared" si="20"/>
        <v>45992</v>
      </c>
      <c r="C88" s="1" t="s">
        <v>53</v>
      </c>
      <c r="D88" s="5">
        <f t="shared" si="23"/>
        <v>45999</v>
      </c>
      <c r="E88" s="30">
        <v>33.099054371965885</v>
      </c>
      <c r="F88" s="14">
        <f>+'Mono SPOT MAT'!M88/'Fisico SPOT MAT'!M88/24</f>
        <v>39.032010057155823</v>
      </c>
      <c r="G88" s="13">
        <f t="shared" si="21"/>
        <v>17.600000000000001</v>
      </c>
      <c r="H88" s="12">
        <f>+'Mono ASIG'!AA88</f>
        <v>69.521917010869672</v>
      </c>
      <c r="I88" s="12">
        <f t="shared" si="18"/>
        <v>52.052934380596724</v>
      </c>
      <c r="J88" s="12">
        <f t="shared" si="22"/>
        <v>17.600000000000001</v>
      </c>
      <c r="K88" s="155">
        <f>+'Mono SPOT MAT'!T88</f>
        <v>0</v>
      </c>
      <c r="L88" s="116"/>
      <c r="M88" s="116"/>
      <c r="N88" s="139">
        <f>+'Mono SPOT MAT'!S88/'Fisico SPOT MAT'!S88/'Fisico SPOT MAT'!E88</f>
        <v>15.821781316813608</v>
      </c>
      <c r="O88" s="116"/>
      <c r="R88">
        <v>1.1000000000000001</v>
      </c>
    </row>
    <row r="89" spans="1:18" ht="15" customHeight="1" x14ac:dyDescent="0.25">
      <c r="A89" s="1">
        <f t="shared" si="19"/>
        <v>2025</v>
      </c>
      <c r="B89" s="52">
        <f t="shared" si="20"/>
        <v>45992</v>
      </c>
      <c r="C89" s="1" t="s">
        <v>54</v>
      </c>
      <c r="D89" s="5">
        <f t="shared" si="23"/>
        <v>46000</v>
      </c>
      <c r="E89" s="30">
        <v>44.732648084243522</v>
      </c>
      <c r="F89" s="14">
        <f>+'Mono SPOT MAT'!M89/'Fisico SPOT MAT'!M89/24</f>
        <v>39.734636721118669</v>
      </c>
      <c r="G89" s="13">
        <f t="shared" si="21"/>
        <v>17.600000000000001</v>
      </c>
      <c r="H89" s="12">
        <f>+'Mono ASIG'!AA89</f>
        <v>63.943976625605529</v>
      </c>
      <c r="I89" s="12">
        <f t="shared" si="18"/>
        <v>46.474993995332582</v>
      </c>
      <c r="J89" s="12">
        <f t="shared" si="22"/>
        <v>17.600000000000001</v>
      </c>
      <c r="K89" s="155">
        <f>+'Mono SPOT MAT'!T89</f>
        <v>0</v>
      </c>
      <c r="L89" s="116"/>
      <c r="M89" s="116"/>
      <c r="N89" s="140">
        <f>+'Mono SPOT MAT'!S89/'Fisico SPOT MAT'!S89/'Fisico SPOT MAT'!E89</f>
        <v>15.758849357732403</v>
      </c>
      <c r="O89" s="116"/>
      <c r="R89">
        <v>1.1000000000000001</v>
      </c>
    </row>
    <row r="90" spans="1:18" ht="15" customHeight="1" x14ac:dyDescent="0.25">
      <c r="A90" s="1">
        <f t="shared" si="19"/>
        <v>2025</v>
      </c>
      <c r="B90" s="52">
        <f t="shared" si="20"/>
        <v>45992</v>
      </c>
      <c r="C90" s="1" t="s">
        <v>55</v>
      </c>
      <c r="D90" s="5">
        <f t="shared" si="23"/>
        <v>46001</v>
      </c>
      <c r="E90" s="30">
        <v>42.887196577843731</v>
      </c>
      <c r="F90" s="14">
        <f>+'Mono SPOT MAT'!M90/'Fisico SPOT MAT'!M90/24</f>
        <v>40.253765467332563</v>
      </c>
      <c r="G90" s="13">
        <f t="shared" si="21"/>
        <v>17.600000000000001</v>
      </c>
      <c r="H90" s="12">
        <f>+'Mono ASIG'!AA90</f>
        <v>59.940250584124009</v>
      </c>
      <c r="I90" s="12">
        <f t="shared" si="18"/>
        <v>42.471267953851054</v>
      </c>
      <c r="J90" s="12">
        <f t="shared" si="22"/>
        <v>17.600000000000001</v>
      </c>
      <c r="K90" s="155">
        <f>+'Mono SPOT MAT'!T90</f>
        <v>0</v>
      </c>
      <c r="L90" s="116"/>
      <c r="M90" s="116"/>
      <c r="N90" s="139">
        <f>+'Mono SPOT MAT'!S90/'Fisico SPOT MAT'!S90/'Fisico SPOT MAT'!E90</f>
        <v>15.797692491690901</v>
      </c>
      <c r="O90" s="116"/>
      <c r="R90">
        <v>1.1000000000000001</v>
      </c>
    </row>
    <row r="91" spans="1:18" ht="15" customHeight="1" x14ac:dyDescent="0.25">
      <c r="A91" s="1">
        <f t="shared" si="19"/>
        <v>2025</v>
      </c>
      <c r="B91" s="52">
        <f t="shared" si="20"/>
        <v>45992</v>
      </c>
      <c r="C91" s="1" t="s">
        <v>56</v>
      </c>
      <c r="D91" s="5">
        <f t="shared" si="23"/>
        <v>46002</v>
      </c>
      <c r="E91" s="30">
        <v>40.28707786463621</v>
      </c>
      <c r="F91" s="14">
        <f>+'Mono SPOT MAT'!M91/'Fisico SPOT MAT'!M91/24</f>
        <v>39.644080382055158</v>
      </c>
      <c r="G91" s="13">
        <f t="shared" si="21"/>
        <v>17.600000000000001</v>
      </c>
      <c r="H91" s="12">
        <f>+'Mono ASIG'!AA91</f>
        <v>62.351925362911793</v>
      </c>
      <c r="I91" s="12">
        <f t="shared" si="18"/>
        <v>44.882942732638838</v>
      </c>
      <c r="J91" s="12">
        <f t="shared" si="22"/>
        <v>17.600000000000001</v>
      </c>
      <c r="K91" s="155">
        <f>+'Mono SPOT MAT'!T91</f>
        <v>0</v>
      </c>
      <c r="L91" s="116"/>
      <c r="M91" s="116"/>
      <c r="N91" s="140">
        <f>+'Mono SPOT MAT'!S91/'Fisico SPOT MAT'!S91/'Fisico SPOT MAT'!E91</f>
        <v>15.800859891038023</v>
      </c>
      <c r="O91" s="116"/>
      <c r="R91">
        <v>1.1000000000000001</v>
      </c>
    </row>
    <row r="92" spans="1:18" ht="15" customHeight="1" x14ac:dyDescent="0.25">
      <c r="A92" s="1">
        <f t="shared" si="19"/>
        <v>2025</v>
      </c>
      <c r="B92" s="52">
        <f t="shared" si="20"/>
        <v>45992</v>
      </c>
      <c r="C92" s="1" t="s">
        <v>57</v>
      </c>
      <c r="D92" s="5">
        <f t="shared" si="23"/>
        <v>46003</v>
      </c>
      <c r="E92" s="30">
        <v>42.528427002062379</v>
      </c>
      <c r="F92" s="14">
        <f>+'Mono SPOT MAT'!M92/'Fisico SPOT MAT'!M92/24</f>
        <v>40.594159390189425</v>
      </c>
      <c r="G92" s="13">
        <f t="shared" si="21"/>
        <v>17.600000000000001</v>
      </c>
      <c r="H92" s="12">
        <f>+'Mono ASIG'!AA92</f>
        <v>63.615281189073819</v>
      </c>
      <c r="I92" s="12">
        <f t="shared" si="18"/>
        <v>46.146298558800865</v>
      </c>
      <c r="J92" s="12">
        <f t="shared" si="22"/>
        <v>17.600000000000001</v>
      </c>
      <c r="K92" s="155">
        <f>+'Mono SPOT MAT'!T92</f>
        <v>0</v>
      </c>
      <c r="L92" s="116"/>
      <c r="M92" s="116"/>
      <c r="N92" s="139">
        <f>+'Mono SPOT MAT'!S92/'Fisico SPOT MAT'!S92/'Fisico SPOT MAT'!E92</f>
        <v>15.796272400373828</v>
      </c>
      <c r="O92" s="116"/>
      <c r="R92">
        <v>1.1000000000000001</v>
      </c>
    </row>
    <row r="93" spans="1:18" ht="15" customHeight="1" x14ac:dyDescent="0.25">
      <c r="A93" s="1">
        <f t="shared" si="19"/>
        <v>2025</v>
      </c>
      <c r="B93" s="52">
        <f t="shared" si="20"/>
        <v>45992</v>
      </c>
      <c r="C93" s="1" t="s">
        <v>51</v>
      </c>
      <c r="D93" s="5">
        <f t="shared" si="23"/>
        <v>46004</v>
      </c>
      <c r="E93" s="30">
        <v>41.026703483124294</v>
      </c>
      <c r="F93" s="14">
        <f>+'Mono SPOT MAT'!M93/'Fisico SPOT MAT'!M93/24</f>
        <v>39.194707875900271</v>
      </c>
      <c r="G93" s="13">
        <f t="shared" si="21"/>
        <v>17.600000000000001</v>
      </c>
      <c r="H93" s="12">
        <f>+'Mono ASIG'!AA93</f>
        <v>64.188813252666918</v>
      </c>
      <c r="I93" s="12">
        <f t="shared" si="18"/>
        <v>46.719830622393971</v>
      </c>
      <c r="J93" s="12">
        <f t="shared" si="22"/>
        <v>17.600000000000001</v>
      </c>
      <c r="K93" s="155">
        <f>+'Mono SPOT MAT'!T93</f>
        <v>0</v>
      </c>
      <c r="L93" s="116"/>
      <c r="M93" s="116"/>
      <c r="N93" s="140">
        <f>+'Mono SPOT MAT'!S93/'Fisico SPOT MAT'!S93/'Fisico SPOT MAT'!E93</f>
        <v>15.878278018924297</v>
      </c>
      <c r="O93" s="116"/>
      <c r="R93">
        <v>1.1000000000000001</v>
      </c>
    </row>
    <row r="94" spans="1:18" ht="15" customHeight="1" x14ac:dyDescent="0.25">
      <c r="A94" s="1">
        <f t="shared" si="19"/>
        <v>2025</v>
      </c>
      <c r="B94" s="52">
        <f t="shared" si="20"/>
        <v>45992</v>
      </c>
      <c r="C94" s="1" t="s">
        <v>52</v>
      </c>
      <c r="D94" s="5">
        <f t="shared" si="23"/>
        <v>46005</v>
      </c>
      <c r="E94" s="30">
        <v>28.483416826479566</v>
      </c>
      <c r="F94" s="14">
        <f>+'Mono SPOT MAT'!M94/'Fisico SPOT MAT'!M94/24</f>
        <v>38.813699734297124</v>
      </c>
      <c r="G94" s="13">
        <f t="shared" si="21"/>
        <v>17.600000000000001</v>
      </c>
      <c r="H94" s="12">
        <f>+'Mono ASIG'!AA94</f>
        <v>67.817290905468525</v>
      </c>
      <c r="I94" s="12">
        <f t="shared" si="18"/>
        <v>50.348308275195578</v>
      </c>
      <c r="J94" s="12">
        <f t="shared" si="22"/>
        <v>17.600000000000001</v>
      </c>
      <c r="K94" s="155">
        <f>+'Mono SPOT MAT'!T94</f>
        <v>0</v>
      </c>
      <c r="L94" s="116"/>
      <c r="M94" s="116"/>
      <c r="N94" s="139">
        <f>+'Mono SPOT MAT'!S94/'Fisico SPOT MAT'!S94/'Fisico SPOT MAT'!E94</f>
        <v>15.913821841180175</v>
      </c>
      <c r="O94" s="116"/>
      <c r="R94">
        <v>1.1000000000000001</v>
      </c>
    </row>
    <row r="95" spans="1:18" ht="15" customHeight="1" x14ac:dyDescent="0.25">
      <c r="A95" s="1">
        <f t="shared" si="19"/>
        <v>2025</v>
      </c>
      <c r="B95" s="52">
        <f t="shared" si="20"/>
        <v>45992</v>
      </c>
      <c r="C95" s="1" t="s">
        <v>53</v>
      </c>
      <c r="D95" s="5">
        <f t="shared" si="23"/>
        <v>46006</v>
      </c>
      <c r="E95" s="30">
        <v>32.860506612439771</v>
      </c>
      <c r="F95" s="14">
        <f>+'Mono SPOT MAT'!M95/'Fisico SPOT MAT'!M95/24</f>
        <v>38.285685634306567</v>
      </c>
      <c r="G95" s="13">
        <f t="shared" si="21"/>
        <v>17.600000000000001</v>
      </c>
      <c r="H95" s="12">
        <f>+'Mono ASIG'!AA95</f>
        <v>71.330671799456553</v>
      </c>
      <c r="I95" s="12">
        <f t="shared" si="18"/>
        <v>53.861689169183606</v>
      </c>
      <c r="J95" s="12">
        <f t="shared" si="22"/>
        <v>17.600000000000001</v>
      </c>
      <c r="K95" s="155">
        <f>+'Mono SPOT MAT'!T95</f>
        <v>0</v>
      </c>
      <c r="L95" s="116"/>
      <c r="M95" s="116"/>
      <c r="N95" s="140">
        <f>+'Mono SPOT MAT'!S95/'Fisico SPOT MAT'!S95/'Fisico SPOT MAT'!E95</f>
        <v>15.901014763315393</v>
      </c>
      <c r="O95" s="116"/>
      <c r="R95">
        <v>1.1000000000000001</v>
      </c>
    </row>
    <row r="96" spans="1:18" ht="15" customHeight="1" x14ac:dyDescent="0.25">
      <c r="A96" s="1">
        <f t="shared" si="19"/>
        <v>2025</v>
      </c>
      <c r="B96" s="52">
        <f t="shared" si="20"/>
        <v>45992</v>
      </c>
      <c r="C96" s="1" t="s">
        <v>54</v>
      </c>
      <c r="D96" s="5">
        <f t="shared" si="23"/>
        <v>46007</v>
      </c>
      <c r="E96" s="30">
        <v>29.929055903749582</v>
      </c>
      <c r="F96" s="14">
        <f>+'Mono SPOT MAT'!M96/'Fisico SPOT MAT'!M96/24</f>
        <v>38.486272904569752</v>
      </c>
      <c r="G96" s="13">
        <f t="shared" ref="G96:G101" si="24">16*R96</f>
        <v>17.600000000000001</v>
      </c>
      <c r="H96" s="12">
        <f>+'Mono ASIG'!AA96</f>
        <v>67.453661360204379</v>
      </c>
      <c r="I96" s="12">
        <f t="shared" si="18"/>
        <v>49.984678729931431</v>
      </c>
      <c r="J96" s="12">
        <f t="shared" ref="J96:J101" si="25">16*R96</f>
        <v>17.600000000000001</v>
      </c>
      <c r="K96" s="155">
        <f>+'Mono SPOT MAT'!T96</f>
        <v>0</v>
      </c>
      <c r="L96" s="116"/>
      <c r="M96" s="116"/>
      <c r="N96" s="139">
        <f>+'Mono SPOT MAT'!S96/'Fisico SPOT MAT'!S96/'Fisico SPOT MAT'!E96</f>
        <v>15.899995481233988</v>
      </c>
      <c r="O96" s="116"/>
      <c r="R96">
        <v>1.1000000000000001</v>
      </c>
    </row>
    <row r="97" spans="1:28" ht="15" customHeight="1" x14ac:dyDescent="0.25">
      <c r="A97" s="1">
        <f t="shared" si="19"/>
        <v>2025</v>
      </c>
      <c r="B97" s="52">
        <f t="shared" si="20"/>
        <v>45992</v>
      </c>
      <c r="C97" s="1" t="s">
        <v>55</v>
      </c>
      <c r="D97" s="5">
        <f t="shared" si="23"/>
        <v>46008</v>
      </c>
      <c r="E97" s="30">
        <v>29.416577618046826</v>
      </c>
      <c r="F97" s="14">
        <f>+'Mono SPOT MAT'!M97/'Fisico SPOT MAT'!M97/24</f>
        <v>39.213871746571364</v>
      </c>
      <c r="G97" s="13">
        <f t="shared" si="24"/>
        <v>17.600000000000001</v>
      </c>
      <c r="H97" s="12">
        <f>+'Mono ASIG'!AA97</f>
        <v>67.216178885723124</v>
      </c>
      <c r="I97" s="12">
        <f t="shared" si="18"/>
        <v>49.747196255450177</v>
      </c>
      <c r="J97" s="12">
        <f t="shared" si="25"/>
        <v>17.600000000000001</v>
      </c>
      <c r="K97" s="155">
        <f>+'Mono SPOT MAT'!T97</f>
        <v>0</v>
      </c>
      <c r="L97" s="116"/>
      <c r="M97" s="116"/>
      <c r="N97" s="140">
        <f>+'Mono SPOT MAT'!S97/'Fisico SPOT MAT'!S97/'Fisico SPOT MAT'!E97</f>
        <v>15.838874774355778</v>
      </c>
      <c r="O97" s="116"/>
      <c r="R97">
        <v>1.1000000000000001</v>
      </c>
    </row>
    <row r="98" spans="1:28" ht="15" customHeight="1" x14ac:dyDescent="0.25">
      <c r="A98" s="1">
        <f t="shared" si="19"/>
        <v>2025</v>
      </c>
      <c r="B98" s="52">
        <f t="shared" si="20"/>
        <v>45992</v>
      </c>
      <c r="C98" s="1" t="s">
        <v>56</v>
      </c>
      <c r="D98" s="5">
        <f t="shared" si="23"/>
        <v>46009</v>
      </c>
      <c r="E98" s="30">
        <v>38.432170634316037</v>
      </c>
      <c r="F98" s="14">
        <f>+'Mono SPOT MAT'!M98/'Fisico SPOT MAT'!M98/24</f>
        <v>39.432820377375741</v>
      </c>
      <c r="G98" s="13">
        <f t="shared" si="24"/>
        <v>17.600000000000001</v>
      </c>
      <c r="H98" s="12">
        <f>+'Mono ASIG'!AA98</f>
        <v>61.566008520822656</v>
      </c>
      <c r="I98" s="12">
        <f t="shared" si="18"/>
        <v>44.097025890549702</v>
      </c>
      <c r="J98" s="12">
        <f t="shared" si="25"/>
        <v>17.600000000000001</v>
      </c>
      <c r="K98" s="155">
        <f>+'Mono SPOT MAT'!T98</f>
        <v>0</v>
      </c>
      <c r="L98" s="116"/>
      <c r="M98" s="116"/>
      <c r="N98" s="139">
        <f>+'Mono SPOT MAT'!S98/'Fisico SPOT MAT'!S98/'Fisico SPOT MAT'!E98</f>
        <v>15.789468983403561</v>
      </c>
      <c r="O98" s="116"/>
      <c r="R98">
        <v>1.1000000000000001</v>
      </c>
    </row>
    <row r="99" spans="1:28" ht="15" customHeight="1" x14ac:dyDescent="0.25">
      <c r="A99" s="1">
        <f t="shared" si="19"/>
        <v>2025</v>
      </c>
      <c r="B99" s="52">
        <f t="shared" si="20"/>
        <v>45992</v>
      </c>
      <c r="C99" s="1" t="s">
        <v>57</v>
      </c>
      <c r="D99" s="5">
        <f t="shared" si="23"/>
        <v>46010</v>
      </c>
      <c r="E99" s="30">
        <v>41.955023026257052</v>
      </c>
      <c r="F99" s="14">
        <f>+'Mono SPOT MAT'!M99/'Fisico SPOT MAT'!M99/24</f>
        <v>39.656602671833696</v>
      </c>
      <c r="G99" s="13">
        <f t="shared" si="24"/>
        <v>17.600000000000001</v>
      </c>
      <c r="H99" s="12">
        <f>+'Mono ASIG'!AA99</f>
        <v>59.671615639342413</v>
      </c>
      <c r="I99" s="12">
        <f t="shared" si="18"/>
        <v>42.202633009069459</v>
      </c>
      <c r="J99" s="12">
        <f t="shared" si="25"/>
        <v>17.600000000000001</v>
      </c>
      <c r="K99" s="155">
        <f>+'Mono SPOT MAT'!T99</f>
        <v>0</v>
      </c>
      <c r="L99" s="116"/>
      <c r="M99" s="116"/>
      <c r="N99" s="140">
        <f>+'Mono SPOT MAT'!S99/'Fisico SPOT MAT'!S99/'Fisico SPOT MAT'!E99</f>
        <v>15.793968131310672</v>
      </c>
      <c r="O99" s="116"/>
      <c r="R99">
        <v>1.1000000000000001</v>
      </c>
    </row>
    <row r="100" spans="1:28" ht="15" customHeight="1" x14ac:dyDescent="0.25">
      <c r="A100" s="1">
        <f t="shared" si="19"/>
        <v>2025</v>
      </c>
      <c r="B100" s="52">
        <f t="shared" si="20"/>
        <v>45992</v>
      </c>
      <c r="C100" s="1" t="s">
        <v>51</v>
      </c>
      <c r="D100" s="5">
        <f t="shared" si="23"/>
        <v>46011</v>
      </c>
      <c r="E100" s="30">
        <v>35.723015659338927</v>
      </c>
      <c r="F100" s="14">
        <f>+'Mono SPOT MAT'!M100/'Fisico SPOT MAT'!M100/24</f>
        <v>38.784172606726308</v>
      </c>
      <c r="G100" s="13">
        <f t="shared" si="24"/>
        <v>17.600000000000001</v>
      </c>
      <c r="H100" s="12">
        <f>+'Mono ASIG'!AA100</f>
        <v>66.172988772266862</v>
      </c>
      <c r="I100" s="12">
        <f t="shared" si="18"/>
        <v>48.704006141993915</v>
      </c>
      <c r="J100" s="12">
        <f t="shared" si="25"/>
        <v>17.600000000000001</v>
      </c>
      <c r="K100" s="155">
        <f>+'Mono SPOT MAT'!T100</f>
        <v>0</v>
      </c>
      <c r="L100" s="116"/>
      <c r="M100" s="116"/>
      <c r="N100" s="139">
        <f>+'Mono SPOT MAT'!S100/'Fisico SPOT MAT'!S100/'Fisico SPOT MAT'!E100</f>
        <v>15.732545147389656</v>
      </c>
      <c r="O100" s="116"/>
      <c r="R100">
        <v>1.1000000000000001</v>
      </c>
    </row>
    <row r="101" spans="1:28" ht="15" customHeight="1" x14ac:dyDescent="0.25">
      <c r="A101" s="1">
        <f t="shared" si="19"/>
        <v>2025</v>
      </c>
      <c r="B101" s="52">
        <f t="shared" si="20"/>
        <v>45992</v>
      </c>
      <c r="C101" s="1" t="s">
        <v>52</v>
      </c>
      <c r="D101" s="5">
        <f t="shared" si="23"/>
        <v>46012</v>
      </c>
      <c r="E101" s="30">
        <v>37.462856985829454</v>
      </c>
      <c r="F101" s="14">
        <f>+'Mono SPOT MAT'!M101/'Fisico SPOT MAT'!M101/24</f>
        <v>39.039134345971341</v>
      </c>
      <c r="G101" s="13">
        <f t="shared" si="24"/>
        <v>17.600000000000001</v>
      </c>
      <c r="H101" s="12">
        <f>+'Mono ASIG'!AA101</f>
        <v>69.787774484985249</v>
      </c>
      <c r="I101" s="12">
        <f t="shared" si="18"/>
        <v>52.318791854712302</v>
      </c>
      <c r="J101" s="12">
        <f t="shared" si="25"/>
        <v>17.600000000000001</v>
      </c>
      <c r="K101" s="155">
        <f>+'Mono SPOT MAT'!T101</f>
        <v>0</v>
      </c>
      <c r="L101" s="116"/>
      <c r="M101" s="116"/>
      <c r="N101" s="140">
        <f>+'Mono SPOT MAT'!S101/'Fisico SPOT MAT'!S101/'Fisico SPOT MAT'!E101</f>
        <v>15.755225562370658</v>
      </c>
      <c r="O101" s="116"/>
      <c r="R101">
        <v>1.1000000000000001</v>
      </c>
    </row>
    <row r="102" spans="1:28" ht="15" customHeight="1" x14ac:dyDescent="0.25">
      <c r="A102" s="1">
        <f t="shared" si="19"/>
        <v>2025</v>
      </c>
      <c r="B102" s="52">
        <f t="shared" si="20"/>
        <v>45992</v>
      </c>
      <c r="C102" s="1" t="s">
        <v>53</v>
      </c>
      <c r="D102" s="5">
        <v>46013</v>
      </c>
      <c r="E102" s="30">
        <v>34.908332968094861</v>
      </c>
      <c r="F102" s="14">
        <f>+'Mono SPOT MAT'!M102/'Fisico SPOT MAT'!M102/24</f>
        <v>38.472385555850614</v>
      </c>
      <c r="G102" s="13">
        <f t="shared" ref="G102:G108" si="26">16*R102</f>
        <v>17.600000000000001</v>
      </c>
      <c r="H102" s="12">
        <f>+'Mono ASIG'!AA102</f>
        <v>65.328748923064751</v>
      </c>
      <c r="I102" s="12">
        <f t="shared" si="18"/>
        <v>47.859766292791804</v>
      </c>
      <c r="J102" s="12">
        <f t="shared" ref="J102:J108" si="27">16*R102</f>
        <v>17.600000000000001</v>
      </c>
      <c r="K102" s="155">
        <f>+'Mono SPOT MAT'!T102</f>
        <v>0</v>
      </c>
      <c r="L102" s="116"/>
      <c r="M102" s="116"/>
      <c r="N102" s="139">
        <f>+'Mono SPOT MAT'!S102/'Fisico SPOT MAT'!S102/'Fisico SPOT MAT'!E102</f>
        <v>15.777341075903141</v>
      </c>
      <c r="O102" s="116"/>
      <c r="R102">
        <v>1.1000000000000001</v>
      </c>
    </row>
    <row r="103" spans="1:28" ht="15" customHeight="1" x14ac:dyDescent="0.25">
      <c r="A103" s="1">
        <f t="shared" si="19"/>
        <v>2025</v>
      </c>
      <c r="B103" s="52">
        <f t="shared" si="20"/>
        <v>45992</v>
      </c>
      <c r="C103" s="1" t="s">
        <v>54</v>
      </c>
      <c r="D103" s="5">
        <v>46014</v>
      </c>
      <c r="E103" s="30">
        <v>39.053963347680835</v>
      </c>
      <c r="F103" s="14">
        <f>+'Mono SPOT MAT'!M103/'Fisico SPOT MAT'!M103/24</f>
        <v>39.50347157208801</v>
      </c>
      <c r="G103" s="13">
        <f t="shared" si="26"/>
        <v>17.600000000000001</v>
      </c>
      <c r="H103" s="12">
        <f>+'Mono ASIG'!AA103</f>
        <v>60.802256929706886</v>
      </c>
      <c r="I103" s="12">
        <f t="shared" si="18"/>
        <v>43.333274299433938</v>
      </c>
      <c r="J103" s="12">
        <f t="shared" si="27"/>
        <v>17.600000000000001</v>
      </c>
      <c r="K103" s="155">
        <f>+'Mono SPOT MAT'!T103</f>
        <v>0</v>
      </c>
      <c r="L103" s="116"/>
      <c r="M103" s="116"/>
      <c r="N103" s="140">
        <f>+'Mono SPOT MAT'!S103/'Fisico SPOT MAT'!S103/'Fisico SPOT MAT'!E103</f>
        <v>15.795271124100561</v>
      </c>
      <c r="O103" s="116"/>
      <c r="R103">
        <v>1.1000000000000001</v>
      </c>
    </row>
    <row r="104" spans="1:28" ht="15" customHeight="1" x14ac:dyDescent="0.25">
      <c r="A104" s="1">
        <f t="shared" si="19"/>
        <v>2025</v>
      </c>
      <c r="B104" s="52">
        <f t="shared" si="20"/>
        <v>45992</v>
      </c>
      <c r="C104" s="1" t="s">
        <v>55</v>
      </c>
      <c r="D104" s="5">
        <v>46015</v>
      </c>
      <c r="E104" s="30">
        <v>33.616898111914168</v>
      </c>
      <c r="F104" s="14">
        <f>+'Mono SPOT MAT'!M104/'Fisico SPOT MAT'!M104/24</f>
        <v>39.375750484786728</v>
      </c>
      <c r="G104" s="13">
        <f t="shared" si="26"/>
        <v>17.600000000000001</v>
      </c>
      <c r="H104" s="12">
        <f>+'Mono ASIG'!AA104</f>
        <v>60.369523512698692</v>
      </c>
      <c r="I104" s="12">
        <f t="shared" si="18"/>
        <v>42.900540882425744</v>
      </c>
      <c r="J104" s="12">
        <f t="shared" si="27"/>
        <v>17.600000000000001</v>
      </c>
      <c r="K104" s="155">
        <f>+'Mono SPOT MAT'!T104</f>
        <v>0</v>
      </c>
      <c r="L104" s="116"/>
      <c r="M104" s="116"/>
      <c r="N104" s="139">
        <f>+'Mono SPOT MAT'!S104/'Fisico SPOT MAT'!S104/'Fisico SPOT MAT'!E104</f>
        <v>15.800721434027842</v>
      </c>
      <c r="O104" s="116"/>
      <c r="R104">
        <v>1.1000000000000001</v>
      </c>
    </row>
    <row r="105" spans="1:28" ht="15" customHeight="1" x14ac:dyDescent="0.25">
      <c r="A105" s="1">
        <f t="shared" si="19"/>
        <v>2025</v>
      </c>
      <c r="B105" s="52">
        <f t="shared" si="20"/>
        <v>45992</v>
      </c>
      <c r="C105" s="1" t="s">
        <v>56</v>
      </c>
      <c r="D105" s="5">
        <v>46016</v>
      </c>
      <c r="E105" s="30">
        <v>17.542253164298646</v>
      </c>
      <c r="F105" s="14">
        <f>+'Mono SPOT MAT'!M105/'Fisico SPOT MAT'!M105/24</f>
        <v>39.991515395147594</v>
      </c>
      <c r="G105" s="13">
        <f t="shared" si="26"/>
        <v>17.600000000000001</v>
      </c>
      <c r="H105" s="12">
        <f>+'Mono ASIG'!AA105</f>
        <v>67.776056320703319</v>
      </c>
      <c r="I105" s="12">
        <f t="shared" si="18"/>
        <v>50.307073690430371</v>
      </c>
      <c r="J105" s="12">
        <f t="shared" si="27"/>
        <v>17.600000000000001</v>
      </c>
      <c r="K105" s="155">
        <f>+'Mono SPOT MAT'!T105</f>
        <v>0</v>
      </c>
      <c r="L105" s="116"/>
      <c r="M105" s="116"/>
      <c r="N105" s="140">
        <f>+'Mono SPOT MAT'!S105/'Fisico SPOT MAT'!S105/'Fisico SPOT MAT'!E105</f>
        <v>15.823144757879909</v>
      </c>
      <c r="O105" s="116"/>
      <c r="R105">
        <v>1.1000000000000001</v>
      </c>
    </row>
    <row r="106" spans="1:28" ht="15" customHeight="1" x14ac:dyDescent="0.25">
      <c r="A106" s="1">
        <f t="shared" si="19"/>
        <v>2025</v>
      </c>
      <c r="B106" s="52">
        <f t="shared" si="20"/>
        <v>45992</v>
      </c>
      <c r="C106" s="1" t="s">
        <v>57</v>
      </c>
      <c r="D106" s="5">
        <v>46017</v>
      </c>
      <c r="E106" s="30">
        <v>37.063624659139748</v>
      </c>
      <c r="F106" s="14">
        <f>+'Mono SPOT MAT'!M106/'Fisico SPOT MAT'!M106/24</f>
        <v>38.444240299288076</v>
      </c>
      <c r="G106" s="13">
        <f t="shared" si="26"/>
        <v>17.600000000000001</v>
      </c>
      <c r="H106" s="12">
        <f>+'Mono ASIG'!AA106</f>
        <v>61.16883524211125</v>
      </c>
      <c r="I106" s="12">
        <f t="shared" si="18"/>
        <v>43.699852611838296</v>
      </c>
      <c r="J106" s="12">
        <f t="shared" si="27"/>
        <v>17.600000000000001</v>
      </c>
      <c r="K106" s="155">
        <f>+'Mono SPOT MAT'!T106</f>
        <v>0</v>
      </c>
      <c r="L106" s="116"/>
      <c r="M106" s="116"/>
      <c r="N106" s="139">
        <f>+'Mono SPOT MAT'!S106/'Fisico SPOT MAT'!S106/'Fisico SPOT MAT'!E106</f>
        <v>15.812135491102895</v>
      </c>
      <c r="O106" s="116"/>
      <c r="R106">
        <v>1.1000000000000001</v>
      </c>
    </row>
    <row r="107" spans="1:28" ht="15" customHeight="1" x14ac:dyDescent="0.25">
      <c r="A107" s="1">
        <f t="shared" si="19"/>
        <v>2025</v>
      </c>
      <c r="B107" s="52">
        <f t="shared" si="20"/>
        <v>45992</v>
      </c>
      <c r="C107" s="1" t="s">
        <v>51</v>
      </c>
      <c r="D107" s="5">
        <v>46018</v>
      </c>
      <c r="E107" s="30">
        <v>40.30824156571591</v>
      </c>
      <c r="F107" s="14">
        <f>+'Mono SPOT MAT'!M107/'Fisico SPOT MAT'!M107/24</f>
        <v>38.133046535656796</v>
      </c>
      <c r="G107" s="13">
        <f t="shared" si="26"/>
        <v>17.600000000000001</v>
      </c>
      <c r="H107" s="12">
        <f>+'Mono ASIG'!AA107</f>
        <v>60.679223551247624</v>
      </c>
      <c r="I107" s="12">
        <f t="shared" si="18"/>
        <v>43.21024092097467</v>
      </c>
      <c r="J107" s="12">
        <f t="shared" si="27"/>
        <v>17.600000000000001</v>
      </c>
      <c r="K107" s="155">
        <f>+'Mono SPOT MAT'!T107</f>
        <v>0</v>
      </c>
      <c r="L107" s="116"/>
      <c r="M107" s="116"/>
      <c r="N107" s="140">
        <f>+'Mono SPOT MAT'!S107/'Fisico SPOT MAT'!S107/'Fisico SPOT MAT'!E107</f>
        <v>15.773487215206778</v>
      </c>
      <c r="O107" s="116"/>
      <c r="R107">
        <v>1.1000000000000001</v>
      </c>
    </row>
    <row r="108" spans="1:28" ht="15" customHeight="1" x14ac:dyDescent="0.25">
      <c r="A108" s="1">
        <f t="shared" si="19"/>
        <v>2025</v>
      </c>
      <c r="B108" s="52">
        <f t="shared" si="20"/>
        <v>45992</v>
      </c>
      <c r="C108" s="1" t="s">
        <v>52</v>
      </c>
      <c r="D108" s="5">
        <v>46019</v>
      </c>
      <c r="E108" s="30">
        <v>32.182800235886091</v>
      </c>
      <c r="F108" s="14">
        <f>+'Mono SPOT MAT'!M108/'Fisico SPOT MAT'!M108/24</f>
        <v>41.386755151632009</v>
      </c>
      <c r="G108" s="13">
        <f t="shared" si="26"/>
        <v>17.600000000000001</v>
      </c>
      <c r="H108" s="12">
        <f>+'Mono ASIG'!AA108</f>
        <v>67.390298795308084</v>
      </c>
      <c r="I108" s="12">
        <f t="shared" si="18"/>
        <v>49.921316165035137</v>
      </c>
      <c r="J108" s="12">
        <f t="shared" si="27"/>
        <v>17.600000000000001</v>
      </c>
      <c r="K108" s="155">
        <f>+'Mono SPOT MAT'!T108</f>
        <v>0</v>
      </c>
      <c r="L108" s="116"/>
      <c r="M108" s="116"/>
      <c r="N108" s="139">
        <f>+'Mono SPOT MAT'!S108/'Fisico SPOT MAT'!S108/'Fisico SPOT MAT'!E108</f>
        <v>15.784405449100548</v>
      </c>
      <c r="O108" s="116"/>
      <c r="R108">
        <v>1.1000000000000001</v>
      </c>
    </row>
    <row r="109" spans="1:28" ht="15" customHeight="1" x14ac:dyDescent="0.25">
      <c r="A109" s="1">
        <f t="shared" si="19"/>
        <v>2025</v>
      </c>
      <c r="B109" s="52">
        <f t="shared" si="20"/>
        <v>45992</v>
      </c>
      <c r="C109" s="1" t="s">
        <v>53</v>
      </c>
      <c r="D109" s="5">
        <f t="shared" ref="D109:D172" si="28">+D108+1</f>
        <v>46020</v>
      </c>
      <c r="E109" s="30">
        <v>48.711246202528891</v>
      </c>
      <c r="F109" s="14">
        <f>+'Mono SPOT MAT'!M109/'Fisico SPOT MAT'!M109/24</f>
        <v>43.179977271452508</v>
      </c>
      <c r="G109" s="13">
        <f t="shared" ref="G109:G114" si="29">16*R109</f>
        <v>17.600000000000001</v>
      </c>
      <c r="H109" s="12">
        <f>+'Mono ASIG'!AA109</f>
        <v>66.639510625659724</v>
      </c>
      <c r="I109" s="12">
        <f t="shared" si="18"/>
        <v>49.170527995386777</v>
      </c>
      <c r="J109" s="12">
        <f t="shared" ref="J109:J114" si="30">16*R109</f>
        <v>17.600000000000001</v>
      </c>
      <c r="K109" s="155">
        <f>+'Mono SPOT MAT'!T109</f>
        <v>0</v>
      </c>
      <c r="L109" s="116"/>
      <c r="M109" s="116"/>
      <c r="N109" s="140">
        <f>+'Mono SPOT MAT'!S109/'Fisico SPOT MAT'!S109/'Fisico SPOT MAT'!E109</f>
        <v>15.736548248548008</v>
      </c>
      <c r="O109" s="116"/>
      <c r="R109">
        <v>1.1000000000000001</v>
      </c>
    </row>
    <row r="110" spans="1:28" ht="15" customHeight="1" x14ac:dyDescent="0.25">
      <c r="A110" s="1">
        <f t="shared" si="19"/>
        <v>2025</v>
      </c>
      <c r="B110" s="52">
        <f t="shared" si="20"/>
        <v>45992</v>
      </c>
      <c r="C110" s="1" t="s">
        <v>54</v>
      </c>
      <c r="D110" s="5">
        <f t="shared" si="28"/>
        <v>46021</v>
      </c>
      <c r="E110" s="30">
        <v>55.088440657640746</v>
      </c>
      <c r="F110" s="14">
        <f>+'Mono SPOT MAT'!M110/'Fisico SPOT MAT'!M110/24</f>
        <v>45.833904920222466</v>
      </c>
      <c r="G110" s="13">
        <f t="shared" si="29"/>
        <v>17.600000000000001</v>
      </c>
      <c r="H110" s="12">
        <f>+'Mono ASIG'!AA110</f>
        <v>63.025879327039966</v>
      </c>
      <c r="I110" s="12">
        <f t="shared" si="18"/>
        <v>45.556896696767012</v>
      </c>
      <c r="J110" s="12">
        <f t="shared" si="30"/>
        <v>17.600000000000001</v>
      </c>
      <c r="K110" s="155">
        <f>+'Mono SPOT MAT'!T110</f>
        <v>0</v>
      </c>
      <c r="L110" s="116"/>
      <c r="M110" s="116"/>
      <c r="N110" s="139">
        <f>+'Mono SPOT MAT'!S110/'Fisico SPOT MAT'!S110/'Fisico SPOT MAT'!E110</f>
        <v>15.67719748582258</v>
      </c>
      <c r="O110" s="116"/>
      <c r="R110">
        <v>1.1000000000000001</v>
      </c>
    </row>
    <row r="111" spans="1:28" ht="15" customHeight="1" x14ac:dyDescent="0.25">
      <c r="A111" s="1">
        <f t="shared" si="19"/>
        <v>2025</v>
      </c>
      <c r="B111" s="52">
        <f t="shared" si="20"/>
        <v>45992</v>
      </c>
      <c r="C111" s="1" t="s">
        <v>55</v>
      </c>
      <c r="D111" s="5">
        <f t="shared" si="28"/>
        <v>46022</v>
      </c>
      <c r="E111" s="30">
        <v>42.93804471403741</v>
      </c>
      <c r="F111" s="14">
        <f>+'Mono SPOT MAT'!M111/'Fisico SPOT MAT'!M111/24</f>
        <v>44.087568228994058</v>
      </c>
      <c r="G111" s="13">
        <f t="shared" si="29"/>
        <v>17.600000000000001</v>
      </c>
      <c r="H111" s="12">
        <f>+'Mono ASIG'!AA111</f>
        <v>58.57096029073125</v>
      </c>
      <c r="I111" s="12">
        <f t="shared" si="18"/>
        <v>41.101977660458303</v>
      </c>
      <c r="J111" s="12">
        <f t="shared" si="30"/>
        <v>17.600000000000001</v>
      </c>
      <c r="K111" s="155">
        <f>+'Mono SPOT MAT'!T111</f>
        <v>0</v>
      </c>
      <c r="L111" s="116"/>
      <c r="M111" s="116"/>
      <c r="N111" s="140">
        <f>+'Mono SPOT MAT'!S111/'Fisico SPOT MAT'!S111/'Fisico SPOT MAT'!E111</f>
        <v>15.607928064331464</v>
      </c>
      <c r="O111" s="116"/>
      <c r="R111">
        <v>1.1000000000000001</v>
      </c>
    </row>
    <row r="112" spans="1:28" x14ac:dyDescent="0.25">
      <c r="A112" s="1">
        <f t="shared" si="19"/>
        <v>2026</v>
      </c>
      <c r="B112" s="52">
        <f t="shared" si="20"/>
        <v>46023</v>
      </c>
      <c r="C112" s="1" t="s">
        <v>56</v>
      </c>
      <c r="D112" s="5">
        <f t="shared" si="28"/>
        <v>46023</v>
      </c>
      <c r="E112" s="30">
        <v>34.517232802704335</v>
      </c>
      <c r="F112" s="14">
        <f>+'Mono SPOT MAT'!M112/'Fisico SPOT MAT'!M112/24</f>
        <v>39.606390981700706</v>
      </c>
      <c r="G112" s="13">
        <f t="shared" si="29"/>
        <v>17.600000000000001</v>
      </c>
      <c r="H112" s="12">
        <f>+'Mono ASIG'!AA112</f>
        <v>64.068084811182047</v>
      </c>
      <c r="I112" s="12">
        <f>+H112-J112*386/744/0.52</f>
        <v>46.508117896376419</v>
      </c>
      <c r="J112" s="12">
        <f t="shared" si="30"/>
        <v>17.600000000000001</v>
      </c>
      <c r="K112" s="155">
        <f>+'Mono SPOT MAT'!T112</f>
        <v>0</v>
      </c>
      <c r="L112" s="116"/>
      <c r="M112" s="116"/>
      <c r="N112" s="139">
        <f>+'Mono SPOT MAT'!S112/'Fisico SPOT MAT'!S112/'Fisico SPOT MAT'!E112</f>
        <v>15.779391632187771</v>
      </c>
      <c r="O112" s="116"/>
      <c r="P112" s="74"/>
      <c r="R112">
        <v>1.1000000000000001</v>
      </c>
      <c r="Y112" s="5">
        <f t="shared" ref="Y112:Y175" si="31">$D112</f>
        <v>46023</v>
      </c>
      <c r="Z112" s="117">
        <f t="shared" ref="Z112:Z143" si="32">+E112</f>
        <v>34.517232802704335</v>
      </c>
      <c r="AA112" s="117">
        <f t="shared" ref="AA112:AA143" si="33">+F112-AB112</f>
        <v>38.148459722763441</v>
      </c>
      <c r="AB112" s="116">
        <v>1.4579312589372662</v>
      </c>
    </row>
    <row r="113" spans="1:28" x14ac:dyDescent="0.25">
      <c r="A113" s="1">
        <f t="shared" si="19"/>
        <v>2026</v>
      </c>
      <c r="B113" s="52">
        <f t="shared" si="20"/>
        <v>46023</v>
      </c>
      <c r="C113" s="1" t="s">
        <v>57</v>
      </c>
      <c r="D113" s="5">
        <f t="shared" si="28"/>
        <v>46024</v>
      </c>
      <c r="E113" s="30">
        <v>35.87821783896171</v>
      </c>
      <c r="F113" s="14">
        <f>+'Mono SPOT MAT'!M113/'Fisico SPOT MAT'!M113/24</f>
        <v>39.634231562499764</v>
      </c>
      <c r="G113" s="13">
        <f t="shared" si="29"/>
        <v>17.600000000000001</v>
      </c>
      <c r="H113" s="12">
        <f>+'Mono ASIG'!AA113</f>
        <v>62.876543140628534</v>
      </c>
      <c r="I113" s="12">
        <f t="shared" ref="I113:I142" si="34">+H113-J113*386/744/0.52</f>
        <v>45.316576225822914</v>
      </c>
      <c r="J113" s="12">
        <f t="shared" si="30"/>
        <v>17.600000000000001</v>
      </c>
      <c r="K113" s="155">
        <f>+'Mono SPOT MAT'!T113</f>
        <v>0</v>
      </c>
      <c r="L113" s="116"/>
      <c r="M113" s="116"/>
      <c r="N113" s="140">
        <f>+'Mono SPOT MAT'!S113/'Fisico SPOT MAT'!S113/'Fisico SPOT MAT'!E113</f>
        <v>15.799891363159908</v>
      </c>
      <c r="O113" s="116"/>
      <c r="R113">
        <v>1.1000000000000001</v>
      </c>
      <c r="Y113" s="5">
        <f t="shared" si="31"/>
        <v>46024</v>
      </c>
      <c r="Z113" s="117">
        <f t="shared" si="32"/>
        <v>35.87821783896171</v>
      </c>
      <c r="AA113" s="117">
        <f t="shared" si="33"/>
        <v>38.56569918167169</v>
      </c>
      <c r="AB113" s="116">
        <v>1.0685323808280709</v>
      </c>
    </row>
    <row r="114" spans="1:28" x14ac:dyDescent="0.25">
      <c r="A114" s="1">
        <f t="shared" si="19"/>
        <v>2026</v>
      </c>
      <c r="B114" s="52">
        <f t="shared" si="20"/>
        <v>46023</v>
      </c>
      <c r="C114" s="1" t="s">
        <v>51</v>
      </c>
      <c r="D114" s="5">
        <f t="shared" si="28"/>
        <v>46025</v>
      </c>
      <c r="E114" s="30">
        <v>24.226801096971887</v>
      </c>
      <c r="F114" s="14">
        <f>+'Mono SPOT MAT'!M114/'Fisico SPOT MAT'!M114/24</f>
        <v>38.103483785886461</v>
      </c>
      <c r="G114" s="13">
        <f t="shared" si="29"/>
        <v>17.600000000000001</v>
      </c>
      <c r="H114" s="12">
        <f>+'Mono ASIG'!AA114</f>
        <v>65.956512082168274</v>
      </c>
      <c r="I114" s="12">
        <f t="shared" si="34"/>
        <v>48.396545167362646</v>
      </c>
      <c r="J114" s="12">
        <f t="shared" si="30"/>
        <v>17.600000000000001</v>
      </c>
      <c r="K114" s="155">
        <f>+'Mono SPOT MAT'!T114</f>
        <v>0</v>
      </c>
      <c r="L114" s="116"/>
      <c r="M114" s="116"/>
      <c r="N114" s="139">
        <f>+'Mono SPOT MAT'!S114/'Fisico SPOT MAT'!S114/'Fisico SPOT MAT'!E114</f>
        <v>15.81507632297207</v>
      </c>
      <c r="O114" s="116"/>
      <c r="R114">
        <v>1.1000000000000001</v>
      </c>
      <c r="Y114" s="5">
        <f t="shared" si="31"/>
        <v>46025</v>
      </c>
      <c r="Z114" s="117">
        <f t="shared" si="32"/>
        <v>24.226801096971887</v>
      </c>
      <c r="AA114" s="117">
        <f t="shared" si="33"/>
        <v>36.075474779410044</v>
      </c>
      <c r="AB114" s="116">
        <v>2.028009006476418</v>
      </c>
    </row>
    <row r="115" spans="1:28" x14ac:dyDescent="0.25">
      <c r="A115" s="1">
        <f t="shared" si="19"/>
        <v>2026</v>
      </c>
      <c r="B115" s="52">
        <f t="shared" si="20"/>
        <v>46023</v>
      </c>
      <c r="C115" s="1" t="s">
        <v>52</v>
      </c>
      <c r="D115" s="5">
        <f t="shared" si="28"/>
        <v>46026</v>
      </c>
      <c r="E115" s="30">
        <v>27.778995914048632</v>
      </c>
      <c r="F115" s="14">
        <f>+'Mono SPOT MAT'!M115/'Fisico SPOT MAT'!M115/24</f>
        <v>37.05289400774285</v>
      </c>
      <c r="G115" s="13">
        <f t="shared" ref="G115:G117" si="35">16*R115</f>
        <v>17.600000000000001</v>
      </c>
      <c r="H115" s="12">
        <f>+'Mono ASIG'!AA115</f>
        <v>65.893342075657415</v>
      </c>
      <c r="I115" s="12">
        <f t="shared" si="34"/>
        <v>48.333375160851787</v>
      </c>
      <c r="J115" s="12">
        <f t="shared" ref="J115:J117" si="36">16*R115</f>
        <v>17.600000000000001</v>
      </c>
      <c r="K115" s="155">
        <f>+'Mono SPOT MAT'!T115</f>
        <v>0</v>
      </c>
      <c r="L115" s="116"/>
      <c r="M115" s="116"/>
      <c r="N115" s="140">
        <f>+'Mono SPOT MAT'!S115/'Fisico SPOT MAT'!S115/'Fisico SPOT MAT'!E115</f>
        <v>15.864421156140402</v>
      </c>
      <c r="O115" s="116"/>
      <c r="R115">
        <v>1.1000000000000001</v>
      </c>
      <c r="Y115" s="5">
        <f t="shared" si="31"/>
        <v>46026</v>
      </c>
      <c r="Z115" s="117">
        <f t="shared" si="32"/>
        <v>27.778995914048632</v>
      </c>
      <c r="AA115" s="117">
        <f t="shared" si="33"/>
        <v>35.02642048330911</v>
      </c>
      <c r="AB115" s="116">
        <v>2.0264735244337393</v>
      </c>
    </row>
    <row r="116" spans="1:28" x14ac:dyDescent="0.25">
      <c r="A116" s="1">
        <f t="shared" si="19"/>
        <v>2026</v>
      </c>
      <c r="B116" s="52">
        <f t="shared" si="20"/>
        <v>46023</v>
      </c>
      <c r="C116" s="1" t="s">
        <v>53</v>
      </c>
      <c r="D116" s="5">
        <f t="shared" si="28"/>
        <v>46027</v>
      </c>
      <c r="E116" s="30">
        <v>30.16174141643404</v>
      </c>
      <c r="F116" s="14">
        <f>+'Mono SPOT MAT'!M116/'Fisico SPOT MAT'!M116/24</f>
        <v>37.043200312705743</v>
      </c>
      <c r="G116" s="13">
        <f t="shared" si="35"/>
        <v>17.600000000000001</v>
      </c>
      <c r="H116" s="12">
        <f>+'Mono ASIG'!AA116</f>
        <v>64.231324558644431</v>
      </c>
      <c r="I116" s="12">
        <f t="shared" si="34"/>
        <v>46.671357643838803</v>
      </c>
      <c r="J116" s="12">
        <f t="shared" si="36"/>
        <v>17.600000000000001</v>
      </c>
      <c r="K116" s="155">
        <f>+'Mono SPOT MAT'!T116</f>
        <v>0</v>
      </c>
      <c r="L116" s="116"/>
      <c r="M116" s="116"/>
      <c r="N116" s="139">
        <f>+'Mono SPOT MAT'!S116/'Fisico SPOT MAT'!S116/'Fisico SPOT MAT'!E116</f>
        <v>15.819606438627943</v>
      </c>
      <c r="O116" s="116"/>
      <c r="R116">
        <v>1.1000000000000001</v>
      </c>
      <c r="Y116" s="5">
        <f t="shared" si="31"/>
        <v>46027</v>
      </c>
      <c r="Z116" s="117">
        <f t="shared" si="32"/>
        <v>30.16174141643404</v>
      </c>
      <c r="AA116" s="117">
        <f t="shared" si="33"/>
        <v>35.009909940285382</v>
      </c>
      <c r="AB116" s="116">
        <v>2.0332903724203626</v>
      </c>
    </row>
    <row r="117" spans="1:28" x14ac:dyDescent="0.25">
      <c r="A117" s="1">
        <f t="shared" si="19"/>
        <v>2026</v>
      </c>
      <c r="B117" s="52">
        <f t="shared" si="20"/>
        <v>46023</v>
      </c>
      <c r="C117" s="1" t="s">
        <v>54</v>
      </c>
      <c r="D117" s="5">
        <f t="shared" si="28"/>
        <v>46028</v>
      </c>
      <c r="E117" s="30">
        <v>32.978166221622246</v>
      </c>
      <c r="F117" s="14">
        <f>+'Mono SPOT MAT'!M117/'Fisico SPOT MAT'!M117/24</f>
        <v>37.732776918985699</v>
      </c>
      <c r="G117" s="13">
        <f t="shared" si="35"/>
        <v>17.600000000000001</v>
      </c>
      <c r="H117" s="12">
        <f>+'Mono ASIG'!AA117</f>
        <v>61.637047711544739</v>
      </c>
      <c r="I117" s="12">
        <f t="shared" si="34"/>
        <v>44.077080796739111</v>
      </c>
      <c r="J117" s="12">
        <f t="shared" si="36"/>
        <v>17.600000000000001</v>
      </c>
      <c r="K117" s="155">
        <f>+'Mono SPOT MAT'!T117</f>
        <v>0</v>
      </c>
      <c r="L117" s="116"/>
      <c r="M117" s="116"/>
      <c r="N117" s="140">
        <f>+'Mono SPOT MAT'!S117/'Fisico SPOT MAT'!S117/'Fisico SPOT MAT'!E117</f>
        <v>15.827166648839743</v>
      </c>
      <c r="O117" s="116"/>
      <c r="R117">
        <v>1.1000000000000001</v>
      </c>
      <c r="Y117" s="5">
        <f t="shared" si="31"/>
        <v>46028</v>
      </c>
      <c r="Z117" s="117">
        <f t="shared" si="32"/>
        <v>32.978166221622246</v>
      </c>
      <c r="AA117" s="117">
        <f t="shared" si="33"/>
        <v>35.968903466358888</v>
      </c>
      <c r="AB117" s="116">
        <v>1.7638734526268078</v>
      </c>
    </row>
    <row r="118" spans="1:28" x14ac:dyDescent="0.25">
      <c r="A118" s="1">
        <f t="shared" ref="A118:A119" si="37">YEAR(D118)</f>
        <v>2026</v>
      </c>
      <c r="B118" s="52">
        <f t="shared" si="20"/>
        <v>46023</v>
      </c>
      <c r="C118" s="1" t="s">
        <v>55</v>
      </c>
      <c r="D118" s="5">
        <f t="shared" si="28"/>
        <v>46029</v>
      </c>
      <c r="E118" s="30">
        <v>34.478204946117792</v>
      </c>
      <c r="F118" s="14">
        <f>+'Mono SPOT MAT'!M118/'Fisico SPOT MAT'!M118/24</f>
        <v>37.312837009324319</v>
      </c>
      <c r="G118" s="13">
        <f t="shared" ref="G118:G124" si="38">16*R118</f>
        <v>17.600000000000001</v>
      </c>
      <c r="H118" s="12">
        <f>+'Mono ASIG'!AA118</f>
        <v>62.485193161304842</v>
      </c>
      <c r="I118" s="12">
        <f t="shared" si="34"/>
        <v>44.925226246499221</v>
      </c>
      <c r="J118" s="12">
        <f t="shared" ref="J118:J124" si="39">16*R118</f>
        <v>17.600000000000001</v>
      </c>
      <c r="K118" s="155">
        <f>+'Mono SPOT MAT'!T118</f>
        <v>0</v>
      </c>
      <c r="L118" s="116"/>
      <c r="M118" s="116"/>
      <c r="N118" s="139">
        <f>+'Mono SPOT MAT'!S118/'Fisico SPOT MAT'!S118/'Fisico SPOT MAT'!E118</f>
        <v>15.84661474473649</v>
      </c>
      <c r="O118" s="116"/>
      <c r="R118">
        <v>1.1000000000000001</v>
      </c>
      <c r="Y118" s="5">
        <f t="shared" si="31"/>
        <v>46029</v>
      </c>
      <c r="Z118" s="117">
        <f t="shared" si="32"/>
        <v>34.478204946117792</v>
      </c>
      <c r="AA118" s="117">
        <f t="shared" si="33"/>
        <v>36.277591469597553</v>
      </c>
      <c r="AB118" s="116">
        <v>1.0352455397267653</v>
      </c>
    </row>
    <row r="119" spans="1:28" x14ac:dyDescent="0.25">
      <c r="A119" s="1">
        <f t="shared" si="37"/>
        <v>2026</v>
      </c>
      <c r="B119" s="52">
        <f t="shared" si="20"/>
        <v>46023</v>
      </c>
      <c r="C119" s="1" t="s">
        <v>56</v>
      </c>
      <c r="D119" s="5">
        <f t="shared" si="28"/>
        <v>46030</v>
      </c>
      <c r="E119" s="30">
        <v>32.759908874482299</v>
      </c>
      <c r="F119" s="14">
        <f>+'Mono SPOT MAT'!M119/'Fisico SPOT MAT'!M119/24</f>
        <v>37.25390241791505</v>
      </c>
      <c r="G119" s="13">
        <f t="shared" si="38"/>
        <v>17.600000000000001</v>
      </c>
      <c r="H119" s="12">
        <f>+'Mono ASIG'!AA119</f>
        <v>64.891477302570152</v>
      </c>
      <c r="I119" s="12">
        <f t="shared" si="34"/>
        <v>47.331510387764524</v>
      </c>
      <c r="J119" s="12">
        <f t="shared" si="39"/>
        <v>17.600000000000001</v>
      </c>
      <c r="K119" s="155">
        <f>+'Mono SPOT MAT'!T119</f>
        <v>0</v>
      </c>
      <c r="L119" s="116"/>
      <c r="M119" s="116"/>
      <c r="N119" s="140">
        <f>+'Mono SPOT MAT'!S119/'Fisico SPOT MAT'!S119/'Fisico SPOT MAT'!E119</f>
        <v>15.852105377808165</v>
      </c>
      <c r="O119" s="116"/>
      <c r="R119">
        <v>1.1000000000000001</v>
      </c>
      <c r="Y119" s="5">
        <f t="shared" si="31"/>
        <v>46030</v>
      </c>
      <c r="Z119" s="117">
        <f t="shared" si="32"/>
        <v>32.759908874482299</v>
      </c>
      <c r="AA119" s="117">
        <f t="shared" si="33"/>
        <v>35.630193317988109</v>
      </c>
      <c r="AB119" s="116">
        <v>1.6237090999269421</v>
      </c>
    </row>
    <row r="120" spans="1:28" x14ac:dyDescent="0.25">
      <c r="A120" s="1">
        <f t="shared" ref="A120:A130" si="40">YEAR(D120)</f>
        <v>2026</v>
      </c>
      <c r="B120" s="52">
        <f t="shared" si="20"/>
        <v>46023</v>
      </c>
      <c r="C120" s="1" t="s">
        <v>57</v>
      </c>
      <c r="D120" s="5">
        <f t="shared" si="28"/>
        <v>46031</v>
      </c>
      <c r="E120" s="30">
        <v>34.173236903593931</v>
      </c>
      <c r="F120" s="14">
        <f>+'Mono SPOT MAT'!M120/'Fisico SPOT MAT'!M120/24</f>
        <v>37.210621664130066</v>
      </c>
      <c r="G120" s="13">
        <f t="shared" si="38"/>
        <v>17.600000000000001</v>
      </c>
      <c r="H120" s="12">
        <f>+'Mono ASIG'!AA120</f>
        <v>66.192725858662286</v>
      </c>
      <c r="I120" s="12">
        <f t="shared" si="34"/>
        <v>48.632758943856658</v>
      </c>
      <c r="J120" s="12">
        <f t="shared" si="39"/>
        <v>17.600000000000001</v>
      </c>
      <c r="K120" s="155">
        <f>+'Mono SPOT MAT'!T120</f>
        <v>0</v>
      </c>
      <c r="L120" s="116"/>
      <c r="M120" s="116"/>
      <c r="N120" s="139">
        <f>+'Mono SPOT MAT'!S120/'Fisico SPOT MAT'!S120/'Fisico SPOT MAT'!E120</f>
        <v>15.717304598509434</v>
      </c>
      <c r="O120" s="116"/>
      <c r="R120">
        <v>1.1000000000000001</v>
      </c>
      <c r="Y120" s="5">
        <f t="shared" si="31"/>
        <v>46031</v>
      </c>
      <c r="Z120" s="117">
        <f t="shared" si="32"/>
        <v>34.173236903593931</v>
      </c>
      <c r="AA120" s="117">
        <f t="shared" si="33"/>
        <v>36.173430774024204</v>
      </c>
      <c r="AB120" s="116">
        <v>1.0371908901058584</v>
      </c>
    </row>
    <row r="121" spans="1:28" x14ac:dyDescent="0.25">
      <c r="A121" s="1">
        <f t="shared" si="40"/>
        <v>2026</v>
      </c>
      <c r="B121" s="52">
        <f t="shared" si="20"/>
        <v>46023</v>
      </c>
      <c r="C121" s="1" t="s">
        <v>51</v>
      </c>
      <c r="D121" s="5">
        <f t="shared" si="28"/>
        <v>46032</v>
      </c>
      <c r="E121" s="30">
        <v>31.925391686207025</v>
      </c>
      <c r="F121" s="14">
        <f>+'Mono SPOT MAT'!M121/'Fisico SPOT MAT'!M121/24</f>
        <v>36.358018736735936</v>
      </c>
      <c r="G121" s="13">
        <f t="shared" si="38"/>
        <v>17.600000000000001</v>
      </c>
      <c r="H121" s="12">
        <f>+'Mono ASIG'!AA121</f>
        <v>65.60789832675168</v>
      </c>
      <c r="I121" s="12">
        <f t="shared" si="34"/>
        <v>48.047931411946053</v>
      </c>
      <c r="J121" s="12">
        <f t="shared" si="39"/>
        <v>17.600000000000001</v>
      </c>
      <c r="K121" s="155">
        <f>+'Mono SPOT MAT'!T121</f>
        <v>0</v>
      </c>
      <c r="L121" s="116"/>
      <c r="M121" s="116"/>
      <c r="N121" s="140">
        <f>+'Mono SPOT MAT'!S121/'Fisico SPOT MAT'!S121/'Fisico SPOT MAT'!E121</f>
        <v>15.562574783442811</v>
      </c>
      <c r="O121" s="116"/>
      <c r="R121">
        <v>1.1000000000000001</v>
      </c>
      <c r="Y121" s="5">
        <f t="shared" si="31"/>
        <v>46032</v>
      </c>
      <c r="Z121" s="117">
        <f t="shared" si="32"/>
        <v>31.925391686207025</v>
      </c>
      <c r="AA121" s="117">
        <f t="shared" si="33"/>
        <v>34.365405509332881</v>
      </c>
      <c r="AB121" s="116">
        <v>1.9926132274030577</v>
      </c>
    </row>
    <row r="122" spans="1:28" x14ac:dyDescent="0.25">
      <c r="A122" s="1">
        <f t="shared" si="40"/>
        <v>2026</v>
      </c>
      <c r="B122" s="52">
        <f t="shared" si="20"/>
        <v>46023</v>
      </c>
      <c r="C122" s="1" t="s">
        <v>52</v>
      </c>
      <c r="D122" s="5">
        <f t="shared" si="28"/>
        <v>46033</v>
      </c>
      <c r="E122" s="30">
        <v>34.015781036304283</v>
      </c>
      <c r="F122" s="14">
        <f>+'Mono SPOT MAT'!M122/'Fisico SPOT MAT'!M122/24</f>
        <v>37.391593178057931</v>
      </c>
      <c r="G122" s="13">
        <f t="shared" si="38"/>
        <v>17.600000000000001</v>
      </c>
      <c r="H122" s="12">
        <f>+'Mono ASIG'!AA122</f>
        <v>66.510211647235067</v>
      </c>
      <c r="I122" s="12">
        <f t="shared" si="34"/>
        <v>48.950244732429439</v>
      </c>
      <c r="J122" s="12">
        <f t="shared" si="39"/>
        <v>17.600000000000001</v>
      </c>
      <c r="K122" s="155">
        <f>+'Mono SPOT MAT'!T122</f>
        <v>0</v>
      </c>
      <c r="L122" s="116"/>
      <c r="M122" s="116"/>
      <c r="N122" s="139">
        <f>+'Mono SPOT MAT'!S122/'Fisico SPOT MAT'!S122/'Fisico SPOT MAT'!E122</f>
        <v>15.598204057443724</v>
      </c>
      <c r="O122" s="116"/>
      <c r="R122">
        <v>1.1000000000000001</v>
      </c>
      <c r="Y122" s="5">
        <f t="shared" si="31"/>
        <v>46033</v>
      </c>
      <c r="Z122" s="117">
        <f t="shared" si="32"/>
        <v>34.015781036304283</v>
      </c>
      <c r="AA122" s="117">
        <f t="shared" si="33"/>
        <v>36.15962846918589</v>
      </c>
      <c r="AB122" s="116">
        <v>1.2319647088720427</v>
      </c>
    </row>
    <row r="123" spans="1:28" x14ac:dyDescent="0.25">
      <c r="A123" s="1">
        <f t="shared" si="40"/>
        <v>2026</v>
      </c>
      <c r="B123" s="52">
        <f t="shared" si="20"/>
        <v>46023</v>
      </c>
      <c r="C123" s="1" t="s">
        <v>53</v>
      </c>
      <c r="D123" s="5">
        <f t="shared" si="28"/>
        <v>46034</v>
      </c>
      <c r="E123" s="30">
        <v>43.634911972169704</v>
      </c>
      <c r="F123" s="14">
        <f>+'Mono SPOT MAT'!M123/'Fisico SPOT MAT'!M123/24</f>
        <v>39.319317440857752</v>
      </c>
      <c r="G123" s="13">
        <f t="shared" si="38"/>
        <v>17.600000000000001</v>
      </c>
      <c r="H123" s="12">
        <f>+'Mono ASIG'!AA123</f>
        <v>58.906846936896045</v>
      </c>
      <c r="I123" s="12">
        <f t="shared" si="34"/>
        <v>41.346880022090417</v>
      </c>
      <c r="J123" s="12">
        <f t="shared" si="39"/>
        <v>17.600000000000001</v>
      </c>
      <c r="K123" s="155">
        <f>+'Mono SPOT MAT'!T123</f>
        <v>0</v>
      </c>
      <c r="L123" s="116"/>
      <c r="M123" s="116"/>
      <c r="N123" s="140">
        <f>+'Mono SPOT MAT'!S123/'Fisico SPOT MAT'!S123/'Fisico SPOT MAT'!E123</f>
        <v>15.582214119636809</v>
      </c>
      <c r="O123" s="116"/>
      <c r="R123">
        <v>1.1000000000000001</v>
      </c>
      <c r="Y123" s="5">
        <f t="shared" si="31"/>
        <v>46034</v>
      </c>
      <c r="Z123" s="117">
        <f t="shared" si="32"/>
        <v>43.634911972169704</v>
      </c>
      <c r="AA123" s="117">
        <f t="shared" si="33"/>
        <v>37.873645889085942</v>
      </c>
      <c r="AB123" s="116">
        <v>1.4456715517718082</v>
      </c>
    </row>
    <row r="124" spans="1:28" x14ac:dyDescent="0.25">
      <c r="A124" s="1">
        <f t="shared" si="40"/>
        <v>2026</v>
      </c>
      <c r="B124" s="52">
        <f t="shared" si="20"/>
        <v>46023</v>
      </c>
      <c r="C124" s="1" t="s">
        <v>54</v>
      </c>
      <c r="D124" s="5">
        <f t="shared" si="28"/>
        <v>46035</v>
      </c>
      <c r="E124" s="30">
        <v>43.739653037828724</v>
      </c>
      <c r="F124" s="14">
        <f>+'Mono SPOT MAT'!M124/'Fisico SPOT MAT'!M124/24</f>
        <v>38.01663354668765</v>
      </c>
      <c r="G124" s="13">
        <f t="shared" si="38"/>
        <v>17.600000000000001</v>
      </c>
      <c r="H124" s="12">
        <f>+'Mono ASIG'!AA124</f>
        <v>58.5142322813129</v>
      </c>
      <c r="I124" s="12">
        <f t="shared" si="34"/>
        <v>40.954265366507272</v>
      </c>
      <c r="J124" s="12">
        <f t="shared" si="39"/>
        <v>17.600000000000001</v>
      </c>
      <c r="K124" s="155">
        <f>+'Mono SPOT MAT'!T124</f>
        <v>0</v>
      </c>
      <c r="L124" s="116"/>
      <c r="M124" s="116"/>
      <c r="N124" s="139">
        <f>+'Mono SPOT MAT'!S124/'Fisico SPOT MAT'!S124/'Fisico SPOT MAT'!E124</f>
        <v>15.60519160396689</v>
      </c>
      <c r="O124" s="116"/>
      <c r="R124">
        <v>1.1000000000000001</v>
      </c>
      <c r="Y124" s="5">
        <f t="shared" si="31"/>
        <v>46035</v>
      </c>
      <c r="Z124" s="117">
        <f t="shared" si="32"/>
        <v>43.739653037828724</v>
      </c>
      <c r="AA124" s="117">
        <f t="shared" si="33"/>
        <v>36.320247395256295</v>
      </c>
      <c r="AB124" s="116">
        <v>1.6963861514313583</v>
      </c>
    </row>
    <row r="125" spans="1:28" x14ac:dyDescent="0.25">
      <c r="A125" s="1">
        <f t="shared" si="40"/>
        <v>2026</v>
      </c>
      <c r="B125" s="52">
        <f t="shared" si="20"/>
        <v>46023</v>
      </c>
      <c r="C125" s="1" t="s">
        <v>55</v>
      </c>
      <c r="D125" s="5">
        <f t="shared" si="28"/>
        <v>46036</v>
      </c>
      <c r="E125" s="30">
        <v>56.822108752310051</v>
      </c>
      <c r="F125" s="14">
        <f>+'Mono SPOT MAT'!M125/'Fisico SPOT MAT'!M125/24</f>
        <v>40.385474193639311</v>
      </c>
      <c r="G125" s="13">
        <f t="shared" ref="G125:G131" si="41">16*R125</f>
        <v>17.600000000000001</v>
      </c>
      <c r="H125" s="12">
        <f>+'Mono ASIG'!AA125</f>
        <v>61.559815584924984</v>
      </c>
      <c r="I125" s="12">
        <f t="shared" si="34"/>
        <v>43.999848670119363</v>
      </c>
      <c r="J125" s="12">
        <f t="shared" ref="J125:J136" si="42">16*R125</f>
        <v>17.600000000000001</v>
      </c>
      <c r="K125" s="155">
        <f>+'Mono SPOT MAT'!T125</f>
        <v>0</v>
      </c>
      <c r="L125" s="116"/>
      <c r="M125" s="116"/>
      <c r="N125" s="140">
        <f>+'Mono SPOT MAT'!S125/'Fisico SPOT MAT'!S125/'Fisico SPOT MAT'!E125</f>
        <v>15.586939857909236</v>
      </c>
      <c r="O125" s="116"/>
      <c r="R125">
        <v>1.1000000000000001</v>
      </c>
      <c r="Y125" s="5">
        <f t="shared" si="31"/>
        <v>46036</v>
      </c>
      <c r="Z125" s="117">
        <f t="shared" si="32"/>
        <v>56.822108752310051</v>
      </c>
      <c r="AA125" s="117">
        <f t="shared" si="33"/>
        <v>36.721674579548683</v>
      </c>
      <c r="AB125" s="116">
        <v>3.6637996140906259</v>
      </c>
    </row>
    <row r="126" spans="1:28" x14ac:dyDescent="0.25">
      <c r="A126" s="1">
        <f t="shared" si="40"/>
        <v>2026</v>
      </c>
      <c r="B126" s="52">
        <f t="shared" si="20"/>
        <v>46023</v>
      </c>
      <c r="C126" s="1" t="s">
        <v>56</v>
      </c>
      <c r="D126" s="5">
        <f t="shared" si="28"/>
        <v>46037</v>
      </c>
      <c r="E126" s="30">
        <v>83.951107689661299</v>
      </c>
      <c r="F126" s="14">
        <f>+'Mono SPOT MAT'!M126/'Fisico SPOT MAT'!M126/24</f>
        <v>43.584042976036386</v>
      </c>
      <c r="G126" s="13">
        <f t="shared" si="41"/>
        <v>17.600000000000001</v>
      </c>
      <c r="H126" s="12">
        <f>+'Mono ASIG'!AA126</f>
        <v>63.711514026662236</v>
      </c>
      <c r="I126" s="12">
        <f t="shared" si="34"/>
        <v>46.151547111856615</v>
      </c>
      <c r="J126" s="12">
        <f t="shared" si="42"/>
        <v>17.600000000000001</v>
      </c>
      <c r="K126" s="155">
        <f>+'Mono SPOT MAT'!T126</f>
        <v>0</v>
      </c>
      <c r="L126" s="116"/>
      <c r="M126" s="116"/>
      <c r="N126" s="139">
        <f>+'Mono SPOT MAT'!S126/'Fisico SPOT MAT'!S126/'Fisico SPOT MAT'!E126</f>
        <v>15.495857316328733</v>
      </c>
      <c r="O126" s="116"/>
      <c r="R126">
        <v>1.1000000000000001</v>
      </c>
      <c r="Y126" s="5">
        <f t="shared" si="31"/>
        <v>46037</v>
      </c>
      <c r="Z126" s="117">
        <f t="shared" si="32"/>
        <v>83.951107689661299</v>
      </c>
      <c r="AA126" s="117">
        <f t="shared" si="33"/>
        <v>36.396636430988295</v>
      </c>
      <c r="AB126" s="116">
        <v>7.187406545048094</v>
      </c>
    </row>
    <row r="127" spans="1:28" x14ac:dyDescent="0.25">
      <c r="A127" s="1">
        <f t="shared" si="40"/>
        <v>2026</v>
      </c>
      <c r="B127" s="52">
        <f t="shared" si="20"/>
        <v>46023</v>
      </c>
      <c r="C127" s="1" t="s">
        <v>57</v>
      </c>
      <c r="D127" s="5">
        <f t="shared" si="28"/>
        <v>46038</v>
      </c>
      <c r="E127" s="30">
        <v>52.990876102399064</v>
      </c>
      <c r="F127" s="14">
        <f>+'Mono SPOT MAT'!M127/'Fisico SPOT MAT'!M127/24</f>
        <v>41.530767523678072</v>
      </c>
      <c r="G127" s="13">
        <f t="shared" si="41"/>
        <v>17.600000000000001</v>
      </c>
      <c r="H127" s="12">
        <f>+'Mono ASIG'!AA127</f>
        <v>66.983770333527559</v>
      </c>
      <c r="I127" s="12">
        <f t="shared" si="34"/>
        <v>49.423803418721931</v>
      </c>
      <c r="J127" s="12">
        <f t="shared" si="42"/>
        <v>17.600000000000001</v>
      </c>
      <c r="K127" s="155">
        <f>+'Mono SPOT MAT'!T127</f>
        <v>0</v>
      </c>
      <c r="L127" s="116"/>
      <c r="M127" s="116"/>
      <c r="N127" s="140">
        <f>+'Mono SPOT MAT'!S127/'Fisico SPOT MAT'!S127/'Fisico SPOT MAT'!E127</f>
        <v>15.525818847571131</v>
      </c>
      <c r="O127" s="116"/>
      <c r="R127">
        <v>1.1000000000000001</v>
      </c>
      <c r="Y127" s="5">
        <f t="shared" si="31"/>
        <v>46038</v>
      </c>
      <c r="Z127" s="117">
        <f t="shared" si="32"/>
        <v>52.990876102399064</v>
      </c>
      <c r="AA127" s="117">
        <f t="shared" si="33"/>
        <v>38.532069094489934</v>
      </c>
      <c r="AB127" s="116">
        <v>2.9986984291881371</v>
      </c>
    </row>
    <row r="128" spans="1:28" x14ac:dyDescent="0.25">
      <c r="A128" s="1">
        <f t="shared" si="40"/>
        <v>2026</v>
      </c>
      <c r="B128" s="52">
        <f t="shared" si="20"/>
        <v>46023</v>
      </c>
      <c r="C128" s="1" t="s">
        <v>51</v>
      </c>
      <c r="D128" s="5">
        <f t="shared" si="28"/>
        <v>46039</v>
      </c>
      <c r="E128" s="30">
        <v>46.005274766562451</v>
      </c>
      <c r="F128" s="14">
        <f>+'Mono SPOT MAT'!M128/'Fisico SPOT MAT'!M128/24</f>
        <v>40.269105209027522</v>
      </c>
      <c r="G128" s="13">
        <f t="shared" si="41"/>
        <v>17.600000000000001</v>
      </c>
      <c r="H128" s="12">
        <f>+'Mono ASIG'!AA128</f>
        <v>64.92626574111604</v>
      </c>
      <c r="I128" s="12">
        <f t="shared" si="34"/>
        <v>47.366298826310413</v>
      </c>
      <c r="J128" s="12">
        <f t="shared" si="42"/>
        <v>17.600000000000001</v>
      </c>
      <c r="K128" s="155">
        <f>+'Mono SPOT MAT'!T128</f>
        <v>0</v>
      </c>
      <c r="L128" s="116"/>
      <c r="M128" s="116"/>
      <c r="N128" s="139">
        <f>+'Mono SPOT MAT'!S128/'Fisico SPOT MAT'!S128/'Fisico SPOT MAT'!E128</f>
        <v>15.612728501423119</v>
      </c>
      <c r="O128" s="116"/>
      <c r="R128">
        <v>1.1000000000000001</v>
      </c>
      <c r="Y128" s="5">
        <f t="shared" si="31"/>
        <v>46039</v>
      </c>
      <c r="Z128" s="117">
        <f t="shared" si="32"/>
        <v>46.005274766562451</v>
      </c>
      <c r="AA128" s="117">
        <f t="shared" si="33"/>
        <v>38.457822014423151</v>
      </c>
      <c r="AB128" s="116">
        <v>1.8112831946043713</v>
      </c>
    </row>
    <row r="129" spans="1:36" x14ac:dyDescent="0.25">
      <c r="A129" s="1">
        <f t="shared" si="40"/>
        <v>2026</v>
      </c>
      <c r="B129" s="52">
        <f t="shared" si="20"/>
        <v>46023</v>
      </c>
      <c r="C129" s="1" t="s">
        <v>52</v>
      </c>
      <c r="D129" s="5">
        <f t="shared" si="28"/>
        <v>46040</v>
      </c>
      <c r="E129" s="30">
        <v>36.026128823809678</v>
      </c>
      <c r="F129" s="14">
        <f>+'Mono SPOT MAT'!M129/'Fisico SPOT MAT'!M129/24</f>
        <v>39.013816051667696</v>
      </c>
      <c r="G129" s="13">
        <f t="shared" si="41"/>
        <v>17.600000000000001</v>
      </c>
      <c r="H129" s="12">
        <f>+'Mono ASIG'!AA129</f>
        <v>69.563969015992626</v>
      </c>
      <c r="I129" s="12">
        <f t="shared" si="34"/>
        <v>52.004002101186998</v>
      </c>
      <c r="J129" s="12">
        <f t="shared" si="42"/>
        <v>17.600000000000001</v>
      </c>
      <c r="K129" s="155">
        <f>+'Mono SPOT MAT'!T129</f>
        <v>0</v>
      </c>
      <c r="L129" s="116"/>
      <c r="M129" s="116"/>
      <c r="N129" s="140">
        <f>+'Mono SPOT MAT'!S129/'Fisico SPOT MAT'!S129/'Fisico SPOT MAT'!E129</f>
        <v>15.621680222018252</v>
      </c>
      <c r="O129" s="116"/>
      <c r="R129">
        <v>1.1000000000000001</v>
      </c>
      <c r="Y129" s="5">
        <f t="shared" si="31"/>
        <v>46040</v>
      </c>
      <c r="Z129" s="117">
        <f t="shared" si="32"/>
        <v>36.026128823809678</v>
      </c>
      <c r="AA129" s="117">
        <f t="shared" si="33"/>
        <v>37.813508824137543</v>
      </c>
      <c r="AB129" s="116">
        <v>1.200307227530153</v>
      </c>
    </row>
    <row r="130" spans="1:36" x14ac:dyDescent="0.25">
      <c r="A130" s="1">
        <f t="shared" si="40"/>
        <v>2026</v>
      </c>
      <c r="B130" s="52">
        <f t="shared" si="20"/>
        <v>46023</v>
      </c>
      <c r="C130" s="1" t="s">
        <v>53</v>
      </c>
      <c r="D130" s="5">
        <f t="shared" si="28"/>
        <v>46041</v>
      </c>
      <c r="E130" s="30">
        <v>37.791009301288653</v>
      </c>
      <c r="F130" s="14">
        <f>+'Mono SPOT MAT'!M130/'Fisico SPOT MAT'!M130/24</f>
        <v>39.585130168478891</v>
      </c>
      <c r="G130" s="13">
        <f t="shared" si="41"/>
        <v>17.600000000000001</v>
      </c>
      <c r="H130" s="12">
        <f>+'Mono ASIG'!AA130</f>
        <v>71.846354978032792</v>
      </c>
      <c r="I130" s="12">
        <f t="shared" si="34"/>
        <v>54.286388063227164</v>
      </c>
      <c r="J130" s="12">
        <f t="shared" si="42"/>
        <v>17.600000000000001</v>
      </c>
      <c r="K130" s="155">
        <f>+'Mono SPOT MAT'!T130</f>
        <v>0</v>
      </c>
      <c r="L130" s="116"/>
      <c r="M130" s="116"/>
      <c r="N130" s="139">
        <f>+'Mono SPOT MAT'!S130/'Fisico SPOT MAT'!S130/'Fisico SPOT MAT'!E130</f>
        <v>15.691327092160392</v>
      </c>
      <c r="O130" s="116"/>
      <c r="R130">
        <v>1.1000000000000001</v>
      </c>
      <c r="Y130" s="5">
        <f t="shared" si="31"/>
        <v>46041</v>
      </c>
      <c r="Z130" s="117">
        <f t="shared" si="32"/>
        <v>37.791009301288653</v>
      </c>
      <c r="AA130" s="117">
        <f t="shared" si="33"/>
        <v>38.429278132724178</v>
      </c>
      <c r="AB130" s="116">
        <v>1.1558520357547108</v>
      </c>
    </row>
    <row r="131" spans="1:36" x14ac:dyDescent="0.25">
      <c r="A131" s="1">
        <f t="shared" ref="A131:A137" si="43">YEAR(D131)</f>
        <v>2026</v>
      </c>
      <c r="B131" s="52">
        <f t="shared" si="20"/>
        <v>46023</v>
      </c>
      <c r="C131" s="1" t="s">
        <v>54</v>
      </c>
      <c r="D131" s="5">
        <f t="shared" si="28"/>
        <v>46042</v>
      </c>
      <c r="E131" s="30">
        <v>38.300591812738432</v>
      </c>
      <c r="F131" s="14">
        <f>+'Mono SPOT MAT'!M131/'Fisico SPOT MAT'!M131/24</f>
        <v>39.156124800232909</v>
      </c>
      <c r="G131" s="13">
        <f t="shared" si="41"/>
        <v>17.600000000000001</v>
      </c>
      <c r="H131" s="12">
        <f>+'Mono ASIG'!AA131</f>
        <v>70.539762864367589</v>
      </c>
      <c r="I131" s="12">
        <f t="shared" si="34"/>
        <v>52.979795949561961</v>
      </c>
      <c r="J131" s="12">
        <f t="shared" si="42"/>
        <v>17.600000000000001</v>
      </c>
      <c r="K131" s="155">
        <f>+'Mono SPOT MAT'!T131</f>
        <v>0</v>
      </c>
      <c r="L131" s="116"/>
      <c r="M131" s="116"/>
      <c r="N131" s="140">
        <f>+'Mono SPOT MAT'!S131/'Fisico SPOT MAT'!S131/'Fisico SPOT MAT'!E131</f>
        <v>15.684133509635634</v>
      </c>
      <c r="O131" s="116"/>
      <c r="R131">
        <v>1.1000000000000001</v>
      </c>
      <c r="Y131" s="5">
        <f t="shared" si="31"/>
        <v>46042</v>
      </c>
      <c r="Z131" s="117">
        <f t="shared" si="32"/>
        <v>38.300591812738432</v>
      </c>
      <c r="AA131" s="117">
        <f t="shared" si="33"/>
        <v>38.180003377188612</v>
      </c>
      <c r="AB131" s="116">
        <v>0.97612142304429506</v>
      </c>
    </row>
    <row r="132" spans="1:36" x14ac:dyDescent="0.25">
      <c r="A132" s="1">
        <f t="shared" si="43"/>
        <v>2026</v>
      </c>
      <c r="B132" s="52">
        <f t="shared" si="20"/>
        <v>46023</v>
      </c>
      <c r="C132" s="1" t="s">
        <v>55</v>
      </c>
      <c r="D132" s="5">
        <f t="shared" si="28"/>
        <v>46043</v>
      </c>
      <c r="E132" s="30">
        <v>35.587092495708106</v>
      </c>
      <c r="F132" s="14">
        <f>+'Mono SPOT MAT'!M132/'Fisico SPOT MAT'!M132/24</f>
        <v>39.281287483982055</v>
      </c>
      <c r="G132" s="13">
        <f t="shared" ref="G132:G136" si="44">16*R132</f>
        <v>17.600000000000001</v>
      </c>
      <c r="H132" s="12">
        <f>+'Mono ASIG'!AA132</f>
        <v>71.38828417386577</v>
      </c>
      <c r="I132" s="12">
        <f t="shared" si="34"/>
        <v>53.828317259060142</v>
      </c>
      <c r="J132" s="12">
        <f t="shared" si="42"/>
        <v>17.600000000000001</v>
      </c>
      <c r="K132" s="155">
        <f>+'Mono SPOT MAT'!T132</f>
        <v>0</v>
      </c>
      <c r="L132" s="116"/>
      <c r="M132" s="116"/>
      <c r="N132" s="139">
        <f>+'Mono SPOT MAT'!S132/'Fisico SPOT MAT'!S132/'Fisico SPOT MAT'!E132</f>
        <v>15.653548911961346</v>
      </c>
      <c r="O132" s="116"/>
      <c r="R132">
        <v>1.1000000000000001</v>
      </c>
      <c r="Y132" s="5">
        <f t="shared" si="31"/>
        <v>46043</v>
      </c>
      <c r="Z132" s="117">
        <f t="shared" si="32"/>
        <v>35.587092495708106</v>
      </c>
      <c r="AA132" s="117">
        <f t="shared" si="33"/>
        <v>37.90742094180596</v>
      </c>
      <c r="AB132" s="116">
        <v>1.3738665421760952</v>
      </c>
      <c r="AD132" s="5"/>
    </row>
    <row r="133" spans="1:36" x14ac:dyDescent="0.25">
      <c r="A133" s="1">
        <f t="shared" si="43"/>
        <v>2026</v>
      </c>
      <c r="B133" s="52">
        <f t="shared" si="20"/>
        <v>46023</v>
      </c>
      <c r="C133" s="1" t="s">
        <v>56</v>
      </c>
      <c r="D133" s="5">
        <f t="shared" si="28"/>
        <v>46044</v>
      </c>
      <c r="E133" s="30">
        <v>41.539949764666879</v>
      </c>
      <c r="F133" s="14">
        <f>+'Mono SPOT MAT'!M133/'Fisico SPOT MAT'!M133/24</f>
        <v>38.961893554233107</v>
      </c>
      <c r="G133" s="13">
        <f t="shared" si="44"/>
        <v>17.600000000000001</v>
      </c>
      <c r="H133" s="12">
        <f>+'Mono ASIG'!AA133</f>
        <v>67.604437362036762</v>
      </c>
      <c r="I133" s="12">
        <f t="shared" si="34"/>
        <v>50.044470447231134</v>
      </c>
      <c r="J133" s="12">
        <f t="shared" si="42"/>
        <v>17.600000000000001</v>
      </c>
      <c r="K133" s="155">
        <f>+'Mono SPOT MAT'!T133</f>
        <v>0</v>
      </c>
      <c r="L133" s="116"/>
      <c r="M133" s="116"/>
      <c r="N133" s="140">
        <f>+'Mono SPOT MAT'!S133/'Fisico SPOT MAT'!S133/'Fisico SPOT MAT'!E133</f>
        <v>15.660765951980904</v>
      </c>
      <c r="O133" s="116"/>
      <c r="R133">
        <v>1.1000000000000001</v>
      </c>
      <c r="Y133" s="5">
        <f t="shared" si="31"/>
        <v>46044</v>
      </c>
      <c r="Z133" s="117">
        <f t="shared" si="32"/>
        <v>41.539949764666879</v>
      </c>
      <c r="AA133" s="117">
        <f t="shared" si="33"/>
        <v>37.294566278354566</v>
      </c>
      <c r="AB133" s="116">
        <v>1.6673272758785398</v>
      </c>
      <c r="AD133" s="5"/>
    </row>
    <row r="134" spans="1:36" x14ac:dyDescent="0.25">
      <c r="A134" s="1">
        <f t="shared" si="43"/>
        <v>2026</v>
      </c>
      <c r="B134" s="52">
        <f t="shared" si="20"/>
        <v>46023</v>
      </c>
      <c r="C134" s="1" t="s">
        <v>57</v>
      </c>
      <c r="D134" s="5">
        <f t="shared" si="28"/>
        <v>46045</v>
      </c>
      <c r="E134" s="30">
        <v>49.590790264372067</v>
      </c>
      <c r="F134" s="14">
        <f>+'Mono SPOT MAT'!M134/'Fisico SPOT MAT'!M134/24</f>
        <v>40.159423444420504</v>
      </c>
      <c r="G134" s="13">
        <f t="shared" si="44"/>
        <v>17.600000000000001</v>
      </c>
      <c r="H134" s="12">
        <f>+'Mono ASIG'!AA134</f>
        <v>60.939856299349167</v>
      </c>
      <c r="I134" s="12">
        <f t="shared" si="34"/>
        <v>43.379889384543546</v>
      </c>
      <c r="J134" s="12">
        <f t="shared" si="42"/>
        <v>17.600000000000001</v>
      </c>
      <c r="K134" s="155">
        <f>+'Mono SPOT MAT'!T134</f>
        <v>0</v>
      </c>
      <c r="L134" s="116"/>
      <c r="M134" s="116"/>
      <c r="N134" s="139">
        <f>+'Mono SPOT MAT'!S134/'Fisico SPOT MAT'!S134/'Fisico SPOT MAT'!E134</f>
        <v>15.680032994487323</v>
      </c>
      <c r="O134" s="116"/>
      <c r="R134">
        <v>1.1000000000000001</v>
      </c>
      <c r="Y134" s="5">
        <f t="shared" si="31"/>
        <v>46045</v>
      </c>
      <c r="Z134" s="117">
        <f t="shared" si="32"/>
        <v>49.590790264372067</v>
      </c>
      <c r="AA134" s="117">
        <f t="shared" si="33"/>
        <v>37.508444014675419</v>
      </c>
      <c r="AB134" s="116">
        <v>2.6509794297450853</v>
      </c>
      <c r="AD134" s="5"/>
    </row>
    <row r="135" spans="1:36" x14ac:dyDescent="0.25">
      <c r="A135" s="1">
        <f t="shared" si="43"/>
        <v>2026</v>
      </c>
      <c r="B135" s="52">
        <f t="shared" si="20"/>
        <v>46023</v>
      </c>
      <c r="C135" s="1" t="s">
        <v>51</v>
      </c>
      <c r="D135" s="5">
        <f t="shared" si="28"/>
        <v>46046</v>
      </c>
      <c r="E135" s="30">
        <v>89.84595554076823</v>
      </c>
      <c r="F135" s="14">
        <f>+'Mono SPOT MAT'!M135/'Fisico SPOT MAT'!M135/24</f>
        <v>44.898614390168888</v>
      </c>
      <c r="G135" s="13">
        <f t="shared" si="44"/>
        <v>17.600000000000001</v>
      </c>
      <c r="H135" s="12">
        <f>+'Mono ASIG'!AA135</f>
        <v>66.575430187783439</v>
      </c>
      <c r="I135" s="12">
        <f t="shared" si="34"/>
        <v>49.015463272977811</v>
      </c>
      <c r="J135" s="12">
        <f t="shared" si="42"/>
        <v>17.600000000000001</v>
      </c>
      <c r="K135" s="155">
        <f>+'Mono SPOT MAT'!T135</f>
        <v>0</v>
      </c>
      <c r="L135" s="116"/>
      <c r="M135" s="116"/>
      <c r="N135" s="140">
        <f>+'Mono SPOT MAT'!S135/'Fisico SPOT MAT'!S135/'Fisico SPOT MAT'!E135</f>
        <v>15.684076403275734</v>
      </c>
      <c r="O135" s="116"/>
      <c r="R135">
        <v>1.1000000000000001</v>
      </c>
      <c r="Y135" s="5">
        <f t="shared" si="31"/>
        <v>46046</v>
      </c>
      <c r="Z135" s="117">
        <f t="shared" si="32"/>
        <v>89.84595554076823</v>
      </c>
      <c r="AA135" s="117">
        <f t="shared" si="33"/>
        <v>36.979274770083165</v>
      </c>
      <c r="AB135" s="116">
        <v>7.9193396200857205</v>
      </c>
      <c r="AD135" s="5"/>
    </row>
    <row r="136" spans="1:36" x14ac:dyDescent="0.25">
      <c r="A136" s="1">
        <f t="shared" si="43"/>
        <v>2026</v>
      </c>
      <c r="B136" s="52">
        <f t="shared" si="20"/>
        <v>46023</v>
      </c>
      <c r="C136" s="1" t="s">
        <v>52</v>
      </c>
      <c r="D136" s="5">
        <f t="shared" si="28"/>
        <v>46047</v>
      </c>
      <c r="E136" s="30">
        <v>90.264286627714213</v>
      </c>
      <c r="F136" s="14">
        <f>+'Mono SPOT MAT'!M136/'Fisico SPOT MAT'!M136/24</f>
        <v>47.300048647103779</v>
      </c>
      <c r="G136" s="13">
        <f t="shared" si="44"/>
        <v>17.600000000000001</v>
      </c>
      <c r="H136" s="12">
        <f>+'Mono ASIG'!AA136</f>
        <v>71.325840679159697</v>
      </c>
      <c r="I136" s="12">
        <f t="shared" si="34"/>
        <v>53.765873764354069</v>
      </c>
      <c r="J136" s="12">
        <f t="shared" si="42"/>
        <v>17.600000000000001</v>
      </c>
      <c r="K136" s="155">
        <f>+'Mono SPOT MAT'!T136</f>
        <v>0</v>
      </c>
      <c r="L136" s="116"/>
      <c r="M136" s="116"/>
      <c r="N136" s="139">
        <f>+'Mono SPOT MAT'!S136/'Fisico SPOT MAT'!S136/'Fisico SPOT MAT'!E136</f>
        <v>15.688723234880429</v>
      </c>
      <c r="O136" s="116"/>
      <c r="R136">
        <v>1.1000000000000001</v>
      </c>
      <c r="Y136" s="5">
        <f t="shared" si="31"/>
        <v>46047</v>
      </c>
      <c r="Z136" s="117">
        <f t="shared" si="32"/>
        <v>90.264286627714213</v>
      </c>
      <c r="AA136" s="117">
        <f t="shared" si="33"/>
        <v>39.421312503163563</v>
      </c>
      <c r="AB136" s="116">
        <v>7.8787361439402197</v>
      </c>
      <c r="AD136" s="5"/>
    </row>
    <row r="137" spans="1:36" x14ac:dyDescent="0.25">
      <c r="A137" s="1">
        <f t="shared" si="43"/>
        <v>2026</v>
      </c>
      <c r="B137" s="52">
        <f t="shared" si="20"/>
        <v>46023</v>
      </c>
      <c r="C137" s="1" t="s">
        <v>53</v>
      </c>
      <c r="D137" s="5">
        <f t="shared" si="28"/>
        <v>46048</v>
      </c>
      <c r="E137" s="30">
        <v>103.00980007718067</v>
      </c>
      <c r="F137" s="14">
        <f>+'Mono SPOT MAT'!M137/'Fisico SPOT MAT'!M137/24</f>
        <v>50.724389099748244</v>
      </c>
      <c r="G137" s="13">
        <f t="shared" ref="G137:G141" si="45">16*R137</f>
        <v>17.600000000000001</v>
      </c>
      <c r="H137" s="12">
        <f>+'Mono ASIG'!AA137</f>
        <v>67.650612754443344</v>
      </c>
      <c r="I137" s="12">
        <f t="shared" si="34"/>
        <v>50.090645839637716</v>
      </c>
      <c r="J137" s="12">
        <f t="shared" ref="J137:J141" si="46">16*R137</f>
        <v>17.600000000000001</v>
      </c>
      <c r="K137" s="155">
        <f>+'Mono SPOT MAT'!T137</f>
        <v>0</v>
      </c>
      <c r="L137" s="116"/>
      <c r="M137" s="116"/>
      <c r="N137" s="140">
        <f>+'Mono SPOT MAT'!S137/'Fisico SPOT MAT'!S137/'Fisico SPOT MAT'!E137</f>
        <v>15.554807127644384</v>
      </c>
      <c r="O137" s="116"/>
      <c r="R137">
        <v>1.1000000000000001</v>
      </c>
      <c r="Y137" s="5">
        <f t="shared" si="31"/>
        <v>46048</v>
      </c>
      <c r="Z137" s="117">
        <f t="shared" si="32"/>
        <v>103.00980007718067</v>
      </c>
      <c r="AA137" s="117">
        <f t="shared" si="33"/>
        <v>41.261354985716189</v>
      </c>
      <c r="AB137" s="116">
        <v>9.4630341140320571</v>
      </c>
      <c r="AD137" s="5"/>
    </row>
    <row r="138" spans="1:36" x14ac:dyDescent="0.25">
      <c r="A138" s="1">
        <f t="shared" ref="A138:A141" si="47">YEAR(D138)</f>
        <v>2026</v>
      </c>
      <c r="B138" s="52">
        <f t="shared" si="20"/>
        <v>46023</v>
      </c>
      <c r="C138" s="1" t="s">
        <v>54</v>
      </c>
      <c r="D138" s="5">
        <f t="shared" si="28"/>
        <v>46049</v>
      </c>
      <c r="E138" s="30">
        <v>110.64867915816491</v>
      </c>
      <c r="F138" s="14">
        <f>+'Mono SPOT MAT'!M138/'Fisico SPOT MAT'!M138/24</f>
        <v>52.363522149006549</v>
      </c>
      <c r="G138" s="13">
        <f t="shared" si="45"/>
        <v>17.600000000000001</v>
      </c>
      <c r="H138" s="12">
        <f>+'Mono ASIG'!AA138</f>
        <v>67.696029795420074</v>
      </c>
      <c r="I138" s="12">
        <f t="shared" si="34"/>
        <v>50.136062880614446</v>
      </c>
      <c r="J138" s="12">
        <f t="shared" si="46"/>
        <v>17.600000000000001</v>
      </c>
      <c r="K138" s="155">
        <f>+'Mono SPOT MAT'!T138</f>
        <v>0</v>
      </c>
      <c r="L138" s="116"/>
      <c r="M138" s="116"/>
      <c r="N138" s="139">
        <f>+'Mono SPOT MAT'!S138/'Fisico SPOT MAT'!S138/'Fisico SPOT MAT'!E138</f>
        <v>15.594146533591903</v>
      </c>
      <c r="O138" s="116"/>
      <c r="R138">
        <v>1.1000000000000001</v>
      </c>
      <c r="Y138" s="5">
        <f t="shared" si="31"/>
        <v>46049</v>
      </c>
      <c r="Z138" s="117">
        <f t="shared" si="32"/>
        <v>110.64867915816491</v>
      </c>
      <c r="AA138" s="117">
        <f t="shared" si="33"/>
        <v>41.835022738093016</v>
      </c>
      <c r="AB138" s="116">
        <v>10.528499410913531</v>
      </c>
      <c r="AD138" s="5"/>
    </row>
    <row r="139" spans="1:36" x14ac:dyDescent="0.25">
      <c r="A139" s="1">
        <f t="shared" si="47"/>
        <v>2026</v>
      </c>
      <c r="B139" s="52">
        <f t="shared" si="20"/>
        <v>46023</v>
      </c>
      <c r="C139" s="1" t="s">
        <v>55</v>
      </c>
      <c r="D139" s="5">
        <f t="shared" si="28"/>
        <v>46050</v>
      </c>
      <c r="E139" s="30">
        <v>101.15247867689065</v>
      </c>
      <c r="F139" s="14">
        <f>+'Mono SPOT MAT'!M139/'Fisico SPOT MAT'!M139/24</f>
        <v>50.933569748423736</v>
      </c>
      <c r="G139" s="13">
        <f t="shared" si="45"/>
        <v>17.600000000000001</v>
      </c>
      <c r="H139" s="12">
        <f>+'Mono ASIG'!AA139</f>
        <v>66.441925613715981</v>
      </c>
      <c r="I139" s="12">
        <f t="shared" si="34"/>
        <v>48.881958698910353</v>
      </c>
      <c r="J139" s="12">
        <f t="shared" si="46"/>
        <v>17.600000000000001</v>
      </c>
      <c r="K139" s="155">
        <f>+'Mono SPOT MAT'!T139</f>
        <v>0</v>
      </c>
      <c r="L139" s="116"/>
      <c r="M139" s="116"/>
      <c r="N139" s="140">
        <f>+'Mono SPOT MAT'!S139/'Fisico SPOT MAT'!S139/'Fisico SPOT MAT'!E139</f>
        <v>15.602050760808355</v>
      </c>
      <c r="O139" s="116"/>
      <c r="R139">
        <v>1.1000000000000001</v>
      </c>
      <c r="Y139" s="5">
        <f t="shared" si="31"/>
        <v>46050</v>
      </c>
      <c r="Z139" s="117">
        <f t="shared" si="32"/>
        <v>101.15247867689065</v>
      </c>
      <c r="AA139" s="117">
        <f t="shared" si="33"/>
        <v>41.783553889086917</v>
      </c>
      <c r="AB139" s="116">
        <v>9.1500158593368219</v>
      </c>
      <c r="AD139" s="5"/>
    </row>
    <row r="140" spans="1:36" x14ac:dyDescent="0.25">
      <c r="A140" s="1">
        <f t="shared" si="47"/>
        <v>2026</v>
      </c>
      <c r="B140" s="52">
        <f t="shared" si="20"/>
        <v>46023</v>
      </c>
      <c r="C140" s="1" t="s">
        <v>56</v>
      </c>
      <c r="D140" s="5">
        <f t="shared" si="28"/>
        <v>46051</v>
      </c>
      <c r="E140" s="30">
        <v>99.112412708623623</v>
      </c>
      <c r="F140" s="14">
        <f>+'Mono SPOT MAT'!M140/'Fisico SPOT MAT'!M140/24</f>
        <v>51.295067995164516</v>
      </c>
      <c r="G140" s="13">
        <f t="shared" si="45"/>
        <v>17.600000000000001</v>
      </c>
      <c r="H140" s="12">
        <f>+'Mono ASIG'!AA140</f>
        <v>66.625028288753995</v>
      </c>
      <c r="I140" s="12">
        <f t="shared" si="34"/>
        <v>49.065061373948367</v>
      </c>
      <c r="J140" s="12">
        <f t="shared" si="46"/>
        <v>17.600000000000001</v>
      </c>
      <c r="K140" s="155">
        <f>+'Mono SPOT MAT'!T140</f>
        <v>0</v>
      </c>
      <c r="L140" s="116"/>
      <c r="M140" s="116"/>
      <c r="N140" s="139">
        <f>+'Mono SPOT MAT'!S140/'Fisico SPOT MAT'!S140/'Fisico SPOT MAT'!E140</f>
        <v>15.63027352411769</v>
      </c>
      <c r="O140" s="116"/>
      <c r="R140">
        <v>1.1000000000000001</v>
      </c>
      <c r="Y140" s="5">
        <f t="shared" si="31"/>
        <v>46051</v>
      </c>
      <c r="Z140" s="117">
        <f t="shared" si="32"/>
        <v>99.112412708623623</v>
      </c>
      <c r="AA140" s="117">
        <f t="shared" si="33"/>
        <v>42.524838300001115</v>
      </c>
      <c r="AB140" s="116">
        <v>8.7702296951634011</v>
      </c>
      <c r="AD140" s="5"/>
    </row>
    <row r="141" spans="1:36" x14ac:dyDescent="0.25">
      <c r="A141" s="1">
        <f t="shared" si="47"/>
        <v>2026</v>
      </c>
      <c r="B141" s="52">
        <f t="shared" si="20"/>
        <v>46023</v>
      </c>
      <c r="C141" s="1" t="s">
        <v>57</v>
      </c>
      <c r="D141" s="5">
        <f t="shared" si="28"/>
        <v>46052</v>
      </c>
      <c r="E141" s="30">
        <v>109.98205775875044</v>
      </c>
      <c r="F141" s="14">
        <f>+'Mono SPOT MAT'!M141/'Fisico SPOT MAT'!M141/24</f>
        <v>54.21324461951383</v>
      </c>
      <c r="G141" s="13">
        <f t="shared" si="45"/>
        <v>17.600000000000001</v>
      </c>
      <c r="H141" s="12">
        <f>+'Mono ASIG'!AA141</f>
        <v>68.821862606081226</v>
      </c>
      <c r="I141" s="12">
        <f t="shared" si="34"/>
        <v>51.261895691275598</v>
      </c>
      <c r="J141" s="12">
        <f t="shared" si="46"/>
        <v>17.600000000000001</v>
      </c>
      <c r="K141" s="155">
        <f>+'Mono SPOT MAT'!T141</f>
        <v>0</v>
      </c>
      <c r="L141" s="116"/>
      <c r="M141" s="116"/>
      <c r="N141" s="140">
        <f>+'Mono SPOT MAT'!S141/'Fisico SPOT MAT'!S141/'Fisico SPOT MAT'!E141</f>
        <v>15.638190317554926</v>
      </c>
      <c r="O141" s="116"/>
      <c r="R141">
        <v>1.1000000000000001</v>
      </c>
      <c r="Y141" s="5">
        <f t="shared" si="31"/>
        <v>46052</v>
      </c>
      <c r="Z141" s="117">
        <f t="shared" si="32"/>
        <v>109.98205775875044</v>
      </c>
      <c r="AA141" s="117">
        <f t="shared" si="33"/>
        <v>44.216280119659487</v>
      </c>
      <c r="AB141" s="116">
        <v>9.9969644998543465</v>
      </c>
      <c r="AD141" s="5"/>
    </row>
    <row r="142" spans="1:36" x14ac:dyDescent="0.25">
      <c r="A142" s="1">
        <f t="shared" ref="A142" si="48">YEAR(D142)</f>
        <v>2026</v>
      </c>
      <c r="B142" s="52">
        <f t="shared" si="20"/>
        <v>46023</v>
      </c>
      <c r="C142" s="1" t="s">
        <v>51</v>
      </c>
      <c r="D142" s="5">
        <f t="shared" si="28"/>
        <v>46053</v>
      </c>
      <c r="E142" s="30">
        <v>101.10164955483698</v>
      </c>
      <c r="F142" s="14">
        <f>+'Mono SPOT MAT'!M142/'Fisico SPOT MAT'!M142/24</f>
        <v>53.928608892178381</v>
      </c>
      <c r="G142" s="13">
        <f t="shared" ref="G142" si="49">16*R142</f>
        <v>17.600000000000001</v>
      </c>
      <c r="H142" s="12">
        <f>+'Mono ASIG'!AA142</f>
        <v>73.517560464038411</v>
      </c>
      <c r="I142" s="12">
        <f t="shared" si="34"/>
        <v>55.957593549232783</v>
      </c>
      <c r="J142" s="12">
        <f t="shared" ref="J142" si="50">16*R142</f>
        <v>17.600000000000001</v>
      </c>
      <c r="K142" s="155">
        <f>+'Mono SPOT MAT'!T142</f>
        <v>0</v>
      </c>
      <c r="L142" s="116"/>
      <c r="M142" s="116"/>
      <c r="N142" s="139">
        <f>+'Mono SPOT MAT'!S142/'Fisico SPOT MAT'!S142/'Fisico SPOT MAT'!E142</f>
        <v>15.620163797503153</v>
      </c>
      <c r="O142" s="116"/>
      <c r="R142">
        <v>1.1000000000000001</v>
      </c>
      <c r="Y142" s="5">
        <f t="shared" si="31"/>
        <v>46053</v>
      </c>
      <c r="Z142" s="117">
        <f t="shared" si="32"/>
        <v>101.10164955483698</v>
      </c>
      <c r="AA142" s="117">
        <f t="shared" si="33"/>
        <v>45.257568560476273</v>
      </c>
      <c r="AB142" s="116">
        <v>8.6710403317021107</v>
      </c>
      <c r="AD142" s="5"/>
    </row>
    <row r="143" spans="1:36" x14ac:dyDescent="0.25">
      <c r="A143" s="1">
        <f t="shared" ref="A143:A149" si="51">YEAR(D143)</f>
        <v>2026</v>
      </c>
      <c r="B143" s="52">
        <f t="shared" si="20"/>
        <v>46054</v>
      </c>
      <c r="C143" s="1" t="str">
        <f>+C136</f>
        <v>dom</v>
      </c>
      <c r="D143" s="5">
        <f t="shared" si="28"/>
        <v>46054</v>
      </c>
      <c r="E143" s="30">
        <v>75.550677537597721</v>
      </c>
      <c r="F143" s="14">
        <f>+'Mono SPOT MAT'!M143/'Fisico SPOT MAT'!M143/24</f>
        <v>48.793520470864159</v>
      </c>
      <c r="G143" s="13">
        <f t="shared" ref="G143:G149" si="52">16*R143</f>
        <v>17.600000000000001</v>
      </c>
      <c r="H143" s="12">
        <f>+'Mono ASIG'!AA143</f>
        <v>79.435127742165847</v>
      </c>
      <c r="I143" s="12">
        <f>+H143-J143*336/672/0.52</f>
        <v>62.512050819088927</v>
      </c>
      <c r="J143" s="12">
        <f t="shared" ref="J143:J149" si="53">16*R143</f>
        <v>17.600000000000001</v>
      </c>
      <c r="K143" s="155">
        <f>+'Mono SPOT MAT'!T143</f>
        <v>0</v>
      </c>
      <c r="L143" s="116"/>
      <c r="M143" s="116"/>
      <c r="N143" s="140">
        <f>+'Mono SPOT MAT'!S143/'Fisico SPOT MAT'!S143/'Fisico SPOT MAT'!E143</f>
        <v>15.856571958033058</v>
      </c>
      <c r="O143" s="116"/>
      <c r="R143">
        <v>1.1000000000000001</v>
      </c>
      <c r="Y143" s="5">
        <f t="shared" si="31"/>
        <v>46054</v>
      </c>
      <c r="Z143" s="117">
        <f t="shared" si="32"/>
        <v>75.550677537597721</v>
      </c>
      <c r="AA143" s="117">
        <f t="shared" si="33"/>
        <v>45.312335795126685</v>
      </c>
      <c r="AB143" s="116">
        <v>3.4811846757374774</v>
      </c>
      <c r="AC143" s="123"/>
      <c r="AD143" s="5"/>
      <c r="AE143" s="122"/>
      <c r="AF143" s="122"/>
      <c r="AG143" s="122"/>
      <c r="AH143" s="122"/>
      <c r="AI143" s="123"/>
      <c r="AJ143" s="123"/>
    </row>
    <row r="144" spans="1:36" x14ac:dyDescent="0.25">
      <c r="A144" s="1">
        <f t="shared" si="51"/>
        <v>2026</v>
      </c>
      <c r="B144" s="52">
        <f t="shared" si="20"/>
        <v>46054</v>
      </c>
      <c r="C144" s="1" t="str">
        <f t="shared" ref="C144:C207" si="54">+C137</f>
        <v>lun</v>
      </c>
      <c r="D144" s="5">
        <f t="shared" si="28"/>
        <v>46055</v>
      </c>
      <c r="E144" s="30">
        <v>91.368708549420532</v>
      </c>
      <c r="F144" s="14">
        <f>+'Mono SPOT MAT'!M144/'Fisico SPOT MAT'!M144/24</f>
        <v>47.665600997833643</v>
      </c>
      <c r="G144" s="13">
        <f t="shared" si="52"/>
        <v>17.600000000000001</v>
      </c>
      <c r="H144" s="12">
        <f>+'Mono ASIG'!AA144</f>
        <v>69.644720080201708</v>
      </c>
      <c r="I144" s="12">
        <f t="shared" ref="I144:I170" si="55">+H144-J144*336/672/0.52</f>
        <v>52.721643157124788</v>
      </c>
      <c r="J144" s="12">
        <f t="shared" si="53"/>
        <v>17.600000000000001</v>
      </c>
      <c r="K144" s="155">
        <f>+'Mono SPOT MAT'!T144</f>
        <v>0</v>
      </c>
      <c r="L144" s="116"/>
      <c r="M144" s="116"/>
      <c r="N144" s="139">
        <f>+'Mono SPOT MAT'!S144/'Fisico SPOT MAT'!S144/'Fisico SPOT MAT'!E144</f>
        <v>15.826627495702853</v>
      </c>
      <c r="O144" s="116"/>
      <c r="R144">
        <v>1.1000000000000001</v>
      </c>
      <c r="Y144" s="5">
        <f t="shared" si="31"/>
        <v>46055</v>
      </c>
      <c r="Z144" s="117">
        <f t="shared" ref="Z144:Z175" si="56">+E144</f>
        <v>91.368708549420532</v>
      </c>
      <c r="AA144" s="117">
        <f t="shared" ref="AA144:AA175" si="57">+F144-AB144</f>
        <v>42.237891311719665</v>
      </c>
      <c r="AB144" s="116">
        <v>5.4277096861139817</v>
      </c>
      <c r="AC144" s="123"/>
      <c r="AD144" s="5"/>
      <c r="AE144" s="122"/>
      <c r="AF144" s="122"/>
      <c r="AG144" s="122"/>
      <c r="AH144" s="122"/>
      <c r="AI144" s="123"/>
      <c r="AJ144" s="123"/>
    </row>
    <row r="145" spans="1:36" x14ac:dyDescent="0.25">
      <c r="A145" s="1">
        <f t="shared" si="51"/>
        <v>2026</v>
      </c>
      <c r="B145" s="52">
        <f t="shared" si="20"/>
        <v>46054</v>
      </c>
      <c r="C145" s="1" t="str">
        <f t="shared" si="54"/>
        <v>mar</v>
      </c>
      <c r="D145" s="5">
        <f t="shared" si="28"/>
        <v>46056</v>
      </c>
      <c r="E145" s="30">
        <v>116.15317799359542</v>
      </c>
      <c r="F145" s="14">
        <f>+'Mono SPOT MAT'!M145/'Fisico SPOT MAT'!M145/24</f>
        <v>55.052221435493152</v>
      </c>
      <c r="G145" s="13">
        <f t="shared" si="52"/>
        <v>17.600000000000001</v>
      </c>
      <c r="H145" s="12">
        <f>+'Mono ASIG'!AA145</f>
        <v>66.876127556022041</v>
      </c>
      <c r="I145" s="12">
        <f t="shared" si="55"/>
        <v>49.953050632945121</v>
      </c>
      <c r="J145" s="12">
        <f t="shared" si="53"/>
        <v>17.600000000000001</v>
      </c>
      <c r="K145" s="155">
        <f>+'Mono SPOT MAT'!T145</f>
        <v>0</v>
      </c>
      <c r="L145" s="116"/>
      <c r="M145" s="116"/>
      <c r="N145" s="140">
        <f>+'Mono SPOT MAT'!S145/'Fisico SPOT MAT'!S145/'Fisico SPOT MAT'!E145</f>
        <v>15.755029475316832</v>
      </c>
      <c r="O145" s="116"/>
      <c r="R145">
        <v>1.1000000000000001</v>
      </c>
      <c r="Y145" s="5">
        <f t="shared" si="31"/>
        <v>46056</v>
      </c>
      <c r="Z145" s="117">
        <f t="shared" si="56"/>
        <v>116.15317799359542</v>
      </c>
      <c r="AA145" s="117">
        <f t="shared" si="57"/>
        <v>46.616662921588983</v>
      </c>
      <c r="AB145" s="116">
        <v>8.4355585139041658</v>
      </c>
      <c r="AC145" s="123"/>
      <c r="AD145" s="5"/>
      <c r="AE145" s="122"/>
      <c r="AF145" s="122"/>
      <c r="AG145" s="122"/>
      <c r="AH145" s="122"/>
      <c r="AI145" s="123"/>
      <c r="AJ145" s="123"/>
    </row>
    <row r="146" spans="1:36" x14ac:dyDescent="0.25">
      <c r="A146" s="1">
        <f t="shared" si="51"/>
        <v>2026</v>
      </c>
      <c r="B146" s="52">
        <f t="shared" si="20"/>
        <v>46054</v>
      </c>
      <c r="C146" s="1" t="str">
        <f t="shared" si="54"/>
        <v>mié</v>
      </c>
      <c r="D146" s="5">
        <f t="shared" si="28"/>
        <v>46057</v>
      </c>
      <c r="E146" s="30">
        <v>120.7237795396935</v>
      </c>
      <c r="F146" s="14">
        <f>+'Mono SPOT MAT'!M146/'Fisico SPOT MAT'!M146/24</f>
        <v>54.407781916392111</v>
      </c>
      <c r="G146" s="13">
        <f t="shared" si="52"/>
        <v>17.600000000000001</v>
      </c>
      <c r="H146" s="12">
        <f>+'Mono ASIG'!AA146</f>
        <v>78.487661093185366</v>
      </c>
      <c r="I146" s="12">
        <f t="shared" si="55"/>
        <v>61.564584170108446</v>
      </c>
      <c r="J146" s="12">
        <f t="shared" si="53"/>
        <v>17.600000000000001</v>
      </c>
      <c r="K146" s="155">
        <f>+'Mono SPOT MAT'!T146</f>
        <v>0</v>
      </c>
      <c r="L146" s="116"/>
      <c r="M146" s="116"/>
      <c r="N146" s="139">
        <f>+'Mono SPOT MAT'!S146/'Fisico SPOT MAT'!S146/'Fisico SPOT MAT'!E146</f>
        <v>15.809791543049053</v>
      </c>
      <c r="O146" s="116"/>
      <c r="R146">
        <v>1.1000000000000001</v>
      </c>
      <c r="Y146" s="5">
        <f t="shared" si="31"/>
        <v>46057</v>
      </c>
      <c r="Z146" s="117">
        <f t="shared" si="56"/>
        <v>120.7237795396935</v>
      </c>
      <c r="AA146" s="117">
        <f t="shared" si="57"/>
        <v>45.688141893972492</v>
      </c>
      <c r="AB146" s="116">
        <v>8.7196400224196182</v>
      </c>
      <c r="AC146" s="123"/>
      <c r="AD146" s="5"/>
      <c r="AE146" s="122"/>
      <c r="AF146" s="122"/>
      <c r="AG146" s="122"/>
      <c r="AH146" s="122"/>
      <c r="AI146" s="123"/>
      <c r="AJ146" s="123"/>
    </row>
    <row r="147" spans="1:36" x14ac:dyDescent="0.25">
      <c r="A147" s="1">
        <f t="shared" si="51"/>
        <v>2026</v>
      </c>
      <c r="B147" s="52">
        <f t="shared" si="20"/>
        <v>46054</v>
      </c>
      <c r="C147" s="1" t="str">
        <f t="shared" si="54"/>
        <v>jue</v>
      </c>
      <c r="D147" s="5">
        <f t="shared" si="28"/>
        <v>46058</v>
      </c>
      <c r="E147" s="30">
        <v>60.581576535554547</v>
      </c>
      <c r="F147" s="14">
        <f>+'Mono SPOT MAT'!M147/'Fisico SPOT MAT'!M147/24</f>
        <v>48.861947210320579</v>
      </c>
      <c r="G147" s="13">
        <f t="shared" si="52"/>
        <v>17.600000000000001</v>
      </c>
      <c r="H147" s="12">
        <f>+'Mono ASIG'!AA147</f>
        <v>79.127152855488205</v>
      </c>
      <c r="I147" s="12">
        <f t="shared" si="55"/>
        <v>62.204075932411286</v>
      </c>
      <c r="J147" s="12">
        <f t="shared" si="53"/>
        <v>17.600000000000001</v>
      </c>
      <c r="K147" s="155">
        <f>+'Mono SPOT MAT'!T147</f>
        <v>0</v>
      </c>
      <c r="L147" s="116"/>
      <c r="M147" s="116"/>
      <c r="N147" s="140">
        <f>+'Mono SPOT MAT'!S147/'Fisico SPOT MAT'!S147/'Fisico SPOT MAT'!E147</f>
        <v>15.85780831190071</v>
      </c>
      <c r="O147" s="116"/>
      <c r="R147">
        <v>1.1000000000000001</v>
      </c>
      <c r="Y147" s="5">
        <f t="shared" si="31"/>
        <v>46058</v>
      </c>
      <c r="Z147" s="117">
        <f t="shared" si="56"/>
        <v>60.581576535554547</v>
      </c>
      <c r="AA147" s="117">
        <f t="shared" si="57"/>
        <v>46.807860246243031</v>
      </c>
      <c r="AB147" s="116">
        <v>2.0540869640775488</v>
      </c>
      <c r="AC147" s="123"/>
      <c r="AD147" s="5"/>
      <c r="AE147" s="122"/>
      <c r="AF147" s="122"/>
      <c r="AG147" s="122"/>
      <c r="AH147" s="122"/>
      <c r="AI147" s="123"/>
      <c r="AJ147" s="123"/>
    </row>
    <row r="148" spans="1:36" x14ac:dyDescent="0.25">
      <c r="A148" s="1">
        <f t="shared" si="51"/>
        <v>2026</v>
      </c>
      <c r="B148" s="52">
        <f t="shared" si="20"/>
        <v>46054</v>
      </c>
      <c r="C148" s="1" t="str">
        <f t="shared" si="54"/>
        <v>vie</v>
      </c>
      <c r="D148" s="5">
        <f t="shared" si="28"/>
        <v>46059</v>
      </c>
      <c r="E148" s="30">
        <v>44.886909437871388</v>
      </c>
      <c r="F148" s="14">
        <f>+'Mono SPOT MAT'!M148/'Fisico SPOT MAT'!M148/24</f>
        <v>44.742679120949298</v>
      </c>
      <c r="G148" s="13">
        <f t="shared" si="52"/>
        <v>17.600000000000001</v>
      </c>
      <c r="H148" s="12">
        <f>+'Mono ASIG'!AA148</f>
        <v>80.974167958553878</v>
      </c>
      <c r="I148" s="12">
        <f t="shared" si="55"/>
        <v>64.051091035476958</v>
      </c>
      <c r="J148" s="12">
        <f t="shared" si="53"/>
        <v>17.600000000000001</v>
      </c>
      <c r="K148" s="155">
        <f>+'Mono SPOT MAT'!T148</f>
        <v>0</v>
      </c>
      <c r="L148" s="116"/>
      <c r="M148" s="116"/>
      <c r="N148" s="139">
        <f>+'Mono SPOT MAT'!S148/'Fisico SPOT MAT'!S148/'Fisico SPOT MAT'!E148</f>
        <v>15.870658336365512</v>
      </c>
      <c r="O148" s="116"/>
      <c r="R148">
        <v>1.1000000000000001</v>
      </c>
      <c r="Y148" s="5">
        <f t="shared" si="31"/>
        <v>46059</v>
      </c>
      <c r="Z148" s="117">
        <f t="shared" si="56"/>
        <v>44.886909437871388</v>
      </c>
      <c r="AA148" s="117">
        <f t="shared" si="57"/>
        <v>43.460742743641916</v>
      </c>
      <c r="AB148" s="116">
        <v>1.28193637730738</v>
      </c>
      <c r="AC148" s="123"/>
      <c r="AD148" s="5"/>
      <c r="AE148" s="122"/>
      <c r="AF148" s="122"/>
      <c r="AG148" s="122"/>
      <c r="AH148" s="122"/>
      <c r="AI148" s="123"/>
      <c r="AJ148" s="123"/>
    </row>
    <row r="149" spans="1:36" x14ac:dyDescent="0.25">
      <c r="A149" s="1">
        <f t="shared" si="51"/>
        <v>2026</v>
      </c>
      <c r="B149" s="52">
        <f t="shared" ref="B149:B200" si="58">DATE(A149,MONTH(D149),1)</f>
        <v>46054</v>
      </c>
      <c r="C149" s="1" t="str">
        <f t="shared" si="54"/>
        <v>sáb</v>
      </c>
      <c r="D149" s="5">
        <f t="shared" si="28"/>
        <v>46060</v>
      </c>
      <c r="E149" s="30">
        <v>40.387388538205371</v>
      </c>
      <c r="F149" s="14">
        <f>+'Mono SPOT MAT'!M149/'Fisico SPOT MAT'!M149/24</f>
        <v>43.266406289723307</v>
      </c>
      <c r="G149" s="13">
        <f t="shared" si="52"/>
        <v>17.600000000000001</v>
      </c>
      <c r="H149" s="12">
        <f>+'Mono ASIG'!AA149</f>
        <v>73.957868309316893</v>
      </c>
      <c r="I149" s="12">
        <f t="shared" si="55"/>
        <v>57.034791386239974</v>
      </c>
      <c r="J149" s="12">
        <f t="shared" si="53"/>
        <v>17.600000000000001</v>
      </c>
      <c r="K149" s="155">
        <f>+'Mono SPOT MAT'!T149</f>
        <v>0</v>
      </c>
      <c r="L149" s="116"/>
      <c r="M149" s="116"/>
      <c r="N149" s="140">
        <f>+'Mono SPOT MAT'!S149/'Fisico SPOT MAT'!S149/'Fisico SPOT MAT'!E149</f>
        <v>15.870618292082426</v>
      </c>
      <c r="O149" s="116"/>
      <c r="R149">
        <v>1.1000000000000001</v>
      </c>
      <c r="Y149" s="5">
        <f t="shared" si="31"/>
        <v>46060</v>
      </c>
      <c r="Z149" s="117">
        <f t="shared" si="56"/>
        <v>40.387388538205371</v>
      </c>
      <c r="AA149" s="117">
        <f t="shared" si="57"/>
        <v>41.897371762624353</v>
      </c>
      <c r="AB149" s="116">
        <v>1.3690345270989532</v>
      </c>
      <c r="AC149" s="123"/>
      <c r="AD149" s="5"/>
      <c r="AE149" s="122"/>
      <c r="AF149" s="122"/>
      <c r="AG149" s="122"/>
      <c r="AH149" s="122"/>
      <c r="AI149" s="123"/>
      <c r="AJ149" s="123"/>
    </row>
    <row r="150" spans="1:36" x14ac:dyDescent="0.25">
      <c r="A150" s="1">
        <f t="shared" ref="A150:A154" si="59">YEAR(D150)</f>
        <v>2026</v>
      </c>
      <c r="B150" s="52">
        <f t="shared" si="58"/>
        <v>46054</v>
      </c>
      <c r="C150" s="1" t="str">
        <f t="shared" si="54"/>
        <v>dom</v>
      </c>
      <c r="D150" s="5">
        <f t="shared" si="28"/>
        <v>46061</v>
      </c>
      <c r="E150" s="30">
        <v>39.628151518521946</v>
      </c>
      <c r="F150" s="14">
        <f>+'Mono SPOT MAT'!M150/'Fisico SPOT MAT'!M150/24</f>
        <v>42.714827355953808</v>
      </c>
      <c r="G150" s="13">
        <f t="shared" ref="G150:G154" si="60">16*R150</f>
        <v>17.600000000000001</v>
      </c>
      <c r="H150" s="12">
        <f>+'Mono ASIG'!AA150</f>
        <v>74.987165965051361</v>
      </c>
      <c r="I150" s="12">
        <f t="shared" si="55"/>
        <v>58.064089041974441</v>
      </c>
      <c r="J150" s="12">
        <f t="shared" ref="J150:J154" si="61">16*R150</f>
        <v>17.600000000000001</v>
      </c>
      <c r="K150" s="155">
        <f>+'Mono SPOT MAT'!T150</f>
        <v>0</v>
      </c>
      <c r="L150" s="116"/>
      <c r="M150" s="116"/>
      <c r="N150" s="139">
        <f>+'Mono SPOT MAT'!S150/'Fisico SPOT MAT'!S150/'Fisico SPOT MAT'!E150</f>
        <v>15.827653927842075</v>
      </c>
      <c r="O150" s="116"/>
      <c r="R150">
        <v>1.1000000000000001</v>
      </c>
      <c r="Y150" s="5">
        <f t="shared" si="31"/>
        <v>46061</v>
      </c>
      <c r="Z150" s="117">
        <f t="shared" si="56"/>
        <v>39.628151518521946</v>
      </c>
      <c r="AA150" s="117">
        <f t="shared" si="57"/>
        <v>41.372382099380701</v>
      </c>
      <c r="AB150" s="116">
        <v>1.3424452565731071</v>
      </c>
      <c r="AC150" s="123"/>
      <c r="AD150" s="5"/>
      <c r="AE150" s="122"/>
      <c r="AF150" s="122"/>
      <c r="AG150" s="122"/>
      <c r="AH150" s="122"/>
      <c r="AI150" s="123"/>
      <c r="AJ150" s="123"/>
    </row>
    <row r="151" spans="1:36" x14ac:dyDescent="0.25">
      <c r="A151" s="1">
        <f t="shared" si="59"/>
        <v>2026</v>
      </c>
      <c r="B151" s="52">
        <f t="shared" si="58"/>
        <v>46054</v>
      </c>
      <c r="C151" s="1" t="str">
        <f t="shared" si="54"/>
        <v>lun</v>
      </c>
      <c r="D151" s="5">
        <f t="shared" si="28"/>
        <v>46062</v>
      </c>
      <c r="E151" s="30">
        <v>52.190661077356019</v>
      </c>
      <c r="F151" s="14">
        <f>+'Mono SPOT MAT'!M151/'Fisico SPOT MAT'!M151/24</f>
        <v>43.43660140510962</v>
      </c>
      <c r="G151" s="13">
        <f t="shared" si="60"/>
        <v>17.600000000000001</v>
      </c>
      <c r="H151" s="12">
        <f>+'Mono ASIG'!AA151</f>
        <v>70.944140546185963</v>
      </c>
      <c r="I151" s="12">
        <f t="shared" si="55"/>
        <v>54.021063623109043</v>
      </c>
      <c r="J151" s="12">
        <f t="shared" si="61"/>
        <v>17.600000000000001</v>
      </c>
      <c r="K151" s="155">
        <f>+'Mono SPOT MAT'!T151</f>
        <v>0</v>
      </c>
      <c r="L151" s="116"/>
      <c r="M151" s="116"/>
      <c r="N151" s="140">
        <f>+'Mono SPOT MAT'!S151/'Fisico SPOT MAT'!S151/'Fisico SPOT MAT'!E151</f>
        <v>15.805165886180005</v>
      </c>
      <c r="O151" s="116"/>
      <c r="R151">
        <v>1.1000000000000001</v>
      </c>
      <c r="Y151" s="5">
        <f t="shared" si="31"/>
        <v>46062</v>
      </c>
      <c r="Z151" s="117">
        <f t="shared" si="56"/>
        <v>52.190661077356019</v>
      </c>
      <c r="AA151" s="117">
        <f t="shared" si="57"/>
        <v>41.574004935881014</v>
      </c>
      <c r="AB151" s="116">
        <v>1.8625964692286086</v>
      </c>
      <c r="AC151" s="123"/>
      <c r="AD151" s="5"/>
      <c r="AE151" s="122"/>
      <c r="AF151" s="122"/>
      <c r="AG151" s="122"/>
      <c r="AH151" s="122"/>
      <c r="AI151" s="123"/>
      <c r="AJ151" s="123"/>
    </row>
    <row r="152" spans="1:36" x14ac:dyDescent="0.25">
      <c r="A152" s="1">
        <f t="shared" si="59"/>
        <v>2026</v>
      </c>
      <c r="B152" s="52">
        <f t="shared" si="58"/>
        <v>46054</v>
      </c>
      <c r="C152" s="1" t="str">
        <f t="shared" si="54"/>
        <v>mar</v>
      </c>
      <c r="D152" s="5">
        <f t="shared" si="28"/>
        <v>46063</v>
      </c>
      <c r="E152" s="30">
        <v>123.3121845584857</v>
      </c>
      <c r="F152" s="14">
        <f>+'Mono SPOT MAT'!M152/'Fisico SPOT MAT'!M152/24</f>
        <v>52.226837241661009</v>
      </c>
      <c r="G152" s="13">
        <f t="shared" si="60"/>
        <v>17.600000000000001</v>
      </c>
      <c r="H152" s="12">
        <f>+'Mono ASIG'!AA152</f>
        <v>70.391016983940375</v>
      </c>
      <c r="I152" s="12">
        <f t="shared" si="55"/>
        <v>53.467940060863455</v>
      </c>
      <c r="J152" s="12">
        <f t="shared" si="61"/>
        <v>17.600000000000001</v>
      </c>
      <c r="K152" s="155">
        <f>+'Mono SPOT MAT'!T152</f>
        <v>0</v>
      </c>
      <c r="L152" s="116"/>
      <c r="M152" s="116"/>
      <c r="N152" s="139">
        <f>+'Mono SPOT MAT'!S152/'Fisico SPOT MAT'!S152/'Fisico SPOT MAT'!E152</f>
        <v>15.789900704453403</v>
      </c>
      <c r="O152" s="116"/>
      <c r="R152">
        <v>1.1000000000000001</v>
      </c>
      <c r="Y152" s="5">
        <f t="shared" si="31"/>
        <v>46063</v>
      </c>
      <c r="Z152" s="117">
        <f t="shared" si="56"/>
        <v>123.3121845584857</v>
      </c>
      <c r="AA152" s="117">
        <f t="shared" si="57"/>
        <v>41.839367656250971</v>
      </c>
      <c r="AB152" s="116">
        <v>10.387469585410036</v>
      </c>
      <c r="AC152" s="123"/>
      <c r="AD152" s="5"/>
      <c r="AE152" s="122"/>
      <c r="AF152" s="122"/>
      <c r="AG152" s="122"/>
      <c r="AH152" s="122"/>
      <c r="AI152" s="123"/>
      <c r="AJ152" s="123"/>
    </row>
    <row r="153" spans="1:36" x14ac:dyDescent="0.25">
      <c r="A153" s="1">
        <f t="shared" si="59"/>
        <v>2026</v>
      </c>
      <c r="B153" s="52">
        <f t="shared" si="58"/>
        <v>46054</v>
      </c>
      <c r="C153" s="1" t="str">
        <f t="shared" si="54"/>
        <v>mié</v>
      </c>
      <c r="D153" s="5">
        <f t="shared" si="28"/>
        <v>46064</v>
      </c>
      <c r="E153" s="30">
        <v>37.37316760053556</v>
      </c>
      <c r="F153" s="14">
        <f>+'Mono SPOT MAT'!M153/'Fisico SPOT MAT'!M153/24</f>
        <v>43.470921902714053</v>
      </c>
      <c r="G153" s="13">
        <f t="shared" si="60"/>
        <v>17.600000000000001</v>
      </c>
      <c r="H153" s="12">
        <f>+'Mono ASIG'!AA153</f>
        <v>74.778555980750028</v>
      </c>
      <c r="I153" s="12">
        <f t="shared" si="55"/>
        <v>57.855479057673108</v>
      </c>
      <c r="J153" s="12">
        <f t="shared" si="61"/>
        <v>17.600000000000001</v>
      </c>
      <c r="K153" s="155">
        <f>+'Mono SPOT MAT'!T153</f>
        <v>0</v>
      </c>
      <c r="L153" s="116"/>
      <c r="M153" s="116"/>
      <c r="N153" s="140">
        <f>+'Mono SPOT MAT'!S153/'Fisico SPOT MAT'!S153/'Fisico SPOT MAT'!E153</f>
        <v>15.853506682122932</v>
      </c>
      <c r="O153" s="116"/>
      <c r="R153">
        <v>1.1000000000000001</v>
      </c>
      <c r="Y153" s="5">
        <f t="shared" si="31"/>
        <v>46064</v>
      </c>
      <c r="Z153" s="117">
        <f t="shared" si="56"/>
        <v>37.37316760053556</v>
      </c>
      <c r="AA153" s="117">
        <f t="shared" si="57"/>
        <v>42.349164936187435</v>
      </c>
      <c r="AB153" s="116">
        <v>1.1217569665266185</v>
      </c>
      <c r="AC153" s="123"/>
      <c r="AD153" s="5"/>
      <c r="AE153" s="122"/>
      <c r="AF153" s="122"/>
      <c r="AG153" s="122"/>
      <c r="AH153" s="122"/>
      <c r="AI153" s="123"/>
      <c r="AJ153" s="123"/>
    </row>
    <row r="154" spans="1:36" x14ac:dyDescent="0.25">
      <c r="A154" s="1">
        <f t="shared" si="59"/>
        <v>2026</v>
      </c>
      <c r="B154" s="52">
        <f t="shared" si="58"/>
        <v>46054</v>
      </c>
      <c r="C154" s="1" t="str">
        <f t="shared" si="54"/>
        <v>jue</v>
      </c>
      <c r="D154" s="5">
        <f t="shared" si="28"/>
        <v>46065</v>
      </c>
      <c r="E154" s="30">
        <v>37.984260076748484</v>
      </c>
      <c r="F154" s="14">
        <f>+'Mono SPOT MAT'!M154/'Fisico SPOT MAT'!M154/24</f>
        <v>39.908512699749018</v>
      </c>
      <c r="G154" s="13">
        <f t="shared" si="60"/>
        <v>17.600000000000001</v>
      </c>
      <c r="H154" s="12">
        <f>+'Mono ASIG'!AA154</f>
        <v>72.157891320377942</v>
      </c>
      <c r="I154" s="12">
        <f t="shared" si="55"/>
        <v>55.234814397301022</v>
      </c>
      <c r="J154" s="12">
        <f t="shared" si="61"/>
        <v>17.600000000000001</v>
      </c>
      <c r="K154" s="155">
        <f>+'Mono SPOT MAT'!T154</f>
        <v>0</v>
      </c>
      <c r="L154" s="116"/>
      <c r="M154" s="116"/>
      <c r="N154" s="139">
        <f>+'Mono SPOT MAT'!S154/'Fisico SPOT MAT'!S154/'Fisico SPOT MAT'!E154</f>
        <v>15.874062423900215</v>
      </c>
      <c r="O154" s="116"/>
      <c r="R154">
        <v>1.1000000000000001</v>
      </c>
      <c r="Y154" s="5">
        <f t="shared" si="31"/>
        <v>46065</v>
      </c>
      <c r="Z154" s="117">
        <f t="shared" si="56"/>
        <v>37.984260076748484</v>
      </c>
      <c r="AA154" s="117">
        <f t="shared" si="57"/>
        <v>38.461530049309218</v>
      </c>
      <c r="AB154" s="116">
        <v>1.446982650439802</v>
      </c>
      <c r="AC154" s="123"/>
      <c r="AD154" s="5"/>
      <c r="AE154" s="122"/>
      <c r="AF154" s="122"/>
      <c r="AG154" s="122"/>
      <c r="AH154" s="122"/>
      <c r="AI154" s="123"/>
      <c r="AJ154" s="123"/>
    </row>
    <row r="155" spans="1:36" x14ac:dyDescent="0.25">
      <c r="A155" s="1">
        <f t="shared" ref="A155:A165" si="62">YEAR(D155)</f>
        <v>2026</v>
      </c>
      <c r="B155" s="52">
        <f t="shared" si="58"/>
        <v>46054</v>
      </c>
      <c r="C155" s="1" t="str">
        <f t="shared" si="54"/>
        <v>vie</v>
      </c>
      <c r="D155" s="5">
        <f t="shared" si="28"/>
        <v>46066</v>
      </c>
      <c r="E155" s="30">
        <v>33.991810396766738</v>
      </c>
      <c r="F155" s="14">
        <f>+'Mono SPOT MAT'!M155/'Fisico SPOT MAT'!M155/24</f>
        <v>38.100685563966309</v>
      </c>
      <c r="G155" s="13">
        <f t="shared" ref="G155:G165" si="63">16*R155</f>
        <v>17.600000000000001</v>
      </c>
      <c r="H155" s="12">
        <f>+'Mono ASIG'!AA155</f>
        <v>72.668278086346206</v>
      </c>
      <c r="I155" s="12">
        <f t="shared" si="55"/>
        <v>55.745201163269286</v>
      </c>
      <c r="J155" s="12">
        <f t="shared" ref="J155:J165" si="64">16*R155</f>
        <v>17.600000000000001</v>
      </c>
      <c r="K155" s="155">
        <f>+'Mono SPOT MAT'!T155</f>
        <v>0</v>
      </c>
      <c r="L155" s="116"/>
      <c r="M155" s="116"/>
      <c r="N155" s="140">
        <f>+'Mono SPOT MAT'!S155/'Fisico SPOT MAT'!S155/'Fisico SPOT MAT'!E155</f>
        <v>15.900529068515896</v>
      </c>
      <c r="O155" s="116"/>
      <c r="R155">
        <v>1.1000000000000001</v>
      </c>
      <c r="Y155" s="5">
        <f t="shared" si="31"/>
        <v>46066</v>
      </c>
      <c r="Z155" s="117">
        <f t="shared" si="56"/>
        <v>33.991810396766738</v>
      </c>
      <c r="AA155" s="117">
        <f t="shared" si="57"/>
        <v>37.077558923069013</v>
      </c>
      <c r="AB155" s="116">
        <v>1.0231266408972959</v>
      </c>
      <c r="AC155" s="123"/>
      <c r="AD155" s="5"/>
      <c r="AE155" s="122"/>
      <c r="AF155" s="122"/>
      <c r="AG155" s="122"/>
      <c r="AH155" s="122"/>
      <c r="AI155" s="123"/>
      <c r="AJ155" s="123"/>
    </row>
    <row r="156" spans="1:36" x14ac:dyDescent="0.25">
      <c r="A156" s="1">
        <f t="shared" si="62"/>
        <v>2026</v>
      </c>
      <c r="B156" s="52">
        <f t="shared" si="58"/>
        <v>46054</v>
      </c>
      <c r="C156" s="1" t="str">
        <f t="shared" si="54"/>
        <v>sáb</v>
      </c>
      <c r="D156" s="5">
        <f t="shared" si="28"/>
        <v>46067</v>
      </c>
      <c r="E156" s="30">
        <v>32.293638972697721</v>
      </c>
      <c r="F156" s="14">
        <f>+'Mono SPOT MAT'!M156/'Fisico SPOT MAT'!M156/24</f>
        <v>37.810333013305176</v>
      </c>
      <c r="G156" s="13">
        <f t="shared" si="63"/>
        <v>17.600000000000001</v>
      </c>
      <c r="H156" s="12">
        <f>+'Mono ASIG'!AA156</f>
        <v>75.121832549936315</v>
      </c>
      <c r="I156" s="12">
        <f t="shared" si="55"/>
        <v>58.198755626859395</v>
      </c>
      <c r="J156" s="12">
        <f t="shared" si="64"/>
        <v>17.600000000000001</v>
      </c>
      <c r="K156" s="155">
        <f>+'Mono SPOT MAT'!T156</f>
        <v>0</v>
      </c>
      <c r="L156" s="116"/>
      <c r="M156" s="116"/>
      <c r="N156" s="139">
        <f>+'Mono SPOT MAT'!S156/'Fisico SPOT MAT'!S156/'Fisico SPOT MAT'!E156</f>
        <v>15.915624740471742</v>
      </c>
      <c r="O156" s="116"/>
      <c r="R156">
        <v>1.1000000000000001</v>
      </c>
      <c r="Y156" s="5">
        <f t="shared" si="31"/>
        <v>46067</v>
      </c>
      <c r="Z156" s="117">
        <f t="shared" si="56"/>
        <v>32.293638972697721</v>
      </c>
      <c r="AA156" s="117">
        <f t="shared" si="57"/>
        <v>37.010494477969907</v>
      </c>
      <c r="AB156" s="116">
        <v>0.79983853533526728</v>
      </c>
      <c r="AC156" s="123"/>
      <c r="AD156" s="5"/>
      <c r="AE156" s="122"/>
      <c r="AF156" s="122"/>
      <c r="AG156" s="122"/>
      <c r="AH156" s="122"/>
      <c r="AI156" s="123"/>
      <c r="AJ156" s="123"/>
    </row>
    <row r="157" spans="1:36" x14ac:dyDescent="0.25">
      <c r="A157" s="1">
        <f t="shared" si="62"/>
        <v>2026</v>
      </c>
      <c r="B157" s="52">
        <f t="shared" si="58"/>
        <v>46054</v>
      </c>
      <c r="C157" s="1" t="str">
        <f t="shared" si="54"/>
        <v>dom</v>
      </c>
      <c r="D157" s="5">
        <f t="shared" si="28"/>
        <v>46068</v>
      </c>
      <c r="E157" s="30">
        <v>35.825402108273238</v>
      </c>
      <c r="F157" s="14">
        <f>+'Mono SPOT MAT'!M157/'Fisico SPOT MAT'!M157/24</f>
        <v>37.87692457060826</v>
      </c>
      <c r="G157" s="13">
        <f t="shared" si="63"/>
        <v>17.600000000000001</v>
      </c>
      <c r="H157" s="12">
        <f>+'Mono ASIG'!AA157</f>
        <v>75.754388465206418</v>
      </c>
      <c r="I157" s="12">
        <f t="shared" si="55"/>
        <v>58.831311542129498</v>
      </c>
      <c r="J157" s="12">
        <f t="shared" si="64"/>
        <v>17.600000000000001</v>
      </c>
      <c r="K157" s="155">
        <f>+'Mono SPOT MAT'!T157</f>
        <v>0</v>
      </c>
      <c r="L157" s="116"/>
      <c r="M157" s="116"/>
      <c r="N157" s="140">
        <f>+'Mono SPOT MAT'!S157/'Fisico SPOT MAT'!S157/'Fisico SPOT MAT'!E157</f>
        <v>15.870018284342745</v>
      </c>
      <c r="O157" s="116"/>
      <c r="R157">
        <v>1.1000000000000001</v>
      </c>
      <c r="Y157" s="5">
        <f t="shared" si="31"/>
        <v>46068</v>
      </c>
      <c r="Z157" s="117">
        <f t="shared" si="56"/>
        <v>35.825402108273238</v>
      </c>
      <c r="AA157" s="117">
        <f t="shared" si="57"/>
        <v>36.469560583133543</v>
      </c>
      <c r="AB157" s="116">
        <v>1.4073639874747161</v>
      </c>
      <c r="AC157" s="123"/>
      <c r="AD157" s="5"/>
      <c r="AE157" s="122"/>
      <c r="AF157" s="122"/>
      <c r="AG157" s="122"/>
      <c r="AH157" s="122"/>
      <c r="AI157" s="123"/>
      <c r="AJ157" s="123"/>
    </row>
    <row r="158" spans="1:36" x14ac:dyDescent="0.25">
      <c r="A158" s="1">
        <f t="shared" si="62"/>
        <v>2026</v>
      </c>
      <c r="B158" s="52">
        <f t="shared" si="58"/>
        <v>46054</v>
      </c>
      <c r="C158" s="1" t="str">
        <f t="shared" si="54"/>
        <v>lun</v>
      </c>
      <c r="D158" s="5">
        <f t="shared" si="28"/>
        <v>46069</v>
      </c>
      <c r="E158" s="30">
        <v>36.466009104721991</v>
      </c>
      <c r="F158" s="14">
        <f>+'Mono SPOT MAT'!M158/'Fisico SPOT MAT'!M158/24</f>
        <v>38.639915272538992</v>
      </c>
      <c r="G158" s="13">
        <f t="shared" si="63"/>
        <v>17.600000000000001</v>
      </c>
      <c r="H158" s="12">
        <f>+'Mono ASIG'!AA158</f>
        <v>74.639634680832572</v>
      </c>
      <c r="I158" s="12">
        <f t="shared" si="55"/>
        <v>57.716557757755652</v>
      </c>
      <c r="J158" s="12">
        <f t="shared" si="64"/>
        <v>17.600000000000001</v>
      </c>
      <c r="K158" s="155">
        <f>+'Mono SPOT MAT'!T158</f>
        <v>0</v>
      </c>
      <c r="L158" s="116"/>
      <c r="M158" s="116"/>
      <c r="N158" s="139">
        <f>+'Mono SPOT MAT'!S158/'Fisico SPOT MAT'!S158/'Fisico SPOT MAT'!E158</f>
        <v>15.833208824835049</v>
      </c>
      <c r="O158" s="116"/>
      <c r="R158">
        <v>1.1000000000000001</v>
      </c>
      <c r="Y158" s="5">
        <f t="shared" si="31"/>
        <v>46069</v>
      </c>
      <c r="Z158" s="117">
        <f t="shared" si="56"/>
        <v>36.466009104721991</v>
      </c>
      <c r="AA158" s="117">
        <f t="shared" si="57"/>
        <v>37.416878718133283</v>
      </c>
      <c r="AB158" s="116">
        <v>1.22303655440571</v>
      </c>
      <c r="AC158" s="123"/>
      <c r="AD158" s="5"/>
      <c r="AE158" s="122"/>
      <c r="AF158" s="122"/>
      <c r="AG158" s="122"/>
      <c r="AH158" s="122"/>
      <c r="AI158" s="123"/>
      <c r="AJ158" s="123"/>
    </row>
    <row r="159" spans="1:36" x14ac:dyDescent="0.25">
      <c r="A159" s="1">
        <f t="shared" si="62"/>
        <v>2026</v>
      </c>
      <c r="B159" s="52">
        <f t="shared" si="58"/>
        <v>46054</v>
      </c>
      <c r="C159" s="1" t="str">
        <f t="shared" si="54"/>
        <v>mar</v>
      </c>
      <c r="D159" s="5">
        <f t="shared" si="28"/>
        <v>46070</v>
      </c>
      <c r="E159" s="30">
        <v>45.706234198232771</v>
      </c>
      <c r="F159" s="14">
        <f>+'Mono SPOT MAT'!M159/'Fisico SPOT MAT'!M159/24</f>
        <v>39.437936612057747</v>
      </c>
      <c r="G159" s="13">
        <f t="shared" si="63"/>
        <v>17.600000000000001</v>
      </c>
      <c r="H159" s="12">
        <f>+'Mono ASIG'!AA159</f>
        <v>72.252302154476169</v>
      </c>
      <c r="I159" s="12">
        <f t="shared" si="55"/>
        <v>55.329225231399249</v>
      </c>
      <c r="J159" s="12">
        <f t="shared" si="64"/>
        <v>17.600000000000001</v>
      </c>
      <c r="K159" s="155">
        <f>+'Mono SPOT MAT'!T159</f>
        <v>0</v>
      </c>
      <c r="L159" s="116"/>
      <c r="M159" s="116"/>
      <c r="N159" s="140">
        <f>+'Mono SPOT MAT'!S159/'Fisico SPOT MAT'!S159/'Fisico SPOT MAT'!E159</f>
        <v>15.820013105320914</v>
      </c>
      <c r="O159" s="116"/>
      <c r="R159">
        <v>1.1000000000000001</v>
      </c>
      <c r="Y159" s="5">
        <f t="shared" si="31"/>
        <v>46070</v>
      </c>
      <c r="Z159" s="117">
        <f t="shared" si="56"/>
        <v>45.706234198232771</v>
      </c>
      <c r="AA159" s="117">
        <f t="shared" si="57"/>
        <v>38.025173070047096</v>
      </c>
      <c r="AB159" s="116">
        <v>1.4127635420106528</v>
      </c>
      <c r="AC159" s="123"/>
      <c r="AD159" s="5"/>
      <c r="AE159" s="122"/>
      <c r="AF159" s="122"/>
      <c r="AG159" s="122"/>
      <c r="AH159" s="122"/>
      <c r="AI159" s="123"/>
      <c r="AJ159" s="123"/>
    </row>
    <row r="160" spans="1:36" x14ac:dyDescent="0.25">
      <c r="A160" s="1">
        <f t="shared" si="62"/>
        <v>2026</v>
      </c>
      <c r="B160" s="52">
        <f t="shared" si="58"/>
        <v>46054</v>
      </c>
      <c r="C160" s="1" t="str">
        <f t="shared" si="54"/>
        <v>mié</v>
      </c>
      <c r="D160" s="5">
        <f t="shared" si="28"/>
        <v>46071</v>
      </c>
      <c r="E160" s="30">
        <v>63.014107482929894</v>
      </c>
      <c r="F160" s="14">
        <f>+'Mono SPOT MAT'!M160/'Fisico SPOT MAT'!M160/24</f>
        <v>42.739871152444493</v>
      </c>
      <c r="G160" s="13">
        <f t="shared" si="63"/>
        <v>17.600000000000001</v>
      </c>
      <c r="H160" s="12">
        <f>+'Mono ASIG'!AA160</f>
        <v>64.356515134610348</v>
      </c>
      <c r="I160" s="12">
        <f t="shared" si="55"/>
        <v>47.433438211533428</v>
      </c>
      <c r="J160" s="12">
        <f t="shared" si="64"/>
        <v>17.600000000000001</v>
      </c>
      <c r="K160" s="155">
        <f>+'Mono SPOT MAT'!T160</f>
        <v>0</v>
      </c>
      <c r="L160" s="116"/>
      <c r="M160" s="116"/>
      <c r="N160" s="139">
        <f>+'Mono SPOT MAT'!S160/'Fisico SPOT MAT'!S160/'Fisico SPOT MAT'!E160</f>
        <v>15.852511543299968</v>
      </c>
      <c r="O160" s="116"/>
      <c r="R160">
        <v>1.1000000000000001</v>
      </c>
      <c r="Y160" s="5">
        <f t="shared" si="31"/>
        <v>46071</v>
      </c>
      <c r="Z160" s="117">
        <f t="shared" si="56"/>
        <v>63.014107482929894</v>
      </c>
      <c r="AA160" s="117">
        <f t="shared" si="57"/>
        <v>39.727506020801513</v>
      </c>
      <c r="AB160" s="116">
        <v>3.0123651316429818</v>
      </c>
      <c r="AC160" s="123"/>
      <c r="AD160" s="5"/>
      <c r="AE160" s="122"/>
      <c r="AF160" s="122"/>
      <c r="AG160" s="122"/>
      <c r="AH160" s="122"/>
      <c r="AI160" s="123"/>
      <c r="AJ160" s="123"/>
    </row>
    <row r="161" spans="1:36" x14ac:dyDescent="0.25">
      <c r="A161" s="1">
        <f t="shared" si="62"/>
        <v>2026</v>
      </c>
      <c r="B161" s="52">
        <f t="shared" si="58"/>
        <v>46054</v>
      </c>
      <c r="C161" s="1" t="str">
        <f t="shared" si="54"/>
        <v>jue</v>
      </c>
      <c r="D161" s="5">
        <f t="shared" si="28"/>
        <v>46072</v>
      </c>
      <c r="E161" s="30">
        <v>44.234898803117169</v>
      </c>
      <c r="F161" s="14">
        <f>+'Mono SPOT MAT'!M161/'Fisico SPOT MAT'!M161/24</f>
        <v>40.138144206288118</v>
      </c>
      <c r="G161" s="13">
        <f t="shared" si="63"/>
        <v>17.600000000000001</v>
      </c>
      <c r="H161" s="12">
        <f>+'Mono ASIG'!AA161</f>
        <v>72.429494418406946</v>
      </c>
      <c r="I161" s="12">
        <f t="shared" si="55"/>
        <v>55.506417495330027</v>
      </c>
      <c r="J161" s="12">
        <f t="shared" si="64"/>
        <v>17.600000000000001</v>
      </c>
      <c r="K161" s="155">
        <f>+'Mono SPOT MAT'!T161</f>
        <v>0</v>
      </c>
      <c r="L161" s="116"/>
      <c r="M161" s="116"/>
      <c r="N161" s="140">
        <f>+'Mono SPOT MAT'!S161/'Fisico SPOT MAT'!S161/'Fisico SPOT MAT'!E161</f>
        <v>15.868827123807854</v>
      </c>
      <c r="O161" s="116"/>
      <c r="R161">
        <v>1.1000000000000001</v>
      </c>
      <c r="Y161" s="5">
        <f t="shared" si="31"/>
        <v>46072</v>
      </c>
      <c r="Z161" s="117">
        <f t="shared" si="56"/>
        <v>44.234898803117169</v>
      </c>
      <c r="AA161" s="117">
        <f t="shared" si="57"/>
        <v>38.635946457234859</v>
      </c>
      <c r="AB161" s="116">
        <v>1.5021977490532614</v>
      </c>
      <c r="AC161" s="123"/>
      <c r="AD161" s="5"/>
      <c r="AE161" s="122"/>
      <c r="AF161" s="122"/>
      <c r="AG161" s="122"/>
      <c r="AH161" s="122"/>
      <c r="AI161" s="123"/>
      <c r="AJ161" s="123"/>
    </row>
    <row r="162" spans="1:36" x14ac:dyDescent="0.25">
      <c r="A162" s="1">
        <f t="shared" si="62"/>
        <v>2026</v>
      </c>
      <c r="B162" s="52">
        <f t="shared" si="58"/>
        <v>46054</v>
      </c>
      <c r="C162" s="1" t="str">
        <f t="shared" si="54"/>
        <v>vie</v>
      </c>
      <c r="D162" s="5">
        <f t="shared" si="28"/>
        <v>46073</v>
      </c>
      <c r="E162" s="30">
        <v>36.959130505853089</v>
      </c>
      <c r="F162" s="14">
        <f>+'Mono SPOT MAT'!M162/'Fisico SPOT MAT'!M162/24</f>
        <v>39.162436758660299</v>
      </c>
      <c r="G162" s="13">
        <f t="shared" si="63"/>
        <v>17.600000000000001</v>
      </c>
      <c r="H162" s="12">
        <f>+'Mono ASIG'!AA162</f>
        <v>72.105765951390268</v>
      </c>
      <c r="I162" s="12">
        <f t="shared" si="55"/>
        <v>55.182689028313348</v>
      </c>
      <c r="J162" s="12">
        <f t="shared" si="64"/>
        <v>17.600000000000001</v>
      </c>
      <c r="K162" s="155">
        <f>+'Mono SPOT MAT'!T162</f>
        <v>0</v>
      </c>
      <c r="L162" s="116"/>
      <c r="M162" s="116"/>
      <c r="N162" s="139">
        <f>+'Mono SPOT MAT'!S162/'Fisico SPOT MAT'!S162/'Fisico SPOT MAT'!E162</f>
        <v>15.890322064349524</v>
      </c>
      <c r="O162" s="116"/>
      <c r="R162">
        <v>1.1000000000000001</v>
      </c>
      <c r="Y162" s="5">
        <f t="shared" si="31"/>
        <v>46073</v>
      </c>
      <c r="Z162" s="117">
        <f t="shared" si="56"/>
        <v>36.959130505853089</v>
      </c>
      <c r="AA162" s="117">
        <f t="shared" si="57"/>
        <v>37.80915638839199</v>
      </c>
      <c r="AB162" s="116">
        <v>1.3532803702683094</v>
      </c>
      <c r="AC162" s="123"/>
      <c r="AD162" s="5"/>
      <c r="AE162" s="122"/>
      <c r="AF162" s="122"/>
      <c r="AG162" s="122"/>
      <c r="AH162" s="122"/>
      <c r="AI162" s="123"/>
      <c r="AJ162" s="123"/>
    </row>
    <row r="163" spans="1:36" x14ac:dyDescent="0.25">
      <c r="A163" s="1">
        <f t="shared" si="62"/>
        <v>2026</v>
      </c>
      <c r="B163" s="52">
        <f t="shared" si="58"/>
        <v>46054</v>
      </c>
      <c r="C163" s="1" t="str">
        <f t="shared" si="54"/>
        <v>sáb</v>
      </c>
      <c r="D163" s="5">
        <f t="shared" si="28"/>
        <v>46074</v>
      </c>
      <c r="E163" s="30">
        <v>39.504848783117382</v>
      </c>
      <c r="F163" s="14">
        <f>+'Mono SPOT MAT'!M163/'Fisico SPOT MAT'!M163/24</f>
        <v>38.998203927540878</v>
      </c>
      <c r="G163" s="13">
        <f t="shared" si="63"/>
        <v>17.600000000000001</v>
      </c>
      <c r="H163" s="12">
        <f>+'Mono ASIG'!AA163</f>
        <v>73.853466812287124</v>
      </c>
      <c r="I163" s="12">
        <f t="shared" si="55"/>
        <v>56.930389889210204</v>
      </c>
      <c r="J163" s="12">
        <f t="shared" si="64"/>
        <v>17.600000000000001</v>
      </c>
      <c r="K163" s="155">
        <f>+'Mono SPOT MAT'!T163</f>
        <v>0</v>
      </c>
      <c r="L163" s="116"/>
      <c r="M163" s="116"/>
      <c r="N163" s="140">
        <f>+'Mono SPOT MAT'!S163/'Fisico SPOT MAT'!S163/'Fisico SPOT MAT'!E163</f>
        <v>15.844684100379942</v>
      </c>
      <c r="O163" s="116"/>
      <c r="R163">
        <v>1.1000000000000001</v>
      </c>
      <c r="Y163" s="5">
        <f t="shared" si="31"/>
        <v>46074</v>
      </c>
      <c r="Z163" s="117">
        <f t="shared" si="56"/>
        <v>39.504848783117382</v>
      </c>
      <c r="AA163" s="117">
        <f t="shared" si="57"/>
        <v>37.719421963708683</v>
      </c>
      <c r="AB163" s="116">
        <v>1.2787819638321962</v>
      </c>
      <c r="AC163" s="123"/>
      <c r="AD163" s="5"/>
      <c r="AE163" s="122"/>
      <c r="AF163" s="122"/>
      <c r="AG163" s="122"/>
      <c r="AH163" s="122"/>
      <c r="AI163" s="123"/>
      <c r="AJ163" s="123"/>
    </row>
    <row r="164" spans="1:36" x14ac:dyDescent="0.25">
      <c r="A164" s="1">
        <f t="shared" si="62"/>
        <v>2026</v>
      </c>
      <c r="B164" s="52">
        <f t="shared" si="58"/>
        <v>46054</v>
      </c>
      <c r="C164" s="1" t="str">
        <f t="shared" si="54"/>
        <v>dom</v>
      </c>
      <c r="D164" s="5">
        <f t="shared" si="28"/>
        <v>46075</v>
      </c>
      <c r="E164" s="30">
        <v>37.501771331859189</v>
      </c>
      <c r="F164" s="14">
        <f>+'Mono SPOT MAT'!M164/'Fisico SPOT MAT'!M164/24</f>
        <v>38.883596864165547</v>
      </c>
      <c r="G164" s="13">
        <f t="shared" si="63"/>
        <v>17.600000000000001</v>
      </c>
      <c r="H164" s="12">
        <f>+'Mono ASIG'!AA164</f>
        <v>76.73744391854224</v>
      </c>
      <c r="I164" s="12">
        <f t="shared" si="55"/>
        <v>59.814366995465321</v>
      </c>
      <c r="J164" s="12">
        <f t="shared" si="64"/>
        <v>17.600000000000001</v>
      </c>
      <c r="K164" s="155">
        <f>+'Mono SPOT MAT'!T164</f>
        <v>0</v>
      </c>
      <c r="L164" s="116"/>
      <c r="M164" s="116"/>
      <c r="N164" s="139">
        <f>+'Mono SPOT MAT'!S164/'Fisico SPOT MAT'!S164/'Fisico SPOT MAT'!E164</f>
        <v>15.808911377263204</v>
      </c>
      <c r="O164" s="116"/>
      <c r="R164">
        <v>1.1000000000000001</v>
      </c>
      <c r="Y164" s="5">
        <f t="shared" si="31"/>
        <v>46075</v>
      </c>
      <c r="Z164" s="117">
        <f t="shared" si="56"/>
        <v>37.501771331859189</v>
      </c>
      <c r="AA164" s="117">
        <f t="shared" si="57"/>
        <v>37.634623637370801</v>
      </c>
      <c r="AB164" s="116">
        <v>1.2489732267947453</v>
      </c>
      <c r="AC164" s="123"/>
      <c r="AD164" s="5"/>
      <c r="AE164" s="122"/>
      <c r="AF164" s="122"/>
      <c r="AG164" s="122"/>
      <c r="AH164" s="122"/>
      <c r="AI164" s="123"/>
      <c r="AJ164" s="123"/>
    </row>
    <row r="165" spans="1:36" x14ac:dyDescent="0.25">
      <c r="A165" s="1">
        <f t="shared" si="62"/>
        <v>2026</v>
      </c>
      <c r="B165" s="52">
        <f t="shared" si="58"/>
        <v>46054</v>
      </c>
      <c r="C165" s="1" t="str">
        <f t="shared" si="54"/>
        <v>lun</v>
      </c>
      <c r="D165" s="5">
        <f t="shared" si="28"/>
        <v>46076</v>
      </c>
      <c r="E165" s="30">
        <v>46.254402422711429</v>
      </c>
      <c r="F165" s="14">
        <f>+'Mono SPOT MAT'!M165/'Fisico SPOT MAT'!M165/24</f>
        <v>39.679031317329041</v>
      </c>
      <c r="G165" s="13">
        <f t="shared" si="63"/>
        <v>17.600000000000001</v>
      </c>
      <c r="H165" s="12">
        <f>+'Mono ASIG'!AA165</f>
        <v>66.936350464471602</v>
      </c>
      <c r="I165" s="12">
        <f t="shared" si="55"/>
        <v>50.013273541394682</v>
      </c>
      <c r="J165" s="12">
        <f t="shared" si="64"/>
        <v>17.600000000000001</v>
      </c>
      <c r="K165" s="155">
        <f>+'Mono SPOT MAT'!T165</f>
        <v>0</v>
      </c>
      <c r="L165" s="116"/>
      <c r="M165" s="116"/>
      <c r="N165" s="140">
        <f>+'Mono SPOT MAT'!S165/'Fisico SPOT MAT'!S165/'Fisico SPOT MAT'!E165</f>
        <v>15.831699126518972</v>
      </c>
      <c r="O165" s="116"/>
      <c r="R165">
        <v>1.1000000000000001</v>
      </c>
      <c r="Y165" s="5">
        <f t="shared" si="31"/>
        <v>46076</v>
      </c>
      <c r="Z165" s="117">
        <f t="shared" si="56"/>
        <v>46.254402422711429</v>
      </c>
      <c r="AA165" s="117">
        <f t="shared" si="57"/>
        <v>37.906500401973794</v>
      </c>
      <c r="AB165" s="116">
        <v>1.7725309153552444</v>
      </c>
      <c r="AC165" s="123"/>
      <c r="AD165" s="5"/>
      <c r="AE165" s="122"/>
      <c r="AF165" s="122"/>
      <c r="AG165" s="122"/>
      <c r="AH165" s="122"/>
      <c r="AI165" s="123"/>
      <c r="AJ165" s="123"/>
    </row>
    <row r="166" spans="1:36" x14ac:dyDescent="0.25">
      <c r="A166" s="1">
        <f t="shared" ref="A166:A171" si="65">YEAR(D166)</f>
        <v>2026</v>
      </c>
      <c r="B166" s="52">
        <f t="shared" si="58"/>
        <v>46054</v>
      </c>
      <c r="C166" s="1" t="str">
        <f t="shared" si="54"/>
        <v>mar</v>
      </c>
      <c r="D166" s="5">
        <f t="shared" si="28"/>
        <v>46077</v>
      </c>
      <c r="E166" s="30">
        <v>41.730943384826283</v>
      </c>
      <c r="F166" s="14">
        <f>+'Mono SPOT MAT'!M166/'Fisico SPOT MAT'!M166/24</f>
        <v>39.874651435407337</v>
      </c>
      <c r="G166" s="13">
        <f t="shared" ref="G166:G171" si="66">16*R166</f>
        <v>17.600000000000001</v>
      </c>
      <c r="H166" s="12">
        <f>+'Mono ASIG'!AA166</f>
        <v>70.0360382448103</v>
      </c>
      <c r="I166" s="12">
        <f t="shared" si="55"/>
        <v>53.11296132173338</v>
      </c>
      <c r="J166" s="12">
        <f t="shared" ref="J166:J170" si="67">16*R166</f>
        <v>17.600000000000001</v>
      </c>
      <c r="K166" s="155">
        <f>+'Mono SPOT MAT'!T166</f>
        <v>0</v>
      </c>
      <c r="L166" s="116"/>
      <c r="M166" s="116"/>
      <c r="N166" s="139">
        <f>+'Mono SPOT MAT'!S166/'Fisico SPOT MAT'!S166/'Fisico SPOT MAT'!E166</f>
        <v>15.883775722067925</v>
      </c>
      <c r="O166" s="116"/>
      <c r="R166">
        <v>1.1000000000000001</v>
      </c>
      <c r="Y166" s="5">
        <f t="shared" si="31"/>
        <v>46077</v>
      </c>
      <c r="Z166" s="117">
        <f t="shared" si="56"/>
        <v>41.730943384826283</v>
      </c>
      <c r="AA166" s="117">
        <f t="shared" si="57"/>
        <v>38.627963538148542</v>
      </c>
      <c r="AB166" s="116">
        <v>1.2466878972587965</v>
      </c>
      <c r="AC166" s="123"/>
      <c r="AD166" s="5"/>
      <c r="AE166" s="122"/>
      <c r="AF166" s="122"/>
      <c r="AG166" s="122"/>
      <c r="AH166" s="122"/>
      <c r="AI166" s="123"/>
      <c r="AJ166" s="123"/>
    </row>
    <row r="167" spans="1:36" x14ac:dyDescent="0.25">
      <c r="A167" s="1">
        <f t="shared" si="65"/>
        <v>2026</v>
      </c>
      <c r="B167" s="52">
        <f t="shared" si="58"/>
        <v>46054</v>
      </c>
      <c r="C167" s="1" t="str">
        <f t="shared" si="54"/>
        <v>mié</v>
      </c>
      <c r="D167" s="5">
        <f t="shared" si="28"/>
        <v>46078</v>
      </c>
      <c r="E167" s="30">
        <v>35.978006738496376</v>
      </c>
      <c r="F167" s="14">
        <f>+'Mono SPOT MAT'!M167/'Fisico SPOT MAT'!M167/24</f>
        <v>39.243842260700696</v>
      </c>
      <c r="G167" s="13">
        <f t="shared" si="66"/>
        <v>17.600000000000001</v>
      </c>
      <c r="H167" s="12">
        <f>+'Mono ASIG'!AA167</f>
        <v>73.27835821501462</v>
      </c>
      <c r="I167" s="12">
        <f t="shared" si="55"/>
        <v>56.3552812919377</v>
      </c>
      <c r="J167" s="12">
        <f t="shared" si="67"/>
        <v>17.600000000000001</v>
      </c>
      <c r="K167" s="155">
        <f>+'Mono SPOT MAT'!T167</f>
        <v>0</v>
      </c>
      <c r="L167" s="116"/>
      <c r="M167" s="116"/>
      <c r="N167" s="140">
        <f>+'Mono SPOT MAT'!S167/'Fisico SPOT MAT'!S167/'Fisico SPOT MAT'!E167</f>
        <v>15.907595712399836</v>
      </c>
      <c r="O167" s="116"/>
      <c r="R167">
        <v>1.1000000000000001</v>
      </c>
      <c r="Y167" s="5">
        <f t="shared" si="31"/>
        <v>46078</v>
      </c>
      <c r="Z167" s="117">
        <f t="shared" si="56"/>
        <v>35.978006738496376</v>
      </c>
      <c r="AA167" s="117">
        <f t="shared" si="57"/>
        <v>38.058102886816819</v>
      </c>
      <c r="AB167" s="116">
        <v>1.1857393738838777</v>
      </c>
      <c r="AC167" s="123"/>
      <c r="AD167" s="5"/>
      <c r="AE167" s="122"/>
      <c r="AF167" s="122"/>
      <c r="AG167" s="122"/>
      <c r="AH167" s="122"/>
      <c r="AI167" s="123"/>
      <c r="AJ167" s="123"/>
    </row>
    <row r="168" spans="1:36" x14ac:dyDescent="0.25">
      <c r="A168" s="1">
        <f t="shared" si="65"/>
        <v>2026</v>
      </c>
      <c r="B168" s="52">
        <f t="shared" si="58"/>
        <v>46054</v>
      </c>
      <c r="C168" s="1" t="str">
        <f t="shared" si="54"/>
        <v>jue</v>
      </c>
      <c r="D168" s="5">
        <f t="shared" si="28"/>
        <v>46079</v>
      </c>
      <c r="E168" s="30">
        <v>33.906568347942041</v>
      </c>
      <c r="F168" s="14">
        <f>+'Mono SPOT MAT'!M168/'Fisico SPOT MAT'!M168/24</f>
        <v>39.238654690222255</v>
      </c>
      <c r="G168" s="13">
        <f t="shared" si="66"/>
        <v>17.600000000000001</v>
      </c>
      <c r="H168" s="12">
        <f>+'Mono ASIG'!AA168</f>
        <v>71.713064316363528</v>
      </c>
      <c r="I168" s="12">
        <f t="shared" si="55"/>
        <v>54.789987393286609</v>
      </c>
      <c r="J168" s="12">
        <f t="shared" si="67"/>
        <v>17.600000000000001</v>
      </c>
      <c r="K168" s="155">
        <f>+'Mono SPOT MAT'!T168</f>
        <v>0</v>
      </c>
      <c r="L168" s="116"/>
      <c r="M168" s="116"/>
      <c r="N168" s="139">
        <f>+'Mono SPOT MAT'!S168/'Fisico SPOT MAT'!S168/'Fisico SPOT MAT'!E168</f>
        <v>15.9060248181205</v>
      </c>
      <c r="O168" s="116"/>
      <c r="R168">
        <v>1.1000000000000001</v>
      </c>
      <c r="Y168" s="5">
        <f t="shared" si="31"/>
        <v>46079</v>
      </c>
      <c r="Z168" s="117">
        <f t="shared" si="56"/>
        <v>33.906568347942041</v>
      </c>
      <c r="AA168" s="117">
        <f t="shared" si="57"/>
        <v>38.097191324142855</v>
      </c>
      <c r="AB168" s="116">
        <v>1.1414633660793974</v>
      </c>
      <c r="AC168" s="123"/>
      <c r="AD168" s="5"/>
      <c r="AE168" s="122"/>
      <c r="AF168" s="122"/>
      <c r="AG168" s="122"/>
      <c r="AH168" s="122"/>
      <c r="AI168" s="123"/>
      <c r="AJ168" s="123"/>
    </row>
    <row r="169" spans="1:36" x14ac:dyDescent="0.25">
      <c r="A169" s="1">
        <f t="shared" si="65"/>
        <v>2026</v>
      </c>
      <c r="B169" s="52">
        <f t="shared" si="58"/>
        <v>46054</v>
      </c>
      <c r="C169" s="1" t="str">
        <f t="shared" si="54"/>
        <v>vie</v>
      </c>
      <c r="D169" s="5">
        <f t="shared" si="28"/>
        <v>46080</v>
      </c>
      <c r="E169" s="30">
        <v>33.181569624261087</v>
      </c>
      <c r="F169" s="14">
        <f>+'Mono SPOT MAT'!M169/'Fisico SPOT MAT'!M169/24</f>
        <v>39.190708446275671</v>
      </c>
      <c r="G169" s="13">
        <f t="shared" si="66"/>
        <v>17.600000000000001</v>
      </c>
      <c r="H169" s="12">
        <f>+'Mono ASIG'!AA169</f>
        <v>74.705922972014065</v>
      </c>
      <c r="I169" s="12">
        <f t="shared" si="55"/>
        <v>57.782846048937145</v>
      </c>
      <c r="J169" s="12">
        <f t="shared" si="67"/>
        <v>17.600000000000001</v>
      </c>
      <c r="K169" s="155">
        <f>+'Mono SPOT MAT'!T169</f>
        <v>0</v>
      </c>
      <c r="L169" s="116"/>
      <c r="M169" s="116"/>
      <c r="N169" s="140">
        <f>+'Mono SPOT MAT'!S169/'Fisico SPOT MAT'!S169/'Fisico SPOT MAT'!E169</f>
        <v>15.901656921477588</v>
      </c>
      <c r="O169" s="116"/>
      <c r="R169">
        <v>1.1000000000000001</v>
      </c>
      <c r="Y169" s="5">
        <f t="shared" si="31"/>
        <v>46080</v>
      </c>
      <c r="Z169" s="117">
        <f t="shared" si="56"/>
        <v>33.181569624261087</v>
      </c>
      <c r="AA169" s="117">
        <f t="shared" si="57"/>
        <v>38.121185146978647</v>
      </c>
      <c r="AB169" s="116">
        <v>1.0695232992970245</v>
      </c>
      <c r="AC169" s="123"/>
      <c r="AD169" s="5"/>
      <c r="AE169" s="122"/>
      <c r="AF169" s="122"/>
      <c r="AG169" s="122"/>
      <c r="AH169" s="122"/>
      <c r="AI169" s="123"/>
      <c r="AJ169" s="123"/>
    </row>
    <row r="170" spans="1:36" x14ac:dyDescent="0.25">
      <c r="A170" s="1">
        <f t="shared" si="65"/>
        <v>2026</v>
      </c>
      <c r="B170" s="52">
        <f t="shared" si="58"/>
        <v>46054</v>
      </c>
      <c r="C170" s="1" t="str">
        <f t="shared" si="54"/>
        <v>sáb</v>
      </c>
      <c r="D170" s="5">
        <f t="shared" si="28"/>
        <v>46081</v>
      </c>
      <c r="E170" s="30">
        <v>33.721985966578529</v>
      </c>
      <c r="F170" s="14">
        <f>+'Mono SPOT MAT'!M170/'Fisico SPOT MAT'!M170/24</f>
        <v>38.805707186554379</v>
      </c>
      <c r="G170" s="13">
        <f t="shared" si="66"/>
        <v>17.600000000000001</v>
      </c>
      <c r="H170" s="12">
        <f>+'Mono ASIG'!AA170</f>
        <v>74.7885180282844</v>
      </c>
      <c r="I170" s="12">
        <f t="shared" si="55"/>
        <v>57.865441105207481</v>
      </c>
      <c r="J170" s="12">
        <f t="shared" si="67"/>
        <v>17.600000000000001</v>
      </c>
      <c r="K170" s="155">
        <f>+'Mono SPOT MAT'!T170</f>
        <v>0</v>
      </c>
      <c r="L170" s="116"/>
      <c r="M170" s="116"/>
      <c r="N170" s="139">
        <f>+'Mono SPOT MAT'!S170/'Fisico SPOT MAT'!S170/'Fisico SPOT MAT'!E170</f>
        <v>15.903193134098009</v>
      </c>
      <c r="O170" s="116"/>
      <c r="R170">
        <v>1.1000000000000001</v>
      </c>
      <c r="Y170" s="5">
        <f t="shared" si="31"/>
        <v>46081</v>
      </c>
      <c r="Z170" s="117">
        <f t="shared" si="56"/>
        <v>33.721985966578529</v>
      </c>
      <c r="AA170" s="117">
        <f t="shared" si="57"/>
        <v>37.737442853449309</v>
      </c>
      <c r="AB170" s="116">
        <v>1.0682643331050707</v>
      </c>
      <c r="AC170" s="123"/>
      <c r="AD170" s="5"/>
      <c r="AE170" s="122"/>
      <c r="AF170" s="122"/>
      <c r="AG170" s="122"/>
      <c r="AH170" s="122"/>
      <c r="AI170" s="123"/>
      <c r="AJ170" s="123"/>
    </row>
    <row r="171" spans="1:36" x14ac:dyDescent="0.25">
      <c r="A171" s="1">
        <f t="shared" si="65"/>
        <v>2026</v>
      </c>
      <c r="B171" s="52">
        <f t="shared" si="58"/>
        <v>46082</v>
      </c>
      <c r="C171" s="1" t="str">
        <f t="shared" si="54"/>
        <v>dom</v>
      </c>
      <c r="D171" s="5">
        <f t="shared" si="28"/>
        <v>46082</v>
      </c>
      <c r="E171" s="30">
        <v>31.876019591615353</v>
      </c>
      <c r="F171" s="14">
        <f>+'Mono SPOT MAT'!M171/'Fisico SPOT MAT'!M171/24</f>
        <v>38.685704968203915</v>
      </c>
      <c r="G171" s="13">
        <f t="shared" si="66"/>
        <v>14.4</v>
      </c>
      <c r="H171" s="12">
        <f>+'Mono ASIG'!AA171</f>
        <v>72.571590203555715</v>
      </c>
      <c r="I171" s="12">
        <f t="shared" ref="I171:I186" si="68">+H171-J171*$P$11/$Q$11/$W$11</f>
        <v>60.079089228120687</v>
      </c>
      <c r="J171" s="12">
        <f>16*R171</f>
        <v>14.4</v>
      </c>
      <c r="K171" s="155">
        <f>+'Mono SPOT MAT'!T171</f>
        <v>0</v>
      </c>
      <c r="L171" s="116"/>
      <c r="M171" s="116"/>
      <c r="N171" s="140">
        <f>+'Mono SPOT MAT'!S171/'Fisico SPOT MAT'!S171/'Fisico SPOT MAT'!E171</f>
        <v>15.301430218731763</v>
      </c>
      <c r="O171" s="116"/>
      <c r="R171">
        <v>0.9</v>
      </c>
      <c r="Y171" s="5">
        <f t="shared" si="31"/>
        <v>46082</v>
      </c>
      <c r="Z171" s="117">
        <f t="shared" si="56"/>
        <v>31.876019591615353</v>
      </c>
      <c r="AA171" s="117">
        <f t="shared" si="57"/>
        <v>37.822671685087954</v>
      </c>
      <c r="AB171" s="116">
        <v>0.86303328311595906</v>
      </c>
      <c r="AC171" s="123"/>
      <c r="AD171" s="5"/>
      <c r="AE171" s="122"/>
      <c r="AF171" s="122"/>
      <c r="AG171" s="122"/>
      <c r="AH171" s="122"/>
      <c r="AI171" s="123"/>
      <c r="AJ171" s="123"/>
    </row>
    <row r="172" spans="1:36" x14ac:dyDescent="0.25">
      <c r="A172" s="1">
        <f t="shared" ref="A172:A188" si="69">YEAR(D172)</f>
        <v>2026</v>
      </c>
      <c r="B172" s="52">
        <f t="shared" si="58"/>
        <v>46082</v>
      </c>
      <c r="C172" s="1" t="str">
        <f t="shared" si="54"/>
        <v>lun</v>
      </c>
      <c r="D172" s="5">
        <f t="shared" si="28"/>
        <v>46083</v>
      </c>
      <c r="E172" s="30">
        <v>41.855325574126468</v>
      </c>
      <c r="F172" s="14">
        <f>+'Mono SPOT MAT'!M172/'Fisico SPOT MAT'!M172/24</f>
        <v>44.074983290243544</v>
      </c>
      <c r="G172" s="13">
        <f t="shared" ref="G172:G200" si="70">16*R172</f>
        <v>14.4</v>
      </c>
      <c r="H172" s="12">
        <f>+'Mono ASIG'!AA172</f>
        <v>67.055289972356363</v>
      </c>
      <c r="I172" s="12">
        <f t="shared" si="68"/>
        <v>54.562788996921334</v>
      </c>
      <c r="J172" s="12">
        <f t="shared" ref="J172:J200" si="71">16*R172</f>
        <v>14.4</v>
      </c>
      <c r="K172" s="155">
        <f>+'Mono SPOT MAT'!T172</f>
        <v>0</v>
      </c>
      <c r="L172" s="116"/>
      <c r="M172" s="116"/>
      <c r="N172" s="139">
        <f>+'Mono SPOT MAT'!S172/'Fisico SPOT MAT'!S172/'Fisico SPOT MAT'!E172</f>
        <v>15.300692504308941</v>
      </c>
      <c r="O172" s="116"/>
      <c r="R172">
        <v>0.9</v>
      </c>
      <c r="Y172" s="5">
        <f t="shared" si="31"/>
        <v>46083</v>
      </c>
      <c r="Z172" s="117">
        <f t="shared" si="56"/>
        <v>41.855325574126468</v>
      </c>
      <c r="AA172" s="117">
        <f t="shared" si="57"/>
        <v>42.826094749604763</v>
      </c>
      <c r="AB172" s="116">
        <v>1.2488885406387809</v>
      </c>
      <c r="AC172" s="123"/>
      <c r="AD172" s="5"/>
      <c r="AE172" s="122"/>
      <c r="AF172" s="122"/>
      <c r="AG172" s="122"/>
      <c r="AH172" s="122"/>
      <c r="AI172" s="123"/>
      <c r="AJ172" s="123"/>
    </row>
    <row r="173" spans="1:36" x14ac:dyDescent="0.25">
      <c r="A173" s="1">
        <f t="shared" si="69"/>
        <v>2026</v>
      </c>
      <c r="B173" s="52">
        <f t="shared" si="58"/>
        <v>46082</v>
      </c>
      <c r="C173" s="1" t="str">
        <f t="shared" si="54"/>
        <v>mar</v>
      </c>
      <c r="D173" s="5">
        <f t="shared" ref="D173:D231" si="72">+D172+1</f>
        <v>46084</v>
      </c>
      <c r="E173" s="30">
        <v>36.19588321499225</v>
      </c>
      <c r="F173" s="14">
        <f>+'Mono SPOT MAT'!M173/'Fisico SPOT MAT'!M173/24</f>
        <v>45.083405843599365</v>
      </c>
      <c r="G173" s="13">
        <f t="shared" si="70"/>
        <v>14.4</v>
      </c>
      <c r="H173" s="12">
        <f>+'Mono ASIG'!AA173</f>
        <v>71.997033713704255</v>
      </c>
      <c r="I173" s="12">
        <f t="shared" si="68"/>
        <v>59.504532738269226</v>
      </c>
      <c r="J173" s="12">
        <f t="shared" si="71"/>
        <v>14.4</v>
      </c>
      <c r="K173" s="155">
        <f>+'Mono SPOT MAT'!T173</f>
        <v>0</v>
      </c>
      <c r="L173" s="116"/>
      <c r="M173" s="116"/>
      <c r="N173" s="140">
        <f>+'Mono SPOT MAT'!S173/'Fisico SPOT MAT'!S173/'Fisico SPOT MAT'!E173</f>
        <v>15.295613142208932</v>
      </c>
      <c r="O173" s="116"/>
      <c r="R173">
        <v>0.9</v>
      </c>
      <c r="Y173" s="5">
        <f t="shared" si="31"/>
        <v>46084</v>
      </c>
      <c r="Z173" s="117">
        <f t="shared" si="56"/>
        <v>36.19588321499225</v>
      </c>
      <c r="AA173" s="117">
        <f t="shared" si="57"/>
        <v>44.294403071631983</v>
      </c>
      <c r="AB173" s="116">
        <v>0.78900277196738233</v>
      </c>
      <c r="AC173" s="123"/>
      <c r="AD173" s="5"/>
      <c r="AE173" s="122"/>
      <c r="AF173" s="122"/>
      <c r="AG173" s="122"/>
      <c r="AH173" s="122"/>
      <c r="AI173" s="123"/>
      <c r="AJ173" s="123"/>
    </row>
    <row r="174" spans="1:36" x14ac:dyDescent="0.25">
      <c r="A174" s="1">
        <f t="shared" si="69"/>
        <v>2026</v>
      </c>
      <c r="B174" s="52">
        <f t="shared" si="58"/>
        <v>46082</v>
      </c>
      <c r="C174" s="1" t="str">
        <f t="shared" si="54"/>
        <v>mié</v>
      </c>
      <c r="D174" s="5">
        <f t="shared" si="72"/>
        <v>46085</v>
      </c>
      <c r="E174" s="30">
        <v>36.665699996196508</v>
      </c>
      <c r="F174" s="14">
        <f>+'Mono SPOT MAT'!M174/'Fisico SPOT MAT'!M174/24</f>
        <v>40.569296183933652</v>
      </c>
      <c r="G174" s="13">
        <f t="shared" si="70"/>
        <v>14.4</v>
      </c>
      <c r="H174" s="12">
        <f>+'Mono ASIG'!AA174</f>
        <v>67.302767126160617</v>
      </c>
      <c r="I174" s="12">
        <f t="shared" si="68"/>
        <v>54.810266150725589</v>
      </c>
      <c r="J174" s="12">
        <f t="shared" si="71"/>
        <v>14.4</v>
      </c>
      <c r="K174" s="155">
        <f>+'Mono SPOT MAT'!T174</f>
        <v>0</v>
      </c>
      <c r="L174" s="116"/>
      <c r="M174" s="116"/>
      <c r="N174" s="139">
        <f>+'Mono SPOT MAT'!S174/'Fisico SPOT MAT'!S174/'Fisico SPOT MAT'!E174</f>
        <v>15.296885900572596</v>
      </c>
      <c r="O174" s="116"/>
      <c r="R174">
        <v>0.9</v>
      </c>
      <c r="Y174" s="5">
        <f t="shared" si="31"/>
        <v>46085</v>
      </c>
      <c r="Z174" s="117">
        <f t="shared" si="56"/>
        <v>36.665699996196508</v>
      </c>
      <c r="AA174" s="117">
        <f t="shared" si="57"/>
        <v>39.368225996331006</v>
      </c>
      <c r="AB174" s="116">
        <v>1.2010701876026435</v>
      </c>
      <c r="AC174" s="123"/>
      <c r="AD174" s="5"/>
      <c r="AE174" s="122"/>
      <c r="AF174" s="122"/>
      <c r="AG174" s="122"/>
      <c r="AH174" s="122"/>
      <c r="AI174" s="123"/>
      <c r="AJ174" s="123"/>
    </row>
    <row r="175" spans="1:36" x14ac:dyDescent="0.25">
      <c r="A175" s="1">
        <f t="shared" si="69"/>
        <v>2026</v>
      </c>
      <c r="B175" s="52">
        <f t="shared" si="58"/>
        <v>46082</v>
      </c>
      <c r="C175" s="1" t="str">
        <f t="shared" si="54"/>
        <v>jue</v>
      </c>
      <c r="D175" s="5">
        <f t="shared" si="72"/>
        <v>46086</v>
      </c>
      <c r="E175" s="30">
        <v>40.343758929207446</v>
      </c>
      <c r="F175" s="14">
        <f>+'Mono SPOT MAT'!M175/'Fisico SPOT MAT'!M175/24</f>
        <v>38.953499618526756</v>
      </c>
      <c r="G175" s="13">
        <f t="shared" si="70"/>
        <v>14.4</v>
      </c>
      <c r="H175" s="12">
        <f>+'Mono ASIG'!AA175</f>
        <v>62.463306690030919</v>
      </c>
      <c r="I175" s="12">
        <f t="shared" si="68"/>
        <v>49.97080571459589</v>
      </c>
      <c r="J175" s="12">
        <f t="shared" si="71"/>
        <v>14.4</v>
      </c>
      <c r="K175" s="155">
        <f>+'Mono SPOT MAT'!T175</f>
        <v>0</v>
      </c>
      <c r="L175" s="116"/>
      <c r="M175" s="116"/>
      <c r="N175" s="140">
        <f>+'Mono SPOT MAT'!S175/'Fisico SPOT MAT'!S175/'Fisico SPOT MAT'!E175</f>
        <v>15.305327715884953</v>
      </c>
      <c r="O175" s="116"/>
      <c r="R175">
        <v>0.9</v>
      </c>
      <c r="Y175" s="5">
        <f t="shared" si="31"/>
        <v>46086</v>
      </c>
      <c r="Z175" s="117">
        <f t="shared" si="56"/>
        <v>40.343758929207446</v>
      </c>
      <c r="AA175" s="117">
        <f t="shared" si="57"/>
        <v>37.507492003247982</v>
      </c>
      <c r="AB175" s="116">
        <v>1.446007615278774</v>
      </c>
      <c r="AC175" s="123"/>
      <c r="AD175" s="5"/>
      <c r="AE175" s="122"/>
      <c r="AF175" s="122"/>
      <c r="AG175" s="122"/>
      <c r="AH175" s="122"/>
      <c r="AI175" s="123"/>
      <c r="AJ175" s="123"/>
    </row>
    <row r="176" spans="1:36" x14ac:dyDescent="0.25">
      <c r="A176" s="1">
        <f t="shared" si="69"/>
        <v>2026</v>
      </c>
      <c r="B176" s="52">
        <f t="shared" si="58"/>
        <v>46082</v>
      </c>
      <c r="C176" s="1" t="str">
        <f t="shared" si="54"/>
        <v>vie</v>
      </c>
      <c r="D176" s="5">
        <f t="shared" si="72"/>
        <v>46087</v>
      </c>
      <c r="E176" s="30">
        <v>37.58081511409376</v>
      </c>
      <c r="F176" s="14">
        <f>+'Mono SPOT MAT'!M176/'Fisico SPOT MAT'!M176/24</f>
        <v>38.309149396428488</v>
      </c>
      <c r="G176" s="13">
        <f t="shared" si="70"/>
        <v>14.4</v>
      </c>
      <c r="H176" s="12">
        <f>+'Mono ASIG'!AA176</f>
        <v>68.653185540478333</v>
      </c>
      <c r="I176" s="12">
        <f t="shared" si="68"/>
        <v>56.160684565043304</v>
      </c>
      <c r="J176" s="12">
        <f t="shared" si="71"/>
        <v>14.4</v>
      </c>
      <c r="K176" s="155">
        <f>+'Mono SPOT MAT'!T176</f>
        <v>0</v>
      </c>
      <c r="L176" s="116"/>
      <c r="M176" s="116"/>
      <c r="N176" s="139">
        <f>+'Mono SPOT MAT'!S176/'Fisico SPOT MAT'!S176/'Fisico SPOT MAT'!E176</f>
        <v>15.321113512852419</v>
      </c>
      <c r="O176" s="116"/>
      <c r="R176">
        <v>0.9</v>
      </c>
      <c r="Y176" s="5">
        <f t="shared" ref="Y176:Y284" si="73">$D176</f>
        <v>46087</v>
      </c>
      <c r="Z176" s="117">
        <f t="shared" ref="Z176:Z200" si="74">+E176</f>
        <v>37.58081511409376</v>
      </c>
      <c r="AA176" s="117">
        <f t="shared" ref="AA176:AA200" si="75">+F176-AB176</f>
        <v>36.930478066915406</v>
      </c>
      <c r="AB176" s="116">
        <v>1.378671329513081</v>
      </c>
      <c r="AC176" s="123"/>
      <c r="AD176" s="5"/>
      <c r="AE176" s="122"/>
      <c r="AF176" s="122"/>
      <c r="AG176" s="122"/>
      <c r="AH176" s="122"/>
      <c r="AI176" s="123"/>
      <c r="AJ176" s="123"/>
    </row>
    <row r="177" spans="1:36" x14ac:dyDescent="0.25">
      <c r="A177" s="1">
        <f t="shared" si="69"/>
        <v>2026</v>
      </c>
      <c r="B177" s="52">
        <f t="shared" si="58"/>
        <v>46082</v>
      </c>
      <c r="C177" s="1" t="str">
        <f t="shared" si="54"/>
        <v>sáb</v>
      </c>
      <c r="D177" s="5">
        <f t="shared" si="72"/>
        <v>46088</v>
      </c>
      <c r="E177" s="30">
        <v>33.389054023348393</v>
      </c>
      <c r="F177" s="14">
        <f>+'Mono SPOT MAT'!M177/'Fisico SPOT MAT'!M177/24</f>
        <v>37.928164349662957</v>
      </c>
      <c r="G177" s="13">
        <f t="shared" si="70"/>
        <v>14.4</v>
      </c>
      <c r="H177" s="12">
        <f>+'Mono ASIG'!AA177</f>
        <v>74.006669738460275</v>
      </c>
      <c r="I177" s="12">
        <f t="shared" si="68"/>
        <v>61.514168763025246</v>
      </c>
      <c r="J177" s="12">
        <f t="shared" si="71"/>
        <v>14.4</v>
      </c>
      <c r="K177" s="155">
        <f>+'Mono SPOT MAT'!T177</f>
        <v>0</v>
      </c>
      <c r="L177" s="116"/>
      <c r="M177" s="116"/>
      <c r="N177" s="140">
        <f>+'Mono SPOT MAT'!S177/'Fisico SPOT MAT'!S177/'Fisico SPOT MAT'!E177</f>
        <v>15.256708994512367</v>
      </c>
      <c r="O177" s="116"/>
      <c r="R177">
        <v>0.9</v>
      </c>
      <c r="Y177" s="5">
        <f t="shared" si="73"/>
        <v>46088</v>
      </c>
      <c r="Z177" s="117">
        <f t="shared" si="74"/>
        <v>33.389054023348393</v>
      </c>
      <c r="AA177" s="117">
        <f t="shared" si="75"/>
        <v>36.955351968868399</v>
      </c>
      <c r="AB177" s="116">
        <v>0.97281238079455701</v>
      </c>
      <c r="AC177" s="123"/>
      <c r="AD177" s="5"/>
      <c r="AE177" s="122"/>
      <c r="AF177" s="122"/>
      <c r="AG177" s="122"/>
      <c r="AH177" s="122"/>
      <c r="AI177" s="123"/>
      <c r="AJ177" s="123"/>
    </row>
    <row r="178" spans="1:36" x14ac:dyDescent="0.25">
      <c r="A178" s="1">
        <f t="shared" si="69"/>
        <v>2026</v>
      </c>
      <c r="B178" s="52">
        <f t="shared" si="58"/>
        <v>46082</v>
      </c>
      <c r="C178" s="1" t="str">
        <f t="shared" si="54"/>
        <v>dom</v>
      </c>
      <c r="D178" s="5">
        <f t="shared" si="72"/>
        <v>46089</v>
      </c>
      <c r="E178" s="30">
        <v>30.592163983881672</v>
      </c>
      <c r="F178" s="14">
        <f>+'Mono SPOT MAT'!M178/'Fisico SPOT MAT'!M178/24</f>
        <v>37.601907171207394</v>
      </c>
      <c r="G178" s="13">
        <f t="shared" si="70"/>
        <v>14.4</v>
      </c>
      <c r="H178" s="12">
        <f>+'Mono ASIG'!AA178</f>
        <v>72.865185271100842</v>
      </c>
      <c r="I178" s="12">
        <f t="shared" si="68"/>
        <v>60.372684295665813</v>
      </c>
      <c r="J178" s="12">
        <f t="shared" si="71"/>
        <v>14.4</v>
      </c>
      <c r="K178" s="155">
        <f>+'Mono SPOT MAT'!T178</f>
        <v>0</v>
      </c>
      <c r="L178" s="116"/>
      <c r="M178" s="116"/>
      <c r="N178" s="139">
        <f>+'Mono SPOT MAT'!S178/'Fisico SPOT MAT'!S178/'Fisico SPOT MAT'!E178</f>
        <v>15.272888940476145</v>
      </c>
      <c r="O178" s="116"/>
      <c r="R178">
        <v>0.9</v>
      </c>
      <c r="Y178" s="5">
        <f t="shared" si="73"/>
        <v>46089</v>
      </c>
      <c r="Z178" s="117">
        <f t="shared" si="74"/>
        <v>30.592163983881672</v>
      </c>
      <c r="AA178" s="117">
        <f t="shared" si="75"/>
        <v>36.813317101347046</v>
      </c>
      <c r="AB178" s="116">
        <v>0.78859006986034963</v>
      </c>
      <c r="AC178" s="123"/>
      <c r="AD178" s="5"/>
      <c r="AE178" s="122"/>
      <c r="AF178" s="122"/>
      <c r="AG178" s="122"/>
      <c r="AH178" s="122"/>
      <c r="AI178" s="123"/>
      <c r="AJ178" s="123"/>
    </row>
    <row r="179" spans="1:36" x14ac:dyDescent="0.25">
      <c r="A179" s="1">
        <f t="shared" si="69"/>
        <v>2026</v>
      </c>
      <c r="B179" s="52">
        <f t="shared" si="58"/>
        <v>46082</v>
      </c>
      <c r="C179" s="1" t="str">
        <f t="shared" si="54"/>
        <v>lun</v>
      </c>
      <c r="D179" s="5">
        <f t="shared" si="72"/>
        <v>46090</v>
      </c>
      <c r="E179" s="30">
        <v>33.375228075718603</v>
      </c>
      <c r="F179" s="14">
        <f>+'Mono SPOT MAT'!M179/'Fisico SPOT MAT'!M179/24</f>
        <v>37.423552403000095</v>
      </c>
      <c r="G179" s="13">
        <f t="shared" si="70"/>
        <v>14.4</v>
      </c>
      <c r="H179" s="12">
        <f>+'Mono ASIG'!AA179</f>
        <v>68.466351358420837</v>
      </c>
      <c r="I179" s="12">
        <f t="shared" si="68"/>
        <v>55.973850382985809</v>
      </c>
      <c r="J179" s="12">
        <f t="shared" si="71"/>
        <v>14.4</v>
      </c>
      <c r="K179" s="155">
        <f>+'Mono SPOT MAT'!T179</f>
        <v>0</v>
      </c>
      <c r="L179" s="116"/>
      <c r="M179" s="116"/>
      <c r="N179" s="140">
        <f>+'Mono SPOT MAT'!S179/'Fisico SPOT MAT'!S179/'Fisico SPOT MAT'!E179</f>
        <v>15.253004455400831</v>
      </c>
      <c r="O179" s="116"/>
      <c r="R179">
        <v>0.9</v>
      </c>
      <c r="Y179" s="5">
        <f t="shared" si="73"/>
        <v>46090</v>
      </c>
      <c r="Z179" s="117">
        <f t="shared" si="74"/>
        <v>33.375228075718603</v>
      </c>
      <c r="AA179" s="117">
        <f t="shared" si="75"/>
        <v>36.351954191221779</v>
      </c>
      <c r="AB179" s="116">
        <v>1.0715982117783158</v>
      </c>
      <c r="AC179" s="123"/>
      <c r="AD179" s="5"/>
      <c r="AE179" s="122"/>
      <c r="AF179" s="122"/>
      <c r="AG179" s="122"/>
      <c r="AH179" s="122"/>
      <c r="AI179" s="123"/>
      <c r="AJ179" s="123"/>
    </row>
    <row r="180" spans="1:36" x14ac:dyDescent="0.25">
      <c r="A180" s="1">
        <f t="shared" si="69"/>
        <v>2026</v>
      </c>
      <c r="B180" s="52">
        <f t="shared" si="58"/>
        <v>46082</v>
      </c>
      <c r="C180" s="1" t="str">
        <f t="shared" si="54"/>
        <v>mar</v>
      </c>
      <c r="D180" s="5">
        <f t="shared" si="72"/>
        <v>46091</v>
      </c>
      <c r="E180" s="30">
        <v>38.141885039110598</v>
      </c>
      <c r="F180" s="14">
        <f>+'Mono SPOT MAT'!M180/'Fisico SPOT MAT'!M180/24</f>
        <v>38.577213051148071</v>
      </c>
      <c r="G180" s="13">
        <f t="shared" si="70"/>
        <v>14.4</v>
      </c>
      <c r="H180" s="12">
        <f>+'Mono ASIG'!AA180</f>
        <v>67.263404258177516</v>
      </c>
      <c r="I180" s="12">
        <f t="shared" si="68"/>
        <v>54.770903282742488</v>
      </c>
      <c r="J180" s="12">
        <f t="shared" si="71"/>
        <v>14.4</v>
      </c>
      <c r="K180" s="155">
        <f>+'Mono SPOT MAT'!T180</f>
        <v>0</v>
      </c>
      <c r="L180" s="116"/>
      <c r="M180" s="116"/>
      <c r="N180" s="139">
        <f>+'Mono SPOT MAT'!S180/'Fisico SPOT MAT'!S180/'Fisico SPOT MAT'!E180</f>
        <v>15.250392879249622</v>
      </c>
      <c r="O180" s="116"/>
      <c r="R180">
        <v>0.9</v>
      </c>
      <c r="Y180" s="5">
        <f t="shared" si="73"/>
        <v>46091</v>
      </c>
      <c r="Z180" s="117">
        <f t="shared" si="74"/>
        <v>38.141885039110598</v>
      </c>
      <c r="AA180" s="117">
        <f t="shared" si="75"/>
        <v>37.182307566175695</v>
      </c>
      <c r="AB180" s="116">
        <v>1.3949054849723759</v>
      </c>
      <c r="AC180" s="123"/>
      <c r="AD180" s="5"/>
      <c r="AE180" s="122"/>
      <c r="AF180" s="122"/>
      <c r="AG180" s="122"/>
      <c r="AH180" s="122"/>
      <c r="AI180" s="123"/>
      <c r="AJ180" s="123"/>
    </row>
    <row r="181" spans="1:36" x14ac:dyDescent="0.25">
      <c r="A181" s="1">
        <f t="shared" si="69"/>
        <v>2026</v>
      </c>
      <c r="B181" s="52">
        <f t="shared" si="58"/>
        <v>46082</v>
      </c>
      <c r="C181" s="1" t="str">
        <f t="shared" si="54"/>
        <v>mié</v>
      </c>
      <c r="D181" s="5">
        <f t="shared" si="72"/>
        <v>46092</v>
      </c>
      <c r="E181" s="30">
        <v>36.512985566012922</v>
      </c>
      <c r="F181" s="14">
        <f>+'Mono SPOT MAT'!M181/'Fisico SPOT MAT'!M181/24</f>
        <v>38.15422098067085</v>
      </c>
      <c r="G181" s="13">
        <f t="shared" si="70"/>
        <v>14.4</v>
      </c>
      <c r="H181" s="12">
        <f>+'Mono ASIG'!AA181</f>
        <v>70.529639955612879</v>
      </c>
      <c r="I181" s="12">
        <f t="shared" si="68"/>
        <v>58.037138980177851</v>
      </c>
      <c r="J181" s="12">
        <f t="shared" si="71"/>
        <v>14.4</v>
      </c>
      <c r="K181" s="155">
        <f>+'Mono SPOT MAT'!T181</f>
        <v>0</v>
      </c>
      <c r="L181" s="116"/>
      <c r="M181" s="116"/>
      <c r="N181" s="140">
        <f>+'Mono SPOT MAT'!S181/'Fisico SPOT MAT'!S181/'Fisico SPOT MAT'!E181</f>
        <v>15.250798493879641</v>
      </c>
      <c r="O181" s="116"/>
      <c r="R181">
        <v>0.9</v>
      </c>
      <c r="Y181" s="5">
        <f t="shared" si="73"/>
        <v>46092</v>
      </c>
      <c r="Z181" s="117">
        <f t="shared" si="74"/>
        <v>36.512985566012922</v>
      </c>
      <c r="AA181" s="117">
        <f t="shared" si="75"/>
        <v>36.775774610595704</v>
      </c>
      <c r="AB181" s="116">
        <v>1.3784463700751435</v>
      </c>
      <c r="AC181" s="123"/>
      <c r="AD181" s="5"/>
      <c r="AE181" s="122"/>
      <c r="AF181" s="122"/>
      <c r="AG181" s="122"/>
      <c r="AH181" s="122"/>
      <c r="AI181" s="123"/>
      <c r="AJ181" s="123"/>
    </row>
    <row r="182" spans="1:36" x14ac:dyDescent="0.25">
      <c r="A182" s="1">
        <f t="shared" si="69"/>
        <v>2026</v>
      </c>
      <c r="B182" s="52">
        <f t="shared" si="58"/>
        <v>46082</v>
      </c>
      <c r="C182" s="1" t="str">
        <f t="shared" si="54"/>
        <v>jue</v>
      </c>
      <c r="D182" s="5">
        <f t="shared" si="72"/>
        <v>46093</v>
      </c>
      <c r="E182" s="30">
        <v>40.316808570965897</v>
      </c>
      <c r="F182" s="14">
        <f>+'Mono SPOT MAT'!M182/'Fisico SPOT MAT'!M182/24</f>
        <v>38.265919121925137</v>
      </c>
      <c r="G182" s="13">
        <f t="shared" si="70"/>
        <v>14.4</v>
      </c>
      <c r="H182" s="12">
        <f>+'Mono ASIG'!AA182</f>
        <v>66.869304517470937</v>
      </c>
      <c r="I182" s="12">
        <f t="shared" si="68"/>
        <v>54.376803542035908</v>
      </c>
      <c r="J182" s="12">
        <f t="shared" si="71"/>
        <v>14.4</v>
      </c>
      <c r="K182" s="155">
        <f>+'Mono SPOT MAT'!T182</f>
        <v>0</v>
      </c>
      <c r="L182" s="116"/>
      <c r="M182" s="116"/>
      <c r="N182" s="139">
        <f>+'Mono SPOT MAT'!S182/'Fisico SPOT MAT'!S182/'Fisico SPOT MAT'!E182</f>
        <v>15.269356458228133</v>
      </c>
      <c r="O182" s="116"/>
      <c r="R182">
        <v>0.9</v>
      </c>
      <c r="Y182" s="5">
        <f t="shared" si="73"/>
        <v>46093</v>
      </c>
      <c r="Z182" s="117">
        <f t="shared" si="74"/>
        <v>40.316808570965897</v>
      </c>
      <c r="AA182" s="117">
        <f t="shared" si="75"/>
        <v>36.787941545320813</v>
      </c>
      <c r="AB182" s="116">
        <v>1.4779775766043228</v>
      </c>
      <c r="AC182" s="123"/>
      <c r="AD182" s="5"/>
      <c r="AE182" s="122"/>
      <c r="AF182" s="122"/>
      <c r="AG182" s="122"/>
      <c r="AH182" s="122"/>
      <c r="AI182" s="123"/>
      <c r="AJ182" s="123"/>
    </row>
    <row r="183" spans="1:36" x14ac:dyDescent="0.25">
      <c r="A183" s="1">
        <f t="shared" si="69"/>
        <v>2026</v>
      </c>
      <c r="B183" s="52">
        <f t="shared" si="58"/>
        <v>46082</v>
      </c>
      <c r="C183" s="1" t="str">
        <f t="shared" si="54"/>
        <v>vie</v>
      </c>
      <c r="D183" s="5">
        <f t="shared" si="72"/>
        <v>46094</v>
      </c>
      <c r="E183" s="30">
        <v>40.08117380613124</v>
      </c>
      <c r="F183" s="14">
        <f>+'Mono SPOT MAT'!M183/'Fisico SPOT MAT'!M183/24</f>
        <v>38.293940192154146</v>
      </c>
      <c r="G183" s="13">
        <f t="shared" si="70"/>
        <v>14.4</v>
      </c>
      <c r="H183" s="12">
        <f>+'Mono ASIG'!AA183</f>
        <v>66.206402687189595</v>
      </c>
      <c r="I183" s="12">
        <f t="shared" si="68"/>
        <v>53.713901711754566</v>
      </c>
      <c r="J183" s="12">
        <f t="shared" si="71"/>
        <v>14.4</v>
      </c>
      <c r="K183" s="155">
        <f>+'Mono SPOT MAT'!T183</f>
        <v>0</v>
      </c>
      <c r="L183" s="116"/>
      <c r="M183" s="116"/>
      <c r="N183" s="140">
        <f>+'Mono SPOT MAT'!S183/'Fisico SPOT MAT'!S183/'Fisico SPOT MAT'!E183</f>
        <v>15.258649206622827</v>
      </c>
      <c r="O183" s="116"/>
      <c r="R183">
        <v>0.9</v>
      </c>
      <c r="Y183" s="5">
        <f t="shared" si="73"/>
        <v>46094</v>
      </c>
      <c r="Z183" s="117">
        <f t="shared" si="74"/>
        <v>40.08117380613124</v>
      </c>
      <c r="AA183" s="117">
        <f t="shared" si="75"/>
        <v>36.755890189094195</v>
      </c>
      <c r="AB183" s="116">
        <v>1.5380500030599489</v>
      </c>
      <c r="AC183" s="123"/>
      <c r="AD183" s="5"/>
      <c r="AE183" s="122"/>
      <c r="AF183" s="122"/>
      <c r="AG183" s="122"/>
      <c r="AH183" s="122"/>
      <c r="AI183" s="123"/>
      <c r="AJ183" s="123"/>
    </row>
    <row r="184" spans="1:36" x14ac:dyDescent="0.25">
      <c r="A184" s="1">
        <f t="shared" si="69"/>
        <v>2026</v>
      </c>
      <c r="B184" s="52">
        <f t="shared" si="58"/>
        <v>46082</v>
      </c>
      <c r="C184" s="1" t="str">
        <f t="shared" si="54"/>
        <v>sáb</v>
      </c>
      <c r="D184" s="5">
        <f t="shared" si="72"/>
        <v>46095</v>
      </c>
      <c r="E184" s="30">
        <v>41.099345077709174</v>
      </c>
      <c r="F184" s="14">
        <f>+'Mono SPOT MAT'!M184/'Fisico SPOT MAT'!M184/24</f>
        <v>38.035799379184155</v>
      </c>
      <c r="G184" s="13">
        <f t="shared" si="70"/>
        <v>14.4</v>
      </c>
      <c r="H184" s="12">
        <f>+'Mono ASIG'!AA184</f>
        <v>74.884460158918415</v>
      </c>
      <c r="I184" s="12">
        <f t="shared" si="68"/>
        <v>62.391959183483387</v>
      </c>
      <c r="J184" s="12">
        <f t="shared" si="71"/>
        <v>14.4</v>
      </c>
      <c r="K184" s="155">
        <f>+'Mono SPOT MAT'!T184</f>
        <v>0</v>
      </c>
      <c r="L184" s="116"/>
      <c r="M184" s="116"/>
      <c r="N184" s="139">
        <f>+'Mono SPOT MAT'!S184/'Fisico SPOT MAT'!S184/'Fisico SPOT MAT'!E184</f>
        <v>15.194043899983541</v>
      </c>
      <c r="O184" s="116"/>
      <c r="R184">
        <v>0.9</v>
      </c>
      <c r="Y184" s="5">
        <f t="shared" si="73"/>
        <v>46095</v>
      </c>
      <c r="Z184" s="117">
        <f t="shared" si="74"/>
        <v>41.099345077709174</v>
      </c>
      <c r="AA184" s="117">
        <f t="shared" si="75"/>
        <v>36.289802821977688</v>
      </c>
      <c r="AB184" s="116">
        <v>1.7459965572064675</v>
      </c>
      <c r="AC184" s="123"/>
      <c r="AD184" s="5"/>
      <c r="AE184" s="122"/>
      <c r="AF184" s="122"/>
      <c r="AG184" s="122"/>
      <c r="AH184" s="122"/>
      <c r="AI184" s="123"/>
      <c r="AJ184" s="123"/>
    </row>
    <row r="185" spans="1:36" x14ac:dyDescent="0.25">
      <c r="A185" s="1">
        <f t="shared" si="69"/>
        <v>2026</v>
      </c>
      <c r="B185" s="52">
        <f t="shared" si="58"/>
        <v>46082</v>
      </c>
      <c r="C185" s="1" t="str">
        <f t="shared" si="54"/>
        <v>dom</v>
      </c>
      <c r="D185" s="5">
        <f t="shared" si="72"/>
        <v>46096</v>
      </c>
      <c r="E185" s="30">
        <v>34.18821653077233</v>
      </c>
      <c r="F185" s="14">
        <f>+'Mono SPOT MAT'!M185/'Fisico SPOT MAT'!M185/24</f>
        <v>38.868981254200726</v>
      </c>
      <c r="G185" s="13">
        <f t="shared" si="70"/>
        <v>14.4</v>
      </c>
      <c r="H185" s="12">
        <f>+'Mono ASIG'!AA185</f>
        <v>76.298922838892636</v>
      </c>
      <c r="I185" s="12">
        <f t="shared" si="68"/>
        <v>63.806421863457608</v>
      </c>
      <c r="J185" s="12">
        <f t="shared" si="71"/>
        <v>14.4</v>
      </c>
      <c r="K185" s="155">
        <f>+'Mono SPOT MAT'!T185</f>
        <v>0</v>
      </c>
      <c r="L185" s="116"/>
      <c r="M185" s="116"/>
      <c r="N185" s="140">
        <f>+'Mono SPOT MAT'!S185/'Fisico SPOT MAT'!S185/'Fisico SPOT MAT'!E185</f>
        <v>15.180782081117876</v>
      </c>
      <c r="O185" s="116"/>
      <c r="R185">
        <v>0.9</v>
      </c>
      <c r="Y185" s="5">
        <f t="shared" si="73"/>
        <v>46096</v>
      </c>
      <c r="Z185" s="117">
        <f t="shared" si="74"/>
        <v>34.18821653077233</v>
      </c>
      <c r="AA185" s="117">
        <f t="shared" si="75"/>
        <v>37.656333596041272</v>
      </c>
      <c r="AB185" s="116">
        <v>1.2126476581594532</v>
      </c>
      <c r="AC185" s="123"/>
      <c r="AD185" s="5"/>
      <c r="AE185" s="122"/>
      <c r="AF185" s="122"/>
      <c r="AG185" s="122"/>
      <c r="AH185" s="122"/>
      <c r="AI185" s="123"/>
      <c r="AJ185" s="123"/>
    </row>
    <row r="186" spans="1:36" x14ac:dyDescent="0.25">
      <c r="A186" s="1">
        <f t="shared" si="69"/>
        <v>2026</v>
      </c>
      <c r="B186" s="52">
        <f t="shared" si="58"/>
        <v>46082</v>
      </c>
      <c r="C186" s="1" t="str">
        <f t="shared" si="54"/>
        <v>lun</v>
      </c>
      <c r="D186" s="5">
        <f t="shared" si="72"/>
        <v>46097</v>
      </c>
      <c r="E186" s="30">
        <v>96.755517077751932</v>
      </c>
      <c r="F186" s="14">
        <f>+'Mono SPOT MAT'!M186/'Fisico SPOT MAT'!M186/24</f>
        <v>47.710852136411717</v>
      </c>
      <c r="G186" s="13">
        <f t="shared" si="70"/>
        <v>14.4</v>
      </c>
      <c r="H186" s="12">
        <f>+'Mono ASIG'!AA186</f>
        <v>65.117506141625697</v>
      </c>
      <c r="I186" s="12">
        <f t="shared" si="68"/>
        <v>52.625005166190668</v>
      </c>
      <c r="J186" s="12">
        <f t="shared" si="71"/>
        <v>14.4</v>
      </c>
      <c r="K186" s="155">
        <f>+'Mono SPOT MAT'!T186</f>
        <v>0</v>
      </c>
      <c r="L186" s="116"/>
      <c r="M186" s="116"/>
      <c r="N186" s="139">
        <f>+'Mono SPOT MAT'!S186/'Fisico SPOT MAT'!S186/'Fisico SPOT MAT'!E186</f>
        <v>15.16785542632929</v>
      </c>
      <c r="O186" s="116"/>
      <c r="R186">
        <v>0.9</v>
      </c>
      <c r="Y186" s="5">
        <f t="shared" si="73"/>
        <v>46097</v>
      </c>
      <c r="Z186" s="117">
        <f t="shared" si="74"/>
        <v>96.755517077751932</v>
      </c>
      <c r="AA186" s="117">
        <f t="shared" si="75"/>
        <v>40.872599402603001</v>
      </c>
      <c r="AB186" s="116">
        <v>6.8382527338087167</v>
      </c>
      <c r="AC186" s="123"/>
      <c r="AD186" s="5"/>
      <c r="AE186" s="122"/>
      <c r="AF186" s="122"/>
      <c r="AG186" s="122"/>
      <c r="AH186" s="122"/>
      <c r="AI186" s="123"/>
      <c r="AJ186" s="123"/>
    </row>
    <row r="187" spans="1:36" x14ac:dyDescent="0.25">
      <c r="A187" s="1">
        <f t="shared" si="69"/>
        <v>2026</v>
      </c>
      <c r="B187" s="52">
        <f t="shared" si="58"/>
        <v>46082</v>
      </c>
      <c r="C187" s="1" t="str">
        <f t="shared" si="54"/>
        <v>mar</v>
      </c>
      <c r="D187" s="5">
        <f t="shared" si="72"/>
        <v>46098</v>
      </c>
      <c r="E187" s="30">
        <v>97.406515154293118</v>
      </c>
      <c r="F187" s="14">
        <f>+'Mono SPOT MAT'!M187/'Fisico SPOT MAT'!M187/24</f>
        <v>45.941699189911965</v>
      </c>
      <c r="G187" s="13">
        <f t="shared" si="70"/>
        <v>14.4</v>
      </c>
      <c r="H187" s="12">
        <f>+'Mono ASIG'!AA187</f>
        <v>70.61126114541463</v>
      </c>
      <c r="I187" s="12">
        <f>+H187-J187*$P$11/$Q$11/$W$11</f>
        <v>58.118760169979602</v>
      </c>
      <c r="J187" s="12">
        <f t="shared" si="71"/>
        <v>14.4</v>
      </c>
      <c r="K187" s="155">
        <f>+'Mono SPOT MAT'!T187</f>
        <v>0</v>
      </c>
      <c r="L187" s="116"/>
      <c r="M187" s="116"/>
      <c r="N187" s="140">
        <f>+'Mono SPOT MAT'!S187/'Fisico SPOT MAT'!S187/'Fisico SPOT MAT'!E187</f>
        <v>15.184847712462444</v>
      </c>
      <c r="O187" s="116"/>
      <c r="R187">
        <v>0.9</v>
      </c>
      <c r="Y187" s="5">
        <f t="shared" si="73"/>
        <v>46098</v>
      </c>
      <c r="Z187" s="117">
        <f t="shared" si="74"/>
        <v>97.406515154293118</v>
      </c>
      <c r="AA187" s="117">
        <f t="shared" si="75"/>
        <v>39.29696295382066</v>
      </c>
      <c r="AB187" s="116">
        <v>6.6447362360913074</v>
      </c>
      <c r="AC187" s="123"/>
      <c r="AD187" s="5"/>
      <c r="AE187" s="122"/>
      <c r="AF187" s="122"/>
      <c r="AG187" s="122"/>
      <c r="AH187" s="122"/>
      <c r="AI187" s="123"/>
      <c r="AJ187" s="123"/>
    </row>
    <row r="188" spans="1:36" x14ac:dyDescent="0.25">
      <c r="A188" s="1">
        <f t="shared" si="69"/>
        <v>2026</v>
      </c>
      <c r="B188" s="52">
        <f t="shared" si="58"/>
        <v>46082</v>
      </c>
      <c r="C188" s="1" t="str">
        <f t="shared" si="54"/>
        <v>mié</v>
      </c>
      <c r="D188" s="5">
        <f t="shared" si="72"/>
        <v>46099</v>
      </c>
      <c r="E188" s="30">
        <v>46.71228360495342</v>
      </c>
      <c r="F188" s="14">
        <f>+'Mono SPOT MAT'!M188/'Fisico SPOT MAT'!M188/24</f>
        <v>40.747939092978427</v>
      </c>
      <c r="G188" s="13">
        <f t="shared" si="70"/>
        <v>14.4</v>
      </c>
      <c r="H188" s="12">
        <f>+'Mono ASIG'!AA188</f>
        <v>70.891728343724694</v>
      </c>
      <c r="I188" s="12">
        <f t="shared" ref="I188:I201" si="76">+H188-J188*$P$11/$Q$11/$W$11</f>
        <v>58.399227368289665</v>
      </c>
      <c r="J188" s="12">
        <f t="shared" si="71"/>
        <v>14.4</v>
      </c>
      <c r="K188" s="155">
        <f>+'Mono SPOT MAT'!T188</f>
        <v>0</v>
      </c>
      <c r="L188" s="116"/>
      <c r="M188" s="116"/>
      <c r="N188" s="139">
        <f>+'Mono SPOT MAT'!S188/'Fisico SPOT MAT'!S188/'Fisico SPOT MAT'!E188</f>
        <v>15.169587852063483</v>
      </c>
      <c r="O188" s="116"/>
      <c r="R188">
        <v>0.9</v>
      </c>
      <c r="Y188" s="5">
        <f t="shared" si="73"/>
        <v>46099</v>
      </c>
      <c r="Z188" s="117">
        <f t="shared" si="74"/>
        <v>46.71228360495342</v>
      </c>
      <c r="AA188" s="117">
        <f t="shared" si="75"/>
        <v>39.102839295938615</v>
      </c>
      <c r="AB188" s="116">
        <v>1.6450997970398149</v>
      </c>
      <c r="AC188" s="123"/>
      <c r="AD188" s="5"/>
      <c r="AE188" s="122"/>
      <c r="AF188" s="122"/>
      <c r="AG188" s="122"/>
      <c r="AH188" s="122"/>
      <c r="AI188" s="123"/>
      <c r="AJ188" s="123"/>
    </row>
    <row r="189" spans="1:36" x14ac:dyDescent="0.25">
      <c r="A189" s="1">
        <f t="shared" ref="A189:A196" si="77">YEAR(D189)</f>
        <v>2026</v>
      </c>
      <c r="B189" s="52">
        <f t="shared" si="58"/>
        <v>46082</v>
      </c>
      <c r="C189" s="1" t="str">
        <f t="shared" si="54"/>
        <v>jue</v>
      </c>
      <c r="D189" s="5">
        <f t="shared" si="72"/>
        <v>46100</v>
      </c>
      <c r="E189" s="30">
        <v>46.967972487293117</v>
      </c>
      <c r="F189" s="14">
        <f>+'Mono SPOT MAT'!M189/'Fisico SPOT MAT'!M189/24</f>
        <v>40.546487947956287</v>
      </c>
      <c r="G189" s="13">
        <f t="shared" si="70"/>
        <v>14.4</v>
      </c>
      <c r="H189" s="12">
        <f>+'Mono ASIG'!AA189</f>
        <v>69.970572844870176</v>
      </c>
      <c r="I189" s="12">
        <f>+H189-J189*$P$11/$Q$11/$W$11</f>
        <v>57.478071869435148</v>
      </c>
      <c r="J189" s="12">
        <f t="shared" si="71"/>
        <v>14.4</v>
      </c>
      <c r="K189" s="155">
        <f>+'Mono SPOT MAT'!T189</f>
        <v>0</v>
      </c>
      <c r="L189" s="116"/>
      <c r="M189" s="116"/>
      <c r="N189" s="140">
        <f>+'Mono SPOT MAT'!S189/'Fisico SPOT MAT'!S189/'Fisico SPOT MAT'!E189</f>
        <v>15.234908929325005</v>
      </c>
      <c r="O189" s="116"/>
      <c r="R189">
        <v>0.9</v>
      </c>
      <c r="Y189" s="5">
        <f t="shared" si="73"/>
        <v>46100</v>
      </c>
      <c r="Z189" s="117">
        <f t="shared" si="74"/>
        <v>46.967972487293117</v>
      </c>
      <c r="AA189" s="117">
        <f t="shared" si="75"/>
        <v>39.172046438056164</v>
      </c>
      <c r="AB189" s="116">
        <v>1.3744415099001228</v>
      </c>
      <c r="AC189" s="123"/>
      <c r="AD189" s="5"/>
      <c r="AE189" s="122"/>
      <c r="AF189" s="122"/>
      <c r="AG189" s="122"/>
      <c r="AH189" s="122"/>
      <c r="AI189" s="123"/>
      <c r="AJ189" s="123"/>
    </row>
    <row r="190" spans="1:36" x14ac:dyDescent="0.25">
      <c r="A190" s="1">
        <f t="shared" si="77"/>
        <v>2026</v>
      </c>
      <c r="B190" s="52">
        <f t="shared" si="58"/>
        <v>46082</v>
      </c>
      <c r="C190" s="1" t="str">
        <f t="shared" si="54"/>
        <v>vie</v>
      </c>
      <c r="D190" s="5">
        <f t="shared" si="72"/>
        <v>46101</v>
      </c>
      <c r="E190" s="30">
        <v>86.121977379141512</v>
      </c>
      <c r="F190" s="14">
        <f>+'Mono SPOT MAT'!M190/'Fisico SPOT MAT'!M190/24</f>
        <v>44.505709233195574</v>
      </c>
      <c r="G190" s="13">
        <f t="shared" si="70"/>
        <v>14.4</v>
      </c>
      <c r="H190" s="12">
        <f>+'Mono ASIG'!AA190</f>
        <v>63.035309105945544</v>
      </c>
      <c r="I190" s="12">
        <f t="shared" si="76"/>
        <v>50.542808130510515</v>
      </c>
      <c r="J190" s="12">
        <f t="shared" si="71"/>
        <v>14.4</v>
      </c>
      <c r="K190" s="155">
        <f>+'Mono SPOT MAT'!T190</f>
        <v>0</v>
      </c>
      <c r="L190" s="116"/>
      <c r="M190" s="116"/>
      <c r="N190" s="139">
        <f>+'Mono SPOT MAT'!S190/'Fisico SPOT MAT'!S190/'Fisico SPOT MAT'!E190</f>
        <v>15.276439946193063</v>
      </c>
      <c r="O190" s="116"/>
      <c r="R190">
        <v>0.9</v>
      </c>
      <c r="Y190" s="5">
        <f t="shared" si="73"/>
        <v>46101</v>
      </c>
      <c r="Z190" s="117">
        <f t="shared" si="74"/>
        <v>86.121977379141512</v>
      </c>
      <c r="AA190" s="117">
        <f t="shared" si="75"/>
        <v>39.785447873899734</v>
      </c>
      <c r="AB190" s="116">
        <v>4.7202613592958373</v>
      </c>
      <c r="AC190" s="123"/>
      <c r="AD190" s="5"/>
      <c r="AE190" s="122"/>
      <c r="AF190" s="122"/>
      <c r="AG190" s="122"/>
      <c r="AH190" s="122"/>
      <c r="AI190" s="123"/>
      <c r="AJ190" s="123"/>
    </row>
    <row r="191" spans="1:36" x14ac:dyDescent="0.25">
      <c r="A191" s="1">
        <f t="shared" si="77"/>
        <v>2026</v>
      </c>
      <c r="B191" s="52">
        <f t="shared" si="58"/>
        <v>46082</v>
      </c>
      <c r="C191" s="1" t="str">
        <f t="shared" si="54"/>
        <v>sáb</v>
      </c>
      <c r="D191" s="5">
        <f t="shared" si="72"/>
        <v>46102</v>
      </c>
      <c r="E191" s="30">
        <v>42.068737287987986</v>
      </c>
      <c r="F191" s="14">
        <f>+'Mono SPOT MAT'!M191/'Fisico SPOT MAT'!M191/24</f>
        <v>40.573737994008049</v>
      </c>
      <c r="G191" s="13">
        <f t="shared" si="70"/>
        <v>14.4</v>
      </c>
      <c r="H191" s="12">
        <f>+'Mono ASIG'!AA191</f>
        <v>70.595226387048129</v>
      </c>
      <c r="I191" s="12">
        <f t="shared" si="76"/>
        <v>58.1027254116131</v>
      </c>
      <c r="J191" s="12">
        <f t="shared" si="71"/>
        <v>14.4</v>
      </c>
      <c r="K191" s="155">
        <f>+'Mono SPOT MAT'!T191</f>
        <v>0</v>
      </c>
      <c r="L191" s="116"/>
      <c r="M191" s="116"/>
      <c r="N191" s="140">
        <f>+'Mono SPOT MAT'!S191/'Fisico SPOT MAT'!S191/'Fisico SPOT MAT'!E191</f>
        <v>15.281075205804848</v>
      </c>
      <c r="O191" s="116"/>
      <c r="R191">
        <v>0.9</v>
      </c>
      <c r="Y191" s="5">
        <f t="shared" si="73"/>
        <v>46102</v>
      </c>
      <c r="Z191" s="117">
        <f t="shared" si="74"/>
        <v>42.068737287987986</v>
      </c>
      <c r="AA191" s="117">
        <f t="shared" si="75"/>
        <v>39.191941886151881</v>
      </c>
      <c r="AB191" s="116">
        <v>1.3817961078561709</v>
      </c>
      <c r="AC191" s="123"/>
      <c r="AD191" s="5"/>
      <c r="AE191" s="122"/>
      <c r="AF191" s="122"/>
      <c r="AG191" s="122"/>
      <c r="AH191" s="122"/>
      <c r="AI191" s="123"/>
      <c r="AJ191" s="123"/>
    </row>
    <row r="192" spans="1:36" x14ac:dyDescent="0.25">
      <c r="A192" s="1">
        <f t="shared" si="77"/>
        <v>2026</v>
      </c>
      <c r="B192" s="52">
        <f t="shared" si="58"/>
        <v>46082</v>
      </c>
      <c r="C192" s="1" t="str">
        <f t="shared" si="54"/>
        <v>dom</v>
      </c>
      <c r="D192" s="5">
        <f t="shared" si="72"/>
        <v>46103</v>
      </c>
      <c r="E192" s="30">
        <v>35.97697965420047</v>
      </c>
      <c r="F192" s="14">
        <f>+'Mono SPOT MAT'!M192/'Fisico SPOT MAT'!M192/24</f>
        <v>40.438252844751297</v>
      </c>
      <c r="G192" s="13">
        <f t="shared" si="70"/>
        <v>14.4</v>
      </c>
      <c r="H192" s="12">
        <f>+'Mono ASIG'!AA192</f>
        <v>80.954540923968622</v>
      </c>
      <c r="I192" s="12">
        <f t="shared" si="76"/>
        <v>68.462039948533601</v>
      </c>
      <c r="J192" s="12">
        <f t="shared" si="71"/>
        <v>14.4</v>
      </c>
      <c r="K192" s="155">
        <f>+'Mono SPOT MAT'!T192</f>
        <v>0</v>
      </c>
      <c r="L192" s="116"/>
      <c r="M192" s="116"/>
      <c r="N192" s="139">
        <f>+'Mono SPOT MAT'!S192/'Fisico SPOT MAT'!S192/'Fisico SPOT MAT'!E192</f>
        <v>15.295922923014173</v>
      </c>
      <c r="O192" s="116"/>
      <c r="R192">
        <v>0.9</v>
      </c>
      <c r="Y192" s="5">
        <f t="shared" si="73"/>
        <v>46103</v>
      </c>
      <c r="Z192" s="117">
        <f t="shared" si="74"/>
        <v>35.97697965420047</v>
      </c>
      <c r="AA192" s="117">
        <f t="shared" si="75"/>
        <v>39.448797532507015</v>
      </c>
      <c r="AB192" s="116">
        <v>0.98945531224428096</v>
      </c>
      <c r="AC192" s="123"/>
      <c r="AD192" s="5"/>
      <c r="AE192" s="122"/>
      <c r="AF192" s="122"/>
      <c r="AG192" s="122"/>
      <c r="AH192" s="122"/>
      <c r="AI192" s="123"/>
      <c r="AJ192" s="123"/>
    </row>
    <row r="193" spans="1:36" x14ac:dyDescent="0.25">
      <c r="A193" s="1">
        <f t="shared" si="77"/>
        <v>2026</v>
      </c>
      <c r="B193" s="52">
        <f t="shared" si="58"/>
        <v>46082</v>
      </c>
      <c r="C193" s="1" t="str">
        <f t="shared" si="54"/>
        <v>lun</v>
      </c>
      <c r="D193" s="5">
        <f t="shared" si="72"/>
        <v>46104</v>
      </c>
      <c r="E193" s="30">
        <v>46.08479760902582</v>
      </c>
      <c r="F193" s="14">
        <f>+'Mono SPOT MAT'!M193/'Fisico SPOT MAT'!M193/24</f>
        <v>42.164499956014637</v>
      </c>
      <c r="G193" s="13">
        <f t="shared" si="70"/>
        <v>14.4</v>
      </c>
      <c r="H193" s="12">
        <f>+'Mono ASIG'!AA193</f>
        <v>75.740300353626836</v>
      </c>
      <c r="I193" s="12">
        <f t="shared" si="76"/>
        <v>63.247799378191807</v>
      </c>
      <c r="J193" s="12">
        <f t="shared" si="71"/>
        <v>14.4</v>
      </c>
      <c r="K193" s="155">
        <f>+'Mono SPOT MAT'!T193</f>
        <v>0</v>
      </c>
      <c r="L193" s="116"/>
      <c r="M193" s="116"/>
      <c r="N193" s="140">
        <f>+'Mono SPOT MAT'!S193/'Fisico SPOT MAT'!S193/'Fisico SPOT MAT'!E193</f>
        <v>15.184456796782435</v>
      </c>
      <c r="O193" s="116"/>
      <c r="R193">
        <v>0.9</v>
      </c>
      <c r="Y193" s="5">
        <f t="shared" si="73"/>
        <v>46104</v>
      </c>
      <c r="Z193" s="117">
        <f t="shared" si="74"/>
        <v>46.08479760902582</v>
      </c>
      <c r="AA193" s="117">
        <f t="shared" si="75"/>
        <v>40.891888445283897</v>
      </c>
      <c r="AB193" s="116">
        <v>1.2726115107307394</v>
      </c>
      <c r="AC193" s="123"/>
      <c r="AD193" s="5"/>
      <c r="AE193" s="122"/>
      <c r="AF193" s="122"/>
      <c r="AG193" s="122"/>
      <c r="AH193" s="122"/>
      <c r="AI193" s="123"/>
      <c r="AJ193" s="123"/>
    </row>
    <row r="194" spans="1:36" x14ac:dyDescent="0.25">
      <c r="A194" s="1">
        <f t="shared" si="77"/>
        <v>2026</v>
      </c>
      <c r="B194" s="52">
        <f t="shared" si="58"/>
        <v>46082</v>
      </c>
      <c r="C194" s="1" t="str">
        <f t="shared" si="54"/>
        <v>mar</v>
      </c>
      <c r="D194" s="5">
        <f t="shared" si="72"/>
        <v>46105</v>
      </c>
      <c r="E194" s="30">
        <v>36.7333155653074</v>
      </c>
      <c r="F194" s="14">
        <f>+'Mono SPOT MAT'!M194/'Fisico SPOT MAT'!M194/24</f>
        <v>40.426565088239506</v>
      </c>
      <c r="G194" s="13">
        <f t="shared" si="70"/>
        <v>14.4</v>
      </c>
      <c r="H194" s="12">
        <f>+'Mono ASIG'!AA194</f>
        <v>76.038000956731196</v>
      </c>
      <c r="I194" s="12">
        <f t="shared" si="76"/>
        <v>63.545499981296167</v>
      </c>
      <c r="J194" s="12">
        <f t="shared" si="71"/>
        <v>14.4</v>
      </c>
      <c r="K194" s="155">
        <f>+'Mono SPOT MAT'!T194</f>
        <v>0</v>
      </c>
      <c r="L194" s="116"/>
      <c r="M194" s="116"/>
      <c r="N194" s="139">
        <f>+'Mono SPOT MAT'!S194/'Fisico SPOT MAT'!S194/'Fisico SPOT MAT'!E194</f>
        <v>15.19073761783314</v>
      </c>
      <c r="O194" s="116"/>
      <c r="R194">
        <v>0.9</v>
      </c>
      <c r="Y194" s="5">
        <f t="shared" si="73"/>
        <v>46105</v>
      </c>
      <c r="Z194" s="117">
        <f t="shared" si="74"/>
        <v>36.7333155653074</v>
      </c>
      <c r="AA194" s="117">
        <f t="shared" si="75"/>
        <v>39.468246564781026</v>
      </c>
      <c r="AB194" s="116">
        <v>0.95831852345848234</v>
      </c>
      <c r="AC194" s="123"/>
      <c r="AD194" s="5"/>
      <c r="AE194" s="122"/>
      <c r="AF194" s="122"/>
      <c r="AG194" s="122"/>
      <c r="AH194" s="122"/>
      <c r="AI194" s="123"/>
      <c r="AJ194" s="123"/>
    </row>
    <row r="195" spans="1:36" x14ac:dyDescent="0.25">
      <c r="A195" s="1">
        <f t="shared" si="77"/>
        <v>2026</v>
      </c>
      <c r="B195" s="52">
        <f t="shared" si="58"/>
        <v>46082</v>
      </c>
      <c r="C195" s="1" t="str">
        <f t="shared" si="54"/>
        <v>mié</v>
      </c>
      <c r="D195" s="5">
        <f t="shared" si="72"/>
        <v>46106</v>
      </c>
      <c r="E195" s="30">
        <v>41.02725159195375</v>
      </c>
      <c r="F195" s="14">
        <f>+'Mono SPOT MAT'!M195/'Fisico SPOT MAT'!M195/24</f>
        <v>39.721129950906551</v>
      </c>
      <c r="G195" s="13">
        <f t="shared" si="70"/>
        <v>14.4</v>
      </c>
      <c r="H195" s="12">
        <f>+'Mono ASIG'!AA195</f>
        <v>71.182513994667872</v>
      </c>
      <c r="I195" s="12">
        <f t="shared" si="76"/>
        <v>58.690013019232843</v>
      </c>
      <c r="J195" s="12">
        <f t="shared" si="71"/>
        <v>14.4</v>
      </c>
      <c r="K195" s="155">
        <f>+'Mono SPOT MAT'!T195</f>
        <v>0</v>
      </c>
      <c r="L195" s="116"/>
      <c r="M195" s="116"/>
      <c r="N195" s="140">
        <f>+'Mono SPOT MAT'!S195/'Fisico SPOT MAT'!S195/'Fisico SPOT MAT'!E195</f>
        <v>15.162978558139789</v>
      </c>
      <c r="O195" s="116"/>
      <c r="R195">
        <v>0.9</v>
      </c>
      <c r="Y195" s="5">
        <f t="shared" si="73"/>
        <v>46106</v>
      </c>
      <c r="Z195" s="117">
        <f t="shared" si="74"/>
        <v>41.02725159195375</v>
      </c>
      <c r="AA195" s="117">
        <f t="shared" si="75"/>
        <v>38.281818878810618</v>
      </c>
      <c r="AB195" s="116">
        <v>1.4393110720959343</v>
      </c>
      <c r="AC195" s="123"/>
      <c r="AD195" s="5"/>
      <c r="AE195" s="122"/>
      <c r="AF195" s="122"/>
      <c r="AG195" s="122"/>
      <c r="AH195" s="122"/>
      <c r="AI195" s="123"/>
      <c r="AJ195" s="123"/>
    </row>
    <row r="196" spans="1:36" x14ac:dyDescent="0.25">
      <c r="A196" s="1">
        <f t="shared" si="77"/>
        <v>2026</v>
      </c>
      <c r="B196" s="52">
        <f t="shared" si="58"/>
        <v>46082</v>
      </c>
      <c r="C196" s="1" t="str">
        <f t="shared" si="54"/>
        <v>jue</v>
      </c>
      <c r="D196" s="5">
        <f t="shared" si="72"/>
        <v>46107</v>
      </c>
      <c r="E196" s="30">
        <v>45.984765504365022</v>
      </c>
      <c r="F196" s="14">
        <f>+'Mono SPOT MAT'!M196/'Fisico SPOT MAT'!M196/24</f>
        <v>38.545910991270816</v>
      </c>
      <c r="G196" s="13">
        <f t="shared" si="70"/>
        <v>14.4</v>
      </c>
      <c r="H196" s="12">
        <f>+'Mono ASIG'!AA196</f>
        <v>66.646208655146921</v>
      </c>
      <c r="I196" s="12">
        <f t="shared" si="76"/>
        <v>54.153707679711893</v>
      </c>
      <c r="J196" s="12">
        <f t="shared" si="71"/>
        <v>14.4</v>
      </c>
      <c r="K196" s="155">
        <f>+'Mono SPOT MAT'!T196</f>
        <v>0</v>
      </c>
      <c r="L196" s="116"/>
      <c r="M196" s="116"/>
      <c r="N196" s="139">
        <f>+'Mono SPOT MAT'!S196/'Fisico SPOT MAT'!S196/'Fisico SPOT MAT'!E196</f>
        <v>15.151668194324678</v>
      </c>
      <c r="O196" s="116"/>
      <c r="R196">
        <v>0.9</v>
      </c>
      <c r="Y196" s="5">
        <f t="shared" si="73"/>
        <v>46107</v>
      </c>
      <c r="Z196" s="117">
        <f t="shared" si="74"/>
        <v>45.984765504365022</v>
      </c>
      <c r="AA196" s="117">
        <f t="shared" si="75"/>
        <v>36.804214973863544</v>
      </c>
      <c r="AB196" s="116">
        <v>1.7416960174072682</v>
      </c>
      <c r="AC196" s="123"/>
      <c r="AD196" s="5"/>
      <c r="AE196" s="122"/>
      <c r="AF196" s="122"/>
      <c r="AG196" s="122"/>
      <c r="AH196" s="122"/>
      <c r="AI196" s="123"/>
      <c r="AJ196" s="123"/>
    </row>
    <row r="197" spans="1:36" x14ac:dyDescent="0.25">
      <c r="A197" s="1">
        <f t="shared" ref="A197:A200" si="78">YEAR(D197)</f>
        <v>2026</v>
      </c>
      <c r="B197" s="52">
        <f t="shared" si="58"/>
        <v>46082</v>
      </c>
      <c r="C197" s="1" t="str">
        <f t="shared" si="54"/>
        <v>vie</v>
      </c>
      <c r="D197" s="5">
        <f t="shared" si="72"/>
        <v>46108</v>
      </c>
      <c r="E197" s="30">
        <v>47.939142866678488</v>
      </c>
      <c r="F197" s="14">
        <f>+'Mono SPOT MAT'!M197/'Fisico SPOT MAT'!M197/24</f>
        <v>39.699904331133922</v>
      </c>
      <c r="G197" s="13">
        <f t="shared" si="70"/>
        <v>14.4</v>
      </c>
      <c r="H197" s="12">
        <f>+'Mono ASIG'!AA197</f>
        <v>65.571829258481145</v>
      </c>
      <c r="I197" s="12">
        <f t="shared" si="76"/>
        <v>53.079328283046117</v>
      </c>
      <c r="J197" s="12">
        <f t="shared" si="71"/>
        <v>14.4</v>
      </c>
      <c r="K197" s="155">
        <f>+'Mono SPOT MAT'!T197</f>
        <v>0</v>
      </c>
      <c r="L197" s="116"/>
      <c r="M197" s="116"/>
      <c r="N197" s="140">
        <f>+'Mono SPOT MAT'!S197/'Fisico SPOT MAT'!S197/'Fisico SPOT MAT'!E197</f>
        <v>15.150540883869253</v>
      </c>
      <c r="O197" s="116"/>
      <c r="R197">
        <v>0.9</v>
      </c>
      <c r="Y197" s="5">
        <f t="shared" si="73"/>
        <v>46108</v>
      </c>
      <c r="Z197" s="117">
        <f t="shared" si="74"/>
        <v>47.939142866678488</v>
      </c>
      <c r="AA197" s="117">
        <f t="shared" si="75"/>
        <v>37.949031205717958</v>
      </c>
      <c r="AB197" s="116">
        <v>1.7508731254159648</v>
      </c>
      <c r="AC197" s="123"/>
      <c r="AD197" s="5"/>
      <c r="AE197" s="122"/>
      <c r="AF197" s="122"/>
      <c r="AG197" s="122"/>
      <c r="AH197" s="122"/>
      <c r="AI197" s="123"/>
      <c r="AJ197" s="123"/>
    </row>
    <row r="198" spans="1:36" x14ac:dyDescent="0.25">
      <c r="A198" s="1">
        <f t="shared" si="78"/>
        <v>2026</v>
      </c>
      <c r="B198" s="52">
        <f t="shared" si="58"/>
        <v>46082</v>
      </c>
      <c r="C198" s="1" t="str">
        <f t="shared" si="54"/>
        <v>sáb</v>
      </c>
      <c r="D198" s="5">
        <f t="shared" si="72"/>
        <v>46109</v>
      </c>
      <c r="E198" s="30">
        <v>51.770915739603716</v>
      </c>
      <c r="F198" s="14">
        <f>+'Mono SPOT MAT'!M198/'Fisico SPOT MAT'!M198/24</f>
        <v>40.181832557771621</v>
      </c>
      <c r="G198" s="13">
        <f t="shared" si="70"/>
        <v>14.4</v>
      </c>
      <c r="H198" s="12">
        <f>+'Mono ASIG'!AA198</f>
        <v>65.567261477900772</v>
      </c>
      <c r="I198" s="12">
        <f t="shared" si="76"/>
        <v>53.074760502465743</v>
      </c>
      <c r="J198" s="12">
        <f t="shared" si="71"/>
        <v>14.4</v>
      </c>
      <c r="K198" s="155">
        <f>+'Mono SPOT MAT'!T198</f>
        <v>0</v>
      </c>
      <c r="L198" s="116"/>
      <c r="M198" s="116"/>
      <c r="N198" s="139">
        <f>+'Mono SPOT MAT'!S198/'Fisico SPOT MAT'!S198/'Fisico SPOT MAT'!E198</f>
        <v>15.09751161384475</v>
      </c>
      <c r="O198" s="116"/>
      <c r="R198">
        <v>0.9</v>
      </c>
      <c r="Y198" s="5">
        <f t="shared" si="73"/>
        <v>46109</v>
      </c>
      <c r="Z198" s="117">
        <f t="shared" si="74"/>
        <v>51.770915739603716</v>
      </c>
      <c r="AA198" s="117">
        <f t="shared" si="75"/>
        <v>38.257410673768881</v>
      </c>
      <c r="AB198" s="116">
        <v>1.9244218840027376</v>
      </c>
      <c r="AC198" s="123"/>
      <c r="AD198" s="5"/>
      <c r="AE198" s="122"/>
      <c r="AF198" s="122"/>
      <c r="AG198" s="122"/>
      <c r="AH198" s="122"/>
      <c r="AI198" s="123"/>
      <c r="AJ198" s="123"/>
    </row>
    <row r="199" spans="1:36" x14ac:dyDescent="0.25">
      <c r="A199" s="1">
        <f t="shared" si="78"/>
        <v>2026</v>
      </c>
      <c r="B199" s="52">
        <f t="shared" si="58"/>
        <v>46082</v>
      </c>
      <c r="C199" s="1" t="str">
        <f t="shared" si="54"/>
        <v>dom</v>
      </c>
      <c r="D199" s="5">
        <f t="shared" si="72"/>
        <v>46110</v>
      </c>
      <c r="E199" s="30">
        <v>103.15843403056355</v>
      </c>
      <c r="F199" s="14">
        <f>+'Mono SPOT MAT'!M199/'Fisico SPOT MAT'!M199/24</f>
        <v>45.680457085820755</v>
      </c>
      <c r="G199" s="13">
        <f t="shared" si="70"/>
        <v>14.4</v>
      </c>
      <c r="H199" s="12">
        <f>+'Mono ASIG'!AA199</f>
        <v>67.687320635302072</v>
      </c>
      <c r="I199" s="12">
        <f t="shared" si="76"/>
        <v>55.194819659867044</v>
      </c>
      <c r="J199" s="12">
        <f t="shared" si="71"/>
        <v>14.4</v>
      </c>
      <c r="K199" s="155">
        <f>+'Mono SPOT MAT'!T199</f>
        <v>0</v>
      </c>
      <c r="L199" s="116"/>
      <c r="M199" s="116"/>
      <c r="N199" s="140">
        <f>+'Mono SPOT MAT'!S199/'Fisico SPOT MAT'!S199/'Fisico SPOT MAT'!E199</f>
        <v>15.093986634279519</v>
      </c>
      <c r="O199" s="116"/>
      <c r="R199">
        <v>0.9</v>
      </c>
      <c r="Y199" s="5">
        <f t="shared" si="73"/>
        <v>46110</v>
      </c>
      <c r="Z199" s="117">
        <f t="shared" si="74"/>
        <v>103.15843403056355</v>
      </c>
      <c r="AA199" s="117">
        <f t="shared" si="75"/>
        <v>38.820757395474374</v>
      </c>
      <c r="AB199" s="116">
        <v>6.8596996903463801</v>
      </c>
      <c r="AC199" s="123"/>
      <c r="AD199" s="5"/>
      <c r="AE199" s="122"/>
      <c r="AF199" s="122"/>
      <c r="AG199" s="122"/>
      <c r="AH199" s="122"/>
      <c r="AI199" s="123"/>
      <c r="AJ199" s="123"/>
    </row>
    <row r="200" spans="1:36" x14ac:dyDescent="0.25">
      <c r="A200" s="1">
        <f t="shared" si="78"/>
        <v>2026</v>
      </c>
      <c r="B200" s="52">
        <f t="shared" si="58"/>
        <v>46082</v>
      </c>
      <c r="C200" s="1" t="str">
        <f t="shared" si="54"/>
        <v>lun</v>
      </c>
      <c r="D200" s="5">
        <f t="shared" si="72"/>
        <v>46111</v>
      </c>
      <c r="E200" s="30">
        <v>276.4748370582206</v>
      </c>
      <c r="F200" s="14">
        <f>+'Mono SPOT MAT'!M200/'Fisico SPOT MAT'!M200/24</f>
        <v>85.011014774577816</v>
      </c>
      <c r="G200" s="13">
        <f t="shared" si="70"/>
        <v>14.4</v>
      </c>
      <c r="H200" s="12">
        <f>+'Mono ASIG'!AA200</f>
        <v>83.443886266697277</v>
      </c>
      <c r="I200" s="12">
        <f t="shared" si="76"/>
        <v>70.951385291262255</v>
      </c>
      <c r="J200" s="12">
        <f t="shared" si="71"/>
        <v>14.4</v>
      </c>
      <c r="K200" s="155">
        <f>+'Mono SPOT MAT'!T200</f>
        <v>0</v>
      </c>
      <c r="L200" s="116"/>
      <c r="M200" s="116"/>
      <c r="N200" s="139">
        <f>+'Mono SPOT MAT'!S200/'Fisico SPOT MAT'!S200/'Fisico SPOT MAT'!E200</f>
        <v>15.005379748222099</v>
      </c>
      <c r="O200" s="116"/>
      <c r="R200">
        <v>0.9</v>
      </c>
      <c r="Y200" s="5">
        <f t="shared" si="73"/>
        <v>46111</v>
      </c>
      <c r="Z200" s="117">
        <f t="shared" si="74"/>
        <v>276.4748370582206</v>
      </c>
      <c r="AA200" s="117">
        <f t="shared" si="75"/>
        <v>61.736704343640483</v>
      </c>
      <c r="AB200" s="116">
        <v>23.27431043093733</v>
      </c>
      <c r="AC200" s="123"/>
      <c r="AD200" s="5"/>
      <c r="AE200" s="122"/>
      <c r="AF200" s="122"/>
      <c r="AG200" s="122"/>
      <c r="AH200" s="122"/>
      <c r="AI200" s="123"/>
      <c r="AJ200" s="123"/>
    </row>
    <row r="201" spans="1:36" x14ac:dyDescent="0.25">
      <c r="A201" s="1">
        <f t="shared" ref="A201:A208" si="79">YEAR(D201)</f>
        <v>2026</v>
      </c>
      <c r="B201" s="52">
        <f t="shared" ref="B201:B208" si="80">DATE(A201,MONTH(D201),1)</f>
        <v>46082</v>
      </c>
      <c r="C201" s="1" t="str">
        <f t="shared" si="54"/>
        <v>mar</v>
      </c>
      <c r="D201" s="5">
        <f t="shared" si="72"/>
        <v>46112</v>
      </c>
      <c r="E201" s="30">
        <v>277.474837058221</v>
      </c>
      <c r="F201" s="14">
        <f>+'Mono SPOT MAT'!M201/'Fisico SPOT MAT'!M201/24</f>
        <v>107.59038195288694</v>
      </c>
      <c r="G201" s="13">
        <f t="shared" ref="G201:G226" si="81">16*R201</f>
        <v>14.4</v>
      </c>
      <c r="H201" s="12">
        <f>+'Mono ASIG'!AA201</f>
        <v>95.476746645387735</v>
      </c>
      <c r="I201" s="12">
        <f t="shared" si="76"/>
        <v>82.984245669952713</v>
      </c>
      <c r="J201" s="12">
        <f t="shared" ref="J201:J226" si="82">16*R201</f>
        <v>14.4</v>
      </c>
      <c r="K201" s="155">
        <f>+'Mono SPOT MAT'!T201</f>
        <v>0</v>
      </c>
      <c r="L201" s="116"/>
      <c r="M201" s="116"/>
      <c r="N201" s="140">
        <f>+'Mono SPOT MAT'!S201/'Fisico SPOT MAT'!S201/'Fisico SPOT MAT'!E201</f>
        <v>14.916759701220585</v>
      </c>
      <c r="O201" s="116"/>
      <c r="R201">
        <v>0.9</v>
      </c>
      <c r="Y201" s="5">
        <f t="shared" si="73"/>
        <v>46112</v>
      </c>
      <c r="Z201" s="117">
        <f t="shared" ref="Z201:Z202" si="83">+E201</f>
        <v>277.474837058221</v>
      </c>
      <c r="AA201" s="117">
        <f t="shared" ref="AA201:AA202" si="84">+F201-AB201</f>
        <v>79.313822916049318</v>
      </c>
      <c r="AB201" s="116">
        <v>28.276559036837622</v>
      </c>
      <c r="AC201" s="123"/>
      <c r="AD201" s="5"/>
      <c r="AE201" s="122"/>
      <c r="AF201" s="122"/>
      <c r="AG201" s="122"/>
      <c r="AH201" s="122"/>
      <c r="AI201" s="123"/>
      <c r="AJ201" s="123"/>
    </row>
    <row r="202" spans="1:36" x14ac:dyDescent="0.25">
      <c r="A202" s="1">
        <f t="shared" si="79"/>
        <v>2026</v>
      </c>
      <c r="B202" s="52">
        <f t="shared" si="80"/>
        <v>46113</v>
      </c>
      <c r="C202" s="1" t="str">
        <f t="shared" si="54"/>
        <v>mié</v>
      </c>
      <c r="D202" s="5">
        <f t="shared" si="72"/>
        <v>46113</v>
      </c>
      <c r="E202" s="30">
        <v>209.85886194686029</v>
      </c>
      <c r="F202" s="14">
        <f>+'Mono SPOT MAT'!M202/'Fisico SPOT MAT'!M202/24</f>
        <v>94.289715278469643</v>
      </c>
      <c r="G202" s="13">
        <f t="shared" si="81"/>
        <v>14.4</v>
      </c>
      <c r="H202" s="12">
        <f>+'Mono ASIG'!AA202</f>
        <v>90.828920104855911</v>
      </c>
      <c r="I202" s="12">
        <f t="shared" ref="I202:I226" si="85">+H202-J202*$P$12/$Q$12/$W$12</f>
        <v>78.763346334364115</v>
      </c>
      <c r="J202" s="12">
        <f t="shared" si="82"/>
        <v>14.4</v>
      </c>
      <c r="K202" s="155">
        <f>+'Mono SPOT MAT'!T202</f>
        <v>0</v>
      </c>
      <c r="L202" s="116"/>
      <c r="M202" s="116"/>
      <c r="N202" s="139">
        <f>+'Mono SPOT MAT'!S202/'Fisico SPOT MAT'!S202/'Fisico SPOT MAT'!E202</f>
        <v>14.940473447567204</v>
      </c>
      <c r="O202" s="116"/>
      <c r="R202">
        <v>0.9</v>
      </c>
      <c r="Y202" s="5">
        <f t="shared" si="73"/>
        <v>46113</v>
      </c>
      <c r="Z202" s="117">
        <f t="shared" si="83"/>
        <v>209.85886194686029</v>
      </c>
      <c r="AA202" s="117">
        <f t="shared" si="84"/>
        <v>74.877564251727193</v>
      </c>
      <c r="AB202" s="116">
        <v>19.412151026742457</v>
      </c>
      <c r="AC202" s="123"/>
      <c r="AD202" s="5"/>
      <c r="AE202" s="122"/>
      <c r="AF202" s="122"/>
      <c r="AG202" s="122"/>
      <c r="AH202" s="122"/>
      <c r="AI202" s="123"/>
      <c r="AJ202" s="123"/>
    </row>
    <row r="203" spans="1:36" x14ac:dyDescent="0.25">
      <c r="A203" s="1">
        <f t="shared" si="79"/>
        <v>2026</v>
      </c>
      <c r="B203" s="52">
        <f t="shared" si="80"/>
        <v>46113</v>
      </c>
      <c r="C203" s="1" t="str">
        <f t="shared" si="54"/>
        <v>jue</v>
      </c>
      <c r="D203" s="5">
        <f t="shared" si="72"/>
        <v>46114</v>
      </c>
      <c r="E203" s="30">
        <v>134.99318240656604</v>
      </c>
      <c r="F203" s="14">
        <f>+'Mono SPOT MAT'!M203/'Fisico SPOT MAT'!M203/24</f>
        <v>56.973964340713167</v>
      </c>
      <c r="G203" s="13">
        <f t="shared" si="81"/>
        <v>14.4</v>
      </c>
      <c r="H203" s="12">
        <f>+'Mono ASIG'!AA203</f>
        <v>73.904738280983722</v>
      </c>
      <c r="I203" s="12">
        <f t="shared" si="85"/>
        <v>61.839164510491919</v>
      </c>
      <c r="J203" s="12">
        <f t="shared" si="82"/>
        <v>14.4</v>
      </c>
      <c r="K203" s="155">
        <f>+'Mono SPOT MAT'!T203</f>
        <v>0</v>
      </c>
      <c r="L203" s="116"/>
      <c r="M203" s="116"/>
      <c r="N203" s="140">
        <f>+'Mono SPOT MAT'!S203/'Fisico SPOT MAT'!S203/'Fisico SPOT MAT'!E203</f>
        <v>15.038886699513126</v>
      </c>
      <c r="O203" s="116"/>
      <c r="R203">
        <v>0.9</v>
      </c>
      <c r="Y203" s="5">
        <f t="shared" si="73"/>
        <v>46114</v>
      </c>
      <c r="Z203" s="117">
        <f t="shared" ref="Z203:Z221" si="86">+E203</f>
        <v>134.99318240656604</v>
      </c>
      <c r="AA203" s="117">
        <f t="shared" ref="AA203:AA221" si="87">+F203-AB203</f>
        <v>46.278986376803836</v>
      </c>
      <c r="AB203" s="116">
        <v>10.694977963909329</v>
      </c>
      <c r="AC203" s="123"/>
      <c r="AD203" s="5"/>
      <c r="AE203" s="122"/>
      <c r="AF203" s="122"/>
      <c r="AG203" s="122"/>
      <c r="AH203" s="122"/>
      <c r="AI203" s="123"/>
      <c r="AJ203" s="123"/>
    </row>
    <row r="204" spans="1:36" x14ac:dyDescent="0.25">
      <c r="A204" s="1">
        <f t="shared" si="79"/>
        <v>2026</v>
      </c>
      <c r="B204" s="52">
        <f t="shared" si="80"/>
        <v>46113</v>
      </c>
      <c r="C204" s="1" t="str">
        <f t="shared" si="54"/>
        <v>vie</v>
      </c>
      <c r="D204" s="5">
        <f t="shared" si="72"/>
        <v>46115</v>
      </c>
      <c r="E204" s="30">
        <v>87.252310119613554</v>
      </c>
      <c r="F204" s="14">
        <f>+'Mono SPOT MAT'!M204/'Fisico SPOT MAT'!M204/24</f>
        <v>52.79545484208316</v>
      </c>
      <c r="G204" s="13">
        <f t="shared" si="81"/>
        <v>14.4</v>
      </c>
      <c r="H204" s="12">
        <f>+'Mono ASIG'!AA204</f>
        <v>78.128705202971759</v>
      </c>
      <c r="I204" s="12">
        <f t="shared" si="85"/>
        <v>66.063131432479963</v>
      </c>
      <c r="J204" s="12">
        <f t="shared" si="82"/>
        <v>14.4</v>
      </c>
      <c r="K204" s="155">
        <f>+'Mono SPOT MAT'!T204</f>
        <v>0</v>
      </c>
      <c r="L204" s="116"/>
      <c r="M204" s="116"/>
      <c r="N204" s="139">
        <f>+'Mono SPOT MAT'!S204/'Fisico SPOT MAT'!S204/'Fisico SPOT MAT'!E204</f>
        <v>15.11749360041293</v>
      </c>
      <c r="O204" s="116"/>
      <c r="R204">
        <v>0.9</v>
      </c>
      <c r="Y204" s="5">
        <f t="shared" si="73"/>
        <v>46115</v>
      </c>
      <c r="Z204" s="117">
        <f t="shared" si="86"/>
        <v>87.252310119613554</v>
      </c>
      <c r="AA204" s="117">
        <f t="shared" si="87"/>
        <v>45.686292944871013</v>
      </c>
      <c r="AB204" s="116">
        <v>7.1091618972121431</v>
      </c>
      <c r="AC204" s="123"/>
      <c r="AD204" s="5"/>
      <c r="AE204" s="122"/>
      <c r="AF204" s="122"/>
      <c r="AG204" s="122"/>
      <c r="AH204" s="122"/>
      <c r="AI204" s="123"/>
      <c r="AJ204" s="123"/>
    </row>
    <row r="205" spans="1:36" x14ac:dyDescent="0.25">
      <c r="A205" s="1">
        <f t="shared" si="79"/>
        <v>2026</v>
      </c>
      <c r="B205" s="52">
        <f t="shared" si="80"/>
        <v>46113</v>
      </c>
      <c r="C205" s="1" t="str">
        <f t="shared" si="54"/>
        <v>sáb</v>
      </c>
      <c r="D205" s="5">
        <f t="shared" si="72"/>
        <v>46116</v>
      </c>
      <c r="E205" s="30">
        <v>109.74052988138237</v>
      </c>
      <c r="F205" s="14">
        <f>+'Mono SPOT MAT'!M205/'Fisico SPOT MAT'!M205/24</f>
        <v>56.219875372341257</v>
      </c>
      <c r="G205" s="13">
        <f t="shared" si="81"/>
        <v>14.4</v>
      </c>
      <c r="H205" s="12">
        <f>+'Mono ASIG'!AA205</f>
        <v>76.325843990460996</v>
      </c>
      <c r="I205" s="12">
        <f t="shared" si="85"/>
        <v>64.260270219969186</v>
      </c>
      <c r="J205" s="12">
        <f t="shared" si="82"/>
        <v>14.4</v>
      </c>
      <c r="K205" s="155">
        <f>+'Mono SPOT MAT'!T205</f>
        <v>0</v>
      </c>
      <c r="L205" s="116"/>
      <c r="M205" s="116"/>
      <c r="N205" s="140">
        <f>+'Mono SPOT MAT'!S205/'Fisico SPOT MAT'!S205/'Fisico SPOT MAT'!E205</f>
        <v>15.124252282754931</v>
      </c>
      <c r="O205" s="116"/>
      <c r="R205">
        <v>0.9</v>
      </c>
      <c r="Y205" s="5">
        <f t="shared" si="73"/>
        <v>46116</v>
      </c>
      <c r="Z205" s="117">
        <f t="shared" si="86"/>
        <v>109.74052988138237</v>
      </c>
      <c r="AA205" s="117">
        <f t="shared" si="87"/>
        <v>47.90465939912648</v>
      </c>
      <c r="AB205" s="116">
        <v>8.3152159732147748</v>
      </c>
      <c r="AC205" s="123"/>
      <c r="AD205" s="5"/>
      <c r="AE205" s="122"/>
      <c r="AF205" s="122"/>
      <c r="AG205" s="122"/>
      <c r="AH205" s="122"/>
      <c r="AI205" s="123"/>
      <c r="AJ205" s="123"/>
    </row>
    <row r="206" spans="1:36" x14ac:dyDescent="0.25">
      <c r="A206" s="1">
        <f t="shared" si="79"/>
        <v>2026</v>
      </c>
      <c r="B206" s="52">
        <f t="shared" si="80"/>
        <v>46113</v>
      </c>
      <c r="C206" s="1" t="str">
        <f t="shared" si="54"/>
        <v>dom</v>
      </c>
      <c r="D206" s="5">
        <f t="shared" si="72"/>
        <v>46117</v>
      </c>
      <c r="E206" s="30">
        <v>145.95300637650294</v>
      </c>
      <c r="F206" s="14">
        <f>+'Mono SPOT MAT'!M206/'Fisico SPOT MAT'!M206/24</f>
        <v>61.175976800458102</v>
      </c>
      <c r="G206" s="13">
        <f t="shared" si="81"/>
        <v>14.4</v>
      </c>
      <c r="H206" s="12">
        <f>+'Mono ASIG'!AA206</f>
        <v>75.259330635580994</v>
      </c>
      <c r="I206" s="12">
        <f t="shared" si="85"/>
        <v>63.193756865089192</v>
      </c>
      <c r="J206" s="12">
        <f t="shared" si="82"/>
        <v>14.4</v>
      </c>
      <c r="K206" s="155">
        <f>+'Mono SPOT MAT'!T206</f>
        <v>0</v>
      </c>
      <c r="L206" s="116"/>
      <c r="M206" s="116"/>
      <c r="N206" s="139">
        <f>+'Mono SPOT MAT'!S206/'Fisico SPOT MAT'!S206/'Fisico SPOT MAT'!E206</f>
        <v>15.137243333400237</v>
      </c>
      <c r="O206" s="116"/>
      <c r="R206">
        <v>0.9</v>
      </c>
      <c r="Y206" s="5">
        <f t="shared" si="73"/>
        <v>46117</v>
      </c>
      <c r="Z206" s="117">
        <f t="shared" si="86"/>
        <v>145.95300637650294</v>
      </c>
      <c r="AA206" s="117">
        <f t="shared" si="87"/>
        <v>49.112087924211252</v>
      </c>
      <c r="AB206" s="116">
        <v>12.063888876246851</v>
      </c>
      <c r="AC206" s="123"/>
      <c r="AD206" s="5"/>
      <c r="AE206" s="122"/>
      <c r="AF206" s="122"/>
      <c r="AG206" s="122"/>
      <c r="AH206" s="122"/>
      <c r="AI206" s="123"/>
      <c r="AJ206" s="123"/>
    </row>
    <row r="207" spans="1:36" x14ac:dyDescent="0.25">
      <c r="A207" s="1">
        <f t="shared" si="79"/>
        <v>2026</v>
      </c>
      <c r="B207" s="52">
        <f t="shared" si="80"/>
        <v>46113</v>
      </c>
      <c r="C207" s="1" t="str">
        <f t="shared" si="54"/>
        <v>lun</v>
      </c>
      <c r="D207" s="5">
        <f t="shared" si="72"/>
        <v>46118</v>
      </c>
      <c r="E207" s="30">
        <v>130.82210120991357</v>
      </c>
      <c r="F207" s="14">
        <f>+'Mono SPOT MAT'!M207/'Fisico SPOT MAT'!M207/24</f>
        <v>59.453639418827407</v>
      </c>
      <c r="G207" s="13">
        <f t="shared" si="81"/>
        <v>14.4</v>
      </c>
      <c r="H207" s="12">
        <f>+'Mono ASIG'!AA207</f>
        <v>74.068679961321919</v>
      </c>
      <c r="I207" s="12">
        <f t="shared" si="85"/>
        <v>62.003106190830117</v>
      </c>
      <c r="J207" s="12">
        <f t="shared" si="82"/>
        <v>14.4</v>
      </c>
      <c r="K207" s="155">
        <f>+'Mono SPOT MAT'!T207</f>
        <v>0</v>
      </c>
      <c r="L207" s="116"/>
      <c r="M207" s="116"/>
      <c r="N207" s="139">
        <f>+'Mono SPOT MAT'!S207/'Fisico SPOT MAT'!S207/'Fisico SPOT MAT'!E207</f>
        <v>15.033122050312699</v>
      </c>
      <c r="O207" s="116"/>
      <c r="R207">
        <v>0.9</v>
      </c>
      <c r="Y207" s="5">
        <f t="shared" si="73"/>
        <v>46118</v>
      </c>
      <c r="Z207" s="117">
        <f t="shared" si="86"/>
        <v>130.82210120991357</v>
      </c>
      <c r="AA207" s="117">
        <f t="shared" si="87"/>
        <v>47.590733812971735</v>
      </c>
      <c r="AB207" s="116">
        <v>11.862905605855673</v>
      </c>
      <c r="AC207" s="123"/>
      <c r="AD207" s="5"/>
      <c r="AE207" s="122"/>
      <c r="AF207" s="122"/>
      <c r="AG207" s="122"/>
      <c r="AH207" s="122"/>
      <c r="AI207" s="123"/>
      <c r="AJ207" s="123"/>
    </row>
    <row r="208" spans="1:36" x14ac:dyDescent="0.25">
      <c r="A208" s="1">
        <f t="shared" si="79"/>
        <v>2026</v>
      </c>
      <c r="B208" s="52">
        <f t="shared" si="80"/>
        <v>46113</v>
      </c>
      <c r="C208" s="1" t="str">
        <f t="shared" ref="C208:C231" si="88">+C201</f>
        <v>mar</v>
      </c>
      <c r="D208" s="5">
        <f t="shared" si="72"/>
        <v>46119</v>
      </c>
      <c r="E208" s="30">
        <v>144.87144229976653</v>
      </c>
      <c r="F208" s="14">
        <f>+'Mono SPOT MAT'!M208/'Fisico SPOT MAT'!M208/24</f>
        <v>57.103845119554194</v>
      </c>
      <c r="G208" s="13">
        <f t="shared" si="81"/>
        <v>14.4</v>
      </c>
      <c r="H208" s="12">
        <f>+'Mono ASIG'!AA208</f>
        <v>76.752460508875117</v>
      </c>
      <c r="I208" s="12">
        <f t="shared" si="85"/>
        <v>64.686886738383322</v>
      </c>
      <c r="J208" s="12">
        <f t="shared" si="82"/>
        <v>14.4</v>
      </c>
      <c r="K208" s="155">
        <f>+'Mono SPOT MAT'!T208</f>
        <v>0</v>
      </c>
      <c r="L208" s="116"/>
      <c r="M208" s="116"/>
      <c r="N208" s="139">
        <f>+'Mono SPOT MAT'!S208/'Fisico SPOT MAT'!S208/'Fisico SPOT MAT'!E208</f>
        <v>15.104633839333159</v>
      </c>
      <c r="O208" s="116"/>
      <c r="R208">
        <v>0.9</v>
      </c>
      <c r="Y208" s="5">
        <f t="shared" si="73"/>
        <v>46119</v>
      </c>
      <c r="Z208" s="117">
        <f t="shared" si="86"/>
        <v>144.87144229976653</v>
      </c>
      <c r="AA208" s="117">
        <f t="shared" si="87"/>
        <v>44.870567713243631</v>
      </c>
      <c r="AB208" s="116">
        <v>12.233277406310567</v>
      </c>
      <c r="AC208" s="123"/>
      <c r="AD208" s="5"/>
      <c r="AE208" s="122"/>
      <c r="AF208" s="122"/>
      <c r="AG208" s="122"/>
      <c r="AH208" s="122"/>
      <c r="AI208" s="123"/>
      <c r="AJ208" s="123"/>
    </row>
    <row r="209" spans="1:36" x14ac:dyDescent="0.25">
      <c r="A209" s="1">
        <f t="shared" ref="A209:A210" si="89">YEAR(D209)</f>
        <v>2026</v>
      </c>
      <c r="B209" s="52">
        <f t="shared" ref="B209:B210" si="90">DATE(A209,MONTH(D209),1)</f>
        <v>46113</v>
      </c>
      <c r="C209" s="1" t="str">
        <f t="shared" si="88"/>
        <v>mié</v>
      </c>
      <c r="D209" s="5">
        <f t="shared" si="72"/>
        <v>46120</v>
      </c>
      <c r="E209" s="30">
        <v>38.118939463710447</v>
      </c>
      <c r="F209" s="14">
        <f>+'Mono SPOT MAT'!M209/'Fisico SPOT MAT'!M209/24</f>
        <v>46.9232752808418</v>
      </c>
      <c r="G209" s="13">
        <f t="shared" si="81"/>
        <v>14.4</v>
      </c>
      <c r="H209" s="12">
        <f>+'Mono ASIG'!AA209</f>
        <v>73.021211551767905</v>
      </c>
      <c r="I209" s="12">
        <f t="shared" si="85"/>
        <v>60.955637781276103</v>
      </c>
      <c r="J209" s="12">
        <f t="shared" si="82"/>
        <v>14.4</v>
      </c>
      <c r="K209" s="155">
        <f>+'Mono SPOT MAT'!T209</f>
        <v>0</v>
      </c>
      <c r="L209" s="116"/>
      <c r="M209" s="116"/>
      <c r="N209" s="139">
        <f>+'Mono SPOT MAT'!S209/'Fisico SPOT MAT'!S209/'Fisico SPOT MAT'!E209</f>
        <v>15.096991629195621</v>
      </c>
      <c r="O209" s="116"/>
      <c r="R209">
        <v>0.9</v>
      </c>
      <c r="Y209" s="5">
        <f t="shared" si="73"/>
        <v>46120</v>
      </c>
      <c r="Z209" s="117">
        <f t="shared" si="86"/>
        <v>38.118939463710447</v>
      </c>
      <c r="AA209" s="117">
        <f t="shared" si="87"/>
        <v>45.639841192536288</v>
      </c>
      <c r="AB209" s="116">
        <v>1.2834340883055131</v>
      </c>
      <c r="AC209" s="123"/>
      <c r="AD209" s="5"/>
      <c r="AE209" s="122"/>
      <c r="AF209" s="122"/>
      <c r="AG209" s="122"/>
      <c r="AH209" s="122"/>
      <c r="AI209" s="123"/>
      <c r="AJ209" s="123"/>
    </row>
    <row r="210" spans="1:36" x14ac:dyDescent="0.25">
      <c r="A210" s="1">
        <f t="shared" si="89"/>
        <v>2026</v>
      </c>
      <c r="B210" s="52">
        <f t="shared" si="90"/>
        <v>46113</v>
      </c>
      <c r="C210" s="1" t="str">
        <f t="shared" si="88"/>
        <v>jue</v>
      </c>
      <c r="D210" s="5">
        <f t="shared" si="72"/>
        <v>46121</v>
      </c>
      <c r="E210" s="30">
        <v>35.188984185527978</v>
      </c>
      <c r="F210" s="14">
        <f>+'Mono SPOT MAT'!M210/'Fisico SPOT MAT'!M210/24</f>
        <v>39.195834453613813</v>
      </c>
      <c r="G210" s="13">
        <f t="shared" si="81"/>
        <v>14.4</v>
      </c>
      <c r="H210" s="12">
        <f>+'Mono ASIG'!AA210</f>
        <v>71.781585845743805</v>
      </c>
      <c r="I210" s="12">
        <f t="shared" si="85"/>
        <v>59.716012075252003</v>
      </c>
      <c r="J210" s="12">
        <f t="shared" si="82"/>
        <v>14.4</v>
      </c>
      <c r="K210" s="155">
        <f>+'Mono SPOT MAT'!T210</f>
        <v>0</v>
      </c>
      <c r="L210" s="116"/>
      <c r="M210" s="116"/>
      <c r="N210" s="139">
        <f>+'Mono SPOT MAT'!S210/'Fisico SPOT MAT'!S210/'Fisico SPOT MAT'!E210</f>
        <v>15.145452389877981</v>
      </c>
      <c r="O210" s="116"/>
      <c r="R210">
        <v>0.9</v>
      </c>
      <c r="Y210" s="5">
        <f t="shared" si="73"/>
        <v>46121</v>
      </c>
      <c r="Z210" s="117">
        <f t="shared" si="86"/>
        <v>35.188984185527978</v>
      </c>
      <c r="AA210" s="117">
        <f t="shared" si="87"/>
        <v>38.191423838793185</v>
      </c>
      <c r="AB210" s="116">
        <v>1.0044106148206273</v>
      </c>
      <c r="AC210" s="123"/>
      <c r="AD210" s="5"/>
      <c r="AE210" s="122"/>
      <c r="AF210" s="122"/>
      <c r="AG210" s="122"/>
      <c r="AH210" s="122"/>
      <c r="AI210" s="123"/>
      <c r="AJ210" s="123"/>
    </row>
    <row r="211" spans="1:36" x14ac:dyDescent="0.25">
      <c r="A211" s="1">
        <f t="shared" ref="A211:A221" si="91">YEAR(D211)</f>
        <v>2026</v>
      </c>
      <c r="B211" s="52">
        <f t="shared" ref="B211:B221" si="92">DATE(A211,MONTH(D211),1)</f>
        <v>46113</v>
      </c>
      <c r="C211" s="1" t="str">
        <f t="shared" si="88"/>
        <v>vie</v>
      </c>
      <c r="D211" s="5">
        <f t="shared" si="72"/>
        <v>46122</v>
      </c>
      <c r="E211" s="30">
        <v>28.735413317244014</v>
      </c>
      <c r="F211" s="14">
        <f>+'Mono SPOT MAT'!M211/'Fisico SPOT MAT'!M211/24</f>
        <v>39.596350137325594</v>
      </c>
      <c r="G211" s="13">
        <f t="shared" si="81"/>
        <v>14.4</v>
      </c>
      <c r="H211" s="12">
        <f>+'Mono ASIG'!AA211</f>
        <v>73.233364588637443</v>
      </c>
      <c r="I211" s="12">
        <f t="shared" si="85"/>
        <v>61.16779081814564</v>
      </c>
      <c r="J211" s="12">
        <f t="shared" si="82"/>
        <v>14.4</v>
      </c>
      <c r="K211" s="155">
        <f>+'Mono SPOT MAT'!T211</f>
        <v>0</v>
      </c>
      <c r="L211" s="116"/>
      <c r="M211" s="116"/>
      <c r="N211" s="139">
        <f>+'Mono SPOT MAT'!S211/'Fisico SPOT MAT'!S211/'Fisico SPOT MAT'!E211</f>
        <v>15.136803345831606</v>
      </c>
      <c r="O211" s="116"/>
      <c r="R211">
        <v>0.9</v>
      </c>
      <c r="Y211" s="5">
        <f t="shared" si="73"/>
        <v>46122</v>
      </c>
      <c r="Z211" s="117">
        <f t="shared" si="86"/>
        <v>28.735413317244014</v>
      </c>
      <c r="AA211" s="117">
        <f t="shared" si="87"/>
        <v>39.415003678082726</v>
      </c>
      <c r="AB211" s="116">
        <v>0.18134645924286696</v>
      </c>
      <c r="AC211" s="123"/>
      <c r="AD211" s="5"/>
      <c r="AE211" s="122"/>
      <c r="AF211" s="122"/>
      <c r="AG211" s="122"/>
      <c r="AH211" s="122"/>
      <c r="AI211" s="123"/>
      <c r="AJ211" s="123"/>
    </row>
    <row r="212" spans="1:36" x14ac:dyDescent="0.25">
      <c r="A212" s="1">
        <f t="shared" si="91"/>
        <v>2026</v>
      </c>
      <c r="B212" s="52">
        <f t="shared" si="92"/>
        <v>46113</v>
      </c>
      <c r="C212" s="1" t="str">
        <f t="shared" si="88"/>
        <v>sáb</v>
      </c>
      <c r="D212" s="5">
        <f t="shared" si="72"/>
        <v>46123</v>
      </c>
      <c r="E212" s="30">
        <v>32.614797722066264</v>
      </c>
      <c r="F212" s="14">
        <f>+'Mono SPOT MAT'!M212/'Fisico SPOT MAT'!M212/24</f>
        <v>38.314735851121817</v>
      </c>
      <c r="G212" s="13">
        <f t="shared" si="81"/>
        <v>14.4</v>
      </c>
      <c r="H212" s="12">
        <f>+'Mono ASIG'!AA212</f>
        <v>73.242690067516165</v>
      </c>
      <c r="I212" s="12">
        <f t="shared" si="85"/>
        <v>61.177116297024362</v>
      </c>
      <c r="J212" s="12">
        <f t="shared" si="82"/>
        <v>14.4</v>
      </c>
      <c r="K212" s="155">
        <f>+'Mono SPOT MAT'!T212</f>
        <v>0</v>
      </c>
      <c r="L212" s="116"/>
      <c r="M212" s="116"/>
      <c r="N212" s="139">
        <f>+'Mono SPOT MAT'!S212/'Fisico SPOT MAT'!S212/'Fisico SPOT MAT'!E212</f>
        <v>14.906656074373254</v>
      </c>
      <c r="O212" s="116"/>
      <c r="R212">
        <v>0.9</v>
      </c>
      <c r="Y212" s="5">
        <f t="shared" si="73"/>
        <v>46123</v>
      </c>
      <c r="Z212" s="117">
        <f t="shared" si="86"/>
        <v>32.614797722066264</v>
      </c>
      <c r="AA212" s="117">
        <f t="shared" si="87"/>
        <v>37.380292167785306</v>
      </c>
      <c r="AB212" s="116">
        <v>0.93444368333650929</v>
      </c>
      <c r="AC212" s="123"/>
      <c r="AD212" s="5"/>
      <c r="AE212" s="122"/>
      <c r="AF212" s="122"/>
      <c r="AG212" s="122"/>
      <c r="AH212" s="122"/>
      <c r="AI212" s="123"/>
      <c r="AJ212" s="123"/>
    </row>
    <row r="213" spans="1:36" x14ac:dyDescent="0.25">
      <c r="A213" s="1">
        <f t="shared" si="91"/>
        <v>2026</v>
      </c>
      <c r="B213" s="52">
        <f t="shared" si="92"/>
        <v>46113</v>
      </c>
      <c r="C213" s="1" t="str">
        <f t="shared" si="88"/>
        <v>dom</v>
      </c>
      <c r="D213" s="5">
        <f t="shared" si="72"/>
        <v>46124</v>
      </c>
      <c r="E213" s="30">
        <v>32.558232213100275</v>
      </c>
      <c r="F213" s="14">
        <f>+'Mono SPOT MAT'!M213/'Fisico SPOT MAT'!M213/24</f>
        <v>39.513856650128375</v>
      </c>
      <c r="G213" s="13">
        <f t="shared" si="81"/>
        <v>14.4</v>
      </c>
      <c r="H213" s="12">
        <f>+'Mono ASIG'!AA213</f>
        <v>74.755069830607226</v>
      </c>
      <c r="I213" s="12">
        <f t="shared" si="85"/>
        <v>62.689496060115424</v>
      </c>
      <c r="J213" s="12">
        <f t="shared" si="82"/>
        <v>14.4</v>
      </c>
      <c r="K213" s="155">
        <f>+'Mono SPOT MAT'!T213</f>
        <v>0</v>
      </c>
      <c r="L213" s="116"/>
      <c r="M213" s="116"/>
      <c r="N213" s="139">
        <f>+'Mono SPOT MAT'!S213/'Fisico SPOT MAT'!S213/'Fisico SPOT MAT'!E213</f>
        <v>14.890596081397179</v>
      </c>
      <c r="O213" s="116"/>
      <c r="R213">
        <v>0.9</v>
      </c>
      <c r="Y213" s="5">
        <f t="shared" si="73"/>
        <v>46124</v>
      </c>
      <c r="Z213" s="117">
        <f t="shared" si="86"/>
        <v>32.558232213100275</v>
      </c>
      <c r="AA213" s="117">
        <f t="shared" si="87"/>
        <v>38.501424518581452</v>
      </c>
      <c r="AB213" s="116">
        <v>1.012432131546922</v>
      </c>
      <c r="AC213" s="123"/>
      <c r="AD213" s="5"/>
      <c r="AE213" s="122"/>
      <c r="AF213" s="122"/>
      <c r="AG213" s="122"/>
      <c r="AH213" s="122"/>
      <c r="AI213" s="123"/>
      <c r="AJ213" s="123"/>
    </row>
    <row r="214" spans="1:36" x14ac:dyDescent="0.25">
      <c r="A214" s="1">
        <f t="shared" si="91"/>
        <v>2026</v>
      </c>
      <c r="B214" s="52">
        <f t="shared" si="92"/>
        <v>46113</v>
      </c>
      <c r="C214" s="1" t="str">
        <f t="shared" si="88"/>
        <v>lun</v>
      </c>
      <c r="D214" s="5">
        <f t="shared" si="72"/>
        <v>46125</v>
      </c>
      <c r="E214" s="30">
        <v>37.006520793558529</v>
      </c>
      <c r="F214" s="14">
        <f>+'Mono SPOT MAT'!M214/'Fisico SPOT MAT'!M214/24</f>
        <v>37.925088665750174</v>
      </c>
      <c r="G214" s="13">
        <f t="shared" si="81"/>
        <v>14.4</v>
      </c>
      <c r="H214" s="12">
        <f>+'Mono ASIG'!AA214</f>
        <v>65.923820627607441</v>
      </c>
      <c r="I214" s="12">
        <f t="shared" si="85"/>
        <v>53.858246857115638</v>
      </c>
      <c r="J214" s="12">
        <f t="shared" si="82"/>
        <v>14.4</v>
      </c>
      <c r="K214" s="155">
        <f>+'Mono SPOT MAT'!T214</f>
        <v>0</v>
      </c>
      <c r="L214" s="116"/>
      <c r="M214" s="116"/>
      <c r="N214" s="139">
        <f>+'Mono SPOT MAT'!S214/'Fisico SPOT MAT'!S214/'Fisico SPOT MAT'!E214</f>
        <v>14.931868115508406</v>
      </c>
      <c r="O214" s="116"/>
      <c r="R214">
        <v>0.9</v>
      </c>
      <c r="Y214" s="5">
        <f t="shared" si="73"/>
        <v>46125</v>
      </c>
      <c r="Z214" s="117">
        <f t="shared" si="86"/>
        <v>37.006520793558529</v>
      </c>
      <c r="AA214" s="117">
        <f t="shared" si="87"/>
        <v>36.353555916523739</v>
      </c>
      <c r="AB214" s="116">
        <v>1.5715327492264348</v>
      </c>
      <c r="AC214" s="123"/>
      <c r="AD214" s="5"/>
      <c r="AE214" s="122"/>
      <c r="AF214" s="122"/>
      <c r="AG214" s="122"/>
      <c r="AH214" s="122"/>
      <c r="AI214" s="123"/>
      <c r="AJ214" s="123"/>
    </row>
    <row r="215" spans="1:36" x14ac:dyDescent="0.25">
      <c r="A215" s="1">
        <f t="shared" si="91"/>
        <v>2026</v>
      </c>
      <c r="B215" s="52">
        <f t="shared" si="92"/>
        <v>46113</v>
      </c>
      <c r="C215" s="1" t="str">
        <f t="shared" si="88"/>
        <v>mar</v>
      </c>
      <c r="D215" s="5">
        <f t="shared" si="72"/>
        <v>46126</v>
      </c>
      <c r="E215" s="30">
        <v>39.4077148941562</v>
      </c>
      <c r="F215" s="14">
        <f>+'Mono SPOT MAT'!M215/'Fisico SPOT MAT'!M215/24</f>
        <v>39.170967644895363</v>
      </c>
      <c r="G215" s="13">
        <f t="shared" si="81"/>
        <v>14.4</v>
      </c>
      <c r="H215" s="12">
        <f>+'Mono ASIG'!AA215</f>
        <v>66.933929692539536</v>
      </c>
      <c r="I215" s="12">
        <f t="shared" si="85"/>
        <v>54.868355922047733</v>
      </c>
      <c r="J215" s="12">
        <f t="shared" si="82"/>
        <v>14.4</v>
      </c>
      <c r="K215" s="155">
        <f>+'Mono SPOT MAT'!T215</f>
        <v>0</v>
      </c>
      <c r="L215" s="116"/>
      <c r="M215" s="116"/>
      <c r="N215" s="139">
        <f>+'Mono SPOT MAT'!S215/'Fisico SPOT MAT'!S215/'Fisico SPOT MAT'!E215</f>
        <v>14.963518422563414</v>
      </c>
      <c r="O215" s="116"/>
      <c r="R215">
        <v>0.9</v>
      </c>
      <c r="Y215" s="5">
        <f t="shared" si="73"/>
        <v>46126</v>
      </c>
      <c r="Z215" s="117">
        <f t="shared" si="86"/>
        <v>39.4077148941562</v>
      </c>
      <c r="AA215" s="117">
        <f t="shared" si="87"/>
        <v>37.733710547745801</v>
      </c>
      <c r="AB215" s="116">
        <v>1.4372570971495613</v>
      </c>
      <c r="AC215" s="123"/>
      <c r="AD215" s="5"/>
      <c r="AE215" s="122"/>
      <c r="AF215" s="122"/>
      <c r="AG215" s="122"/>
      <c r="AH215" s="122"/>
      <c r="AI215" s="123"/>
      <c r="AJ215" s="123"/>
    </row>
    <row r="216" spans="1:36" x14ac:dyDescent="0.25">
      <c r="A216" s="1">
        <f t="shared" si="91"/>
        <v>2026</v>
      </c>
      <c r="B216" s="52">
        <f t="shared" si="92"/>
        <v>46113</v>
      </c>
      <c r="C216" s="1" t="str">
        <f t="shared" si="88"/>
        <v>mié</v>
      </c>
      <c r="D216" s="5">
        <f t="shared" si="72"/>
        <v>46127</v>
      </c>
      <c r="E216" s="30">
        <v>38.039758403877116</v>
      </c>
      <c r="F216" s="14">
        <f>+'Mono SPOT MAT'!M216/'Fisico SPOT MAT'!M216/24</f>
        <v>38.180194939123275</v>
      </c>
      <c r="G216" s="13">
        <f t="shared" si="81"/>
        <v>14.4</v>
      </c>
      <c r="H216" s="12">
        <f>+'Mono ASIG'!AA216</f>
        <v>67.166405336432462</v>
      </c>
      <c r="I216" s="12">
        <f t="shared" si="85"/>
        <v>55.100831565940659</v>
      </c>
      <c r="J216" s="12">
        <f t="shared" si="82"/>
        <v>14.4</v>
      </c>
      <c r="K216" s="155">
        <f>+'Mono SPOT MAT'!T216</f>
        <v>0</v>
      </c>
      <c r="L216" s="116"/>
      <c r="M216" s="116"/>
      <c r="N216" s="139">
        <f>+'Mono SPOT MAT'!S216/'Fisico SPOT MAT'!S216/'Fisico SPOT MAT'!E216</f>
        <v>14.9496975862801</v>
      </c>
      <c r="O216" s="116"/>
      <c r="R216">
        <v>0.9</v>
      </c>
      <c r="Y216" s="5">
        <f t="shared" si="73"/>
        <v>46127</v>
      </c>
      <c r="Z216" s="117">
        <f t="shared" si="86"/>
        <v>38.039758403877116</v>
      </c>
      <c r="AA216" s="117">
        <f t="shared" si="87"/>
        <v>36.571079147923868</v>
      </c>
      <c r="AB216" s="116">
        <v>1.6091157911994043</v>
      </c>
      <c r="AC216" s="123"/>
      <c r="AD216" s="5"/>
      <c r="AE216" s="122"/>
      <c r="AF216" s="122"/>
      <c r="AG216" s="122"/>
      <c r="AH216" s="122"/>
      <c r="AI216" s="123"/>
      <c r="AJ216" s="123"/>
    </row>
    <row r="217" spans="1:36" x14ac:dyDescent="0.25">
      <c r="A217" s="1">
        <f t="shared" si="91"/>
        <v>2026</v>
      </c>
      <c r="B217" s="52">
        <f t="shared" si="92"/>
        <v>46113</v>
      </c>
      <c r="C217" s="1" t="str">
        <f t="shared" si="88"/>
        <v>jue</v>
      </c>
      <c r="D217" s="5">
        <f t="shared" si="72"/>
        <v>46128</v>
      </c>
      <c r="E217" s="30">
        <v>40.241149722866709</v>
      </c>
      <c r="F217" s="14">
        <f>+'Mono SPOT MAT'!M217/'Fisico SPOT MAT'!M217/24</f>
        <v>38.382350042859287</v>
      </c>
      <c r="G217" s="13">
        <f t="shared" si="81"/>
        <v>14.4</v>
      </c>
      <c r="H217" s="12">
        <f>+'Mono ASIG'!AA217</f>
        <v>67.391438407832183</v>
      </c>
      <c r="I217" s="12">
        <f t="shared" si="85"/>
        <v>55.325864637340381</v>
      </c>
      <c r="J217" s="12">
        <f t="shared" si="82"/>
        <v>14.4</v>
      </c>
      <c r="K217" s="155">
        <f>+'Mono SPOT MAT'!T217</f>
        <v>0</v>
      </c>
      <c r="L217" s="116"/>
      <c r="M217" s="116"/>
      <c r="N217" s="139">
        <f>+'Mono SPOT MAT'!S217/'Fisico SPOT MAT'!S217/'Fisico SPOT MAT'!E217</f>
        <v>14.951119951541152</v>
      </c>
      <c r="O217" s="116"/>
      <c r="R217">
        <v>0.9</v>
      </c>
      <c r="Y217" s="5">
        <f t="shared" si="73"/>
        <v>46128</v>
      </c>
      <c r="Z217" s="117">
        <f t="shared" si="86"/>
        <v>40.241149722866709</v>
      </c>
      <c r="AA217" s="117">
        <f t="shared" si="87"/>
        <v>36.719723496954479</v>
      </c>
      <c r="AB217" s="116">
        <v>1.6626265459048071</v>
      </c>
      <c r="AC217" s="123"/>
      <c r="AD217" s="5"/>
      <c r="AE217" s="122"/>
      <c r="AF217" s="122"/>
      <c r="AG217" s="122"/>
      <c r="AH217" s="122"/>
      <c r="AI217" s="123"/>
      <c r="AJ217" s="123"/>
    </row>
    <row r="218" spans="1:36" x14ac:dyDescent="0.25">
      <c r="A218" s="1">
        <f t="shared" si="91"/>
        <v>2026</v>
      </c>
      <c r="B218" s="52">
        <f t="shared" si="92"/>
        <v>46113</v>
      </c>
      <c r="C218" s="1" t="str">
        <f t="shared" si="88"/>
        <v>vie</v>
      </c>
      <c r="D218" s="5">
        <f t="shared" si="72"/>
        <v>46129</v>
      </c>
      <c r="E218" s="30">
        <v>42.944655439062409</v>
      </c>
      <c r="F218" s="14">
        <f>+'Mono SPOT MAT'!M218/'Fisico SPOT MAT'!M218/24</f>
        <v>38.728960308081021</v>
      </c>
      <c r="G218" s="13">
        <f t="shared" si="81"/>
        <v>14.4</v>
      </c>
      <c r="H218" s="12">
        <f>+'Mono ASIG'!AA218</f>
        <v>67.281796659860689</v>
      </c>
      <c r="I218" s="12">
        <f t="shared" si="85"/>
        <v>55.216222889368886</v>
      </c>
      <c r="J218" s="12">
        <f t="shared" si="82"/>
        <v>14.4</v>
      </c>
      <c r="K218" s="155">
        <f>+'Mono SPOT MAT'!T218</f>
        <v>0</v>
      </c>
      <c r="L218" s="116"/>
      <c r="M218" s="116"/>
      <c r="N218" s="139">
        <f>+'Mono SPOT MAT'!S218/'Fisico SPOT MAT'!S218/'Fisico SPOT MAT'!E218</f>
        <v>14.860164105471526</v>
      </c>
      <c r="O218" s="116"/>
      <c r="R218">
        <v>0.9</v>
      </c>
      <c r="Y218" s="5">
        <f t="shared" si="73"/>
        <v>46129</v>
      </c>
      <c r="Z218" s="117">
        <f t="shared" si="86"/>
        <v>42.944655439062409</v>
      </c>
      <c r="AA218" s="117">
        <f t="shared" si="87"/>
        <v>36.956328899525474</v>
      </c>
      <c r="AB218" s="116">
        <v>1.7726314085555497</v>
      </c>
      <c r="AC218" s="123"/>
      <c r="AD218" s="5"/>
      <c r="AE218" s="122"/>
      <c r="AF218" s="122"/>
      <c r="AG218" s="122"/>
      <c r="AH218" s="122"/>
      <c r="AI218" s="123"/>
      <c r="AJ218" s="123"/>
    </row>
    <row r="219" spans="1:36" x14ac:dyDescent="0.25">
      <c r="A219" s="1">
        <f t="shared" si="91"/>
        <v>2026</v>
      </c>
      <c r="B219" s="52">
        <f t="shared" si="92"/>
        <v>46113</v>
      </c>
      <c r="C219" s="1" t="str">
        <f t="shared" si="88"/>
        <v>sáb</v>
      </c>
      <c r="D219" s="5">
        <f t="shared" si="72"/>
        <v>46130</v>
      </c>
      <c r="E219" s="30">
        <v>40.544922392862183</v>
      </c>
      <c r="F219" s="14">
        <f>+'Mono SPOT MAT'!M219/'Fisico SPOT MAT'!M219/24</f>
        <v>39.330859172197378</v>
      </c>
      <c r="G219" s="13">
        <f t="shared" si="81"/>
        <v>14.4</v>
      </c>
      <c r="H219" s="12">
        <f>+'Mono ASIG'!AA219</f>
        <v>73.789530725284138</v>
      </c>
      <c r="I219" s="12">
        <f t="shared" si="85"/>
        <v>61.723956954792335</v>
      </c>
      <c r="J219" s="12">
        <f t="shared" si="82"/>
        <v>14.4</v>
      </c>
      <c r="K219" s="155">
        <f>+'Mono SPOT MAT'!T219</f>
        <v>0</v>
      </c>
      <c r="L219" s="116"/>
      <c r="M219" s="116"/>
      <c r="N219" s="139">
        <f>+'Mono SPOT MAT'!S219/'Fisico SPOT MAT'!S219/'Fisico SPOT MAT'!E219</f>
        <v>14.861743447593922</v>
      </c>
      <c r="O219" s="116"/>
      <c r="R219">
        <v>0.9</v>
      </c>
      <c r="Y219" s="5">
        <f t="shared" si="73"/>
        <v>46130</v>
      </c>
      <c r="Z219" s="117">
        <f t="shared" si="86"/>
        <v>40.544922392862183</v>
      </c>
      <c r="AA219" s="117">
        <f t="shared" si="87"/>
        <v>37.59923064199247</v>
      </c>
      <c r="AB219" s="116">
        <v>1.7316285302049068</v>
      </c>
      <c r="AC219" s="123"/>
      <c r="AD219" s="5"/>
      <c r="AE219" s="122"/>
      <c r="AF219" s="122"/>
      <c r="AG219" s="122"/>
      <c r="AH219" s="122"/>
      <c r="AI219" s="123"/>
      <c r="AJ219" s="123"/>
    </row>
    <row r="220" spans="1:36" x14ac:dyDescent="0.25">
      <c r="A220" s="1">
        <f t="shared" si="91"/>
        <v>2026</v>
      </c>
      <c r="B220" s="52">
        <f t="shared" si="92"/>
        <v>46113</v>
      </c>
      <c r="C220" s="1" t="str">
        <f t="shared" si="88"/>
        <v>dom</v>
      </c>
      <c r="D220" s="5">
        <f t="shared" si="72"/>
        <v>46131</v>
      </c>
      <c r="E220" s="30">
        <v>37.250021077506069</v>
      </c>
      <c r="F220" s="14">
        <f>+'Mono SPOT MAT'!M220/'Fisico SPOT MAT'!M220/24</f>
        <v>39.451678502730054</v>
      </c>
      <c r="G220" s="13">
        <f t="shared" si="81"/>
        <v>14.4</v>
      </c>
      <c r="H220" s="12">
        <f>+'Mono ASIG'!AA220</f>
        <v>76.563313854578681</v>
      </c>
      <c r="I220" s="12">
        <f t="shared" si="85"/>
        <v>64.497740084086871</v>
      </c>
      <c r="J220" s="12">
        <f t="shared" si="82"/>
        <v>14.4</v>
      </c>
      <c r="K220" s="155">
        <f>+'Mono SPOT MAT'!T220</f>
        <v>0</v>
      </c>
      <c r="L220" s="116"/>
      <c r="M220" s="116"/>
      <c r="N220" s="139">
        <f>+'Mono SPOT MAT'!S220/'Fisico SPOT MAT'!S220/'Fisico SPOT MAT'!E220</f>
        <v>14.9608142673987</v>
      </c>
      <c r="O220" s="116"/>
      <c r="R220">
        <v>0.9</v>
      </c>
      <c r="Y220" s="5">
        <f t="shared" si="73"/>
        <v>46131</v>
      </c>
      <c r="Z220" s="117">
        <f t="shared" si="86"/>
        <v>37.250021077506069</v>
      </c>
      <c r="AA220" s="117">
        <f t="shared" si="87"/>
        <v>38.040331840580549</v>
      </c>
      <c r="AB220" s="116">
        <v>1.4113466621495052</v>
      </c>
      <c r="AC220" s="123"/>
      <c r="AD220" s="5"/>
      <c r="AE220" s="122"/>
      <c r="AF220" s="122"/>
      <c r="AG220" s="122"/>
      <c r="AH220" s="122"/>
      <c r="AI220" s="123"/>
      <c r="AJ220" s="123"/>
    </row>
    <row r="221" spans="1:36" x14ac:dyDescent="0.25">
      <c r="A221" s="1">
        <f t="shared" si="91"/>
        <v>2026</v>
      </c>
      <c r="B221" s="52">
        <f t="shared" si="92"/>
        <v>46113</v>
      </c>
      <c r="C221" s="1" t="str">
        <f t="shared" si="88"/>
        <v>lun</v>
      </c>
      <c r="D221" s="5">
        <f t="shared" si="72"/>
        <v>46132</v>
      </c>
      <c r="E221" s="30">
        <v>49.417593178744184</v>
      </c>
      <c r="F221" s="14">
        <f>+'Mono SPOT MAT'!M221/'Fisico SPOT MAT'!M221/24</f>
        <v>41.144513434969738</v>
      </c>
      <c r="G221" s="13">
        <f t="shared" si="81"/>
        <v>14.4</v>
      </c>
      <c r="H221" s="12">
        <f>+'Mono ASIG'!AA221</f>
        <v>64.268338077767993</v>
      </c>
      <c r="I221" s="12">
        <f t="shared" si="85"/>
        <v>52.20276430727619</v>
      </c>
      <c r="J221" s="12">
        <f t="shared" si="82"/>
        <v>14.4</v>
      </c>
      <c r="K221" s="155">
        <f>+'Mono SPOT MAT'!T221</f>
        <v>0</v>
      </c>
      <c r="L221" s="116"/>
      <c r="M221" s="116"/>
      <c r="N221" s="139">
        <f>+'Mono SPOT MAT'!S221/'Fisico SPOT MAT'!S221/'Fisico SPOT MAT'!E221</f>
        <v>14.999362426718804</v>
      </c>
      <c r="O221" s="116"/>
      <c r="R221">
        <v>0.9</v>
      </c>
      <c r="Y221" s="5">
        <f t="shared" si="73"/>
        <v>46132</v>
      </c>
      <c r="Z221" s="117">
        <f t="shared" si="86"/>
        <v>49.417593178744184</v>
      </c>
      <c r="AA221" s="117">
        <f t="shared" si="87"/>
        <v>38.999671898816018</v>
      </c>
      <c r="AB221" s="116">
        <v>2.1448415361537227</v>
      </c>
      <c r="AC221" s="123"/>
      <c r="AD221" s="5"/>
      <c r="AE221" s="122"/>
      <c r="AF221" s="122"/>
      <c r="AG221" s="122"/>
      <c r="AH221" s="122"/>
      <c r="AI221" s="123"/>
      <c r="AJ221" s="123"/>
    </row>
    <row r="222" spans="1:36" x14ac:dyDescent="0.25">
      <c r="A222" s="1">
        <f t="shared" ref="A222:A226" si="93">YEAR(D222)</f>
        <v>2026</v>
      </c>
      <c r="B222" s="52">
        <f t="shared" ref="B222:B226" si="94">DATE(A222,MONTH(D222),1)</f>
        <v>46113</v>
      </c>
      <c r="C222" s="1" t="str">
        <f t="shared" si="88"/>
        <v>mar</v>
      </c>
      <c r="D222" s="5">
        <f t="shared" si="72"/>
        <v>46133</v>
      </c>
      <c r="E222" s="30">
        <v>41.274284939618923</v>
      </c>
      <c r="F222" s="14">
        <f>+'Mono SPOT MAT'!M222/'Fisico SPOT MAT'!M222/24</f>
        <v>39.943584162312391</v>
      </c>
      <c r="G222" s="13">
        <f t="shared" si="81"/>
        <v>14.4</v>
      </c>
      <c r="H222" s="12">
        <f>+'Mono ASIG'!AA222</f>
        <v>65.076014059920638</v>
      </c>
      <c r="I222" s="12">
        <f t="shared" si="85"/>
        <v>53.010440289428836</v>
      </c>
      <c r="J222" s="12">
        <f t="shared" si="82"/>
        <v>14.4</v>
      </c>
      <c r="K222" s="155">
        <f>+'Mono SPOT MAT'!T222</f>
        <v>0</v>
      </c>
      <c r="L222" s="116"/>
      <c r="M222" s="116"/>
      <c r="N222" s="139">
        <f>+'Mono SPOT MAT'!S222/'Fisico SPOT MAT'!S222/'Fisico SPOT MAT'!E222</f>
        <v>15.092198013844419</v>
      </c>
      <c r="O222" s="116"/>
      <c r="R222">
        <v>0.9</v>
      </c>
      <c r="Y222" s="5">
        <f t="shared" si="73"/>
        <v>46133</v>
      </c>
      <c r="Z222" s="117">
        <f t="shared" ref="Z222:Z226" si="95">+E222</f>
        <v>41.274284939618923</v>
      </c>
      <c r="AA222" s="117">
        <f t="shared" ref="AA222:AA226" si="96">+F222-AB222</f>
        <v>38.139860196242282</v>
      </c>
      <c r="AB222" s="116">
        <v>1.8037239660701105</v>
      </c>
      <c r="AC222" s="123"/>
      <c r="AD222" s="5"/>
      <c r="AE222" s="122"/>
      <c r="AF222" s="122"/>
      <c r="AG222" s="122"/>
      <c r="AH222" s="122"/>
      <c r="AI222" s="123"/>
      <c r="AJ222" s="123"/>
    </row>
    <row r="223" spans="1:36" x14ac:dyDescent="0.25">
      <c r="A223" s="1">
        <f t="shared" si="93"/>
        <v>2026</v>
      </c>
      <c r="B223" s="52">
        <f t="shared" si="94"/>
        <v>46113</v>
      </c>
      <c r="C223" s="1" t="str">
        <f t="shared" si="88"/>
        <v>mié</v>
      </c>
      <c r="D223" s="5">
        <f t="shared" si="72"/>
        <v>46134</v>
      </c>
      <c r="E223" s="30">
        <v>83.370812671988219</v>
      </c>
      <c r="F223" s="14">
        <f>+'Mono SPOT MAT'!M223/'Fisico SPOT MAT'!M223/24</f>
        <v>43.689301332155026</v>
      </c>
      <c r="G223" s="13">
        <f t="shared" si="81"/>
        <v>14.4</v>
      </c>
      <c r="H223" s="12">
        <f>+'Mono ASIG'!AA223</f>
        <v>75.191070010532783</v>
      </c>
      <c r="I223" s="12">
        <f t="shared" si="85"/>
        <v>63.125496240040981</v>
      </c>
      <c r="J223" s="12">
        <f t="shared" si="82"/>
        <v>14.4</v>
      </c>
      <c r="K223" s="155">
        <f>+'Mono SPOT MAT'!T223</f>
        <v>0</v>
      </c>
      <c r="L223" s="116"/>
      <c r="M223" s="116"/>
      <c r="N223" s="139">
        <f>+'Mono SPOT MAT'!S223/'Fisico SPOT MAT'!S223/'Fisico SPOT MAT'!E223</f>
        <v>15.190015199268721</v>
      </c>
      <c r="O223" s="116"/>
      <c r="R223">
        <v>0.9</v>
      </c>
      <c r="X223"/>
      <c r="Y223" s="5">
        <f t="shared" si="73"/>
        <v>46134</v>
      </c>
      <c r="Z223" s="117">
        <f t="shared" si="95"/>
        <v>83.370812671988219</v>
      </c>
      <c r="AA223" s="117">
        <f t="shared" si="96"/>
        <v>37.257642022090025</v>
      </c>
      <c r="AB223" s="116">
        <v>6.4316593100650019</v>
      </c>
      <c r="AC223" s="123"/>
      <c r="AD223" s="5"/>
      <c r="AE223" s="122"/>
      <c r="AF223" s="122"/>
      <c r="AG223" s="122"/>
      <c r="AH223" s="122"/>
      <c r="AI223" s="123"/>
      <c r="AJ223" s="123"/>
    </row>
    <row r="224" spans="1:36" x14ac:dyDescent="0.25">
      <c r="A224" s="1">
        <f t="shared" si="93"/>
        <v>2026</v>
      </c>
      <c r="B224" s="52">
        <f t="shared" si="94"/>
        <v>46113</v>
      </c>
      <c r="C224" s="1" t="str">
        <f t="shared" si="88"/>
        <v>jue</v>
      </c>
      <c r="D224" s="5">
        <f t="shared" si="72"/>
        <v>46135</v>
      </c>
      <c r="E224" s="30">
        <v>103.45145119826822</v>
      </c>
      <c r="F224" s="14">
        <f>+'Mono SPOT MAT'!M224/'Fisico SPOT MAT'!M224/24</f>
        <v>48.361736400600826</v>
      </c>
      <c r="G224" s="13">
        <f t="shared" si="81"/>
        <v>14.4</v>
      </c>
      <c r="H224" s="12">
        <f>+'Mono ASIG'!AA224</f>
        <v>76.537133856190181</v>
      </c>
      <c r="I224" s="12">
        <f t="shared" si="85"/>
        <v>64.471560085698371</v>
      </c>
      <c r="J224" s="12">
        <f t="shared" si="82"/>
        <v>14.4</v>
      </c>
      <c r="K224" s="155">
        <f>+'Mono SPOT MAT'!T224</f>
        <v>0</v>
      </c>
      <c r="L224" s="116"/>
      <c r="M224" s="116"/>
      <c r="N224" s="139">
        <f>+'Mono SPOT MAT'!S224/'Fisico SPOT MAT'!S224/'Fisico SPOT MAT'!E224</f>
        <v>15.227424400605281</v>
      </c>
      <c r="O224" s="116"/>
      <c r="R224">
        <v>0.9</v>
      </c>
      <c r="Y224" s="5">
        <f t="shared" si="73"/>
        <v>46135</v>
      </c>
      <c r="Z224" s="117">
        <f t="shared" si="95"/>
        <v>103.45145119826822</v>
      </c>
      <c r="AA224" s="117">
        <f t="shared" si="96"/>
        <v>39.236595499767844</v>
      </c>
      <c r="AB224" s="116">
        <v>9.1251409008329833</v>
      </c>
      <c r="AC224" s="123"/>
      <c r="AD224" s="5"/>
      <c r="AE224" s="122"/>
      <c r="AF224" s="122"/>
      <c r="AG224" s="122"/>
      <c r="AH224" s="122"/>
      <c r="AI224" s="123"/>
      <c r="AJ224" s="123"/>
    </row>
    <row r="225" spans="1:36" x14ac:dyDescent="0.25">
      <c r="A225" s="1">
        <f t="shared" si="93"/>
        <v>2026</v>
      </c>
      <c r="B225" s="52">
        <f t="shared" si="94"/>
        <v>46113</v>
      </c>
      <c r="C225" s="1" t="str">
        <f t="shared" si="88"/>
        <v>vie</v>
      </c>
      <c r="D225" s="5">
        <f t="shared" si="72"/>
        <v>46136</v>
      </c>
      <c r="E225" s="30">
        <v>103.52535210812188</v>
      </c>
      <c r="F225" s="14">
        <f>+'Mono SPOT MAT'!M225/'Fisico SPOT MAT'!M225/24</f>
        <v>46.54809436890536</v>
      </c>
      <c r="G225" s="13">
        <f t="shared" si="81"/>
        <v>14.4</v>
      </c>
      <c r="H225" s="12">
        <f>+'Mono ASIG'!AA225</f>
        <v>72.682071219329856</v>
      </c>
      <c r="I225" s="12">
        <f t="shared" si="85"/>
        <v>60.616497448838054</v>
      </c>
      <c r="J225" s="12">
        <f t="shared" si="82"/>
        <v>14.4</v>
      </c>
      <c r="K225" s="155">
        <f>+'Mono SPOT MAT'!T225</f>
        <v>0</v>
      </c>
      <c r="L225" s="116"/>
      <c r="M225" s="116"/>
      <c r="N225" s="139">
        <f>+'Mono SPOT MAT'!S225/'Fisico SPOT MAT'!S225/'Fisico SPOT MAT'!E225</f>
        <v>15.285018463025276</v>
      </c>
      <c r="O225" s="116"/>
      <c r="R225">
        <v>0.9</v>
      </c>
      <c r="Y225" s="5">
        <f t="shared" si="73"/>
        <v>46136</v>
      </c>
      <c r="Z225" s="117">
        <f t="shared" si="95"/>
        <v>103.52535210812188</v>
      </c>
      <c r="AA225" s="117">
        <f t="shared" si="96"/>
        <v>36.991659910462658</v>
      </c>
      <c r="AB225" s="116">
        <v>9.5564344584427019</v>
      </c>
      <c r="AC225" s="123"/>
      <c r="AD225" s="5"/>
      <c r="AE225" s="122"/>
      <c r="AF225" s="122"/>
      <c r="AG225" s="122"/>
      <c r="AH225" s="122"/>
      <c r="AI225" s="123"/>
      <c r="AJ225" s="123"/>
    </row>
    <row r="226" spans="1:36" x14ac:dyDescent="0.25">
      <c r="A226" s="1">
        <f t="shared" si="93"/>
        <v>2026</v>
      </c>
      <c r="B226" s="52">
        <f t="shared" si="94"/>
        <v>46113</v>
      </c>
      <c r="C226" s="1" t="str">
        <f t="shared" si="88"/>
        <v>sáb</v>
      </c>
      <c r="D226" s="5">
        <f t="shared" si="72"/>
        <v>46137</v>
      </c>
      <c r="E226" s="30">
        <v>138.05220880287672</v>
      </c>
      <c r="F226" s="14">
        <f>+'Mono SPOT MAT'!M226/'Fisico SPOT MAT'!M226/24</f>
        <v>52.223941138339107</v>
      </c>
      <c r="G226" s="13">
        <f t="shared" si="81"/>
        <v>14.4</v>
      </c>
      <c r="H226" s="12">
        <f>+'Mono ASIG'!AA226</f>
        <v>73.579401079921652</v>
      </c>
      <c r="I226" s="12">
        <f t="shared" si="85"/>
        <v>61.51382730942985</v>
      </c>
      <c r="J226" s="12">
        <f t="shared" si="82"/>
        <v>14.4</v>
      </c>
      <c r="K226" s="155">
        <f>+'Mono SPOT MAT'!T226</f>
        <v>0</v>
      </c>
      <c r="L226" s="116"/>
      <c r="M226" s="116"/>
      <c r="N226" s="139">
        <f>+'Mono SPOT MAT'!S226/'Fisico SPOT MAT'!S226/'Fisico SPOT MAT'!E226</f>
        <v>15.291723493409053</v>
      </c>
      <c r="O226" s="116"/>
      <c r="R226">
        <v>0.9</v>
      </c>
      <c r="Y226" s="5">
        <f t="shared" si="73"/>
        <v>46137</v>
      </c>
      <c r="Z226" s="117">
        <f t="shared" si="95"/>
        <v>138.05220880287672</v>
      </c>
      <c r="AA226" s="117">
        <f t="shared" si="96"/>
        <v>39.695840887644209</v>
      </c>
      <c r="AB226" s="116">
        <v>12.528100250694894</v>
      </c>
      <c r="AC226" s="123"/>
      <c r="AD226" s="5"/>
      <c r="AE226" s="122"/>
      <c r="AF226" s="122"/>
      <c r="AG226" s="122"/>
      <c r="AH226" s="122"/>
      <c r="AI226" s="123"/>
      <c r="AJ226" s="123"/>
    </row>
    <row r="227" spans="1:36" x14ac:dyDescent="0.25">
      <c r="A227" s="1">
        <f t="shared" ref="A227:A230" si="97">YEAR(D227)</f>
        <v>2026</v>
      </c>
      <c r="B227" s="52">
        <f t="shared" ref="B227:B230" si="98">DATE(A227,MONTH(D227),1)</f>
        <v>46113</v>
      </c>
      <c r="C227" s="1" t="str">
        <f t="shared" si="88"/>
        <v>dom</v>
      </c>
      <c r="D227" s="5">
        <f t="shared" si="72"/>
        <v>46138</v>
      </c>
      <c r="E227" s="30">
        <v>68.490458955508984</v>
      </c>
      <c r="F227" s="14">
        <f>+'Mono SPOT MAT'!M227/'Fisico SPOT MAT'!M227/24</f>
        <v>51.861491943188327</v>
      </c>
      <c r="G227" s="13">
        <f t="shared" ref="G227:G230" si="99">16*R227</f>
        <v>14.4</v>
      </c>
      <c r="H227" s="12">
        <f>+'Mono ASIG'!AA227</f>
        <v>81.876395766165444</v>
      </c>
      <c r="I227" s="12">
        <f t="shared" ref="I227:I230" si="100">+H227-J227*$P$12/$Q$12/$W$12</f>
        <v>69.810821995673649</v>
      </c>
      <c r="J227" s="12">
        <f t="shared" ref="J227:J230" si="101">16*R227</f>
        <v>14.4</v>
      </c>
      <c r="K227" s="155">
        <f>+'Mono SPOT MAT'!T227</f>
        <v>0</v>
      </c>
      <c r="L227" s="116"/>
      <c r="M227" s="116"/>
      <c r="N227" s="139">
        <f>+'Mono SPOT MAT'!S227/'Fisico SPOT MAT'!S227/'Fisico SPOT MAT'!E227</f>
        <v>15.309103017731506</v>
      </c>
      <c r="O227" s="116"/>
      <c r="R227">
        <v>0.9</v>
      </c>
      <c r="Y227" s="5">
        <f t="shared" si="73"/>
        <v>46138</v>
      </c>
      <c r="Z227" s="117">
        <f t="shared" ref="Z227:Z229" si="102">+E227</f>
        <v>68.490458955508984</v>
      </c>
      <c r="AA227" s="117">
        <f t="shared" ref="AA227:AA229" si="103">+F227-AB227</f>
        <v>46.062673056897268</v>
      </c>
      <c r="AB227" s="116">
        <v>5.7988188862910581</v>
      </c>
      <c r="AC227" s="123"/>
      <c r="AD227" s="5"/>
      <c r="AE227" s="122"/>
      <c r="AF227" s="122"/>
      <c r="AG227" s="122"/>
      <c r="AH227" s="122"/>
      <c r="AI227" s="123"/>
      <c r="AJ227" s="123"/>
    </row>
    <row r="228" spans="1:36" x14ac:dyDescent="0.25">
      <c r="A228" s="1">
        <f t="shared" si="97"/>
        <v>2026</v>
      </c>
      <c r="B228" s="52">
        <f t="shared" si="98"/>
        <v>46113</v>
      </c>
      <c r="C228" s="1" t="str">
        <f t="shared" si="88"/>
        <v>lun</v>
      </c>
      <c r="D228" s="5">
        <f t="shared" si="72"/>
        <v>46139</v>
      </c>
      <c r="E228" s="30">
        <v>132.01032462473054</v>
      </c>
      <c r="F228" s="14">
        <f>+'Mono SPOT MAT'!M228/'Fisico SPOT MAT'!M228/24</f>
        <v>54.9746056366358</v>
      </c>
      <c r="G228" s="13">
        <f t="shared" si="99"/>
        <v>14.4</v>
      </c>
      <c r="H228" s="12">
        <f>+'Mono ASIG'!AA228</f>
        <v>68.141270785759787</v>
      </c>
      <c r="I228" s="12">
        <f t="shared" si="100"/>
        <v>56.075697015267984</v>
      </c>
      <c r="J228" s="12">
        <f t="shared" si="101"/>
        <v>14.4</v>
      </c>
      <c r="K228" s="155">
        <f>+'Mono SPOT MAT'!T228</f>
        <v>0</v>
      </c>
      <c r="L228" s="116"/>
      <c r="M228" s="116"/>
      <c r="N228" s="139">
        <f>+'Mono SPOT MAT'!S228/'Fisico SPOT MAT'!S228/'Fisico SPOT MAT'!E228</f>
        <v>15.316759909417421</v>
      </c>
      <c r="O228" s="116"/>
      <c r="R228">
        <v>0.9</v>
      </c>
      <c r="Y228" s="5">
        <f t="shared" si="73"/>
        <v>46139</v>
      </c>
      <c r="Z228" s="117">
        <f t="shared" si="102"/>
        <v>132.01032462473054</v>
      </c>
      <c r="AA228" s="117">
        <f t="shared" si="103"/>
        <v>42.763508355995789</v>
      </c>
      <c r="AB228" s="116">
        <v>12.21109728064001</v>
      </c>
      <c r="AC228" s="123"/>
      <c r="AD228" s="5"/>
      <c r="AE228" s="122"/>
      <c r="AF228" s="122"/>
      <c r="AG228" s="122"/>
      <c r="AH228" s="122"/>
      <c r="AI228" s="123"/>
      <c r="AJ228" s="123"/>
    </row>
    <row r="229" spans="1:36" x14ac:dyDescent="0.25">
      <c r="A229" s="1">
        <f t="shared" si="97"/>
        <v>2026</v>
      </c>
      <c r="B229" s="52">
        <f t="shared" si="98"/>
        <v>46113</v>
      </c>
      <c r="C229" s="1" t="str">
        <f t="shared" si="88"/>
        <v>mar</v>
      </c>
      <c r="D229" s="5">
        <f t="shared" si="72"/>
        <v>46140</v>
      </c>
      <c r="E229" s="30">
        <v>155.60620075079038</v>
      </c>
      <c r="F229" s="14">
        <f>+'Mono SPOT MAT'!M229/'Fisico SPOT MAT'!M229/24</f>
        <v>67.586005385445461</v>
      </c>
      <c r="G229" s="13">
        <f t="shared" si="99"/>
        <v>14.4</v>
      </c>
      <c r="H229" s="12">
        <f>+'Mono ASIG'!AA229</f>
        <v>66.39993638330931</v>
      </c>
      <c r="I229" s="12">
        <f t="shared" si="100"/>
        <v>54.334362612817507</v>
      </c>
      <c r="J229" s="12">
        <f t="shared" si="101"/>
        <v>14.4</v>
      </c>
      <c r="K229" s="155">
        <f>+'Mono SPOT MAT'!T229</f>
        <v>0</v>
      </c>
      <c r="L229" s="116"/>
      <c r="M229" s="116"/>
      <c r="N229" s="139">
        <f>+'Mono SPOT MAT'!S229/'Fisico SPOT MAT'!S229/'Fisico SPOT MAT'!E229</f>
        <v>15.298769349940898</v>
      </c>
      <c r="O229" s="116"/>
      <c r="R229">
        <v>0.9</v>
      </c>
      <c r="Y229" s="5">
        <f t="shared" si="73"/>
        <v>46140</v>
      </c>
      <c r="Z229" s="117">
        <f t="shared" si="102"/>
        <v>155.60620075079038</v>
      </c>
      <c r="AA229" s="117">
        <f t="shared" si="103"/>
        <v>54.053435966926649</v>
      </c>
      <c r="AB229" s="116">
        <v>13.532569418518809</v>
      </c>
      <c r="AC229" s="123"/>
      <c r="AD229" s="5"/>
      <c r="AE229" s="122"/>
      <c r="AF229" s="122"/>
      <c r="AG229" s="122"/>
      <c r="AH229" s="122"/>
      <c r="AI229" s="123"/>
      <c r="AJ229" s="123"/>
    </row>
    <row r="230" spans="1:36" x14ac:dyDescent="0.25">
      <c r="A230" s="1">
        <f t="shared" si="97"/>
        <v>2026</v>
      </c>
      <c r="B230" s="52">
        <f t="shared" si="98"/>
        <v>46113</v>
      </c>
      <c r="C230" s="1" t="str">
        <f t="shared" si="88"/>
        <v>mié</v>
      </c>
      <c r="D230" s="5">
        <f t="shared" si="72"/>
        <v>46141</v>
      </c>
      <c r="E230" s="30">
        <v>138.86196407147474</v>
      </c>
      <c r="F230" s="14">
        <f>+'Mono SPOT MAT'!M230/'Fisico SPOT MAT'!M230/24</f>
        <v>62.751412295244414</v>
      </c>
      <c r="G230" s="13">
        <f t="shared" si="99"/>
        <v>14.4</v>
      </c>
      <c r="H230" s="12">
        <f>+'Mono ASIG'!AA230</f>
        <v>70.3802580151402</v>
      </c>
      <c r="I230" s="12">
        <f t="shared" si="100"/>
        <v>58.314684244648397</v>
      </c>
      <c r="J230" s="12">
        <f t="shared" si="101"/>
        <v>14.4</v>
      </c>
      <c r="K230" s="155">
        <f>+'Mono SPOT MAT'!T230</f>
        <v>0</v>
      </c>
      <c r="L230" s="116"/>
      <c r="M230" s="116"/>
      <c r="N230" s="139">
        <f>+'Mono SPOT MAT'!S230/'Fisico SPOT MAT'!S230/'Fisico SPOT MAT'!E230</f>
        <v>15.320173520356059</v>
      </c>
      <c r="O230" s="116"/>
      <c r="R230">
        <v>0.9</v>
      </c>
      <c r="Y230" s="5">
        <f t="shared" si="73"/>
        <v>46141</v>
      </c>
      <c r="Z230" s="117">
        <f t="shared" ref="Z230:Z231" si="104">+E230</f>
        <v>138.86196407147474</v>
      </c>
      <c r="AA230" s="117">
        <f t="shared" ref="AA230:AA242" si="105">+F230-AB230</f>
        <v>50.966622030941167</v>
      </c>
      <c r="AB230" s="116">
        <v>11.784790264303245</v>
      </c>
      <c r="AC230" s="123"/>
      <c r="AD230" s="5"/>
      <c r="AE230" s="122"/>
      <c r="AF230" s="122"/>
      <c r="AG230" s="122"/>
      <c r="AH230" s="122"/>
      <c r="AI230" s="123"/>
      <c r="AJ230" s="123"/>
    </row>
    <row r="231" spans="1:36" x14ac:dyDescent="0.25">
      <c r="A231" s="1">
        <f t="shared" ref="A231" si="106">YEAR(D231)</f>
        <v>2026</v>
      </c>
      <c r="B231" s="52">
        <f t="shared" ref="B231" si="107">DATE(A231,MONTH(D231),1)</f>
        <v>46113</v>
      </c>
      <c r="C231" s="1" t="str">
        <f t="shared" si="88"/>
        <v>jue</v>
      </c>
      <c r="D231" s="5">
        <f t="shared" si="72"/>
        <v>46142</v>
      </c>
      <c r="E231" s="30">
        <v>164.85348738116059</v>
      </c>
      <c r="F231" s="14">
        <f>+'Mono SPOT MAT'!M231/'Fisico SPOT MAT'!M231/24</f>
        <v>65.766115273223633</v>
      </c>
      <c r="G231" s="13">
        <f t="shared" ref="G231" si="108">16*R231</f>
        <v>14.4</v>
      </c>
      <c r="H231" s="12">
        <f>+'Mono ASIG'!AA231</f>
        <v>75.380871498479124</v>
      </c>
      <c r="I231" s="12">
        <f t="shared" ref="I231" si="109">+H231-J231*$P$12/$Q$12/$W$12</f>
        <v>63.315297727987321</v>
      </c>
      <c r="J231" s="12">
        <f t="shared" ref="J231" si="110">16*R231</f>
        <v>14.4</v>
      </c>
      <c r="K231" s="155">
        <f>+'Mono SPOT MAT'!T231</f>
        <v>0</v>
      </c>
      <c r="L231" s="116"/>
      <c r="M231" s="116"/>
      <c r="N231" s="139">
        <f>+'Mono SPOT MAT'!S231/'Fisico SPOT MAT'!S231/'Fisico SPOT MAT'!E231</f>
        <v>15.336464126020028</v>
      </c>
      <c r="O231" s="116"/>
      <c r="R231">
        <v>0.9</v>
      </c>
      <c r="Y231" s="5">
        <f t="shared" si="73"/>
        <v>46142</v>
      </c>
      <c r="Z231" s="117">
        <f t="shared" si="104"/>
        <v>164.85348738116059</v>
      </c>
      <c r="AA231" s="117">
        <f t="shared" si="105"/>
        <v>50.634492461392291</v>
      </c>
      <c r="AB231" s="116">
        <v>15.13162281183134</v>
      </c>
      <c r="AC231" s="123"/>
      <c r="AD231" s="5"/>
      <c r="AE231" s="122"/>
      <c r="AF231" s="122"/>
      <c r="AG231" s="122"/>
      <c r="AH231" s="122"/>
      <c r="AI231" s="123"/>
      <c r="AJ231" s="123"/>
    </row>
    <row r="232" spans="1:36" x14ac:dyDescent="0.25">
      <c r="A232" s="1">
        <v>2026</v>
      </c>
      <c r="B232" s="52">
        <v>46143</v>
      </c>
      <c r="C232" s="1" t="s">
        <v>57</v>
      </c>
      <c r="D232" s="5">
        <v>46143</v>
      </c>
      <c r="E232" s="30">
        <v>116.86856589277137</v>
      </c>
      <c r="F232" s="14">
        <f>+'Mono SPOT MAT'!M232/'Fisico SPOT MAT'!M232/24</f>
        <v>73.985141649607556</v>
      </c>
      <c r="G232" s="13">
        <f t="shared" ref="G232:G242" si="111">16*R232</f>
        <v>14.4</v>
      </c>
      <c r="H232" s="12">
        <f>+'Mono ASIG'!AA232</f>
        <v>89.521239417375668</v>
      </c>
      <c r="I232" s="12">
        <f t="shared" ref="I232:I242" si="112">+H232-J232*$P$12/$Q$12/$W$12</f>
        <v>77.455665646883858</v>
      </c>
      <c r="J232" s="12">
        <f t="shared" ref="J232:J242" si="113">16*R232</f>
        <v>14.4</v>
      </c>
      <c r="K232" s="155">
        <f>+'Mono SPOT MAT'!T232</f>
        <v>75</v>
      </c>
      <c r="L232" s="116"/>
      <c r="M232" s="116"/>
      <c r="N232" s="139">
        <f>+'Mono SPOT MAT'!S232/'Fisico SPOT MAT'!S232/'Fisico SPOT MAT'!E232</f>
        <v>15.256926341659906</v>
      </c>
      <c r="O232" s="116"/>
      <c r="R232">
        <v>0.9</v>
      </c>
      <c r="Y232" s="5">
        <f t="shared" si="73"/>
        <v>46143</v>
      </c>
      <c r="Z232" s="117">
        <f t="shared" ref="Z232:Z242" si="114">+E232</f>
        <v>116.86856589277137</v>
      </c>
      <c r="AA232" s="117">
        <f t="shared" si="105"/>
        <v>66.776724673601535</v>
      </c>
      <c r="AB232" s="116">
        <v>7.2084169760060206</v>
      </c>
      <c r="AC232" s="123"/>
      <c r="AD232" s="5"/>
      <c r="AE232" s="122"/>
      <c r="AF232" s="122"/>
      <c r="AG232" s="122"/>
      <c r="AH232" s="122"/>
      <c r="AI232" s="123"/>
      <c r="AJ232" s="123"/>
    </row>
    <row r="233" spans="1:36" x14ac:dyDescent="0.25">
      <c r="A233" s="1">
        <v>2026</v>
      </c>
      <c r="B233" s="52">
        <v>46143</v>
      </c>
      <c r="C233" s="1" t="s">
        <v>51</v>
      </c>
      <c r="D233" s="5">
        <v>46144</v>
      </c>
      <c r="E233" s="30">
        <v>114.34444263644012</v>
      </c>
      <c r="F233" s="14">
        <f>+'Mono SPOT MAT'!M233/'Fisico SPOT MAT'!M233/24</f>
        <v>68.04935881989384</v>
      </c>
      <c r="G233" s="13">
        <f t="shared" si="111"/>
        <v>14.4</v>
      </c>
      <c r="H233" s="12">
        <f>+'Mono ASIG'!AA233</f>
        <v>87.986250759244456</v>
      </c>
      <c r="I233" s="12">
        <f t="shared" si="112"/>
        <v>75.92067698875266</v>
      </c>
      <c r="J233" s="12">
        <f t="shared" si="113"/>
        <v>14.4</v>
      </c>
      <c r="K233" s="155">
        <f>+'Mono SPOT MAT'!T233</f>
        <v>75</v>
      </c>
      <c r="L233" s="116"/>
      <c r="M233" s="116"/>
      <c r="N233" s="139">
        <f>+'Mono SPOT MAT'!S233/'Fisico SPOT MAT'!S233/'Fisico SPOT MAT'!E233</f>
        <v>15.281648530754479</v>
      </c>
      <c r="O233" s="116"/>
      <c r="R233">
        <v>0.9</v>
      </c>
      <c r="Y233" s="5">
        <f t="shared" si="73"/>
        <v>46144</v>
      </c>
      <c r="Z233" s="117">
        <f t="shared" si="114"/>
        <v>114.34444263644012</v>
      </c>
      <c r="AA233" s="117">
        <f t="shared" si="105"/>
        <v>60.674260710672129</v>
      </c>
      <c r="AB233" s="116">
        <v>7.3750981092217121</v>
      </c>
      <c r="AC233" s="123"/>
      <c r="AD233" s="5"/>
      <c r="AE233" s="122"/>
      <c r="AF233" s="122"/>
      <c r="AG233" s="122"/>
      <c r="AH233" s="122"/>
      <c r="AI233" s="123"/>
      <c r="AJ233" s="123"/>
    </row>
    <row r="234" spans="1:36" x14ac:dyDescent="0.25">
      <c r="A234" s="1">
        <v>2026</v>
      </c>
      <c r="B234" s="52">
        <v>46143</v>
      </c>
      <c r="C234" s="1" t="s">
        <v>52</v>
      </c>
      <c r="D234" s="5">
        <v>46145</v>
      </c>
      <c r="E234" s="30">
        <v>99.940224169878817</v>
      </c>
      <c r="F234" s="14">
        <f>+'Mono SPOT MAT'!M234/'Fisico SPOT MAT'!M234/24</f>
        <v>62.581018149870324</v>
      </c>
      <c r="G234" s="13">
        <f t="shared" si="111"/>
        <v>14.4</v>
      </c>
      <c r="H234" s="12">
        <f>+'Mono ASIG'!AA234</f>
        <v>92.497227417210652</v>
      </c>
      <c r="I234" s="12">
        <f t="shared" si="112"/>
        <v>80.431653646718843</v>
      </c>
      <c r="J234" s="12">
        <f t="shared" si="113"/>
        <v>14.4</v>
      </c>
      <c r="K234" s="155">
        <f>+'Mono SPOT MAT'!T234</f>
        <v>75</v>
      </c>
      <c r="L234" s="116"/>
      <c r="M234" s="116"/>
      <c r="N234" s="139">
        <f>+'Mono SPOT MAT'!S234/'Fisico SPOT MAT'!S234/'Fisico SPOT MAT'!E234</f>
        <v>15.306241034850947</v>
      </c>
      <c r="O234" s="116"/>
      <c r="R234">
        <v>0.9</v>
      </c>
      <c r="Y234" s="5">
        <f t="shared" si="73"/>
        <v>46145</v>
      </c>
      <c r="Z234" s="117">
        <f t="shared" si="114"/>
        <v>99.940224169878817</v>
      </c>
      <c r="AA234" s="117">
        <f t="shared" si="105"/>
        <v>57.461061450537514</v>
      </c>
      <c r="AB234" s="116">
        <v>5.1199566993328141</v>
      </c>
      <c r="AC234" s="123"/>
      <c r="AD234" s="5"/>
      <c r="AE234" s="122"/>
      <c r="AF234" s="122"/>
      <c r="AG234" s="122"/>
      <c r="AH234" s="122"/>
      <c r="AI234" s="123"/>
      <c r="AJ234" s="123"/>
    </row>
    <row r="235" spans="1:36" x14ac:dyDescent="0.25">
      <c r="A235" s="1">
        <v>2026</v>
      </c>
      <c r="B235" s="52">
        <v>46143</v>
      </c>
      <c r="C235" s="1" t="s">
        <v>53</v>
      </c>
      <c r="D235" s="5">
        <v>46146</v>
      </c>
      <c r="E235" s="30">
        <v>111.31722313557655</v>
      </c>
      <c r="F235" s="14">
        <f>+'Mono SPOT MAT'!M235/'Fisico SPOT MAT'!M235/24</f>
        <v>65.114398298890436</v>
      </c>
      <c r="G235" s="13">
        <f t="shared" si="111"/>
        <v>14.4</v>
      </c>
      <c r="H235" s="12">
        <f>+'Mono ASIG'!AA235</f>
        <v>79.376780815034508</v>
      </c>
      <c r="I235" s="12">
        <f t="shared" si="112"/>
        <v>67.311207044542698</v>
      </c>
      <c r="J235" s="12">
        <f t="shared" si="113"/>
        <v>14.4</v>
      </c>
      <c r="K235" s="155">
        <f>+'Mono SPOT MAT'!T235</f>
        <v>75</v>
      </c>
      <c r="L235" s="116"/>
      <c r="M235" s="116"/>
      <c r="N235" s="139">
        <f>+'Mono SPOT MAT'!S235/'Fisico SPOT MAT'!S235/'Fisico SPOT MAT'!E235</f>
        <v>15.324738795814335</v>
      </c>
      <c r="O235" s="116"/>
      <c r="R235">
        <v>0.9</v>
      </c>
      <c r="Y235" s="5">
        <f t="shared" si="73"/>
        <v>46146</v>
      </c>
      <c r="Z235" s="117">
        <f t="shared" si="114"/>
        <v>111.31722313557655</v>
      </c>
      <c r="AA235" s="117">
        <f t="shared" si="105"/>
        <v>58.385798012309955</v>
      </c>
      <c r="AB235" s="116">
        <v>6.7286002865804804</v>
      </c>
      <c r="AC235" s="123"/>
      <c r="AD235" s="5"/>
      <c r="AE235" s="122"/>
      <c r="AF235" s="122"/>
      <c r="AG235" s="122"/>
      <c r="AH235" s="122"/>
      <c r="AI235" s="123"/>
      <c r="AJ235" s="123"/>
    </row>
    <row r="236" spans="1:36" x14ac:dyDescent="0.25">
      <c r="A236" s="1">
        <v>2026</v>
      </c>
      <c r="B236" s="52">
        <v>46143</v>
      </c>
      <c r="C236" s="1" t="s">
        <v>54</v>
      </c>
      <c r="D236" s="5">
        <v>46147</v>
      </c>
      <c r="E236" s="30">
        <v>135.04494762087256</v>
      </c>
      <c r="F236" s="14">
        <f>+'Mono SPOT MAT'!M236/'Fisico SPOT MAT'!M236/24</f>
        <v>71.015411262492876</v>
      </c>
      <c r="G236" s="13">
        <f t="shared" si="111"/>
        <v>14.4</v>
      </c>
      <c r="H236" s="12">
        <f>+'Mono ASIG'!AA236</f>
        <v>77.05602895069309</v>
      </c>
      <c r="I236" s="12">
        <f t="shared" si="112"/>
        <v>64.99045518020128</v>
      </c>
      <c r="J236" s="12">
        <f t="shared" si="113"/>
        <v>14.4</v>
      </c>
      <c r="K236" s="155">
        <f>+'Mono SPOT MAT'!T236</f>
        <v>75</v>
      </c>
      <c r="L236" s="116"/>
      <c r="M236" s="116"/>
      <c r="N236" s="139">
        <f>+'Mono SPOT MAT'!S236/'Fisico SPOT MAT'!S236/'Fisico SPOT MAT'!E236</f>
        <v>15.329868585384464</v>
      </c>
      <c r="O236" s="116"/>
      <c r="R236">
        <v>0.9</v>
      </c>
      <c r="Y236" s="5">
        <f t="shared" si="73"/>
        <v>46147</v>
      </c>
      <c r="Z236" s="117">
        <f t="shared" si="114"/>
        <v>135.04494762087256</v>
      </c>
      <c r="AA236" s="117">
        <f t="shared" si="105"/>
        <v>62.598722726623272</v>
      </c>
      <c r="AB236" s="116">
        <v>8.4166885358696053</v>
      </c>
      <c r="AC236" s="123"/>
      <c r="AD236" s="5"/>
      <c r="AE236" s="122"/>
      <c r="AF236" s="122"/>
      <c r="AG236" s="122"/>
      <c r="AH236" s="122"/>
      <c r="AI236" s="123"/>
      <c r="AJ236" s="123"/>
    </row>
    <row r="237" spans="1:36" x14ac:dyDescent="0.25">
      <c r="A237" s="1">
        <v>2026</v>
      </c>
      <c r="B237" s="52">
        <v>46143</v>
      </c>
      <c r="C237" s="1" t="s">
        <v>55</v>
      </c>
      <c r="D237" s="5">
        <v>46148</v>
      </c>
      <c r="E237" s="30">
        <v>135.43188295433654</v>
      </c>
      <c r="F237" s="14">
        <f>+'Mono SPOT MAT'!M237/'Fisico SPOT MAT'!M237/24</f>
        <v>76.614167656114631</v>
      </c>
      <c r="G237" s="13">
        <f t="shared" si="111"/>
        <v>14.4</v>
      </c>
      <c r="H237" s="12">
        <f>+'Mono ASIG'!AA237</f>
        <v>79.718357875052106</v>
      </c>
      <c r="I237" s="12">
        <f t="shared" si="112"/>
        <v>67.652784104560311</v>
      </c>
      <c r="J237" s="12">
        <f t="shared" si="113"/>
        <v>14.4</v>
      </c>
      <c r="K237" s="155">
        <f>+'Mono SPOT MAT'!T237</f>
        <v>75</v>
      </c>
      <c r="L237" s="116"/>
      <c r="M237" s="116"/>
      <c r="N237" s="139">
        <f>+'Mono SPOT MAT'!S237/'Fisico SPOT MAT'!S237/'Fisico SPOT MAT'!E237</f>
        <v>15.323625609404502</v>
      </c>
      <c r="O237" s="116"/>
      <c r="R237">
        <v>0.9</v>
      </c>
      <c r="Y237" s="5">
        <f t="shared" si="73"/>
        <v>46148</v>
      </c>
      <c r="Z237" s="117">
        <f t="shared" si="114"/>
        <v>135.43188295433654</v>
      </c>
      <c r="AA237" s="117">
        <f t="shared" si="105"/>
        <v>68.650320518158793</v>
      </c>
      <c r="AB237" s="116">
        <v>7.9638471379558347</v>
      </c>
      <c r="AC237" s="123"/>
      <c r="AD237" s="5"/>
      <c r="AE237" s="122"/>
      <c r="AF237" s="122"/>
      <c r="AG237" s="122"/>
      <c r="AH237" s="122"/>
      <c r="AI237" s="123"/>
      <c r="AJ237" s="123"/>
    </row>
    <row r="238" spans="1:36" x14ac:dyDescent="0.25">
      <c r="A238" s="1">
        <v>2026</v>
      </c>
      <c r="B238" s="52">
        <v>46143</v>
      </c>
      <c r="C238" s="1" t="s">
        <v>56</v>
      </c>
      <c r="D238" s="5">
        <v>46149</v>
      </c>
      <c r="E238" s="30">
        <v>119.88528838228677</v>
      </c>
      <c r="F238" s="14">
        <f>+'Mono SPOT MAT'!M238/'Fisico SPOT MAT'!M238/24</f>
        <v>72.494224534541573</v>
      </c>
      <c r="G238" s="13">
        <f t="shared" si="111"/>
        <v>14.4</v>
      </c>
      <c r="H238" s="12">
        <f>+'Mono ASIG'!AA238</f>
        <v>84.675048343973216</v>
      </c>
      <c r="I238" s="12">
        <f t="shared" si="112"/>
        <v>72.609474573481407</v>
      </c>
      <c r="J238" s="12">
        <f t="shared" si="113"/>
        <v>14.4</v>
      </c>
      <c r="K238" s="155">
        <f>+'Mono SPOT MAT'!T238</f>
        <v>75</v>
      </c>
      <c r="L238" s="116"/>
      <c r="M238" s="116"/>
      <c r="N238" s="139">
        <f>+'Mono SPOT MAT'!S238/'Fisico SPOT MAT'!S238/'Fisico SPOT MAT'!E238</f>
        <v>15.337517782885541</v>
      </c>
      <c r="O238" s="116"/>
      <c r="R238">
        <v>0.9</v>
      </c>
      <c r="Y238" s="5">
        <f t="shared" si="73"/>
        <v>46149</v>
      </c>
      <c r="Z238" s="117">
        <f t="shared" si="114"/>
        <v>119.88528838228677</v>
      </c>
      <c r="AA238" s="117">
        <f t="shared" si="105"/>
        <v>66.307095540151963</v>
      </c>
      <c r="AB238" s="116">
        <v>6.1871289943896057</v>
      </c>
      <c r="AC238" s="123"/>
      <c r="AD238" s="5"/>
      <c r="AE238" s="122"/>
      <c r="AF238" s="122"/>
      <c r="AG238" s="122"/>
      <c r="AH238" s="122"/>
      <c r="AI238" s="123"/>
      <c r="AJ238" s="123"/>
    </row>
    <row r="239" spans="1:36" x14ac:dyDescent="0.25">
      <c r="A239" s="1">
        <v>2026</v>
      </c>
      <c r="B239" s="52">
        <v>46143</v>
      </c>
      <c r="C239" s="1" t="s">
        <v>57</v>
      </c>
      <c r="D239" s="5">
        <v>46150</v>
      </c>
      <c r="E239" s="30">
        <v>119.43078604256154</v>
      </c>
      <c r="F239" s="14">
        <f>+'Mono SPOT MAT'!M239/'Fisico SPOT MAT'!M239/24</f>
        <v>79.328420827026065</v>
      </c>
      <c r="G239" s="13">
        <f t="shared" si="111"/>
        <v>14.4</v>
      </c>
      <c r="H239" s="12">
        <f>+'Mono ASIG'!AA239</f>
        <v>80.070590516417028</v>
      </c>
      <c r="I239" s="12">
        <f t="shared" si="112"/>
        <v>68.005016745925218</v>
      </c>
      <c r="J239" s="12">
        <f t="shared" si="113"/>
        <v>14.4</v>
      </c>
      <c r="K239" s="155">
        <f>+'Mono SPOT MAT'!T239</f>
        <v>75</v>
      </c>
      <c r="L239" s="116"/>
      <c r="M239" s="116"/>
      <c r="N239" s="139">
        <f>+'Mono SPOT MAT'!S239/'Fisico SPOT MAT'!S239/'Fisico SPOT MAT'!E239</f>
        <v>15.353876226149335</v>
      </c>
      <c r="O239" s="116"/>
      <c r="R239">
        <v>0.9</v>
      </c>
      <c r="Y239" s="5">
        <f t="shared" si="73"/>
        <v>46150</v>
      </c>
      <c r="Z239" s="117">
        <f t="shared" si="114"/>
        <v>119.43078604256154</v>
      </c>
      <c r="AA239" s="117">
        <f t="shared" si="105"/>
        <v>73.423695287838669</v>
      </c>
      <c r="AB239" s="116">
        <v>5.9047255391873996</v>
      </c>
      <c r="AC239" s="123"/>
      <c r="AD239" s="5"/>
      <c r="AE239" s="122"/>
      <c r="AF239" s="122"/>
      <c r="AG239" s="122"/>
      <c r="AH239" s="122"/>
      <c r="AI239" s="123"/>
      <c r="AJ239" s="123"/>
    </row>
    <row r="240" spans="1:36" x14ac:dyDescent="0.25">
      <c r="A240" s="1">
        <v>2026</v>
      </c>
      <c r="B240" s="52">
        <v>46143</v>
      </c>
      <c r="C240" s="1" t="s">
        <v>51</v>
      </c>
      <c r="D240" s="5">
        <v>46151</v>
      </c>
      <c r="E240" s="30">
        <v>158.1882757383182</v>
      </c>
      <c r="F240" s="14">
        <f>+'Mono SPOT MAT'!M240/'Fisico SPOT MAT'!M240/24</f>
        <v>87.946464893224743</v>
      </c>
      <c r="G240" s="13">
        <f t="shared" si="111"/>
        <v>14.4</v>
      </c>
      <c r="H240" s="12">
        <f>+'Mono ASIG'!AA240</f>
        <v>77.802336184170144</v>
      </c>
      <c r="I240" s="12">
        <f t="shared" si="112"/>
        <v>65.736762413678349</v>
      </c>
      <c r="J240" s="12">
        <f t="shared" si="113"/>
        <v>14.4</v>
      </c>
      <c r="K240" s="155">
        <f>+'Mono SPOT MAT'!T240</f>
        <v>75</v>
      </c>
      <c r="L240" s="116"/>
      <c r="M240" s="116"/>
      <c r="N240" s="139">
        <f>+'Mono SPOT MAT'!S240/'Fisico SPOT MAT'!S240/'Fisico SPOT MAT'!E240</f>
        <v>15.378903053632301</v>
      </c>
      <c r="O240" s="116"/>
      <c r="R240">
        <v>0.9</v>
      </c>
      <c r="Y240" s="5">
        <f t="shared" si="73"/>
        <v>46151</v>
      </c>
      <c r="Z240" s="117">
        <f t="shared" si="114"/>
        <v>158.1882757383182</v>
      </c>
      <c r="AA240" s="117">
        <f t="shared" si="105"/>
        <v>76.466659766596663</v>
      </c>
      <c r="AB240" s="116">
        <v>11.479805126628085</v>
      </c>
      <c r="AC240" s="123"/>
      <c r="AD240" s="5"/>
      <c r="AE240" s="122"/>
      <c r="AF240" s="122"/>
      <c r="AG240" s="122"/>
      <c r="AH240" s="122"/>
      <c r="AI240" s="123"/>
      <c r="AJ240" s="123"/>
    </row>
    <row r="241" spans="1:36" x14ac:dyDescent="0.25">
      <c r="A241" s="1">
        <v>2026</v>
      </c>
      <c r="B241" s="52">
        <v>46143</v>
      </c>
      <c r="C241" s="1" t="s">
        <v>52</v>
      </c>
      <c r="D241" s="5">
        <v>46152</v>
      </c>
      <c r="E241" s="30">
        <v>131.02865673900854</v>
      </c>
      <c r="F241" s="14">
        <f>+'Mono SPOT MAT'!M241/'Fisico SPOT MAT'!M241/24</f>
        <v>95.235507193073275</v>
      </c>
      <c r="G241" s="13">
        <f t="shared" si="111"/>
        <v>14.4</v>
      </c>
      <c r="H241" s="12">
        <f>+'Mono ASIG'!AA241</f>
        <v>83.243330555313648</v>
      </c>
      <c r="I241" s="12">
        <f t="shared" si="112"/>
        <v>71.177756784821838</v>
      </c>
      <c r="J241" s="12">
        <f t="shared" si="113"/>
        <v>14.4</v>
      </c>
      <c r="K241" s="155">
        <f>+'Mono SPOT MAT'!T241</f>
        <v>75</v>
      </c>
      <c r="L241" s="116"/>
      <c r="M241" s="116"/>
      <c r="N241" s="139">
        <f>+'Mono SPOT MAT'!S241/'Fisico SPOT MAT'!S241/'Fisico SPOT MAT'!E241</f>
        <v>15.370292890604805</v>
      </c>
      <c r="O241" s="116"/>
      <c r="R241">
        <v>0.9</v>
      </c>
      <c r="Y241" s="5">
        <f t="shared" si="73"/>
        <v>46152</v>
      </c>
      <c r="Z241" s="117">
        <f t="shared" si="114"/>
        <v>131.02865673900854</v>
      </c>
      <c r="AA241" s="117">
        <f t="shared" si="105"/>
        <v>88.071998335050552</v>
      </c>
      <c r="AB241" s="116">
        <v>7.1635088580227189</v>
      </c>
      <c r="AC241" s="123"/>
      <c r="AD241" s="5"/>
      <c r="AE241" s="122"/>
      <c r="AF241" s="122"/>
      <c r="AG241" s="122"/>
      <c r="AH241" s="122"/>
      <c r="AI241" s="123"/>
      <c r="AJ241" s="123"/>
    </row>
    <row r="242" spans="1:36" x14ac:dyDescent="0.25">
      <c r="A242" s="1">
        <v>2026</v>
      </c>
      <c r="B242" s="52">
        <v>46143</v>
      </c>
      <c r="C242" s="1" t="s">
        <v>53</v>
      </c>
      <c r="D242" s="5">
        <v>46153</v>
      </c>
      <c r="E242" s="30">
        <v>161.8666529328369</v>
      </c>
      <c r="F242" s="14">
        <f>+'Mono SPOT MAT'!M242/'Fisico SPOT MAT'!M242/24</f>
        <v>105.15674956826318</v>
      </c>
      <c r="G242" s="13">
        <f t="shared" si="111"/>
        <v>14.4</v>
      </c>
      <c r="H242" s="12">
        <f>+'Mono ASIG'!AA242</f>
        <v>76.844355210806611</v>
      </c>
      <c r="I242" s="12">
        <f t="shared" si="112"/>
        <v>64.778781440314816</v>
      </c>
      <c r="J242" s="12">
        <f t="shared" si="113"/>
        <v>14.4</v>
      </c>
      <c r="K242" s="155">
        <f>+'Mono SPOT MAT'!T242</f>
        <v>75</v>
      </c>
      <c r="L242" s="116"/>
      <c r="M242" s="116"/>
      <c r="N242" s="139">
        <f>+'Mono SPOT MAT'!S242/'Fisico SPOT MAT'!S242/'Fisico SPOT MAT'!E242</f>
        <v>15.381100827800225</v>
      </c>
      <c r="O242" s="116"/>
      <c r="R242">
        <v>0.9</v>
      </c>
      <c r="Y242" s="5">
        <f t="shared" si="73"/>
        <v>46153</v>
      </c>
      <c r="Z242" s="117">
        <f t="shared" si="114"/>
        <v>161.8666529328369</v>
      </c>
      <c r="AA242" s="117">
        <f t="shared" si="105"/>
        <v>94.302675404419091</v>
      </c>
      <c r="AB242" s="116">
        <v>10.854074163844096</v>
      </c>
      <c r="AC242" s="123"/>
      <c r="AD242" s="5"/>
      <c r="AE242" s="122"/>
      <c r="AF242" s="122"/>
      <c r="AG242" s="122"/>
      <c r="AH242" s="122"/>
      <c r="AI242" s="123"/>
      <c r="AJ242" s="123"/>
    </row>
    <row r="243" spans="1:36" x14ac:dyDescent="0.25">
      <c r="A243" s="1">
        <v>2026</v>
      </c>
      <c r="B243" s="52">
        <v>46143</v>
      </c>
      <c r="C243" s="1" t="s">
        <v>54</v>
      </c>
      <c r="D243" s="5">
        <v>46154</v>
      </c>
      <c r="E243" s="30">
        <v>180.35853512545427</v>
      </c>
      <c r="F243" s="14">
        <f>+'Mono SPOT MAT'!M243/'Fisico SPOT MAT'!M243/24</f>
        <v>119.52728604632165</v>
      </c>
      <c r="G243" s="13">
        <f t="shared" ref="G243" si="115">16*R243</f>
        <v>14.4</v>
      </c>
      <c r="H243" s="12">
        <f>+'Mono ASIG'!AA243</f>
        <v>76.847976753326563</v>
      </c>
      <c r="I243" s="12">
        <f t="shared" ref="I243" si="116">+H243-J243*$P$12/$Q$12/$W$12</f>
        <v>64.782402982834753</v>
      </c>
      <c r="J243" s="12">
        <f t="shared" ref="J243" si="117">16*R243</f>
        <v>14.4</v>
      </c>
      <c r="K243" s="155">
        <f>+'Mono SPOT MAT'!T243</f>
        <v>75</v>
      </c>
      <c r="L243" s="116"/>
      <c r="M243" s="116"/>
      <c r="N243" s="139">
        <f>+'Mono SPOT MAT'!S243/'Fisico SPOT MAT'!S243/'Fisico SPOT MAT'!E243</f>
        <v>15.357932559152404</v>
      </c>
      <c r="O243" s="116"/>
      <c r="R243">
        <v>0.9</v>
      </c>
      <c r="Y243" s="5">
        <f t="shared" si="73"/>
        <v>46154</v>
      </c>
      <c r="Z243" s="117">
        <f t="shared" ref="Z243" si="118">+E243</f>
        <v>180.35853512545427</v>
      </c>
      <c r="AA243" s="117">
        <f t="shared" ref="AA243" si="119">+F243-AB243</f>
        <v>106.44091848178597</v>
      </c>
      <c r="AB243" s="116">
        <v>13.086367564535676</v>
      </c>
      <c r="AC243" s="123"/>
      <c r="AD243" s="5"/>
      <c r="AE243" s="122"/>
      <c r="AF243" s="122"/>
      <c r="AG243" s="122"/>
      <c r="AH243" s="122"/>
      <c r="AI243" s="123"/>
      <c r="AJ243" s="123"/>
    </row>
    <row r="244" spans="1:36" x14ac:dyDescent="0.25">
      <c r="A244" s="1">
        <v>2026</v>
      </c>
      <c r="B244" s="52">
        <v>46143</v>
      </c>
      <c r="C244" s="1" t="s">
        <v>55</v>
      </c>
      <c r="D244" s="5">
        <v>46155</v>
      </c>
      <c r="E244" s="30">
        <v>184.32449907401013</v>
      </c>
      <c r="F244" s="14">
        <f>+'Mono SPOT MAT'!M244/'Fisico SPOT MAT'!M244/24</f>
        <v>118.6548669868323</v>
      </c>
      <c r="G244" s="13">
        <f t="shared" ref="G244:G250" si="120">16*R244</f>
        <v>14.4</v>
      </c>
      <c r="H244" s="12">
        <f>+'Mono ASIG'!AA244</f>
        <v>80.066337828260671</v>
      </c>
      <c r="I244" s="12">
        <f t="shared" ref="I244:I250" si="121">+H244-J244*$P$12/$Q$12/$W$12</f>
        <v>68.000764057768862</v>
      </c>
      <c r="J244" s="12">
        <f t="shared" ref="J244:J250" si="122">16*R244</f>
        <v>14.4</v>
      </c>
      <c r="K244" s="155">
        <f>+'Mono SPOT MAT'!T244</f>
        <v>75</v>
      </c>
      <c r="L244" s="116"/>
      <c r="M244" s="116"/>
      <c r="N244" s="139">
        <f>+'Mono SPOT MAT'!S244/'Fisico SPOT MAT'!S244/'Fisico SPOT MAT'!E244</f>
        <v>15.370468876261118</v>
      </c>
      <c r="O244" s="116"/>
      <c r="R244">
        <v>0.9</v>
      </c>
      <c r="Y244" s="5">
        <f t="shared" si="73"/>
        <v>46155</v>
      </c>
      <c r="Z244" s="117">
        <f t="shared" ref="Z244:Z250" si="123">+E244</f>
        <v>184.32449907401013</v>
      </c>
      <c r="AA244" s="117">
        <f t="shared" ref="AA244:AA250" si="124">+F244-AB244</f>
        <v>104.99471113386609</v>
      </c>
      <c r="AB244" s="116">
        <v>13.660155852966211</v>
      </c>
      <c r="AC244" s="123"/>
      <c r="AD244" s="5"/>
      <c r="AE244" s="122"/>
      <c r="AF244" s="122"/>
      <c r="AG244" s="122"/>
      <c r="AH244" s="122"/>
      <c r="AI244" s="123"/>
      <c r="AJ244" s="123"/>
    </row>
    <row r="245" spans="1:36" x14ac:dyDescent="0.25">
      <c r="A245" s="1">
        <v>2026</v>
      </c>
      <c r="B245" s="52">
        <v>46143</v>
      </c>
      <c r="C245" s="1" t="s">
        <v>56</v>
      </c>
      <c r="D245" s="5">
        <v>46156</v>
      </c>
      <c r="E245" s="30">
        <v>212.86789364680646</v>
      </c>
      <c r="F245" s="14">
        <f>+'Mono SPOT MAT'!M245/'Fisico SPOT MAT'!M245/24</f>
        <v>117.48564022058878</v>
      </c>
      <c r="G245" s="13">
        <f t="shared" si="120"/>
        <v>14.4</v>
      </c>
      <c r="H245" s="12">
        <f>+'Mono ASIG'!AA245</f>
        <v>77.845688011861384</v>
      </c>
      <c r="I245" s="12">
        <f t="shared" si="121"/>
        <v>65.780114241369574</v>
      </c>
      <c r="J245" s="12">
        <f t="shared" si="122"/>
        <v>14.4</v>
      </c>
      <c r="K245" s="155">
        <f>+'Mono SPOT MAT'!T245</f>
        <v>75</v>
      </c>
      <c r="L245" s="116"/>
      <c r="M245" s="116"/>
      <c r="N245" s="139">
        <f>+'Mono SPOT MAT'!S245/'Fisico SPOT MAT'!S245/'Fisico SPOT MAT'!E245</f>
        <v>15.374390758641068</v>
      </c>
      <c r="O245" s="116"/>
      <c r="R245">
        <v>0.9</v>
      </c>
      <c r="Y245" s="5">
        <f t="shared" si="73"/>
        <v>46156</v>
      </c>
      <c r="Z245" s="117">
        <f t="shared" si="123"/>
        <v>212.86789364680646</v>
      </c>
      <c r="AA245" s="117">
        <f t="shared" si="124"/>
        <v>99.846141117442031</v>
      </c>
      <c r="AB245" s="116">
        <v>17.639499103146743</v>
      </c>
      <c r="AC245" s="123"/>
      <c r="AD245" s="5"/>
      <c r="AE245" s="122"/>
      <c r="AF245" s="122"/>
      <c r="AG245" s="122"/>
      <c r="AH245" s="122"/>
      <c r="AI245" s="123"/>
      <c r="AJ245" s="123"/>
    </row>
    <row r="246" spans="1:36" x14ac:dyDescent="0.25">
      <c r="A246" s="1">
        <v>2026</v>
      </c>
      <c r="B246" s="52">
        <v>46143</v>
      </c>
      <c r="C246" s="1" t="s">
        <v>57</v>
      </c>
      <c r="D246" s="5">
        <v>46157</v>
      </c>
      <c r="E246" s="30">
        <v>194.01757231731088</v>
      </c>
      <c r="F246" s="14">
        <f>+'Mono SPOT MAT'!M246/'Fisico SPOT MAT'!M246/24</f>
        <v>114.67714003327244</v>
      </c>
      <c r="G246" s="13">
        <f t="shared" si="120"/>
        <v>14.4</v>
      </c>
      <c r="H246" s="12">
        <f>+'Mono ASIG'!AA246</f>
        <v>75.120090988592963</v>
      </c>
      <c r="I246" s="12">
        <f t="shared" si="121"/>
        <v>63.054517218101161</v>
      </c>
      <c r="J246" s="12">
        <f t="shared" si="122"/>
        <v>14.4</v>
      </c>
      <c r="K246" s="155">
        <f>+'Mono SPOT MAT'!T246</f>
        <v>75</v>
      </c>
      <c r="L246" s="116"/>
      <c r="M246" s="116"/>
      <c r="N246" s="139">
        <f>+'Mono SPOT MAT'!S246/'Fisico SPOT MAT'!S246/'Fisico SPOT MAT'!E246</f>
        <v>15.329418236014373</v>
      </c>
      <c r="O246" s="116"/>
      <c r="R246">
        <v>0.9</v>
      </c>
      <c r="Y246" s="5">
        <f t="shared" si="73"/>
        <v>46157</v>
      </c>
      <c r="Z246" s="117">
        <f t="shared" si="123"/>
        <v>194.01757231731088</v>
      </c>
      <c r="AA246" s="117">
        <f t="shared" si="124"/>
        <v>99.791776514741144</v>
      </c>
      <c r="AB246" s="116">
        <v>14.885363518531298</v>
      </c>
      <c r="AC246" s="123"/>
      <c r="AD246" s="5"/>
      <c r="AE246" s="122"/>
      <c r="AF246" s="122"/>
      <c r="AG246" s="122"/>
      <c r="AH246" s="122"/>
      <c r="AI246" s="123"/>
      <c r="AJ246" s="123"/>
    </row>
    <row r="247" spans="1:36" x14ac:dyDescent="0.25">
      <c r="A247" s="1">
        <v>2026</v>
      </c>
      <c r="B247" s="52">
        <v>46143</v>
      </c>
      <c r="C247" s="1" t="s">
        <v>51</v>
      </c>
      <c r="D247" s="5">
        <v>46158</v>
      </c>
      <c r="E247" s="30">
        <v>204.81501579570224</v>
      </c>
      <c r="F247" s="14">
        <f>+'Mono SPOT MAT'!M247/'Fisico SPOT MAT'!M247/24</f>
        <v>125.85022015449414</v>
      </c>
      <c r="G247" s="13">
        <f t="shared" si="120"/>
        <v>14.4</v>
      </c>
      <c r="H247" s="12">
        <f>+'Mono ASIG'!AA247</f>
        <v>87.525517884210842</v>
      </c>
      <c r="I247" s="12">
        <f t="shared" si="121"/>
        <v>75.459944113719047</v>
      </c>
      <c r="J247" s="12">
        <f t="shared" si="122"/>
        <v>14.4</v>
      </c>
      <c r="K247" s="155">
        <f>+'Mono SPOT MAT'!T247</f>
        <v>75</v>
      </c>
      <c r="L247" s="116"/>
      <c r="M247" s="116"/>
      <c r="N247" s="139">
        <f>+'Mono SPOT MAT'!S247/'Fisico SPOT MAT'!S247/'Fisico SPOT MAT'!E247</f>
        <v>15.332084725023195</v>
      </c>
      <c r="O247" s="116"/>
      <c r="R247">
        <v>0.9</v>
      </c>
      <c r="Y247" s="5">
        <f t="shared" si="73"/>
        <v>46158</v>
      </c>
      <c r="Z247" s="117">
        <f t="shared" si="123"/>
        <v>204.81501579570224</v>
      </c>
      <c r="AA247" s="117">
        <f t="shared" si="124"/>
        <v>111.23450341212046</v>
      </c>
      <c r="AB247" s="116">
        <v>14.615716742373674</v>
      </c>
      <c r="AC247" s="123"/>
      <c r="AD247" s="5"/>
      <c r="AE247" s="122"/>
      <c r="AF247" s="122"/>
      <c r="AG247" s="122"/>
      <c r="AH247" s="122"/>
      <c r="AI247" s="123"/>
      <c r="AJ247" s="123"/>
    </row>
    <row r="248" spans="1:36" x14ac:dyDescent="0.25">
      <c r="A248" s="1">
        <v>2026</v>
      </c>
      <c r="B248" s="52">
        <v>46143</v>
      </c>
      <c r="C248" s="1" t="s">
        <v>52</v>
      </c>
      <c r="D248" s="5">
        <f>+D247+1</f>
        <v>46159</v>
      </c>
      <c r="E248" s="30">
        <v>198.4632287758219</v>
      </c>
      <c r="F248" s="14">
        <f>+'Mono SPOT MAT'!M248/'Fisico SPOT MAT'!M248/24</f>
        <v>131.86378570637203</v>
      </c>
      <c r="G248" s="13">
        <f t="shared" si="120"/>
        <v>14.4</v>
      </c>
      <c r="H248" s="12">
        <f>+'Mono ASIG'!AA248</f>
        <v>90.829695721312817</v>
      </c>
      <c r="I248" s="12">
        <f t="shared" si="121"/>
        <v>78.764121950821021</v>
      </c>
      <c r="J248" s="12">
        <f t="shared" si="122"/>
        <v>14.4</v>
      </c>
      <c r="K248" s="155">
        <f>+'Mono SPOT MAT'!T248</f>
        <v>75</v>
      </c>
      <c r="L248" s="116"/>
      <c r="M248" s="116"/>
      <c r="N248" s="139">
        <f>+'Mono SPOT MAT'!S248/'Fisico SPOT MAT'!S248/'Fisico SPOT MAT'!E248</f>
        <v>15.354688483053986</v>
      </c>
      <c r="O248" s="116"/>
      <c r="R248">
        <v>0.9</v>
      </c>
      <c r="Y248" s="5">
        <f t="shared" si="73"/>
        <v>46159</v>
      </c>
      <c r="Z248" s="117">
        <f t="shared" si="123"/>
        <v>198.4632287758219</v>
      </c>
      <c r="AA248" s="117">
        <f t="shared" si="124"/>
        <v>118.22171902693202</v>
      </c>
      <c r="AB248" s="116">
        <v>13.64206667944001</v>
      </c>
      <c r="AC248" s="123"/>
      <c r="AD248" s="5"/>
      <c r="AE248" s="122"/>
      <c r="AF248" s="122"/>
      <c r="AG248" s="122"/>
      <c r="AH248" s="122"/>
      <c r="AI248" s="123"/>
      <c r="AJ248" s="123"/>
    </row>
    <row r="249" spans="1:36" x14ac:dyDescent="0.25">
      <c r="A249" s="1">
        <v>2026</v>
      </c>
      <c r="B249" s="52">
        <v>46143</v>
      </c>
      <c r="C249" s="1" t="s">
        <v>53</v>
      </c>
      <c r="D249" s="5">
        <f t="shared" ref="D249:D284" si="125">+D248+1</f>
        <v>46160</v>
      </c>
      <c r="E249" s="30">
        <v>217.39420400321092</v>
      </c>
      <c r="F249" s="14">
        <f>+'Mono SPOT MAT'!M249/'Fisico SPOT MAT'!M249/24</f>
        <v>142.34877832363409</v>
      </c>
      <c r="G249" s="13">
        <f t="shared" si="120"/>
        <v>14.4</v>
      </c>
      <c r="H249" s="12">
        <f>+'Mono ASIG'!AA249</f>
        <v>83.283541149689768</v>
      </c>
      <c r="I249" s="12">
        <f t="shared" si="121"/>
        <v>71.217967379197972</v>
      </c>
      <c r="J249" s="12">
        <f t="shared" si="122"/>
        <v>14.4</v>
      </c>
      <c r="K249" s="155">
        <f>+'Mono SPOT MAT'!T249</f>
        <v>75</v>
      </c>
      <c r="L249" s="116"/>
      <c r="M249" s="116"/>
      <c r="N249" s="139">
        <f>+'Mono SPOT MAT'!S249/'Fisico SPOT MAT'!S249/'Fisico SPOT MAT'!E249</f>
        <v>15.390605919496434</v>
      </c>
      <c r="O249" s="116"/>
      <c r="R249">
        <v>0.9</v>
      </c>
      <c r="Y249" s="5">
        <f t="shared" si="73"/>
        <v>46160</v>
      </c>
      <c r="Z249" s="117">
        <f t="shared" si="123"/>
        <v>217.39420400321092</v>
      </c>
      <c r="AA249" s="117">
        <f t="shared" si="124"/>
        <v>127.13469941294969</v>
      </c>
      <c r="AB249" s="116">
        <v>15.2140789106844</v>
      </c>
      <c r="AC249" s="123"/>
      <c r="AD249" s="5"/>
      <c r="AE249" s="122"/>
      <c r="AF249" s="122"/>
      <c r="AG249" s="122"/>
      <c r="AH249" s="122"/>
      <c r="AI249" s="123"/>
      <c r="AJ249" s="123"/>
    </row>
    <row r="250" spans="1:36" x14ac:dyDescent="0.25">
      <c r="A250" s="1">
        <v>2026</v>
      </c>
      <c r="B250" s="52">
        <v>46143</v>
      </c>
      <c r="C250" s="1" t="s">
        <v>54</v>
      </c>
      <c r="D250" s="5">
        <f t="shared" si="125"/>
        <v>46161</v>
      </c>
      <c r="E250" s="30">
        <v>227.79299447312101</v>
      </c>
      <c r="F250" s="14">
        <f>+'Mono SPOT MAT'!M250/'Fisico SPOT MAT'!M250/24</f>
        <v>143.41501595704651</v>
      </c>
      <c r="G250" s="13">
        <f t="shared" si="120"/>
        <v>14.4</v>
      </c>
      <c r="H250" s="12">
        <f>+'Mono ASIG'!AA250</f>
        <v>87.424956625620098</v>
      </c>
      <c r="I250" s="12">
        <f t="shared" si="121"/>
        <v>75.359382855128302</v>
      </c>
      <c r="J250" s="12">
        <f t="shared" si="122"/>
        <v>14.4</v>
      </c>
      <c r="K250" s="155">
        <f>+'Mono SPOT MAT'!T250</f>
        <v>75</v>
      </c>
      <c r="L250" s="116"/>
      <c r="M250" s="116"/>
      <c r="N250" s="139">
        <f>+'Mono SPOT MAT'!S250/'Fisico SPOT MAT'!S250/'Fisico SPOT MAT'!E250</f>
        <v>15.379365541447894</v>
      </c>
      <c r="O250" s="116"/>
      <c r="R250">
        <v>0.9</v>
      </c>
      <c r="Y250" s="5">
        <f t="shared" si="73"/>
        <v>46161</v>
      </c>
      <c r="Z250" s="117">
        <f t="shared" si="123"/>
        <v>227.79299447312101</v>
      </c>
      <c r="AA250" s="117">
        <f t="shared" si="124"/>
        <v>126.83884206150007</v>
      </c>
      <c r="AB250" s="116">
        <v>16.576173895546436</v>
      </c>
      <c r="AC250" s="123"/>
      <c r="AD250" s="5"/>
      <c r="AE250" s="122"/>
      <c r="AF250" s="122"/>
      <c r="AG250" s="122"/>
      <c r="AH250" s="122"/>
      <c r="AI250" s="123"/>
      <c r="AJ250" s="123"/>
    </row>
    <row r="251" spans="1:36" x14ac:dyDescent="0.25">
      <c r="A251" s="1">
        <v>2026</v>
      </c>
      <c r="B251" s="52">
        <v>46143</v>
      </c>
      <c r="C251" s="1" t="s">
        <v>55</v>
      </c>
      <c r="D251" s="5">
        <f t="shared" si="125"/>
        <v>46162</v>
      </c>
      <c r="E251" s="30">
        <v>249.23183043116151</v>
      </c>
      <c r="F251" s="14">
        <f>+'Mono SPOT MAT'!M251/'Fisico SPOT MAT'!M251/24</f>
        <v>143.76379974058676</v>
      </c>
      <c r="G251" s="13">
        <f t="shared" ref="G251:G256" si="126">16*R251</f>
        <v>14.4</v>
      </c>
      <c r="H251" s="12">
        <f>+'Mono ASIG'!AA251</f>
        <v>91.463048239229522</v>
      </c>
      <c r="I251" s="12">
        <f t="shared" ref="I251:I256" si="127">+H251-J251*$P$12/$Q$12/$W$12</f>
        <v>79.397474468737727</v>
      </c>
      <c r="J251" s="12">
        <f t="shared" ref="J251:J256" si="128">16*R251</f>
        <v>14.4</v>
      </c>
      <c r="K251" s="155">
        <f>+'Mono SPOT MAT'!T251</f>
        <v>75</v>
      </c>
      <c r="L251" s="116"/>
      <c r="M251" s="116"/>
      <c r="N251" s="139">
        <f>+'Mono SPOT MAT'!S251/'Fisico SPOT MAT'!S251/'Fisico SPOT MAT'!E251</f>
        <v>15.385821984224503</v>
      </c>
      <c r="O251" s="116"/>
      <c r="R251">
        <v>0.9</v>
      </c>
      <c r="Y251" s="5">
        <f t="shared" si="73"/>
        <v>46162</v>
      </c>
      <c r="Z251" s="117">
        <f t="shared" ref="Z251:Z256" si="129">+E251</f>
        <v>249.23183043116151</v>
      </c>
      <c r="AA251" s="117">
        <f t="shared" ref="AA251:AA256" si="130">+F251-AB251</f>
        <v>123.41200713455491</v>
      </c>
      <c r="AB251" s="116">
        <v>20.351792606031854</v>
      </c>
      <c r="AC251" s="123"/>
      <c r="AD251" s="5"/>
      <c r="AE251" s="122"/>
      <c r="AF251" s="122"/>
      <c r="AG251" s="122"/>
      <c r="AH251" s="122"/>
      <c r="AI251" s="123"/>
      <c r="AJ251" s="123"/>
    </row>
    <row r="252" spans="1:36" x14ac:dyDescent="0.25">
      <c r="A252" s="1">
        <v>2026</v>
      </c>
      <c r="B252" s="52">
        <v>46143</v>
      </c>
      <c r="C252" s="1" t="s">
        <v>56</v>
      </c>
      <c r="D252" s="5">
        <f t="shared" si="125"/>
        <v>46163</v>
      </c>
      <c r="E252" s="30">
        <v>257.89501103718044</v>
      </c>
      <c r="F252" s="14">
        <f>+'Mono SPOT MAT'!M252/'Fisico SPOT MAT'!M252/24</f>
        <v>146.5850808574223</v>
      </c>
      <c r="G252" s="13">
        <f t="shared" si="126"/>
        <v>14.4</v>
      </c>
      <c r="H252" s="12">
        <f>+'Mono ASIG'!AA252</f>
        <v>89.861530606613329</v>
      </c>
      <c r="I252" s="12">
        <f t="shared" si="127"/>
        <v>77.795956836121519</v>
      </c>
      <c r="J252" s="12">
        <f t="shared" si="128"/>
        <v>14.4</v>
      </c>
      <c r="K252" s="155">
        <f>+'Mono SPOT MAT'!T252</f>
        <v>75</v>
      </c>
      <c r="L252" s="116"/>
      <c r="M252" s="116"/>
      <c r="N252" s="139">
        <f>+'Mono SPOT MAT'!S252/'Fisico SPOT MAT'!S252/'Fisico SPOT MAT'!E252</f>
        <v>15.36737954121029</v>
      </c>
      <c r="O252" s="116"/>
      <c r="R252">
        <v>0.9</v>
      </c>
      <c r="Y252" s="5">
        <f t="shared" si="73"/>
        <v>46163</v>
      </c>
      <c r="Z252" s="117">
        <f t="shared" si="129"/>
        <v>257.89501103718044</v>
      </c>
      <c r="AA252" s="117">
        <f t="shared" si="130"/>
        <v>126.05151348002717</v>
      </c>
      <c r="AB252" s="116">
        <v>20.533567377395126</v>
      </c>
      <c r="AC252" s="123"/>
      <c r="AD252" s="5"/>
      <c r="AE252" s="122"/>
      <c r="AF252" s="122"/>
      <c r="AG252" s="122"/>
      <c r="AH252" s="122"/>
      <c r="AI252" s="123"/>
      <c r="AJ252" s="123"/>
    </row>
    <row r="253" spans="1:36" x14ac:dyDescent="0.25">
      <c r="A253" s="1">
        <v>2026</v>
      </c>
      <c r="B253" s="52">
        <v>46143</v>
      </c>
      <c r="C253" s="1" t="s">
        <v>57</v>
      </c>
      <c r="D253" s="5">
        <f t="shared" si="125"/>
        <v>46164</v>
      </c>
      <c r="E253" s="30">
        <v>253.58276286977423</v>
      </c>
      <c r="F253" s="14">
        <f>+'Mono SPOT MAT'!M253/'Fisico SPOT MAT'!M253/24</f>
        <v>149.52336653300571</v>
      </c>
      <c r="G253" s="13">
        <f t="shared" si="126"/>
        <v>14.4</v>
      </c>
      <c r="H253" s="12">
        <f>+'Mono ASIG'!AA253</f>
        <v>88.377286535613408</v>
      </c>
      <c r="I253" s="12">
        <f t="shared" si="127"/>
        <v>76.311712765121598</v>
      </c>
      <c r="J253" s="12">
        <f t="shared" si="128"/>
        <v>14.4</v>
      </c>
      <c r="K253" s="155">
        <f>+'Mono SPOT MAT'!T253</f>
        <v>75</v>
      </c>
      <c r="L253" s="116"/>
      <c r="M253" s="116"/>
      <c r="N253" s="139">
        <f>+'Mono SPOT MAT'!S253/'Fisico SPOT MAT'!S253/'Fisico SPOT MAT'!E253</f>
        <v>15.371541549740087</v>
      </c>
      <c r="O253" s="116"/>
      <c r="R253">
        <v>0.9</v>
      </c>
      <c r="Y253" s="5">
        <f t="shared" si="73"/>
        <v>46164</v>
      </c>
      <c r="Z253" s="117">
        <f t="shared" si="129"/>
        <v>253.58276286977423</v>
      </c>
      <c r="AA253" s="117">
        <f t="shared" si="130"/>
        <v>129.94229098839853</v>
      </c>
      <c r="AB253" s="116">
        <v>19.581075544607192</v>
      </c>
      <c r="AC253" s="123"/>
      <c r="AD253" s="5"/>
      <c r="AE253" s="122"/>
      <c r="AF253" s="122"/>
      <c r="AG253" s="122"/>
      <c r="AH253" s="122"/>
      <c r="AI253" s="123"/>
      <c r="AJ253" s="123"/>
    </row>
    <row r="254" spans="1:36" x14ac:dyDescent="0.25">
      <c r="A254" s="1">
        <v>2026</v>
      </c>
      <c r="B254" s="52">
        <v>46143</v>
      </c>
      <c r="C254" s="1" t="s">
        <v>51</v>
      </c>
      <c r="D254" s="5">
        <f t="shared" si="125"/>
        <v>46165</v>
      </c>
      <c r="E254" s="30">
        <v>252.31977388191333</v>
      </c>
      <c r="F254" s="14">
        <f>+'Mono SPOT MAT'!M254/'Fisico SPOT MAT'!M254/24</f>
        <v>127.13554430876127</v>
      </c>
      <c r="G254" s="13">
        <f t="shared" si="126"/>
        <v>14.4</v>
      </c>
      <c r="H254" s="12">
        <f>+'Mono ASIG'!AA254</f>
        <v>82.81770156651983</v>
      </c>
      <c r="I254" s="12">
        <f t="shared" si="127"/>
        <v>70.75212779602802</v>
      </c>
      <c r="J254" s="12">
        <f t="shared" si="128"/>
        <v>14.4</v>
      </c>
      <c r="K254" s="155">
        <f>+'Mono SPOT MAT'!T254</f>
        <v>75</v>
      </c>
      <c r="L254" s="116"/>
      <c r="M254" s="116"/>
      <c r="N254" s="139">
        <f>+'Mono SPOT MAT'!S254/'Fisico SPOT MAT'!S254/'Fisico SPOT MAT'!E254</f>
        <v>15.276433433853725</v>
      </c>
      <c r="O254" s="116"/>
      <c r="R254">
        <v>0.9</v>
      </c>
      <c r="Y254" s="5">
        <f t="shared" si="73"/>
        <v>46165</v>
      </c>
      <c r="Z254" s="117">
        <f t="shared" si="129"/>
        <v>252.31977388191333</v>
      </c>
      <c r="AA254" s="117">
        <f t="shared" si="130"/>
        <v>106.12549513879516</v>
      </c>
      <c r="AB254" s="116">
        <v>21.010049169966106</v>
      </c>
      <c r="AC254" s="123"/>
      <c r="AD254" s="5"/>
      <c r="AE254" s="122"/>
      <c r="AF254" s="122"/>
      <c r="AG254" s="122"/>
      <c r="AH254" s="122"/>
      <c r="AI254" s="123"/>
      <c r="AJ254" s="123"/>
    </row>
    <row r="255" spans="1:36" x14ac:dyDescent="0.25">
      <c r="A255" s="1">
        <v>2026</v>
      </c>
      <c r="B255" s="52">
        <v>46143</v>
      </c>
      <c r="C255" s="1" t="s">
        <v>52</v>
      </c>
      <c r="D255" s="5">
        <f t="shared" si="125"/>
        <v>46166</v>
      </c>
      <c r="E255" s="30">
        <v>193.66410290369822</v>
      </c>
      <c r="F255" s="14">
        <f>+'Mono SPOT MAT'!M255/'Fisico SPOT MAT'!M255/24</f>
        <v>110.58537904339306</v>
      </c>
      <c r="G255" s="13">
        <f t="shared" si="126"/>
        <v>14.4</v>
      </c>
      <c r="H255" s="12">
        <f>+'Mono ASIG'!AA255</f>
        <v>88.153372143787564</v>
      </c>
      <c r="I255" s="12">
        <f t="shared" si="127"/>
        <v>76.087798373295755</v>
      </c>
      <c r="J255" s="12">
        <f t="shared" si="128"/>
        <v>14.4</v>
      </c>
      <c r="K255" s="155">
        <f>+'Mono SPOT MAT'!T255</f>
        <v>75</v>
      </c>
      <c r="L255" s="116"/>
      <c r="M255" s="116"/>
      <c r="N255" s="139">
        <f>+'Mono SPOT MAT'!S255/'Fisico SPOT MAT'!S255/'Fisico SPOT MAT'!E255</f>
        <v>15.256086438334613</v>
      </c>
      <c r="O255" s="116"/>
      <c r="R255">
        <v>0.9</v>
      </c>
      <c r="Y255" s="5">
        <f t="shared" si="73"/>
        <v>46166</v>
      </c>
      <c r="Z255" s="117">
        <f t="shared" si="129"/>
        <v>193.66410290369822</v>
      </c>
      <c r="AA255" s="117">
        <f t="shared" si="130"/>
        <v>96.535962984158829</v>
      </c>
      <c r="AB255" s="116">
        <v>14.049416059234229</v>
      </c>
      <c r="AC255" s="123"/>
      <c r="AD255" s="5"/>
      <c r="AE255" s="122"/>
      <c r="AF255" s="122"/>
      <c r="AG255" s="122"/>
      <c r="AH255" s="122"/>
      <c r="AI255" s="123"/>
      <c r="AJ255" s="123"/>
    </row>
    <row r="256" spans="1:36" x14ac:dyDescent="0.25">
      <c r="A256" s="1">
        <v>2026</v>
      </c>
      <c r="B256" s="52">
        <v>46143</v>
      </c>
      <c r="C256" s="1" t="str">
        <f>+C249</f>
        <v>lun</v>
      </c>
      <c r="D256" s="5">
        <f t="shared" si="125"/>
        <v>46167</v>
      </c>
      <c r="E256" s="30">
        <v>204.0185095663123</v>
      </c>
      <c r="F256" s="14">
        <f>+'Mono SPOT MAT'!M256/'Fisico SPOT MAT'!M256/24</f>
        <v>108.8601459075018</v>
      </c>
      <c r="G256" s="13">
        <f t="shared" si="126"/>
        <v>14.4</v>
      </c>
      <c r="H256" s="12">
        <f>+'Mono ASIG'!AA256</f>
        <v>84.429458894200295</v>
      </c>
      <c r="I256" s="12">
        <f t="shared" si="127"/>
        <v>72.363885123708485</v>
      </c>
      <c r="J256" s="12">
        <f t="shared" si="128"/>
        <v>14.4</v>
      </c>
      <c r="K256" s="155">
        <f>+'Mono SPOT MAT'!T256</f>
        <v>75</v>
      </c>
      <c r="L256" s="116"/>
      <c r="M256" s="116"/>
      <c r="N256" s="139">
        <f>+'Mono SPOT MAT'!S256/'Fisico SPOT MAT'!S256/'Fisico SPOT MAT'!E256</f>
        <v>15.232737826331164</v>
      </c>
      <c r="O256" s="116"/>
      <c r="R256">
        <v>0.9</v>
      </c>
      <c r="Y256" s="5">
        <f t="shared" si="73"/>
        <v>46167</v>
      </c>
      <c r="Z256" s="117">
        <f t="shared" si="129"/>
        <v>204.0185095663123</v>
      </c>
      <c r="AA256" s="117">
        <f t="shared" si="130"/>
        <v>93.985442399866955</v>
      </c>
      <c r="AB256" s="116">
        <v>14.874703507634843</v>
      </c>
      <c r="AC256" s="123"/>
      <c r="AD256" s="5"/>
      <c r="AE256" s="122"/>
      <c r="AF256" s="122"/>
      <c r="AG256" s="122"/>
      <c r="AH256" s="122"/>
      <c r="AI256" s="123"/>
      <c r="AJ256" s="123"/>
    </row>
    <row r="257" spans="1:36" x14ac:dyDescent="0.25">
      <c r="A257" s="1">
        <v>2026</v>
      </c>
      <c r="B257" s="52">
        <v>46143</v>
      </c>
      <c r="C257" s="1" t="str">
        <f t="shared" ref="C257:C284" si="131">+C250</f>
        <v>mar</v>
      </c>
      <c r="D257" s="5">
        <f t="shared" si="125"/>
        <v>46168</v>
      </c>
      <c r="E257" s="30">
        <v>217.90915379942672</v>
      </c>
      <c r="F257" s="14">
        <f>+'Mono SPOT MAT'!M257/'Fisico SPOT MAT'!M257/24</f>
        <v>121.08976082146131</v>
      </c>
      <c r="G257" s="13">
        <f t="shared" ref="G257:G262" si="132">16*R257</f>
        <v>14.4</v>
      </c>
      <c r="H257" s="12">
        <f>+'Mono ASIG'!AA257</f>
        <v>88.820042201900492</v>
      </c>
      <c r="I257" s="12">
        <f t="shared" ref="I257:I262" si="133">+H257-J257*$P$12/$Q$12/$W$12</f>
        <v>76.754468431408696</v>
      </c>
      <c r="J257" s="12">
        <f t="shared" ref="J257:J262" si="134">16*R257</f>
        <v>14.4</v>
      </c>
      <c r="K257" s="155">
        <f>+'Mono SPOT MAT'!T257</f>
        <v>75</v>
      </c>
      <c r="L257" s="116"/>
      <c r="M257" s="116"/>
      <c r="N257" s="139">
        <f>+'Mono SPOT MAT'!S257/'Fisico SPOT MAT'!S257/'Fisico SPOT MAT'!E257</f>
        <v>15.300537679376196</v>
      </c>
      <c r="O257" s="116"/>
      <c r="R257">
        <v>0.9</v>
      </c>
      <c r="Y257" s="5">
        <f t="shared" si="73"/>
        <v>46168</v>
      </c>
      <c r="Z257" s="117">
        <f t="shared" ref="Z257:Z261" si="135">+E257</f>
        <v>217.90915379942672</v>
      </c>
      <c r="AA257" s="117">
        <f t="shared" ref="AA257:AA262" si="136">+F257-AB257</f>
        <v>104.39315504079187</v>
      </c>
      <c r="AB257" s="116">
        <v>16.69660578066944</v>
      </c>
      <c r="AC257" s="123"/>
      <c r="AD257" s="5"/>
      <c r="AE257" s="122"/>
      <c r="AF257" s="122"/>
      <c r="AG257" s="122"/>
      <c r="AH257" s="122"/>
      <c r="AI257" s="123"/>
      <c r="AJ257" s="123"/>
    </row>
    <row r="258" spans="1:36" x14ac:dyDescent="0.25">
      <c r="A258" s="1">
        <v>2026</v>
      </c>
      <c r="B258" s="52">
        <v>46143</v>
      </c>
      <c r="C258" s="1" t="str">
        <f t="shared" si="131"/>
        <v>mié</v>
      </c>
      <c r="D258" s="5">
        <f t="shared" si="125"/>
        <v>46169</v>
      </c>
      <c r="E258" s="30">
        <v>242.3112413912838</v>
      </c>
      <c r="F258" s="14">
        <f>+'Mono SPOT MAT'!M258/'Fisico SPOT MAT'!M258/24</f>
        <v>151.13876408879941</v>
      </c>
      <c r="G258" s="13">
        <f t="shared" si="132"/>
        <v>14.4</v>
      </c>
      <c r="H258" s="12">
        <f>+'Mono ASIG'!AA258</f>
        <v>92.003126745386837</v>
      </c>
      <c r="I258" s="12">
        <f t="shared" si="133"/>
        <v>79.937552974895027</v>
      </c>
      <c r="J258" s="12">
        <f t="shared" si="134"/>
        <v>14.4</v>
      </c>
      <c r="K258" s="155">
        <f>+'Mono SPOT MAT'!T258</f>
        <v>75</v>
      </c>
      <c r="L258" s="116"/>
      <c r="M258" s="116"/>
      <c r="N258" s="139">
        <f>+'Mono SPOT MAT'!S258/'Fisico SPOT MAT'!S258/'Fisico SPOT MAT'!E258</f>
        <v>15.29037407040145</v>
      </c>
      <c r="O258" s="116"/>
      <c r="R258">
        <v>0.9</v>
      </c>
      <c r="Y258" s="5">
        <f t="shared" si="73"/>
        <v>46169</v>
      </c>
      <c r="Z258" s="117">
        <f t="shared" si="135"/>
        <v>242.3112413912838</v>
      </c>
      <c r="AA258" s="117">
        <f t="shared" si="136"/>
        <v>132.05837779817318</v>
      </c>
      <c r="AB258" s="116">
        <v>19.080386290626226</v>
      </c>
      <c r="AC258" s="123"/>
      <c r="AD258" s="5"/>
      <c r="AE258" s="122"/>
      <c r="AF258" s="122"/>
      <c r="AG258" s="122"/>
      <c r="AH258" s="122"/>
      <c r="AI258" s="123"/>
      <c r="AJ258" s="123"/>
    </row>
    <row r="259" spans="1:36" x14ac:dyDescent="0.25">
      <c r="A259" s="1">
        <v>2026</v>
      </c>
      <c r="B259" s="52">
        <v>46143</v>
      </c>
      <c r="C259" s="1" t="str">
        <f t="shared" si="131"/>
        <v>jue</v>
      </c>
      <c r="D259" s="5">
        <f t="shared" si="125"/>
        <v>46170</v>
      </c>
      <c r="E259" s="30">
        <v>239.26472004582598</v>
      </c>
      <c r="F259" s="14">
        <f>+'Mono SPOT MAT'!M259/'Fisico SPOT MAT'!M259/24</f>
        <v>158.30441710931757</v>
      </c>
      <c r="G259" s="13">
        <f t="shared" si="132"/>
        <v>14.4</v>
      </c>
      <c r="H259" s="12">
        <f>+'Mono ASIG'!AA259</f>
        <v>95.790213950875227</v>
      </c>
      <c r="I259" s="12">
        <f t="shared" si="133"/>
        <v>83.724640180383432</v>
      </c>
      <c r="J259" s="12">
        <f t="shared" si="134"/>
        <v>14.4</v>
      </c>
      <c r="K259" s="155">
        <f>+'Mono SPOT MAT'!T259</f>
        <v>75</v>
      </c>
      <c r="L259" s="116"/>
      <c r="M259" s="116"/>
      <c r="N259" s="139">
        <f>+'Mono SPOT MAT'!S259/'Fisico SPOT MAT'!S259/'Fisico SPOT MAT'!E259</f>
        <v>15.235825318215547</v>
      </c>
      <c r="O259" s="116"/>
      <c r="R259">
        <v>0.9</v>
      </c>
      <c r="Y259" s="5">
        <f t="shared" si="73"/>
        <v>46170</v>
      </c>
      <c r="Z259" s="117">
        <f t="shared" si="135"/>
        <v>239.26472004582598</v>
      </c>
      <c r="AA259" s="117">
        <f t="shared" si="136"/>
        <v>140.51062142302999</v>
      </c>
      <c r="AB259" s="116">
        <v>17.793795686287577</v>
      </c>
      <c r="AC259" s="123"/>
      <c r="AD259" s="5"/>
      <c r="AE259" s="122"/>
      <c r="AF259" s="122"/>
      <c r="AG259" s="122"/>
      <c r="AH259" s="122"/>
      <c r="AI259" s="123"/>
      <c r="AJ259" s="123"/>
    </row>
    <row r="260" spans="1:36" x14ac:dyDescent="0.25">
      <c r="A260" s="1">
        <v>2026</v>
      </c>
      <c r="B260" s="52">
        <v>46143</v>
      </c>
      <c r="C260" s="1" t="str">
        <f t="shared" si="131"/>
        <v>vie</v>
      </c>
      <c r="D260" s="5">
        <f t="shared" si="125"/>
        <v>46171</v>
      </c>
      <c r="E260" s="30">
        <v>235.83050381726335</v>
      </c>
      <c r="F260" s="14">
        <f>+'Mono SPOT MAT'!M260/'Fisico SPOT MAT'!M260/24</f>
        <v>155.41952569956166</v>
      </c>
      <c r="G260" s="13">
        <f t="shared" si="132"/>
        <v>14.4</v>
      </c>
      <c r="H260" s="12">
        <f>+'Mono ASIG'!AA260</f>
        <v>91.599469755044254</v>
      </c>
      <c r="I260" s="12">
        <f t="shared" si="133"/>
        <v>79.533895984552458</v>
      </c>
      <c r="J260" s="12">
        <f t="shared" si="134"/>
        <v>14.4</v>
      </c>
      <c r="K260" s="155">
        <f>+'Mono SPOT MAT'!T260</f>
        <v>75</v>
      </c>
      <c r="L260" s="116"/>
      <c r="M260" s="116"/>
      <c r="N260" s="139">
        <f>+'Mono SPOT MAT'!S260/'Fisico SPOT MAT'!S260/'Fisico SPOT MAT'!E260</f>
        <v>15.248014571061804</v>
      </c>
      <c r="O260" s="116"/>
      <c r="R260">
        <v>0.9</v>
      </c>
      <c r="Y260" s="5">
        <f t="shared" si="73"/>
        <v>46171</v>
      </c>
      <c r="Z260" s="117">
        <f t="shared" si="135"/>
        <v>235.83050381726335</v>
      </c>
      <c r="AA260" s="117">
        <f t="shared" si="136"/>
        <v>137.86518451275001</v>
      </c>
      <c r="AB260" s="116">
        <v>17.554341186811648</v>
      </c>
      <c r="AC260" s="123"/>
      <c r="AD260" s="5"/>
      <c r="AE260" s="122"/>
      <c r="AF260" s="122"/>
      <c r="AG260" s="122"/>
      <c r="AH260" s="122"/>
      <c r="AI260" s="123"/>
      <c r="AJ260" s="123"/>
    </row>
    <row r="261" spans="1:36" x14ac:dyDescent="0.25">
      <c r="A261" s="1">
        <v>2026</v>
      </c>
      <c r="B261" s="52">
        <v>46143</v>
      </c>
      <c r="C261" s="1" t="str">
        <f t="shared" si="131"/>
        <v>sáb</v>
      </c>
      <c r="D261" s="5">
        <f t="shared" si="125"/>
        <v>46172</v>
      </c>
      <c r="E261" s="30">
        <v>236.42740539878119</v>
      </c>
      <c r="F261" s="14">
        <f>+'Mono SPOT MAT'!M261/'Fisico SPOT MAT'!M261/24</f>
        <v>143.98448001893806</v>
      </c>
      <c r="G261" s="13">
        <f t="shared" si="132"/>
        <v>14.4</v>
      </c>
      <c r="H261" s="12">
        <f>+'Mono ASIG'!AA261</f>
        <v>92.992496976033081</v>
      </c>
      <c r="I261" s="12">
        <f t="shared" si="133"/>
        <v>80.926923205541271</v>
      </c>
      <c r="J261" s="12">
        <f t="shared" si="134"/>
        <v>14.4</v>
      </c>
      <c r="K261" s="155">
        <f>+'Mono SPOT MAT'!T261</f>
        <v>75</v>
      </c>
      <c r="L261" s="116"/>
      <c r="M261" s="116"/>
      <c r="N261" s="139">
        <f>+'Mono SPOT MAT'!S261/'Fisico SPOT MAT'!S261/'Fisico SPOT MAT'!E261</f>
        <v>15.271610668303355</v>
      </c>
      <c r="O261" s="116"/>
      <c r="R261">
        <v>0.9</v>
      </c>
      <c r="Y261" s="5">
        <f t="shared" si="73"/>
        <v>46172</v>
      </c>
      <c r="Z261" s="117">
        <f t="shared" si="135"/>
        <v>236.42740539878119</v>
      </c>
      <c r="AA261" s="117">
        <f t="shared" si="136"/>
        <v>125.48762971772675</v>
      </c>
      <c r="AB261" s="116">
        <v>18.496850301211314</v>
      </c>
      <c r="AC261" s="123"/>
      <c r="AD261" s="5"/>
      <c r="AE261" s="122"/>
      <c r="AF261" s="122"/>
      <c r="AG261" s="122"/>
      <c r="AH261" s="122"/>
      <c r="AI261" s="123"/>
      <c r="AJ261" s="123"/>
    </row>
    <row r="262" spans="1:36" x14ac:dyDescent="0.25">
      <c r="A262" s="1">
        <v>2026</v>
      </c>
      <c r="B262" s="52">
        <v>46143</v>
      </c>
      <c r="C262" s="1" t="str">
        <f t="shared" si="131"/>
        <v>dom</v>
      </c>
      <c r="D262" s="5">
        <f t="shared" si="125"/>
        <v>46173</v>
      </c>
      <c r="E262" s="30">
        <v>232.16518242463846</v>
      </c>
      <c r="F262" s="14">
        <f>+'Mono SPOT MAT'!M262/'Fisico SPOT MAT'!M262/24</f>
        <v>135.83063510822672</v>
      </c>
      <c r="G262" s="13">
        <f t="shared" si="132"/>
        <v>14.4</v>
      </c>
      <c r="H262" s="12">
        <f>+'Mono ASIG'!AA262</f>
        <v>98.315328334512586</v>
      </c>
      <c r="I262" s="12">
        <f t="shared" si="133"/>
        <v>86.249754564020776</v>
      </c>
      <c r="J262" s="12">
        <f t="shared" si="134"/>
        <v>14.4</v>
      </c>
      <c r="K262" s="155">
        <f>+'Mono SPOT MAT'!T262</f>
        <v>75</v>
      </c>
      <c r="L262" s="116"/>
      <c r="M262" s="116"/>
      <c r="N262" s="139">
        <f>+'Mono SPOT MAT'!S262/'Fisico SPOT MAT'!S262/'Fisico SPOT MAT'!E262</f>
        <v>15.287534627124428</v>
      </c>
      <c r="O262" s="116"/>
      <c r="R262">
        <v>0.9</v>
      </c>
      <c r="Y262" s="5">
        <f t="shared" si="73"/>
        <v>46173</v>
      </c>
      <c r="Z262" s="117">
        <f t="shared" ref="Z262" si="137">+E262</f>
        <v>232.16518242463846</v>
      </c>
      <c r="AA262" s="117">
        <f t="shared" si="136"/>
        <v>117.07640714404565</v>
      </c>
      <c r="AB262" s="116">
        <v>18.754227964181062</v>
      </c>
      <c r="AC262" s="123"/>
      <c r="AD262" s="5"/>
      <c r="AE262" s="122"/>
      <c r="AF262" s="122"/>
      <c r="AG262" s="122"/>
      <c r="AH262" s="122"/>
      <c r="AI262" s="123"/>
      <c r="AJ262" s="123"/>
    </row>
    <row r="263" spans="1:36" x14ac:dyDescent="0.25">
      <c r="A263" s="1">
        <v>2026</v>
      </c>
      <c r="B263" s="52">
        <v>46174</v>
      </c>
      <c r="C263" s="1" t="str">
        <f t="shared" si="131"/>
        <v>lun</v>
      </c>
      <c r="D263" s="5">
        <f t="shared" si="125"/>
        <v>46174</v>
      </c>
      <c r="E263" s="30">
        <v>231.53314403465808</v>
      </c>
      <c r="F263" s="14">
        <f>+'Mono SPOT MAT'!M263/'Fisico SPOT MAT'!M263/24</f>
        <v>159.44359969587074</v>
      </c>
      <c r="G263" s="13">
        <f t="shared" ref="G263:G269" si="138">16*R263</f>
        <v>17.600000000000001</v>
      </c>
      <c r="H263" s="12">
        <f>+'Mono ASIG'!AA263</f>
        <v>95.961542002856802</v>
      </c>
      <c r="I263" s="12">
        <f t="shared" ref="I263:I269" si="139">+H263-J263*$P$12/$Q$12/$W$12</f>
        <v>81.214729616700154</v>
      </c>
      <c r="J263" s="12">
        <f t="shared" ref="J263:J269" si="140">16*R263</f>
        <v>17.600000000000001</v>
      </c>
      <c r="K263" s="155">
        <f>+'Mono SPOT MAT'!T263</f>
        <v>75</v>
      </c>
      <c r="L263" s="116"/>
      <c r="M263" s="116"/>
      <c r="N263" s="139">
        <f>+'Mono SPOT MAT'!S263/'Fisico SPOT MAT'!S263/'Fisico SPOT MAT'!E263</f>
        <v>15.702927783423723</v>
      </c>
      <c r="O263" s="116"/>
      <c r="R263">
        <v>1.1000000000000001</v>
      </c>
      <c r="Y263" s="5">
        <f t="shared" si="73"/>
        <v>46174</v>
      </c>
      <c r="Z263" s="117">
        <f t="shared" ref="Z263:Z269" si="141">+E263</f>
        <v>231.53314403465808</v>
      </c>
      <c r="AA263" s="117">
        <f t="shared" ref="AA263:AA284" si="142">+F263-AB263</f>
        <v>145.28167591055214</v>
      </c>
      <c r="AB263" s="136">
        <v>14.161923785318605</v>
      </c>
      <c r="AC263" s="123"/>
      <c r="AD263" s="5"/>
      <c r="AE263" s="122"/>
      <c r="AF263" s="122"/>
      <c r="AG263" s="122"/>
      <c r="AH263" s="122"/>
      <c r="AI263" s="123"/>
      <c r="AJ263" s="123"/>
    </row>
    <row r="264" spans="1:36" x14ac:dyDescent="0.25">
      <c r="A264" s="1">
        <v>2026</v>
      </c>
      <c r="B264" s="52">
        <v>46174</v>
      </c>
      <c r="C264" s="1" t="str">
        <f t="shared" si="131"/>
        <v>mar</v>
      </c>
      <c r="D264" s="5">
        <f t="shared" si="125"/>
        <v>46175</v>
      </c>
      <c r="E264" s="30">
        <v>206.43680448265533</v>
      </c>
      <c r="F264" s="14">
        <f>+'Mono SPOT MAT'!M264/'Fisico SPOT MAT'!M264/24</f>
        <v>157.15777564229424</v>
      </c>
      <c r="G264" s="13">
        <f t="shared" si="138"/>
        <v>17.600000000000001</v>
      </c>
      <c r="H264" s="12">
        <f>+'Mono ASIG'!AA264</f>
        <v>96.392053239495169</v>
      </c>
      <c r="I264" s="12">
        <f t="shared" si="139"/>
        <v>81.645240853338521</v>
      </c>
      <c r="J264" s="12">
        <f t="shared" si="140"/>
        <v>17.600000000000001</v>
      </c>
      <c r="K264" s="155">
        <f>+'Mono SPOT MAT'!T264</f>
        <v>75</v>
      </c>
      <c r="L264" s="116"/>
      <c r="M264" s="116"/>
      <c r="N264" s="139">
        <f>+'Mono SPOT MAT'!S264/'Fisico SPOT MAT'!S264/'Fisico SPOT MAT'!E264</f>
        <v>15.730452853014839</v>
      </c>
      <c r="O264" s="116"/>
      <c r="R264">
        <v>1.1000000000000001</v>
      </c>
      <c r="Y264" s="5">
        <f t="shared" si="73"/>
        <v>46175</v>
      </c>
      <c r="Z264" s="117">
        <f t="shared" si="141"/>
        <v>206.43680448265533</v>
      </c>
      <c r="AA264" s="117">
        <f t="shared" si="142"/>
        <v>145.34284070505694</v>
      </c>
      <c r="AB264" s="136">
        <v>11.814934937237297</v>
      </c>
      <c r="AC264" s="123"/>
      <c r="AD264" s="5"/>
      <c r="AE264" s="122"/>
      <c r="AF264" s="122"/>
      <c r="AG264" s="122"/>
      <c r="AH264" s="122"/>
      <c r="AI264" s="123"/>
      <c r="AJ264" s="123"/>
    </row>
    <row r="265" spans="1:36" x14ac:dyDescent="0.25">
      <c r="A265" s="1">
        <v>2026</v>
      </c>
      <c r="B265" s="52">
        <v>46174</v>
      </c>
      <c r="C265" s="1" t="str">
        <f t="shared" si="131"/>
        <v>mié</v>
      </c>
      <c r="D265" s="5">
        <f t="shared" si="125"/>
        <v>46176</v>
      </c>
      <c r="E265" s="30">
        <v>186.08416069497088</v>
      </c>
      <c r="F265" s="14">
        <f>+'Mono SPOT MAT'!M265/'Fisico SPOT MAT'!M265/24</f>
        <v>153.64379679726642</v>
      </c>
      <c r="G265" s="13">
        <f t="shared" si="138"/>
        <v>17.600000000000001</v>
      </c>
      <c r="H265" s="12">
        <f>+'Mono ASIG'!AA265</f>
        <v>91.072001710646632</v>
      </c>
      <c r="I265" s="12">
        <f t="shared" si="139"/>
        <v>76.325189324489983</v>
      </c>
      <c r="J265" s="12">
        <f t="shared" si="140"/>
        <v>17.600000000000001</v>
      </c>
      <c r="K265" s="155">
        <f>+'Mono SPOT MAT'!T265</f>
        <v>75</v>
      </c>
      <c r="L265" s="116"/>
      <c r="M265" s="116"/>
      <c r="N265" s="139">
        <f>+'Mono SPOT MAT'!S265/'Fisico SPOT MAT'!S265/'Fisico SPOT MAT'!E265</f>
        <v>15.736310476503222</v>
      </c>
      <c r="O265" s="116"/>
      <c r="R265">
        <v>1.1000000000000001</v>
      </c>
      <c r="Y265" s="5">
        <f t="shared" si="73"/>
        <v>46176</v>
      </c>
      <c r="Z265" s="117">
        <f t="shared" si="141"/>
        <v>186.08416069497088</v>
      </c>
      <c r="AA265" s="117">
        <f t="shared" si="142"/>
        <v>143.26534570199902</v>
      </c>
      <c r="AB265" s="136">
        <v>10.378451095267401</v>
      </c>
      <c r="AC265" s="123"/>
      <c r="AD265" s="5"/>
      <c r="AE265" s="122"/>
      <c r="AF265" s="122"/>
      <c r="AG265" s="122"/>
      <c r="AH265" s="122"/>
      <c r="AI265" s="123"/>
      <c r="AJ265" s="123"/>
    </row>
    <row r="266" spans="1:36" x14ac:dyDescent="0.25">
      <c r="A266" s="1">
        <v>2026</v>
      </c>
      <c r="B266" s="52">
        <v>46174</v>
      </c>
      <c r="C266" s="1" t="str">
        <f t="shared" si="131"/>
        <v>jue</v>
      </c>
      <c r="D266" s="5">
        <f t="shared" si="125"/>
        <v>46177</v>
      </c>
      <c r="E266" s="30">
        <v>229.65020306570639</v>
      </c>
      <c r="F266" s="14">
        <f>+'Mono SPOT MAT'!M266/'Fisico SPOT MAT'!M266/24</f>
        <v>158.2944620344592</v>
      </c>
      <c r="G266" s="13">
        <f t="shared" si="138"/>
        <v>17.600000000000001</v>
      </c>
      <c r="H266" s="12">
        <f>+'Mono ASIG'!AA266</f>
        <v>95.350049032731178</v>
      </c>
      <c r="I266" s="12">
        <f t="shared" si="139"/>
        <v>80.60323664657453</v>
      </c>
      <c r="J266" s="12">
        <f t="shared" si="140"/>
        <v>17.600000000000001</v>
      </c>
      <c r="K266" s="155">
        <f>+'Mono SPOT MAT'!T266</f>
        <v>75</v>
      </c>
      <c r="L266" s="116"/>
      <c r="M266" s="116"/>
      <c r="N266" s="139">
        <f>+'Mono SPOT MAT'!S266/'Fisico SPOT MAT'!S266/'Fisico SPOT MAT'!E266</f>
        <v>15.748381952709074</v>
      </c>
      <c r="O266" s="116"/>
      <c r="R266">
        <v>1.1000000000000001</v>
      </c>
      <c r="Y266" s="5">
        <f t="shared" si="73"/>
        <v>46177</v>
      </c>
      <c r="Z266" s="117">
        <f t="shared" si="141"/>
        <v>229.65020306570639</v>
      </c>
      <c r="AA266" s="117">
        <f t="shared" si="142"/>
        <v>144.22962939998249</v>
      </c>
      <c r="AB266" s="136">
        <v>14.064832634476719</v>
      </c>
      <c r="AC266" s="123"/>
      <c r="AD266" s="5"/>
      <c r="AE266" s="122"/>
      <c r="AF266" s="122"/>
      <c r="AG266" s="122"/>
      <c r="AH266" s="122"/>
      <c r="AI266" s="123"/>
      <c r="AJ266" s="123"/>
    </row>
    <row r="267" spans="1:36" x14ac:dyDescent="0.25">
      <c r="A267" s="1">
        <v>2026</v>
      </c>
      <c r="B267" s="52">
        <v>46174</v>
      </c>
      <c r="C267" s="1" t="str">
        <f t="shared" si="131"/>
        <v>vie</v>
      </c>
      <c r="D267" s="5">
        <f t="shared" si="125"/>
        <v>46178</v>
      </c>
      <c r="E267" s="30">
        <v>225.99750876633465</v>
      </c>
      <c r="F267" s="14">
        <f>+'Mono SPOT MAT'!M267/'Fisico SPOT MAT'!M267/24</f>
        <v>154.54621857158648</v>
      </c>
      <c r="G267" s="13">
        <f t="shared" si="138"/>
        <v>17.600000000000001</v>
      </c>
      <c r="H267" s="12">
        <f>+'Mono ASIG'!AA267</f>
        <v>98.600949151568457</v>
      </c>
      <c r="I267" s="12">
        <f t="shared" si="139"/>
        <v>83.854136765411809</v>
      </c>
      <c r="J267" s="12">
        <f t="shared" si="140"/>
        <v>17.600000000000001</v>
      </c>
      <c r="K267" s="155">
        <f>+'Mono SPOT MAT'!T267</f>
        <v>75</v>
      </c>
      <c r="L267" s="116"/>
      <c r="M267" s="116"/>
      <c r="N267" s="139">
        <f>+'Mono SPOT MAT'!S267/'Fisico SPOT MAT'!S267/'Fisico SPOT MAT'!E267</f>
        <v>15.742242777037859</v>
      </c>
      <c r="O267" s="116"/>
      <c r="R267">
        <v>1.1000000000000001</v>
      </c>
      <c r="Y267" s="5">
        <f t="shared" si="73"/>
        <v>46178</v>
      </c>
      <c r="Z267" s="117">
        <f t="shared" si="141"/>
        <v>225.99750876633465</v>
      </c>
      <c r="AA267" s="117">
        <f t="shared" si="142"/>
        <v>140.74315894532833</v>
      </c>
      <c r="AB267" s="136">
        <v>13.80305962625814</v>
      </c>
      <c r="AC267" s="123"/>
      <c r="AD267" s="5"/>
      <c r="AE267" s="122"/>
      <c r="AF267" s="122"/>
      <c r="AG267" s="122"/>
      <c r="AH267" s="122"/>
      <c r="AI267" s="123"/>
      <c r="AJ267" s="123"/>
    </row>
    <row r="268" spans="1:36" x14ac:dyDescent="0.25">
      <c r="A268" s="1">
        <v>2026</v>
      </c>
      <c r="B268" s="52">
        <v>46174</v>
      </c>
      <c r="C268" s="1" t="str">
        <f t="shared" si="131"/>
        <v>sáb</v>
      </c>
      <c r="D268" s="5">
        <f t="shared" si="125"/>
        <v>46179</v>
      </c>
      <c r="E268" s="30">
        <v>217.43017609198685</v>
      </c>
      <c r="F268" s="14">
        <f>+'Mono SPOT MAT'!M268/'Fisico SPOT MAT'!M268/24</f>
        <v>157.15985232632329</v>
      </c>
      <c r="G268" s="13">
        <f t="shared" si="138"/>
        <v>17.600000000000001</v>
      </c>
      <c r="H268" s="12">
        <f>+'Mono ASIG'!AA268</f>
        <v>100.19575117977944</v>
      </c>
      <c r="I268" s="12">
        <f t="shared" si="139"/>
        <v>85.448938793622787</v>
      </c>
      <c r="J268" s="12">
        <f t="shared" si="140"/>
        <v>17.600000000000001</v>
      </c>
      <c r="K268" s="155">
        <f>+'Mono SPOT MAT'!T268</f>
        <v>75</v>
      </c>
      <c r="L268" s="116"/>
      <c r="M268" s="116"/>
      <c r="N268" s="139">
        <f>+'Mono SPOT MAT'!S268/'Fisico SPOT MAT'!S268/'Fisico SPOT MAT'!E268</f>
        <v>15.73543871028251</v>
      </c>
      <c r="O268" s="116"/>
      <c r="R268">
        <v>1.1000000000000001</v>
      </c>
      <c r="Y268" s="5">
        <f t="shared" si="73"/>
        <v>46179</v>
      </c>
      <c r="Z268" s="117">
        <f t="shared" si="141"/>
        <v>217.43017609198685</v>
      </c>
      <c r="AA268" s="117">
        <f t="shared" si="142"/>
        <v>144.38884261553974</v>
      </c>
      <c r="AB268" s="136">
        <v>12.771009710783543</v>
      </c>
      <c r="AC268" s="123"/>
      <c r="AD268" s="5"/>
      <c r="AE268" s="122"/>
      <c r="AF268" s="122"/>
      <c r="AG268" s="122"/>
      <c r="AH268" s="122"/>
      <c r="AI268" s="123"/>
      <c r="AJ268" s="123"/>
    </row>
    <row r="269" spans="1:36" x14ac:dyDescent="0.25">
      <c r="A269" s="1">
        <v>2026</v>
      </c>
      <c r="B269" s="52">
        <v>46174</v>
      </c>
      <c r="C269" s="1" t="str">
        <f t="shared" si="131"/>
        <v>dom</v>
      </c>
      <c r="D269" s="5">
        <f t="shared" si="125"/>
        <v>46180</v>
      </c>
      <c r="E269" s="30">
        <v>166.5091404096159</v>
      </c>
      <c r="F269" s="14">
        <f>+'Mono SPOT MAT'!M269/'Fisico SPOT MAT'!M269/24</f>
        <v>149.58451238942359</v>
      </c>
      <c r="G269" s="13">
        <f t="shared" si="138"/>
        <v>17.600000000000001</v>
      </c>
      <c r="H269" s="12">
        <f>+'Mono ASIG'!AA269</f>
        <v>97.684646340076313</v>
      </c>
      <c r="I269" s="12">
        <f t="shared" si="139"/>
        <v>82.937833953919665</v>
      </c>
      <c r="J269" s="12">
        <f t="shared" si="140"/>
        <v>17.600000000000001</v>
      </c>
      <c r="K269" s="155">
        <f>+'Mono SPOT MAT'!T269</f>
        <v>75</v>
      </c>
      <c r="L269" s="116"/>
      <c r="M269" s="116"/>
      <c r="N269" s="139">
        <f>+'Mono SPOT MAT'!S269/'Fisico SPOT MAT'!S269/'Fisico SPOT MAT'!E269</f>
        <v>15.726493790155054</v>
      </c>
      <c r="O269" s="116"/>
      <c r="R269">
        <v>1.1000000000000001</v>
      </c>
      <c r="Y269" s="5">
        <f t="shared" si="73"/>
        <v>46180</v>
      </c>
      <c r="Z269" s="117">
        <f t="shared" si="141"/>
        <v>166.5091404096159</v>
      </c>
      <c r="AA269" s="117">
        <f t="shared" si="142"/>
        <v>141.3953583238426</v>
      </c>
      <c r="AB269" s="136">
        <v>8.1891540655809845</v>
      </c>
      <c r="AC269" s="123"/>
      <c r="AD269" s="5"/>
      <c r="AE269" s="122"/>
      <c r="AF269" s="122"/>
      <c r="AG269" s="122"/>
      <c r="AH269" s="122"/>
      <c r="AI269" s="123"/>
      <c r="AJ269" s="123"/>
    </row>
    <row r="270" spans="1:36" x14ac:dyDescent="0.25">
      <c r="A270" s="1">
        <v>2026</v>
      </c>
      <c r="B270" s="52">
        <v>46174</v>
      </c>
      <c r="C270" s="1" t="str">
        <f t="shared" si="131"/>
        <v>lun</v>
      </c>
      <c r="D270" s="5">
        <f t="shared" si="125"/>
        <v>46181</v>
      </c>
      <c r="E270" s="30">
        <v>218.46703407663782</v>
      </c>
      <c r="F270" s="14">
        <f>+'Mono SPOT MAT'!M270/'Fisico SPOT MAT'!M270/24</f>
        <v>154.78775923370878</v>
      </c>
      <c r="G270" s="13">
        <f t="shared" ref="G270:G271" si="143">16*R270</f>
        <v>17.600000000000001</v>
      </c>
      <c r="H270" s="12">
        <f>+'Mono ASIG'!AA270</f>
        <v>97.957305405182581</v>
      </c>
      <c r="I270" s="12">
        <f t="shared" ref="I270:I271" si="144">+H270-J270*$P$12/$Q$12/$W$12</f>
        <v>83.210493019025932</v>
      </c>
      <c r="J270" s="12">
        <f t="shared" ref="J270:J271" si="145">16*R270</f>
        <v>17.600000000000001</v>
      </c>
      <c r="K270" s="155">
        <f>+'Mono SPOT MAT'!T270</f>
        <v>75</v>
      </c>
      <c r="L270" s="116"/>
      <c r="M270" s="116"/>
      <c r="N270" s="139">
        <f>+'Mono SPOT MAT'!S270/'Fisico SPOT MAT'!S270/'Fisico SPOT MAT'!E270</f>
        <v>15.732033651015252</v>
      </c>
      <c r="O270" s="116"/>
      <c r="R270">
        <v>1.1000000000000001</v>
      </c>
      <c r="Y270" s="5">
        <f t="shared" si="73"/>
        <v>46181</v>
      </c>
      <c r="Z270" s="117">
        <f t="shared" ref="Z270:Z271" si="146">+E270</f>
        <v>218.46703407663782</v>
      </c>
      <c r="AA270" s="117">
        <f t="shared" si="142"/>
        <v>141.01515939665092</v>
      </c>
      <c r="AB270" s="136">
        <v>13.772599837057856</v>
      </c>
      <c r="AC270" s="123"/>
      <c r="AD270" s="5"/>
      <c r="AE270" s="122"/>
      <c r="AF270" s="122"/>
      <c r="AG270" s="122"/>
      <c r="AH270" s="122"/>
      <c r="AI270" s="123"/>
      <c r="AJ270" s="123"/>
    </row>
    <row r="271" spans="1:36" x14ac:dyDescent="0.25">
      <c r="A271" s="1">
        <v>2026</v>
      </c>
      <c r="B271" s="52">
        <v>46174</v>
      </c>
      <c r="C271" s="1" t="str">
        <f t="shared" si="131"/>
        <v>mar</v>
      </c>
      <c r="D271" s="5">
        <f t="shared" si="125"/>
        <v>46182</v>
      </c>
      <c r="E271" s="30">
        <v>226.17379752551511</v>
      </c>
      <c r="F271" s="14">
        <f>+'Mono SPOT MAT'!M271/'Fisico SPOT MAT'!M271/24</f>
        <v>159.21224060695445</v>
      </c>
      <c r="G271" s="13">
        <f t="shared" si="143"/>
        <v>17.600000000000001</v>
      </c>
      <c r="H271" s="12">
        <f>+'Mono ASIG'!AA271</f>
        <v>96.945777504753394</v>
      </c>
      <c r="I271" s="12">
        <f t="shared" si="144"/>
        <v>82.198965118596746</v>
      </c>
      <c r="J271" s="12">
        <f t="shared" si="145"/>
        <v>17.600000000000001</v>
      </c>
      <c r="K271" s="155">
        <f>+'Mono SPOT MAT'!T271</f>
        <v>75</v>
      </c>
      <c r="L271" s="116"/>
      <c r="M271" s="116"/>
      <c r="N271" s="139">
        <f>+'Mono SPOT MAT'!S271/'Fisico SPOT MAT'!S271/'Fisico SPOT MAT'!E271</f>
        <v>15.753898854148281</v>
      </c>
      <c r="O271" s="116"/>
      <c r="R271">
        <v>1.1000000000000001</v>
      </c>
      <c r="Y271" s="5">
        <f t="shared" si="73"/>
        <v>46182</v>
      </c>
      <c r="Z271" s="117">
        <f t="shared" si="146"/>
        <v>226.17379752551511</v>
      </c>
      <c r="AA271" s="117">
        <f t="shared" si="142"/>
        <v>145.11584239859985</v>
      </c>
      <c r="AB271" s="136">
        <v>14.096398208354595</v>
      </c>
      <c r="AC271" s="123"/>
      <c r="AD271" s="5"/>
      <c r="AE271" s="122"/>
      <c r="AF271" s="122"/>
      <c r="AG271" s="122"/>
      <c r="AH271" s="122"/>
      <c r="AI271" s="123"/>
      <c r="AJ271" s="123"/>
    </row>
    <row r="272" spans="1:36" x14ac:dyDescent="0.25">
      <c r="A272" s="1">
        <v>2026</v>
      </c>
      <c r="B272" s="52">
        <v>46174</v>
      </c>
      <c r="C272" s="1" t="str">
        <f t="shared" si="131"/>
        <v>mié</v>
      </c>
      <c r="D272" s="5">
        <f t="shared" si="125"/>
        <v>46183</v>
      </c>
      <c r="E272" s="30">
        <v>216.05093841974383</v>
      </c>
      <c r="F272" s="14">
        <f>+'Mono SPOT MAT'!M272/'Fisico SPOT MAT'!M272/24</f>
        <v>166.49517655039188</v>
      </c>
      <c r="G272" s="13">
        <f t="shared" ref="G272:G284" si="147">16*R272</f>
        <v>17.600000000000001</v>
      </c>
      <c r="H272" s="12">
        <f>+'Mono ASIG'!AA272</f>
        <v>88.848988001746264</v>
      </c>
      <c r="I272" s="12">
        <f t="shared" ref="I272:I284" si="148">+H272-J272*$P$12/$Q$12/$W$12</f>
        <v>74.102175615589616</v>
      </c>
      <c r="J272" s="12">
        <f t="shared" ref="J272:J284" si="149">16*R272</f>
        <v>17.600000000000001</v>
      </c>
      <c r="K272" s="155">
        <f>+'Mono SPOT MAT'!T272</f>
        <v>75</v>
      </c>
      <c r="L272" s="116"/>
      <c r="M272" s="116"/>
      <c r="N272" s="139">
        <f>+'Mono SPOT MAT'!S272/'Fisico SPOT MAT'!S272/'Fisico SPOT MAT'!E272</f>
        <v>15.752819148579206</v>
      </c>
      <c r="O272" s="116"/>
      <c r="R272">
        <v>1.1000000000000001</v>
      </c>
      <c r="Y272" s="5">
        <f t="shared" si="73"/>
        <v>46183</v>
      </c>
      <c r="Z272" s="117">
        <f t="shared" ref="Z272:Z284" si="150">+E272</f>
        <v>216.05093841974383</v>
      </c>
      <c r="AA272" s="117">
        <f t="shared" si="142"/>
        <v>153.51516717544837</v>
      </c>
      <c r="AB272" s="136">
        <v>12.980009374943494</v>
      </c>
      <c r="AC272" s="123"/>
      <c r="AD272" s="5"/>
      <c r="AE272" s="122"/>
      <c r="AF272" s="122"/>
      <c r="AG272" s="122"/>
      <c r="AH272" s="122"/>
      <c r="AI272" s="123"/>
      <c r="AJ272" s="123"/>
    </row>
    <row r="273" spans="1:36" x14ac:dyDescent="0.25">
      <c r="A273" s="1">
        <v>2026</v>
      </c>
      <c r="B273" s="52">
        <v>46174</v>
      </c>
      <c r="C273" s="1" t="str">
        <f t="shared" si="131"/>
        <v>jue</v>
      </c>
      <c r="D273" s="5">
        <f t="shared" si="125"/>
        <v>46184</v>
      </c>
      <c r="E273" s="30">
        <v>228.28561813128621</v>
      </c>
      <c r="F273" s="14">
        <f>+'Mono SPOT MAT'!M273/'Fisico SPOT MAT'!M273/24</f>
        <v>171.27485840462339</v>
      </c>
      <c r="G273" s="13">
        <f t="shared" si="147"/>
        <v>17.600000000000001</v>
      </c>
      <c r="H273" s="12">
        <f>+'Mono ASIG'!AA273</f>
        <v>90.926978539580389</v>
      </c>
      <c r="I273" s="12">
        <f t="shared" si="148"/>
        <v>76.180166153423741</v>
      </c>
      <c r="J273" s="12">
        <f t="shared" si="149"/>
        <v>17.600000000000001</v>
      </c>
      <c r="K273" s="155">
        <f>+'Mono SPOT MAT'!T273</f>
        <v>75</v>
      </c>
      <c r="L273" s="116"/>
      <c r="M273" s="116"/>
      <c r="N273" s="139">
        <f>+'Mono SPOT MAT'!S273/'Fisico SPOT MAT'!S273/'Fisico SPOT MAT'!E273</f>
        <v>15.767974134228171</v>
      </c>
      <c r="O273" s="116"/>
      <c r="R273">
        <v>1.1000000000000001</v>
      </c>
      <c r="Y273" s="5">
        <f t="shared" si="73"/>
        <v>46184</v>
      </c>
      <c r="Z273" s="117">
        <f t="shared" si="150"/>
        <v>228.28561813128621</v>
      </c>
      <c r="AA273" s="117">
        <f t="shared" si="142"/>
        <v>158.43650720860904</v>
      </c>
      <c r="AB273" s="136">
        <v>12.838351196014351</v>
      </c>
      <c r="AC273" s="123"/>
      <c r="AD273" s="5"/>
      <c r="AE273" s="122"/>
      <c r="AF273" s="122"/>
      <c r="AG273" s="122"/>
      <c r="AH273" s="122"/>
      <c r="AI273" s="123"/>
      <c r="AJ273" s="123"/>
    </row>
    <row r="274" spans="1:36" x14ac:dyDescent="0.25">
      <c r="A274" s="1">
        <v>2026</v>
      </c>
      <c r="B274" s="52">
        <v>46174</v>
      </c>
      <c r="C274" s="1" t="str">
        <f t="shared" si="131"/>
        <v>vie</v>
      </c>
      <c r="D274" s="5">
        <f t="shared" si="125"/>
        <v>46185</v>
      </c>
      <c r="E274" s="30">
        <v>173.1042143892104</v>
      </c>
      <c r="F274" s="14">
        <f>+'Mono SPOT MAT'!M274/'Fisico SPOT MAT'!M274/24</f>
        <v>162.60958339182221</v>
      </c>
      <c r="G274" s="13">
        <f t="shared" si="147"/>
        <v>17.600000000000001</v>
      </c>
      <c r="H274" s="12">
        <f>+'Mono ASIG'!AA274</f>
        <v>91.991760275007451</v>
      </c>
      <c r="I274" s="12">
        <f t="shared" si="148"/>
        <v>77.244947888850803</v>
      </c>
      <c r="J274" s="12">
        <f t="shared" si="149"/>
        <v>17.600000000000001</v>
      </c>
      <c r="K274" s="155">
        <f>+'Mono SPOT MAT'!T274</f>
        <v>75</v>
      </c>
      <c r="L274" s="116"/>
      <c r="M274" s="116"/>
      <c r="N274" s="139">
        <f>+'Mono SPOT MAT'!S274/'Fisico SPOT MAT'!S274/'Fisico SPOT MAT'!E274</f>
        <v>15.76972391016845</v>
      </c>
      <c r="O274" s="116"/>
      <c r="R274">
        <v>1.1000000000000001</v>
      </c>
      <c r="Y274" s="5">
        <f t="shared" si="73"/>
        <v>46185</v>
      </c>
      <c r="Z274" s="117">
        <f t="shared" si="150"/>
        <v>173.1042143892104</v>
      </c>
      <c r="AA274" s="117">
        <f t="shared" si="142"/>
        <v>154.21837391896608</v>
      </c>
      <c r="AB274" s="136">
        <v>8.3912094728561399</v>
      </c>
      <c r="AC274" s="123"/>
      <c r="AD274" s="5"/>
      <c r="AE274" s="122"/>
      <c r="AF274" s="122"/>
      <c r="AG274" s="122"/>
      <c r="AH274" s="122"/>
      <c r="AI274" s="123"/>
      <c r="AJ274" s="123"/>
    </row>
    <row r="275" spans="1:36" x14ac:dyDescent="0.25">
      <c r="A275" s="1">
        <v>2026</v>
      </c>
      <c r="B275" s="52">
        <v>46174</v>
      </c>
      <c r="C275" s="1" t="str">
        <f t="shared" si="131"/>
        <v>sáb</v>
      </c>
      <c r="D275" s="5">
        <f t="shared" si="125"/>
        <v>46186</v>
      </c>
      <c r="E275" s="30">
        <v>207.81149374385572</v>
      </c>
      <c r="F275" s="14">
        <f>+'Mono SPOT MAT'!M275/'Fisico SPOT MAT'!M275/24</f>
        <v>157.89052188001583</v>
      </c>
      <c r="G275" s="13">
        <f t="shared" si="147"/>
        <v>17.600000000000001</v>
      </c>
      <c r="H275" s="12">
        <f>+'Mono ASIG'!AA275</f>
        <v>92.993275282958052</v>
      </c>
      <c r="I275" s="12">
        <f t="shared" si="148"/>
        <v>78.246462896801404</v>
      </c>
      <c r="J275" s="12">
        <f t="shared" si="149"/>
        <v>17.600000000000001</v>
      </c>
      <c r="K275" s="155">
        <f>+'Mono SPOT MAT'!T275</f>
        <v>75</v>
      </c>
      <c r="L275" s="116"/>
      <c r="M275" s="116"/>
      <c r="N275" s="139">
        <f>+'Mono SPOT MAT'!S275/'Fisico SPOT MAT'!S275/'Fisico SPOT MAT'!E275</f>
        <v>15.720160863582494</v>
      </c>
      <c r="O275" s="116"/>
      <c r="R275">
        <v>1.1000000000000001</v>
      </c>
      <c r="Y275" s="5">
        <f t="shared" si="73"/>
        <v>46186</v>
      </c>
      <c r="Z275" s="117">
        <f t="shared" si="150"/>
        <v>207.81149374385572</v>
      </c>
      <c r="AA275" s="117">
        <f t="shared" si="142"/>
        <v>146.7719904387823</v>
      </c>
      <c r="AB275" s="136">
        <v>11.118531441233522</v>
      </c>
      <c r="AC275" s="123"/>
      <c r="AD275" s="5"/>
      <c r="AE275" s="122"/>
      <c r="AF275" s="122"/>
      <c r="AG275" s="122"/>
      <c r="AH275" s="122"/>
      <c r="AI275" s="123"/>
      <c r="AJ275" s="123"/>
    </row>
    <row r="276" spans="1:36" x14ac:dyDescent="0.25">
      <c r="A276" s="1">
        <v>2026</v>
      </c>
      <c r="B276" s="52">
        <v>46174</v>
      </c>
      <c r="C276" s="1" t="str">
        <f t="shared" si="131"/>
        <v>dom</v>
      </c>
      <c r="D276" s="5">
        <f t="shared" si="125"/>
        <v>46187</v>
      </c>
      <c r="E276" s="30">
        <v>186.76553977881719</v>
      </c>
      <c r="F276" s="14">
        <f>+'Mono SPOT MAT'!M276/'Fisico SPOT MAT'!M276/24</f>
        <v>154.46871812743078</v>
      </c>
      <c r="G276" s="13">
        <f t="shared" si="147"/>
        <v>17.600000000000001</v>
      </c>
      <c r="H276" s="12">
        <f>+'Mono ASIG'!AA276</f>
        <v>96.613076660110551</v>
      </c>
      <c r="I276" s="12">
        <f t="shared" si="148"/>
        <v>81.866264273953902</v>
      </c>
      <c r="J276" s="12">
        <f t="shared" si="149"/>
        <v>17.600000000000001</v>
      </c>
      <c r="K276" s="155">
        <f>+'Mono SPOT MAT'!T276</f>
        <v>75</v>
      </c>
      <c r="L276" s="116"/>
      <c r="M276" s="116"/>
      <c r="N276" s="139">
        <f>+'Mono SPOT MAT'!S276/'Fisico SPOT MAT'!S276/'Fisico SPOT MAT'!E276</f>
        <v>15.713016779513143</v>
      </c>
      <c r="O276" s="116"/>
      <c r="R276">
        <v>1.1000000000000001</v>
      </c>
      <c r="Y276" s="5">
        <f t="shared" si="73"/>
        <v>46187</v>
      </c>
      <c r="Z276" s="117">
        <f t="shared" si="150"/>
        <v>186.76553977881719</v>
      </c>
      <c r="AA276" s="117">
        <f t="shared" si="142"/>
        <v>144.02311756768782</v>
      </c>
      <c r="AB276" s="136">
        <v>10.445600559742946</v>
      </c>
      <c r="AC276" s="123"/>
      <c r="AD276" s="5"/>
      <c r="AE276" s="122"/>
      <c r="AF276" s="122"/>
      <c r="AG276" s="122"/>
      <c r="AH276" s="122"/>
      <c r="AI276" s="123"/>
      <c r="AJ276" s="123"/>
    </row>
    <row r="277" spans="1:36" x14ac:dyDescent="0.25">
      <c r="A277" s="1">
        <v>2026</v>
      </c>
      <c r="B277" s="52">
        <v>46174</v>
      </c>
      <c r="C277" s="1" t="str">
        <f t="shared" si="131"/>
        <v>lun</v>
      </c>
      <c r="D277" s="5">
        <f t="shared" si="125"/>
        <v>46188</v>
      </c>
      <c r="E277" s="30">
        <v>209.94647527188516</v>
      </c>
      <c r="F277" s="14">
        <f>+'Mono SPOT MAT'!M277/'Fisico SPOT MAT'!M277/24</f>
        <v>150.0174016014883</v>
      </c>
      <c r="G277" s="13">
        <f t="shared" si="147"/>
        <v>17.600000000000001</v>
      </c>
      <c r="H277" s="12">
        <f>+'Mono ASIG'!AA277</f>
        <v>93.385283896192561</v>
      </c>
      <c r="I277" s="12">
        <f t="shared" si="148"/>
        <v>78.638471510035913</v>
      </c>
      <c r="J277" s="12">
        <f t="shared" si="149"/>
        <v>17.600000000000001</v>
      </c>
      <c r="K277" s="155">
        <f>+'Mono SPOT MAT'!T277</f>
        <v>75</v>
      </c>
      <c r="L277" s="116"/>
      <c r="M277" s="116"/>
      <c r="N277" s="139">
        <f>+'Mono SPOT MAT'!S277/'Fisico SPOT MAT'!S277/'Fisico SPOT MAT'!E277</f>
        <v>15.727170141537455</v>
      </c>
      <c r="O277" s="116"/>
      <c r="R277">
        <v>1.1000000000000001</v>
      </c>
      <c r="Y277" s="5">
        <f t="shared" si="73"/>
        <v>46188</v>
      </c>
      <c r="Z277" s="117">
        <f t="shared" si="150"/>
        <v>209.94647527188516</v>
      </c>
      <c r="AA277" s="117">
        <f t="shared" si="142"/>
        <v>137.61947737835996</v>
      </c>
      <c r="AB277" s="136">
        <v>12.397924223128342</v>
      </c>
      <c r="AC277" s="123"/>
      <c r="AD277" s="5"/>
      <c r="AE277" s="122"/>
      <c r="AF277" s="122"/>
      <c r="AG277" s="122"/>
      <c r="AH277" s="122"/>
      <c r="AI277" s="123"/>
      <c r="AJ277" s="123"/>
    </row>
    <row r="278" spans="1:36" x14ac:dyDescent="0.25">
      <c r="A278" s="1">
        <v>2026</v>
      </c>
      <c r="B278" s="52">
        <v>46174</v>
      </c>
      <c r="C278" s="1" t="str">
        <f t="shared" si="131"/>
        <v>mar</v>
      </c>
      <c r="D278" s="5">
        <f t="shared" si="125"/>
        <v>46189</v>
      </c>
      <c r="E278" s="30">
        <v>188.75076899304085</v>
      </c>
      <c r="F278" s="14">
        <f>+'Mono SPOT MAT'!M278/'Fisico SPOT MAT'!M278/24</f>
        <v>156.08479124790492</v>
      </c>
      <c r="G278" s="13">
        <f t="shared" si="147"/>
        <v>17.600000000000001</v>
      </c>
      <c r="H278" s="12">
        <f>+'Mono ASIG'!AA278</f>
        <v>95.268520310565364</v>
      </c>
      <c r="I278" s="12">
        <f t="shared" si="148"/>
        <v>80.521707924408716</v>
      </c>
      <c r="J278" s="12">
        <f t="shared" si="149"/>
        <v>17.600000000000001</v>
      </c>
      <c r="K278" s="155">
        <f>+'Mono SPOT MAT'!T278</f>
        <v>75</v>
      </c>
      <c r="L278" s="116"/>
      <c r="M278" s="116"/>
      <c r="N278" s="139">
        <f>+'Mono SPOT MAT'!S278/'Fisico SPOT MAT'!S278/'Fisico SPOT MAT'!E278</f>
        <v>15.775658680283728</v>
      </c>
      <c r="O278" s="116"/>
      <c r="R278">
        <v>1.1000000000000001</v>
      </c>
      <c r="Y278" s="5">
        <f t="shared" si="73"/>
        <v>46189</v>
      </c>
      <c r="Z278" s="117">
        <f t="shared" si="150"/>
        <v>188.75076899304085</v>
      </c>
      <c r="AA278" s="117">
        <f t="shared" si="142"/>
        <v>145.58526737799744</v>
      </c>
      <c r="AB278" s="136">
        <v>10.499523869907474</v>
      </c>
      <c r="AC278" s="123"/>
      <c r="AD278" s="5"/>
      <c r="AE278" s="122"/>
      <c r="AF278" s="122"/>
      <c r="AG278" s="122"/>
      <c r="AH278" s="122"/>
      <c r="AI278" s="123"/>
      <c r="AJ278" s="123"/>
    </row>
    <row r="279" spans="1:36" x14ac:dyDescent="0.25">
      <c r="A279" s="1">
        <v>2026</v>
      </c>
      <c r="B279" s="52">
        <v>46174</v>
      </c>
      <c r="C279" s="1" t="str">
        <f t="shared" si="131"/>
        <v>mié</v>
      </c>
      <c r="D279" s="5">
        <f t="shared" si="125"/>
        <v>46190</v>
      </c>
      <c r="E279" s="30">
        <v>219.24361622740804</v>
      </c>
      <c r="F279" s="14">
        <f>+'Mono SPOT MAT'!M279/'Fisico SPOT MAT'!M279/24</f>
        <v>138.90159495367806</v>
      </c>
      <c r="G279" s="13">
        <f t="shared" si="147"/>
        <v>17.600000000000001</v>
      </c>
      <c r="H279" s="12">
        <f>+'Mono ASIG'!AA279</f>
        <v>86.854143609327878</v>
      </c>
      <c r="I279" s="12">
        <f t="shared" si="148"/>
        <v>72.107331223171229</v>
      </c>
      <c r="J279" s="12">
        <f t="shared" si="149"/>
        <v>17.600000000000001</v>
      </c>
      <c r="K279" s="155">
        <f>+'Mono SPOT MAT'!T279</f>
        <v>75</v>
      </c>
      <c r="L279" s="116"/>
      <c r="M279" s="116"/>
      <c r="N279" s="139">
        <f>+'Mono SPOT MAT'!S279/'Fisico SPOT MAT'!S279/'Fisico SPOT MAT'!E279</f>
        <v>15.774411072570222</v>
      </c>
      <c r="O279" s="116"/>
      <c r="R279">
        <v>1.1000000000000001</v>
      </c>
      <c r="Y279" s="5">
        <f t="shared" si="73"/>
        <v>46190</v>
      </c>
      <c r="Z279" s="117">
        <f t="shared" si="150"/>
        <v>219.24361622740804</v>
      </c>
      <c r="AA279" s="117">
        <f t="shared" si="142"/>
        <v>125.02374547712085</v>
      </c>
      <c r="AB279" s="136">
        <v>13.877849476557202</v>
      </c>
      <c r="AC279" s="123"/>
      <c r="AD279" s="5"/>
      <c r="AE279" s="122"/>
      <c r="AF279" s="122"/>
      <c r="AG279" s="122"/>
      <c r="AH279" s="122"/>
      <c r="AI279" s="123"/>
      <c r="AJ279" s="123"/>
    </row>
    <row r="280" spans="1:36" x14ac:dyDescent="0.25">
      <c r="A280" s="1">
        <v>2026</v>
      </c>
      <c r="B280" s="52">
        <v>46174</v>
      </c>
      <c r="C280" s="1" t="str">
        <f t="shared" si="131"/>
        <v>jue</v>
      </c>
      <c r="D280" s="5">
        <f t="shared" si="125"/>
        <v>46191</v>
      </c>
      <c r="E280" s="30">
        <v>207.11210761646018</v>
      </c>
      <c r="F280" s="14">
        <f>+'Mono SPOT MAT'!M280/'Fisico SPOT MAT'!M280/24</f>
        <v>151.39988448611919</v>
      </c>
      <c r="G280" s="13">
        <f t="shared" si="147"/>
        <v>17.600000000000001</v>
      </c>
      <c r="H280" s="12">
        <f>+'Mono ASIG'!AA280</f>
        <v>87.578358190228187</v>
      </c>
      <c r="I280" s="12">
        <f t="shared" si="148"/>
        <v>72.831545804071538</v>
      </c>
      <c r="J280" s="12">
        <f t="shared" si="149"/>
        <v>17.600000000000001</v>
      </c>
      <c r="K280" s="155">
        <f>+'Mono SPOT MAT'!T280</f>
        <v>75</v>
      </c>
      <c r="L280" s="116"/>
      <c r="M280" s="116"/>
      <c r="N280" s="139">
        <f>+'Mono SPOT MAT'!S280/'Fisico SPOT MAT'!S280/'Fisico SPOT MAT'!E280</f>
        <v>15.723606907568243</v>
      </c>
      <c r="O280" s="116"/>
      <c r="R280">
        <v>1.1000000000000001</v>
      </c>
      <c r="Y280" s="5">
        <f t="shared" si="73"/>
        <v>46191</v>
      </c>
      <c r="Z280" s="117">
        <f t="shared" si="150"/>
        <v>207.11210761646018</v>
      </c>
      <c r="AA280" s="117">
        <f t="shared" si="142"/>
        <v>138.1194315349322</v>
      </c>
      <c r="AB280" s="136">
        <v>13.280452951186998</v>
      </c>
      <c r="AC280" s="123"/>
      <c r="AD280" s="5"/>
      <c r="AE280" s="122"/>
      <c r="AF280" s="122"/>
      <c r="AG280" s="122"/>
      <c r="AH280" s="122"/>
      <c r="AI280" s="123"/>
      <c r="AJ280" s="123"/>
    </row>
    <row r="281" spans="1:36" x14ac:dyDescent="0.25">
      <c r="A281" s="1">
        <v>2026</v>
      </c>
      <c r="B281" s="52">
        <v>46174</v>
      </c>
      <c r="C281" s="1" t="str">
        <f t="shared" si="131"/>
        <v>vie</v>
      </c>
      <c r="D281" s="5">
        <f t="shared" si="125"/>
        <v>46192</v>
      </c>
      <c r="E281" s="30">
        <v>235.67469086967958</v>
      </c>
      <c r="F281" s="14">
        <f>+'Mono SPOT MAT'!M281/'Fisico SPOT MAT'!M281/24</f>
        <v>167.54002816636645</v>
      </c>
      <c r="G281" s="13">
        <f t="shared" si="147"/>
        <v>17.600000000000001</v>
      </c>
      <c r="H281" s="12">
        <f>+'Mono ASIG'!AA281</f>
        <v>89.657755950005239</v>
      </c>
      <c r="I281" s="12">
        <f t="shared" si="148"/>
        <v>74.910943563848591</v>
      </c>
      <c r="J281" s="12">
        <f t="shared" si="149"/>
        <v>17.600000000000001</v>
      </c>
      <c r="K281" s="155">
        <f>+'Mono SPOT MAT'!T281</f>
        <v>75</v>
      </c>
      <c r="L281" s="116"/>
      <c r="M281" s="116"/>
      <c r="N281" s="139">
        <f>+'Mono SPOT MAT'!S281/'Fisico SPOT MAT'!S281/'Fisico SPOT MAT'!E281</f>
        <v>15.696666178080868</v>
      </c>
      <c r="O281" s="116"/>
      <c r="R281">
        <v>1.1000000000000001</v>
      </c>
      <c r="Y281" s="5">
        <f t="shared" si="73"/>
        <v>46192</v>
      </c>
      <c r="Z281" s="117">
        <f t="shared" si="150"/>
        <v>235.67469086967958</v>
      </c>
      <c r="AA281" s="117">
        <f t="shared" si="142"/>
        <v>152.2852681387682</v>
      </c>
      <c r="AB281" s="136">
        <v>15.254760027598261</v>
      </c>
      <c r="AC281" s="123"/>
      <c r="AD281" s="5"/>
      <c r="AE281" s="122"/>
      <c r="AF281" s="122"/>
      <c r="AG281" s="122"/>
      <c r="AH281" s="122"/>
      <c r="AI281" s="123"/>
      <c r="AJ281" s="123"/>
    </row>
    <row r="282" spans="1:36" x14ac:dyDescent="0.25">
      <c r="A282" s="1">
        <v>2026</v>
      </c>
      <c r="B282" s="52">
        <v>46174</v>
      </c>
      <c r="C282" s="1" t="str">
        <f t="shared" si="131"/>
        <v>sáb</v>
      </c>
      <c r="D282" s="5">
        <f t="shared" si="125"/>
        <v>46193</v>
      </c>
      <c r="E282" s="30">
        <v>155.14172106166271</v>
      </c>
      <c r="F282" s="14">
        <f>+'Mono SPOT MAT'!M282/'Fisico SPOT MAT'!M282/24</f>
        <v>152.03715674138257</v>
      </c>
      <c r="G282" s="13">
        <f t="shared" si="147"/>
        <v>17.600000000000001</v>
      </c>
      <c r="H282" s="12">
        <f>+'Mono ASIG'!AA282</f>
        <v>104.41400237520183</v>
      </c>
      <c r="I282" s="12">
        <f t="shared" si="148"/>
        <v>89.667189989045184</v>
      </c>
      <c r="J282" s="12">
        <f t="shared" si="149"/>
        <v>17.600000000000001</v>
      </c>
      <c r="K282" s="155">
        <f>+'Mono SPOT MAT'!T282</f>
        <v>75</v>
      </c>
      <c r="L282" s="116"/>
      <c r="M282" s="116"/>
      <c r="N282" s="139">
        <f>+'Mono SPOT MAT'!S282/'Fisico SPOT MAT'!S282/'Fisico SPOT MAT'!E282</f>
        <v>15.672259304968668</v>
      </c>
      <c r="O282" s="116"/>
      <c r="R282">
        <v>1.1000000000000001</v>
      </c>
      <c r="Y282" s="5">
        <f t="shared" si="73"/>
        <v>46193</v>
      </c>
      <c r="Z282" s="117">
        <f t="shared" si="150"/>
        <v>155.14172106166271</v>
      </c>
      <c r="AA282" s="117">
        <f t="shared" si="142"/>
        <v>144.46832654764881</v>
      </c>
      <c r="AB282" s="136">
        <v>7.5688301937337723</v>
      </c>
      <c r="AC282" s="123"/>
      <c r="AD282" s="5"/>
      <c r="AE282" s="122"/>
      <c r="AF282" s="122"/>
      <c r="AG282" s="122"/>
      <c r="AH282" s="122"/>
      <c r="AI282" s="123"/>
      <c r="AJ282" s="123"/>
    </row>
    <row r="283" spans="1:36" x14ac:dyDescent="0.25">
      <c r="A283" s="1">
        <v>2026</v>
      </c>
      <c r="B283" s="52">
        <v>46174</v>
      </c>
      <c r="C283" s="1" t="str">
        <f t="shared" si="131"/>
        <v>dom</v>
      </c>
      <c r="D283" s="5">
        <f t="shared" si="125"/>
        <v>46194</v>
      </c>
      <c r="E283" s="30">
        <v>136.05060287886462</v>
      </c>
      <c r="F283" s="14">
        <f>+'Mono SPOT MAT'!M283/'Fisico SPOT MAT'!M283/24</f>
        <v>154.87710380092071</v>
      </c>
      <c r="G283" s="13">
        <f t="shared" si="147"/>
        <v>17.600000000000001</v>
      </c>
      <c r="H283" s="12">
        <f>+'Mono ASIG'!AA283</f>
        <v>104.88426807932895</v>
      </c>
      <c r="I283" s="12">
        <f t="shared" si="148"/>
        <v>90.137455693172299</v>
      </c>
      <c r="J283" s="12">
        <f t="shared" si="149"/>
        <v>17.600000000000001</v>
      </c>
      <c r="K283" s="155">
        <f>+'Mono SPOT MAT'!T283</f>
        <v>75</v>
      </c>
      <c r="L283" s="116"/>
      <c r="M283" s="116"/>
      <c r="N283" s="139">
        <f>+'Mono SPOT MAT'!S283/'Fisico SPOT MAT'!S283/'Fisico SPOT MAT'!E283</f>
        <v>15.653405150521596</v>
      </c>
      <c r="O283" s="116"/>
      <c r="R283">
        <v>1.1000000000000001</v>
      </c>
      <c r="Y283" s="5">
        <f t="shared" si="73"/>
        <v>46194</v>
      </c>
      <c r="Z283" s="117">
        <f t="shared" si="150"/>
        <v>136.05060287886462</v>
      </c>
      <c r="AA283" s="117">
        <f t="shared" si="142"/>
        <v>148.72027917006662</v>
      </c>
      <c r="AB283" s="136">
        <v>6.1568246308540893</v>
      </c>
      <c r="AC283" s="123"/>
      <c r="AD283" s="5"/>
      <c r="AE283" s="122"/>
      <c r="AF283" s="122"/>
      <c r="AG283" s="122"/>
      <c r="AH283" s="122"/>
      <c r="AI283" s="123"/>
      <c r="AJ283" s="123"/>
    </row>
    <row r="284" spans="1:36" x14ac:dyDescent="0.25">
      <c r="A284" s="1">
        <v>2026</v>
      </c>
      <c r="B284" s="52">
        <v>46174</v>
      </c>
      <c r="C284" s="1" t="str">
        <f t="shared" si="131"/>
        <v>lun</v>
      </c>
      <c r="D284" s="5">
        <f t="shared" si="125"/>
        <v>46195</v>
      </c>
      <c r="E284" s="30">
        <v>222.12114092519766</v>
      </c>
      <c r="F284" s="14">
        <f>+'Mono SPOT MAT'!M284/'Fisico SPOT MAT'!M284/24</f>
        <v>161.40282022070622</v>
      </c>
      <c r="G284" s="13">
        <f t="shared" si="147"/>
        <v>17.600000000000001</v>
      </c>
      <c r="H284" s="12">
        <f>+'Mono ASIG'!AA284</f>
        <v>100.26156267523841</v>
      </c>
      <c r="I284" s="12">
        <f t="shared" si="148"/>
        <v>85.514750289081761</v>
      </c>
      <c r="J284" s="12">
        <f t="shared" si="149"/>
        <v>17.600000000000001</v>
      </c>
      <c r="K284" s="155">
        <f>+'Mono SPOT MAT'!T284</f>
        <v>75</v>
      </c>
      <c r="L284" s="116"/>
      <c r="M284" s="116"/>
      <c r="N284" s="139">
        <f>+'Mono SPOT MAT'!S284/'Fisico SPOT MAT'!S284/'Fisico SPOT MAT'!E284</f>
        <v>15.679841073818771</v>
      </c>
      <c r="O284" s="116"/>
      <c r="R284">
        <v>1.1000000000000001</v>
      </c>
      <c r="Y284" s="5">
        <f t="shared" si="73"/>
        <v>46195</v>
      </c>
      <c r="Z284" s="117">
        <f t="shared" si="150"/>
        <v>222.12114092519766</v>
      </c>
      <c r="AA284" s="117">
        <f t="shared" si="142"/>
        <v>146.98772515383698</v>
      </c>
      <c r="AB284" s="136">
        <v>14.41509506686924</v>
      </c>
      <c r="AC284" s="123"/>
      <c r="AD284" s="5"/>
      <c r="AE284" s="122"/>
      <c r="AF284" s="122"/>
      <c r="AG284" s="122"/>
      <c r="AH284" s="122"/>
      <c r="AI284" s="123"/>
      <c r="AJ284" s="123"/>
    </row>
    <row r="285" spans="1:36" x14ac:dyDescent="0.25">
      <c r="A285" s="1"/>
      <c r="B285" s="1"/>
      <c r="C285" s="1"/>
      <c r="D285" s="5"/>
      <c r="Q285" s="5"/>
      <c r="S285" s="5"/>
      <c r="T285" s="117"/>
      <c r="U285" s="117"/>
      <c r="V285" s="116"/>
      <c r="W285" s="116"/>
      <c r="AD285" s="5"/>
    </row>
    <row r="286" spans="1:36" x14ac:dyDescent="0.25">
      <c r="AD286" s="5"/>
    </row>
    <row r="287" spans="1:36" x14ac:dyDescent="0.25">
      <c r="U287" s="39"/>
      <c r="V287" s="39"/>
      <c r="W287" s="39"/>
      <c r="AD287" s="5"/>
    </row>
    <row r="288" spans="1:36" x14ac:dyDescent="0.25">
      <c r="A288" s="75" t="s">
        <v>5</v>
      </c>
      <c r="U288" s="42"/>
      <c r="V288" s="42"/>
      <c r="W288" s="42"/>
      <c r="Y288" s="120"/>
      <c r="AD288" s="5"/>
    </row>
  </sheetData>
  <autoFilter ref="A19:P284" xr:uid="{329FE711-3039-401B-9725-A569DD4C7B71}"/>
  <phoneticPr fontId="2" type="noConversion"/>
  <pageMargins left="0.7" right="0.7" top="0.75" bottom="0.75" header="0.3" footer="0.3"/>
  <ignoredErrors>
    <ignoredError sqref="G14 H14:J14 K13:K1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C9B9E-7290-4019-A18C-135B6D155DEE}">
  <sheetPr filterMode="1"/>
  <dimension ref="A1:X289"/>
  <sheetViews>
    <sheetView zoomScaleNormal="100" workbookViewId="0">
      <selection activeCell="N14" sqref="N14"/>
    </sheetView>
  </sheetViews>
  <sheetFormatPr baseColWidth="10" defaultColWidth="11" defaultRowHeight="15" x14ac:dyDescent="0.25"/>
  <cols>
    <col min="1" max="1" width="5.109375" customWidth="1"/>
    <col min="2" max="2" width="8" bestFit="1" customWidth="1"/>
    <col min="3" max="3" width="3.44140625" customWidth="1"/>
    <col min="4" max="4" width="10.88671875" style="1" bestFit="1" customWidth="1"/>
    <col min="5" max="5" width="14" style="1" bestFit="1" customWidth="1"/>
    <col min="6" max="14" width="16.21875" customWidth="1"/>
    <col min="17" max="17" width="15.5546875" customWidth="1"/>
    <col min="18" max="18" width="20.33203125" bestFit="1" customWidth="1"/>
  </cols>
  <sheetData>
    <row r="1" spans="1:23" ht="32.25" x14ac:dyDescent="0.55000000000000004">
      <c r="B1" s="131" t="s">
        <v>141</v>
      </c>
      <c r="F1" s="27"/>
      <c r="O1" s="27" t="s">
        <v>58</v>
      </c>
    </row>
    <row r="2" spans="1:23" ht="32.25" x14ac:dyDescent="0.55000000000000004">
      <c r="B2" s="61" t="s">
        <v>143</v>
      </c>
      <c r="F2" s="27"/>
      <c r="O2" s="27"/>
    </row>
    <row r="3" spans="1:23" ht="32.25" x14ac:dyDescent="0.55000000000000004">
      <c r="B3" s="61" t="s">
        <v>142</v>
      </c>
      <c r="F3" s="27"/>
      <c r="G3" s="27"/>
      <c r="H3" s="27"/>
      <c r="I3" s="27"/>
      <c r="J3" s="27"/>
      <c r="K3" s="27"/>
      <c r="L3" s="27"/>
      <c r="M3" s="27"/>
      <c r="O3" s="27"/>
    </row>
    <row r="4" spans="1:23" x14ac:dyDescent="0.25">
      <c r="D4"/>
    </row>
    <row r="5" spans="1:23" x14ac:dyDescent="0.25">
      <c r="D5"/>
      <c r="F5" s="104" t="s">
        <v>18</v>
      </c>
      <c r="G5" s="104" t="s">
        <v>18</v>
      </c>
      <c r="H5" s="104" t="s">
        <v>18</v>
      </c>
      <c r="I5" s="104" t="s">
        <v>18</v>
      </c>
      <c r="J5" s="104" t="s">
        <v>18</v>
      </c>
      <c r="K5" s="104" t="s">
        <v>18</v>
      </c>
      <c r="L5" s="104" t="s">
        <v>18</v>
      </c>
      <c r="M5" s="104" t="s">
        <v>18</v>
      </c>
      <c r="N5" s="104" t="s">
        <v>18</v>
      </c>
      <c r="O5" s="16" t="s">
        <v>19</v>
      </c>
      <c r="P5" s="16" t="s">
        <v>19</v>
      </c>
      <c r="Q5" s="16" t="s">
        <v>19</v>
      </c>
      <c r="R5" s="16" t="s">
        <v>19</v>
      </c>
      <c r="S5" s="16" t="s">
        <v>19</v>
      </c>
      <c r="T5" s="16" t="s">
        <v>19</v>
      </c>
      <c r="U5" s="16" t="s">
        <v>19</v>
      </c>
      <c r="V5" s="16" t="s">
        <v>19</v>
      </c>
      <c r="W5" s="16" t="s">
        <v>19</v>
      </c>
    </row>
    <row r="6" spans="1:23" x14ac:dyDescent="0.25">
      <c r="C6" t="s">
        <v>59</v>
      </c>
      <c r="D6"/>
      <c r="F6" s="105" t="s">
        <v>14</v>
      </c>
      <c r="G6" s="105" t="s">
        <v>14</v>
      </c>
      <c r="H6" s="105" t="s">
        <v>14</v>
      </c>
      <c r="I6" s="105" t="s">
        <v>14</v>
      </c>
      <c r="J6" s="105" t="s">
        <v>14</v>
      </c>
      <c r="K6" s="105" t="s">
        <v>14</v>
      </c>
      <c r="L6" s="105" t="s">
        <v>14</v>
      </c>
      <c r="M6" s="105" t="s">
        <v>14</v>
      </c>
      <c r="N6" s="105" t="s">
        <v>14</v>
      </c>
      <c r="O6" s="15" t="s">
        <v>147</v>
      </c>
      <c r="P6" s="15" t="s">
        <v>147</v>
      </c>
      <c r="Q6" s="15" t="s">
        <v>147</v>
      </c>
      <c r="R6" s="15" t="s">
        <v>147</v>
      </c>
      <c r="S6" s="15" t="s">
        <v>147</v>
      </c>
      <c r="T6" s="15" t="s">
        <v>147</v>
      </c>
      <c r="U6" s="15" t="s">
        <v>147</v>
      </c>
      <c r="V6" s="15" t="s">
        <v>147</v>
      </c>
      <c r="W6" s="15" t="s">
        <v>147</v>
      </c>
    </row>
    <row r="7" spans="1:23" x14ac:dyDescent="0.25">
      <c r="D7" s="1" t="s">
        <v>68</v>
      </c>
      <c r="E7" s="1" t="s">
        <v>33</v>
      </c>
      <c r="F7" s="106" t="s">
        <v>61</v>
      </c>
      <c r="G7" s="106" t="s">
        <v>62</v>
      </c>
      <c r="H7" s="106" t="s">
        <v>121</v>
      </c>
      <c r="I7" s="106" t="s">
        <v>122</v>
      </c>
      <c r="J7" s="106" t="s">
        <v>64</v>
      </c>
      <c r="K7" s="106" t="s">
        <v>65</v>
      </c>
      <c r="L7" s="106" t="s">
        <v>66</v>
      </c>
      <c r="M7" s="106" t="s">
        <v>67</v>
      </c>
      <c r="N7" s="106" t="s">
        <v>36</v>
      </c>
      <c r="O7" s="16" t="s">
        <v>61</v>
      </c>
      <c r="P7" s="16" t="s">
        <v>62</v>
      </c>
      <c r="Q7" s="16" t="s">
        <v>121</v>
      </c>
      <c r="R7" s="16" t="s">
        <v>122</v>
      </c>
      <c r="S7" s="16" t="s">
        <v>64</v>
      </c>
      <c r="T7" s="16" t="s">
        <v>65</v>
      </c>
      <c r="U7" s="16" t="s">
        <v>66</v>
      </c>
      <c r="V7" s="16" t="s">
        <v>67</v>
      </c>
      <c r="W7" s="16" t="s">
        <v>37</v>
      </c>
    </row>
    <row r="8" spans="1:23" x14ac:dyDescent="0.25">
      <c r="E8" s="52">
        <f>+Precios!D7</f>
        <v>45962</v>
      </c>
      <c r="F8" s="107">
        <f t="shared" ref="F8:H15" si="0">AVERAGEIFS(F$20:F$1048576,$B$20:$B$1048576,$E8)</f>
        <v>2017.595466666666</v>
      </c>
      <c r="G8" s="107">
        <f t="shared" si="0"/>
        <v>555.64954444444447</v>
      </c>
      <c r="H8" s="107">
        <f t="shared" si="0"/>
        <v>887.62169583333332</v>
      </c>
      <c r="I8" s="107" t="str">
        <f>IFERROR(AVERAGEIFS(I$20:I$1048576,$B$20:$B$1048576,$E8),"-")</f>
        <v>-</v>
      </c>
      <c r="J8" s="107">
        <f t="shared" ref="J8:M15" si="1">AVERAGEIFS(J$20:J$1048576,$B$20:$B$1048576,$E8)</f>
        <v>1259.5973250000002</v>
      </c>
      <c r="K8" s="107">
        <f t="shared" si="1"/>
        <v>1752.0801666666666</v>
      </c>
      <c r="L8" s="107">
        <f t="shared" si="1"/>
        <v>1973.3486527777779</v>
      </c>
      <c r="M8" s="107">
        <f t="shared" si="1"/>
        <v>24.522649999999999</v>
      </c>
      <c r="N8" s="108">
        <f t="shared" ref="N8:N11" si="2">+SUM(F8:M8)</f>
        <v>8470.4155013888903</v>
      </c>
      <c r="O8" s="107">
        <f t="shared" ref="O8:Q15" si="3">AVERAGEIFS(O$20:O$1048576,$B$20:$B$1048576,$E8)</f>
        <v>1500</v>
      </c>
      <c r="P8" s="107">
        <f t="shared" si="3"/>
        <v>842.66660624999997</v>
      </c>
      <c r="Q8" s="107">
        <f t="shared" si="3"/>
        <v>5079.0933739583324</v>
      </c>
      <c r="R8" s="107"/>
      <c r="S8" s="107">
        <f t="shared" ref="S8:V15" si="4">AVERAGEIFS(S$20:S$1048576,$B$20:$B$1048576,$E8)</f>
        <v>1755</v>
      </c>
      <c r="T8" s="107">
        <f t="shared" si="4"/>
        <v>0</v>
      </c>
      <c r="U8" s="107">
        <f t="shared" si="4"/>
        <v>5296.6353513888862</v>
      </c>
      <c r="V8" s="107">
        <f t="shared" si="4"/>
        <v>0</v>
      </c>
      <c r="W8" s="109">
        <f t="shared" ref="W8:W11" si="5">+SUM(O8:V8)</f>
        <v>14473.395331597218</v>
      </c>
    </row>
    <row r="9" spans="1:23" x14ac:dyDescent="0.25">
      <c r="E9" s="52">
        <f>+Precios!D8</f>
        <v>45992</v>
      </c>
      <c r="F9" s="107">
        <f t="shared" si="0"/>
        <v>1809.1539018817207</v>
      </c>
      <c r="G9" s="107">
        <f t="shared" si="0"/>
        <v>386.73617069892487</v>
      </c>
      <c r="H9" s="107">
        <f t="shared" si="0"/>
        <v>814.48058198924753</v>
      </c>
      <c r="I9" s="107" t="str">
        <f>IFERROR(AVERAGEIFS(I$20:I$1048576,$B$20:$B$1048576,$E9),"-")</f>
        <v>-</v>
      </c>
      <c r="J9" s="107">
        <f t="shared" si="1"/>
        <v>1243.1001384408601</v>
      </c>
      <c r="K9" s="107">
        <f t="shared" si="1"/>
        <v>1850.2249663978496</v>
      </c>
      <c r="L9" s="107">
        <f t="shared" si="1"/>
        <v>2942.6650873655913</v>
      </c>
      <c r="M9" s="107">
        <f t="shared" si="1"/>
        <v>75.102478494623639</v>
      </c>
      <c r="N9" s="108">
        <f t="shared" si="2"/>
        <v>9121.4633252688182</v>
      </c>
      <c r="O9" s="107">
        <f t="shared" si="3"/>
        <v>1500</v>
      </c>
      <c r="P9" s="107">
        <f t="shared" si="3"/>
        <v>892.71694354838701</v>
      </c>
      <c r="Q9" s="107">
        <f t="shared" si="3"/>
        <v>5261.94607157258</v>
      </c>
      <c r="R9" s="107"/>
      <c r="S9" s="107">
        <f t="shared" si="4"/>
        <v>1755</v>
      </c>
      <c r="T9" s="107">
        <f t="shared" si="4"/>
        <v>0</v>
      </c>
      <c r="U9" s="107">
        <f t="shared" si="4"/>
        <v>5727.8808830645157</v>
      </c>
      <c r="V9" s="107">
        <f t="shared" si="4"/>
        <v>0</v>
      </c>
      <c r="W9" s="109">
        <f t="shared" si="5"/>
        <v>15137.543898185482</v>
      </c>
    </row>
    <row r="10" spans="1:23" x14ac:dyDescent="0.25">
      <c r="E10" s="52">
        <f>+Precios!D9</f>
        <v>46023</v>
      </c>
      <c r="F10" s="107">
        <f t="shared" si="0"/>
        <v>1269.4976572580649</v>
      </c>
      <c r="G10" s="107">
        <f t="shared" si="0"/>
        <v>548.6777956989248</v>
      </c>
      <c r="H10" s="107">
        <f t="shared" si="0"/>
        <v>353.46749999999997</v>
      </c>
      <c r="I10" s="107">
        <f t="shared" ref="I10:I15" si="6">AVERAGEIFS(I$20:I$1048576,$B$20:$B$1048576,$E10)</f>
        <v>678.96588872282609</v>
      </c>
      <c r="J10" s="107">
        <f t="shared" si="1"/>
        <v>1253.5949959677423</v>
      </c>
      <c r="K10" s="107">
        <f t="shared" si="1"/>
        <v>1731.0907083333334</v>
      </c>
      <c r="L10" s="107">
        <f t="shared" si="1"/>
        <v>3019.2708413978494</v>
      </c>
      <c r="M10" s="107">
        <f t="shared" si="1"/>
        <v>203.58483064516128</v>
      </c>
      <c r="N10" s="108">
        <f t="shared" si="2"/>
        <v>9058.1502180239004</v>
      </c>
      <c r="O10" s="107">
        <f t="shared" si="3"/>
        <v>1500</v>
      </c>
      <c r="P10" s="107">
        <f t="shared" si="3"/>
        <v>922.52379032258057</v>
      </c>
      <c r="Q10" s="107">
        <f t="shared" si="3"/>
        <v>2204.7346802419356</v>
      </c>
      <c r="R10" s="107">
        <f t="shared" ref="R10:R15" si="7">AVERAGEIFS(R$20:R$1048576,$B$20:$B$1048576,$E10)</f>
        <v>3896.0358278985486</v>
      </c>
      <c r="S10" s="107">
        <f t="shared" si="4"/>
        <v>1755</v>
      </c>
      <c r="T10" s="107">
        <f t="shared" si="4"/>
        <v>0</v>
      </c>
      <c r="U10" s="107">
        <f t="shared" si="4"/>
        <v>5820.8805255376328</v>
      </c>
      <c r="V10" s="107">
        <f t="shared" si="4"/>
        <v>0</v>
      </c>
      <c r="W10" s="109">
        <f t="shared" si="5"/>
        <v>16099.174824000696</v>
      </c>
    </row>
    <row r="11" spans="1:23" x14ac:dyDescent="0.25">
      <c r="E11" s="52">
        <f>+Precios!D10</f>
        <v>46054</v>
      </c>
      <c r="F11" s="107">
        <f t="shared" si="0"/>
        <v>985.05708779761915</v>
      </c>
      <c r="G11" s="107">
        <f t="shared" si="0"/>
        <v>245.57043303571422</v>
      </c>
      <c r="H11" s="107">
        <f t="shared" si="0"/>
        <v>243.47858928571424</v>
      </c>
      <c r="I11" s="107">
        <f t="shared" si="6"/>
        <v>481.37718742559537</v>
      </c>
      <c r="J11" s="107">
        <f t="shared" si="1"/>
        <v>1234.5674702380952</v>
      </c>
      <c r="K11" s="107">
        <f t="shared" si="1"/>
        <v>1782.9665610119043</v>
      </c>
      <c r="L11" s="107">
        <f t="shared" si="1"/>
        <v>3090.1064761904768</v>
      </c>
      <c r="M11" s="107">
        <f t="shared" si="1"/>
        <v>195.57906101190474</v>
      </c>
      <c r="N11" s="108">
        <f t="shared" si="2"/>
        <v>8258.7028659970238</v>
      </c>
      <c r="O11" s="107">
        <f t="shared" si="3"/>
        <v>1500</v>
      </c>
      <c r="P11" s="107">
        <f t="shared" si="3"/>
        <v>899.34880468749998</v>
      </c>
      <c r="Q11" s="107">
        <f t="shared" si="3"/>
        <v>1026.3622812500003</v>
      </c>
      <c r="R11" s="107">
        <f t="shared" si="7"/>
        <v>3856.4639285714293</v>
      </c>
      <c r="S11" s="107">
        <f t="shared" si="4"/>
        <v>1755</v>
      </c>
      <c r="T11" s="107">
        <f t="shared" si="4"/>
        <v>0</v>
      </c>
      <c r="U11" s="107">
        <f t="shared" si="4"/>
        <v>5825.407337797621</v>
      </c>
      <c r="V11" s="107">
        <f t="shared" si="4"/>
        <v>0</v>
      </c>
      <c r="W11" s="109">
        <f t="shared" si="5"/>
        <v>14862.582352306552</v>
      </c>
    </row>
    <row r="12" spans="1:23" x14ac:dyDescent="0.25">
      <c r="E12" s="52">
        <f>+Precios!D11</f>
        <v>46082</v>
      </c>
      <c r="F12" s="107">
        <f t="shared" si="0"/>
        <v>1031.0640806451611</v>
      </c>
      <c r="G12" s="107">
        <f t="shared" si="0"/>
        <v>237.71785483870968</v>
      </c>
      <c r="H12" s="107">
        <f t="shared" si="0"/>
        <v>247.88230241935486</v>
      </c>
      <c r="I12" s="107">
        <f t="shared" si="6"/>
        <v>595.96721061827964</v>
      </c>
      <c r="J12" s="107">
        <f t="shared" si="1"/>
        <v>792.34465994623656</v>
      </c>
      <c r="K12" s="107">
        <f t="shared" si="1"/>
        <v>1740.1370282258065</v>
      </c>
      <c r="L12" s="107">
        <f t="shared" si="1"/>
        <v>3012.0060833333332</v>
      </c>
      <c r="M12" s="107">
        <f t="shared" si="1"/>
        <v>109.9397190860215</v>
      </c>
      <c r="N12" s="108">
        <f>+SUM(F12:M12)</f>
        <v>7767.0589391129033</v>
      </c>
      <c r="O12" s="107">
        <f t="shared" si="3"/>
        <v>1500</v>
      </c>
      <c r="P12" s="107">
        <f t="shared" si="3"/>
        <v>804.5187006048385</v>
      </c>
      <c r="Q12" s="107">
        <f t="shared" si="3"/>
        <v>1006.4948743951613</v>
      </c>
      <c r="R12" s="107">
        <f t="shared" si="7"/>
        <v>3800.6759684139784</v>
      </c>
      <c r="S12" s="107">
        <f t="shared" si="4"/>
        <v>1755</v>
      </c>
      <c r="T12" s="107">
        <f t="shared" si="4"/>
        <v>0</v>
      </c>
      <c r="U12" s="107">
        <f t="shared" si="4"/>
        <v>5369.8895268817205</v>
      </c>
      <c r="V12" s="107">
        <f t="shared" si="4"/>
        <v>0</v>
      </c>
      <c r="W12" s="109">
        <f>+SUM(O12:V12)</f>
        <v>14236.579070295698</v>
      </c>
    </row>
    <row r="13" spans="1:23" x14ac:dyDescent="0.25">
      <c r="E13" s="52">
        <f>+Precios!D12</f>
        <v>46113</v>
      </c>
      <c r="F13" s="107">
        <f t="shared" si="0"/>
        <v>1375.4280680555557</v>
      </c>
      <c r="G13" s="107">
        <f t="shared" si="0"/>
        <v>333.06879444444445</v>
      </c>
      <c r="H13" s="107">
        <f t="shared" si="0"/>
        <v>250.78596527777776</v>
      </c>
      <c r="I13" s="107">
        <f t="shared" si="6"/>
        <v>583.99947444444433</v>
      </c>
      <c r="J13" s="107">
        <f t="shared" si="1"/>
        <v>599.63981111111104</v>
      </c>
      <c r="K13" s="107">
        <f t="shared" si="1"/>
        <v>1634.2925208333331</v>
      </c>
      <c r="L13" s="107">
        <f t="shared" si="1"/>
        <v>2396.1315194444446</v>
      </c>
      <c r="M13" s="107">
        <f t="shared" si="1"/>
        <v>251.91863194444437</v>
      </c>
      <c r="N13" s="108">
        <f>+SUM(F13:M13)</f>
        <v>7425.264785555556</v>
      </c>
      <c r="O13" s="107">
        <f t="shared" si="3"/>
        <v>1500</v>
      </c>
      <c r="P13" s="107">
        <f t="shared" si="3"/>
        <v>827.57642187500028</v>
      </c>
      <c r="Q13" s="107">
        <f t="shared" si="3"/>
        <v>969.32117770833304</v>
      </c>
      <c r="R13" s="107">
        <f t="shared" si="7"/>
        <v>3717.757524930556</v>
      </c>
      <c r="S13" s="107">
        <f t="shared" si="4"/>
        <v>1755</v>
      </c>
      <c r="T13" s="107">
        <f t="shared" si="4"/>
        <v>0</v>
      </c>
      <c r="U13" s="107">
        <f t="shared" si="4"/>
        <v>5122.7088555555556</v>
      </c>
      <c r="V13" s="107">
        <f t="shared" si="4"/>
        <v>0</v>
      </c>
      <c r="W13" s="109">
        <f>+SUM(O13:V13)</f>
        <v>13892.363980069444</v>
      </c>
    </row>
    <row r="14" spans="1:23" x14ac:dyDescent="0.25">
      <c r="E14" s="52">
        <f>+Precios!D13</f>
        <v>46143</v>
      </c>
      <c r="F14" s="107">
        <f t="shared" si="0"/>
        <v>1564.0243682795697</v>
      </c>
      <c r="G14" s="107">
        <f t="shared" si="0"/>
        <v>451.7227419354839</v>
      </c>
      <c r="H14" s="107">
        <f t="shared" si="0"/>
        <v>297.85809139784942</v>
      </c>
      <c r="I14" s="107">
        <f t="shared" si="6"/>
        <v>1073.544524865591</v>
      </c>
      <c r="J14" s="107">
        <f t="shared" si="1"/>
        <v>1046.1917607526882</v>
      </c>
      <c r="K14" s="107">
        <f t="shared" si="1"/>
        <v>1429.5536827956978</v>
      </c>
      <c r="L14" s="107">
        <f t="shared" si="1"/>
        <v>2289.6579838709654</v>
      </c>
      <c r="M14" s="107">
        <f t="shared" si="1"/>
        <v>1020.0107930107528</v>
      </c>
      <c r="N14" s="108">
        <f>+SUM(F14:M14)</f>
        <v>9172.5639469085982</v>
      </c>
      <c r="O14" s="107">
        <f t="shared" si="3"/>
        <v>1500</v>
      </c>
      <c r="P14" s="107">
        <f t="shared" si="3"/>
        <v>886.00852318548391</v>
      </c>
      <c r="Q14" s="107">
        <f t="shared" si="3"/>
        <v>998.39305040322563</v>
      </c>
      <c r="R14" s="107">
        <f t="shared" si="7"/>
        <v>3579.6586088709669</v>
      </c>
      <c r="S14" s="107">
        <f t="shared" si="4"/>
        <v>1755</v>
      </c>
      <c r="T14" s="107">
        <f t="shared" si="4"/>
        <v>0</v>
      </c>
      <c r="U14" s="107">
        <f t="shared" si="4"/>
        <v>5148.9696774193553</v>
      </c>
      <c r="V14" s="107">
        <f t="shared" si="4"/>
        <v>0</v>
      </c>
      <c r="W14" s="109">
        <f>+SUM(O14:V14)</f>
        <v>13868.029859879032</v>
      </c>
    </row>
    <row r="15" spans="1:23" x14ac:dyDescent="0.25">
      <c r="E15" s="52">
        <f>+Precios!D14</f>
        <v>46174</v>
      </c>
      <c r="F15" s="107">
        <f t="shared" si="0"/>
        <v>1623.6642045454546</v>
      </c>
      <c r="G15" s="107">
        <f t="shared" si="0"/>
        <v>269.48916666666668</v>
      </c>
      <c r="H15" s="107">
        <f t="shared" si="0"/>
        <v>256.91910984848482</v>
      </c>
      <c r="I15" s="107">
        <f t="shared" si="6"/>
        <v>741.59540530303025</v>
      </c>
      <c r="J15" s="107">
        <f t="shared" si="1"/>
        <v>1207.9871401515154</v>
      </c>
      <c r="K15" s="107">
        <f t="shared" si="1"/>
        <v>1522.543522727271</v>
      </c>
      <c r="L15" s="107">
        <f t="shared" si="1"/>
        <v>2469.82776515151</v>
      </c>
      <c r="M15" s="107">
        <f t="shared" si="1"/>
        <v>1123.3671780303027</v>
      </c>
      <c r="N15" s="108">
        <f>+SUM(F15:M15)</f>
        <v>9215.3934924242349</v>
      </c>
      <c r="O15" s="107">
        <f t="shared" si="3"/>
        <v>1500</v>
      </c>
      <c r="P15" s="107">
        <f t="shared" si="3"/>
        <v>866.86157528409069</v>
      </c>
      <c r="Q15" s="107">
        <f t="shared" si="3"/>
        <v>969.96830596590905</v>
      </c>
      <c r="R15" s="107">
        <f t="shared" si="7"/>
        <v>3621.3354251893925</v>
      </c>
      <c r="S15" s="107">
        <f t="shared" si="4"/>
        <v>1755</v>
      </c>
      <c r="T15" s="107">
        <f t="shared" si="4"/>
        <v>0</v>
      </c>
      <c r="U15" s="107">
        <f t="shared" si="4"/>
        <v>5791.3706704545466</v>
      </c>
      <c r="V15" s="107">
        <f t="shared" si="4"/>
        <v>0</v>
      </c>
      <c r="W15" s="109">
        <f>+SUM(O15:V15)</f>
        <v>14504.535976893938</v>
      </c>
    </row>
    <row r="16" spans="1:2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31"/>
    </row>
    <row r="17" spans="1:23" x14ac:dyDescent="0.25">
      <c r="C17" t="s">
        <v>39</v>
      </c>
      <c r="F17" s="104" t="s">
        <v>18</v>
      </c>
      <c r="G17" s="104" t="s">
        <v>18</v>
      </c>
      <c r="H17" s="104" t="s">
        <v>18</v>
      </c>
      <c r="I17" s="104" t="s">
        <v>18</v>
      </c>
      <c r="J17" s="104" t="s">
        <v>18</v>
      </c>
      <c r="K17" s="104" t="s">
        <v>18</v>
      </c>
      <c r="L17" s="104" t="s">
        <v>18</v>
      </c>
      <c r="M17" s="104" t="s">
        <v>18</v>
      </c>
      <c r="N17" s="104" t="s">
        <v>18</v>
      </c>
      <c r="O17" s="16" t="s">
        <v>19</v>
      </c>
      <c r="P17" s="16" t="s">
        <v>19</v>
      </c>
      <c r="Q17" s="16" t="s">
        <v>19</v>
      </c>
      <c r="R17" s="16" t="s">
        <v>19</v>
      </c>
      <c r="S17" s="16" t="s">
        <v>19</v>
      </c>
      <c r="T17" s="16" t="s">
        <v>19</v>
      </c>
      <c r="U17" s="16" t="s">
        <v>19</v>
      </c>
      <c r="V17" s="16" t="s">
        <v>19</v>
      </c>
      <c r="W17" s="16" t="s">
        <v>19</v>
      </c>
    </row>
    <row r="18" spans="1:23" x14ac:dyDescent="0.25">
      <c r="F18" s="105" t="s">
        <v>14</v>
      </c>
      <c r="G18" s="105" t="s">
        <v>14</v>
      </c>
      <c r="H18" s="105" t="s">
        <v>14</v>
      </c>
      <c r="I18" s="105" t="s">
        <v>14</v>
      </c>
      <c r="J18" s="105" t="s">
        <v>14</v>
      </c>
      <c r="K18" s="105" t="s">
        <v>14</v>
      </c>
      <c r="L18" s="105" t="s">
        <v>14</v>
      </c>
      <c r="M18" s="105" t="s">
        <v>14</v>
      </c>
      <c r="N18" s="105" t="s">
        <v>14</v>
      </c>
      <c r="O18" s="15" t="s">
        <v>147</v>
      </c>
      <c r="P18" s="15" t="s">
        <v>147</v>
      </c>
      <c r="Q18" s="15" t="s">
        <v>147</v>
      </c>
      <c r="R18" s="15" t="s">
        <v>147</v>
      </c>
      <c r="S18" s="15" t="s">
        <v>147</v>
      </c>
      <c r="T18" s="15" t="s">
        <v>147</v>
      </c>
      <c r="U18" s="15" t="s">
        <v>147</v>
      </c>
      <c r="V18" s="15" t="s">
        <v>147</v>
      </c>
      <c r="W18" s="15" t="s">
        <v>147</v>
      </c>
    </row>
    <row r="19" spans="1:23" x14ac:dyDescent="0.25">
      <c r="A19" s="1" t="s">
        <v>40</v>
      </c>
      <c r="B19" s="1" t="s">
        <v>33</v>
      </c>
      <c r="C19" t="s">
        <v>69</v>
      </c>
      <c r="D19" s="1" t="s">
        <v>41</v>
      </c>
      <c r="E19" s="1" t="s">
        <v>42</v>
      </c>
      <c r="F19" s="106" t="s">
        <v>61</v>
      </c>
      <c r="G19" s="106" t="s">
        <v>62</v>
      </c>
      <c r="H19" s="106" t="s">
        <v>121</v>
      </c>
      <c r="I19" s="106" t="s">
        <v>122</v>
      </c>
      <c r="J19" s="106" t="s">
        <v>64</v>
      </c>
      <c r="K19" s="106" t="s">
        <v>65</v>
      </c>
      <c r="L19" s="106" t="s">
        <v>66</v>
      </c>
      <c r="M19" s="106" t="s">
        <v>67</v>
      </c>
      <c r="N19" s="106" t="s">
        <v>36</v>
      </c>
      <c r="O19" s="16" t="s">
        <v>61</v>
      </c>
      <c r="P19" s="16" t="s">
        <v>62</v>
      </c>
      <c r="Q19" s="16" t="s">
        <v>121</v>
      </c>
      <c r="R19" s="16" t="s">
        <v>122</v>
      </c>
      <c r="S19" s="16" t="s">
        <v>64</v>
      </c>
      <c r="T19" s="16" t="s">
        <v>65</v>
      </c>
      <c r="U19" s="16" t="s">
        <v>66</v>
      </c>
      <c r="V19" s="16" t="s">
        <v>67</v>
      </c>
      <c r="W19" s="16" t="s">
        <v>37</v>
      </c>
    </row>
    <row r="20" spans="1:23" hidden="1" x14ac:dyDescent="0.25">
      <c r="A20" s="1">
        <f>YEAR(E20)</f>
        <v>2025</v>
      </c>
      <c r="B20" s="52">
        <f>DATE(A20,MONTH(E20),1)</f>
        <v>45931</v>
      </c>
      <c r="C20" s="1">
        <v>31</v>
      </c>
      <c r="D20" s="1" t="s">
        <v>44</v>
      </c>
      <c r="E20" s="56">
        <v>45931</v>
      </c>
      <c r="F20" s="2">
        <v>1815.82475</v>
      </c>
      <c r="G20" s="2">
        <v>733.32700000000011</v>
      </c>
      <c r="H20" s="2">
        <v>754.56899999999996</v>
      </c>
      <c r="I20" s="2"/>
      <c r="J20" s="2">
        <v>915.93337500000007</v>
      </c>
      <c r="K20" s="2">
        <v>2226.5328333333327</v>
      </c>
      <c r="L20" s="2">
        <v>1431.3533750000001</v>
      </c>
      <c r="M20" s="2">
        <v>237.28670833333331</v>
      </c>
      <c r="N20" s="31">
        <f>SUM(F20:M20)</f>
        <v>8114.8270416666655</v>
      </c>
      <c r="O20" s="1">
        <v>1500</v>
      </c>
      <c r="P20" s="2">
        <v>791.63437499999998</v>
      </c>
      <c r="Q20" s="2">
        <v>5516.6737500000008</v>
      </c>
      <c r="R20" s="2"/>
      <c r="S20" s="1">
        <v>1755</v>
      </c>
      <c r="T20" s="1">
        <v>0</v>
      </c>
      <c r="U20" s="2">
        <v>4819.1508750000021</v>
      </c>
      <c r="V20" s="1">
        <v>0</v>
      </c>
      <c r="W20" s="36">
        <f>SUM(O20:V20)</f>
        <v>14382.459000000003</v>
      </c>
    </row>
    <row r="21" spans="1:23" hidden="1" x14ac:dyDescent="0.25">
      <c r="A21" s="1">
        <f t="shared" ref="A21:A84" si="8">YEAR(E21)</f>
        <v>2025</v>
      </c>
      <c r="B21" s="52">
        <f t="shared" ref="B21:B84" si="9">DATE(A21,MONTH(E21),1)</f>
        <v>45931</v>
      </c>
      <c r="C21" s="1">
        <v>31</v>
      </c>
      <c r="D21" s="1" t="s">
        <v>45</v>
      </c>
      <c r="E21" s="56">
        <f>+ E20+1</f>
        <v>45932</v>
      </c>
      <c r="F21" s="2">
        <v>1949.3443333333328</v>
      </c>
      <c r="G21" s="2">
        <v>745.48845833333337</v>
      </c>
      <c r="H21" s="2">
        <v>703.3764166666665</v>
      </c>
      <c r="I21" s="2"/>
      <c r="J21" s="2">
        <v>1258.4155833333334</v>
      </c>
      <c r="K21" s="2">
        <v>2009.3686666666672</v>
      </c>
      <c r="L21" s="2">
        <v>1408.0381666666665</v>
      </c>
      <c r="M21" s="2">
        <v>277.71912499999996</v>
      </c>
      <c r="N21" s="31">
        <f t="shared" ref="N21:N84" si="10">SUM(F21:M21)</f>
        <v>8351.7507499999992</v>
      </c>
      <c r="O21" s="1">
        <v>1500</v>
      </c>
      <c r="P21" s="2">
        <v>808.47812499999998</v>
      </c>
      <c r="Q21" s="2">
        <v>5504.2050000000008</v>
      </c>
      <c r="R21" s="2"/>
      <c r="S21" s="1">
        <v>1755</v>
      </c>
      <c r="T21" s="1">
        <v>0</v>
      </c>
      <c r="U21" s="2">
        <v>4860.7804166666683</v>
      </c>
      <c r="V21" s="1">
        <v>0</v>
      </c>
      <c r="W21" s="36">
        <f t="shared" ref="W21:W50" si="11">SUM(O21:V21)</f>
        <v>14428.46354166667</v>
      </c>
    </row>
    <row r="22" spans="1:23" hidden="1" x14ac:dyDescent="0.25">
      <c r="A22" s="1">
        <f t="shared" si="8"/>
        <v>2025</v>
      </c>
      <c r="B22" s="52">
        <f t="shared" si="9"/>
        <v>45931</v>
      </c>
      <c r="C22" s="1">
        <v>31</v>
      </c>
      <c r="D22" s="1" t="s">
        <v>46</v>
      </c>
      <c r="E22" s="56">
        <f t="shared" ref="E22:E50" si="12">+ E21+1</f>
        <v>45933</v>
      </c>
      <c r="F22" s="2">
        <v>1939.6474583333331</v>
      </c>
      <c r="G22" s="2">
        <v>749.67129166666666</v>
      </c>
      <c r="H22" s="2">
        <v>961.37012500000003</v>
      </c>
      <c r="I22" s="2"/>
      <c r="J22" s="2">
        <v>1264.0864583333332</v>
      </c>
      <c r="K22" s="2">
        <v>1946.2811250000007</v>
      </c>
      <c r="L22" s="2">
        <v>1451.4409583333334</v>
      </c>
      <c r="M22" s="2">
        <v>243.12</v>
      </c>
      <c r="N22" s="31">
        <f t="shared" si="10"/>
        <v>8555.6174166666679</v>
      </c>
      <c r="O22" s="1">
        <v>1500</v>
      </c>
      <c r="P22" s="2">
        <v>823.2</v>
      </c>
      <c r="Q22" s="2">
        <v>5506.8017375000009</v>
      </c>
      <c r="R22" s="2"/>
      <c r="S22" s="1">
        <v>1755</v>
      </c>
      <c r="T22" s="1">
        <v>0</v>
      </c>
      <c r="U22" s="2">
        <v>4945.3648750000011</v>
      </c>
      <c r="V22" s="1">
        <v>0</v>
      </c>
      <c r="W22" s="36">
        <f t="shared" si="11"/>
        <v>14530.366612500002</v>
      </c>
    </row>
    <row r="23" spans="1:23" hidden="1" x14ac:dyDescent="0.25">
      <c r="A23" s="1">
        <f t="shared" si="8"/>
        <v>2025</v>
      </c>
      <c r="B23" s="52">
        <f t="shared" si="9"/>
        <v>45931</v>
      </c>
      <c r="C23" s="1">
        <v>31</v>
      </c>
      <c r="D23" s="1" t="s">
        <v>47</v>
      </c>
      <c r="E23" s="56">
        <f t="shared" si="12"/>
        <v>45934</v>
      </c>
      <c r="F23" s="2">
        <v>1438.7366249999998</v>
      </c>
      <c r="G23" s="2">
        <v>724.03604166666662</v>
      </c>
      <c r="H23" s="2">
        <v>941.07954166666661</v>
      </c>
      <c r="I23" s="2"/>
      <c r="J23" s="2">
        <v>1263.14975</v>
      </c>
      <c r="K23" s="2">
        <v>1780.7510833333342</v>
      </c>
      <c r="L23" s="2">
        <v>1782.230291666667</v>
      </c>
      <c r="M23" s="2">
        <v>390.35291666666672</v>
      </c>
      <c r="N23" s="31">
        <f t="shared" si="10"/>
        <v>8320.3362500000003</v>
      </c>
      <c r="O23" s="1">
        <v>1500</v>
      </c>
      <c r="P23" s="2">
        <v>773.85</v>
      </c>
      <c r="Q23" s="2">
        <v>5526.5393750000003</v>
      </c>
      <c r="R23" s="2"/>
      <c r="S23" s="1">
        <v>1755</v>
      </c>
      <c r="T23" s="1">
        <v>0</v>
      </c>
      <c r="U23" s="2">
        <v>5447.4901666666674</v>
      </c>
      <c r="V23" s="1">
        <v>0</v>
      </c>
      <c r="W23" s="36">
        <f t="shared" si="11"/>
        <v>15002.879541666669</v>
      </c>
    </row>
    <row r="24" spans="1:23" hidden="1" x14ac:dyDescent="0.25">
      <c r="A24" s="1">
        <f t="shared" si="8"/>
        <v>2025</v>
      </c>
      <c r="B24" s="52">
        <f t="shared" si="9"/>
        <v>45931</v>
      </c>
      <c r="C24" s="1">
        <v>31</v>
      </c>
      <c r="D24" s="1" t="s">
        <v>48</v>
      </c>
      <c r="E24" s="56">
        <f t="shared" si="12"/>
        <v>45935</v>
      </c>
      <c r="F24" s="2">
        <v>1269.1058333333331</v>
      </c>
      <c r="G24" s="2">
        <v>744.7692916666665</v>
      </c>
      <c r="H24" s="2">
        <v>785.9197916666667</v>
      </c>
      <c r="I24" s="2"/>
      <c r="J24" s="2">
        <v>1262.7215416666668</v>
      </c>
      <c r="K24" s="2">
        <v>1435.3352083333343</v>
      </c>
      <c r="L24" s="2">
        <v>1583.3180416666664</v>
      </c>
      <c r="M24" s="2">
        <v>388.39270833333336</v>
      </c>
      <c r="N24" s="31">
        <f t="shared" si="10"/>
        <v>7469.5624166666676</v>
      </c>
      <c r="O24" s="1">
        <v>1500</v>
      </c>
      <c r="P24" s="2">
        <v>806.40000000000009</v>
      </c>
      <c r="Q24" s="2">
        <v>5529.8206250000003</v>
      </c>
      <c r="R24" s="2"/>
      <c r="S24" s="1">
        <v>1755</v>
      </c>
      <c r="T24" s="1">
        <v>0</v>
      </c>
      <c r="U24" s="2">
        <v>5519.713583333335</v>
      </c>
      <c r="V24" s="1">
        <v>0</v>
      </c>
      <c r="W24" s="36">
        <f t="shared" si="11"/>
        <v>15110.934208333336</v>
      </c>
    </row>
    <row r="25" spans="1:23" hidden="1" x14ac:dyDescent="0.25">
      <c r="A25" s="1">
        <f t="shared" si="8"/>
        <v>2025</v>
      </c>
      <c r="B25" s="52">
        <f t="shared" si="9"/>
        <v>45931</v>
      </c>
      <c r="C25" s="1">
        <v>31</v>
      </c>
      <c r="D25" s="1" t="s">
        <v>49</v>
      </c>
      <c r="E25" s="56">
        <f t="shared" si="12"/>
        <v>45936</v>
      </c>
      <c r="F25" s="2">
        <v>1395.5034583333334</v>
      </c>
      <c r="G25" s="2">
        <v>808.06504166666639</v>
      </c>
      <c r="H25" s="2">
        <v>995.72300000000018</v>
      </c>
      <c r="I25" s="2"/>
      <c r="J25" s="2">
        <v>1265.3227916666667</v>
      </c>
      <c r="K25" s="2">
        <v>1864.6459999999997</v>
      </c>
      <c r="L25" s="2">
        <v>1753.299791666667</v>
      </c>
      <c r="M25" s="2">
        <v>454.37787500000002</v>
      </c>
      <c r="N25" s="31">
        <f t="shared" si="10"/>
        <v>8536.9379583333339</v>
      </c>
      <c r="O25" s="1">
        <v>1500</v>
      </c>
      <c r="P25" s="2">
        <v>866.77500000000009</v>
      </c>
      <c r="Q25" s="2">
        <v>5426.6388750000006</v>
      </c>
      <c r="R25" s="2"/>
      <c r="S25" s="1">
        <v>1755</v>
      </c>
      <c r="T25" s="1">
        <v>0</v>
      </c>
      <c r="U25" s="2">
        <v>5682.5242916666693</v>
      </c>
      <c r="V25" s="1">
        <v>0</v>
      </c>
      <c r="W25" s="36">
        <f t="shared" si="11"/>
        <v>15230.93816666667</v>
      </c>
    </row>
    <row r="26" spans="1:23" hidden="1" x14ac:dyDescent="0.25">
      <c r="A26" s="1">
        <f t="shared" si="8"/>
        <v>2025</v>
      </c>
      <c r="B26" s="52">
        <f t="shared" si="9"/>
        <v>45931</v>
      </c>
      <c r="C26" s="1">
        <v>31</v>
      </c>
      <c r="D26" s="1" t="s">
        <v>50</v>
      </c>
      <c r="E26" s="56">
        <f t="shared" si="12"/>
        <v>45937</v>
      </c>
      <c r="F26" s="2">
        <v>1526.2629166666663</v>
      </c>
      <c r="G26" s="2">
        <v>806.14720833333331</v>
      </c>
      <c r="H26" s="2">
        <v>730.13079166666682</v>
      </c>
      <c r="I26" s="2"/>
      <c r="J26" s="2">
        <v>1262.5886250000003</v>
      </c>
      <c r="K26" s="2">
        <v>1904.3338333333334</v>
      </c>
      <c r="L26" s="2">
        <v>1640.3767916666668</v>
      </c>
      <c r="M26" s="2">
        <v>392.88387499999999</v>
      </c>
      <c r="N26" s="31">
        <f t="shared" si="10"/>
        <v>8262.7240416666664</v>
      </c>
      <c r="O26" s="1">
        <v>1500</v>
      </c>
      <c r="P26" s="2">
        <v>866.77500000000009</v>
      </c>
      <c r="Q26" s="2">
        <v>5416.7981874999996</v>
      </c>
      <c r="R26" s="2"/>
      <c r="S26" s="1">
        <v>1755</v>
      </c>
      <c r="T26" s="1">
        <v>0</v>
      </c>
      <c r="U26" s="2">
        <v>5766.557333333335</v>
      </c>
      <c r="V26" s="1">
        <v>0</v>
      </c>
      <c r="W26" s="36">
        <f t="shared" si="11"/>
        <v>15305.130520833336</v>
      </c>
    </row>
    <row r="27" spans="1:23" hidden="1" x14ac:dyDescent="0.25">
      <c r="A27" s="1">
        <f t="shared" si="8"/>
        <v>2025</v>
      </c>
      <c r="B27" s="52">
        <f t="shared" si="9"/>
        <v>45931</v>
      </c>
      <c r="C27" s="1">
        <v>31</v>
      </c>
      <c r="D27" s="1" t="s">
        <v>44</v>
      </c>
      <c r="E27" s="56">
        <f t="shared" si="12"/>
        <v>45938</v>
      </c>
      <c r="F27" s="2">
        <v>1752.8770416666666</v>
      </c>
      <c r="G27" s="2">
        <v>789.48824999999988</v>
      </c>
      <c r="H27" s="2">
        <v>513.77558333333332</v>
      </c>
      <c r="I27" s="2"/>
      <c r="J27" s="2">
        <v>1261.1209583333334</v>
      </c>
      <c r="K27" s="2">
        <v>2365.9218333333329</v>
      </c>
      <c r="L27" s="2">
        <v>1484.0511249999997</v>
      </c>
      <c r="M27" s="2">
        <v>231.80233333333334</v>
      </c>
      <c r="N27" s="31">
        <f t="shared" si="10"/>
        <v>8399.0371250000007</v>
      </c>
      <c r="O27" s="1">
        <v>1500</v>
      </c>
      <c r="P27" s="2">
        <v>921.375</v>
      </c>
      <c r="Q27" s="2">
        <v>5403.7869375</v>
      </c>
      <c r="R27" s="2"/>
      <c r="S27" s="1">
        <v>1755</v>
      </c>
      <c r="T27" s="1">
        <v>0</v>
      </c>
      <c r="U27" s="2">
        <v>5766.492208333334</v>
      </c>
      <c r="V27" s="1">
        <v>0</v>
      </c>
      <c r="W27" s="36">
        <f t="shared" si="11"/>
        <v>15346.654145833334</v>
      </c>
    </row>
    <row r="28" spans="1:23" hidden="1" x14ac:dyDescent="0.25">
      <c r="A28" s="1">
        <f t="shared" si="8"/>
        <v>2025</v>
      </c>
      <c r="B28" s="52">
        <f t="shared" si="9"/>
        <v>45931</v>
      </c>
      <c r="C28" s="1">
        <v>31</v>
      </c>
      <c r="D28" s="1" t="s">
        <v>45</v>
      </c>
      <c r="E28" s="56">
        <f t="shared" si="12"/>
        <v>45939</v>
      </c>
      <c r="F28" s="2">
        <v>1707.2011666666674</v>
      </c>
      <c r="G28" s="2">
        <v>786.09620833333372</v>
      </c>
      <c r="H28" s="2">
        <v>696.89166666666654</v>
      </c>
      <c r="I28" s="2"/>
      <c r="J28" s="2">
        <v>1263.1177916666668</v>
      </c>
      <c r="K28" s="2">
        <v>2157.2766666666685</v>
      </c>
      <c r="L28" s="2">
        <v>1449.6965833333334</v>
      </c>
      <c r="M28" s="2">
        <v>333.56487499999997</v>
      </c>
      <c r="N28" s="31">
        <f t="shared" si="10"/>
        <v>8393.8449583333349</v>
      </c>
      <c r="O28" s="1">
        <v>1500</v>
      </c>
      <c r="P28" s="2">
        <v>845.25</v>
      </c>
      <c r="Q28" s="2">
        <v>5417.7331250000007</v>
      </c>
      <c r="R28" s="2"/>
      <c r="S28" s="1">
        <v>1755</v>
      </c>
      <c r="T28" s="1">
        <v>0</v>
      </c>
      <c r="U28" s="2">
        <v>5662.255708333335</v>
      </c>
      <c r="V28" s="1">
        <v>0</v>
      </c>
      <c r="W28" s="36">
        <f t="shared" si="11"/>
        <v>15180.238833333337</v>
      </c>
    </row>
    <row r="29" spans="1:23" hidden="1" x14ac:dyDescent="0.25">
      <c r="A29" s="1">
        <f t="shared" si="8"/>
        <v>2025</v>
      </c>
      <c r="B29" s="52">
        <f t="shared" si="9"/>
        <v>45931</v>
      </c>
      <c r="C29" s="1">
        <v>31</v>
      </c>
      <c r="D29" s="1" t="s">
        <v>46</v>
      </c>
      <c r="E29" s="56">
        <f t="shared" si="12"/>
        <v>45940</v>
      </c>
      <c r="F29" s="2">
        <v>1531.6256249999997</v>
      </c>
      <c r="G29" s="2">
        <v>797.36900000000003</v>
      </c>
      <c r="H29" s="2">
        <v>752.35716666666679</v>
      </c>
      <c r="I29" s="2"/>
      <c r="J29" s="2">
        <v>1261.3802916666666</v>
      </c>
      <c r="K29" s="2">
        <v>1617.7094583333335</v>
      </c>
      <c r="L29" s="2">
        <v>1350.1885833333336</v>
      </c>
      <c r="M29" s="2">
        <v>392.89850000000001</v>
      </c>
      <c r="N29" s="31">
        <f t="shared" si="10"/>
        <v>7703.5286250000008</v>
      </c>
      <c r="O29" s="1">
        <v>1500</v>
      </c>
      <c r="P29" s="2">
        <v>863.1</v>
      </c>
      <c r="Q29" s="2">
        <v>5410.6674999999996</v>
      </c>
      <c r="R29" s="2"/>
      <c r="S29" s="1">
        <v>1755</v>
      </c>
      <c r="T29" s="1">
        <v>0</v>
      </c>
      <c r="U29" s="2">
        <v>5621.8471249999993</v>
      </c>
      <c r="V29" s="1">
        <v>0</v>
      </c>
      <c r="W29" s="36">
        <f t="shared" si="11"/>
        <v>15150.614624999998</v>
      </c>
    </row>
    <row r="30" spans="1:23" hidden="1" x14ac:dyDescent="0.25">
      <c r="A30" s="1">
        <f t="shared" si="8"/>
        <v>2025</v>
      </c>
      <c r="B30" s="52">
        <f t="shared" si="9"/>
        <v>45931</v>
      </c>
      <c r="C30" s="1">
        <v>31</v>
      </c>
      <c r="D30" s="1" t="s">
        <v>47</v>
      </c>
      <c r="E30" s="56">
        <f t="shared" si="12"/>
        <v>45941</v>
      </c>
      <c r="F30" s="2">
        <v>1190.0365416666668</v>
      </c>
      <c r="G30" s="2">
        <v>803.90587500000004</v>
      </c>
      <c r="H30" s="2">
        <v>989.83675000000017</v>
      </c>
      <c r="I30" s="2"/>
      <c r="J30" s="2">
        <v>1261.7598749999997</v>
      </c>
      <c r="K30" s="2">
        <v>1695.1418750000005</v>
      </c>
      <c r="L30" s="2">
        <v>1465.5125416666669</v>
      </c>
      <c r="M30" s="2">
        <v>459.20974999999999</v>
      </c>
      <c r="N30" s="31">
        <f t="shared" si="10"/>
        <v>7865.4032083333341</v>
      </c>
      <c r="O30" s="1">
        <v>1500</v>
      </c>
      <c r="P30" s="2">
        <v>863.1</v>
      </c>
      <c r="Q30" s="2">
        <v>5421.1093125000007</v>
      </c>
      <c r="R30" s="2"/>
      <c r="S30" s="1">
        <v>1755</v>
      </c>
      <c r="T30" s="1">
        <v>0</v>
      </c>
      <c r="U30" s="2">
        <v>5674.1109166666674</v>
      </c>
      <c r="V30" s="1">
        <v>0</v>
      </c>
      <c r="W30" s="36">
        <f t="shared" si="11"/>
        <v>15213.320229166668</v>
      </c>
    </row>
    <row r="31" spans="1:23" hidden="1" x14ac:dyDescent="0.25">
      <c r="A31" s="1">
        <f t="shared" si="8"/>
        <v>2025</v>
      </c>
      <c r="B31" s="52">
        <f t="shared" si="9"/>
        <v>45931</v>
      </c>
      <c r="C31" s="1">
        <v>31</v>
      </c>
      <c r="D31" s="1" t="s">
        <v>48</v>
      </c>
      <c r="E31" s="56">
        <f t="shared" si="12"/>
        <v>45942</v>
      </c>
      <c r="F31" s="2">
        <v>1351.1909583333334</v>
      </c>
      <c r="G31" s="2">
        <v>738.99133333333339</v>
      </c>
      <c r="H31" s="2">
        <v>346.50833333333327</v>
      </c>
      <c r="I31" s="2"/>
      <c r="J31" s="2">
        <v>1263.5628333333334</v>
      </c>
      <c r="K31" s="2">
        <v>2058.5199583333338</v>
      </c>
      <c r="L31" s="2">
        <v>1599.3692916666671</v>
      </c>
      <c r="M31" s="2">
        <v>149.024</v>
      </c>
      <c r="N31" s="31">
        <f t="shared" si="10"/>
        <v>7507.1667083333341</v>
      </c>
      <c r="O31" s="1">
        <v>1500</v>
      </c>
      <c r="P31" s="2">
        <v>793.27499999999998</v>
      </c>
      <c r="Q31" s="2">
        <v>5454.68</v>
      </c>
      <c r="R31" s="2"/>
      <c r="S31" s="1">
        <v>1755</v>
      </c>
      <c r="T31" s="1">
        <v>0</v>
      </c>
      <c r="U31" s="2">
        <v>5743.3810833333318</v>
      </c>
      <c r="V31" s="1">
        <v>0</v>
      </c>
      <c r="W31" s="36">
        <f t="shared" si="11"/>
        <v>15246.336083333332</v>
      </c>
    </row>
    <row r="32" spans="1:23" hidden="1" x14ac:dyDescent="0.25">
      <c r="A32" s="1">
        <f t="shared" si="8"/>
        <v>2025</v>
      </c>
      <c r="B32" s="52">
        <f t="shared" si="9"/>
        <v>45931</v>
      </c>
      <c r="C32" s="1">
        <v>31</v>
      </c>
      <c r="D32" s="1" t="s">
        <v>49</v>
      </c>
      <c r="E32" s="56">
        <f t="shared" si="12"/>
        <v>45943</v>
      </c>
      <c r="F32" s="2">
        <v>2007.1347500000004</v>
      </c>
      <c r="G32" s="2">
        <v>791.20429166666679</v>
      </c>
      <c r="H32" s="2">
        <v>704.90516666666656</v>
      </c>
      <c r="I32" s="2"/>
      <c r="J32" s="2">
        <v>1262.6753333333336</v>
      </c>
      <c r="K32" s="2">
        <v>2101.7496250000008</v>
      </c>
      <c r="L32" s="2">
        <v>1450.4282083333335</v>
      </c>
      <c r="M32" s="2">
        <v>391.76054166666665</v>
      </c>
      <c r="N32" s="31">
        <f t="shared" si="10"/>
        <v>8709.8579166666677</v>
      </c>
      <c r="O32" s="1">
        <v>1500</v>
      </c>
      <c r="P32" s="2">
        <v>849.45</v>
      </c>
      <c r="Q32" s="2">
        <v>5243.6317500000005</v>
      </c>
      <c r="R32" s="2"/>
      <c r="S32" s="1">
        <v>1755</v>
      </c>
      <c r="T32" s="1">
        <v>0</v>
      </c>
      <c r="U32" s="2">
        <v>5646.3010416666666</v>
      </c>
      <c r="V32" s="1">
        <v>0</v>
      </c>
      <c r="W32" s="36">
        <f t="shared" si="11"/>
        <v>14994.382791666667</v>
      </c>
    </row>
    <row r="33" spans="1:23" hidden="1" x14ac:dyDescent="0.25">
      <c r="A33" s="1">
        <f t="shared" si="8"/>
        <v>2025</v>
      </c>
      <c r="B33" s="52">
        <f t="shared" si="9"/>
        <v>45931</v>
      </c>
      <c r="C33" s="1">
        <v>31</v>
      </c>
      <c r="D33" s="1" t="s">
        <v>50</v>
      </c>
      <c r="E33" s="56">
        <f t="shared" si="12"/>
        <v>45944</v>
      </c>
      <c r="F33" s="2">
        <v>2361.9045833333339</v>
      </c>
      <c r="G33" s="2">
        <v>805.98858333333317</v>
      </c>
      <c r="H33" s="2">
        <v>888.909541666667</v>
      </c>
      <c r="I33" s="2"/>
      <c r="J33" s="2">
        <v>1263.3202500000002</v>
      </c>
      <c r="K33" s="2">
        <v>1749.3478750000004</v>
      </c>
      <c r="L33" s="2">
        <v>1481.4700833333329</v>
      </c>
      <c r="M33" s="2">
        <v>82.599874999999997</v>
      </c>
      <c r="N33" s="31">
        <f t="shared" si="10"/>
        <v>8633.5407916666682</v>
      </c>
      <c r="O33" s="1">
        <v>1500</v>
      </c>
      <c r="P33" s="2">
        <v>849.45</v>
      </c>
      <c r="Q33" s="2">
        <v>5136.0706250000003</v>
      </c>
      <c r="R33" s="2"/>
      <c r="S33" s="1">
        <v>1755</v>
      </c>
      <c r="T33" s="1">
        <v>0</v>
      </c>
      <c r="U33" s="2">
        <v>5612.3215833333306</v>
      </c>
      <c r="V33" s="1">
        <v>0</v>
      </c>
      <c r="W33" s="36">
        <f t="shared" si="11"/>
        <v>14852.842208333332</v>
      </c>
    </row>
    <row r="34" spans="1:23" hidden="1" x14ac:dyDescent="0.25">
      <c r="A34" s="1">
        <f t="shared" si="8"/>
        <v>2025</v>
      </c>
      <c r="B34" s="52">
        <f t="shared" si="9"/>
        <v>45931</v>
      </c>
      <c r="C34" s="1">
        <v>31</v>
      </c>
      <c r="D34" s="1" t="s">
        <v>44</v>
      </c>
      <c r="E34" s="56">
        <f t="shared" si="12"/>
        <v>45945</v>
      </c>
      <c r="F34" s="2">
        <v>2253.4725416666665</v>
      </c>
      <c r="G34" s="2">
        <v>718.81970833333344</v>
      </c>
      <c r="H34" s="2">
        <v>928.89825000000019</v>
      </c>
      <c r="I34" s="2"/>
      <c r="J34" s="2">
        <v>1261.2288333333336</v>
      </c>
      <c r="K34" s="2">
        <v>2006.3517499999991</v>
      </c>
      <c r="L34" s="2">
        <v>1662.6642499999998</v>
      </c>
      <c r="M34" s="2">
        <v>80.504625000000004</v>
      </c>
      <c r="N34" s="31">
        <f t="shared" si="10"/>
        <v>8911.9399583333307</v>
      </c>
      <c r="O34" s="1">
        <v>1500</v>
      </c>
      <c r="P34" s="2">
        <v>834.22500000000002</v>
      </c>
      <c r="Q34" s="2">
        <v>5138.3675000000003</v>
      </c>
      <c r="R34" s="2"/>
      <c r="S34" s="1">
        <v>1755</v>
      </c>
      <c r="T34" s="1">
        <v>0</v>
      </c>
      <c r="U34" s="2">
        <v>5537.8944999999958</v>
      </c>
      <c r="V34" s="1">
        <v>0</v>
      </c>
      <c r="W34" s="36">
        <f t="shared" si="11"/>
        <v>14765.486999999997</v>
      </c>
    </row>
    <row r="35" spans="1:23" hidden="1" x14ac:dyDescent="0.25">
      <c r="A35" s="1">
        <f t="shared" si="8"/>
        <v>2025</v>
      </c>
      <c r="B35" s="52">
        <f t="shared" si="9"/>
        <v>45931</v>
      </c>
      <c r="C35" s="1">
        <v>31</v>
      </c>
      <c r="D35" s="1" t="s">
        <v>45</v>
      </c>
      <c r="E35" s="56">
        <f t="shared" si="12"/>
        <v>45946</v>
      </c>
      <c r="F35" s="2">
        <v>2461.3228750000003</v>
      </c>
      <c r="G35" s="2">
        <v>763.90716666666651</v>
      </c>
      <c r="H35" s="2">
        <v>1124.953833333333</v>
      </c>
      <c r="I35" s="2"/>
      <c r="J35" s="2">
        <v>1260.4540416666669</v>
      </c>
      <c r="K35" s="2">
        <v>1698.1712083333339</v>
      </c>
      <c r="L35" s="2">
        <v>1807.7605416666663</v>
      </c>
      <c r="M35" s="2">
        <v>24.535666666666664</v>
      </c>
      <c r="N35" s="31">
        <f t="shared" si="10"/>
        <v>9141.105333333333</v>
      </c>
      <c r="O35" s="1">
        <v>1500</v>
      </c>
      <c r="P35" s="2">
        <v>884.625</v>
      </c>
      <c r="Q35" s="2">
        <v>5128.2174999999997</v>
      </c>
      <c r="R35" s="2"/>
      <c r="S35" s="1">
        <v>1755</v>
      </c>
      <c r="T35" s="1">
        <v>0</v>
      </c>
      <c r="U35" s="2">
        <v>5401.581166666665</v>
      </c>
      <c r="V35" s="1">
        <v>0</v>
      </c>
      <c r="W35" s="36">
        <f t="shared" si="11"/>
        <v>14669.423666666664</v>
      </c>
    </row>
    <row r="36" spans="1:23" hidden="1" x14ac:dyDescent="0.25">
      <c r="A36" s="1">
        <f t="shared" si="8"/>
        <v>2025</v>
      </c>
      <c r="B36" s="52">
        <f t="shared" si="9"/>
        <v>45931</v>
      </c>
      <c r="C36" s="1">
        <v>31</v>
      </c>
      <c r="D36" s="1" t="s">
        <v>46</v>
      </c>
      <c r="E36" s="56">
        <f t="shared" si="12"/>
        <v>45947</v>
      </c>
      <c r="F36" s="2">
        <v>2680.6650416666675</v>
      </c>
      <c r="G36" s="2">
        <v>762.05866666666668</v>
      </c>
      <c r="H36" s="2">
        <v>845.61154166666665</v>
      </c>
      <c r="I36" s="2"/>
      <c r="J36" s="2">
        <v>1257.972</v>
      </c>
      <c r="K36" s="2">
        <v>1448.6693333333328</v>
      </c>
      <c r="L36" s="2">
        <v>1683.5463333333335</v>
      </c>
      <c r="M36" s="2">
        <v>46.213749999999997</v>
      </c>
      <c r="N36" s="31">
        <f t="shared" si="10"/>
        <v>8724.7366666666676</v>
      </c>
      <c r="O36" s="1">
        <v>1500</v>
      </c>
      <c r="P36" s="2">
        <v>860.47500000000002</v>
      </c>
      <c r="Q36" s="2">
        <v>5138.2988125000002</v>
      </c>
      <c r="R36" s="2"/>
      <c r="S36" s="1">
        <v>1755</v>
      </c>
      <c r="T36" s="1">
        <v>0</v>
      </c>
      <c r="U36" s="2">
        <v>5441.3457083333287</v>
      </c>
      <c r="V36" s="1">
        <v>0</v>
      </c>
      <c r="W36" s="36">
        <f t="shared" si="11"/>
        <v>14695.119520833328</v>
      </c>
    </row>
    <row r="37" spans="1:23" hidden="1" x14ac:dyDescent="0.25">
      <c r="A37" s="1">
        <f t="shared" si="8"/>
        <v>2025</v>
      </c>
      <c r="B37" s="52">
        <f t="shared" si="9"/>
        <v>45931</v>
      </c>
      <c r="C37" s="1">
        <v>31</v>
      </c>
      <c r="D37" s="1" t="s">
        <v>47</v>
      </c>
      <c r="E37" s="56">
        <f t="shared" si="12"/>
        <v>45948</v>
      </c>
      <c r="F37" s="2">
        <v>2340.1121250000001</v>
      </c>
      <c r="G37" s="2">
        <v>624.49987500000009</v>
      </c>
      <c r="H37" s="2">
        <v>531.87145833333341</v>
      </c>
      <c r="I37" s="2"/>
      <c r="J37" s="2">
        <v>1269.8439166666667</v>
      </c>
      <c r="K37" s="2">
        <v>1547.7364166666657</v>
      </c>
      <c r="L37" s="2">
        <v>1502.0108333333335</v>
      </c>
      <c r="M37" s="2">
        <v>74.334166666666675</v>
      </c>
      <c r="N37" s="31">
        <f t="shared" si="10"/>
        <v>7890.4087916666667</v>
      </c>
      <c r="O37" s="1">
        <v>1500</v>
      </c>
      <c r="P37" s="2">
        <v>682.38340625000001</v>
      </c>
      <c r="Q37" s="2">
        <v>5109.7335625000005</v>
      </c>
      <c r="R37" s="2"/>
      <c r="S37" s="1">
        <v>1755</v>
      </c>
      <c r="T37" s="1">
        <v>0</v>
      </c>
      <c r="U37" s="2">
        <v>5493.6549999999952</v>
      </c>
      <c r="V37" s="1">
        <v>0</v>
      </c>
      <c r="W37" s="36">
        <f t="shared" si="11"/>
        <v>14540.771968749996</v>
      </c>
    </row>
    <row r="38" spans="1:23" hidden="1" x14ac:dyDescent="0.25">
      <c r="A38" s="1">
        <f t="shared" si="8"/>
        <v>2025</v>
      </c>
      <c r="B38" s="52">
        <f t="shared" si="9"/>
        <v>45931</v>
      </c>
      <c r="C38" s="1">
        <v>31</v>
      </c>
      <c r="D38" s="1" t="s">
        <v>48</v>
      </c>
      <c r="E38" s="56">
        <f t="shared" si="12"/>
        <v>45949</v>
      </c>
      <c r="F38" s="2">
        <v>1712.9017500000002</v>
      </c>
      <c r="G38" s="2">
        <v>576.46795833333329</v>
      </c>
      <c r="H38" s="2">
        <v>418.65666666666669</v>
      </c>
      <c r="I38" s="2"/>
      <c r="J38" s="2">
        <v>1275.6955416666665</v>
      </c>
      <c r="K38" s="2">
        <v>2237.8214999999996</v>
      </c>
      <c r="L38" s="2">
        <v>1245.270125</v>
      </c>
      <c r="M38" s="2">
        <v>33.850208333333335</v>
      </c>
      <c r="N38" s="31">
        <f t="shared" si="10"/>
        <v>7500.6637499999997</v>
      </c>
      <c r="O38" s="1">
        <v>1500</v>
      </c>
      <c r="P38" s="2">
        <v>680.4</v>
      </c>
      <c r="Q38" s="2">
        <v>5126.38</v>
      </c>
      <c r="R38" s="2"/>
      <c r="S38" s="1">
        <v>1755</v>
      </c>
      <c r="T38" s="1">
        <v>0</v>
      </c>
      <c r="U38" s="2">
        <v>5438.9721666666646</v>
      </c>
      <c r="V38" s="1">
        <v>0</v>
      </c>
      <c r="W38" s="36">
        <f t="shared" si="11"/>
        <v>14500.752166666665</v>
      </c>
    </row>
    <row r="39" spans="1:23" hidden="1" x14ac:dyDescent="0.25">
      <c r="A39" s="1">
        <f t="shared" si="8"/>
        <v>2025</v>
      </c>
      <c r="B39" s="52">
        <f t="shared" si="9"/>
        <v>45931</v>
      </c>
      <c r="C39" s="1">
        <v>31</v>
      </c>
      <c r="D39" s="1" t="s">
        <v>49</v>
      </c>
      <c r="E39" s="56">
        <f t="shared" si="12"/>
        <v>45950</v>
      </c>
      <c r="F39" s="2">
        <v>1968.7020833333338</v>
      </c>
      <c r="G39" s="2">
        <v>597.13304166666671</v>
      </c>
      <c r="H39" s="2">
        <v>635.56966666666654</v>
      </c>
      <c r="I39" s="2"/>
      <c r="J39" s="2">
        <v>1270.6835000000001</v>
      </c>
      <c r="K39" s="2">
        <v>2303.3863333333325</v>
      </c>
      <c r="L39" s="2">
        <v>1320.9625833333332</v>
      </c>
      <c r="M39" s="2">
        <v>40.875499999999995</v>
      </c>
      <c r="N39" s="31">
        <f t="shared" si="10"/>
        <v>8137.312708333332</v>
      </c>
      <c r="O39" s="1">
        <v>1500</v>
      </c>
      <c r="P39" s="2">
        <v>692.47500000000002</v>
      </c>
      <c r="Q39" s="2">
        <v>5146.9162500000011</v>
      </c>
      <c r="R39" s="2"/>
      <c r="S39" s="1">
        <v>1755</v>
      </c>
      <c r="T39" s="1">
        <v>0</v>
      </c>
      <c r="U39" s="2">
        <v>5432.1686666666656</v>
      </c>
      <c r="V39" s="1">
        <v>0</v>
      </c>
      <c r="W39" s="36">
        <f t="shared" si="11"/>
        <v>14526.559916666665</v>
      </c>
    </row>
    <row r="40" spans="1:23" hidden="1" x14ac:dyDescent="0.25">
      <c r="A40" s="1">
        <f t="shared" si="8"/>
        <v>2025</v>
      </c>
      <c r="B40" s="52">
        <f t="shared" si="9"/>
        <v>45931</v>
      </c>
      <c r="C40" s="1">
        <v>31</v>
      </c>
      <c r="D40" s="1" t="s">
        <v>50</v>
      </c>
      <c r="E40" s="56">
        <f t="shared" si="12"/>
        <v>45951</v>
      </c>
      <c r="F40" s="2">
        <v>2541.2907083333334</v>
      </c>
      <c r="G40" s="2">
        <v>600.98558333333335</v>
      </c>
      <c r="H40" s="2">
        <v>1013.1574166666664</v>
      </c>
      <c r="I40" s="2"/>
      <c r="J40" s="2">
        <v>1264.3152083333332</v>
      </c>
      <c r="K40" s="2">
        <v>1898.4507083333333</v>
      </c>
      <c r="L40" s="2">
        <v>1718.4780000000003</v>
      </c>
      <c r="M40" s="2">
        <v>43.59258333333333</v>
      </c>
      <c r="N40" s="31">
        <f t="shared" si="10"/>
        <v>9080.2702083333352</v>
      </c>
      <c r="O40" s="1">
        <v>1500</v>
      </c>
      <c r="P40" s="2">
        <v>685.125</v>
      </c>
      <c r="Q40" s="2">
        <v>5177.3487500000001</v>
      </c>
      <c r="R40" s="2"/>
      <c r="S40" s="1">
        <v>1755</v>
      </c>
      <c r="T40" s="1">
        <v>0</v>
      </c>
      <c r="U40" s="2">
        <v>5351.3948749999972</v>
      </c>
      <c r="V40" s="1">
        <v>0</v>
      </c>
      <c r="W40" s="36">
        <f t="shared" si="11"/>
        <v>14468.868624999999</v>
      </c>
    </row>
    <row r="41" spans="1:23" hidden="1" x14ac:dyDescent="0.25">
      <c r="A41" s="1">
        <f t="shared" si="8"/>
        <v>2025</v>
      </c>
      <c r="B41" s="52">
        <f t="shared" si="9"/>
        <v>45931</v>
      </c>
      <c r="C41" s="1">
        <v>31</v>
      </c>
      <c r="D41" s="1" t="s">
        <v>44</v>
      </c>
      <c r="E41" s="56">
        <f t="shared" si="12"/>
        <v>45952</v>
      </c>
      <c r="F41" s="2">
        <v>2523.0622083333333</v>
      </c>
      <c r="G41" s="2">
        <v>589.90679166666666</v>
      </c>
      <c r="H41" s="2">
        <v>825.74662499999999</v>
      </c>
      <c r="I41" s="2"/>
      <c r="J41" s="2">
        <v>1265.0495416666668</v>
      </c>
      <c r="K41" s="2">
        <v>1942.6127916666665</v>
      </c>
      <c r="L41" s="2">
        <v>2135.9422916666663</v>
      </c>
      <c r="M41" s="2">
        <v>31.373208333333334</v>
      </c>
      <c r="N41" s="31">
        <f t="shared" si="10"/>
        <v>9313.6934583333314</v>
      </c>
      <c r="O41" s="1">
        <v>1500</v>
      </c>
      <c r="P41" s="2">
        <v>685.125</v>
      </c>
      <c r="Q41" s="2">
        <v>5160.5050000000001</v>
      </c>
      <c r="R41" s="2"/>
      <c r="S41" s="1">
        <v>1755</v>
      </c>
      <c r="T41" s="1">
        <v>0</v>
      </c>
      <c r="U41" s="2">
        <v>5526.4818750000004</v>
      </c>
      <c r="V41" s="1">
        <v>0</v>
      </c>
      <c r="W41" s="36">
        <f t="shared" si="11"/>
        <v>14627.111875000002</v>
      </c>
    </row>
    <row r="42" spans="1:23" hidden="1" x14ac:dyDescent="0.25">
      <c r="A42" s="1">
        <f t="shared" si="8"/>
        <v>2025</v>
      </c>
      <c r="B42" s="52">
        <f t="shared" si="9"/>
        <v>45931</v>
      </c>
      <c r="C42" s="1">
        <v>31</v>
      </c>
      <c r="D42" s="1" t="s">
        <v>45</v>
      </c>
      <c r="E42" s="56">
        <f t="shared" si="12"/>
        <v>45953</v>
      </c>
      <c r="F42" s="2">
        <v>2414.4392499999999</v>
      </c>
      <c r="G42" s="2">
        <v>619.51108333333343</v>
      </c>
      <c r="H42" s="2">
        <v>1421.6879583333332</v>
      </c>
      <c r="I42" s="2"/>
      <c r="J42" s="2">
        <v>1262.5529166666668</v>
      </c>
      <c r="K42" s="2">
        <v>1527.1792083333335</v>
      </c>
      <c r="L42" s="2">
        <v>2490.3986666666679</v>
      </c>
      <c r="M42" s="2">
        <v>116.3305</v>
      </c>
      <c r="N42" s="31">
        <f t="shared" si="10"/>
        <v>9852.0995833333345</v>
      </c>
      <c r="O42" s="1">
        <v>1500</v>
      </c>
      <c r="P42" s="2">
        <v>659.17796874999999</v>
      </c>
      <c r="Q42" s="2">
        <v>5159.63</v>
      </c>
      <c r="R42" s="2"/>
      <c r="S42" s="1">
        <v>1755</v>
      </c>
      <c r="T42" s="1">
        <v>0</v>
      </c>
      <c r="U42" s="2">
        <v>5419.2482083333289</v>
      </c>
      <c r="V42" s="1">
        <v>0</v>
      </c>
      <c r="W42" s="36">
        <f t="shared" si="11"/>
        <v>14493.056177083328</v>
      </c>
    </row>
    <row r="43" spans="1:23" hidden="1" x14ac:dyDescent="0.25">
      <c r="A43" s="1">
        <f t="shared" si="8"/>
        <v>2025</v>
      </c>
      <c r="B43" s="52">
        <f t="shared" si="9"/>
        <v>45931</v>
      </c>
      <c r="C43" s="1">
        <v>31</v>
      </c>
      <c r="D43" s="1" t="s">
        <v>46</v>
      </c>
      <c r="E43" s="56">
        <f t="shared" si="12"/>
        <v>45954</v>
      </c>
      <c r="F43" s="2">
        <v>1876.8876666666667</v>
      </c>
      <c r="G43" s="2">
        <v>702.73062500000003</v>
      </c>
      <c r="H43" s="2">
        <v>1165.56025</v>
      </c>
      <c r="I43" s="2"/>
      <c r="J43" s="2">
        <v>1262.8144166666668</v>
      </c>
      <c r="K43" s="2">
        <v>1980.2460833333337</v>
      </c>
      <c r="L43" s="2">
        <v>2283.1088333333337</v>
      </c>
      <c r="M43" s="2">
        <v>44.822833333333328</v>
      </c>
      <c r="N43" s="31">
        <f t="shared" si="10"/>
        <v>9316.1707083333331</v>
      </c>
      <c r="O43" s="1">
        <v>1500</v>
      </c>
      <c r="P43" s="2">
        <v>780.15</v>
      </c>
      <c r="Q43" s="2">
        <v>5160.8550000000005</v>
      </c>
      <c r="R43" s="2"/>
      <c r="S43" s="1">
        <v>1755</v>
      </c>
      <c r="T43" s="1">
        <v>0</v>
      </c>
      <c r="U43" s="2">
        <v>5405.713874999994</v>
      </c>
      <c r="V43" s="1">
        <v>0</v>
      </c>
      <c r="W43" s="36">
        <f t="shared" si="11"/>
        <v>14601.718874999995</v>
      </c>
    </row>
    <row r="44" spans="1:23" hidden="1" x14ac:dyDescent="0.25">
      <c r="A44" s="1">
        <f t="shared" si="8"/>
        <v>2025</v>
      </c>
      <c r="B44" s="52">
        <f t="shared" si="9"/>
        <v>45931</v>
      </c>
      <c r="C44" s="1">
        <v>31</v>
      </c>
      <c r="D44" s="1" t="s">
        <v>47</v>
      </c>
      <c r="E44" s="56">
        <f t="shared" si="12"/>
        <v>45955</v>
      </c>
      <c r="F44" s="2">
        <v>1744.5016249999999</v>
      </c>
      <c r="G44" s="2">
        <v>695.61216666666678</v>
      </c>
      <c r="H44" s="2">
        <v>656.62429166666675</v>
      </c>
      <c r="I44" s="2"/>
      <c r="J44" s="2">
        <v>1263.8226666666665</v>
      </c>
      <c r="K44" s="2">
        <v>2043.4186666666671</v>
      </c>
      <c r="L44" s="2">
        <v>1650.0680833333331</v>
      </c>
      <c r="M44" s="2">
        <v>53.513333333333335</v>
      </c>
      <c r="N44" s="31">
        <f t="shared" si="10"/>
        <v>8107.5608333333339</v>
      </c>
      <c r="O44" s="1">
        <v>1500</v>
      </c>
      <c r="P44" s="2">
        <v>799.05000000000007</v>
      </c>
      <c r="Q44" s="2">
        <v>5162.9550000000008</v>
      </c>
      <c r="R44" s="2"/>
      <c r="S44" s="1">
        <v>1755</v>
      </c>
      <c r="T44" s="1">
        <v>0</v>
      </c>
      <c r="U44" s="2">
        <v>5307.8616249999968</v>
      </c>
      <c r="V44" s="1">
        <v>0</v>
      </c>
      <c r="W44" s="36">
        <f t="shared" si="11"/>
        <v>14524.866624999999</v>
      </c>
    </row>
    <row r="45" spans="1:23" hidden="1" x14ac:dyDescent="0.25">
      <c r="A45" s="1">
        <f t="shared" si="8"/>
        <v>2025</v>
      </c>
      <c r="B45" s="52">
        <f t="shared" si="9"/>
        <v>45931</v>
      </c>
      <c r="C45" s="1">
        <v>31</v>
      </c>
      <c r="D45" s="1" t="s">
        <v>48</v>
      </c>
      <c r="E45" s="56">
        <f t="shared" si="12"/>
        <v>45956</v>
      </c>
      <c r="F45" s="2">
        <v>1473.0951666666667</v>
      </c>
      <c r="G45" s="2">
        <v>718.37075000000004</v>
      </c>
      <c r="H45" s="2">
        <v>588.59608333333347</v>
      </c>
      <c r="I45" s="2"/>
      <c r="J45" s="2">
        <v>1264.2735416666665</v>
      </c>
      <c r="K45" s="2">
        <v>2153.6209999999987</v>
      </c>
      <c r="L45" s="2">
        <v>1525.2332916666667</v>
      </c>
      <c r="M45" s="2">
        <v>26.573374999999999</v>
      </c>
      <c r="N45" s="31">
        <f t="shared" si="10"/>
        <v>7749.7632083333319</v>
      </c>
      <c r="O45" s="1">
        <v>1500</v>
      </c>
      <c r="P45" s="2">
        <v>885.15000000000009</v>
      </c>
      <c r="Q45" s="2">
        <v>5166.2800000000007</v>
      </c>
      <c r="R45" s="2"/>
      <c r="S45" s="1">
        <v>1755</v>
      </c>
      <c r="T45" s="1">
        <v>0</v>
      </c>
      <c r="U45" s="2">
        <v>5449.886958333328</v>
      </c>
      <c r="V45" s="1">
        <v>0</v>
      </c>
      <c r="W45" s="36">
        <f t="shared" si="11"/>
        <v>14756.316958333329</v>
      </c>
    </row>
    <row r="46" spans="1:23" hidden="1" x14ac:dyDescent="0.25">
      <c r="A46" s="1">
        <f t="shared" si="8"/>
        <v>2025</v>
      </c>
      <c r="B46" s="52">
        <f t="shared" si="9"/>
        <v>45931</v>
      </c>
      <c r="C46" s="1">
        <v>31</v>
      </c>
      <c r="D46" s="1" t="s">
        <v>49</v>
      </c>
      <c r="E46" s="56">
        <f t="shared" si="12"/>
        <v>45957</v>
      </c>
      <c r="F46" s="2">
        <v>1735.6575833333334</v>
      </c>
      <c r="G46" s="2">
        <v>773.94029166666667</v>
      </c>
      <c r="H46" s="2">
        <v>1071.6371249999997</v>
      </c>
      <c r="I46" s="2"/>
      <c r="J46" s="2">
        <v>1267.0185833333335</v>
      </c>
      <c r="K46" s="2">
        <v>1583.8024999999993</v>
      </c>
      <c r="L46" s="2">
        <v>2137.3617916666658</v>
      </c>
      <c r="M46" s="2">
        <v>57.225666666666669</v>
      </c>
      <c r="N46" s="31">
        <f t="shared" si="10"/>
        <v>8626.6435416666664</v>
      </c>
      <c r="O46" s="1">
        <v>1500</v>
      </c>
      <c r="P46" s="2">
        <v>855.01281250000011</v>
      </c>
      <c r="Q46" s="2">
        <v>4850.317500000001</v>
      </c>
      <c r="R46" s="2"/>
      <c r="S46" s="1">
        <v>1755</v>
      </c>
      <c r="T46" s="1">
        <v>0</v>
      </c>
      <c r="U46" s="2">
        <v>5044.1729583333299</v>
      </c>
      <c r="V46" s="1">
        <v>0</v>
      </c>
      <c r="W46" s="36">
        <f t="shared" si="11"/>
        <v>14004.503270833331</v>
      </c>
    </row>
    <row r="47" spans="1:23" hidden="1" x14ac:dyDescent="0.25">
      <c r="A47" s="1">
        <f t="shared" si="8"/>
        <v>2025</v>
      </c>
      <c r="B47" s="52">
        <f t="shared" si="9"/>
        <v>45931</v>
      </c>
      <c r="C47" s="1">
        <v>31</v>
      </c>
      <c r="D47" s="1" t="s">
        <v>50</v>
      </c>
      <c r="E47" s="56">
        <f t="shared" si="12"/>
        <v>45958</v>
      </c>
      <c r="F47" s="2">
        <v>2050.6737083333333</v>
      </c>
      <c r="G47" s="2">
        <v>806.56899999999996</v>
      </c>
      <c r="H47" s="2">
        <v>1010.1274166666669</v>
      </c>
      <c r="I47" s="2"/>
      <c r="J47" s="2">
        <v>1269.3744999999999</v>
      </c>
      <c r="K47" s="2">
        <v>1645.4473333333331</v>
      </c>
      <c r="L47" s="2">
        <v>2314.214833333333</v>
      </c>
      <c r="M47" s="2">
        <v>39.443541666666668</v>
      </c>
      <c r="N47" s="31">
        <f t="shared" si="10"/>
        <v>9135.8503333333338</v>
      </c>
      <c r="O47" s="1">
        <v>1500</v>
      </c>
      <c r="P47" s="2">
        <v>882.52500000000009</v>
      </c>
      <c r="Q47" s="2">
        <v>4715.7416249999997</v>
      </c>
      <c r="R47" s="2"/>
      <c r="S47" s="1">
        <v>1755</v>
      </c>
      <c r="T47" s="1">
        <v>0</v>
      </c>
      <c r="U47" s="2">
        <v>4911.6970833333289</v>
      </c>
      <c r="V47" s="1">
        <v>0</v>
      </c>
      <c r="W47" s="36">
        <f t="shared" si="11"/>
        <v>13764.963708333329</v>
      </c>
    </row>
    <row r="48" spans="1:23" hidden="1" x14ac:dyDescent="0.25">
      <c r="A48" s="1">
        <f t="shared" si="8"/>
        <v>2025</v>
      </c>
      <c r="B48" s="52">
        <f t="shared" si="9"/>
        <v>45931</v>
      </c>
      <c r="C48" s="1">
        <v>31</v>
      </c>
      <c r="D48" s="1" t="s">
        <v>44</v>
      </c>
      <c r="E48" s="56">
        <f t="shared" si="12"/>
        <v>45959</v>
      </c>
      <c r="F48" s="2">
        <v>2058.9445000000001</v>
      </c>
      <c r="G48" s="2">
        <v>782.96337499999993</v>
      </c>
      <c r="H48" s="2">
        <v>948.09316666666689</v>
      </c>
      <c r="I48" s="2"/>
      <c r="J48" s="2">
        <v>1267.3796666666667</v>
      </c>
      <c r="K48" s="2">
        <v>1989.7935833333336</v>
      </c>
      <c r="L48" s="2">
        <v>1976.7209583333336</v>
      </c>
      <c r="M48" s="2">
        <v>29.526499999999999</v>
      </c>
      <c r="N48" s="31">
        <f t="shared" si="10"/>
        <v>9053.4217500000013</v>
      </c>
      <c r="O48" s="1">
        <v>1500</v>
      </c>
      <c r="P48" s="2">
        <v>868.72734375000005</v>
      </c>
      <c r="Q48" s="2">
        <v>4691.96</v>
      </c>
      <c r="R48" s="2"/>
      <c r="S48" s="1">
        <v>1755</v>
      </c>
      <c r="T48" s="1">
        <v>0</v>
      </c>
      <c r="U48" s="2">
        <v>4573.7434166666671</v>
      </c>
      <c r="V48" s="1">
        <v>0</v>
      </c>
      <c r="W48" s="36">
        <f t="shared" si="11"/>
        <v>13389.430760416668</v>
      </c>
    </row>
    <row r="49" spans="1:23" hidden="1" x14ac:dyDescent="0.25">
      <c r="A49" s="1">
        <f t="shared" si="8"/>
        <v>2025</v>
      </c>
      <c r="B49" s="52">
        <f t="shared" si="9"/>
        <v>45931</v>
      </c>
      <c r="C49" s="1">
        <v>31</v>
      </c>
      <c r="D49" s="1" t="s">
        <v>45</v>
      </c>
      <c r="E49" s="56">
        <f t="shared" si="12"/>
        <v>45960</v>
      </c>
      <c r="F49" s="2">
        <v>2046.6908333333333</v>
      </c>
      <c r="G49" s="2">
        <v>595.74250000000006</v>
      </c>
      <c r="H49" s="2">
        <v>522.47512499999993</v>
      </c>
      <c r="I49" s="2"/>
      <c r="J49" s="2">
        <v>1268.0439583333332</v>
      </c>
      <c r="K49" s="2">
        <v>2237.1657499999992</v>
      </c>
      <c r="L49" s="2">
        <v>1856.9994999999999</v>
      </c>
      <c r="M49" s="2">
        <v>19.277791666666666</v>
      </c>
      <c r="N49" s="31">
        <f t="shared" si="10"/>
        <v>8546.3954583333325</v>
      </c>
      <c r="O49" s="1">
        <v>1500</v>
      </c>
      <c r="P49" s="2">
        <v>844.2</v>
      </c>
      <c r="Q49" s="2">
        <v>4699.0999999999995</v>
      </c>
      <c r="R49" s="2"/>
      <c r="S49" s="1">
        <v>1755</v>
      </c>
      <c r="T49" s="1">
        <v>0</v>
      </c>
      <c r="U49" s="2">
        <v>4722.4447083333307</v>
      </c>
      <c r="V49" s="1">
        <v>0</v>
      </c>
      <c r="W49" s="36">
        <f t="shared" si="11"/>
        <v>13520.74470833333</v>
      </c>
    </row>
    <row r="50" spans="1:23" hidden="1" x14ac:dyDescent="0.25">
      <c r="A50" s="1">
        <f t="shared" si="8"/>
        <v>2025</v>
      </c>
      <c r="B50" s="52">
        <f t="shared" si="9"/>
        <v>45931</v>
      </c>
      <c r="C50" s="1">
        <v>31</v>
      </c>
      <c r="D50" s="1" t="s">
        <v>46</v>
      </c>
      <c r="E50" s="56">
        <f t="shared" si="12"/>
        <v>45961</v>
      </c>
      <c r="F50" s="2">
        <v>2095.6782500000004</v>
      </c>
      <c r="G50" s="2">
        <v>657.10520833333351</v>
      </c>
      <c r="H50" s="2">
        <v>516.52708333333328</v>
      </c>
      <c r="I50" s="2"/>
      <c r="J50" s="2">
        <v>1267.4594583333335</v>
      </c>
      <c r="K50" s="2">
        <v>2283.1108333333341</v>
      </c>
      <c r="L50" s="2">
        <v>1707.1943750000003</v>
      </c>
      <c r="M50" s="2">
        <v>17.609166666666667</v>
      </c>
      <c r="N50" s="31">
        <f t="shared" si="10"/>
        <v>8544.6843750000025</v>
      </c>
      <c r="O50" s="1">
        <v>1500</v>
      </c>
      <c r="P50" s="2">
        <v>850.5</v>
      </c>
      <c r="Q50" s="2">
        <v>4727.6425000000008</v>
      </c>
      <c r="R50" s="2"/>
      <c r="S50" s="1">
        <v>1755</v>
      </c>
      <c r="T50" s="1">
        <v>0</v>
      </c>
      <c r="U50" s="2">
        <v>5142.6631249999982</v>
      </c>
      <c r="V50" s="1">
        <v>0</v>
      </c>
      <c r="W50" s="36">
        <f t="shared" si="11"/>
        <v>13975.805625000001</v>
      </c>
    </row>
    <row r="51" spans="1:23" hidden="1" x14ac:dyDescent="0.25">
      <c r="A51" s="1">
        <f t="shared" si="8"/>
        <v>2025</v>
      </c>
      <c r="B51" s="52">
        <f t="shared" si="9"/>
        <v>45962</v>
      </c>
      <c r="C51" s="1">
        <v>30</v>
      </c>
      <c r="D51" s="1" t="s">
        <v>47</v>
      </c>
      <c r="E51" s="56">
        <v>45962</v>
      </c>
      <c r="F51" s="2">
        <v>2209.0850416666667</v>
      </c>
      <c r="G51" s="2">
        <v>321.88920833333333</v>
      </c>
      <c r="H51" s="2">
        <v>697.51737500000002</v>
      </c>
      <c r="I51" s="2"/>
      <c r="J51" s="2">
        <v>1266.7246666666667</v>
      </c>
      <c r="K51" s="2">
        <v>2017.0350833333334</v>
      </c>
      <c r="L51" s="2">
        <v>1499.8579166666671</v>
      </c>
      <c r="M51" s="2">
        <v>13.44754166666667</v>
      </c>
      <c r="N51" s="31">
        <f t="shared" si="10"/>
        <v>8025.5568333333331</v>
      </c>
      <c r="O51" s="1">
        <v>1500</v>
      </c>
      <c r="P51" s="2">
        <v>831.07500000000005</v>
      </c>
      <c r="Q51" s="2">
        <v>4763.8893750000007</v>
      </c>
      <c r="R51" s="2"/>
      <c r="S51" s="2">
        <v>1755</v>
      </c>
      <c r="T51" s="2">
        <v>0</v>
      </c>
      <c r="U51" s="2">
        <v>5101.2880833333311</v>
      </c>
      <c r="V51" s="2">
        <v>0</v>
      </c>
      <c r="W51" s="36">
        <f>+SUM(O51:V51)</f>
        <v>13951.252458333331</v>
      </c>
    </row>
    <row r="52" spans="1:23" hidden="1" x14ac:dyDescent="0.25">
      <c r="A52" s="1">
        <f t="shared" si="8"/>
        <v>2025</v>
      </c>
      <c r="B52" s="52">
        <f t="shared" si="9"/>
        <v>45962</v>
      </c>
      <c r="C52" s="1">
        <v>30</v>
      </c>
      <c r="D52" s="1" t="s">
        <v>48</v>
      </c>
      <c r="E52" s="56">
        <v>45963</v>
      </c>
      <c r="F52" s="2">
        <v>1940.7099166666665</v>
      </c>
      <c r="G52" s="2">
        <v>181.67550000000006</v>
      </c>
      <c r="H52" s="2">
        <v>685.36641666666674</v>
      </c>
      <c r="I52" s="2"/>
      <c r="J52" s="2">
        <v>1268.5178333333336</v>
      </c>
      <c r="K52" s="2">
        <v>1604.6535416666675</v>
      </c>
      <c r="L52" s="2">
        <v>1644.6367083333334</v>
      </c>
      <c r="M52" s="2">
        <v>12.637541666666667</v>
      </c>
      <c r="N52" s="31">
        <f t="shared" si="10"/>
        <v>7338.1974583333349</v>
      </c>
      <c r="O52" s="1">
        <v>1500</v>
      </c>
      <c r="P52" s="2">
        <v>799.57500000000005</v>
      </c>
      <c r="Q52" s="2">
        <v>4958.6862500000007</v>
      </c>
      <c r="R52" s="2"/>
      <c r="S52" s="2">
        <v>1755</v>
      </c>
      <c r="T52" s="2">
        <v>0</v>
      </c>
      <c r="U52" s="2">
        <v>5145.2361666666684</v>
      </c>
      <c r="V52" s="2">
        <v>0</v>
      </c>
      <c r="W52" s="36">
        <f t="shared" ref="W52:W115" si="13">+SUM(O52:V52)</f>
        <v>14158.497416666669</v>
      </c>
    </row>
    <row r="53" spans="1:23" hidden="1" x14ac:dyDescent="0.25">
      <c r="A53" s="1">
        <f t="shared" si="8"/>
        <v>2025</v>
      </c>
      <c r="B53" s="52">
        <f t="shared" si="9"/>
        <v>45962</v>
      </c>
      <c r="C53" s="1">
        <v>30</v>
      </c>
      <c r="D53" s="1" t="s">
        <v>49</v>
      </c>
      <c r="E53" s="56">
        <v>45964</v>
      </c>
      <c r="F53" s="2">
        <v>2566.9222916666672</v>
      </c>
      <c r="G53" s="2">
        <v>742.09762499999988</v>
      </c>
      <c r="H53" s="2">
        <v>1171.6897916666667</v>
      </c>
      <c r="I53" s="2"/>
      <c r="J53" s="2">
        <v>1263.4837499999999</v>
      </c>
      <c r="K53" s="2">
        <v>1371.3671249999993</v>
      </c>
      <c r="L53" s="2">
        <v>2205.5945416666659</v>
      </c>
      <c r="M53" s="2">
        <v>19.22045833333333</v>
      </c>
      <c r="N53" s="31">
        <f t="shared" si="10"/>
        <v>9340.3755833333307</v>
      </c>
      <c r="O53" s="1">
        <v>1500</v>
      </c>
      <c r="P53" s="2">
        <v>862.21843749999994</v>
      </c>
      <c r="Q53" s="2">
        <v>5174.4612500000003</v>
      </c>
      <c r="R53" s="2"/>
      <c r="S53" s="2">
        <v>1755</v>
      </c>
      <c r="T53" s="2">
        <v>0</v>
      </c>
      <c r="U53" s="2">
        <v>5164.9814583333291</v>
      </c>
      <c r="V53" s="2">
        <v>0</v>
      </c>
      <c r="W53" s="36">
        <f t="shared" si="13"/>
        <v>14456.661145833328</v>
      </c>
    </row>
    <row r="54" spans="1:23" hidden="1" x14ac:dyDescent="0.25">
      <c r="A54" s="1">
        <f t="shared" si="8"/>
        <v>2025</v>
      </c>
      <c r="B54" s="52">
        <f t="shared" si="9"/>
        <v>45962</v>
      </c>
      <c r="C54" s="1">
        <v>30</v>
      </c>
      <c r="D54" s="1" t="s">
        <v>50</v>
      </c>
      <c r="E54" s="56">
        <v>45965</v>
      </c>
      <c r="F54" s="2">
        <v>2120.2240416666668</v>
      </c>
      <c r="G54" s="2">
        <v>804.13141666666661</v>
      </c>
      <c r="H54" s="2">
        <v>1297.0475416666666</v>
      </c>
      <c r="I54" s="2"/>
      <c r="J54" s="2">
        <v>1266.0334166666669</v>
      </c>
      <c r="K54" s="2">
        <v>1669.3403333333338</v>
      </c>
      <c r="L54" s="2">
        <v>2117.4936250000001</v>
      </c>
      <c r="M54" s="2">
        <v>47.099333333333334</v>
      </c>
      <c r="N54" s="31">
        <f t="shared" si="10"/>
        <v>9321.3697083333336</v>
      </c>
      <c r="O54" s="1">
        <v>1500</v>
      </c>
      <c r="P54" s="2">
        <v>884.10831250000012</v>
      </c>
      <c r="Q54" s="2">
        <v>5172.0331249999999</v>
      </c>
      <c r="R54" s="2"/>
      <c r="S54" s="2">
        <v>1755</v>
      </c>
      <c r="T54" s="2">
        <v>0</v>
      </c>
      <c r="U54" s="2">
        <v>5235.2733333333299</v>
      </c>
      <c r="V54" s="2">
        <v>0</v>
      </c>
      <c r="W54" s="36">
        <f t="shared" si="13"/>
        <v>14546.414770833329</v>
      </c>
    </row>
    <row r="55" spans="1:23" hidden="1" x14ac:dyDescent="0.25">
      <c r="A55" s="1">
        <f t="shared" si="8"/>
        <v>2025</v>
      </c>
      <c r="B55" s="52">
        <f t="shared" si="9"/>
        <v>45962</v>
      </c>
      <c r="C55" s="1">
        <v>30</v>
      </c>
      <c r="D55" s="1" t="s">
        <v>44</v>
      </c>
      <c r="E55" s="56">
        <v>45966</v>
      </c>
      <c r="F55" s="2">
        <v>2221.3129166666663</v>
      </c>
      <c r="G55" s="2">
        <v>799.91750000000013</v>
      </c>
      <c r="H55" s="2">
        <v>990.32899999999995</v>
      </c>
      <c r="I55" s="2"/>
      <c r="J55" s="2">
        <v>1265.6610000000001</v>
      </c>
      <c r="K55" s="2">
        <v>1646.7939583333336</v>
      </c>
      <c r="L55" s="2">
        <v>1572.1316250000002</v>
      </c>
      <c r="M55" s="2">
        <v>57.503583333333324</v>
      </c>
      <c r="N55" s="31">
        <f t="shared" si="10"/>
        <v>8553.6495833333338</v>
      </c>
      <c r="O55" s="1">
        <v>1500</v>
      </c>
      <c r="P55" s="2">
        <v>866.55690625</v>
      </c>
      <c r="Q55" s="2">
        <v>5047.6194999999998</v>
      </c>
      <c r="R55" s="2"/>
      <c r="S55" s="2">
        <v>1755</v>
      </c>
      <c r="T55" s="2">
        <v>0</v>
      </c>
      <c r="U55" s="2">
        <v>5238.7988333333296</v>
      </c>
      <c r="V55" s="2">
        <v>0</v>
      </c>
      <c r="W55" s="36">
        <f t="shared" si="13"/>
        <v>14407.975239583331</v>
      </c>
    </row>
    <row r="56" spans="1:23" hidden="1" x14ac:dyDescent="0.25">
      <c r="A56" s="1">
        <f t="shared" si="8"/>
        <v>2025</v>
      </c>
      <c r="B56" s="52">
        <f t="shared" si="9"/>
        <v>45962</v>
      </c>
      <c r="C56" s="1">
        <v>30</v>
      </c>
      <c r="D56" s="1" t="s">
        <v>45</v>
      </c>
      <c r="E56" s="56">
        <v>45967</v>
      </c>
      <c r="F56" s="2">
        <v>2147.821375</v>
      </c>
      <c r="G56" s="2">
        <v>787.64300000000014</v>
      </c>
      <c r="H56" s="2">
        <v>837.57120833333329</v>
      </c>
      <c r="I56" s="2"/>
      <c r="J56" s="2">
        <v>1265.941875</v>
      </c>
      <c r="K56" s="2">
        <v>1514.5848333333327</v>
      </c>
      <c r="L56" s="2">
        <v>1761.9134583333334</v>
      </c>
      <c r="M56" s="2">
        <v>38.018708333333336</v>
      </c>
      <c r="N56" s="31">
        <f t="shared" si="10"/>
        <v>8353.4944583333308</v>
      </c>
      <c r="O56" s="1">
        <v>1500</v>
      </c>
      <c r="P56" s="2">
        <v>895.125</v>
      </c>
      <c r="Q56" s="2">
        <v>4908.7937500000007</v>
      </c>
      <c r="R56" s="2"/>
      <c r="S56" s="2">
        <v>1755</v>
      </c>
      <c r="T56" s="2">
        <v>0</v>
      </c>
      <c r="U56" s="2">
        <v>5394.4888749999964</v>
      </c>
      <c r="V56" s="2">
        <v>0</v>
      </c>
      <c r="W56" s="36">
        <f t="shared" si="13"/>
        <v>14453.407624999996</v>
      </c>
    </row>
    <row r="57" spans="1:23" hidden="1" x14ac:dyDescent="0.25">
      <c r="A57" s="1">
        <f t="shared" si="8"/>
        <v>2025</v>
      </c>
      <c r="B57" s="52">
        <f t="shared" si="9"/>
        <v>45962</v>
      </c>
      <c r="C57" s="1">
        <v>30</v>
      </c>
      <c r="D57" s="1" t="s">
        <v>57</v>
      </c>
      <c r="E57" s="56">
        <v>45968</v>
      </c>
      <c r="F57" s="2">
        <v>2202.98</v>
      </c>
      <c r="G57" s="2">
        <v>769.01133333333348</v>
      </c>
      <c r="H57" s="2">
        <v>822.90487499999995</v>
      </c>
      <c r="I57" s="2"/>
      <c r="J57" s="2">
        <v>1261.0497500000001</v>
      </c>
      <c r="K57" s="2">
        <v>1312.7663333333335</v>
      </c>
      <c r="L57" s="2">
        <v>2052.2767500000004</v>
      </c>
      <c r="M57" s="2">
        <v>45.161875000000002</v>
      </c>
      <c r="N57" s="31">
        <f t="shared" si="10"/>
        <v>8466.1509166666674</v>
      </c>
      <c r="O57" s="1">
        <v>1500</v>
      </c>
      <c r="P57" s="2">
        <v>883.2131875</v>
      </c>
      <c r="Q57" s="2">
        <v>5105.8175000000001</v>
      </c>
      <c r="R57" s="2"/>
      <c r="S57" s="2">
        <v>1755</v>
      </c>
      <c r="T57" s="2">
        <v>0</v>
      </c>
      <c r="U57" s="2">
        <v>5449.7765833333297</v>
      </c>
      <c r="V57" s="2">
        <v>0</v>
      </c>
      <c r="W57" s="36">
        <f t="shared" si="13"/>
        <v>14693.807270833331</v>
      </c>
    </row>
    <row r="58" spans="1:23" hidden="1" x14ac:dyDescent="0.25">
      <c r="A58" s="1">
        <f t="shared" si="8"/>
        <v>2025</v>
      </c>
      <c r="B58" s="52">
        <f t="shared" si="9"/>
        <v>45962</v>
      </c>
      <c r="C58" s="1">
        <v>30</v>
      </c>
      <c r="D58" s="1" t="s">
        <v>51</v>
      </c>
      <c r="E58" s="56">
        <v>45969</v>
      </c>
      <c r="F58" s="2">
        <v>2482.1983750000004</v>
      </c>
      <c r="G58" s="2">
        <v>736.43033333333324</v>
      </c>
      <c r="H58" s="2">
        <v>711.33679166666673</v>
      </c>
      <c r="I58" s="2"/>
      <c r="J58" s="2">
        <v>1266.0702916666667</v>
      </c>
      <c r="K58" s="2">
        <v>1080.0503749999996</v>
      </c>
      <c r="L58" s="2">
        <v>1843.7426250000003</v>
      </c>
      <c r="M58" s="2">
        <v>35.545166666666667</v>
      </c>
      <c r="N58" s="31">
        <f t="shared" si="10"/>
        <v>8155.3739583333336</v>
      </c>
      <c r="O58" s="1">
        <v>1500</v>
      </c>
      <c r="P58" s="2">
        <v>884.70375000000001</v>
      </c>
      <c r="Q58" s="2">
        <v>5093.130000000001</v>
      </c>
      <c r="R58" s="2"/>
      <c r="S58" s="2">
        <v>1755</v>
      </c>
      <c r="T58" s="2">
        <v>0</v>
      </c>
      <c r="U58" s="2">
        <v>5468.7401666666628</v>
      </c>
      <c r="V58" s="2">
        <v>0</v>
      </c>
      <c r="W58" s="36">
        <f t="shared" si="13"/>
        <v>14701.573916666664</v>
      </c>
    </row>
    <row r="59" spans="1:23" hidden="1" x14ac:dyDescent="0.25">
      <c r="A59" s="1">
        <f t="shared" si="8"/>
        <v>2025</v>
      </c>
      <c r="B59" s="52">
        <f t="shared" si="9"/>
        <v>45962</v>
      </c>
      <c r="C59" s="1">
        <v>30</v>
      </c>
      <c r="D59" s="1" t="s">
        <v>52</v>
      </c>
      <c r="E59" s="56">
        <v>45970</v>
      </c>
      <c r="F59" s="2">
        <v>2482.1747083333335</v>
      </c>
      <c r="G59" s="2">
        <v>697.45429166666679</v>
      </c>
      <c r="H59" s="2">
        <v>667.476</v>
      </c>
      <c r="I59" s="2"/>
      <c r="J59" s="2">
        <v>1264.5536666666667</v>
      </c>
      <c r="K59" s="2">
        <v>1179.0225833333336</v>
      </c>
      <c r="L59" s="2">
        <v>1497.2532916666664</v>
      </c>
      <c r="M59" s="2">
        <v>17.823583333333332</v>
      </c>
      <c r="N59" s="31">
        <f t="shared" si="10"/>
        <v>7805.7581250000012</v>
      </c>
      <c r="O59" s="1">
        <v>1500</v>
      </c>
      <c r="P59" s="2">
        <v>896.7</v>
      </c>
      <c r="Q59" s="2">
        <v>5097.505000000001</v>
      </c>
      <c r="R59" s="2"/>
      <c r="S59" s="2">
        <v>1755</v>
      </c>
      <c r="T59" s="2">
        <v>0</v>
      </c>
      <c r="U59" s="2">
        <v>5364.1028749999959</v>
      </c>
      <c r="V59" s="2">
        <v>0</v>
      </c>
      <c r="W59" s="36">
        <f t="shared" si="13"/>
        <v>14613.307874999999</v>
      </c>
    </row>
    <row r="60" spans="1:23" hidden="1" x14ac:dyDescent="0.25">
      <c r="A60" s="1">
        <f t="shared" si="8"/>
        <v>2025</v>
      </c>
      <c r="B60" s="52">
        <f t="shared" si="9"/>
        <v>45962</v>
      </c>
      <c r="C60" s="1">
        <v>30</v>
      </c>
      <c r="D60" s="1" t="s">
        <v>53</v>
      </c>
      <c r="E60" s="56">
        <v>45971</v>
      </c>
      <c r="F60" s="2">
        <v>2279.4451666666669</v>
      </c>
      <c r="G60" s="2">
        <v>528.70633333333342</v>
      </c>
      <c r="H60" s="2">
        <v>1030.4401250000001</v>
      </c>
      <c r="I60" s="2"/>
      <c r="J60" s="2">
        <v>1265.5862500000001</v>
      </c>
      <c r="K60" s="2">
        <v>1565.40175</v>
      </c>
      <c r="L60" s="2">
        <v>2054.1979583333332</v>
      </c>
      <c r="M60" s="2">
        <v>16.77825</v>
      </c>
      <c r="N60" s="31">
        <f t="shared" si="10"/>
        <v>8740.555833333332</v>
      </c>
      <c r="O60" s="1">
        <v>1500</v>
      </c>
      <c r="P60" s="2">
        <v>824.43943750000005</v>
      </c>
      <c r="Q60" s="2">
        <v>5202.3794374999998</v>
      </c>
      <c r="R60" s="2"/>
      <c r="S60" s="2">
        <v>1755</v>
      </c>
      <c r="T60" s="2">
        <v>0</v>
      </c>
      <c r="U60" s="2">
        <v>5500.234249999995</v>
      </c>
      <c r="V60" s="2">
        <v>0</v>
      </c>
      <c r="W60" s="36">
        <f t="shared" si="13"/>
        <v>14782.053124999995</v>
      </c>
    </row>
    <row r="61" spans="1:23" hidden="1" x14ac:dyDescent="0.25">
      <c r="A61" s="1">
        <f t="shared" si="8"/>
        <v>2025</v>
      </c>
      <c r="B61" s="52">
        <f t="shared" si="9"/>
        <v>45962</v>
      </c>
      <c r="C61" s="1">
        <v>30</v>
      </c>
      <c r="D61" s="1" t="s">
        <v>54</v>
      </c>
      <c r="E61" s="56">
        <v>45972</v>
      </c>
      <c r="F61" s="2">
        <v>2052.6205416666667</v>
      </c>
      <c r="G61" s="2">
        <v>545.69870833333357</v>
      </c>
      <c r="H61" s="2">
        <v>903.86729166666669</v>
      </c>
      <c r="I61" s="2"/>
      <c r="J61" s="2">
        <v>1264.9766666666669</v>
      </c>
      <c r="K61" s="2">
        <v>2078.4276666666683</v>
      </c>
      <c r="L61" s="2">
        <v>2387.0550833333332</v>
      </c>
      <c r="M61" s="2">
        <v>34.465125</v>
      </c>
      <c r="N61" s="31">
        <f t="shared" si="10"/>
        <v>9267.111083333335</v>
      </c>
      <c r="O61" s="1">
        <v>1500</v>
      </c>
      <c r="P61" s="2">
        <v>759.67500000000007</v>
      </c>
      <c r="Q61" s="2">
        <v>5377.0710000000008</v>
      </c>
      <c r="R61" s="2"/>
      <c r="S61" s="2">
        <v>1755</v>
      </c>
      <c r="T61" s="2">
        <v>0</v>
      </c>
      <c r="U61" s="2">
        <v>5695.0132499999945</v>
      </c>
      <c r="V61" s="2">
        <v>0</v>
      </c>
      <c r="W61" s="36">
        <f t="shared" si="13"/>
        <v>15086.759249999996</v>
      </c>
    </row>
    <row r="62" spans="1:23" hidden="1" x14ac:dyDescent="0.25">
      <c r="A62" s="1">
        <f t="shared" si="8"/>
        <v>2025</v>
      </c>
      <c r="B62" s="52">
        <f t="shared" si="9"/>
        <v>45962</v>
      </c>
      <c r="C62" s="1">
        <v>30</v>
      </c>
      <c r="D62" s="1" t="s">
        <v>55</v>
      </c>
      <c r="E62" s="56">
        <v>45973</v>
      </c>
      <c r="F62" s="2">
        <v>2323.6917500000004</v>
      </c>
      <c r="G62" s="2">
        <v>578.19604166666659</v>
      </c>
      <c r="H62" s="2">
        <v>738.87899999999991</v>
      </c>
      <c r="I62" s="2"/>
      <c r="J62" s="2">
        <v>1264.8065833333335</v>
      </c>
      <c r="K62" s="2">
        <v>2181.3360000000021</v>
      </c>
      <c r="L62" s="2">
        <v>2099.260291666666</v>
      </c>
      <c r="M62" s="2">
        <v>33.297874999999998</v>
      </c>
      <c r="N62" s="31">
        <f t="shared" si="10"/>
        <v>9219.4675416666687</v>
      </c>
      <c r="O62" s="1">
        <v>1500</v>
      </c>
      <c r="P62" s="2">
        <v>790.04909375</v>
      </c>
      <c r="Q62" s="2">
        <v>5367.8913750000002</v>
      </c>
      <c r="R62" s="2"/>
      <c r="S62" s="2">
        <v>1755</v>
      </c>
      <c r="T62" s="2">
        <v>0</v>
      </c>
      <c r="U62" s="2">
        <v>5698.4673749999974</v>
      </c>
      <c r="V62" s="2">
        <v>0</v>
      </c>
      <c r="W62" s="36">
        <f t="shared" si="13"/>
        <v>15111.407843749996</v>
      </c>
    </row>
    <row r="63" spans="1:23" hidden="1" x14ac:dyDescent="0.25">
      <c r="A63" s="1">
        <f t="shared" si="8"/>
        <v>2025</v>
      </c>
      <c r="B63" s="52">
        <f t="shared" si="9"/>
        <v>45962</v>
      </c>
      <c r="C63" s="1">
        <v>30</v>
      </c>
      <c r="D63" s="1" t="s">
        <v>56</v>
      </c>
      <c r="E63" s="56">
        <v>45974</v>
      </c>
      <c r="F63" s="2">
        <v>2158.3892083333335</v>
      </c>
      <c r="G63" s="2">
        <v>725.56462500000009</v>
      </c>
      <c r="H63" s="2">
        <v>1107.8097916666668</v>
      </c>
      <c r="I63" s="2"/>
      <c r="J63" s="2">
        <v>1262.6969583333334</v>
      </c>
      <c r="K63" s="2">
        <v>1956.3047500000002</v>
      </c>
      <c r="L63" s="2">
        <v>2029.1976666666665</v>
      </c>
      <c r="M63" s="2">
        <v>16.803875000000001</v>
      </c>
      <c r="N63" s="31">
        <f t="shared" si="10"/>
        <v>9256.7668749999993</v>
      </c>
      <c r="O63" s="1">
        <v>1500</v>
      </c>
      <c r="P63" s="2">
        <v>847.35</v>
      </c>
      <c r="Q63" s="2">
        <v>5375.4050000000007</v>
      </c>
      <c r="R63" s="2"/>
      <c r="S63" s="2">
        <v>1755</v>
      </c>
      <c r="T63" s="2">
        <v>0</v>
      </c>
      <c r="U63" s="2">
        <v>5783.5693333333284</v>
      </c>
      <c r="V63" s="2">
        <v>0</v>
      </c>
      <c r="W63" s="36">
        <f t="shared" si="13"/>
        <v>15261.32433333333</v>
      </c>
    </row>
    <row r="64" spans="1:23" hidden="1" x14ac:dyDescent="0.25">
      <c r="A64" s="1">
        <f t="shared" si="8"/>
        <v>2025</v>
      </c>
      <c r="B64" s="52">
        <f t="shared" si="9"/>
        <v>45962</v>
      </c>
      <c r="C64" s="1">
        <v>30</v>
      </c>
      <c r="D64" s="1" t="s">
        <v>57</v>
      </c>
      <c r="E64" s="56">
        <v>45975</v>
      </c>
      <c r="F64" s="2">
        <v>1988.4159166666668</v>
      </c>
      <c r="G64" s="2">
        <v>771.82733333333329</v>
      </c>
      <c r="H64" s="2">
        <v>1233.4422500000001</v>
      </c>
      <c r="I64" s="2"/>
      <c r="J64" s="2">
        <v>1262.3854583333332</v>
      </c>
      <c r="K64" s="2">
        <v>2417.9016249999977</v>
      </c>
      <c r="L64" s="2">
        <v>2044.3482083333333</v>
      </c>
      <c r="M64" s="2">
        <v>22.129666666666665</v>
      </c>
      <c r="N64" s="31">
        <f t="shared" si="10"/>
        <v>9740.450458333331</v>
      </c>
      <c r="O64" s="1">
        <v>1500</v>
      </c>
      <c r="P64" s="2">
        <v>848.92500000000007</v>
      </c>
      <c r="Q64" s="2">
        <v>5281.6400000000012</v>
      </c>
      <c r="R64" s="2"/>
      <c r="S64" s="2">
        <v>1755</v>
      </c>
      <c r="T64" s="2">
        <v>0</v>
      </c>
      <c r="U64" s="2">
        <v>5715.0750833333277</v>
      </c>
      <c r="V64" s="2">
        <v>0</v>
      </c>
      <c r="W64" s="36">
        <f t="shared" si="13"/>
        <v>15100.64008333333</v>
      </c>
    </row>
    <row r="65" spans="1:23" hidden="1" x14ac:dyDescent="0.25">
      <c r="A65" s="1">
        <f t="shared" si="8"/>
        <v>2025</v>
      </c>
      <c r="B65" s="52">
        <f t="shared" si="9"/>
        <v>45962</v>
      </c>
      <c r="C65" s="1">
        <v>30</v>
      </c>
      <c r="D65" s="1" t="s">
        <v>51</v>
      </c>
      <c r="E65" s="56">
        <v>45976</v>
      </c>
      <c r="F65" s="2">
        <v>1949.4920416666662</v>
      </c>
      <c r="G65" s="2">
        <v>767.2340416666666</v>
      </c>
      <c r="H65" s="2">
        <v>1203.1046666666668</v>
      </c>
      <c r="I65" s="2"/>
      <c r="J65" s="2">
        <v>1258.01475</v>
      </c>
      <c r="K65" s="2">
        <v>2227.3439999999991</v>
      </c>
      <c r="L65" s="2">
        <v>2084.8142916666652</v>
      </c>
      <c r="M65" s="2">
        <v>56.650625000000005</v>
      </c>
      <c r="N65" s="31">
        <f t="shared" si="10"/>
        <v>9546.6544166666645</v>
      </c>
      <c r="O65" s="1">
        <v>1500</v>
      </c>
      <c r="P65" s="2">
        <v>845.77500000000009</v>
      </c>
      <c r="Q65" s="2">
        <v>5210.2465624999995</v>
      </c>
      <c r="R65" s="2"/>
      <c r="S65" s="2">
        <v>1755</v>
      </c>
      <c r="T65" s="2">
        <v>0</v>
      </c>
      <c r="U65" s="2">
        <v>5438.3696249999948</v>
      </c>
      <c r="V65" s="2">
        <v>0</v>
      </c>
      <c r="W65" s="36">
        <f t="shared" si="13"/>
        <v>14749.391187499994</v>
      </c>
    </row>
    <row r="66" spans="1:23" hidden="1" x14ac:dyDescent="0.25">
      <c r="A66" s="1">
        <f t="shared" si="8"/>
        <v>2025</v>
      </c>
      <c r="B66" s="52">
        <f t="shared" si="9"/>
        <v>45962</v>
      </c>
      <c r="C66" s="1">
        <v>30</v>
      </c>
      <c r="D66" s="1" t="s">
        <v>52</v>
      </c>
      <c r="E66" s="56">
        <v>45977</v>
      </c>
      <c r="F66" s="2">
        <v>1721.5994166666667</v>
      </c>
      <c r="G66" s="2">
        <v>684.37450000000001</v>
      </c>
      <c r="H66" s="2">
        <v>508.12170833333334</v>
      </c>
      <c r="I66" s="2"/>
      <c r="J66" s="2">
        <v>1258.5287916666666</v>
      </c>
      <c r="K66" s="2">
        <v>2192.5527916666665</v>
      </c>
      <c r="L66" s="2">
        <v>1381.0637500000005</v>
      </c>
      <c r="M66" s="2">
        <v>38.266958333333335</v>
      </c>
      <c r="N66" s="31">
        <f t="shared" si="10"/>
        <v>7784.5079166666665</v>
      </c>
      <c r="O66" s="1">
        <v>1500</v>
      </c>
      <c r="P66" s="2">
        <v>813.75</v>
      </c>
      <c r="Q66" s="2">
        <v>5305.3695625</v>
      </c>
      <c r="R66" s="2"/>
      <c r="S66" s="2">
        <v>1755</v>
      </c>
      <c r="T66" s="2">
        <v>0</v>
      </c>
      <c r="U66" s="2">
        <v>5446.4491666666645</v>
      </c>
      <c r="V66" s="2">
        <v>0</v>
      </c>
      <c r="W66" s="36">
        <f t="shared" si="13"/>
        <v>14820.568729166665</v>
      </c>
    </row>
    <row r="67" spans="1:23" hidden="1" x14ac:dyDescent="0.25">
      <c r="A67" s="1">
        <f t="shared" si="8"/>
        <v>2025</v>
      </c>
      <c r="B67" s="52">
        <f t="shared" si="9"/>
        <v>45962</v>
      </c>
      <c r="C67" s="1">
        <v>30</v>
      </c>
      <c r="D67" s="1" t="s">
        <v>53</v>
      </c>
      <c r="E67" s="56">
        <v>45978</v>
      </c>
      <c r="F67" s="2">
        <v>2120.4942916666664</v>
      </c>
      <c r="G67" s="2">
        <v>596.74875000000009</v>
      </c>
      <c r="H67" s="2">
        <v>590.3092916666667</v>
      </c>
      <c r="I67" s="2"/>
      <c r="J67" s="2">
        <v>1259.9156666666668</v>
      </c>
      <c r="K67" s="2">
        <v>2117.2602500000012</v>
      </c>
      <c r="L67" s="2">
        <v>1617.41875</v>
      </c>
      <c r="M67" s="2">
        <v>8.5424999999999986</v>
      </c>
      <c r="N67" s="31">
        <f t="shared" si="10"/>
        <v>8310.6895000000004</v>
      </c>
      <c r="O67" s="1">
        <v>1500</v>
      </c>
      <c r="P67" s="2">
        <v>833.17500000000007</v>
      </c>
      <c r="Q67" s="2">
        <v>5111.7237500000001</v>
      </c>
      <c r="R67" s="2"/>
      <c r="S67" s="2">
        <v>1755</v>
      </c>
      <c r="T67" s="2">
        <v>0</v>
      </c>
      <c r="U67" s="2">
        <v>5547.189791666663</v>
      </c>
      <c r="V67" s="2">
        <v>0</v>
      </c>
      <c r="W67" s="36">
        <f t="shared" si="13"/>
        <v>14747.088541666664</v>
      </c>
    </row>
    <row r="68" spans="1:23" hidden="1" x14ac:dyDescent="0.25">
      <c r="A68" s="1">
        <f t="shared" si="8"/>
        <v>2025</v>
      </c>
      <c r="B68" s="52">
        <f t="shared" si="9"/>
        <v>45962</v>
      </c>
      <c r="C68" s="1">
        <v>30</v>
      </c>
      <c r="D68" s="1" t="s">
        <v>54</v>
      </c>
      <c r="E68" s="56">
        <v>45979</v>
      </c>
      <c r="F68" s="2">
        <v>2311.4835833333336</v>
      </c>
      <c r="G68" s="2">
        <v>599.93299999999988</v>
      </c>
      <c r="H68" s="2">
        <v>695.57766666666669</v>
      </c>
      <c r="I68" s="2"/>
      <c r="J68" s="2">
        <v>1258.3630416666665</v>
      </c>
      <c r="K68" s="2">
        <v>1821.3189999999986</v>
      </c>
      <c r="L68" s="2">
        <v>2121.5340000000006</v>
      </c>
      <c r="M68" s="2">
        <v>10.199625000000001</v>
      </c>
      <c r="N68" s="31">
        <f t="shared" si="10"/>
        <v>8818.4099166666656</v>
      </c>
      <c r="O68" s="1">
        <v>1500</v>
      </c>
      <c r="P68" s="2">
        <v>810.20668750000004</v>
      </c>
      <c r="Q68" s="2">
        <v>4890.1308749999998</v>
      </c>
      <c r="R68" s="2"/>
      <c r="S68" s="2">
        <v>1755</v>
      </c>
      <c r="T68" s="2">
        <v>0</v>
      </c>
      <c r="U68" s="2">
        <v>5499.3093749999971</v>
      </c>
      <c r="V68" s="2">
        <v>0</v>
      </c>
      <c r="W68" s="36">
        <f t="shared" si="13"/>
        <v>14454.646937499998</v>
      </c>
    </row>
    <row r="69" spans="1:23" hidden="1" x14ac:dyDescent="0.25">
      <c r="A69" s="1">
        <f t="shared" si="8"/>
        <v>2025</v>
      </c>
      <c r="B69" s="52">
        <f t="shared" si="9"/>
        <v>45962</v>
      </c>
      <c r="C69" s="1">
        <v>30</v>
      </c>
      <c r="D69" s="1" t="s">
        <v>55</v>
      </c>
      <c r="E69" s="56">
        <v>45980</v>
      </c>
      <c r="F69" s="2">
        <v>2231.1785833333329</v>
      </c>
      <c r="G69" s="2">
        <v>632.61279166666668</v>
      </c>
      <c r="H69" s="2">
        <v>1202.1576249999998</v>
      </c>
      <c r="I69" s="2"/>
      <c r="J69" s="2">
        <v>1257.1425833333333</v>
      </c>
      <c r="K69" s="2">
        <v>1095.0160833333337</v>
      </c>
      <c r="L69" s="2">
        <v>2420.490416666667</v>
      </c>
      <c r="M69" s="2">
        <v>0.54266666666666674</v>
      </c>
      <c r="N69" s="31">
        <f t="shared" si="10"/>
        <v>8839.1407500000005</v>
      </c>
      <c r="O69" s="1">
        <v>1500</v>
      </c>
      <c r="P69" s="2">
        <v>803.98959374999993</v>
      </c>
      <c r="Q69" s="2">
        <v>4992.2643750000007</v>
      </c>
      <c r="R69" s="2"/>
      <c r="S69" s="2">
        <v>1755</v>
      </c>
      <c r="T69" s="2">
        <v>0</v>
      </c>
      <c r="U69" s="2">
        <v>5381.7205833333301</v>
      </c>
      <c r="V69" s="2">
        <v>0</v>
      </c>
      <c r="W69" s="36">
        <f t="shared" si="13"/>
        <v>14432.974552083331</v>
      </c>
    </row>
    <row r="70" spans="1:23" hidden="1" x14ac:dyDescent="0.25">
      <c r="A70" s="1">
        <f t="shared" si="8"/>
        <v>2025</v>
      </c>
      <c r="B70" s="52">
        <f t="shared" si="9"/>
        <v>45962</v>
      </c>
      <c r="C70" s="1">
        <v>30</v>
      </c>
      <c r="D70" s="1" t="s">
        <v>56</v>
      </c>
      <c r="E70" s="56">
        <v>45981</v>
      </c>
      <c r="F70" s="2">
        <v>1919.8250000000005</v>
      </c>
      <c r="G70" s="2">
        <v>597.42370833333348</v>
      </c>
      <c r="H70" s="2">
        <v>1191.2190833333334</v>
      </c>
      <c r="I70" s="2"/>
      <c r="J70" s="2">
        <v>1257.5585000000001</v>
      </c>
      <c r="K70" s="2">
        <v>1553.9288750000003</v>
      </c>
      <c r="L70" s="2">
        <v>1848.8911250000001</v>
      </c>
      <c r="M70" s="2">
        <v>19.841666666666665</v>
      </c>
      <c r="N70" s="31">
        <f t="shared" si="10"/>
        <v>8388.6879583333357</v>
      </c>
      <c r="O70" s="1">
        <v>1500</v>
      </c>
      <c r="P70" s="2">
        <v>834.88343750000001</v>
      </c>
      <c r="Q70" s="2">
        <v>4993.7300000000005</v>
      </c>
      <c r="R70" s="2"/>
      <c r="S70" s="2">
        <v>1755</v>
      </c>
      <c r="T70" s="2">
        <v>0</v>
      </c>
      <c r="U70" s="2">
        <v>4975.9231666666647</v>
      </c>
      <c r="V70" s="2">
        <v>0</v>
      </c>
      <c r="W70" s="36">
        <f t="shared" si="13"/>
        <v>14059.536604166664</v>
      </c>
    </row>
    <row r="71" spans="1:23" hidden="1" x14ac:dyDescent="0.25">
      <c r="A71" s="1">
        <f t="shared" si="8"/>
        <v>2025</v>
      </c>
      <c r="B71" s="52">
        <f t="shared" si="9"/>
        <v>45962</v>
      </c>
      <c r="C71" s="1">
        <v>30</v>
      </c>
      <c r="D71" s="1" t="s">
        <v>57</v>
      </c>
      <c r="E71" s="56">
        <v>45982</v>
      </c>
      <c r="F71" s="2">
        <v>1887.8212499999997</v>
      </c>
      <c r="G71" s="2">
        <v>497.87995833333343</v>
      </c>
      <c r="H71" s="2">
        <v>975.68650000000014</v>
      </c>
      <c r="I71" s="2"/>
      <c r="J71" s="2">
        <v>1259.0950000000003</v>
      </c>
      <c r="K71" s="2">
        <v>1397.7597916666675</v>
      </c>
      <c r="L71" s="2">
        <v>1708.0305833333337</v>
      </c>
      <c r="M71" s="2">
        <v>23.572875000000003</v>
      </c>
      <c r="N71" s="31">
        <f t="shared" si="10"/>
        <v>7749.8459583333333</v>
      </c>
      <c r="O71" s="1">
        <v>1500</v>
      </c>
      <c r="P71" s="2">
        <v>824.39481249999994</v>
      </c>
      <c r="Q71" s="2">
        <v>4995.6178124999997</v>
      </c>
      <c r="R71" s="2"/>
      <c r="S71" s="2">
        <v>1755</v>
      </c>
      <c r="T71" s="2">
        <v>0</v>
      </c>
      <c r="U71" s="2">
        <v>5012.0567499999934</v>
      </c>
      <c r="V71" s="2">
        <v>0</v>
      </c>
      <c r="W71" s="36">
        <f t="shared" si="13"/>
        <v>14087.069374999992</v>
      </c>
    </row>
    <row r="72" spans="1:23" hidden="1" x14ac:dyDescent="0.25">
      <c r="A72" s="1">
        <f t="shared" si="8"/>
        <v>2025</v>
      </c>
      <c r="B72" s="52">
        <f t="shared" si="9"/>
        <v>45962</v>
      </c>
      <c r="C72" s="1">
        <v>30</v>
      </c>
      <c r="D72" s="1" t="s">
        <v>51</v>
      </c>
      <c r="E72" s="56">
        <v>45983</v>
      </c>
      <c r="F72" s="2">
        <v>2106.2000000000003</v>
      </c>
      <c r="G72" s="2">
        <v>388.1242083333334</v>
      </c>
      <c r="H72" s="2">
        <v>629.06595833333324</v>
      </c>
      <c r="I72" s="2"/>
      <c r="J72" s="2">
        <v>1257.3582083333336</v>
      </c>
      <c r="K72" s="2">
        <v>1622.5755833333349</v>
      </c>
      <c r="L72" s="2">
        <v>1618.4176250000003</v>
      </c>
      <c r="M72" s="2">
        <v>19.06441666666667</v>
      </c>
      <c r="N72" s="31">
        <f t="shared" si="10"/>
        <v>7640.8060000000023</v>
      </c>
      <c r="O72" s="1">
        <v>1500</v>
      </c>
      <c r="P72" s="2">
        <v>835.80000000000007</v>
      </c>
      <c r="Q72" s="2">
        <v>5001.3425000000007</v>
      </c>
      <c r="R72" s="2"/>
      <c r="S72" s="2">
        <v>1755</v>
      </c>
      <c r="T72" s="2">
        <v>0</v>
      </c>
      <c r="U72" s="2">
        <v>4981.2100416666608</v>
      </c>
      <c r="V72" s="2">
        <v>0</v>
      </c>
      <c r="W72" s="36">
        <f t="shared" si="13"/>
        <v>14073.352541666663</v>
      </c>
    </row>
    <row r="73" spans="1:23" hidden="1" x14ac:dyDescent="0.25">
      <c r="A73" s="1">
        <f t="shared" si="8"/>
        <v>2025</v>
      </c>
      <c r="B73" s="52">
        <f t="shared" si="9"/>
        <v>45962</v>
      </c>
      <c r="C73" s="1">
        <v>30</v>
      </c>
      <c r="D73" s="1" t="s">
        <v>52</v>
      </c>
      <c r="E73" s="56">
        <v>45984</v>
      </c>
      <c r="F73" s="2">
        <v>1861.3657499999999</v>
      </c>
      <c r="G73" s="2">
        <v>231.52320833333329</v>
      </c>
      <c r="H73" s="2">
        <v>471.64075000000003</v>
      </c>
      <c r="I73" s="2"/>
      <c r="J73" s="2">
        <v>1255.9910000000004</v>
      </c>
      <c r="K73" s="2">
        <v>2232.7720833333337</v>
      </c>
      <c r="L73" s="2">
        <v>1251.5057083333336</v>
      </c>
      <c r="M73" s="2">
        <v>15.076250000000003</v>
      </c>
      <c r="N73" s="31">
        <f t="shared" si="10"/>
        <v>7319.8747500000009</v>
      </c>
      <c r="O73" s="1">
        <v>1500</v>
      </c>
      <c r="P73" s="2">
        <v>801.15</v>
      </c>
      <c r="Q73" s="2">
        <v>4993.0300000000007</v>
      </c>
      <c r="R73" s="2"/>
      <c r="S73" s="2">
        <v>1755</v>
      </c>
      <c r="T73" s="2">
        <v>0</v>
      </c>
      <c r="U73" s="2">
        <v>4970.9318333333276</v>
      </c>
      <c r="V73" s="2">
        <v>0</v>
      </c>
      <c r="W73" s="36">
        <f t="shared" si="13"/>
        <v>14020.111833333329</v>
      </c>
    </row>
    <row r="74" spans="1:23" hidden="1" x14ac:dyDescent="0.25">
      <c r="A74" s="1">
        <f t="shared" si="8"/>
        <v>2025</v>
      </c>
      <c r="B74" s="52">
        <f t="shared" si="9"/>
        <v>45962</v>
      </c>
      <c r="C74" s="1">
        <v>30</v>
      </c>
      <c r="D74" s="1" t="s">
        <v>53</v>
      </c>
      <c r="E74" s="56">
        <v>45985</v>
      </c>
      <c r="F74" s="2">
        <v>1865.7597916666666</v>
      </c>
      <c r="G74" s="2">
        <v>177.01029166666669</v>
      </c>
      <c r="H74" s="2">
        <v>563.92512500000009</v>
      </c>
      <c r="I74" s="2"/>
      <c r="J74" s="2">
        <v>1254.2766666666666</v>
      </c>
      <c r="K74" s="2">
        <v>2094.6382916666671</v>
      </c>
      <c r="L74" s="2">
        <v>1337.3764583333339</v>
      </c>
      <c r="M74" s="2">
        <v>14.909458333333335</v>
      </c>
      <c r="N74" s="31">
        <f t="shared" si="10"/>
        <v>7307.8960833333349</v>
      </c>
      <c r="O74" s="1">
        <v>1500</v>
      </c>
      <c r="P74" s="2">
        <v>801.15</v>
      </c>
      <c r="Q74" s="2">
        <v>4992.8112500000007</v>
      </c>
      <c r="R74" s="2"/>
      <c r="S74" s="2">
        <v>1755</v>
      </c>
      <c r="T74" s="2">
        <v>0</v>
      </c>
      <c r="U74" s="2">
        <v>4780.8605833333277</v>
      </c>
      <c r="V74" s="2">
        <v>0</v>
      </c>
      <c r="W74" s="36">
        <f t="shared" si="13"/>
        <v>13829.821833333328</v>
      </c>
    </row>
    <row r="75" spans="1:23" hidden="1" x14ac:dyDescent="0.25">
      <c r="A75" s="1">
        <f t="shared" si="8"/>
        <v>2025</v>
      </c>
      <c r="B75" s="52">
        <f t="shared" si="9"/>
        <v>45962</v>
      </c>
      <c r="C75" s="1">
        <v>30</v>
      </c>
      <c r="D75" s="1" t="s">
        <v>54</v>
      </c>
      <c r="E75" s="56">
        <v>45986</v>
      </c>
      <c r="F75" s="2">
        <v>1763.6230833333336</v>
      </c>
      <c r="G75" s="2">
        <v>439.47079166666668</v>
      </c>
      <c r="H75" s="2">
        <v>1240.8637500000002</v>
      </c>
      <c r="I75" s="2"/>
      <c r="J75" s="2">
        <v>1253.4565416666669</v>
      </c>
      <c r="K75" s="2">
        <v>1661.2287916666671</v>
      </c>
      <c r="L75" s="2">
        <v>2013.3568750000004</v>
      </c>
      <c r="M75" s="2">
        <v>18.088750000000001</v>
      </c>
      <c r="N75" s="31">
        <f t="shared" si="10"/>
        <v>8390.0885833333359</v>
      </c>
      <c r="O75" s="1">
        <v>1500</v>
      </c>
      <c r="P75" s="2">
        <v>831.96312499999999</v>
      </c>
      <c r="Q75" s="2">
        <v>4963.0745937499996</v>
      </c>
      <c r="R75" s="2"/>
      <c r="S75" s="2">
        <v>1755</v>
      </c>
      <c r="T75" s="2">
        <v>0</v>
      </c>
      <c r="U75" s="2">
        <v>4703.1864166666655</v>
      </c>
      <c r="V75" s="2">
        <v>0</v>
      </c>
      <c r="W75" s="36">
        <f t="shared" si="13"/>
        <v>13753.224135416665</v>
      </c>
    </row>
    <row r="76" spans="1:23" hidden="1" x14ac:dyDescent="0.25">
      <c r="A76" s="1">
        <f t="shared" si="8"/>
        <v>2025</v>
      </c>
      <c r="B76" s="52">
        <f t="shared" si="9"/>
        <v>45962</v>
      </c>
      <c r="C76" s="1">
        <v>30</v>
      </c>
      <c r="D76" s="1" t="s">
        <v>55</v>
      </c>
      <c r="E76" s="56">
        <v>45987</v>
      </c>
      <c r="F76" s="2">
        <v>1783.2406666666666</v>
      </c>
      <c r="G76" s="2">
        <v>522.96754166666676</v>
      </c>
      <c r="H76" s="2">
        <v>1290.8400833333335</v>
      </c>
      <c r="I76" s="2"/>
      <c r="J76" s="2">
        <v>1249.6344166666668</v>
      </c>
      <c r="K76" s="2">
        <v>1956.3344583333333</v>
      </c>
      <c r="L76" s="2">
        <v>2797.3547916666662</v>
      </c>
      <c r="M76" s="2">
        <v>27.659374999999997</v>
      </c>
      <c r="N76" s="31">
        <f t="shared" si="10"/>
        <v>9628.0313333333324</v>
      </c>
      <c r="O76" s="1">
        <v>1500</v>
      </c>
      <c r="P76" s="2">
        <v>842.1</v>
      </c>
      <c r="Q76" s="2">
        <v>4998.7835625000007</v>
      </c>
      <c r="R76" s="2"/>
      <c r="S76" s="2">
        <v>1755</v>
      </c>
      <c r="T76" s="2">
        <v>0</v>
      </c>
      <c r="U76" s="2">
        <v>5202.9245416666627</v>
      </c>
      <c r="V76" s="2">
        <v>0</v>
      </c>
      <c r="W76" s="36">
        <f t="shared" si="13"/>
        <v>14298.808104166663</v>
      </c>
    </row>
    <row r="77" spans="1:23" hidden="1" x14ac:dyDescent="0.25">
      <c r="A77" s="1">
        <f t="shared" si="8"/>
        <v>2025</v>
      </c>
      <c r="B77" s="52">
        <f t="shared" si="9"/>
        <v>45962</v>
      </c>
      <c r="C77" s="1">
        <v>30</v>
      </c>
      <c r="D77" s="1" t="s">
        <v>56</v>
      </c>
      <c r="E77" s="56">
        <v>45988</v>
      </c>
      <c r="F77" s="2">
        <v>1686.4915000000001</v>
      </c>
      <c r="G77" s="2">
        <v>532.96116666666671</v>
      </c>
      <c r="H77" s="2">
        <v>1404.358541666667</v>
      </c>
      <c r="I77" s="2"/>
      <c r="J77" s="2">
        <v>1250.0007083333333</v>
      </c>
      <c r="K77" s="2">
        <v>2082.757791666666</v>
      </c>
      <c r="L77" s="2">
        <v>2956.5331666666671</v>
      </c>
      <c r="M77" s="2">
        <v>19.913083333333336</v>
      </c>
      <c r="N77" s="31">
        <f t="shared" si="10"/>
        <v>9933.0159583333334</v>
      </c>
      <c r="O77" s="1">
        <v>1500</v>
      </c>
      <c r="P77" s="2">
        <v>853.67953124999997</v>
      </c>
      <c r="Q77" s="2">
        <v>4990.3669375000009</v>
      </c>
      <c r="R77" s="2"/>
      <c r="S77" s="2">
        <v>1755</v>
      </c>
      <c r="T77" s="2">
        <v>0</v>
      </c>
      <c r="U77" s="2">
        <v>5231.0524166666628</v>
      </c>
      <c r="V77" s="2">
        <v>0</v>
      </c>
      <c r="W77" s="36">
        <f t="shared" si="13"/>
        <v>14330.098885416664</v>
      </c>
    </row>
    <row r="78" spans="1:23" hidden="1" x14ac:dyDescent="0.25">
      <c r="A78" s="1">
        <f t="shared" si="8"/>
        <v>2025</v>
      </c>
      <c r="B78" s="52">
        <f t="shared" si="9"/>
        <v>45962</v>
      </c>
      <c r="C78" s="1">
        <v>30</v>
      </c>
      <c r="D78" s="1" t="s">
        <v>57</v>
      </c>
      <c r="E78" s="56">
        <v>45989</v>
      </c>
      <c r="F78" s="2">
        <v>1597.718041666667</v>
      </c>
      <c r="G78" s="2">
        <v>514.36800000000005</v>
      </c>
      <c r="H78" s="2">
        <v>834.60599999999999</v>
      </c>
      <c r="I78" s="2"/>
      <c r="J78" s="2">
        <v>1250.0942500000001</v>
      </c>
      <c r="K78" s="2">
        <v>1822.517333333333</v>
      </c>
      <c r="L78" s="2">
        <v>2955.341041666667</v>
      </c>
      <c r="M78" s="2">
        <v>24.974208333333337</v>
      </c>
      <c r="N78" s="31">
        <f t="shared" si="10"/>
        <v>8999.6188750000001</v>
      </c>
      <c r="O78" s="1">
        <v>1500</v>
      </c>
      <c r="P78" s="2">
        <v>863.46531249999998</v>
      </c>
      <c r="Q78" s="2">
        <v>4994.1675000000005</v>
      </c>
      <c r="R78" s="2"/>
      <c r="S78" s="2">
        <v>1755</v>
      </c>
      <c r="T78" s="2">
        <v>0</v>
      </c>
      <c r="U78" s="2">
        <v>5235.3649999999971</v>
      </c>
      <c r="V78" s="2">
        <v>0</v>
      </c>
      <c r="W78" s="36">
        <f t="shared" si="13"/>
        <v>14347.997812499998</v>
      </c>
    </row>
    <row r="79" spans="1:23" hidden="1" x14ac:dyDescent="0.25">
      <c r="A79" s="1">
        <f t="shared" si="8"/>
        <v>2025</v>
      </c>
      <c r="B79" s="52">
        <f t="shared" si="9"/>
        <v>45962</v>
      </c>
      <c r="C79" s="1">
        <v>30</v>
      </c>
      <c r="D79" s="1" t="s">
        <v>51</v>
      </c>
      <c r="E79" s="56">
        <v>45990</v>
      </c>
      <c r="F79" s="2">
        <v>1234.0512083333335</v>
      </c>
      <c r="G79" s="2">
        <v>237.69041666666666</v>
      </c>
      <c r="H79" s="2">
        <v>466.438875</v>
      </c>
      <c r="I79" s="2"/>
      <c r="J79" s="2">
        <v>1248.1311666666666</v>
      </c>
      <c r="K79" s="2">
        <v>1586.6337083333335</v>
      </c>
      <c r="L79" s="2">
        <v>2351.8631666666665</v>
      </c>
      <c r="M79" s="2">
        <v>14.863958333333334</v>
      </c>
      <c r="N79" s="31">
        <f t="shared" si="10"/>
        <v>7139.6725000000006</v>
      </c>
      <c r="O79" s="1">
        <v>1500</v>
      </c>
      <c r="P79" s="2">
        <v>891.52656249999995</v>
      </c>
      <c r="Q79" s="2">
        <v>5008.9987500000007</v>
      </c>
      <c r="R79" s="2"/>
      <c r="S79" s="2">
        <v>1755</v>
      </c>
      <c r="T79" s="2">
        <v>0</v>
      </c>
      <c r="U79" s="2">
        <v>5243.8156666666628</v>
      </c>
      <c r="V79" s="2">
        <v>0</v>
      </c>
      <c r="W79" s="36">
        <f t="shared" si="13"/>
        <v>14399.340979166664</v>
      </c>
    </row>
    <row r="80" spans="1:23" hidden="1" x14ac:dyDescent="0.25">
      <c r="A80" s="1">
        <f t="shared" si="8"/>
        <v>2025</v>
      </c>
      <c r="B80" s="52">
        <f t="shared" si="9"/>
        <v>45962</v>
      </c>
      <c r="C80" s="1">
        <v>30</v>
      </c>
      <c r="D80" s="1" t="s">
        <v>52</v>
      </c>
      <c r="E80" s="56">
        <v>45991</v>
      </c>
      <c r="F80" s="2">
        <v>1311.5285416666668</v>
      </c>
      <c r="G80" s="2">
        <v>258.92070833333327</v>
      </c>
      <c r="H80" s="2">
        <v>465.05779166666667</v>
      </c>
      <c r="I80" s="2"/>
      <c r="J80" s="2">
        <v>1251.8702916666666</v>
      </c>
      <c r="K80" s="2">
        <v>1502.7802083333329</v>
      </c>
      <c r="L80" s="2">
        <v>1927.5080833333334</v>
      </c>
      <c r="M80" s="2">
        <v>13.580499999999999</v>
      </c>
      <c r="N80" s="31">
        <f t="shared" si="10"/>
        <v>6731.2461249999997</v>
      </c>
      <c r="O80" s="1">
        <v>1500</v>
      </c>
      <c r="P80" s="2">
        <v>919.27500000000009</v>
      </c>
      <c r="Q80" s="2">
        <v>5004.8206250000003</v>
      </c>
      <c r="R80" s="2"/>
      <c r="S80" s="2">
        <v>1755</v>
      </c>
      <c r="T80" s="2">
        <v>0</v>
      </c>
      <c r="U80" s="2">
        <v>5293.6499166666645</v>
      </c>
      <c r="V80" s="2">
        <v>0</v>
      </c>
      <c r="W80" s="36">
        <f t="shared" si="13"/>
        <v>14472.745541666663</v>
      </c>
    </row>
    <row r="81" spans="1:23" hidden="1" x14ac:dyDescent="0.25">
      <c r="A81" s="1">
        <f t="shared" si="8"/>
        <v>2025</v>
      </c>
      <c r="B81" s="52">
        <f t="shared" si="9"/>
        <v>45992</v>
      </c>
      <c r="C81" s="1">
        <v>31</v>
      </c>
      <c r="D81" s="1" t="s">
        <v>53</v>
      </c>
      <c r="E81" s="56">
        <v>45992</v>
      </c>
      <c r="F81" s="2">
        <v>1543.1345416666666</v>
      </c>
      <c r="G81" s="2">
        <v>297.02175000000005</v>
      </c>
      <c r="H81" s="2">
        <v>710.35729166666681</v>
      </c>
      <c r="I81" s="2"/>
      <c r="J81" s="2">
        <v>1254.3685</v>
      </c>
      <c r="K81" s="2">
        <v>1445.6410000000001</v>
      </c>
      <c r="L81" s="2">
        <v>2896.0006250000001</v>
      </c>
      <c r="M81" s="2">
        <v>14.364291666666665</v>
      </c>
      <c r="N81" s="31">
        <f t="shared" si="10"/>
        <v>8160.8880000000008</v>
      </c>
      <c r="O81" s="1">
        <v>1500</v>
      </c>
      <c r="P81" s="2">
        <v>910.875</v>
      </c>
      <c r="Q81" s="2">
        <v>5009.2831249999999</v>
      </c>
      <c r="R81" s="2"/>
      <c r="S81" s="2">
        <v>1755</v>
      </c>
      <c r="T81" s="2">
        <v>0</v>
      </c>
      <c r="U81" s="2">
        <v>5397.7739583333314</v>
      </c>
      <c r="V81" s="2">
        <v>0</v>
      </c>
      <c r="W81" s="36">
        <f t="shared" si="13"/>
        <v>14572.932083333331</v>
      </c>
    </row>
    <row r="82" spans="1:23" hidden="1" x14ac:dyDescent="0.25">
      <c r="A82" s="1">
        <f t="shared" si="8"/>
        <v>2025</v>
      </c>
      <c r="B82" s="52">
        <f t="shared" si="9"/>
        <v>45992</v>
      </c>
      <c r="C82" s="1">
        <v>31</v>
      </c>
      <c r="D82" s="1" t="s">
        <v>54</v>
      </c>
      <c r="E82" s="56">
        <v>45993</v>
      </c>
      <c r="F82" s="2">
        <v>1419.7370416666665</v>
      </c>
      <c r="G82" s="2">
        <v>265.26954166666661</v>
      </c>
      <c r="H82" s="2">
        <v>752.80133333333333</v>
      </c>
      <c r="I82" s="2"/>
      <c r="J82" s="2">
        <v>1253.2167083333334</v>
      </c>
      <c r="K82" s="2">
        <v>1792.8763333333338</v>
      </c>
      <c r="L82" s="2">
        <v>2960.3070416666669</v>
      </c>
      <c r="M82" s="2">
        <v>14.986500000000005</v>
      </c>
      <c r="N82" s="31">
        <f t="shared" si="10"/>
        <v>8459.1945000000014</v>
      </c>
      <c r="O82" s="1">
        <v>1500</v>
      </c>
      <c r="P82" s="2">
        <v>872.39753125000004</v>
      </c>
      <c r="Q82" s="2">
        <v>5007.9487500000005</v>
      </c>
      <c r="R82" s="2"/>
      <c r="S82" s="2">
        <v>1755</v>
      </c>
      <c r="T82" s="2">
        <v>0</v>
      </c>
      <c r="U82" s="2">
        <v>5677.3253749999958</v>
      </c>
      <c r="V82" s="2">
        <v>0</v>
      </c>
      <c r="W82" s="36">
        <f t="shared" si="13"/>
        <v>14812.671656249997</v>
      </c>
    </row>
    <row r="83" spans="1:23" hidden="1" x14ac:dyDescent="0.25">
      <c r="A83" s="1">
        <f t="shared" si="8"/>
        <v>2025</v>
      </c>
      <c r="B83" s="52">
        <f t="shared" si="9"/>
        <v>45992</v>
      </c>
      <c r="C83" s="1">
        <v>31</v>
      </c>
      <c r="D83" s="1" t="s">
        <v>55</v>
      </c>
      <c r="E83" s="56">
        <v>45994</v>
      </c>
      <c r="F83" s="2">
        <v>1462.6519583333336</v>
      </c>
      <c r="G83" s="2">
        <v>420.65945833333336</v>
      </c>
      <c r="H83" s="2">
        <v>1269.5496666666666</v>
      </c>
      <c r="I83" s="2"/>
      <c r="J83" s="2">
        <v>1246.5375833333335</v>
      </c>
      <c r="K83" s="2">
        <v>1610.4666249999993</v>
      </c>
      <c r="L83" s="2">
        <v>3220.3435000000013</v>
      </c>
      <c r="M83" s="2">
        <v>14.402541666666668</v>
      </c>
      <c r="N83" s="31">
        <f t="shared" si="10"/>
        <v>9244.6113333333342</v>
      </c>
      <c r="O83" s="1">
        <v>1500</v>
      </c>
      <c r="P83" s="2">
        <v>951.3984375</v>
      </c>
      <c r="Q83" s="2">
        <v>5007.161250000001</v>
      </c>
      <c r="R83" s="2"/>
      <c r="S83" s="2">
        <v>1755</v>
      </c>
      <c r="T83" s="2">
        <v>0</v>
      </c>
      <c r="U83" s="2">
        <v>5633.0941666666658</v>
      </c>
      <c r="V83" s="2">
        <v>0</v>
      </c>
      <c r="W83" s="36">
        <f t="shared" si="13"/>
        <v>14846.653854166667</v>
      </c>
    </row>
    <row r="84" spans="1:23" hidden="1" x14ac:dyDescent="0.25">
      <c r="A84" s="1">
        <f t="shared" si="8"/>
        <v>2025</v>
      </c>
      <c r="B84" s="52">
        <f t="shared" si="9"/>
        <v>45992</v>
      </c>
      <c r="C84" s="1">
        <v>31</v>
      </c>
      <c r="D84" s="1" t="s">
        <v>56</v>
      </c>
      <c r="E84" s="56">
        <v>45995</v>
      </c>
      <c r="F84" s="2">
        <v>1655.323875</v>
      </c>
      <c r="G84" s="2">
        <v>441.41066666666666</v>
      </c>
      <c r="H84" s="2">
        <v>1437.6097083333334</v>
      </c>
      <c r="I84" s="2"/>
      <c r="J84" s="2">
        <v>1244.6152916666665</v>
      </c>
      <c r="K84" s="2">
        <v>1682.1512083333346</v>
      </c>
      <c r="L84" s="2">
        <v>3538.275833333334</v>
      </c>
      <c r="M84" s="2">
        <v>14.220000000000004</v>
      </c>
      <c r="N84" s="31">
        <f t="shared" si="10"/>
        <v>10013.606583333336</v>
      </c>
      <c r="O84" s="1">
        <v>1500</v>
      </c>
      <c r="P84" s="2">
        <v>874.65000000000009</v>
      </c>
      <c r="Q84" s="2">
        <v>4984.4226250000011</v>
      </c>
      <c r="R84" s="2"/>
      <c r="S84" s="2">
        <v>1755</v>
      </c>
      <c r="T84" s="2">
        <v>0</v>
      </c>
      <c r="U84" s="2">
        <v>5651.4711666666672</v>
      </c>
      <c r="V84" s="2">
        <v>0</v>
      </c>
      <c r="W84" s="36">
        <f t="shared" si="13"/>
        <v>14765.543791666667</v>
      </c>
    </row>
    <row r="85" spans="1:23" hidden="1" x14ac:dyDescent="0.25">
      <c r="A85" s="1">
        <f t="shared" ref="A85:A111" si="14">YEAR(E85)</f>
        <v>2025</v>
      </c>
      <c r="B85" s="52">
        <f t="shared" ref="B85:B148" si="15">DATE(A85,MONTH(E85),1)</f>
        <v>45992</v>
      </c>
      <c r="C85" s="1">
        <v>31</v>
      </c>
      <c r="D85" s="1" t="s">
        <v>57</v>
      </c>
      <c r="E85" s="56">
        <v>45996</v>
      </c>
      <c r="F85" s="2">
        <v>1527.5263333333335</v>
      </c>
      <c r="G85" s="2">
        <v>487.70404166666668</v>
      </c>
      <c r="H85" s="2">
        <v>1667.521666666667</v>
      </c>
      <c r="I85" s="2"/>
      <c r="J85" s="2">
        <v>1242.5968333333333</v>
      </c>
      <c r="K85" s="2">
        <v>1764.6657916666663</v>
      </c>
      <c r="L85" s="2">
        <v>3727.0980833333338</v>
      </c>
      <c r="M85" s="2">
        <v>14.827041666666666</v>
      </c>
      <c r="N85" s="31">
        <f t="shared" ref="N85:N111" si="16">SUM(F85:M85)</f>
        <v>10431.939791666668</v>
      </c>
      <c r="O85" s="1">
        <v>1500</v>
      </c>
      <c r="P85" s="2">
        <v>876.22500000000002</v>
      </c>
      <c r="Q85" s="2">
        <v>5005.4112500000001</v>
      </c>
      <c r="R85" s="2"/>
      <c r="S85" s="2">
        <v>1755</v>
      </c>
      <c r="T85" s="2">
        <v>0</v>
      </c>
      <c r="U85" s="2">
        <v>5674.0604583333316</v>
      </c>
      <c r="V85" s="2">
        <v>0</v>
      </c>
      <c r="W85" s="36">
        <f t="shared" si="13"/>
        <v>14810.696708333331</v>
      </c>
    </row>
    <row r="86" spans="1:23" hidden="1" x14ac:dyDescent="0.25">
      <c r="A86" s="1">
        <f t="shared" si="14"/>
        <v>2025</v>
      </c>
      <c r="B86" s="52">
        <f t="shared" si="15"/>
        <v>45992</v>
      </c>
      <c r="C86" s="1">
        <v>31</v>
      </c>
      <c r="D86" s="1" t="s">
        <v>51</v>
      </c>
      <c r="E86" s="56">
        <v>45997</v>
      </c>
      <c r="F86" s="2">
        <v>1291.3694583333333</v>
      </c>
      <c r="G86" s="2">
        <v>325.41604166666667</v>
      </c>
      <c r="H86" s="2">
        <v>1252.2385833333335</v>
      </c>
      <c r="I86" s="2"/>
      <c r="J86" s="2">
        <v>1245.6211250000001</v>
      </c>
      <c r="K86" s="2">
        <v>1470.1383333333331</v>
      </c>
      <c r="L86" s="2">
        <v>4012.2507083333335</v>
      </c>
      <c r="M86" s="2">
        <v>14.825416666666666</v>
      </c>
      <c r="N86" s="31">
        <f t="shared" si="16"/>
        <v>9611.8596666666672</v>
      </c>
      <c r="O86" s="1">
        <v>1500</v>
      </c>
      <c r="P86" s="2">
        <v>865.2</v>
      </c>
      <c r="Q86" s="2">
        <v>4991.1050000000005</v>
      </c>
      <c r="R86" s="2"/>
      <c r="S86" s="2">
        <v>1755</v>
      </c>
      <c r="T86" s="2">
        <v>0</v>
      </c>
      <c r="U86" s="2">
        <v>5665.4701249999989</v>
      </c>
      <c r="V86" s="2">
        <v>0</v>
      </c>
      <c r="W86" s="36">
        <f t="shared" si="13"/>
        <v>14776.775125</v>
      </c>
    </row>
    <row r="87" spans="1:23" hidden="1" x14ac:dyDescent="0.25">
      <c r="A87" s="1">
        <f t="shared" si="14"/>
        <v>2025</v>
      </c>
      <c r="B87" s="52">
        <f t="shared" si="15"/>
        <v>45992</v>
      </c>
      <c r="C87" s="1">
        <v>31</v>
      </c>
      <c r="D87" s="1" t="s">
        <v>52</v>
      </c>
      <c r="E87" s="56">
        <v>45998</v>
      </c>
      <c r="F87" s="2">
        <v>1149.9842916666669</v>
      </c>
      <c r="G87" s="2">
        <v>181.58358333333339</v>
      </c>
      <c r="H87" s="2">
        <v>1067.1332083333334</v>
      </c>
      <c r="I87" s="2"/>
      <c r="J87" s="2">
        <v>1243.6445000000001</v>
      </c>
      <c r="K87" s="2">
        <v>1519.2406666666659</v>
      </c>
      <c r="L87" s="2">
        <v>3100.4873749999997</v>
      </c>
      <c r="M87" s="2">
        <v>6.55</v>
      </c>
      <c r="N87" s="31">
        <f t="shared" si="16"/>
        <v>8268.6236249999984</v>
      </c>
      <c r="O87" s="1">
        <v>1500</v>
      </c>
      <c r="P87" s="2">
        <v>865.2</v>
      </c>
      <c r="Q87" s="2">
        <v>4940.3388125000001</v>
      </c>
      <c r="R87" s="2"/>
      <c r="S87" s="2">
        <v>1755</v>
      </c>
      <c r="T87" s="2">
        <v>0</v>
      </c>
      <c r="U87" s="2">
        <v>5674.1582500000013</v>
      </c>
      <c r="V87" s="2">
        <v>0</v>
      </c>
      <c r="W87" s="36">
        <f t="shared" si="13"/>
        <v>14734.697062499999</v>
      </c>
    </row>
    <row r="88" spans="1:23" hidden="1" x14ac:dyDescent="0.25">
      <c r="A88" s="1">
        <f t="shared" si="14"/>
        <v>2025</v>
      </c>
      <c r="B88" s="52">
        <f t="shared" si="15"/>
        <v>45992</v>
      </c>
      <c r="C88" s="1">
        <v>31</v>
      </c>
      <c r="D88" s="1" t="s">
        <v>53</v>
      </c>
      <c r="E88" s="56">
        <v>45999</v>
      </c>
      <c r="F88" s="2">
        <v>1700.2416666666666</v>
      </c>
      <c r="G88" s="2">
        <v>182.07245833333332</v>
      </c>
      <c r="H88" s="2">
        <v>486.57441666666665</v>
      </c>
      <c r="I88" s="2"/>
      <c r="J88" s="2">
        <v>1246.5303749999998</v>
      </c>
      <c r="K88" s="2">
        <v>1600.2140416666664</v>
      </c>
      <c r="L88" s="2">
        <v>2106.2950416666667</v>
      </c>
      <c r="M88" s="2">
        <v>5.346916666666667</v>
      </c>
      <c r="N88" s="31">
        <f t="shared" si="16"/>
        <v>7327.2749166666663</v>
      </c>
      <c r="O88" s="1">
        <v>1500</v>
      </c>
      <c r="P88" s="2">
        <v>874.65000000000009</v>
      </c>
      <c r="Q88" s="2">
        <v>5024.8581250000007</v>
      </c>
      <c r="R88" s="2"/>
      <c r="S88" s="2">
        <v>1755</v>
      </c>
      <c r="T88" s="2">
        <v>0</v>
      </c>
      <c r="U88" s="2">
        <v>5695.1408749999982</v>
      </c>
      <c r="V88" s="2">
        <v>0</v>
      </c>
      <c r="W88" s="36">
        <f t="shared" si="13"/>
        <v>14849.648999999998</v>
      </c>
    </row>
    <row r="89" spans="1:23" hidden="1" x14ac:dyDescent="0.25">
      <c r="A89" s="1">
        <f t="shared" si="14"/>
        <v>2025</v>
      </c>
      <c r="B89" s="52">
        <f t="shared" si="15"/>
        <v>45992</v>
      </c>
      <c r="C89" s="1">
        <v>31</v>
      </c>
      <c r="D89" s="1" t="s">
        <v>54</v>
      </c>
      <c r="E89" s="56">
        <v>46000</v>
      </c>
      <c r="F89" s="2">
        <v>2093.6432916666668</v>
      </c>
      <c r="G89" s="2">
        <v>189.86504166666668</v>
      </c>
      <c r="H89" s="2">
        <v>831.16870833333337</v>
      </c>
      <c r="I89" s="2"/>
      <c r="J89" s="2">
        <v>1245.8935000000001</v>
      </c>
      <c r="K89" s="2">
        <v>1725.2800416666673</v>
      </c>
      <c r="L89" s="2">
        <v>2626.2211666666672</v>
      </c>
      <c r="M89" s="2">
        <v>11.610749999999999</v>
      </c>
      <c r="N89" s="31">
        <f t="shared" si="16"/>
        <v>8723.6825000000026</v>
      </c>
      <c r="O89" s="1">
        <v>1500</v>
      </c>
      <c r="P89" s="2">
        <v>882</v>
      </c>
      <c r="Q89" s="2">
        <v>4926.0378125000016</v>
      </c>
      <c r="R89" s="2"/>
      <c r="S89" s="2">
        <v>1755</v>
      </c>
      <c r="T89" s="2">
        <v>0</v>
      </c>
      <c r="U89" s="2">
        <v>5667.4435833333364</v>
      </c>
      <c r="V89" s="2">
        <v>0</v>
      </c>
      <c r="W89" s="36">
        <f t="shared" si="13"/>
        <v>14730.48139583334</v>
      </c>
    </row>
    <row r="90" spans="1:23" hidden="1" x14ac:dyDescent="0.25">
      <c r="A90" s="1">
        <f t="shared" si="14"/>
        <v>2025</v>
      </c>
      <c r="B90" s="52">
        <f t="shared" si="15"/>
        <v>45992</v>
      </c>
      <c r="C90" s="1">
        <v>31</v>
      </c>
      <c r="D90" s="1" t="s">
        <v>55</v>
      </c>
      <c r="E90" s="56">
        <v>46001</v>
      </c>
      <c r="F90" s="2">
        <v>2459.2632083333333</v>
      </c>
      <c r="G90" s="2">
        <v>297.03179166666666</v>
      </c>
      <c r="H90" s="2">
        <v>986.3996666666668</v>
      </c>
      <c r="I90" s="2"/>
      <c r="J90" s="2">
        <v>1245.2859583333334</v>
      </c>
      <c r="K90" s="2">
        <v>1534.8240416666674</v>
      </c>
      <c r="L90" s="2">
        <v>2786.9486666666667</v>
      </c>
      <c r="M90" s="2">
        <v>71.195541666666671</v>
      </c>
      <c r="N90" s="31">
        <f t="shared" si="16"/>
        <v>9380.948875</v>
      </c>
      <c r="O90" s="1">
        <v>1500</v>
      </c>
      <c r="P90" s="2">
        <v>879.14859375000015</v>
      </c>
      <c r="Q90" s="2">
        <v>4800.8651250000012</v>
      </c>
      <c r="R90" s="2"/>
      <c r="S90" s="2">
        <v>1755</v>
      </c>
      <c r="T90" s="2">
        <v>0</v>
      </c>
      <c r="U90" s="2">
        <v>5603.0996250000007</v>
      </c>
      <c r="V90" s="2">
        <v>0</v>
      </c>
      <c r="W90" s="36">
        <f t="shared" si="13"/>
        <v>14538.113343750001</v>
      </c>
    </row>
    <row r="91" spans="1:23" hidden="1" x14ac:dyDescent="0.25">
      <c r="A91" s="1">
        <f t="shared" si="14"/>
        <v>2025</v>
      </c>
      <c r="B91" s="52">
        <f t="shared" si="15"/>
        <v>45992</v>
      </c>
      <c r="C91" s="1">
        <v>31</v>
      </c>
      <c r="D91" s="1" t="s">
        <v>56</v>
      </c>
      <c r="E91" s="56">
        <v>46002</v>
      </c>
      <c r="F91" s="2">
        <v>2177.7776250000002</v>
      </c>
      <c r="G91" s="2">
        <v>212.680375</v>
      </c>
      <c r="H91" s="2">
        <v>851.56633333333343</v>
      </c>
      <c r="I91" s="2"/>
      <c r="J91" s="2">
        <v>1245.239</v>
      </c>
      <c r="K91" s="2">
        <v>1846.5661250000005</v>
      </c>
      <c r="L91" s="2">
        <v>3117.3401250000002</v>
      </c>
      <c r="M91" s="2">
        <v>11.45166666666667</v>
      </c>
      <c r="N91" s="31">
        <f t="shared" si="16"/>
        <v>9462.6212500000001</v>
      </c>
      <c r="O91" s="1">
        <v>1500</v>
      </c>
      <c r="P91" s="2">
        <v>881.61346875000004</v>
      </c>
      <c r="Q91" s="2">
        <v>5078.0655625000009</v>
      </c>
      <c r="R91" s="2"/>
      <c r="S91" s="2">
        <v>1755</v>
      </c>
      <c r="T91" s="2">
        <v>0</v>
      </c>
      <c r="U91" s="2">
        <v>5772.1297499999991</v>
      </c>
      <c r="V91" s="2">
        <v>0</v>
      </c>
      <c r="W91" s="36">
        <f t="shared" si="13"/>
        <v>14986.808781250002</v>
      </c>
    </row>
    <row r="92" spans="1:23" hidden="1" x14ac:dyDescent="0.25">
      <c r="A92" s="1">
        <f t="shared" si="14"/>
        <v>2025</v>
      </c>
      <c r="B92" s="52">
        <f t="shared" si="15"/>
        <v>45992</v>
      </c>
      <c r="C92" s="1">
        <v>31</v>
      </c>
      <c r="D92" s="1" t="s">
        <v>57</v>
      </c>
      <c r="E92" s="56">
        <v>46003</v>
      </c>
      <c r="F92" s="2">
        <v>2631.9222499999992</v>
      </c>
      <c r="G92" s="2">
        <v>178.58020833333333</v>
      </c>
      <c r="H92" s="2">
        <v>705.66879166666672</v>
      </c>
      <c r="I92" s="2"/>
      <c r="J92" s="2">
        <v>1246.639625</v>
      </c>
      <c r="K92" s="2">
        <v>2212.6735000000003</v>
      </c>
      <c r="L92" s="2">
        <v>3074.2145416666654</v>
      </c>
      <c r="M92" s="2">
        <v>303.29466666666667</v>
      </c>
      <c r="N92" s="31">
        <f t="shared" si="16"/>
        <v>10352.993583333331</v>
      </c>
      <c r="O92" s="1">
        <v>1500</v>
      </c>
      <c r="P92" s="2">
        <v>898.80000000000007</v>
      </c>
      <c r="Q92" s="2">
        <v>5280.4749375000001</v>
      </c>
      <c r="R92" s="2"/>
      <c r="S92" s="2">
        <v>1755</v>
      </c>
      <c r="T92" s="2">
        <v>0</v>
      </c>
      <c r="U92" s="2">
        <v>5757.6444166666652</v>
      </c>
      <c r="V92" s="2">
        <v>0</v>
      </c>
      <c r="W92" s="36">
        <f t="shared" si="13"/>
        <v>15191.919354166665</v>
      </c>
    </row>
    <row r="93" spans="1:23" hidden="1" x14ac:dyDescent="0.25">
      <c r="A93" s="1">
        <f t="shared" si="14"/>
        <v>2025</v>
      </c>
      <c r="B93" s="52">
        <f t="shared" si="15"/>
        <v>45992</v>
      </c>
      <c r="C93" s="1">
        <v>31</v>
      </c>
      <c r="D93" s="1" t="s">
        <v>51</v>
      </c>
      <c r="E93" s="56">
        <v>46004</v>
      </c>
      <c r="F93" s="2">
        <v>2578.3062500000001</v>
      </c>
      <c r="G93" s="2">
        <v>294.81608333333332</v>
      </c>
      <c r="H93" s="2">
        <v>449.36541666666676</v>
      </c>
      <c r="I93" s="2"/>
      <c r="J93" s="2">
        <v>1246.2311666666669</v>
      </c>
      <c r="K93" s="2">
        <v>2155.1178750000004</v>
      </c>
      <c r="L93" s="2">
        <v>3036.1975416666655</v>
      </c>
      <c r="M93" s="2">
        <v>156.09145833333332</v>
      </c>
      <c r="N93" s="31">
        <f t="shared" si="16"/>
        <v>9916.1257916666655</v>
      </c>
      <c r="O93" s="1">
        <v>1500</v>
      </c>
      <c r="P93" s="2">
        <v>904.05000000000007</v>
      </c>
      <c r="Q93" s="2">
        <v>5469.6862500000007</v>
      </c>
      <c r="R93" s="2"/>
      <c r="S93" s="2">
        <v>1755</v>
      </c>
      <c r="T93" s="2">
        <v>0</v>
      </c>
      <c r="U93" s="2">
        <v>5836.7704166666636</v>
      </c>
      <c r="V93" s="2">
        <v>0</v>
      </c>
      <c r="W93" s="36">
        <f t="shared" si="13"/>
        <v>15465.506666666664</v>
      </c>
    </row>
    <row r="94" spans="1:23" hidden="1" x14ac:dyDescent="0.25">
      <c r="A94" s="1">
        <f t="shared" si="14"/>
        <v>2025</v>
      </c>
      <c r="B94" s="52">
        <f t="shared" si="15"/>
        <v>45992</v>
      </c>
      <c r="C94" s="1">
        <v>31</v>
      </c>
      <c r="D94" s="1" t="s">
        <v>52</v>
      </c>
      <c r="E94" s="56">
        <v>46005</v>
      </c>
      <c r="F94" s="2">
        <v>1984.8219999999999</v>
      </c>
      <c r="G94" s="2">
        <v>251.27187500000005</v>
      </c>
      <c r="H94" s="2">
        <v>519.53241666666668</v>
      </c>
      <c r="I94" s="2"/>
      <c r="J94" s="2">
        <v>1245.2340416666668</v>
      </c>
      <c r="K94" s="2">
        <v>2116.4222083333329</v>
      </c>
      <c r="L94" s="2">
        <v>2095.0376249999999</v>
      </c>
      <c r="M94" s="2">
        <v>11.088458333333337</v>
      </c>
      <c r="N94" s="31">
        <f t="shared" si="16"/>
        <v>8223.4086249999982</v>
      </c>
      <c r="O94" s="1">
        <v>1500</v>
      </c>
      <c r="P94" s="2">
        <v>907.2</v>
      </c>
      <c r="Q94" s="2">
        <v>5471.8300000000008</v>
      </c>
      <c r="R94" s="2"/>
      <c r="S94" s="2">
        <v>1755</v>
      </c>
      <c r="T94" s="2">
        <v>0</v>
      </c>
      <c r="U94" s="2">
        <v>5767.2440833333321</v>
      </c>
      <c r="V94" s="2">
        <v>0</v>
      </c>
      <c r="W94" s="36">
        <f t="shared" si="13"/>
        <v>15401.274083333334</v>
      </c>
    </row>
    <row r="95" spans="1:23" hidden="1" x14ac:dyDescent="0.25">
      <c r="A95" s="1">
        <f t="shared" si="14"/>
        <v>2025</v>
      </c>
      <c r="B95" s="52">
        <f t="shared" si="15"/>
        <v>45992</v>
      </c>
      <c r="C95" s="1">
        <v>31</v>
      </c>
      <c r="D95" s="1" t="s">
        <v>53</v>
      </c>
      <c r="E95" s="56">
        <v>46006</v>
      </c>
      <c r="F95" s="2">
        <v>1393.0832499999999</v>
      </c>
      <c r="G95" s="2">
        <v>162.68079166666675</v>
      </c>
      <c r="H95" s="2">
        <v>458.96987500000017</v>
      </c>
      <c r="I95" s="2"/>
      <c r="J95" s="2">
        <v>1243.4399583333334</v>
      </c>
      <c r="K95" s="2">
        <v>1944.0365416666664</v>
      </c>
      <c r="L95" s="2">
        <v>2430.119125000002</v>
      </c>
      <c r="M95" s="2">
        <v>12.985958333333329</v>
      </c>
      <c r="N95" s="31">
        <f t="shared" si="16"/>
        <v>7645.3155000000024</v>
      </c>
      <c r="O95" s="1">
        <v>1500</v>
      </c>
      <c r="P95" s="2">
        <v>911.92500000000007</v>
      </c>
      <c r="Q95" s="2">
        <v>5469.598750000001</v>
      </c>
      <c r="R95" s="2"/>
      <c r="S95" s="2">
        <v>1755</v>
      </c>
      <c r="T95" s="2">
        <v>0</v>
      </c>
      <c r="U95" s="2">
        <v>5811.3840833333315</v>
      </c>
      <c r="V95" s="2">
        <v>0</v>
      </c>
      <c r="W95" s="36">
        <f t="shared" si="13"/>
        <v>15447.907833333331</v>
      </c>
    </row>
    <row r="96" spans="1:23" hidden="1" x14ac:dyDescent="0.25">
      <c r="A96" s="1">
        <f t="shared" si="14"/>
        <v>2025</v>
      </c>
      <c r="B96" s="52">
        <f t="shared" si="15"/>
        <v>45992</v>
      </c>
      <c r="C96" s="1">
        <v>31</v>
      </c>
      <c r="D96" s="1" t="s">
        <v>54</v>
      </c>
      <c r="E96" s="56">
        <v>46007</v>
      </c>
      <c r="F96" s="2">
        <v>1893.5816666666667</v>
      </c>
      <c r="G96" s="2">
        <v>183.09341666666671</v>
      </c>
      <c r="H96" s="2">
        <v>490.09474999999998</v>
      </c>
      <c r="I96" s="2"/>
      <c r="J96" s="2">
        <v>1245.6656250000001</v>
      </c>
      <c r="K96" s="2">
        <v>1627.7442083333337</v>
      </c>
      <c r="L96" s="2">
        <v>2497.0954166666675</v>
      </c>
      <c r="M96" s="2">
        <v>73.031999999999996</v>
      </c>
      <c r="N96" s="31">
        <f t="shared" si="16"/>
        <v>8010.3070833333359</v>
      </c>
      <c r="O96" s="1">
        <v>1500</v>
      </c>
      <c r="P96" s="2">
        <v>801.03296875000001</v>
      </c>
      <c r="Q96" s="2">
        <v>5469.7737500000003</v>
      </c>
      <c r="R96" s="2"/>
      <c r="S96" s="2">
        <v>1755</v>
      </c>
      <c r="T96" s="2">
        <v>0</v>
      </c>
      <c r="U96" s="2">
        <v>5842.4681249999967</v>
      </c>
      <c r="V96" s="2">
        <v>0</v>
      </c>
      <c r="W96" s="36">
        <f t="shared" si="13"/>
        <v>15368.274843749998</v>
      </c>
    </row>
    <row r="97" spans="1:23" hidden="1" x14ac:dyDescent="0.25">
      <c r="A97" s="1">
        <f t="shared" si="14"/>
        <v>2025</v>
      </c>
      <c r="B97" s="52">
        <f t="shared" si="15"/>
        <v>45992</v>
      </c>
      <c r="C97" s="1">
        <v>31</v>
      </c>
      <c r="D97" s="1" t="s">
        <v>55</v>
      </c>
      <c r="E97" s="56">
        <v>46008</v>
      </c>
      <c r="F97" s="2">
        <v>1879.6701666666665</v>
      </c>
      <c r="G97" s="2">
        <v>154.80504166666668</v>
      </c>
      <c r="H97" s="2">
        <v>618.75266666666676</v>
      </c>
      <c r="I97" s="2"/>
      <c r="J97" s="2">
        <v>1245.2272083333332</v>
      </c>
      <c r="K97" s="2">
        <v>2345.6252499999991</v>
      </c>
      <c r="L97" s="2">
        <v>2423.9019583333325</v>
      </c>
      <c r="M97" s="2">
        <v>12.050750000000003</v>
      </c>
      <c r="N97" s="31">
        <f t="shared" si="16"/>
        <v>8680.0330416666657</v>
      </c>
      <c r="O97" s="1">
        <v>1500</v>
      </c>
      <c r="P97" s="2">
        <v>789.50921875000006</v>
      </c>
      <c r="Q97" s="2">
        <v>5459.2986875000006</v>
      </c>
      <c r="R97" s="2"/>
      <c r="S97" s="2">
        <v>1755</v>
      </c>
      <c r="T97" s="2">
        <v>0</v>
      </c>
      <c r="U97" s="2">
        <v>5758.1138749999991</v>
      </c>
      <c r="V97" s="2">
        <v>0</v>
      </c>
      <c r="W97" s="36">
        <f t="shared" si="13"/>
        <v>15261.921781249999</v>
      </c>
    </row>
    <row r="98" spans="1:23" hidden="1" x14ac:dyDescent="0.25">
      <c r="A98" s="1">
        <f t="shared" si="14"/>
        <v>2025</v>
      </c>
      <c r="B98" s="52">
        <f t="shared" si="15"/>
        <v>45992</v>
      </c>
      <c r="C98" s="1">
        <v>31</v>
      </c>
      <c r="D98" s="1" t="s">
        <v>56</v>
      </c>
      <c r="E98" s="56">
        <v>46009</v>
      </c>
      <c r="F98" s="2">
        <v>1803.5030833333331</v>
      </c>
      <c r="G98" s="2">
        <v>344.56237499999997</v>
      </c>
      <c r="H98" s="2">
        <v>1141.7469583333332</v>
      </c>
      <c r="I98" s="2"/>
      <c r="J98" s="2">
        <v>1244.0606250000001</v>
      </c>
      <c r="K98" s="2">
        <v>1949.2579999999998</v>
      </c>
      <c r="L98" s="2">
        <v>2943.1365416666672</v>
      </c>
      <c r="M98" s="2">
        <v>14.067999999999996</v>
      </c>
      <c r="N98" s="31">
        <f t="shared" si="16"/>
        <v>9440.3355833333317</v>
      </c>
      <c r="O98" s="1">
        <v>1500</v>
      </c>
      <c r="P98" s="2">
        <v>967.46562500000005</v>
      </c>
      <c r="Q98" s="2">
        <v>5177.7624937500013</v>
      </c>
      <c r="R98" s="2"/>
      <c r="S98" s="2">
        <v>1755</v>
      </c>
      <c r="T98" s="2">
        <v>0</v>
      </c>
      <c r="U98" s="2">
        <v>5802.5777500000004</v>
      </c>
      <c r="V98" s="2">
        <v>0</v>
      </c>
      <c r="W98" s="36">
        <f t="shared" si="13"/>
        <v>15202.805868750002</v>
      </c>
    </row>
    <row r="99" spans="1:23" hidden="1" x14ac:dyDescent="0.25">
      <c r="A99" s="1">
        <f t="shared" si="14"/>
        <v>2025</v>
      </c>
      <c r="B99" s="52">
        <f t="shared" si="15"/>
        <v>45992</v>
      </c>
      <c r="C99" s="1">
        <v>31</v>
      </c>
      <c r="D99" s="1" t="s">
        <v>57</v>
      </c>
      <c r="E99" s="56">
        <v>46010</v>
      </c>
      <c r="F99" s="2">
        <v>1641.7124166666672</v>
      </c>
      <c r="G99" s="2">
        <v>517.79637500000013</v>
      </c>
      <c r="H99" s="2">
        <v>1237.0534583333333</v>
      </c>
      <c r="I99" s="2"/>
      <c r="J99" s="2">
        <v>1242.7235833333334</v>
      </c>
      <c r="K99" s="2">
        <v>1652.0861250000005</v>
      </c>
      <c r="L99" s="2">
        <v>3288.5660833333336</v>
      </c>
      <c r="M99" s="2">
        <v>14.473124999999998</v>
      </c>
      <c r="N99" s="31">
        <f t="shared" si="16"/>
        <v>9594.4111666666686</v>
      </c>
      <c r="O99" s="1">
        <v>1500</v>
      </c>
      <c r="P99" s="2">
        <v>912.60684375000005</v>
      </c>
      <c r="Q99" s="2">
        <v>5351.7616250000001</v>
      </c>
      <c r="R99" s="2"/>
      <c r="S99" s="2">
        <v>1755</v>
      </c>
      <c r="T99" s="2">
        <v>0</v>
      </c>
      <c r="U99" s="2">
        <v>5784.445291666666</v>
      </c>
      <c r="V99" s="2">
        <v>0</v>
      </c>
      <c r="W99" s="36">
        <f t="shared" si="13"/>
        <v>15303.813760416666</v>
      </c>
    </row>
    <row r="100" spans="1:23" hidden="1" x14ac:dyDescent="0.25">
      <c r="A100" s="1">
        <f t="shared" si="14"/>
        <v>2025</v>
      </c>
      <c r="B100" s="52">
        <f t="shared" si="15"/>
        <v>45992</v>
      </c>
      <c r="C100" s="1">
        <v>31</v>
      </c>
      <c r="D100" s="1" t="s">
        <v>51</v>
      </c>
      <c r="E100" s="56">
        <v>46011</v>
      </c>
      <c r="F100" s="2">
        <v>1404.5587083333332</v>
      </c>
      <c r="G100" s="2">
        <v>248.99179166666673</v>
      </c>
      <c r="H100" s="2">
        <v>639.19820833333335</v>
      </c>
      <c r="I100" s="2"/>
      <c r="J100" s="2">
        <v>1244.5940833333332</v>
      </c>
      <c r="K100" s="2">
        <v>1660.4334166666656</v>
      </c>
      <c r="L100" s="2">
        <v>2917.8317500000003</v>
      </c>
      <c r="M100" s="2">
        <v>101.31400000000001</v>
      </c>
      <c r="N100" s="31">
        <f t="shared" si="16"/>
        <v>8216.9219583333324</v>
      </c>
      <c r="O100" s="1">
        <v>1500</v>
      </c>
      <c r="P100" s="2">
        <v>924</v>
      </c>
      <c r="Q100" s="2">
        <v>5357.2925000000005</v>
      </c>
      <c r="R100" s="2"/>
      <c r="S100" s="2">
        <v>1755</v>
      </c>
      <c r="T100" s="2">
        <v>0</v>
      </c>
      <c r="U100" s="2">
        <v>5786.5111249999982</v>
      </c>
      <c r="V100" s="2">
        <v>0</v>
      </c>
      <c r="W100" s="36">
        <f t="shared" si="13"/>
        <v>15322.803624999997</v>
      </c>
    </row>
    <row r="101" spans="1:23" hidden="1" x14ac:dyDescent="0.25">
      <c r="A101" s="1">
        <f t="shared" si="14"/>
        <v>2025</v>
      </c>
      <c r="B101" s="52">
        <f t="shared" si="15"/>
        <v>45992</v>
      </c>
      <c r="C101" s="1">
        <v>31</v>
      </c>
      <c r="D101" s="1" t="s">
        <v>52</v>
      </c>
      <c r="E101" s="56">
        <v>46012</v>
      </c>
      <c r="F101" s="2">
        <v>1397.3838750000002</v>
      </c>
      <c r="G101" s="2">
        <v>182.78454166666666</v>
      </c>
      <c r="H101" s="2">
        <v>528.4167083333333</v>
      </c>
      <c r="I101" s="2"/>
      <c r="J101" s="2">
        <v>1240.2298333333333</v>
      </c>
      <c r="K101" s="2">
        <v>2037.2983333333332</v>
      </c>
      <c r="L101" s="2">
        <v>2489.4086666666662</v>
      </c>
      <c r="M101" s="2">
        <v>12.033416666666669</v>
      </c>
      <c r="N101" s="31">
        <f t="shared" si="16"/>
        <v>7887.5553749999999</v>
      </c>
      <c r="O101" s="1">
        <v>1500</v>
      </c>
      <c r="P101" s="2">
        <v>921.375</v>
      </c>
      <c r="Q101" s="2">
        <v>5410.8753125000003</v>
      </c>
      <c r="R101" s="2"/>
      <c r="S101" s="2">
        <v>1755</v>
      </c>
      <c r="T101" s="2">
        <v>0</v>
      </c>
      <c r="U101" s="2">
        <v>5650.0290833333311</v>
      </c>
      <c r="V101" s="2">
        <v>0</v>
      </c>
      <c r="W101" s="36">
        <f t="shared" si="13"/>
        <v>15237.279395833331</v>
      </c>
    </row>
    <row r="102" spans="1:23" hidden="1" x14ac:dyDescent="0.25">
      <c r="A102" s="1">
        <f t="shared" si="14"/>
        <v>2025</v>
      </c>
      <c r="B102" s="52">
        <f t="shared" si="15"/>
        <v>45992</v>
      </c>
      <c r="C102" s="1">
        <v>31</v>
      </c>
      <c r="D102" s="1" t="s">
        <v>53</v>
      </c>
      <c r="E102" s="56">
        <v>46013</v>
      </c>
      <c r="F102" s="2">
        <v>1932.1933333333329</v>
      </c>
      <c r="G102" s="2">
        <v>369.80016666666671</v>
      </c>
      <c r="H102" s="2">
        <v>466.78162499999996</v>
      </c>
      <c r="I102" s="2"/>
      <c r="J102" s="2">
        <v>1240.9572083333335</v>
      </c>
      <c r="K102" s="2">
        <v>1994.5603333333345</v>
      </c>
      <c r="L102" s="2">
        <v>2658.4148750000004</v>
      </c>
      <c r="M102" s="2">
        <v>13.74495833333334</v>
      </c>
      <c r="N102" s="31">
        <f t="shared" si="16"/>
        <v>8676.4525000000012</v>
      </c>
      <c r="O102" s="1">
        <v>1500</v>
      </c>
      <c r="P102" s="2">
        <v>904.44484375000013</v>
      </c>
      <c r="Q102" s="2">
        <v>5467.5643750000008</v>
      </c>
      <c r="R102" s="2"/>
      <c r="S102" s="2">
        <v>1755</v>
      </c>
      <c r="T102" s="2">
        <v>0</v>
      </c>
      <c r="U102" s="2">
        <v>5632.4060833333297</v>
      </c>
      <c r="V102" s="2">
        <v>0</v>
      </c>
      <c r="W102" s="36">
        <f t="shared" si="13"/>
        <v>15259.415302083331</v>
      </c>
    </row>
    <row r="103" spans="1:23" hidden="1" x14ac:dyDescent="0.25">
      <c r="A103" s="1">
        <f t="shared" si="14"/>
        <v>2025</v>
      </c>
      <c r="B103" s="52">
        <f t="shared" si="15"/>
        <v>45992</v>
      </c>
      <c r="C103" s="1">
        <v>31</v>
      </c>
      <c r="D103" s="1" t="s">
        <v>54</v>
      </c>
      <c r="E103" s="56">
        <v>46014</v>
      </c>
      <c r="F103" s="2">
        <v>2513.7868749999993</v>
      </c>
      <c r="G103" s="2">
        <v>491.69120833333341</v>
      </c>
      <c r="H103" s="2">
        <v>734.76112499999999</v>
      </c>
      <c r="I103" s="2"/>
      <c r="J103" s="2">
        <v>1242.2952500000001</v>
      </c>
      <c r="K103" s="2">
        <v>2142.9225833333344</v>
      </c>
      <c r="L103" s="2">
        <v>3077.2984583333341</v>
      </c>
      <c r="M103" s="2">
        <v>16.04054166666667</v>
      </c>
      <c r="N103" s="31">
        <f t="shared" si="16"/>
        <v>10218.796041666668</v>
      </c>
      <c r="O103" s="1">
        <v>1500</v>
      </c>
      <c r="P103" s="2">
        <v>887.05771875000005</v>
      </c>
      <c r="Q103" s="2">
        <v>5458.5737500000014</v>
      </c>
      <c r="R103" s="2"/>
      <c r="S103" s="2">
        <v>1755</v>
      </c>
      <c r="T103" s="2">
        <v>0</v>
      </c>
      <c r="U103" s="2">
        <v>5790.130874999998</v>
      </c>
      <c r="V103" s="2">
        <v>0</v>
      </c>
      <c r="W103" s="36">
        <f t="shared" si="13"/>
        <v>15390.762343750001</v>
      </c>
    </row>
    <row r="104" spans="1:23" hidden="1" x14ac:dyDescent="0.25">
      <c r="A104" s="1">
        <f t="shared" si="14"/>
        <v>2025</v>
      </c>
      <c r="B104" s="52">
        <f t="shared" si="15"/>
        <v>45992</v>
      </c>
      <c r="C104" s="1">
        <v>31</v>
      </c>
      <c r="D104" s="1" t="s">
        <v>55</v>
      </c>
      <c r="E104" s="56">
        <v>46015</v>
      </c>
      <c r="F104" s="2">
        <v>2640.4254166666669</v>
      </c>
      <c r="G104" s="2">
        <v>692.31366666666679</v>
      </c>
      <c r="H104" s="2">
        <v>580.47820833333333</v>
      </c>
      <c r="I104" s="2"/>
      <c r="J104" s="2">
        <v>1240.1839166666666</v>
      </c>
      <c r="K104" s="2">
        <v>2137.979208333335</v>
      </c>
      <c r="L104" s="2">
        <v>2917.0640833333323</v>
      </c>
      <c r="M104" s="2">
        <v>16.707333333333334</v>
      </c>
      <c r="N104" s="31">
        <f t="shared" si="16"/>
        <v>10225.151833333335</v>
      </c>
      <c r="O104" s="1">
        <v>1500</v>
      </c>
      <c r="P104" s="2">
        <v>878.85</v>
      </c>
      <c r="Q104" s="2">
        <v>5467.958125000001</v>
      </c>
      <c r="R104" s="2"/>
      <c r="S104" s="2">
        <v>1755</v>
      </c>
      <c r="T104" s="2">
        <v>0</v>
      </c>
      <c r="U104" s="2">
        <v>5793.5229999999992</v>
      </c>
      <c r="V104" s="2">
        <v>0</v>
      </c>
      <c r="W104" s="36">
        <f t="shared" si="13"/>
        <v>15395.331125000001</v>
      </c>
    </row>
    <row r="105" spans="1:23" hidden="1" x14ac:dyDescent="0.25">
      <c r="A105" s="1">
        <f t="shared" si="14"/>
        <v>2025</v>
      </c>
      <c r="B105" s="52">
        <f t="shared" si="15"/>
        <v>45992</v>
      </c>
      <c r="C105" s="1">
        <v>31</v>
      </c>
      <c r="D105" s="1" t="s">
        <v>56</v>
      </c>
      <c r="E105" s="56">
        <v>46016</v>
      </c>
      <c r="F105" s="2">
        <v>1813.5955416666668</v>
      </c>
      <c r="G105" s="2">
        <v>560.52554166666675</v>
      </c>
      <c r="H105" s="2">
        <v>355.56079166666666</v>
      </c>
      <c r="I105" s="2"/>
      <c r="J105" s="2">
        <v>1240.3897916666665</v>
      </c>
      <c r="K105" s="2">
        <v>1687.5424999999993</v>
      </c>
      <c r="L105" s="2">
        <v>2007.1320000000001</v>
      </c>
      <c r="M105" s="2">
        <v>15.769750000000004</v>
      </c>
      <c r="N105" s="31">
        <f t="shared" si="16"/>
        <v>7680.5159166666663</v>
      </c>
      <c r="O105" s="1">
        <v>1500</v>
      </c>
      <c r="P105" s="2">
        <v>874.65000000000009</v>
      </c>
      <c r="Q105" s="2">
        <v>5415.9175000000014</v>
      </c>
      <c r="R105" s="2"/>
      <c r="S105" s="2">
        <v>1755</v>
      </c>
      <c r="T105" s="2">
        <v>0</v>
      </c>
      <c r="U105" s="2">
        <v>5740.2444583333317</v>
      </c>
      <c r="V105" s="2">
        <v>0</v>
      </c>
      <c r="W105" s="36">
        <f t="shared" si="13"/>
        <v>15285.811958333332</v>
      </c>
    </row>
    <row r="106" spans="1:23" hidden="1" x14ac:dyDescent="0.25">
      <c r="A106" s="1">
        <f t="shared" si="14"/>
        <v>2025</v>
      </c>
      <c r="B106" s="52">
        <f t="shared" si="15"/>
        <v>45992</v>
      </c>
      <c r="C106" s="1">
        <v>31</v>
      </c>
      <c r="D106" s="1" t="s">
        <v>57</v>
      </c>
      <c r="E106" s="56">
        <v>46017</v>
      </c>
      <c r="F106" s="2">
        <v>1819.0536249999998</v>
      </c>
      <c r="G106" s="2">
        <v>733.73416666666674</v>
      </c>
      <c r="H106" s="2">
        <v>924.39325000000008</v>
      </c>
      <c r="I106" s="2"/>
      <c r="J106" s="2">
        <v>1239.4351250000002</v>
      </c>
      <c r="K106" s="2">
        <v>2251.2038333333339</v>
      </c>
      <c r="L106" s="2">
        <v>2687.2489166666674</v>
      </c>
      <c r="M106" s="2">
        <v>19.167666666666662</v>
      </c>
      <c r="N106" s="31">
        <f t="shared" si="16"/>
        <v>9674.2365833333333</v>
      </c>
      <c r="O106" s="1">
        <v>1500</v>
      </c>
      <c r="P106" s="2">
        <v>882</v>
      </c>
      <c r="Q106" s="2">
        <v>5284.755000000001</v>
      </c>
      <c r="R106" s="2"/>
      <c r="S106" s="2">
        <v>1755</v>
      </c>
      <c r="T106" s="2">
        <v>0</v>
      </c>
      <c r="U106" s="2">
        <v>5726.0463749999981</v>
      </c>
      <c r="V106" s="2">
        <v>0</v>
      </c>
      <c r="W106" s="36">
        <f t="shared" si="13"/>
        <v>15147.801374999999</v>
      </c>
    </row>
    <row r="107" spans="1:23" hidden="1" x14ac:dyDescent="0.25">
      <c r="A107" s="1">
        <f t="shared" si="14"/>
        <v>2025</v>
      </c>
      <c r="B107" s="52">
        <f t="shared" si="15"/>
        <v>45992</v>
      </c>
      <c r="C107" s="1">
        <v>31</v>
      </c>
      <c r="D107" s="1" t="s">
        <v>51</v>
      </c>
      <c r="E107" s="56">
        <v>46018</v>
      </c>
      <c r="F107" s="2">
        <v>1670.4102500000001</v>
      </c>
      <c r="G107" s="2">
        <v>616.27183333333335</v>
      </c>
      <c r="H107" s="2">
        <v>939.12666666666678</v>
      </c>
      <c r="I107" s="2"/>
      <c r="J107" s="2">
        <v>1237.4142083333334</v>
      </c>
      <c r="K107" s="2">
        <v>1947.25575</v>
      </c>
      <c r="L107" s="2">
        <v>3094.8378750000002</v>
      </c>
      <c r="M107" s="2">
        <v>20.829875000000005</v>
      </c>
      <c r="N107" s="31">
        <f t="shared" si="16"/>
        <v>9526.1464583333327</v>
      </c>
      <c r="O107" s="1">
        <v>1500</v>
      </c>
      <c r="P107" s="2">
        <v>888.82500000000005</v>
      </c>
      <c r="Q107" s="2">
        <v>5470.3643750000001</v>
      </c>
      <c r="R107" s="2"/>
      <c r="S107" s="2">
        <v>1755</v>
      </c>
      <c r="T107" s="2">
        <v>0</v>
      </c>
      <c r="U107" s="2">
        <v>5647.8057916666648</v>
      </c>
      <c r="V107" s="2">
        <v>0</v>
      </c>
      <c r="W107" s="36">
        <f t="shared" si="13"/>
        <v>15261.995166666664</v>
      </c>
    </row>
    <row r="108" spans="1:23" hidden="1" x14ac:dyDescent="0.25">
      <c r="A108" s="1">
        <f t="shared" si="14"/>
        <v>2025</v>
      </c>
      <c r="B108" s="52">
        <f t="shared" si="15"/>
        <v>45992</v>
      </c>
      <c r="C108" s="1">
        <v>31</v>
      </c>
      <c r="D108" s="1" t="s">
        <v>52</v>
      </c>
      <c r="E108" s="56">
        <v>46019</v>
      </c>
      <c r="F108" s="2">
        <v>1354.32375</v>
      </c>
      <c r="G108" s="2">
        <v>406.19533333333339</v>
      </c>
      <c r="H108" s="2">
        <v>572.68454166666675</v>
      </c>
      <c r="I108" s="2"/>
      <c r="J108" s="2">
        <v>1236.9591250000003</v>
      </c>
      <c r="K108" s="2">
        <v>1723.797708333333</v>
      </c>
      <c r="L108" s="2">
        <v>2654.199333333333</v>
      </c>
      <c r="M108" s="2">
        <v>63.344083333333344</v>
      </c>
      <c r="N108" s="31">
        <f t="shared" si="16"/>
        <v>8011.5038749999994</v>
      </c>
      <c r="O108" s="1">
        <v>1500</v>
      </c>
      <c r="P108" s="2">
        <v>897.75</v>
      </c>
      <c r="Q108" s="2">
        <v>5472.1936500000002</v>
      </c>
      <c r="R108" s="2"/>
      <c r="S108" s="2">
        <v>1755</v>
      </c>
      <c r="T108" s="2">
        <v>0</v>
      </c>
      <c r="U108" s="2">
        <v>5830.7556666666624</v>
      </c>
      <c r="V108" s="2">
        <v>0</v>
      </c>
      <c r="W108" s="36">
        <f t="shared" si="13"/>
        <v>15455.699316666663</v>
      </c>
    </row>
    <row r="109" spans="1:23" hidden="1" x14ac:dyDescent="0.25">
      <c r="A109" s="1">
        <f t="shared" si="14"/>
        <v>2025</v>
      </c>
      <c r="B109" s="52">
        <f t="shared" si="15"/>
        <v>45992</v>
      </c>
      <c r="C109" s="1">
        <v>31</v>
      </c>
      <c r="D109" s="1" t="s">
        <v>53</v>
      </c>
      <c r="E109" s="56">
        <v>46020</v>
      </c>
      <c r="F109" s="2">
        <v>1482.7790833333338</v>
      </c>
      <c r="G109" s="2">
        <v>626.7814166666667</v>
      </c>
      <c r="H109" s="2">
        <v>789.97816666666688</v>
      </c>
      <c r="I109" s="2"/>
      <c r="J109" s="2">
        <v>1235.3669999999997</v>
      </c>
      <c r="K109" s="2">
        <v>1973.3080833333338</v>
      </c>
      <c r="L109" s="2">
        <v>3175.7370000000005</v>
      </c>
      <c r="M109" s="2">
        <v>808.6581666666666</v>
      </c>
      <c r="N109" s="31">
        <f t="shared" si="16"/>
        <v>10092.608916666668</v>
      </c>
      <c r="O109" s="1">
        <v>1500</v>
      </c>
      <c r="P109" s="2">
        <v>918.22500000000002</v>
      </c>
      <c r="Q109" s="2">
        <v>5463.5311500000007</v>
      </c>
      <c r="R109" s="2"/>
      <c r="S109" s="2">
        <v>1755</v>
      </c>
      <c r="T109" s="2">
        <v>0</v>
      </c>
      <c r="U109" s="2">
        <v>5775.3714166666659</v>
      </c>
      <c r="V109" s="2">
        <v>0</v>
      </c>
      <c r="W109" s="36">
        <f t="shared" si="13"/>
        <v>15412.127566666666</v>
      </c>
    </row>
    <row r="110" spans="1:23" hidden="1" x14ac:dyDescent="0.25">
      <c r="A110" s="1">
        <f t="shared" si="14"/>
        <v>2025</v>
      </c>
      <c r="B110" s="52">
        <f t="shared" si="15"/>
        <v>45992</v>
      </c>
      <c r="C110" s="1">
        <v>31</v>
      </c>
      <c r="D110" s="1" t="s">
        <v>54</v>
      </c>
      <c r="E110" s="56">
        <v>46021</v>
      </c>
      <c r="F110" s="2">
        <v>1855.6272916666665</v>
      </c>
      <c r="G110" s="2">
        <v>821.32925000000012</v>
      </c>
      <c r="H110" s="2">
        <v>891.81529166666678</v>
      </c>
      <c r="I110" s="2"/>
      <c r="J110" s="2">
        <v>1233.6499583333334</v>
      </c>
      <c r="K110" s="2">
        <v>1903.3257083333338</v>
      </c>
      <c r="L110" s="2">
        <v>3857.2152916666673</v>
      </c>
      <c r="M110" s="2">
        <v>298.55108333333334</v>
      </c>
      <c r="N110" s="31">
        <f t="shared" si="16"/>
        <v>10861.513875000002</v>
      </c>
      <c r="O110" s="1">
        <v>1500</v>
      </c>
      <c r="P110" s="2">
        <v>931.35</v>
      </c>
      <c r="Q110" s="2">
        <v>5475.4311500000003</v>
      </c>
      <c r="R110" s="2"/>
      <c r="S110" s="2">
        <v>1755</v>
      </c>
      <c r="T110" s="2">
        <v>0</v>
      </c>
      <c r="U110" s="2">
        <v>5980.1426666666639</v>
      </c>
      <c r="V110" s="2">
        <v>0</v>
      </c>
      <c r="W110" s="36">
        <f t="shared" si="13"/>
        <v>15641.923816666666</v>
      </c>
    </row>
    <row r="111" spans="1:23" hidden="1" x14ac:dyDescent="0.25">
      <c r="A111" s="1">
        <f t="shared" si="14"/>
        <v>2025</v>
      </c>
      <c r="B111" s="52">
        <f t="shared" si="15"/>
        <v>45992</v>
      </c>
      <c r="C111" s="1">
        <v>31</v>
      </c>
      <c r="D111" s="1" t="s">
        <v>55</v>
      </c>
      <c r="E111" s="56">
        <v>46022</v>
      </c>
      <c r="F111" s="2">
        <v>1912.3788333333339</v>
      </c>
      <c r="G111" s="2">
        <v>850.08145833333344</v>
      </c>
      <c r="H111" s="2">
        <v>891.59854166666673</v>
      </c>
      <c r="I111" s="2"/>
      <c r="J111" s="2">
        <v>1231.8575833333334</v>
      </c>
      <c r="K111" s="2">
        <v>1902.3185833333346</v>
      </c>
      <c r="L111" s="2">
        <v>3806.3924583333328</v>
      </c>
      <c r="M111" s="2">
        <v>151.15087500000001</v>
      </c>
      <c r="N111" s="31">
        <f t="shared" si="16"/>
        <v>10745.778333333334</v>
      </c>
      <c r="O111" s="1">
        <v>1500</v>
      </c>
      <c r="P111" s="2">
        <v>939.75</v>
      </c>
      <c r="Q111" s="2">
        <v>5450.1874000000007</v>
      </c>
      <c r="R111" s="2"/>
      <c r="S111" s="2">
        <v>1755</v>
      </c>
      <c r="T111" s="2">
        <v>0</v>
      </c>
      <c r="U111" s="2">
        <v>5739.5254583333326</v>
      </c>
      <c r="V111" s="2">
        <v>0</v>
      </c>
      <c r="W111" s="36">
        <f t="shared" si="13"/>
        <v>15384.462858333332</v>
      </c>
    </row>
    <row r="112" spans="1:23" hidden="1" x14ac:dyDescent="0.25">
      <c r="A112" s="1">
        <v>2026</v>
      </c>
      <c r="B112" s="52">
        <f t="shared" si="15"/>
        <v>46023</v>
      </c>
      <c r="C112" s="1">
        <v>31</v>
      </c>
      <c r="D112" s="1" t="s">
        <v>56</v>
      </c>
      <c r="E112" s="5">
        <v>46023</v>
      </c>
      <c r="F112" s="107">
        <v>1556.8487500000001</v>
      </c>
      <c r="G112" s="107">
        <v>861.79216666666662</v>
      </c>
      <c r="H112" s="107">
        <v>487.26512500000001</v>
      </c>
      <c r="I112" s="107"/>
      <c r="J112" s="107">
        <v>1231.6482499999997</v>
      </c>
      <c r="K112" s="107">
        <v>1857.0480416666664</v>
      </c>
      <c r="L112" s="107">
        <v>2585.6082916666664</v>
      </c>
      <c r="M112" s="107">
        <v>170.32708333333335</v>
      </c>
      <c r="N112" s="108">
        <f>+SUM(F112:M112)</f>
        <v>8750.5377083333333</v>
      </c>
      <c r="O112" s="1">
        <v>1500</v>
      </c>
      <c r="P112" s="107">
        <v>943.95</v>
      </c>
      <c r="Q112" s="107">
        <v>5470.3123999999998</v>
      </c>
      <c r="R112" s="107"/>
      <c r="S112" s="107">
        <v>1755</v>
      </c>
      <c r="T112" s="107">
        <v>0</v>
      </c>
      <c r="U112" s="107">
        <v>5764.7307083333317</v>
      </c>
      <c r="V112" s="107">
        <v>0</v>
      </c>
      <c r="W112" s="109">
        <f t="shared" si="13"/>
        <v>15433.993108333332</v>
      </c>
    </row>
    <row r="113" spans="1:23" hidden="1" x14ac:dyDescent="0.25">
      <c r="A113" s="1">
        <v>2026</v>
      </c>
      <c r="B113" s="52">
        <f t="shared" si="15"/>
        <v>46023</v>
      </c>
      <c r="C113" s="1">
        <v>31</v>
      </c>
      <c r="D113" s="1" t="s">
        <v>57</v>
      </c>
      <c r="E113" s="5">
        <v>46024</v>
      </c>
      <c r="F113" s="107">
        <v>1521.4055416666667</v>
      </c>
      <c r="G113" s="107">
        <v>820.88220833333332</v>
      </c>
      <c r="H113" s="107">
        <v>808.38504166666655</v>
      </c>
      <c r="I113" s="107"/>
      <c r="J113" s="107">
        <v>1236.3631249999999</v>
      </c>
      <c r="K113" s="107">
        <v>1744.4352500000011</v>
      </c>
      <c r="L113" s="107">
        <v>2711.1392083333344</v>
      </c>
      <c r="M113" s="107">
        <v>59.266333333333336</v>
      </c>
      <c r="N113" s="108">
        <f t="shared" ref="N113:N176" si="17">+SUM(F113:M113)</f>
        <v>8901.876708333335</v>
      </c>
      <c r="O113" s="1">
        <v>1500</v>
      </c>
      <c r="P113" s="107">
        <v>951.82500000000005</v>
      </c>
      <c r="Q113" s="107">
        <v>5464.9486500000003</v>
      </c>
      <c r="R113" s="107"/>
      <c r="S113" s="107">
        <v>1755</v>
      </c>
      <c r="T113" s="107">
        <v>0</v>
      </c>
      <c r="U113" s="107">
        <v>5786.9704583333323</v>
      </c>
      <c r="V113" s="107">
        <v>0</v>
      </c>
      <c r="W113" s="109">
        <f t="shared" si="13"/>
        <v>15458.744108333332</v>
      </c>
    </row>
    <row r="114" spans="1:23" hidden="1" x14ac:dyDescent="0.25">
      <c r="A114" s="1">
        <v>2026</v>
      </c>
      <c r="B114" s="52">
        <f t="shared" si="15"/>
        <v>46023</v>
      </c>
      <c r="C114" s="1">
        <v>31</v>
      </c>
      <c r="D114" s="1" t="s">
        <v>51</v>
      </c>
      <c r="E114" s="5">
        <v>46025</v>
      </c>
      <c r="F114" s="107">
        <v>1515.4548750000001</v>
      </c>
      <c r="G114" s="107">
        <v>793.04625000000021</v>
      </c>
      <c r="H114" s="107">
        <v>632.36370833333331</v>
      </c>
      <c r="I114" s="107"/>
      <c r="J114" s="107">
        <v>1236.869791666667</v>
      </c>
      <c r="K114" s="107">
        <v>1345.6653333333336</v>
      </c>
      <c r="L114" s="107">
        <v>1950.5775833333335</v>
      </c>
      <c r="M114" s="107">
        <v>92.296999999999997</v>
      </c>
      <c r="N114" s="108">
        <f t="shared" si="17"/>
        <v>7566.2745416666676</v>
      </c>
      <c r="O114" s="1">
        <v>1500</v>
      </c>
      <c r="P114" s="107">
        <v>861</v>
      </c>
      <c r="Q114" s="107">
        <v>5479.0186500000009</v>
      </c>
      <c r="R114" s="107"/>
      <c r="S114" s="107">
        <v>1755</v>
      </c>
      <c r="T114" s="107">
        <v>0</v>
      </c>
      <c r="U114" s="107">
        <v>5833.9047499999988</v>
      </c>
      <c r="V114" s="107">
        <v>0</v>
      </c>
      <c r="W114" s="109">
        <f>+SUM(O114:V114)</f>
        <v>15428.9234</v>
      </c>
    </row>
    <row r="115" spans="1:23" hidden="1" x14ac:dyDescent="0.25">
      <c r="A115" s="1">
        <v>2026</v>
      </c>
      <c r="B115" s="52">
        <f t="shared" si="15"/>
        <v>46023</v>
      </c>
      <c r="C115" s="1">
        <v>31</v>
      </c>
      <c r="D115" s="1" t="s">
        <v>52</v>
      </c>
      <c r="E115" s="5">
        <v>46026</v>
      </c>
      <c r="F115" s="107">
        <v>2017.7593749999999</v>
      </c>
      <c r="G115" s="107">
        <v>793.27370833333327</v>
      </c>
      <c r="H115" s="107">
        <v>518.71679166666661</v>
      </c>
      <c r="I115" s="107"/>
      <c r="J115" s="107">
        <v>1237.1574166666667</v>
      </c>
      <c r="K115" s="107">
        <v>1202.1650416666671</v>
      </c>
      <c r="L115" s="107">
        <v>1438.2894583333334</v>
      </c>
      <c r="M115" s="107">
        <v>74.45150000000001</v>
      </c>
      <c r="N115" s="108">
        <f t="shared" si="17"/>
        <v>7281.8132916666673</v>
      </c>
      <c r="O115" s="1">
        <v>1500</v>
      </c>
      <c r="P115" s="107">
        <v>881.47500000000002</v>
      </c>
      <c r="Q115" s="107">
        <v>5408.9749000000011</v>
      </c>
      <c r="R115" s="107"/>
      <c r="S115" s="107">
        <v>1755</v>
      </c>
      <c r="T115" s="107">
        <v>0</v>
      </c>
      <c r="U115" s="107">
        <v>5848.5677083333312</v>
      </c>
      <c r="V115" s="107">
        <v>0</v>
      </c>
      <c r="W115" s="109">
        <f t="shared" si="13"/>
        <v>15394.017608333332</v>
      </c>
    </row>
    <row r="116" spans="1:23" hidden="1" x14ac:dyDescent="0.25">
      <c r="A116" s="1">
        <v>2026</v>
      </c>
      <c r="B116" s="52">
        <f t="shared" si="15"/>
        <v>46023</v>
      </c>
      <c r="C116" s="1">
        <v>31</v>
      </c>
      <c r="D116" s="1" t="s">
        <v>53</v>
      </c>
      <c r="E116" s="5">
        <v>46027</v>
      </c>
      <c r="F116" s="107">
        <v>1853.1121666666666</v>
      </c>
      <c r="G116" s="107">
        <v>780.90595833333327</v>
      </c>
      <c r="H116" s="107">
        <v>709.01229166666667</v>
      </c>
      <c r="I116" s="107"/>
      <c r="J116" s="107">
        <v>1234.0452500000001</v>
      </c>
      <c r="K116" s="107">
        <v>2067.5083749999999</v>
      </c>
      <c r="L116" s="107">
        <v>2035.7236250000005</v>
      </c>
      <c r="M116" s="107">
        <v>31.309041666666669</v>
      </c>
      <c r="N116" s="108">
        <f t="shared" si="17"/>
        <v>8711.6167083333348</v>
      </c>
      <c r="O116" s="1">
        <v>1500</v>
      </c>
      <c r="P116" s="107">
        <v>905.625</v>
      </c>
      <c r="Q116" s="107">
        <v>5415.2831250000008</v>
      </c>
      <c r="R116" s="107"/>
      <c r="S116" s="107">
        <v>1755</v>
      </c>
      <c r="T116" s="107">
        <v>0</v>
      </c>
      <c r="U116" s="107">
        <v>5838.4285833333324</v>
      </c>
      <c r="V116" s="107">
        <v>0</v>
      </c>
      <c r="W116" s="109">
        <f t="shared" ref="W116:W142" si="18">+SUM(O116:V116)</f>
        <v>15414.336708333334</v>
      </c>
    </row>
    <row r="117" spans="1:23" hidden="1" x14ac:dyDescent="0.25">
      <c r="A117" s="1">
        <v>2026</v>
      </c>
      <c r="B117" s="52">
        <f t="shared" si="15"/>
        <v>46023</v>
      </c>
      <c r="C117" s="1">
        <v>31</v>
      </c>
      <c r="D117" s="1" t="s">
        <v>54</v>
      </c>
      <c r="E117" s="5">
        <v>46028</v>
      </c>
      <c r="F117" s="107">
        <v>1672.5356250000002</v>
      </c>
      <c r="G117" s="107">
        <v>805.40070833333345</v>
      </c>
      <c r="H117" s="107">
        <v>1034.7974166666668</v>
      </c>
      <c r="I117" s="107"/>
      <c r="J117" s="107">
        <v>1237.0618333333332</v>
      </c>
      <c r="K117" s="107">
        <v>2172.2335833333327</v>
      </c>
      <c r="L117" s="107">
        <v>2576.2993750000001</v>
      </c>
      <c r="M117" s="107">
        <v>53.352125000000008</v>
      </c>
      <c r="N117" s="108">
        <f t="shared" si="17"/>
        <v>9551.6806666666653</v>
      </c>
      <c r="O117" s="1">
        <v>1500</v>
      </c>
      <c r="P117" s="107">
        <v>904.57500000000005</v>
      </c>
      <c r="Q117" s="107">
        <v>5417.2737500000003</v>
      </c>
      <c r="R117" s="107"/>
      <c r="S117" s="107">
        <v>1755</v>
      </c>
      <c r="T117" s="107">
        <v>0</v>
      </c>
      <c r="U117" s="107">
        <v>5837.7627499999981</v>
      </c>
      <c r="V117" s="107">
        <v>0</v>
      </c>
      <c r="W117" s="109">
        <f t="shared" si="18"/>
        <v>15414.611499999999</v>
      </c>
    </row>
    <row r="118" spans="1:23" hidden="1" x14ac:dyDescent="0.25">
      <c r="A118" s="1">
        <v>2026</v>
      </c>
      <c r="B118" s="52">
        <f t="shared" si="15"/>
        <v>46023</v>
      </c>
      <c r="C118" s="1">
        <v>31</v>
      </c>
      <c r="D118" s="1" t="s">
        <v>55</v>
      </c>
      <c r="E118" s="5">
        <v>46029</v>
      </c>
      <c r="F118" s="107">
        <v>1344.1991249999999</v>
      </c>
      <c r="G118" s="107">
        <v>824.64504166666654</v>
      </c>
      <c r="H118" s="107">
        <v>939.59454166666671</v>
      </c>
      <c r="I118" s="107"/>
      <c r="J118" s="107">
        <v>1235.2611250000002</v>
      </c>
      <c r="K118" s="107">
        <v>1912.334166666667</v>
      </c>
      <c r="L118" s="107">
        <v>2710.924458333333</v>
      </c>
      <c r="M118" s="107">
        <v>84.203499999999991</v>
      </c>
      <c r="N118" s="108">
        <f t="shared" si="17"/>
        <v>9051.1619583333322</v>
      </c>
      <c r="O118" s="1">
        <v>1500</v>
      </c>
      <c r="P118" s="107">
        <v>903</v>
      </c>
      <c r="Q118" s="107">
        <v>5400.692500000001</v>
      </c>
      <c r="R118" s="107"/>
      <c r="S118" s="107">
        <v>1755</v>
      </c>
      <c r="T118" s="107">
        <v>0</v>
      </c>
      <c r="U118" s="107">
        <v>5842.981749999999</v>
      </c>
      <c r="V118" s="107">
        <v>0</v>
      </c>
      <c r="W118" s="109">
        <f t="shared" si="18"/>
        <v>15401.67425</v>
      </c>
    </row>
    <row r="119" spans="1:23" hidden="1" x14ac:dyDescent="0.25">
      <c r="A119" s="1">
        <v>2026</v>
      </c>
      <c r="B119" s="52">
        <f t="shared" si="15"/>
        <v>46023</v>
      </c>
      <c r="C119" s="1">
        <v>31</v>
      </c>
      <c r="D119" s="1" t="s">
        <v>56</v>
      </c>
      <c r="E119" s="5">
        <v>46030</v>
      </c>
      <c r="F119" s="107">
        <v>1150.5086666666668</v>
      </c>
      <c r="G119" s="107">
        <v>808.40933333333351</v>
      </c>
      <c r="H119" s="107">
        <v>712.68129166666665</v>
      </c>
      <c r="I119" s="107"/>
      <c r="J119" s="107">
        <v>1239.519125</v>
      </c>
      <c r="K119" s="107">
        <v>1782.2075833333333</v>
      </c>
      <c r="L119" s="107">
        <v>2417.3470833333336</v>
      </c>
      <c r="M119" s="107">
        <v>85.33508333333333</v>
      </c>
      <c r="N119" s="108">
        <f t="shared" si="17"/>
        <v>8196.0081666666683</v>
      </c>
      <c r="O119" s="1">
        <v>1500</v>
      </c>
      <c r="P119" s="107">
        <v>868.875</v>
      </c>
      <c r="Q119" s="107">
        <v>5402.0925000000007</v>
      </c>
      <c r="R119" s="107"/>
      <c r="S119" s="107">
        <v>1755</v>
      </c>
      <c r="T119" s="107">
        <v>0</v>
      </c>
      <c r="U119" s="107">
        <v>5643.8319166666652</v>
      </c>
      <c r="V119" s="107">
        <v>0</v>
      </c>
      <c r="W119" s="109">
        <f t="shared" si="18"/>
        <v>15169.799416666665</v>
      </c>
    </row>
    <row r="120" spans="1:23" hidden="1" x14ac:dyDescent="0.25">
      <c r="A120" s="1">
        <v>2026</v>
      </c>
      <c r="B120" s="52">
        <f t="shared" si="15"/>
        <v>46023</v>
      </c>
      <c r="C120" s="1">
        <v>31</v>
      </c>
      <c r="D120" s="1" t="s">
        <v>57</v>
      </c>
      <c r="E120" s="5">
        <v>46031</v>
      </c>
      <c r="F120" s="107">
        <v>1274.0091249999998</v>
      </c>
      <c r="G120" s="107">
        <v>806.00066666666669</v>
      </c>
      <c r="H120" s="107">
        <v>189.32450000000003</v>
      </c>
      <c r="I120" s="107">
        <v>349.34648437500005</v>
      </c>
      <c r="J120" s="107">
        <v>1241.2684583333332</v>
      </c>
      <c r="K120" s="107">
        <v>1608.4169999999997</v>
      </c>
      <c r="L120" s="107">
        <v>2217.4441250000009</v>
      </c>
      <c r="M120" s="107">
        <v>85.140416666666667</v>
      </c>
      <c r="N120" s="108">
        <f t="shared" si="17"/>
        <v>7770.9507760416673</v>
      </c>
      <c r="O120" s="1">
        <v>1500</v>
      </c>
      <c r="P120" s="107">
        <v>881.47500000000002</v>
      </c>
      <c r="Q120" s="107">
        <v>1081.01</v>
      </c>
      <c r="R120" s="107">
        <v>4006.6649999999995</v>
      </c>
      <c r="S120" s="107">
        <v>1755</v>
      </c>
      <c r="T120" s="107">
        <v>0</v>
      </c>
      <c r="U120" s="107">
        <v>5659.0887499999972</v>
      </c>
      <c r="V120" s="107">
        <v>0</v>
      </c>
      <c r="W120" s="109">
        <f t="shared" si="18"/>
        <v>14883.238749999997</v>
      </c>
    </row>
    <row r="121" spans="1:23" hidden="1" x14ac:dyDescent="0.25">
      <c r="A121" s="1">
        <v>2026</v>
      </c>
      <c r="B121" s="52">
        <f t="shared" si="15"/>
        <v>46023</v>
      </c>
      <c r="C121" s="1">
        <v>31</v>
      </c>
      <c r="D121" s="1" t="s">
        <v>51</v>
      </c>
      <c r="E121" s="5">
        <v>46032</v>
      </c>
      <c r="F121" s="107">
        <v>1592.8860416666664</v>
      </c>
      <c r="G121" s="107">
        <v>849.41850000000011</v>
      </c>
      <c r="H121" s="107">
        <v>162.75370833333335</v>
      </c>
      <c r="I121" s="107">
        <v>350.46639999999996</v>
      </c>
      <c r="J121" s="107">
        <v>1246.1380833333333</v>
      </c>
      <c r="K121" s="107">
        <v>1606.8369999999995</v>
      </c>
      <c r="L121" s="107">
        <v>1660.1190833333328</v>
      </c>
      <c r="M121" s="107">
        <v>63.934708333333333</v>
      </c>
      <c r="N121" s="108">
        <f t="shared" si="17"/>
        <v>7532.5535249999984</v>
      </c>
      <c r="O121" s="1">
        <v>1500</v>
      </c>
      <c r="P121" s="107">
        <v>920.85</v>
      </c>
      <c r="Q121" s="107">
        <v>1084.6849999999999</v>
      </c>
      <c r="R121" s="107">
        <v>3903.9299999999994</v>
      </c>
      <c r="S121" s="107">
        <v>1755</v>
      </c>
      <c r="T121" s="107">
        <v>0</v>
      </c>
      <c r="U121" s="107">
        <v>5405.5810833333298</v>
      </c>
      <c r="V121" s="107">
        <v>0</v>
      </c>
      <c r="W121" s="109">
        <f t="shared" si="18"/>
        <v>14570.046083333331</v>
      </c>
    </row>
    <row r="122" spans="1:23" hidden="1" x14ac:dyDescent="0.25">
      <c r="A122" s="1">
        <v>2026</v>
      </c>
      <c r="B122" s="52">
        <f t="shared" si="15"/>
        <v>46023</v>
      </c>
      <c r="C122" s="1">
        <v>31</v>
      </c>
      <c r="D122" s="1" t="s">
        <v>52</v>
      </c>
      <c r="E122" s="5">
        <v>46033</v>
      </c>
      <c r="F122" s="107">
        <v>1483.9770833333332</v>
      </c>
      <c r="G122" s="107">
        <v>784.09025000000031</v>
      </c>
      <c r="H122" s="107">
        <v>188.21554166666672</v>
      </c>
      <c r="I122" s="107">
        <v>261.57929374999998</v>
      </c>
      <c r="J122" s="107">
        <v>1244.2687083333333</v>
      </c>
      <c r="K122" s="107">
        <v>1782.6222083333332</v>
      </c>
      <c r="L122" s="107">
        <v>2128.0508750000004</v>
      </c>
      <c r="M122" s="107">
        <v>24.165374999999997</v>
      </c>
      <c r="N122" s="108">
        <f t="shared" si="17"/>
        <v>7896.9693354166675</v>
      </c>
      <c r="O122" s="1">
        <v>1500</v>
      </c>
      <c r="P122" s="107">
        <v>947.625</v>
      </c>
      <c r="Q122" s="107">
        <v>1093.6756250000001</v>
      </c>
      <c r="R122" s="107">
        <v>3903.9299999999994</v>
      </c>
      <c r="S122" s="107">
        <v>1755</v>
      </c>
      <c r="T122" s="107">
        <v>0</v>
      </c>
      <c r="U122" s="107">
        <v>5409.3009999999986</v>
      </c>
      <c r="V122" s="107">
        <v>0</v>
      </c>
      <c r="W122" s="109">
        <f t="shared" si="18"/>
        <v>14609.531625</v>
      </c>
    </row>
    <row r="123" spans="1:23" hidden="1" x14ac:dyDescent="0.25">
      <c r="A123" s="1">
        <v>2026</v>
      </c>
      <c r="B123" s="52">
        <f t="shared" si="15"/>
        <v>46023</v>
      </c>
      <c r="C123" s="1">
        <v>31</v>
      </c>
      <c r="D123" s="1" t="s">
        <v>53</v>
      </c>
      <c r="E123" s="5">
        <v>46034</v>
      </c>
      <c r="F123" s="107">
        <v>1680.6538333333338</v>
      </c>
      <c r="G123" s="107">
        <v>835.26079166666659</v>
      </c>
      <c r="H123" s="107">
        <v>218.51316666666665</v>
      </c>
      <c r="I123" s="107">
        <v>1036.7129520833334</v>
      </c>
      <c r="J123" s="107">
        <v>1242.6239166666669</v>
      </c>
      <c r="K123" s="107">
        <v>1809.5081666666658</v>
      </c>
      <c r="L123" s="107">
        <v>3287.674041666668</v>
      </c>
      <c r="M123" s="107">
        <v>37.970291666666668</v>
      </c>
      <c r="N123" s="108">
        <f t="shared" si="17"/>
        <v>10148.917160416668</v>
      </c>
      <c r="O123" s="1">
        <v>1500</v>
      </c>
      <c r="P123" s="107">
        <v>939.55312500000002</v>
      </c>
      <c r="Q123" s="107">
        <v>1090.5330625000001</v>
      </c>
      <c r="R123" s="107">
        <v>3903.9299999999994</v>
      </c>
      <c r="S123" s="107">
        <v>1755</v>
      </c>
      <c r="T123" s="107">
        <v>0</v>
      </c>
      <c r="U123" s="107">
        <v>5852.7114999999994</v>
      </c>
      <c r="V123" s="107">
        <v>0</v>
      </c>
      <c r="W123" s="109">
        <f t="shared" si="18"/>
        <v>15041.727687499999</v>
      </c>
    </row>
    <row r="124" spans="1:23" hidden="1" x14ac:dyDescent="0.25">
      <c r="A124" s="1">
        <v>2026</v>
      </c>
      <c r="B124" s="52">
        <f t="shared" si="15"/>
        <v>46023</v>
      </c>
      <c r="C124" s="1">
        <v>31</v>
      </c>
      <c r="D124" s="1" t="s">
        <v>54</v>
      </c>
      <c r="E124" s="5">
        <v>46035</v>
      </c>
      <c r="F124" s="107">
        <v>1392.5868333333337</v>
      </c>
      <c r="G124" s="107">
        <v>828.05291666666699</v>
      </c>
      <c r="H124" s="107">
        <v>208.06879166666667</v>
      </c>
      <c r="I124" s="107">
        <v>1081.8987916666665</v>
      </c>
      <c r="J124" s="107">
        <v>1245.4570000000001</v>
      </c>
      <c r="K124" s="107">
        <v>1621.1448333333335</v>
      </c>
      <c r="L124" s="107">
        <v>3868.1665833333332</v>
      </c>
      <c r="M124" s="107">
        <v>67.453041666666664</v>
      </c>
      <c r="N124" s="108">
        <f t="shared" si="17"/>
        <v>10312.828791666669</v>
      </c>
      <c r="O124" s="1">
        <v>1500</v>
      </c>
      <c r="P124" s="107">
        <v>937.49578125000005</v>
      </c>
      <c r="Q124" s="107">
        <v>1091.11625</v>
      </c>
      <c r="R124" s="107">
        <v>3903.9299999999994</v>
      </c>
      <c r="S124" s="107">
        <v>1755</v>
      </c>
      <c r="T124" s="107">
        <v>0</v>
      </c>
      <c r="U124" s="107">
        <v>6086.8633749999972</v>
      </c>
      <c r="V124" s="107">
        <v>0</v>
      </c>
      <c r="W124" s="109">
        <f t="shared" si="18"/>
        <v>15274.405406249996</v>
      </c>
    </row>
    <row r="125" spans="1:23" hidden="1" x14ac:dyDescent="0.25">
      <c r="A125" s="1">
        <v>2026</v>
      </c>
      <c r="B125" s="52">
        <f t="shared" si="15"/>
        <v>46023</v>
      </c>
      <c r="C125" s="1">
        <v>31</v>
      </c>
      <c r="D125" s="1" t="s">
        <v>55</v>
      </c>
      <c r="E125" s="5">
        <v>46036</v>
      </c>
      <c r="F125" s="107">
        <v>1337.354875</v>
      </c>
      <c r="G125" s="107">
        <v>739.70220833333349</v>
      </c>
      <c r="H125" s="107">
        <v>209.80404166666671</v>
      </c>
      <c r="I125" s="107">
        <v>957.67877083333315</v>
      </c>
      <c r="J125" s="107">
        <v>1250.3778333333335</v>
      </c>
      <c r="K125" s="107">
        <v>2112.7847916666665</v>
      </c>
      <c r="L125" s="107">
        <v>4033.9801249999978</v>
      </c>
      <c r="M125" s="107">
        <v>14.646458333333337</v>
      </c>
      <c r="N125" s="108">
        <f t="shared" si="17"/>
        <v>10656.329104166665</v>
      </c>
      <c r="O125" s="1">
        <v>1500</v>
      </c>
      <c r="P125" s="107">
        <v>937.65000000000009</v>
      </c>
      <c r="Q125" s="107">
        <v>1087.3975000000003</v>
      </c>
      <c r="R125" s="107">
        <v>3903.9299999999994</v>
      </c>
      <c r="S125" s="107">
        <v>1755</v>
      </c>
      <c r="T125" s="107">
        <v>0</v>
      </c>
      <c r="U125" s="107">
        <v>5970.9845833333302</v>
      </c>
      <c r="V125" s="107">
        <v>0</v>
      </c>
      <c r="W125" s="109">
        <f t="shared" si="18"/>
        <v>15154.962083333332</v>
      </c>
    </row>
    <row r="126" spans="1:23" hidden="1" x14ac:dyDescent="0.25">
      <c r="A126" s="1">
        <v>2026</v>
      </c>
      <c r="B126" s="52">
        <f t="shared" si="15"/>
        <v>46023</v>
      </c>
      <c r="C126" s="1">
        <v>31</v>
      </c>
      <c r="D126" s="1" t="s">
        <v>56</v>
      </c>
      <c r="E126" s="5">
        <v>46037</v>
      </c>
      <c r="F126" s="107">
        <v>1250.3885416666665</v>
      </c>
      <c r="G126" s="107">
        <v>589.79241666666667</v>
      </c>
      <c r="H126" s="107">
        <v>211.26004166666667</v>
      </c>
      <c r="I126" s="107">
        <v>717.91492083333333</v>
      </c>
      <c r="J126" s="107">
        <v>1266.1626249999999</v>
      </c>
      <c r="K126" s="107">
        <v>2161.2891666666656</v>
      </c>
      <c r="L126" s="107">
        <v>4219.5694583333325</v>
      </c>
      <c r="M126" s="107">
        <v>15.846875000000001</v>
      </c>
      <c r="N126" s="108">
        <f t="shared" si="17"/>
        <v>10432.224045833329</v>
      </c>
      <c r="O126" s="1">
        <v>1500</v>
      </c>
      <c r="P126" s="107">
        <v>921.60796875000005</v>
      </c>
      <c r="Q126" s="107">
        <v>1085.21</v>
      </c>
      <c r="R126" s="107">
        <v>3790.5</v>
      </c>
      <c r="S126" s="107">
        <v>1755</v>
      </c>
      <c r="T126" s="107">
        <v>0</v>
      </c>
      <c r="U126" s="107">
        <v>5870.6423750000004</v>
      </c>
      <c r="V126" s="107">
        <v>0</v>
      </c>
      <c r="W126" s="109">
        <f t="shared" si="18"/>
        <v>14922.960343750001</v>
      </c>
    </row>
    <row r="127" spans="1:23" hidden="1" x14ac:dyDescent="0.25">
      <c r="A127" s="1">
        <v>2026</v>
      </c>
      <c r="B127" s="52">
        <f t="shared" si="15"/>
        <v>46023</v>
      </c>
      <c r="C127" s="1">
        <v>31</v>
      </c>
      <c r="D127" s="1" t="s">
        <v>57</v>
      </c>
      <c r="E127" s="5">
        <v>46038</v>
      </c>
      <c r="F127" s="107">
        <v>1126.5217499999999</v>
      </c>
      <c r="G127" s="107">
        <v>433.33704166666661</v>
      </c>
      <c r="H127" s="107">
        <v>226.40283333333335</v>
      </c>
      <c r="I127" s="107">
        <v>463.0585395833333</v>
      </c>
      <c r="J127" s="107">
        <v>1270.3821666666668</v>
      </c>
      <c r="K127" s="107">
        <v>2159.9748333333337</v>
      </c>
      <c r="L127" s="107">
        <v>3450.8600416666663</v>
      </c>
      <c r="M127" s="107">
        <v>15.354375000000003</v>
      </c>
      <c r="N127" s="108">
        <f t="shared" si="17"/>
        <v>9145.8915812500018</v>
      </c>
      <c r="O127" s="1">
        <v>1500</v>
      </c>
      <c r="P127" s="107">
        <v>923.47500000000002</v>
      </c>
      <c r="Q127" s="107">
        <v>1090.2850000000001</v>
      </c>
      <c r="R127" s="107">
        <v>3903.9299999999994</v>
      </c>
      <c r="S127" s="107">
        <v>1755</v>
      </c>
      <c r="T127" s="107">
        <v>0</v>
      </c>
      <c r="U127" s="107">
        <v>5363.4424166666649</v>
      </c>
      <c r="V127" s="107">
        <v>0</v>
      </c>
      <c r="W127" s="109">
        <f t="shared" si="18"/>
        <v>14536.132416666664</v>
      </c>
    </row>
    <row r="128" spans="1:23" hidden="1" x14ac:dyDescent="0.25">
      <c r="A128" s="1">
        <v>2026</v>
      </c>
      <c r="B128" s="52">
        <f t="shared" si="15"/>
        <v>46023</v>
      </c>
      <c r="C128" s="1">
        <v>31</v>
      </c>
      <c r="D128" s="1" t="s">
        <v>51</v>
      </c>
      <c r="E128" s="5">
        <v>46039</v>
      </c>
      <c r="F128" s="107">
        <v>1099.6091666666666</v>
      </c>
      <c r="G128" s="107">
        <v>419.7625000000001</v>
      </c>
      <c r="H128" s="107">
        <v>212.55883333333335</v>
      </c>
      <c r="I128" s="107">
        <v>576.23140624999996</v>
      </c>
      <c r="J128" s="107">
        <v>1269.381625</v>
      </c>
      <c r="K128" s="107">
        <v>2104.2990833333347</v>
      </c>
      <c r="L128" s="107">
        <v>3214.1422916666661</v>
      </c>
      <c r="M128" s="107">
        <v>14.036291666666662</v>
      </c>
      <c r="N128" s="108">
        <f t="shared" si="17"/>
        <v>8910.021197916667</v>
      </c>
      <c r="O128" s="1">
        <v>1500</v>
      </c>
      <c r="P128" s="107">
        <v>923.47500000000002</v>
      </c>
      <c r="Q128" s="107">
        <v>1083.8975</v>
      </c>
      <c r="R128" s="107">
        <v>3903.9299999999994</v>
      </c>
      <c r="S128" s="107">
        <v>1755</v>
      </c>
      <c r="T128" s="107">
        <v>0</v>
      </c>
      <c r="U128" s="107">
        <v>5200.3266249999979</v>
      </c>
      <c r="V128" s="107">
        <v>0</v>
      </c>
      <c r="W128" s="109">
        <f t="shared" si="18"/>
        <v>14366.629124999998</v>
      </c>
    </row>
    <row r="129" spans="1:24" hidden="1" x14ac:dyDescent="0.25">
      <c r="A129" s="1">
        <v>2026</v>
      </c>
      <c r="B129" s="52">
        <f t="shared" si="15"/>
        <v>46023</v>
      </c>
      <c r="C129" s="1">
        <v>31</v>
      </c>
      <c r="D129" s="1" t="s">
        <v>52</v>
      </c>
      <c r="E129" s="5">
        <v>46040</v>
      </c>
      <c r="F129" s="107">
        <v>1089.1960000000004</v>
      </c>
      <c r="G129" s="107">
        <v>259.56637499999999</v>
      </c>
      <c r="H129" s="107">
        <v>201.316125</v>
      </c>
      <c r="I129" s="107">
        <v>226.15953333333331</v>
      </c>
      <c r="J129" s="107">
        <v>1269.181</v>
      </c>
      <c r="K129" s="107">
        <v>1386.430625</v>
      </c>
      <c r="L129" s="107">
        <v>2559.7559583333323</v>
      </c>
      <c r="M129" s="107">
        <v>234.58354166666666</v>
      </c>
      <c r="N129" s="108">
        <f t="shared" si="17"/>
        <v>7226.1891583333327</v>
      </c>
      <c r="O129" s="1">
        <v>1500</v>
      </c>
      <c r="P129" s="107">
        <v>919.80000000000007</v>
      </c>
      <c r="Q129" s="107">
        <v>1086.4350000000002</v>
      </c>
      <c r="R129" s="107">
        <v>3903.9299999999994</v>
      </c>
      <c r="S129" s="107">
        <v>1755</v>
      </c>
      <c r="T129" s="107">
        <v>0</v>
      </c>
      <c r="U129" s="107">
        <v>5427.5430000000015</v>
      </c>
      <c r="V129" s="107">
        <v>0</v>
      </c>
      <c r="W129" s="109">
        <f t="shared" si="18"/>
        <v>14592.708000000002</v>
      </c>
    </row>
    <row r="130" spans="1:24" hidden="1" x14ac:dyDescent="0.25">
      <c r="A130" s="1">
        <v>2026</v>
      </c>
      <c r="B130" s="52">
        <f t="shared" si="15"/>
        <v>46023</v>
      </c>
      <c r="C130" s="1">
        <v>31</v>
      </c>
      <c r="D130" s="1" t="s">
        <v>53</v>
      </c>
      <c r="E130" s="5">
        <v>46041</v>
      </c>
      <c r="F130" s="107">
        <v>1090.3253749999999</v>
      </c>
      <c r="G130" s="107">
        <v>219.46712500000001</v>
      </c>
      <c r="H130" s="107">
        <v>207.25258333333335</v>
      </c>
      <c r="I130" s="107">
        <v>164.59422916666665</v>
      </c>
      <c r="J130" s="107">
        <v>1273.5384583333334</v>
      </c>
      <c r="K130" s="107">
        <v>1880.9452916666671</v>
      </c>
      <c r="L130" s="107">
        <v>2741.7972083333334</v>
      </c>
      <c r="M130" s="107">
        <v>15.177208333333333</v>
      </c>
      <c r="N130" s="108">
        <f t="shared" si="17"/>
        <v>7593.0974791666677</v>
      </c>
      <c r="O130" s="1">
        <v>1500</v>
      </c>
      <c r="P130" s="107">
        <v>917.14481250000006</v>
      </c>
      <c r="Q130" s="107">
        <v>1082.2350000000001</v>
      </c>
      <c r="R130" s="107">
        <v>3903.9299999999994</v>
      </c>
      <c r="S130" s="107">
        <v>1755</v>
      </c>
      <c r="T130" s="107">
        <v>0</v>
      </c>
      <c r="U130" s="107">
        <v>5731.9326249999967</v>
      </c>
      <c r="V130" s="107">
        <v>0</v>
      </c>
      <c r="W130" s="109">
        <f t="shared" si="18"/>
        <v>14890.242437499997</v>
      </c>
    </row>
    <row r="131" spans="1:24" hidden="1" x14ac:dyDescent="0.25">
      <c r="A131" s="1">
        <v>2026</v>
      </c>
      <c r="B131" s="52">
        <f t="shared" si="15"/>
        <v>46023</v>
      </c>
      <c r="C131" s="1">
        <v>31</v>
      </c>
      <c r="D131" s="1" t="s">
        <v>54</v>
      </c>
      <c r="E131" s="5">
        <v>46042</v>
      </c>
      <c r="F131" s="107">
        <v>1401.2916250000001</v>
      </c>
      <c r="G131" s="107">
        <v>188.05445833333332</v>
      </c>
      <c r="H131" s="107">
        <v>251.88991666666666</v>
      </c>
      <c r="I131" s="107">
        <v>226.55813750000002</v>
      </c>
      <c r="J131" s="107">
        <v>1271.8311666666666</v>
      </c>
      <c r="K131" s="107">
        <v>1720.349166666666</v>
      </c>
      <c r="L131" s="107">
        <v>2817.5511250000004</v>
      </c>
      <c r="M131" s="107">
        <v>12.615083333333336</v>
      </c>
      <c r="N131" s="108">
        <f t="shared" si="17"/>
        <v>7890.1406791666659</v>
      </c>
      <c r="O131" s="1">
        <v>1500</v>
      </c>
      <c r="P131" s="107">
        <v>927.85546875</v>
      </c>
      <c r="Q131" s="107">
        <v>1079.9254375</v>
      </c>
      <c r="R131" s="107">
        <v>3903.9299999999994</v>
      </c>
      <c r="S131" s="107">
        <v>1755</v>
      </c>
      <c r="T131" s="107">
        <v>0</v>
      </c>
      <c r="U131" s="107">
        <v>6024.2102500000001</v>
      </c>
      <c r="V131" s="107">
        <v>0</v>
      </c>
      <c r="W131" s="109">
        <f t="shared" si="18"/>
        <v>15190.921156249999</v>
      </c>
    </row>
    <row r="132" spans="1:24" hidden="1" x14ac:dyDescent="0.25">
      <c r="A132" s="1">
        <v>2026</v>
      </c>
      <c r="B132" s="52">
        <f t="shared" si="15"/>
        <v>46023</v>
      </c>
      <c r="C132" s="1">
        <v>31</v>
      </c>
      <c r="D132" s="1" t="s">
        <v>55</v>
      </c>
      <c r="E132" s="5">
        <v>46043</v>
      </c>
      <c r="F132" s="107">
        <v>1268.0771666666667</v>
      </c>
      <c r="G132" s="107">
        <v>169.83900000000003</v>
      </c>
      <c r="H132" s="107">
        <v>199.18195833333334</v>
      </c>
      <c r="I132" s="107">
        <v>225.86063958333332</v>
      </c>
      <c r="J132" s="107">
        <v>1269.8485416666667</v>
      </c>
      <c r="K132" s="107">
        <v>2289.8851250000007</v>
      </c>
      <c r="L132" s="107">
        <v>2864.6685416666651</v>
      </c>
      <c r="M132" s="107">
        <v>13.113458333333332</v>
      </c>
      <c r="N132" s="108">
        <f t="shared" si="17"/>
        <v>8300.4744312499988</v>
      </c>
      <c r="O132" s="1">
        <v>1500</v>
      </c>
      <c r="P132" s="107">
        <v>932.75546874999998</v>
      </c>
      <c r="Q132" s="107">
        <v>1059.5550000000001</v>
      </c>
      <c r="R132" s="107">
        <v>3903.9299999999994</v>
      </c>
      <c r="S132" s="107">
        <v>1755</v>
      </c>
      <c r="T132" s="107">
        <v>0</v>
      </c>
      <c r="U132" s="107">
        <v>6016.4477916666638</v>
      </c>
      <c r="V132" s="107">
        <v>0</v>
      </c>
      <c r="W132" s="109">
        <f t="shared" si="18"/>
        <v>15167.688260416662</v>
      </c>
    </row>
    <row r="133" spans="1:24" hidden="1" x14ac:dyDescent="0.25">
      <c r="A133" s="1">
        <v>2026</v>
      </c>
      <c r="B133" s="52">
        <f t="shared" si="15"/>
        <v>46023</v>
      </c>
      <c r="C133" s="1">
        <v>31</v>
      </c>
      <c r="D133" s="1" t="s">
        <v>56</v>
      </c>
      <c r="E133" s="5">
        <v>46044</v>
      </c>
      <c r="F133" s="107">
        <v>1138.2316666666666</v>
      </c>
      <c r="G133" s="107">
        <v>203.14733333333336</v>
      </c>
      <c r="H133" s="107">
        <v>220.20666666666668</v>
      </c>
      <c r="I133" s="107">
        <v>499.39101249999999</v>
      </c>
      <c r="J133" s="107">
        <v>1265.4241666666667</v>
      </c>
      <c r="K133" s="107">
        <v>1642.5098333333335</v>
      </c>
      <c r="L133" s="107">
        <v>3467.0480000000011</v>
      </c>
      <c r="M133" s="107">
        <v>47.725875000000002</v>
      </c>
      <c r="N133" s="108">
        <f t="shared" si="17"/>
        <v>8483.684554166668</v>
      </c>
      <c r="O133" s="1">
        <v>1500</v>
      </c>
      <c r="P133" s="107">
        <v>934.68484375000014</v>
      </c>
      <c r="Q133" s="107">
        <v>1059.5550000000001</v>
      </c>
      <c r="R133" s="107">
        <v>3885.0590416666664</v>
      </c>
      <c r="S133" s="107">
        <v>1755</v>
      </c>
      <c r="T133" s="107">
        <v>0</v>
      </c>
      <c r="U133" s="107">
        <v>6034.0031666666637</v>
      </c>
      <c r="V133" s="107">
        <v>0</v>
      </c>
      <c r="W133" s="109">
        <f t="shared" si="18"/>
        <v>15168.302052083331</v>
      </c>
    </row>
    <row r="134" spans="1:24" hidden="1" x14ac:dyDescent="0.25">
      <c r="A134" s="1">
        <v>2026</v>
      </c>
      <c r="B134" s="52">
        <f t="shared" si="15"/>
        <v>46023</v>
      </c>
      <c r="C134" s="1">
        <v>31</v>
      </c>
      <c r="D134" s="1" t="s">
        <v>57</v>
      </c>
      <c r="E134" s="5">
        <v>46045</v>
      </c>
      <c r="F134" s="107">
        <v>1098.0772083333336</v>
      </c>
      <c r="G134" s="107">
        <v>330.35241666666667</v>
      </c>
      <c r="H134" s="107">
        <v>261.46604166666668</v>
      </c>
      <c r="I134" s="107">
        <v>1242.4385791666666</v>
      </c>
      <c r="J134" s="107">
        <v>1266.0005000000001</v>
      </c>
      <c r="K134" s="107">
        <v>1140.2669583333341</v>
      </c>
      <c r="L134" s="107">
        <v>3773.9490000000005</v>
      </c>
      <c r="M134" s="107">
        <v>56.842208333333332</v>
      </c>
      <c r="N134" s="108">
        <f t="shared" si="17"/>
        <v>9169.3929125000013</v>
      </c>
      <c r="O134" s="1">
        <v>1500</v>
      </c>
      <c r="P134" s="107">
        <v>938.04003125000008</v>
      </c>
      <c r="Q134" s="107">
        <v>1082.326875</v>
      </c>
      <c r="R134" s="107">
        <v>3903.9299999999994</v>
      </c>
      <c r="S134" s="107">
        <v>1755</v>
      </c>
      <c r="T134" s="107">
        <v>0</v>
      </c>
      <c r="U134" s="107">
        <v>6040.8899999999976</v>
      </c>
      <c r="V134" s="107">
        <v>0</v>
      </c>
      <c r="W134" s="109">
        <f t="shared" si="18"/>
        <v>15220.186906249997</v>
      </c>
    </row>
    <row r="135" spans="1:24" hidden="1" x14ac:dyDescent="0.25">
      <c r="A135" s="1">
        <v>2026</v>
      </c>
      <c r="B135" s="52">
        <f t="shared" si="15"/>
        <v>46023</v>
      </c>
      <c r="C135" s="1">
        <v>31</v>
      </c>
      <c r="D135" s="1" t="s">
        <v>51</v>
      </c>
      <c r="E135" s="5">
        <v>46046</v>
      </c>
      <c r="F135" s="107">
        <v>972.81704166666668</v>
      </c>
      <c r="G135" s="107">
        <v>365.95812499999994</v>
      </c>
      <c r="H135" s="107">
        <v>286.2715</v>
      </c>
      <c r="I135" s="107">
        <v>1014.0393020833333</v>
      </c>
      <c r="J135" s="107">
        <v>1267.8392916666667</v>
      </c>
      <c r="K135" s="107">
        <v>1395.48</v>
      </c>
      <c r="L135" s="107">
        <v>2963.1610833333343</v>
      </c>
      <c r="M135" s="107">
        <v>451.56904166666669</v>
      </c>
      <c r="N135" s="108">
        <f t="shared" si="17"/>
        <v>8717.1353854166682</v>
      </c>
      <c r="O135" s="1">
        <v>1500</v>
      </c>
      <c r="P135" s="107">
        <v>950.25</v>
      </c>
      <c r="Q135" s="107">
        <v>1073.73</v>
      </c>
      <c r="R135" s="107">
        <v>3884.9299999999994</v>
      </c>
      <c r="S135" s="107">
        <v>1755</v>
      </c>
      <c r="T135" s="107">
        <v>0</v>
      </c>
      <c r="U135" s="107">
        <v>6015.4067916666672</v>
      </c>
      <c r="V135" s="107">
        <v>0</v>
      </c>
      <c r="W135" s="109">
        <f t="shared" si="18"/>
        <v>15179.316791666668</v>
      </c>
    </row>
    <row r="136" spans="1:24" hidden="1" x14ac:dyDescent="0.25">
      <c r="A136" s="1">
        <v>2026</v>
      </c>
      <c r="B136" s="52">
        <f t="shared" si="15"/>
        <v>46023</v>
      </c>
      <c r="C136" s="1">
        <v>31</v>
      </c>
      <c r="D136" s="1" t="s">
        <v>52</v>
      </c>
      <c r="E136" s="5">
        <v>46047</v>
      </c>
      <c r="F136" s="107">
        <v>758.33662500000003</v>
      </c>
      <c r="G136" s="107">
        <v>394.52191666666675</v>
      </c>
      <c r="H136" s="107">
        <v>207.36233333333334</v>
      </c>
      <c r="I136" s="107">
        <v>679.8866187499998</v>
      </c>
      <c r="J136" s="107">
        <v>1262.8066666666668</v>
      </c>
      <c r="K136" s="107">
        <v>1816.6116666666671</v>
      </c>
      <c r="L136" s="107">
        <v>2962.5743750000001</v>
      </c>
      <c r="M136" s="107">
        <v>642.16345833333344</v>
      </c>
      <c r="N136" s="108">
        <f t="shared" si="17"/>
        <v>8724.2636604166673</v>
      </c>
      <c r="O136" s="1">
        <v>1500</v>
      </c>
      <c r="P136" s="107">
        <v>950.25</v>
      </c>
      <c r="Q136" s="107">
        <v>1082.5675000000001</v>
      </c>
      <c r="R136" s="107">
        <v>3884.9299999999994</v>
      </c>
      <c r="S136" s="107">
        <v>1755</v>
      </c>
      <c r="T136" s="107">
        <v>0</v>
      </c>
      <c r="U136" s="107">
        <v>5984.8980833333335</v>
      </c>
      <c r="V136" s="107">
        <v>0</v>
      </c>
      <c r="W136" s="109">
        <f t="shared" si="18"/>
        <v>15157.645583333333</v>
      </c>
    </row>
    <row r="137" spans="1:24" hidden="1" x14ac:dyDescent="0.25">
      <c r="A137" s="1">
        <v>2026</v>
      </c>
      <c r="B137" s="52">
        <f t="shared" si="15"/>
        <v>46023</v>
      </c>
      <c r="C137" s="1">
        <v>31</v>
      </c>
      <c r="D137" s="1" t="s">
        <v>53</v>
      </c>
      <c r="E137" s="5">
        <v>46048</v>
      </c>
      <c r="F137" s="107">
        <v>828.24425000000008</v>
      </c>
      <c r="G137" s="107">
        <v>209.44741666666673</v>
      </c>
      <c r="H137" s="107">
        <v>272.33258333333328</v>
      </c>
      <c r="I137" s="107">
        <v>1192.1485875000001</v>
      </c>
      <c r="J137" s="107">
        <v>1262.249875</v>
      </c>
      <c r="K137" s="107">
        <v>1890.4432499999998</v>
      </c>
      <c r="L137" s="107">
        <v>3828.9203333333339</v>
      </c>
      <c r="M137" s="107">
        <v>678.42091666666659</v>
      </c>
      <c r="N137" s="108">
        <f t="shared" si="17"/>
        <v>10162.2072125</v>
      </c>
      <c r="O137" s="1">
        <v>1500</v>
      </c>
      <c r="P137" s="107">
        <v>944.47500000000002</v>
      </c>
      <c r="Q137" s="107">
        <v>1068.0425</v>
      </c>
      <c r="R137" s="107">
        <v>3884.9299999999994</v>
      </c>
      <c r="S137" s="107">
        <v>1755</v>
      </c>
      <c r="T137" s="107">
        <v>0</v>
      </c>
      <c r="U137" s="107">
        <v>5937.4852916666614</v>
      </c>
      <c r="V137" s="107">
        <v>0</v>
      </c>
      <c r="W137" s="109">
        <f t="shared" si="18"/>
        <v>15089.932791666659</v>
      </c>
    </row>
    <row r="138" spans="1:24" hidden="1" x14ac:dyDescent="0.25">
      <c r="A138" s="1">
        <v>2026</v>
      </c>
      <c r="B138" s="52">
        <f t="shared" si="15"/>
        <v>46023</v>
      </c>
      <c r="C138" s="1">
        <v>31</v>
      </c>
      <c r="D138" s="1" t="s">
        <v>54</v>
      </c>
      <c r="E138" s="5">
        <v>46049</v>
      </c>
      <c r="F138" s="107">
        <v>994.17579166666667</v>
      </c>
      <c r="G138" s="107">
        <v>266.14895833333327</v>
      </c>
      <c r="H138" s="107">
        <v>255.59674999999999</v>
      </c>
      <c r="I138" s="107">
        <v>987.1475729166666</v>
      </c>
      <c r="J138" s="107">
        <v>1260.6662083333335</v>
      </c>
      <c r="K138" s="107">
        <v>1652.1917499999995</v>
      </c>
      <c r="L138" s="107">
        <v>4050.604833333332</v>
      </c>
      <c r="M138" s="107">
        <v>659.94349999999997</v>
      </c>
      <c r="N138" s="108">
        <f t="shared" si="17"/>
        <v>10126.475364583332</v>
      </c>
      <c r="O138" s="1">
        <v>1500</v>
      </c>
      <c r="P138" s="107">
        <v>941.32500000000005</v>
      </c>
      <c r="Q138" s="107">
        <v>1082.2393312500001</v>
      </c>
      <c r="R138" s="107">
        <v>3884.9299999999994</v>
      </c>
      <c r="S138" s="107">
        <v>1755</v>
      </c>
      <c r="T138" s="107">
        <v>0</v>
      </c>
      <c r="U138" s="107">
        <v>6011.6799166666633</v>
      </c>
      <c r="V138" s="107">
        <v>0</v>
      </c>
      <c r="W138" s="109">
        <f t="shared" si="18"/>
        <v>15175.174247916664</v>
      </c>
    </row>
    <row r="139" spans="1:24" hidden="1" x14ac:dyDescent="0.25">
      <c r="A139" s="1">
        <v>2026</v>
      </c>
      <c r="B139" s="52">
        <f t="shared" si="15"/>
        <v>46023</v>
      </c>
      <c r="C139" s="1">
        <v>31</v>
      </c>
      <c r="D139" s="1" t="s">
        <v>55</v>
      </c>
      <c r="E139" s="5">
        <v>46050</v>
      </c>
      <c r="F139" s="107">
        <v>1008.0343750000001</v>
      </c>
      <c r="G139" s="107">
        <v>519.16366666666681</v>
      </c>
      <c r="H139" s="107">
        <v>200.11141666666671</v>
      </c>
      <c r="I139" s="107">
        <v>943.69279166666661</v>
      </c>
      <c r="J139" s="107">
        <v>1262.7856666666667</v>
      </c>
      <c r="K139" s="107">
        <v>1168.4343750000005</v>
      </c>
      <c r="L139" s="107">
        <v>3936.4227499999997</v>
      </c>
      <c r="M139" s="107">
        <v>626.46458333333328</v>
      </c>
      <c r="N139" s="108">
        <f t="shared" si="17"/>
        <v>9665.1096249999991</v>
      </c>
      <c r="O139" s="1">
        <v>1500</v>
      </c>
      <c r="P139" s="107">
        <v>934.5</v>
      </c>
      <c r="Q139" s="107">
        <v>1077.23686875</v>
      </c>
      <c r="R139" s="107">
        <v>3884.9299999999994</v>
      </c>
      <c r="S139" s="107">
        <v>1755</v>
      </c>
      <c r="T139" s="107">
        <v>0</v>
      </c>
      <c r="U139" s="107">
        <v>6002.474666666667</v>
      </c>
      <c r="V139" s="107">
        <v>0</v>
      </c>
      <c r="W139" s="109">
        <f t="shared" si="18"/>
        <v>15154.141535416666</v>
      </c>
    </row>
    <row r="140" spans="1:24" hidden="1" x14ac:dyDescent="0.25">
      <c r="A140" s="1">
        <v>2026</v>
      </c>
      <c r="B140" s="52">
        <f t="shared" si="15"/>
        <v>46023</v>
      </c>
      <c r="C140" s="1">
        <v>31</v>
      </c>
      <c r="D140" s="1" t="s">
        <v>56</v>
      </c>
      <c r="E140" s="5">
        <v>46051</v>
      </c>
      <c r="F140" s="107">
        <v>1050.1807916666667</v>
      </c>
      <c r="G140" s="107">
        <v>380.65029166666676</v>
      </c>
      <c r="H140" s="107">
        <v>230.39545833333335</v>
      </c>
      <c r="I140" s="107">
        <v>1092.7198458333335</v>
      </c>
      <c r="J140" s="107">
        <v>1258.3196666666665</v>
      </c>
      <c r="K140" s="107">
        <v>1374.9280416666661</v>
      </c>
      <c r="L140" s="107">
        <v>3826.1649583333333</v>
      </c>
      <c r="M140" s="107">
        <v>598.4476249999999</v>
      </c>
      <c r="N140" s="108">
        <f t="shared" si="17"/>
        <v>9811.8066791666661</v>
      </c>
      <c r="O140" s="1">
        <v>1500</v>
      </c>
      <c r="P140" s="107">
        <v>924.52500000000009</v>
      </c>
      <c r="Q140" s="107">
        <v>1095.0314375000003</v>
      </c>
      <c r="R140" s="107">
        <v>3884.9299999999994</v>
      </c>
      <c r="S140" s="107">
        <v>1755</v>
      </c>
      <c r="T140" s="107">
        <v>0</v>
      </c>
      <c r="U140" s="107">
        <v>6021.9378333333316</v>
      </c>
      <c r="V140" s="107">
        <v>0</v>
      </c>
      <c r="W140" s="109">
        <f t="shared" si="18"/>
        <v>15181.424270833331</v>
      </c>
    </row>
    <row r="141" spans="1:24" hidden="1" x14ac:dyDescent="0.25">
      <c r="A141" s="1">
        <v>2026</v>
      </c>
      <c r="B141" s="52">
        <f t="shared" si="15"/>
        <v>46023</v>
      </c>
      <c r="C141" s="1">
        <v>31</v>
      </c>
      <c r="D141" s="1" t="s">
        <v>57</v>
      </c>
      <c r="E141" s="5">
        <v>46052</v>
      </c>
      <c r="F141" s="107">
        <v>1028.2109583333338</v>
      </c>
      <c r="G141" s="107">
        <v>482.66779166666674</v>
      </c>
      <c r="H141" s="107">
        <v>261.98220833333335</v>
      </c>
      <c r="I141" s="107">
        <v>695.8465395833332</v>
      </c>
      <c r="J141" s="107">
        <v>1247.4630000000002</v>
      </c>
      <c r="K141" s="107">
        <v>1568.1529583333338</v>
      </c>
      <c r="L141" s="107">
        <v>3867.0861666666697</v>
      </c>
      <c r="M141" s="107">
        <v>615.59866666666676</v>
      </c>
      <c r="N141" s="108">
        <f t="shared" si="17"/>
        <v>9767.0082895833384</v>
      </c>
      <c r="O141" s="1">
        <v>1500</v>
      </c>
      <c r="P141" s="107">
        <v>917.17500000000007</v>
      </c>
      <c r="Q141" s="107">
        <v>1077.3895562500002</v>
      </c>
      <c r="R141" s="107">
        <v>3884.9299999999994</v>
      </c>
      <c r="S141" s="107">
        <v>1755</v>
      </c>
      <c r="T141" s="107">
        <v>0</v>
      </c>
      <c r="U141" s="107">
        <v>6004.1914999999944</v>
      </c>
      <c r="V141" s="107">
        <v>0</v>
      </c>
      <c r="W141" s="109">
        <f t="shared" si="18"/>
        <v>15138.686056249993</v>
      </c>
    </row>
    <row r="142" spans="1:24" hidden="1" x14ac:dyDescent="0.25">
      <c r="A142" s="1">
        <v>2026</v>
      </c>
      <c r="B142" s="52">
        <f t="shared" si="15"/>
        <v>46023</v>
      </c>
      <c r="C142" s="1">
        <v>31</v>
      </c>
      <c r="D142" s="1" t="s">
        <v>51</v>
      </c>
      <c r="E142" s="5">
        <v>46053</v>
      </c>
      <c r="F142" s="107">
        <v>759.41712500000006</v>
      </c>
      <c r="G142" s="107">
        <v>246.25412500000002</v>
      </c>
      <c r="H142" s="107">
        <v>232.40929166666672</v>
      </c>
      <c r="I142" s="107">
        <v>630.84449166666661</v>
      </c>
      <c r="J142" s="107">
        <v>1259.5043333333333</v>
      </c>
      <c r="K142" s="107">
        <v>1686.7084583333333</v>
      </c>
      <c r="L142" s="107">
        <v>3431.7760416666674</v>
      </c>
      <c r="M142" s="107">
        <v>669.37508333333346</v>
      </c>
      <c r="N142" s="108">
        <f t="shared" si="17"/>
        <v>8916.2889500000019</v>
      </c>
      <c r="O142" s="1">
        <v>1500</v>
      </c>
      <c r="P142" s="107">
        <v>911.92500000000007</v>
      </c>
      <c r="Q142" s="107">
        <v>1094.0991687500002</v>
      </c>
      <c r="R142" s="107">
        <v>3884.9299999999994</v>
      </c>
      <c r="S142" s="107">
        <v>1755</v>
      </c>
      <c r="T142" s="107">
        <v>0</v>
      </c>
      <c r="U142" s="107">
        <v>5978.0750416666642</v>
      </c>
      <c r="V142" s="107">
        <v>0</v>
      </c>
      <c r="W142" s="109">
        <f t="shared" si="18"/>
        <v>15124.029210416662</v>
      </c>
    </row>
    <row r="143" spans="1:24" hidden="1" x14ac:dyDescent="0.25">
      <c r="A143" s="1">
        <v>2026</v>
      </c>
      <c r="B143" s="52">
        <f t="shared" si="15"/>
        <v>46054</v>
      </c>
      <c r="C143" s="1">
        <v>28</v>
      </c>
      <c r="D143" s="1" t="s">
        <v>52</v>
      </c>
      <c r="E143" s="5">
        <v>46054</v>
      </c>
      <c r="F143" s="107">
        <v>879.46895833333349</v>
      </c>
      <c r="G143" s="107">
        <v>188.01020833333334</v>
      </c>
      <c r="H143" s="107">
        <v>201.61979166666666</v>
      </c>
      <c r="I143" s="107">
        <v>325.4264583333333</v>
      </c>
      <c r="J143" s="107">
        <v>1259.9862083333335</v>
      </c>
      <c r="K143" s="107">
        <v>1537.5087916666671</v>
      </c>
      <c r="L143" s="107">
        <v>3159.8437916666667</v>
      </c>
      <c r="M143" s="107">
        <v>690.79104166666662</v>
      </c>
      <c r="N143" s="108">
        <f t="shared" si="17"/>
        <v>8242.6552500000016</v>
      </c>
      <c r="O143" s="1">
        <v>1500</v>
      </c>
      <c r="P143" s="107">
        <v>910.875</v>
      </c>
      <c r="Q143" s="107">
        <v>1101.0857812500001</v>
      </c>
      <c r="R143" s="107">
        <v>3884.9299999999994</v>
      </c>
      <c r="S143" s="107">
        <v>1755</v>
      </c>
      <c r="T143" s="107">
        <v>0</v>
      </c>
      <c r="U143" s="107">
        <v>5826.4787500000011</v>
      </c>
      <c r="V143" s="107">
        <v>0</v>
      </c>
      <c r="W143" s="109">
        <f>+SUM(O143:V143)</f>
        <v>14978.369531250002</v>
      </c>
      <c r="X143" s="118"/>
    </row>
    <row r="144" spans="1:24" hidden="1" x14ac:dyDescent="0.25">
      <c r="A144" s="1">
        <v>2026</v>
      </c>
      <c r="B144" s="52">
        <f t="shared" si="15"/>
        <v>46054</v>
      </c>
      <c r="C144" s="1">
        <v>28</v>
      </c>
      <c r="D144" s="1" t="s">
        <v>53</v>
      </c>
      <c r="E144" s="5">
        <v>46055</v>
      </c>
      <c r="F144" s="107">
        <v>1003.4747916666665</v>
      </c>
      <c r="G144" s="107">
        <v>404.30758333333341</v>
      </c>
      <c r="H144" s="107">
        <v>321.69929166666668</v>
      </c>
      <c r="I144" s="107">
        <v>778.99350833333324</v>
      </c>
      <c r="J144" s="107">
        <v>1260.5552916666666</v>
      </c>
      <c r="K144" s="107">
        <v>1956.1752916666667</v>
      </c>
      <c r="L144" s="107">
        <v>3519.5624166666666</v>
      </c>
      <c r="M144" s="107">
        <v>573.30650000000003</v>
      </c>
      <c r="N144" s="108">
        <f t="shared" si="17"/>
        <v>9818.0746749999998</v>
      </c>
      <c r="O144" s="1">
        <v>1500</v>
      </c>
      <c r="P144" s="107">
        <v>901.59956250000016</v>
      </c>
      <c r="Q144" s="107">
        <v>1054.4367312500001</v>
      </c>
      <c r="R144" s="107">
        <v>3884.9299999999994</v>
      </c>
      <c r="S144" s="107">
        <v>1755</v>
      </c>
      <c r="T144" s="107">
        <v>0</v>
      </c>
      <c r="U144" s="107">
        <v>5884.8360416666692</v>
      </c>
      <c r="V144" s="107">
        <v>0</v>
      </c>
      <c r="W144" s="109">
        <f t="shared" ref="W144:W207" si="19">+SUM(O144:V144)</f>
        <v>14980.802335416669</v>
      </c>
      <c r="X144" s="118"/>
    </row>
    <row r="145" spans="1:24" hidden="1" x14ac:dyDescent="0.25">
      <c r="A145" s="1">
        <v>2026</v>
      </c>
      <c r="B145" s="52">
        <f t="shared" si="15"/>
        <v>46054</v>
      </c>
      <c r="C145" s="1">
        <v>28</v>
      </c>
      <c r="D145" s="1" t="s">
        <v>54</v>
      </c>
      <c r="E145" s="5">
        <v>46056</v>
      </c>
      <c r="F145" s="107">
        <v>883.89845833333345</v>
      </c>
      <c r="G145" s="107">
        <v>224.73874999999998</v>
      </c>
      <c r="H145" s="107">
        <v>398.28854166666673</v>
      </c>
      <c r="I145" s="107">
        <v>1505.3120500000002</v>
      </c>
      <c r="J145" s="107">
        <v>1259.5323333333336</v>
      </c>
      <c r="K145" s="107">
        <v>1362.7861666666668</v>
      </c>
      <c r="L145" s="107">
        <v>3983.9078749999994</v>
      </c>
      <c r="M145" s="107">
        <v>670.06266666666647</v>
      </c>
      <c r="N145" s="108">
        <f t="shared" si="17"/>
        <v>10288.526841666668</v>
      </c>
      <c r="O145" s="1">
        <v>1500</v>
      </c>
      <c r="P145" s="107">
        <v>886.04709375000004</v>
      </c>
      <c r="Q145" s="107">
        <v>1002.4727125000002</v>
      </c>
      <c r="R145" s="107">
        <v>3884.9299999999994</v>
      </c>
      <c r="S145" s="107">
        <v>1755</v>
      </c>
      <c r="T145" s="107">
        <v>0</v>
      </c>
      <c r="U145" s="107">
        <v>5880.2262083333353</v>
      </c>
      <c r="V145" s="107">
        <v>0</v>
      </c>
      <c r="W145" s="109">
        <f t="shared" si="19"/>
        <v>14908.676014583334</v>
      </c>
      <c r="X145" s="118"/>
    </row>
    <row r="146" spans="1:24" hidden="1" x14ac:dyDescent="0.25">
      <c r="A146" s="1">
        <v>2026</v>
      </c>
      <c r="B146" s="52">
        <f t="shared" si="15"/>
        <v>46054</v>
      </c>
      <c r="C146" s="1">
        <v>28</v>
      </c>
      <c r="D146" s="1" t="s">
        <v>55</v>
      </c>
      <c r="E146" s="5">
        <v>46057</v>
      </c>
      <c r="F146" s="107">
        <v>928.3341250000002</v>
      </c>
      <c r="G146" s="107">
        <v>100.20162499999999</v>
      </c>
      <c r="H146" s="107">
        <v>269.02900000000005</v>
      </c>
      <c r="I146" s="107">
        <v>485.22211874999999</v>
      </c>
      <c r="J146" s="107">
        <v>1259.1865416666667</v>
      </c>
      <c r="K146" s="107">
        <v>1572.6401250000004</v>
      </c>
      <c r="L146" s="107">
        <v>3489.0636249999998</v>
      </c>
      <c r="M146" s="107">
        <v>798.74416666666684</v>
      </c>
      <c r="N146" s="108">
        <f t="shared" si="17"/>
        <v>8902.4213270833334</v>
      </c>
      <c r="O146" s="1">
        <v>1500</v>
      </c>
      <c r="P146" s="107">
        <v>880.09053125000003</v>
      </c>
      <c r="Q146" s="107">
        <v>1004.0155125000001</v>
      </c>
      <c r="R146" s="107">
        <v>3884.9299999999994</v>
      </c>
      <c r="S146" s="107">
        <v>1755</v>
      </c>
      <c r="T146" s="107">
        <v>0</v>
      </c>
      <c r="U146" s="107">
        <v>5897.797125000001</v>
      </c>
      <c r="V146" s="107">
        <v>0</v>
      </c>
      <c r="W146" s="109">
        <f t="shared" si="19"/>
        <v>14921.833168749999</v>
      </c>
      <c r="X146" s="118"/>
    </row>
    <row r="147" spans="1:24" hidden="1" x14ac:dyDescent="0.25">
      <c r="A147" s="1">
        <v>2026</v>
      </c>
      <c r="B147" s="52">
        <f t="shared" si="15"/>
        <v>46054</v>
      </c>
      <c r="C147" s="1">
        <v>28</v>
      </c>
      <c r="D147" s="1" t="s">
        <v>56</v>
      </c>
      <c r="E147" s="5">
        <v>46058</v>
      </c>
      <c r="F147" s="107">
        <v>976.13387500000044</v>
      </c>
      <c r="G147" s="107">
        <v>119.56075</v>
      </c>
      <c r="H147" s="107">
        <v>221.77199999999999</v>
      </c>
      <c r="I147" s="107">
        <v>309.35740625</v>
      </c>
      <c r="J147" s="107">
        <v>1260.7903749999998</v>
      </c>
      <c r="K147" s="107">
        <v>1804.3054999999999</v>
      </c>
      <c r="L147" s="107">
        <v>3357.0459583333341</v>
      </c>
      <c r="M147" s="107">
        <v>852.00245833333349</v>
      </c>
      <c r="N147" s="108">
        <f t="shared" si="17"/>
        <v>8900.9683229166676</v>
      </c>
      <c r="O147" s="1">
        <v>1500</v>
      </c>
      <c r="P147" s="107">
        <v>875.61621875000003</v>
      </c>
      <c r="Q147" s="107">
        <v>1003.43630625</v>
      </c>
      <c r="R147" s="107">
        <v>3884.9299999999994</v>
      </c>
      <c r="S147" s="107">
        <v>1755</v>
      </c>
      <c r="T147" s="107">
        <v>0</v>
      </c>
      <c r="U147" s="107">
        <v>5967.4620833333347</v>
      </c>
      <c r="V147" s="107">
        <v>0</v>
      </c>
      <c r="W147" s="109">
        <f t="shared" si="19"/>
        <v>14986.444608333335</v>
      </c>
      <c r="X147" s="118"/>
    </row>
    <row r="148" spans="1:24" hidden="1" x14ac:dyDescent="0.25">
      <c r="A148" s="1">
        <v>2026</v>
      </c>
      <c r="B148" s="52">
        <f t="shared" si="15"/>
        <v>46054</v>
      </c>
      <c r="C148" s="1">
        <v>28</v>
      </c>
      <c r="D148" s="1" t="s">
        <v>57</v>
      </c>
      <c r="E148" s="5">
        <v>46059</v>
      </c>
      <c r="F148" s="107">
        <v>868.37454166666691</v>
      </c>
      <c r="G148" s="107">
        <v>171.58762499999997</v>
      </c>
      <c r="H148" s="107">
        <v>220.33975000000001</v>
      </c>
      <c r="I148" s="107">
        <v>248.72852499999999</v>
      </c>
      <c r="J148" s="107">
        <v>1261.3342916666666</v>
      </c>
      <c r="K148" s="107">
        <v>1825.5968333333342</v>
      </c>
      <c r="L148" s="107">
        <v>2904.6487083333332</v>
      </c>
      <c r="M148" s="107">
        <v>883.02641666666682</v>
      </c>
      <c r="N148" s="108">
        <f t="shared" si="17"/>
        <v>8383.6366916666684</v>
      </c>
      <c r="O148" s="1">
        <v>1500</v>
      </c>
      <c r="P148" s="107">
        <v>882.5184375</v>
      </c>
      <c r="Q148" s="107">
        <v>1022.4506250000001</v>
      </c>
      <c r="R148" s="107">
        <v>3884.9299999999994</v>
      </c>
      <c r="S148" s="107">
        <v>1755</v>
      </c>
      <c r="T148" s="107">
        <v>0</v>
      </c>
      <c r="U148" s="107">
        <v>5976.6535833333346</v>
      </c>
      <c r="V148" s="107">
        <v>0</v>
      </c>
      <c r="W148" s="109">
        <f t="shared" si="19"/>
        <v>15021.552645833333</v>
      </c>
      <c r="X148" s="118"/>
    </row>
    <row r="149" spans="1:24" hidden="1" x14ac:dyDescent="0.25">
      <c r="A149" s="1">
        <v>2026</v>
      </c>
      <c r="B149" s="52">
        <f t="shared" ref="B149:B170" si="20">DATE(A149,MONTH(E149),1)</f>
        <v>46054</v>
      </c>
      <c r="C149" s="1">
        <v>28</v>
      </c>
      <c r="D149" s="1" t="s">
        <v>51</v>
      </c>
      <c r="E149" s="5">
        <v>46060</v>
      </c>
      <c r="F149" s="107">
        <v>960.10620833333326</v>
      </c>
      <c r="G149" s="107">
        <v>206.06295833333334</v>
      </c>
      <c r="H149" s="107">
        <v>233.46274999999997</v>
      </c>
      <c r="I149" s="107">
        <v>352.72652916666669</v>
      </c>
      <c r="J149" s="107">
        <v>1260.1016249999998</v>
      </c>
      <c r="K149" s="107">
        <v>1532.5000833333334</v>
      </c>
      <c r="L149" s="107">
        <v>2924.2714583333336</v>
      </c>
      <c r="M149" s="107">
        <v>30.824333333333335</v>
      </c>
      <c r="N149" s="108">
        <f t="shared" si="17"/>
        <v>7500.0559458333328</v>
      </c>
      <c r="O149" s="1">
        <v>1500</v>
      </c>
      <c r="P149" s="107">
        <v>885.67500000000007</v>
      </c>
      <c r="Q149" s="107">
        <v>1009.30375</v>
      </c>
      <c r="R149" s="107">
        <v>3884.9299999999994</v>
      </c>
      <c r="S149" s="107">
        <v>1755</v>
      </c>
      <c r="T149" s="107">
        <v>0</v>
      </c>
      <c r="U149" s="107">
        <v>5894.6255833333325</v>
      </c>
      <c r="V149" s="107">
        <v>0</v>
      </c>
      <c r="W149" s="109">
        <f t="shared" si="19"/>
        <v>14929.534333333331</v>
      </c>
      <c r="X149" s="118"/>
    </row>
    <row r="150" spans="1:24" hidden="1" x14ac:dyDescent="0.25">
      <c r="A150" s="1">
        <v>2026</v>
      </c>
      <c r="B150" s="52">
        <f t="shared" si="20"/>
        <v>46054</v>
      </c>
      <c r="C150" s="1">
        <v>28</v>
      </c>
      <c r="D150" s="1" t="s">
        <v>52</v>
      </c>
      <c r="E150" s="5">
        <v>46061</v>
      </c>
      <c r="F150" s="107">
        <v>884.15129166666657</v>
      </c>
      <c r="G150" s="107">
        <v>278.48383333333334</v>
      </c>
      <c r="H150" s="107">
        <v>197.44658333333334</v>
      </c>
      <c r="I150" s="107">
        <v>411.52867916666662</v>
      </c>
      <c r="J150" s="107">
        <v>1259.4139166666666</v>
      </c>
      <c r="K150" s="107">
        <v>1727.6699999999994</v>
      </c>
      <c r="L150" s="107">
        <v>2600.0727083333331</v>
      </c>
      <c r="M150" s="107">
        <v>14.109083333333334</v>
      </c>
      <c r="N150" s="108">
        <f t="shared" si="17"/>
        <v>7372.8760958333323</v>
      </c>
      <c r="O150" s="1">
        <v>1500</v>
      </c>
      <c r="P150" s="107">
        <v>887.77500000000009</v>
      </c>
      <c r="Q150" s="107">
        <v>929.46</v>
      </c>
      <c r="R150" s="107">
        <v>3884.9299999999994</v>
      </c>
      <c r="S150" s="107">
        <v>1755</v>
      </c>
      <c r="T150" s="107">
        <v>0</v>
      </c>
      <c r="U150" s="107">
        <v>5794.0548750000016</v>
      </c>
      <c r="V150" s="107">
        <v>0</v>
      </c>
      <c r="W150" s="109">
        <f t="shared" si="19"/>
        <v>14751.219875000001</v>
      </c>
      <c r="X150" s="118"/>
    </row>
    <row r="151" spans="1:24" hidden="1" x14ac:dyDescent="0.25">
      <c r="A151" s="1">
        <v>2026</v>
      </c>
      <c r="B151" s="52">
        <f t="shared" si="20"/>
        <v>46054</v>
      </c>
      <c r="C151" s="1">
        <v>28</v>
      </c>
      <c r="D151" s="1" t="s">
        <v>53</v>
      </c>
      <c r="E151" s="5">
        <v>46062</v>
      </c>
      <c r="F151" s="107">
        <v>934.98987500000021</v>
      </c>
      <c r="G151" s="107">
        <v>189.79137500000002</v>
      </c>
      <c r="H151" s="107">
        <v>238.95337499999994</v>
      </c>
      <c r="I151" s="107">
        <v>561.85648125</v>
      </c>
      <c r="J151" s="107">
        <v>1260.0740833333332</v>
      </c>
      <c r="K151" s="107">
        <v>2033.2629583333335</v>
      </c>
      <c r="L151" s="107">
        <v>3425.1674583333347</v>
      </c>
      <c r="M151" s="107">
        <v>90.51766666666667</v>
      </c>
      <c r="N151" s="108">
        <f t="shared" si="17"/>
        <v>8734.6132729166675</v>
      </c>
      <c r="O151" s="1">
        <v>1500</v>
      </c>
      <c r="P151" s="107">
        <v>876.15500000000009</v>
      </c>
      <c r="Q151" s="107">
        <v>944.29868750000003</v>
      </c>
      <c r="R151" s="107">
        <v>3880.75</v>
      </c>
      <c r="S151" s="107">
        <v>1755</v>
      </c>
      <c r="T151" s="107">
        <v>0</v>
      </c>
      <c r="U151" s="107">
        <v>5973.7051249999986</v>
      </c>
      <c r="V151" s="107">
        <v>0</v>
      </c>
      <c r="W151" s="109">
        <f t="shared" si="19"/>
        <v>14929.9088125</v>
      </c>
      <c r="X151" s="118"/>
    </row>
    <row r="152" spans="1:24" hidden="1" x14ac:dyDescent="0.25">
      <c r="A152" s="1">
        <v>2026</v>
      </c>
      <c r="B152" s="52">
        <f t="shared" si="20"/>
        <v>46054</v>
      </c>
      <c r="C152" s="1">
        <v>28</v>
      </c>
      <c r="D152" s="1" t="s">
        <v>54</v>
      </c>
      <c r="E152" s="5">
        <v>46063</v>
      </c>
      <c r="F152" s="107">
        <v>1026.1190000000001</v>
      </c>
      <c r="G152" s="107">
        <v>184.89391666666666</v>
      </c>
      <c r="H152" s="107">
        <v>218.03445833333336</v>
      </c>
      <c r="I152" s="107">
        <v>750.21025000000009</v>
      </c>
      <c r="J152" s="107">
        <v>1259.9954583333333</v>
      </c>
      <c r="K152" s="107">
        <v>1824.8083750000001</v>
      </c>
      <c r="L152" s="107">
        <v>3740.0672499999991</v>
      </c>
      <c r="M152" s="107">
        <v>280.75962500000003</v>
      </c>
      <c r="N152" s="108">
        <f t="shared" si="17"/>
        <v>9284.8883333333342</v>
      </c>
      <c r="O152" s="1">
        <v>1500</v>
      </c>
      <c r="P152" s="107">
        <v>878.171875</v>
      </c>
      <c r="Q152" s="107">
        <v>1001.8588562500001</v>
      </c>
      <c r="R152" s="107">
        <v>3880.75</v>
      </c>
      <c r="S152" s="107">
        <v>1755</v>
      </c>
      <c r="T152" s="107">
        <v>0</v>
      </c>
      <c r="U152" s="107">
        <v>5963.0667916666653</v>
      </c>
      <c r="V152" s="107">
        <v>0</v>
      </c>
      <c r="W152" s="109">
        <f t="shared" si="19"/>
        <v>14978.847522916665</v>
      </c>
      <c r="X152" s="118"/>
    </row>
    <row r="153" spans="1:24" hidden="1" x14ac:dyDescent="0.25">
      <c r="A153" s="1">
        <v>2026</v>
      </c>
      <c r="B153" s="52">
        <f t="shared" si="20"/>
        <v>46054</v>
      </c>
      <c r="C153" s="1">
        <v>28</v>
      </c>
      <c r="D153" s="1" t="s">
        <v>55</v>
      </c>
      <c r="E153" s="5">
        <v>46064</v>
      </c>
      <c r="F153" s="107">
        <v>1018.7357916666666</v>
      </c>
      <c r="G153" s="107">
        <v>155.42699999999999</v>
      </c>
      <c r="H153" s="107">
        <v>228.10320833333336</v>
      </c>
      <c r="I153" s="107">
        <v>178.80706041666667</v>
      </c>
      <c r="J153" s="107">
        <v>1261.8914166666668</v>
      </c>
      <c r="K153" s="107">
        <v>2386.7943333333333</v>
      </c>
      <c r="L153" s="107">
        <v>3298.5889166666666</v>
      </c>
      <c r="M153" s="107">
        <v>37.144874999999999</v>
      </c>
      <c r="N153" s="108">
        <f t="shared" si="17"/>
        <v>8565.4926020833336</v>
      </c>
      <c r="O153" s="1">
        <v>1500</v>
      </c>
      <c r="P153" s="107">
        <v>885.20031250000011</v>
      </c>
      <c r="Q153" s="107">
        <v>968.36818750000009</v>
      </c>
      <c r="R153" s="107">
        <v>3842.75</v>
      </c>
      <c r="S153" s="107">
        <v>1755</v>
      </c>
      <c r="T153" s="107">
        <v>0</v>
      </c>
      <c r="U153" s="107">
        <v>5998.4354583333334</v>
      </c>
      <c r="V153" s="107">
        <v>0</v>
      </c>
      <c r="W153" s="109">
        <f t="shared" si="19"/>
        <v>14949.753958333335</v>
      </c>
      <c r="X153" s="118"/>
    </row>
    <row r="154" spans="1:24" hidden="1" x14ac:dyDescent="0.25">
      <c r="A154" s="1">
        <v>2026</v>
      </c>
      <c r="B154" s="52">
        <f t="shared" si="20"/>
        <v>46054</v>
      </c>
      <c r="C154" s="1">
        <v>28</v>
      </c>
      <c r="D154" s="1" t="s">
        <v>56</v>
      </c>
      <c r="E154" s="5">
        <v>46065</v>
      </c>
      <c r="F154" s="107">
        <v>1009.9837500000002</v>
      </c>
      <c r="G154" s="107">
        <v>194.87545833333328</v>
      </c>
      <c r="H154" s="107">
        <v>217.82741666666661</v>
      </c>
      <c r="I154" s="107">
        <v>427.93102291666668</v>
      </c>
      <c r="J154" s="107">
        <v>1262.40825</v>
      </c>
      <c r="K154" s="107">
        <v>2119.883249999999</v>
      </c>
      <c r="L154" s="107">
        <v>3394.5677083333339</v>
      </c>
      <c r="M154" s="107">
        <v>31.511541666666666</v>
      </c>
      <c r="N154" s="108">
        <f t="shared" si="17"/>
        <v>8658.9883979166661</v>
      </c>
      <c r="O154" s="1">
        <v>1500</v>
      </c>
      <c r="P154" s="107">
        <v>889.06190625000011</v>
      </c>
      <c r="Q154" s="107">
        <v>1002.4350000000001</v>
      </c>
      <c r="R154" s="107">
        <v>3842.75</v>
      </c>
      <c r="S154" s="107">
        <v>1755</v>
      </c>
      <c r="T154" s="107">
        <v>0</v>
      </c>
      <c r="U154" s="107">
        <v>6031.6630000000005</v>
      </c>
      <c r="V154" s="107">
        <v>0</v>
      </c>
      <c r="W154" s="109">
        <f t="shared" si="19"/>
        <v>15020.909906250001</v>
      </c>
      <c r="X154" s="118"/>
    </row>
    <row r="155" spans="1:24" hidden="1" x14ac:dyDescent="0.25">
      <c r="A155" s="1">
        <v>2026</v>
      </c>
      <c r="B155" s="52">
        <f t="shared" si="20"/>
        <v>46054</v>
      </c>
      <c r="C155" s="1">
        <v>28</v>
      </c>
      <c r="D155" s="1" t="s">
        <v>57</v>
      </c>
      <c r="E155" s="5">
        <v>46066</v>
      </c>
      <c r="F155" s="107">
        <v>1053.8968333333335</v>
      </c>
      <c r="G155" s="107">
        <v>184.83220833333334</v>
      </c>
      <c r="H155" s="107">
        <v>259.66075000000001</v>
      </c>
      <c r="I155" s="107">
        <v>511.99240624999993</v>
      </c>
      <c r="J155" s="107">
        <v>1263.4394166666666</v>
      </c>
      <c r="K155" s="107">
        <v>1498.6424999999995</v>
      </c>
      <c r="L155" s="107">
        <v>2919.3523750000008</v>
      </c>
      <c r="M155" s="107">
        <v>16.079125000000005</v>
      </c>
      <c r="N155" s="108">
        <f t="shared" si="17"/>
        <v>7707.8956145833326</v>
      </c>
      <c r="O155" s="1">
        <v>1500</v>
      </c>
      <c r="P155" s="107">
        <v>891.12034375000007</v>
      </c>
      <c r="Q155" s="107">
        <v>1004.600625</v>
      </c>
      <c r="R155" s="107">
        <v>3842.75</v>
      </c>
      <c r="S155" s="107">
        <v>1755</v>
      </c>
      <c r="T155" s="107">
        <v>0</v>
      </c>
      <c r="U155" s="107">
        <v>5978.9869166666667</v>
      </c>
      <c r="V155" s="107">
        <v>0</v>
      </c>
      <c r="W155" s="109">
        <f t="shared" si="19"/>
        <v>14972.457885416667</v>
      </c>
      <c r="X155" s="118"/>
    </row>
    <row r="156" spans="1:24" hidden="1" x14ac:dyDescent="0.25">
      <c r="A156" s="1">
        <v>2026</v>
      </c>
      <c r="B156" s="52">
        <f t="shared" si="20"/>
        <v>46054</v>
      </c>
      <c r="C156" s="1">
        <v>28</v>
      </c>
      <c r="D156" s="1" t="s">
        <v>51</v>
      </c>
      <c r="E156" s="5">
        <v>46067</v>
      </c>
      <c r="F156" s="107">
        <v>936.7266666666668</v>
      </c>
      <c r="G156" s="107">
        <v>240.67937500000002</v>
      </c>
      <c r="H156" s="107">
        <v>228.60125000000002</v>
      </c>
      <c r="I156" s="107">
        <v>554.85145833333343</v>
      </c>
      <c r="J156" s="107">
        <v>1267.7239999999997</v>
      </c>
      <c r="K156" s="107">
        <v>1953.3792916666673</v>
      </c>
      <c r="L156" s="107">
        <v>2311.3054166666666</v>
      </c>
      <c r="M156" s="107">
        <v>30.478666666666669</v>
      </c>
      <c r="N156" s="108">
        <f t="shared" si="17"/>
        <v>7523.7461250000006</v>
      </c>
      <c r="O156" s="1">
        <v>1500</v>
      </c>
      <c r="P156" s="107">
        <v>901.42500000000007</v>
      </c>
      <c r="Q156" s="107">
        <v>1001.3163125000002</v>
      </c>
      <c r="R156" s="107">
        <v>3842.75</v>
      </c>
      <c r="S156" s="107">
        <v>1755</v>
      </c>
      <c r="T156" s="107">
        <v>0</v>
      </c>
      <c r="U156" s="107">
        <v>5949.0220416666689</v>
      </c>
      <c r="V156" s="107">
        <v>0</v>
      </c>
      <c r="W156" s="109">
        <f t="shared" si="19"/>
        <v>14949.513354166669</v>
      </c>
      <c r="X156" s="118"/>
    </row>
    <row r="157" spans="1:24" hidden="1" x14ac:dyDescent="0.25">
      <c r="A157" s="1">
        <v>2026</v>
      </c>
      <c r="B157" s="52">
        <f t="shared" si="20"/>
        <v>46054</v>
      </c>
      <c r="C157" s="1">
        <v>28</v>
      </c>
      <c r="D157" s="1" t="s">
        <v>52</v>
      </c>
      <c r="E157" s="5">
        <v>46068</v>
      </c>
      <c r="F157" s="107">
        <v>714.62225000000024</v>
      </c>
      <c r="G157" s="107">
        <v>233.94191666666666</v>
      </c>
      <c r="H157" s="107">
        <v>236.83174999999997</v>
      </c>
      <c r="I157" s="107">
        <v>543.20726875000003</v>
      </c>
      <c r="J157" s="107">
        <v>1268.0205000000001</v>
      </c>
      <c r="K157" s="107">
        <v>1733.5371666666674</v>
      </c>
      <c r="L157" s="107">
        <v>2483.9324166666665</v>
      </c>
      <c r="M157" s="107">
        <v>73.691791666666674</v>
      </c>
      <c r="N157" s="108">
        <f t="shared" si="17"/>
        <v>7287.7850604166679</v>
      </c>
      <c r="O157" s="1">
        <v>1500</v>
      </c>
      <c r="P157" s="107">
        <v>901.42500000000007</v>
      </c>
      <c r="Q157" s="107">
        <v>1030.369375</v>
      </c>
      <c r="R157" s="107">
        <v>3842.75</v>
      </c>
      <c r="S157" s="107">
        <v>1755</v>
      </c>
      <c r="T157" s="107">
        <v>0</v>
      </c>
      <c r="U157" s="107">
        <v>6019.5953750000008</v>
      </c>
      <c r="V157" s="107">
        <v>0</v>
      </c>
      <c r="W157" s="109">
        <f t="shared" si="19"/>
        <v>15049.139750000002</v>
      </c>
      <c r="X157" s="118"/>
    </row>
    <row r="158" spans="1:24" hidden="1" x14ac:dyDescent="0.25">
      <c r="A158" s="1">
        <v>2026</v>
      </c>
      <c r="B158" s="52">
        <f t="shared" si="20"/>
        <v>46054</v>
      </c>
      <c r="C158" s="1">
        <v>28</v>
      </c>
      <c r="D158" s="1" t="s">
        <v>53</v>
      </c>
      <c r="E158" s="5">
        <v>46069</v>
      </c>
      <c r="F158" s="107">
        <v>805.0565416666667</v>
      </c>
      <c r="G158" s="107">
        <v>177.24362500000004</v>
      </c>
      <c r="H158" s="107">
        <v>222.89524999999998</v>
      </c>
      <c r="I158" s="107">
        <v>530.92420416666664</v>
      </c>
      <c r="J158" s="107">
        <v>1267.2785416666666</v>
      </c>
      <c r="K158" s="107">
        <v>2175.306208333333</v>
      </c>
      <c r="L158" s="107">
        <v>2857.2457083333329</v>
      </c>
      <c r="M158" s="107">
        <v>13.962541666666667</v>
      </c>
      <c r="N158" s="108">
        <f t="shared" si="17"/>
        <v>8049.9126208333328</v>
      </c>
      <c r="O158" s="1">
        <v>1500</v>
      </c>
      <c r="P158" s="107">
        <v>901.42500000000007</v>
      </c>
      <c r="Q158" s="107">
        <v>1066.2588125</v>
      </c>
      <c r="R158" s="107">
        <v>3842.75</v>
      </c>
      <c r="S158" s="107">
        <v>1755</v>
      </c>
      <c r="T158" s="107">
        <v>0</v>
      </c>
      <c r="U158" s="107">
        <v>5933.8305</v>
      </c>
      <c r="V158" s="107">
        <v>0</v>
      </c>
      <c r="W158" s="109">
        <f t="shared" si="19"/>
        <v>14999.2643125</v>
      </c>
      <c r="X158" s="118"/>
    </row>
    <row r="159" spans="1:24" hidden="1" x14ac:dyDescent="0.25">
      <c r="A159" s="1">
        <v>2026</v>
      </c>
      <c r="B159" s="52">
        <f t="shared" si="20"/>
        <v>46054</v>
      </c>
      <c r="C159" s="1">
        <v>28</v>
      </c>
      <c r="D159" s="1" t="s">
        <v>54</v>
      </c>
      <c r="E159" s="5">
        <v>46070</v>
      </c>
      <c r="F159" s="107">
        <v>742.75199999999984</v>
      </c>
      <c r="G159" s="107">
        <v>322.23754166666669</v>
      </c>
      <c r="H159" s="107">
        <v>247.051625</v>
      </c>
      <c r="I159" s="107">
        <v>473.06876875</v>
      </c>
      <c r="J159" s="107">
        <v>1269.5645416666669</v>
      </c>
      <c r="K159" s="107">
        <v>2144.5552083333328</v>
      </c>
      <c r="L159" s="107">
        <v>3251.2840833333335</v>
      </c>
      <c r="M159" s="107">
        <v>15.519666666666666</v>
      </c>
      <c r="N159" s="108">
        <f t="shared" si="17"/>
        <v>8466.033435416668</v>
      </c>
      <c r="O159" s="1">
        <v>1500</v>
      </c>
      <c r="P159" s="107">
        <v>904.05000000000007</v>
      </c>
      <c r="Q159" s="107">
        <v>1041.3287500000001</v>
      </c>
      <c r="R159" s="107">
        <v>3842.75</v>
      </c>
      <c r="S159" s="107">
        <v>1755</v>
      </c>
      <c r="T159" s="107">
        <v>0</v>
      </c>
      <c r="U159" s="107">
        <v>5733.9907916666671</v>
      </c>
      <c r="V159" s="107">
        <v>0</v>
      </c>
      <c r="W159" s="109">
        <f t="shared" si="19"/>
        <v>14777.119541666667</v>
      </c>
      <c r="X159" s="118"/>
    </row>
    <row r="160" spans="1:24" hidden="1" x14ac:dyDescent="0.25">
      <c r="A160" s="1">
        <v>2026</v>
      </c>
      <c r="B160" s="52">
        <f t="shared" si="20"/>
        <v>46054</v>
      </c>
      <c r="C160" s="1">
        <v>28</v>
      </c>
      <c r="D160" s="1" t="s">
        <v>55</v>
      </c>
      <c r="E160" s="5">
        <v>46071</v>
      </c>
      <c r="F160" s="107">
        <v>1091.6117916666667</v>
      </c>
      <c r="G160" s="107">
        <v>528.54224999999997</v>
      </c>
      <c r="H160" s="107">
        <v>280.563875</v>
      </c>
      <c r="I160" s="107">
        <v>910.22460833333344</v>
      </c>
      <c r="J160" s="107">
        <v>1267.6199166666668</v>
      </c>
      <c r="K160" s="107">
        <v>1737.3682499999993</v>
      </c>
      <c r="L160" s="107">
        <v>4097.5842083333346</v>
      </c>
      <c r="M160" s="107">
        <v>12.435333333333336</v>
      </c>
      <c r="N160" s="108">
        <f t="shared" si="17"/>
        <v>9925.9502333333348</v>
      </c>
      <c r="O160" s="1">
        <v>1500</v>
      </c>
      <c r="P160" s="107">
        <v>895.88843750000001</v>
      </c>
      <c r="Q160" s="107">
        <v>1066.73</v>
      </c>
      <c r="R160" s="107">
        <v>3842.75</v>
      </c>
      <c r="S160" s="107">
        <v>1755</v>
      </c>
      <c r="T160" s="107">
        <v>0</v>
      </c>
      <c r="U160" s="107">
        <v>5873.3015833333338</v>
      </c>
      <c r="V160" s="107">
        <v>0</v>
      </c>
      <c r="W160" s="109">
        <f t="shared" si="19"/>
        <v>14933.670020833333</v>
      </c>
      <c r="X160" s="118"/>
    </row>
    <row r="161" spans="1:24" hidden="1" x14ac:dyDescent="0.25">
      <c r="A161" s="1">
        <v>2026</v>
      </c>
      <c r="B161" s="52">
        <f t="shared" si="20"/>
        <v>46054</v>
      </c>
      <c r="C161" s="1">
        <v>28</v>
      </c>
      <c r="D161" s="1" t="s">
        <v>56</v>
      </c>
      <c r="E161" s="5">
        <v>46072</v>
      </c>
      <c r="F161" s="107">
        <v>1014.3590833333333</v>
      </c>
      <c r="G161" s="107">
        <v>294.43579166666672</v>
      </c>
      <c r="H161" s="107">
        <v>256.70187499999997</v>
      </c>
      <c r="I161" s="107">
        <v>188.40122916666667</v>
      </c>
      <c r="J161" s="107">
        <v>1268.6027916666667</v>
      </c>
      <c r="K161" s="107">
        <v>1501.606541666667</v>
      </c>
      <c r="L161" s="107">
        <v>3404.0231666666659</v>
      </c>
      <c r="M161" s="107">
        <v>18.346374999999998</v>
      </c>
      <c r="N161" s="108">
        <f t="shared" si="17"/>
        <v>7946.4768541666663</v>
      </c>
      <c r="O161" s="1">
        <v>1500</v>
      </c>
      <c r="P161" s="107">
        <v>897.75</v>
      </c>
      <c r="Q161" s="107">
        <v>1083.744375</v>
      </c>
      <c r="R161" s="107">
        <v>3842.75</v>
      </c>
      <c r="S161" s="107">
        <v>1755</v>
      </c>
      <c r="T161" s="107">
        <v>0</v>
      </c>
      <c r="U161" s="107">
        <v>5733.5138750000006</v>
      </c>
      <c r="V161" s="107">
        <v>0</v>
      </c>
      <c r="W161" s="109">
        <f t="shared" si="19"/>
        <v>14812.758250000001</v>
      </c>
      <c r="X161" s="118"/>
    </row>
    <row r="162" spans="1:24" hidden="1" x14ac:dyDescent="0.25">
      <c r="A162" s="1">
        <v>2026</v>
      </c>
      <c r="B162" s="52">
        <f t="shared" si="20"/>
        <v>46054</v>
      </c>
      <c r="C162" s="1">
        <v>28</v>
      </c>
      <c r="D162" s="1" t="s">
        <v>57</v>
      </c>
      <c r="E162" s="5">
        <v>46073</v>
      </c>
      <c r="F162" s="107">
        <v>1084.1750416666666</v>
      </c>
      <c r="G162" s="107">
        <v>259.16520833333334</v>
      </c>
      <c r="H162" s="107">
        <v>232.22529166666666</v>
      </c>
      <c r="I162" s="107">
        <v>330.93725000000006</v>
      </c>
      <c r="J162" s="107">
        <v>1268.4420833333334</v>
      </c>
      <c r="K162" s="107">
        <v>1550.151583333334</v>
      </c>
      <c r="L162" s="107">
        <v>3171.590333333334</v>
      </c>
      <c r="M162" s="107">
        <v>13.371916666666667</v>
      </c>
      <c r="N162" s="108">
        <f t="shared" si="17"/>
        <v>7910.0587083333357</v>
      </c>
      <c r="O162" s="1">
        <v>1500</v>
      </c>
      <c r="P162" s="107">
        <v>904.30375000000004</v>
      </c>
      <c r="Q162" s="107">
        <v>1097.8887500000001</v>
      </c>
      <c r="R162" s="107">
        <v>3842.75</v>
      </c>
      <c r="S162" s="107">
        <v>1755</v>
      </c>
      <c r="T162" s="107">
        <v>0</v>
      </c>
      <c r="U162" s="107">
        <v>5909.0230000000029</v>
      </c>
      <c r="V162" s="107">
        <v>0</v>
      </c>
      <c r="W162" s="109">
        <f t="shared" si="19"/>
        <v>15008.965500000004</v>
      </c>
      <c r="X162" s="118"/>
    </row>
    <row r="163" spans="1:24" hidden="1" x14ac:dyDescent="0.25">
      <c r="A163" s="1">
        <v>2026</v>
      </c>
      <c r="B163" s="52">
        <f t="shared" si="20"/>
        <v>46054</v>
      </c>
      <c r="C163" s="1">
        <v>28</v>
      </c>
      <c r="D163" s="1" t="s">
        <v>51</v>
      </c>
      <c r="E163" s="5">
        <v>46074</v>
      </c>
      <c r="F163" s="107">
        <v>872.90354166666668</v>
      </c>
      <c r="G163" s="107">
        <v>457.10600000000005</v>
      </c>
      <c r="H163" s="107">
        <v>243.5410416666667</v>
      </c>
      <c r="I163" s="107">
        <v>277.12976458333327</v>
      </c>
      <c r="J163" s="107">
        <v>1268.3104583333334</v>
      </c>
      <c r="K163" s="107">
        <v>1658.7691250000003</v>
      </c>
      <c r="L163" s="107">
        <v>2817.1160833333342</v>
      </c>
      <c r="M163" s="107">
        <v>35.326458333333335</v>
      </c>
      <c r="N163" s="108">
        <f t="shared" si="17"/>
        <v>7630.2024729166678</v>
      </c>
      <c r="O163" s="1">
        <v>1500</v>
      </c>
      <c r="P163" s="107">
        <v>920.32500000000005</v>
      </c>
      <c r="Q163" s="107">
        <v>1096.6506250000002</v>
      </c>
      <c r="R163" s="107">
        <v>3840.85</v>
      </c>
      <c r="S163" s="107">
        <v>1755</v>
      </c>
      <c r="T163" s="107">
        <v>0</v>
      </c>
      <c r="U163" s="107">
        <v>5938.5679166666687</v>
      </c>
      <c r="V163" s="107">
        <v>0</v>
      </c>
      <c r="W163" s="109">
        <f t="shared" si="19"/>
        <v>15051.393541666668</v>
      </c>
      <c r="X163" s="118"/>
    </row>
    <row r="164" spans="1:24" hidden="1" x14ac:dyDescent="0.25">
      <c r="A164" s="1">
        <v>2026</v>
      </c>
      <c r="B164" s="52">
        <f t="shared" si="20"/>
        <v>46054</v>
      </c>
      <c r="C164" s="1">
        <v>28</v>
      </c>
      <c r="D164" s="1" t="s">
        <v>52</v>
      </c>
      <c r="E164" s="5">
        <v>46075</v>
      </c>
      <c r="F164" s="107">
        <v>774.39870833333327</v>
      </c>
      <c r="G164" s="107">
        <v>271.91370833333332</v>
      </c>
      <c r="H164" s="107">
        <v>232.8137916666667</v>
      </c>
      <c r="I164" s="107">
        <v>197.11910208333336</v>
      </c>
      <c r="J164" s="107">
        <v>1265.480125</v>
      </c>
      <c r="K164" s="107">
        <v>1609.6693749999999</v>
      </c>
      <c r="L164" s="107">
        <v>2638.7917499999994</v>
      </c>
      <c r="M164" s="107">
        <v>76.099958333333333</v>
      </c>
      <c r="N164" s="108">
        <f t="shared" si="17"/>
        <v>7066.2865187499992</v>
      </c>
      <c r="O164" s="1">
        <v>1500</v>
      </c>
      <c r="P164" s="107">
        <v>924.52500000000009</v>
      </c>
      <c r="Q164" s="107">
        <v>1088.6687000000002</v>
      </c>
      <c r="R164" s="107">
        <v>3840.85</v>
      </c>
      <c r="S164" s="107">
        <v>1755</v>
      </c>
      <c r="T164" s="107">
        <v>0</v>
      </c>
      <c r="U164" s="107">
        <v>5717.3965000000026</v>
      </c>
      <c r="V164" s="107">
        <v>0</v>
      </c>
      <c r="W164" s="109">
        <f t="shared" si="19"/>
        <v>14826.440200000003</v>
      </c>
      <c r="X164" s="118"/>
    </row>
    <row r="165" spans="1:24" hidden="1" x14ac:dyDescent="0.25">
      <c r="A165" s="1">
        <v>2026</v>
      </c>
      <c r="B165" s="52">
        <f t="shared" si="20"/>
        <v>46054</v>
      </c>
      <c r="C165" s="1">
        <v>28</v>
      </c>
      <c r="D165" s="1" t="s">
        <v>53</v>
      </c>
      <c r="E165" s="5">
        <v>46076</v>
      </c>
      <c r="F165" s="107">
        <v>960.59345833333339</v>
      </c>
      <c r="G165" s="107">
        <v>428.80391666666668</v>
      </c>
      <c r="H165" s="107">
        <v>239.70120833333334</v>
      </c>
      <c r="I165" s="107">
        <v>726.44390208333334</v>
      </c>
      <c r="J165" s="107">
        <v>1231.6792916666668</v>
      </c>
      <c r="K165" s="107">
        <v>1637.4837499999992</v>
      </c>
      <c r="L165" s="107">
        <v>3450.8332499999997</v>
      </c>
      <c r="M165" s="107">
        <v>52.80854166666667</v>
      </c>
      <c r="N165" s="108">
        <f t="shared" si="17"/>
        <v>8728.3473187500003</v>
      </c>
      <c r="O165" s="1">
        <v>1500</v>
      </c>
      <c r="P165" s="107">
        <v>924.52500000000009</v>
      </c>
      <c r="Q165" s="107">
        <v>1031.3449125</v>
      </c>
      <c r="R165" s="107">
        <v>3840.85</v>
      </c>
      <c r="S165" s="107">
        <v>1755</v>
      </c>
      <c r="T165" s="107">
        <v>0</v>
      </c>
      <c r="U165" s="107">
        <v>5674.3176250000015</v>
      </c>
      <c r="V165" s="107">
        <v>0</v>
      </c>
      <c r="W165" s="109">
        <f t="shared" si="19"/>
        <v>14726.037537500002</v>
      </c>
      <c r="X165" s="118"/>
    </row>
    <row r="166" spans="1:24" hidden="1" x14ac:dyDescent="0.25">
      <c r="A166" s="1">
        <v>2026</v>
      </c>
      <c r="B166" s="52">
        <f t="shared" si="20"/>
        <v>46054</v>
      </c>
      <c r="C166" s="1">
        <v>28</v>
      </c>
      <c r="D166" s="1" t="s">
        <v>54</v>
      </c>
      <c r="E166" s="5">
        <v>46077</v>
      </c>
      <c r="F166" s="107">
        <v>1217.1415416666669</v>
      </c>
      <c r="G166" s="107">
        <v>272.04774999999995</v>
      </c>
      <c r="H166" s="107">
        <v>254.02233333333334</v>
      </c>
      <c r="I166" s="107">
        <v>449.02355624999996</v>
      </c>
      <c r="J166" s="107">
        <v>1121.1861249999999</v>
      </c>
      <c r="K166" s="107">
        <v>2126.9320833333331</v>
      </c>
      <c r="L166" s="107">
        <v>3287.2606249999999</v>
      </c>
      <c r="M166" s="107">
        <v>14.231166666666665</v>
      </c>
      <c r="N166" s="108">
        <f t="shared" si="17"/>
        <v>8741.8451812500007</v>
      </c>
      <c r="O166" s="1">
        <v>1500</v>
      </c>
      <c r="P166" s="107">
        <v>915.49062500000002</v>
      </c>
      <c r="Q166" s="107">
        <v>982.56506250000007</v>
      </c>
      <c r="R166" s="107">
        <v>3838</v>
      </c>
      <c r="S166" s="107">
        <v>1755</v>
      </c>
      <c r="T166" s="107">
        <v>0</v>
      </c>
      <c r="U166" s="107">
        <v>5637.4479583333359</v>
      </c>
      <c r="V166" s="107">
        <v>0</v>
      </c>
      <c r="W166" s="109">
        <f t="shared" si="19"/>
        <v>14628.503645833336</v>
      </c>
      <c r="X166" s="118"/>
    </row>
    <row r="167" spans="1:24" hidden="1" x14ac:dyDescent="0.25">
      <c r="A167" s="1">
        <v>2026</v>
      </c>
      <c r="B167" s="52">
        <f t="shared" si="20"/>
        <v>46054</v>
      </c>
      <c r="C167" s="1">
        <v>28</v>
      </c>
      <c r="D167" s="1" t="s">
        <v>55</v>
      </c>
      <c r="E167" s="5">
        <v>46078</v>
      </c>
      <c r="F167" s="107">
        <v>1378.4297083333333</v>
      </c>
      <c r="G167" s="107">
        <v>210.33562500000002</v>
      </c>
      <c r="H167" s="107">
        <v>229.35966666666667</v>
      </c>
      <c r="I167" s="107">
        <v>241.48184583333332</v>
      </c>
      <c r="J167" s="107">
        <v>1103.2305000000001</v>
      </c>
      <c r="K167" s="107">
        <v>1413.6324999999999</v>
      </c>
      <c r="L167" s="107">
        <v>2813.8722083333332</v>
      </c>
      <c r="M167" s="107">
        <v>49.008749999999999</v>
      </c>
      <c r="N167" s="108">
        <f t="shared" si="17"/>
        <v>7439.3508041666664</v>
      </c>
      <c r="O167" s="1">
        <v>1500</v>
      </c>
      <c r="P167" s="107">
        <v>916.125</v>
      </c>
      <c r="Q167" s="107">
        <v>1040.108125</v>
      </c>
      <c r="R167" s="107">
        <v>3838</v>
      </c>
      <c r="S167" s="107">
        <v>1755</v>
      </c>
      <c r="T167" s="107">
        <v>0</v>
      </c>
      <c r="U167" s="107">
        <v>5744.8826250000011</v>
      </c>
      <c r="V167" s="107">
        <v>0</v>
      </c>
      <c r="W167" s="109">
        <f t="shared" si="19"/>
        <v>14794.115750000001</v>
      </c>
      <c r="X167" s="118"/>
    </row>
    <row r="168" spans="1:24" hidden="1" x14ac:dyDescent="0.25">
      <c r="A168" s="1">
        <v>2026</v>
      </c>
      <c r="B168" s="52">
        <f t="shared" si="20"/>
        <v>46054</v>
      </c>
      <c r="C168" s="1">
        <v>28</v>
      </c>
      <c r="D168" s="1" t="s">
        <v>56</v>
      </c>
      <c r="E168" s="5">
        <v>46079</v>
      </c>
      <c r="F168" s="107">
        <v>1394.9765416666669</v>
      </c>
      <c r="G168" s="107">
        <v>197.99112500000001</v>
      </c>
      <c r="H168" s="107">
        <v>221.41529166666672</v>
      </c>
      <c r="I168" s="107">
        <v>505.9331479166666</v>
      </c>
      <c r="J168" s="107">
        <v>1105.1476250000001</v>
      </c>
      <c r="K168" s="107">
        <v>1555.603791666666</v>
      </c>
      <c r="L168" s="107">
        <v>2391.2043333333331</v>
      </c>
      <c r="M168" s="107">
        <v>18.108291666666666</v>
      </c>
      <c r="N168" s="108">
        <f t="shared" si="17"/>
        <v>7390.3801479166659</v>
      </c>
      <c r="O168" s="1">
        <v>1500</v>
      </c>
      <c r="P168" s="107">
        <v>919.80000000000007</v>
      </c>
      <c r="Q168" s="107">
        <v>990.45625000000007</v>
      </c>
      <c r="R168" s="107">
        <v>3838</v>
      </c>
      <c r="S168" s="107">
        <v>1755</v>
      </c>
      <c r="T168" s="107">
        <v>0</v>
      </c>
      <c r="U168" s="107">
        <v>5380.2857500000009</v>
      </c>
      <c r="V168" s="107">
        <v>0</v>
      </c>
      <c r="W168" s="109">
        <f t="shared" si="19"/>
        <v>14383.542000000001</v>
      </c>
      <c r="X168" s="118"/>
    </row>
    <row r="169" spans="1:24" hidden="1" x14ac:dyDescent="0.25">
      <c r="A169" s="1">
        <v>2026</v>
      </c>
      <c r="B169" s="52">
        <f t="shared" si="20"/>
        <v>46054</v>
      </c>
      <c r="C169" s="1">
        <v>28</v>
      </c>
      <c r="D169" s="1" t="s">
        <v>57</v>
      </c>
      <c r="E169" s="5">
        <v>46080</v>
      </c>
      <c r="F169" s="107">
        <v>1159.1454583333332</v>
      </c>
      <c r="G169" s="107">
        <v>168.40629166666665</v>
      </c>
      <c r="H169" s="107">
        <v>234.35808333333335</v>
      </c>
      <c r="I169" s="107">
        <v>364.11924583333337</v>
      </c>
      <c r="J169" s="107">
        <v>1102.8513750000002</v>
      </c>
      <c r="K169" s="107">
        <v>1850.8102916666664</v>
      </c>
      <c r="L169" s="107">
        <v>2361.8513333333335</v>
      </c>
      <c r="M169" s="107">
        <v>25.324125000000002</v>
      </c>
      <c r="N169" s="108">
        <f t="shared" si="17"/>
        <v>7266.8662041666676</v>
      </c>
      <c r="O169" s="1">
        <v>1500</v>
      </c>
      <c r="P169" s="107">
        <v>907.62743749999981</v>
      </c>
      <c r="Q169" s="107">
        <v>1033.782925</v>
      </c>
      <c r="R169" s="107">
        <v>3838</v>
      </c>
      <c r="S169" s="107">
        <v>1755</v>
      </c>
      <c r="T169" s="107">
        <v>0</v>
      </c>
      <c r="U169" s="107">
        <v>5387.2722500000009</v>
      </c>
      <c r="V169" s="107">
        <v>0</v>
      </c>
      <c r="W169" s="109">
        <f t="shared" si="19"/>
        <v>14421.682612500001</v>
      </c>
      <c r="X169" s="118"/>
    </row>
    <row r="170" spans="1:24" hidden="1" x14ac:dyDescent="0.25">
      <c r="A170" s="1">
        <v>2026</v>
      </c>
      <c r="B170" s="52">
        <f t="shared" si="20"/>
        <v>46054</v>
      </c>
      <c r="C170" s="1">
        <v>28</v>
      </c>
      <c r="D170" s="1" t="s">
        <v>51</v>
      </c>
      <c r="E170" s="5">
        <v>46081</v>
      </c>
      <c r="F170" s="107">
        <v>1007.0386250000001</v>
      </c>
      <c r="G170" s="107">
        <v>210.34870833333335</v>
      </c>
      <c r="H170" s="107">
        <v>231.08125000000001</v>
      </c>
      <c r="I170" s="107">
        <v>337.60340000000002</v>
      </c>
      <c r="J170" s="107">
        <v>1104.0420833333335</v>
      </c>
      <c r="K170" s="107">
        <v>2091.6843333333331</v>
      </c>
      <c r="L170" s="107">
        <v>2468.9261666666666</v>
      </c>
      <c r="M170" s="107">
        <v>58.620625000000004</v>
      </c>
      <c r="N170" s="108">
        <f t="shared" si="17"/>
        <v>7509.3451916666654</v>
      </c>
      <c r="O170" s="1">
        <v>1500</v>
      </c>
      <c r="P170" s="107">
        <v>917.17500000000007</v>
      </c>
      <c r="Q170" s="107">
        <v>1038.7081250000001</v>
      </c>
      <c r="R170" s="107">
        <v>3838</v>
      </c>
      <c r="S170" s="107">
        <v>1755</v>
      </c>
      <c r="T170" s="107">
        <v>0</v>
      </c>
      <c r="U170" s="107">
        <v>5410.9661250000026</v>
      </c>
      <c r="V170" s="107">
        <v>0</v>
      </c>
      <c r="W170" s="109">
        <f t="shared" si="19"/>
        <v>14459.849250000003</v>
      </c>
      <c r="X170" s="118"/>
    </row>
    <row r="171" spans="1:24" hidden="1" x14ac:dyDescent="0.25">
      <c r="A171" s="1">
        <v>2026</v>
      </c>
      <c r="B171" s="52">
        <v>46082</v>
      </c>
      <c r="C171" s="1">
        <v>31</v>
      </c>
      <c r="D171" s="1" t="s">
        <v>52</v>
      </c>
      <c r="E171" s="5">
        <v>46082</v>
      </c>
      <c r="F171" s="107">
        <v>950.09262499999988</v>
      </c>
      <c r="G171" s="107">
        <v>204.44058333333336</v>
      </c>
      <c r="H171" s="107">
        <v>239.18412500000002</v>
      </c>
      <c r="I171" s="107">
        <v>275.77454999999998</v>
      </c>
      <c r="J171" s="107">
        <v>1102.8087083333335</v>
      </c>
      <c r="K171" s="107">
        <v>2157.4426250000006</v>
      </c>
      <c r="L171" s="107">
        <v>2246.1395833333336</v>
      </c>
      <c r="M171" s="107">
        <v>72.429416666666668</v>
      </c>
      <c r="N171" s="108">
        <f t="shared" si="17"/>
        <v>7248.3122166666681</v>
      </c>
      <c r="O171" s="1">
        <v>1500</v>
      </c>
      <c r="P171" s="107">
        <v>919.80000000000007</v>
      </c>
      <c r="Q171" s="107">
        <v>1037.5181250000001</v>
      </c>
      <c r="R171" s="107">
        <v>3838</v>
      </c>
      <c r="S171" s="107">
        <v>1755</v>
      </c>
      <c r="T171" s="107">
        <v>0</v>
      </c>
      <c r="U171" s="107">
        <v>5320.6464999999998</v>
      </c>
      <c r="V171" s="107">
        <v>0</v>
      </c>
      <c r="W171" s="109">
        <f t="shared" si="19"/>
        <v>14370.964625000001</v>
      </c>
      <c r="X171" s="118"/>
    </row>
    <row r="172" spans="1:24" hidden="1" x14ac:dyDescent="0.25">
      <c r="A172" s="1">
        <v>2026</v>
      </c>
      <c r="B172" s="52">
        <v>46082</v>
      </c>
      <c r="C172" s="1">
        <v>31</v>
      </c>
      <c r="D172" s="1" t="s">
        <v>53</v>
      </c>
      <c r="E172" s="5">
        <v>46083</v>
      </c>
      <c r="F172" s="107">
        <v>869.58591666666678</v>
      </c>
      <c r="G172" s="107">
        <v>305.78675000000004</v>
      </c>
      <c r="H172" s="107">
        <v>240.71337500000001</v>
      </c>
      <c r="I172" s="107">
        <v>488.42037291666657</v>
      </c>
      <c r="J172" s="107">
        <v>1104.6226666666666</v>
      </c>
      <c r="K172" s="107">
        <v>1817.9064583333341</v>
      </c>
      <c r="L172" s="107">
        <v>3329.5186250000002</v>
      </c>
      <c r="M172" s="107">
        <v>100.0015416666667</v>
      </c>
      <c r="N172" s="108">
        <f t="shared" si="17"/>
        <v>8256.5557062500011</v>
      </c>
      <c r="O172" s="1">
        <v>1500</v>
      </c>
      <c r="P172" s="107">
        <v>888.75784375000012</v>
      </c>
      <c r="Q172" s="107">
        <v>1038.6556250000001</v>
      </c>
      <c r="R172" s="107">
        <v>3838</v>
      </c>
      <c r="S172" s="107">
        <v>1755</v>
      </c>
      <c r="T172" s="107">
        <v>0</v>
      </c>
      <c r="U172" s="107">
        <v>5314.7236666666668</v>
      </c>
      <c r="V172" s="107">
        <v>0</v>
      </c>
      <c r="W172" s="109">
        <f t="shared" si="19"/>
        <v>14335.137135416668</v>
      </c>
      <c r="X172" s="118"/>
    </row>
    <row r="173" spans="1:24" hidden="1" x14ac:dyDescent="0.25">
      <c r="A173" s="1">
        <v>2026</v>
      </c>
      <c r="B173" s="52">
        <v>46082</v>
      </c>
      <c r="C173" s="1">
        <v>31</v>
      </c>
      <c r="D173" s="1" t="s">
        <v>54</v>
      </c>
      <c r="E173" s="5">
        <v>46084</v>
      </c>
      <c r="F173" s="107">
        <v>664.95508333333328</v>
      </c>
      <c r="G173" s="107">
        <v>146.05108333333334</v>
      </c>
      <c r="H173" s="107">
        <v>225.83162500000003</v>
      </c>
      <c r="I173" s="107">
        <v>318.4153</v>
      </c>
      <c r="J173" s="107">
        <v>1104.7130833333335</v>
      </c>
      <c r="K173" s="107">
        <v>1878.5053333333337</v>
      </c>
      <c r="L173" s="107">
        <v>3086.2810416666671</v>
      </c>
      <c r="M173" s="107">
        <v>131.93829166666666</v>
      </c>
      <c r="N173" s="108">
        <f t="shared" si="17"/>
        <v>7556.6908416666674</v>
      </c>
      <c r="O173" s="1">
        <v>1500</v>
      </c>
      <c r="P173" s="107">
        <v>874.65000000000009</v>
      </c>
      <c r="Q173" s="107">
        <v>1028.6828125000002</v>
      </c>
      <c r="R173" s="107">
        <v>3838</v>
      </c>
      <c r="S173" s="107">
        <v>1755</v>
      </c>
      <c r="T173" s="107">
        <v>0</v>
      </c>
      <c r="U173" s="107">
        <v>5388.3952500000014</v>
      </c>
      <c r="V173" s="107">
        <v>0</v>
      </c>
      <c r="W173" s="109">
        <f t="shared" si="19"/>
        <v>14384.728062500002</v>
      </c>
      <c r="X173" s="118"/>
    </row>
    <row r="174" spans="1:24" hidden="1" x14ac:dyDescent="0.25">
      <c r="A174" s="1">
        <v>2026</v>
      </c>
      <c r="B174" s="52">
        <v>46082</v>
      </c>
      <c r="C174" s="1">
        <v>31</v>
      </c>
      <c r="D174" s="1" t="s">
        <v>55</v>
      </c>
      <c r="E174" s="5">
        <v>46085</v>
      </c>
      <c r="F174" s="107">
        <v>1001.7302083333335</v>
      </c>
      <c r="G174" s="107">
        <v>228.69937499999995</v>
      </c>
      <c r="H174" s="107">
        <v>229.90912500000002</v>
      </c>
      <c r="I174" s="107">
        <v>623.68271875000005</v>
      </c>
      <c r="J174" s="107">
        <v>1103.3722916666668</v>
      </c>
      <c r="K174" s="107">
        <v>2125.7334583333341</v>
      </c>
      <c r="L174" s="107">
        <v>3100.9430416666678</v>
      </c>
      <c r="M174" s="107">
        <v>96.126125000000002</v>
      </c>
      <c r="N174" s="108">
        <f t="shared" si="17"/>
        <v>8510.1963437500035</v>
      </c>
      <c r="O174" s="1">
        <v>1500</v>
      </c>
      <c r="P174" s="107">
        <v>875.7</v>
      </c>
      <c r="Q174" s="107">
        <v>1014.5240000000001</v>
      </c>
      <c r="R174" s="107">
        <v>3833.25</v>
      </c>
      <c r="S174" s="107">
        <v>1755</v>
      </c>
      <c r="T174" s="107">
        <v>0</v>
      </c>
      <c r="U174" s="107">
        <v>5411.1741250000014</v>
      </c>
      <c r="V174" s="107">
        <v>0</v>
      </c>
      <c r="W174" s="109">
        <f t="shared" si="19"/>
        <v>14389.648125000002</v>
      </c>
      <c r="X174" s="118"/>
    </row>
    <row r="175" spans="1:24" hidden="1" x14ac:dyDescent="0.25">
      <c r="A175" s="1">
        <v>2026</v>
      </c>
      <c r="B175" s="52">
        <v>46082</v>
      </c>
      <c r="C175" s="1">
        <v>31</v>
      </c>
      <c r="D175" s="1" t="s">
        <v>56</v>
      </c>
      <c r="E175" s="5">
        <v>46086</v>
      </c>
      <c r="F175" s="107">
        <v>1100.9100416666665</v>
      </c>
      <c r="G175" s="107">
        <v>249.05837500000007</v>
      </c>
      <c r="H175" s="107">
        <v>241.81820833333336</v>
      </c>
      <c r="I175" s="107">
        <v>1071.0543833333331</v>
      </c>
      <c r="J175" s="107">
        <v>1102.45875</v>
      </c>
      <c r="K175" s="107">
        <v>1373.6956666666672</v>
      </c>
      <c r="L175" s="107">
        <v>3232.543083333333</v>
      </c>
      <c r="M175" s="107">
        <v>91.348458333333326</v>
      </c>
      <c r="N175" s="108">
        <f t="shared" si="17"/>
        <v>8462.8869666666669</v>
      </c>
      <c r="O175" s="1">
        <v>1500</v>
      </c>
      <c r="P175" s="107">
        <v>877.27500000000009</v>
      </c>
      <c r="Q175" s="107">
        <v>1033.3837500000002</v>
      </c>
      <c r="R175" s="107">
        <v>3833.25</v>
      </c>
      <c r="S175" s="107">
        <v>1755</v>
      </c>
      <c r="T175" s="107">
        <v>0</v>
      </c>
      <c r="U175" s="107">
        <v>5425.7134583333345</v>
      </c>
      <c r="V175" s="107">
        <v>0</v>
      </c>
      <c r="W175" s="109">
        <f t="shared" si="19"/>
        <v>14424.622208333334</v>
      </c>
      <c r="X175" s="118"/>
    </row>
    <row r="176" spans="1:24" hidden="1" x14ac:dyDescent="0.25">
      <c r="A176" s="1">
        <v>2026</v>
      </c>
      <c r="B176" s="52">
        <v>46082</v>
      </c>
      <c r="C176" s="1">
        <v>31</v>
      </c>
      <c r="D176" s="1" t="s">
        <v>57</v>
      </c>
      <c r="E176" s="5">
        <v>46087</v>
      </c>
      <c r="F176" s="107">
        <v>967.70579166666664</v>
      </c>
      <c r="G176" s="107">
        <v>195.72183333333331</v>
      </c>
      <c r="H176" s="107">
        <v>240.80487499999998</v>
      </c>
      <c r="I176" s="107">
        <v>451.83717916666671</v>
      </c>
      <c r="J176" s="107">
        <v>1104.4537916666668</v>
      </c>
      <c r="K176" s="107">
        <v>1514.8514583333338</v>
      </c>
      <c r="L176" s="107">
        <v>2977.9387500000007</v>
      </c>
      <c r="M176" s="107">
        <v>17.395333333333333</v>
      </c>
      <c r="N176" s="108">
        <f t="shared" si="17"/>
        <v>7470.7090125000004</v>
      </c>
      <c r="O176" s="1">
        <v>1500</v>
      </c>
      <c r="P176" s="107">
        <v>877.27500000000009</v>
      </c>
      <c r="Q176" s="107">
        <v>1031.3902375</v>
      </c>
      <c r="R176" s="107">
        <v>3833.25</v>
      </c>
      <c r="S176" s="107">
        <v>1755</v>
      </c>
      <c r="T176" s="107">
        <v>0</v>
      </c>
      <c r="U176" s="107">
        <v>5435.9909583333356</v>
      </c>
      <c r="V176" s="107">
        <v>0</v>
      </c>
      <c r="W176" s="109">
        <f t="shared" si="19"/>
        <v>14432.906195833337</v>
      </c>
      <c r="X176" s="118"/>
    </row>
    <row r="177" spans="1:24" hidden="1" x14ac:dyDescent="0.25">
      <c r="A177" s="1">
        <v>2026</v>
      </c>
      <c r="B177" s="52">
        <v>46082</v>
      </c>
      <c r="C177" s="1">
        <v>31</v>
      </c>
      <c r="D177" s="1" t="s">
        <v>51</v>
      </c>
      <c r="E177" s="5">
        <v>46088</v>
      </c>
      <c r="F177" s="107">
        <v>791.55279166666662</v>
      </c>
      <c r="G177" s="107">
        <v>230.85299999999998</v>
      </c>
      <c r="H177" s="107">
        <v>242.78591666666665</v>
      </c>
      <c r="I177" s="107">
        <v>177.65059375000001</v>
      </c>
      <c r="J177" s="107">
        <v>1112.4045416666668</v>
      </c>
      <c r="K177" s="107">
        <v>1864.6689166666656</v>
      </c>
      <c r="L177" s="107">
        <v>2498.782791666667</v>
      </c>
      <c r="M177" s="107">
        <v>20.31666666666667</v>
      </c>
      <c r="N177" s="108">
        <f t="shared" ref="N177:N230" si="21">+SUM(F177:M177)</f>
        <v>6939.0152187499998</v>
      </c>
      <c r="O177" s="1">
        <v>1500</v>
      </c>
      <c r="P177" s="107">
        <v>877.27500000000009</v>
      </c>
      <c r="Q177" s="107">
        <v>1028.2363437500001</v>
      </c>
      <c r="R177" s="107">
        <v>3833.25</v>
      </c>
      <c r="S177" s="107">
        <v>1755</v>
      </c>
      <c r="T177" s="107">
        <v>0</v>
      </c>
      <c r="U177" s="107">
        <v>5390.0696250000019</v>
      </c>
      <c r="V177" s="107">
        <v>0</v>
      </c>
      <c r="W177" s="109">
        <f t="shared" si="19"/>
        <v>14383.830968750002</v>
      </c>
      <c r="X177" s="118"/>
    </row>
    <row r="178" spans="1:24" hidden="1" x14ac:dyDescent="0.25">
      <c r="A178" s="1">
        <v>2026</v>
      </c>
      <c r="B178" s="52">
        <v>46082</v>
      </c>
      <c r="C178" s="1">
        <v>31</v>
      </c>
      <c r="D178" s="1" t="s">
        <v>52</v>
      </c>
      <c r="E178" s="5">
        <v>46089</v>
      </c>
      <c r="F178" s="107">
        <v>754.35945833333346</v>
      </c>
      <c r="G178" s="107">
        <v>322.74004166666674</v>
      </c>
      <c r="H178" s="107">
        <v>259.75770833333337</v>
      </c>
      <c r="I178" s="107">
        <v>270.61854375000001</v>
      </c>
      <c r="J178" s="107">
        <v>1115.5783750000001</v>
      </c>
      <c r="K178" s="107">
        <v>2001.7874999999995</v>
      </c>
      <c r="L178" s="107">
        <v>2352.8812083333332</v>
      </c>
      <c r="M178" s="107">
        <v>15.535000000000002</v>
      </c>
      <c r="N178" s="108">
        <f t="shared" si="21"/>
        <v>7093.2578354166662</v>
      </c>
      <c r="O178" s="1">
        <v>1500</v>
      </c>
      <c r="P178" s="107">
        <v>879.375</v>
      </c>
      <c r="Q178" s="107">
        <v>1033.7071937500002</v>
      </c>
      <c r="R178" s="107">
        <v>3833.25</v>
      </c>
      <c r="S178" s="107">
        <v>1755</v>
      </c>
      <c r="T178" s="107">
        <v>0</v>
      </c>
      <c r="U178" s="107">
        <v>5373.014416666666</v>
      </c>
      <c r="V178" s="107">
        <v>0</v>
      </c>
      <c r="W178" s="109">
        <f t="shared" si="19"/>
        <v>14374.346610416665</v>
      </c>
      <c r="X178" s="118"/>
    </row>
    <row r="179" spans="1:24" hidden="1" x14ac:dyDescent="0.25">
      <c r="A179" s="1">
        <v>2026</v>
      </c>
      <c r="B179" s="52">
        <v>46082</v>
      </c>
      <c r="C179" s="1">
        <v>31</v>
      </c>
      <c r="D179" s="1" t="s">
        <v>53</v>
      </c>
      <c r="E179" s="5">
        <v>46090</v>
      </c>
      <c r="F179" s="107">
        <v>1189.1456249999999</v>
      </c>
      <c r="G179" s="107">
        <v>188.56962499999997</v>
      </c>
      <c r="H179" s="107">
        <v>252.29733333333337</v>
      </c>
      <c r="I179" s="107">
        <v>504.14635625000011</v>
      </c>
      <c r="J179" s="107">
        <v>1115.3929583333336</v>
      </c>
      <c r="K179" s="107">
        <v>2112.8143333333333</v>
      </c>
      <c r="L179" s="107">
        <v>2735.0077916666669</v>
      </c>
      <c r="M179" s="107">
        <v>34.386041666666664</v>
      </c>
      <c r="N179" s="108">
        <f t="shared" si="21"/>
        <v>8131.7600645833336</v>
      </c>
      <c r="O179" s="1">
        <v>1500</v>
      </c>
      <c r="P179" s="107">
        <v>879.375</v>
      </c>
      <c r="Q179" s="107">
        <v>1030.0537625000002</v>
      </c>
      <c r="R179" s="107">
        <v>3833.25</v>
      </c>
      <c r="S179" s="107">
        <v>1755</v>
      </c>
      <c r="T179" s="107">
        <v>0</v>
      </c>
      <c r="U179" s="107">
        <v>5518.4640000000018</v>
      </c>
      <c r="V179" s="107">
        <v>0</v>
      </c>
      <c r="W179" s="109">
        <f t="shared" si="19"/>
        <v>14516.142762500001</v>
      </c>
      <c r="X179" s="118"/>
    </row>
    <row r="180" spans="1:24" hidden="1" x14ac:dyDescent="0.25">
      <c r="A180" s="1">
        <v>2026</v>
      </c>
      <c r="B180" s="52">
        <v>46082</v>
      </c>
      <c r="C180" s="1">
        <v>31</v>
      </c>
      <c r="D180" s="1" t="s">
        <v>54</v>
      </c>
      <c r="E180" s="5">
        <v>46091</v>
      </c>
      <c r="F180" s="107">
        <v>1027.7232499999998</v>
      </c>
      <c r="G180" s="107">
        <v>193.77925000000002</v>
      </c>
      <c r="H180" s="107">
        <v>227.08162500000003</v>
      </c>
      <c r="I180" s="107">
        <v>516.11801875000003</v>
      </c>
      <c r="J180" s="107">
        <v>1112.1190833333335</v>
      </c>
      <c r="K180" s="107">
        <v>1632.7709166666664</v>
      </c>
      <c r="L180" s="107">
        <v>3602.8120833333323</v>
      </c>
      <c r="M180" s="107">
        <v>25.231083333333331</v>
      </c>
      <c r="N180" s="108">
        <f t="shared" si="21"/>
        <v>8337.6353104166665</v>
      </c>
      <c r="O180" s="1">
        <v>1500</v>
      </c>
      <c r="P180" s="107">
        <v>879.375</v>
      </c>
      <c r="Q180" s="107">
        <v>1026.0558875000002</v>
      </c>
      <c r="R180" s="107">
        <v>3833.25</v>
      </c>
      <c r="S180" s="107">
        <v>1755</v>
      </c>
      <c r="T180" s="107">
        <v>0</v>
      </c>
      <c r="U180" s="107">
        <v>5677.6250833333334</v>
      </c>
      <c r="V180" s="107">
        <v>0</v>
      </c>
      <c r="W180" s="109">
        <f t="shared" si="19"/>
        <v>14671.305970833335</v>
      </c>
      <c r="X180" s="118"/>
    </row>
    <row r="181" spans="1:24" hidden="1" x14ac:dyDescent="0.25">
      <c r="A181" s="1">
        <v>2026</v>
      </c>
      <c r="B181" s="52">
        <v>46082</v>
      </c>
      <c r="C181" s="1">
        <v>31</v>
      </c>
      <c r="D181" s="1" t="s">
        <v>55</v>
      </c>
      <c r="E181" s="5">
        <v>46092</v>
      </c>
      <c r="F181" s="107">
        <v>1142.6687916666667</v>
      </c>
      <c r="G181" s="107">
        <v>187.92624999999998</v>
      </c>
      <c r="H181" s="107">
        <v>219.89958333333331</v>
      </c>
      <c r="I181" s="107">
        <v>179.04962708333332</v>
      </c>
      <c r="J181" s="107">
        <v>1116.4835</v>
      </c>
      <c r="K181" s="107">
        <v>1995.7290416666658</v>
      </c>
      <c r="L181" s="107">
        <v>3289.8498749999994</v>
      </c>
      <c r="M181" s="107">
        <v>18.773500000000002</v>
      </c>
      <c r="N181" s="108">
        <f t="shared" si="21"/>
        <v>8150.380168749999</v>
      </c>
      <c r="O181" s="1">
        <v>1500</v>
      </c>
      <c r="P181" s="107">
        <v>877.27500000000009</v>
      </c>
      <c r="Q181" s="107">
        <v>1000.8809562500001</v>
      </c>
      <c r="R181" s="107">
        <v>3833.25</v>
      </c>
      <c r="S181" s="107">
        <v>1755</v>
      </c>
      <c r="T181" s="107">
        <v>0</v>
      </c>
      <c r="U181" s="107">
        <v>5715.1324583333335</v>
      </c>
      <c r="V181" s="107">
        <v>0</v>
      </c>
      <c r="W181" s="109">
        <f t="shared" si="19"/>
        <v>14681.538414583334</v>
      </c>
      <c r="X181" s="118"/>
    </row>
    <row r="182" spans="1:24" hidden="1" x14ac:dyDescent="0.25">
      <c r="A182" s="1">
        <v>2026</v>
      </c>
      <c r="B182" s="52">
        <v>46082</v>
      </c>
      <c r="C182" s="1">
        <v>31</v>
      </c>
      <c r="D182" s="1" t="s">
        <v>56</v>
      </c>
      <c r="E182" s="5">
        <v>46093</v>
      </c>
      <c r="F182" s="107">
        <v>1013.9599583333335</v>
      </c>
      <c r="G182" s="107">
        <v>199.38195833333339</v>
      </c>
      <c r="H182" s="107">
        <v>225.382375</v>
      </c>
      <c r="I182" s="107">
        <v>572.64024791666668</v>
      </c>
      <c r="J182" s="107">
        <v>1120.2761249999999</v>
      </c>
      <c r="K182" s="107">
        <v>1714.7909999999999</v>
      </c>
      <c r="L182" s="107">
        <v>3642.2998750000006</v>
      </c>
      <c r="M182" s="107">
        <v>21.461333333333332</v>
      </c>
      <c r="N182" s="108">
        <f t="shared" si="21"/>
        <v>8510.1928729166666</v>
      </c>
      <c r="O182" s="1">
        <v>1500</v>
      </c>
      <c r="P182" s="107">
        <v>876.75</v>
      </c>
      <c r="Q182" s="107">
        <v>1035.0013625000001</v>
      </c>
      <c r="R182" s="107">
        <v>3833.25</v>
      </c>
      <c r="S182" s="107">
        <v>1755</v>
      </c>
      <c r="T182" s="107">
        <v>0</v>
      </c>
      <c r="U182" s="107">
        <v>5679.7050833333333</v>
      </c>
      <c r="V182" s="107">
        <v>0</v>
      </c>
      <c r="W182" s="109">
        <f t="shared" si="19"/>
        <v>14679.706445833333</v>
      </c>
      <c r="X182" s="118"/>
    </row>
    <row r="183" spans="1:24" hidden="1" x14ac:dyDescent="0.25">
      <c r="A183" s="1">
        <v>2026</v>
      </c>
      <c r="B183" s="52">
        <v>46082</v>
      </c>
      <c r="C183" s="1">
        <v>31</v>
      </c>
      <c r="D183" s="1" t="s">
        <v>57</v>
      </c>
      <c r="E183" s="5">
        <v>46094</v>
      </c>
      <c r="F183" s="107">
        <v>858.97991666666667</v>
      </c>
      <c r="G183" s="107">
        <v>203.21595833333333</v>
      </c>
      <c r="H183" s="107">
        <v>231.22154166666667</v>
      </c>
      <c r="I183" s="107">
        <v>775.39554166666676</v>
      </c>
      <c r="J183" s="107">
        <v>1122.1256250000001</v>
      </c>
      <c r="K183" s="107">
        <v>1649.2339999999995</v>
      </c>
      <c r="L183" s="107">
        <v>3488.6564166666672</v>
      </c>
      <c r="M183" s="107">
        <v>18.504791666666666</v>
      </c>
      <c r="N183" s="108">
        <f t="shared" si="21"/>
        <v>8347.333791666666</v>
      </c>
      <c r="O183" s="1">
        <v>1500</v>
      </c>
      <c r="P183" s="107">
        <v>876.75</v>
      </c>
      <c r="Q183" s="107">
        <v>1030.5936375000001</v>
      </c>
      <c r="R183" s="107">
        <v>3833.25</v>
      </c>
      <c r="S183" s="107">
        <v>1755</v>
      </c>
      <c r="T183" s="107">
        <v>0</v>
      </c>
      <c r="U183" s="107">
        <v>5639.0257499999989</v>
      </c>
      <c r="V183" s="107">
        <v>0</v>
      </c>
      <c r="W183" s="109">
        <f t="shared" si="19"/>
        <v>14634.619387499999</v>
      </c>
      <c r="X183" s="118"/>
    </row>
    <row r="184" spans="1:24" hidden="1" x14ac:dyDescent="0.25">
      <c r="A184" s="1">
        <v>2026</v>
      </c>
      <c r="B184" s="52">
        <v>46082</v>
      </c>
      <c r="C184" s="1">
        <v>31</v>
      </c>
      <c r="D184" s="1" t="s">
        <v>51</v>
      </c>
      <c r="E184" s="5">
        <v>46095</v>
      </c>
      <c r="F184" s="107">
        <v>708.54658333333327</v>
      </c>
      <c r="G184" s="107">
        <v>219.90758333333329</v>
      </c>
      <c r="H184" s="107">
        <v>242.20070833333335</v>
      </c>
      <c r="I184" s="107">
        <v>189.83248333333333</v>
      </c>
      <c r="J184" s="107">
        <v>616.03295833333323</v>
      </c>
      <c r="K184" s="107">
        <v>1775.1574583333322</v>
      </c>
      <c r="L184" s="107">
        <v>3119.3868333333335</v>
      </c>
      <c r="M184" s="107">
        <v>17.704166666666666</v>
      </c>
      <c r="N184" s="108">
        <f t="shared" si="21"/>
        <v>6888.7687749999986</v>
      </c>
      <c r="O184" s="1">
        <v>1500</v>
      </c>
      <c r="P184" s="107">
        <v>876.75</v>
      </c>
      <c r="Q184" s="107">
        <v>1032.1894187500002</v>
      </c>
      <c r="R184" s="107">
        <v>3815.2</v>
      </c>
      <c r="S184" s="107">
        <v>1755</v>
      </c>
      <c r="T184" s="107">
        <v>0</v>
      </c>
      <c r="U184" s="107">
        <v>5397.1426250000022</v>
      </c>
      <c r="V184" s="107">
        <v>0</v>
      </c>
      <c r="W184" s="109">
        <f t="shared" si="19"/>
        <v>14376.282043750003</v>
      </c>
      <c r="X184" s="118"/>
    </row>
    <row r="185" spans="1:24" hidden="1" x14ac:dyDescent="0.25">
      <c r="A185" s="1">
        <v>2026</v>
      </c>
      <c r="B185" s="52">
        <v>46082</v>
      </c>
      <c r="C185" s="1">
        <v>31</v>
      </c>
      <c r="D185" s="1" t="s">
        <v>52</v>
      </c>
      <c r="E185" s="5">
        <v>46096</v>
      </c>
      <c r="F185" s="107">
        <v>802.25137500000017</v>
      </c>
      <c r="G185" s="107">
        <v>179.18108333333336</v>
      </c>
      <c r="H185" s="107">
        <v>236.31716666666668</v>
      </c>
      <c r="I185" s="107">
        <v>319.98473958333335</v>
      </c>
      <c r="J185" s="107">
        <v>609.41779166666674</v>
      </c>
      <c r="K185" s="107">
        <v>1955.4710833333329</v>
      </c>
      <c r="L185" s="107">
        <v>2786.1217916666669</v>
      </c>
      <c r="M185" s="107">
        <v>35.402749999999997</v>
      </c>
      <c r="N185" s="108">
        <f t="shared" si="21"/>
        <v>6924.1477812500007</v>
      </c>
      <c r="O185" s="1">
        <v>1500</v>
      </c>
      <c r="P185" s="107">
        <v>872.55000000000007</v>
      </c>
      <c r="Q185" s="107">
        <v>1041.94173125</v>
      </c>
      <c r="R185" s="107">
        <v>3815.2</v>
      </c>
      <c r="S185" s="107">
        <v>1755</v>
      </c>
      <c r="T185" s="107">
        <v>0</v>
      </c>
      <c r="U185" s="107">
        <v>5649.1347916666682</v>
      </c>
      <c r="V185" s="107">
        <v>0</v>
      </c>
      <c r="W185" s="109">
        <f t="shared" si="19"/>
        <v>14633.826522916668</v>
      </c>
      <c r="X185" s="118"/>
    </row>
    <row r="186" spans="1:24" hidden="1" x14ac:dyDescent="0.25">
      <c r="A186" s="1">
        <v>2026</v>
      </c>
      <c r="B186" s="52">
        <v>46082</v>
      </c>
      <c r="C186" s="1">
        <v>31</v>
      </c>
      <c r="D186" s="1" t="s">
        <v>53</v>
      </c>
      <c r="E186" s="5">
        <v>46097</v>
      </c>
      <c r="F186" s="107">
        <v>1574.5625833333334</v>
      </c>
      <c r="G186" s="107">
        <v>268.47920833333336</v>
      </c>
      <c r="H186" s="107">
        <v>231.14675</v>
      </c>
      <c r="I186" s="107">
        <v>900.11652916666662</v>
      </c>
      <c r="J186" s="107">
        <v>610.06229166666651</v>
      </c>
      <c r="K186" s="107">
        <v>1624.3266666666671</v>
      </c>
      <c r="L186" s="107">
        <v>3615.9178750000005</v>
      </c>
      <c r="M186" s="107">
        <v>134.70099999999999</v>
      </c>
      <c r="N186" s="108">
        <f t="shared" si="21"/>
        <v>8959.3129041666671</v>
      </c>
      <c r="O186" s="1">
        <v>1500</v>
      </c>
      <c r="P186" s="107">
        <v>797.49687500000005</v>
      </c>
      <c r="Q186" s="107">
        <v>1016.8003562500002</v>
      </c>
      <c r="R186" s="107">
        <v>3813.1270208333335</v>
      </c>
      <c r="S186" s="107">
        <v>1755</v>
      </c>
      <c r="T186" s="107">
        <v>0</v>
      </c>
      <c r="U186" s="107">
        <v>5486.8148750000009</v>
      </c>
      <c r="V186" s="107">
        <v>0</v>
      </c>
      <c r="W186" s="109">
        <f t="shared" si="19"/>
        <v>14369.239127083336</v>
      </c>
      <c r="X186" s="118"/>
    </row>
    <row r="187" spans="1:24" hidden="1" x14ac:dyDescent="0.25">
      <c r="A187" s="1">
        <v>2026</v>
      </c>
      <c r="B187" s="52">
        <v>46082</v>
      </c>
      <c r="C187" s="1">
        <v>31</v>
      </c>
      <c r="D187" s="1" t="s">
        <v>54</v>
      </c>
      <c r="E187" s="5">
        <v>46098</v>
      </c>
      <c r="F187" s="107">
        <v>1457.6200416666661</v>
      </c>
      <c r="G187" s="107">
        <v>209.38075000000001</v>
      </c>
      <c r="H187" s="107">
        <v>239.49970833333333</v>
      </c>
      <c r="I187" s="107">
        <v>495.86758124999994</v>
      </c>
      <c r="J187" s="107">
        <v>610.24137499999995</v>
      </c>
      <c r="K187" s="107">
        <v>2034.5264583333346</v>
      </c>
      <c r="L187" s="107">
        <v>3464.5099166666664</v>
      </c>
      <c r="M187" s="107">
        <v>17.289250000000003</v>
      </c>
      <c r="N187" s="108">
        <f t="shared" si="21"/>
        <v>8528.9350812499997</v>
      </c>
      <c r="O187" s="1">
        <v>1500</v>
      </c>
      <c r="P187" s="107">
        <v>756</v>
      </c>
      <c r="Q187" s="107">
        <v>1040.3676500000001</v>
      </c>
      <c r="R187" s="107">
        <v>3702.9911458333331</v>
      </c>
      <c r="S187" s="107">
        <v>1755</v>
      </c>
      <c r="T187" s="107">
        <v>0</v>
      </c>
      <c r="U187" s="107">
        <v>5537.7752500000006</v>
      </c>
      <c r="V187" s="107">
        <v>0</v>
      </c>
      <c r="W187" s="109">
        <f t="shared" si="19"/>
        <v>14292.134045833334</v>
      </c>
      <c r="X187" s="118"/>
    </row>
    <row r="188" spans="1:24" hidden="1" x14ac:dyDescent="0.25">
      <c r="A188" s="1">
        <v>2026</v>
      </c>
      <c r="B188" s="52">
        <v>46082</v>
      </c>
      <c r="C188" s="1">
        <v>31</v>
      </c>
      <c r="D188" s="1" t="s">
        <v>55</v>
      </c>
      <c r="E188" s="5">
        <v>46099</v>
      </c>
      <c r="F188" s="107">
        <v>995.35833333333323</v>
      </c>
      <c r="G188" s="107">
        <v>207.4903333333333</v>
      </c>
      <c r="H188" s="107">
        <v>241.10866666666669</v>
      </c>
      <c r="I188" s="107">
        <v>477.10630833333329</v>
      </c>
      <c r="J188" s="107">
        <v>609.87829166666677</v>
      </c>
      <c r="K188" s="107">
        <v>1843.9475416666667</v>
      </c>
      <c r="L188" s="107">
        <v>3184.0002916666663</v>
      </c>
      <c r="M188" s="107">
        <v>143.83883333333333</v>
      </c>
      <c r="N188" s="108">
        <f t="shared" si="21"/>
        <v>7702.7285999999995</v>
      </c>
      <c r="O188" s="1">
        <v>1500</v>
      </c>
      <c r="P188" s="107">
        <v>752.85</v>
      </c>
      <c r="Q188" s="107">
        <v>1036.6662250000002</v>
      </c>
      <c r="R188" s="107">
        <v>3666.3619166666667</v>
      </c>
      <c r="S188" s="107">
        <v>1755</v>
      </c>
      <c r="T188" s="107">
        <v>0</v>
      </c>
      <c r="U188" s="107">
        <v>5512.7877499999995</v>
      </c>
      <c r="V188" s="107">
        <v>0</v>
      </c>
      <c r="W188" s="109">
        <f t="shared" si="19"/>
        <v>14223.665891666667</v>
      </c>
      <c r="X188" s="118"/>
    </row>
    <row r="189" spans="1:24" hidden="1" x14ac:dyDescent="0.25">
      <c r="A189" s="1">
        <v>2026</v>
      </c>
      <c r="B189" s="52">
        <v>46082</v>
      </c>
      <c r="C189" s="1">
        <v>31</v>
      </c>
      <c r="D189" s="1" t="s">
        <v>56</v>
      </c>
      <c r="E189" s="5">
        <v>46100</v>
      </c>
      <c r="F189" s="107">
        <v>977.20525000000032</v>
      </c>
      <c r="G189" s="107">
        <v>335.60008333333332</v>
      </c>
      <c r="H189" s="107">
        <v>228.17833333333334</v>
      </c>
      <c r="I189" s="107">
        <v>620.56367083333339</v>
      </c>
      <c r="J189" s="107">
        <v>609.34958333333338</v>
      </c>
      <c r="K189" s="107">
        <v>1560.2231666666669</v>
      </c>
      <c r="L189" s="107">
        <v>2920.4015000000004</v>
      </c>
      <c r="M189" s="107">
        <v>23.391333333333336</v>
      </c>
      <c r="N189" s="108">
        <f t="shared" si="21"/>
        <v>7274.9129208333343</v>
      </c>
      <c r="O189" s="1">
        <v>1500</v>
      </c>
      <c r="P189" s="107">
        <v>750.22500000000002</v>
      </c>
      <c r="Q189" s="107">
        <v>1041.8180500000001</v>
      </c>
      <c r="R189" s="107">
        <v>3683.4171874999997</v>
      </c>
      <c r="S189" s="107">
        <v>1755</v>
      </c>
      <c r="T189" s="107">
        <v>0</v>
      </c>
      <c r="U189" s="107">
        <v>5586.4217916666676</v>
      </c>
      <c r="V189" s="107">
        <v>0</v>
      </c>
      <c r="W189" s="109">
        <f t="shared" si="19"/>
        <v>14316.882029166667</v>
      </c>
      <c r="X189" s="118"/>
    </row>
    <row r="190" spans="1:24" hidden="1" x14ac:dyDescent="0.25">
      <c r="A190" s="1">
        <v>2026</v>
      </c>
      <c r="B190" s="52">
        <v>46082</v>
      </c>
      <c r="C190" s="1">
        <v>31</v>
      </c>
      <c r="D190" s="1" t="s">
        <v>57</v>
      </c>
      <c r="E190" s="5">
        <v>46101</v>
      </c>
      <c r="F190" s="107">
        <v>1041.8475000000001</v>
      </c>
      <c r="G190" s="107">
        <v>627.31645833333334</v>
      </c>
      <c r="H190" s="107">
        <v>227.35595833333335</v>
      </c>
      <c r="I190" s="107">
        <v>1381.5954104166665</v>
      </c>
      <c r="J190" s="107">
        <v>609.62583333333339</v>
      </c>
      <c r="K190" s="107">
        <v>1357.347</v>
      </c>
      <c r="L190" s="107">
        <v>3047.2969166666658</v>
      </c>
      <c r="M190" s="107">
        <v>45.819541666666666</v>
      </c>
      <c r="N190" s="108">
        <f t="shared" si="21"/>
        <v>8338.2046187499982</v>
      </c>
      <c r="O190" s="1">
        <v>1500</v>
      </c>
      <c r="P190" s="107">
        <v>740.77499999999998</v>
      </c>
      <c r="Q190" s="107">
        <v>1038.3100875</v>
      </c>
      <c r="R190" s="107">
        <v>3703.6889999999999</v>
      </c>
      <c r="S190" s="107">
        <v>1755</v>
      </c>
      <c r="T190" s="107">
        <v>0</v>
      </c>
      <c r="U190" s="107">
        <v>5630.544083333335</v>
      </c>
      <c r="V190" s="107">
        <v>0</v>
      </c>
      <c r="W190" s="109">
        <f t="shared" si="19"/>
        <v>14368.318170833336</v>
      </c>
      <c r="X190" s="118"/>
    </row>
    <row r="191" spans="1:24" hidden="1" x14ac:dyDescent="0.25">
      <c r="A191" s="1">
        <v>2026</v>
      </c>
      <c r="B191" s="52">
        <v>46082</v>
      </c>
      <c r="C191" s="1">
        <v>31</v>
      </c>
      <c r="D191" s="1" t="s">
        <v>51</v>
      </c>
      <c r="E191" s="5">
        <v>46102</v>
      </c>
      <c r="F191" s="107">
        <v>733.48637500000007</v>
      </c>
      <c r="G191" s="107">
        <v>386.89774999999992</v>
      </c>
      <c r="H191" s="107">
        <v>224.92395833333336</v>
      </c>
      <c r="I191" s="107">
        <v>620.23552500000005</v>
      </c>
      <c r="J191" s="107">
        <v>609.98537500000009</v>
      </c>
      <c r="K191" s="107">
        <v>1435.5693750000003</v>
      </c>
      <c r="L191" s="107">
        <v>2423.1656249999996</v>
      </c>
      <c r="M191" s="107">
        <v>223.46812499999999</v>
      </c>
      <c r="N191" s="108">
        <f t="shared" si="21"/>
        <v>6657.7321083333336</v>
      </c>
      <c r="O191" s="1">
        <v>1500</v>
      </c>
      <c r="P191" s="107">
        <v>727.125</v>
      </c>
      <c r="Q191" s="107">
        <v>1038.4649625000002</v>
      </c>
      <c r="R191" s="107">
        <v>3809.5</v>
      </c>
      <c r="S191" s="107">
        <v>1755</v>
      </c>
      <c r="T191" s="107">
        <v>0</v>
      </c>
      <c r="U191" s="107">
        <v>5330.7868750000016</v>
      </c>
      <c r="V191" s="107">
        <v>0</v>
      </c>
      <c r="W191" s="109">
        <f t="shared" si="19"/>
        <v>14160.876837500002</v>
      </c>
      <c r="X191" s="118"/>
    </row>
    <row r="192" spans="1:24" hidden="1" x14ac:dyDescent="0.25">
      <c r="A192" s="1">
        <v>2026</v>
      </c>
      <c r="B192" s="52">
        <v>46082</v>
      </c>
      <c r="C192" s="1">
        <v>31</v>
      </c>
      <c r="D192" s="1" t="s">
        <v>52</v>
      </c>
      <c r="E192" s="5">
        <v>46103</v>
      </c>
      <c r="F192" s="107">
        <v>775.51599999999996</v>
      </c>
      <c r="G192" s="107">
        <v>215.76554166666665</v>
      </c>
      <c r="H192" s="107">
        <v>237.12320833333337</v>
      </c>
      <c r="I192" s="107">
        <v>198.15119791666669</v>
      </c>
      <c r="J192" s="107">
        <v>609.41179166666677</v>
      </c>
      <c r="K192" s="107">
        <v>1584.4830416666678</v>
      </c>
      <c r="L192" s="107">
        <v>1971.9996249999999</v>
      </c>
      <c r="M192" s="107">
        <v>40.153874999999999</v>
      </c>
      <c r="N192" s="108">
        <f t="shared" si="21"/>
        <v>5632.6042812500009</v>
      </c>
      <c r="O192" s="1">
        <v>1500</v>
      </c>
      <c r="P192" s="107">
        <v>722.4</v>
      </c>
      <c r="Q192" s="107">
        <v>1031.9784562500001</v>
      </c>
      <c r="R192" s="107">
        <v>3810.45</v>
      </c>
      <c r="S192" s="107">
        <v>1755</v>
      </c>
      <c r="T192" s="107">
        <v>0</v>
      </c>
      <c r="U192" s="107">
        <v>5358.4287500000009</v>
      </c>
      <c r="V192" s="107">
        <v>0</v>
      </c>
      <c r="W192" s="109">
        <f t="shared" si="19"/>
        <v>14178.257206250002</v>
      </c>
      <c r="X192" s="118"/>
    </row>
    <row r="193" spans="1:24" hidden="1" x14ac:dyDescent="0.25">
      <c r="A193" s="1">
        <v>2026</v>
      </c>
      <c r="B193" s="52">
        <v>46082</v>
      </c>
      <c r="C193" s="1">
        <v>31</v>
      </c>
      <c r="D193" s="1" t="s">
        <v>53</v>
      </c>
      <c r="E193" s="5">
        <v>46104</v>
      </c>
      <c r="F193" s="107">
        <v>764.17870833333336</v>
      </c>
      <c r="G193" s="107">
        <v>175.87237500000003</v>
      </c>
      <c r="H193" s="107">
        <v>240.66016666666667</v>
      </c>
      <c r="I193" s="107">
        <v>435.49048958333333</v>
      </c>
      <c r="J193" s="107">
        <v>609.63658333333331</v>
      </c>
      <c r="K193" s="107">
        <v>1911.4506250000004</v>
      </c>
      <c r="L193" s="107">
        <v>2365.3814166666666</v>
      </c>
      <c r="M193" s="107">
        <v>66.906458333333333</v>
      </c>
      <c r="N193" s="108">
        <f t="shared" si="21"/>
        <v>6569.5768229166661</v>
      </c>
      <c r="O193" s="1">
        <v>1500</v>
      </c>
      <c r="P193" s="107">
        <v>718.72500000000002</v>
      </c>
      <c r="Q193" s="107">
        <v>964.29405625000004</v>
      </c>
      <c r="R193" s="107">
        <v>3809.5</v>
      </c>
      <c r="S193" s="107">
        <v>1755</v>
      </c>
      <c r="T193" s="107">
        <v>0</v>
      </c>
      <c r="U193" s="107">
        <v>5243.7764999999999</v>
      </c>
      <c r="V193" s="107">
        <v>0</v>
      </c>
      <c r="W193" s="109">
        <f t="shared" si="19"/>
        <v>13991.295556249999</v>
      </c>
      <c r="X193" s="118"/>
    </row>
    <row r="194" spans="1:24" hidden="1" x14ac:dyDescent="0.25">
      <c r="A194" s="1">
        <v>2026</v>
      </c>
      <c r="B194" s="52">
        <v>46082</v>
      </c>
      <c r="C194" s="1">
        <v>31</v>
      </c>
      <c r="D194" s="1" t="s">
        <v>54</v>
      </c>
      <c r="E194" s="5">
        <v>46105</v>
      </c>
      <c r="F194" s="107">
        <v>1184.1885</v>
      </c>
      <c r="G194" s="107">
        <v>167.52816666666669</v>
      </c>
      <c r="H194" s="107">
        <v>230.6286666666667</v>
      </c>
      <c r="I194" s="107">
        <v>119.33393333333332</v>
      </c>
      <c r="J194" s="107">
        <v>610.51349999999991</v>
      </c>
      <c r="K194" s="107">
        <v>1962.1676249999994</v>
      </c>
      <c r="L194" s="107">
        <v>2328.8426250000011</v>
      </c>
      <c r="M194" s="107">
        <v>69.113958333333343</v>
      </c>
      <c r="N194" s="108">
        <f t="shared" si="21"/>
        <v>6672.3169750000006</v>
      </c>
      <c r="O194" s="1">
        <v>1500</v>
      </c>
      <c r="P194" s="107">
        <v>718.72500000000002</v>
      </c>
      <c r="Q194" s="107">
        <v>933.39732500000002</v>
      </c>
      <c r="R194" s="107">
        <v>3809.5</v>
      </c>
      <c r="S194" s="107">
        <v>1755</v>
      </c>
      <c r="T194" s="107">
        <v>0</v>
      </c>
      <c r="U194" s="107">
        <v>5197.8421250000001</v>
      </c>
      <c r="V194" s="107">
        <v>0</v>
      </c>
      <c r="W194" s="109">
        <f t="shared" si="19"/>
        <v>13914.464449999999</v>
      </c>
      <c r="X194" s="118"/>
    </row>
    <row r="195" spans="1:24" hidden="1" x14ac:dyDescent="0.25">
      <c r="A195" s="1">
        <v>2026</v>
      </c>
      <c r="B195" s="52">
        <v>46082</v>
      </c>
      <c r="C195" s="1">
        <v>31</v>
      </c>
      <c r="D195" s="1" t="s">
        <v>55</v>
      </c>
      <c r="E195" s="5">
        <v>46106</v>
      </c>
      <c r="F195" s="107">
        <v>1292.9346250000001</v>
      </c>
      <c r="G195" s="107">
        <v>25.216041666666669</v>
      </c>
      <c r="H195" s="107">
        <v>239.74458333333334</v>
      </c>
      <c r="I195" s="107">
        <v>336.86073750000003</v>
      </c>
      <c r="J195" s="107">
        <v>610.72079166666674</v>
      </c>
      <c r="K195" s="107">
        <v>1909.0073333333332</v>
      </c>
      <c r="L195" s="107">
        <v>2975.9074166666664</v>
      </c>
      <c r="M195" s="107">
        <v>43.939791666666672</v>
      </c>
      <c r="N195" s="108">
        <f t="shared" si="21"/>
        <v>7434.3313208333338</v>
      </c>
      <c r="O195" s="1">
        <v>1500</v>
      </c>
      <c r="P195" s="107">
        <v>718.72500000000002</v>
      </c>
      <c r="Q195" s="107">
        <v>930.34471250000013</v>
      </c>
      <c r="R195" s="107">
        <v>3808.5499999999997</v>
      </c>
      <c r="S195" s="107">
        <v>1755</v>
      </c>
      <c r="T195" s="107">
        <v>0</v>
      </c>
      <c r="U195" s="107">
        <v>5218.9644166666667</v>
      </c>
      <c r="V195" s="107">
        <v>0</v>
      </c>
      <c r="W195" s="109">
        <f t="shared" si="19"/>
        <v>13931.584129166666</v>
      </c>
      <c r="X195" s="118"/>
    </row>
    <row r="196" spans="1:24" hidden="1" x14ac:dyDescent="0.25">
      <c r="A196" s="1">
        <v>2026</v>
      </c>
      <c r="B196" s="52">
        <v>46082</v>
      </c>
      <c r="C196" s="1">
        <v>31</v>
      </c>
      <c r="D196" s="1" t="s">
        <v>56</v>
      </c>
      <c r="E196" s="5">
        <v>46107</v>
      </c>
      <c r="F196" s="107">
        <v>1353.1710833333332</v>
      </c>
      <c r="G196" s="107">
        <v>178.61933333333334</v>
      </c>
      <c r="H196" s="107">
        <v>238.10004166666667</v>
      </c>
      <c r="I196" s="107">
        <v>554.82390833333341</v>
      </c>
      <c r="J196" s="107">
        <v>609.99570833333337</v>
      </c>
      <c r="K196" s="107">
        <v>1360.3072916666665</v>
      </c>
      <c r="L196" s="107">
        <v>3194.740291666667</v>
      </c>
      <c r="M196" s="107">
        <v>29.266249999999999</v>
      </c>
      <c r="N196" s="108">
        <f t="shared" si="21"/>
        <v>7519.0239083333336</v>
      </c>
      <c r="O196" s="1">
        <v>1500</v>
      </c>
      <c r="P196" s="107">
        <v>722.92500000000007</v>
      </c>
      <c r="Q196" s="107">
        <v>954.97381875000008</v>
      </c>
      <c r="R196" s="107">
        <v>3808.5499999999997</v>
      </c>
      <c r="S196" s="107">
        <v>1755</v>
      </c>
      <c r="T196" s="107">
        <v>0</v>
      </c>
      <c r="U196" s="107">
        <v>5152.8121250000013</v>
      </c>
      <c r="V196" s="107">
        <v>0</v>
      </c>
      <c r="W196" s="109">
        <f t="shared" si="19"/>
        <v>13894.26094375</v>
      </c>
      <c r="X196" s="118"/>
    </row>
    <row r="197" spans="1:24" hidden="1" x14ac:dyDescent="0.25">
      <c r="A197" s="1">
        <v>2026</v>
      </c>
      <c r="B197" s="52">
        <v>46082</v>
      </c>
      <c r="C197" s="1">
        <v>31</v>
      </c>
      <c r="D197" s="1" t="s">
        <v>57</v>
      </c>
      <c r="E197" s="5">
        <v>46108</v>
      </c>
      <c r="F197" s="107">
        <v>1196.324875</v>
      </c>
      <c r="G197" s="107">
        <v>122.7553333333333</v>
      </c>
      <c r="H197" s="107">
        <v>237.08795833333335</v>
      </c>
      <c r="I197" s="107">
        <v>806.49426666666659</v>
      </c>
      <c r="J197" s="107">
        <v>610.34883333333335</v>
      </c>
      <c r="K197" s="107">
        <v>1560.8886666666669</v>
      </c>
      <c r="L197" s="107">
        <v>3377.9956666666667</v>
      </c>
      <c r="M197" s="107">
        <v>40.700500000000005</v>
      </c>
      <c r="N197" s="108">
        <f t="shared" si="21"/>
        <v>7952.5960999999998</v>
      </c>
      <c r="O197" s="1">
        <v>1500</v>
      </c>
      <c r="P197" s="107">
        <v>722.92500000000007</v>
      </c>
      <c r="Q197" s="107">
        <v>891.9122625</v>
      </c>
      <c r="R197" s="107">
        <v>3808.5499999999997</v>
      </c>
      <c r="S197" s="107">
        <v>1755</v>
      </c>
      <c r="T197" s="107">
        <v>0</v>
      </c>
      <c r="U197" s="107">
        <v>5153.45154166667</v>
      </c>
      <c r="V197" s="107">
        <v>0</v>
      </c>
      <c r="W197" s="109">
        <f t="shared" si="19"/>
        <v>13831.838804166669</v>
      </c>
      <c r="X197" s="118"/>
    </row>
    <row r="198" spans="1:24" hidden="1" x14ac:dyDescent="0.25">
      <c r="A198" s="1">
        <v>2026</v>
      </c>
      <c r="B198" s="52">
        <v>46082</v>
      </c>
      <c r="C198" s="1">
        <v>31</v>
      </c>
      <c r="D198" s="1" t="s">
        <v>51</v>
      </c>
      <c r="E198" s="5">
        <v>46109</v>
      </c>
      <c r="F198" s="107">
        <v>1275.0493749999998</v>
      </c>
      <c r="G198" s="107">
        <v>170.68550000000002</v>
      </c>
      <c r="H198" s="107">
        <v>273.04862500000002</v>
      </c>
      <c r="I198" s="107">
        <v>603.29017708333345</v>
      </c>
      <c r="J198" s="107">
        <v>610.67537500000003</v>
      </c>
      <c r="K198" s="107">
        <v>1612.7406249999999</v>
      </c>
      <c r="L198" s="107">
        <v>3253.7274583333337</v>
      </c>
      <c r="M198" s="107">
        <v>137.08758333333333</v>
      </c>
      <c r="N198" s="108">
        <f t="shared" si="21"/>
        <v>7936.3047187499997</v>
      </c>
      <c r="O198" s="1">
        <v>1500</v>
      </c>
      <c r="P198" s="107">
        <v>722.92500000000007</v>
      </c>
      <c r="Q198" s="107">
        <v>931.38526250000018</v>
      </c>
      <c r="R198" s="107">
        <v>3689.9187499999998</v>
      </c>
      <c r="S198" s="107">
        <v>1755</v>
      </c>
      <c r="T198" s="107">
        <v>0</v>
      </c>
      <c r="U198" s="107">
        <v>5053.8917916666678</v>
      </c>
      <c r="V198" s="107">
        <v>0</v>
      </c>
      <c r="W198" s="109">
        <f t="shared" si="19"/>
        <v>13653.120804166669</v>
      </c>
      <c r="X198" s="118"/>
    </row>
    <row r="199" spans="1:24" hidden="1" x14ac:dyDescent="0.25">
      <c r="A199" s="1">
        <v>2026</v>
      </c>
      <c r="B199" s="52">
        <v>46082</v>
      </c>
      <c r="C199" s="1">
        <v>31</v>
      </c>
      <c r="D199" s="1" t="s">
        <v>52</v>
      </c>
      <c r="E199" s="5">
        <v>46110</v>
      </c>
      <c r="F199" s="107">
        <v>1090.2525000000001</v>
      </c>
      <c r="G199" s="107">
        <v>190.14033333333339</v>
      </c>
      <c r="H199" s="107">
        <v>334.34479166666665</v>
      </c>
      <c r="I199" s="107">
        <v>918.07711041666653</v>
      </c>
      <c r="J199" s="107">
        <v>610.38995833333331</v>
      </c>
      <c r="K199" s="107">
        <v>1382.0177500000007</v>
      </c>
      <c r="L199" s="107">
        <v>2815.739333333333</v>
      </c>
      <c r="M199" s="107">
        <v>92.292166666666645</v>
      </c>
      <c r="N199" s="108">
        <f t="shared" si="21"/>
        <v>7433.2539437500009</v>
      </c>
      <c r="O199" s="1">
        <v>1500</v>
      </c>
      <c r="P199" s="107">
        <v>723.97500000000002</v>
      </c>
      <c r="Q199" s="107">
        <v>974.61910000000012</v>
      </c>
      <c r="R199" s="107">
        <v>3806.6499999999996</v>
      </c>
      <c r="S199" s="107">
        <v>1755</v>
      </c>
      <c r="T199" s="107">
        <v>0</v>
      </c>
      <c r="U199" s="107">
        <v>5039.8680000000004</v>
      </c>
      <c r="V199" s="107">
        <v>0</v>
      </c>
      <c r="W199" s="109">
        <f t="shared" si="19"/>
        <v>13800.1121</v>
      </c>
      <c r="X199" s="118"/>
    </row>
    <row r="200" spans="1:24" hidden="1" x14ac:dyDescent="0.25">
      <c r="A200" s="1">
        <v>2026</v>
      </c>
      <c r="B200" s="52">
        <v>46082</v>
      </c>
      <c r="C200" s="1">
        <v>31</v>
      </c>
      <c r="D200" s="1" t="s">
        <v>53</v>
      </c>
      <c r="E200" s="5">
        <v>46111</v>
      </c>
      <c r="F200" s="107">
        <v>1130.9914166666667</v>
      </c>
      <c r="G200" s="107">
        <v>431.41670833333336</v>
      </c>
      <c r="H200" s="107">
        <v>372.05149999999998</v>
      </c>
      <c r="I200" s="107">
        <v>1592.5289770833333</v>
      </c>
      <c r="J200" s="107">
        <v>359.58891666666665</v>
      </c>
      <c r="K200" s="107">
        <v>1465.0379166666664</v>
      </c>
      <c r="L200" s="107">
        <v>3394.5140416666654</v>
      </c>
      <c r="M200" s="107">
        <v>280.12200000000001</v>
      </c>
      <c r="N200" s="108">
        <f t="shared" si="21"/>
        <v>9026.2514770833313</v>
      </c>
      <c r="O200" s="1">
        <v>1500</v>
      </c>
      <c r="P200" s="107">
        <v>723.97500000000002</v>
      </c>
      <c r="Q200" s="107">
        <v>967.6489375000001</v>
      </c>
      <c r="R200" s="107">
        <v>3807.6</v>
      </c>
      <c r="S200" s="107">
        <v>1755</v>
      </c>
      <c r="T200" s="107">
        <v>0</v>
      </c>
      <c r="U200" s="107">
        <v>4877.6847916666675</v>
      </c>
      <c r="V200" s="107">
        <v>0</v>
      </c>
      <c r="W200" s="109">
        <f t="shared" si="19"/>
        <v>13631.908729166666</v>
      </c>
      <c r="X200" s="118"/>
    </row>
    <row r="201" spans="1:24" hidden="1" x14ac:dyDescent="0.25">
      <c r="A201" s="1">
        <v>2026</v>
      </c>
      <c r="B201" s="52">
        <v>46082</v>
      </c>
      <c r="C201" s="1">
        <v>31</v>
      </c>
      <c r="D201" s="1" t="s">
        <v>54</v>
      </c>
      <c r="E201" s="5">
        <v>46112</v>
      </c>
      <c r="F201" s="107">
        <v>1276.1319166666669</v>
      </c>
      <c r="G201" s="107">
        <v>400.77683333333351</v>
      </c>
      <c r="H201" s="107">
        <v>334.14316666666662</v>
      </c>
      <c r="I201" s="107">
        <v>1679.8270499999996</v>
      </c>
      <c r="J201" s="107">
        <v>0</v>
      </c>
      <c r="K201" s="107">
        <v>1769.6475416666669</v>
      </c>
      <c r="L201" s="107">
        <v>3548.8857916666666</v>
      </c>
      <c r="M201" s="107">
        <v>1303.4861250000001</v>
      </c>
      <c r="N201" s="108">
        <f t="shared" si="21"/>
        <v>10312.898424999999</v>
      </c>
      <c r="O201" s="1">
        <v>1500</v>
      </c>
      <c r="P201" s="107">
        <v>711.375</v>
      </c>
      <c r="Q201" s="107">
        <v>965.54500000000007</v>
      </c>
      <c r="R201" s="107">
        <v>3805.7</v>
      </c>
      <c r="S201" s="107">
        <v>1755</v>
      </c>
      <c r="T201" s="107">
        <v>0</v>
      </c>
      <c r="U201" s="107">
        <v>4748.7668750000003</v>
      </c>
      <c r="V201" s="107">
        <v>0</v>
      </c>
      <c r="W201" s="109">
        <f t="shared" si="19"/>
        <v>13486.386875</v>
      </c>
      <c r="X201" s="118"/>
    </row>
    <row r="202" spans="1:24" hidden="1" x14ac:dyDescent="0.25">
      <c r="A202" s="1">
        <v>2026</v>
      </c>
      <c r="B202" s="52">
        <v>46113</v>
      </c>
      <c r="C202" s="1">
        <v>30</v>
      </c>
      <c r="D202" s="1" t="s">
        <v>55</v>
      </c>
      <c r="E202" s="5">
        <v>46113</v>
      </c>
      <c r="F202" s="107">
        <v>1158.2333333333333</v>
      </c>
      <c r="G202" s="107">
        <v>126.96249999999998</v>
      </c>
      <c r="H202" s="107">
        <v>318.21458333333334</v>
      </c>
      <c r="I202" s="107">
        <v>1647.8058749999996</v>
      </c>
      <c r="J202" s="107">
        <v>113.27666666666669</v>
      </c>
      <c r="K202" s="107">
        <v>1342.462500000004</v>
      </c>
      <c r="L202" s="107">
        <v>3880.4629166666632</v>
      </c>
      <c r="M202" s="107">
        <v>680.14166666666642</v>
      </c>
      <c r="N202" s="108">
        <f t="shared" si="21"/>
        <v>9267.5600416666657</v>
      </c>
      <c r="O202" s="1">
        <v>1500</v>
      </c>
      <c r="P202" s="107">
        <v>738.34971875000008</v>
      </c>
      <c r="Q202" s="107">
        <v>964.0575</v>
      </c>
      <c r="R202" s="107">
        <v>3801.8999999999996</v>
      </c>
      <c r="S202" s="107">
        <v>1755</v>
      </c>
      <c r="T202" s="107">
        <v>0</v>
      </c>
      <c r="U202" s="107">
        <v>4905.3076249999995</v>
      </c>
      <c r="V202" s="107">
        <v>0</v>
      </c>
      <c r="W202" s="109">
        <f t="shared" si="19"/>
        <v>13664.61484375</v>
      </c>
      <c r="X202" s="118"/>
    </row>
    <row r="203" spans="1:24" hidden="1" x14ac:dyDescent="0.25">
      <c r="A203" s="1">
        <v>2026</v>
      </c>
      <c r="B203" s="52">
        <v>46113</v>
      </c>
      <c r="C203" s="1">
        <v>30</v>
      </c>
      <c r="D203" s="1" t="s">
        <v>56</v>
      </c>
      <c r="E203" s="5">
        <v>46114</v>
      </c>
      <c r="F203" s="107">
        <v>1088.5795833333334</v>
      </c>
      <c r="G203" s="107">
        <v>112.0208333333333</v>
      </c>
      <c r="H203" s="107">
        <v>229.25666666666658</v>
      </c>
      <c r="I203" s="107">
        <v>639.20591666666655</v>
      </c>
      <c r="J203" s="107">
        <v>572.55666666666673</v>
      </c>
      <c r="K203" s="107">
        <v>1328.8100000000004</v>
      </c>
      <c r="L203" s="107">
        <v>3002.1325000000088</v>
      </c>
      <c r="M203" s="107">
        <v>1111.9050000000004</v>
      </c>
      <c r="N203" s="108">
        <f t="shared" si="21"/>
        <v>8084.4671666666763</v>
      </c>
      <c r="O203" s="1">
        <v>1500</v>
      </c>
      <c r="P203" s="107">
        <v>804.30000000000007</v>
      </c>
      <c r="Q203" s="107">
        <v>965.21556250000003</v>
      </c>
      <c r="R203" s="107">
        <v>3804.75</v>
      </c>
      <c r="S203" s="107">
        <v>1755</v>
      </c>
      <c r="T203" s="107">
        <v>0</v>
      </c>
      <c r="U203" s="107">
        <v>5036.4907499999999</v>
      </c>
      <c r="V203" s="107">
        <v>0</v>
      </c>
      <c r="W203" s="109">
        <f t="shared" si="19"/>
        <v>13865.756312500002</v>
      </c>
      <c r="X203" s="118"/>
    </row>
    <row r="204" spans="1:24" hidden="1" x14ac:dyDescent="0.25">
      <c r="A204" s="1">
        <v>2026</v>
      </c>
      <c r="B204" s="52">
        <v>46113</v>
      </c>
      <c r="C204" s="1">
        <v>30</v>
      </c>
      <c r="D204" s="1" t="s">
        <v>57</v>
      </c>
      <c r="E204" s="5">
        <v>46115</v>
      </c>
      <c r="F204" s="107">
        <v>883.91291666666632</v>
      </c>
      <c r="G204" s="107">
        <v>188.89000000000001</v>
      </c>
      <c r="H204" s="107">
        <v>220.0975</v>
      </c>
      <c r="I204" s="107">
        <v>399.51695833333326</v>
      </c>
      <c r="J204" s="107">
        <v>616.8195833333333</v>
      </c>
      <c r="K204" s="107">
        <v>1989.6400000000042</v>
      </c>
      <c r="L204" s="107">
        <v>2551.1704166666646</v>
      </c>
      <c r="M204" s="107">
        <v>412.93208333333331</v>
      </c>
      <c r="N204" s="108">
        <f t="shared" si="21"/>
        <v>7262.9794583333351</v>
      </c>
      <c r="O204" s="1">
        <v>1500</v>
      </c>
      <c r="P204" s="107">
        <v>804.30000000000007</v>
      </c>
      <c r="Q204" s="107">
        <v>843.00693750000005</v>
      </c>
      <c r="R204" s="107">
        <v>3801.1653729166665</v>
      </c>
      <c r="S204" s="107">
        <v>1755</v>
      </c>
      <c r="T204" s="107">
        <v>0</v>
      </c>
      <c r="U204" s="107">
        <v>4643.8595416666658</v>
      </c>
      <c r="V204" s="107">
        <v>0</v>
      </c>
      <c r="W204" s="109">
        <f t="shared" si="19"/>
        <v>13347.331852083331</v>
      </c>
      <c r="X204" s="118"/>
    </row>
    <row r="205" spans="1:24" hidden="1" x14ac:dyDescent="0.25">
      <c r="A205" s="1">
        <v>2026</v>
      </c>
      <c r="B205" s="52">
        <v>46113</v>
      </c>
      <c r="C205" s="1">
        <v>30</v>
      </c>
      <c r="D205" s="1" t="s">
        <v>51</v>
      </c>
      <c r="E205" s="5">
        <v>46116</v>
      </c>
      <c r="F205" s="107">
        <v>707.53750000000002</v>
      </c>
      <c r="G205" s="107">
        <v>164.11333333333332</v>
      </c>
      <c r="H205" s="107">
        <v>281.1941666666666</v>
      </c>
      <c r="I205" s="107">
        <v>879.44943750000004</v>
      </c>
      <c r="J205" s="107">
        <v>616.81249999999989</v>
      </c>
      <c r="K205" s="107">
        <v>1287.7645833333311</v>
      </c>
      <c r="L205" s="107">
        <v>2118.4070833333349</v>
      </c>
      <c r="M205" s="107">
        <v>463.64583333333326</v>
      </c>
      <c r="N205" s="108">
        <f t="shared" si="21"/>
        <v>6518.9244374999989</v>
      </c>
      <c r="O205" s="1">
        <v>1500</v>
      </c>
      <c r="P205" s="107">
        <v>800.625</v>
      </c>
      <c r="Q205" s="107">
        <v>868.07</v>
      </c>
      <c r="R205" s="107">
        <v>3799.0499999999997</v>
      </c>
      <c r="S205" s="107">
        <v>1755</v>
      </c>
      <c r="T205" s="107">
        <v>0</v>
      </c>
      <c r="U205" s="107">
        <v>4645.7187916666662</v>
      </c>
      <c r="V205" s="107">
        <v>0</v>
      </c>
      <c r="W205" s="109">
        <f t="shared" si="19"/>
        <v>13368.463791666665</v>
      </c>
      <c r="X205" s="118"/>
    </row>
    <row r="206" spans="1:24" hidden="1" x14ac:dyDescent="0.25">
      <c r="A206" s="1">
        <v>2026</v>
      </c>
      <c r="B206" s="52">
        <v>46113</v>
      </c>
      <c r="C206" s="1">
        <v>30</v>
      </c>
      <c r="D206" s="1" t="s">
        <v>52</v>
      </c>
      <c r="E206" s="5">
        <v>46117</v>
      </c>
      <c r="F206" s="107">
        <v>700.07749999999999</v>
      </c>
      <c r="G206" s="107">
        <v>151.82291666666669</v>
      </c>
      <c r="H206" s="107">
        <v>308.75083333333305</v>
      </c>
      <c r="I206" s="107">
        <v>1180.5456041666666</v>
      </c>
      <c r="J206" s="107">
        <v>616.9629166666665</v>
      </c>
      <c r="K206" s="107">
        <v>1387.0612499999977</v>
      </c>
      <c r="L206" s="107">
        <v>1925.7300000000002</v>
      </c>
      <c r="M206" s="107">
        <v>272.07083333333327</v>
      </c>
      <c r="N206" s="108">
        <f t="shared" si="21"/>
        <v>6543.0218541666645</v>
      </c>
      <c r="O206" s="1">
        <v>1500</v>
      </c>
      <c r="P206" s="107">
        <v>800.625</v>
      </c>
      <c r="Q206" s="107">
        <v>872.97393750000003</v>
      </c>
      <c r="R206" s="107">
        <v>3799.0499999999997</v>
      </c>
      <c r="S206" s="107">
        <v>1755</v>
      </c>
      <c r="T206" s="107">
        <v>0</v>
      </c>
      <c r="U206" s="107">
        <v>5001.3035833333324</v>
      </c>
      <c r="V206" s="107">
        <v>0</v>
      </c>
      <c r="W206" s="109">
        <f t="shared" si="19"/>
        <v>13728.952520833333</v>
      </c>
      <c r="X206" s="118"/>
    </row>
    <row r="207" spans="1:24" hidden="1" x14ac:dyDescent="0.25">
      <c r="A207" s="1">
        <v>2026</v>
      </c>
      <c r="B207" s="52">
        <v>46113</v>
      </c>
      <c r="C207" s="1">
        <v>30</v>
      </c>
      <c r="D207" s="1" t="s">
        <v>53</v>
      </c>
      <c r="E207" s="5">
        <v>46118</v>
      </c>
      <c r="F207" s="107">
        <v>953.05916666666656</v>
      </c>
      <c r="G207" s="107">
        <v>123.06916666666667</v>
      </c>
      <c r="H207" s="107">
        <v>297.42958333333348</v>
      </c>
      <c r="I207" s="107">
        <v>1100.9169999999999</v>
      </c>
      <c r="J207" s="107">
        <v>617.33875</v>
      </c>
      <c r="K207" s="107">
        <v>1261.664583333328</v>
      </c>
      <c r="L207" s="107">
        <v>2362.3470833333317</v>
      </c>
      <c r="M207" s="107">
        <v>461.23416666666657</v>
      </c>
      <c r="N207" s="108">
        <f t="shared" si="21"/>
        <v>7177.059499999993</v>
      </c>
      <c r="O207" s="1">
        <v>1500</v>
      </c>
      <c r="P207" s="107">
        <v>788.11971875000006</v>
      </c>
      <c r="Q207" s="107">
        <v>933.57249999999999</v>
      </c>
      <c r="R207" s="107">
        <v>3799.0499999999997</v>
      </c>
      <c r="S207" s="107">
        <v>1755</v>
      </c>
      <c r="T207" s="107">
        <v>0</v>
      </c>
      <c r="U207" s="107">
        <v>5042.2245416666656</v>
      </c>
      <c r="V207" s="107">
        <v>0</v>
      </c>
      <c r="W207" s="109">
        <f t="shared" si="19"/>
        <v>13817.966760416664</v>
      </c>
      <c r="X207" s="118"/>
    </row>
    <row r="208" spans="1:24" hidden="1" x14ac:dyDescent="0.25">
      <c r="A208" s="1">
        <v>2026</v>
      </c>
      <c r="B208" s="52">
        <v>46113</v>
      </c>
      <c r="C208" s="1">
        <v>30</v>
      </c>
      <c r="D208" s="1" t="s">
        <v>54</v>
      </c>
      <c r="E208" s="5">
        <v>46119</v>
      </c>
      <c r="F208" s="107">
        <v>1328.2983333333329</v>
      </c>
      <c r="G208" s="107">
        <v>159.56291666666667</v>
      </c>
      <c r="H208" s="107">
        <v>239.18375</v>
      </c>
      <c r="I208" s="107">
        <v>499.25745833333332</v>
      </c>
      <c r="J208" s="107">
        <v>617.75874999999996</v>
      </c>
      <c r="K208" s="107">
        <v>942.70958333333385</v>
      </c>
      <c r="L208" s="107">
        <v>2624.8708333333348</v>
      </c>
      <c r="M208" s="107">
        <v>198.94500000000005</v>
      </c>
      <c r="N208" s="108">
        <f t="shared" si="21"/>
        <v>6610.5866250000017</v>
      </c>
      <c r="O208" s="1">
        <v>1500</v>
      </c>
      <c r="P208" s="107">
        <v>816.90000000000009</v>
      </c>
      <c r="Q208" s="107">
        <v>987.46375</v>
      </c>
      <c r="R208" s="107">
        <v>3799.0499999999997</v>
      </c>
      <c r="S208" s="107">
        <v>1755</v>
      </c>
      <c r="T208" s="107">
        <v>0</v>
      </c>
      <c r="U208" s="107">
        <v>5219.4224999999988</v>
      </c>
      <c r="V208" s="107">
        <v>0</v>
      </c>
      <c r="W208" s="109">
        <f t="shared" ref="W208:W230" si="22">+SUM(O208:V208)</f>
        <v>14077.836249999998</v>
      </c>
      <c r="X208" s="118"/>
    </row>
    <row r="209" spans="1:24" hidden="1" x14ac:dyDescent="0.25">
      <c r="A209" s="1">
        <v>2026</v>
      </c>
      <c r="B209" s="52">
        <v>46113</v>
      </c>
      <c r="C209" s="1">
        <v>30</v>
      </c>
      <c r="D209" s="1" t="s">
        <v>55</v>
      </c>
      <c r="E209" s="5">
        <v>46120</v>
      </c>
      <c r="F209" s="107">
        <v>1701.1629166666664</v>
      </c>
      <c r="G209" s="107">
        <v>150.05166666666665</v>
      </c>
      <c r="H209" s="107">
        <v>235.3354166666667</v>
      </c>
      <c r="I209" s="107">
        <v>260.10525000000001</v>
      </c>
      <c r="J209" s="107">
        <v>618.40833333333342</v>
      </c>
      <c r="K209" s="107">
        <v>876.8745833333337</v>
      </c>
      <c r="L209" s="107">
        <v>2669.1612500000019</v>
      </c>
      <c r="M209" s="107">
        <v>107.58833333333331</v>
      </c>
      <c r="N209" s="108">
        <f t="shared" si="21"/>
        <v>6618.6877500000019</v>
      </c>
      <c r="O209" s="1">
        <v>1500</v>
      </c>
      <c r="P209" s="107">
        <v>837.375</v>
      </c>
      <c r="Q209" s="107">
        <v>979.10750000000007</v>
      </c>
      <c r="R209" s="107">
        <v>3799.0499999999997</v>
      </c>
      <c r="S209" s="107">
        <v>1755</v>
      </c>
      <c r="T209" s="107">
        <v>0</v>
      </c>
      <c r="U209" s="107">
        <v>5281.8342916666661</v>
      </c>
      <c r="V209" s="107">
        <v>0</v>
      </c>
      <c r="W209" s="109">
        <f t="shared" si="22"/>
        <v>14152.366791666665</v>
      </c>
      <c r="X209" s="118"/>
    </row>
    <row r="210" spans="1:24" hidden="1" x14ac:dyDescent="0.25">
      <c r="A210" s="1">
        <v>2026</v>
      </c>
      <c r="B210" s="52">
        <v>46113</v>
      </c>
      <c r="C210" s="1">
        <v>30</v>
      </c>
      <c r="D210" s="1" t="s">
        <v>56</v>
      </c>
      <c r="E210" s="5">
        <v>46121</v>
      </c>
      <c r="F210" s="107">
        <v>1900.0483333333339</v>
      </c>
      <c r="G210" s="107">
        <v>97.724583333333314</v>
      </c>
      <c r="H210" s="107">
        <v>218.17000000000004</v>
      </c>
      <c r="I210" s="107">
        <v>229.35770833333333</v>
      </c>
      <c r="J210" s="107">
        <v>618.43166666666673</v>
      </c>
      <c r="K210" s="107">
        <v>1605.662083333332</v>
      </c>
      <c r="L210" s="107">
        <v>2609.6383333333315</v>
      </c>
      <c r="M210" s="107">
        <v>11.046666666666667</v>
      </c>
      <c r="N210" s="108">
        <f t="shared" si="21"/>
        <v>7290.0793749999984</v>
      </c>
      <c r="O210" s="1">
        <v>1500</v>
      </c>
      <c r="P210" s="107">
        <v>825.06309375000001</v>
      </c>
      <c r="Q210" s="107">
        <v>979.698125</v>
      </c>
      <c r="R210" s="107">
        <v>3790.5</v>
      </c>
      <c r="S210" s="107">
        <v>1755</v>
      </c>
      <c r="T210" s="107">
        <v>0</v>
      </c>
      <c r="U210" s="107">
        <v>5387.9325416666643</v>
      </c>
      <c r="V210" s="107">
        <v>0</v>
      </c>
      <c r="W210" s="109">
        <f t="shared" si="22"/>
        <v>14238.193760416663</v>
      </c>
      <c r="X210" s="118"/>
    </row>
    <row r="211" spans="1:24" hidden="1" x14ac:dyDescent="0.25">
      <c r="A211" s="1">
        <v>2026</v>
      </c>
      <c r="B211" s="52">
        <v>46113</v>
      </c>
      <c r="C211" s="1">
        <v>30</v>
      </c>
      <c r="D211" s="1" t="s">
        <v>57</v>
      </c>
      <c r="E211" s="5">
        <v>46122</v>
      </c>
      <c r="F211" s="107">
        <v>1940.1483333333335</v>
      </c>
      <c r="G211" s="107">
        <v>76.308333333333337</v>
      </c>
      <c r="H211" s="107">
        <v>217.08958333333339</v>
      </c>
      <c r="I211" s="107">
        <v>230.98577083333333</v>
      </c>
      <c r="J211" s="107">
        <v>618.05750000000012</v>
      </c>
      <c r="K211" s="107">
        <v>1825.4591666666638</v>
      </c>
      <c r="L211" s="107">
        <v>2421.3283333333316</v>
      </c>
      <c r="M211" s="107">
        <v>10.959583333333335</v>
      </c>
      <c r="N211" s="108">
        <f t="shared" si="21"/>
        <v>7340.3366041666632</v>
      </c>
      <c r="O211" s="1">
        <v>1500</v>
      </c>
      <c r="P211" s="107">
        <v>827.92500000000007</v>
      </c>
      <c r="Q211" s="107">
        <v>985.0575</v>
      </c>
      <c r="R211" s="107">
        <v>3799.0499999999997</v>
      </c>
      <c r="S211" s="107">
        <v>1755</v>
      </c>
      <c r="T211" s="107">
        <v>0</v>
      </c>
      <c r="U211" s="107">
        <v>5489.8545833333319</v>
      </c>
      <c r="V211" s="107">
        <v>0</v>
      </c>
      <c r="W211" s="109">
        <f t="shared" si="22"/>
        <v>14356.887083333331</v>
      </c>
      <c r="X211" s="118"/>
    </row>
    <row r="212" spans="1:24" hidden="1" x14ac:dyDescent="0.25">
      <c r="A212" s="1">
        <v>2026</v>
      </c>
      <c r="B212" s="52">
        <v>46113</v>
      </c>
      <c r="C212" s="1">
        <v>30</v>
      </c>
      <c r="D212" s="1" t="s">
        <v>51</v>
      </c>
      <c r="E212" s="5">
        <v>46123</v>
      </c>
      <c r="F212" s="107">
        <v>1794.2697500000002</v>
      </c>
      <c r="G212" s="107">
        <v>174.97666666666669</v>
      </c>
      <c r="H212" s="107">
        <v>218.95920833333312</v>
      </c>
      <c r="I212" s="107">
        <v>227.10545625000006</v>
      </c>
      <c r="J212" s="107">
        <v>618.4433333333335</v>
      </c>
      <c r="K212" s="107">
        <v>2186.5214583333327</v>
      </c>
      <c r="L212" s="107">
        <v>2383.2385000000017</v>
      </c>
      <c r="M212" s="107">
        <v>203.31462500000009</v>
      </c>
      <c r="N212" s="108">
        <f t="shared" si="21"/>
        <v>7806.8289979166684</v>
      </c>
      <c r="O212" s="1">
        <v>1500</v>
      </c>
      <c r="P212" s="107">
        <v>863.70528124999998</v>
      </c>
      <c r="Q212" s="107">
        <v>1038.4469375000001</v>
      </c>
      <c r="R212" s="107">
        <v>3798.1</v>
      </c>
      <c r="S212" s="107">
        <v>1755</v>
      </c>
      <c r="T212" s="107">
        <v>0</v>
      </c>
      <c r="U212" s="107">
        <v>5297.8220416666654</v>
      </c>
      <c r="V212" s="107">
        <v>0</v>
      </c>
      <c r="W212" s="109">
        <f t="shared" si="22"/>
        <v>14253.074260416666</v>
      </c>
      <c r="X212" s="118"/>
    </row>
    <row r="213" spans="1:24" hidden="1" x14ac:dyDescent="0.25">
      <c r="A213" s="1">
        <v>2026</v>
      </c>
      <c r="B213" s="52">
        <v>46113</v>
      </c>
      <c r="C213" s="1">
        <v>30</v>
      </c>
      <c r="D213" s="1" t="s">
        <v>52</v>
      </c>
      <c r="E213" s="5">
        <v>46124</v>
      </c>
      <c r="F213" s="107">
        <v>1236.4944583333333</v>
      </c>
      <c r="G213" s="107">
        <v>410.10470833333335</v>
      </c>
      <c r="H213" s="107">
        <v>224.90687500000004</v>
      </c>
      <c r="I213" s="107">
        <v>380.47891874999999</v>
      </c>
      <c r="J213" s="107">
        <v>618.34800000000007</v>
      </c>
      <c r="K213" s="107">
        <v>1879.8993750000038</v>
      </c>
      <c r="L213" s="107">
        <v>2510.2810416666644</v>
      </c>
      <c r="M213" s="107">
        <v>142.33237499999993</v>
      </c>
      <c r="N213" s="108">
        <f t="shared" si="21"/>
        <v>7402.8457520833344</v>
      </c>
      <c r="O213" s="1">
        <v>1500</v>
      </c>
      <c r="P213" s="107">
        <v>890.92500000000007</v>
      </c>
      <c r="Q213" s="107">
        <v>1075.7950000000001</v>
      </c>
      <c r="R213" s="107">
        <v>3798.1</v>
      </c>
      <c r="S213" s="107">
        <v>1755</v>
      </c>
      <c r="T213" s="107">
        <v>0</v>
      </c>
      <c r="U213" s="107">
        <v>5404.0410833333308</v>
      </c>
      <c r="V213" s="107">
        <v>0</v>
      </c>
      <c r="W213" s="109">
        <f t="shared" si="22"/>
        <v>14423.86108333333</v>
      </c>
      <c r="X213" s="118"/>
    </row>
    <row r="214" spans="1:24" hidden="1" x14ac:dyDescent="0.25">
      <c r="A214" s="1">
        <v>2026</v>
      </c>
      <c r="B214" s="52">
        <v>46113</v>
      </c>
      <c r="C214" s="1">
        <v>30</v>
      </c>
      <c r="D214" s="1" t="s">
        <v>53</v>
      </c>
      <c r="E214" s="5">
        <v>46125</v>
      </c>
      <c r="F214" s="107">
        <v>1743.1719166666664</v>
      </c>
      <c r="G214" s="107">
        <v>621.1954166666668</v>
      </c>
      <c r="H214" s="107">
        <v>225.05920833333343</v>
      </c>
      <c r="I214" s="107">
        <v>553.75828541666669</v>
      </c>
      <c r="J214" s="107">
        <v>618.91395833333343</v>
      </c>
      <c r="K214" s="107">
        <v>1950.186833333335</v>
      </c>
      <c r="L214" s="107">
        <v>2836.5500833333322</v>
      </c>
      <c r="M214" s="107">
        <v>14.177958333333335</v>
      </c>
      <c r="N214" s="108">
        <f t="shared" si="21"/>
        <v>8563.0136604166673</v>
      </c>
      <c r="O214" s="1">
        <v>1500</v>
      </c>
      <c r="P214" s="107">
        <v>880.95</v>
      </c>
      <c r="Q214" s="107">
        <v>1073.9281874999999</v>
      </c>
      <c r="R214" s="107">
        <v>3628.3963541666667</v>
      </c>
      <c r="S214" s="107">
        <v>1755</v>
      </c>
      <c r="T214" s="107">
        <v>0</v>
      </c>
      <c r="U214" s="107">
        <v>5330.010124999998</v>
      </c>
      <c r="V214" s="107">
        <v>0</v>
      </c>
      <c r="W214" s="109">
        <f t="shared" si="22"/>
        <v>14168.284666666663</v>
      </c>
      <c r="X214" s="118"/>
    </row>
    <row r="215" spans="1:24" hidden="1" x14ac:dyDescent="0.25">
      <c r="A215" s="1">
        <v>2026</v>
      </c>
      <c r="B215" s="52">
        <v>46113</v>
      </c>
      <c r="C215" s="1">
        <v>30</v>
      </c>
      <c r="D215" s="1" t="s">
        <v>54</v>
      </c>
      <c r="E215" s="5">
        <v>46126</v>
      </c>
      <c r="F215" s="107">
        <v>1826.6634999999999</v>
      </c>
      <c r="G215" s="107">
        <v>542.993875</v>
      </c>
      <c r="H215" s="107">
        <v>239.42558333333341</v>
      </c>
      <c r="I215" s="107">
        <v>358.94819791666669</v>
      </c>
      <c r="J215" s="107">
        <v>618.3732500000001</v>
      </c>
      <c r="K215" s="107">
        <v>2031.6686666666674</v>
      </c>
      <c r="L215" s="107">
        <v>2871.1652499999987</v>
      </c>
      <c r="M215" s="107">
        <v>140.70124999999993</v>
      </c>
      <c r="N215" s="108">
        <f t="shared" si="21"/>
        <v>8629.9395729166663</v>
      </c>
      <c r="O215" s="1">
        <v>1500</v>
      </c>
      <c r="P215" s="107">
        <v>872.02500000000009</v>
      </c>
      <c r="Q215" s="107">
        <v>973.15750000000003</v>
      </c>
      <c r="R215" s="107">
        <v>3694.5499999999997</v>
      </c>
      <c r="S215" s="107">
        <v>1755</v>
      </c>
      <c r="T215" s="107">
        <v>0</v>
      </c>
      <c r="U215" s="107">
        <v>5255.3977499999983</v>
      </c>
      <c r="V215" s="107">
        <v>0</v>
      </c>
      <c r="W215" s="109">
        <f t="shared" si="22"/>
        <v>14050.130249999998</v>
      </c>
      <c r="X215" s="118"/>
    </row>
    <row r="216" spans="1:24" hidden="1" x14ac:dyDescent="0.25">
      <c r="A216" s="1">
        <v>2026</v>
      </c>
      <c r="B216" s="52">
        <v>46113</v>
      </c>
      <c r="C216" s="1">
        <v>30</v>
      </c>
      <c r="D216" s="1" t="s">
        <v>55</v>
      </c>
      <c r="E216" s="5">
        <v>46127</v>
      </c>
      <c r="F216" s="107">
        <v>1688.1601666666668</v>
      </c>
      <c r="G216" s="107">
        <v>456.92845833333348</v>
      </c>
      <c r="H216" s="107">
        <v>228.64324999999985</v>
      </c>
      <c r="I216" s="107">
        <v>508.17257500000005</v>
      </c>
      <c r="J216" s="107">
        <v>617.64058333333321</v>
      </c>
      <c r="K216" s="107">
        <v>1381.5590416666657</v>
      </c>
      <c r="L216" s="107">
        <v>2799.4074583333336</v>
      </c>
      <c r="M216" s="107">
        <v>134.55041666666656</v>
      </c>
      <c r="N216" s="108">
        <f t="shared" si="21"/>
        <v>7815.0619499999993</v>
      </c>
      <c r="O216" s="1">
        <v>1500</v>
      </c>
      <c r="P216" s="107">
        <v>872.02500000000009</v>
      </c>
      <c r="Q216" s="107">
        <v>976.22</v>
      </c>
      <c r="R216" s="107">
        <v>3793.35</v>
      </c>
      <c r="S216" s="107">
        <v>1755</v>
      </c>
      <c r="T216" s="107">
        <v>0</v>
      </c>
      <c r="U216" s="107">
        <v>5298.5865000000003</v>
      </c>
      <c r="V216" s="107">
        <v>0</v>
      </c>
      <c r="W216" s="109">
        <f t="shared" si="22"/>
        <v>14195.181499999999</v>
      </c>
      <c r="X216" s="118"/>
    </row>
    <row r="217" spans="1:24" hidden="1" x14ac:dyDescent="0.25">
      <c r="A217" s="1">
        <v>2026</v>
      </c>
      <c r="B217" s="52">
        <v>46113</v>
      </c>
      <c r="C217" s="1">
        <v>30</v>
      </c>
      <c r="D217" s="1" t="s">
        <v>56</v>
      </c>
      <c r="E217" s="5">
        <v>46128</v>
      </c>
      <c r="F217" s="107">
        <v>1520.2770833333334</v>
      </c>
      <c r="G217" s="107">
        <v>536.86762499999998</v>
      </c>
      <c r="H217" s="107">
        <v>234.67375000000015</v>
      </c>
      <c r="I217" s="107">
        <v>501.17246041666669</v>
      </c>
      <c r="J217" s="107">
        <v>617.76420833333327</v>
      </c>
      <c r="K217" s="107">
        <v>1443.1660416666662</v>
      </c>
      <c r="L217" s="107">
        <v>2834.0212083333331</v>
      </c>
      <c r="M217" s="107">
        <v>16.132416666666668</v>
      </c>
      <c r="N217" s="108">
        <f t="shared" si="21"/>
        <v>7704.0747937499991</v>
      </c>
      <c r="O217" s="1">
        <v>1500</v>
      </c>
      <c r="P217" s="107">
        <v>865.2</v>
      </c>
      <c r="Q217" s="107">
        <v>978.27625</v>
      </c>
      <c r="R217" s="107">
        <v>3793.35</v>
      </c>
      <c r="S217" s="107">
        <v>1755</v>
      </c>
      <c r="T217" s="107">
        <v>0</v>
      </c>
      <c r="U217" s="107">
        <v>5492.3996250000009</v>
      </c>
      <c r="V217" s="107">
        <v>0</v>
      </c>
      <c r="W217" s="109">
        <f t="shared" si="22"/>
        <v>14384.225875</v>
      </c>
      <c r="X217" s="118"/>
    </row>
    <row r="218" spans="1:24" hidden="1" x14ac:dyDescent="0.25">
      <c r="A218" s="1">
        <v>2026</v>
      </c>
      <c r="B218" s="52">
        <v>46113</v>
      </c>
      <c r="C218" s="1">
        <v>30</v>
      </c>
      <c r="D218" s="1" t="s">
        <v>57</v>
      </c>
      <c r="E218" s="5">
        <v>46129</v>
      </c>
      <c r="F218" s="107">
        <v>1457.5077916666667</v>
      </c>
      <c r="G218" s="107">
        <v>448.81220833333333</v>
      </c>
      <c r="H218" s="107">
        <v>239.95799999999994</v>
      </c>
      <c r="I218" s="107">
        <v>489.65493749999985</v>
      </c>
      <c r="J218" s="107">
        <v>617.5280416666667</v>
      </c>
      <c r="K218" s="107">
        <v>1440.9616249999999</v>
      </c>
      <c r="L218" s="107">
        <v>3118.9150833333351</v>
      </c>
      <c r="M218" s="107">
        <v>96.495958333333292</v>
      </c>
      <c r="N218" s="108">
        <f t="shared" si="21"/>
        <v>7909.8336458333342</v>
      </c>
      <c r="O218" s="1">
        <v>1500</v>
      </c>
      <c r="P218" s="107">
        <v>865.2</v>
      </c>
      <c r="Q218" s="107">
        <v>965.54674999999997</v>
      </c>
      <c r="R218" s="107">
        <v>3790.5</v>
      </c>
      <c r="S218" s="107">
        <v>1755</v>
      </c>
      <c r="T218" s="107">
        <v>0</v>
      </c>
      <c r="U218" s="107">
        <v>5525.7567916666649</v>
      </c>
      <c r="V218" s="107">
        <v>0</v>
      </c>
      <c r="W218" s="109">
        <f t="shared" si="22"/>
        <v>14402.003541666665</v>
      </c>
      <c r="X218" s="118"/>
    </row>
    <row r="219" spans="1:24" hidden="1" x14ac:dyDescent="0.25">
      <c r="A219" s="1">
        <v>2026</v>
      </c>
      <c r="B219" s="52">
        <v>46113</v>
      </c>
      <c r="C219" s="1">
        <v>30</v>
      </c>
      <c r="D219" s="1" t="s">
        <v>51</v>
      </c>
      <c r="E219" s="5">
        <v>46130</v>
      </c>
      <c r="F219" s="107">
        <v>1039.5215833333334</v>
      </c>
      <c r="G219" s="107">
        <v>397.54895833333336</v>
      </c>
      <c r="H219" s="107">
        <v>235.22854166666659</v>
      </c>
      <c r="I219" s="107">
        <v>476.90245416666664</v>
      </c>
      <c r="J219" s="107">
        <v>616.50687500000004</v>
      </c>
      <c r="K219" s="107">
        <v>1663.4940416666684</v>
      </c>
      <c r="L219" s="107">
        <v>2522.0672500000001</v>
      </c>
      <c r="M219" s="107">
        <v>15.259416666666668</v>
      </c>
      <c r="N219" s="108">
        <f t="shared" si="21"/>
        <v>6966.5291208333356</v>
      </c>
      <c r="O219" s="1">
        <v>1500</v>
      </c>
      <c r="P219" s="107">
        <v>877.80000000000007</v>
      </c>
      <c r="Q219" s="107">
        <v>936.68662500000005</v>
      </c>
      <c r="R219" s="107">
        <v>3790.5</v>
      </c>
      <c r="S219" s="107">
        <v>1755</v>
      </c>
      <c r="T219" s="107">
        <v>0</v>
      </c>
      <c r="U219" s="107">
        <v>5773.0259583333336</v>
      </c>
      <c r="V219" s="107">
        <v>0</v>
      </c>
      <c r="W219" s="109">
        <f t="shared" si="22"/>
        <v>14633.012583333335</v>
      </c>
      <c r="X219" s="118"/>
    </row>
    <row r="220" spans="1:24" hidden="1" x14ac:dyDescent="0.25">
      <c r="A220" s="1">
        <v>2026</v>
      </c>
      <c r="B220" s="52">
        <v>46113</v>
      </c>
      <c r="C220" s="1">
        <v>30</v>
      </c>
      <c r="D220" s="1" t="s">
        <v>52</v>
      </c>
      <c r="E220" s="5">
        <v>46131</v>
      </c>
      <c r="F220" s="107">
        <v>1075.8318750000003</v>
      </c>
      <c r="G220" s="107">
        <v>419.79349999999999</v>
      </c>
      <c r="H220" s="107">
        <v>221.66750000000005</v>
      </c>
      <c r="I220" s="107">
        <v>191.05362916666664</v>
      </c>
      <c r="J220" s="107">
        <v>617.73358333333329</v>
      </c>
      <c r="K220" s="107">
        <v>1550.9846250000039</v>
      </c>
      <c r="L220" s="107">
        <v>2505.2516250000017</v>
      </c>
      <c r="M220" s="107">
        <v>16.711125000000006</v>
      </c>
      <c r="N220" s="108">
        <f t="shared" si="21"/>
        <v>6599.0274625000056</v>
      </c>
      <c r="O220" s="1">
        <v>1500</v>
      </c>
      <c r="P220" s="107">
        <v>879.90000000000009</v>
      </c>
      <c r="Q220" s="107">
        <v>954.06500000000005</v>
      </c>
      <c r="R220" s="107">
        <v>3787.6499999999996</v>
      </c>
      <c r="S220" s="107">
        <v>1755</v>
      </c>
      <c r="T220" s="107">
        <v>0</v>
      </c>
      <c r="U220" s="107">
        <v>5792.566041666666</v>
      </c>
      <c r="V220" s="107">
        <v>0</v>
      </c>
      <c r="W220" s="109">
        <f t="shared" si="22"/>
        <v>14669.181041666667</v>
      </c>
      <c r="X220" s="118"/>
    </row>
    <row r="221" spans="1:24" hidden="1" x14ac:dyDescent="0.25">
      <c r="A221" s="1">
        <v>2026</v>
      </c>
      <c r="B221" s="52">
        <v>46113</v>
      </c>
      <c r="C221" s="1">
        <v>30</v>
      </c>
      <c r="D221" s="1" t="str">
        <f>+Precios!C221</f>
        <v>lun</v>
      </c>
      <c r="E221" s="5">
        <f>+Precios!D221</f>
        <v>46132</v>
      </c>
      <c r="F221" s="107">
        <v>1397.9695833333335</v>
      </c>
      <c r="G221" s="107">
        <v>961.19016666666676</v>
      </c>
      <c r="H221" s="107">
        <v>212.83437499999991</v>
      </c>
      <c r="I221" s="107">
        <v>402.18107500000002</v>
      </c>
      <c r="J221" s="107">
        <v>617.84929166666666</v>
      </c>
      <c r="K221" s="107">
        <v>1350.4770000000017</v>
      </c>
      <c r="L221" s="107">
        <v>2792.5511250000013</v>
      </c>
      <c r="M221" s="107">
        <v>14.998166666666664</v>
      </c>
      <c r="N221" s="108">
        <f t="shared" si="21"/>
        <v>7750.0507833333359</v>
      </c>
      <c r="O221" s="1">
        <v>1500</v>
      </c>
      <c r="P221" s="107">
        <v>870.45</v>
      </c>
      <c r="Q221" s="107">
        <v>954.06500000000005</v>
      </c>
      <c r="R221" s="107">
        <v>3681.3687499999996</v>
      </c>
      <c r="S221" s="107">
        <v>1755</v>
      </c>
      <c r="T221" s="107">
        <v>0</v>
      </c>
      <c r="U221" s="107">
        <v>5131.9177500000005</v>
      </c>
      <c r="V221" s="107">
        <v>0</v>
      </c>
      <c r="W221" s="109">
        <f t="shared" si="22"/>
        <v>13892.8015</v>
      </c>
      <c r="X221" s="118"/>
    </row>
    <row r="222" spans="1:24" hidden="1" x14ac:dyDescent="0.25">
      <c r="A222" s="1">
        <v>2026</v>
      </c>
      <c r="B222" s="52">
        <v>46113</v>
      </c>
      <c r="C222" s="1">
        <v>30</v>
      </c>
      <c r="D222" s="1" t="str">
        <f>+Precios!C222</f>
        <v>mar</v>
      </c>
      <c r="E222" s="5">
        <f>+Precios!D222</f>
        <v>46133</v>
      </c>
      <c r="F222" s="107">
        <v>1395.6862083333333</v>
      </c>
      <c r="G222" s="107">
        <v>583.67370833333337</v>
      </c>
      <c r="H222" s="107">
        <v>219.62112499999998</v>
      </c>
      <c r="I222" s="107">
        <v>667.19667708333327</v>
      </c>
      <c r="J222" s="107">
        <v>618.22183333333339</v>
      </c>
      <c r="K222" s="107">
        <v>1208.639375000002</v>
      </c>
      <c r="L222" s="107">
        <v>2784.5694166666672</v>
      </c>
      <c r="M222" s="107">
        <v>19.14554166666667</v>
      </c>
      <c r="N222" s="108">
        <f t="shared" si="21"/>
        <v>7496.7538854166696</v>
      </c>
      <c r="O222" s="1">
        <v>1500</v>
      </c>
      <c r="P222" s="107">
        <v>855.75</v>
      </c>
      <c r="Q222" s="107">
        <v>954.59004375000006</v>
      </c>
      <c r="R222" s="107">
        <v>3485.6952708333329</v>
      </c>
      <c r="S222" s="107">
        <v>1755</v>
      </c>
      <c r="T222" s="107">
        <v>0</v>
      </c>
      <c r="U222" s="107">
        <v>5194.3806249999998</v>
      </c>
      <c r="V222" s="107">
        <v>0</v>
      </c>
      <c r="W222" s="109">
        <f t="shared" si="22"/>
        <v>13745.415939583332</v>
      </c>
      <c r="X222" s="118"/>
    </row>
    <row r="223" spans="1:24" hidden="1" x14ac:dyDescent="0.25">
      <c r="A223" s="1">
        <v>2026</v>
      </c>
      <c r="B223" s="52">
        <v>46113</v>
      </c>
      <c r="C223" s="1">
        <v>30</v>
      </c>
      <c r="D223" s="1" t="str">
        <f>+Precios!C223</f>
        <v>mié</v>
      </c>
      <c r="E223" s="5">
        <f>+Precios!D223</f>
        <v>46134</v>
      </c>
      <c r="F223" s="107">
        <v>1310.686375</v>
      </c>
      <c r="G223" s="107">
        <v>567.30766666666671</v>
      </c>
      <c r="H223" s="107">
        <v>226.8295416666667</v>
      </c>
      <c r="I223" s="107">
        <v>369.7053249999999</v>
      </c>
      <c r="J223" s="107">
        <v>618.236625</v>
      </c>
      <c r="K223" s="107">
        <v>1924.1895833333347</v>
      </c>
      <c r="L223" s="107">
        <v>2416.7128750000024</v>
      </c>
      <c r="M223" s="107">
        <v>17.382749999999998</v>
      </c>
      <c r="N223" s="108">
        <f t="shared" si="21"/>
        <v>7451.0507416666705</v>
      </c>
      <c r="O223" s="1">
        <v>1500</v>
      </c>
      <c r="P223" s="107">
        <v>840</v>
      </c>
      <c r="Q223" s="107">
        <v>958.87749999999994</v>
      </c>
      <c r="R223" s="107">
        <v>3617.6</v>
      </c>
      <c r="S223" s="107">
        <v>1755</v>
      </c>
      <c r="T223" s="107">
        <v>0</v>
      </c>
      <c r="U223" s="107">
        <v>5250.3363749999999</v>
      </c>
      <c r="V223" s="107">
        <v>0</v>
      </c>
      <c r="W223" s="109">
        <f t="shared" si="22"/>
        <v>13921.813875</v>
      </c>
      <c r="X223" s="118"/>
    </row>
    <row r="224" spans="1:24" hidden="1" x14ac:dyDescent="0.25">
      <c r="A224" s="1">
        <v>2026</v>
      </c>
      <c r="B224" s="52">
        <v>46113</v>
      </c>
      <c r="C224" s="1">
        <v>30</v>
      </c>
      <c r="D224" s="1" t="str">
        <f>+Precios!C224</f>
        <v>jue</v>
      </c>
      <c r="E224" s="5">
        <f>+Precios!D224</f>
        <v>46135</v>
      </c>
      <c r="F224" s="107">
        <v>1158.2615416666667</v>
      </c>
      <c r="G224" s="107">
        <v>467.72837499999997</v>
      </c>
      <c r="H224" s="107">
        <v>235.51454166666679</v>
      </c>
      <c r="I224" s="107">
        <v>322.06080625000004</v>
      </c>
      <c r="J224" s="107">
        <v>618.10491666666667</v>
      </c>
      <c r="K224" s="107">
        <v>2151.9800833333306</v>
      </c>
      <c r="L224" s="107">
        <v>1652.4462916666691</v>
      </c>
      <c r="M224" s="107">
        <v>18.057958333333332</v>
      </c>
      <c r="N224" s="108">
        <f t="shared" si="21"/>
        <v>6624.1545145833334</v>
      </c>
      <c r="O224" s="1">
        <v>1500</v>
      </c>
      <c r="P224" s="107">
        <v>825.30000000000007</v>
      </c>
      <c r="Q224" s="107">
        <v>961.86947499999997</v>
      </c>
      <c r="R224" s="107">
        <v>3617.6</v>
      </c>
      <c r="S224" s="107">
        <v>1755</v>
      </c>
      <c r="T224" s="107">
        <v>0</v>
      </c>
      <c r="U224" s="107">
        <v>4990.0841250000012</v>
      </c>
      <c r="V224" s="107">
        <v>0</v>
      </c>
      <c r="W224" s="109">
        <f t="shared" si="22"/>
        <v>13649.853600000002</v>
      </c>
      <c r="X224" s="118"/>
    </row>
    <row r="225" spans="1:24" hidden="1" x14ac:dyDescent="0.25">
      <c r="A225" s="1">
        <v>2026</v>
      </c>
      <c r="B225" s="52">
        <v>46113</v>
      </c>
      <c r="C225" s="1">
        <v>30</v>
      </c>
      <c r="D225" s="1" t="str">
        <f>+Precios!C225</f>
        <v>vie</v>
      </c>
      <c r="E225" s="5">
        <f>+Precios!D225</f>
        <v>46136</v>
      </c>
      <c r="F225" s="107">
        <v>1164.1302499999999</v>
      </c>
      <c r="G225" s="107">
        <v>479.13650000000001</v>
      </c>
      <c r="H225" s="107">
        <v>237.53716666666682</v>
      </c>
      <c r="I225" s="107">
        <v>474.09085000000005</v>
      </c>
      <c r="J225" s="107">
        <v>618.50637500000005</v>
      </c>
      <c r="K225" s="107">
        <v>1840.2405000000006</v>
      </c>
      <c r="L225" s="107">
        <v>1864.0696666666684</v>
      </c>
      <c r="M225" s="107">
        <v>17.591666666666665</v>
      </c>
      <c r="N225" s="108">
        <f t="shared" si="21"/>
        <v>6695.3029750000014</v>
      </c>
      <c r="O225" s="1">
        <v>1500</v>
      </c>
      <c r="P225" s="107">
        <v>808.5</v>
      </c>
      <c r="Q225" s="107">
        <v>970.68999999999994</v>
      </c>
      <c r="R225" s="107">
        <v>3617.6</v>
      </c>
      <c r="S225" s="107">
        <v>1755</v>
      </c>
      <c r="T225" s="107">
        <v>0</v>
      </c>
      <c r="U225" s="107">
        <v>4586.816083333335</v>
      </c>
      <c r="V225" s="107">
        <v>0</v>
      </c>
      <c r="W225" s="109">
        <f t="shared" si="22"/>
        <v>13238.606083333336</v>
      </c>
      <c r="X225" s="118"/>
    </row>
    <row r="226" spans="1:24" hidden="1" x14ac:dyDescent="0.25">
      <c r="A226" s="1">
        <v>2026</v>
      </c>
      <c r="B226" s="52">
        <v>46113</v>
      </c>
      <c r="C226" s="1">
        <v>30</v>
      </c>
      <c r="D226" s="1" t="str">
        <f>+Precios!C226</f>
        <v>sáb</v>
      </c>
      <c r="E226" s="5">
        <f>+Precios!D226</f>
        <v>46137</v>
      </c>
      <c r="F226" s="107">
        <v>1093.4369999999999</v>
      </c>
      <c r="G226" s="107">
        <v>289.60254166666664</v>
      </c>
      <c r="H226" s="107">
        <v>335.84629166666679</v>
      </c>
      <c r="I226" s="107">
        <v>785.6378479166666</v>
      </c>
      <c r="J226" s="107">
        <v>618.57762500000024</v>
      </c>
      <c r="K226" s="107">
        <v>1729.5583333333345</v>
      </c>
      <c r="L226" s="107">
        <v>1519.2564999999988</v>
      </c>
      <c r="M226" s="107">
        <v>18.436625000000003</v>
      </c>
      <c r="N226" s="108">
        <f t="shared" si="21"/>
        <v>6390.3527645833337</v>
      </c>
      <c r="O226" s="1">
        <v>1500</v>
      </c>
      <c r="P226" s="107">
        <v>795.9</v>
      </c>
      <c r="Q226" s="107">
        <v>961.24643125</v>
      </c>
      <c r="R226" s="107">
        <v>3617.6</v>
      </c>
      <c r="S226" s="107">
        <v>1755</v>
      </c>
      <c r="T226" s="107">
        <v>0</v>
      </c>
      <c r="U226" s="107">
        <v>4450.674458333333</v>
      </c>
      <c r="V226" s="107">
        <v>0</v>
      </c>
      <c r="W226" s="109">
        <f t="shared" si="22"/>
        <v>13080.420889583333</v>
      </c>
      <c r="X226" s="118"/>
    </row>
    <row r="227" spans="1:24" hidden="1" x14ac:dyDescent="0.25">
      <c r="A227" s="1">
        <v>2026</v>
      </c>
      <c r="B227" s="52">
        <v>46113</v>
      </c>
      <c r="C227" s="1">
        <v>30</v>
      </c>
      <c r="D227" s="1" t="str">
        <f>+Precios!C227</f>
        <v>dom</v>
      </c>
      <c r="E227" s="5">
        <f>+Precios!D227</f>
        <v>46138</v>
      </c>
      <c r="F227" s="107">
        <v>1154.3939166666669</v>
      </c>
      <c r="G227" s="107">
        <v>211.4266666666667</v>
      </c>
      <c r="H227" s="107">
        <v>236.99770833333324</v>
      </c>
      <c r="I227" s="107">
        <v>248.85321250000001</v>
      </c>
      <c r="J227" s="107">
        <v>618.19866666666655</v>
      </c>
      <c r="K227" s="107">
        <v>2294.4988333333331</v>
      </c>
      <c r="L227" s="107">
        <v>1411.4220416666678</v>
      </c>
      <c r="M227" s="107">
        <v>250.16120833333332</v>
      </c>
      <c r="N227" s="108">
        <f t="shared" si="21"/>
        <v>6425.9522541666674</v>
      </c>
      <c r="O227" s="1">
        <v>1500</v>
      </c>
      <c r="P227" s="107">
        <v>790.65</v>
      </c>
      <c r="Q227" s="107">
        <v>961.76499999999999</v>
      </c>
      <c r="R227" s="107">
        <v>3617.6</v>
      </c>
      <c r="S227" s="107">
        <v>1755</v>
      </c>
      <c r="T227" s="107">
        <v>0</v>
      </c>
      <c r="U227" s="107">
        <v>4721.2092499999999</v>
      </c>
      <c r="V227" s="107">
        <v>0</v>
      </c>
      <c r="W227" s="109">
        <f t="shared" si="22"/>
        <v>13346.224249999999</v>
      </c>
      <c r="X227" s="118"/>
    </row>
    <row r="228" spans="1:24" hidden="1" x14ac:dyDescent="0.25">
      <c r="A228" s="1">
        <v>2026</v>
      </c>
      <c r="B228" s="52">
        <v>46113</v>
      </c>
      <c r="C228" s="1">
        <v>30</v>
      </c>
      <c r="D228" s="1" t="str">
        <f>+Precios!C228</f>
        <v>lun</v>
      </c>
      <c r="E228" s="5">
        <f>+Precios!D228</f>
        <v>46139</v>
      </c>
      <c r="F228" s="107">
        <v>1615.5490416666664</v>
      </c>
      <c r="G228" s="107">
        <v>148.28162500000002</v>
      </c>
      <c r="H228" s="107">
        <v>319.50637499999988</v>
      </c>
      <c r="I228" s="107">
        <v>1021.8986125000001</v>
      </c>
      <c r="J228" s="107">
        <v>618.2627500000001</v>
      </c>
      <c r="K228" s="107">
        <v>1545.4185416666669</v>
      </c>
      <c r="L228" s="107">
        <v>1614.3786666666672</v>
      </c>
      <c r="M228" s="107">
        <v>762.59733333333349</v>
      </c>
      <c r="N228" s="108">
        <f t="shared" si="21"/>
        <v>7645.8929458333341</v>
      </c>
      <c r="O228" s="1">
        <v>1500</v>
      </c>
      <c r="P228" s="107">
        <v>759.54046874999995</v>
      </c>
      <c r="Q228" s="107">
        <v>960.53588749999994</v>
      </c>
      <c r="R228" s="107">
        <v>3617.6</v>
      </c>
      <c r="S228" s="107">
        <v>1755</v>
      </c>
      <c r="T228" s="107">
        <v>0</v>
      </c>
      <c r="U228" s="107">
        <v>4805.425666666667</v>
      </c>
      <c r="V228" s="107">
        <v>0</v>
      </c>
      <c r="W228" s="109">
        <f t="shared" si="22"/>
        <v>13398.102022916668</v>
      </c>
      <c r="X228" s="118"/>
    </row>
    <row r="229" spans="1:24" hidden="1" x14ac:dyDescent="0.25">
      <c r="A229" s="1">
        <v>2026</v>
      </c>
      <c r="B229" s="52">
        <v>46113</v>
      </c>
      <c r="C229" s="1">
        <v>30</v>
      </c>
      <c r="D229" s="1" t="str">
        <f>+Precios!C229</f>
        <v>mar</v>
      </c>
      <c r="E229" s="5">
        <f>+Precios!D229</f>
        <v>46140</v>
      </c>
      <c r="F229" s="107">
        <v>1716.0694583333336</v>
      </c>
      <c r="G229" s="107">
        <v>476.62412500000005</v>
      </c>
      <c r="H229" s="107">
        <v>313.69004166666667</v>
      </c>
      <c r="I229" s="107">
        <v>1219.9587291666664</v>
      </c>
      <c r="J229" s="107">
        <v>618.53449999999987</v>
      </c>
      <c r="K229" s="107">
        <v>1762.6089583333294</v>
      </c>
      <c r="L229" s="107">
        <v>1814.4932916666664</v>
      </c>
      <c r="M229" s="107">
        <v>321.39437500000008</v>
      </c>
      <c r="N229" s="108">
        <f t="shared" si="21"/>
        <v>8243.3734791666629</v>
      </c>
      <c r="O229" s="1">
        <v>1500</v>
      </c>
      <c r="P229" s="107">
        <v>759.71437500000002</v>
      </c>
      <c r="Q229" s="107">
        <v>961.82165624999993</v>
      </c>
      <c r="R229" s="107">
        <v>3597.6499999999996</v>
      </c>
      <c r="S229" s="107">
        <v>1755</v>
      </c>
      <c r="T229" s="107">
        <v>0</v>
      </c>
      <c r="U229" s="107">
        <v>4843.5862916666674</v>
      </c>
      <c r="V229" s="107">
        <v>0</v>
      </c>
      <c r="W229" s="109">
        <f t="shared" si="22"/>
        <v>13417.772322916666</v>
      </c>
      <c r="X229" s="118"/>
    </row>
    <row r="230" spans="1:24" hidden="1" x14ac:dyDescent="0.25">
      <c r="A230" s="1">
        <v>2026</v>
      </c>
      <c r="B230" s="52">
        <v>46113</v>
      </c>
      <c r="C230" s="1">
        <v>30</v>
      </c>
      <c r="D230" s="1" t="str">
        <f>+Precios!C230</f>
        <v>mié</v>
      </c>
      <c r="E230" s="5">
        <f>+Precios!D230</f>
        <v>46141</v>
      </c>
      <c r="F230" s="107">
        <v>1689.4161666666669</v>
      </c>
      <c r="G230" s="107">
        <v>334.24966666666671</v>
      </c>
      <c r="H230" s="107">
        <v>306.40279166666659</v>
      </c>
      <c r="I230" s="107">
        <v>747.54233333333332</v>
      </c>
      <c r="J230" s="107">
        <v>618.78920833333336</v>
      </c>
      <c r="K230" s="107">
        <v>2234.1759583333264</v>
      </c>
      <c r="L230" s="107">
        <v>1752.0157916666642</v>
      </c>
      <c r="M230" s="107">
        <v>738.30325000000005</v>
      </c>
      <c r="N230" s="108">
        <f t="shared" si="21"/>
        <v>8420.8951666666562</v>
      </c>
      <c r="O230" s="1">
        <v>1500</v>
      </c>
      <c r="P230" s="107">
        <v>801.15</v>
      </c>
      <c r="Q230" s="107">
        <v>1018.60250625</v>
      </c>
      <c r="R230" s="107">
        <v>3597.6499999999996</v>
      </c>
      <c r="S230" s="107">
        <v>1755</v>
      </c>
      <c r="T230" s="107">
        <v>0</v>
      </c>
      <c r="U230" s="107">
        <v>4904.2762916666679</v>
      </c>
      <c r="V230" s="107">
        <v>0</v>
      </c>
      <c r="W230" s="109">
        <f t="shared" si="22"/>
        <v>13576.678797916669</v>
      </c>
      <c r="X230" s="118"/>
    </row>
    <row r="231" spans="1:24" hidden="1" x14ac:dyDescent="0.25">
      <c r="A231" s="1">
        <v>2026</v>
      </c>
      <c r="B231" s="52">
        <v>46113</v>
      </c>
      <c r="C231" s="1">
        <v>30</v>
      </c>
      <c r="D231" s="1" t="str">
        <f>+Precios!C231</f>
        <v>jue</v>
      </c>
      <c r="E231" s="5">
        <f>+Precios!D231</f>
        <v>46142</v>
      </c>
      <c r="F231" s="107">
        <v>1824.2864583333339</v>
      </c>
      <c r="G231" s="107">
        <v>113.09512500000001</v>
      </c>
      <c r="H231" s="107">
        <v>245.55499999999995</v>
      </c>
      <c r="I231" s="107">
        <v>506.46487083333329</v>
      </c>
      <c r="J231" s="107">
        <v>618.23737500000016</v>
      </c>
      <c r="K231" s="107">
        <v>1610.4384166666669</v>
      </c>
      <c r="L231" s="107">
        <v>1715.8836666666664</v>
      </c>
      <c r="M231" s="107">
        <v>869.34537499999999</v>
      </c>
      <c r="N231" s="108">
        <f t="shared" ref="N231:N261" si="23">+SUM(F231:M231)</f>
        <v>7503.3062875000005</v>
      </c>
      <c r="O231" s="1">
        <v>1500</v>
      </c>
      <c r="P231" s="107">
        <v>809.02500000000009</v>
      </c>
      <c r="Q231" s="107">
        <v>1065.2262687499999</v>
      </c>
      <c r="R231" s="107">
        <v>3597.6499999999996</v>
      </c>
      <c r="S231" s="107">
        <v>1755</v>
      </c>
      <c r="T231" s="107">
        <v>0</v>
      </c>
      <c r="U231" s="107">
        <v>4979.0040833333342</v>
      </c>
      <c r="V231" s="107">
        <v>0</v>
      </c>
      <c r="W231" s="109">
        <f t="shared" ref="W231:W261" si="24">+SUM(O231:V231)</f>
        <v>13705.905352083333</v>
      </c>
      <c r="X231" s="118"/>
    </row>
    <row r="232" spans="1:24" x14ac:dyDescent="0.25">
      <c r="A232" s="1">
        <v>2026</v>
      </c>
      <c r="B232" s="52">
        <v>46143</v>
      </c>
      <c r="C232" s="1">
        <v>31</v>
      </c>
      <c r="D232" s="1" t="s">
        <v>57</v>
      </c>
      <c r="E232" s="5">
        <v>46143</v>
      </c>
      <c r="F232" s="107">
        <v>1489.9904166666668</v>
      </c>
      <c r="G232" s="107">
        <v>161.50291666666669</v>
      </c>
      <c r="H232" s="107">
        <v>172.22041666666667</v>
      </c>
      <c r="I232" s="107">
        <v>152.32458333333332</v>
      </c>
      <c r="J232" s="107">
        <v>618.4758333333333</v>
      </c>
      <c r="K232" s="107">
        <v>1962.4820833333299</v>
      </c>
      <c r="L232" s="107">
        <v>1497.9083333333335</v>
      </c>
      <c r="M232" s="107">
        <v>474.16166666666703</v>
      </c>
      <c r="N232" s="108">
        <f t="shared" si="23"/>
        <v>6529.0662499999971</v>
      </c>
      <c r="O232" s="1">
        <v>1500</v>
      </c>
      <c r="P232" s="107">
        <v>824.25</v>
      </c>
      <c r="Q232" s="107">
        <v>1072.815625</v>
      </c>
      <c r="R232" s="107">
        <v>3597.6499999999996</v>
      </c>
      <c r="S232" s="107">
        <v>1755</v>
      </c>
      <c r="T232" s="107">
        <v>0</v>
      </c>
      <c r="U232" s="107">
        <v>4862.8333333333339</v>
      </c>
      <c r="V232" s="107">
        <v>0</v>
      </c>
      <c r="W232" s="109">
        <f t="shared" si="24"/>
        <v>13612.548958333335</v>
      </c>
      <c r="X232" s="118"/>
    </row>
    <row r="233" spans="1:24" x14ac:dyDescent="0.25">
      <c r="A233" s="1">
        <v>2026</v>
      </c>
      <c r="B233" s="52">
        <v>46143</v>
      </c>
      <c r="C233" s="1">
        <v>31</v>
      </c>
      <c r="D233" s="1" t="s">
        <v>51</v>
      </c>
      <c r="E233" s="5">
        <v>46144</v>
      </c>
      <c r="F233" s="107">
        <v>1512.1279166666664</v>
      </c>
      <c r="G233" s="107">
        <v>153.47499999999999</v>
      </c>
      <c r="H233" s="107">
        <v>189.76041666666677</v>
      </c>
      <c r="I233" s="107">
        <v>235.31064583333333</v>
      </c>
      <c r="J233" s="107">
        <v>618.74999999999989</v>
      </c>
      <c r="K233" s="107">
        <v>1517.7766666666676</v>
      </c>
      <c r="L233" s="107">
        <v>1918.3033333333331</v>
      </c>
      <c r="M233" s="107">
        <v>519.9887500000001</v>
      </c>
      <c r="N233" s="108">
        <f t="shared" si="23"/>
        <v>6665.4927291666681</v>
      </c>
      <c r="O233" s="1">
        <v>1500</v>
      </c>
      <c r="P233" s="107">
        <v>838.42500000000007</v>
      </c>
      <c r="Q233" s="107">
        <v>1072.9075</v>
      </c>
      <c r="R233" s="107">
        <v>3597.6499999999996</v>
      </c>
      <c r="S233" s="107">
        <v>1755</v>
      </c>
      <c r="T233" s="107">
        <v>0</v>
      </c>
      <c r="U233" s="107">
        <v>5159.6670833333337</v>
      </c>
      <c r="V233" s="107">
        <v>0</v>
      </c>
      <c r="W233" s="109">
        <f t="shared" si="24"/>
        <v>13923.649583333334</v>
      </c>
      <c r="X233" s="118"/>
    </row>
    <row r="234" spans="1:24" x14ac:dyDescent="0.25">
      <c r="A234" s="1">
        <v>2026</v>
      </c>
      <c r="B234" s="52">
        <v>46143</v>
      </c>
      <c r="C234" s="1">
        <v>31</v>
      </c>
      <c r="D234" s="1" t="s">
        <v>52</v>
      </c>
      <c r="E234" s="5">
        <v>46145</v>
      </c>
      <c r="F234" s="107">
        <v>1240.8608333333332</v>
      </c>
      <c r="G234" s="107">
        <v>103.92583333333333</v>
      </c>
      <c r="H234" s="107">
        <v>165.72999999999996</v>
      </c>
      <c r="I234" s="107">
        <v>136.29729166666669</v>
      </c>
      <c r="J234" s="107">
        <v>618.58666666666659</v>
      </c>
      <c r="K234" s="107">
        <v>1894.4445833333357</v>
      </c>
      <c r="L234" s="107">
        <v>1880.3341666666674</v>
      </c>
      <c r="M234" s="107">
        <v>327.63</v>
      </c>
      <c r="N234" s="108">
        <f t="shared" si="23"/>
        <v>6367.8093750000035</v>
      </c>
      <c r="O234" s="1">
        <v>1500</v>
      </c>
      <c r="P234" s="107">
        <v>853.65000000000009</v>
      </c>
      <c r="Q234" s="107">
        <v>1072.8200000000002</v>
      </c>
      <c r="R234" s="107">
        <v>3597.6499999999996</v>
      </c>
      <c r="S234" s="107">
        <v>1755</v>
      </c>
      <c r="T234" s="107">
        <v>0</v>
      </c>
      <c r="U234" s="107">
        <v>5355.3429166666674</v>
      </c>
      <c r="V234" s="107">
        <v>0</v>
      </c>
      <c r="W234" s="109">
        <f t="shared" si="24"/>
        <v>14134.462916666667</v>
      </c>
      <c r="X234" s="118"/>
    </row>
    <row r="235" spans="1:24" x14ac:dyDescent="0.25">
      <c r="A235" s="1">
        <v>2026</v>
      </c>
      <c r="B235" s="52">
        <v>46143</v>
      </c>
      <c r="C235" s="1">
        <v>31</v>
      </c>
      <c r="D235" s="1" t="s">
        <v>53</v>
      </c>
      <c r="E235" s="5">
        <v>46146</v>
      </c>
      <c r="F235" s="107">
        <v>1506.8445833333335</v>
      </c>
      <c r="G235" s="107">
        <v>470.57583333333326</v>
      </c>
      <c r="H235" s="107">
        <v>166.21416666666664</v>
      </c>
      <c r="I235" s="107">
        <v>637.45197916666655</v>
      </c>
      <c r="J235" s="107">
        <v>618.86875000000009</v>
      </c>
      <c r="K235" s="107">
        <v>1608.7841666666639</v>
      </c>
      <c r="L235" s="107">
        <v>2006.0245833333311</v>
      </c>
      <c r="M235" s="107">
        <v>511.91833333333324</v>
      </c>
      <c r="N235" s="108">
        <f t="shared" si="23"/>
        <v>7526.682395833328</v>
      </c>
      <c r="O235" s="1">
        <v>1500</v>
      </c>
      <c r="P235" s="107">
        <v>863.7890625</v>
      </c>
      <c r="Q235" s="107">
        <v>1067.0450000000001</v>
      </c>
      <c r="R235" s="107">
        <v>3433.4781249999996</v>
      </c>
      <c r="S235" s="107">
        <v>1755</v>
      </c>
      <c r="T235" s="107">
        <v>0</v>
      </c>
      <c r="U235" s="107">
        <v>5000.0387500000006</v>
      </c>
      <c r="V235" s="107">
        <v>0</v>
      </c>
      <c r="W235" s="109">
        <f t="shared" si="24"/>
        <v>13619.350937499999</v>
      </c>
      <c r="X235" s="118"/>
    </row>
    <row r="236" spans="1:24" x14ac:dyDescent="0.25">
      <c r="A236" s="1">
        <v>2026</v>
      </c>
      <c r="B236" s="52">
        <v>46143</v>
      </c>
      <c r="C236" s="1">
        <v>31</v>
      </c>
      <c r="D236" s="1" t="s">
        <v>54</v>
      </c>
      <c r="E236" s="5">
        <v>46147</v>
      </c>
      <c r="F236" s="107">
        <v>1627.1000000000004</v>
      </c>
      <c r="G236" s="107">
        <v>561.22916666666663</v>
      </c>
      <c r="H236" s="107">
        <v>288.4679166666665</v>
      </c>
      <c r="I236" s="107">
        <v>1222.6666250000001</v>
      </c>
      <c r="J236" s="107">
        <v>617.41583333333335</v>
      </c>
      <c r="K236" s="107">
        <v>1075.8116666666608</v>
      </c>
      <c r="L236" s="107">
        <v>2142.7479166666717</v>
      </c>
      <c r="M236" s="107">
        <v>714.06166666666684</v>
      </c>
      <c r="N236" s="108">
        <f t="shared" si="23"/>
        <v>8249.5007916666673</v>
      </c>
      <c r="O236" s="1">
        <v>1500</v>
      </c>
      <c r="P236" s="107">
        <v>856.27500000000009</v>
      </c>
      <c r="Q236" s="107">
        <v>1065.0618125000001</v>
      </c>
      <c r="R236" s="107">
        <v>3473.6552083333331</v>
      </c>
      <c r="S236" s="107">
        <v>1755</v>
      </c>
      <c r="T236" s="107">
        <v>0</v>
      </c>
      <c r="U236" s="107">
        <v>4907.8375000000005</v>
      </c>
      <c r="V236" s="107">
        <v>0</v>
      </c>
      <c r="W236" s="109">
        <f t="shared" si="24"/>
        <v>13557.829520833333</v>
      </c>
      <c r="X236" s="118"/>
    </row>
    <row r="237" spans="1:24" x14ac:dyDescent="0.25">
      <c r="A237" s="1">
        <v>2026</v>
      </c>
      <c r="B237" s="52">
        <v>46143</v>
      </c>
      <c r="C237" s="1">
        <v>31</v>
      </c>
      <c r="D237" s="1" t="s">
        <v>55</v>
      </c>
      <c r="E237" s="5">
        <v>46148</v>
      </c>
      <c r="F237" s="107">
        <v>1606.0891666666664</v>
      </c>
      <c r="G237" s="107">
        <v>356.62791666666664</v>
      </c>
      <c r="H237" s="107">
        <v>293.89249999999976</v>
      </c>
      <c r="I237" s="107">
        <v>819.14977083333326</v>
      </c>
      <c r="J237" s="107">
        <v>618.68124999999998</v>
      </c>
      <c r="K237" s="107">
        <v>1208.2687500000009</v>
      </c>
      <c r="L237" s="107">
        <v>2127.454166666666</v>
      </c>
      <c r="M237" s="107">
        <v>951.30791666666676</v>
      </c>
      <c r="N237" s="108">
        <f t="shared" si="23"/>
        <v>7981.4714375000003</v>
      </c>
      <c r="O237" s="1">
        <v>1500</v>
      </c>
      <c r="P237" s="107">
        <v>810.32218750000015</v>
      </c>
      <c r="Q237" s="107">
        <v>1053.703</v>
      </c>
      <c r="R237" s="107">
        <v>3597.6499999999996</v>
      </c>
      <c r="S237" s="107">
        <v>1755</v>
      </c>
      <c r="T237" s="107">
        <v>0</v>
      </c>
      <c r="U237" s="107">
        <v>4950.1608333333334</v>
      </c>
      <c r="V237" s="107">
        <v>0</v>
      </c>
      <c r="W237" s="109">
        <f t="shared" si="24"/>
        <v>13666.836020833332</v>
      </c>
      <c r="X237" s="118"/>
    </row>
    <row r="238" spans="1:24" x14ac:dyDescent="0.25">
      <c r="A238" s="1">
        <v>2026</v>
      </c>
      <c r="B238" s="52">
        <v>46143</v>
      </c>
      <c r="C238" s="1">
        <v>31</v>
      </c>
      <c r="D238" s="1" t="s">
        <v>56</v>
      </c>
      <c r="E238" s="5">
        <v>46149</v>
      </c>
      <c r="F238" s="107">
        <v>1624.42875</v>
      </c>
      <c r="G238" s="107">
        <v>434.28916666666663</v>
      </c>
      <c r="H238" s="107">
        <v>180.34999999999994</v>
      </c>
      <c r="I238" s="107">
        <v>236.88091666666668</v>
      </c>
      <c r="J238" s="107">
        <v>618.62250000000006</v>
      </c>
      <c r="K238" s="107">
        <v>2067.3625000000015</v>
      </c>
      <c r="L238" s="107">
        <v>1951.234999999999</v>
      </c>
      <c r="M238" s="107">
        <v>836.56000000000029</v>
      </c>
      <c r="N238" s="108">
        <f t="shared" si="23"/>
        <v>7949.7288333333336</v>
      </c>
      <c r="O238" s="1">
        <v>1500</v>
      </c>
      <c r="P238" s="107">
        <v>868.875</v>
      </c>
      <c r="Q238" s="107">
        <v>1068.8825000000002</v>
      </c>
      <c r="R238" s="107">
        <v>3597.6499999999996</v>
      </c>
      <c r="S238" s="107">
        <v>1755</v>
      </c>
      <c r="T238" s="107">
        <v>0</v>
      </c>
      <c r="U238" s="107">
        <v>5264.6975000000011</v>
      </c>
      <c r="V238" s="107">
        <v>0</v>
      </c>
      <c r="W238" s="109">
        <f t="shared" si="24"/>
        <v>14055.105</v>
      </c>
      <c r="X238" s="118"/>
    </row>
    <row r="239" spans="1:24" x14ac:dyDescent="0.25">
      <c r="A239" s="1">
        <v>2026</v>
      </c>
      <c r="B239" s="52">
        <v>46143</v>
      </c>
      <c r="C239" s="1">
        <v>31</v>
      </c>
      <c r="D239" s="1" t="s">
        <v>57</v>
      </c>
      <c r="E239" s="5">
        <v>46150</v>
      </c>
      <c r="F239" s="107">
        <v>1778.0841666666668</v>
      </c>
      <c r="G239" s="107">
        <v>820.43708333333325</v>
      </c>
      <c r="H239" s="107">
        <v>189.3145833333333</v>
      </c>
      <c r="I239" s="107">
        <v>248.74562500000002</v>
      </c>
      <c r="J239" s="107">
        <v>618.93458333333331</v>
      </c>
      <c r="K239" s="107">
        <v>2309.9204166666632</v>
      </c>
      <c r="L239" s="107">
        <v>1895.5337500000005</v>
      </c>
      <c r="M239" s="107">
        <v>1014.3429166666665</v>
      </c>
      <c r="N239" s="108">
        <f t="shared" si="23"/>
        <v>8875.3131249999969</v>
      </c>
      <c r="O239" s="1">
        <v>1500</v>
      </c>
      <c r="P239" s="107">
        <v>884.625</v>
      </c>
      <c r="Q239" s="107">
        <v>1070.72</v>
      </c>
      <c r="R239" s="107">
        <v>3578.6499999999996</v>
      </c>
      <c r="S239" s="107">
        <v>1755</v>
      </c>
      <c r="T239" s="107">
        <v>0</v>
      </c>
      <c r="U239" s="107">
        <v>5273.4375000000009</v>
      </c>
      <c r="V239" s="107">
        <v>0</v>
      </c>
      <c r="W239" s="109">
        <f t="shared" si="24"/>
        <v>14062.432499999999</v>
      </c>
      <c r="X239" s="118"/>
    </row>
    <row r="240" spans="1:24" x14ac:dyDescent="0.25">
      <c r="A240" s="1">
        <v>2026</v>
      </c>
      <c r="B240" s="52">
        <v>46143</v>
      </c>
      <c r="C240" s="1">
        <v>31</v>
      </c>
      <c r="D240" s="1" t="s">
        <v>51</v>
      </c>
      <c r="E240" s="5">
        <v>46151</v>
      </c>
      <c r="F240" s="107">
        <v>1471.5716666666667</v>
      </c>
      <c r="G240" s="107">
        <v>833.67666666666673</v>
      </c>
      <c r="H240" s="107">
        <v>204.44375000000005</v>
      </c>
      <c r="I240" s="107">
        <v>673.86666666666667</v>
      </c>
      <c r="J240" s="107">
        <v>618.99708333333331</v>
      </c>
      <c r="K240" s="107">
        <v>1861.4487500000012</v>
      </c>
      <c r="L240" s="107">
        <v>2058.6937499999963</v>
      </c>
      <c r="M240" s="107">
        <v>1211.5912499999999</v>
      </c>
      <c r="N240" s="108">
        <f t="shared" si="23"/>
        <v>8934.2895833333296</v>
      </c>
      <c r="O240" s="1">
        <v>1500</v>
      </c>
      <c r="P240" s="107">
        <v>896.7</v>
      </c>
      <c r="Q240" s="107">
        <v>1065.9950000000001</v>
      </c>
      <c r="R240" s="107">
        <v>3608.7068125000001</v>
      </c>
      <c r="S240" s="107">
        <v>1755</v>
      </c>
      <c r="T240" s="107">
        <v>0</v>
      </c>
      <c r="U240" s="107">
        <v>4811.4641666666657</v>
      </c>
      <c r="V240" s="107">
        <v>0</v>
      </c>
      <c r="W240" s="109">
        <f t="shared" si="24"/>
        <v>13637.865979166665</v>
      </c>
      <c r="X240" s="118"/>
    </row>
    <row r="241" spans="1:24" x14ac:dyDescent="0.25">
      <c r="A241" s="1">
        <v>2026</v>
      </c>
      <c r="B241" s="52">
        <v>46143</v>
      </c>
      <c r="C241" s="1">
        <v>31</v>
      </c>
      <c r="D241" s="1" t="s">
        <v>52</v>
      </c>
      <c r="E241" s="5">
        <v>46152</v>
      </c>
      <c r="F241" s="107">
        <v>1236.0091666666667</v>
      </c>
      <c r="G241" s="107">
        <v>815.74458333333325</v>
      </c>
      <c r="H241" s="107">
        <v>241.08708333333323</v>
      </c>
      <c r="I241" s="107">
        <v>823.69631249999986</v>
      </c>
      <c r="J241" s="107">
        <v>618.9787500000001</v>
      </c>
      <c r="K241" s="107">
        <v>1505.6024999999981</v>
      </c>
      <c r="L241" s="107">
        <v>2013.807916666666</v>
      </c>
      <c r="M241" s="107">
        <v>1629.9795833333337</v>
      </c>
      <c r="N241" s="108">
        <f t="shared" si="23"/>
        <v>8884.9058958333299</v>
      </c>
      <c r="O241" s="1">
        <v>1500</v>
      </c>
      <c r="P241" s="107">
        <v>877.80000000000007</v>
      </c>
      <c r="Q241" s="107">
        <v>1077.895</v>
      </c>
      <c r="R241" s="107">
        <v>3730.7291666666665</v>
      </c>
      <c r="S241" s="107">
        <v>1755</v>
      </c>
      <c r="T241" s="107">
        <v>0</v>
      </c>
      <c r="U241" s="107">
        <v>5110.5829166666654</v>
      </c>
      <c r="V241" s="107">
        <v>0</v>
      </c>
      <c r="W241" s="109">
        <f t="shared" si="24"/>
        <v>14052.007083333334</v>
      </c>
      <c r="X241" s="118"/>
    </row>
    <row r="242" spans="1:24" x14ac:dyDescent="0.25">
      <c r="A242" s="1">
        <v>2026</v>
      </c>
      <c r="B242" s="52">
        <v>46143</v>
      </c>
      <c r="C242" s="1">
        <v>31</v>
      </c>
      <c r="D242" s="1" t="s">
        <v>53</v>
      </c>
      <c r="E242" s="5">
        <v>46153</v>
      </c>
      <c r="F242" s="107">
        <v>1660.9099999999999</v>
      </c>
      <c r="G242" s="107">
        <v>845.73083333333352</v>
      </c>
      <c r="H242" s="107">
        <v>352.13958333333306</v>
      </c>
      <c r="I242" s="107">
        <v>1366.3351249999994</v>
      </c>
      <c r="J242" s="107">
        <v>620.62916666666672</v>
      </c>
      <c r="K242" s="107">
        <v>1891.0908333333325</v>
      </c>
      <c r="L242" s="107">
        <v>2177.4645833333298</v>
      </c>
      <c r="M242" s="107">
        <v>1316.0450000000003</v>
      </c>
      <c r="N242" s="108">
        <f t="shared" si="23"/>
        <v>10230.345124999994</v>
      </c>
      <c r="O242" s="1">
        <v>1500</v>
      </c>
      <c r="P242" s="107">
        <v>908.25</v>
      </c>
      <c r="Q242" s="107">
        <v>1069.145</v>
      </c>
      <c r="R242" s="107">
        <v>3739.2</v>
      </c>
      <c r="S242" s="107">
        <v>1755</v>
      </c>
      <c r="T242" s="107">
        <v>0</v>
      </c>
      <c r="U242" s="107">
        <v>5078.8712499999983</v>
      </c>
      <c r="V242" s="107">
        <v>0</v>
      </c>
      <c r="W242" s="109">
        <f t="shared" si="24"/>
        <v>14050.466249999998</v>
      </c>
      <c r="X242" s="118"/>
    </row>
    <row r="243" spans="1:24" x14ac:dyDescent="0.25">
      <c r="A243" s="1">
        <v>2026</v>
      </c>
      <c r="B243" s="52">
        <v>46143</v>
      </c>
      <c r="C243" s="1">
        <v>31</v>
      </c>
      <c r="D243" s="1" t="s">
        <v>54</v>
      </c>
      <c r="E243" s="5">
        <v>46154</v>
      </c>
      <c r="F243" s="107">
        <v>1476.7774999999999</v>
      </c>
      <c r="G243" s="107">
        <v>848.82916666666642</v>
      </c>
      <c r="H243" s="107">
        <v>277.65833333333313</v>
      </c>
      <c r="I243" s="107">
        <v>911.61129166666638</v>
      </c>
      <c r="J243" s="107">
        <v>1064.2083333333337</v>
      </c>
      <c r="K243" s="107">
        <v>1446.0304166666658</v>
      </c>
      <c r="L243" s="107">
        <v>2439.102916666654</v>
      </c>
      <c r="M243" s="107">
        <v>1165.2537500000001</v>
      </c>
      <c r="N243" s="108">
        <f t="shared" si="23"/>
        <v>9629.4717083333198</v>
      </c>
      <c r="O243" s="1">
        <v>1500</v>
      </c>
      <c r="P243" s="107">
        <v>911.40000000000009</v>
      </c>
      <c r="Q243" s="107">
        <v>1077.67625</v>
      </c>
      <c r="R243" s="107">
        <v>3740.1499999999996</v>
      </c>
      <c r="S243" s="107">
        <v>1755</v>
      </c>
      <c r="T243" s="107">
        <v>0</v>
      </c>
      <c r="U243" s="107">
        <v>4925.5225000000009</v>
      </c>
      <c r="V243" s="107">
        <v>0</v>
      </c>
      <c r="W243" s="109">
        <f t="shared" si="24"/>
        <v>13909.748750000001</v>
      </c>
      <c r="X243" s="118"/>
    </row>
    <row r="244" spans="1:24" x14ac:dyDescent="0.25">
      <c r="A244" s="1">
        <v>2026</v>
      </c>
      <c r="B244" s="52">
        <v>46143</v>
      </c>
      <c r="C244" s="1">
        <v>31</v>
      </c>
      <c r="D244" s="1" t="s">
        <v>55</v>
      </c>
      <c r="E244" s="5">
        <v>46155</v>
      </c>
      <c r="F244" s="107">
        <v>1625.0837500000005</v>
      </c>
      <c r="G244" s="107">
        <v>835.76666666666642</v>
      </c>
      <c r="H244" s="107">
        <v>276.83999999999986</v>
      </c>
      <c r="I244" s="107">
        <v>1195.5848958333333</v>
      </c>
      <c r="J244" s="107">
        <v>1228.1654166666669</v>
      </c>
      <c r="K244" s="107">
        <v>1324.6220833333341</v>
      </c>
      <c r="L244" s="107">
        <v>2406.5104166666724</v>
      </c>
      <c r="M244" s="107">
        <v>1001.2745833333337</v>
      </c>
      <c r="N244" s="108">
        <f t="shared" si="23"/>
        <v>9893.8478125000056</v>
      </c>
      <c r="O244" s="1">
        <v>1500</v>
      </c>
      <c r="P244" s="107">
        <v>908.77500000000009</v>
      </c>
      <c r="Q244" s="107">
        <v>1081.92</v>
      </c>
      <c r="R244" s="107">
        <v>3626.1499999999996</v>
      </c>
      <c r="S244" s="107">
        <v>1755</v>
      </c>
      <c r="T244" s="107">
        <v>0</v>
      </c>
      <c r="U244" s="107">
        <v>5017.4487499999996</v>
      </c>
      <c r="V244" s="107">
        <v>0</v>
      </c>
      <c r="W244" s="109">
        <f t="shared" si="24"/>
        <v>13889.293749999999</v>
      </c>
      <c r="X244" s="118"/>
    </row>
    <row r="245" spans="1:24" x14ac:dyDescent="0.25">
      <c r="A245" s="1">
        <v>2026</v>
      </c>
      <c r="B245" s="52">
        <v>46143</v>
      </c>
      <c r="C245" s="1">
        <v>31</v>
      </c>
      <c r="D245" s="1" t="s">
        <v>56</v>
      </c>
      <c r="E245" s="5">
        <v>46156</v>
      </c>
      <c r="F245" s="107">
        <v>1829.4725000000001</v>
      </c>
      <c r="G245" s="107">
        <v>822.73625000000004</v>
      </c>
      <c r="H245" s="107">
        <v>346.30166666666611</v>
      </c>
      <c r="I245" s="107">
        <v>1751.6852083333326</v>
      </c>
      <c r="J245" s="107">
        <v>1295.0070833333332</v>
      </c>
      <c r="K245" s="107">
        <v>792.53500000000088</v>
      </c>
      <c r="L245" s="107">
        <v>2499.8458333333242</v>
      </c>
      <c r="M245" s="107">
        <v>1178.9320833333334</v>
      </c>
      <c r="N245" s="108">
        <f t="shared" si="23"/>
        <v>10516.515624999991</v>
      </c>
      <c r="O245" s="1">
        <v>1500</v>
      </c>
      <c r="P245" s="107">
        <v>898.27500000000009</v>
      </c>
      <c r="Q245" s="107">
        <v>1023.6274999999999</v>
      </c>
      <c r="R245" s="107">
        <v>3506.8953124999998</v>
      </c>
      <c r="S245" s="107">
        <v>1755</v>
      </c>
      <c r="T245" s="107">
        <v>0</v>
      </c>
      <c r="U245" s="107">
        <v>4975.3441666666658</v>
      </c>
      <c r="V245" s="107">
        <v>0</v>
      </c>
      <c r="W245" s="109">
        <f t="shared" si="24"/>
        <v>13659.141979166667</v>
      </c>
      <c r="X245" s="118"/>
    </row>
    <row r="246" spans="1:24" x14ac:dyDescent="0.25">
      <c r="A246" s="1">
        <v>2026</v>
      </c>
      <c r="B246" s="52">
        <v>46143</v>
      </c>
      <c r="C246" s="1">
        <v>31</v>
      </c>
      <c r="D246" s="1" t="s">
        <v>57</v>
      </c>
      <c r="E246" s="5">
        <v>46157</v>
      </c>
      <c r="F246" s="107">
        <v>1705.6125000000002</v>
      </c>
      <c r="G246" s="107">
        <v>776.18083333333334</v>
      </c>
      <c r="H246" s="107">
        <v>356.08416666666625</v>
      </c>
      <c r="I246" s="107">
        <v>1360.532604166666</v>
      </c>
      <c r="J246" s="107">
        <v>1293.8970833333333</v>
      </c>
      <c r="K246" s="107">
        <v>1376.1008333333293</v>
      </c>
      <c r="L246" s="107">
        <v>2068.8774999999964</v>
      </c>
      <c r="M246" s="107">
        <v>768.41458333333333</v>
      </c>
      <c r="N246" s="108">
        <f t="shared" si="23"/>
        <v>9705.7001041666572</v>
      </c>
      <c r="O246" s="1">
        <v>1500</v>
      </c>
      <c r="P246" s="107">
        <v>886.2</v>
      </c>
      <c r="Q246" s="107">
        <v>974.03031250000004</v>
      </c>
      <c r="R246" s="107">
        <v>3375.8004583333332</v>
      </c>
      <c r="S246" s="107">
        <v>1755</v>
      </c>
      <c r="T246" s="107">
        <v>0</v>
      </c>
      <c r="U246" s="107">
        <v>4984.7129166666664</v>
      </c>
      <c r="V246" s="107">
        <v>0</v>
      </c>
      <c r="W246" s="109">
        <f t="shared" si="24"/>
        <v>13475.743687499998</v>
      </c>
      <c r="X246" s="118"/>
    </row>
    <row r="247" spans="1:24" x14ac:dyDescent="0.25">
      <c r="A247" s="1">
        <v>2026</v>
      </c>
      <c r="B247" s="52">
        <v>46143</v>
      </c>
      <c r="C247" s="1">
        <v>31</v>
      </c>
      <c r="D247" s="1" t="s">
        <v>51</v>
      </c>
      <c r="E247" s="5">
        <v>46158</v>
      </c>
      <c r="F247" s="107">
        <v>1253.9999999999998</v>
      </c>
      <c r="G247" s="107">
        <v>558.64833333333331</v>
      </c>
      <c r="H247" s="107">
        <v>305.35958333333309</v>
      </c>
      <c r="I247" s="107">
        <v>1129.9996666666668</v>
      </c>
      <c r="J247" s="107">
        <v>1295.0995833333332</v>
      </c>
      <c r="K247" s="107">
        <v>1589.6033333333364</v>
      </c>
      <c r="L247" s="107">
        <v>2210.3683333333324</v>
      </c>
      <c r="M247" s="107">
        <v>1078.8758333333333</v>
      </c>
      <c r="N247" s="108">
        <f t="shared" si="23"/>
        <v>9421.9546666666683</v>
      </c>
      <c r="O247" s="1">
        <v>1500</v>
      </c>
      <c r="P247" s="107">
        <v>878.85</v>
      </c>
      <c r="Q247" s="107">
        <v>973.77</v>
      </c>
      <c r="R247" s="107">
        <v>3549.2</v>
      </c>
      <c r="S247" s="107">
        <v>1755</v>
      </c>
      <c r="T247" s="107">
        <v>0</v>
      </c>
      <c r="U247" s="107">
        <v>5073.8612500000017</v>
      </c>
      <c r="V247" s="107">
        <v>0</v>
      </c>
      <c r="W247" s="109">
        <f t="shared" si="24"/>
        <v>13730.681250000001</v>
      </c>
      <c r="X247" s="118"/>
    </row>
    <row r="248" spans="1:24" x14ac:dyDescent="0.25">
      <c r="A248" s="1">
        <v>2026</v>
      </c>
      <c r="B248" s="52">
        <v>46143</v>
      </c>
      <c r="C248" s="1">
        <v>31</v>
      </c>
      <c r="D248" s="1" t="s">
        <v>52</v>
      </c>
      <c r="E248" s="5">
        <v>46159</v>
      </c>
      <c r="F248" s="107">
        <v>1195.3408333333334</v>
      </c>
      <c r="G248" s="107">
        <v>416.0216666666667</v>
      </c>
      <c r="H248" s="107">
        <v>321.16916666666651</v>
      </c>
      <c r="I248" s="107">
        <v>1046.5841250000001</v>
      </c>
      <c r="J248" s="107">
        <v>1296.8491666666664</v>
      </c>
      <c r="K248" s="107">
        <v>1247.0395833333334</v>
      </c>
      <c r="L248" s="107">
        <v>2361.4037500000013</v>
      </c>
      <c r="M248" s="107">
        <v>1191.3783333333336</v>
      </c>
      <c r="N248" s="108">
        <f t="shared" si="23"/>
        <v>9075.7866250000025</v>
      </c>
      <c r="O248" s="1">
        <v>1500</v>
      </c>
      <c r="P248" s="107">
        <v>816.375</v>
      </c>
      <c r="Q248" s="107">
        <v>974.77625</v>
      </c>
      <c r="R248" s="107">
        <v>3550.1499999999996</v>
      </c>
      <c r="S248" s="107">
        <v>1755</v>
      </c>
      <c r="T248" s="107">
        <v>0</v>
      </c>
      <c r="U248" s="107">
        <v>5103.4345833333336</v>
      </c>
      <c r="V248" s="107">
        <v>0</v>
      </c>
      <c r="W248" s="109">
        <f t="shared" si="24"/>
        <v>13699.735833333334</v>
      </c>
      <c r="X248" s="118"/>
    </row>
    <row r="249" spans="1:24" x14ac:dyDescent="0.25">
      <c r="A249" s="1">
        <v>2026</v>
      </c>
      <c r="B249" s="52">
        <v>46143</v>
      </c>
      <c r="C249" s="1">
        <v>31</v>
      </c>
      <c r="D249" s="1" t="s">
        <v>53</v>
      </c>
      <c r="E249" s="5">
        <v>46160</v>
      </c>
      <c r="F249" s="107">
        <v>1534.8549999999998</v>
      </c>
      <c r="G249" s="107">
        <v>203.61083333333337</v>
      </c>
      <c r="H249" s="107">
        <v>385.86499999999995</v>
      </c>
      <c r="I249" s="107">
        <v>1589.2751874999997</v>
      </c>
      <c r="J249" s="107">
        <v>1298.1441666666667</v>
      </c>
      <c r="K249" s="107">
        <v>1571.2745833333354</v>
      </c>
      <c r="L249" s="107">
        <v>2641.8012499999995</v>
      </c>
      <c r="M249" s="107">
        <v>979.62166666666644</v>
      </c>
      <c r="N249" s="108">
        <f t="shared" si="23"/>
        <v>10204.4476875</v>
      </c>
      <c r="O249" s="1">
        <v>1500</v>
      </c>
      <c r="P249" s="107">
        <v>881.47500000000002</v>
      </c>
      <c r="Q249" s="107">
        <v>905.03874999999994</v>
      </c>
      <c r="R249" s="107">
        <v>3550.1499999999996</v>
      </c>
      <c r="S249" s="107">
        <v>1755</v>
      </c>
      <c r="T249" s="107">
        <v>0</v>
      </c>
      <c r="U249" s="107">
        <v>4889.5770833333345</v>
      </c>
      <c r="V249" s="107">
        <v>0</v>
      </c>
      <c r="W249" s="109">
        <f t="shared" si="24"/>
        <v>13481.240833333333</v>
      </c>
      <c r="X249" s="118"/>
    </row>
    <row r="250" spans="1:24" x14ac:dyDescent="0.25">
      <c r="A250" s="1">
        <v>2026</v>
      </c>
      <c r="B250" s="52">
        <v>46143</v>
      </c>
      <c r="C250" s="1">
        <v>31</v>
      </c>
      <c r="D250" s="1" t="s">
        <v>54</v>
      </c>
      <c r="E250" s="5">
        <v>46161</v>
      </c>
      <c r="F250" s="107">
        <v>1709.2716666666665</v>
      </c>
      <c r="G250" s="107">
        <v>273.52041666666673</v>
      </c>
      <c r="H250" s="107">
        <v>336.06708333333353</v>
      </c>
      <c r="I250" s="107">
        <v>1277.0810416666668</v>
      </c>
      <c r="J250" s="107">
        <v>1296.9899999999998</v>
      </c>
      <c r="K250" s="107">
        <v>1248.8699999999967</v>
      </c>
      <c r="L250" s="107">
        <v>2710.9083333333328</v>
      </c>
      <c r="M250" s="107">
        <v>995.6945833333333</v>
      </c>
      <c r="N250" s="108">
        <f t="shared" si="23"/>
        <v>9848.4031249999971</v>
      </c>
      <c r="O250" s="1">
        <v>1500</v>
      </c>
      <c r="P250" s="107">
        <v>884.625</v>
      </c>
      <c r="Q250" s="107">
        <v>870.97500000000002</v>
      </c>
      <c r="R250" s="107">
        <v>3549.2</v>
      </c>
      <c r="S250" s="107">
        <v>1755</v>
      </c>
      <c r="T250" s="107">
        <v>0</v>
      </c>
      <c r="U250" s="107">
        <v>4987.6841666666669</v>
      </c>
      <c r="V250" s="107">
        <v>0</v>
      </c>
      <c r="W250" s="109">
        <f t="shared" si="24"/>
        <v>13547.484166666665</v>
      </c>
      <c r="X250" s="118"/>
    </row>
    <row r="251" spans="1:24" x14ac:dyDescent="0.25">
      <c r="A251" s="1">
        <v>2026</v>
      </c>
      <c r="B251" s="52">
        <v>46143</v>
      </c>
      <c r="C251" s="1">
        <v>31</v>
      </c>
      <c r="D251" s="1" t="s">
        <v>55</v>
      </c>
      <c r="E251" s="5">
        <f>+E250+1</f>
        <v>46162</v>
      </c>
      <c r="F251" s="107">
        <v>1868.5883333333334</v>
      </c>
      <c r="G251" s="107">
        <v>196.90916666666669</v>
      </c>
      <c r="H251" s="107">
        <v>332.77708333333356</v>
      </c>
      <c r="I251" s="107">
        <v>1385.3339375</v>
      </c>
      <c r="J251" s="107">
        <v>1297.6070833333331</v>
      </c>
      <c r="K251" s="107">
        <v>1102.8729166666672</v>
      </c>
      <c r="L251" s="107">
        <v>2805.9995833333246</v>
      </c>
      <c r="M251" s="107">
        <v>1178.8675000000005</v>
      </c>
      <c r="N251" s="108">
        <f t="shared" si="23"/>
        <v>10168.955604166658</v>
      </c>
      <c r="O251" s="1">
        <v>1500</v>
      </c>
      <c r="P251" s="107">
        <v>907.67796874999999</v>
      </c>
      <c r="Q251" s="107">
        <v>872.44500000000005</v>
      </c>
      <c r="R251" s="107">
        <v>3550.1499999999996</v>
      </c>
      <c r="S251" s="107">
        <v>1755</v>
      </c>
      <c r="T251" s="107">
        <v>0</v>
      </c>
      <c r="U251" s="107">
        <v>4973.2745833333338</v>
      </c>
      <c r="V251" s="107">
        <v>0</v>
      </c>
      <c r="W251" s="109">
        <f t="shared" si="24"/>
        <v>13558.547552083333</v>
      </c>
      <c r="X251" s="118"/>
    </row>
    <row r="252" spans="1:24" x14ac:dyDescent="0.25">
      <c r="A252" s="1">
        <v>2026</v>
      </c>
      <c r="B252" s="52">
        <v>46143</v>
      </c>
      <c r="C252" s="1">
        <v>31</v>
      </c>
      <c r="D252" s="1" t="s">
        <v>56</v>
      </c>
      <c r="E252" s="5">
        <f t="shared" ref="E252:E256" si="25">+E251+1</f>
        <v>46163</v>
      </c>
      <c r="F252" s="107">
        <v>1879.5716666666665</v>
      </c>
      <c r="G252" s="107">
        <v>149.05333333333334</v>
      </c>
      <c r="H252" s="107">
        <v>402.10583333333346</v>
      </c>
      <c r="I252" s="107">
        <v>1884.8771875</v>
      </c>
      <c r="J252" s="107">
        <v>1295.5437500000005</v>
      </c>
      <c r="K252" s="107">
        <v>917.28249999999991</v>
      </c>
      <c r="L252" s="107">
        <v>3203.605416666664</v>
      </c>
      <c r="M252" s="107">
        <v>1185.0745833333333</v>
      </c>
      <c r="N252" s="108">
        <f t="shared" si="23"/>
        <v>10917.114270833332</v>
      </c>
      <c r="O252" s="1">
        <v>1500</v>
      </c>
      <c r="P252" s="107">
        <v>937.65000000000009</v>
      </c>
      <c r="Q252" s="107">
        <v>872.44500000000005</v>
      </c>
      <c r="R252" s="107">
        <v>3549.2</v>
      </c>
      <c r="S252" s="107">
        <v>1755</v>
      </c>
      <c r="T252" s="107">
        <v>0</v>
      </c>
      <c r="U252" s="107">
        <v>5037.2345833333329</v>
      </c>
      <c r="V252" s="107">
        <v>0</v>
      </c>
      <c r="W252" s="109">
        <f t="shared" si="24"/>
        <v>13651.529583333333</v>
      </c>
      <c r="X252" s="118"/>
    </row>
    <row r="253" spans="1:24" x14ac:dyDescent="0.25">
      <c r="A253" s="1">
        <v>2026</v>
      </c>
      <c r="B253" s="52">
        <v>46143</v>
      </c>
      <c r="C253" s="1">
        <v>31</v>
      </c>
      <c r="D253" s="1" t="s">
        <v>57</v>
      </c>
      <c r="E253" s="5">
        <f t="shared" si="25"/>
        <v>46164</v>
      </c>
      <c r="F253" s="107">
        <v>1848.8608333333334</v>
      </c>
      <c r="G253" s="107">
        <v>218.88083333333338</v>
      </c>
      <c r="H253" s="107">
        <v>384.41291666666689</v>
      </c>
      <c r="I253" s="107">
        <v>1568.7876458333328</v>
      </c>
      <c r="J253" s="107">
        <v>1296.42875</v>
      </c>
      <c r="K253" s="107">
        <v>1532.0804166666628</v>
      </c>
      <c r="L253" s="107">
        <v>2971.0033333333245</v>
      </c>
      <c r="M253" s="107">
        <v>1209.6583333333331</v>
      </c>
      <c r="N253" s="108">
        <f t="shared" si="23"/>
        <v>11030.113062499988</v>
      </c>
      <c r="O253" s="1">
        <v>1500</v>
      </c>
      <c r="P253" s="107">
        <v>931.875</v>
      </c>
      <c r="Q253" s="107">
        <v>906.05375000000004</v>
      </c>
      <c r="R253" s="107">
        <v>3530.2</v>
      </c>
      <c r="S253" s="107">
        <v>1755</v>
      </c>
      <c r="T253" s="107">
        <v>0</v>
      </c>
      <c r="U253" s="107">
        <v>5006.6399999999994</v>
      </c>
      <c r="V253" s="107">
        <v>0</v>
      </c>
      <c r="W253" s="109">
        <f t="shared" si="24"/>
        <v>13629.768749999999</v>
      </c>
      <c r="X253" s="118"/>
    </row>
    <row r="254" spans="1:24" x14ac:dyDescent="0.25">
      <c r="A254" s="1">
        <v>2026</v>
      </c>
      <c r="B254" s="52">
        <v>46143</v>
      </c>
      <c r="C254" s="1">
        <v>31</v>
      </c>
      <c r="D254" s="1" t="s">
        <v>51</v>
      </c>
      <c r="E254" s="5">
        <f t="shared" si="25"/>
        <v>46165</v>
      </c>
      <c r="F254" s="107">
        <v>1532.9441666666669</v>
      </c>
      <c r="G254" s="107">
        <v>294.62916666666666</v>
      </c>
      <c r="H254" s="107">
        <v>375.33458333333346</v>
      </c>
      <c r="I254" s="107">
        <v>1463.581083333333</v>
      </c>
      <c r="J254" s="107">
        <v>1295.3354166666668</v>
      </c>
      <c r="K254" s="107">
        <v>1645.1366666666652</v>
      </c>
      <c r="L254" s="107">
        <v>2118.8783333333304</v>
      </c>
      <c r="M254" s="107">
        <v>1174.1875</v>
      </c>
      <c r="N254" s="108">
        <f t="shared" si="23"/>
        <v>9900.0269166666621</v>
      </c>
      <c r="O254" s="1">
        <v>1500</v>
      </c>
      <c r="P254" s="107">
        <v>927.67500000000007</v>
      </c>
      <c r="Q254" s="107">
        <v>975.47625000000005</v>
      </c>
      <c r="R254" s="107">
        <v>3529.25</v>
      </c>
      <c r="S254" s="107">
        <v>1755</v>
      </c>
      <c r="T254" s="107">
        <v>0</v>
      </c>
      <c r="U254" s="107">
        <v>4909.8266666666668</v>
      </c>
      <c r="V254" s="107">
        <v>0</v>
      </c>
      <c r="W254" s="109">
        <f t="shared" si="24"/>
        <v>13597.227916666667</v>
      </c>
      <c r="X254" s="118"/>
    </row>
    <row r="255" spans="1:24" x14ac:dyDescent="0.25">
      <c r="A255" s="1">
        <v>2026</v>
      </c>
      <c r="B255" s="52">
        <v>46143</v>
      </c>
      <c r="C255" s="1">
        <v>31</v>
      </c>
      <c r="D255" s="1" t="s">
        <v>52</v>
      </c>
      <c r="E255" s="5">
        <f t="shared" si="25"/>
        <v>46166</v>
      </c>
      <c r="F255" s="107">
        <v>1353.8145833333335</v>
      </c>
      <c r="G255" s="107">
        <v>391.39541666666668</v>
      </c>
      <c r="H255" s="107">
        <v>258.71708333333339</v>
      </c>
      <c r="I255" s="107">
        <v>795.79243750000001</v>
      </c>
      <c r="J255" s="107">
        <v>1296.7679166666669</v>
      </c>
      <c r="K255" s="107">
        <v>1654.2612499999966</v>
      </c>
      <c r="L255" s="107">
        <v>2063.5754166666693</v>
      </c>
      <c r="M255" s="107">
        <v>1165.1037500000004</v>
      </c>
      <c r="N255" s="108">
        <f t="shared" si="23"/>
        <v>8979.4278541666681</v>
      </c>
      <c r="O255" s="1">
        <v>1500</v>
      </c>
      <c r="P255" s="107">
        <v>925.57500000000005</v>
      </c>
      <c r="Q255" s="107">
        <v>952.06125000000009</v>
      </c>
      <c r="R255" s="107">
        <v>3530.2</v>
      </c>
      <c r="S255" s="107">
        <v>1755</v>
      </c>
      <c r="T255" s="107">
        <v>0</v>
      </c>
      <c r="U255" s="107">
        <v>5212.3933333333343</v>
      </c>
      <c r="V255" s="107">
        <v>0</v>
      </c>
      <c r="W255" s="109">
        <f t="shared" si="24"/>
        <v>13875.229583333334</v>
      </c>
      <c r="X255" s="118"/>
    </row>
    <row r="256" spans="1:24" x14ac:dyDescent="0.25">
      <c r="A256" s="1">
        <v>2026</v>
      </c>
      <c r="B256" s="52">
        <v>46143</v>
      </c>
      <c r="C256" s="1">
        <v>31</v>
      </c>
      <c r="D256" s="1" t="s">
        <v>53</v>
      </c>
      <c r="E256" s="5">
        <f t="shared" si="25"/>
        <v>46167</v>
      </c>
      <c r="F256" s="107">
        <v>1388.2399999999998</v>
      </c>
      <c r="G256" s="107">
        <v>389.31583333333333</v>
      </c>
      <c r="H256" s="107">
        <v>334.87916666666689</v>
      </c>
      <c r="I256" s="107">
        <v>1214.5152291666668</v>
      </c>
      <c r="J256" s="107">
        <v>1296.3875</v>
      </c>
      <c r="K256" s="107">
        <v>1004.6674999999977</v>
      </c>
      <c r="L256" s="107">
        <v>1989.4504166666704</v>
      </c>
      <c r="M256" s="107">
        <v>1045.17</v>
      </c>
      <c r="N256" s="108">
        <f t="shared" si="23"/>
        <v>8662.6256458333337</v>
      </c>
      <c r="O256" s="1">
        <v>1500</v>
      </c>
      <c r="P256" s="107">
        <v>920.32500000000005</v>
      </c>
      <c r="Q256" s="107">
        <v>980.245</v>
      </c>
      <c r="R256" s="107">
        <v>3529.25</v>
      </c>
      <c r="S256" s="107">
        <v>1755</v>
      </c>
      <c r="T256" s="107">
        <v>0</v>
      </c>
      <c r="U256" s="107">
        <v>5632.286250000001</v>
      </c>
      <c r="V256" s="107">
        <v>0</v>
      </c>
      <c r="W256" s="109">
        <f t="shared" si="24"/>
        <v>14317.106250000001</v>
      </c>
      <c r="X256" s="118"/>
    </row>
    <row r="257" spans="1:24" x14ac:dyDescent="0.25">
      <c r="A257" s="1">
        <v>2026</v>
      </c>
      <c r="B257" s="52">
        <v>46143</v>
      </c>
      <c r="C257" s="1">
        <v>31</v>
      </c>
      <c r="D257" s="1" t="str">
        <f>+Precios!C257</f>
        <v>mar</v>
      </c>
      <c r="E257" s="5">
        <f>+Precios!D257</f>
        <v>46168</v>
      </c>
      <c r="F257" s="107">
        <v>1685.2645833333333</v>
      </c>
      <c r="G257" s="107">
        <v>404.91208333333338</v>
      </c>
      <c r="H257" s="107">
        <v>384.44250000000028</v>
      </c>
      <c r="I257" s="107">
        <v>1375.6664999999996</v>
      </c>
      <c r="J257" s="107">
        <v>1295.8629166666669</v>
      </c>
      <c r="K257" s="107">
        <v>1301.980000000003</v>
      </c>
      <c r="L257" s="107">
        <v>2427.5258333333336</v>
      </c>
      <c r="M257" s="107">
        <v>1191.8104166666667</v>
      </c>
      <c r="N257" s="108">
        <f t="shared" si="23"/>
        <v>10067.464833333337</v>
      </c>
      <c r="O257" s="1">
        <v>1500</v>
      </c>
      <c r="P257" s="107">
        <v>910.875</v>
      </c>
      <c r="Q257" s="107">
        <v>930.81975</v>
      </c>
      <c r="R257" s="107">
        <v>3530.2</v>
      </c>
      <c r="S257" s="107">
        <v>1755</v>
      </c>
      <c r="T257" s="107">
        <v>0</v>
      </c>
      <c r="U257" s="107">
        <v>5454.0212499999989</v>
      </c>
      <c r="V257" s="107">
        <v>0</v>
      </c>
      <c r="W257" s="109">
        <f t="shared" si="24"/>
        <v>14080.915999999997</v>
      </c>
      <c r="X257" s="118"/>
    </row>
    <row r="258" spans="1:24" x14ac:dyDescent="0.25">
      <c r="A258" s="1">
        <v>2026</v>
      </c>
      <c r="B258" s="52">
        <v>46143</v>
      </c>
      <c r="C258" s="1">
        <v>31</v>
      </c>
      <c r="D258" s="1" t="str">
        <f>+Precios!C258</f>
        <v>mié</v>
      </c>
      <c r="E258" s="5">
        <f>+Precios!D258</f>
        <v>46169</v>
      </c>
      <c r="F258" s="107">
        <v>1726.0725000000002</v>
      </c>
      <c r="G258" s="107">
        <v>350.46291666666662</v>
      </c>
      <c r="H258" s="107">
        <v>363.10583333333358</v>
      </c>
      <c r="I258" s="107">
        <v>1585.9541458333342</v>
      </c>
      <c r="J258" s="107">
        <v>1296.2183333333332</v>
      </c>
      <c r="K258" s="107">
        <v>1267.2145833333318</v>
      </c>
      <c r="L258" s="107">
        <v>2625.2349999999924</v>
      </c>
      <c r="M258" s="107">
        <v>1058.5183333333332</v>
      </c>
      <c r="N258" s="108">
        <f t="shared" si="23"/>
        <v>10272.781645833325</v>
      </c>
      <c r="O258" s="1">
        <v>1500</v>
      </c>
      <c r="P258" s="107">
        <v>903</v>
      </c>
      <c r="Q258" s="107">
        <v>922.24781250000001</v>
      </c>
      <c r="R258" s="107">
        <v>3607.4642916666667</v>
      </c>
      <c r="S258" s="107">
        <v>1755</v>
      </c>
      <c r="T258" s="107">
        <v>0</v>
      </c>
      <c r="U258" s="107">
        <v>5122.5112499999996</v>
      </c>
      <c r="V258" s="107">
        <v>0</v>
      </c>
      <c r="W258" s="109">
        <f t="shared" si="24"/>
        <v>13810.223354166666</v>
      </c>
      <c r="X258" s="118"/>
    </row>
    <row r="259" spans="1:24" x14ac:dyDescent="0.25">
      <c r="A259" s="1">
        <v>2026</v>
      </c>
      <c r="B259" s="52">
        <v>46143</v>
      </c>
      <c r="C259" s="1">
        <v>31</v>
      </c>
      <c r="D259" s="1" t="str">
        <f>+Precios!C259</f>
        <v>jue</v>
      </c>
      <c r="E259" s="5">
        <f>+Precios!D259</f>
        <v>46170</v>
      </c>
      <c r="F259" s="107">
        <v>1847.5958333333335</v>
      </c>
      <c r="G259" s="107">
        <v>236.11041666666665</v>
      </c>
      <c r="H259" s="107">
        <v>351.11541666666659</v>
      </c>
      <c r="I259" s="107">
        <v>1510.4243958333334</v>
      </c>
      <c r="J259" s="107">
        <v>1296.1624999999999</v>
      </c>
      <c r="K259" s="107">
        <v>996.77624999999819</v>
      </c>
      <c r="L259" s="107">
        <v>2789.6162499999796</v>
      </c>
      <c r="M259" s="107">
        <v>1057.1770833333333</v>
      </c>
      <c r="N259" s="108">
        <f t="shared" si="23"/>
        <v>10084.978145833313</v>
      </c>
      <c r="O259" s="1">
        <v>1500</v>
      </c>
      <c r="P259" s="107">
        <v>896.7</v>
      </c>
      <c r="Q259" s="107">
        <v>968.65125</v>
      </c>
      <c r="R259" s="107">
        <v>3682.2</v>
      </c>
      <c r="S259" s="107">
        <v>1755</v>
      </c>
      <c r="T259" s="107">
        <v>0</v>
      </c>
      <c r="U259" s="107">
        <v>5486.2699999999995</v>
      </c>
      <c r="V259" s="107">
        <v>0</v>
      </c>
      <c r="W259" s="109">
        <f t="shared" si="24"/>
        <v>14288.821250000001</v>
      </c>
      <c r="X259" s="118"/>
    </row>
    <row r="260" spans="1:24" x14ac:dyDescent="0.25">
      <c r="A260" s="1">
        <v>2026</v>
      </c>
      <c r="B260" s="52">
        <v>46143</v>
      </c>
      <c r="C260" s="1">
        <v>31</v>
      </c>
      <c r="D260" s="1" t="str">
        <f>+Precios!C260</f>
        <v>vie</v>
      </c>
      <c r="E260" s="5">
        <f>+Precios!D260</f>
        <v>46171</v>
      </c>
      <c r="F260" s="107">
        <v>1608.37375</v>
      </c>
      <c r="G260" s="107">
        <v>525.1925</v>
      </c>
      <c r="H260" s="107">
        <v>335.4583333333332</v>
      </c>
      <c r="I260" s="107">
        <v>1361.8432083333335</v>
      </c>
      <c r="J260" s="107">
        <v>1297.10625</v>
      </c>
      <c r="K260" s="107">
        <v>1120.9683333333298</v>
      </c>
      <c r="L260" s="107">
        <v>2634.0720833333389</v>
      </c>
      <c r="M260" s="107">
        <v>1153.0437499999996</v>
      </c>
      <c r="N260" s="108">
        <f t="shared" si="23"/>
        <v>10036.058208333334</v>
      </c>
      <c r="O260" s="1">
        <v>1500</v>
      </c>
      <c r="P260" s="107">
        <v>892.5</v>
      </c>
      <c r="Q260" s="107">
        <v>970.53250000000003</v>
      </c>
      <c r="R260" s="107">
        <v>3634.34375</v>
      </c>
      <c r="S260" s="107">
        <v>1755</v>
      </c>
      <c r="T260" s="107">
        <v>0</v>
      </c>
      <c r="U260" s="107">
        <v>5624.8062500000005</v>
      </c>
      <c r="V260" s="107">
        <v>0</v>
      </c>
      <c r="W260" s="109">
        <f t="shared" si="24"/>
        <v>14377.182500000003</v>
      </c>
      <c r="X260" s="118"/>
    </row>
    <row r="261" spans="1:24" x14ac:dyDescent="0.25">
      <c r="A261" s="1">
        <v>2026</v>
      </c>
      <c r="B261" s="52">
        <v>46143</v>
      </c>
      <c r="C261" s="1">
        <v>31</v>
      </c>
      <c r="D261" s="1" t="str">
        <f>+Precios!C261</f>
        <v>sáb</v>
      </c>
      <c r="E261" s="5">
        <f>+Precios!D261</f>
        <v>46172</v>
      </c>
      <c r="F261" s="107">
        <v>1431.2479166666669</v>
      </c>
      <c r="G261" s="107">
        <v>316.99333333333328</v>
      </c>
      <c r="H261" s="107">
        <v>356.89541666666668</v>
      </c>
      <c r="I261" s="107">
        <v>1301.8443749999999</v>
      </c>
      <c r="J261" s="107">
        <v>1296.6233333333337</v>
      </c>
      <c r="K261" s="107">
        <v>1127.0024999999985</v>
      </c>
      <c r="L261" s="107">
        <v>2173.0725000000079</v>
      </c>
      <c r="M261" s="107">
        <v>1196.2087500000005</v>
      </c>
      <c r="N261" s="108">
        <f t="shared" si="23"/>
        <v>9199.8881250000068</v>
      </c>
      <c r="O261" s="1">
        <v>1500</v>
      </c>
      <c r="P261" s="107">
        <v>885.15000000000009</v>
      </c>
      <c r="Q261" s="107">
        <v>984.09500000000003</v>
      </c>
      <c r="R261" s="107">
        <v>3633.3937499999997</v>
      </c>
      <c r="S261" s="107">
        <v>1755</v>
      </c>
      <c r="T261" s="107">
        <v>0</v>
      </c>
      <c r="U261" s="107">
        <v>5703.8566666666684</v>
      </c>
      <c r="V261" s="107">
        <v>0</v>
      </c>
      <c r="W261" s="109">
        <f t="shared" si="24"/>
        <v>14461.495416666668</v>
      </c>
      <c r="X261" s="118"/>
    </row>
    <row r="262" spans="1:24" x14ac:dyDescent="0.25">
      <c r="A262" s="1">
        <v>2026</v>
      </c>
      <c r="B262" s="52">
        <v>46143</v>
      </c>
      <c r="C262" s="1">
        <v>31</v>
      </c>
      <c r="D262" s="1" t="str">
        <f>+Precios!C262</f>
        <v>dom</v>
      </c>
      <c r="E262" s="5">
        <f>+Precios!D262</f>
        <v>46173</v>
      </c>
      <c r="F262" s="107">
        <v>1229.7508333333335</v>
      </c>
      <c r="G262" s="107">
        <v>237.02083333333337</v>
      </c>
      <c r="H262" s="107">
        <v>305.39124999999973</v>
      </c>
      <c r="I262" s="107">
        <v>1016.1805624999998</v>
      </c>
      <c r="J262" s="107">
        <v>1296.5995833333334</v>
      </c>
      <c r="K262" s="107">
        <v>1146.8525000000025</v>
      </c>
      <c r="L262" s="107">
        <v>2169.0374999999985</v>
      </c>
      <c r="M262" s="107">
        <v>1138.4820833333333</v>
      </c>
      <c r="N262" s="108">
        <f t="shared" ref="N262:N284" si="26">+SUM(F262:M262)</f>
        <v>8539.3151458333341</v>
      </c>
      <c r="O262" s="1">
        <v>1500</v>
      </c>
      <c r="P262" s="107">
        <v>878.32500000000005</v>
      </c>
      <c r="Q262" s="107">
        <v>976.3075</v>
      </c>
      <c r="R262" s="107">
        <v>3663.2</v>
      </c>
      <c r="S262" s="107">
        <v>1755</v>
      </c>
      <c r="T262" s="107">
        <v>0</v>
      </c>
      <c r="U262" s="107">
        <v>5722.420000000001</v>
      </c>
      <c r="V262" s="107">
        <v>0</v>
      </c>
      <c r="W262" s="109">
        <f t="shared" ref="W262" si="27">+SUM(O262:V262)</f>
        <v>14495.252500000002</v>
      </c>
      <c r="X262" s="118"/>
    </row>
    <row r="263" spans="1:24" x14ac:dyDescent="0.25">
      <c r="A263" s="1">
        <v>2026</v>
      </c>
      <c r="B263" s="52">
        <v>46174</v>
      </c>
      <c r="C263" s="1">
        <v>30</v>
      </c>
      <c r="D263" s="1" t="str">
        <f>+Precios!C263</f>
        <v>lun</v>
      </c>
      <c r="E263" s="5">
        <f>+Precios!D263</f>
        <v>46174</v>
      </c>
      <c r="F263" s="107">
        <v>1536.3529166666669</v>
      </c>
      <c r="G263" s="107">
        <v>272.12458333333331</v>
      </c>
      <c r="H263" s="107">
        <v>234.2779166666667</v>
      </c>
      <c r="I263" s="107">
        <v>958.99016666666648</v>
      </c>
      <c r="J263" s="107">
        <v>1295.7379166666667</v>
      </c>
      <c r="K263" s="107">
        <v>1459.702916666665</v>
      </c>
      <c r="L263" s="107">
        <v>2380.3674999999935</v>
      </c>
      <c r="M263" s="107">
        <v>1156.2479166666665</v>
      </c>
      <c r="N263" s="108">
        <f t="shared" si="26"/>
        <v>9293.8018333333257</v>
      </c>
      <c r="O263" s="1">
        <v>1500</v>
      </c>
      <c r="P263" s="107">
        <v>878.32500000000005</v>
      </c>
      <c r="Q263" s="107">
        <v>980.6825</v>
      </c>
      <c r="R263" s="107">
        <v>3664.1499999999996</v>
      </c>
      <c r="S263" s="107">
        <v>1755</v>
      </c>
      <c r="T263" s="107">
        <v>0</v>
      </c>
      <c r="U263" s="107">
        <v>5747.8980416666682</v>
      </c>
      <c r="V263" s="107">
        <v>0</v>
      </c>
      <c r="W263" s="109">
        <f t="shared" ref="W263:W271" si="28">+SUM(O263:V263)</f>
        <v>14526.055541666668</v>
      </c>
      <c r="X263" s="118"/>
    </row>
    <row r="264" spans="1:24" x14ac:dyDescent="0.25">
      <c r="A264" s="1">
        <v>2026</v>
      </c>
      <c r="B264" s="52">
        <v>46174</v>
      </c>
      <c r="C264" s="1">
        <v>30</v>
      </c>
      <c r="D264" s="1" t="str">
        <f>+Precios!C264</f>
        <v>mar</v>
      </c>
      <c r="E264" s="5">
        <f>+Precios!D264</f>
        <v>46175</v>
      </c>
      <c r="F264" s="107">
        <v>1688.7245833333334</v>
      </c>
      <c r="G264" s="107">
        <v>271.87458333333331</v>
      </c>
      <c r="H264" s="107">
        <v>212.94916666666677</v>
      </c>
      <c r="I264" s="107">
        <v>481.69195833333322</v>
      </c>
      <c r="J264" s="107">
        <v>1295.4604166666666</v>
      </c>
      <c r="K264" s="107">
        <v>1675.1633333333309</v>
      </c>
      <c r="L264" s="107">
        <v>2523.4508333333338</v>
      </c>
      <c r="M264" s="107">
        <v>1212.2520833333331</v>
      </c>
      <c r="N264" s="108">
        <f t="shared" si="26"/>
        <v>9361.5669583333311</v>
      </c>
      <c r="O264" s="1">
        <v>1500</v>
      </c>
      <c r="P264" s="107">
        <v>878.32500000000005</v>
      </c>
      <c r="Q264" s="107">
        <v>982.57468749999998</v>
      </c>
      <c r="R264" s="107">
        <v>3663.2</v>
      </c>
      <c r="S264" s="107">
        <v>1755</v>
      </c>
      <c r="T264" s="107">
        <v>0</v>
      </c>
      <c r="U264" s="107">
        <v>5713.0625000000018</v>
      </c>
      <c r="V264" s="107">
        <v>0</v>
      </c>
      <c r="W264" s="109">
        <f t="shared" si="28"/>
        <v>14492.162187500002</v>
      </c>
      <c r="X264" s="118"/>
    </row>
    <row r="265" spans="1:24" x14ac:dyDescent="0.25">
      <c r="A265" s="1">
        <v>2026</v>
      </c>
      <c r="B265" s="52">
        <v>46174</v>
      </c>
      <c r="C265" s="1">
        <v>30</v>
      </c>
      <c r="D265" s="1" t="str">
        <f>+Precios!C265</f>
        <v>mié</v>
      </c>
      <c r="E265" s="5">
        <f>+Precios!D265</f>
        <v>46176</v>
      </c>
      <c r="F265" s="107">
        <v>1669.253333333334</v>
      </c>
      <c r="G265" s="107">
        <v>186.54083333333335</v>
      </c>
      <c r="H265" s="107">
        <v>209.75916666666672</v>
      </c>
      <c r="I265" s="107">
        <v>463.21524999999997</v>
      </c>
      <c r="J265" s="107">
        <v>1289.0183333333337</v>
      </c>
      <c r="K265" s="107">
        <v>1713.1966666666615</v>
      </c>
      <c r="L265" s="107">
        <v>2487.7233333333297</v>
      </c>
      <c r="M265" s="107">
        <v>1029.8500000000001</v>
      </c>
      <c r="N265" s="108">
        <f t="shared" si="26"/>
        <v>9048.5569166666592</v>
      </c>
      <c r="O265" s="1">
        <v>1500</v>
      </c>
      <c r="P265" s="107">
        <v>878.32500000000005</v>
      </c>
      <c r="Q265" s="107">
        <v>983.92</v>
      </c>
      <c r="R265" s="107">
        <v>3663.2</v>
      </c>
      <c r="S265" s="107">
        <v>1755</v>
      </c>
      <c r="T265" s="107">
        <v>0</v>
      </c>
      <c r="U265" s="107">
        <v>5827.4191250000013</v>
      </c>
      <c r="V265" s="107">
        <v>0</v>
      </c>
      <c r="W265" s="109">
        <f t="shared" si="28"/>
        <v>14607.864125</v>
      </c>
      <c r="X265" s="118"/>
    </row>
    <row r="266" spans="1:24" x14ac:dyDescent="0.25">
      <c r="A266" s="1">
        <v>2026</v>
      </c>
      <c r="B266" s="52">
        <v>46174</v>
      </c>
      <c r="C266" s="1">
        <v>30</v>
      </c>
      <c r="D266" s="1" t="str">
        <f>+Precios!C266</f>
        <v>jue</v>
      </c>
      <c r="E266" s="5">
        <f>+Precios!D266</f>
        <v>46177</v>
      </c>
      <c r="F266" s="107">
        <v>1766.8916666666667</v>
      </c>
      <c r="G266" s="107">
        <v>238.26166666666666</v>
      </c>
      <c r="H266" s="107">
        <v>295.00541666666646</v>
      </c>
      <c r="I266" s="107">
        <v>1009.8598958333333</v>
      </c>
      <c r="J266" s="107">
        <v>683.14333333333332</v>
      </c>
      <c r="K266" s="107">
        <v>620.58208333333187</v>
      </c>
      <c r="L266" s="107">
        <v>2964.30708333332</v>
      </c>
      <c r="M266" s="107">
        <v>1152.9412499999999</v>
      </c>
      <c r="N266" s="108">
        <f t="shared" si="26"/>
        <v>8730.9923958333184</v>
      </c>
      <c r="O266" s="1">
        <v>1500</v>
      </c>
      <c r="P266" s="107">
        <v>878.32500000000005</v>
      </c>
      <c r="Q266" s="107">
        <v>976.70124999999996</v>
      </c>
      <c r="R266" s="107">
        <v>3663.2</v>
      </c>
      <c r="S266" s="107">
        <v>1755</v>
      </c>
      <c r="T266" s="107">
        <v>0</v>
      </c>
      <c r="U266" s="107">
        <v>5845.8536250000016</v>
      </c>
      <c r="V266" s="107">
        <v>0</v>
      </c>
      <c r="W266" s="109">
        <f t="shared" si="28"/>
        <v>14619.079875000001</v>
      </c>
      <c r="X266" s="118"/>
    </row>
    <row r="267" spans="1:24" x14ac:dyDescent="0.25">
      <c r="A267" s="1">
        <v>2026</v>
      </c>
      <c r="B267" s="52">
        <v>46174</v>
      </c>
      <c r="C267" s="1">
        <v>30</v>
      </c>
      <c r="D267" s="1" t="str">
        <f>+Precios!C267</f>
        <v>vie</v>
      </c>
      <c r="E267" s="5">
        <f>+Precios!D267</f>
        <v>46178</v>
      </c>
      <c r="F267" s="107">
        <v>1697.2658333333331</v>
      </c>
      <c r="G267" s="107">
        <v>187.34083333333334</v>
      </c>
      <c r="H267" s="107">
        <v>334.06374999999986</v>
      </c>
      <c r="I267" s="107">
        <v>753.99164583333322</v>
      </c>
      <c r="J267" s="107">
        <v>683.87083333333328</v>
      </c>
      <c r="K267" s="107">
        <v>751.52916666666749</v>
      </c>
      <c r="L267" s="107">
        <v>2892.5545833333254</v>
      </c>
      <c r="M267" s="107">
        <v>1391.2366666666667</v>
      </c>
      <c r="N267" s="108">
        <f t="shared" si="26"/>
        <v>8691.8533124999922</v>
      </c>
      <c r="O267" s="1">
        <v>1500</v>
      </c>
      <c r="P267" s="107">
        <v>872.55000000000007</v>
      </c>
      <c r="Q267" s="107">
        <v>971.03650000000005</v>
      </c>
      <c r="R267" s="107">
        <v>3663.2</v>
      </c>
      <c r="S267" s="107">
        <v>1755</v>
      </c>
      <c r="T267" s="107">
        <v>0</v>
      </c>
      <c r="U267" s="107">
        <v>5837.6475416666681</v>
      </c>
      <c r="V267" s="107">
        <v>0</v>
      </c>
      <c r="W267" s="109">
        <f t="shared" si="28"/>
        <v>14599.434041666667</v>
      </c>
      <c r="X267" s="118"/>
    </row>
    <row r="268" spans="1:24" x14ac:dyDescent="0.25">
      <c r="A268" s="1">
        <v>2026</v>
      </c>
      <c r="B268" s="52">
        <v>46174</v>
      </c>
      <c r="C268" s="1">
        <v>30</v>
      </c>
      <c r="D268" s="1" t="str">
        <f>+Precios!C268</f>
        <v>sáb</v>
      </c>
      <c r="E268" s="5">
        <f>+Precios!D268</f>
        <v>46179</v>
      </c>
      <c r="F268" s="107">
        <v>1382.8</v>
      </c>
      <c r="G268" s="107">
        <v>72.706666666666663</v>
      </c>
      <c r="H268" s="107">
        <v>234.2616666666668</v>
      </c>
      <c r="I268" s="107">
        <v>648.44783333333328</v>
      </c>
      <c r="J268" s="107">
        <v>683.69958333333318</v>
      </c>
      <c r="K268" s="107">
        <v>835.4145833333323</v>
      </c>
      <c r="L268" s="107">
        <v>2693.9791666666556</v>
      </c>
      <c r="M268" s="107">
        <v>1161.6825000000001</v>
      </c>
      <c r="N268" s="108">
        <f t="shared" si="26"/>
        <v>7712.9919999999875</v>
      </c>
      <c r="O268" s="1">
        <v>1500</v>
      </c>
      <c r="P268" s="107">
        <v>725.42640625000001</v>
      </c>
      <c r="Q268" s="107">
        <v>972.32625000000007</v>
      </c>
      <c r="R268" s="107">
        <v>3663.2</v>
      </c>
      <c r="S268" s="107">
        <v>1755</v>
      </c>
      <c r="T268" s="107">
        <v>0</v>
      </c>
      <c r="U268" s="107">
        <v>5793.1971250000015</v>
      </c>
      <c r="V268" s="107">
        <v>0</v>
      </c>
      <c r="W268" s="109">
        <f t="shared" si="28"/>
        <v>14409.149781250002</v>
      </c>
      <c r="X268" s="118"/>
    </row>
    <row r="269" spans="1:24" x14ac:dyDescent="0.25">
      <c r="A269" s="1">
        <v>2026</v>
      </c>
      <c r="B269" s="52">
        <v>46174</v>
      </c>
      <c r="C269" s="1">
        <v>30</v>
      </c>
      <c r="D269" s="1" t="str">
        <f>+Precios!C269</f>
        <v>dom</v>
      </c>
      <c r="E269" s="5">
        <f>+Precios!D269</f>
        <v>46180</v>
      </c>
      <c r="F269" s="107">
        <v>1210.7645833333333</v>
      </c>
      <c r="G269" s="107">
        <v>148.9029166666667</v>
      </c>
      <c r="H269" s="107">
        <v>182.55791666666667</v>
      </c>
      <c r="I269" s="107">
        <v>592.62227083333323</v>
      </c>
      <c r="J269" s="107">
        <v>1082.2720833333333</v>
      </c>
      <c r="K269" s="107">
        <v>843.46416666666653</v>
      </c>
      <c r="L269" s="107">
        <v>2080.6983333333287</v>
      </c>
      <c r="M269" s="107">
        <v>1202.4320833333331</v>
      </c>
      <c r="N269" s="108">
        <f t="shared" si="26"/>
        <v>7343.714354166661</v>
      </c>
      <c r="O269" s="1">
        <v>1500</v>
      </c>
      <c r="P269" s="107">
        <v>878.32500000000005</v>
      </c>
      <c r="Q269" s="107">
        <v>956.73068749999993</v>
      </c>
      <c r="R269" s="107">
        <v>3545.7697083333333</v>
      </c>
      <c r="S269" s="107">
        <v>1755</v>
      </c>
      <c r="T269" s="107">
        <v>0</v>
      </c>
      <c r="U269" s="107">
        <v>5618.8385000000017</v>
      </c>
      <c r="V269" s="107">
        <v>0</v>
      </c>
      <c r="W269" s="109">
        <f t="shared" si="28"/>
        <v>14254.663895833335</v>
      </c>
      <c r="X269" s="118"/>
    </row>
    <row r="270" spans="1:24" x14ac:dyDescent="0.25">
      <c r="A270" s="1">
        <v>2026</v>
      </c>
      <c r="B270" s="52">
        <v>46174</v>
      </c>
      <c r="C270" s="1">
        <v>30</v>
      </c>
      <c r="D270" s="1" t="str">
        <f>+Precios!C270</f>
        <v>lun</v>
      </c>
      <c r="E270" s="5">
        <f>+Precios!D270</f>
        <v>46181</v>
      </c>
      <c r="F270" s="107">
        <v>1414.58125</v>
      </c>
      <c r="G270" s="107">
        <v>262.23874999999992</v>
      </c>
      <c r="H270" s="107">
        <v>306.3287499999999</v>
      </c>
      <c r="I270" s="107">
        <v>940.25774999999987</v>
      </c>
      <c r="J270" s="107">
        <v>1303.3249999999998</v>
      </c>
      <c r="K270" s="107">
        <v>885.68541666666715</v>
      </c>
      <c r="L270" s="107">
        <v>2659.4133333333261</v>
      </c>
      <c r="M270" s="107">
        <v>1213.99</v>
      </c>
      <c r="N270" s="108">
        <f t="shared" si="26"/>
        <v>8985.8202499999934</v>
      </c>
      <c r="O270" s="1">
        <v>1500</v>
      </c>
      <c r="P270" s="107">
        <v>878.85</v>
      </c>
      <c r="Q270" s="107">
        <v>909.42691875000003</v>
      </c>
      <c r="R270" s="107">
        <v>3644.2</v>
      </c>
      <c r="S270" s="107">
        <v>1755</v>
      </c>
      <c r="T270" s="107">
        <v>0</v>
      </c>
      <c r="U270" s="107">
        <v>5836.6439166666678</v>
      </c>
      <c r="V270" s="107">
        <v>0</v>
      </c>
      <c r="W270" s="109">
        <f t="shared" si="28"/>
        <v>14524.120835416667</v>
      </c>
      <c r="X270" s="118"/>
    </row>
    <row r="271" spans="1:24" x14ac:dyDescent="0.25">
      <c r="A271" s="1">
        <v>2026</v>
      </c>
      <c r="B271" s="52">
        <v>46174</v>
      </c>
      <c r="C271" s="1">
        <v>30</v>
      </c>
      <c r="D271" s="1" t="str">
        <f>+Precios!C271</f>
        <v>mar</v>
      </c>
      <c r="E271" s="5">
        <f>+Precios!D271</f>
        <v>46182</v>
      </c>
      <c r="F271" s="107">
        <v>1396.2891666666667</v>
      </c>
      <c r="G271" s="107">
        <v>257.53958333333333</v>
      </c>
      <c r="H271" s="107">
        <v>312.66083333333319</v>
      </c>
      <c r="I271" s="107">
        <v>929.8299166666668</v>
      </c>
      <c r="J271" s="107">
        <v>1300.823333333333</v>
      </c>
      <c r="K271" s="107">
        <v>1251.8516666666617</v>
      </c>
      <c r="L271" s="107">
        <v>2571.3279166666621</v>
      </c>
      <c r="M271" s="107">
        <v>1201.403333333333</v>
      </c>
      <c r="N271" s="108">
        <f t="shared" si="26"/>
        <v>9221.7257499999905</v>
      </c>
      <c r="O271" s="1">
        <v>1500</v>
      </c>
      <c r="P271" s="107">
        <v>860.49184375000004</v>
      </c>
      <c r="Q271" s="107">
        <v>970.75125000000003</v>
      </c>
      <c r="R271" s="107">
        <v>3645.1499999999996</v>
      </c>
      <c r="S271" s="107">
        <v>1755</v>
      </c>
      <c r="T271" s="107">
        <v>0</v>
      </c>
      <c r="U271" s="107">
        <v>5875.380250000002</v>
      </c>
      <c r="V271" s="107">
        <v>0</v>
      </c>
      <c r="W271" s="109">
        <f t="shared" si="28"/>
        <v>14606.773343750003</v>
      </c>
      <c r="X271" s="118"/>
    </row>
    <row r="272" spans="1:24" x14ac:dyDescent="0.25">
      <c r="A272" s="1">
        <v>2026</v>
      </c>
      <c r="B272" s="52">
        <v>46174</v>
      </c>
      <c r="C272" s="1">
        <v>30</v>
      </c>
      <c r="D272" s="1" t="str">
        <f>+Precios!C272</f>
        <v>mié</v>
      </c>
      <c r="E272" s="5">
        <f>+Precios!D272</f>
        <v>46183</v>
      </c>
      <c r="F272" s="107">
        <v>1764.7349999999999</v>
      </c>
      <c r="G272" s="107">
        <v>397.56208333333331</v>
      </c>
      <c r="H272" s="107">
        <v>277.54333333333324</v>
      </c>
      <c r="I272" s="107">
        <v>750.19520833333331</v>
      </c>
      <c r="J272" s="107">
        <v>1303.4245833333332</v>
      </c>
      <c r="K272" s="107">
        <v>1834.8849999999939</v>
      </c>
      <c r="L272" s="107">
        <v>2483.220416666662</v>
      </c>
      <c r="M272" s="107">
        <v>700.91541666666626</v>
      </c>
      <c r="N272" s="108">
        <f t="shared" si="26"/>
        <v>9512.4810416666551</v>
      </c>
      <c r="O272" s="1">
        <v>1500</v>
      </c>
      <c r="P272" s="107">
        <v>864.15000000000009</v>
      </c>
      <c r="Q272" s="107">
        <v>963.91006250000009</v>
      </c>
      <c r="R272" s="107">
        <v>3644.2</v>
      </c>
      <c r="S272" s="107">
        <v>1755</v>
      </c>
      <c r="T272" s="107">
        <v>0</v>
      </c>
      <c r="U272" s="107">
        <v>5871.226333333334</v>
      </c>
      <c r="V272" s="107">
        <v>0</v>
      </c>
      <c r="W272" s="109">
        <f t="shared" ref="W272:W284" si="29">+SUM(O272:V272)</f>
        <v>14598.486395833334</v>
      </c>
      <c r="X272" s="118"/>
    </row>
    <row r="273" spans="1:24" x14ac:dyDescent="0.25">
      <c r="A273" s="1">
        <v>2026</v>
      </c>
      <c r="B273" s="52">
        <v>46174</v>
      </c>
      <c r="C273" s="1">
        <v>30</v>
      </c>
      <c r="D273" s="1" t="str">
        <f>+Precios!C273</f>
        <v>jue</v>
      </c>
      <c r="E273" s="5">
        <f>+Precios!D273</f>
        <v>46184</v>
      </c>
      <c r="F273" s="107">
        <v>1753.2737499999996</v>
      </c>
      <c r="G273" s="107">
        <v>187.51958333333332</v>
      </c>
      <c r="H273" s="107">
        <v>249.93916666666641</v>
      </c>
      <c r="I273" s="107">
        <v>725.90093749999983</v>
      </c>
      <c r="J273" s="107">
        <v>1304.0208333333337</v>
      </c>
      <c r="K273" s="107">
        <v>1703.3020833333342</v>
      </c>
      <c r="L273" s="107">
        <v>2394.5175000000067</v>
      </c>
      <c r="M273" s="107">
        <v>885.08</v>
      </c>
      <c r="N273" s="108">
        <f t="shared" si="26"/>
        <v>9203.5538541666738</v>
      </c>
      <c r="O273" s="1">
        <v>1500</v>
      </c>
      <c r="P273" s="107">
        <v>847.12578125000005</v>
      </c>
      <c r="Q273" s="107">
        <v>962.95106250000003</v>
      </c>
      <c r="R273" s="107">
        <v>3644.2</v>
      </c>
      <c r="S273" s="107">
        <v>1755</v>
      </c>
      <c r="T273" s="107">
        <v>0</v>
      </c>
      <c r="U273" s="107">
        <v>5855.8897083333341</v>
      </c>
      <c r="V273" s="107">
        <v>0</v>
      </c>
      <c r="W273" s="109">
        <f t="shared" si="29"/>
        <v>14565.166552083334</v>
      </c>
      <c r="X273" s="118"/>
    </row>
    <row r="274" spans="1:24" x14ac:dyDescent="0.25">
      <c r="A274" s="1">
        <v>2026</v>
      </c>
      <c r="B274" s="52">
        <v>46174</v>
      </c>
      <c r="C274" s="1">
        <v>30</v>
      </c>
      <c r="D274" s="1" t="str">
        <f>+Precios!C274</f>
        <v>vie</v>
      </c>
      <c r="E274" s="5">
        <f>+Precios!D274</f>
        <v>46185</v>
      </c>
      <c r="F274" s="107">
        <v>1773.6779166666665</v>
      </c>
      <c r="G274" s="107">
        <v>145.91416666666666</v>
      </c>
      <c r="H274" s="107">
        <v>213.12291666666658</v>
      </c>
      <c r="I274" s="107">
        <v>273.66412500000001</v>
      </c>
      <c r="J274" s="107">
        <v>1304.1537500000002</v>
      </c>
      <c r="K274" s="107">
        <v>2187.763749999996</v>
      </c>
      <c r="L274" s="107">
        <v>2230.5899999999988</v>
      </c>
      <c r="M274" s="107">
        <v>970.03041666666695</v>
      </c>
      <c r="N274" s="108">
        <f t="shared" si="26"/>
        <v>9098.9170416666602</v>
      </c>
      <c r="O274" s="1">
        <v>1500</v>
      </c>
      <c r="P274" s="107">
        <v>857.85</v>
      </c>
      <c r="Q274" s="107">
        <v>979.37</v>
      </c>
      <c r="R274" s="107">
        <v>3625.2</v>
      </c>
      <c r="S274" s="107">
        <v>1755</v>
      </c>
      <c r="T274" s="107">
        <v>0</v>
      </c>
      <c r="U274" s="107">
        <v>5839.5180833333343</v>
      </c>
      <c r="V274" s="107">
        <v>0</v>
      </c>
      <c r="W274" s="109">
        <f t="shared" si="29"/>
        <v>14556.938083333334</v>
      </c>
      <c r="X274" s="118"/>
    </row>
    <row r="275" spans="1:24" x14ac:dyDescent="0.25">
      <c r="A275" s="1">
        <v>2026</v>
      </c>
      <c r="B275" s="52">
        <v>46174</v>
      </c>
      <c r="C275" s="1">
        <v>30</v>
      </c>
      <c r="D275" s="1" t="str">
        <f>+Precios!C275</f>
        <v>sáb</v>
      </c>
      <c r="E275" s="5">
        <f>+Precios!D275</f>
        <v>46186</v>
      </c>
      <c r="F275" s="107">
        <v>1769.876666666667</v>
      </c>
      <c r="G275" s="107">
        <v>281.34958333333333</v>
      </c>
      <c r="H275" s="107">
        <v>221.13666666666666</v>
      </c>
      <c r="I275" s="107">
        <v>573.91954166666665</v>
      </c>
      <c r="J275" s="107">
        <v>1299.2283333333332</v>
      </c>
      <c r="K275" s="107">
        <v>1627.3737499999943</v>
      </c>
      <c r="L275" s="107">
        <v>2322.2879166666617</v>
      </c>
      <c r="M275" s="107">
        <v>1214.440416666667</v>
      </c>
      <c r="N275" s="108">
        <f t="shared" si="26"/>
        <v>9309.6128749999898</v>
      </c>
      <c r="O275" s="1">
        <v>1500</v>
      </c>
      <c r="P275" s="107">
        <v>864.15000000000009</v>
      </c>
      <c r="Q275" s="107">
        <v>978.0575</v>
      </c>
      <c r="R275" s="107">
        <v>3626.1499999999996</v>
      </c>
      <c r="S275" s="107">
        <v>1755</v>
      </c>
      <c r="T275" s="107">
        <v>0</v>
      </c>
      <c r="U275" s="107">
        <v>5864.3850833333336</v>
      </c>
      <c r="V275" s="107">
        <v>0</v>
      </c>
      <c r="W275" s="109">
        <f t="shared" si="29"/>
        <v>14587.742583333333</v>
      </c>
      <c r="X275" s="118"/>
    </row>
    <row r="276" spans="1:24" x14ac:dyDescent="0.25">
      <c r="A276" s="1">
        <v>2026</v>
      </c>
      <c r="B276" s="52">
        <v>46174</v>
      </c>
      <c r="C276" s="1">
        <v>30</v>
      </c>
      <c r="D276" s="1" t="str">
        <f>+Precios!C276</f>
        <v>dom</v>
      </c>
      <c r="E276" s="5">
        <f>+Precios!D276</f>
        <v>46187</v>
      </c>
      <c r="F276" s="107">
        <v>1394.1779166666663</v>
      </c>
      <c r="G276" s="107">
        <v>241.17</v>
      </c>
      <c r="H276" s="107">
        <v>233.47166666666647</v>
      </c>
      <c r="I276" s="107">
        <v>596.48085416666663</v>
      </c>
      <c r="J276" s="107">
        <v>1303.0879166666671</v>
      </c>
      <c r="K276" s="107">
        <v>1792.7433333333274</v>
      </c>
      <c r="L276" s="107">
        <v>2244.0937499999945</v>
      </c>
      <c r="M276" s="107">
        <v>1260.7574999999999</v>
      </c>
      <c r="N276" s="108">
        <f t="shared" si="26"/>
        <v>9065.9829374999881</v>
      </c>
      <c r="O276" s="1">
        <v>1500</v>
      </c>
      <c r="P276" s="107">
        <v>864.15000000000009</v>
      </c>
      <c r="Q276" s="107">
        <v>940.66656250000005</v>
      </c>
      <c r="R276" s="107">
        <v>3626.1499999999996</v>
      </c>
      <c r="S276" s="107">
        <v>1755</v>
      </c>
      <c r="T276" s="107">
        <v>0</v>
      </c>
      <c r="U276" s="107">
        <v>5840.3218750000005</v>
      </c>
      <c r="V276" s="107">
        <v>0</v>
      </c>
      <c r="W276" s="109">
        <f t="shared" si="29"/>
        <v>14526.288437499999</v>
      </c>
      <c r="X276" s="118"/>
    </row>
    <row r="277" spans="1:24" x14ac:dyDescent="0.25">
      <c r="A277" s="1">
        <v>2026</v>
      </c>
      <c r="B277" s="52">
        <v>46174</v>
      </c>
      <c r="C277" s="1">
        <v>30</v>
      </c>
      <c r="D277" s="1" t="str">
        <f>+Precios!C277</f>
        <v>lun</v>
      </c>
      <c r="E277" s="5">
        <f>+Precios!D277</f>
        <v>46188</v>
      </c>
      <c r="F277" s="107">
        <v>1452.7458333333334</v>
      </c>
      <c r="G277" s="107">
        <v>358.60916666666668</v>
      </c>
      <c r="H277" s="107">
        <v>244.86333333333326</v>
      </c>
      <c r="I277" s="107">
        <v>768.90229166666654</v>
      </c>
      <c r="J277" s="107">
        <v>1302.4275</v>
      </c>
      <c r="K277" s="107">
        <v>1973.0683333333263</v>
      </c>
      <c r="L277" s="107">
        <v>2483.4945833333295</v>
      </c>
      <c r="M277" s="107">
        <v>1026.1308333333332</v>
      </c>
      <c r="N277" s="108">
        <f t="shared" si="26"/>
        <v>9610.2418749999888</v>
      </c>
      <c r="O277" s="1">
        <v>1500</v>
      </c>
      <c r="P277" s="107">
        <v>864.89375000000007</v>
      </c>
      <c r="Q277" s="107">
        <v>975.21375</v>
      </c>
      <c r="R277" s="107">
        <v>3613.3816041666664</v>
      </c>
      <c r="S277" s="107">
        <v>1755</v>
      </c>
      <c r="T277" s="107">
        <v>0</v>
      </c>
      <c r="U277" s="107">
        <v>5847.8309999999992</v>
      </c>
      <c r="V277" s="107">
        <v>0</v>
      </c>
      <c r="W277" s="109">
        <f t="shared" si="29"/>
        <v>14556.320104166665</v>
      </c>
      <c r="X277" s="118"/>
    </row>
    <row r="278" spans="1:24" x14ac:dyDescent="0.25">
      <c r="A278" s="1">
        <v>2026</v>
      </c>
      <c r="B278" s="52">
        <v>46174</v>
      </c>
      <c r="C278" s="1">
        <v>30</v>
      </c>
      <c r="D278" s="1" t="str">
        <f>+Precios!C278</f>
        <v>mar</v>
      </c>
      <c r="E278" s="5">
        <f>+Precios!D278</f>
        <v>46189</v>
      </c>
      <c r="F278" s="107">
        <v>1714.2237499999999</v>
      </c>
      <c r="G278" s="107">
        <v>247.22916666666666</v>
      </c>
      <c r="H278" s="107">
        <v>245.91708333333318</v>
      </c>
      <c r="I278" s="107">
        <v>800.34293749999995</v>
      </c>
      <c r="J278" s="107">
        <v>1303.3704166666669</v>
      </c>
      <c r="K278" s="107">
        <v>1748.1420833333295</v>
      </c>
      <c r="L278" s="107">
        <v>2444.9958333333325</v>
      </c>
      <c r="M278" s="107">
        <v>1142.2099999999998</v>
      </c>
      <c r="N278" s="108">
        <f t="shared" si="26"/>
        <v>9646.4312708333273</v>
      </c>
      <c r="O278" s="1">
        <v>1500</v>
      </c>
      <c r="P278" s="107">
        <v>877.80000000000007</v>
      </c>
      <c r="Q278" s="107">
        <v>975.69500000000005</v>
      </c>
      <c r="R278" s="107">
        <v>3550.4140208333329</v>
      </c>
      <c r="S278" s="107">
        <v>1755</v>
      </c>
      <c r="T278" s="107">
        <v>0</v>
      </c>
      <c r="U278" s="107">
        <v>5812.9757083333343</v>
      </c>
      <c r="V278" s="107">
        <v>0</v>
      </c>
      <c r="W278" s="109">
        <f t="shared" si="29"/>
        <v>14471.884729166668</v>
      </c>
      <c r="X278" s="118"/>
    </row>
    <row r="279" spans="1:24" x14ac:dyDescent="0.25">
      <c r="A279" s="1">
        <v>2026</v>
      </c>
      <c r="B279" s="52">
        <v>46174</v>
      </c>
      <c r="C279" s="1">
        <v>30</v>
      </c>
      <c r="D279" s="1" t="str">
        <f>+Precios!C279</f>
        <v>mié</v>
      </c>
      <c r="E279" s="5">
        <f>+Precios!D279</f>
        <v>46190</v>
      </c>
      <c r="F279" s="107">
        <v>1969.7779166666667</v>
      </c>
      <c r="G279" s="107">
        <v>452.87458333333331</v>
      </c>
      <c r="H279" s="107">
        <v>255.89041666666651</v>
      </c>
      <c r="I279" s="107">
        <v>874.09420833333331</v>
      </c>
      <c r="J279" s="107">
        <v>1301.2841666666664</v>
      </c>
      <c r="K279" s="107">
        <v>1519.8333333333348</v>
      </c>
      <c r="L279" s="107">
        <v>2656.9474999999943</v>
      </c>
      <c r="M279" s="107">
        <v>1054.7908333333335</v>
      </c>
      <c r="N279" s="108">
        <f t="shared" si="26"/>
        <v>10085.492958333329</v>
      </c>
      <c r="O279" s="1">
        <v>1500</v>
      </c>
      <c r="P279" s="107">
        <v>868.65625</v>
      </c>
      <c r="Q279" s="107">
        <v>978.53874999999994</v>
      </c>
      <c r="R279" s="107">
        <v>3393.6640208333329</v>
      </c>
      <c r="S279" s="107">
        <v>1755</v>
      </c>
      <c r="T279" s="107">
        <v>0</v>
      </c>
      <c r="U279" s="107">
        <v>5761.2221666666683</v>
      </c>
      <c r="V279" s="107">
        <v>0</v>
      </c>
      <c r="W279" s="109">
        <f t="shared" si="29"/>
        <v>14257.081187500002</v>
      </c>
      <c r="X279" s="118"/>
    </row>
    <row r="280" spans="1:24" x14ac:dyDescent="0.25">
      <c r="A280" s="1">
        <v>2026</v>
      </c>
      <c r="B280" s="52">
        <v>46174</v>
      </c>
      <c r="C280" s="1">
        <v>30</v>
      </c>
      <c r="D280" s="1" t="str">
        <f>+Precios!C280</f>
        <v>jue</v>
      </c>
      <c r="E280" s="5">
        <f>+Precios!D280</f>
        <v>46191</v>
      </c>
      <c r="F280" s="107">
        <v>1940.6075000000003</v>
      </c>
      <c r="G280" s="107">
        <v>428.97458333333333</v>
      </c>
      <c r="H280" s="107">
        <v>318.7304166666666</v>
      </c>
      <c r="I280" s="107">
        <v>1083.4718333333333</v>
      </c>
      <c r="J280" s="107">
        <v>1303.7879166666667</v>
      </c>
      <c r="K280" s="107">
        <v>1903.1625000000029</v>
      </c>
      <c r="L280" s="107">
        <v>2648.5083333333246</v>
      </c>
      <c r="M280" s="107">
        <v>1102.6975</v>
      </c>
      <c r="N280" s="108">
        <f t="shared" si="26"/>
        <v>10729.940583333329</v>
      </c>
      <c r="O280" s="1">
        <v>1500</v>
      </c>
      <c r="P280" s="107">
        <v>881.61062500000003</v>
      </c>
      <c r="Q280" s="107">
        <v>975.38874999999996</v>
      </c>
      <c r="R280" s="107">
        <v>3626.1499999999996</v>
      </c>
      <c r="S280" s="107">
        <v>1755</v>
      </c>
      <c r="T280" s="107">
        <v>0</v>
      </c>
      <c r="U280" s="107">
        <v>5746.609583333332</v>
      </c>
      <c r="V280" s="107">
        <v>0</v>
      </c>
      <c r="W280" s="109">
        <f t="shared" si="29"/>
        <v>14484.758958333332</v>
      </c>
      <c r="X280" s="118"/>
    </row>
    <row r="281" spans="1:24" x14ac:dyDescent="0.25">
      <c r="A281" s="1">
        <v>2026</v>
      </c>
      <c r="B281" s="52">
        <v>46174</v>
      </c>
      <c r="C281" s="1">
        <v>30</v>
      </c>
      <c r="D281" s="1" t="str">
        <f>+Precios!C281</f>
        <v>vie</v>
      </c>
      <c r="E281" s="5">
        <f>+Precios!D281</f>
        <v>46192</v>
      </c>
      <c r="F281" s="107">
        <v>1876.707916666667</v>
      </c>
      <c r="G281" s="107">
        <v>522.81375000000003</v>
      </c>
      <c r="H281" s="107">
        <v>346.94208333333364</v>
      </c>
      <c r="I281" s="107">
        <v>1260.8823541666666</v>
      </c>
      <c r="J281" s="107">
        <v>1308.9766666666665</v>
      </c>
      <c r="K281" s="107">
        <v>1455.5670833333368</v>
      </c>
      <c r="L281" s="107">
        <v>2534.6324999999852</v>
      </c>
      <c r="M281" s="107">
        <v>1172.9004166666664</v>
      </c>
      <c r="N281" s="108">
        <f t="shared" si="26"/>
        <v>10479.422770833324</v>
      </c>
      <c r="O281" s="1">
        <v>1500</v>
      </c>
      <c r="P281" s="107">
        <v>886.72500000000002</v>
      </c>
      <c r="Q281" s="107">
        <v>974.42624999999998</v>
      </c>
      <c r="R281" s="107">
        <v>3626.1499999999996</v>
      </c>
      <c r="S281" s="107">
        <v>1755</v>
      </c>
      <c r="T281" s="107">
        <v>0</v>
      </c>
      <c r="U281" s="107">
        <v>5780.0209166666673</v>
      </c>
      <c r="V281" s="107">
        <v>0</v>
      </c>
      <c r="W281" s="109">
        <f t="shared" si="29"/>
        <v>14522.322166666669</v>
      </c>
      <c r="X281" s="118"/>
    </row>
    <row r="282" spans="1:24" x14ac:dyDescent="0.25">
      <c r="A282" s="1">
        <v>2026</v>
      </c>
      <c r="B282" s="52">
        <v>46174</v>
      </c>
      <c r="C282" s="1">
        <v>30</v>
      </c>
      <c r="D282" s="1" t="str">
        <f>+Precios!C282</f>
        <v>sáb</v>
      </c>
      <c r="E282" s="5">
        <f>+Precios!D282</f>
        <v>46193</v>
      </c>
      <c r="F282" s="107">
        <v>1502.4487500000002</v>
      </c>
      <c r="G282" s="107">
        <v>168.91708333333335</v>
      </c>
      <c r="H282" s="107">
        <v>220.3729166666667</v>
      </c>
      <c r="I282" s="107">
        <v>355.36689583333333</v>
      </c>
      <c r="J282" s="107">
        <v>1306.8766666666668</v>
      </c>
      <c r="K282" s="107">
        <v>2187.9533333333347</v>
      </c>
      <c r="L282" s="107">
        <v>2018.6458333333355</v>
      </c>
      <c r="M282" s="107">
        <v>1146.2029166666666</v>
      </c>
      <c r="N282" s="108">
        <f t="shared" si="26"/>
        <v>8906.7843958333378</v>
      </c>
      <c r="O282" s="1">
        <v>1500</v>
      </c>
      <c r="P282" s="107">
        <v>891.45</v>
      </c>
      <c r="Q282" s="107">
        <v>975.65125</v>
      </c>
      <c r="R282" s="107">
        <v>3626.1499999999996</v>
      </c>
      <c r="S282" s="107">
        <v>1755</v>
      </c>
      <c r="T282" s="107">
        <v>0</v>
      </c>
      <c r="U282" s="107">
        <v>5631.3935000000001</v>
      </c>
      <c r="V282" s="107">
        <v>0</v>
      </c>
      <c r="W282" s="109">
        <f t="shared" si="29"/>
        <v>14379.644749999999</v>
      </c>
      <c r="X282" s="118"/>
    </row>
    <row r="283" spans="1:24" x14ac:dyDescent="0.25">
      <c r="A283" s="1">
        <v>2026</v>
      </c>
      <c r="B283" s="52">
        <v>46174</v>
      </c>
      <c r="C283" s="1">
        <v>30</v>
      </c>
      <c r="D283" s="1" t="str">
        <f>+Precios!C283</f>
        <v>dom</v>
      </c>
      <c r="E283" s="5">
        <f>+Precios!D283</f>
        <v>46194</v>
      </c>
      <c r="F283" s="107">
        <v>1486.4395833333335</v>
      </c>
      <c r="G283" s="107">
        <v>201.61249999999998</v>
      </c>
      <c r="H283" s="107">
        <v>194.68916666666658</v>
      </c>
      <c r="I283" s="107">
        <v>358.93216666666666</v>
      </c>
      <c r="J283" s="107">
        <v>1310</v>
      </c>
      <c r="K283" s="107">
        <v>1996.9058333333312</v>
      </c>
      <c r="L283" s="107">
        <v>1957.253749999996</v>
      </c>
      <c r="M283" s="107">
        <v>1169.5900000000004</v>
      </c>
      <c r="N283" s="108">
        <f t="shared" si="26"/>
        <v>8675.4229999999952</v>
      </c>
      <c r="O283" s="1">
        <v>1500</v>
      </c>
      <c r="P283" s="107">
        <v>886.72500000000002</v>
      </c>
      <c r="Q283" s="107">
        <v>976.6137500000001</v>
      </c>
      <c r="R283" s="107">
        <v>3626.1499999999996</v>
      </c>
      <c r="S283" s="107">
        <v>1755</v>
      </c>
      <c r="T283" s="107">
        <v>0</v>
      </c>
      <c r="U283" s="107">
        <v>5666.7577500000016</v>
      </c>
      <c r="V283" s="107">
        <v>0</v>
      </c>
      <c r="W283" s="109">
        <f t="shared" si="29"/>
        <v>14411.246500000001</v>
      </c>
      <c r="X283" s="118"/>
    </row>
    <row r="284" spans="1:24" x14ac:dyDescent="0.25">
      <c r="A284" s="1">
        <v>2026</v>
      </c>
      <c r="B284" s="52">
        <v>46174</v>
      </c>
      <c r="C284" s="1">
        <v>30</v>
      </c>
      <c r="D284" s="1" t="str">
        <f>+Precios!C284</f>
        <v>lun</v>
      </c>
      <c r="E284" s="5">
        <f>+Precios!D284</f>
        <v>46195</v>
      </c>
      <c r="F284" s="107">
        <v>1558.9966666666669</v>
      </c>
      <c r="G284" s="107">
        <v>396.68499999999995</v>
      </c>
      <c r="H284" s="107">
        <v>307.73666666666685</v>
      </c>
      <c r="I284" s="107">
        <v>1114.038875</v>
      </c>
      <c r="J284" s="107">
        <v>1307.7274999999997</v>
      </c>
      <c r="K284" s="107">
        <v>1528.6670833333326</v>
      </c>
      <c r="L284" s="107">
        <v>2663.2008333333315</v>
      </c>
      <c r="M284" s="107">
        <v>1146.2958333333336</v>
      </c>
      <c r="N284" s="108">
        <f t="shared" si="26"/>
        <v>10023.34845833333</v>
      </c>
      <c r="O284" s="1">
        <v>1500</v>
      </c>
      <c r="P284" s="107">
        <v>886.72500000000002</v>
      </c>
      <c r="Q284" s="107">
        <v>978.67</v>
      </c>
      <c r="R284" s="107">
        <v>3626.1499999999996</v>
      </c>
      <c r="S284" s="107">
        <v>1755</v>
      </c>
      <c r="T284" s="107">
        <v>0</v>
      </c>
      <c r="U284" s="107">
        <v>5796.0624166666666</v>
      </c>
      <c r="V284" s="107">
        <v>0</v>
      </c>
      <c r="W284" s="109">
        <f t="shared" si="29"/>
        <v>14542.607416666666</v>
      </c>
      <c r="X284" s="118"/>
    </row>
    <row r="285" spans="1:24" x14ac:dyDescent="0.25">
      <c r="A285" s="1"/>
      <c r="B285" s="1"/>
      <c r="C285" s="1"/>
      <c r="E285" s="5"/>
      <c r="F285" s="107"/>
      <c r="G285" s="107"/>
      <c r="H285" s="107"/>
      <c r="I285" s="107"/>
      <c r="J285" s="107"/>
      <c r="K285" s="107"/>
      <c r="L285" s="107"/>
      <c r="M285" s="107"/>
      <c r="P285" s="107"/>
      <c r="Q285" s="107"/>
      <c r="R285" s="107"/>
      <c r="S285" s="107"/>
      <c r="T285" s="107"/>
      <c r="U285" s="107"/>
      <c r="V285" s="107"/>
    </row>
    <row r="289" spans="1:1" x14ac:dyDescent="0.25">
      <c r="A289" s="75" t="s">
        <v>5</v>
      </c>
    </row>
  </sheetData>
  <autoFilter ref="A19:W284" xr:uid="{60FC9B9E-7290-4019-A18C-135B6D155DEE}">
    <filterColumn colId="1">
      <filters blank="1">
        <dateGroupItem year="2026" month="5" dateTimeGrouping="month"/>
      </filters>
    </filterColumn>
  </autoFilter>
  <phoneticPr fontId="2" type="noConversion"/>
  <pageMargins left="0.7" right="0.7" top="0.75" bottom="0.75" header="0.3" footer="0.3"/>
  <ignoredErrors>
    <ignoredError sqref="S16:W16 N5 W112:W117 O16:Q16 N17 W202 N19:N230 N232:N233 N7 N234:N250" formulaRange="1"/>
    <ignoredError sqref="N8:N1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498D4-0BD4-478A-90F6-ACC112F10BC4}">
  <sheetPr filterMode="1"/>
  <dimension ref="A1:AQ287"/>
  <sheetViews>
    <sheetView zoomScaleNormal="100" workbookViewId="0"/>
  </sheetViews>
  <sheetFormatPr baseColWidth="10" defaultColWidth="11" defaultRowHeight="15" x14ac:dyDescent="0.25"/>
  <cols>
    <col min="1" max="1" width="11" bestFit="1" customWidth="1"/>
    <col min="2" max="2" width="10.109375" bestFit="1" customWidth="1"/>
    <col min="3" max="3" width="5.109375" customWidth="1"/>
    <col min="4" max="4" width="7.88671875" bestFit="1" customWidth="1"/>
    <col min="5" max="5" width="35.77734375" bestFit="1" customWidth="1"/>
    <col min="6" max="6" width="11.44140625" style="1" bestFit="1" customWidth="1"/>
    <col min="7" max="7" width="19.21875" style="1" customWidth="1"/>
    <col min="8" max="8" width="19.21875" customWidth="1"/>
    <col min="9" max="9" width="14.21875" customWidth="1"/>
    <col min="10" max="10" width="20.109375" customWidth="1"/>
    <col min="11" max="11" width="21.44140625" customWidth="1"/>
    <col min="12" max="12" width="12.6640625" customWidth="1"/>
    <col min="14" max="14" width="20.77734375" customWidth="1"/>
    <col min="16" max="16" width="13.109375" customWidth="1"/>
    <col min="17" max="18" width="11.6640625" customWidth="1"/>
    <col min="19" max="20" width="21.5546875" customWidth="1"/>
    <col min="21" max="21" width="12.109375" customWidth="1"/>
    <col min="22" max="22" width="11.6640625" customWidth="1"/>
    <col min="23" max="23" width="12.109375" customWidth="1"/>
    <col min="24" max="24" width="11.6640625" customWidth="1"/>
    <col min="25" max="25" width="13.44140625" bestFit="1" customWidth="1"/>
    <col min="26" max="26" width="13.109375" customWidth="1"/>
    <col min="35" max="36" width="14.21875" customWidth="1"/>
    <col min="39" max="39" width="12.44140625" customWidth="1"/>
    <col min="41" max="41" width="24.6640625" bestFit="1" customWidth="1"/>
    <col min="43" max="43" width="26.44140625" bestFit="1" customWidth="1"/>
  </cols>
  <sheetData>
    <row r="1" spans="2:39" ht="32.25" x14ac:dyDescent="0.55000000000000004">
      <c r="B1" s="131" t="s">
        <v>141</v>
      </c>
      <c r="H1" s="27" t="s">
        <v>71</v>
      </c>
      <c r="Q1" s="27" t="s">
        <v>72</v>
      </c>
      <c r="Z1" s="27" t="s">
        <v>73</v>
      </c>
    </row>
    <row r="2" spans="2:39" ht="32.25" x14ac:dyDescent="0.55000000000000004">
      <c r="B2" s="61" t="s">
        <v>70</v>
      </c>
      <c r="H2" s="27"/>
      <c r="Q2" s="27"/>
      <c r="Z2" s="27"/>
    </row>
    <row r="3" spans="2:39" ht="32.25" x14ac:dyDescent="0.55000000000000004">
      <c r="B3" s="61" t="s">
        <v>145</v>
      </c>
      <c r="H3" s="27"/>
      <c r="Q3" s="27"/>
      <c r="Z3" s="27"/>
    </row>
    <row r="4" spans="2:39" x14ac:dyDescent="0.25">
      <c r="F4" s="13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54"/>
      <c r="AA4" s="54"/>
      <c r="AB4" s="54"/>
      <c r="AC4" s="54"/>
    </row>
    <row r="5" spans="2:39" x14ac:dyDescent="0.25">
      <c r="H5" s="6" t="s">
        <v>74</v>
      </c>
      <c r="I5" s="6" t="s">
        <v>74</v>
      </c>
      <c r="J5" s="6" t="s">
        <v>74</v>
      </c>
      <c r="K5" s="6" t="s">
        <v>74</v>
      </c>
      <c r="L5" s="6" t="s">
        <v>74</v>
      </c>
      <c r="M5" s="6" t="s">
        <v>74</v>
      </c>
      <c r="N5" s="6" t="s">
        <v>74</v>
      </c>
      <c r="O5" s="6" t="s">
        <v>74</v>
      </c>
      <c r="P5" s="6" t="s">
        <v>74</v>
      </c>
      <c r="Q5" s="16" t="s">
        <v>75</v>
      </c>
      <c r="R5" s="16" t="s">
        <v>75</v>
      </c>
      <c r="S5" s="16" t="s">
        <v>75</v>
      </c>
      <c r="T5" s="16" t="s">
        <v>75</v>
      </c>
      <c r="U5" s="16" t="s">
        <v>75</v>
      </c>
      <c r="V5" s="16" t="s">
        <v>75</v>
      </c>
      <c r="W5" s="16" t="s">
        <v>75</v>
      </c>
      <c r="X5" s="16" t="s">
        <v>75</v>
      </c>
      <c r="Y5" s="16" t="s">
        <v>75</v>
      </c>
      <c r="Z5" s="21" t="s">
        <v>76</v>
      </c>
      <c r="AA5" s="23" t="s">
        <v>76</v>
      </c>
      <c r="AB5" s="23" t="s">
        <v>76</v>
      </c>
      <c r="AC5" s="33" t="s">
        <v>76</v>
      </c>
    </row>
    <row r="6" spans="2:39" x14ac:dyDescent="0.25">
      <c r="E6" t="s">
        <v>32</v>
      </c>
      <c r="F6"/>
      <c r="H6" s="7" t="s">
        <v>16</v>
      </c>
      <c r="I6" s="7" t="s">
        <v>16</v>
      </c>
      <c r="J6" s="7" t="s">
        <v>16</v>
      </c>
      <c r="K6" s="7" t="s">
        <v>16</v>
      </c>
      <c r="L6" s="7" t="s">
        <v>16</v>
      </c>
      <c r="M6" s="7" t="s">
        <v>16</v>
      </c>
      <c r="N6" s="7" t="s">
        <v>16</v>
      </c>
      <c r="O6" s="7" t="s">
        <v>16</v>
      </c>
      <c r="P6" s="7" t="s">
        <v>77</v>
      </c>
      <c r="Q6" s="15" t="s">
        <v>78</v>
      </c>
      <c r="R6" s="15" t="s">
        <v>78</v>
      </c>
      <c r="S6" s="15" t="s">
        <v>78</v>
      </c>
      <c r="T6" s="15" t="s">
        <v>78</v>
      </c>
      <c r="U6" s="15" t="s">
        <v>78</v>
      </c>
      <c r="V6" s="15" t="s">
        <v>78</v>
      </c>
      <c r="W6" s="15" t="s">
        <v>78</v>
      </c>
      <c r="X6" s="15" t="s">
        <v>78</v>
      </c>
      <c r="Y6" s="15" t="str">
        <f>+P6</f>
        <v>usd/dia</v>
      </c>
      <c r="Z6" s="22" t="str">
        <f>+Y6</f>
        <v>usd/dia</v>
      </c>
      <c r="AA6" s="24" t="s">
        <v>79</v>
      </c>
      <c r="AB6" s="24" t="s">
        <v>79</v>
      </c>
      <c r="AC6" s="34" t="s">
        <v>79</v>
      </c>
    </row>
    <row r="7" spans="2:39" x14ac:dyDescent="0.25">
      <c r="F7"/>
      <c r="G7" s="1" t="s">
        <v>33</v>
      </c>
      <c r="H7" s="6" t="s">
        <v>61</v>
      </c>
      <c r="I7" s="6" t="s">
        <v>62</v>
      </c>
      <c r="J7" s="6" t="s">
        <v>121</v>
      </c>
      <c r="K7" s="6" t="s">
        <v>122</v>
      </c>
      <c r="L7" s="6" t="s">
        <v>64</v>
      </c>
      <c r="M7" s="6" t="s">
        <v>65</v>
      </c>
      <c r="N7" s="6" t="s">
        <v>66</v>
      </c>
      <c r="O7" s="6" t="s">
        <v>67</v>
      </c>
      <c r="P7" s="6" t="s">
        <v>80</v>
      </c>
      <c r="Q7" s="16" t="s">
        <v>61</v>
      </c>
      <c r="R7" s="16" t="s">
        <v>62</v>
      </c>
      <c r="S7" s="16" t="s">
        <v>121</v>
      </c>
      <c r="T7" s="16" t="s">
        <v>122</v>
      </c>
      <c r="U7" s="16" t="s">
        <v>64</v>
      </c>
      <c r="V7" s="16" t="s">
        <v>65</v>
      </c>
      <c r="W7" s="16" t="s">
        <v>66</v>
      </c>
      <c r="X7" s="16" t="s">
        <v>67</v>
      </c>
      <c r="Y7" s="16" t="s">
        <v>81</v>
      </c>
      <c r="Z7" s="21" t="s">
        <v>82</v>
      </c>
      <c r="AA7" s="23" t="s">
        <v>83</v>
      </c>
      <c r="AB7" s="23" t="s">
        <v>84</v>
      </c>
      <c r="AC7" s="33" t="s">
        <v>85</v>
      </c>
      <c r="AL7" s="76"/>
      <c r="AM7" s="76"/>
    </row>
    <row r="8" spans="2:39" x14ac:dyDescent="0.25">
      <c r="E8" s="132"/>
      <c r="F8" s="114"/>
      <c r="G8" s="52">
        <f>+'Fisico ASIG'!E8</f>
        <v>45962</v>
      </c>
      <c r="H8" s="17">
        <f t="shared" ref="H8:J15" si="0">AVERAGEIFS(H$20:H$1048576,$D$20:$D$1048576,$G8)</f>
        <v>28</v>
      </c>
      <c r="I8" s="17">
        <f t="shared" si="0"/>
        <v>4.7975185249009114</v>
      </c>
      <c r="J8" s="17">
        <f t="shared" si="0"/>
        <v>5.8161640530759948</v>
      </c>
      <c r="K8" s="17"/>
      <c r="L8" s="17">
        <f t="shared" ref="L8:S15" si="1">AVERAGEIFS(L$20:L$1048576,$D$20:$D$1048576,$G8)</f>
        <v>27</v>
      </c>
      <c r="M8" s="17">
        <f t="shared" si="1"/>
        <v>71.5</v>
      </c>
      <c r="N8" s="17">
        <f t="shared" si="1"/>
        <v>38.068551621277898</v>
      </c>
      <c r="O8" s="17">
        <f t="shared" si="1"/>
        <v>92.860414595581247</v>
      </c>
      <c r="P8" s="17">
        <f t="shared" si="1"/>
        <v>7220427.893796782</v>
      </c>
      <c r="Q8" s="17">
        <f t="shared" si="1"/>
        <v>0</v>
      </c>
      <c r="R8" s="17">
        <f t="shared" si="1"/>
        <v>5497.7825262795095</v>
      </c>
      <c r="S8" s="17">
        <f t="shared" si="1"/>
        <v>1540.5824573496477</v>
      </c>
      <c r="T8" s="17"/>
      <c r="U8" s="17">
        <f t="shared" ref="U8:Y15" si="2">AVERAGEIFS(U$20:U$1048576,$D$20:$D$1048576,$G8)</f>
        <v>18000</v>
      </c>
      <c r="V8" s="17">
        <f t="shared" si="2"/>
        <v>0</v>
      </c>
      <c r="W8" s="17">
        <f t="shared" si="2"/>
        <v>21900</v>
      </c>
      <c r="X8" s="17">
        <f t="shared" si="2"/>
        <v>0</v>
      </c>
      <c r="Y8" s="17">
        <f t="shared" si="2"/>
        <v>5334795.8029966056</v>
      </c>
      <c r="Z8" s="25">
        <f t="shared" ref="Z8:Z11" si="3">+(P8+Y8)</f>
        <v>12555223.696793389</v>
      </c>
      <c r="AA8" s="26">
        <f>+Z8/'Fisico ASIG'!N8/24</f>
        <v>61.7601722859931</v>
      </c>
      <c r="AB8" s="26">
        <f>+$AB$16*Precios!R7*Precios!P7/Precios!W7/Precios!Q7</f>
        <v>13.384615384615378</v>
      </c>
      <c r="AC8" s="29">
        <f t="shared" ref="AC8:AC11" si="4">+AA8-AB8</f>
        <v>48.37555690137772</v>
      </c>
      <c r="AL8" s="76"/>
      <c r="AM8" s="76"/>
    </row>
    <row r="9" spans="2:39" x14ac:dyDescent="0.25">
      <c r="E9" s="132"/>
      <c r="F9" s="114"/>
      <c r="G9" s="52">
        <f>+'Fisico ASIG'!E9</f>
        <v>45992</v>
      </c>
      <c r="H9" s="17">
        <f t="shared" si="0"/>
        <v>28</v>
      </c>
      <c r="I9" s="17">
        <f t="shared" si="0"/>
        <v>4.8642721437955299</v>
      </c>
      <c r="J9" s="17">
        <f t="shared" si="0"/>
        <v>5.7816249464597727</v>
      </c>
      <c r="K9" s="17"/>
      <c r="L9" s="17">
        <f t="shared" si="1"/>
        <v>27</v>
      </c>
      <c r="M9" s="17">
        <f t="shared" si="1"/>
        <v>71.5</v>
      </c>
      <c r="N9" s="17">
        <f t="shared" si="1"/>
        <v>40.465909529091178</v>
      </c>
      <c r="O9" s="17">
        <f t="shared" si="1"/>
        <v>104.20101377543085</v>
      </c>
      <c r="P9" s="17">
        <f t="shared" si="1"/>
        <v>8384683.9475631155</v>
      </c>
      <c r="Q9" s="17">
        <f t="shared" si="1"/>
        <v>0</v>
      </c>
      <c r="R9" s="17">
        <f t="shared" si="1"/>
        <v>5574.437294023016</v>
      </c>
      <c r="S9" s="17">
        <f t="shared" si="1"/>
        <v>1706.161098471739</v>
      </c>
      <c r="T9" s="17"/>
      <c r="U9" s="17">
        <f t="shared" si="2"/>
        <v>18000</v>
      </c>
      <c r="V9" s="17">
        <f t="shared" si="2"/>
        <v>0</v>
      </c>
      <c r="W9" s="17">
        <f t="shared" si="2"/>
        <v>21900</v>
      </c>
      <c r="X9" s="17">
        <f t="shared" si="2"/>
        <v>0</v>
      </c>
      <c r="Y9" s="17">
        <f t="shared" si="2"/>
        <v>5515635.9242518889</v>
      </c>
      <c r="Z9" s="25">
        <f t="shared" si="3"/>
        <v>13900319.871815003</v>
      </c>
      <c r="AA9" s="26">
        <f>+Z9/'Fisico ASIG'!N9/24</f>
        <v>63.496390217837053</v>
      </c>
      <c r="AB9" s="26">
        <f>+$AB$16*Precios!R8*Precios!P8/Precios!W8/Precios!Q8</f>
        <v>17.468982630272961</v>
      </c>
      <c r="AC9" s="29">
        <f t="shared" si="4"/>
        <v>46.027407587564092</v>
      </c>
      <c r="AL9" s="76"/>
      <c r="AM9" s="76"/>
    </row>
    <row r="10" spans="2:39" x14ac:dyDescent="0.25">
      <c r="E10" s="132"/>
      <c r="F10" s="114"/>
      <c r="G10" s="52">
        <f>+'Fisico ASIG'!E10</f>
        <v>46023</v>
      </c>
      <c r="H10" s="17">
        <f t="shared" si="0"/>
        <v>28</v>
      </c>
      <c r="I10" s="17">
        <f t="shared" si="0"/>
        <v>5.001845384607785</v>
      </c>
      <c r="J10" s="17">
        <f t="shared" si="0"/>
        <v>6.5099398753915807</v>
      </c>
      <c r="K10" s="17">
        <f t="shared" ref="K10:K15" si="5">AVERAGEIFS(K$20:K$1048576,$D$20:$D$1048576,$G10)</f>
        <v>7.587500000000003</v>
      </c>
      <c r="L10" s="17">
        <f t="shared" si="1"/>
        <v>27</v>
      </c>
      <c r="M10" s="17">
        <f t="shared" si="1"/>
        <v>71.5</v>
      </c>
      <c r="N10" s="17">
        <f t="shared" si="1"/>
        <v>42.131389670233744</v>
      </c>
      <c r="O10" s="17">
        <f t="shared" si="1"/>
        <v>80.830081747156854</v>
      </c>
      <c r="P10" s="17">
        <f t="shared" si="1"/>
        <v>8406034.3167405874</v>
      </c>
      <c r="Q10" s="17">
        <f t="shared" si="1"/>
        <v>0</v>
      </c>
      <c r="R10" s="17">
        <f t="shared" si="1"/>
        <v>5732.0798303088895</v>
      </c>
      <c r="S10" s="17">
        <f t="shared" si="1"/>
        <v>2559.4039358137588</v>
      </c>
      <c r="T10" s="17">
        <f t="shared" ref="T10:T15" si="6">AVERAGEIFS(T$20:T$1048576,$D$20:$D$1048576,$G10)</f>
        <v>1795.6376259798424</v>
      </c>
      <c r="U10" s="17">
        <f t="shared" si="2"/>
        <v>18000</v>
      </c>
      <c r="V10" s="17">
        <f t="shared" si="2"/>
        <v>0</v>
      </c>
      <c r="W10" s="17">
        <f t="shared" si="2"/>
        <v>21900</v>
      </c>
      <c r="X10" s="17">
        <f t="shared" si="2"/>
        <v>0</v>
      </c>
      <c r="Y10" s="17">
        <f t="shared" si="2"/>
        <v>5622846.9386343891</v>
      </c>
      <c r="Z10" s="25">
        <f t="shared" si="3"/>
        <v>14028881.255374976</v>
      </c>
      <c r="AA10" s="26">
        <f>+Z10/'Fisico ASIG'!N10/24</f>
        <v>64.53157707749719</v>
      </c>
      <c r="AB10" s="26">
        <f>+$AB$16*Precios!R9*Precios!P9/Precios!W9/Precios!Q9</f>
        <v>17.559966914805631</v>
      </c>
      <c r="AC10" s="29">
        <f t="shared" si="4"/>
        <v>46.971610162691562</v>
      </c>
      <c r="AL10" s="76"/>
      <c r="AM10" s="76"/>
    </row>
    <row r="11" spans="2:39" x14ac:dyDescent="0.25">
      <c r="E11" s="132"/>
      <c r="F11" s="114"/>
      <c r="G11" s="52">
        <f>+'Fisico ASIG'!E11</f>
        <v>46054</v>
      </c>
      <c r="H11" s="17">
        <f t="shared" si="0"/>
        <v>28</v>
      </c>
      <c r="I11" s="17">
        <f t="shared" si="0"/>
        <v>5.1392516466045874</v>
      </c>
      <c r="J11" s="17">
        <f t="shared" si="0"/>
        <v>6.6887751722310531</v>
      </c>
      <c r="K11" s="17">
        <f t="shared" si="5"/>
        <v>7.5875000000000039</v>
      </c>
      <c r="L11" s="17">
        <f t="shared" si="1"/>
        <v>27</v>
      </c>
      <c r="M11" s="17">
        <f t="shared" si="1"/>
        <v>71.5</v>
      </c>
      <c r="N11" s="17">
        <f t="shared" si="1"/>
        <v>41.039718394589059</v>
      </c>
      <c r="O11" s="17">
        <f t="shared" si="1"/>
        <v>92.109060419526472</v>
      </c>
      <c r="P11" s="17">
        <f t="shared" si="1"/>
        <v>8267600.1407972602</v>
      </c>
      <c r="Q11" s="17">
        <f t="shared" si="1"/>
        <v>0</v>
      </c>
      <c r="R11" s="17">
        <f t="shared" si="1"/>
        <v>5889.5464456052678</v>
      </c>
      <c r="S11" s="17">
        <f t="shared" si="1"/>
        <v>2909.947762888939</v>
      </c>
      <c r="T11" s="17">
        <f t="shared" si="6"/>
        <v>1795.6376259798421</v>
      </c>
      <c r="U11" s="17">
        <f t="shared" si="2"/>
        <v>18000</v>
      </c>
      <c r="V11" s="17">
        <f t="shared" si="2"/>
        <v>0</v>
      </c>
      <c r="W11" s="17">
        <f t="shared" si="2"/>
        <v>21900</v>
      </c>
      <c r="X11" s="17">
        <f t="shared" si="2"/>
        <v>0</v>
      </c>
      <c r="Y11" s="17">
        <f t="shared" si="2"/>
        <v>6227666.0575495865</v>
      </c>
      <c r="Z11" s="25">
        <f t="shared" si="3"/>
        <v>14495266.198346846</v>
      </c>
      <c r="AA11" s="26">
        <f>+Z11/'Fisico ASIG'!N11/24</f>
        <v>73.131269490006645</v>
      </c>
      <c r="AB11" s="26">
        <f>+$AB$16*Precios!R10*Precios!P10/Precios!W10/Precios!Q10</f>
        <v>16.923076923076934</v>
      </c>
      <c r="AC11" s="29">
        <f t="shared" si="4"/>
        <v>56.208192566929711</v>
      </c>
      <c r="AL11" s="76"/>
      <c r="AM11" s="76"/>
    </row>
    <row r="12" spans="2:39" x14ac:dyDescent="0.25">
      <c r="E12" s="132"/>
      <c r="F12" s="114"/>
      <c r="G12" s="52">
        <f>+'Fisico ASIG'!E12</f>
        <v>46082</v>
      </c>
      <c r="H12" s="17">
        <f t="shared" si="0"/>
        <v>28</v>
      </c>
      <c r="I12" s="17">
        <f t="shared" si="0"/>
        <v>5.2366365244875137</v>
      </c>
      <c r="J12" s="17">
        <f t="shared" si="0"/>
        <v>5.8867925629009861</v>
      </c>
      <c r="K12" s="17">
        <f t="shared" si="5"/>
        <v>6.8583333333333281</v>
      </c>
      <c r="L12" s="17">
        <f t="shared" si="1"/>
        <v>27</v>
      </c>
      <c r="M12" s="17">
        <f t="shared" si="1"/>
        <v>71.5</v>
      </c>
      <c r="N12" s="17">
        <f t="shared" si="1"/>
        <v>46.488647435570613</v>
      </c>
      <c r="O12" s="17">
        <f t="shared" si="1"/>
        <v>71.653022749976145</v>
      </c>
      <c r="P12" s="17">
        <f t="shared" si="1"/>
        <v>7977434.1497296775</v>
      </c>
      <c r="Q12" s="17">
        <f t="shared" si="1"/>
        <v>0</v>
      </c>
      <c r="R12" s="17">
        <f t="shared" si="1"/>
        <v>6001.1488345970602</v>
      </c>
      <c r="S12" s="17">
        <f t="shared" si="1"/>
        <v>2965.0890416239217</v>
      </c>
      <c r="T12" s="17">
        <f t="shared" si="6"/>
        <v>1795.6376259798421</v>
      </c>
      <c r="U12" s="17">
        <f t="shared" si="2"/>
        <v>18000</v>
      </c>
      <c r="V12" s="17">
        <f t="shared" si="2"/>
        <v>0</v>
      </c>
      <c r="W12" s="17">
        <f t="shared" si="2"/>
        <v>21900</v>
      </c>
      <c r="X12" s="17">
        <f t="shared" si="2"/>
        <v>0</v>
      </c>
      <c r="Y12" s="17">
        <f t="shared" si="2"/>
        <v>5289948.7474112595</v>
      </c>
      <c r="Z12" s="25">
        <f t="shared" ref="Z12" si="7">+(P12+Y12)</f>
        <v>13267382.897140937</v>
      </c>
      <c r="AA12" s="26">
        <f>+Z12/'Fisico ASIG'!N12/24</f>
        <v>71.173352107631018</v>
      </c>
      <c r="AB12" s="26">
        <f>+$AB$16*Precios!R11*Precios!P11/Precios!W11/Precios!Q11</f>
        <v>12.492500975435021</v>
      </c>
      <c r="AC12" s="29">
        <f t="shared" ref="AC12" si="8">+AA12-AB12</f>
        <v>58.680851132195997</v>
      </c>
    </row>
    <row r="13" spans="2:39" x14ac:dyDescent="0.25">
      <c r="E13" s="132"/>
      <c r="F13" s="114"/>
      <c r="G13" s="52">
        <f>+'Fisico ASIG'!E13</f>
        <v>46113</v>
      </c>
      <c r="H13" s="17">
        <f t="shared" si="0"/>
        <v>28</v>
      </c>
      <c r="I13" s="17">
        <f t="shared" si="0"/>
        <v>5.2429397708514527</v>
      </c>
      <c r="J13" s="17">
        <f t="shared" si="0"/>
        <v>5.893878390539375</v>
      </c>
      <c r="K13" s="17">
        <f t="shared" si="5"/>
        <v>6.858333333333329</v>
      </c>
      <c r="L13" s="17">
        <f t="shared" si="1"/>
        <v>27</v>
      </c>
      <c r="M13" s="17">
        <f t="shared" si="1"/>
        <v>71.5</v>
      </c>
      <c r="N13" s="17">
        <f t="shared" si="1"/>
        <v>52.112444113648245</v>
      </c>
      <c r="O13" s="17">
        <f t="shared" si="1"/>
        <v>78.581543389880395</v>
      </c>
      <c r="P13" s="17">
        <f t="shared" si="1"/>
        <v>7687637.9152450645</v>
      </c>
      <c r="Q13" s="17">
        <f t="shared" si="1"/>
        <v>0</v>
      </c>
      <c r="R13" s="17">
        <f t="shared" si="1"/>
        <v>6008.3723108483273</v>
      </c>
      <c r="S13" s="17">
        <f t="shared" si="1"/>
        <v>2968.6580666331961</v>
      </c>
      <c r="T13" s="17">
        <f t="shared" si="6"/>
        <v>1795.6376259798421</v>
      </c>
      <c r="U13" s="17">
        <f t="shared" si="2"/>
        <v>18000</v>
      </c>
      <c r="V13" s="17">
        <f t="shared" si="2"/>
        <v>0</v>
      </c>
      <c r="W13" s="17">
        <f t="shared" si="2"/>
        <v>21900</v>
      </c>
      <c r="X13" s="17">
        <f t="shared" si="2"/>
        <v>0</v>
      </c>
      <c r="Y13" s="17">
        <f t="shared" si="2"/>
        <v>5276767.9874789529</v>
      </c>
      <c r="Z13" s="25">
        <f t="shared" ref="Z13" si="9">+(P13+Y13)</f>
        <v>12964405.902724016</v>
      </c>
      <c r="AA13" s="26">
        <f>+Z13/'Fisico ASIG'!N13/24</f>
        <v>72.749402867220581</v>
      </c>
      <c r="AB13" s="26">
        <f>+$AB$16*Precios!R12*Precios!P12/Precios!W12/Precios!Q12</f>
        <v>12.065573770491795</v>
      </c>
      <c r="AC13" s="29">
        <f t="shared" ref="AC13" si="10">+AA13-AB13</f>
        <v>60.683829096728786</v>
      </c>
    </row>
    <row r="14" spans="2:39" x14ac:dyDescent="0.25">
      <c r="E14" s="132"/>
      <c r="F14" s="114"/>
      <c r="G14" s="52">
        <f>+'Fisico ASIG'!E14</f>
        <v>46143</v>
      </c>
      <c r="H14" s="17">
        <f t="shared" si="0"/>
        <v>28</v>
      </c>
      <c r="I14" s="17">
        <f t="shared" si="0"/>
        <v>5.1311704610116813</v>
      </c>
      <c r="J14" s="17">
        <f t="shared" si="0"/>
        <v>5.7682323314996404</v>
      </c>
      <c r="K14" s="17">
        <f t="shared" si="5"/>
        <v>6.8583333333333281</v>
      </c>
      <c r="L14" s="17">
        <f t="shared" si="1"/>
        <v>27</v>
      </c>
      <c r="M14" s="17">
        <f t="shared" si="1"/>
        <v>71.5</v>
      </c>
      <c r="N14" s="17">
        <f t="shared" si="1"/>
        <v>99.970132515097148</v>
      </c>
      <c r="O14" s="17">
        <f t="shared" si="1"/>
        <v>146.77674089948343</v>
      </c>
      <c r="P14" s="17">
        <f t="shared" si="1"/>
        <v>13704659.661956394</v>
      </c>
      <c r="Q14" s="17">
        <f t="shared" si="1"/>
        <v>0</v>
      </c>
      <c r="R14" s="17">
        <f t="shared" si="1"/>
        <v>5880.2854634316436</v>
      </c>
      <c r="S14" s="17">
        <f t="shared" si="1"/>
        <v>2905.3720328888116</v>
      </c>
      <c r="T14" s="17">
        <f t="shared" si="6"/>
        <v>1795.6376259798421</v>
      </c>
      <c r="U14" s="17">
        <f t="shared" si="2"/>
        <v>18000</v>
      </c>
      <c r="V14" s="17">
        <f t="shared" si="2"/>
        <v>0</v>
      </c>
      <c r="W14" s="17">
        <f t="shared" si="2"/>
        <v>21900</v>
      </c>
      <c r="X14" s="17">
        <f t="shared" si="2"/>
        <v>0</v>
      </c>
      <c r="Y14" s="17">
        <f t="shared" si="2"/>
        <v>5125512.6421797248</v>
      </c>
      <c r="Z14" s="25">
        <f t="shared" ref="Z14" si="11">+(P14+Y14)</f>
        <v>18830172.30413612</v>
      </c>
      <c r="AA14" s="26">
        <f>+Z14/'Fisico ASIG'!N14/24</f>
        <v>85.536663163494936</v>
      </c>
      <c r="AB14" s="26">
        <f>+$AB$16*Precios!R13*Precios!P13/Precios!W13/Precios!Q13</f>
        <v>11.485986250661018</v>
      </c>
      <c r="AC14" s="29">
        <f t="shared" ref="AC14" si="12">+AA14-AB14</f>
        <v>74.050676912833922</v>
      </c>
    </row>
    <row r="15" spans="2:39" x14ac:dyDescent="0.25">
      <c r="E15" s="132"/>
      <c r="F15" s="114"/>
      <c r="G15" s="52">
        <f>+'Fisico ASIG'!E15</f>
        <v>46174</v>
      </c>
      <c r="H15" s="17">
        <f t="shared" si="0"/>
        <v>28</v>
      </c>
      <c r="I15" s="17">
        <f t="shared" si="0"/>
        <v>4.901542689654705</v>
      </c>
      <c r="J15" s="17">
        <f t="shared" si="0"/>
        <v>5.5100950614526161</v>
      </c>
      <c r="K15" s="17">
        <f t="shared" si="5"/>
        <v>6.8583333333333316</v>
      </c>
      <c r="L15" s="17">
        <f t="shared" si="1"/>
        <v>27</v>
      </c>
      <c r="M15" s="17">
        <f t="shared" si="1"/>
        <v>71.5</v>
      </c>
      <c r="N15" s="17">
        <f t="shared" si="1"/>
        <v>103.10453339033761</v>
      </c>
      <c r="O15" s="17">
        <f t="shared" si="1"/>
        <v>166.18088916279183</v>
      </c>
      <c r="P15" s="17">
        <f t="shared" si="1"/>
        <v>15249925.553960906</v>
      </c>
      <c r="Q15" s="17">
        <f t="shared" si="1"/>
        <v>0</v>
      </c>
      <c r="R15" s="17">
        <f t="shared" si="1"/>
        <v>5617.1336433604747</v>
      </c>
      <c r="S15" s="17">
        <f t="shared" si="1"/>
        <v>2775.3521651131455</v>
      </c>
      <c r="T15" s="17">
        <f t="shared" si="6"/>
        <v>1795.6376259798424</v>
      </c>
      <c r="U15" s="17">
        <f t="shared" si="2"/>
        <v>18000</v>
      </c>
      <c r="V15" s="17">
        <f t="shared" si="2"/>
        <v>0</v>
      </c>
      <c r="W15" s="17">
        <f t="shared" si="2"/>
        <v>21900</v>
      </c>
      <c r="X15" s="17">
        <f t="shared" si="2"/>
        <v>0</v>
      </c>
      <c r="Y15" s="17">
        <f t="shared" si="2"/>
        <v>5749496.8261812227</v>
      </c>
      <c r="Z15" s="25">
        <f t="shared" ref="Z15" si="13">+(P15+Y15)</f>
        <v>20999422.38014213</v>
      </c>
      <c r="AA15" s="26">
        <f>+Z15/'Fisico ASIG'!N15/24</f>
        <v>94.947213401708765</v>
      </c>
      <c r="AB15" s="26">
        <f>+$AB$16*Precios!R14*Precios!P14/Precios!W14/Precios!Q14</f>
        <v>15.147540983606561</v>
      </c>
      <c r="AC15" s="29">
        <f t="shared" ref="AC15" si="14">+AA15-AB15</f>
        <v>79.799672418102205</v>
      </c>
    </row>
    <row r="16" spans="2:39" x14ac:dyDescent="0.25">
      <c r="AB16" s="29">
        <v>16</v>
      </c>
    </row>
    <row r="17" spans="1:43" x14ac:dyDescent="0.25">
      <c r="E17" t="s">
        <v>86</v>
      </c>
      <c r="H17" s="6" t="s">
        <v>74</v>
      </c>
      <c r="I17" s="6" t="s">
        <v>74</v>
      </c>
      <c r="J17" s="6" t="s">
        <v>74</v>
      </c>
      <c r="K17" s="6" t="s">
        <v>74</v>
      </c>
      <c r="L17" s="6" t="s">
        <v>74</v>
      </c>
      <c r="M17" s="6" t="s">
        <v>74</v>
      </c>
      <c r="N17" s="6" t="s">
        <v>74</v>
      </c>
      <c r="O17" s="6" t="s">
        <v>74</v>
      </c>
      <c r="P17" s="6" t="s">
        <v>74</v>
      </c>
      <c r="Q17" s="16" t="s">
        <v>75</v>
      </c>
      <c r="R17" s="16" t="s">
        <v>75</v>
      </c>
      <c r="S17" s="16" t="s">
        <v>75</v>
      </c>
      <c r="T17" s="16" t="s">
        <v>75</v>
      </c>
      <c r="U17" s="16" t="s">
        <v>75</v>
      </c>
      <c r="V17" s="16" t="s">
        <v>75</v>
      </c>
      <c r="W17" s="16" t="s">
        <v>75</v>
      </c>
      <c r="X17" s="16" t="s">
        <v>75</v>
      </c>
      <c r="Y17" s="16" t="s">
        <v>75</v>
      </c>
      <c r="Z17" s="21" t="s">
        <v>76</v>
      </c>
      <c r="AA17" s="23" t="s">
        <v>76</v>
      </c>
      <c r="AB17" s="23" t="s">
        <v>76</v>
      </c>
      <c r="AC17" s="33" t="s">
        <v>76</v>
      </c>
      <c r="AI17" s="6" t="s">
        <v>74</v>
      </c>
      <c r="AJ17" s="16" t="s">
        <v>75</v>
      </c>
      <c r="AK17" s="16" t="s">
        <v>75</v>
      </c>
      <c r="AL17" s="6" t="s">
        <v>74</v>
      </c>
      <c r="AM17" s="16" t="s">
        <v>75</v>
      </c>
      <c r="AN17" s="6" t="s">
        <v>74</v>
      </c>
      <c r="AO17" s="8" t="s">
        <v>119</v>
      </c>
      <c r="AP17" s="8" t="s">
        <v>118</v>
      </c>
      <c r="AQ17" s="8" t="s">
        <v>124</v>
      </c>
    </row>
    <row r="18" spans="1:43" x14ac:dyDescent="0.25">
      <c r="H18" s="7" t="s">
        <v>16</v>
      </c>
      <c r="I18" s="7" t="s">
        <v>16</v>
      </c>
      <c r="J18" s="7" t="s">
        <v>16</v>
      </c>
      <c r="K18" s="7" t="s">
        <v>16</v>
      </c>
      <c r="L18" s="7" t="s">
        <v>16</v>
      </c>
      <c r="M18" s="7" t="s">
        <v>16</v>
      </c>
      <c r="N18" s="7" t="s">
        <v>16</v>
      </c>
      <c r="O18" s="7" t="s">
        <v>16</v>
      </c>
      <c r="P18" s="7" t="s">
        <v>77</v>
      </c>
      <c r="Q18" s="15" t="s">
        <v>78</v>
      </c>
      <c r="R18" s="15" t="s">
        <v>78</v>
      </c>
      <c r="S18" s="15" t="s">
        <v>78</v>
      </c>
      <c r="T18" s="15" t="s">
        <v>78</v>
      </c>
      <c r="U18" s="15" t="s">
        <v>78</v>
      </c>
      <c r="V18" s="15" t="s">
        <v>78</v>
      </c>
      <c r="W18" s="15" t="s">
        <v>78</v>
      </c>
      <c r="X18" s="15" t="s">
        <v>78</v>
      </c>
      <c r="Y18" s="15" t="str">
        <f>+P18</f>
        <v>usd/dia</v>
      </c>
      <c r="Z18" s="22" t="str">
        <f>+Y18</f>
        <v>usd/dia</v>
      </c>
      <c r="AA18" s="24" t="s">
        <v>79</v>
      </c>
      <c r="AB18" s="24" t="s">
        <v>79</v>
      </c>
      <c r="AC18" s="34" t="s">
        <v>79</v>
      </c>
      <c r="AI18" s="7" t="s">
        <v>87</v>
      </c>
      <c r="AJ18" s="15" t="s">
        <v>88</v>
      </c>
      <c r="AK18" s="15" t="s">
        <v>89</v>
      </c>
      <c r="AL18" s="7" t="s">
        <v>16</v>
      </c>
      <c r="AM18" s="15" t="s">
        <v>78</v>
      </c>
      <c r="AN18" s="7" t="s">
        <v>16</v>
      </c>
      <c r="AO18" s="9" t="s">
        <v>16</v>
      </c>
      <c r="AP18" s="9" t="s">
        <v>16</v>
      </c>
      <c r="AQ18" s="9" t="s">
        <v>16</v>
      </c>
    </row>
    <row r="19" spans="1:43" x14ac:dyDescent="0.25">
      <c r="A19" s="1" t="s">
        <v>90</v>
      </c>
      <c r="B19" s="1" t="s">
        <v>91</v>
      </c>
      <c r="C19" s="53" t="s">
        <v>40</v>
      </c>
      <c r="D19" s="1" t="s">
        <v>33</v>
      </c>
      <c r="E19" t="s">
        <v>69</v>
      </c>
      <c r="F19" s="1" t="s">
        <v>41</v>
      </c>
      <c r="G19" s="1" t="s">
        <v>42</v>
      </c>
      <c r="H19" s="6" t="s">
        <v>61</v>
      </c>
      <c r="I19" s="6" t="s">
        <v>62</v>
      </c>
      <c r="J19" s="6" t="s">
        <v>121</v>
      </c>
      <c r="K19" s="6" t="s">
        <v>122</v>
      </c>
      <c r="L19" s="6" t="s">
        <v>64</v>
      </c>
      <c r="M19" s="6" t="s">
        <v>65</v>
      </c>
      <c r="N19" s="6" t="s">
        <v>66</v>
      </c>
      <c r="O19" s="6" t="s">
        <v>67</v>
      </c>
      <c r="P19" s="6" t="s">
        <v>80</v>
      </c>
      <c r="Q19" s="16" t="s">
        <v>61</v>
      </c>
      <c r="R19" s="16" t="s">
        <v>62</v>
      </c>
      <c r="S19" s="16" t="s">
        <v>121</v>
      </c>
      <c r="T19" s="16" t="s">
        <v>122</v>
      </c>
      <c r="U19" s="16" t="s">
        <v>64</v>
      </c>
      <c r="V19" s="16" t="s">
        <v>65</v>
      </c>
      <c r="W19" s="16" t="s">
        <v>66</v>
      </c>
      <c r="X19" s="16" t="s">
        <v>67</v>
      </c>
      <c r="Y19" s="16" t="s">
        <v>81</v>
      </c>
      <c r="Z19" s="21" t="s">
        <v>82</v>
      </c>
      <c r="AA19" s="23" t="s">
        <v>83</v>
      </c>
      <c r="AB19" s="23" t="s">
        <v>84</v>
      </c>
      <c r="AC19" s="33" t="s">
        <v>85</v>
      </c>
      <c r="AD19" s="23" t="s">
        <v>92</v>
      </c>
      <c r="AI19" s="6" t="s">
        <v>62</v>
      </c>
      <c r="AJ19" s="16" t="s">
        <v>62</v>
      </c>
      <c r="AK19" s="16" t="s">
        <v>62</v>
      </c>
      <c r="AL19" s="6" t="s">
        <v>63</v>
      </c>
      <c r="AM19" s="16" t="s">
        <v>63</v>
      </c>
      <c r="AN19" s="6" t="s">
        <v>66</v>
      </c>
      <c r="AO19" s="8" t="s">
        <v>93</v>
      </c>
      <c r="AP19" s="8" t="s">
        <v>93</v>
      </c>
      <c r="AQ19" s="8" t="s">
        <v>93</v>
      </c>
    </row>
    <row r="20" spans="1:43" hidden="1" x14ac:dyDescent="0.25">
      <c r="A20" s="3">
        <v>1443</v>
      </c>
      <c r="B20" s="42">
        <v>1425.6669999999999</v>
      </c>
      <c r="C20" s="53">
        <f>YEAR(G20)</f>
        <v>2025</v>
      </c>
      <c r="D20" s="52">
        <f>+'Fisico ASIG'!B20</f>
        <v>45931</v>
      </c>
      <c r="E20" s="1">
        <v>31</v>
      </c>
      <c r="F20" s="1" t="s">
        <v>44</v>
      </c>
      <c r="G20" s="56">
        <v>45931</v>
      </c>
      <c r="H20" s="17">
        <v>28</v>
      </c>
      <c r="I20" s="17">
        <f>AI20/A20</f>
        <v>4.66042966042966</v>
      </c>
      <c r="J20" s="17">
        <f>+AL20/A20</f>
        <v>5.8474012474012467</v>
      </c>
      <c r="K20" s="17"/>
      <c r="L20" s="17">
        <v>27</v>
      </c>
      <c r="M20" s="17">
        <v>71.5</v>
      </c>
      <c r="N20" s="17">
        <f>+AN20+AO20</f>
        <v>36.081407308241445</v>
      </c>
      <c r="O20" s="17">
        <v>29.33812313198467</v>
      </c>
      <c r="P20" s="18">
        <f>SUMPRODUCT(H20:O20,'Fisico ASIG'!F20:M20)*24</f>
        <v>7228969.6587322876</v>
      </c>
      <c r="Q20" s="43">
        <v>0</v>
      </c>
      <c r="R20" s="43">
        <f>+AJ20*AK20/A20</f>
        <v>5340.3961746361747</v>
      </c>
      <c r="S20" s="43">
        <f>+AM20/A20</f>
        <v>1548.8565488565489</v>
      </c>
      <c r="T20" s="43"/>
      <c r="U20" s="43">
        <v>18000</v>
      </c>
      <c r="V20" s="20">
        <v>0</v>
      </c>
      <c r="W20" s="20">
        <v>21900</v>
      </c>
      <c r="X20" s="20">
        <v>0</v>
      </c>
      <c r="Y20" s="18">
        <f>SUMPRODUCT(Q20:X20,'Fisico ASIG'!O20:V20)/E20</f>
        <v>4835534.8908404205</v>
      </c>
      <c r="Z20" s="25">
        <f>+(P20+Y20)</f>
        <v>12064504.549572708</v>
      </c>
      <c r="AA20" s="26">
        <f>+Z20/'Fisico ASIG'!N20/24</f>
        <v>61.946815007197607</v>
      </c>
      <c r="AB20" s="26">
        <f t="shared" ref="AB20:AB51" si="15">+$AB$16*375/0.52/730</f>
        <v>15.806111696522654</v>
      </c>
      <c r="AC20" s="29">
        <f>+AA20-AB20</f>
        <v>46.140703310674951</v>
      </c>
      <c r="AD20">
        <v>10</v>
      </c>
      <c r="AI20" s="1">
        <v>6725</v>
      </c>
      <c r="AJ20" s="1">
        <v>5351522</v>
      </c>
      <c r="AK20">
        <f>1.2*1.2</f>
        <v>1.44</v>
      </c>
      <c r="AL20" s="40">
        <f>4060+1627*1.4+2100</f>
        <v>8437.7999999999993</v>
      </c>
      <c r="AM20">
        <v>2235000</v>
      </c>
      <c r="AN20" s="17">
        <v>34.179304270015407</v>
      </c>
      <c r="AO20" s="74">
        <f>0.075*0.9*(AN20-6)</f>
        <v>1.9021030382260402</v>
      </c>
    </row>
    <row r="21" spans="1:43" hidden="1" x14ac:dyDescent="0.25">
      <c r="A21" s="3">
        <v>1443</v>
      </c>
      <c r="B21" s="42">
        <v>1425.6669999999999</v>
      </c>
      <c r="C21" s="53">
        <f t="shared" ref="C21:C84" si="16">YEAR(G21)</f>
        <v>2025</v>
      </c>
      <c r="D21" s="52">
        <f>+'Fisico ASIG'!B21</f>
        <v>45931</v>
      </c>
      <c r="E21" s="1">
        <v>31</v>
      </c>
      <c r="F21" s="1" t="s">
        <v>45</v>
      </c>
      <c r="G21" s="56">
        <f>+ G20+1</f>
        <v>45932</v>
      </c>
      <c r="H21" s="17">
        <v>28</v>
      </c>
      <c r="I21" s="17">
        <f t="shared" ref="I21:I58" si="17">AI21/A21</f>
        <v>4.66042966042966</v>
      </c>
      <c r="J21" s="17">
        <f t="shared" ref="J21:J73" si="18">+AL21/A21</f>
        <v>5.8474012474012467</v>
      </c>
      <c r="K21" s="17"/>
      <c r="L21" s="17">
        <v>27</v>
      </c>
      <c r="M21" s="17">
        <v>71.5</v>
      </c>
      <c r="N21" s="17">
        <f t="shared" ref="N21:N80" si="19">+AN21+AO21</f>
        <v>36.546443062550779</v>
      </c>
      <c r="O21" s="17">
        <v>28.824410274229404</v>
      </c>
      <c r="P21" s="18">
        <f>SUMPRODUCT(H21:O21,'Fisico ASIG'!F21:M21)*24</f>
        <v>7182715.6583259776</v>
      </c>
      <c r="Q21" s="43">
        <v>0</v>
      </c>
      <c r="R21" s="43">
        <f t="shared" ref="R21:R59" si="20">+AJ21*AK21/A21</f>
        <v>5340.3961746361747</v>
      </c>
      <c r="S21" s="43">
        <f t="shared" ref="S21:S59" si="21">+AM21/A21</f>
        <v>1548.8565488565489</v>
      </c>
      <c r="T21" s="43"/>
      <c r="U21" s="43">
        <v>18000</v>
      </c>
      <c r="V21" s="20">
        <v>0</v>
      </c>
      <c r="W21" s="20">
        <v>21900</v>
      </c>
      <c r="X21" s="20">
        <v>0</v>
      </c>
      <c r="Y21" s="18">
        <f>SUMPRODUCT(Q21:X21,'Fisico ASIG'!O21:V21)/E21</f>
        <v>4867222.8571460005</v>
      </c>
      <c r="Z21" s="25">
        <f t="shared" ref="Z21:Z46" si="22">+(P21+Y21)</f>
        <v>12049938.515471978</v>
      </c>
      <c r="AA21" s="26">
        <f>+Z21/'Fisico ASIG'!N21/24</f>
        <v>60.11682897481095</v>
      </c>
      <c r="AB21" s="26">
        <f t="shared" si="15"/>
        <v>15.806111696522654</v>
      </c>
      <c r="AC21" s="29">
        <f t="shared" ref="AC21:AC46" si="23">+AA21-AB21</f>
        <v>44.310717278288294</v>
      </c>
      <c r="AI21" s="1">
        <v>6725</v>
      </c>
      <c r="AJ21" s="1">
        <v>5351522</v>
      </c>
      <c r="AK21">
        <f t="shared" ref="AK21:AK89" si="24">1.2*1.2</f>
        <v>1.44</v>
      </c>
      <c r="AL21" s="40">
        <f t="shared" ref="AL21:AL89" si="25">4060+1627*1.4+2100</f>
        <v>8437.7999999999993</v>
      </c>
      <c r="AM21">
        <v>2235000</v>
      </c>
      <c r="AN21" s="17">
        <v>34.614934953209158</v>
      </c>
      <c r="AO21" s="74">
        <f t="shared" ref="AO21:AO84" si="26">0.075*0.9*(AN21-6)</f>
        <v>1.9315081093416182</v>
      </c>
    </row>
    <row r="22" spans="1:43" hidden="1" x14ac:dyDescent="0.25">
      <c r="A22" s="3">
        <v>1443</v>
      </c>
      <c r="B22" s="42">
        <v>1425.6669999999999</v>
      </c>
      <c r="C22" s="53">
        <f t="shared" si="16"/>
        <v>2025</v>
      </c>
      <c r="D22" s="52">
        <f>+'Fisico ASIG'!B22</f>
        <v>45931</v>
      </c>
      <c r="E22" s="1">
        <v>31</v>
      </c>
      <c r="F22" s="1" t="s">
        <v>46</v>
      </c>
      <c r="G22" s="56">
        <f t="shared" ref="G22:G85" si="27">+ G21+1</f>
        <v>45933</v>
      </c>
      <c r="H22" s="17">
        <v>28</v>
      </c>
      <c r="I22" s="17">
        <f t="shared" si="17"/>
        <v>4.66042966042966</v>
      </c>
      <c r="J22" s="17">
        <f t="shared" si="18"/>
        <v>5.8474012474012467</v>
      </c>
      <c r="K22" s="17"/>
      <c r="L22" s="17">
        <v>27</v>
      </c>
      <c r="M22" s="17">
        <v>71.5</v>
      </c>
      <c r="N22" s="17">
        <f t="shared" si="19"/>
        <v>36.064040380310161</v>
      </c>
      <c r="O22" s="17">
        <v>30.095803169902378</v>
      </c>
      <c r="P22" s="18">
        <f>SUMPRODUCT(H22:O22,'Fisico ASIG'!F22:M22)*24</f>
        <v>7113038.1080367528</v>
      </c>
      <c r="Q22" s="43">
        <v>0</v>
      </c>
      <c r="R22" s="43">
        <f t="shared" si="20"/>
        <v>5340.3961746361747</v>
      </c>
      <c r="S22" s="43">
        <f t="shared" si="21"/>
        <v>1548.8565488565489</v>
      </c>
      <c r="T22" s="43"/>
      <c r="U22" s="43">
        <v>18000</v>
      </c>
      <c r="V22" s="20">
        <v>0</v>
      </c>
      <c r="W22" s="20">
        <v>21900</v>
      </c>
      <c r="X22" s="20">
        <v>0</v>
      </c>
      <c r="Y22" s="18">
        <f>SUMPRODUCT(Q22:X22,'Fisico ASIG'!O22:V22)/E22</f>
        <v>4929643.5750916777</v>
      </c>
      <c r="Z22" s="25">
        <f t="shared" si="22"/>
        <v>12042681.683128431</v>
      </c>
      <c r="AA22" s="26">
        <f>+Z22/'Fisico ASIG'!N22/24</f>
        <v>58.648999718734643</v>
      </c>
      <c r="AB22" s="26">
        <f t="shared" si="15"/>
        <v>15.806111696522654</v>
      </c>
      <c r="AC22" s="29">
        <f t="shared" si="23"/>
        <v>42.842888022211987</v>
      </c>
      <c r="AI22" s="1">
        <v>6725</v>
      </c>
      <c r="AJ22" s="1">
        <v>5351522</v>
      </c>
      <c r="AK22">
        <f t="shared" si="24"/>
        <v>1.44</v>
      </c>
      <c r="AL22" s="40">
        <f t="shared" si="25"/>
        <v>8437.7999999999993</v>
      </c>
      <c r="AM22">
        <v>2235000</v>
      </c>
      <c r="AN22" s="17">
        <v>34.163035485068065</v>
      </c>
      <c r="AO22" s="74">
        <f t="shared" si="26"/>
        <v>1.9010048952420946</v>
      </c>
    </row>
    <row r="23" spans="1:43" hidden="1" x14ac:dyDescent="0.25">
      <c r="A23" s="3">
        <v>1443</v>
      </c>
      <c r="B23" s="42">
        <v>1425.6669999999999</v>
      </c>
      <c r="C23" s="53">
        <f t="shared" si="16"/>
        <v>2025</v>
      </c>
      <c r="D23" s="52">
        <f>+'Fisico ASIG'!B23</f>
        <v>45931</v>
      </c>
      <c r="E23" s="1">
        <v>31</v>
      </c>
      <c r="F23" s="1" t="s">
        <v>47</v>
      </c>
      <c r="G23" s="56">
        <f t="shared" si="27"/>
        <v>45934</v>
      </c>
      <c r="H23" s="17">
        <v>28</v>
      </c>
      <c r="I23" s="17">
        <f t="shared" si="17"/>
        <v>4.66042966042966</v>
      </c>
      <c r="J23" s="17">
        <f t="shared" si="18"/>
        <v>5.8474012474012467</v>
      </c>
      <c r="K23" s="17"/>
      <c r="L23" s="17">
        <v>27</v>
      </c>
      <c r="M23" s="17">
        <v>71.5</v>
      </c>
      <c r="N23" s="17">
        <f t="shared" si="19"/>
        <v>38.065208544707929</v>
      </c>
      <c r="O23" s="17">
        <v>28.443739479338678</v>
      </c>
      <c r="P23" s="18">
        <f>SUMPRODUCT(H23:O23,'Fisico ASIG'!F23:M23)*24</f>
        <v>6948830.9839592697</v>
      </c>
      <c r="Q23" s="43">
        <v>0</v>
      </c>
      <c r="R23" s="43">
        <f t="shared" si="20"/>
        <v>5340.3961746361747</v>
      </c>
      <c r="S23" s="43">
        <f t="shared" si="21"/>
        <v>1548.8565488565489</v>
      </c>
      <c r="T23" s="43"/>
      <c r="U23" s="43">
        <v>18000</v>
      </c>
      <c r="V23" s="20">
        <v>0</v>
      </c>
      <c r="W23" s="20">
        <v>21900</v>
      </c>
      <c r="X23" s="20">
        <v>0</v>
      </c>
      <c r="Y23" s="18">
        <f>SUMPRODUCT(Q23:X23,'Fisico ASIG'!O23:V23)/E23</f>
        <v>5276855.3849427281</v>
      </c>
      <c r="Z23" s="25">
        <f t="shared" si="22"/>
        <v>12225686.368901998</v>
      </c>
      <c r="AA23" s="26">
        <f>+Z23/'Fisico ASIG'!N23/24</f>
        <v>61.223919730918311</v>
      </c>
      <c r="AB23" s="26">
        <f t="shared" si="15"/>
        <v>15.806111696522654</v>
      </c>
      <c r="AC23" s="29">
        <f t="shared" si="23"/>
        <v>45.417808034395655</v>
      </c>
      <c r="AI23" s="1">
        <v>6725</v>
      </c>
      <c r="AJ23" s="1">
        <v>5351522</v>
      </c>
      <c r="AK23">
        <f t="shared" si="24"/>
        <v>1.44</v>
      </c>
      <c r="AL23" s="40">
        <f t="shared" si="25"/>
        <v>8437.7999999999993</v>
      </c>
      <c r="AM23">
        <v>2235000</v>
      </c>
      <c r="AN23" s="17">
        <v>36.037666084035529</v>
      </c>
      <c r="AO23" s="74">
        <f t="shared" si="26"/>
        <v>2.0275424606723984</v>
      </c>
    </row>
    <row r="24" spans="1:43" hidden="1" x14ac:dyDescent="0.25">
      <c r="A24" s="3">
        <v>1443</v>
      </c>
      <c r="B24" s="42">
        <v>1425.6669999999999</v>
      </c>
      <c r="C24" s="53">
        <f t="shared" si="16"/>
        <v>2025</v>
      </c>
      <c r="D24" s="52">
        <f>+'Fisico ASIG'!B24</f>
        <v>45931</v>
      </c>
      <c r="E24" s="1">
        <v>31</v>
      </c>
      <c r="F24" s="1" t="s">
        <v>48</v>
      </c>
      <c r="G24" s="56">
        <f t="shared" si="27"/>
        <v>45935</v>
      </c>
      <c r="H24" s="17">
        <v>28</v>
      </c>
      <c r="I24" s="17">
        <f t="shared" si="17"/>
        <v>4.66042966042966</v>
      </c>
      <c r="J24" s="17">
        <f t="shared" si="18"/>
        <v>5.8474012474012467</v>
      </c>
      <c r="K24" s="17"/>
      <c r="L24" s="17">
        <v>27</v>
      </c>
      <c r="M24" s="17">
        <v>71.5</v>
      </c>
      <c r="N24" s="17">
        <f t="shared" si="19"/>
        <v>36.794739229070331</v>
      </c>
      <c r="O24" s="17">
        <v>28.623559166114624</v>
      </c>
      <c r="P24" s="18">
        <f>SUMPRODUCT(H24:O24,'Fisico ASIG'!F24:M24)*24</f>
        <v>5992713.6419484047</v>
      </c>
      <c r="Q24" s="43">
        <v>0</v>
      </c>
      <c r="R24" s="43">
        <f t="shared" si="20"/>
        <v>5340.3961746361747</v>
      </c>
      <c r="S24" s="43">
        <f t="shared" si="21"/>
        <v>1548.8565488565489</v>
      </c>
      <c r="T24" s="43"/>
      <c r="U24" s="43">
        <v>18000</v>
      </c>
      <c r="V24" s="20">
        <v>0</v>
      </c>
      <c r="W24" s="20">
        <v>21900</v>
      </c>
      <c r="X24" s="20">
        <v>0</v>
      </c>
      <c r="Y24" s="18">
        <f>SUMPRODUCT(Q24:X24,'Fisico ASIG'!O24:V24)/E24</f>
        <v>5333649.0915890299</v>
      </c>
      <c r="Z24" s="25">
        <f t="shared" si="22"/>
        <v>11326362.733537436</v>
      </c>
      <c r="AA24" s="26">
        <f>+Z24/'Fisico ASIG'!N24/24</f>
        <v>63.18064623317813</v>
      </c>
      <c r="AB24" s="26">
        <f t="shared" si="15"/>
        <v>15.806111696522654</v>
      </c>
      <c r="AC24" s="29">
        <f t="shared" si="23"/>
        <v>47.374534536655474</v>
      </c>
      <c r="AI24" s="1">
        <v>6725</v>
      </c>
      <c r="AJ24" s="1">
        <v>5351522</v>
      </c>
      <c r="AK24">
        <f t="shared" si="24"/>
        <v>1.44</v>
      </c>
      <c r="AL24" s="40">
        <f t="shared" si="25"/>
        <v>8437.7999999999993</v>
      </c>
      <c r="AM24">
        <v>2235000</v>
      </c>
      <c r="AN24" s="17">
        <v>34.8475308937427</v>
      </c>
      <c r="AO24" s="74">
        <f t="shared" si="26"/>
        <v>1.9472083353276324</v>
      </c>
    </row>
    <row r="25" spans="1:43" hidden="1" x14ac:dyDescent="0.25">
      <c r="A25" s="3">
        <v>1443</v>
      </c>
      <c r="B25" s="42">
        <v>1425.6669999999999</v>
      </c>
      <c r="C25" s="53">
        <f t="shared" si="16"/>
        <v>2025</v>
      </c>
      <c r="D25" s="52">
        <f>+'Fisico ASIG'!B25</f>
        <v>45931</v>
      </c>
      <c r="E25" s="1">
        <v>31</v>
      </c>
      <c r="F25" s="1" t="s">
        <v>49</v>
      </c>
      <c r="G25" s="56">
        <f t="shared" si="27"/>
        <v>45936</v>
      </c>
      <c r="H25" s="17">
        <v>28</v>
      </c>
      <c r="I25" s="17">
        <f t="shared" si="17"/>
        <v>4.66042966042966</v>
      </c>
      <c r="J25" s="17">
        <f t="shared" si="18"/>
        <v>5.8474012474012467</v>
      </c>
      <c r="K25" s="17"/>
      <c r="L25" s="17">
        <v>27</v>
      </c>
      <c r="M25" s="17">
        <v>71.5</v>
      </c>
      <c r="N25" s="17">
        <f t="shared" si="19"/>
        <v>37.169231886316958</v>
      </c>
      <c r="O25" s="17">
        <v>28.337218223928708</v>
      </c>
      <c r="P25" s="18">
        <f>SUMPRODUCT(H25:O25,'Fisico ASIG'!F25:M25)*24</f>
        <v>7060630.4383446872</v>
      </c>
      <c r="Q25" s="43">
        <v>0</v>
      </c>
      <c r="R25" s="43">
        <f t="shared" si="20"/>
        <v>5340.3961746361747</v>
      </c>
      <c r="S25" s="43">
        <f t="shared" si="21"/>
        <v>1548.8565488565489</v>
      </c>
      <c r="T25" s="43"/>
      <c r="U25" s="43">
        <v>18000</v>
      </c>
      <c r="V25" s="20">
        <v>0</v>
      </c>
      <c r="W25" s="20">
        <v>21900</v>
      </c>
      <c r="X25" s="20">
        <v>0</v>
      </c>
      <c r="Y25" s="18">
        <f>SUMPRODUCT(Q25:X25,'Fisico ASIG'!O25:V25)/E25</f>
        <v>5453912.5497288266</v>
      </c>
      <c r="Z25" s="25">
        <f t="shared" si="22"/>
        <v>12514542.988073513</v>
      </c>
      <c r="AA25" s="26">
        <f>+Z25/'Fisico ASIG'!N25/24</f>
        <v>61.080365549655504</v>
      </c>
      <c r="AB25" s="26">
        <f t="shared" si="15"/>
        <v>15.806111696522654</v>
      </c>
      <c r="AC25" s="29">
        <f t="shared" si="23"/>
        <v>45.274253853132848</v>
      </c>
      <c r="AI25" s="1">
        <v>6725</v>
      </c>
      <c r="AJ25" s="1">
        <v>5351522</v>
      </c>
      <c r="AK25">
        <f t="shared" si="24"/>
        <v>1.44</v>
      </c>
      <c r="AL25" s="40">
        <f t="shared" si="25"/>
        <v>8437.7999999999993</v>
      </c>
      <c r="AM25">
        <v>2235000</v>
      </c>
      <c r="AN25" s="17">
        <v>35.198343687416354</v>
      </c>
      <c r="AO25" s="74">
        <f t="shared" si="26"/>
        <v>1.970888198900604</v>
      </c>
    </row>
    <row r="26" spans="1:43" hidden="1" x14ac:dyDescent="0.25">
      <c r="A26" s="3">
        <v>1443</v>
      </c>
      <c r="B26" s="42">
        <v>1425.6669999999999</v>
      </c>
      <c r="C26" s="53">
        <f t="shared" si="16"/>
        <v>2025</v>
      </c>
      <c r="D26" s="52">
        <f>+'Fisico ASIG'!B26</f>
        <v>45931</v>
      </c>
      <c r="E26" s="1">
        <v>31</v>
      </c>
      <c r="F26" s="1" t="s">
        <v>50</v>
      </c>
      <c r="G26" s="56">
        <f t="shared" si="27"/>
        <v>45937</v>
      </c>
      <c r="H26" s="17">
        <v>28</v>
      </c>
      <c r="I26" s="17">
        <f t="shared" si="17"/>
        <v>4.66042966042966</v>
      </c>
      <c r="J26" s="17">
        <f t="shared" si="18"/>
        <v>5.8474012474012467</v>
      </c>
      <c r="K26" s="17"/>
      <c r="L26" s="17">
        <v>27</v>
      </c>
      <c r="M26" s="17">
        <v>71.5</v>
      </c>
      <c r="N26" s="17">
        <f t="shared" si="19"/>
        <v>36.548062453473875</v>
      </c>
      <c r="O26" s="17">
        <v>28.447498216447123</v>
      </c>
      <c r="P26" s="18">
        <f>SUMPRODUCT(H26:O26,'Fisico ASIG'!F26:M26)*24</f>
        <v>7011375.370793825</v>
      </c>
      <c r="Q26" s="43">
        <v>0</v>
      </c>
      <c r="R26" s="43">
        <f t="shared" si="20"/>
        <v>5340.3961746361747</v>
      </c>
      <c r="S26" s="43">
        <f t="shared" si="21"/>
        <v>1548.8565488565489</v>
      </c>
      <c r="T26" s="43"/>
      <c r="U26" s="43">
        <v>18000</v>
      </c>
      <c r="V26" s="20">
        <v>0</v>
      </c>
      <c r="W26" s="20">
        <v>21900</v>
      </c>
      <c r="X26" s="20">
        <v>0</v>
      </c>
      <c r="Y26" s="18">
        <f>SUMPRODUCT(Q26:X26,'Fisico ASIG'!O26:V26)/E26</f>
        <v>5512786.1561552892</v>
      </c>
      <c r="Z26" s="25">
        <f t="shared" si="22"/>
        <v>12524161.526949115</v>
      </c>
      <c r="AA26" s="26">
        <f>+Z26/'Fisico ASIG'!N26/24</f>
        <v>63.155935136086178</v>
      </c>
      <c r="AB26" s="26">
        <f t="shared" si="15"/>
        <v>15.806111696522654</v>
      </c>
      <c r="AC26" s="29">
        <f t="shared" si="23"/>
        <v>47.349823439563522</v>
      </c>
      <c r="AI26" s="1">
        <v>6725</v>
      </c>
      <c r="AJ26" s="1">
        <v>5351522</v>
      </c>
      <c r="AK26">
        <f t="shared" si="24"/>
        <v>1.44</v>
      </c>
      <c r="AL26" s="40">
        <f t="shared" si="25"/>
        <v>8437.7999999999993</v>
      </c>
      <c r="AM26">
        <v>2235000</v>
      </c>
      <c r="AN26" s="17">
        <v>34.616451947048127</v>
      </c>
      <c r="AO26" s="74">
        <f t="shared" si="26"/>
        <v>1.9316105064257487</v>
      </c>
    </row>
    <row r="27" spans="1:43" hidden="1" x14ac:dyDescent="0.25">
      <c r="A27" s="3">
        <v>1443</v>
      </c>
      <c r="B27" s="42">
        <v>1425.6669999999999</v>
      </c>
      <c r="C27" s="53">
        <f t="shared" si="16"/>
        <v>2025</v>
      </c>
      <c r="D27" s="52">
        <f>+'Fisico ASIG'!B27</f>
        <v>45931</v>
      </c>
      <c r="E27" s="1">
        <v>31</v>
      </c>
      <c r="F27" s="1" t="s">
        <v>44</v>
      </c>
      <c r="G27" s="56">
        <f t="shared" si="27"/>
        <v>45938</v>
      </c>
      <c r="H27" s="17">
        <v>28</v>
      </c>
      <c r="I27" s="17">
        <f t="shared" si="17"/>
        <v>4.66042966042966</v>
      </c>
      <c r="J27" s="17">
        <f t="shared" si="18"/>
        <v>5.8474012474012467</v>
      </c>
      <c r="K27" s="17"/>
      <c r="L27" s="17">
        <v>27</v>
      </c>
      <c r="M27" s="17">
        <v>71.5</v>
      </c>
      <c r="N27" s="17">
        <f t="shared" si="19"/>
        <v>35.644185011610098</v>
      </c>
      <c r="O27" s="17">
        <v>30.912774821075999</v>
      </c>
      <c r="P27" s="18">
        <f>SUMPRODUCT(H27:O27,'Fisico ASIG'!F27:M27)*24</f>
        <v>7656990.8824379947</v>
      </c>
      <c r="Q27" s="43">
        <v>0</v>
      </c>
      <c r="R27" s="43">
        <f t="shared" si="20"/>
        <v>5340.3961746361747</v>
      </c>
      <c r="S27" s="43">
        <f t="shared" si="21"/>
        <v>1548.8565488565489</v>
      </c>
      <c r="T27" s="43"/>
      <c r="U27" s="43">
        <v>18000</v>
      </c>
      <c r="V27" s="20">
        <v>0</v>
      </c>
      <c r="W27" s="20">
        <v>21900</v>
      </c>
      <c r="X27" s="20">
        <v>0</v>
      </c>
      <c r="Y27" s="18">
        <f>SUMPRODUCT(Q27:X27,'Fisico ASIG'!O27:V27)/E27</f>
        <v>5521496.0540218633</v>
      </c>
      <c r="Z27" s="25">
        <f t="shared" si="22"/>
        <v>13178486.936459858</v>
      </c>
      <c r="AA27" s="26">
        <f>+Z27/'Fisico ASIG'!N27/24</f>
        <v>65.376972881578254</v>
      </c>
      <c r="AB27" s="26">
        <f t="shared" si="15"/>
        <v>15.806111696522654</v>
      </c>
      <c r="AC27" s="29">
        <f t="shared" si="23"/>
        <v>49.570861185055598</v>
      </c>
      <c r="AI27" s="1">
        <v>6725</v>
      </c>
      <c r="AJ27" s="1">
        <v>5351522</v>
      </c>
      <c r="AK27">
        <f t="shared" si="24"/>
        <v>1.44</v>
      </c>
      <c r="AL27" s="40">
        <f t="shared" si="25"/>
        <v>8437.7999999999993</v>
      </c>
      <c r="AM27">
        <v>2235000</v>
      </c>
      <c r="AN27" s="17">
        <v>33.769728348112501</v>
      </c>
      <c r="AO27" s="74">
        <f t="shared" si="26"/>
        <v>1.8744566634975939</v>
      </c>
    </row>
    <row r="28" spans="1:43" hidden="1" x14ac:dyDescent="0.25">
      <c r="A28" s="3">
        <v>1443</v>
      </c>
      <c r="B28" s="42">
        <v>1425.6669999999999</v>
      </c>
      <c r="C28" s="53">
        <f t="shared" si="16"/>
        <v>2025</v>
      </c>
      <c r="D28" s="52">
        <f>+'Fisico ASIG'!B28</f>
        <v>45931</v>
      </c>
      <c r="E28" s="1">
        <v>31</v>
      </c>
      <c r="F28" s="1" t="s">
        <v>45</v>
      </c>
      <c r="G28" s="56">
        <f t="shared" si="27"/>
        <v>45939</v>
      </c>
      <c r="H28" s="17">
        <v>28</v>
      </c>
      <c r="I28" s="17">
        <f t="shared" si="17"/>
        <v>4.66042966042966</v>
      </c>
      <c r="J28" s="17">
        <f t="shared" si="18"/>
        <v>5.8474012474012467</v>
      </c>
      <c r="K28" s="17"/>
      <c r="L28" s="17">
        <v>27</v>
      </c>
      <c r="M28" s="17">
        <v>71.5</v>
      </c>
      <c r="N28" s="17">
        <f t="shared" si="19"/>
        <v>35.633307371898489</v>
      </c>
      <c r="O28" s="17">
        <v>29.065080668340755</v>
      </c>
      <c r="P28" s="18">
        <f>SUMPRODUCT(H28:O28,'Fisico ASIG'!F28:M28)*24</f>
        <v>7325813.2786675058</v>
      </c>
      <c r="Q28" s="43">
        <v>0</v>
      </c>
      <c r="R28" s="43">
        <f t="shared" si="20"/>
        <v>5340.3961746361747</v>
      </c>
      <c r="S28" s="43">
        <f t="shared" si="21"/>
        <v>1548.8565488565489</v>
      </c>
      <c r="T28" s="43"/>
      <c r="U28" s="43">
        <v>18000</v>
      </c>
      <c r="V28" s="20">
        <v>0</v>
      </c>
      <c r="W28" s="20">
        <v>21900</v>
      </c>
      <c r="X28" s="20">
        <v>0</v>
      </c>
      <c r="Y28" s="18">
        <f>SUMPRODUCT(Q28:X28,'Fisico ASIG'!O28:V28)/E28</f>
        <v>5435440.6874104701</v>
      </c>
      <c r="Z28" s="25">
        <f t="shared" si="22"/>
        <v>12761253.966077976</v>
      </c>
      <c r="AA28" s="26">
        <f>+Z28/'Fisico ASIG'!N28/24</f>
        <v>63.346287415681076</v>
      </c>
      <c r="AB28" s="26">
        <f t="shared" si="15"/>
        <v>15.806111696522654</v>
      </c>
      <c r="AC28" s="29">
        <f t="shared" si="23"/>
        <v>47.54017571915842</v>
      </c>
      <c r="AI28" s="1">
        <v>6725</v>
      </c>
      <c r="AJ28" s="1">
        <v>5351522</v>
      </c>
      <c r="AK28">
        <f t="shared" si="24"/>
        <v>1.44</v>
      </c>
      <c r="AL28" s="40">
        <f t="shared" si="25"/>
        <v>8437.7999999999993</v>
      </c>
      <c r="AM28">
        <v>2235000</v>
      </c>
      <c r="AN28" s="17">
        <v>33.759538521684767</v>
      </c>
      <c r="AO28" s="74">
        <f t="shared" si="26"/>
        <v>1.873768850213722</v>
      </c>
    </row>
    <row r="29" spans="1:43" hidden="1" x14ac:dyDescent="0.25">
      <c r="A29" s="3">
        <v>1443</v>
      </c>
      <c r="B29" s="42">
        <v>1425.6669999999999</v>
      </c>
      <c r="C29" s="53">
        <f t="shared" si="16"/>
        <v>2025</v>
      </c>
      <c r="D29" s="52">
        <f>+'Fisico ASIG'!B29</f>
        <v>45931</v>
      </c>
      <c r="E29" s="1">
        <v>31</v>
      </c>
      <c r="F29" s="1" t="s">
        <v>46</v>
      </c>
      <c r="G29" s="56">
        <f t="shared" si="27"/>
        <v>45940</v>
      </c>
      <c r="H29" s="17">
        <v>28</v>
      </c>
      <c r="I29" s="17">
        <f t="shared" si="17"/>
        <v>4.66042966042966</v>
      </c>
      <c r="J29" s="17">
        <f t="shared" si="18"/>
        <v>5.8474012474012467</v>
      </c>
      <c r="K29" s="17"/>
      <c r="L29" s="17">
        <v>27</v>
      </c>
      <c r="M29" s="17">
        <v>71.5</v>
      </c>
      <c r="N29" s="17">
        <f t="shared" si="19"/>
        <v>36.522379958569836</v>
      </c>
      <c r="O29" s="17">
        <v>28.370983006213223</v>
      </c>
      <c r="P29" s="18">
        <f>SUMPRODUCT(H29:O29,'Fisico ASIG'!F29:M29)*24</f>
        <v>6268402.6833957164</v>
      </c>
      <c r="Q29" s="43">
        <v>0</v>
      </c>
      <c r="R29" s="43">
        <f t="shared" si="20"/>
        <v>5340.3961746361747</v>
      </c>
      <c r="S29" s="43">
        <f t="shared" si="21"/>
        <v>1548.8565488565489</v>
      </c>
      <c r="T29" s="43"/>
      <c r="U29" s="43">
        <v>18000</v>
      </c>
      <c r="V29" s="20">
        <v>0</v>
      </c>
      <c r="W29" s="20">
        <v>21900</v>
      </c>
      <c r="X29" s="20">
        <v>0</v>
      </c>
      <c r="Y29" s="18">
        <f>SUMPRODUCT(Q29:X29,'Fisico ASIG'!O29:V29)/E29</f>
        <v>5409615.9924802817</v>
      </c>
      <c r="Z29" s="25">
        <f t="shared" si="22"/>
        <v>11678018.675875999</v>
      </c>
      <c r="AA29" s="26">
        <f>+Z29/'Fisico ASIG'!N29/24</f>
        <v>63.163796122693476</v>
      </c>
      <c r="AB29" s="26">
        <f t="shared" si="15"/>
        <v>15.806111696522654</v>
      </c>
      <c r="AC29" s="29">
        <f t="shared" si="23"/>
        <v>47.35768442617082</v>
      </c>
      <c r="AI29" s="1">
        <v>6725</v>
      </c>
      <c r="AJ29" s="1">
        <v>5351522</v>
      </c>
      <c r="AK29">
        <f t="shared" si="24"/>
        <v>1.44</v>
      </c>
      <c r="AL29" s="40">
        <f t="shared" si="25"/>
        <v>8437.7999999999993</v>
      </c>
      <c r="AM29">
        <v>2235000</v>
      </c>
      <c r="AN29" s="17">
        <v>34.592393403812494</v>
      </c>
      <c r="AO29" s="74">
        <f t="shared" si="26"/>
        <v>1.9299865547573434</v>
      </c>
    </row>
    <row r="30" spans="1:43" hidden="1" x14ac:dyDescent="0.25">
      <c r="A30" s="3">
        <v>1443</v>
      </c>
      <c r="B30" s="42">
        <v>1425.6669999999999</v>
      </c>
      <c r="C30" s="53">
        <f t="shared" si="16"/>
        <v>2025</v>
      </c>
      <c r="D30" s="52">
        <f>+'Fisico ASIG'!B30</f>
        <v>45931</v>
      </c>
      <c r="E30" s="1">
        <v>31</v>
      </c>
      <c r="F30" s="1" t="s">
        <v>47</v>
      </c>
      <c r="G30" s="56">
        <f t="shared" si="27"/>
        <v>45941</v>
      </c>
      <c r="H30" s="17">
        <v>28</v>
      </c>
      <c r="I30" s="17">
        <f t="shared" si="17"/>
        <v>4.66042966042966</v>
      </c>
      <c r="J30" s="17">
        <f t="shared" si="18"/>
        <v>5.8474012474012467</v>
      </c>
      <c r="K30" s="17"/>
      <c r="L30" s="17">
        <v>27</v>
      </c>
      <c r="M30" s="17">
        <v>71.5</v>
      </c>
      <c r="N30" s="17">
        <f t="shared" si="19"/>
        <v>37.393913978564242</v>
      </c>
      <c r="O30" s="17">
        <v>28.043782461790791</v>
      </c>
      <c r="P30" s="18">
        <f>SUMPRODUCT(H30:O30,'Fisico ASIG'!F30:M30)*24</f>
        <v>6379318.3568593841</v>
      </c>
      <c r="Q30" s="43">
        <v>0</v>
      </c>
      <c r="R30" s="43">
        <f t="shared" si="20"/>
        <v>5340.3961746361747</v>
      </c>
      <c r="S30" s="43">
        <f t="shared" si="21"/>
        <v>1548.8565488565489</v>
      </c>
      <c r="T30" s="43"/>
      <c r="U30" s="43">
        <v>18000</v>
      </c>
      <c r="V30" s="20">
        <v>0</v>
      </c>
      <c r="W30" s="20">
        <v>21900</v>
      </c>
      <c r="X30" s="20">
        <v>0</v>
      </c>
      <c r="Y30" s="18">
        <f>SUMPRODUCT(Q30:X30,'Fisico ASIG'!O30:V30)/E30</f>
        <v>5447059.5378729468</v>
      </c>
      <c r="Z30" s="25">
        <f t="shared" si="22"/>
        <v>11826377.89473233</v>
      </c>
      <c r="AA30" s="26">
        <f>+Z30/'Fisico ASIG'!N30/24</f>
        <v>62.649775550192466</v>
      </c>
      <c r="AB30" s="26">
        <f t="shared" si="15"/>
        <v>15.806111696522654</v>
      </c>
      <c r="AC30" s="29">
        <f t="shared" si="23"/>
        <v>46.84366385366981</v>
      </c>
      <c r="AI30" s="1">
        <v>6725</v>
      </c>
      <c r="AJ30" s="1">
        <v>5351522</v>
      </c>
      <c r="AK30">
        <f t="shared" si="24"/>
        <v>1.44</v>
      </c>
      <c r="AL30" s="40">
        <f t="shared" si="25"/>
        <v>8437.7999999999993</v>
      </c>
      <c r="AM30">
        <v>2235000</v>
      </c>
      <c r="AN30" s="17">
        <v>35.408818715282663</v>
      </c>
      <c r="AO30" s="74">
        <f t="shared" si="26"/>
        <v>1.9850952632815799</v>
      </c>
    </row>
    <row r="31" spans="1:43" hidden="1" x14ac:dyDescent="0.25">
      <c r="A31" s="3">
        <v>1443</v>
      </c>
      <c r="B31" s="42">
        <v>1425.6669999999999</v>
      </c>
      <c r="C31" s="53">
        <f t="shared" si="16"/>
        <v>2025</v>
      </c>
      <c r="D31" s="52">
        <f>+'Fisico ASIG'!B31</f>
        <v>45931</v>
      </c>
      <c r="E31" s="1">
        <v>31</v>
      </c>
      <c r="F31" s="1" t="s">
        <v>48</v>
      </c>
      <c r="G31" s="56">
        <f t="shared" si="27"/>
        <v>45942</v>
      </c>
      <c r="H31" s="17">
        <v>28</v>
      </c>
      <c r="I31" s="17">
        <f t="shared" si="17"/>
        <v>4.66042966042966</v>
      </c>
      <c r="J31" s="17">
        <f t="shared" si="18"/>
        <v>5.8474012474012467</v>
      </c>
      <c r="K31" s="17"/>
      <c r="L31" s="17">
        <v>27</v>
      </c>
      <c r="M31" s="17">
        <v>71.5</v>
      </c>
      <c r="N31" s="17">
        <f t="shared" si="19"/>
        <v>36.798931971888535</v>
      </c>
      <c r="O31" s="17">
        <v>32.057297258607115</v>
      </c>
      <c r="P31" s="18">
        <f>SUMPRODUCT(H31:O31,'Fisico ASIG'!F31:M31)*24</f>
        <v>6917671.1801289115</v>
      </c>
      <c r="Q31" s="43">
        <v>0</v>
      </c>
      <c r="R31" s="43">
        <f t="shared" si="20"/>
        <v>5340.3961746361747</v>
      </c>
      <c r="S31" s="43">
        <f t="shared" si="21"/>
        <v>1548.8565488565489</v>
      </c>
      <c r="T31" s="43"/>
      <c r="U31" s="43">
        <v>18000</v>
      </c>
      <c r="V31" s="20">
        <v>0</v>
      </c>
      <c r="W31" s="20">
        <v>21900</v>
      </c>
      <c r="X31" s="20">
        <v>0</v>
      </c>
      <c r="Y31" s="18">
        <f>SUMPRODUCT(Q31:X31,'Fisico ASIG'!O31:V31)/E31</f>
        <v>5485644.0432371395</v>
      </c>
      <c r="Z31" s="25">
        <f t="shared" si="22"/>
        <v>12403315.223366052</v>
      </c>
      <c r="AA31" s="26">
        <f>+Z31/'Fisico ASIG'!N31/24</f>
        <v>68.841524512823995</v>
      </c>
      <c r="AB31" s="26">
        <f t="shared" si="15"/>
        <v>15.806111696522654</v>
      </c>
      <c r="AC31" s="29">
        <f t="shared" si="23"/>
        <v>53.035412816301339</v>
      </c>
      <c r="AI31" s="1">
        <v>6725</v>
      </c>
      <c r="AJ31" s="1">
        <v>5351522</v>
      </c>
      <c r="AK31">
        <f t="shared" si="24"/>
        <v>1.44</v>
      </c>
      <c r="AL31" s="40">
        <f t="shared" si="25"/>
        <v>8437.7999999999993</v>
      </c>
      <c r="AM31">
        <v>2235000</v>
      </c>
      <c r="AN31" s="17">
        <v>34.85145852167544</v>
      </c>
      <c r="AO31" s="74">
        <f t="shared" si="26"/>
        <v>1.9474734502130924</v>
      </c>
    </row>
    <row r="32" spans="1:43" hidden="1" x14ac:dyDescent="0.25">
      <c r="A32" s="3">
        <v>1443</v>
      </c>
      <c r="B32" s="42">
        <v>1429.75</v>
      </c>
      <c r="C32" s="53">
        <f t="shared" si="16"/>
        <v>2025</v>
      </c>
      <c r="D32" s="52">
        <f>+'Fisico ASIG'!B32</f>
        <v>45931</v>
      </c>
      <c r="E32" s="1">
        <v>31</v>
      </c>
      <c r="F32" s="1" t="s">
        <v>49</v>
      </c>
      <c r="G32" s="56">
        <f t="shared" si="27"/>
        <v>45943</v>
      </c>
      <c r="H32" s="17">
        <v>28</v>
      </c>
      <c r="I32" s="17">
        <f t="shared" si="17"/>
        <v>4.66042966042966</v>
      </c>
      <c r="J32" s="17">
        <f t="shared" si="18"/>
        <v>5.8474012474012467</v>
      </c>
      <c r="K32" s="17"/>
      <c r="L32" s="17">
        <v>27</v>
      </c>
      <c r="M32" s="17">
        <v>71.5</v>
      </c>
      <c r="N32" s="17">
        <f t="shared" si="19"/>
        <v>35.658401313683306</v>
      </c>
      <c r="O32" s="17">
        <v>28.206490508179261</v>
      </c>
      <c r="P32" s="18">
        <f>SUMPRODUCT(H32:O32,'Fisico ASIG'!F32:M32)*24</f>
        <v>7467515.0787874935</v>
      </c>
      <c r="Q32" s="43">
        <v>0</v>
      </c>
      <c r="R32" s="43">
        <f t="shared" si="20"/>
        <v>5340.3961746361747</v>
      </c>
      <c r="S32" s="43">
        <f t="shared" si="21"/>
        <v>1548.8565488565489</v>
      </c>
      <c r="T32" s="43"/>
      <c r="U32" s="43">
        <v>18000</v>
      </c>
      <c r="V32" s="20">
        <v>0</v>
      </c>
      <c r="W32" s="20">
        <v>21900</v>
      </c>
      <c r="X32" s="20">
        <v>0</v>
      </c>
      <c r="Y32" s="18">
        <f>SUMPRODUCT(Q32:X32,'Fisico ASIG'!O32:V32)/E32</f>
        <v>5416194.3780265916</v>
      </c>
      <c r="Z32" s="25">
        <f t="shared" si="22"/>
        <v>12883709.456814084</v>
      </c>
      <c r="AA32" s="26">
        <f>+Z32/'Fisico ASIG'!N32/24</f>
        <v>61.63375252540277</v>
      </c>
      <c r="AB32" s="26">
        <f t="shared" si="15"/>
        <v>15.806111696522654</v>
      </c>
      <c r="AC32" s="29">
        <f t="shared" si="23"/>
        <v>45.827640828880114</v>
      </c>
      <c r="AI32" s="1">
        <v>6725</v>
      </c>
      <c r="AJ32" s="1">
        <v>5351522</v>
      </c>
      <c r="AK32">
        <f t="shared" si="24"/>
        <v>1.44</v>
      </c>
      <c r="AL32" s="40">
        <f t="shared" si="25"/>
        <v>8437.7999999999993</v>
      </c>
      <c r="AM32">
        <v>2235000</v>
      </c>
      <c r="AN32" s="17">
        <v>33.783045727103797</v>
      </c>
      <c r="AO32" s="74">
        <f t="shared" si="26"/>
        <v>1.8753555865795064</v>
      </c>
    </row>
    <row r="33" spans="1:41" hidden="1" x14ac:dyDescent="0.25">
      <c r="A33" s="3">
        <v>1443</v>
      </c>
      <c r="B33" s="42">
        <v>1429.75</v>
      </c>
      <c r="C33" s="53">
        <f t="shared" si="16"/>
        <v>2025</v>
      </c>
      <c r="D33" s="52">
        <f>+'Fisico ASIG'!B33</f>
        <v>45931</v>
      </c>
      <c r="E33" s="1">
        <v>31</v>
      </c>
      <c r="F33" s="1" t="s">
        <v>50</v>
      </c>
      <c r="G33" s="56">
        <f t="shared" si="27"/>
        <v>45944</v>
      </c>
      <c r="H33" s="17">
        <v>28</v>
      </c>
      <c r="I33" s="17">
        <f t="shared" si="17"/>
        <v>4.66042966042966</v>
      </c>
      <c r="J33" s="17">
        <f t="shared" si="18"/>
        <v>5.8474012474012467</v>
      </c>
      <c r="K33" s="17"/>
      <c r="L33" s="17">
        <v>27</v>
      </c>
      <c r="M33" s="17">
        <v>71.5</v>
      </c>
      <c r="N33" s="17">
        <f t="shared" si="19"/>
        <v>38.506671170872607</v>
      </c>
      <c r="O33" s="17">
        <v>40.357183752800267</v>
      </c>
      <c r="P33" s="18">
        <f>SUMPRODUCT(H33:O33,'Fisico ASIG'!F33:M33)*24</f>
        <v>7071729.4005617164</v>
      </c>
      <c r="Q33" s="43">
        <v>0</v>
      </c>
      <c r="R33" s="43">
        <f t="shared" si="20"/>
        <v>5340.3961746361747</v>
      </c>
      <c r="S33" s="43">
        <f t="shared" si="21"/>
        <v>1548.8565488565489</v>
      </c>
      <c r="T33" s="43"/>
      <c r="U33" s="43">
        <v>18000</v>
      </c>
      <c r="V33" s="20">
        <v>0</v>
      </c>
      <c r="W33" s="20">
        <v>21900</v>
      </c>
      <c r="X33" s="20">
        <v>0</v>
      </c>
      <c r="Y33" s="18">
        <f>SUMPRODUCT(Q33:X33,'Fisico ASIG'!O33:V33)/E33</f>
        <v>5386815.4460795363</v>
      </c>
      <c r="Z33" s="25">
        <f t="shared" si="22"/>
        <v>12458544.846641254</v>
      </c>
      <c r="AA33" s="26">
        <f>+Z33/'Fisico ASIG'!N33/24</f>
        <v>60.126667355040979</v>
      </c>
      <c r="AB33" s="26">
        <f t="shared" si="15"/>
        <v>15.806111696522654</v>
      </c>
      <c r="AC33" s="29">
        <f t="shared" si="23"/>
        <v>44.320555658518323</v>
      </c>
      <c r="AI33" s="1">
        <v>6725</v>
      </c>
      <c r="AJ33" s="1">
        <v>5351522</v>
      </c>
      <c r="AK33">
        <f t="shared" si="24"/>
        <v>1.44</v>
      </c>
      <c r="AL33" s="40">
        <f t="shared" si="25"/>
        <v>8437.7999999999993</v>
      </c>
      <c r="AM33">
        <v>2235000</v>
      </c>
      <c r="AN33" s="17">
        <v>36.451214211590262</v>
      </c>
      <c r="AO33" s="74">
        <f t="shared" si="26"/>
        <v>2.0554569592823428</v>
      </c>
    </row>
    <row r="34" spans="1:41" hidden="1" x14ac:dyDescent="0.25">
      <c r="A34" s="3">
        <v>1443</v>
      </c>
      <c r="B34" s="42">
        <v>1429.75</v>
      </c>
      <c r="C34" s="53">
        <f t="shared" si="16"/>
        <v>2025</v>
      </c>
      <c r="D34" s="52">
        <f>+'Fisico ASIG'!B34</f>
        <v>45931</v>
      </c>
      <c r="E34" s="1">
        <v>31</v>
      </c>
      <c r="F34" s="1" t="s">
        <v>44</v>
      </c>
      <c r="G34" s="56">
        <f t="shared" si="27"/>
        <v>45945</v>
      </c>
      <c r="H34" s="17">
        <v>28</v>
      </c>
      <c r="I34" s="17">
        <f t="shared" si="17"/>
        <v>4.66042966042966</v>
      </c>
      <c r="J34" s="17">
        <f t="shared" si="18"/>
        <v>5.8474012474012467</v>
      </c>
      <c r="K34" s="17"/>
      <c r="L34" s="17">
        <v>27</v>
      </c>
      <c r="M34" s="17">
        <v>71.5</v>
      </c>
      <c r="N34" s="17">
        <f t="shared" si="19"/>
        <v>38.152581861196758</v>
      </c>
      <c r="O34" s="17">
        <v>42.463854302366684</v>
      </c>
      <c r="P34" s="18">
        <f>SUMPRODUCT(H34:O34,'Fisico ASIG'!F34:M34)*24</f>
        <v>7589752.3161388915</v>
      </c>
      <c r="Q34" s="43">
        <v>0</v>
      </c>
      <c r="R34" s="43">
        <f t="shared" si="20"/>
        <v>5340.3961746361747</v>
      </c>
      <c r="S34" s="43">
        <f t="shared" si="21"/>
        <v>1548.8565488565489</v>
      </c>
      <c r="T34" s="43"/>
      <c r="U34" s="43">
        <v>18000</v>
      </c>
      <c r="V34" s="20">
        <v>0</v>
      </c>
      <c r="W34" s="20">
        <v>21900</v>
      </c>
      <c r="X34" s="20">
        <v>0</v>
      </c>
      <c r="Y34" s="18">
        <f>SUMPRODUCT(Q34:X34,'Fisico ASIG'!O34:V34)/E34</f>
        <v>5331728.2484384654</v>
      </c>
      <c r="Z34" s="25">
        <f t="shared" si="22"/>
        <v>12921480.564577356</v>
      </c>
      <c r="AA34" s="26">
        <f>+Z34/'Fisico ASIG'!N34/24</f>
        <v>60.412775000870255</v>
      </c>
      <c r="AB34" s="26">
        <f t="shared" si="15"/>
        <v>15.806111696522654</v>
      </c>
      <c r="AC34" s="29">
        <f t="shared" si="23"/>
        <v>44.606663304347599</v>
      </c>
      <c r="AI34" s="1">
        <v>6725</v>
      </c>
      <c r="AJ34" s="1">
        <v>5351522</v>
      </c>
      <c r="AK34">
        <f t="shared" si="24"/>
        <v>1.44</v>
      </c>
      <c r="AL34" s="40">
        <f t="shared" si="25"/>
        <v>8437.7999999999993</v>
      </c>
      <c r="AM34">
        <v>2235000</v>
      </c>
      <c r="AN34" s="17">
        <v>36.119514624071904</v>
      </c>
      <c r="AO34" s="74">
        <f t="shared" si="26"/>
        <v>2.0330672371248535</v>
      </c>
    </row>
    <row r="35" spans="1:41" hidden="1" x14ac:dyDescent="0.25">
      <c r="A35" s="3">
        <v>1443</v>
      </c>
      <c r="B35" s="42">
        <v>1429.75</v>
      </c>
      <c r="C35" s="53">
        <f t="shared" si="16"/>
        <v>2025</v>
      </c>
      <c r="D35" s="52">
        <f>+'Fisico ASIG'!B35</f>
        <v>45931</v>
      </c>
      <c r="E35" s="1">
        <v>31</v>
      </c>
      <c r="F35" s="1" t="s">
        <v>45</v>
      </c>
      <c r="G35" s="56">
        <f t="shared" si="27"/>
        <v>45946</v>
      </c>
      <c r="H35" s="17">
        <v>28</v>
      </c>
      <c r="I35" s="17">
        <f t="shared" si="17"/>
        <v>4.66042966042966</v>
      </c>
      <c r="J35" s="17">
        <f t="shared" si="18"/>
        <v>5.8474012474012467</v>
      </c>
      <c r="K35" s="17"/>
      <c r="L35" s="17">
        <v>27</v>
      </c>
      <c r="M35" s="17">
        <v>71.5</v>
      </c>
      <c r="N35" s="17">
        <f t="shared" si="19"/>
        <v>37.936493702844096</v>
      </c>
      <c r="O35" s="17">
        <v>82.750689472468636</v>
      </c>
      <c r="P35" s="18">
        <f>SUMPRODUCT(H35:O35,'Fisico ASIG'!F35:M35)*24</f>
        <v>7322812.1478001084</v>
      </c>
      <c r="Q35" s="43">
        <v>0</v>
      </c>
      <c r="R35" s="43">
        <f t="shared" si="20"/>
        <v>5340.3961746361747</v>
      </c>
      <c r="S35" s="43">
        <f t="shared" si="21"/>
        <v>1548.8565488565489</v>
      </c>
      <c r="T35" s="43"/>
      <c r="U35" s="43">
        <v>18000</v>
      </c>
      <c r="V35" s="20">
        <v>0</v>
      </c>
      <c r="W35" s="20">
        <v>21900</v>
      </c>
      <c r="X35" s="20">
        <v>0</v>
      </c>
      <c r="Y35" s="18">
        <f>SUMPRODUCT(Q35:X35,'Fisico ASIG'!O35:V35)/E35</f>
        <v>5243604.7991878465</v>
      </c>
      <c r="Z35" s="25">
        <f t="shared" si="22"/>
        <v>12566416.946987955</v>
      </c>
      <c r="AA35" s="26">
        <f>+Z35/'Fisico ASIG'!N35/24</f>
        <v>57.279802281149898</v>
      </c>
      <c r="AB35" s="26">
        <f t="shared" si="15"/>
        <v>15.806111696522654</v>
      </c>
      <c r="AC35" s="29">
        <f t="shared" si="23"/>
        <v>41.473690584627242</v>
      </c>
      <c r="AI35" s="1">
        <v>6725</v>
      </c>
      <c r="AJ35" s="1">
        <v>5351522</v>
      </c>
      <c r="AK35">
        <f t="shared" si="24"/>
        <v>1.44</v>
      </c>
      <c r="AL35" s="40">
        <f t="shared" si="25"/>
        <v>8437.7999999999993</v>
      </c>
      <c r="AM35">
        <v>2235000</v>
      </c>
      <c r="AN35" s="17">
        <v>35.917090119760275</v>
      </c>
      <c r="AO35" s="74">
        <f t="shared" si="26"/>
        <v>2.0194035830838186</v>
      </c>
    </row>
    <row r="36" spans="1:41" hidden="1" x14ac:dyDescent="0.25">
      <c r="A36" s="3">
        <v>1443</v>
      </c>
      <c r="B36" s="42">
        <v>1429.75</v>
      </c>
      <c r="C36" s="53">
        <f t="shared" si="16"/>
        <v>2025</v>
      </c>
      <c r="D36" s="52">
        <f>+'Fisico ASIG'!B36</f>
        <v>45931</v>
      </c>
      <c r="E36" s="1">
        <v>31</v>
      </c>
      <c r="F36" s="1" t="s">
        <v>46</v>
      </c>
      <c r="G36" s="56">
        <f t="shared" si="27"/>
        <v>45947</v>
      </c>
      <c r="H36" s="17">
        <v>28</v>
      </c>
      <c r="I36" s="17">
        <f t="shared" si="17"/>
        <v>4.66042966042966</v>
      </c>
      <c r="J36" s="17">
        <f t="shared" si="18"/>
        <v>5.8474012474012467</v>
      </c>
      <c r="K36" s="17"/>
      <c r="L36" s="17">
        <v>27</v>
      </c>
      <c r="M36" s="17">
        <v>71.5</v>
      </c>
      <c r="N36" s="17">
        <f t="shared" si="19"/>
        <v>36.458904216920494</v>
      </c>
      <c r="O36" s="17">
        <v>55.796344882926263</v>
      </c>
      <c r="P36" s="18">
        <f>SUMPRODUCT(H36:O36,'Fisico ASIG'!F36:M36)*24</f>
        <v>6841408.4674022496</v>
      </c>
      <c r="Q36" s="43">
        <v>0</v>
      </c>
      <c r="R36" s="43">
        <f t="shared" si="20"/>
        <v>5340.3961746361747</v>
      </c>
      <c r="S36" s="43">
        <f t="shared" si="21"/>
        <v>1548.8565488565489</v>
      </c>
      <c r="T36" s="43"/>
      <c r="U36" s="43">
        <v>18000</v>
      </c>
      <c r="V36" s="20">
        <v>0</v>
      </c>
      <c r="W36" s="20">
        <v>21900</v>
      </c>
      <c r="X36" s="20">
        <v>0</v>
      </c>
      <c r="Y36" s="18">
        <f>SUMPRODUCT(Q36:X36,'Fisico ASIG'!O36:V36)/E36</f>
        <v>5268039.8766642716</v>
      </c>
      <c r="Z36" s="25">
        <f t="shared" si="22"/>
        <v>12109448.344066521</v>
      </c>
      <c r="AA36" s="26">
        <f>+Z36/'Fisico ASIG'!N36/24</f>
        <v>57.831011633524561</v>
      </c>
      <c r="AB36" s="26">
        <f t="shared" si="15"/>
        <v>15.806111696522654</v>
      </c>
      <c r="AC36" s="29">
        <f t="shared" si="23"/>
        <v>42.024899937001905</v>
      </c>
      <c r="AI36" s="1">
        <v>6725</v>
      </c>
      <c r="AJ36" s="1">
        <v>5351522</v>
      </c>
      <c r="AK36">
        <f t="shared" si="24"/>
        <v>1.44</v>
      </c>
      <c r="AL36" s="40">
        <f t="shared" si="25"/>
        <v>8437.7999999999993</v>
      </c>
      <c r="AM36">
        <v>2235000</v>
      </c>
      <c r="AN36" s="17">
        <v>34.532931350745194</v>
      </c>
      <c r="AO36" s="74">
        <f t="shared" si="26"/>
        <v>1.9259728661753008</v>
      </c>
    </row>
    <row r="37" spans="1:41" hidden="1" x14ac:dyDescent="0.25">
      <c r="A37" s="3">
        <v>1443</v>
      </c>
      <c r="B37" s="42">
        <v>1429.75</v>
      </c>
      <c r="C37" s="53">
        <f t="shared" si="16"/>
        <v>2025</v>
      </c>
      <c r="D37" s="52">
        <f>+'Fisico ASIG'!B37</f>
        <v>45931</v>
      </c>
      <c r="E37" s="1">
        <v>31</v>
      </c>
      <c r="F37" s="1" t="s">
        <v>47</v>
      </c>
      <c r="G37" s="56">
        <f t="shared" si="27"/>
        <v>45948</v>
      </c>
      <c r="H37" s="17">
        <v>28</v>
      </c>
      <c r="I37" s="17">
        <f t="shared" si="17"/>
        <v>4.66042966042966</v>
      </c>
      <c r="J37" s="17">
        <f t="shared" si="18"/>
        <v>5.8474012474012467</v>
      </c>
      <c r="K37" s="17"/>
      <c r="L37" s="17">
        <v>27</v>
      </c>
      <c r="M37" s="17">
        <v>71.5</v>
      </c>
      <c r="N37" s="17">
        <f t="shared" si="19"/>
        <v>35.258964097772292</v>
      </c>
      <c r="O37" s="17">
        <v>42.231903229784422</v>
      </c>
      <c r="P37" s="18">
        <f>SUMPRODUCT(H37:O37,'Fisico ASIG'!F37:M37)*24</f>
        <v>6542188.8477903614</v>
      </c>
      <c r="Q37" s="43">
        <v>0</v>
      </c>
      <c r="R37" s="43">
        <f t="shared" si="20"/>
        <v>5340.3961746361747</v>
      </c>
      <c r="S37" s="43">
        <f t="shared" si="21"/>
        <v>1548.8565488565489</v>
      </c>
      <c r="T37" s="43"/>
      <c r="U37" s="43">
        <v>18000</v>
      </c>
      <c r="V37" s="20">
        <v>0</v>
      </c>
      <c r="W37" s="20">
        <v>21900</v>
      </c>
      <c r="X37" s="20">
        <v>0</v>
      </c>
      <c r="Y37" s="18">
        <f>SUMPRODUCT(Q37:X37,'Fisico ASIG'!O37:V37)/E37</f>
        <v>5272886.6620504139</v>
      </c>
      <c r="Z37" s="25">
        <f t="shared" si="22"/>
        <v>11815075.509840775</v>
      </c>
      <c r="AA37" s="26">
        <f>+Z37/'Fisico ASIG'!N37/24</f>
        <v>62.391547245303933</v>
      </c>
      <c r="AB37" s="26">
        <f t="shared" si="15"/>
        <v>15.806111696522654</v>
      </c>
      <c r="AC37" s="29">
        <f t="shared" si="23"/>
        <v>46.585435548781277</v>
      </c>
      <c r="AI37" s="1">
        <v>6725</v>
      </c>
      <c r="AJ37" s="1">
        <v>5351522</v>
      </c>
      <c r="AK37">
        <f t="shared" si="24"/>
        <v>1.44</v>
      </c>
      <c r="AL37" s="40">
        <f t="shared" si="25"/>
        <v>8437.7999999999993</v>
      </c>
      <c r="AM37">
        <v>2235000</v>
      </c>
      <c r="AN37" s="17">
        <v>33.408865665360459</v>
      </c>
      <c r="AO37" s="74">
        <f t="shared" si="26"/>
        <v>1.850098432411831</v>
      </c>
    </row>
    <row r="38" spans="1:41" hidden="1" x14ac:dyDescent="0.25">
      <c r="A38" s="3">
        <v>1443</v>
      </c>
      <c r="B38" s="42">
        <v>1429.75</v>
      </c>
      <c r="C38" s="53">
        <f t="shared" si="16"/>
        <v>2025</v>
      </c>
      <c r="D38" s="52">
        <f>+'Fisico ASIG'!B38</f>
        <v>45931</v>
      </c>
      <c r="E38" s="1">
        <v>31</v>
      </c>
      <c r="F38" s="1" t="s">
        <v>48</v>
      </c>
      <c r="G38" s="56">
        <f t="shared" si="27"/>
        <v>45949</v>
      </c>
      <c r="H38" s="17">
        <v>28</v>
      </c>
      <c r="I38" s="17">
        <f t="shared" si="17"/>
        <v>4.66042966042966</v>
      </c>
      <c r="J38" s="17">
        <f t="shared" si="18"/>
        <v>5.8474012474012467</v>
      </c>
      <c r="K38" s="17"/>
      <c r="L38" s="17">
        <v>27</v>
      </c>
      <c r="M38" s="17">
        <v>71.5</v>
      </c>
      <c r="N38" s="17">
        <f t="shared" si="19"/>
        <v>35.101404405048129</v>
      </c>
      <c r="O38" s="17">
        <v>56.517919018223687</v>
      </c>
      <c r="P38" s="18">
        <f>SUMPRODUCT(H38:O38,'Fisico ASIG'!F38:M38)*24</f>
        <v>7036026.7522964794</v>
      </c>
      <c r="Q38" s="43">
        <v>0</v>
      </c>
      <c r="R38" s="43">
        <f t="shared" si="20"/>
        <v>5340.3961746361747</v>
      </c>
      <c r="S38" s="43">
        <f t="shared" si="21"/>
        <v>1548.8565488565489</v>
      </c>
      <c r="T38" s="43"/>
      <c r="U38" s="43">
        <v>18000</v>
      </c>
      <c r="V38" s="20">
        <v>0</v>
      </c>
      <c r="W38" s="20">
        <v>21900</v>
      </c>
      <c r="X38" s="20">
        <v>0</v>
      </c>
      <c r="Y38" s="18">
        <f>SUMPRODUCT(Q38:X38,'Fisico ASIG'!O38:V38)/E38</f>
        <v>5234745.9110370856</v>
      </c>
      <c r="Z38" s="25">
        <f t="shared" si="22"/>
        <v>12270772.663333565</v>
      </c>
      <c r="AA38" s="26">
        <f>+Z38/'Fisico ASIG'!N38/24</f>
        <v>68.164926644733967</v>
      </c>
      <c r="AB38" s="26">
        <f t="shared" si="15"/>
        <v>15.806111696522654</v>
      </c>
      <c r="AC38" s="29">
        <f t="shared" si="23"/>
        <v>52.358814948211311</v>
      </c>
      <c r="AI38" s="1">
        <v>6725</v>
      </c>
      <c r="AJ38" s="1">
        <v>5351522</v>
      </c>
      <c r="AK38">
        <f t="shared" si="24"/>
        <v>1.44</v>
      </c>
      <c r="AL38" s="40">
        <f t="shared" si="25"/>
        <v>8437.7999999999993</v>
      </c>
      <c r="AM38">
        <v>2235000</v>
      </c>
      <c r="AN38" s="17">
        <v>33.261268763511126</v>
      </c>
      <c r="AO38" s="74">
        <f t="shared" si="26"/>
        <v>1.8401356415370012</v>
      </c>
    </row>
    <row r="39" spans="1:41" hidden="1" x14ac:dyDescent="0.25">
      <c r="A39" s="3">
        <v>1443</v>
      </c>
      <c r="B39" s="42">
        <v>1429.75</v>
      </c>
      <c r="C39" s="53">
        <f t="shared" si="16"/>
        <v>2025</v>
      </c>
      <c r="D39" s="52">
        <f>+'Fisico ASIG'!B39</f>
        <v>45931</v>
      </c>
      <c r="E39" s="1">
        <v>31</v>
      </c>
      <c r="F39" s="1" t="s">
        <v>49</v>
      </c>
      <c r="G39" s="56">
        <f t="shared" si="27"/>
        <v>45950</v>
      </c>
      <c r="H39" s="17">
        <v>28</v>
      </c>
      <c r="I39" s="17">
        <f t="shared" si="17"/>
        <v>4.66042966042966</v>
      </c>
      <c r="J39" s="17">
        <f t="shared" si="18"/>
        <v>5.8474012474012467</v>
      </c>
      <c r="K39" s="17"/>
      <c r="L39" s="17">
        <v>27</v>
      </c>
      <c r="M39" s="17">
        <v>71.5</v>
      </c>
      <c r="N39" s="17">
        <f t="shared" si="19"/>
        <v>35.206894437970639</v>
      </c>
      <c r="O39" s="17">
        <v>57.456055583417935</v>
      </c>
      <c r="P39" s="18">
        <f>SUMPRODUCT(H39:O39,'Fisico ASIG'!F39:M39)*24</f>
        <v>7427498.3590770056</v>
      </c>
      <c r="Q39" s="43">
        <v>0</v>
      </c>
      <c r="R39" s="43">
        <f t="shared" si="20"/>
        <v>5340.3961746361747</v>
      </c>
      <c r="S39" s="43">
        <f t="shared" si="21"/>
        <v>1548.8565488565489</v>
      </c>
      <c r="T39" s="43"/>
      <c r="U39" s="43">
        <v>18000</v>
      </c>
      <c r="V39" s="20">
        <v>0</v>
      </c>
      <c r="W39" s="20">
        <v>21900</v>
      </c>
      <c r="X39" s="20">
        <v>0</v>
      </c>
      <c r="Y39" s="18">
        <f>SUMPRODUCT(Q39:X39,'Fisico ASIG'!O39:V39)/E39</f>
        <v>5233045.792943866</v>
      </c>
      <c r="Z39" s="25">
        <f t="shared" si="22"/>
        <v>12660544.152020872</v>
      </c>
      <c r="AA39" s="26">
        <f>+Z39/'Fisico ASIG'!N39/24</f>
        <v>64.827626995413297</v>
      </c>
      <c r="AB39" s="26">
        <f t="shared" si="15"/>
        <v>15.806111696522654</v>
      </c>
      <c r="AC39" s="29">
        <f t="shared" si="23"/>
        <v>49.021515298890641</v>
      </c>
      <c r="AI39" s="1">
        <v>6725</v>
      </c>
      <c r="AJ39" s="1">
        <v>5351522</v>
      </c>
      <c r="AK39">
        <f t="shared" si="24"/>
        <v>1.44</v>
      </c>
      <c r="AL39" s="40">
        <f t="shared" si="25"/>
        <v>8437.7999999999993</v>
      </c>
      <c r="AM39">
        <v>2235000</v>
      </c>
      <c r="AN39" s="17">
        <v>33.360088466483035</v>
      </c>
      <c r="AO39" s="74">
        <f t="shared" si="26"/>
        <v>1.8468059714876051</v>
      </c>
    </row>
    <row r="40" spans="1:41" hidden="1" x14ac:dyDescent="0.25">
      <c r="A40" s="3">
        <v>1443</v>
      </c>
      <c r="B40" s="42">
        <v>1429.75</v>
      </c>
      <c r="C40" s="53">
        <f t="shared" si="16"/>
        <v>2025</v>
      </c>
      <c r="D40" s="52">
        <f>+'Fisico ASIG'!B40</f>
        <v>45931</v>
      </c>
      <c r="E40" s="1">
        <v>31</v>
      </c>
      <c r="F40" s="1" t="s">
        <v>50</v>
      </c>
      <c r="G40" s="56">
        <f t="shared" si="27"/>
        <v>45951</v>
      </c>
      <c r="H40" s="17">
        <v>28</v>
      </c>
      <c r="I40" s="17">
        <f t="shared" si="17"/>
        <v>4.66042966042966</v>
      </c>
      <c r="J40" s="17">
        <f t="shared" si="18"/>
        <v>5.8474012474012467</v>
      </c>
      <c r="K40" s="17"/>
      <c r="L40" s="17">
        <v>27</v>
      </c>
      <c r="M40" s="17">
        <v>71.5</v>
      </c>
      <c r="N40" s="17">
        <f t="shared" si="19"/>
        <v>35.355513511088418</v>
      </c>
      <c r="O40" s="17">
        <v>55.900449426603529</v>
      </c>
      <c r="P40" s="18">
        <f>SUMPRODUCT(H40:O40,'Fisico ASIG'!F40:M40)*24</f>
        <v>7510837.9735623021</v>
      </c>
      <c r="Q40" s="43">
        <v>0</v>
      </c>
      <c r="R40" s="43">
        <f t="shared" si="20"/>
        <v>5340.3961746361747</v>
      </c>
      <c r="S40" s="43">
        <f t="shared" si="21"/>
        <v>1548.8565488565489</v>
      </c>
      <c r="T40" s="43"/>
      <c r="U40" s="43">
        <v>18000</v>
      </c>
      <c r="V40" s="20">
        <v>0</v>
      </c>
      <c r="W40" s="20">
        <v>21900</v>
      </c>
      <c r="X40" s="20">
        <v>0</v>
      </c>
      <c r="Y40" s="18">
        <f>SUMPRODUCT(Q40:X40,'Fisico ASIG'!O40:V40)/E40</f>
        <v>5176237.3293161066</v>
      </c>
      <c r="Z40" s="25">
        <f t="shared" si="22"/>
        <v>12687075.30287841</v>
      </c>
      <c r="AA40" s="26">
        <f>+Z40/'Fisico ASIG'!N40/24</f>
        <v>58.217225422960439</v>
      </c>
      <c r="AB40" s="26">
        <f t="shared" si="15"/>
        <v>15.806111696522654</v>
      </c>
      <c r="AC40" s="29">
        <f t="shared" si="23"/>
        <v>42.411113726437783</v>
      </c>
      <c r="AI40" s="1">
        <v>6725</v>
      </c>
      <c r="AJ40" s="1">
        <v>5351522</v>
      </c>
      <c r="AK40">
        <f t="shared" si="24"/>
        <v>1.44</v>
      </c>
      <c r="AL40" s="40">
        <f t="shared" si="25"/>
        <v>8437.7999999999993</v>
      </c>
      <c r="AM40">
        <v>2235000</v>
      </c>
      <c r="AN40" s="17">
        <v>33.499310080644889</v>
      </c>
      <c r="AO40" s="74">
        <f t="shared" si="26"/>
        <v>1.8562034304435302</v>
      </c>
    </row>
    <row r="41" spans="1:41" hidden="1" x14ac:dyDescent="0.25">
      <c r="A41" s="3">
        <v>1443</v>
      </c>
      <c r="B41" s="42">
        <v>1429.75</v>
      </c>
      <c r="C41" s="53">
        <f t="shared" si="16"/>
        <v>2025</v>
      </c>
      <c r="D41" s="52">
        <f>+'Fisico ASIG'!B41</f>
        <v>45931</v>
      </c>
      <c r="E41" s="1">
        <v>31</v>
      </c>
      <c r="F41" s="1" t="s">
        <v>44</v>
      </c>
      <c r="G41" s="56">
        <f t="shared" si="27"/>
        <v>45952</v>
      </c>
      <c r="H41" s="17">
        <v>28</v>
      </c>
      <c r="I41" s="17">
        <f t="shared" si="17"/>
        <v>4.66042966042966</v>
      </c>
      <c r="J41" s="17">
        <f t="shared" si="18"/>
        <v>5.8474012474012467</v>
      </c>
      <c r="K41" s="17"/>
      <c r="L41" s="17">
        <v>27</v>
      </c>
      <c r="M41" s="17">
        <v>71.5</v>
      </c>
      <c r="N41" s="17">
        <f t="shared" si="19"/>
        <v>34.728752056090038</v>
      </c>
      <c r="O41" s="17">
        <v>69.931961586119797</v>
      </c>
      <c r="P41" s="18">
        <f>SUMPRODUCT(H41:O41,'Fisico ASIG'!F41:M41)*24</f>
        <v>7863580.4464738313</v>
      </c>
      <c r="Q41" s="43">
        <v>0</v>
      </c>
      <c r="R41" s="43">
        <f t="shared" si="20"/>
        <v>5340.3961746361747</v>
      </c>
      <c r="S41" s="43">
        <f t="shared" si="21"/>
        <v>1548.8565488565489</v>
      </c>
      <c r="T41" s="43"/>
      <c r="U41" s="43">
        <v>18000</v>
      </c>
      <c r="V41" s="20">
        <v>0</v>
      </c>
      <c r="W41" s="20">
        <v>21900</v>
      </c>
      <c r="X41" s="20">
        <v>0</v>
      </c>
      <c r="Y41" s="18">
        <f>SUMPRODUCT(Q41:X41,'Fisico ASIG'!O41:V41)/E41</f>
        <v>5299086.2566549862</v>
      </c>
      <c r="Z41" s="25">
        <f t="shared" si="22"/>
        <v>13162666.703128818</v>
      </c>
      <c r="AA41" s="26">
        <f>+Z41/'Fisico ASIG'!N41/24</f>
        <v>58.885816718928595</v>
      </c>
      <c r="AB41" s="26">
        <f t="shared" si="15"/>
        <v>15.806111696522654</v>
      </c>
      <c r="AC41" s="29">
        <f t="shared" si="23"/>
        <v>43.079705022405939</v>
      </c>
      <c r="AI41" s="1">
        <v>6725</v>
      </c>
      <c r="AJ41" s="1">
        <v>5351522</v>
      </c>
      <c r="AK41">
        <f t="shared" si="24"/>
        <v>1.44</v>
      </c>
      <c r="AL41" s="40">
        <f t="shared" si="25"/>
        <v>8437.7999999999993</v>
      </c>
      <c r="AM41">
        <v>2235000</v>
      </c>
      <c r="AN41" s="17">
        <v>32.912179912028137</v>
      </c>
      <c r="AO41" s="74">
        <f t="shared" si="26"/>
        <v>1.8165721440618994</v>
      </c>
    </row>
    <row r="42" spans="1:41" hidden="1" x14ac:dyDescent="0.25">
      <c r="A42" s="3">
        <v>1443</v>
      </c>
      <c r="B42" s="42">
        <v>1429.75</v>
      </c>
      <c r="C42" s="53">
        <f t="shared" si="16"/>
        <v>2025</v>
      </c>
      <c r="D42" s="52">
        <f>+'Fisico ASIG'!B42</f>
        <v>45931</v>
      </c>
      <c r="E42" s="1">
        <v>31</v>
      </c>
      <c r="F42" s="1" t="s">
        <v>45</v>
      </c>
      <c r="G42" s="56">
        <f t="shared" si="27"/>
        <v>45953</v>
      </c>
      <c r="H42" s="17">
        <v>28</v>
      </c>
      <c r="I42" s="17">
        <f t="shared" si="17"/>
        <v>4.66042966042966</v>
      </c>
      <c r="J42" s="17">
        <f t="shared" si="18"/>
        <v>5.8474012474012467</v>
      </c>
      <c r="K42" s="17"/>
      <c r="L42" s="17">
        <v>27</v>
      </c>
      <c r="M42" s="17">
        <v>71.5</v>
      </c>
      <c r="N42" s="17">
        <f t="shared" si="19"/>
        <v>35.596279003255098</v>
      </c>
      <c r="O42" s="17">
        <v>37.629111310733933</v>
      </c>
      <c r="P42" s="18">
        <f>SUMPRODUCT(H42:O42,'Fisico ASIG'!F42:M42)*24</f>
        <v>7562717.9523809552</v>
      </c>
      <c r="Q42" s="43">
        <v>0</v>
      </c>
      <c r="R42" s="43">
        <f t="shared" si="20"/>
        <v>5340.3961746361747</v>
      </c>
      <c r="S42" s="43">
        <f t="shared" si="21"/>
        <v>1548.8565488565489</v>
      </c>
      <c r="T42" s="43"/>
      <c r="U42" s="43">
        <v>18000</v>
      </c>
      <c r="V42" s="20">
        <v>0</v>
      </c>
      <c r="W42" s="20">
        <v>21900</v>
      </c>
      <c r="X42" s="20">
        <v>0</v>
      </c>
      <c r="Y42" s="18">
        <f>SUMPRODUCT(Q42:X42,'Fisico ASIG'!O42:V42)/E42</f>
        <v>5218817.2251739856</v>
      </c>
      <c r="Z42" s="25">
        <f t="shared" si="22"/>
        <v>12781535.177554941</v>
      </c>
      <c r="AA42" s="26">
        <f>+Z42/'Fisico ASIG'!N42/24</f>
        <v>54.055885370097883</v>
      </c>
      <c r="AB42" s="26">
        <f t="shared" si="15"/>
        <v>15.806111696522654</v>
      </c>
      <c r="AC42" s="29">
        <f t="shared" si="23"/>
        <v>38.249773673575227</v>
      </c>
      <c r="AI42" s="1">
        <v>6725</v>
      </c>
      <c r="AJ42" s="1">
        <v>5351522</v>
      </c>
      <c r="AK42">
        <f t="shared" si="24"/>
        <v>1.44</v>
      </c>
      <c r="AL42" s="40">
        <f t="shared" si="25"/>
        <v>8437.7999999999993</v>
      </c>
      <c r="AM42">
        <v>2235000</v>
      </c>
      <c r="AN42" s="17">
        <v>33.724851525297517</v>
      </c>
      <c r="AO42" s="74">
        <f t="shared" si="26"/>
        <v>1.8714274779575826</v>
      </c>
    </row>
    <row r="43" spans="1:41" hidden="1" x14ac:dyDescent="0.25">
      <c r="A43" s="3">
        <v>1443</v>
      </c>
      <c r="B43" s="42">
        <v>1429.75</v>
      </c>
      <c r="C43" s="53">
        <f t="shared" si="16"/>
        <v>2025</v>
      </c>
      <c r="D43" s="52">
        <f>+'Fisico ASIG'!B43</f>
        <v>45931</v>
      </c>
      <c r="E43" s="1">
        <v>31</v>
      </c>
      <c r="F43" s="1" t="s">
        <v>46</v>
      </c>
      <c r="G43" s="56">
        <f t="shared" si="27"/>
        <v>45954</v>
      </c>
      <c r="H43" s="17">
        <v>28</v>
      </c>
      <c r="I43" s="17">
        <f t="shared" si="17"/>
        <v>4.66042966042966</v>
      </c>
      <c r="J43" s="17">
        <f t="shared" si="18"/>
        <v>5.8474012474012467</v>
      </c>
      <c r="K43" s="17"/>
      <c r="L43" s="17">
        <v>27</v>
      </c>
      <c r="M43" s="17">
        <v>71.5</v>
      </c>
      <c r="N43" s="17">
        <f t="shared" si="19"/>
        <v>35.029733207418268</v>
      </c>
      <c r="O43" s="17">
        <v>59.518995154999125</v>
      </c>
      <c r="P43" s="18">
        <f>SUMPRODUCT(H43:O43,'Fisico ASIG'!F43:M43)*24</f>
        <v>7703315.215151526</v>
      </c>
      <c r="Q43" s="43">
        <v>0</v>
      </c>
      <c r="R43" s="43">
        <f t="shared" si="20"/>
        <v>5340.3961746361747</v>
      </c>
      <c r="S43" s="43">
        <f t="shared" si="21"/>
        <v>1548.8565488565489</v>
      </c>
      <c r="T43" s="43"/>
      <c r="U43" s="43">
        <v>18000</v>
      </c>
      <c r="V43" s="20">
        <v>0</v>
      </c>
      <c r="W43" s="20">
        <v>21900</v>
      </c>
      <c r="X43" s="20">
        <v>0</v>
      </c>
      <c r="Y43" s="18">
        <f>SUMPRODUCT(Q43:X43,'Fisico ASIG'!O43:V43)/E43</f>
        <v>5230157.0323416563</v>
      </c>
      <c r="Z43" s="25">
        <f t="shared" si="22"/>
        <v>12933472.247493181</v>
      </c>
      <c r="AA43" s="26">
        <f>+Z43/'Fisico ASIG'!N43/24</f>
        <v>57.845083978210084</v>
      </c>
      <c r="AB43" s="26">
        <f t="shared" si="15"/>
        <v>15.806111696522654</v>
      </c>
      <c r="AC43" s="29">
        <f t="shared" si="23"/>
        <v>42.038972281687428</v>
      </c>
      <c r="AI43" s="1">
        <v>6725</v>
      </c>
      <c r="AJ43" s="1">
        <v>5351522</v>
      </c>
      <c r="AK43">
        <f t="shared" si="24"/>
        <v>1.44</v>
      </c>
      <c r="AL43" s="40">
        <f t="shared" si="25"/>
        <v>8437.7999999999993</v>
      </c>
      <c r="AM43">
        <v>2235000</v>
      </c>
      <c r="AN43" s="17">
        <v>33.194129468307509</v>
      </c>
      <c r="AO43" s="74">
        <f t="shared" si="26"/>
        <v>1.8356037391107569</v>
      </c>
    </row>
    <row r="44" spans="1:41" hidden="1" x14ac:dyDescent="0.25">
      <c r="A44" s="3">
        <v>1443</v>
      </c>
      <c r="B44" s="42">
        <v>1429.75</v>
      </c>
      <c r="C44" s="53">
        <f t="shared" si="16"/>
        <v>2025</v>
      </c>
      <c r="D44" s="52">
        <f>+'Fisico ASIG'!B44</f>
        <v>45931</v>
      </c>
      <c r="E44" s="1">
        <v>31</v>
      </c>
      <c r="F44" s="1" t="s">
        <v>47</v>
      </c>
      <c r="G44" s="56">
        <f t="shared" si="27"/>
        <v>45955</v>
      </c>
      <c r="H44" s="17">
        <v>28</v>
      </c>
      <c r="I44" s="17">
        <f t="shared" si="17"/>
        <v>4.66042966042966</v>
      </c>
      <c r="J44" s="17">
        <f t="shared" si="18"/>
        <v>5.8474012474012467</v>
      </c>
      <c r="K44" s="17"/>
      <c r="L44" s="17">
        <v>27</v>
      </c>
      <c r="M44" s="17">
        <v>71.5</v>
      </c>
      <c r="N44" s="17">
        <f t="shared" si="19"/>
        <v>34.147252611813663</v>
      </c>
      <c r="O44" s="17">
        <v>50.19182135293385</v>
      </c>
      <c r="P44" s="18">
        <f>SUMPRODUCT(H44:O44,'Fisico ASIG'!F44:M44)*24</f>
        <v>7084471.5066591008</v>
      </c>
      <c r="Q44" s="43">
        <v>0</v>
      </c>
      <c r="R44" s="43">
        <f t="shared" si="20"/>
        <v>5340.3961746361747</v>
      </c>
      <c r="S44" s="43">
        <f t="shared" si="21"/>
        <v>1548.8565488565489</v>
      </c>
      <c r="T44" s="43"/>
      <c r="U44" s="43">
        <v>18000</v>
      </c>
      <c r="V44" s="20">
        <v>0</v>
      </c>
      <c r="W44" s="20">
        <v>21900</v>
      </c>
      <c r="X44" s="20">
        <v>0</v>
      </c>
      <c r="Y44" s="18">
        <f>SUMPRODUCT(Q44:X44,'Fisico ASIG'!O44:V44)/E44</f>
        <v>5164389.9940014398</v>
      </c>
      <c r="Z44" s="25">
        <f t="shared" si="22"/>
        <v>12248861.500660541</v>
      </c>
      <c r="AA44" s="26">
        <f>+Z44/'Fisico ASIG'!N44/24</f>
        <v>62.94978720305901</v>
      </c>
      <c r="AB44" s="26">
        <f t="shared" si="15"/>
        <v>15.806111696522654</v>
      </c>
      <c r="AC44" s="29">
        <f t="shared" si="23"/>
        <v>47.143675506536354</v>
      </c>
      <c r="AI44" s="1">
        <v>6725</v>
      </c>
      <c r="AJ44" s="1">
        <v>5351522</v>
      </c>
      <c r="AK44">
        <f t="shared" si="24"/>
        <v>1.44</v>
      </c>
      <c r="AL44" s="40">
        <f t="shared" si="25"/>
        <v>8437.7999999999993</v>
      </c>
      <c r="AM44">
        <v>2235000</v>
      </c>
      <c r="AN44" s="17">
        <v>32.367449753455425</v>
      </c>
      <c r="AO44" s="74">
        <f t="shared" si="26"/>
        <v>1.7798028583582413</v>
      </c>
    </row>
    <row r="45" spans="1:41" hidden="1" x14ac:dyDescent="0.25">
      <c r="A45" s="3">
        <v>1443</v>
      </c>
      <c r="B45" s="42">
        <v>1429.75</v>
      </c>
      <c r="C45" s="53">
        <f t="shared" si="16"/>
        <v>2025</v>
      </c>
      <c r="D45" s="52">
        <f>+'Fisico ASIG'!B45</f>
        <v>45931</v>
      </c>
      <c r="E45" s="1">
        <v>31</v>
      </c>
      <c r="F45" s="1" t="s">
        <v>48</v>
      </c>
      <c r="G45" s="56">
        <f t="shared" si="27"/>
        <v>45956</v>
      </c>
      <c r="H45" s="17">
        <v>28</v>
      </c>
      <c r="I45" s="17">
        <f t="shared" si="17"/>
        <v>4.66042966042966</v>
      </c>
      <c r="J45" s="17">
        <f t="shared" si="18"/>
        <v>5.8474012474012467</v>
      </c>
      <c r="K45" s="17"/>
      <c r="L45" s="17">
        <v>27</v>
      </c>
      <c r="M45" s="17">
        <v>71.5</v>
      </c>
      <c r="N45" s="17">
        <f t="shared" si="19"/>
        <v>34.207416417425634</v>
      </c>
      <c r="O45" s="17">
        <v>69.98352047240266</v>
      </c>
      <c r="P45" s="18">
        <f>SUMPRODUCT(H45:O45,'Fisico ASIG'!F45:M45)*24</f>
        <v>6964550.7429395113</v>
      </c>
      <c r="Q45" s="43">
        <v>0</v>
      </c>
      <c r="R45" s="43">
        <f t="shared" si="20"/>
        <v>5340.3961746361747</v>
      </c>
      <c r="S45" s="43">
        <f t="shared" si="21"/>
        <v>1548.8565488565489</v>
      </c>
      <c r="T45" s="43"/>
      <c r="U45" s="43">
        <v>18000</v>
      </c>
      <c r="V45" s="20">
        <v>0</v>
      </c>
      <c r="W45" s="20">
        <v>21900</v>
      </c>
      <c r="X45" s="20">
        <v>0</v>
      </c>
      <c r="Y45" s="18">
        <f>SUMPRODUCT(Q45:X45,'Fisico ASIG'!O45:V45)/E45</f>
        <v>5279722.6668614745</v>
      </c>
      <c r="Z45" s="25">
        <f t="shared" si="22"/>
        <v>12244273.409800986</v>
      </c>
      <c r="AA45" s="26">
        <f>+Z45/'Fisico ASIG'!N45/24</f>
        <v>65.831438332607704</v>
      </c>
      <c r="AB45" s="26">
        <f t="shared" si="15"/>
        <v>15.806111696522654</v>
      </c>
      <c r="AC45" s="29">
        <f t="shared" si="23"/>
        <v>50.025326636085047</v>
      </c>
      <c r="AI45" s="1">
        <v>6725</v>
      </c>
      <c r="AJ45" s="1">
        <v>5351522</v>
      </c>
      <c r="AK45">
        <f t="shared" si="24"/>
        <v>1.44</v>
      </c>
      <c r="AL45" s="40">
        <f t="shared" si="25"/>
        <v>8437.7999999999993</v>
      </c>
      <c r="AM45">
        <v>2235000</v>
      </c>
      <c r="AN45" s="17">
        <v>32.423809290328464</v>
      </c>
      <c r="AO45" s="74">
        <f t="shared" si="26"/>
        <v>1.7836071270971714</v>
      </c>
    </row>
    <row r="46" spans="1:41" hidden="1" x14ac:dyDescent="0.25">
      <c r="A46" s="3">
        <v>1443</v>
      </c>
      <c r="B46" s="42">
        <v>1429.75</v>
      </c>
      <c r="C46" s="53">
        <f t="shared" si="16"/>
        <v>2025</v>
      </c>
      <c r="D46" s="52">
        <f>+'Fisico ASIG'!B46</f>
        <v>45931</v>
      </c>
      <c r="E46" s="1">
        <v>31</v>
      </c>
      <c r="F46" s="1" t="s">
        <v>49</v>
      </c>
      <c r="G46" s="56">
        <f t="shared" si="27"/>
        <v>45957</v>
      </c>
      <c r="H46" s="17">
        <v>28</v>
      </c>
      <c r="I46" s="17">
        <f t="shared" si="17"/>
        <v>4.66042966042966</v>
      </c>
      <c r="J46" s="17">
        <f t="shared" si="18"/>
        <v>5.8474012474012467</v>
      </c>
      <c r="K46" s="17"/>
      <c r="L46" s="17">
        <v>27</v>
      </c>
      <c r="M46" s="17">
        <v>71.5</v>
      </c>
      <c r="N46" s="17">
        <f t="shared" si="19"/>
        <v>33.556582384954375</v>
      </c>
      <c r="O46" s="17">
        <v>52.920397024645119</v>
      </c>
      <c r="P46" s="18">
        <f>SUMPRODUCT(H46:O46,'Fisico ASIG'!F46:M46)*24</f>
        <v>6736174.594416501</v>
      </c>
      <c r="Q46" s="43">
        <v>0</v>
      </c>
      <c r="R46" s="43">
        <f t="shared" si="20"/>
        <v>5340.3961746361747</v>
      </c>
      <c r="S46" s="43">
        <f t="shared" si="21"/>
        <v>1548.8565488565489</v>
      </c>
      <c r="T46" s="43"/>
      <c r="U46" s="43">
        <v>18000</v>
      </c>
      <c r="V46" s="20">
        <v>0</v>
      </c>
      <c r="W46" s="20">
        <v>21900</v>
      </c>
      <c r="X46" s="20">
        <v>0</v>
      </c>
      <c r="Y46" s="18">
        <f>SUMPRODUCT(Q46:X46,'Fisico ASIG'!O46:V46)/E46</f>
        <v>4972127.1278886562</v>
      </c>
      <c r="Z46" s="25">
        <f t="shared" si="22"/>
        <v>11708301.722305156</v>
      </c>
      <c r="AA46" s="26">
        <f>+Z46/'Fisico ASIG'!N46/24</f>
        <v>56.551067948936769</v>
      </c>
      <c r="AB46" s="26">
        <f t="shared" si="15"/>
        <v>15.806111696522654</v>
      </c>
      <c r="AC46" s="29">
        <f t="shared" si="23"/>
        <v>40.744956252414113</v>
      </c>
      <c r="AI46" s="1">
        <v>6725</v>
      </c>
      <c r="AJ46" s="1">
        <v>5351522</v>
      </c>
      <c r="AK46">
        <f t="shared" si="24"/>
        <v>1.44</v>
      </c>
      <c r="AL46" s="40">
        <f t="shared" si="25"/>
        <v>8437.7999999999993</v>
      </c>
      <c r="AM46">
        <v>2235000</v>
      </c>
      <c r="AN46" s="17">
        <v>31.814128697849533</v>
      </c>
      <c r="AO46" s="74">
        <f t="shared" si="26"/>
        <v>1.7424536871048435</v>
      </c>
    </row>
    <row r="47" spans="1:41" hidden="1" x14ac:dyDescent="0.25">
      <c r="A47" s="3">
        <v>1443</v>
      </c>
      <c r="B47" s="42">
        <v>1429.75</v>
      </c>
      <c r="C47" s="53">
        <f t="shared" si="16"/>
        <v>2025</v>
      </c>
      <c r="D47" s="52">
        <f>+'Fisico ASIG'!B47</f>
        <v>45931</v>
      </c>
      <c r="E47" s="1">
        <v>31</v>
      </c>
      <c r="F47" s="1" t="s">
        <v>50</v>
      </c>
      <c r="G47" s="56">
        <f t="shared" si="27"/>
        <v>45958</v>
      </c>
      <c r="H47" s="17">
        <v>28</v>
      </c>
      <c r="I47" s="17">
        <f t="shared" si="17"/>
        <v>4.66042966042966</v>
      </c>
      <c r="J47" s="17">
        <f t="shared" si="18"/>
        <v>5.8474012474012467</v>
      </c>
      <c r="K47" s="17"/>
      <c r="L47" s="17">
        <v>27</v>
      </c>
      <c r="M47" s="17">
        <v>71.5</v>
      </c>
      <c r="N47" s="17">
        <f t="shared" si="19"/>
        <v>32.91530582167033</v>
      </c>
      <c r="O47" s="17">
        <v>63.454959356464151</v>
      </c>
      <c r="P47" s="18">
        <f>SUMPRODUCT(H47:O47,'Fisico ASIG'!F47:M47)*24</f>
        <v>7144392.3691979125</v>
      </c>
      <c r="Q47" s="43">
        <v>0</v>
      </c>
      <c r="R47" s="43">
        <f t="shared" si="20"/>
        <v>5340.3961746361747</v>
      </c>
      <c r="S47" s="43">
        <f t="shared" si="21"/>
        <v>1548.8565488565489</v>
      </c>
      <c r="T47" s="43"/>
      <c r="U47" s="43">
        <v>18000</v>
      </c>
      <c r="V47" s="20">
        <v>0</v>
      </c>
      <c r="W47" s="20">
        <v>21900</v>
      </c>
      <c r="X47" s="20">
        <v>0</v>
      </c>
      <c r="Y47" s="18">
        <f>SUMPRODUCT(Q47:X47,'Fisico ASIG'!O47:V47)/E47</f>
        <v>4876555.0502457218</v>
      </c>
      <c r="Z47" s="25">
        <f t="shared" ref="Z47:Z49" si="28">+(P47+Y47)</f>
        <v>12020947.419443633</v>
      </c>
      <c r="AA47" s="26">
        <f>+Z47/'Fisico ASIG'!N47/24</f>
        <v>54.824979708345857</v>
      </c>
      <c r="AB47" s="26">
        <f t="shared" si="15"/>
        <v>15.806111696522654</v>
      </c>
      <c r="AC47" s="29">
        <f t="shared" ref="AC47:AC49" si="29">+AA47-AB47</f>
        <v>39.018868011823201</v>
      </c>
      <c r="AI47" s="1">
        <v>6725</v>
      </c>
      <c r="AJ47" s="1">
        <v>5351522</v>
      </c>
      <c r="AK47">
        <f t="shared" si="24"/>
        <v>1.44</v>
      </c>
      <c r="AL47" s="40">
        <f t="shared" si="25"/>
        <v>8437.7999999999993</v>
      </c>
      <c r="AM47">
        <v>2235000</v>
      </c>
      <c r="AN47" s="17">
        <v>31.213401238098673</v>
      </c>
      <c r="AO47" s="74">
        <f t="shared" si="26"/>
        <v>1.7019045835716604</v>
      </c>
    </row>
    <row r="48" spans="1:41" hidden="1" x14ac:dyDescent="0.25">
      <c r="A48" s="3">
        <v>1443</v>
      </c>
      <c r="B48" s="42">
        <v>1429.75</v>
      </c>
      <c r="C48" s="53">
        <f t="shared" si="16"/>
        <v>2025</v>
      </c>
      <c r="D48" s="52">
        <f>+'Fisico ASIG'!B48</f>
        <v>45931</v>
      </c>
      <c r="E48" s="1">
        <v>31</v>
      </c>
      <c r="F48" s="1" t="s">
        <v>44</v>
      </c>
      <c r="G48" s="56">
        <f t="shared" si="27"/>
        <v>45959</v>
      </c>
      <c r="H48" s="17">
        <v>28</v>
      </c>
      <c r="I48" s="17">
        <f t="shared" si="17"/>
        <v>4.66042966042966</v>
      </c>
      <c r="J48" s="17">
        <f t="shared" si="18"/>
        <v>5.8474012474012467</v>
      </c>
      <c r="K48" s="17"/>
      <c r="L48" s="17">
        <v>27</v>
      </c>
      <c r="M48" s="17">
        <v>71.5</v>
      </c>
      <c r="N48" s="17">
        <f t="shared" si="19"/>
        <v>33.33500667392812</v>
      </c>
      <c r="O48" s="17">
        <v>74.604620707951625</v>
      </c>
      <c r="P48" s="18">
        <f>SUMPRODUCT(H48:O48,'Fisico ASIG'!F48:M48)*24</f>
        <v>7474310.0347560328</v>
      </c>
      <c r="Q48" s="43">
        <v>0</v>
      </c>
      <c r="R48" s="43">
        <f t="shared" si="20"/>
        <v>5340.3961746361747</v>
      </c>
      <c r="S48" s="43">
        <f t="shared" si="21"/>
        <v>1548.8565488565489</v>
      </c>
      <c r="T48" s="43"/>
      <c r="U48" s="43">
        <v>18000</v>
      </c>
      <c r="V48" s="20">
        <v>0</v>
      </c>
      <c r="W48" s="20">
        <v>21900</v>
      </c>
      <c r="X48" s="20">
        <v>0</v>
      </c>
      <c r="Y48" s="18">
        <f>SUMPRODUCT(Q48:X48,'Fisico ASIG'!O48:V48)/E48</f>
        <v>4634241.9993979791</v>
      </c>
      <c r="Z48" s="25">
        <f t="shared" si="28"/>
        <v>12108552.034154013</v>
      </c>
      <c r="AA48" s="26">
        <f>+Z48/'Fisico ASIG'!N48/24</f>
        <v>55.727327783341565</v>
      </c>
      <c r="AB48" s="26">
        <f t="shared" si="15"/>
        <v>15.806111696522654</v>
      </c>
      <c r="AC48" s="29">
        <f t="shared" si="29"/>
        <v>39.921216086818909</v>
      </c>
      <c r="AI48" s="1">
        <v>6725</v>
      </c>
      <c r="AJ48" s="1">
        <v>5351522</v>
      </c>
      <c r="AK48">
        <f t="shared" si="24"/>
        <v>1.44</v>
      </c>
      <c r="AL48" s="40">
        <f t="shared" si="25"/>
        <v>8437.7999999999993</v>
      </c>
      <c r="AM48">
        <v>2235000</v>
      </c>
      <c r="AN48" s="17">
        <v>31.606563628972477</v>
      </c>
      <c r="AO48" s="74">
        <f t="shared" si="26"/>
        <v>1.7284430449556423</v>
      </c>
    </row>
    <row r="49" spans="1:41" hidden="1" x14ac:dyDescent="0.25">
      <c r="A49" s="3">
        <v>1443</v>
      </c>
      <c r="B49" s="42">
        <v>1429.75</v>
      </c>
      <c r="C49" s="53">
        <f t="shared" si="16"/>
        <v>2025</v>
      </c>
      <c r="D49" s="52">
        <f>+'Fisico ASIG'!B49</f>
        <v>45931</v>
      </c>
      <c r="E49" s="1">
        <v>31</v>
      </c>
      <c r="F49" s="1" t="s">
        <v>45</v>
      </c>
      <c r="G49" s="56">
        <f t="shared" si="27"/>
        <v>45960</v>
      </c>
      <c r="H49" s="17">
        <v>28</v>
      </c>
      <c r="I49" s="17">
        <f t="shared" si="17"/>
        <v>4.66042966042966</v>
      </c>
      <c r="J49" s="17">
        <f t="shared" si="18"/>
        <v>5.8474012474012467</v>
      </c>
      <c r="K49" s="17"/>
      <c r="L49" s="17">
        <v>27</v>
      </c>
      <c r="M49" s="17">
        <v>71.5</v>
      </c>
      <c r="N49" s="17">
        <f t="shared" si="19"/>
        <v>33.816985795871403</v>
      </c>
      <c r="O49" s="17">
        <v>100.72185826955456</v>
      </c>
      <c r="P49" s="18">
        <f>SUMPRODUCT(H49:O49,'Fisico ASIG'!F49:M49)*24</f>
        <v>7729757.7542979177</v>
      </c>
      <c r="Q49" s="43">
        <v>0</v>
      </c>
      <c r="R49" s="43">
        <f t="shared" si="20"/>
        <v>5340.3961746361747</v>
      </c>
      <c r="S49" s="43">
        <f t="shared" si="21"/>
        <v>1548.8565488565489</v>
      </c>
      <c r="T49" s="43"/>
      <c r="U49" s="43">
        <v>18000</v>
      </c>
      <c r="V49" s="20">
        <v>0</v>
      </c>
      <c r="W49" s="20">
        <v>21900</v>
      </c>
      <c r="X49" s="20">
        <v>0</v>
      </c>
      <c r="Y49" s="18">
        <f>SUMPRODUCT(Q49:X49,'Fisico ASIG'!O49:V49)/E49</f>
        <v>4735423.6571567617</v>
      </c>
      <c r="Z49" s="25">
        <f t="shared" si="28"/>
        <v>12465181.411454679</v>
      </c>
      <c r="AA49" s="26">
        <f>+Z49/'Fisico ASIG'!N49/24</f>
        <v>60.772118648473885</v>
      </c>
      <c r="AB49" s="26">
        <f t="shared" si="15"/>
        <v>15.806111696522654</v>
      </c>
      <c r="AC49" s="29">
        <f t="shared" si="29"/>
        <v>44.966006951951229</v>
      </c>
      <c r="AI49" s="1">
        <v>6725</v>
      </c>
      <c r="AJ49" s="1">
        <v>5351522</v>
      </c>
      <c r="AK49">
        <f t="shared" si="24"/>
        <v>1.44</v>
      </c>
      <c r="AL49" s="40">
        <f t="shared" si="25"/>
        <v>8437.7999999999993</v>
      </c>
      <c r="AM49">
        <v>2235000</v>
      </c>
      <c r="AN49" s="17">
        <v>32.058066319317476</v>
      </c>
      <c r="AO49" s="74">
        <f t="shared" si="26"/>
        <v>1.7589194765539298</v>
      </c>
    </row>
    <row r="50" spans="1:41" hidden="1" x14ac:dyDescent="0.25">
      <c r="A50" s="3">
        <v>1443</v>
      </c>
      <c r="B50" s="42">
        <v>1429.75</v>
      </c>
      <c r="C50" s="53">
        <f t="shared" si="16"/>
        <v>2025</v>
      </c>
      <c r="D50" s="52">
        <f>+'Fisico ASIG'!B50</f>
        <v>45931</v>
      </c>
      <c r="E50" s="1">
        <v>31</v>
      </c>
      <c r="F50" s="1" t="s">
        <v>46</v>
      </c>
      <c r="G50" s="56">
        <f t="shared" si="27"/>
        <v>45961</v>
      </c>
      <c r="H50" s="17">
        <v>28</v>
      </c>
      <c r="I50" s="17">
        <f t="shared" si="17"/>
        <v>4.66042966042966</v>
      </c>
      <c r="J50" s="17">
        <f t="shared" si="18"/>
        <v>5.8474012474012467</v>
      </c>
      <c r="K50" s="17"/>
      <c r="L50" s="17">
        <v>27</v>
      </c>
      <c r="M50" s="17">
        <v>71.5</v>
      </c>
      <c r="N50" s="17">
        <f t="shared" si="19"/>
        <v>34.18227203073117</v>
      </c>
      <c r="O50" s="17">
        <v>109.23846481472718</v>
      </c>
      <c r="P50" s="18">
        <f>SUMPRODUCT(H50:O50,'Fisico ASIG'!F50:M50)*24</f>
        <v>7740118.4529981632</v>
      </c>
      <c r="Q50" s="43">
        <v>0</v>
      </c>
      <c r="R50" s="43">
        <f t="shared" si="20"/>
        <v>5340.3961746361747</v>
      </c>
      <c r="S50" s="43">
        <f t="shared" si="21"/>
        <v>1548.8565488565489</v>
      </c>
      <c r="T50" s="43"/>
      <c r="U50" s="43">
        <v>18000</v>
      </c>
      <c r="V50" s="20">
        <v>0</v>
      </c>
      <c r="W50" s="20">
        <v>21900</v>
      </c>
      <c r="X50" s="20">
        <v>0</v>
      </c>
      <c r="Y50" s="18">
        <f>SUMPRODUCT(Q50:X50,'Fisico ASIG'!O50:V50)/E50</f>
        <v>5034799.0138969533</v>
      </c>
      <c r="Z50" s="25">
        <f t="shared" ref="Z50" si="30">+(P50+Y50)</f>
        <v>12774917.466895116</v>
      </c>
      <c r="AA50" s="26">
        <f>+Z50/'Fisico ASIG'!N50/24</f>
        <v>62.294662321836363</v>
      </c>
      <c r="AB50" s="26">
        <f t="shared" si="15"/>
        <v>15.806111696522654</v>
      </c>
      <c r="AC50" s="29">
        <f t="shared" ref="AC50" si="31">+AA50-AB50</f>
        <v>46.488550625313707</v>
      </c>
      <c r="AI50" s="1">
        <v>6725</v>
      </c>
      <c r="AJ50" s="1">
        <v>5351522</v>
      </c>
      <c r="AK50">
        <f t="shared" si="24"/>
        <v>1.44</v>
      </c>
      <c r="AL50" s="40">
        <f t="shared" si="25"/>
        <v>8437.7999999999993</v>
      </c>
      <c r="AM50">
        <v>2235000</v>
      </c>
      <c r="AN50" s="17">
        <v>32.400254829724751</v>
      </c>
      <c r="AO50" s="74">
        <f t="shared" si="26"/>
        <v>1.7820172010064208</v>
      </c>
    </row>
    <row r="51" spans="1:41" hidden="1" x14ac:dyDescent="0.25">
      <c r="A51" s="3">
        <v>1450.75</v>
      </c>
      <c r="B51" s="42">
        <v>1429.75</v>
      </c>
      <c r="C51" s="53">
        <f t="shared" si="16"/>
        <v>2025</v>
      </c>
      <c r="D51" s="52">
        <f>+'Fisico ASIG'!B51</f>
        <v>45962</v>
      </c>
      <c r="E51" s="1">
        <v>30</v>
      </c>
      <c r="F51" s="1" t="s">
        <v>51</v>
      </c>
      <c r="G51" s="56">
        <f t="shared" si="27"/>
        <v>45962</v>
      </c>
      <c r="H51" s="17">
        <v>28</v>
      </c>
      <c r="I51" s="17">
        <f t="shared" si="17"/>
        <v>4.7975185249009131</v>
      </c>
      <c r="J51" s="17">
        <f t="shared" si="18"/>
        <v>5.8161640530759948</v>
      </c>
      <c r="K51" s="17"/>
      <c r="L51" s="17">
        <v>27</v>
      </c>
      <c r="M51" s="17">
        <v>71.5</v>
      </c>
      <c r="N51" s="17">
        <f t="shared" si="19"/>
        <v>36.63425760028597</v>
      </c>
      <c r="O51" s="17">
        <v>119.78323175549433</v>
      </c>
      <c r="P51" s="18">
        <f>SUMPRODUCT(H51:O51,'Fisico ASIG'!F51:M51)*24</f>
        <v>7258369.7239394579</v>
      </c>
      <c r="Q51" s="43">
        <v>0</v>
      </c>
      <c r="R51" s="43">
        <f t="shared" si="20"/>
        <v>5497.7825262795104</v>
      </c>
      <c r="S51" s="43">
        <f t="shared" si="21"/>
        <v>1540.5824573496468</v>
      </c>
      <c r="T51" s="43"/>
      <c r="U51" s="43">
        <v>18000</v>
      </c>
      <c r="V51" s="20">
        <v>0</v>
      </c>
      <c r="W51" s="20">
        <v>21900</v>
      </c>
      <c r="X51" s="20">
        <v>0</v>
      </c>
      <c r="Y51" s="18">
        <f>SUMPRODUCT(Q51:X51,'Fisico ASIG'!O51:V51)/E51</f>
        <v>5173881.4345969018</v>
      </c>
      <c r="Z51" s="25">
        <f t="shared" ref="Z51:Z56" si="32">+(P51+Y51)</f>
        <v>12432251.15853636</v>
      </c>
      <c r="AA51" s="26">
        <f>+Z51/'Fisico ASIG'!N51/24</f>
        <v>64.545112033536569</v>
      </c>
      <c r="AB51" s="26">
        <f t="shared" si="15"/>
        <v>15.806111696522654</v>
      </c>
      <c r="AC51" s="29">
        <f t="shared" ref="AC51:AC56" si="33">+AA51-AB51</f>
        <v>48.739000337013913</v>
      </c>
      <c r="AI51" s="1">
        <v>6960</v>
      </c>
      <c r="AJ51" s="1">
        <v>5538825</v>
      </c>
      <c r="AK51">
        <f t="shared" si="24"/>
        <v>1.44</v>
      </c>
      <c r="AL51" s="40">
        <f t="shared" si="25"/>
        <v>8437.7999999999993</v>
      </c>
      <c r="AM51">
        <v>2235000</v>
      </c>
      <c r="AN51" s="17">
        <v>34.697196815256177</v>
      </c>
      <c r="AO51" s="74">
        <f t="shared" si="26"/>
        <v>1.9370607850297921</v>
      </c>
    </row>
    <row r="52" spans="1:41" hidden="1" x14ac:dyDescent="0.25">
      <c r="A52" s="3">
        <v>1450.75</v>
      </c>
      <c r="B52" s="42">
        <v>1429.75</v>
      </c>
      <c r="C52" s="53">
        <f t="shared" si="16"/>
        <v>2025</v>
      </c>
      <c r="D52" s="52">
        <f>+'Fisico ASIG'!B52</f>
        <v>45962</v>
      </c>
      <c r="E52" s="1">
        <v>30</v>
      </c>
      <c r="F52" s="1" t="s">
        <v>52</v>
      </c>
      <c r="G52" s="56">
        <f t="shared" si="27"/>
        <v>45963</v>
      </c>
      <c r="H52" s="17">
        <v>28</v>
      </c>
      <c r="I52" s="17">
        <f t="shared" si="17"/>
        <v>4.7975185249009131</v>
      </c>
      <c r="J52" s="17">
        <f t="shared" si="18"/>
        <v>5.8161640530759948</v>
      </c>
      <c r="K52" s="17"/>
      <c r="L52" s="17">
        <v>27</v>
      </c>
      <c r="M52" s="17">
        <v>71.5</v>
      </c>
      <c r="N52" s="17">
        <f t="shared" si="19"/>
        <v>37.334685347870469</v>
      </c>
      <c r="O52" s="17">
        <v>119.73610373853037</v>
      </c>
      <c r="P52" s="18">
        <f>SUMPRODUCT(H52:O52,'Fisico ASIG'!F52:M52)*24</f>
        <v>6506293.1161341276</v>
      </c>
      <c r="Q52" s="43">
        <v>0</v>
      </c>
      <c r="R52" s="43">
        <f t="shared" si="20"/>
        <v>5497.7825262795104</v>
      </c>
      <c r="S52" s="43">
        <f t="shared" si="21"/>
        <v>1540.5824573496468</v>
      </c>
      <c r="T52" s="43"/>
      <c r="U52" s="43">
        <v>18000</v>
      </c>
      <c r="V52" s="20">
        <v>0</v>
      </c>
      <c r="W52" s="20">
        <v>21900</v>
      </c>
      <c r="X52" s="20">
        <v>0</v>
      </c>
      <c r="Y52" s="18">
        <f>SUMPRODUCT(Q52:X52,'Fisico ASIG'!O52:V52)/E52</f>
        <v>5210194.2187233623</v>
      </c>
      <c r="Z52" s="25">
        <f t="shared" si="32"/>
        <v>11716487.33485749</v>
      </c>
      <c r="AA52" s="26">
        <f>+Z52/'Fisico ASIG'!N52/24</f>
        <v>66.526824204129099</v>
      </c>
      <c r="AB52" s="26">
        <f t="shared" ref="AB52:AB83" si="34">+$AB$16*375/0.52/730</f>
        <v>15.806111696522654</v>
      </c>
      <c r="AC52" s="29">
        <f t="shared" si="33"/>
        <v>50.720712507606443</v>
      </c>
      <c r="AI52" s="1">
        <v>6960</v>
      </c>
      <c r="AJ52" s="1">
        <v>5538825</v>
      </c>
      <c r="AK52">
        <f t="shared" si="24"/>
        <v>1.44</v>
      </c>
      <c r="AL52" s="40">
        <f t="shared" si="25"/>
        <v>8437.7999999999993</v>
      </c>
      <c r="AM52">
        <v>2235000</v>
      </c>
      <c r="AN52" s="17">
        <v>35.353335220487558</v>
      </c>
      <c r="AO52" s="74">
        <f t="shared" si="26"/>
        <v>1.9813501273829104</v>
      </c>
    </row>
    <row r="53" spans="1:41" hidden="1" x14ac:dyDescent="0.25">
      <c r="A53" s="3">
        <v>1450.75</v>
      </c>
      <c r="B53" s="42">
        <v>1470.8330000000001</v>
      </c>
      <c r="C53" s="53">
        <f t="shared" si="16"/>
        <v>2025</v>
      </c>
      <c r="D53" s="52">
        <f>+'Fisico ASIG'!B53</f>
        <v>45962</v>
      </c>
      <c r="E53" s="1">
        <v>30</v>
      </c>
      <c r="F53" s="1" t="s">
        <v>53</v>
      </c>
      <c r="G53" s="56">
        <f t="shared" si="27"/>
        <v>45964</v>
      </c>
      <c r="H53" s="17">
        <v>28</v>
      </c>
      <c r="I53" s="17">
        <f t="shared" si="17"/>
        <v>4.7975185249009131</v>
      </c>
      <c r="J53" s="17">
        <f t="shared" si="18"/>
        <v>5.8161640530759948</v>
      </c>
      <c r="K53" s="17"/>
      <c r="L53" s="17">
        <v>27</v>
      </c>
      <c r="M53" s="17">
        <v>71.5</v>
      </c>
      <c r="N53" s="17">
        <f t="shared" si="19"/>
        <v>37.174157229676482</v>
      </c>
      <c r="O53" s="17">
        <v>105.61844909178805</v>
      </c>
      <c r="P53" s="18">
        <f>SUMPRODUCT(H53:O53,'Fisico ASIG'!F53:M53)*24</f>
        <v>7162482.126764873</v>
      </c>
      <c r="Q53" s="43">
        <v>0</v>
      </c>
      <c r="R53" s="43">
        <f t="shared" si="20"/>
        <v>5497.7825262795104</v>
      </c>
      <c r="S53" s="43">
        <f t="shared" si="21"/>
        <v>1540.5824573496468</v>
      </c>
      <c r="T53" s="43"/>
      <c r="U53" s="43">
        <v>18000</v>
      </c>
      <c r="V53" s="20">
        <v>0</v>
      </c>
      <c r="W53" s="20">
        <v>21900</v>
      </c>
      <c r="X53" s="20">
        <v>0</v>
      </c>
      <c r="Y53" s="18">
        <f>SUMPRODUCT(Q53:X53,'Fisico ASIG'!O53:V53)/E53</f>
        <v>5247168.9208336314</v>
      </c>
      <c r="Z53" s="25">
        <f t="shared" si="32"/>
        <v>12409651.047598504</v>
      </c>
      <c r="AA53" s="26">
        <f>+Z53/'Fisico ASIG'!N53/24</f>
        <v>55.358458451347367</v>
      </c>
      <c r="AB53" s="26">
        <f t="shared" si="34"/>
        <v>15.806111696522654</v>
      </c>
      <c r="AC53" s="29">
        <f t="shared" si="33"/>
        <v>39.552346754824711</v>
      </c>
      <c r="AI53" s="1">
        <v>6960</v>
      </c>
      <c r="AJ53" s="1">
        <v>5538825</v>
      </c>
      <c r="AK53">
        <f t="shared" si="24"/>
        <v>1.44</v>
      </c>
      <c r="AL53" s="40">
        <f t="shared" si="25"/>
        <v>8437.7999999999993</v>
      </c>
      <c r="AM53">
        <v>2235000</v>
      </c>
      <c r="AN53" s="17">
        <v>35.202957592202793</v>
      </c>
      <c r="AO53" s="74">
        <f t="shared" si="26"/>
        <v>1.9711996374736886</v>
      </c>
    </row>
    <row r="54" spans="1:41" hidden="1" x14ac:dyDescent="0.25">
      <c r="A54" s="3">
        <v>1450.75</v>
      </c>
      <c r="B54" s="42">
        <v>1470.8330000000001</v>
      </c>
      <c r="C54" s="53">
        <f t="shared" si="16"/>
        <v>2025</v>
      </c>
      <c r="D54" s="52">
        <f>+'Fisico ASIG'!B54</f>
        <v>45962</v>
      </c>
      <c r="E54" s="1">
        <v>30</v>
      </c>
      <c r="F54" s="1" t="s">
        <v>54</v>
      </c>
      <c r="G54" s="56">
        <f t="shared" si="27"/>
        <v>45965</v>
      </c>
      <c r="H54" s="17">
        <v>28</v>
      </c>
      <c r="I54" s="17">
        <f t="shared" si="17"/>
        <v>4.7975185249009131</v>
      </c>
      <c r="J54" s="17">
        <f t="shared" si="18"/>
        <v>5.8161640530759948</v>
      </c>
      <c r="K54" s="17"/>
      <c r="L54" s="17">
        <v>27</v>
      </c>
      <c r="M54" s="17">
        <v>71.5</v>
      </c>
      <c r="N54" s="17">
        <f t="shared" si="19"/>
        <v>37.792023160536097</v>
      </c>
      <c r="O54" s="17">
        <v>60.846544183215606</v>
      </c>
      <c r="P54" s="18">
        <f>SUMPRODUCT(H54:O54,'Fisico ASIG'!F54:M54)*24</f>
        <v>7372773.2565561514</v>
      </c>
      <c r="Q54" s="43">
        <v>0</v>
      </c>
      <c r="R54" s="43">
        <f t="shared" si="20"/>
        <v>5497.7825262795104</v>
      </c>
      <c r="S54" s="43">
        <f t="shared" si="21"/>
        <v>1540.5824573496468</v>
      </c>
      <c r="T54" s="43"/>
      <c r="U54" s="43">
        <v>18000</v>
      </c>
      <c r="V54" s="20">
        <v>0</v>
      </c>
      <c r="W54" s="20">
        <v>21900</v>
      </c>
      <c r="X54" s="20">
        <v>0</v>
      </c>
      <c r="Y54" s="18">
        <f>SUMPRODUCT(Q54:X54,'Fisico ASIG'!O54:V54)/E54</f>
        <v>5302368.8244335717</v>
      </c>
      <c r="Z54" s="25">
        <f t="shared" si="32"/>
        <v>12675142.080989722</v>
      </c>
      <c r="AA54" s="26">
        <f>+Z54/'Fisico ASIG'!N54/24</f>
        <v>56.658081008104176</v>
      </c>
      <c r="AB54" s="26">
        <f t="shared" si="34"/>
        <v>15.806111696522654</v>
      </c>
      <c r="AC54" s="29">
        <f t="shared" si="33"/>
        <v>40.85196931158152</v>
      </c>
      <c r="AI54" s="1">
        <v>6960</v>
      </c>
      <c r="AJ54" s="1">
        <v>5538825</v>
      </c>
      <c r="AK54">
        <f t="shared" si="24"/>
        <v>1.44</v>
      </c>
      <c r="AL54" s="40">
        <f t="shared" si="25"/>
        <v>8437.7999999999993</v>
      </c>
      <c r="AM54">
        <v>2235000</v>
      </c>
      <c r="AN54" s="17">
        <v>35.781754717129836</v>
      </c>
      <c r="AO54" s="74">
        <f t="shared" si="26"/>
        <v>2.0102684434062641</v>
      </c>
    </row>
    <row r="55" spans="1:41" hidden="1" x14ac:dyDescent="0.25">
      <c r="A55" s="3">
        <v>1450.75</v>
      </c>
      <c r="B55" s="42">
        <v>1470.8330000000001</v>
      </c>
      <c r="C55" s="53">
        <f t="shared" si="16"/>
        <v>2025</v>
      </c>
      <c r="D55" s="52">
        <f>+'Fisico ASIG'!B55</f>
        <v>45962</v>
      </c>
      <c r="E55" s="1">
        <v>30</v>
      </c>
      <c r="F55" s="1" t="s">
        <v>55</v>
      </c>
      <c r="G55" s="56">
        <f t="shared" si="27"/>
        <v>45966</v>
      </c>
      <c r="H55" s="17">
        <v>28</v>
      </c>
      <c r="I55" s="17">
        <f t="shared" si="17"/>
        <v>4.7975185249009131</v>
      </c>
      <c r="J55" s="17">
        <f t="shared" si="18"/>
        <v>5.8161640530759948</v>
      </c>
      <c r="K55" s="17"/>
      <c r="L55" s="17">
        <v>27</v>
      </c>
      <c r="M55" s="17">
        <v>71.5</v>
      </c>
      <c r="N55" s="17">
        <f t="shared" si="19"/>
        <v>36.418236625642272</v>
      </c>
      <c r="O55" s="17">
        <v>54.424724256314455</v>
      </c>
      <c r="P55" s="18">
        <f>SUMPRODUCT(H55:O55,'Fisico ASIG'!F55:M55)*24</f>
        <v>6818322.9560455997</v>
      </c>
      <c r="Q55" s="43">
        <v>0</v>
      </c>
      <c r="R55" s="43">
        <f t="shared" si="20"/>
        <v>5497.7825262795104</v>
      </c>
      <c r="S55" s="43">
        <f t="shared" si="21"/>
        <v>1540.5824573496468</v>
      </c>
      <c r="T55" s="43"/>
      <c r="U55" s="43">
        <v>18000</v>
      </c>
      <c r="V55" s="20">
        <v>0</v>
      </c>
      <c r="W55" s="20">
        <v>21900</v>
      </c>
      <c r="X55" s="20">
        <v>0</v>
      </c>
      <c r="Y55" s="18">
        <f>SUMPRODUCT(Q55:X55,'Fisico ASIG'!O55:V55)/E55</f>
        <v>5295336.9973427989</v>
      </c>
      <c r="Z55" s="25">
        <f t="shared" si="32"/>
        <v>12113659.953388399</v>
      </c>
      <c r="AA55" s="26">
        <f>+Z55/'Fisico ASIG'!N55/24</f>
        <v>59.008242794356924</v>
      </c>
      <c r="AB55" s="26">
        <f t="shared" si="34"/>
        <v>15.806111696522654</v>
      </c>
      <c r="AC55" s="29">
        <f t="shared" si="33"/>
        <v>43.202131097834268</v>
      </c>
      <c r="AI55" s="1">
        <v>6960</v>
      </c>
      <c r="AJ55" s="1">
        <v>5538825</v>
      </c>
      <c r="AK55">
        <f t="shared" si="24"/>
        <v>1.44</v>
      </c>
      <c r="AL55" s="40">
        <f t="shared" si="25"/>
        <v>8437.7999999999993</v>
      </c>
      <c r="AM55">
        <v>2235000</v>
      </c>
      <c r="AN55" s="17">
        <v>34.4948352465033</v>
      </c>
      <c r="AO55" s="74">
        <f t="shared" si="26"/>
        <v>1.9234013791389728</v>
      </c>
    </row>
    <row r="56" spans="1:41" hidden="1" x14ac:dyDescent="0.25">
      <c r="A56" s="3">
        <v>1450.75</v>
      </c>
      <c r="B56" s="42">
        <v>1470.8330000000001</v>
      </c>
      <c r="C56" s="53">
        <f t="shared" si="16"/>
        <v>2025</v>
      </c>
      <c r="D56" s="52">
        <f>+'Fisico ASIG'!B56</f>
        <v>45962</v>
      </c>
      <c r="E56" s="1">
        <v>30</v>
      </c>
      <c r="F56" s="1" t="s">
        <v>56</v>
      </c>
      <c r="G56" s="56">
        <f t="shared" si="27"/>
        <v>45967</v>
      </c>
      <c r="H56" s="17">
        <v>28</v>
      </c>
      <c r="I56" s="17">
        <f t="shared" si="17"/>
        <v>4.7975185249009131</v>
      </c>
      <c r="J56" s="17">
        <f t="shared" si="18"/>
        <v>5.8161640530759948</v>
      </c>
      <c r="K56" s="17"/>
      <c r="L56" s="17">
        <v>27</v>
      </c>
      <c r="M56" s="17">
        <v>71.5</v>
      </c>
      <c r="N56" s="17">
        <f t="shared" si="19"/>
        <v>36.093748272346424</v>
      </c>
      <c r="O56" s="17">
        <v>66.535269368479774</v>
      </c>
      <c r="P56" s="18">
        <f>SUMPRODUCT(H56:O56,'Fisico ASIG'!F56:M56)*24</f>
        <v>6657265.7757212222</v>
      </c>
      <c r="Q56" s="43">
        <v>0</v>
      </c>
      <c r="R56" s="43">
        <f t="shared" si="20"/>
        <v>5497.7825262795104</v>
      </c>
      <c r="S56" s="43">
        <f t="shared" si="21"/>
        <v>1540.5824573496468</v>
      </c>
      <c r="T56" s="43"/>
      <c r="U56" s="43">
        <v>18000</v>
      </c>
      <c r="V56" s="20">
        <v>0</v>
      </c>
      <c r="W56" s="20">
        <v>21900</v>
      </c>
      <c r="X56" s="20">
        <v>0</v>
      </c>
      <c r="Y56" s="18">
        <f>SUMPRODUCT(Q56:X56,'Fisico ASIG'!O56:V56)/E56</f>
        <v>5407097.0161444489</v>
      </c>
      <c r="Z56" s="25">
        <f t="shared" si="32"/>
        <v>12064362.791865671</v>
      </c>
      <c r="AA56" s="26">
        <f>+Z56/'Fisico ASIG'!N56/24</f>
        <v>60.176227505955246</v>
      </c>
      <c r="AB56" s="26">
        <f t="shared" si="34"/>
        <v>15.806111696522654</v>
      </c>
      <c r="AC56" s="29">
        <f t="shared" si="33"/>
        <v>44.37011580943259</v>
      </c>
      <c r="AI56" s="1">
        <v>6960</v>
      </c>
      <c r="AJ56" s="1">
        <v>5538825</v>
      </c>
      <c r="AK56">
        <f t="shared" si="24"/>
        <v>1.44</v>
      </c>
      <c r="AL56" s="40">
        <f t="shared" si="25"/>
        <v>8437.7999999999993</v>
      </c>
      <c r="AM56">
        <v>2235000</v>
      </c>
      <c r="AN56" s="17">
        <v>34.190864892127799</v>
      </c>
      <c r="AO56" s="74">
        <f t="shared" si="26"/>
        <v>1.9028833802186265</v>
      </c>
    </row>
    <row r="57" spans="1:41" hidden="1" x14ac:dyDescent="0.25">
      <c r="A57" s="3">
        <v>1450.75</v>
      </c>
      <c r="B57" s="42">
        <v>1470.8330000000001</v>
      </c>
      <c r="C57" s="53">
        <f t="shared" si="16"/>
        <v>2025</v>
      </c>
      <c r="D57" s="52">
        <f>+'Fisico ASIG'!B57</f>
        <v>45962</v>
      </c>
      <c r="E57" s="1">
        <v>30</v>
      </c>
      <c r="F57" s="1" t="s">
        <v>57</v>
      </c>
      <c r="G57" s="56">
        <f t="shared" si="27"/>
        <v>45968</v>
      </c>
      <c r="H57" s="17">
        <v>28</v>
      </c>
      <c r="I57" s="17">
        <f t="shared" si="17"/>
        <v>4.7975185249009131</v>
      </c>
      <c r="J57" s="17">
        <f t="shared" si="18"/>
        <v>5.8161640530759948</v>
      </c>
      <c r="K57" s="17"/>
      <c r="L57" s="17">
        <v>27</v>
      </c>
      <c r="M57" s="17">
        <v>71.5</v>
      </c>
      <c r="N57" s="17">
        <f t="shared" si="19"/>
        <v>35.04157700429289</v>
      </c>
      <c r="O57" s="17">
        <v>54.814560585301948</v>
      </c>
      <c r="P57" s="18">
        <f>SUMPRODUCT(H57:O57,'Fisico ASIG'!F57:M57)*24</f>
        <v>6539054.7373563135</v>
      </c>
      <c r="Q57" s="43">
        <v>0</v>
      </c>
      <c r="R57" s="43">
        <f t="shared" si="20"/>
        <v>5497.7825262795104</v>
      </c>
      <c r="S57" s="43">
        <f t="shared" si="21"/>
        <v>1540.5824573496468</v>
      </c>
      <c r="T57" s="43"/>
      <c r="U57" s="43">
        <v>18000</v>
      </c>
      <c r="V57" s="20">
        <v>0</v>
      </c>
      <c r="W57" s="20">
        <v>21900</v>
      </c>
      <c r="X57" s="20">
        <v>0</v>
      </c>
      <c r="Y57" s="18">
        <f>SUMPRODUCT(Q57:X57,'Fisico ASIG'!O57:V57)/E57</f>
        <v>5455391.8025048636</v>
      </c>
      <c r="Z57" s="25">
        <f t="shared" ref="Z57:Z59" si="35">+(P57+Y57)</f>
        <v>11994446.539861176</v>
      </c>
      <c r="AA57" s="26">
        <f>+Z57/'Fisico ASIG'!N57/24</f>
        <v>59.03138400754144</v>
      </c>
      <c r="AB57" s="26">
        <f t="shared" si="34"/>
        <v>15.806111696522654</v>
      </c>
      <c r="AC57" s="29">
        <f t="shared" ref="AC57:AC59" si="36">+AA57-AB57</f>
        <v>43.225272311018784</v>
      </c>
      <c r="AI57" s="1">
        <v>6960</v>
      </c>
      <c r="AJ57" s="1">
        <v>5538825</v>
      </c>
      <c r="AK57">
        <f t="shared" si="24"/>
        <v>1.44</v>
      </c>
      <c r="AL57" s="40">
        <f t="shared" si="25"/>
        <v>8437.7999999999993</v>
      </c>
      <c r="AM57">
        <v>2235000</v>
      </c>
      <c r="AN57" s="17">
        <v>33.205224359993338</v>
      </c>
      <c r="AO57" s="74">
        <f t="shared" si="26"/>
        <v>1.8363526442995504</v>
      </c>
    </row>
    <row r="58" spans="1:41" hidden="1" x14ac:dyDescent="0.25">
      <c r="A58" s="3">
        <v>1450.75</v>
      </c>
      <c r="B58" s="42">
        <v>1470.8330000000001</v>
      </c>
      <c r="C58" s="53">
        <f t="shared" si="16"/>
        <v>2025</v>
      </c>
      <c r="D58" s="52">
        <f>+'Fisico ASIG'!B58</f>
        <v>45962</v>
      </c>
      <c r="E58" s="1">
        <v>30</v>
      </c>
      <c r="F58" s="1" t="s">
        <v>51</v>
      </c>
      <c r="G58" s="56">
        <f t="shared" si="27"/>
        <v>45969</v>
      </c>
      <c r="H58" s="17">
        <v>28</v>
      </c>
      <c r="I58" s="17">
        <f t="shared" si="17"/>
        <v>4.7975185249009131</v>
      </c>
      <c r="J58" s="17">
        <f t="shared" si="18"/>
        <v>5.8161640530759948</v>
      </c>
      <c r="K58" s="17"/>
      <c r="L58" s="17">
        <v>27</v>
      </c>
      <c r="M58" s="17">
        <v>71.5</v>
      </c>
      <c r="N58" s="17">
        <f t="shared" si="19"/>
        <v>35.059396425685854</v>
      </c>
      <c r="O58" s="17">
        <v>61.650341584181632</v>
      </c>
      <c r="P58" s="18">
        <f>SUMPRODUCT(H58:O58,'Fisico ASIG'!F58:M58)*24</f>
        <v>6129869.2582743373</v>
      </c>
      <c r="Q58" s="43">
        <v>0</v>
      </c>
      <c r="R58" s="43">
        <f t="shared" si="20"/>
        <v>5497.7825262795104</v>
      </c>
      <c r="S58" s="43">
        <f t="shared" si="21"/>
        <v>1540.5824573496468</v>
      </c>
      <c r="T58" s="43"/>
      <c r="U58" s="43">
        <v>18000</v>
      </c>
      <c r="V58" s="20">
        <v>0</v>
      </c>
      <c r="W58" s="20">
        <v>21900</v>
      </c>
      <c r="X58" s="20">
        <v>0</v>
      </c>
      <c r="Y58" s="18">
        <f>SUMPRODUCT(Q58:X58,'Fisico ASIG'!O58:V58)/E58</f>
        <v>5468856.839956169</v>
      </c>
      <c r="Z58" s="25">
        <f t="shared" si="35"/>
        <v>11598726.098230507</v>
      </c>
      <c r="AA58" s="26">
        <f>+Z58/'Fisico ASIG'!N58/24</f>
        <v>59.259116327720541</v>
      </c>
      <c r="AB58" s="26">
        <f t="shared" si="34"/>
        <v>15.806111696522654</v>
      </c>
      <c r="AC58" s="29">
        <f t="shared" si="36"/>
        <v>43.453004631197885</v>
      </c>
      <c r="AI58" s="1">
        <v>6960</v>
      </c>
      <c r="AJ58" s="1">
        <v>5538825</v>
      </c>
      <c r="AK58">
        <f t="shared" si="24"/>
        <v>1.44</v>
      </c>
      <c r="AL58" s="40">
        <f t="shared" si="25"/>
        <v>8437.7999999999993</v>
      </c>
      <c r="AM58">
        <v>2235000</v>
      </c>
      <c r="AN58" s="17">
        <v>33.221917026403609</v>
      </c>
      <c r="AO58" s="74">
        <f t="shared" si="26"/>
        <v>1.8374793992822438</v>
      </c>
    </row>
    <row r="59" spans="1:41" hidden="1" x14ac:dyDescent="0.25">
      <c r="A59" s="3">
        <v>1450.75</v>
      </c>
      <c r="B59" s="42">
        <v>1470.8330000000001</v>
      </c>
      <c r="C59" s="53">
        <f t="shared" si="16"/>
        <v>2025</v>
      </c>
      <c r="D59" s="52">
        <f>+'Fisico ASIG'!B59</f>
        <v>45962</v>
      </c>
      <c r="E59" s="1">
        <v>30</v>
      </c>
      <c r="F59" s="1" t="s">
        <v>52</v>
      </c>
      <c r="G59" s="56">
        <f t="shared" si="27"/>
        <v>45970</v>
      </c>
      <c r="H59" s="17">
        <v>28</v>
      </c>
      <c r="I59" s="17">
        <f>AI59/A59</f>
        <v>4.7975185249009131</v>
      </c>
      <c r="J59" s="17">
        <f t="shared" si="18"/>
        <v>5.8161640530759948</v>
      </c>
      <c r="K59" s="17"/>
      <c r="L59" s="17">
        <v>27</v>
      </c>
      <c r="M59" s="17">
        <v>71.5</v>
      </c>
      <c r="N59" s="17">
        <f t="shared" si="19"/>
        <v>36.141094368368798</v>
      </c>
      <c r="O59" s="17">
        <v>95.139398643183412</v>
      </c>
      <c r="P59" s="18">
        <f>SUMPRODUCT(H59:O59,'Fisico ASIG'!F59:M59)*24</f>
        <v>6023526.068428223</v>
      </c>
      <c r="Q59" s="43">
        <v>0</v>
      </c>
      <c r="R59" s="43">
        <f t="shared" si="20"/>
        <v>5497.7825262795104</v>
      </c>
      <c r="S59" s="43">
        <f t="shared" si="21"/>
        <v>1540.5824573496468</v>
      </c>
      <c r="T59" s="43"/>
      <c r="U59" s="43">
        <v>18000</v>
      </c>
      <c r="V59" s="20">
        <v>0</v>
      </c>
      <c r="W59" s="20">
        <v>21900</v>
      </c>
      <c r="X59" s="20">
        <v>0</v>
      </c>
      <c r="Y59" s="18">
        <f>SUMPRODUCT(Q59:X59,'Fisico ASIG'!O59:V59)/E59</f>
        <v>5394894.7111022295</v>
      </c>
      <c r="Z59" s="25">
        <f t="shared" si="35"/>
        <v>11418420.779530453</v>
      </c>
      <c r="AA59" s="26">
        <f>+Z59/'Fisico ASIG'!N59/24</f>
        <v>60.95084229636381</v>
      </c>
      <c r="AB59" s="26">
        <f t="shared" si="34"/>
        <v>15.806111696522654</v>
      </c>
      <c r="AC59" s="29">
        <f t="shared" si="36"/>
        <v>45.144730599841154</v>
      </c>
      <c r="AI59" s="1">
        <v>6960</v>
      </c>
      <c r="AJ59" s="1">
        <v>5538825</v>
      </c>
      <c r="AK59">
        <f t="shared" si="24"/>
        <v>1.44</v>
      </c>
      <c r="AL59" s="40">
        <f t="shared" si="25"/>
        <v>8437.7999999999993</v>
      </c>
      <c r="AM59">
        <v>2235000</v>
      </c>
      <c r="AN59" s="17">
        <v>34.235217206902853</v>
      </c>
      <c r="AO59" s="74">
        <f t="shared" si="26"/>
        <v>1.9058771614659427</v>
      </c>
    </row>
    <row r="60" spans="1:41" hidden="1" x14ac:dyDescent="0.25">
      <c r="A60" s="3">
        <v>1450.75</v>
      </c>
      <c r="B60" s="42">
        <v>1470.8330000000001</v>
      </c>
      <c r="C60" s="53">
        <f t="shared" si="16"/>
        <v>2025</v>
      </c>
      <c r="D60" s="52">
        <f>+'Fisico ASIG'!B60</f>
        <v>45962</v>
      </c>
      <c r="E60" s="1">
        <v>30</v>
      </c>
      <c r="F60" s="1" t="s">
        <v>53</v>
      </c>
      <c r="G60" s="56">
        <f t="shared" si="27"/>
        <v>45971</v>
      </c>
      <c r="H60" s="17">
        <v>28</v>
      </c>
      <c r="I60" s="17">
        <f t="shared" ref="I60:I73" si="37">AI60/A60</f>
        <v>4.7975185249009131</v>
      </c>
      <c r="J60" s="17">
        <f t="shared" si="18"/>
        <v>5.8161640530759948</v>
      </c>
      <c r="K60" s="17"/>
      <c r="L60" s="17">
        <v>27</v>
      </c>
      <c r="M60" s="17">
        <v>71.5</v>
      </c>
      <c r="N60" s="17">
        <f t="shared" si="19"/>
        <v>36.479870158822585</v>
      </c>
      <c r="O60" s="17">
        <v>119.78007241518037</v>
      </c>
      <c r="P60" s="18">
        <f>SUMPRODUCT(H60:O60,'Fisico ASIG'!F60:M60)*24</f>
        <v>7089546.7340269517</v>
      </c>
      <c r="Q60" s="43">
        <v>0</v>
      </c>
      <c r="R60" s="43">
        <f t="shared" ref="R60:R66" si="38">+AJ60*AK60/A60</f>
        <v>5497.7825262795104</v>
      </c>
      <c r="S60" s="43">
        <f t="shared" ref="S60:S66" si="39">+AM60/A60</f>
        <v>1540.5824573496468</v>
      </c>
      <c r="T60" s="43"/>
      <c r="U60" s="43">
        <v>18000</v>
      </c>
      <c r="V60" s="20">
        <v>0</v>
      </c>
      <c r="W60" s="20">
        <v>21900</v>
      </c>
      <c r="X60" s="20">
        <v>0</v>
      </c>
      <c r="Y60" s="18">
        <f>SUMPRODUCT(Q60:X60,'Fisico ASIG'!O60:V60)/E60</f>
        <v>5486413.7768784035</v>
      </c>
      <c r="Z60" s="25">
        <f t="shared" ref="Z60:Z66" si="40">+(P60+Y60)</f>
        <v>12575960.510905355</v>
      </c>
      <c r="AA60" s="26">
        <f>+Z60/'Fisico ASIG'!N60/24</f>
        <v>59.950232526713627</v>
      </c>
      <c r="AB60" s="26">
        <f t="shared" si="34"/>
        <v>15.806111696522654</v>
      </c>
      <c r="AC60" s="29">
        <f t="shared" ref="AC60:AC66" si="41">+AA60-AB60</f>
        <v>44.144120830190971</v>
      </c>
      <c r="AI60" s="1">
        <v>6960</v>
      </c>
      <c r="AJ60" s="1">
        <v>5538825</v>
      </c>
      <c r="AK60">
        <f t="shared" si="24"/>
        <v>1.44</v>
      </c>
      <c r="AL60" s="40">
        <f t="shared" si="25"/>
        <v>8437.7999999999993</v>
      </c>
      <c r="AM60">
        <v>2235000</v>
      </c>
      <c r="AN60" s="17">
        <v>34.552571577351365</v>
      </c>
      <c r="AO60" s="74">
        <f t="shared" si="26"/>
        <v>1.9272985814712174</v>
      </c>
    </row>
    <row r="61" spans="1:41" hidden="1" x14ac:dyDescent="0.25">
      <c r="A61" s="3">
        <v>1450.75</v>
      </c>
      <c r="B61" s="42">
        <v>1470.8330000000001</v>
      </c>
      <c r="C61" s="53">
        <f t="shared" si="16"/>
        <v>2025</v>
      </c>
      <c r="D61" s="52">
        <f>+'Fisico ASIG'!B61</f>
        <v>45962</v>
      </c>
      <c r="E61" s="1">
        <v>30</v>
      </c>
      <c r="F61" s="1" t="s">
        <v>54</v>
      </c>
      <c r="G61" s="56">
        <f t="shared" si="27"/>
        <v>45972</v>
      </c>
      <c r="H61" s="17">
        <v>28</v>
      </c>
      <c r="I61" s="17">
        <f t="shared" si="37"/>
        <v>4.7975185249009131</v>
      </c>
      <c r="J61" s="17">
        <f t="shared" si="18"/>
        <v>5.8161640530759948</v>
      </c>
      <c r="K61" s="17"/>
      <c r="L61" s="17">
        <v>27</v>
      </c>
      <c r="M61" s="17">
        <v>71.5</v>
      </c>
      <c r="N61" s="17">
        <f t="shared" si="19"/>
        <v>36.219214506294556</v>
      </c>
      <c r="O61" s="17">
        <v>72.23364681447309</v>
      </c>
      <c r="P61" s="18">
        <f>SUMPRODUCT(H61:O61,'Fisico ASIG'!F61:M61)*24</f>
        <v>8089371.9651450589</v>
      </c>
      <c r="Q61" s="43">
        <v>0</v>
      </c>
      <c r="R61" s="43">
        <f t="shared" si="38"/>
        <v>5497.7825262795104</v>
      </c>
      <c r="S61" s="43">
        <f t="shared" si="39"/>
        <v>1540.5824573496468</v>
      </c>
      <c r="T61" s="43"/>
      <c r="U61" s="43">
        <v>18000</v>
      </c>
      <c r="V61" s="20">
        <v>0</v>
      </c>
      <c r="W61" s="20">
        <v>21900</v>
      </c>
      <c r="X61" s="20">
        <v>0</v>
      </c>
      <c r="Y61" s="18">
        <f>SUMPRODUCT(Q61:X61,'Fisico ASIG'!O61:V61)/E61</f>
        <v>5625704.6456724936</v>
      </c>
      <c r="Z61" s="25">
        <f t="shared" si="40"/>
        <v>13715076.610817552</v>
      </c>
      <c r="AA61" s="26">
        <f>+Z61/'Fisico ASIG'!N61/24</f>
        <v>61.665552545117372</v>
      </c>
      <c r="AB61" s="26">
        <f t="shared" si="34"/>
        <v>15.806111696522654</v>
      </c>
      <c r="AC61" s="29">
        <f t="shared" si="41"/>
        <v>45.859440848594716</v>
      </c>
      <c r="AI61" s="1">
        <v>6960</v>
      </c>
      <c r="AJ61" s="1">
        <v>5538825</v>
      </c>
      <c r="AK61">
        <f t="shared" si="24"/>
        <v>1.44</v>
      </c>
      <c r="AL61" s="40">
        <f t="shared" si="25"/>
        <v>8437.7999999999993</v>
      </c>
      <c r="AM61">
        <v>2235000</v>
      </c>
      <c r="AN61" s="17">
        <v>34.308397663976166</v>
      </c>
      <c r="AO61" s="74">
        <f t="shared" si="26"/>
        <v>1.9108168423183913</v>
      </c>
    </row>
    <row r="62" spans="1:41" hidden="1" x14ac:dyDescent="0.25">
      <c r="A62" s="3">
        <v>1450.75</v>
      </c>
      <c r="B62" s="42">
        <v>1470.8330000000001</v>
      </c>
      <c r="C62" s="53">
        <f t="shared" si="16"/>
        <v>2025</v>
      </c>
      <c r="D62" s="52">
        <f>+'Fisico ASIG'!B62</f>
        <v>45962</v>
      </c>
      <c r="E62" s="1">
        <v>30</v>
      </c>
      <c r="F62" s="1" t="s">
        <v>55</v>
      </c>
      <c r="G62" s="56">
        <f t="shared" si="27"/>
        <v>45973</v>
      </c>
      <c r="H62" s="17">
        <v>28</v>
      </c>
      <c r="I62" s="17">
        <f t="shared" si="37"/>
        <v>4.7975185249009131</v>
      </c>
      <c r="J62" s="17">
        <f t="shared" si="18"/>
        <v>5.8161640530759948</v>
      </c>
      <c r="K62" s="17"/>
      <c r="L62" s="17">
        <v>27</v>
      </c>
      <c r="M62" s="17">
        <v>71.5</v>
      </c>
      <c r="N62" s="17">
        <f t="shared" si="19"/>
        <v>36.68131687025911</v>
      </c>
      <c r="O62" s="17">
        <v>70.685591798275411</v>
      </c>
      <c r="P62" s="18">
        <f>SUMPRODUCT(H62:O62,'Fisico ASIG'!F62:M62)*24</f>
        <v>8198575.9296496958</v>
      </c>
      <c r="Q62" s="43">
        <v>0</v>
      </c>
      <c r="R62" s="43">
        <f t="shared" si="38"/>
        <v>5497.7825262795104</v>
      </c>
      <c r="S62" s="43">
        <f t="shared" si="39"/>
        <v>1540.5824573496468</v>
      </c>
      <c r="T62" s="43"/>
      <c r="U62" s="43">
        <v>18000</v>
      </c>
      <c r="V62" s="20">
        <v>0</v>
      </c>
      <c r="W62" s="20">
        <v>21900</v>
      </c>
      <c r="X62" s="20">
        <v>0</v>
      </c>
      <c r="Y62" s="18">
        <f>SUMPRODUCT(Q62:X62,'Fisico ASIG'!O62:V62)/E62</f>
        <v>5633321.0966768377</v>
      </c>
      <c r="Z62" s="25">
        <f t="shared" si="40"/>
        <v>13831897.026326533</v>
      </c>
      <c r="AA62" s="26">
        <f>+Z62/'Fisico ASIG'!N62/24</f>
        <v>62.512183069025532</v>
      </c>
      <c r="AB62" s="26">
        <f t="shared" si="34"/>
        <v>15.806111696522654</v>
      </c>
      <c r="AC62" s="29">
        <f t="shared" si="41"/>
        <v>46.706071372502876</v>
      </c>
      <c r="AI62" s="1">
        <v>6960</v>
      </c>
      <c r="AJ62" s="1">
        <v>5538825</v>
      </c>
      <c r="AK62">
        <f t="shared" si="24"/>
        <v>1.44</v>
      </c>
      <c r="AL62" s="40">
        <f t="shared" si="25"/>
        <v>8437.7999999999993</v>
      </c>
      <c r="AM62">
        <v>2235000</v>
      </c>
      <c r="AN62" s="17">
        <v>34.741280440523759</v>
      </c>
      <c r="AO62" s="74">
        <f t="shared" si="26"/>
        <v>1.9400364297353538</v>
      </c>
    </row>
    <row r="63" spans="1:41" hidden="1" x14ac:dyDescent="0.25">
      <c r="A63" s="3">
        <v>1450.75</v>
      </c>
      <c r="B63" s="42">
        <v>1470.8330000000001</v>
      </c>
      <c r="C63" s="53">
        <f t="shared" si="16"/>
        <v>2025</v>
      </c>
      <c r="D63" s="52">
        <f>+'Fisico ASIG'!B63</f>
        <v>45962</v>
      </c>
      <c r="E63" s="1">
        <v>30</v>
      </c>
      <c r="F63" s="1" t="s">
        <v>56</v>
      </c>
      <c r="G63" s="56">
        <f t="shared" si="27"/>
        <v>45974</v>
      </c>
      <c r="H63" s="17">
        <v>28</v>
      </c>
      <c r="I63" s="17">
        <f t="shared" si="37"/>
        <v>4.7975185249009131</v>
      </c>
      <c r="J63" s="17">
        <f t="shared" si="18"/>
        <v>5.8161640530759948</v>
      </c>
      <c r="K63" s="17"/>
      <c r="L63" s="17">
        <v>27</v>
      </c>
      <c r="M63" s="17">
        <v>71.5</v>
      </c>
      <c r="N63" s="17">
        <f t="shared" si="19"/>
        <v>35.985042261906024</v>
      </c>
      <c r="O63" s="17">
        <v>119.95626008881881</v>
      </c>
      <c r="P63" s="18">
        <f>SUMPRODUCT(H63:O63,'Fisico ASIG'!F63:M63)*24</f>
        <v>7664738.6962435674</v>
      </c>
      <c r="Q63" s="43">
        <v>0</v>
      </c>
      <c r="R63" s="43">
        <f t="shared" si="38"/>
        <v>5497.7825262795104</v>
      </c>
      <c r="S63" s="43">
        <f t="shared" si="39"/>
        <v>1540.5824573496468</v>
      </c>
      <c r="T63" s="43"/>
      <c r="U63" s="43">
        <v>18000</v>
      </c>
      <c r="V63" s="20">
        <v>0</v>
      </c>
      <c r="W63" s="20">
        <v>21900</v>
      </c>
      <c r="X63" s="20">
        <v>0</v>
      </c>
      <c r="Y63" s="18">
        <f>SUMPRODUCT(Q63:X63,'Fisico ASIG'!O63:V63)/E63</f>
        <v>5706332.3022597469</v>
      </c>
      <c r="Z63" s="25">
        <f t="shared" si="40"/>
        <v>13371070.998503314</v>
      </c>
      <c r="AA63" s="26">
        <f>+Z63/'Fisico ASIG'!N63/24</f>
        <v>60.186020215721534</v>
      </c>
      <c r="AB63" s="26">
        <f t="shared" si="34"/>
        <v>15.806111696522654</v>
      </c>
      <c r="AC63" s="29">
        <f t="shared" si="41"/>
        <v>44.379908519198878</v>
      </c>
      <c r="AI63" s="1">
        <v>6960</v>
      </c>
      <c r="AJ63" s="1">
        <v>5538825</v>
      </c>
      <c r="AK63">
        <f t="shared" si="24"/>
        <v>1.44</v>
      </c>
      <c r="AL63" s="40">
        <f t="shared" si="25"/>
        <v>8437.7999999999993</v>
      </c>
      <c r="AM63">
        <v>2235000</v>
      </c>
      <c r="AN63" s="17">
        <v>34.089032563846395</v>
      </c>
      <c r="AO63" s="74">
        <f t="shared" si="26"/>
        <v>1.8960096980596317</v>
      </c>
    </row>
    <row r="64" spans="1:41" hidden="1" x14ac:dyDescent="0.25">
      <c r="A64" s="3">
        <v>1450.75</v>
      </c>
      <c r="B64" s="42">
        <v>1470.8330000000001</v>
      </c>
      <c r="C64" s="53">
        <f t="shared" si="16"/>
        <v>2025</v>
      </c>
      <c r="D64" s="52">
        <f>+'Fisico ASIG'!B64</f>
        <v>45962</v>
      </c>
      <c r="E64" s="1">
        <v>30</v>
      </c>
      <c r="F64" s="1" t="s">
        <v>57</v>
      </c>
      <c r="G64" s="56">
        <f t="shared" si="27"/>
        <v>45975</v>
      </c>
      <c r="H64" s="17">
        <v>28</v>
      </c>
      <c r="I64" s="17">
        <f t="shared" si="37"/>
        <v>4.7975185249009131</v>
      </c>
      <c r="J64" s="17">
        <f t="shared" si="18"/>
        <v>5.8161640530759948</v>
      </c>
      <c r="K64" s="17"/>
      <c r="L64" s="17">
        <v>27</v>
      </c>
      <c r="M64" s="17">
        <v>71.5</v>
      </c>
      <c r="N64" s="17">
        <f t="shared" si="19"/>
        <v>36.455637660296382</v>
      </c>
      <c r="O64" s="17">
        <v>105.23640964617633</v>
      </c>
      <c r="P64" s="18">
        <f>SUMPRODUCT(H64:O64,'Fisico ASIG'!F64:M64)*24</f>
        <v>8408967.4040639047</v>
      </c>
      <c r="Q64" s="43">
        <v>0</v>
      </c>
      <c r="R64" s="43">
        <f t="shared" si="38"/>
        <v>5497.7825262795104</v>
      </c>
      <c r="S64" s="43">
        <f t="shared" si="39"/>
        <v>1540.5824573496468</v>
      </c>
      <c r="T64" s="43"/>
      <c r="U64" s="43">
        <v>18000</v>
      </c>
      <c r="V64" s="20">
        <v>0</v>
      </c>
      <c r="W64" s="20">
        <v>21900</v>
      </c>
      <c r="X64" s="20">
        <v>0</v>
      </c>
      <c r="Y64" s="18">
        <f>SUMPRODUCT(Q64:X64,'Fisico ASIG'!O64:V64)/E64</f>
        <v>5651805.0428719306</v>
      </c>
      <c r="Z64" s="25">
        <f t="shared" si="40"/>
        <v>14060772.446935836</v>
      </c>
      <c r="AA64" s="26">
        <f>+Z64/'Fisico ASIG'!N64/24</f>
        <v>60.147682196884027</v>
      </c>
      <c r="AB64" s="26">
        <f t="shared" si="34"/>
        <v>15.806111696522654</v>
      </c>
      <c r="AC64" s="29">
        <f t="shared" si="41"/>
        <v>44.341570500361371</v>
      </c>
      <c r="AI64" s="1">
        <v>6960</v>
      </c>
      <c r="AJ64" s="1">
        <v>5538825</v>
      </c>
      <c r="AK64">
        <f t="shared" si="24"/>
        <v>1.44</v>
      </c>
      <c r="AL64" s="40">
        <f t="shared" si="25"/>
        <v>8437.7999999999993</v>
      </c>
      <c r="AM64">
        <v>2235000</v>
      </c>
      <c r="AN64" s="17">
        <v>34.529871344539934</v>
      </c>
      <c r="AO64" s="74">
        <f t="shared" si="26"/>
        <v>1.9257663157564457</v>
      </c>
    </row>
    <row r="65" spans="1:41" hidden="1" x14ac:dyDescent="0.25">
      <c r="A65" s="3">
        <v>1450.75</v>
      </c>
      <c r="B65" s="42">
        <v>1470.8330000000001</v>
      </c>
      <c r="C65" s="53">
        <f t="shared" si="16"/>
        <v>2025</v>
      </c>
      <c r="D65" s="52">
        <f>+'Fisico ASIG'!B65</f>
        <v>45962</v>
      </c>
      <c r="E65" s="1">
        <v>30</v>
      </c>
      <c r="F65" s="1" t="s">
        <v>51</v>
      </c>
      <c r="G65" s="56">
        <f t="shared" si="27"/>
        <v>45976</v>
      </c>
      <c r="H65" s="17">
        <v>28</v>
      </c>
      <c r="I65" s="17">
        <f t="shared" si="37"/>
        <v>4.7975185249009131</v>
      </c>
      <c r="J65" s="17">
        <f t="shared" si="18"/>
        <v>5.8161640530759948</v>
      </c>
      <c r="K65" s="17"/>
      <c r="L65" s="17">
        <v>27</v>
      </c>
      <c r="M65" s="17">
        <v>71.5</v>
      </c>
      <c r="N65" s="17">
        <f t="shared" si="19"/>
        <v>36.354487418832107</v>
      </c>
      <c r="O65" s="17">
        <v>44.343611978390932</v>
      </c>
      <c r="P65" s="18">
        <f>SUMPRODUCT(H65:O65,'Fisico ASIG'!F65:M65)*24</f>
        <v>8082959.8399003716</v>
      </c>
      <c r="Q65" s="43">
        <v>0</v>
      </c>
      <c r="R65" s="43">
        <f t="shared" si="38"/>
        <v>5497.7825262795104</v>
      </c>
      <c r="S65" s="43">
        <f t="shared" si="39"/>
        <v>1540.5824573496468</v>
      </c>
      <c r="T65" s="43"/>
      <c r="U65" s="43">
        <v>18000</v>
      </c>
      <c r="V65" s="20">
        <v>0</v>
      </c>
      <c r="W65" s="20">
        <v>21900</v>
      </c>
      <c r="X65" s="20">
        <v>0</v>
      </c>
      <c r="Y65" s="18">
        <f>SUMPRODUCT(Q65:X65,'Fisico ASIG'!O65:V65)/E65</f>
        <v>5445566.5418772576</v>
      </c>
      <c r="Z65" s="25">
        <f t="shared" si="40"/>
        <v>13528526.381777629</v>
      </c>
      <c r="AA65" s="26">
        <f>+Z65/'Fisico ASIG'!N65/24</f>
        <v>59.045669261541526</v>
      </c>
      <c r="AB65" s="26">
        <f t="shared" si="34"/>
        <v>15.806111696522654</v>
      </c>
      <c r="AC65" s="29">
        <f t="shared" si="41"/>
        <v>43.23955756501887</v>
      </c>
      <c r="AI65" s="1">
        <v>6960</v>
      </c>
      <c r="AJ65" s="1">
        <v>5538825</v>
      </c>
      <c r="AK65">
        <f t="shared" si="24"/>
        <v>1.44</v>
      </c>
      <c r="AL65" s="40">
        <f t="shared" si="25"/>
        <v>8437.7999999999993</v>
      </c>
      <c r="AM65">
        <v>2235000</v>
      </c>
      <c r="AN65" s="17">
        <v>34.435117019983238</v>
      </c>
      <c r="AO65" s="74">
        <f t="shared" si="26"/>
        <v>1.9193703988488686</v>
      </c>
    </row>
    <row r="66" spans="1:41" hidden="1" x14ac:dyDescent="0.25">
      <c r="A66" s="3">
        <v>1450.75</v>
      </c>
      <c r="B66" s="42">
        <v>1470.8330000000001</v>
      </c>
      <c r="C66" s="53">
        <f t="shared" si="16"/>
        <v>2025</v>
      </c>
      <c r="D66" s="52">
        <f>+'Fisico ASIG'!B66</f>
        <v>45962</v>
      </c>
      <c r="E66" s="1">
        <v>30</v>
      </c>
      <c r="F66" s="1" t="s">
        <v>52</v>
      </c>
      <c r="G66" s="56">
        <f t="shared" si="27"/>
        <v>45977</v>
      </c>
      <c r="H66" s="17">
        <v>28</v>
      </c>
      <c r="I66" s="17">
        <f t="shared" si="37"/>
        <v>4.7975185249009131</v>
      </c>
      <c r="J66" s="17">
        <f t="shared" si="18"/>
        <v>5.8161640530759948</v>
      </c>
      <c r="K66" s="17"/>
      <c r="L66" s="17">
        <v>27</v>
      </c>
      <c r="M66" s="17">
        <v>71.5</v>
      </c>
      <c r="N66" s="17">
        <f t="shared" si="19"/>
        <v>36.781685647631512</v>
      </c>
      <c r="O66" s="17">
        <v>44.638858371070775</v>
      </c>
      <c r="P66" s="18">
        <f>SUMPRODUCT(H66:O66,'Fisico ASIG'!F66:M66)*24</f>
        <v>7144734.0059357174</v>
      </c>
      <c r="Q66" s="43">
        <v>0</v>
      </c>
      <c r="R66" s="43">
        <f t="shared" si="38"/>
        <v>5497.7825262795104</v>
      </c>
      <c r="S66" s="43">
        <f t="shared" si="39"/>
        <v>1540.5824573496468</v>
      </c>
      <c r="T66" s="43"/>
      <c r="U66" s="43">
        <v>18000</v>
      </c>
      <c r="V66" s="20">
        <v>0</v>
      </c>
      <c r="W66" s="20">
        <v>21900</v>
      </c>
      <c r="X66" s="20">
        <v>0</v>
      </c>
      <c r="Y66" s="18">
        <f>SUMPRODUCT(Q66:X66,'Fisico ASIG'!O66:V66)/E66</f>
        <v>5450480.551950139</v>
      </c>
      <c r="Z66" s="25">
        <f t="shared" si="40"/>
        <v>12595214.557885855</v>
      </c>
      <c r="AA66" s="26">
        <f>+Z66/'Fisico ASIG'!N66/24</f>
        <v>67.416028372837403</v>
      </c>
      <c r="AB66" s="26">
        <f t="shared" si="34"/>
        <v>15.806111696522654</v>
      </c>
      <c r="AC66" s="29">
        <f t="shared" si="41"/>
        <v>51.609916676314747</v>
      </c>
      <c r="AI66" s="1">
        <v>6960</v>
      </c>
      <c r="AJ66" s="1">
        <v>5538825</v>
      </c>
      <c r="AK66">
        <f t="shared" si="24"/>
        <v>1.44</v>
      </c>
      <c r="AL66" s="40">
        <f t="shared" si="25"/>
        <v>8437.7999999999993</v>
      </c>
      <c r="AM66">
        <v>2235000</v>
      </c>
      <c r="AN66" s="17">
        <v>34.835302714408911</v>
      </c>
      <c r="AO66" s="74">
        <f t="shared" si="26"/>
        <v>1.9463829332226017</v>
      </c>
    </row>
    <row r="67" spans="1:41" hidden="1" x14ac:dyDescent="0.25">
      <c r="A67" s="3">
        <v>1450.75</v>
      </c>
      <c r="B67" s="42">
        <v>1419.3330000000001</v>
      </c>
      <c r="C67" s="53">
        <f t="shared" si="16"/>
        <v>2025</v>
      </c>
      <c r="D67" s="52">
        <f>+'Fisico ASIG'!B67</f>
        <v>45962</v>
      </c>
      <c r="E67" s="1">
        <v>30</v>
      </c>
      <c r="F67" s="1" t="s">
        <v>53</v>
      </c>
      <c r="G67" s="56">
        <f t="shared" si="27"/>
        <v>45978</v>
      </c>
      <c r="H67" s="17">
        <v>28</v>
      </c>
      <c r="I67" s="17">
        <f t="shared" si="37"/>
        <v>4.7975185249009131</v>
      </c>
      <c r="J67" s="17">
        <f t="shared" si="18"/>
        <v>5.8161640530759948</v>
      </c>
      <c r="K67" s="17"/>
      <c r="L67" s="17">
        <v>27</v>
      </c>
      <c r="M67" s="17">
        <v>71.5</v>
      </c>
      <c r="N67" s="17">
        <f t="shared" si="19"/>
        <v>38.573605864377541</v>
      </c>
      <c r="O67" s="17">
        <v>119.62109251657721</v>
      </c>
      <c r="P67" s="18">
        <f>SUMPRODUCT(H67:O67,'Fisico ASIG'!F67:M67)*24</f>
        <v>7547602.9552768487</v>
      </c>
      <c r="Q67" s="43">
        <v>0</v>
      </c>
      <c r="R67" s="43">
        <f t="shared" ref="R67:R73" si="42">+AJ67*AK67/A67</f>
        <v>5497.7825262795104</v>
      </c>
      <c r="S67" s="43">
        <f t="shared" ref="S67:S73" si="43">+AM67/A67</f>
        <v>1540.5824573496468</v>
      </c>
      <c r="T67" s="43"/>
      <c r="U67" s="43">
        <v>18000</v>
      </c>
      <c r="V67" s="20">
        <v>0</v>
      </c>
      <c r="W67" s="20">
        <v>21900</v>
      </c>
      <c r="X67" s="20">
        <v>0</v>
      </c>
      <c r="Y67" s="18">
        <f>SUMPRODUCT(Q67:X67,'Fisico ASIG'!O67:V67)/E67</f>
        <v>5517636.7776633473</v>
      </c>
      <c r="Z67" s="25">
        <f t="shared" ref="Z67:Z73" si="44">+(P67+Y67)</f>
        <v>13065239.732940197</v>
      </c>
      <c r="AA67" s="26">
        <f>+Z67/'Fisico ASIG'!N67/24</f>
        <v>65.504190581600739</v>
      </c>
      <c r="AB67" s="26">
        <f t="shared" si="34"/>
        <v>15.806111696522654</v>
      </c>
      <c r="AC67" s="29">
        <f t="shared" ref="AC67:AC73" si="45">+AA67-AB67</f>
        <v>49.698078885078083</v>
      </c>
      <c r="AI67" s="1">
        <v>6960</v>
      </c>
      <c r="AJ67" s="1">
        <v>5538825</v>
      </c>
      <c r="AK67">
        <f t="shared" si="24"/>
        <v>1.44</v>
      </c>
      <c r="AL67" s="40">
        <f t="shared" si="25"/>
        <v>8437.7999999999993</v>
      </c>
      <c r="AM67">
        <v>2235000</v>
      </c>
      <c r="AN67" s="17">
        <v>36.513916500587861</v>
      </c>
      <c r="AO67" s="74">
        <f t="shared" si="26"/>
        <v>2.0596893637896807</v>
      </c>
    </row>
    <row r="68" spans="1:41" hidden="1" x14ac:dyDescent="0.25">
      <c r="A68" s="3">
        <v>1450.75</v>
      </c>
      <c r="B68" s="42">
        <v>1419.3330000000001</v>
      </c>
      <c r="C68" s="53">
        <f t="shared" si="16"/>
        <v>2025</v>
      </c>
      <c r="D68" s="52">
        <f>+'Fisico ASIG'!B68</f>
        <v>45962</v>
      </c>
      <c r="E68" s="1">
        <v>30</v>
      </c>
      <c r="F68" s="1" t="s">
        <v>54</v>
      </c>
      <c r="G68" s="56">
        <f t="shared" si="27"/>
        <v>45979</v>
      </c>
      <c r="H68" s="17">
        <v>28</v>
      </c>
      <c r="I68" s="17">
        <f t="shared" si="37"/>
        <v>4.7975185249009131</v>
      </c>
      <c r="J68" s="17">
        <f t="shared" si="18"/>
        <v>5.8161640530759948</v>
      </c>
      <c r="K68" s="17"/>
      <c r="L68" s="17">
        <v>27</v>
      </c>
      <c r="M68" s="17">
        <v>71.5</v>
      </c>
      <c r="N68" s="17">
        <f t="shared" si="19"/>
        <v>37.570330004637583</v>
      </c>
      <c r="O68" s="17">
        <v>39.84198765477489</v>
      </c>
      <c r="P68" s="18">
        <f>SUMPRODUCT(H68:O68,'Fisico ASIG'!F68:M68)*24</f>
        <v>7583004.9669579342</v>
      </c>
      <c r="Q68" s="43">
        <v>0</v>
      </c>
      <c r="R68" s="43">
        <f t="shared" si="42"/>
        <v>5497.7825262795104</v>
      </c>
      <c r="S68" s="43">
        <f t="shared" si="43"/>
        <v>1540.5824573496468</v>
      </c>
      <c r="T68" s="43"/>
      <c r="U68" s="43">
        <v>18000</v>
      </c>
      <c r="V68" s="20">
        <v>0</v>
      </c>
      <c r="W68" s="20">
        <v>21900</v>
      </c>
      <c r="X68" s="20">
        <v>0</v>
      </c>
      <c r="Y68" s="18">
        <f>SUMPRODUCT(Q68:X68,'Fisico ASIG'!O68:V68)/E68</f>
        <v>5467095.5107293706</v>
      </c>
      <c r="Z68" s="25">
        <f t="shared" si="44"/>
        <v>13050100.477687305</v>
      </c>
      <c r="AA68" s="26">
        <f>+Z68/'Fisico ASIG'!N68/24</f>
        <v>61.661250918106781</v>
      </c>
      <c r="AB68" s="26">
        <f t="shared" si="34"/>
        <v>15.806111696522654</v>
      </c>
      <c r="AC68" s="29">
        <f t="shared" si="45"/>
        <v>45.855139221584125</v>
      </c>
      <c r="AI68" s="1">
        <v>6960</v>
      </c>
      <c r="AJ68" s="1">
        <v>5538825</v>
      </c>
      <c r="AK68">
        <f t="shared" si="24"/>
        <v>1.44</v>
      </c>
      <c r="AL68" s="40">
        <f t="shared" si="25"/>
        <v>8437.7999999999993</v>
      </c>
      <c r="AM68">
        <v>2235000</v>
      </c>
      <c r="AN68" s="17">
        <v>35.574079629637083</v>
      </c>
      <c r="AO68" s="74">
        <f t="shared" si="26"/>
        <v>1.9962503750005032</v>
      </c>
    </row>
    <row r="69" spans="1:41" hidden="1" x14ac:dyDescent="0.25">
      <c r="A69" s="3">
        <v>1450.75</v>
      </c>
      <c r="B69" s="42">
        <v>1419.3330000000001</v>
      </c>
      <c r="C69" s="53">
        <f t="shared" si="16"/>
        <v>2025</v>
      </c>
      <c r="D69" s="52">
        <f>+'Fisico ASIG'!B69</f>
        <v>45962</v>
      </c>
      <c r="E69" s="1">
        <v>30</v>
      </c>
      <c r="F69" s="1" t="s">
        <v>55</v>
      </c>
      <c r="G69" s="56">
        <f t="shared" si="27"/>
        <v>45980</v>
      </c>
      <c r="H69" s="17">
        <v>28</v>
      </c>
      <c r="I69" s="17">
        <f t="shared" si="37"/>
        <v>4.7975185249009131</v>
      </c>
      <c r="J69" s="17">
        <f t="shared" si="18"/>
        <v>5.8161640530759948</v>
      </c>
      <c r="K69" s="17"/>
      <c r="L69" s="17">
        <v>27</v>
      </c>
      <c r="M69" s="17">
        <v>71.5</v>
      </c>
      <c r="N69" s="17">
        <f t="shared" si="19"/>
        <v>38.578346691760835</v>
      </c>
      <c r="O69" s="17">
        <v>115.0982800982801</v>
      </c>
      <c r="P69" s="18">
        <f>SUMPRODUCT(H69:O69,'Fisico ASIG'!F69:M69)*24</f>
        <v>6676257.5052404236</v>
      </c>
      <c r="Q69" s="43">
        <v>0</v>
      </c>
      <c r="R69" s="43">
        <f t="shared" si="42"/>
        <v>5497.7825262795104</v>
      </c>
      <c r="S69" s="43">
        <f t="shared" si="43"/>
        <v>1540.5824573496468</v>
      </c>
      <c r="T69" s="43"/>
      <c r="U69" s="43">
        <v>18000</v>
      </c>
      <c r="V69" s="20">
        <v>0</v>
      </c>
      <c r="W69" s="20">
        <v>21900</v>
      </c>
      <c r="X69" s="20">
        <v>0</v>
      </c>
      <c r="Y69" s="18">
        <f>SUMPRODUCT(Q69:X69,'Fisico ASIG'!O69:V69)/E69</f>
        <v>5385361.1877801949</v>
      </c>
      <c r="Z69" s="25">
        <f t="shared" si="44"/>
        <v>12061618.693020619</v>
      </c>
      <c r="AA69" s="26">
        <f>+Z69/'Fisico ASIG'!N69/24</f>
        <v>56.857047506854762</v>
      </c>
      <c r="AB69" s="26">
        <f t="shared" si="34"/>
        <v>15.806111696522654</v>
      </c>
      <c r="AC69" s="29">
        <f t="shared" si="45"/>
        <v>41.050935810332106</v>
      </c>
      <c r="AI69" s="1">
        <v>6960</v>
      </c>
      <c r="AJ69" s="1">
        <v>5538825</v>
      </c>
      <c r="AK69">
        <f t="shared" si="24"/>
        <v>1.44</v>
      </c>
      <c r="AL69" s="40">
        <f t="shared" si="25"/>
        <v>8437.7999999999993</v>
      </c>
      <c r="AM69">
        <v>2235000</v>
      </c>
      <c r="AN69" s="17">
        <v>36.51835755668462</v>
      </c>
      <c r="AO69" s="74">
        <f t="shared" si="26"/>
        <v>2.0599891350762118</v>
      </c>
    </row>
    <row r="70" spans="1:41" hidden="1" x14ac:dyDescent="0.25">
      <c r="A70" s="3">
        <v>1450.75</v>
      </c>
      <c r="B70" s="42">
        <v>1419.3330000000001</v>
      </c>
      <c r="C70" s="53">
        <f t="shared" si="16"/>
        <v>2025</v>
      </c>
      <c r="D70" s="52">
        <f>+'Fisico ASIG'!B70</f>
        <v>45962</v>
      </c>
      <c r="E70" s="1">
        <v>30</v>
      </c>
      <c r="F70" s="1" t="s">
        <v>56</v>
      </c>
      <c r="G70" s="56">
        <f t="shared" si="27"/>
        <v>45981</v>
      </c>
      <c r="H70" s="17">
        <v>28</v>
      </c>
      <c r="I70" s="17">
        <f t="shared" si="37"/>
        <v>4.7975185249009131</v>
      </c>
      <c r="J70" s="17">
        <f t="shared" si="18"/>
        <v>5.8161640530759948</v>
      </c>
      <c r="K70" s="17"/>
      <c r="L70" s="17">
        <v>27</v>
      </c>
      <c r="M70" s="17">
        <v>71.5</v>
      </c>
      <c r="N70" s="17">
        <f t="shared" si="19"/>
        <v>39.944191082927709</v>
      </c>
      <c r="O70" s="17">
        <v>90.930953380932365</v>
      </c>
      <c r="P70" s="18">
        <f>SUMPRODUCT(H70:O70,'Fisico ASIG'!F70:M70)*24</f>
        <v>6822390.0728990771</v>
      </c>
      <c r="Q70" s="43">
        <v>0</v>
      </c>
      <c r="R70" s="43">
        <f t="shared" si="42"/>
        <v>5497.7825262795104</v>
      </c>
      <c r="S70" s="43">
        <f t="shared" si="43"/>
        <v>1540.5824573496468</v>
      </c>
      <c r="T70" s="43"/>
      <c r="U70" s="43">
        <v>18000</v>
      </c>
      <c r="V70" s="20">
        <v>0</v>
      </c>
      <c r="W70" s="20">
        <v>21900</v>
      </c>
      <c r="X70" s="20">
        <v>0</v>
      </c>
      <c r="Y70" s="18">
        <f>SUMPRODUCT(Q70:X70,'Fisico ASIG'!O70:V70)/E70</f>
        <v>5094865.9252969427</v>
      </c>
      <c r="Z70" s="25">
        <f t="shared" si="44"/>
        <v>11917255.998196021</v>
      </c>
      <c r="AA70" s="26">
        <f>+Z70/'Fisico ASIG'!N70/24</f>
        <v>59.193086657239604</v>
      </c>
      <c r="AB70" s="26">
        <f t="shared" si="34"/>
        <v>15.806111696522654</v>
      </c>
      <c r="AC70" s="29">
        <f t="shared" si="45"/>
        <v>43.386974960716948</v>
      </c>
      <c r="AI70" s="1">
        <v>6960</v>
      </c>
      <c r="AJ70" s="1">
        <v>5538825</v>
      </c>
      <c r="AK70">
        <f t="shared" si="24"/>
        <v>1.44</v>
      </c>
      <c r="AL70" s="40">
        <f t="shared" si="25"/>
        <v>8437.7999999999993</v>
      </c>
      <c r="AM70">
        <v>2235000</v>
      </c>
      <c r="AN70" s="17">
        <v>37.797837080025957</v>
      </c>
      <c r="AO70" s="74">
        <f t="shared" si="26"/>
        <v>2.1463540029017523</v>
      </c>
    </row>
    <row r="71" spans="1:41" hidden="1" x14ac:dyDescent="0.25">
      <c r="A71" s="3">
        <v>1450.75</v>
      </c>
      <c r="B71" s="42">
        <v>1419.3330000000001</v>
      </c>
      <c r="C71" s="53">
        <f t="shared" si="16"/>
        <v>2025</v>
      </c>
      <c r="D71" s="52">
        <f>+'Fisico ASIG'!B71</f>
        <v>45962</v>
      </c>
      <c r="E71" s="1">
        <v>30</v>
      </c>
      <c r="F71" s="1" t="s">
        <v>57</v>
      </c>
      <c r="G71" s="56">
        <f t="shared" si="27"/>
        <v>45982</v>
      </c>
      <c r="H71" s="17">
        <v>28</v>
      </c>
      <c r="I71" s="17">
        <f t="shared" si="37"/>
        <v>4.7975185249009131</v>
      </c>
      <c r="J71" s="17">
        <f t="shared" si="18"/>
        <v>5.8161640530759948</v>
      </c>
      <c r="K71" s="17"/>
      <c r="L71" s="17">
        <v>27</v>
      </c>
      <c r="M71" s="17">
        <v>71.5</v>
      </c>
      <c r="N71" s="17">
        <f t="shared" si="19"/>
        <v>39.763388414958854</v>
      </c>
      <c r="O71" s="17">
        <v>96.520753903232702</v>
      </c>
      <c r="P71" s="18">
        <f>SUMPRODUCT(H71:O71,'Fisico ASIG'!F71:M71)*24</f>
        <v>6361201.9524527546</v>
      </c>
      <c r="Q71" s="43">
        <v>0</v>
      </c>
      <c r="R71" s="43">
        <f t="shared" si="42"/>
        <v>5497.7825262795104</v>
      </c>
      <c r="S71" s="43">
        <f t="shared" si="43"/>
        <v>1540.5824573496468</v>
      </c>
      <c r="T71" s="43"/>
      <c r="U71" s="43">
        <v>18000</v>
      </c>
      <c r="V71" s="20">
        <v>0</v>
      </c>
      <c r="W71" s="20">
        <v>21900</v>
      </c>
      <c r="X71" s="20">
        <v>0</v>
      </c>
      <c r="Y71" s="18">
        <f>SUMPRODUCT(Q71:X71,'Fisico ASIG'!O71:V71)/E71</f>
        <v>5119418.2461826243</v>
      </c>
      <c r="Z71" s="25">
        <f t="shared" si="44"/>
        <v>11480620.198635379</v>
      </c>
      <c r="AA71" s="26">
        <f>+Z71/'Fisico ASIG'!N71/24</f>
        <v>61.724991375959654</v>
      </c>
      <c r="AB71" s="26">
        <f t="shared" si="34"/>
        <v>15.806111696522654</v>
      </c>
      <c r="AC71" s="29">
        <f t="shared" si="45"/>
        <v>45.918879679436998</v>
      </c>
      <c r="AI71" s="1">
        <v>6960</v>
      </c>
      <c r="AJ71" s="1">
        <v>5538825</v>
      </c>
      <c r="AK71">
        <f t="shared" si="24"/>
        <v>1.44</v>
      </c>
      <c r="AL71" s="40">
        <f t="shared" si="25"/>
        <v>8437.7999999999993</v>
      </c>
      <c r="AM71">
        <v>2235000</v>
      </c>
      <c r="AN71" s="17">
        <v>37.628466899258882</v>
      </c>
      <c r="AO71" s="74">
        <f t="shared" si="26"/>
        <v>2.1349215156999746</v>
      </c>
    </row>
    <row r="72" spans="1:41" hidden="1" x14ac:dyDescent="0.25">
      <c r="A72" s="3">
        <v>1450.75</v>
      </c>
      <c r="B72" s="42">
        <v>1419.3330000000001</v>
      </c>
      <c r="C72" s="53">
        <f t="shared" si="16"/>
        <v>2025</v>
      </c>
      <c r="D72" s="52">
        <f>+'Fisico ASIG'!B72</f>
        <v>45962</v>
      </c>
      <c r="E72" s="1">
        <v>30</v>
      </c>
      <c r="F72" s="1" t="s">
        <v>51</v>
      </c>
      <c r="G72" s="56">
        <f t="shared" si="27"/>
        <v>45983</v>
      </c>
      <c r="H72" s="17">
        <v>28</v>
      </c>
      <c r="I72" s="17">
        <f t="shared" si="37"/>
        <v>4.7975185249009131</v>
      </c>
      <c r="J72" s="17">
        <f t="shared" si="18"/>
        <v>5.8161640530759948</v>
      </c>
      <c r="K72" s="17"/>
      <c r="L72" s="17">
        <v>27</v>
      </c>
      <c r="M72" s="17">
        <v>71.5</v>
      </c>
      <c r="N72" s="17">
        <f t="shared" si="19"/>
        <v>40.152456595346798</v>
      </c>
      <c r="O72" s="17">
        <v>107.3649425412964</v>
      </c>
      <c r="P72" s="18">
        <f>SUMPRODUCT(H72:O72,'Fisico ASIG'!F72:M72)*24</f>
        <v>6755700.0760224955</v>
      </c>
      <c r="Q72" s="43">
        <v>0</v>
      </c>
      <c r="R72" s="43">
        <f t="shared" si="42"/>
        <v>5497.7825262795104</v>
      </c>
      <c r="S72" s="43">
        <f t="shared" si="43"/>
        <v>1540.5824573496468</v>
      </c>
      <c r="T72" s="43"/>
      <c r="U72" s="43">
        <v>18000</v>
      </c>
      <c r="V72" s="20">
        <v>0</v>
      </c>
      <c r="W72" s="20">
        <v>21900</v>
      </c>
      <c r="X72" s="20">
        <v>0</v>
      </c>
      <c r="Y72" s="18">
        <f>SUMPRODUCT(Q72:X72,'Fisico ASIG'!O72:V72)/E72</f>
        <v>5099284.2355553843</v>
      </c>
      <c r="Z72" s="25">
        <f t="shared" si="44"/>
        <v>11854984.311577879</v>
      </c>
      <c r="AA72" s="26">
        <f>+Z72/'Fisico ASIG'!N72/24</f>
        <v>64.647326427222225</v>
      </c>
      <c r="AB72" s="26">
        <f t="shared" si="34"/>
        <v>15.806111696522654</v>
      </c>
      <c r="AC72" s="29">
        <f t="shared" si="45"/>
        <v>48.841214730699569</v>
      </c>
      <c r="AI72" s="1">
        <v>6960</v>
      </c>
      <c r="AJ72" s="1">
        <v>5538825</v>
      </c>
      <c r="AK72">
        <f t="shared" si="24"/>
        <v>1.44</v>
      </c>
      <c r="AL72" s="40">
        <f t="shared" si="25"/>
        <v>8437.7999999999993</v>
      </c>
      <c r="AM72">
        <v>2235000</v>
      </c>
      <c r="AN72" s="17">
        <v>37.992933578779201</v>
      </c>
      <c r="AO72" s="74">
        <f t="shared" si="26"/>
        <v>2.1595230165675963</v>
      </c>
    </row>
    <row r="73" spans="1:41" hidden="1" x14ac:dyDescent="0.25">
      <c r="A73" s="3">
        <v>1450.75</v>
      </c>
      <c r="B73" s="42">
        <v>1419.3330000000001</v>
      </c>
      <c r="C73" s="53">
        <f t="shared" si="16"/>
        <v>2025</v>
      </c>
      <c r="D73" s="52">
        <f>+'Fisico ASIG'!B73</f>
        <v>45962</v>
      </c>
      <c r="E73" s="1">
        <v>30</v>
      </c>
      <c r="F73" s="1" t="s">
        <v>52</v>
      </c>
      <c r="G73" s="56">
        <f t="shared" si="27"/>
        <v>45984</v>
      </c>
      <c r="H73" s="17">
        <v>28</v>
      </c>
      <c r="I73" s="17">
        <f t="shared" si="37"/>
        <v>4.7975185249009131</v>
      </c>
      <c r="J73" s="17">
        <f t="shared" si="18"/>
        <v>5.8161640530759948</v>
      </c>
      <c r="K73" s="17"/>
      <c r="L73" s="17">
        <v>27</v>
      </c>
      <c r="M73" s="17">
        <v>71.5</v>
      </c>
      <c r="N73" s="17">
        <f t="shared" si="19"/>
        <v>41.675826728745648</v>
      </c>
      <c r="O73" s="17">
        <v>119.75325429068899</v>
      </c>
      <c r="P73" s="18">
        <f>SUMPRODUCT(H73:O73,'Fisico ASIG'!F73:M73)*24</f>
        <v>7283761.0527818147</v>
      </c>
      <c r="Q73" s="43">
        <v>0</v>
      </c>
      <c r="R73" s="43">
        <f t="shared" si="42"/>
        <v>5497.7825262795104</v>
      </c>
      <c r="S73" s="43">
        <f t="shared" si="43"/>
        <v>1540.5824573496468</v>
      </c>
      <c r="T73" s="43"/>
      <c r="U73" s="43">
        <v>18000</v>
      </c>
      <c r="V73" s="20">
        <v>0</v>
      </c>
      <c r="W73" s="20">
        <v>21900</v>
      </c>
      <c r="X73" s="20">
        <v>0</v>
      </c>
      <c r="Y73" s="18">
        <f>SUMPRODUCT(Q73:X73,'Fisico ASIG'!O73:V73)/E73</f>
        <v>5085004.33493164</v>
      </c>
      <c r="Z73" s="25">
        <f t="shared" si="44"/>
        <v>12368765.387713455</v>
      </c>
      <c r="AA73" s="26">
        <f>+Z73/'Fisico ASIG'!N73/24</f>
        <v>70.406290010366718</v>
      </c>
      <c r="AB73" s="26">
        <f t="shared" si="34"/>
        <v>15.806111696522654</v>
      </c>
      <c r="AC73" s="29">
        <f t="shared" si="45"/>
        <v>54.600178313844062</v>
      </c>
      <c r="AI73" s="1">
        <v>6960</v>
      </c>
      <c r="AJ73" s="1">
        <v>5538825</v>
      </c>
      <c r="AK73">
        <f t="shared" si="24"/>
        <v>1.44</v>
      </c>
      <c r="AL73" s="40">
        <f t="shared" si="25"/>
        <v>8437.7999999999993</v>
      </c>
      <c r="AM73">
        <v>2235000</v>
      </c>
      <c r="AN73" s="17">
        <v>39.419978200230112</v>
      </c>
      <c r="AO73" s="74">
        <f t="shared" si="26"/>
        <v>2.2558485285155325</v>
      </c>
    </row>
    <row r="74" spans="1:41" hidden="1" x14ac:dyDescent="0.25">
      <c r="A74" s="3">
        <v>1450.75</v>
      </c>
      <c r="B74" s="42">
        <v>1419.3330000000001</v>
      </c>
      <c r="C74" s="53">
        <f t="shared" si="16"/>
        <v>2025</v>
      </c>
      <c r="D74" s="52">
        <f>+'Fisico ASIG'!B74</f>
        <v>45962</v>
      </c>
      <c r="E74" s="1">
        <v>30</v>
      </c>
      <c r="F74" s="1" t="s">
        <v>53</v>
      </c>
      <c r="G74" s="56">
        <f t="shared" si="27"/>
        <v>45985</v>
      </c>
      <c r="H74" s="17">
        <v>28</v>
      </c>
      <c r="I74" s="17">
        <f t="shared" ref="I74:I80" si="46">AI74/A74</f>
        <v>4.7975185249009131</v>
      </c>
      <c r="J74" s="17">
        <f t="shared" ref="J74:J80" si="47">+AL74/A74</f>
        <v>5.8161640530759948</v>
      </c>
      <c r="K74" s="17"/>
      <c r="L74" s="17">
        <v>27</v>
      </c>
      <c r="M74" s="17">
        <v>71.5</v>
      </c>
      <c r="N74" s="17">
        <f t="shared" si="19"/>
        <v>40.563799014652318</v>
      </c>
      <c r="O74" s="17">
        <v>119.77095076671128</v>
      </c>
      <c r="P74" s="18">
        <f>SUMPRODUCT(H74:O74,'Fisico ASIG'!F74:M74)*24</f>
        <v>7104894.3138627503</v>
      </c>
      <c r="Q74" s="43">
        <v>0</v>
      </c>
      <c r="R74" s="43">
        <f t="shared" ref="R74:R80" si="48">+AJ74*AK74/A74</f>
        <v>5497.7825262795104</v>
      </c>
      <c r="S74" s="43">
        <f t="shared" ref="S74:S80" si="49">+AM74/A74</f>
        <v>1540.5824573496468</v>
      </c>
      <c r="T74" s="43"/>
      <c r="U74" s="43">
        <v>18000</v>
      </c>
      <c r="V74" s="20">
        <v>0</v>
      </c>
      <c r="W74" s="20">
        <v>21900</v>
      </c>
      <c r="X74" s="20">
        <v>0</v>
      </c>
      <c r="Y74" s="18">
        <f>SUMPRODUCT(Q74:X74,'Fisico ASIG'!O74:V74)/E74</f>
        <v>4946241.0890178885</v>
      </c>
      <c r="Z74" s="25">
        <f t="shared" ref="Z74:Z80" si="50">+(P74+Y74)</f>
        <v>12051135.402880639</v>
      </c>
      <c r="AA74" s="26">
        <f>+Z74/'Fisico ASIG'!N74/24</f>
        <v>68.710698135386934</v>
      </c>
      <c r="AB74" s="26">
        <f t="shared" si="34"/>
        <v>15.806111696522654</v>
      </c>
      <c r="AC74" s="29">
        <f t="shared" ref="AC74:AC80" si="51">+AA74-AB74</f>
        <v>52.904586438864278</v>
      </c>
      <c r="AI74" s="1">
        <v>6960</v>
      </c>
      <c r="AJ74" s="1">
        <v>5538825</v>
      </c>
      <c r="AK74">
        <f t="shared" si="24"/>
        <v>1.44</v>
      </c>
      <c r="AL74" s="40">
        <f t="shared" si="25"/>
        <v>8437.7999999999993</v>
      </c>
      <c r="AM74">
        <v>2235000</v>
      </c>
      <c r="AN74" s="17">
        <v>38.378266055880388</v>
      </c>
      <c r="AO74" s="74">
        <f t="shared" si="26"/>
        <v>2.1855329587719265</v>
      </c>
    </row>
    <row r="75" spans="1:41" hidden="1" x14ac:dyDescent="0.25">
      <c r="A75" s="3">
        <v>1450.75</v>
      </c>
      <c r="B75" s="42">
        <v>1419.3330000000001</v>
      </c>
      <c r="C75" s="53">
        <f t="shared" si="16"/>
        <v>2025</v>
      </c>
      <c r="D75" s="52">
        <f>+'Fisico ASIG'!B75</f>
        <v>45962</v>
      </c>
      <c r="E75" s="1">
        <v>30</v>
      </c>
      <c r="F75" s="1" t="s">
        <v>54</v>
      </c>
      <c r="G75" s="56">
        <f t="shared" si="27"/>
        <v>45986</v>
      </c>
      <c r="H75" s="17">
        <v>28</v>
      </c>
      <c r="I75" s="17">
        <f t="shared" si="46"/>
        <v>4.7975185249009131</v>
      </c>
      <c r="J75" s="17">
        <f t="shared" si="47"/>
        <v>5.8161640530759948</v>
      </c>
      <c r="K75" s="17"/>
      <c r="L75" s="17">
        <v>27</v>
      </c>
      <c r="M75" s="17">
        <v>71.5</v>
      </c>
      <c r="N75" s="17">
        <f t="shared" si="19"/>
        <v>40.645826409367196</v>
      </c>
      <c r="O75" s="17">
        <v>119.80098127289061</v>
      </c>
      <c r="P75" s="18">
        <f>SUMPRODUCT(H75:O75,'Fisico ASIG'!F75:M75)*24</f>
        <v>7087912.1281330753</v>
      </c>
      <c r="Q75" s="43">
        <v>0</v>
      </c>
      <c r="R75" s="43">
        <f t="shared" si="48"/>
        <v>5497.7825262795104</v>
      </c>
      <c r="S75" s="43">
        <f t="shared" si="49"/>
        <v>1540.5824573496468</v>
      </c>
      <c r="T75" s="43"/>
      <c r="U75" s="43">
        <v>18000</v>
      </c>
      <c r="V75" s="20">
        <v>0</v>
      </c>
      <c r="W75" s="20">
        <v>21900</v>
      </c>
      <c r="X75" s="20">
        <v>0</v>
      </c>
      <c r="Y75" s="18">
        <f>SUMPRODUCT(Q75:X75,'Fisico ASIG'!O75:V75)/E75</f>
        <v>4893658.6836594287</v>
      </c>
      <c r="Z75" s="25">
        <f t="shared" si="50"/>
        <v>11981570.811792504</v>
      </c>
      <c r="AA75" s="26">
        <f>+Z75/'Fisico ASIG'!N75/24</f>
        <v>59.502603840170515</v>
      </c>
      <c r="AB75" s="26">
        <f t="shared" si="34"/>
        <v>15.806111696522654</v>
      </c>
      <c r="AC75" s="29">
        <f t="shared" si="51"/>
        <v>43.696492143647859</v>
      </c>
      <c r="AI75" s="1">
        <v>6960</v>
      </c>
      <c r="AJ75" s="1">
        <v>5538825</v>
      </c>
      <c r="AK75">
        <f t="shared" si="24"/>
        <v>1.44</v>
      </c>
      <c r="AL75" s="40">
        <f t="shared" si="25"/>
        <v>8437.7999999999993</v>
      </c>
      <c r="AM75">
        <v>2235000</v>
      </c>
      <c r="AN75" s="17">
        <v>38.455106706667159</v>
      </c>
      <c r="AO75" s="74">
        <f t="shared" si="26"/>
        <v>2.1907197027000334</v>
      </c>
    </row>
    <row r="76" spans="1:41" hidden="1" x14ac:dyDescent="0.25">
      <c r="A76" s="3">
        <v>1450.75</v>
      </c>
      <c r="B76" s="42">
        <v>1419.3330000000001</v>
      </c>
      <c r="C76" s="53">
        <f t="shared" si="16"/>
        <v>2025</v>
      </c>
      <c r="D76" s="52">
        <f>+'Fisico ASIG'!B76</f>
        <v>45962</v>
      </c>
      <c r="E76" s="1">
        <v>30</v>
      </c>
      <c r="F76" s="1" t="s">
        <v>55</v>
      </c>
      <c r="G76" s="56">
        <f t="shared" si="27"/>
        <v>45987</v>
      </c>
      <c r="H76" s="17">
        <v>28</v>
      </c>
      <c r="I76" s="17">
        <f t="shared" si="46"/>
        <v>4.7975185249009131</v>
      </c>
      <c r="J76" s="17">
        <f t="shared" si="47"/>
        <v>5.8161640530759948</v>
      </c>
      <c r="K76" s="17"/>
      <c r="L76" s="17">
        <v>27</v>
      </c>
      <c r="M76" s="17">
        <v>71.5</v>
      </c>
      <c r="N76" s="17">
        <f t="shared" si="19"/>
        <v>40.857252050049773</v>
      </c>
      <c r="O76" s="17">
        <v>89.673814634881182</v>
      </c>
      <c r="P76" s="18">
        <f>SUMPRODUCT(H76:O76,'Fisico ASIG'!F76:M76)*24</f>
        <v>8408112.4154574424</v>
      </c>
      <c r="Q76" s="43">
        <v>0</v>
      </c>
      <c r="R76" s="43">
        <f t="shared" si="48"/>
        <v>5497.7825262795104</v>
      </c>
      <c r="S76" s="43">
        <f t="shared" si="49"/>
        <v>1540.5824573496468</v>
      </c>
      <c r="T76" s="43"/>
      <c r="U76" s="43">
        <v>18000</v>
      </c>
      <c r="V76" s="20">
        <v>0</v>
      </c>
      <c r="W76" s="20">
        <v>21900</v>
      </c>
      <c r="X76" s="20">
        <v>0</v>
      </c>
      <c r="Y76" s="18">
        <f>SUMPRODUCT(Q76:X76,'Fisico ASIG'!O76:V76)/E76</f>
        <v>5262158.9464118388</v>
      </c>
      <c r="Z76" s="25">
        <f t="shared" si="50"/>
        <v>13670271.361869281</v>
      </c>
      <c r="AA76" s="26">
        <f>+Z76/'Fisico ASIG'!N76/24</f>
        <v>59.160031823524058</v>
      </c>
      <c r="AB76" s="26">
        <f t="shared" si="34"/>
        <v>15.806111696522654</v>
      </c>
      <c r="AC76" s="29">
        <f t="shared" si="51"/>
        <v>43.353920127001402</v>
      </c>
      <c r="AI76" s="1">
        <v>6960</v>
      </c>
      <c r="AJ76" s="1">
        <v>5538825</v>
      </c>
      <c r="AK76">
        <f t="shared" si="24"/>
        <v>1.44</v>
      </c>
      <c r="AL76" s="40">
        <f t="shared" si="25"/>
        <v>8437.7999999999993</v>
      </c>
      <c r="AM76">
        <v>2235000</v>
      </c>
      <c r="AN76" s="17">
        <v>38.653163512927186</v>
      </c>
      <c r="AO76" s="74">
        <f t="shared" si="26"/>
        <v>2.2040885371225851</v>
      </c>
    </row>
    <row r="77" spans="1:41" hidden="1" x14ac:dyDescent="0.25">
      <c r="A77" s="3">
        <v>1450.75</v>
      </c>
      <c r="B77" s="42">
        <v>1419.3330000000001</v>
      </c>
      <c r="C77" s="53">
        <f t="shared" si="16"/>
        <v>2025</v>
      </c>
      <c r="D77" s="52">
        <f>+'Fisico ASIG'!B77</f>
        <v>45962</v>
      </c>
      <c r="E77" s="1">
        <v>30</v>
      </c>
      <c r="F77" s="1" t="s">
        <v>56</v>
      </c>
      <c r="G77" s="56">
        <f t="shared" si="27"/>
        <v>45988</v>
      </c>
      <c r="H77" s="17">
        <v>28</v>
      </c>
      <c r="I77" s="17">
        <f t="shared" si="46"/>
        <v>4.7975185249009131</v>
      </c>
      <c r="J77" s="17">
        <f t="shared" si="47"/>
        <v>5.8161640530759948</v>
      </c>
      <c r="K77" s="17"/>
      <c r="L77" s="17">
        <v>27</v>
      </c>
      <c r="M77" s="17">
        <v>71.5</v>
      </c>
      <c r="N77" s="17">
        <f t="shared" si="19"/>
        <v>40.327213288262655</v>
      </c>
      <c r="O77" s="17">
        <v>119.83528417246617</v>
      </c>
      <c r="P77" s="18">
        <f>SUMPRODUCT(H77:O77,'Fisico ASIG'!F77:M77)*24</f>
        <v>8693492.8217511345</v>
      </c>
      <c r="Q77" s="43">
        <v>0</v>
      </c>
      <c r="R77" s="43">
        <f t="shared" si="48"/>
        <v>5497.7825262795104</v>
      </c>
      <c r="S77" s="43">
        <f t="shared" si="49"/>
        <v>1540.5824573496468</v>
      </c>
      <c r="T77" s="43"/>
      <c r="U77" s="43">
        <v>18000</v>
      </c>
      <c r="V77" s="20">
        <v>0</v>
      </c>
      <c r="W77" s="20">
        <v>21900</v>
      </c>
      <c r="X77" s="20">
        <v>0</v>
      </c>
      <c r="Y77" s="18">
        <f>SUMPRODUCT(Q77:X77,'Fisico ASIG'!O77:V77)/E77</f>
        <v>5284382.1364866281</v>
      </c>
      <c r="Z77" s="25">
        <f t="shared" si="50"/>
        <v>13977874.958237763</v>
      </c>
      <c r="AA77" s="26">
        <f>+Z77/'Fisico ASIG'!N77/24</f>
        <v>58.633899214127837</v>
      </c>
      <c r="AB77" s="26">
        <f t="shared" si="34"/>
        <v>15.806111696522654</v>
      </c>
      <c r="AC77" s="29">
        <f t="shared" si="51"/>
        <v>42.827787517605181</v>
      </c>
      <c r="AI77" s="1">
        <v>6960</v>
      </c>
      <c r="AJ77" s="1">
        <v>5538825</v>
      </c>
      <c r="AK77">
        <f t="shared" si="24"/>
        <v>1.44</v>
      </c>
      <c r="AL77" s="40">
        <f t="shared" si="25"/>
        <v>8437.7999999999993</v>
      </c>
      <c r="AM77">
        <v>2235000</v>
      </c>
      <c r="AN77" s="17">
        <v>38.156640082681641</v>
      </c>
      <c r="AO77" s="74">
        <f t="shared" si="26"/>
        <v>2.170573205581011</v>
      </c>
    </row>
    <row r="78" spans="1:41" hidden="1" x14ac:dyDescent="0.25">
      <c r="A78" s="3">
        <v>1450.75</v>
      </c>
      <c r="B78" s="42">
        <v>1419.3330000000001</v>
      </c>
      <c r="C78" s="53">
        <f t="shared" si="16"/>
        <v>2025</v>
      </c>
      <c r="D78" s="52">
        <f>+'Fisico ASIG'!B78</f>
        <v>45962</v>
      </c>
      <c r="E78" s="1">
        <v>30</v>
      </c>
      <c r="F78" s="1" t="s">
        <v>57</v>
      </c>
      <c r="G78" s="56">
        <f t="shared" si="27"/>
        <v>45989</v>
      </c>
      <c r="H78" s="17">
        <v>28</v>
      </c>
      <c r="I78" s="17">
        <f t="shared" si="46"/>
        <v>4.7975185249009131</v>
      </c>
      <c r="J78" s="17">
        <f t="shared" si="47"/>
        <v>5.8161640530759948</v>
      </c>
      <c r="K78" s="17"/>
      <c r="L78" s="17">
        <v>27</v>
      </c>
      <c r="M78" s="17">
        <v>71.5</v>
      </c>
      <c r="N78" s="17">
        <f t="shared" si="19"/>
        <v>40.519792631270533</v>
      </c>
      <c r="O78" s="17">
        <v>92.606205401906294</v>
      </c>
      <c r="P78" s="18">
        <f>SUMPRODUCT(H78:O78,'Fisico ASIG'!F78:M78)*24</f>
        <v>8116394.5800955407</v>
      </c>
      <c r="Q78" s="43">
        <v>0</v>
      </c>
      <c r="R78" s="43">
        <f t="shared" si="48"/>
        <v>5497.7825262795104</v>
      </c>
      <c r="S78" s="43">
        <f t="shared" si="49"/>
        <v>1540.5824573496468</v>
      </c>
      <c r="T78" s="43"/>
      <c r="U78" s="43">
        <v>18000</v>
      </c>
      <c r="V78" s="20">
        <v>0</v>
      </c>
      <c r="W78" s="20">
        <v>21900</v>
      </c>
      <c r="X78" s="20">
        <v>0</v>
      </c>
      <c r="Y78" s="18">
        <f>SUMPRODUCT(Q78:X78,'Fisico ASIG'!O78:V78)/E78</f>
        <v>5289518.8282225551</v>
      </c>
      <c r="Z78" s="25">
        <f t="shared" si="50"/>
        <v>13405913.408318095</v>
      </c>
      <c r="AA78" s="26">
        <f>+Z78/'Fisico ASIG'!N78/24</f>
        <v>62.0670422942313</v>
      </c>
      <c r="AB78" s="26">
        <f t="shared" si="34"/>
        <v>15.806111696522654</v>
      </c>
      <c r="AC78" s="29">
        <f t="shared" si="51"/>
        <v>46.260930597708644</v>
      </c>
      <c r="AI78" s="1">
        <v>6960</v>
      </c>
      <c r="AJ78" s="1">
        <v>5538825</v>
      </c>
      <c r="AK78">
        <f t="shared" si="24"/>
        <v>1.44</v>
      </c>
      <c r="AL78" s="40">
        <f t="shared" si="25"/>
        <v>8437.7999999999993</v>
      </c>
      <c r="AM78">
        <v>2235000</v>
      </c>
      <c r="AN78" s="17">
        <v>38.337042277536803</v>
      </c>
      <c r="AO78" s="74">
        <f t="shared" si="26"/>
        <v>2.1827503537337343</v>
      </c>
    </row>
    <row r="79" spans="1:41" hidden="1" x14ac:dyDescent="0.25">
      <c r="A79" s="3">
        <v>1450.75</v>
      </c>
      <c r="B79" s="42">
        <v>1419.3330000000001</v>
      </c>
      <c r="C79" s="53">
        <f t="shared" si="16"/>
        <v>2025</v>
      </c>
      <c r="D79" s="52">
        <f>+'Fisico ASIG'!B79</f>
        <v>45962</v>
      </c>
      <c r="E79" s="1">
        <v>30</v>
      </c>
      <c r="F79" s="1" t="s">
        <v>51</v>
      </c>
      <c r="G79" s="56">
        <f t="shared" si="27"/>
        <v>45990</v>
      </c>
      <c r="H79" s="17">
        <v>28</v>
      </c>
      <c r="I79" s="17">
        <f t="shared" si="46"/>
        <v>4.7975185249009131</v>
      </c>
      <c r="J79" s="17">
        <f t="shared" si="47"/>
        <v>5.8161640530759948</v>
      </c>
      <c r="K79" s="17"/>
      <c r="L79" s="17">
        <v>27</v>
      </c>
      <c r="M79" s="17">
        <v>71.5</v>
      </c>
      <c r="N79" s="17">
        <f t="shared" si="19"/>
        <v>40.491539949313591</v>
      </c>
      <c r="O79" s="17">
        <v>119.77630453978443</v>
      </c>
      <c r="P79" s="18">
        <f>SUMPRODUCT(H79:O79,'Fisico ASIG'!F79:M79)*24</f>
        <v>6781473.7450188268</v>
      </c>
      <c r="Q79" s="43">
        <v>0</v>
      </c>
      <c r="R79" s="43">
        <f t="shared" si="48"/>
        <v>5497.7825262795104</v>
      </c>
      <c r="S79" s="43">
        <f t="shared" si="49"/>
        <v>1540.5824573496468</v>
      </c>
      <c r="T79" s="43"/>
      <c r="U79" s="43">
        <v>18000</v>
      </c>
      <c r="V79" s="20">
        <v>0</v>
      </c>
      <c r="W79" s="20">
        <v>21900</v>
      </c>
      <c r="X79" s="20">
        <v>0</v>
      </c>
      <c r="Y79" s="18">
        <f>SUMPRODUCT(Q79:X79,'Fisico ASIG'!O79:V79)/E79</f>
        <v>5301591.928672092</v>
      </c>
      <c r="Z79" s="25">
        <f t="shared" si="50"/>
        <v>12083065.673690919</v>
      </c>
      <c r="AA79" s="26">
        <f>+Z79/'Fisico ASIG'!N79/24</f>
        <v>70.515989317034027</v>
      </c>
      <c r="AB79" s="26">
        <f t="shared" si="34"/>
        <v>15.806111696522654</v>
      </c>
      <c r="AC79" s="29">
        <f t="shared" si="51"/>
        <v>54.709877620511371</v>
      </c>
      <c r="AI79" s="1">
        <v>6960</v>
      </c>
      <c r="AJ79" s="1">
        <v>5538825</v>
      </c>
      <c r="AK79">
        <f t="shared" si="24"/>
        <v>1.44</v>
      </c>
      <c r="AL79" s="40">
        <f t="shared" si="25"/>
        <v>8437.7999999999993</v>
      </c>
      <c r="AM79">
        <v>2235000</v>
      </c>
      <c r="AN79" s="17">
        <v>38.310576064930764</v>
      </c>
      <c r="AO79" s="74">
        <f t="shared" si="26"/>
        <v>2.1809638843828267</v>
      </c>
    </row>
    <row r="80" spans="1:41" hidden="1" x14ac:dyDescent="0.25">
      <c r="A80" s="3">
        <v>1450.75</v>
      </c>
      <c r="B80" s="42">
        <v>1419.3330000000001</v>
      </c>
      <c r="C80" s="53">
        <f t="shared" si="16"/>
        <v>2025</v>
      </c>
      <c r="D80" s="52">
        <f>+'Fisico ASIG'!B80</f>
        <v>45962</v>
      </c>
      <c r="E80" s="1">
        <v>30</v>
      </c>
      <c r="F80" s="1" t="s">
        <v>52</v>
      </c>
      <c r="G80" s="56">
        <f t="shared" si="27"/>
        <v>45991</v>
      </c>
      <c r="H80" s="17">
        <v>28</v>
      </c>
      <c r="I80" s="17">
        <f t="shared" si="46"/>
        <v>4.7975185249009131</v>
      </c>
      <c r="J80" s="17">
        <f t="shared" si="47"/>
        <v>5.8161640530759948</v>
      </c>
      <c r="K80" s="17"/>
      <c r="L80" s="17">
        <v>27</v>
      </c>
      <c r="M80" s="17">
        <v>71.5</v>
      </c>
      <c r="N80" s="17">
        <f t="shared" si="19"/>
        <v>39.746549353918468</v>
      </c>
      <c r="O80" s="17">
        <v>119.7945583741394</v>
      </c>
      <c r="P80" s="18">
        <f>SUMPRODUCT(H80:O80,'Fisico ASIG'!F80:M80)*24</f>
        <v>6243786.6337677436</v>
      </c>
      <c r="Q80" s="43">
        <v>0</v>
      </c>
      <c r="R80" s="43">
        <f t="shared" si="48"/>
        <v>5497.7825262795104</v>
      </c>
      <c r="S80" s="43">
        <f t="shared" si="49"/>
        <v>1540.5824573496468</v>
      </c>
      <c r="T80" s="43"/>
      <c r="U80" s="43">
        <v>18000</v>
      </c>
      <c r="V80" s="20">
        <v>0</v>
      </c>
      <c r="W80" s="20">
        <v>21900</v>
      </c>
      <c r="X80" s="20">
        <v>0</v>
      </c>
      <c r="Y80" s="18">
        <f>SUMPRODUCT(Q80:X80,'Fisico ASIG'!O80:V80)/E80</f>
        <v>5342841.5354634086</v>
      </c>
      <c r="Z80" s="25">
        <f t="shared" si="50"/>
        <v>11586628.169231152</v>
      </c>
      <c r="AA80" s="26">
        <f>+Z80/'Fisico ASIG'!N80/24</f>
        <v>71.721664124703906</v>
      </c>
      <c r="AB80" s="26">
        <f t="shared" si="34"/>
        <v>15.806111696522654</v>
      </c>
      <c r="AC80" s="29">
        <f t="shared" si="51"/>
        <v>55.91555242818125</v>
      </c>
      <c r="AI80" s="1">
        <v>6960</v>
      </c>
      <c r="AJ80" s="1">
        <v>5538825</v>
      </c>
      <c r="AK80">
        <f t="shared" si="24"/>
        <v>1.44</v>
      </c>
      <c r="AL80" s="40">
        <f t="shared" si="25"/>
        <v>8437.7999999999993</v>
      </c>
      <c r="AM80">
        <v>2235000</v>
      </c>
      <c r="AN80" s="17">
        <v>37.612692603202312</v>
      </c>
      <c r="AO80" s="74">
        <f t="shared" si="26"/>
        <v>2.1338567507161561</v>
      </c>
    </row>
    <row r="81" spans="1:42" hidden="1" x14ac:dyDescent="0.25">
      <c r="A81" s="3">
        <v>1459.4167</v>
      </c>
      <c r="B81" s="42">
        <v>1442.8330000000001</v>
      </c>
      <c r="C81" s="53">
        <f t="shared" si="16"/>
        <v>2025</v>
      </c>
      <c r="D81" s="52">
        <f>+'Fisico ASIG'!B81</f>
        <v>45992</v>
      </c>
      <c r="E81" s="1">
        <v>31</v>
      </c>
      <c r="F81" s="1" t="s">
        <v>53</v>
      </c>
      <c r="G81" s="56">
        <f t="shared" si="27"/>
        <v>45992</v>
      </c>
      <c r="H81" s="17">
        <v>28</v>
      </c>
      <c r="I81" s="17">
        <f t="shared" ref="I81:I88" si="52">AI81/A81</f>
        <v>4.8642721437955316</v>
      </c>
      <c r="J81" s="17">
        <f t="shared" ref="J81:J88" si="53">+AL81/A81</f>
        <v>5.7816249464597735</v>
      </c>
      <c r="K81" s="17"/>
      <c r="L81" s="17">
        <v>27</v>
      </c>
      <c r="M81" s="17">
        <v>71.5</v>
      </c>
      <c r="N81" s="17">
        <f>+AN81+AO81+AP81</f>
        <v>39.74793469373796</v>
      </c>
      <c r="O81" s="17">
        <v>119.85763307739388</v>
      </c>
      <c r="P81" s="18">
        <f>SUMPRODUCT(H81:O81,'Fisico ASIG'!F81:M81)*24</f>
        <v>7267741.8226852082</v>
      </c>
      <c r="Q81" s="43">
        <v>0</v>
      </c>
      <c r="R81" s="43">
        <f t="shared" ref="R81:R88" si="54">+AJ81*AK81/A81</f>
        <v>5574.437294023016</v>
      </c>
      <c r="S81" s="43">
        <f t="shared" ref="S81:S88" si="55">+AM81/A81</f>
        <v>1706.1610984717388</v>
      </c>
      <c r="T81" s="43"/>
      <c r="U81" s="43">
        <v>18000</v>
      </c>
      <c r="V81" s="20">
        <v>0</v>
      </c>
      <c r="W81" s="20">
        <v>21900</v>
      </c>
      <c r="X81" s="20">
        <v>0</v>
      </c>
      <c r="Y81" s="18">
        <f>SUMPRODUCT(Q81:X81,'Fisico ASIG'!O81:V81)/E81</f>
        <v>5271790.6211870676</v>
      </c>
      <c r="Z81" s="25">
        <f t="shared" ref="Z81:Z88" si="56">+(P81+Y81)</f>
        <v>12539532.443872277</v>
      </c>
      <c r="AA81" s="26">
        <f>+Z81/'Fisico ASIG'!N81/24</f>
        <v>64.022508150421643</v>
      </c>
      <c r="AB81" s="26">
        <f t="shared" si="34"/>
        <v>15.806111696522654</v>
      </c>
      <c r="AC81" s="29">
        <f t="shared" ref="AC81:AC88" si="57">+AA81-AB81</f>
        <v>48.216396453898987</v>
      </c>
      <c r="AG81" s="76"/>
      <c r="AI81" s="1">
        <v>7099</v>
      </c>
      <c r="AJ81" s="1">
        <v>5649602</v>
      </c>
      <c r="AK81">
        <f t="shared" si="24"/>
        <v>1.44</v>
      </c>
      <c r="AL81" s="40">
        <f t="shared" si="25"/>
        <v>8437.7999999999993</v>
      </c>
      <c r="AM81">
        <v>2490000</v>
      </c>
      <c r="AN81" s="17">
        <v>35.553100415679587</v>
      </c>
      <c r="AO81" s="74">
        <f t="shared" si="26"/>
        <v>1.9948342780583723</v>
      </c>
      <c r="AP81">
        <v>2.2000000000000002</v>
      </c>
    </row>
    <row r="82" spans="1:42" hidden="1" x14ac:dyDescent="0.25">
      <c r="A82" s="3">
        <f>+A81</f>
        <v>1459.4167</v>
      </c>
      <c r="B82" s="42">
        <v>1442.8330000000001</v>
      </c>
      <c r="C82" s="53">
        <f t="shared" si="16"/>
        <v>2025</v>
      </c>
      <c r="D82" s="52">
        <f>+'Fisico ASIG'!B82</f>
        <v>45992</v>
      </c>
      <c r="E82" s="1">
        <v>31</v>
      </c>
      <c r="F82" s="1" t="s">
        <v>54</v>
      </c>
      <c r="G82" s="56">
        <f t="shared" si="27"/>
        <v>45993</v>
      </c>
      <c r="H82" s="17">
        <v>28</v>
      </c>
      <c r="I82" s="17">
        <f t="shared" si="52"/>
        <v>4.8642721437955316</v>
      </c>
      <c r="J82" s="17">
        <f t="shared" si="53"/>
        <v>5.7816249464597735</v>
      </c>
      <c r="K82" s="17"/>
      <c r="L82" s="17">
        <v>27</v>
      </c>
      <c r="M82" s="17">
        <v>71.5</v>
      </c>
      <c r="N82" s="17">
        <f t="shared" ref="N82:N108" si="58">+AN82+AO82+AP82</f>
        <v>39.335715937773017</v>
      </c>
      <c r="O82" s="17">
        <v>119.87989190271244</v>
      </c>
      <c r="P82" s="18">
        <f>SUMPRODUCT(H82:O82,'Fisico ASIG'!F82:M82)*24</f>
        <v>7815966.7491658572</v>
      </c>
      <c r="Q82" s="43">
        <v>0</v>
      </c>
      <c r="R82" s="43">
        <f t="shared" si="54"/>
        <v>5574.437294023016</v>
      </c>
      <c r="S82" s="43">
        <f t="shared" si="55"/>
        <v>1706.1610984717388</v>
      </c>
      <c r="T82" s="43"/>
      <c r="U82" s="43">
        <v>18000</v>
      </c>
      <c r="V82" s="20">
        <v>0</v>
      </c>
      <c r="W82" s="20">
        <v>21900</v>
      </c>
      <c r="X82" s="20">
        <v>0</v>
      </c>
      <c r="Y82" s="18">
        <f>SUMPRODUCT(Q82:X82,'Fisico ASIG'!O82:V82)/E82</f>
        <v>5462287.6898807632</v>
      </c>
      <c r="Z82" s="25">
        <f t="shared" si="56"/>
        <v>13278254.439046621</v>
      </c>
      <c r="AA82" s="26">
        <f>+Z82/'Fisico ASIG'!N82/24</f>
        <v>65.403461479333814</v>
      </c>
      <c r="AB82" s="26">
        <f t="shared" si="34"/>
        <v>15.806111696522654</v>
      </c>
      <c r="AC82" s="29">
        <f t="shared" si="57"/>
        <v>49.597349782811158</v>
      </c>
      <c r="AI82" s="1">
        <v>7099</v>
      </c>
      <c r="AJ82" s="1">
        <v>5649602</v>
      </c>
      <c r="AK82">
        <f t="shared" si="24"/>
        <v>1.44</v>
      </c>
      <c r="AL82" s="40">
        <f t="shared" si="25"/>
        <v>8437.7999999999993</v>
      </c>
      <c r="AM82">
        <v>2490000</v>
      </c>
      <c r="AN82" s="17">
        <v>35.166947014307276</v>
      </c>
      <c r="AO82" s="74">
        <f t="shared" si="26"/>
        <v>1.9687689234657413</v>
      </c>
      <c r="AP82">
        <v>2.2000000000000002</v>
      </c>
    </row>
    <row r="83" spans="1:42" hidden="1" x14ac:dyDescent="0.25">
      <c r="A83" s="3">
        <f t="shared" ref="A83:A111" si="59">+A82</f>
        <v>1459.4167</v>
      </c>
      <c r="B83" s="42">
        <v>1442.8330000000001</v>
      </c>
      <c r="C83" s="53">
        <f t="shared" si="16"/>
        <v>2025</v>
      </c>
      <c r="D83" s="52">
        <f>+'Fisico ASIG'!B83</f>
        <v>45992</v>
      </c>
      <c r="E83" s="1">
        <v>31</v>
      </c>
      <c r="F83" s="1" t="s">
        <v>55</v>
      </c>
      <c r="G83" s="56">
        <f t="shared" si="27"/>
        <v>45994</v>
      </c>
      <c r="H83" s="17">
        <v>28</v>
      </c>
      <c r="I83" s="17">
        <f t="shared" si="52"/>
        <v>4.8642721437955316</v>
      </c>
      <c r="J83" s="17">
        <f t="shared" si="53"/>
        <v>5.7816249464597735</v>
      </c>
      <c r="K83" s="17"/>
      <c r="L83" s="17">
        <v>27</v>
      </c>
      <c r="M83" s="17">
        <v>71.5</v>
      </c>
      <c r="N83" s="17">
        <f t="shared" si="58"/>
        <v>39.802818196826486</v>
      </c>
      <c r="O83" s="17">
        <v>119.90800234912241</v>
      </c>
      <c r="P83" s="18">
        <f>SUMPRODUCT(H83:O83,'Fisico ASIG'!F83:M83)*24</f>
        <v>7897226.9337943168</v>
      </c>
      <c r="Q83" s="43">
        <v>0</v>
      </c>
      <c r="R83" s="43">
        <f t="shared" si="54"/>
        <v>5574.437294023016</v>
      </c>
      <c r="S83" s="43">
        <f t="shared" si="55"/>
        <v>1706.1610984717388</v>
      </c>
      <c r="T83" s="43"/>
      <c r="U83" s="43">
        <v>18000</v>
      </c>
      <c r="V83" s="20">
        <v>0</v>
      </c>
      <c r="W83" s="20">
        <v>21900</v>
      </c>
      <c r="X83" s="20">
        <v>0</v>
      </c>
      <c r="Y83" s="18">
        <f>SUMPRODUCT(Q83:X83,'Fisico ASIG'!O83:V83)/E83</f>
        <v>5445203.1264516236</v>
      </c>
      <c r="Z83" s="25">
        <f t="shared" si="56"/>
        <v>13342430.06024594</v>
      </c>
      <c r="AA83" s="26">
        <f>+Z83/'Fisico ASIG'!N83/24</f>
        <v>60.136069089140086</v>
      </c>
      <c r="AB83" s="26">
        <f t="shared" si="34"/>
        <v>15.806111696522654</v>
      </c>
      <c r="AC83" s="29">
        <f t="shared" si="57"/>
        <v>44.32995739261743</v>
      </c>
      <c r="AI83" s="1">
        <v>7099</v>
      </c>
      <c r="AJ83" s="1">
        <v>5649602</v>
      </c>
      <c r="AK83">
        <f t="shared" si="24"/>
        <v>1.44</v>
      </c>
      <c r="AL83" s="40">
        <f t="shared" si="25"/>
        <v>8437.7999999999993</v>
      </c>
      <c r="AM83">
        <v>2490000</v>
      </c>
      <c r="AN83" s="17">
        <v>35.604513533326916</v>
      </c>
      <c r="AO83" s="74">
        <f t="shared" si="26"/>
        <v>1.9983046634995669</v>
      </c>
      <c r="AP83">
        <v>2.2000000000000002</v>
      </c>
    </row>
    <row r="84" spans="1:42" hidden="1" x14ac:dyDescent="0.25">
      <c r="A84" s="3">
        <f t="shared" si="59"/>
        <v>1459.4167</v>
      </c>
      <c r="B84" s="42">
        <v>1442.8330000000001</v>
      </c>
      <c r="C84" s="53">
        <f t="shared" si="16"/>
        <v>2025</v>
      </c>
      <c r="D84" s="52">
        <f>+'Fisico ASIG'!B84</f>
        <v>45992</v>
      </c>
      <c r="E84" s="1">
        <v>31</v>
      </c>
      <c r="F84" s="1" t="s">
        <v>56</v>
      </c>
      <c r="G84" s="56">
        <f t="shared" si="27"/>
        <v>45995</v>
      </c>
      <c r="H84" s="17">
        <v>28</v>
      </c>
      <c r="I84" s="17">
        <f t="shared" si="52"/>
        <v>4.8642721437955316</v>
      </c>
      <c r="J84" s="17">
        <f t="shared" si="53"/>
        <v>5.7816249464597735</v>
      </c>
      <c r="K84" s="17"/>
      <c r="L84" s="17">
        <v>27</v>
      </c>
      <c r="M84" s="17">
        <v>71.5</v>
      </c>
      <c r="N84" s="17">
        <f t="shared" si="58"/>
        <v>41.236443563123132</v>
      </c>
      <c r="O84" s="17">
        <v>119.90084388185653</v>
      </c>
      <c r="P84" s="18">
        <f>SUMPRODUCT(H84:O84,'Fisico ASIG'!F84:M84)*24</f>
        <v>8599134.1498958282</v>
      </c>
      <c r="Q84" s="43">
        <v>0</v>
      </c>
      <c r="R84" s="43">
        <f t="shared" si="54"/>
        <v>5574.437294023016</v>
      </c>
      <c r="S84" s="43">
        <f t="shared" si="55"/>
        <v>1706.1610984717388</v>
      </c>
      <c r="T84" s="43"/>
      <c r="U84" s="43">
        <v>18000</v>
      </c>
      <c r="V84" s="20">
        <v>0</v>
      </c>
      <c r="W84" s="20">
        <v>21900</v>
      </c>
      <c r="X84" s="20">
        <v>0</v>
      </c>
      <c r="Y84" s="18">
        <f>SUMPRODUCT(Q84:X84,'Fisico ASIG'!O84:V84)/E84</f>
        <v>5443133.1648495039</v>
      </c>
      <c r="Z84" s="25">
        <f t="shared" si="56"/>
        <v>14042267.314745333</v>
      </c>
      <c r="AA84" s="26">
        <f>+Z84/'Fisico ASIG'!N84/24</f>
        <v>58.429943954614167</v>
      </c>
      <c r="AB84" s="26">
        <f t="shared" ref="AB84:AB115" si="60">+$AB$16*375/0.52/730</f>
        <v>15.806111696522654</v>
      </c>
      <c r="AC84" s="29">
        <f t="shared" si="57"/>
        <v>42.623832258091511</v>
      </c>
      <c r="AI84" s="1">
        <v>7099</v>
      </c>
      <c r="AJ84" s="1">
        <v>5649602</v>
      </c>
      <c r="AK84">
        <f t="shared" si="24"/>
        <v>1.44</v>
      </c>
      <c r="AL84" s="40">
        <f t="shared" si="25"/>
        <v>8437.7999999999993</v>
      </c>
      <c r="AM84">
        <v>2490000</v>
      </c>
      <c r="AN84" s="17">
        <v>36.947488115337826</v>
      </c>
      <c r="AO84" s="74">
        <f t="shared" si="26"/>
        <v>2.0889554477853034</v>
      </c>
      <c r="AP84">
        <v>2.2000000000000002</v>
      </c>
    </row>
    <row r="85" spans="1:42" hidden="1" x14ac:dyDescent="0.25">
      <c r="A85" s="3">
        <f t="shared" si="59"/>
        <v>1459.4167</v>
      </c>
      <c r="B85" s="42">
        <v>1442.8330000000001</v>
      </c>
      <c r="C85" s="53">
        <f t="shared" ref="C85:C115" si="61">YEAR(G85)</f>
        <v>2025</v>
      </c>
      <c r="D85" s="52">
        <f>+'Fisico ASIG'!B85</f>
        <v>45992</v>
      </c>
      <c r="E85" s="1">
        <v>31</v>
      </c>
      <c r="F85" s="1" t="s">
        <v>57</v>
      </c>
      <c r="G85" s="56">
        <f t="shared" si="27"/>
        <v>45996</v>
      </c>
      <c r="H85" s="17">
        <v>28</v>
      </c>
      <c r="I85" s="17">
        <f t="shared" si="52"/>
        <v>4.8642721437955316</v>
      </c>
      <c r="J85" s="17">
        <f t="shared" si="53"/>
        <v>5.7816249464597735</v>
      </c>
      <c r="K85" s="17"/>
      <c r="L85" s="17">
        <v>27</v>
      </c>
      <c r="M85" s="17">
        <v>71.5</v>
      </c>
      <c r="N85" s="17">
        <f t="shared" si="58"/>
        <v>40.772180826140364</v>
      </c>
      <c r="O85" s="17">
        <v>119.77507313495332</v>
      </c>
      <c r="P85" s="18">
        <f>SUMPRODUCT(H85:O85,'Fisico ASIG'!F85:M85)*24</f>
        <v>8837894.231975656</v>
      </c>
      <c r="Q85" s="43">
        <v>0</v>
      </c>
      <c r="R85" s="43">
        <f t="shared" si="54"/>
        <v>5574.437294023016</v>
      </c>
      <c r="S85" s="43">
        <f t="shared" si="55"/>
        <v>1706.1610984717388</v>
      </c>
      <c r="T85" s="43"/>
      <c r="U85" s="43">
        <v>18000</v>
      </c>
      <c r="V85" s="20">
        <v>0</v>
      </c>
      <c r="W85" s="20">
        <v>21900</v>
      </c>
      <c r="X85" s="20">
        <v>0</v>
      </c>
      <c r="Y85" s="18">
        <f>SUMPRODUCT(Q85:X85,'Fisico ASIG'!O85:V85)/E85</f>
        <v>5460529.7842599386</v>
      </c>
      <c r="Z85" s="25">
        <f t="shared" si="56"/>
        <v>14298424.016235594</v>
      </c>
      <c r="AA85" s="26">
        <f>+Z85/'Fisico ASIG'!N85/24</f>
        <v>57.109960298952842</v>
      </c>
      <c r="AB85" s="26">
        <f t="shared" si="60"/>
        <v>15.806111696522654</v>
      </c>
      <c r="AC85" s="29">
        <f t="shared" si="57"/>
        <v>41.303848602430186</v>
      </c>
      <c r="AI85" s="1">
        <v>7099</v>
      </c>
      <c r="AJ85" s="1">
        <v>5649602</v>
      </c>
      <c r="AK85">
        <f t="shared" si="24"/>
        <v>1.44</v>
      </c>
      <c r="AL85" s="40">
        <f t="shared" si="25"/>
        <v>8437.7999999999993</v>
      </c>
      <c r="AM85">
        <v>2490000</v>
      </c>
      <c r="AN85" s="17">
        <v>36.512581570154907</v>
      </c>
      <c r="AO85" s="74">
        <f t="shared" ref="AO85:AO108" si="62">0.075*0.9*(AN85-6)</f>
        <v>2.0595992559854563</v>
      </c>
      <c r="AP85">
        <v>2.2000000000000002</v>
      </c>
    </row>
    <row r="86" spans="1:42" hidden="1" x14ac:dyDescent="0.25">
      <c r="A86" s="3">
        <f t="shared" si="59"/>
        <v>1459.4167</v>
      </c>
      <c r="B86" s="42">
        <v>1442.8330000000001</v>
      </c>
      <c r="C86" s="53">
        <f t="shared" si="61"/>
        <v>2025</v>
      </c>
      <c r="D86" s="52">
        <f>+'Fisico ASIG'!B86</f>
        <v>45992</v>
      </c>
      <c r="E86" s="1">
        <v>31</v>
      </c>
      <c r="F86" s="1" t="s">
        <v>51</v>
      </c>
      <c r="G86" s="56">
        <f t="shared" ref="G86:G101" si="63">+ G85+1</f>
        <v>45997</v>
      </c>
      <c r="H86" s="17">
        <v>28</v>
      </c>
      <c r="I86" s="17">
        <f t="shared" si="52"/>
        <v>4.8642721437955316</v>
      </c>
      <c r="J86" s="17">
        <f t="shared" si="53"/>
        <v>5.7816249464597735</v>
      </c>
      <c r="K86" s="17"/>
      <c r="L86" s="17">
        <v>27</v>
      </c>
      <c r="M86" s="17">
        <v>71.5</v>
      </c>
      <c r="N86" s="17">
        <f t="shared" si="58"/>
        <v>44.094523774116361</v>
      </c>
      <c r="O86" s="17">
        <v>119.78213091256569</v>
      </c>
      <c r="P86" s="18">
        <f>SUMPRODUCT(H86:O86,'Fisico ASIG'!F86:M86)*24</f>
        <v>8698127.9113662932</v>
      </c>
      <c r="Q86" s="43">
        <v>0</v>
      </c>
      <c r="R86" s="43">
        <f t="shared" si="54"/>
        <v>5574.437294023016</v>
      </c>
      <c r="S86" s="43">
        <f t="shared" si="55"/>
        <v>1706.1610984717388</v>
      </c>
      <c r="T86" s="43"/>
      <c r="U86" s="43">
        <v>18000</v>
      </c>
      <c r="V86" s="20">
        <v>0</v>
      </c>
      <c r="W86" s="20">
        <v>21900</v>
      </c>
      <c r="X86" s="20">
        <v>0</v>
      </c>
      <c r="Y86" s="18">
        <f>SUMPRODUCT(Q86:X86,'Fisico ASIG'!O86:V86)/E86</f>
        <v>5451691.2281831121</v>
      </c>
      <c r="Z86" s="25">
        <f t="shared" si="56"/>
        <v>14149819.139549404</v>
      </c>
      <c r="AA86" s="26">
        <f>+Z86/'Fisico ASIG'!N86/24</f>
        <v>61.338369257079087</v>
      </c>
      <c r="AB86" s="26">
        <f t="shared" si="60"/>
        <v>15.806111696522654</v>
      </c>
      <c r="AC86" s="29">
        <f t="shared" si="57"/>
        <v>45.532257560556431</v>
      </c>
      <c r="AI86" s="1">
        <v>7099</v>
      </c>
      <c r="AJ86" s="1">
        <v>5649602</v>
      </c>
      <c r="AK86">
        <f t="shared" si="24"/>
        <v>1.44</v>
      </c>
      <c r="AL86" s="40">
        <f t="shared" si="25"/>
        <v>8437.7999999999993</v>
      </c>
      <c r="AM86">
        <v>2490000</v>
      </c>
      <c r="AN86" s="17">
        <v>39.624846626806892</v>
      </c>
      <c r="AO86" s="74">
        <f t="shared" si="62"/>
        <v>2.2696771473094652</v>
      </c>
      <c r="AP86">
        <v>2.2000000000000002</v>
      </c>
    </row>
    <row r="87" spans="1:42" hidden="1" x14ac:dyDescent="0.25">
      <c r="A87" s="3">
        <f t="shared" si="59"/>
        <v>1459.4167</v>
      </c>
      <c r="B87" s="42">
        <v>1442.8330000000001</v>
      </c>
      <c r="C87" s="53">
        <f t="shared" si="61"/>
        <v>2025</v>
      </c>
      <c r="D87" s="52">
        <f>+'Fisico ASIG'!B87</f>
        <v>45992</v>
      </c>
      <c r="E87" s="1">
        <v>31</v>
      </c>
      <c r="F87" s="1" t="s">
        <v>52</v>
      </c>
      <c r="G87" s="56">
        <f t="shared" si="63"/>
        <v>45998</v>
      </c>
      <c r="H87" s="17">
        <v>28</v>
      </c>
      <c r="I87" s="17">
        <f t="shared" si="52"/>
        <v>4.8642721437955316</v>
      </c>
      <c r="J87" s="17">
        <f t="shared" si="53"/>
        <v>5.7816249464597735</v>
      </c>
      <c r="K87" s="17"/>
      <c r="L87" s="17">
        <v>27</v>
      </c>
      <c r="M87" s="17">
        <v>71.5</v>
      </c>
      <c r="N87" s="17">
        <f t="shared" si="58"/>
        <v>42.369809505892135</v>
      </c>
      <c r="O87" s="17">
        <v>119.50076335877864</v>
      </c>
      <c r="P87" s="18">
        <f>SUMPRODUCT(H87:O87,'Fisico ASIG'!F87:M87)*24</f>
        <v>7526555.8735723533</v>
      </c>
      <c r="Q87" s="43">
        <v>0</v>
      </c>
      <c r="R87" s="43">
        <f t="shared" si="54"/>
        <v>5574.437294023016</v>
      </c>
      <c r="S87" s="43">
        <f t="shared" si="55"/>
        <v>1706.1610984717388</v>
      </c>
      <c r="T87" s="43"/>
      <c r="U87" s="43">
        <v>18000</v>
      </c>
      <c r="V87" s="20">
        <v>0</v>
      </c>
      <c r="W87" s="20">
        <v>21900</v>
      </c>
      <c r="X87" s="20">
        <v>0</v>
      </c>
      <c r="Y87" s="18">
        <f>SUMPRODUCT(Q87:X87,'Fisico ASIG'!O87:V87)/E87</f>
        <v>5455034.9263531063</v>
      </c>
      <c r="Z87" s="25">
        <f t="shared" si="56"/>
        <v>12981590.79992546</v>
      </c>
      <c r="AA87" s="26">
        <f>+Z87/'Fisico ASIG'!N87/24</f>
        <v>65.415919407452876</v>
      </c>
      <c r="AB87" s="26">
        <f t="shared" si="60"/>
        <v>15.806111696522654</v>
      </c>
      <c r="AC87" s="29">
        <f t="shared" si="57"/>
        <v>49.60980771093022</v>
      </c>
      <c r="AI87" s="1">
        <v>7099</v>
      </c>
      <c r="AJ87" s="1">
        <v>5649602</v>
      </c>
      <c r="AK87">
        <f t="shared" si="24"/>
        <v>1.44</v>
      </c>
      <c r="AL87" s="40">
        <f t="shared" si="25"/>
        <v>8437.7999999999993</v>
      </c>
      <c r="AM87">
        <v>2490000</v>
      </c>
      <c r="AN87" s="17">
        <v>38.009189232685841</v>
      </c>
      <c r="AO87" s="74">
        <f t="shared" si="62"/>
        <v>2.1606202732062942</v>
      </c>
      <c r="AP87">
        <v>2.2000000000000002</v>
      </c>
    </row>
    <row r="88" spans="1:42" hidden="1" x14ac:dyDescent="0.25">
      <c r="A88" s="3">
        <f t="shared" si="59"/>
        <v>1459.4167</v>
      </c>
      <c r="B88" s="42">
        <v>1442.8330000000001</v>
      </c>
      <c r="C88" s="53">
        <f t="shared" si="61"/>
        <v>2025</v>
      </c>
      <c r="D88" s="52">
        <f>+'Fisico ASIG'!B88</f>
        <v>45992</v>
      </c>
      <c r="E88" s="1">
        <v>31</v>
      </c>
      <c r="F88" s="1" t="s">
        <v>53</v>
      </c>
      <c r="G88" s="56">
        <f t="shared" si="63"/>
        <v>45999</v>
      </c>
      <c r="H88" s="17">
        <v>28</v>
      </c>
      <c r="I88" s="17">
        <f t="shared" si="52"/>
        <v>4.8642721437955316</v>
      </c>
      <c r="J88" s="17">
        <f t="shared" si="53"/>
        <v>5.7816249464597735</v>
      </c>
      <c r="K88" s="17"/>
      <c r="L88" s="17">
        <v>27</v>
      </c>
      <c r="M88" s="17">
        <v>71.5</v>
      </c>
      <c r="N88" s="17">
        <f t="shared" si="58"/>
        <v>38.557943466050382</v>
      </c>
      <c r="O88" s="17">
        <v>119.5417919985038</v>
      </c>
      <c r="P88" s="18">
        <f>SUMPRODUCT(H88:O88,'Fisico ASIG'!F88:M88)*24</f>
        <v>6749539.6003961088</v>
      </c>
      <c r="Q88" s="43">
        <v>0</v>
      </c>
      <c r="R88" s="43">
        <f t="shared" si="54"/>
        <v>5574.437294023016</v>
      </c>
      <c r="S88" s="43">
        <f t="shared" si="55"/>
        <v>1706.1610984717388</v>
      </c>
      <c r="T88" s="43"/>
      <c r="U88" s="43">
        <v>18000</v>
      </c>
      <c r="V88" s="20">
        <v>0</v>
      </c>
      <c r="W88" s="20">
        <v>21900</v>
      </c>
      <c r="X88" s="20">
        <v>0</v>
      </c>
      <c r="Y88" s="18">
        <f>SUMPRODUCT(Q88:X88,'Fisico ASIG'!O88:V88)/E88</f>
        <v>5476209.1677397368</v>
      </c>
      <c r="Z88" s="25">
        <f t="shared" si="56"/>
        <v>12225748.768135846</v>
      </c>
      <c r="AA88" s="26">
        <f>+Z88/'Fisico ASIG'!N88/24</f>
        <v>69.521917010869672</v>
      </c>
      <c r="AB88" s="26">
        <f t="shared" si="60"/>
        <v>15.806111696522654</v>
      </c>
      <c r="AC88" s="29">
        <f t="shared" si="57"/>
        <v>53.715805314347016</v>
      </c>
      <c r="AI88" s="1">
        <v>7099</v>
      </c>
      <c r="AJ88" s="1">
        <v>5649602</v>
      </c>
      <c r="AK88">
        <f t="shared" si="24"/>
        <v>1.44</v>
      </c>
      <c r="AL88" s="40">
        <f t="shared" si="25"/>
        <v>8437.7999999999993</v>
      </c>
      <c r="AM88">
        <v>2490000</v>
      </c>
      <c r="AN88" s="17">
        <v>34.438354534941809</v>
      </c>
      <c r="AO88" s="74">
        <f t="shared" si="62"/>
        <v>1.9195889311085721</v>
      </c>
      <c r="AP88">
        <v>2.2000000000000002</v>
      </c>
    </row>
    <row r="89" spans="1:42" hidden="1" x14ac:dyDescent="0.25">
      <c r="A89" s="3">
        <f t="shared" si="59"/>
        <v>1459.4167</v>
      </c>
      <c r="B89" s="42">
        <v>1442.8330000000001</v>
      </c>
      <c r="C89" s="53">
        <f t="shared" si="61"/>
        <v>2025</v>
      </c>
      <c r="D89" s="52">
        <f>+'Fisico ASIG'!B89</f>
        <v>45992</v>
      </c>
      <c r="E89" s="1">
        <v>31</v>
      </c>
      <c r="F89" s="1" t="s">
        <v>54</v>
      </c>
      <c r="G89" s="56">
        <f t="shared" si="63"/>
        <v>46000</v>
      </c>
      <c r="H89" s="17">
        <v>28</v>
      </c>
      <c r="I89" s="17">
        <f t="shared" ref="I89:I101" si="64">AI89/A89</f>
        <v>4.8642721437955316</v>
      </c>
      <c r="J89" s="17">
        <f t="shared" ref="J89:J101" si="65">+AL89/A89</f>
        <v>5.7816249464597735</v>
      </c>
      <c r="K89" s="17"/>
      <c r="L89" s="17">
        <v>27</v>
      </c>
      <c r="M89" s="17">
        <v>71.5</v>
      </c>
      <c r="N89" s="17">
        <f t="shared" si="58"/>
        <v>41.086001896822808</v>
      </c>
      <c r="O89" s="17">
        <v>119.69511013500419</v>
      </c>
      <c r="P89" s="18">
        <f>SUMPRODUCT(H89:O89,'Fisico ASIG'!F89:M89)*24</f>
        <v>7935321.5628732657</v>
      </c>
      <c r="Q89" s="43">
        <v>0</v>
      </c>
      <c r="R89" s="43">
        <f t="shared" ref="R89:R95" si="66">+AJ89*AK89/A89</f>
        <v>5574.437294023016</v>
      </c>
      <c r="S89" s="43">
        <f t="shared" ref="S89:S95" si="67">+AM89/A89</f>
        <v>1706.1610984717388</v>
      </c>
      <c r="T89" s="43"/>
      <c r="U89" s="43">
        <v>18000</v>
      </c>
      <c r="V89" s="20">
        <v>0</v>
      </c>
      <c r="W89" s="20">
        <v>21900</v>
      </c>
      <c r="X89" s="20">
        <v>0</v>
      </c>
      <c r="Y89" s="18">
        <f>SUMPRODUCT(Q89:X89,'Fisico ASIG'!O89:V89)/E89</f>
        <v>5452525.233987635</v>
      </c>
      <c r="Z89" s="25">
        <f t="shared" ref="Z89:Z95" si="68">+(P89+Y89)</f>
        <v>13387846.7968609</v>
      </c>
      <c r="AA89" s="26">
        <f>+Z89/'Fisico ASIG'!N89/24</f>
        <v>63.943976625605529</v>
      </c>
      <c r="AB89" s="26">
        <f t="shared" si="60"/>
        <v>15.806111696522654</v>
      </c>
      <c r="AC89" s="29">
        <f t="shared" ref="AC89:AC95" si="69">+AA89-AB89</f>
        <v>48.137864929082873</v>
      </c>
      <c r="AI89" s="1">
        <v>7099</v>
      </c>
      <c r="AJ89" s="1">
        <v>5649602</v>
      </c>
      <c r="AK89">
        <f t="shared" si="24"/>
        <v>1.44</v>
      </c>
      <c r="AL89" s="40">
        <f t="shared" si="25"/>
        <v>8437.7999999999993</v>
      </c>
      <c r="AM89">
        <v>2490000</v>
      </c>
      <c r="AN89" s="17">
        <v>36.806559153932369</v>
      </c>
      <c r="AO89" s="74">
        <f t="shared" si="62"/>
        <v>2.0794427428904352</v>
      </c>
      <c r="AP89">
        <v>2.2000000000000002</v>
      </c>
    </row>
    <row r="90" spans="1:42" hidden="1" x14ac:dyDescent="0.25">
      <c r="A90" s="3">
        <f t="shared" si="59"/>
        <v>1459.4167</v>
      </c>
      <c r="B90" s="42">
        <v>1442.8330000000001</v>
      </c>
      <c r="C90" s="53">
        <f t="shared" si="61"/>
        <v>2025</v>
      </c>
      <c r="D90" s="52">
        <f>+'Fisico ASIG'!B90</f>
        <v>45992</v>
      </c>
      <c r="E90" s="1">
        <v>31</v>
      </c>
      <c r="F90" s="1" t="s">
        <v>55</v>
      </c>
      <c r="G90" s="56">
        <f t="shared" si="63"/>
        <v>46001</v>
      </c>
      <c r="H90" s="17">
        <v>28</v>
      </c>
      <c r="I90" s="17">
        <f t="shared" si="64"/>
        <v>4.8642721437955316</v>
      </c>
      <c r="J90" s="17">
        <f t="shared" si="65"/>
        <v>5.7816249464597735</v>
      </c>
      <c r="K90" s="17"/>
      <c r="L90" s="17">
        <v>27</v>
      </c>
      <c r="M90" s="17">
        <v>71.5</v>
      </c>
      <c r="N90" s="17">
        <f t="shared" si="58"/>
        <v>41.306899919483158</v>
      </c>
      <c r="O90" s="17">
        <v>39.61242891496601</v>
      </c>
      <c r="P90" s="18">
        <f>SUMPRODUCT(H90:O90,'Fisico ASIG'!F90:M90)*24</f>
        <v>8095446.8175738212</v>
      </c>
      <c r="Q90" s="43">
        <v>0</v>
      </c>
      <c r="R90" s="43">
        <f t="shared" si="66"/>
        <v>5574.437294023016</v>
      </c>
      <c r="S90" s="43">
        <f t="shared" si="67"/>
        <v>1706.1610984717388</v>
      </c>
      <c r="T90" s="43"/>
      <c r="U90" s="43">
        <v>18000</v>
      </c>
      <c r="V90" s="20">
        <v>0</v>
      </c>
      <c r="W90" s="20">
        <v>21900</v>
      </c>
      <c r="X90" s="20">
        <v>0</v>
      </c>
      <c r="Y90" s="18">
        <f>SUMPRODUCT(Q90:X90,'Fisico ASIG'!O90:V90)/E90</f>
        <v>5399667.4132507276</v>
      </c>
      <c r="Z90" s="25">
        <f t="shared" si="68"/>
        <v>13495114.230824549</v>
      </c>
      <c r="AA90" s="26">
        <f>+Z90/'Fisico ASIG'!N90/24</f>
        <v>59.940250584124009</v>
      </c>
      <c r="AB90" s="26">
        <f t="shared" si="60"/>
        <v>15.806111696522654</v>
      </c>
      <c r="AC90" s="29">
        <f t="shared" si="69"/>
        <v>44.134138887601353</v>
      </c>
      <c r="AI90" s="1">
        <v>7099</v>
      </c>
      <c r="AJ90" s="1">
        <v>5649602</v>
      </c>
      <c r="AK90">
        <f t="shared" ref="AK90:AK172" si="70">1.2*1.2</f>
        <v>1.44</v>
      </c>
      <c r="AL90" s="40">
        <f t="shared" ref="AL90:AL111" si="71">4060+1627*1.4+2100</f>
        <v>8437.7999999999993</v>
      </c>
      <c r="AM90">
        <v>2490000</v>
      </c>
      <c r="AN90" s="17">
        <v>37.013489385932701</v>
      </c>
      <c r="AO90" s="74">
        <f t="shared" si="62"/>
        <v>2.0934105335504576</v>
      </c>
      <c r="AP90">
        <v>2.2000000000000002</v>
      </c>
    </row>
    <row r="91" spans="1:42" hidden="1" x14ac:dyDescent="0.25">
      <c r="A91" s="3">
        <f t="shared" si="59"/>
        <v>1459.4167</v>
      </c>
      <c r="B91" s="42">
        <v>1442.8330000000001</v>
      </c>
      <c r="C91" s="53">
        <f t="shared" si="61"/>
        <v>2025</v>
      </c>
      <c r="D91" s="52">
        <f>+'Fisico ASIG'!B91</f>
        <v>45992</v>
      </c>
      <c r="E91" s="1">
        <v>31</v>
      </c>
      <c r="F91" s="1" t="s">
        <v>56</v>
      </c>
      <c r="G91" s="56">
        <f t="shared" si="63"/>
        <v>46002</v>
      </c>
      <c r="H91" s="17">
        <v>28</v>
      </c>
      <c r="I91" s="17">
        <f t="shared" si="64"/>
        <v>4.8642721437955316</v>
      </c>
      <c r="J91" s="17">
        <f t="shared" si="65"/>
        <v>5.7816249464597735</v>
      </c>
      <c r="K91" s="17"/>
      <c r="L91" s="17">
        <v>27</v>
      </c>
      <c r="M91" s="17">
        <v>71.5</v>
      </c>
      <c r="N91" s="17">
        <f t="shared" si="58"/>
        <v>40.239234281094198</v>
      </c>
      <c r="O91" s="17">
        <v>119.70484645611994</v>
      </c>
      <c r="P91" s="18">
        <f>SUMPRODUCT(H91:O91,'Fisico ASIG'!F91:M91)*24</f>
        <v>8625525.0345897675</v>
      </c>
      <c r="Q91" s="43">
        <v>0</v>
      </c>
      <c r="R91" s="43">
        <f t="shared" si="66"/>
        <v>5574.437294023016</v>
      </c>
      <c r="S91" s="43">
        <f t="shared" si="67"/>
        <v>1706.1610984717388</v>
      </c>
      <c r="T91" s="43"/>
      <c r="U91" s="43">
        <v>18000</v>
      </c>
      <c r="V91" s="20">
        <v>0</v>
      </c>
      <c r="W91" s="20">
        <v>21900</v>
      </c>
      <c r="X91" s="20">
        <v>0</v>
      </c>
      <c r="Y91" s="18">
        <f>SUMPRODUCT(Q91:X91,'Fisico ASIG'!O91:V91)/E91</f>
        <v>5534778.6594303055</v>
      </c>
      <c r="Z91" s="25">
        <f t="shared" si="68"/>
        <v>14160303.694020074</v>
      </c>
      <c r="AA91" s="26">
        <f>+Z91/'Fisico ASIG'!N91/24</f>
        <v>62.351925362911793</v>
      </c>
      <c r="AB91" s="26">
        <f t="shared" si="60"/>
        <v>15.806111696522654</v>
      </c>
      <c r="AC91" s="29">
        <f t="shared" si="69"/>
        <v>46.545813666389137</v>
      </c>
      <c r="AI91" s="1">
        <v>7099</v>
      </c>
      <c r="AJ91" s="1">
        <v>5649602</v>
      </c>
      <c r="AK91">
        <f t="shared" si="70"/>
        <v>1.44</v>
      </c>
      <c r="AL91" s="40">
        <f t="shared" si="71"/>
        <v>8437.7999999999993</v>
      </c>
      <c r="AM91">
        <v>2490000</v>
      </c>
      <c r="AN91" s="17">
        <v>36.013334221165522</v>
      </c>
      <c r="AO91" s="74">
        <f t="shared" si="62"/>
        <v>2.0259000599286727</v>
      </c>
      <c r="AP91">
        <v>2.2000000000000002</v>
      </c>
    </row>
    <row r="92" spans="1:42" hidden="1" x14ac:dyDescent="0.25">
      <c r="A92" s="3">
        <f t="shared" si="59"/>
        <v>1459.4167</v>
      </c>
      <c r="B92" s="42">
        <v>1442.8330000000001</v>
      </c>
      <c r="C92" s="53">
        <f t="shared" si="61"/>
        <v>2025</v>
      </c>
      <c r="D92" s="52">
        <f>+'Fisico ASIG'!B92</f>
        <v>45992</v>
      </c>
      <c r="E92" s="1">
        <v>31</v>
      </c>
      <c r="F92" s="1" t="s">
        <v>57</v>
      </c>
      <c r="G92" s="56">
        <f t="shared" si="63"/>
        <v>46003</v>
      </c>
      <c r="H92" s="17">
        <v>28</v>
      </c>
      <c r="I92" s="17">
        <f t="shared" si="64"/>
        <v>4.8642721437955316</v>
      </c>
      <c r="J92" s="17">
        <f t="shared" si="65"/>
        <v>5.7816249464597735</v>
      </c>
      <c r="K92" s="17"/>
      <c r="L92" s="17">
        <v>27</v>
      </c>
      <c r="M92" s="17">
        <v>71.5</v>
      </c>
      <c r="N92" s="17">
        <f t="shared" si="58"/>
        <v>41.240294516393789</v>
      </c>
      <c r="O92" s="17">
        <v>100.68401851224991</v>
      </c>
      <c r="P92" s="18">
        <f>SUMPRODUCT(H92:O92,'Fisico ASIG'!F92:M92)*24</f>
        <v>10267830.290061943</v>
      </c>
      <c r="Q92" s="43">
        <v>0</v>
      </c>
      <c r="R92" s="43">
        <f t="shared" si="66"/>
        <v>5574.437294023016</v>
      </c>
      <c r="S92" s="43">
        <f t="shared" si="67"/>
        <v>1706.1610984717388</v>
      </c>
      <c r="T92" s="43"/>
      <c r="U92" s="43">
        <v>18000</v>
      </c>
      <c r="V92" s="20">
        <v>0</v>
      </c>
      <c r="W92" s="20">
        <v>21900</v>
      </c>
      <c r="X92" s="20">
        <v>0</v>
      </c>
      <c r="Y92" s="18">
        <f>SUMPRODUCT(Q92:X92,'Fisico ASIG'!O92:V92)/E92</f>
        <v>5538776.0607963009</v>
      </c>
      <c r="Z92" s="25">
        <f t="shared" si="68"/>
        <v>15806606.350858245</v>
      </c>
      <c r="AA92" s="26">
        <f>+Z92/'Fisico ASIG'!N92/24</f>
        <v>63.615281189073819</v>
      </c>
      <c r="AB92" s="26">
        <f t="shared" si="60"/>
        <v>15.806111696522654</v>
      </c>
      <c r="AC92" s="29">
        <f t="shared" si="69"/>
        <v>47.809169492551163</v>
      </c>
      <c r="AI92" s="1">
        <v>7099</v>
      </c>
      <c r="AJ92" s="1">
        <v>5649602</v>
      </c>
      <c r="AK92">
        <f t="shared" si="70"/>
        <v>1.44</v>
      </c>
      <c r="AL92" s="40">
        <f t="shared" si="71"/>
        <v>8437.7999999999993</v>
      </c>
      <c r="AM92">
        <v>2490000</v>
      </c>
      <c r="AN92" s="17">
        <v>36.951095565708464</v>
      </c>
      <c r="AO92" s="74">
        <f t="shared" si="62"/>
        <v>2.0891989506853212</v>
      </c>
      <c r="AP92">
        <v>2.2000000000000002</v>
      </c>
    </row>
    <row r="93" spans="1:42" hidden="1" x14ac:dyDescent="0.25">
      <c r="A93" s="3">
        <f t="shared" si="59"/>
        <v>1459.4167</v>
      </c>
      <c r="B93" s="42">
        <v>1442.8330000000001</v>
      </c>
      <c r="C93" s="53">
        <f t="shared" si="61"/>
        <v>2025</v>
      </c>
      <c r="D93" s="52">
        <f>+'Fisico ASIG'!B93</f>
        <v>45992</v>
      </c>
      <c r="E93" s="1">
        <v>31</v>
      </c>
      <c r="F93" s="1" t="s">
        <v>51</v>
      </c>
      <c r="G93" s="56">
        <f t="shared" si="63"/>
        <v>46004</v>
      </c>
      <c r="H93" s="17">
        <v>28</v>
      </c>
      <c r="I93" s="17">
        <f t="shared" si="64"/>
        <v>4.8642721437955316</v>
      </c>
      <c r="J93" s="17">
        <f t="shared" si="65"/>
        <v>5.7816249464597735</v>
      </c>
      <c r="K93" s="17"/>
      <c r="L93" s="17">
        <v>27</v>
      </c>
      <c r="M93" s="17">
        <v>71.5</v>
      </c>
      <c r="N93" s="17">
        <f t="shared" si="58"/>
        <v>40.55660163512583</v>
      </c>
      <c r="O93" s="17">
        <v>101.33758653780703</v>
      </c>
      <c r="P93" s="18">
        <f>SUMPRODUCT(H93:O93,'Fisico ASIG'!F93:M93)*24</f>
        <v>9670071.8010448217</v>
      </c>
      <c r="Q93" s="43">
        <v>0</v>
      </c>
      <c r="R93" s="43">
        <f t="shared" si="66"/>
        <v>5574.437294023016</v>
      </c>
      <c r="S93" s="43">
        <f t="shared" si="67"/>
        <v>1706.1610984717388</v>
      </c>
      <c r="T93" s="43"/>
      <c r="U93" s="43">
        <v>18000</v>
      </c>
      <c r="V93" s="20">
        <v>0</v>
      </c>
      <c r="W93" s="20">
        <v>21900</v>
      </c>
      <c r="X93" s="20">
        <v>0</v>
      </c>
      <c r="Y93" s="18">
        <f>SUMPRODUCT(Q93:X93,'Fisico ASIG'!O93:V93)/E93</f>
        <v>5606032.5181050701</v>
      </c>
      <c r="Z93" s="25">
        <f t="shared" si="68"/>
        <v>15276104.319149893</v>
      </c>
      <c r="AA93" s="26">
        <f>+Z93/'Fisico ASIG'!N93/24</f>
        <v>64.188813252666918</v>
      </c>
      <c r="AB93" s="26">
        <f t="shared" si="60"/>
        <v>15.806111696522654</v>
      </c>
      <c r="AC93" s="29">
        <f t="shared" si="69"/>
        <v>48.382701556144262</v>
      </c>
      <c r="AI93" s="1">
        <v>7099</v>
      </c>
      <c r="AJ93" s="1">
        <v>5649602</v>
      </c>
      <c r="AK93">
        <f t="shared" si="70"/>
        <v>1.44</v>
      </c>
      <c r="AL93" s="40">
        <f t="shared" si="71"/>
        <v>8437.7999999999993</v>
      </c>
      <c r="AM93">
        <v>2490000</v>
      </c>
      <c r="AN93" s="17">
        <v>36.310633850234964</v>
      </c>
      <c r="AO93" s="74">
        <f t="shared" si="62"/>
        <v>2.0459677848908604</v>
      </c>
      <c r="AP93">
        <v>2.2000000000000002</v>
      </c>
    </row>
    <row r="94" spans="1:42" hidden="1" x14ac:dyDescent="0.25">
      <c r="A94" s="3">
        <f t="shared" si="59"/>
        <v>1459.4167</v>
      </c>
      <c r="B94" s="42">
        <v>1442.8330000000001</v>
      </c>
      <c r="C94" s="53">
        <f t="shared" si="61"/>
        <v>2025</v>
      </c>
      <c r="D94" s="52">
        <f>+'Fisico ASIG'!B94</f>
        <v>45992</v>
      </c>
      <c r="E94" s="1">
        <v>31</v>
      </c>
      <c r="F94" s="1" t="s">
        <v>52</v>
      </c>
      <c r="G94" s="56">
        <f t="shared" si="63"/>
        <v>46005</v>
      </c>
      <c r="H94" s="17">
        <v>28</v>
      </c>
      <c r="I94" s="17">
        <f t="shared" si="64"/>
        <v>4.8642721437955316</v>
      </c>
      <c r="J94" s="17">
        <f t="shared" si="65"/>
        <v>5.7816249464597735</v>
      </c>
      <c r="K94" s="17"/>
      <c r="L94" s="17">
        <v>27</v>
      </c>
      <c r="M94" s="17">
        <v>71.5</v>
      </c>
      <c r="N94" s="17">
        <f t="shared" si="58"/>
        <v>38.20853147084113</v>
      </c>
      <c r="O94" s="17">
        <v>119.74613242748654</v>
      </c>
      <c r="P94" s="18">
        <f>SUMPRODUCT(H94:O94,'Fisico ASIG'!F94:M94)*24</f>
        <v>7826943.1298644394</v>
      </c>
      <c r="Q94" s="43">
        <v>0</v>
      </c>
      <c r="R94" s="43">
        <f t="shared" si="66"/>
        <v>5574.437294023016</v>
      </c>
      <c r="S94" s="43">
        <f t="shared" si="67"/>
        <v>1706.1610984717388</v>
      </c>
      <c r="T94" s="43"/>
      <c r="U94" s="43">
        <v>18000</v>
      </c>
      <c r="V94" s="20">
        <v>0</v>
      </c>
      <c r="W94" s="20">
        <v>21900</v>
      </c>
      <c r="X94" s="20">
        <v>0</v>
      </c>
      <c r="Y94" s="18">
        <f>SUMPRODUCT(Q94:X94,'Fisico ASIG'!O94:V94)/E94</f>
        <v>5557599.9490834931</v>
      </c>
      <c r="Z94" s="25">
        <f t="shared" si="68"/>
        <v>13384543.078947932</v>
      </c>
      <c r="AA94" s="26">
        <f>+Z94/'Fisico ASIG'!N94/24</f>
        <v>67.817290905468525</v>
      </c>
      <c r="AB94" s="26">
        <f t="shared" si="60"/>
        <v>15.806111696522654</v>
      </c>
      <c r="AC94" s="29">
        <f t="shared" si="69"/>
        <v>52.011179208945869</v>
      </c>
      <c r="AI94" s="1">
        <v>7099</v>
      </c>
      <c r="AJ94" s="1">
        <v>5649602</v>
      </c>
      <c r="AK94">
        <f t="shared" si="70"/>
        <v>1.44</v>
      </c>
      <c r="AL94" s="40">
        <f t="shared" si="71"/>
        <v>8437.7999999999993</v>
      </c>
      <c r="AM94">
        <v>2490000</v>
      </c>
      <c r="AN94" s="17">
        <v>34.111036506642741</v>
      </c>
      <c r="AO94" s="74">
        <f t="shared" si="62"/>
        <v>1.8974949641983851</v>
      </c>
      <c r="AP94">
        <v>2.2000000000000002</v>
      </c>
    </row>
    <row r="95" spans="1:42" hidden="1" x14ac:dyDescent="0.25">
      <c r="A95" s="3">
        <f t="shared" si="59"/>
        <v>1459.4167</v>
      </c>
      <c r="B95" s="42">
        <v>1437.4169999999999</v>
      </c>
      <c r="C95" s="53">
        <f t="shared" si="61"/>
        <v>2025</v>
      </c>
      <c r="D95" s="52">
        <f>+'Fisico ASIG'!B95</f>
        <v>45992</v>
      </c>
      <c r="E95" s="1">
        <v>31</v>
      </c>
      <c r="F95" s="1" t="s">
        <v>53</v>
      </c>
      <c r="G95" s="56">
        <f t="shared" si="63"/>
        <v>46006</v>
      </c>
      <c r="H95" s="17">
        <v>28</v>
      </c>
      <c r="I95" s="17">
        <f t="shared" si="64"/>
        <v>4.8642721437955316</v>
      </c>
      <c r="J95" s="17">
        <f t="shared" si="65"/>
        <v>5.7816249464597735</v>
      </c>
      <c r="K95" s="17"/>
      <c r="L95" s="17">
        <v>27</v>
      </c>
      <c r="M95" s="17">
        <v>71.5</v>
      </c>
      <c r="N95" s="17">
        <f t="shared" si="58"/>
        <v>39.450889303732083</v>
      </c>
      <c r="O95" s="17">
        <v>119.83405152360082</v>
      </c>
      <c r="P95" s="18">
        <f>SUMPRODUCT(H95:O95,'Fisico ASIG'!F95:M95)*24</f>
        <v>7498782.2045191731</v>
      </c>
      <c r="Q95" s="43">
        <v>0</v>
      </c>
      <c r="R95" s="43">
        <f t="shared" si="66"/>
        <v>5574.437294023016</v>
      </c>
      <c r="S95" s="43">
        <f t="shared" si="67"/>
        <v>1706.1610984717388</v>
      </c>
      <c r="T95" s="43"/>
      <c r="U95" s="43">
        <v>18000</v>
      </c>
      <c r="V95" s="20">
        <v>0</v>
      </c>
      <c r="W95" s="20">
        <v>21900</v>
      </c>
      <c r="X95" s="20">
        <v>0</v>
      </c>
      <c r="Y95" s="18">
        <f>SUMPRODUCT(Q95:X95,'Fisico ASIG'!O95:V95)/E95</f>
        <v>5589509.5730919857</v>
      </c>
      <c r="Z95" s="25">
        <f t="shared" si="68"/>
        <v>13088291.777611159</v>
      </c>
      <c r="AA95" s="26">
        <f>+Z95/'Fisico ASIG'!N95/24</f>
        <v>71.330671799456553</v>
      </c>
      <c r="AB95" s="26">
        <f t="shared" si="60"/>
        <v>15.806111696522654</v>
      </c>
      <c r="AC95" s="29">
        <f t="shared" si="69"/>
        <v>55.524560102933897</v>
      </c>
      <c r="AI95" s="1">
        <v>7099</v>
      </c>
      <c r="AJ95" s="1">
        <v>5649602</v>
      </c>
      <c r="AK95">
        <f t="shared" si="70"/>
        <v>1.44</v>
      </c>
      <c r="AL95" s="40">
        <f t="shared" si="71"/>
        <v>8437.7999999999993</v>
      </c>
      <c r="AM95">
        <v>2490000</v>
      </c>
      <c r="AN95" s="17">
        <v>35.274837755252534</v>
      </c>
      <c r="AO95" s="74">
        <f t="shared" si="62"/>
        <v>1.9760515484795462</v>
      </c>
      <c r="AP95">
        <v>2.2000000000000002</v>
      </c>
    </row>
    <row r="96" spans="1:42" hidden="1" x14ac:dyDescent="0.25">
      <c r="A96" s="3">
        <f t="shared" si="59"/>
        <v>1459.4167</v>
      </c>
      <c r="B96" s="42">
        <v>1437.4169999999999</v>
      </c>
      <c r="C96" s="53">
        <f t="shared" si="61"/>
        <v>2025</v>
      </c>
      <c r="D96" s="52">
        <f>+'Fisico ASIG'!B96</f>
        <v>45992</v>
      </c>
      <c r="E96" s="1">
        <v>31</v>
      </c>
      <c r="F96" s="1" t="s">
        <v>54</v>
      </c>
      <c r="G96" s="56">
        <f t="shared" si="63"/>
        <v>46007</v>
      </c>
      <c r="H96" s="17">
        <v>28</v>
      </c>
      <c r="I96" s="17">
        <f t="shared" si="64"/>
        <v>4.8642721437955316</v>
      </c>
      <c r="J96" s="17">
        <f t="shared" si="65"/>
        <v>5.7816249464597735</v>
      </c>
      <c r="K96" s="17"/>
      <c r="L96" s="17">
        <v>27</v>
      </c>
      <c r="M96" s="17">
        <v>71.5</v>
      </c>
      <c r="N96" s="17">
        <f t="shared" si="58"/>
        <v>39.113060391266075</v>
      </c>
      <c r="O96" s="17">
        <v>39.895137291415637</v>
      </c>
      <c r="P96" s="18">
        <f>SUMPRODUCT(H96:O96,'Fisico ASIG'!F96:M96)*24</f>
        <v>7376251.0842752811</v>
      </c>
      <c r="Q96" s="43">
        <v>0</v>
      </c>
      <c r="R96" s="43">
        <f t="shared" ref="R96:R101" si="72">+AJ96*AK96/A96</f>
        <v>5574.437294023016</v>
      </c>
      <c r="S96" s="43">
        <f t="shared" ref="S96:S101" si="73">+AM96/A96</f>
        <v>1706.1610984717388</v>
      </c>
      <c r="T96" s="43"/>
      <c r="U96" s="43">
        <v>18000</v>
      </c>
      <c r="V96" s="20">
        <v>0</v>
      </c>
      <c r="W96" s="20">
        <v>21900</v>
      </c>
      <c r="X96" s="20">
        <v>0</v>
      </c>
      <c r="Y96" s="18">
        <f>SUMPRODUCT(Q96:X96,'Fisico ASIG'!O96:V96)/E96</f>
        <v>5591537.9090946382</v>
      </c>
      <c r="Z96" s="25">
        <f t="shared" ref="Z96:Z101" si="74">+(P96+Y96)</f>
        <v>12967788.993369918</v>
      </c>
      <c r="AA96" s="26">
        <f>+Z96/'Fisico ASIG'!N96/24</f>
        <v>67.453661360204379</v>
      </c>
      <c r="AB96" s="26">
        <f t="shared" si="60"/>
        <v>15.806111696522654</v>
      </c>
      <c r="AC96" s="29">
        <f t="shared" ref="AC96:AC101" si="75">+AA96-AB96</f>
        <v>51.647549663681723</v>
      </c>
      <c r="AI96" s="1">
        <v>7099</v>
      </c>
      <c r="AJ96" s="1">
        <v>5649602</v>
      </c>
      <c r="AK96">
        <f t="shared" si="70"/>
        <v>1.44</v>
      </c>
      <c r="AL96" s="40">
        <f t="shared" si="71"/>
        <v>8437.7999999999993</v>
      </c>
      <c r="AM96">
        <v>2490000</v>
      </c>
      <c r="AN96" s="17">
        <v>34.958370389944797</v>
      </c>
      <c r="AO96" s="74">
        <f t="shared" si="62"/>
        <v>1.954690001321274</v>
      </c>
      <c r="AP96">
        <v>2.2000000000000002</v>
      </c>
    </row>
    <row r="97" spans="1:43" hidden="1" x14ac:dyDescent="0.25">
      <c r="A97" s="3">
        <f t="shared" si="59"/>
        <v>1459.4167</v>
      </c>
      <c r="B97" s="42">
        <v>1437.4169999999999</v>
      </c>
      <c r="C97" s="53">
        <f t="shared" si="61"/>
        <v>2025</v>
      </c>
      <c r="D97" s="52">
        <f>+'Fisico ASIG'!B97</f>
        <v>45992</v>
      </c>
      <c r="E97" s="1">
        <v>31</v>
      </c>
      <c r="F97" s="1" t="s">
        <v>55</v>
      </c>
      <c r="G97" s="56">
        <f t="shared" si="63"/>
        <v>46008</v>
      </c>
      <c r="H97" s="17">
        <v>28</v>
      </c>
      <c r="I97" s="17">
        <f t="shared" si="64"/>
        <v>4.8642721437955316</v>
      </c>
      <c r="J97" s="17">
        <f t="shared" si="65"/>
        <v>5.7816249464597735</v>
      </c>
      <c r="K97" s="17"/>
      <c r="L97" s="17">
        <v>27</v>
      </c>
      <c r="M97" s="17">
        <v>71.5</v>
      </c>
      <c r="N97" s="17">
        <f t="shared" si="58"/>
        <v>38.497569832347843</v>
      </c>
      <c r="O97" s="17">
        <v>119.69628446362259</v>
      </c>
      <c r="P97" s="18">
        <f>SUMPRODUCT(H97:O97,'Fisico ASIG'!F97:M97)*24</f>
        <v>8473230.7027093321</v>
      </c>
      <c r="Q97" s="43">
        <v>0</v>
      </c>
      <c r="R97" s="43">
        <f t="shared" si="72"/>
        <v>5574.437294023016</v>
      </c>
      <c r="S97" s="43">
        <f t="shared" si="73"/>
        <v>1706.1610984717388</v>
      </c>
      <c r="T97" s="43"/>
      <c r="U97" s="43">
        <v>18000</v>
      </c>
      <c r="V97" s="20">
        <v>0</v>
      </c>
      <c r="W97" s="20">
        <v>21900</v>
      </c>
      <c r="X97" s="20">
        <v>0</v>
      </c>
      <c r="Y97" s="18">
        <f>SUMPRODUCT(Q97:X97,'Fisico ASIG'!O97:V97)/E97</f>
        <v>5529296.9851943636</v>
      </c>
      <c r="Z97" s="25">
        <f t="shared" si="74"/>
        <v>14002527.687903695</v>
      </c>
      <c r="AA97" s="26">
        <f>+Z97/'Fisico ASIG'!N97/24</f>
        <v>67.216178885723124</v>
      </c>
      <c r="AB97" s="26">
        <f t="shared" si="60"/>
        <v>15.806111696522654</v>
      </c>
      <c r="AC97" s="29">
        <f t="shared" si="75"/>
        <v>51.410067189200468</v>
      </c>
      <c r="AI97" s="1">
        <v>7099</v>
      </c>
      <c r="AJ97" s="1">
        <v>5649602</v>
      </c>
      <c r="AK97">
        <f t="shared" si="70"/>
        <v>1.44</v>
      </c>
      <c r="AL97" s="40">
        <f t="shared" si="71"/>
        <v>8437.7999999999993</v>
      </c>
      <c r="AM97">
        <v>2490000</v>
      </c>
      <c r="AN97" s="17">
        <v>34.381798437796569</v>
      </c>
      <c r="AO97" s="74">
        <f t="shared" si="62"/>
        <v>1.9157713945512684</v>
      </c>
      <c r="AP97">
        <v>2.2000000000000002</v>
      </c>
    </row>
    <row r="98" spans="1:43" hidden="1" x14ac:dyDescent="0.25">
      <c r="A98" s="3">
        <f t="shared" si="59"/>
        <v>1459.4167</v>
      </c>
      <c r="B98" s="42">
        <v>1437.4169999999999</v>
      </c>
      <c r="C98" s="53">
        <f t="shared" si="61"/>
        <v>2025</v>
      </c>
      <c r="D98" s="52">
        <f>+'Fisico ASIG'!B98</f>
        <v>45992</v>
      </c>
      <c r="E98" s="1">
        <v>31</v>
      </c>
      <c r="F98" s="1" t="s">
        <v>56</v>
      </c>
      <c r="G98" s="56">
        <f t="shared" si="63"/>
        <v>46009</v>
      </c>
      <c r="H98" s="17">
        <v>28</v>
      </c>
      <c r="I98" s="17">
        <f t="shared" si="64"/>
        <v>4.8642721437955316</v>
      </c>
      <c r="J98" s="17">
        <f t="shared" si="65"/>
        <v>5.7816249464597735</v>
      </c>
      <c r="K98" s="17"/>
      <c r="L98" s="17">
        <v>27</v>
      </c>
      <c r="M98" s="17">
        <v>71.5</v>
      </c>
      <c r="N98" s="17">
        <f t="shared" si="58"/>
        <v>39.224214316707084</v>
      </c>
      <c r="O98" s="17">
        <v>116.63266515022272</v>
      </c>
      <c r="P98" s="18">
        <f>SUMPRODUCT(H98:O98,'Fisico ASIG'!F98:M98)*24</f>
        <v>8371676.9969925415</v>
      </c>
      <c r="Q98" s="43">
        <v>0</v>
      </c>
      <c r="R98" s="43">
        <f t="shared" si="72"/>
        <v>5574.437294023016</v>
      </c>
      <c r="S98" s="43">
        <f t="shared" si="73"/>
        <v>1706.1610984717388</v>
      </c>
      <c r="T98" s="43"/>
      <c r="U98" s="43">
        <v>18000</v>
      </c>
      <c r="V98" s="20">
        <v>0</v>
      </c>
      <c r="W98" s="20">
        <v>21900</v>
      </c>
      <c r="X98" s="20">
        <v>0</v>
      </c>
      <c r="Y98" s="18">
        <f>SUMPRODUCT(Q98:X98,'Fisico ASIG'!O98:V98)/E98</f>
        <v>5577213.7461176626</v>
      </c>
      <c r="Z98" s="25">
        <f t="shared" si="74"/>
        <v>13948890.743110204</v>
      </c>
      <c r="AA98" s="26">
        <f>+Z98/'Fisico ASIG'!N98/24</f>
        <v>61.566008520822656</v>
      </c>
      <c r="AB98" s="26">
        <f t="shared" si="60"/>
        <v>15.806111696522654</v>
      </c>
      <c r="AC98" s="29">
        <f t="shared" si="75"/>
        <v>45.7598968243</v>
      </c>
      <c r="AI98" s="1">
        <v>7099</v>
      </c>
      <c r="AJ98" s="1">
        <v>5649602</v>
      </c>
      <c r="AK98">
        <f t="shared" si="70"/>
        <v>1.44</v>
      </c>
      <c r="AL98" s="40">
        <f t="shared" si="71"/>
        <v>8437.7999999999993</v>
      </c>
      <c r="AM98">
        <v>2490000</v>
      </c>
      <c r="AN98" s="17">
        <v>35.062495847032395</v>
      </c>
      <c r="AO98" s="74">
        <f t="shared" si="62"/>
        <v>1.9617184696746868</v>
      </c>
      <c r="AP98">
        <v>2.2000000000000002</v>
      </c>
    </row>
    <row r="99" spans="1:43" hidden="1" x14ac:dyDescent="0.25">
      <c r="A99" s="3">
        <f t="shared" si="59"/>
        <v>1459.4167</v>
      </c>
      <c r="B99" s="42">
        <v>1437.4169999999999</v>
      </c>
      <c r="C99" s="53">
        <f t="shared" si="61"/>
        <v>2025</v>
      </c>
      <c r="D99" s="52">
        <f>+'Fisico ASIG'!B99</f>
        <v>45992</v>
      </c>
      <c r="E99" s="1">
        <v>31</v>
      </c>
      <c r="F99" s="1" t="s">
        <v>57</v>
      </c>
      <c r="G99" s="56">
        <f t="shared" si="63"/>
        <v>46010</v>
      </c>
      <c r="H99" s="17">
        <v>28</v>
      </c>
      <c r="I99" s="17">
        <f t="shared" si="64"/>
        <v>4.8642721437955316</v>
      </c>
      <c r="J99" s="17">
        <f t="shared" si="65"/>
        <v>5.7816249464597735</v>
      </c>
      <c r="K99" s="17"/>
      <c r="L99" s="17">
        <v>27</v>
      </c>
      <c r="M99" s="17">
        <v>71.5</v>
      </c>
      <c r="N99" s="17">
        <f t="shared" si="58"/>
        <v>40.025363897498877</v>
      </c>
      <c r="O99" s="17">
        <v>119.75851794273869</v>
      </c>
      <c r="P99" s="18">
        <f>SUMPRODUCT(H99:O99,'Fisico ASIG'!F99:M99)*24</f>
        <v>8176220.5958023472</v>
      </c>
      <c r="Q99" s="43">
        <v>0</v>
      </c>
      <c r="R99" s="43">
        <f t="shared" si="72"/>
        <v>5574.437294023016</v>
      </c>
      <c r="S99" s="43">
        <f t="shared" si="73"/>
        <v>1706.1610984717388</v>
      </c>
      <c r="T99" s="43"/>
      <c r="U99" s="43">
        <v>18000</v>
      </c>
      <c r="V99" s="20">
        <v>0</v>
      </c>
      <c r="W99" s="20">
        <v>21900</v>
      </c>
      <c r="X99" s="20">
        <v>0</v>
      </c>
      <c r="Y99" s="18">
        <f>SUMPRODUCT(Q99:X99,'Fisico ASIG'!O99:V99)/E99</f>
        <v>5564115.7743532099</v>
      </c>
      <c r="Z99" s="25">
        <f t="shared" si="74"/>
        <v>13740336.370155558</v>
      </c>
      <c r="AA99" s="26">
        <f>+Z99/'Fisico ASIG'!N99/24</f>
        <v>59.671615639342413</v>
      </c>
      <c r="AB99" s="26">
        <f t="shared" si="60"/>
        <v>15.806111696522654</v>
      </c>
      <c r="AC99" s="29">
        <f t="shared" si="75"/>
        <v>43.865503942819757</v>
      </c>
      <c r="AI99" s="1">
        <v>7099</v>
      </c>
      <c r="AJ99" s="1">
        <v>5649602</v>
      </c>
      <c r="AK99">
        <f t="shared" si="70"/>
        <v>1.44</v>
      </c>
      <c r="AL99" s="40">
        <f t="shared" si="71"/>
        <v>8437.7999999999993</v>
      </c>
      <c r="AM99">
        <v>2490000</v>
      </c>
      <c r="AN99" s="17">
        <v>35.812987257610189</v>
      </c>
      <c r="AO99" s="74">
        <f t="shared" si="62"/>
        <v>2.012376639888688</v>
      </c>
      <c r="AP99">
        <v>2.2000000000000002</v>
      </c>
    </row>
    <row r="100" spans="1:43" hidden="1" x14ac:dyDescent="0.25">
      <c r="A100" s="3">
        <f t="shared" si="59"/>
        <v>1459.4167</v>
      </c>
      <c r="B100" s="42">
        <v>1437.4169999999999</v>
      </c>
      <c r="C100" s="53">
        <f t="shared" si="61"/>
        <v>2025</v>
      </c>
      <c r="D100" s="52">
        <f>+'Fisico ASIG'!B100</f>
        <v>45992</v>
      </c>
      <c r="E100" s="1">
        <v>31</v>
      </c>
      <c r="F100" s="1" t="s">
        <v>51</v>
      </c>
      <c r="G100" s="56">
        <f t="shared" si="63"/>
        <v>46011</v>
      </c>
      <c r="H100" s="17">
        <v>28</v>
      </c>
      <c r="I100" s="17">
        <f t="shared" si="64"/>
        <v>4.8642721437955316</v>
      </c>
      <c r="J100" s="17">
        <f t="shared" si="65"/>
        <v>5.7816249464597735</v>
      </c>
      <c r="K100" s="17"/>
      <c r="L100" s="17">
        <v>27</v>
      </c>
      <c r="M100" s="17">
        <v>71.5</v>
      </c>
      <c r="N100" s="17">
        <f t="shared" si="58"/>
        <v>38.142267751782661</v>
      </c>
      <c r="O100" s="17">
        <v>38.386698778056335</v>
      </c>
      <c r="P100" s="18">
        <f>SUMPRODUCT(H100:O100,'Fisico ASIG'!F100:M100)*24</f>
        <v>7481790.5131541472</v>
      </c>
      <c r="Q100" s="43">
        <v>0</v>
      </c>
      <c r="R100" s="43">
        <f t="shared" si="72"/>
        <v>5574.437294023016</v>
      </c>
      <c r="S100" s="43">
        <f t="shared" si="73"/>
        <v>1706.1610984717388</v>
      </c>
      <c r="T100" s="43"/>
      <c r="U100" s="43">
        <v>18000</v>
      </c>
      <c r="V100" s="20">
        <v>0</v>
      </c>
      <c r="W100" s="20">
        <v>21900</v>
      </c>
      <c r="X100" s="20">
        <v>0</v>
      </c>
      <c r="Y100" s="18">
        <f>SUMPRODUCT(Q100:X100,'Fisico ASIG'!O100:V100)/E100</f>
        <v>5567928.314639085</v>
      </c>
      <c r="Z100" s="25">
        <f t="shared" si="74"/>
        <v>13049718.827793233</v>
      </c>
      <c r="AA100" s="26">
        <f>+Z100/'Fisico ASIG'!N100/24</f>
        <v>66.172988772266862</v>
      </c>
      <c r="AB100" s="26">
        <f t="shared" si="60"/>
        <v>15.806111696522654</v>
      </c>
      <c r="AC100" s="29">
        <f t="shared" si="75"/>
        <v>50.366877075744206</v>
      </c>
      <c r="AI100" s="1">
        <v>7099</v>
      </c>
      <c r="AJ100" s="1">
        <v>5649602</v>
      </c>
      <c r="AK100">
        <f t="shared" si="70"/>
        <v>1.44</v>
      </c>
      <c r="AL100" s="40">
        <f t="shared" si="71"/>
        <v>8437.7999999999993</v>
      </c>
      <c r="AM100">
        <v>2490000</v>
      </c>
      <c r="AN100" s="17">
        <v>34.048962765135983</v>
      </c>
      <c r="AO100" s="74">
        <f t="shared" si="62"/>
        <v>1.8933049866466789</v>
      </c>
      <c r="AP100">
        <v>2.2000000000000002</v>
      </c>
    </row>
    <row r="101" spans="1:43" hidden="1" x14ac:dyDescent="0.25">
      <c r="A101" s="3">
        <f t="shared" si="59"/>
        <v>1459.4167</v>
      </c>
      <c r="B101" s="42">
        <v>1437.4169999999999</v>
      </c>
      <c r="C101" s="53">
        <f t="shared" si="61"/>
        <v>2025</v>
      </c>
      <c r="D101" s="52">
        <f>+'Fisico ASIG'!B101</f>
        <v>45992</v>
      </c>
      <c r="E101" s="1">
        <v>31</v>
      </c>
      <c r="F101" s="1" t="s">
        <v>52</v>
      </c>
      <c r="G101" s="56">
        <f t="shared" si="63"/>
        <v>46012</v>
      </c>
      <c r="H101" s="17">
        <v>28</v>
      </c>
      <c r="I101" s="17">
        <f t="shared" si="64"/>
        <v>4.8642721437955316</v>
      </c>
      <c r="J101" s="17">
        <f t="shared" si="65"/>
        <v>5.7816249464597735</v>
      </c>
      <c r="K101" s="17"/>
      <c r="L101" s="17">
        <v>27</v>
      </c>
      <c r="M101" s="17">
        <v>71.5</v>
      </c>
      <c r="N101" s="17">
        <f t="shared" si="58"/>
        <v>39.6508349117262</v>
      </c>
      <c r="O101" s="17">
        <v>119.74903220891822</v>
      </c>
      <c r="P101" s="18">
        <f>SUMPRODUCT(H101:O101,'Fisico ASIG'!F101:M101)*24</f>
        <v>7736931.0691326112</v>
      </c>
      <c r="Q101" s="43">
        <v>0</v>
      </c>
      <c r="R101" s="43">
        <f t="shared" si="72"/>
        <v>5574.437294023016</v>
      </c>
      <c r="S101" s="43">
        <f t="shared" si="73"/>
        <v>1706.1610984717388</v>
      </c>
      <c r="T101" s="43"/>
      <c r="U101" s="43">
        <v>18000</v>
      </c>
      <c r="V101" s="20">
        <v>0</v>
      </c>
      <c r="W101" s="20">
        <v>21900</v>
      </c>
      <c r="X101" s="20">
        <v>0</v>
      </c>
      <c r="Y101" s="18">
        <f>SUMPRODUCT(Q101:X101,'Fisico ASIG'!O101:V101)/E101</f>
        <v>5473987.3888273872</v>
      </c>
      <c r="Z101" s="25">
        <f t="shared" si="74"/>
        <v>13210918.457959998</v>
      </c>
      <c r="AA101" s="26">
        <f>+Z101/'Fisico ASIG'!N101/24</f>
        <v>69.787774484985249</v>
      </c>
      <c r="AB101" s="26">
        <f t="shared" si="60"/>
        <v>15.806111696522654</v>
      </c>
      <c r="AC101" s="29">
        <f t="shared" si="75"/>
        <v>53.981662788462593</v>
      </c>
      <c r="AI101" s="1">
        <v>7099</v>
      </c>
      <c r="AJ101" s="1">
        <v>5649602</v>
      </c>
      <c r="AK101">
        <f t="shared" si="70"/>
        <v>1.44</v>
      </c>
      <c r="AL101" s="40">
        <f t="shared" si="71"/>
        <v>8437.7999999999993</v>
      </c>
      <c r="AM101">
        <v>2490000</v>
      </c>
      <c r="AN101" s="17">
        <v>35.462140432530397</v>
      </c>
      <c r="AO101" s="74">
        <f t="shared" si="62"/>
        <v>1.9886944791958019</v>
      </c>
      <c r="AP101">
        <v>2.2000000000000002</v>
      </c>
    </row>
    <row r="102" spans="1:43" hidden="1" x14ac:dyDescent="0.25">
      <c r="A102" s="3">
        <f t="shared" si="59"/>
        <v>1459.4167</v>
      </c>
      <c r="B102" s="42">
        <v>1437.4169999999999</v>
      </c>
      <c r="C102" s="53">
        <f t="shared" si="61"/>
        <v>2025</v>
      </c>
      <c r="D102" s="52">
        <f>+'Fisico ASIG'!B102</f>
        <v>45992</v>
      </c>
      <c r="E102" s="1">
        <v>31</v>
      </c>
      <c r="F102" s="1" t="s">
        <v>53</v>
      </c>
      <c r="G102" s="56">
        <v>46013</v>
      </c>
      <c r="H102" s="17">
        <v>28</v>
      </c>
      <c r="I102" s="17">
        <f t="shared" ref="I102:I108" si="76">AI102/A102</f>
        <v>4.8642721437955316</v>
      </c>
      <c r="J102" s="17">
        <f t="shared" ref="J102:J108" si="77">+AL102/A102</f>
        <v>5.7816249464597735</v>
      </c>
      <c r="K102" s="17"/>
      <c r="L102" s="17">
        <v>27</v>
      </c>
      <c r="M102" s="17">
        <v>71.5</v>
      </c>
      <c r="N102" s="17">
        <f t="shared" si="58"/>
        <v>38.703820650084438</v>
      </c>
      <c r="O102" s="17">
        <v>119.88905022750765</v>
      </c>
      <c r="P102" s="18">
        <f>SUMPRODUCT(H102:O102,'Fisico ASIG'!F102:M102)*24</f>
        <v>8142109.6623436818</v>
      </c>
      <c r="Q102" s="43">
        <v>0</v>
      </c>
      <c r="R102" s="43">
        <f t="shared" ref="R102:R108" si="78">+AJ102*AK102/A102</f>
        <v>5574.437294023016</v>
      </c>
      <c r="S102" s="43">
        <f t="shared" ref="S102:S108" si="79">+AM102/A102</f>
        <v>1706.1610984717388</v>
      </c>
      <c r="T102" s="43"/>
      <c r="U102" s="43">
        <v>18000</v>
      </c>
      <c r="V102" s="20">
        <v>0</v>
      </c>
      <c r="W102" s="20">
        <v>21900</v>
      </c>
      <c r="X102" s="20">
        <v>0</v>
      </c>
      <c r="Y102" s="18">
        <f>SUMPRODUCT(Q102:X102,'Fisico ASIG'!O102:V102)/E102</f>
        <v>5461613.2236258611</v>
      </c>
      <c r="Z102" s="25">
        <f t="shared" ref="Z102:Z108" si="80">+(P102+Y102)</f>
        <v>13603722.885969542</v>
      </c>
      <c r="AA102" s="26">
        <f>+Z102/'Fisico ASIG'!N102/24</f>
        <v>65.328748923064751</v>
      </c>
      <c r="AB102" s="26">
        <f t="shared" si="60"/>
        <v>15.806111696522654</v>
      </c>
      <c r="AC102" s="29">
        <f t="shared" ref="AC102:AC108" si="81">+AA102-AB102</f>
        <v>49.522637226542095</v>
      </c>
      <c r="AI102" s="1">
        <v>7099</v>
      </c>
      <c r="AJ102" s="1">
        <v>5649602</v>
      </c>
      <c r="AK102">
        <f t="shared" si="70"/>
        <v>1.44</v>
      </c>
      <c r="AL102" s="40">
        <f t="shared" si="71"/>
        <v>8437.7999999999993</v>
      </c>
      <c r="AM102">
        <v>2490000</v>
      </c>
      <c r="AN102" s="17">
        <v>34.575007634739521</v>
      </c>
      <c r="AO102" s="74">
        <f t="shared" si="62"/>
        <v>1.9288130153449177</v>
      </c>
      <c r="AP102">
        <v>2.2000000000000002</v>
      </c>
    </row>
    <row r="103" spans="1:43" hidden="1" x14ac:dyDescent="0.25">
      <c r="A103" s="3">
        <f t="shared" si="59"/>
        <v>1459.4167</v>
      </c>
      <c r="B103" s="42">
        <v>1437.4169999999999</v>
      </c>
      <c r="C103" s="53">
        <f t="shared" si="61"/>
        <v>2025</v>
      </c>
      <c r="D103" s="52">
        <f>+'Fisico ASIG'!B103</f>
        <v>45992</v>
      </c>
      <c r="E103" s="1">
        <v>31</v>
      </c>
      <c r="F103" s="1" t="s">
        <v>54</v>
      </c>
      <c r="G103" s="56">
        <v>46014</v>
      </c>
      <c r="H103" s="17">
        <v>28</v>
      </c>
      <c r="I103" s="17">
        <f t="shared" si="76"/>
        <v>4.8642721437955316</v>
      </c>
      <c r="J103" s="17">
        <f t="shared" si="77"/>
        <v>5.7816249464597735</v>
      </c>
      <c r="K103" s="17"/>
      <c r="L103" s="17">
        <v>27</v>
      </c>
      <c r="M103" s="17">
        <v>71.5</v>
      </c>
      <c r="N103" s="17">
        <f t="shared" si="58"/>
        <v>40.15136972471857</v>
      </c>
      <c r="O103" s="17">
        <v>119.83884584113692</v>
      </c>
      <c r="P103" s="18">
        <f>SUMPRODUCT(H103:O103,'Fisico ASIG'!F103:M103)*24</f>
        <v>9342403.9250451718</v>
      </c>
      <c r="Q103" s="43">
        <v>0</v>
      </c>
      <c r="R103" s="43">
        <f t="shared" si="78"/>
        <v>5574.437294023016</v>
      </c>
      <c r="S103" s="43">
        <f t="shared" si="79"/>
        <v>1706.1610984717388</v>
      </c>
      <c r="T103" s="43"/>
      <c r="U103" s="43">
        <v>18000</v>
      </c>
      <c r="V103" s="20">
        <v>0</v>
      </c>
      <c r="W103" s="20">
        <v>21900</v>
      </c>
      <c r="X103" s="20">
        <v>0</v>
      </c>
      <c r="Y103" s="18">
        <f>SUMPRODUCT(Q103:X103,'Fisico ASIG'!O103:V103)/E103</f>
        <v>5569416.7734593526</v>
      </c>
      <c r="Z103" s="25">
        <f t="shared" si="80"/>
        <v>14911820.698504524</v>
      </c>
      <c r="AA103" s="26">
        <f>+Z103/'Fisico ASIG'!N103/24</f>
        <v>60.802256929706886</v>
      </c>
      <c r="AB103" s="26">
        <f t="shared" si="60"/>
        <v>15.806111696522654</v>
      </c>
      <c r="AC103" s="29">
        <f t="shared" si="81"/>
        <v>44.99614523318423</v>
      </c>
      <c r="AI103" s="1">
        <v>7099</v>
      </c>
      <c r="AJ103" s="1">
        <v>5649602</v>
      </c>
      <c r="AK103">
        <f t="shared" si="70"/>
        <v>1.44</v>
      </c>
      <c r="AL103" s="40">
        <f t="shared" si="71"/>
        <v>8437.7999999999993</v>
      </c>
      <c r="AM103">
        <v>2490000</v>
      </c>
      <c r="AN103" s="17">
        <v>35.931025503249245</v>
      </c>
      <c r="AO103" s="74">
        <f t="shared" si="62"/>
        <v>2.0203442214693244</v>
      </c>
      <c r="AP103">
        <v>2.2000000000000002</v>
      </c>
    </row>
    <row r="104" spans="1:43" hidden="1" x14ac:dyDescent="0.25">
      <c r="A104" s="3">
        <f t="shared" si="59"/>
        <v>1459.4167</v>
      </c>
      <c r="B104" s="42">
        <v>1437.4169999999999</v>
      </c>
      <c r="C104" s="53">
        <f t="shared" si="61"/>
        <v>2025</v>
      </c>
      <c r="D104" s="52">
        <f>+'Fisico ASIG'!B104</f>
        <v>45992</v>
      </c>
      <c r="E104" s="1">
        <v>31</v>
      </c>
      <c r="F104" s="1" t="s">
        <v>55</v>
      </c>
      <c r="G104" s="56">
        <v>46015</v>
      </c>
      <c r="H104" s="17">
        <v>28</v>
      </c>
      <c r="I104" s="17">
        <f t="shared" si="76"/>
        <v>4.8642721437955316</v>
      </c>
      <c r="J104" s="17">
        <f t="shared" si="77"/>
        <v>5.7816249464597735</v>
      </c>
      <c r="K104" s="17"/>
      <c r="L104" s="17">
        <v>27</v>
      </c>
      <c r="M104" s="17">
        <v>71.5</v>
      </c>
      <c r="N104" s="17">
        <f t="shared" si="58"/>
        <v>39.820975977641375</v>
      </c>
      <c r="O104" s="17">
        <v>119.83959139699134</v>
      </c>
      <c r="P104" s="18">
        <f>SUMPRODUCT(H104:O104,'Fisico ASIG'!F104:M104)*24</f>
        <v>9244047.3353728577</v>
      </c>
      <c r="Q104" s="43">
        <v>0</v>
      </c>
      <c r="R104" s="43">
        <f t="shared" si="78"/>
        <v>5574.437294023016</v>
      </c>
      <c r="S104" s="43">
        <f t="shared" si="79"/>
        <v>1706.1610984717388</v>
      </c>
      <c r="T104" s="43"/>
      <c r="U104" s="43">
        <v>18000</v>
      </c>
      <c r="V104" s="20">
        <v>0</v>
      </c>
      <c r="W104" s="20">
        <v>21900</v>
      </c>
      <c r="X104" s="20">
        <v>0</v>
      </c>
      <c r="Y104" s="18">
        <f>SUMPRODUCT(Q104:X104,'Fisico ASIG'!O104:V104)/E104</f>
        <v>5570853.721187084</v>
      </c>
      <c r="Z104" s="25">
        <f t="shared" si="80"/>
        <v>14814901.056559943</v>
      </c>
      <c r="AA104" s="26">
        <f>+Z104/'Fisico ASIG'!N104/24</f>
        <v>60.369523512698692</v>
      </c>
      <c r="AB104" s="26">
        <f t="shared" si="60"/>
        <v>15.806111696522654</v>
      </c>
      <c r="AC104" s="29">
        <f t="shared" si="81"/>
        <v>44.563411816176036</v>
      </c>
      <c r="AI104" s="1">
        <v>7099</v>
      </c>
      <c r="AJ104" s="1">
        <v>5649602</v>
      </c>
      <c r="AK104">
        <f t="shared" si="70"/>
        <v>1.44</v>
      </c>
      <c r="AL104" s="40">
        <f t="shared" si="71"/>
        <v>8437.7999999999993</v>
      </c>
      <c r="AM104">
        <v>2490000</v>
      </c>
      <c r="AN104" s="17">
        <v>35.621523164066858</v>
      </c>
      <c r="AO104" s="74">
        <f t="shared" si="62"/>
        <v>1.9994528135745131</v>
      </c>
      <c r="AP104">
        <v>2.2000000000000002</v>
      </c>
    </row>
    <row r="105" spans="1:43" hidden="1" x14ac:dyDescent="0.25">
      <c r="A105" s="3">
        <f t="shared" si="59"/>
        <v>1459.4167</v>
      </c>
      <c r="B105" s="42">
        <v>1437.4169999999999</v>
      </c>
      <c r="C105" s="53">
        <f t="shared" si="61"/>
        <v>2025</v>
      </c>
      <c r="D105" s="52">
        <f>+'Fisico ASIG'!B105</f>
        <v>45992</v>
      </c>
      <c r="E105" s="1">
        <v>31</v>
      </c>
      <c r="F105" s="1" t="s">
        <v>56</v>
      </c>
      <c r="G105" s="56">
        <v>46016</v>
      </c>
      <c r="H105" s="17">
        <v>28</v>
      </c>
      <c r="I105" s="17">
        <f t="shared" si="76"/>
        <v>4.8642721437955316</v>
      </c>
      <c r="J105" s="17">
        <f t="shared" si="77"/>
        <v>5.7816249464597735</v>
      </c>
      <c r="K105" s="17"/>
      <c r="L105" s="17">
        <v>27</v>
      </c>
      <c r="M105" s="17">
        <v>71.5</v>
      </c>
      <c r="N105" s="17">
        <f t="shared" si="58"/>
        <v>39.135511421384351</v>
      </c>
      <c r="O105" s="17">
        <v>120</v>
      </c>
      <c r="P105" s="18">
        <f>SUMPRODUCT(H105:O105,'Fisico ASIG'!F105:M105)*24</f>
        <v>6963726.3245565752</v>
      </c>
      <c r="Q105" s="43">
        <v>0</v>
      </c>
      <c r="R105" s="43">
        <f t="shared" si="78"/>
        <v>5574.437294023016</v>
      </c>
      <c r="S105" s="43">
        <f t="shared" si="79"/>
        <v>1706.1610984717388</v>
      </c>
      <c r="T105" s="43"/>
      <c r="U105" s="43">
        <v>18000</v>
      </c>
      <c r="V105" s="20">
        <v>0</v>
      </c>
      <c r="W105" s="20">
        <v>21900</v>
      </c>
      <c r="X105" s="20">
        <v>0</v>
      </c>
      <c r="Y105" s="18">
        <f>SUMPRODUCT(Q105:X105,'Fisico ASIG'!O105:V105)/E105</f>
        <v>5529595.5796048231</v>
      </c>
      <c r="Z105" s="25">
        <f t="shared" si="80"/>
        <v>12493321.904161397</v>
      </c>
      <c r="AA105" s="26">
        <f>+Z105/'Fisico ASIG'!N105/24</f>
        <v>67.776056320703319</v>
      </c>
      <c r="AB105" s="26">
        <f t="shared" si="60"/>
        <v>15.806111696522654</v>
      </c>
      <c r="AC105" s="29">
        <f t="shared" si="81"/>
        <v>51.969944624180663</v>
      </c>
      <c r="AI105" s="1">
        <v>7099</v>
      </c>
      <c r="AJ105" s="1">
        <v>5649602</v>
      </c>
      <c r="AK105">
        <f t="shared" si="70"/>
        <v>1.44</v>
      </c>
      <c r="AL105" s="40">
        <f t="shared" si="71"/>
        <v>8437.7999999999993</v>
      </c>
      <c r="AM105">
        <v>2490000</v>
      </c>
      <c r="AN105" s="17">
        <v>34.979401799891662</v>
      </c>
      <c r="AO105" s="74">
        <f t="shared" si="62"/>
        <v>1.9561096214926872</v>
      </c>
      <c r="AP105">
        <v>2.2000000000000002</v>
      </c>
    </row>
    <row r="106" spans="1:43" hidden="1" x14ac:dyDescent="0.25">
      <c r="A106" s="3">
        <f t="shared" si="59"/>
        <v>1459.4167</v>
      </c>
      <c r="B106" s="42">
        <v>1437.4169999999999</v>
      </c>
      <c r="C106" s="53">
        <f t="shared" si="61"/>
        <v>2025</v>
      </c>
      <c r="D106" s="52">
        <f>+'Fisico ASIG'!B106</f>
        <v>45992</v>
      </c>
      <c r="E106" s="1">
        <v>31</v>
      </c>
      <c r="F106" s="1" t="s">
        <v>57</v>
      </c>
      <c r="G106" s="56">
        <v>46017</v>
      </c>
      <c r="H106" s="17">
        <v>28</v>
      </c>
      <c r="I106" s="17">
        <f t="shared" si="76"/>
        <v>4.8642721437955316</v>
      </c>
      <c r="J106" s="17">
        <f t="shared" si="77"/>
        <v>5.7816249464597735</v>
      </c>
      <c r="K106" s="17"/>
      <c r="L106" s="17">
        <v>27</v>
      </c>
      <c r="M106" s="17">
        <v>71.5</v>
      </c>
      <c r="N106" s="17">
        <f t="shared" si="58"/>
        <v>39.242795231237707</v>
      </c>
      <c r="O106" s="17">
        <v>119.86592003895448</v>
      </c>
      <c r="P106" s="18">
        <f>SUMPRODUCT(H106:O106,'Fisico ASIG'!F106:M106)*24</f>
        <v>8688614.6561485305</v>
      </c>
      <c r="Q106" s="43">
        <v>0</v>
      </c>
      <c r="R106" s="43">
        <f t="shared" si="78"/>
        <v>5574.437294023016</v>
      </c>
      <c r="S106" s="43">
        <f t="shared" si="79"/>
        <v>1706.1610984717388</v>
      </c>
      <c r="T106" s="43"/>
      <c r="U106" s="43">
        <v>18000</v>
      </c>
      <c r="V106" s="20">
        <v>0</v>
      </c>
      <c r="W106" s="20">
        <v>21900</v>
      </c>
      <c r="X106" s="20">
        <v>0</v>
      </c>
      <c r="Y106" s="18">
        <f>SUMPRODUCT(Q106:X106,'Fisico ASIG'!O106:V106)/E106</f>
        <v>5513668.1516703963</v>
      </c>
      <c r="Z106" s="25">
        <f t="shared" si="80"/>
        <v>14202282.807818927</v>
      </c>
      <c r="AA106" s="26">
        <f>+Z106/'Fisico ASIG'!N106/24</f>
        <v>61.16883524211125</v>
      </c>
      <c r="AB106" s="26">
        <f t="shared" si="60"/>
        <v>15.806111696522654</v>
      </c>
      <c r="AC106" s="29">
        <f t="shared" si="81"/>
        <v>45.362723545588594</v>
      </c>
      <c r="AI106" s="1">
        <v>7099</v>
      </c>
      <c r="AJ106" s="1">
        <v>5649602</v>
      </c>
      <c r="AK106">
        <f t="shared" si="70"/>
        <v>1.44</v>
      </c>
      <c r="AL106" s="40">
        <f t="shared" si="71"/>
        <v>8437.7999999999993</v>
      </c>
      <c r="AM106">
        <v>2490000</v>
      </c>
      <c r="AN106" s="17">
        <v>35.079901855960379</v>
      </c>
      <c r="AO106" s="74">
        <f t="shared" si="62"/>
        <v>1.9628933752773257</v>
      </c>
      <c r="AP106">
        <v>2.2000000000000002</v>
      </c>
    </row>
    <row r="107" spans="1:43" hidden="1" x14ac:dyDescent="0.25">
      <c r="A107" s="3">
        <f t="shared" si="59"/>
        <v>1459.4167</v>
      </c>
      <c r="B107" s="42">
        <v>1437.4169999999999</v>
      </c>
      <c r="C107" s="53">
        <f t="shared" si="61"/>
        <v>2025</v>
      </c>
      <c r="D107" s="52">
        <f>+'Fisico ASIG'!B107</f>
        <v>45992</v>
      </c>
      <c r="E107" s="1">
        <v>31</v>
      </c>
      <c r="F107" s="1" t="s">
        <v>51</v>
      </c>
      <c r="G107" s="56">
        <v>46018</v>
      </c>
      <c r="H107" s="17">
        <v>28</v>
      </c>
      <c r="I107" s="17">
        <f t="shared" si="76"/>
        <v>4.8642721437955316</v>
      </c>
      <c r="J107" s="17">
        <f t="shared" si="77"/>
        <v>5.7816249464597735</v>
      </c>
      <c r="K107" s="17"/>
      <c r="L107" s="17">
        <v>27</v>
      </c>
      <c r="M107" s="17">
        <v>71.5</v>
      </c>
      <c r="N107" s="17">
        <f t="shared" si="58"/>
        <v>38.747279391816583</v>
      </c>
      <c r="O107" s="17">
        <v>114.01265610091275</v>
      </c>
      <c r="P107" s="18">
        <f>SUMPRODUCT(H107:O107,'Fisico ASIG'!F107:M107)*24</f>
        <v>8403102.3843786176</v>
      </c>
      <c r="Q107" s="43">
        <v>0</v>
      </c>
      <c r="R107" s="43">
        <f t="shared" si="78"/>
        <v>5574.437294023016</v>
      </c>
      <c r="S107" s="43">
        <f t="shared" si="79"/>
        <v>1706.1610984717388</v>
      </c>
      <c r="T107" s="43"/>
      <c r="U107" s="43">
        <v>18000</v>
      </c>
      <c r="V107" s="20">
        <v>0</v>
      </c>
      <c r="W107" s="20">
        <v>21900</v>
      </c>
      <c r="X107" s="20">
        <v>0</v>
      </c>
      <c r="Y107" s="18">
        <f>SUMPRODUCT(Q107:X107,'Fisico ASIG'!O107:V107)/E107</f>
        <v>5469837.7082726015</v>
      </c>
      <c r="Z107" s="25">
        <f t="shared" si="80"/>
        <v>13872940.092651218</v>
      </c>
      <c r="AA107" s="26">
        <f>+Z107/'Fisico ASIG'!N107/24</f>
        <v>60.679223551247624</v>
      </c>
      <c r="AB107" s="26">
        <f t="shared" si="60"/>
        <v>15.806111696522654</v>
      </c>
      <c r="AC107" s="29">
        <f t="shared" si="81"/>
        <v>44.873111854724968</v>
      </c>
      <c r="AI107" s="1">
        <v>7099</v>
      </c>
      <c r="AJ107" s="1">
        <v>5649602</v>
      </c>
      <c r="AK107">
        <f t="shared" si="70"/>
        <v>1.44</v>
      </c>
      <c r="AL107" s="40">
        <f t="shared" si="71"/>
        <v>8437.7999999999993</v>
      </c>
      <c r="AM107">
        <v>2490000</v>
      </c>
      <c r="AN107" s="17">
        <v>34.615718399828175</v>
      </c>
      <c r="AO107" s="74">
        <f t="shared" si="62"/>
        <v>1.931560991988402</v>
      </c>
      <c r="AP107">
        <v>2.2000000000000002</v>
      </c>
    </row>
    <row r="108" spans="1:43" hidden="1" x14ac:dyDescent="0.25">
      <c r="A108" s="3">
        <f t="shared" si="59"/>
        <v>1459.4167</v>
      </c>
      <c r="B108" s="42">
        <v>1437.4169999999999</v>
      </c>
      <c r="C108" s="53">
        <f t="shared" si="61"/>
        <v>2025</v>
      </c>
      <c r="D108" s="52">
        <f>+'Fisico ASIG'!B108</f>
        <v>45992</v>
      </c>
      <c r="E108" s="1">
        <v>31</v>
      </c>
      <c r="F108" s="1" t="s">
        <v>52</v>
      </c>
      <c r="G108" s="56">
        <v>46019</v>
      </c>
      <c r="H108" s="17">
        <v>28</v>
      </c>
      <c r="I108" s="17">
        <f t="shared" si="76"/>
        <v>4.8642721437955316</v>
      </c>
      <c r="J108" s="17">
        <f t="shared" si="77"/>
        <v>5.7816249464597735</v>
      </c>
      <c r="K108" s="17"/>
      <c r="L108" s="17">
        <v>27</v>
      </c>
      <c r="M108" s="17">
        <v>71.5</v>
      </c>
      <c r="N108" s="17">
        <f t="shared" si="58"/>
        <v>38.594078892974643</v>
      </c>
      <c r="O108" s="17">
        <v>66.899440752819572</v>
      </c>
      <c r="P108" s="18">
        <f>SUMPRODUCT(H108:O108,'Fisico ASIG'!F108:M108)*24</f>
        <v>7356754.838798536</v>
      </c>
      <c r="Q108" s="43">
        <v>0</v>
      </c>
      <c r="R108" s="43">
        <f t="shared" si="78"/>
        <v>5574.437294023016</v>
      </c>
      <c r="S108" s="43">
        <f t="shared" si="79"/>
        <v>1706.1610984717388</v>
      </c>
      <c r="T108" s="43"/>
      <c r="U108" s="43">
        <v>18000</v>
      </c>
      <c r="V108" s="20">
        <v>0</v>
      </c>
      <c r="W108" s="20">
        <v>21900</v>
      </c>
      <c r="X108" s="20">
        <v>0</v>
      </c>
      <c r="Y108" s="18">
        <f>SUMPRODUCT(Q108:X108,'Fisico ASIG'!O108:V108)/E108</f>
        <v>5600788.5196659081</v>
      </c>
      <c r="Z108" s="25">
        <f t="shared" si="80"/>
        <v>12957543.358464444</v>
      </c>
      <c r="AA108" s="26">
        <f>+Z108/'Fisico ASIG'!N108/24</f>
        <v>67.390298795308084</v>
      </c>
      <c r="AB108" s="26">
        <f t="shared" si="60"/>
        <v>15.806111696522654</v>
      </c>
      <c r="AC108" s="29">
        <f t="shared" si="81"/>
        <v>51.584187098785428</v>
      </c>
      <c r="AI108" s="1">
        <v>7099</v>
      </c>
      <c r="AJ108" s="1">
        <v>5649602</v>
      </c>
      <c r="AK108">
        <f t="shared" si="70"/>
        <v>1.44</v>
      </c>
      <c r="AL108" s="40">
        <f t="shared" si="71"/>
        <v>8437.7999999999993</v>
      </c>
      <c r="AM108">
        <v>2490000</v>
      </c>
      <c r="AN108" s="17">
        <v>34.472205051966874</v>
      </c>
      <c r="AO108" s="74">
        <f t="shared" si="62"/>
        <v>1.921873841007764</v>
      </c>
      <c r="AP108">
        <v>2.2000000000000002</v>
      </c>
    </row>
    <row r="109" spans="1:43" hidden="1" x14ac:dyDescent="0.25">
      <c r="A109" s="3">
        <f t="shared" si="59"/>
        <v>1459.4167</v>
      </c>
      <c r="B109" s="42">
        <v>1450.4169999999999</v>
      </c>
      <c r="C109" s="53">
        <f t="shared" si="61"/>
        <v>2025</v>
      </c>
      <c r="D109" s="52">
        <f>+'Fisico ASIG'!B109</f>
        <v>45992</v>
      </c>
      <c r="E109" s="1">
        <v>31</v>
      </c>
      <c r="F109" s="1" t="s">
        <v>53</v>
      </c>
      <c r="G109" s="56">
        <f t="shared" ref="G109:G111" si="82">+G108+1</f>
        <v>46020</v>
      </c>
      <c r="H109" s="17">
        <v>28</v>
      </c>
      <c r="I109" s="17">
        <f t="shared" ref="I109:I115" si="83">AI109/A109</f>
        <v>4.8642721437955316</v>
      </c>
      <c r="J109" s="17">
        <f t="shared" ref="J109:J115" si="84">+AL109/A109</f>
        <v>5.7816249464597735</v>
      </c>
      <c r="K109" s="17"/>
      <c r="L109" s="17">
        <v>27</v>
      </c>
      <c r="M109" s="17">
        <v>71.5</v>
      </c>
      <c r="N109" s="17">
        <f t="shared" ref="N109:N111" si="85">+AN109+AO109+AP109</f>
        <v>45.777367012896534</v>
      </c>
      <c r="O109" s="17">
        <v>88.71452649346547</v>
      </c>
      <c r="P109" s="18">
        <f>SUMPRODUCT(H109:O109,'Fisico ASIG'!F109:M109)*24</f>
        <v>10576729.168533789</v>
      </c>
      <c r="Q109" s="43">
        <v>0</v>
      </c>
      <c r="R109" s="43">
        <f t="shared" ref="R109:R115" si="86">+AJ109*AK109/A109</f>
        <v>5574.437294023016</v>
      </c>
      <c r="S109" s="43">
        <f t="shared" ref="S109:S115" si="87">+AM109/A109</f>
        <v>1706.1610984717388</v>
      </c>
      <c r="T109" s="43"/>
      <c r="U109" s="43">
        <v>18000</v>
      </c>
      <c r="V109" s="20">
        <v>0</v>
      </c>
      <c r="W109" s="20">
        <v>21900</v>
      </c>
      <c r="X109" s="20">
        <v>0</v>
      </c>
      <c r="Y109" s="18">
        <f>SUMPRODUCT(Q109:X109,'Fisico ASIG'!O109:V109)/E109</f>
        <v>5564867.2908942858</v>
      </c>
      <c r="Z109" s="25">
        <f t="shared" ref="Z109:Z115" si="88">+(P109+Y109)</f>
        <v>16141596.459428076</v>
      </c>
      <c r="AA109" s="26">
        <f>+Z109/'Fisico ASIG'!N109/24</f>
        <v>66.639510625659724</v>
      </c>
      <c r="AB109" s="26">
        <f t="shared" si="60"/>
        <v>15.806111696522654</v>
      </c>
      <c r="AC109" s="29">
        <f t="shared" ref="AC109:AC115" si="89">+AA109-AB109</f>
        <v>50.833398929137068</v>
      </c>
      <c r="AI109" s="1">
        <v>7099</v>
      </c>
      <c r="AJ109" s="1">
        <v>5649602</v>
      </c>
      <c r="AK109">
        <f t="shared" si="70"/>
        <v>1.44</v>
      </c>
      <c r="AL109" s="40">
        <f t="shared" si="71"/>
        <v>8437.7999999999993</v>
      </c>
      <c r="AM109">
        <v>2490000</v>
      </c>
      <c r="AN109" s="17">
        <v>41.201280574141947</v>
      </c>
      <c r="AO109" s="74">
        <f t="shared" ref="AO109:AO115" si="90">0.075*0.9*(AN109-6)</f>
        <v>2.3760864387545815</v>
      </c>
      <c r="AP109">
        <v>2.2000000000000002</v>
      </c>
    </row>
    <row r="110" spans="1:43" hidden="1" x14ac:dyDescent="0.25">
      <c r="A110" s="3">
        <f t="shared" si="59"/>
        <v>1459.4167</v>
      </c>
      <c r="B110" s="42">
        <v>1450.4169999999999</v>
      </c>
      <c r="C110" s="53">
        <f t="shared" si="61"/>
        <v>2025</v>
      </c>
      <c r="D110" s="52">
        <f>+'Fisico ASIG'!B110</f>
        <v>45992</v>
      </c>
      <c r="E110" s="1">
        <v>31</v>
      </c>
      <c r="F110" s="1" t="s">
        <v>54</v>
      </c>
      <c r="G110" s="56">
        <f t="shared" si="82"/>
        <v>46021</v>
      </c>
      <c r="H110" s="17">
        <v>28</v>
      </c>
      <c r="I110" s="17">
        <f t="shared" si="83"/>
        <v>4.8642721437955316</v>
      </c>
      <c r="J110" s="17">
        <f t="shared" si="84"/>
        <v>5.7816249464597735</v>
      </c>
      <c r="K110" s="17"/>
      <c r="L110" s="17">
        <v>27</v>
      </c>
      <c r="M110" s="17">
        <v>71.5</v>
      </c>
      <c r="N110" s="17">
        <f t="shared" si="85"/>
        <v>49.846937877754414</v>
      </c>
      <c r="O110" s="17">
        <v>79.578475263725096</v>
      </c>
      <c r="P110" s="18">
        <f>SUMPRODUCT(H110:O110,'Fisico ASIG'!F110:M110)*24</f>
        <v>10716811.745806236</v>
      </c>
      <c r="Q110" s="43">
        <v>0</v>
      </c>
      <c r="R110" s="43">
        <f t="shared" si="86"/>
        <v>5574.437294023016</v>
      </c>
      <c r="S110" s="43">
        <f t="shared" si="87"/>
        <v>1706.1610984717388</v>
      </c>
      <c r="T110" s="43"/>
      <c r="U110" s="43">
        <v>18000</v>
      </c>
      <c r="V110" s="20">
        <v>0</v>
      </c>
      <c r="W110" s="20">
        <v>21900</v>
      </c>
      <c r="X110" s="20">
        <v>0</v>
      </c>
      <c r="Y110" s="18">
        <f>SUMPRODUCT(Q110:X110,'Fisico ASIG'!O110:V110)/E110</f>
        <v>5712543.3612670535</v>
      </c>
      <c r="Z110" s="25">
        <f t="shared" si="88"/>
        <v>16429355.107073288</v>
      </c>
      <c r="AA110" s="26">
        <f>+Z110/'Fisico ASIG'!N110/24</f>
        <v>63.025879327039966</v>
      </c>
      <c r="AB110" s="26">
        <f t="shared" si="60"/>
        <v>15.806111696522654</v>
      </c>
      <c r="AC110" s="29">
        <f t="shared" si="89"/>
        <v>47.21976763051731</v>
      </c>
      <c r="AI110" s="1">
        <v>7099</v>
      </c>
      <c r="AJ110" s="1">
        <v>5649602</v>
      </c>
      <c r="AK110">
        <f t="shared" si="70"/>
        <v>1.44</v>
      </c>
      <c r="AL110" s="40">
        <f t="shared" si="71"/>
        <v>8437.7999999999993</v>
      </c>
      <c r="AM110">
        <v>2490000</v>
      </c>
      <c r="AN110" s="17">
        <v>45.013524944032234</v>
      </c>
      <c r="AO110" s="74">
        <f t="shared" si="90"/>
        <v>2.6334129337221759</v>
      </c>
      <c r="AP110">
        <v>2.2000000000000002</v>
      </c>
    </row>
    <row r="111" spans="1:43" hidden="1" x14ac:dyDescent="0.25">
      <c r="A111" s="3">
        <f t="shared" si="59"/>
        <v>1459.4167</v>
      </c>
      <c r="B111" s="42">
        <v>1450.4169999999999</v>
      </c>
      <c r="C111" s="53">
        <f t="shared" si="61"/>
        <v>2025</v>
      </c>
      <c r="D111" s="52">
        <f>+'Fisico ASIG'!B111</f>
        <v>45992</v>
      </c>
      <c r="E111" s="1">
        <v>31</v>
      </c>
      <c r="F111" s="1" t="s">
        <v>55</v>
      </c>
      <c r="G111" s="56">
        <f t="shared" si="82"/>
        <v>46022</v>
      </c>
      <c r="H111" s="17">
        <v>28</v>
      </c>
      <c r="I111" s="17">
        <f t="shared" si="83"/>
        <v>4.8642721437955316</v>
      </c>
      <c r="J111" s="17">
        <f t="shared" si="84"/>
        <v>5.7816249464597735</v>
      </c>
      <c r="K111" s="17"/>
      <c r="L111" s="17">
        <v>27</v>
      </c>
      <c r="M111" s="17">
        <v>71.5</v>
      </c>
      <c r="N111" s="17">
        <f t="shared" si="85"/>
        <v>41.763925132836</v>
      </c>
      <c r="O111" s="17">
        <v>48.714279964748251</v>
      </c>
      <c r="P111" s="18">
        <f>SUMPRODUCT(H111:O111,'Fisico ASIG'!F111:M111)*24</f>
        <v>9562693.2580275238</v>
      </c>
      <c r="Q111" s="43">
        <v>0</v>
      </c>
      <c r="R111" s="43">
        <f t="shared" si="86"/>
        <v>5574.437294023016</v>
      </c>
      <c r="S111" s="43">
        <f t="shared" si="87"/>
        <v>1706.1610984717388</v>
      </c>
      <c r="T111" s="43"/>
      <c r="U111" s="43">
        <v>18000</v>
      </c>
      <c r="V111" s="20">
        <v>0</v>
      </c>
      <c r="W111" s="20">
        <v>21900</v>
      </c>
      <c r="X111" s="20">
        <v>0</v>
      </c>
      <c r="Y111" s="18">
        <f>SUMPRODUCT(Q111:X111,'Fisico ASIG'!O111:V111)/E111</f>
        <v>5542680.0872844821</v>
      </c>
      <c r="Z111" s="25">
        <f t="shared" si="88"/>
        <v>15105373.345312007</v>
      </c>
      <c r="AA111" s="26">
        <f>+Z111/'Fisico ASIG'!N111/24</f>
        <v>58.57096029073125</v>
      </c>
      <c r="AB111" s="26">
        <f t="shared" si="60"/>
        <v>15.806111696522654</v>
      </c>
      <c r="AC111" s="29">
        <f t="shared" si="89"/>
        <v>42.764848594208594</v>
      </c>
      <c r="AI111" s="1">
        <v>7099</v>
      </c>
      <c r="AJ111" s="1">
        <v>5649602</v>
      </c>
      <c r="AK111">
        <f t="shared" si="70"/>
        <v>1.44</v>
      </c>
      <c r="AL111" s="40">
        <f t="shared" si="71"/>
        <v>8437.7999999999993</v>
      </c>
      <c r="AM111">
        <v>2490000</v>
      </c>
      <c r="AN111" s="17">
        <v>37.441616049495082</v>
      </c>
      <c r="AO111" s="74">
        <f t="shared" si="90"/>
        <v>2.1223090833409182</v>
      </c>
      <c r="AP111">
        <v>2.2000000000000002</v>
      </c>
    </row>
    <row r="112" spans="1:43" hidden="1" x14ac:dyDescent="0.25">
      <c r="A112" s="3">
        <f>+'Mono SPOT MAT'!A112</f>
        <v>1447.6657</v>
      </c>
      <c r="B112" s="42">
        <v>1450.4169999999999</v>
      </c>
      <c r="C112" s="53">
        <f t="shared" si="61"/>
        <v>2026</v>
      </c>
      <c r="D112" s="52">
        <f>+'Fisico ASIG'!B112</f>
        <v>46023</v>
      </c>
      <c r="E112" s="1">
        <v>31</v>
      </c>
      <c r="F112" s="56" t="str">
        <f>+'Fisico ASIG'!D112</f>
        <v>jue</v>
      </c>
      <c r="G112" s="56">
        <f>+'Fisico ASIG'!E112</f>
        <v>46023</v>
      </c>
      <c r="H112" s="17">
        <v>28</v>
      </c>
      <c r="I112" s="17">
        <f t="shared" si="83"/>
        <v>5.0018453846077859</v>
      </c>
      <c r="J112" s="17">
        <f>+AL112/A112</f>
        <v>6.5099398753915807</v>
      </c>
      <c r="K112" s="17"/>
      <c r="L112" s="17">
        <v>27</v>
      </c>
      <c r="M112" s="17">
        <v>71.5</v>
      </c>
      <c r="N112" s="17">
        <f>+AN112+AO112+AP112+AQ112</f>
        <v>40.67788864993129</v>
      </c>
      <c r="O112" s="17">
        <v>34.478270973739249</v>
      </c>
      <c r="P112" s="18">
        <f>SUMPRODUCT(H112:O112,'Fisico ASIG'!F112:M112)*24</f>
        <v>7875779.7619611276</v>
      </c>
      <c r="Q112" s="43">
        <v>0</v>
      </c>
      <c r="R112" s="43">
        <f t="shared" si="86"/>
        <v>5732.0798303088895</v>
      </c>
      <c r="S112" s="43">
        <f t="shared" si="87"/>
        <v>1775.2717357329113</v>
      </c>
      <c r="T112" s="43"/>
      <c r="U112" s="43">
        <v>18000</v>
      </c>
      <c r="V112" s="20">
        <v>0</v>
      </c>
      <c r="W112" s="20">
        <v>21900</v>
      </c>
      <c r="X112" s="20">
        <v>0</v>
      </c>
      <c r="Y112" s="18">
        <f>SUMPRODUCT(Q112:X112,'Fisico ASIG'!O112:V112)/E112</f>
        <v>5579344.84702159</v>
      </c>
      <c r="Z112" s="25">
        <f t="shared" si="88"/>
        <v>13455124.608982718</v>
      </c>
      <c r="AA112" s="26">
        <f>+Z112/'Fisico ASIG'!N112/24</f>
        <v>64.068084811182047</v>
      </c>
      <c r="AB112" s="26">
        <f t="shared" si="60"/>
        <v>15.806111696522654</v>
      </c>
      <c r="AC112" s="29">
        <f t="shared" si="89"/>
        <v>48.261973114659391</v>
      </c>
      <c r="AH112" t="s">
        <v>129</v>
      </c>
      <c r="AI112" s="1">
        <v>7241</v>
      </c>
      <c r="AJ112" s="1">
        <v>5762594</v>
      </c>
      <c r="AK112">
        <f t="shared" si="70"/>
        <v>1.44</v>
      </c>
      <c r="AL112" s="40">
        <f>4403+1752*1.4+(4403*2*5*1.4)/24</f>
        <v>9424.2166666666653</v>
      </c>
      <c r="AM112">
        <v>2570000</v>
      </c>
      <c r="AN112" s="17">
        <v>37.68888866504102</v>
      </c>
      <c r="AO112" s="74">
        <f t="shared" si="90"/>
        <v>2.138999984890269</v>
      </c>
      <c r="AP112">
        <v>0</v>
      </c>
      <c r="AQ112" s="1">
        <v>0.85</v>
      </c>
    </row>
    <row r="113" spans="1:43" hidden="1" x14ac:dyDescent="0.25">
      <c r="A113" s="3">
        <f t="shared" ref="A113:A141" si="91">+A112</f>
        <v>1447.6657</v>
      </c>
      <c r="B113" s="42">
        <v>1450.4169999999999</v>
      </c>
      <c r="C113" s="53">
        <f t="shared" si="61"/>
        <v>2026</v>
      </c>
      <c r="D113" s="52">
        <f>+'Fisico ASIG'!B113</f>
        <v>46023</v>
      </c>
      <c r="E113" s="1">
        <v>31</v>
      </c>
      <c r="F113" s="56" t="str">
        <f>+'Fisico ASIG'!D113</f>
        <v>vie</v>
      </c>
      <c r="G113" s="56">
        <f>+'Fisico ASIG'!E113</f>
        <v>46024</v>
      </c>
      <c r="H113" s="17">
        <v>28</v>
      </c>
      <c r="I113" s="17">
        <f t="shared" si="83"/>
        <v>5.0018453846077859</v>
      </c>
      <c r="J113" s="17">
        <f t="shared" si="84"/>
        <v>6.5099398753915807</v>
      </c>
      <c r="K113" s="17"/>
      <c r="L113" s="17">
        <v>27</v>
      </c>
      <c r="M113" s="17">
        <v>71.5</v>
      </c>
      <c r="N113" s="17">
        <f t="shared" ref="N113:N141" si="92">+AN113+AO113+AP113+AQ113</f>
        <v>41.748864811557432</v>
      </c>
      <c r="O113" s="17">
        <v>55.348342791579256</v>
      </c>
      <c r="P113" s="18">
        <f>SUMPRODUCT(H113:O113,'Fisico ASIG'!F113:M113)*24</f>
        <v>7837056.5147159025</v>
      </c>
      <c r="Q113" s="43">
        <v>0</v>
      </c>
      <c r="R113" s="43">
        <f t="shared" si="86"/>
        <v>5732.0798303088895</v>
      </c>
      <c r="S113" s="43">
        <f t="shared" si="87"/>
        <v>1775.2717357329113</v>
      </c>
      <c r="T113" s="43"/>
      <c r="U113" s="43">
        <v>18000</v>
      </c>
      <c r="V113" s="20">
        <v>0</v>
      </c>
      <c r="W113" s="20">
        <v>21900</v>
      </c>
      <c r="X113" s="20">
        <v>0</v>
      </c>
      <c r="Y113" s="18">
        <f>SUMPRODUCT(Q113:X113,'Fisico ASIG'!O113:V113)/E113</f>
        <v>5596205.1225019498</v>
      </c>
      <c r="Z113" s="25">
        <f t="shared" si="88"/>
        <v>13433261.637217853</v>
      </c>
      <c r="AA113" s="26">
        <f>+Z113/'Fisico ASIG'!N113/24</f>
        <v>62.876543140628534</v>
      </c>
      <c r="AB113" s="26">
        <f t="shared" si="60"/>
        <v>15.806111696522654</v>
      </c>
      <c r="AC113" s="29">
        <f t="shared" si="89"/>
        <v>47.070431444105878</v>
      </c>
      <c r="AH113" s="119"/>
      <c r="AI113" s="1">
        <v>7241</v>
      </c>
      <c r="AJ113" s="1">
        <v>5762594</v>
      </c>
      <c r="AK113">
        <f t="shared" si="70"/>
        <v>1.44</v>
      </c>
      <c r="AL113" s="40">
        <f t="shared" ref="AL113:AL170" si="93">4403+1752*1.4+(4403*2*5*1.4)/24</f>
        <v>9424.2166666666653</v>
      </c>
      <c r="AM113">
        <v>2570000</v>
      </c>
      <c r="AN113" s="17">
        <v>38.692145022536238</v>
      </c>
      <c r="AO113" s="74">
        <f t="shared" si="90"/>
        <v>2.206719789021196</v>
      </c>
      <c r="AP113">
        <v>0</v>
      </c>
      <c r="AQ113" s="1">
        <v>0.85</v>
      </c>
    </row>
    <row r="114" spans="1:43" hidden="1" x14ac:dyDescent="0.25">
      <c r="A114" s="3">
        <f t="shared" si="91"/>
        <v>1447.6657</v>
      </c>
      <c r="B114" s="42">
        <v>1450.4169999999999</v>
      </c>
      <c r="C114" s="53">
        <f t="shared" si="61"/>
        <v>2026</v>
      </c>
      <c r="D114" s="52">
        <f>+'Fisico ASIG'!B114</f>
        <v>46023</v>
      </c>
      <c r="E114" s="1">
        <v>31</v>
      </c>
      <c r="F114" s="56" t="str">
        <f>+'Fisico ASIG'!D114</f>
        <v>sáb</v>
      </c>
      <c r="G114" s="56">
        <f>+'Fisico ASIG'!E114</f>
        <v>46025</v>
      </c>
      <c r="H114" s="17">
        <v>28</v>
      </c>
      <c r="I114" s="17">
        <f t="shared" si="83"/>
        <v>5.0018453846077859</v>
      </c>
      <c r="J114" s="17">
        <f t="shared" si="84"/>
        <v>6.5099398753915807</v>
      </c>
      <c r="K114" s="17"/>
      <c r="L114" s="17">
        <v>27</v>
      </c>
      <c r="M114" s="17">
        <v>71.5</v>
      </c>
      <c r="N114" s="17">
        <f t="shared" si="92"/>
        <v>41.759090164489521</v>
      </c>
      <c r="O114" s="17">
        <v>38.717721955570966</v>
      </c>
      <c r="P114" s="18">
        <f>SUMPRODUCT(H114:O114,'Fisico ASIG'!F114:M114)*24</f>
        <v>6363708.2739093155</v>
      </c>
      <c r="Q114" s="43">
        <v>0</v>
      </c>
      <c r="R114" s="43">
        <f t="shared" si="86"/>
        <v>5732.0798303088895</v>
      </c>
      <c r="S114" s="43">
        <f t="shared" si="87"/>
        <v>1775.2717357329113</v>
      </c>
      <c r="T114" s="43"/>
      <c r="U114" s="43">
        <v>18000</v>
      </c>
      <c r="V114" s="20">
        <v>0</v>
      </c>
      <c r="W114" s="20">
        <v>21900</v>
      </c>
      <c r="X114" s="20">
        <v>0</v>
      </c>
      <c r="Y114" s="18">
        <f>SUMPRODUCT(Q114:X114,'Fisico ASIG'!O114:V114)/E114</f>
        <v>5613373.6034772396</v>
      </c>
      <c r="Z114" s="25">
        <f t="shared" si="88"/>
        <v>11977081.877386555</v>
      </c>
      <c r="AA114" s="26">
        <f>+Z114/'Fisico ASIG'!N114/24</f>
        <v>65.956512082168274</v>
      </c>
      <c r="AB114" s="26">
        <f t="shared" si="60"/>
        <v>15.806111696522654</v>
      </c>
      <c r="AC114" s="29">
        <f t="shared" si="89"/>
        <v>50.150400385645618</v>
      </c>
      <c r="AI114" s="1">
        <v>7241</v>
      </c>
      <c r="AJ114" s="1">
        <v>5762594</v>
      </c>
      <c r="AK114">
        <f t="shared" si="70"/>
        <v>1.44</v>
      </c>
      <c r="AL114" s="40">
        <f t="shared" si="93"/>
        <v>9424.2166666666653</v>
      </c>
      <c r="AM114">
        <v>2570000</v>
      </c>
      <c r="AN114" s="17">
        <v>38.701723807484328</v>
      </c>
      <c r="AO114" s="74">
        <f t="shared" si="90"/>
        <v>2.2073663570051925</v>
      </c>
      <c r="AP114">
        <v>0</v>
      </c>
      <c r="AQ114" s="1">
        <v>0.85</v>
      </c>
    </row>
    <row r="115" spans="1:43" hidden="1" x14ac:dyDescent="0.25">
      <c r="A115" s="3">
        <f t="shared" si="91"/>
        <v>1447.6657</v>
      </c>
      <c r="B115" s="42">
        <v>1450.4169999999999</v>
      </c>
      <c r="C115" s="53">
        <f t="shared" si="61"/>
        <v>2026</v>
      </c>
      <c r="D115" s="52">
        <f>+'Fisico ASIG'!B115</f>
        <v>46023</v>
      </c>
      <c r="E115" s="1">
        <v>31</v>
      </c>
      <c r="F115" s="56" t="str">
        <f>+'Fisico ASIG'!D115</f>
        <v>dom</v>
      </c>
      <c r="G115" s="56">
        <f>+'Fisico ASIG'!E115</f>
        <v>46026</v>
      </c>
      <c r="H115" s="17">
        <v>28</v>
      </c>
      <c r="I115" s="17">
        <f t="shared" si="83"/>
        <v>5.0018453846077859</v>
      </c>
      <c r="J115" s="17">
        <f t="shared" si="84"/>
        <v>6.5099398753915807</v>
      </c>
      <c r="K115" s="17"/>
      <c r="L115" s="17">
        <v>27</v>
      </c>
      <c r="M115" s="17">
        <v>71.5</v>
      </c>
      <c r="N115" s="17">
        <f t="shared" si="92"/>
        <v>41.383590699447325</v>
      </c>
      <c r="O115" s="17">
        <v>37.456302648928045</v>
      </c>
      <c r="P115" s="18">
        <f>SUMPRODUCT(H115:O115,'Fisico ASIG'!F115:M115)*24</f>
        <v>5892245.3030326469</v>
      </c>
      <c r="Q115" s="43">
        <v>0</v>
      </c>
      <c r="R115" s="43">
        <f t="shared" si="86"/>
        <v>5732.0798303088895</v>
      </c>
      <c r="S115" s="43">
        <f t="shared" si="87"/>
        <v>1775.2717357329113</v>
      </c>
      <c r="T115" s="43"/>
      <c r="U115" s="43">
        <v>18000</v>
      </c>
      <c r="V115" s="20">
        <v>0</v>
      </c>
      <c r="W115" s="20">
        <v>21900</v>
      </c>
      <c r="X115" s="20">
        <v>0</v>
      </c>
      <c r="Y115" s="18">
        <f>SUMPRODUCT(Q115:X115,'Fisico ASIG'!O115:V115)/E115</f>
        <v>5623507.0367800072</v>
      </c>
      <c r="Z115" s="25">
        <f t="shared" si="88"/>
        <v>11515752.339812655</v>
      </c>
      <c r="AA115" s="26">
        <f>+Z115/'Fisico ASIG'!N115/24</f>
        <v>65.893342075657415</v>
      </c>
      <c r="AB115" s="26">
        <f t="shared" si="60"/>
        <v>15.806111696522654</v>
      </c>
      <c r="AC115" s="29">
        <f t="shared" si="89"/>
        <v>50.087230379134759</v>
      </c>
      <c r="AI115" s="1">
        <v>7241</v>
      </c>
      <c r="AJ115" s="1">
        <v>5762594</v>
      </c>
      <c r="AK115">
        <f t="shared" si="70"/>
        <v>1.44</v>
      </c>
      <c r="AL115" s="40">
        <f t="shared" si="93"/>
        <v>9424.2166666666653</v>
      </c>
      <c r="AM115">
        <v>2570000</v>
      </c>
      <c r="AN115" s="17">
        <v>38.34996786833473</v>
      </c>
      <c r="AO115" s="74">
        <f t="shared" si="90"/>
        <v>2.1836228311125945</v>
      </c>
      <c r="AP115">
        <v>0</v>
      </c>
      <c r="AQ115" s="1">
        <v>0.85</v>
      </c>
    </row>
    <row r="116" spans="1:43" hidden="1" x14ac:dyDescent="0.25">
      <c r="A116" s="3">
        <f t="shared" si="91"/>
        <v>1447.6657</v>
      </c>
      <c r="B116" s="42">
        <v>1450.4169999999999</v>
      </c>
      <c r="C116" s="53">
        <f t="shared" ref="C116:C117" si="94">YEAR(G116)</f>
        <v>2026</v>
      </c>
      <c r="D116" s="52">
        <f>+'Fisico ASIG'!B116</f>
        <v>46023</v>
      </c>
      <c r="E116" s="1">
        <v>31</v>
      </c>
      <c r="F116" s="56" t="str">
        <f>+'Fisico ASIG'!D116</f>
        <v>lun</v>
      </c>
      <c r="G116" s="56">
        <f>+'Fisico ASIG'!E116</f>
        <v>46027</v>
      </c>
      <c r="H116" s="17">
        <v>28</v>
      </c>
      <c r="I116" s="17">
        <f t="shared" ref="I116:I117" si="95">AI116/A116</f>
        <v>5.0018453846077859</v>
      </c>
      <c r="J116" s="17">
        <f t="shared" ref="J116:J117" si="96">+AL116/A116</f>
        <v>6.5099398753915807</v>
      </c>
      <c r="K116" s="17"/>
      <c r="L116" s="17">
        <v>27</v>
      </c>
      <c r="M116" s="17">
        <v>71.5</v>
      </c>
      <c r="N116" s="17">
        <f t="shared" si="92"/>
        <v>40.249681692291517</v>
      </c>
      <c r="O116" s="17">
        <v>59.126244149387091</v>
      </c>
      <c r="P116" s="18">
        <f>SUMPRODUCT(H116:O116,'Fisico ASIG'!F116:M116)*24</f>
        <v>7808237.3626494501</v>
      </c>
      <c r="Q116" s="43">
        <v>0</v>
      </c>
      <c r="R116" s="43">
        <f t="shared" ref="R116:R117" si="97">+AJ116*AK116/A116</f>
        <v>5732.0798303088895</v>
      </c>
      <c r="S116" s="43">
        <f t="shared" ref="S116:S117" si="98">+AM116/A116</f>
        <v>1775.2717357329113</v>
      </c>
      <c r="T116" s="43"/>
      <c r="U116" s="43">
        <v>18000</v>
      </c>
      <c r="V116" s="20">
        <v>0</v>
      </c>
      <c r="W116" s="20">
        <v>21900</v>
      </c>
      <c r="X116" s="20">
        <v>0</v>
      </c>
      <c r="Y116" s="18">
        <f>SUMPRODUCT(Q116:X116,'Fisico ASIG'!O116:V116)/E116</f>
        <v>5621170.9627137855</v>
      </c>
      <c r="Z116" s="25">
        <f t="shared" ref="Z116:Z117" si="99">+(P116+Y116)</f>
        <v>13429408.325363236</v>
      </c>
      <c r="AA116" s="26">
        <f>+Z116/'Fisico ASIG'!N116/24</f>
        <v>64.231324558644431</v>
      </c>
      <c r="AB116" s="26">
        <f t="shared" ref="AB116:AB142" si="100">+$AB$16*375/0.52/730</f>
        <v>15.806111696522654</v>
      </c>
      <c r="AC116" s="29">
        <f t="shared" ref="AC116:AC117" si="101">+AA116-AB116</f>
        <v>48.425212862121775</v>
      </c>
      <c r="AI116" s="1">
        <v>7241</v>
      </c>
      <c r="AJ116" s="1">
        <v>5762594</v>
      </c>
      <c r="AK116">
        <f t="shared" si="70"/>
        <v>1.44</v>
      </c>
      <c r="AL116" s="40">
        <f t="shared" si="93"/>
        <v>9424.2166666666653</v>
      </c>
      <c r="AM116">
        <v>2570000</v>
      </c>
      <c r="AN116" s="17">
        <v>37.287758025565822</v>
      </c>
      <c r="AO116" s="74">
        <f t="shared" ref="AO116:AO117" si="102">0.075*0.9*(AN116-6)</f>
        <v>2.1119236667256933</v>
      </c>
      <c r="AP116">
        <v>0</v>
      </c>
      <c r="AQ116" s="1">
        <v>0.85</v>
      </c>
    </row>
    <row r="117" spans="1:43" hidden="1" x14ac:dyDescent="0.25">
      <c r="A117" s="3">
        <f t="shared" si="91"/>
        <v>1447.6657</v>
      </c>
      <c r="B117" s="42">
        <v>1450.4169999999999</v>
      </c>
      <c r="C117" s="53">
        <f t="shared" si="94"/>
        <v>2026</v>
      </c>
      <c r="D117" s="52">
        <f>+'Fisico ASIG'!B117</f>
        <v>46023</v>
      </c>
      <c r="E117" s="1">
        <v>31</v>
      </c>
      <c r="F117" s="56" t="str">
        <f>+'Fisico ASIG'!D117</f>
        <v>mar</v>
      </c>
      <c r="G117" s="56">
        <f>+'Fisico ASIG'!E117</f>
        <v>46028</v>
      </c>
      <c r="H117" s="17">
        <v>28</v>
      </c>
      <c r="I117" s="17">
        <f t="shared" si="95"/>
        <v>5.0018453846077859</v>
      </c>
      <c r="J117" s="17">
        <f t="shared" si="96"/>
        <v>6.5099398753915807</v>
      </c>
      <c r="K117" s="17"/>
      <c r="L117" s="17">
        <v>27</v>
      </c>
      <c r="M117" s="17">
        <v>71.5</v>
      </c>
      <c r="N117" s="17">
        <f t="shared" si="92"/>
        <v>40.992008406655479</v>
      </c>
      <c r="O117" s="17">
        <v>49.217654560775856</v>
      </c>
      <c r="P117" s="18">
        <f>SUMPRODUCT(H117:O117,'Fisico ASIG'!F117:M117)*24</f>
        <v>8509077.0980682075</v>
      </c>
      <c r="Q117" s="43">
        <v>0</v>
      </c>
      <c r="R117" s="43">
        <f t="shared" si="97"/>
        <v>5732.0798303088895</v>
      </c>
      <c r="S117" s="43">
        <f t="shared" si="98"/>
        <v>1775.2717357329113</v>
      </c>
      <c r="T117" s="43"/>
      <c r="U117" s="43">
        <v>18000</v>
      </c>
      <c r="V117" s="20">
        <v>0</v>
      </c>
      <c r="W117" s="20">
        <v>21900</v>
      </c>
      <c r="X117" s="20">
        <v>0</v>
      </c>
      <c r="Y117" s="18">
        <f>SUMPRODUCT(Q117:X117,'Fisico ASIG'!O117:V117)/E117</f>
        <v>5620620.4293743372</v>
      </c>
      <c r="Z117" s="25">
        <f t="shared" si="99"/>
        <v>14129697.527442545</v>
      </c>
      <c r="AA117" s="26">
        <f>+Z117/'Fisico ASIG'!N117/24</f>
        <v>61.637047711544739</v>
      </c>
      <c r="AB117" s="26">
        <f t="shared" si="100"/>
        <v>15.806111696522654</v>
      </c>
      <c r="AC117" s="29">
        <f t="shared" si="101"/>
        <v>45.830936015022083</v>
      </c>
      <c r="AI117" s="1">
        <v>7241</v>
      </c>
      <c r="AJ117" s="1">
        <v>5762594</v>
      </c>
      <c r="AK117">
        <f t="shared" si="70"/>
        <v>1.44</v>
      </c>
      <c r="AL117" s="40">
        <f t="shared" si="93"/>
        <v>9424.2166666666653</v>
      </c>
      <c r="AM117">
        <v>2570000</v>
      </c>
      <c r="AN117" s="17">
        <v>37.983146048389209</v>
      </c>
      <c r="AO117" s="74">
        <f t="shared" si="102"/>
        <v>2.1588623582662718</v>
      </c>
      <c r="AP117">
        <v>0</v>
      </c>
      <c r="AQ117" s="1">
        <v>0.85</v>
      </c>
    </row>
    <row r="118" spans="1:43" hidden="1" x14ac:dyDescent="0.25">
      <c r="A118" s="3">
        <f t="shared" si="91"/>
        <v>1447.6657</v>
      </c>
      <c r="B118" s="42">
        <v>1450.4169999999999</v>
      </c>
      <c r="C118" s="53">
        <f t="shared" ref="C118:C124" si="103">YEAR(G118)</f>
        <v>2026</v>
      </c>
      <c r="D118" s="52">
        <f>+'Fisico ASIG'!B118</f>
        <v>46023</v>
      </c>
      <c r="E118" s="1">
        <v>31</v>
      </c>
      <c r="F118" s="56" t="str">
        <f>+'Fisico ASIG'!D118</f>
        <v>mié</v>
      </c>
      <c r="G118" s="56">
        <f>+'Fisico ASIG'!E118</f>
        <v>46029</v>
      </c>
      <c r="H118" s="17">
        <v>28</v>
      </c>
      <c r="I118" s="17">
        <f t="shared" ref="I118:I124" si="104">AI118/A118</f>
        <v>5.0018453846077859</v>
      </c>
      <c r="J118" s="17">
        <f t="shared" ref="J118:J124" si="105">+AL118/A118</f>
        <v>6.5099398753915807</v>
      </c>
      <c r="K118" s="17"/>
      <c r="L118" s="17">
        <v>27</v>
      </c>
      <c r="M118" s="17">
        <v>71.5</v>
      </c>
      <c r="N118" s="17">
        <f t="shared" si="92"/>
        <v>40.500689085063406</v>
      </c>
      <c r="O118" s="17">
        <v>41.707084622373173</v>
      </c>
      <c r="P118" s="18">
        <f>SUMPRODUCT(H118:O118,'Fisico ASIG'!F118:M118)*24</f>
        <v>7950459.8611395638</v>
      </c>
      <c r="Q118" s="43">
        <v>0</v>
      </c>
      <c r="R118" s="43">
        <f t="shared" ref="R118:R124" si="106">+AJ118*AK118/A118</f>
        <v>5732.0798303088895</v>
      </c>
      <c r="S118" s="43">
        <f t="shared" ref="S118:S124" si="107">+AM118/A118</f>
        <v>1775.2717357329113</v>
      </c>
      <c r="T118" s="43"/>
      <c r="U118" s="43">
        <v>18000</v>
      </c>
      <c r="V118" s="20">
        <v>0</v>
      </c>
      <c r="W118" s="20">
        <v>21900</v>
      </c>
      <c r="X118" s="20">
        <v>0</v>
      </c>
      <c r="Y118" s="18">
        <f>SUMPRODUCT(Q118:X118,'Fisico ASIG'!O118:V118)/E118</f>
        <v>5623066.6180775361</v>
      </c>
      <c r="Z118" s="25">
        <f t="shared" ref="Z118:Z124" si="108">+(P118+Y118)</f>
        <v>13573526.479217101</v>
      </c>
      <c r="AA118" s="26">
        <f>+Z118/'Fisico ASIG'!N118/24</f>
        <v>62.485193161304842</v>
      </c>
      <c r="AB118" s="26">
        <f t="shared" si="100"/>
        <v>15.806111696522654</v>
      </c>
      <c r="AC118" s="29">
        <f t="shared" ref="AC118:AC124" si="109">+AA118-AB118</f>
        <v>46.679081464782186</v>
      </c>
      <c r="AI118" s="1">
        <v>7241</v>
      </c>
      <c r="AJ118" s="1">
        <v>5762594</v>
      </c>
      <c r="AK118">
        <f t="shared" si="70"/>
        <v>1.44</v>
      </c>
      <c r="AL118" s="40">
        <f t="shared" si="93"/>
        <v>9424.2166666666653</v>
      </c>
      <c r="AM118">
        <v>2570000</v>
      </c>
      <c r="AN118" s="17">
        <v>37.522893756499677</v>
      </c>
      <c r="AO118" s="74">
        <f t="shared" ref="AO118:AO130" si="110">0.075*0.9*(AN118-6)</f>
        <v>2.1277953285637285</v>
      </c>
      <c r="AP118">
        <v>0</v>
      </c>
      <c r="AQ118" s="1">
        <v>0.85</v>
      </c>
    </row>
    <row r="119" spans="1:43" hidden="1" x14ac:dyDescent="0.25">
      <c r="A119" s="3">
        <f t="shared" si="91"/>
        <v>1447.6657</v>
      </c>
      <c r="B119" s="42">
        <v>1450.4169999999999</v>
      </c>
      <c r="C119" s="53">
        <f t="shared" si="103"/>
        <v>2026</v>
      </c>
      <c r="D119" s="52">
        <f>+'Fisico ASIG'!B119</f>
        <v>46023</v>
      </c>
      <c r="E119" s="1">
        <v>31</v>
      </c>
      <c r="F119" s="56" t="str">
        <f>+'Fisico ASIG'!D119</f>
        <v>jue</v>
      </c>
      <c r="G119" s="56">
        <f>+'Fisico ASIG'!E119</f>
        <v>46030</v>
      </c>
      <c r="H119" s="17">
        <v>28</v>
      </c>
      <c r="I119" s="17">
        <f t="shared" si="104"/>
        <v>5.0018453846077859</v>
      </c>
      <c r="J119" s="17">
        <f t="shared" si="105"/>
        <v>6.5099398753915807</v>
      </c>
      <c r="K119" s="17"/>
      <c r="L119" s="17">
        <v>27</v>
      </c>
      <c r="M119" s="17">
        <v>71.5</v>
      </c>
      <c r="N119" s="17">
        <f t="shared" si="92"/>
        <v>40.626466193150407</v>
      </c>
      <c r="O119" s="17">
        <v>43.099013594447769</v>
      </c>
      <c r="P119" s="18">
        <f>SUMPRODUCT(H119:O119,'Fisico ASIG'!F119:M119)*24</f>
        <v>7288278.7098406237</v>
      </c>
      <c r="Q119" s="43">
        <v>0</v>
      </c>
      <c r="R119" s="43">
        <f t="shared" si="106"/>
        <v>5732.0798303088895</v>
      </c>
      <c r="S119" s="43">
        <f t="shared" si="107"/>
        <v>1775.2717357329113</v>
      </c>
      <c r="T119" s="43"/>
      <c r="U119" s="43">
        <v>18000</v>
      </c>
      <c r="V119" s="20">
        <v>0</v>
      </c>
      <c r="W119" s="20">
        <v>21900</v>
      </c>
      <c r="X119" s="20">
        <v>0</v>
      </c>
      <c r="Y119" s="18">
        <f>SUMPRODUCT(Q119:X119,'Fisico ASIG'!O119:V119)/E119</f>
        <v>5476147.1602136884</v>
      </c>
      <c r="Z119" s="25">
        <f t="shared" si="108"/>
        <v>12764425.870054312</v>
      </c>
      <c r="AA119" s="26">
        <f>+Z119/'Fisico ASIG'!N119/24</f>
        <v>64.891477302570152</v>
      </c>
      <c r="AB119" s="26">
        <f t="shared" si="100"/>
        <v>15.806111696522654</v>
      </c>
      <c r="AC119" s="29">
        <f t="shared" si="109"/>
        <v>49.085365606047496</v>
      </c>
      <c r="AI119" s="1">
        <v>7241</v>
      </c>
      <c r="AJ119" s="1">
        <v>5762594</v>
      </c>
      <c r="AK119">
        <f t="shared" si="70"/>
        <v>1.44</v>
      </c>
      <c r="AL119" s="40">
        <f t="shared" si="93"/>
        <v>9424.2166666666653</v>
      </c>
      <c r="AM119">
        <v>2570000</v>
      </c>
      <c r="AN119" s="17">
        <v>37.640717745339956</v>
      </c>
      <c r="AO119" s="74">
        <f t="shared" si="110"/>
        <v>2.1357484478104469</v>
      </c>
      <c r="AP119">
        <v>0</v>
      </c>
      <c r="AQ119" s="1">
        <v>0.85</v>
      </c>
    </row>
    <row r="120" spans="1:43" hidden="1" x14ac:dyDescent="0.25">
      <c r="A120" s="3">
        <f t="shared" si="91"/>
        <v>1447.6657</v>
      </c>
      <c r="B120" s="42">
        <v>1450.4169999999999</v>
      </c>
      <c r="C120" s="53">
        <f t="shared" si="103"/>
        <v>2026</v>
      </c>
      <c r="D120" s="52">
        <f>+'Fisico ASIG'!B120</f>
        <v>46023</v>
      </c>
      <c r="E120" s="1">
        <v>31</v>
      </c>
      <c r="F120" s="56" t="str">
        <f>+'Fisico ASIG'!D120</f>
        <v>vie</v>
      </c>
      <c r="G120" s="56">
        <f>+'Fisico ASIG'!E120</f>
        <v>46031</v>
      </c>
      <c r="H120" s="17">
        <v>28</v>
      </c>
      <c r="I120" s="17">
        <f t="shared" si="104"/>
        <v>5.0018453846077859</v>
      </c>
      <c r="J120" s="17">
        <f t="shared" si="105"/>
        <v>6.5099398753915807</v>
      </c>
      <c r="K120" s="113">
        <f>3.5+1.9+(3.5*2*5+3.5*5)/24</f>
        <v>7.5875000000000004</v>
      </c>
      <c r="L120" s="17">
        <v>27</v>
      </c>
      <c r="M120" s="17">
        <v>71.5</v>
      </c>
      <c r="N120" s="17">
        <f t="shared" si="92"/>
        <v>40.143532880565054</v>
      </c>
      <c r="O120" s="17">
        <v>42.839745126922686</v>
      </c>
      <c r="P120" s="18">
        <f>SUMPRODUCT(H120:O120,'Fisico ASIG'!F120:M120)*24</f>
        <v>6834393.6610666718</v>
      </c>
      <c r="Q120" s="43">
        <v>0</v>
      </c>
      <c r="R120" s="43">
        <f t="shared" si="106"/>
        <v>5732.0798303088895</v>
      </c>
      <c r="S120" s="43">
        <f t="shared" si="107"/>
        <v>2832.1455706244888</v>
      </c>
      <c r="T120" s="43">
        <f>+(4000*1759+465*1759*1.2)/(4000+465)</f>
        <v>1795.6376259798433</v>
      </c>
      <c r="U120" s="43">
        <v>18000</v>
      </c>
      <c r="V120" s="20">
        <v>0</v>
      </c>
      <c r="W120" s="20">
        <v>21900</v>
      </c>
      <c r="X120" s="20">
        <v>0</v>
      </c>
      <c r="Y120" s="18">
        <f>SUMPRODUCT(Q120:X120,'Fisico ASIG'!O120:V120)/E120</f>
        <v>5510736.284045767</v>
      </c>
      <c r="Z120" s="25">
        <f t="shared" si="108"/>
        <v>12345129.945112439</v>
      </c>
      <c r="AA120" s="26">
        <f>+Z120/'Fisico ASIG'!N120/24</f>
        <v>66.192725858662286</v>
      </c>
      <c r="AB120" s="26">
        <f t="shared" si="100"/>
        <v>15.806111696522654</v>
      </c>
      <c r="AC120" s="29">
        <f t="shared" si="109"/>
        <v>50.38661416213963</v>
      </c>
      <c r="AI120" s="1">
        <v>7241</v>
      </c>
      <c r="AJ120" s="1">
        <v>5762594</v>
      </c>
      <c r="AK120">
        <f t="shared" si="70"/>
        <v>1.44</v>
      </c>
      <c r="AL120" s="40">
        <f t="shared" si="93"/>
        <v>9424.2166666666653</v>
      </c>
      <c r="AM120">
        <v>4100000</v>
      </c>
      <c r="AN120" s="17">
        <v>37.188321199592558</v>
      </c>
      <c r="AO120" s="74">
        <f t="shared" si="110"/>
        <v>2.1052116809724977</v>
      </c>
      <c r="AP120">
        <v>0</v>
      </c>
      <c r="AQ120" s="1">
        <v>0.85</v>
      </c>
    </row>
    <row r="121" spans="1:43" hidden="1" x14ac:dyDescent="0.25">
      <c r="A121" s="3">
        <f t="shared" si="91"/>
        <v>1447.6657</v>
      </c>
      <c r="B121" s="42">
        <v>1450.4169999999999</v>
      </c>
      <c r="C121" s="53">
        <f t="shared" si="103"/>
        <v>2026</v>
      </c>
      <c r="D121" s="52">
        <f>+'Fisico ASIG'!B121</f>
        <v>46023</v>
      </c>
      <c r="E121" s="1">
        <v>31</v>
      </c>
      <c r="F121" s="56" t="str">
        <f>+'Fisico ASIG'!D121</f>
        <v>sáb</v>
      </c>
      <c r="G121" s="56">
        <f>+'Fisico ASIG'!E121</f>
        <v>46032</v>
      </c>
      <c r="H121" s="17">
        <v>28</v>
      </c>
      <c r="I121" s="17">
        <f t="shared" si="104"/>
        <v>5.0018453846077859</v>
      </c>
      <c r="J121" s="17">
        <f t="shared" si="105"/>
        <v>6.5099398753915807</v>
      </c>
      <c r="K121" s="113">
        <f t="shared" ref="K121:K170" si="111">3.5+1.9+(3.5*2*5+3.5*5)/24</f>
        <v>7.5875000000000004</v>
      </c>
      <c r="L121" s="17">
        <v>27</v>
      </c>
      <c r="M121" s="17">
        <v>71.5</v>
      </c>
      <c r="N121" s="17">
        <f t="shared" si="92"/>
        <v>41.078684493823815</v>
      </c>
      <c r="O121" s="17">
        <v>41.847108997264783</v>
      </c>
      <c r="P121" s="18">
        <f>SUMPRODUCT(H121:O121,'Fisico ASIG'!F121:M121)*24</f>
        <v>6527369.1441839626</v>
      </c>
      <c r="Q121" s="43">
        <v>0</v>
      </c>
      <c r="R121" s="43">
        <f t="shared" si="106"/>
        <v>5732.0798303088895</v>
      </c>
      <c r="S121" s="43">
        <f t="shared" si="107"/>
        <v>2832.1455706244888</v>
      </c>
      <c r="T121" s="43">
        <f t="shared" ref="T121:T201" si="112">+(4000*1759+465*1759*1.2)/(4000+465)</f>
        <v>1795.6376259798433</v>
      </c>
      <c r="U121" s="43">
        <v>18000</v>
      </c>
      <c r="V121" s="20">
        <v>0</v>
      </c>
      <c r="W121" s="20">
        <v>21900</v>
      </c>
      <c r="X121" s="20">
        <v>0</v>
      </c>
      <c r="Y121" s="18">
        <f>SUMPRODUCT(Q121:X121,'Fisico ASIG'!O121:V121)/E121</f>
        <v>5333310.995232393</v>
      </c>
      <c r="Z121" s="25">
        <f t="shared" si="108"/>
        <v>11860680.139416356</v>
      </c>
      <c r="AA121" s="26">
        <f>+Z121/'Fisico ASIG'!N121/24</f>
        <v>65.60789832675168</v>
      </c>
      <c r="AB121" s="26">
        <f t="shared" si="100"/>
        <v>15.806111696522654</v>
      </c>
      <c r="AC121" s="29">
        <f t="shared" si="109"/>
        <v>49.801786630229024</v>
      </c>
      <c r="AI121" s="1">
        <v>7241</v>
      </c>
      <c r="AJ121" s="1">
        <v>5762594</v>
      </c>
      <c r="AK121">
        <f t="shared" si="70"/>
        <v>1.44</v>
      </c>
      <c r="AL121" s="40">
        <f t="shared" si="93"/>
        <v>9424.2166666666653</v>
      </c>
      <c r="AM121">
        <v>4100000</v>
      </c>
      <c r="AN121" s="17">
        <v>38.064341446204978</v>
      </c>
      <c r="AO121" s="74">
        <f t="shared" si="110"/>
        <v>2.1643430476188361</v>
      </c>
      <c r="AP121">
        <v>0</v>
      </c>
      <c r="AQ121" s="1">
        <v>0.85</v>
      </c>
    </row>
    <row r="122" spans="1:43" hidden="1" x14ac:dyDescent="0.25">
      <c r="A122" s="3">
        <f t="shared" si="91"/>
        <v>1447.6657</v>
      </c>
      <c r="B122" s="42">
        <v>1450.4169999999999</v>
      </c>
      <c r="C122" s="53">
        <f t="shared" si="103"/>
        <v>2026</v>
      </c>
      <c r="D122" s="52">
        <f>+'Fisico ASIG'!B122</f>
        <v>46023</v>
      </c>
      <c r="E122" s="1">
        <v>31</v>
      </c>
      <c r="F122" s="56" t="str">
        <f>+'Fisico ASIG'!D122</f>
        <v>dom</v>
      </c>
      <c r="G122" s="56">
        <f>+'Fisico ASIG'!E122</f>
        <v>46033</v>
      </c>
      <c r="H122" s="17">
        <v>28</v>
      </c>
      <c r="I122" s="17">
        <f t="shared" si="104"/>
        <v>5.0018453846077859</v>
      </c>
      <c r="J122" s="17">
        <f t="shared" si="105"/>
        <v>6.5099398753915807</v>
      </c>
      <c r="K122" s="113">
        <f t="shared" si="111"/>
        <v>7.5875000000000004</v>
      </c>
      <c r="L122" s="17">
        <v>27</v>
      </c>
      <c r="M122" s="17">
        <v>71.5</v>
      </c>
      <c r="N122" s="17">
        <f t="shared" si="92"/>
        <v>42.926598815974678</v>
      </c>
      <c r="O122" s="17">
        <v>65.044002351849841</v>
      </c>
      <c r="P122" s="18">
        <f>SUMPRODUCT(H122:O122,'Fisico ASIG'!F122:M122)*24</f>
        <v>7263787.2763891127</v>
      </c>
      <c r="Q122" s="43">
        <v>0</v>
      </c>
      <c r="R122" s="43">
        <f t="shared" si="106"/>
        <v>5732.0798303088895</v>
      </c>
      <c r="S122" s="43">
        <f t="shared" si="107"/>
        <v>2832.1455706244888</v>
      </c>
      <c r="T122" s="43">
        <f t="shared" si="112"/>
        <v>1795.6376259798433</v>
      </c>
      <c r="U122" s="43">
        <v>18000</v>
      </c>
      <c r="V122" s="20">
        <v>0</v>
      </c>
      <c r="W122" s="20">
        <v>21900</v>
      </c>
      <c r="X122" s="20">
        <v>0</v>
      </c>
      <c r="Y122" s="18">
        <f>SUMPRODUCT(Q122:X122,'Fisico ASIG'!O122:V122)/E122</f>
        <v>5341711.1684977952</v>
      </c>
      <c r="Z122" s="25">
        <f t="shared" si="108"/>
        <v>12605498.444886908</v>
      </c>
      <c r="AA122" s="26">
        <f>+Z122/'Fisico ASIG'!N122/24</f>
        <v>66.510211647235067</v>
      </c>
      <c r="AB122" s="26">
        <f t="shared" si="100"/>
        <v>15.806111696522654</v>
      </c>
      <c r="AC122" s="29">
        <f t="shared" si="109"/>
        <v>50.704099950712411</v>
      </c>
      <c r="AI122" s="1">
        <v>7241</v>
      </c>
      <c r="AJ122" s="1">
        <v>5762594</v>
      </c>
      <c r="AK122">
        <f t="shared" si="70"/>
        <v>1.44</v>
      </c>
      <c r="AL122" s="40">
        <f t="shared" si="93"/>
        <v>9424.2166666666653</v>
      </c>
      <c r="AM122">
        <v>4100000</v>
      </c>
      <c r="AN122" s="17">
        <v>39.795408726908363</v>
      </c>
      <c r="AO122" s="74">
        <f t="shared" si="110"/>
        <v>2.2811900890663148</v>
      </c>
      <c r="AP122">
        <v>0</v>
      </c>
      <c r="AQ122" s="1">
        <v>0.85</v>
      </c>
    </row>
    <row r="123" spans="1:43" hidden="1" x14ac:dyDescent="0.25">
      <c r="A123" s="3">
        <f t="shared" si="91"/>
        <v>1447.6657</v>
      </c>
      <c r="B123" s="42">
        <v>1472.7349999999999</v>
      </c>
      <c r="C123" s="53">
        <f t="shared" si="103"/>
        <v>2026</v>
      </c>
      <c r="D123" s="52">
        <f>+'Fisico ASIG'!B123</f>
        <v>46023</v>
      </c>
      <c r="E123" s="1">
        <v>31</v>
      </c>
      <c r="F123" s="56" t="str">
        <f>+'Fisico ASIG'!D123</f>
        <v>lun</v>
      </c>
      <c r="G123" s="56">
        <f>+'Fisico ASIG'!E123</f>
        <v>46034</v>
      </c>
      <c r="H123" s="17">
        <v>28</v>
      </c>
      <c r="I123" s="17">
        <f t="shared" si="104"/>
        <v>5.0018453846077859</v>
      </c>
      <c r="J123" s="17">
        <f t="shared" si="105"/>
        <v>6.5099398753915807</v>
      </c>
      <c r="K123" s="113">
        <f t="shared" si="111"/>
        <v>7.5875000000000004</v>
      </c>
      <c r="L123" s="17">
        <v>27</v>
      </c>
      <c r="M123" s="17">
        <v>71.5</v>
      </c>
      <c r="N123" s="17">
        <f t="shared" si="92"/>
        <v>41.596523977842359</v>
      </c>
      <c r="O123" s="17">
        <v>54.788848079693878</v>
      </c>
      <c r="P123" s="18">
        <f>SUMPRODUCT(H123:O123,'Fisico ASIG'!F123:M123)*24</f>
        <v>8694997.4420121517</v>
      </c>
      <c r="Q123" s="43">
        <v>0</v>
      </c>
      <c r="R123" s="43">
        <f t="shared" si="106"/>
        <v>5732.0798303088895</v>
      </c>
      <c r="S123" s="43">
        <f t="shared" si="107"/>
        <v>2832.1455706244888</v>
      </c>
      <c r="T123" s="43">
        <f t="shared" si="112"/>
        <v>1795.6376259798433</v>
      </c>
      <c r="U123" s="43">
        <v>18000</v>
      </c>
      <c r="V123" s="20">
        <v>0</v>
      </c>
      <c r="W123" s="20">
        <v>21900</v>
      </c>
      <c r="X123" s="20">
        <v>0</v>
      </c>
      <c r="Y123" s="18">
        <f>SUMPRODUCT(Q123:X123,'Fisico ASIG'!O123:V123)/E123</f>
        <v>5653179.591841503</v>
      </c>
      <c r="Z123" s="25">
        <f t="shared" si="108"/>
        <v>14348177.033853654</v>
      </c>
      <c r="AA123" s="26">
        <f>+Z123/'Fisico ASIG'!N123/24</f>
        <v>58.906846936896045</v>
      </c>
      <c r="AB123" s="26">
        <f t="shared" si="100"/>
        <v>15.806111696522654</v>
      </c>
      <c r="AC123" s="29">
        <f t="shared" si="109"/>
        <v>43.100735240373389</v>
      </c>
      <c r="AI123" s="1">
        <v>7241</v>
      </c>
      <c r="AJ123" s="1">
        <v>5762594</v>
      </c>
      <c r="AK123">
        <f t="shared" si="70"/>
        <v>1.44</v>
      </c>
      <c r="AL123" s="40">
        <f t="shared" si="93"/>
        <v>9424.2166666666653</v>
      </c>
      <c r="AM123">
        <v>4100000</v>
      </c>
      <c r="AN123" s="17">
        <v>38.549436981585345</v>
      </c>
      <c r="AO123" s="74">
        <f t="shared" si="110"/>
        <v>2.1970869962570108</v>
      </c>
      <c r="AP123">
        <v>0</v>
      </c>
      <c r="AQ123" s="1">
        <v>0.85</v>
      </c>
    </row>
    <row r="124" spans="1:43" hidden="1" x14ac:dyDescent="0.25">
      <c r="A124" s="3">
        <f t="shared" si="91"/>
        <v>1447.6657</v>
      </c>
      <c r="B124" s="42">
        <v>1472.7349999999999</v>
      </c>
      <c r="C124" s="53">
        <f t="shared" si="103"/>
        <v>2026</v>
      </c>
      <c r="D124" s="52">
        <f>+'Fisico ASIG'!B124</f>
        <v>46023</v>
      </c>
      <c r="E124" s="1">
        <v>31</v>
      </c>
      <c r="F124" s="56" t="str">
        <f>+'Fisico ASIG'!D124</f>
        <v>mar</v>
      </c>
      <c r="G124" s="56">
        <f>+'Fisico ASIG'!E124</f>
        <v>46035</v>
      </c>
      <c r="H124" s="17">
        <v>28</v>
      </c>
      <c r="I124" s="17">
        <f t="shared" si="104"/>
        <v>5.0018453846077859</v>
      </c>
      <c r="J124" s="17">
        <f t="shared" si="105"/>
        <v>6.5099398753915807</v>
      </c>
      <c r="K124" s="113">
        <f t="shared" si="111"/>
        <v>7.5875000000000004</v>
      </c>
      <c r="L124" s="17">
        <v>27</v>
      </c>
      <c r="M124" s="17">
        <v>71.5</v>
      </c>
      <c r="N124" s="17">
        <f t="shared" si="92"/>
        <v>40.283767190502857</v>
      </c>
      <c r="O124" s="17">
        <v>43.8557471772029</v>
      </c>
      <c r="P124" s="18">
        <f>SUMPRODUCT(H124:O124,'Fisico ASIG'!F124:M124)*24</f>
        <v>8664464.7988877427</v>
      </c>
      <c r="Q124" s="43">
        <v>0</v>
      </c>
      <c r="R124" s="43">
        <f t="shared" si="106"/>
        <v>5732.0798303088895</v>
      </c>
      <c r="S124" s="43">
        <f t="shared" si="107"/>
        <v>2832.1455706244888</v>
      </c>
      <c r="T124" s="43">
        <f t="shared" si="112"/>
        <v>1795.6376259798433</v>
      </c>
      <c r="U124" s="43">
        <v>18000</v>
      </c>
      <c r="V124" s="20">
        <v>0</v>
      </c>
      <c r="W124" s="20">
        <v>21900</v>
      </c>
      <c r="X124" s="20">
        <v>0</v>
      </c>
      <c r="Y124" s="18">
        <f>SUMPRODUCT(Q124:X124,'Fisico ASIG'!O124:V124)/E124</f>
        <v>5818269.4265441336</v>
      </c>
      <c r="Z124" s="25">
        <f t="shared" si="108"/>
        <v>14482734.225431876</v>
      </c>
      <c r="AA124" s="26">
        <f>+Z124/'Fisico ASIG'!N124/24</f>
        <v>58.5142322813129</v>
      </c>
      <c r="AB124" s="26">
        <f t="shared" si="100"/>
        <v>15.806111696522654</v>
      </c>
      <c r="AC124" s="29">
        <f t="shared" si="109"/>
        <v>42.708120584790244</v>
      </c>
      <c r="AI124" s="1">
        <v>7241</v>
      </c>
      <c r="AJ124" s="1">
        <v>5762594</v>
      </c>
      <c r="AK124">
        <f t="shared" si="70"/>
        <v>1.44</v>
      </c>
      <c r="AL124" s="40">
        <f t="shared" si="93"/>
        <v>9424.2166666666653</v>
      </c>
      <c r="AM124">
        <v>4100000</v>
      </c>
      <c r="AN124" s="17">
        <v>37.319688234663097</v>
      </c>
      <c r="AO124" s="74">
        <f t="shared" si="110"/>
        <v>2.114078955839759</v>
      </c>
      <c r="AP124">
        <v>0</v>
      </c>
      <c r="AQ124" s="1">
        <v>0.85</v>
      </c>
    </row>
    <row r="125" spans="1:43" hidden="1" x14ac:dyDescent="0.25">
      <c r="A125" s="3">
        <f t="shared" si="91"/>
        <v>1447.6657</v>
      </c>
      <c r="B125" s="42">
        <v>1472.7349999999999</v>
      </c>
      <c r="C125" s="53">
        <f t="shared" ref="C125:C131" si="113">YEAR(G125)</f>
        <v>2026</v>
      </c>
      <c r="D125" s="52">
        <f>+'Fisico ASIG'!B125</f>
        <v>46023</v>
      </c>
      <c r="E125" s="1">
        <v>31</v>
      </c>
      <c r="F125" s="56" t="str">
        <f>+'Fisico ASIG'!D125</f>
        <v>mié</v>
      </c>
      <c r="G125" s="56">
        <f>+'Fisico ASIG'!E125</f>
        <v>46036</v>
      </c>
      <c r="H125" s="17">
        <v>28</v>
      </c>
      <c r="I125" s="17">
        <f t="shared" ref="I125:I131" si="114">AI125/A125</f>
        <v>5.0018453846077859</v>
      </c>
      <c r="J125" s="17">
        <f t="shared" ref="J125:J131" si="115">+AL125/A125</f>
        <v>6.5099398753915807</v>
      </c>
      <c r="K125" s="113">
        <f t="shared" si="111"/>
        <v>7.5875000000000004</v>
      </c>
      <c r="L125" s="17">
        <v>27</v>
      </c>
      <c r="M125" s="17">
        <v>71.5</v>
      </c>
      <c r="N125" s="17">
        <f t="shared" si="92"/>
        <v>44.779550661280965</v>
      </c>
      <c r="O125" s="17">
        <v>119.86067450891143</v>
      </c>
      <c r="P125" s="18">
        <f>SUMPRODUCT(H125:O125,'Fisico ASIG'!F125:M125)*24</f>
        <v>10007944.267212071</v>
      </c>
      <c r="Q125" s="43">
        <v>0</v>
      </c>
      <c r="R125" s="43">
        <f t="shared" ref="R125:R131" si="116">+AJ125*AK125/A125</f>
        <v>5732.0798303088895</v>
      </c>
      <c r="S125" s="43">
        <f t="shared" ref="S125:S131" si="117">+AM125/A125</f>
        <v>2832.1455706244888</v>
      </c>
      <c r="T125" s="43">
        <f t="shared" si="112"/>
        <v>1795.6376259798433</v>
      </c>
      <c r="U125" s="43">
        <v>18000</v>
      </c>
      <c r="V125" s="20">
        <v>0</v>
      </c>
      <c r="W125" s="20">
        <v>21900</v>
      </c>
      <c r="X125" s="20">
        <v>0</v>
      </c>
      <c r="Y125" s="18">
        <f>SUMPRODUCT(Q125:X125,'Fisico ASIG'!O125:V125)/E125</f>
        <v>5736095.4399423776</v>
      </c>
      <c r="Z125" s="25">
        <f t="shared" ref="Z125:Z141" si="118">+(P125+Y125)</f>
        <v>15744039.707154449</v>
      </c>
      <c r="AA125" s="26">
        <f>+Z125/'Fisico ASIG'!N125/24</f>
        <v>61.559815584924984</v>
      </c>
      <c r="AB125" s="26">
        <f t="shared" si="100"/>
        <v>15.806111696522654</v>
      </c>
      <c r="AC125" s="29">
        <f t="shared" ref="AC125:AC141" si="119">+AA125-AB125</f>
        <v>45.753703888402327</v>
      </c>
      <c r="AI125" s="1">
        <v>7241</v>
      </c>
      <c r="AJ125" s="1">
        <v>5762594</v>
      </c>
      <c r="AK125">
        <f t="shared" si="70"/>
        <v>1.44</v>
      </c>
      <c r="AL125" s="40">
        <f t="shared" si="93"/>
        <v>9424.2166666666653</v>
      </c>
      <c r="AM125">
        <v>4100000</v>
      </c>
      <c r="AN125" s="17">
        <v>41.531194998858048</v>
      </c>
      <c r="AO125" s="74">
        <f t="shared" si="110"/>
        <v>2.3983556624229183</v>
      </c>
      <c r="AP125">
        <v>0</v>
      </c>
      <c r="AQ125" s="1">
        <v>0.85</v>
      </c>
    </row>
    <row r="126" spans="1:43" hidden="1" x14ac:dyDescent="0.25">
      <c r="A126" s="3">
        <f t="shared" si="91"/>
        <v>1447.6657</v>
      </c>
      <c r="B126" s="42">
        <v>1472.7349999999999</v>
      </c>
      <c r="C126" s="53">
        <f t="shared" si="113"/>
        <v>2026</v>
      </c>
      <c r="D126" s="52">
        <f>+'Fisico ASIG'!B126</f>
        <v>46023</v>
      </c>
      <c r="E126" s="1">
        <v>31</v>
      </c>
      <c r="F126" s="56" t="str">
        <f>+'Fisico ASIG'!D126</f>
        <v>jue</v>
      </c>
      <c r="G126" s="56">
        <f>+'Fisico ASIG'!E126</f>
        <v>46037</v>
      </c>
      <c r="H126" s="17">
        <v>28</v>
      </c>
      <c r="I126" s="17">
        <f t="shared" si="114"/>
        <v>5.0018453846077859</v>
      </c>
      <c r="J126" s="17">
        <f t="shared" si="115"/>
        <v>6.5099398753915807</v>
      </c>
      <c r="K126" s="113">
        <f t="shared" si="111"/>
        <v>7.5875000000000004</v>
      </c>
      <c r="L126" s="17">
        <v>27</v>
      </c>
      <c r="M126" s="17">
        <v>71.5</v>
      </c>
      <c r="N126" s="17">
        <f t="shared" si="92"/>
        <v>45.883039814905501</v>
      </c>
      <c r="O126" s="17">
        <v>119.86452376257148</v>
      </c>
      <c r="P126" s="18">
        <f>SUMPRODUCT(H126:O126,'Fisico ASIG'!F126:M126)*24</f>
        <v>10296194.811603054</v>
      </c>
      <c r="Q126" s="43">
        <v>0</v>
      </c>
      <c r="R126" s="43">
        <f t="shared" si="116"/>
        <v>5732.0798303088895</v>
      </c>
      <c r="S126" s="43">
        <f t="shared" si="117"/>
        <v>2832.1455706244888</v>
      </c>
      <c r="T126" s="43">
        <f t="shared" si="112"/>
        <v>1795.6376259798433</v>
      </c>
      <c r="U126" s="43">
        <v>18000</v>
      </c>
      <c r="V126" s="20">
        <v>0</v>
      </c>
      <c r="W126" s="20">
        <v>21900</v>
      </c>
      <c r="X126" s="20">
        <v>0</v>
      </c>
      <c r="Y126" s="18">
        <f>SUMPRODUCT(Q126:X126,'Fisico ASIG'!O126:V126)/E126</f>
        <v>5655472.1154063819</v>
      </c>
      <c r="Z126" s="25">
        <f t="shared" si="118"/>
        <v>15951666.927009437</v>
      </c>
      <c r="AA126" s="26">
        <f>+Z126/'Fisico ASIG'!N126/24</f>
        <v>63.711514026662236</v>
      </c>
      <c r="AB126" s="26">
        <f t="shared" si="100"/>
        <v>15.806111696522654</v>
      </c>
      <c r="AC126" s="29">
        <f t="shared" si="119"/>
        <v>47.90540233013958</v>
      </c>
      <c r="AI126" s="1">
        <v>7241</v>
      </c>
      <c r="AJ126" s="1">
        <v>5762594</v>
      </c>
      <c r="AK126">
        <f t="shared" si="70"/>
        <v>1.44</v>
      </c>
      <c r="AL126" s="40">
        <f t="shared" si="93"/>
        <v>9424.2166666666653</v>
      </c>
      <c r="AM126">
        <v>4100000</v>
      </c>
      <c r="AN126" s="17">
        <v>42.564908491714753</v>
      </c>
      <c r="AO126" s="74">
        <f t="shared" si="110"/>
        <v>2.4681313231907458</v>
      </c>
      <c r="AP126">
        <v>0</v>
      </c>
      <c r="AQ126" s="1">
        <v>0.85</v>
      </c>
    </row>
    <row r="127" spans="1:43" hidden="1" x14ac:dyDescent="0.25">
      <c r="A127" s="3">
        <f t="shared" si="91"/>
        <v>1447.6657</v>
      </c>
      <c r="B127" s="42">
        <v>1472.7349999999999</v>
      </c>
      <c r="C127" s="53">
        <f t="shared" si="113"/>
        <v>2026</v>
      </c>
      <c r="D127" s="52">
        <f>+'Fisico ASIG'!B127</f>
        <v>46023</v>
      </c>
      <c r="E127" s="1">
        <v>31</v>
      </c>
      <c r="F127" s="56" t="str">
        <f>+'Fisico ASIG'!D127</f>
        <v>vie</v>
      </c>
      <c r="G127" s="56">
        <f>+'Fisico ASIG'!E127</f>
        <v>46038</v>
      </c>
      <c r="H127" s="17">
        <v>28</v>
      </c>
      <c r="I127" s="17">
        <f t="shared" si="114"/>
        <v>5.0018453846077859</v>
      </c>
      <c r="J127" s="17">
        <f t="shared" si="115"/>
        <v>6.5099398753915807</v>
      </c>
      <c r="K127" s="113">
        <f t="shared" si="111"/>
        <v>7.5875000000000004</v>
      </c>
      <c r="L127" s="17">
        <v>27</v>
      </c>
      <c r="M127" s="17">
        <v>71.5</v>
      </c>
      <c r="N127" s="17">
        <f t="shared" si="92"/>
        <v>47.039555907866131</v>
      </c>
      <c r="O127" s="17">
        <v>119.8992550983026</v>
      </c>
      <c r="P127" s="18">
        <f>SUMPRODUCT(H127:O127,'Fisico ASIG'!F127:M127)*24</f>
        <v>9398492.1708499342</v>
      </c>
      <c r="Q127" s="43">
        <v>0</v>
      </c>
      <c r="R127" s="43">
        <f t="shared" si="116"/>
        <v>5732.0798303088895</v>
      </c>
      <c r="S127" s="43">
        <f t="shared" si="117"/>
        <v>2832.1455706244888</v>
      </c>
      <c r="T127" s="43">
        <f t="shared" si="112"/>
        <v>1795.6376259798433</v>
      </c>
      <c r="U127" s="43">
        <v>18000</v>
      </c>
      <c r="V127" s="20">
        <v>0</v>
      </c>
      <c r="W127" s="20">
        <v>21900</v>
      </c>
      <c r="X127" s="20">
        <v>0</v>
      </c>
      <c r="Y127" s="18">
        <f>SUMPRODUCT(Q127:X127,'Fisico ASIG'!O127:V127)/E127</f>
        <v>5304539.0573211061</v>
      </c>
      <c r="Z127" s="25">
        <f t="shared" si="118"/>
        <v>14703031.228171039</v>
      </c>
      <c r="AA127" s="26">
        <f>+Z127/'Fisico ASIG'!N127/24</f>
        <v>66.983770333527559</v>
      </c>
      <c r="AB127" s="26">
        <f t="shared" si="100"/>
        <v>15.806111696522654</v>
      </c>
      <c r="AC127" s="29">
        <f t="shared" si="119"/>
        <v>51.177658637004903</v>
      </c>
      <c r="AI127" s="1">
        <v>7241</v>
      </c>
      <c r="AJ127" s="1">
        <v>5762594</v>
      </c>
      <c r="AK127">
        <f t="shared" si="70"/>
        <v>1.44</v>
      </c>
      <c r="AL127" s="40">
        <f t="shared" si="93"/>
        <v>9424.2166666666653</v>
      </c>
      <c r="AM127">
        <v>4100000</v>
      </c>
      <c r="AN127" s="17">
        <v>43.648295932427288</v>
      </c>
      <c r="AO127" s="74">
        <f t="shared" si="110"/>
        <v>2.5412599754388423</v>
      </c>
      <c r="AP127">
        <v>0</v>
      </c>
      <c r="AQ127" s="1">
        <v>0.85</v>
      </c>
    </row>
    <row r="128" spans="1:43" hidden="1" x14ac:dyDescent="0.25">
      <c r="A128" s="3">
        <f t="shared" si="91"/>
        <v>1447.6657</v>
      </c>
      <c r="B128" s="42">
        <v>1472.7349999999999</v>
      </c>
      <c r="C128" s="53">
        <f t="shared" si="113"/>
        <v>2026</v>
      </c>
      <c r="D128" s="52">
        <f>+'Fisico ASIG'!B128</f>
        <v>46023</v>
      </c>
      <c r="E128" s="1">
        <v>31</v>
      </c>
      <c r="F128" s="56" t="str">
        <f>+'Fisico ASIG'!D128</f>
        <v>sáb</v>
      </c>
      <c r="G128" s="56">
        <f>+'Fisico ASIG'!E128</f>
        <v>46039</v>
      </c>
      <c r="H128" s="17">
        <v>28</v>
      </c>
      <c r="I128" s="17">
        <f t="shared" si="114"/>
        <v>5.0018453846077859</v>
      </c>
      <c r="J128" s="17">
        <f t="shared" si="115"/>
        <v>6.5099398753915807</v>
      </c>
      <c r="K128" s="113">
        <f t="shared" si="111"/>
        <v>7.5875000000000004</v>
      </c>
      <c r="L128" s="17">
        <v>27</v>
      </c>
      <c r="M128" s="17">
        <v>71.5</v>
      </c>
      <c r="N128" s="17">
        <f t="shared" si="92"/>
        <v>42.698781455637416</v>
      </c>
      <c r="O128" s="17">
        <v>119.86485924879256</v>
      </c>
      <c r="P128" s="18">
        <f>SUMPRODUCT(H128:O128,'Fisico ASIG'!F128:M128)*24</f>
        <v>8695143.6131366007</v>
      </c>
      <c r="Q128" s="43">
        <v>0</v>
      </c>
      <c r="R128" s="43">
        <f t="shared" si="116"/>
        <v>5732.0798303088895</v>
      </c>
      <c r="S128" s="43">
        <f t="shared" si="117"/>
        <v>2832.1455706244888</v>
      </c>
      <c r="T128" s="43">
        <f t="shared" si="112"/>
        <v>1795.6376259798433</v>
      </c>
      <c r="U128" s="43">
        <v>18000</v>
      </c>
      <c r="V128" s="20">
        <v>0</v>
      </c>
      <c r="W128" s="20">
        <v>21900</v>
      </c>
      <c r="X128" s="20">
        <v>0</v>
      </c>
      <c r="Y128" s="18">
        <f>SUMPRODUCT(Q128:X128,'Fisico ASIG'!O128:V128)/E128</f>
        <v>5188722.0841813507</v>
      </c>
      <c r="Z128" s="25">
        <f t="shared" si="118"/>
        <v>13883865.69731795</v>
      </c>
      <c r="AA128" s="26">
        <f>+Z128/'Fisico ASIG'!N128/24</f>
        <v>64.92626574111604</v>
      </c>
      <c r="AB128" s="26">
        <f t="shared" si="100"/>
        <v>15.806111696522654</v>
      </c>
      <c r="AC128" s="29">
        <f t="shared" si="119"/>
        <v>49.120154044593384</v>
      </c>
      <c r="AI128" s="1">
        <v>7241</v>
      </c>
      <c r="AJ128" s="1">
        <v>5762594</v>
      </c>
      <c r="AK128">
        <f t="shared" si="70"/>
        <v>1.44</v>
      </c>
      <c r="AL128" s="40">
        <f t="shared" si="93"/>
        <v>9424.2166666666653</v>
      </c>
      <c r="AM128">
        <v>4100000</v>
      </c>
      <c r="AN128" s="17">
        <v>39.58199667975402</v>
      </c>
      <c r="AO128" s="74">
        <f t="shared" si="110"/>
        <v>2.2667847758833966</v>
      </c>
      <c r="AP128">
        <v>0</v>
      </c>
      <c r="AQ128" s="1">
        <v>0.85</v>
      </c>
    </row>
    <row r="129" spans="1:43" hidden="1" x14ac:dyDescent="0.25">
      <c r="A129" s="3">
        <f t="shared" si="91"/>
        <v>1447.6657</v>
      </c>
      <c r="B129" s="42">
        <v>1472.7349999999999</v>
      </c>
      <c r="C129" s="53">
        <f t="shared" si="113"/>
        <v>2026</v>
      </c>
      <c r="D129" s="52">
        <f>+'Fisico ASIG'!B129</f>
        <v>46023</v>
      </c>
      <c r="E129" s="1">
        <v>31</v>
      </c>
      <c r="F129" s="56" t="str">
        <f>+'Fisico ASIG'!D129</f>
        <v>dom</v>
      </c>
      <c r="G129" s="56">
        <f>+'Fisico ASIG'!E129</f>
        <v>46040</v>
      </c>
      <c r="H129" s="17">
        <v>28</v>
      </c>
      <c r="I129" s="17">
        <f t="shared" si="114"/>
        <v>5.0018453846077859</v>
      </c>
      <c r="J129" s="17">
        <f t="shared" si="115"/>
        <v>6.5099398753915807</v>
      </c>
      <c r="K129" s="113">
        <f t="shared" si="111"/>
        <v>7.5875000000000004</v>
      </c>
      <c r="L129" s="17">
        <v>27</v>
      </c>
      <c r="M129" s="17">
        <v>71.5</v>
      </c>
      <c r="N129" s="17">
        <f t="shared" si="92"/>
        <v>40.793930892303081</v>
      </c>
      <c r="O129" s="17">
        <v>30.579941758488669</v>
      </c>
      <c r="P129" s="18">
        <f>SUMPRODUCT(H129:O129,'Fisico ASIG'!F129:M129)*24</f>
        <v>6715585.8143576216</v>
      </c>
      <c r="Q129" s="43">
        <v>0</v>
      </c>
      <c r="R129" s="43">
        <f t="shared" si="116"/>
        <v>5732.0798303088895</v>
      </c>
      <c r="S129" s="43">
        <f t="shared" si="117"/>
        <v>2832.1455706244888</v>
      </c>
      <c r="T129" s="43">
        <f t="shared" si="112"/>
        <v>1795.6376259798433</v>
      </c>
      <c r="U129" s="43">
        <v>18000</v>
      </c>
      <c r="V129" s="20">
        <v>0</v>
      </c>
      <c r="W129" s="20">
        <v>21900</v>
      </c>
      <c r="X129" s="20">
        <v>0</v>
      </c>
      <c r="Y129" s="18">
        <f>SUMPRODUCT(Q129:X129,'Fisico ASIG'!O129:V129)/E129</f>
        <v>5348791.7547784215</v>
      </c>
      <c r="Z129" s="25">
        <f t="shared" si="118"/>
        <v>12064377.569136042</v>
      </c>
      <c r="AA129" s="26">
        <f>+Z129/'Fisico ASIG'!N129/24</f>
        <v>69.563969015992626</v>
      </c>
      <c r="AB129" s="26">
        <f t="shared" si="100"/>
        <v>15.806111696522654</v>
      </c>
      <c r="AC129" s="29">
        <f t="shared" si="119"/>
        <v>53.75785731946997</v>
      </c>
      <c r="AI129" s="1">
        <v>7241</v>
      </c>
      <c r="AJ129" s="1">
        <v>5762594</v>
      </c>
      <c r="AK129">
        <f t="shared" si="70"/>
        <v>1.44</v>
      </c>
      <c r="AL129" s="40">
        <f t="shared" si="93"/>
        <v>9424.2166666666653</v>
      </c>
      <c r="AM129">
        <v>4100000</v>
      </c>
      <c r="AN129" s="17">
        <v>37.797593341735904</v>
      </c>
      <c r="AO129" s="74">
        <f t="shared" si="110"/>
        <v>2.1463375505671736</v>
      </c>
      <c r="AP129">
        <v>0</v>
      </c>
      <c r="AQ129" s="1">
        <v>0.85</v>
      </c>
    </row>
    <row r="130" spans="1:43" hidden="1" x14ac:dyDescent="0.25">
      <c r="A130" s="3">
        <f t="shared" si="91"/>
        <v>1447.6657</v>
      </c>
      <c r="B130" s="42">
        <v>1472.7349999999999</v>
      </c>
      <c r="C130" s="53">
        <f t="shared" si="113"/>
        <v>2026</v>
      </c>
      <c r="D130" s="52">
        <f>+'Fisico ASIG'!B130</f>
        <v>46023</v>
      </c>
      <c r="E130" s="1">
        <v>31</v>
      </c>
      <c r="F130" s="56" t="str">
        <f>+'Fisico ASIG'!D130</f>
        <v>lun</v>
      </c>
      <c r="G130" s="56">
        <f>+'Fisico ASIG'!E130</f>
        <v>46041</v>
      </c>
      <c r="H130" s="17">
        <v>28</v>
      </c>
      <c r="I130" s="17">
        <f t="shared" si="114"/>
        <v>5.0018453846077859</v>
      </c>
      <c r="J130" s="17">
        <f t="shared" si="115"/>
        <v>6.5099398753915807</v>
      </c>
      <c r="K130" s="113">
        <f t="shared" si="111"/>
        <v>7.5875000000000004</v>
      </c>
      <c r="L130" s="17">
        <v>27</v>
      </c>
      <c r="M130" s="17">
        <v>71.5</v>
      </c>
      <c r="N130" s="17">
        <f t="shared" si="92"/>
        <v>39.732725355072795</v>
      </c>
      <c r="O130" s="17">
        <v>112.63787806826574</v>
      </c>
      <c r="P130" s="18">
        <f>SUMPRODUCT(H130:O130,'Fisico ASIG'!F130:M130)*24</f>
        <v>7529919.4182101544</v>
      </c>
      <c r="Q130" s="43">
        <v>0</v>
      </c>
      <c r="R130" s="43">
        <f t="shared" si="116"/>
        <v>5732.0798303088895</v>
      </c>
      <c r="S130" s="43">
        <f t="shared" si="117"/>
        <v>2832.1455706244888</v>
      </c>
      <c r="T130" s="43">
        <f t="shared" si="112"/>
        <v>1795.6376259798433</v>
      </c>
      <c r="U130" s="43">
        <v>18000</v>
      </c>
      <c r="V130" s="20">
        <v>0</v>
      </c>
      <c r="W130" s="20">
        <v>21900</v>
      </c>
      <c r="X130" s="20">
        <v>0</v>
      </c>
      <c r="Y130" s="18">
        <f>SUMPRODUCT(Q130:X130,'Fisico ASIG'!O130:V130)/E130</f>
        <v>5562953.6266941903</v>
      </c>
      <c r="Z130" s="25">
        <f t="shared" si="118"/>
        <v>13092873.044904344</v>
      </c>
      <c r="AA130" s="26">
        <f>+Z130/'Fisico ASIG'!N130/24</f>
        <v>71.846354978032792</v>
      </c>
      <c r="AB130" s="26">
        <f t="shared" si="100"/>
        <v>15.806111696522654</v>
      </c>
      <c r="AC130" s="29">
        <f t="shared" si="119"/>
        <v>56.040243281510136</v>
      </c>
      <c r="AI130" s="1">
        <v>7241</v>
      </c>
      <c r="AJ130" s="1">
        <v>5762594</v>
      </c>
      <c r="AK130">
        <f t="shared" si="70"/>
        <v>1.44</v>
      </c>
      <c r="AL130" s="40">
        <f t="shared" si="93"/>
        <v>9424.2166666666653</v>
      </c>
      <c r="AM130">
        <v>4100000</v>
      </c>
      <c r="AN130" s="17">
        <v>36.803489793979196</v>
      </c>
      <c r="AO130" s="74">
        <f t="shared" si="110"/>
        <v>2.0792355610935958</v>
      </c>
      <c r="AP130">
        <v>0</v>
      </c>
      <c r="AQ130" s="1">
        <v>0.85</v>
      </c>
    </row>
    <row r="131" spans="1:43" hidden="1" x14ac:dyDescent="0.25">
      <c r="A131" s="3">
        <f t="shared" si="91"/>
        <v>1447.6657</v>
      </c>
      <c r="B131" s="42">
        <v>1472.7349999999999</v>
      </c>
      <c r="C131" s="53">
        <f t="shared" si="113"/>
        <v>2026</v>
      </c>
      <c r="D131" s="52">
        <f>+'Fisico ASIG'!B131</f>
        <v>46023</v>
      </c>
      <c r="E131" s="1">
        <v>31</v>
      </c>
      <c r="F131" s="56" t="str">
        <f>+'Fisico ASIG'!D131</f>
        <v>mar</v>
      </c>
      <c r="G131" s="56">
        <f>+'Fisico ASIG'!E131</f>
        <v>46042</v>
      </c>
      <c r="H131" s="17">
        <v>28</v>
      </c>
      <c r="I131" s="17">
        <f t="shared" si="114"/>
        <v>5.0018453846077859</v>
      </c>
      <c r="J131" s="17">
        <f t="shared" si="115"/>
        <v>6.5099398753915807</v>
      </c>
      <c r="K131" s="113">
        <f t="shared" si="111"/>
        <v>7.5875000000000004</v>
      </c>
      <c r="L131" s="17">
        <v>27</v>
      </c>
      <c r="M131" s="17">
        <v>71.5</v>
      </c>
      <c r="N131" s="17">
        <f t="shared" si="92"/>
        <v>40.357673123232196</v>
      </c>
      <c r="O131" s="17">
        <v>119.86127717481057</v>
      </c>
      <c r="P131" s="18">
        <f>SUMPRODUCT(H131:O131,'Fisico ASIG'!F131:M131)*24</f>
        <v>7586444.5711891185</v>
      </c>
      <c r="Q131" s="43">
        <v>0</v>
      </c>
      <c r="R131" s="43">
        <f t="shared" si="116"/>
        <v>5732.0798303088895</v>
      </c>
      <c r="S131" s="43">
        <f t="shared" si="117"/>
        <v>2832.1455706244888</v>
      </c>
      <c r="T131" s="43">
        <f t="shared" si="112"/>
        <v>1795.6376259798433</v>
      </c>
      <c r="U131" s="43">
        <v>18000</v>
      </c>
      <c r="V131" s="20">
        <v>0</v>
      </c>
      <c r="W131" s="20">
        <v>21900</v>
      </c>
      <c r="X131" s="20">
        <v>0</v>
      </c>
      <c r="Y131" s="18">
        <f>SUMPRODUCT(Q131:X131,'Fisico ASIG'!O131:V131)/E131</f>
        <v>5771203.0882088868</v>
      </c>
      <c r="Z131" s="25">
        <f t="shared" si="118"/>
        <v>13357647.659398004</v>
      </c>
      <c r="AA131" s="26">
        <f>+Z131/'Fisico ASIG'!N131/24</f>
        <v>70.539762864367589</v>
      </c>
      <c r="AB131" s="26">
        <f t="shared" si="100"/>
        <v>15.806111696522654</v>
      </c>
      <c r="AC131" s="29">
        <f t="shared" si="119"/>
        <v>54.733651167844933</v>
      </c>
      <c r="AI131" s="1">
        <v>7241</v>
      </c>
      <c r="AJ131" s="1">
        <v>5762594</v>
      </c>
      <c r="AK131">
        <f t="shared" si="70"/>
        <v>1.44</v>
      </c>
      <c r="AL131" s="40">
        <f t="shared" si="93"/>
        <v>9424.2166666666653</v>
      </c>
      <c r="AM131">
        <v>4100000</v>
      </c>
      <c r="AN131" s="17">
        <v>37.38892095853133</v>
      </c>
      <c r="AO131" s="74">
        <f t="shared" ref="AO131:AO136" si="120">0.075*0.9*(AN131-6)</f>
        <v>2.1187521647008647</v>
      </c>
      <c r="AP131">
        <v>0</v>
      </c>
      <c r="AQ131" s="1">
        <v>0.85</v>
      </c>
    </row>
    <row r="132" spans="1:43" hidden="1" x14ac:dyDescent="0.25">
      <c r="A132" s="3">
        <f t="shared" si="91"/>
        <v>1447.6657</v>
      </c>
      <c r="B132" s="42">
        <v>1472.7349999999999</v>
      </c>
      <c r="C132" s="53">
        <f t="shared" ref="C132:C136" si="121">YEAR(G132)</f>
        <v>2026</v>
      </c>
      <c r="D132" s="52">
        <f>+'Fisico ASIG'!B132</f>
        <v>46023</v>
      </c>
      <c r="E132" s="1">
        <v>31</v>
      </c>
      <c r="F132" s="56" t="str">
        <f>+'Fisico ASIG'!D132</f>
        <v>mié</v>
      </c>
      <c r="G132" s="56">
        <f>+'Fisico ASIG'!E132</f>
        <v>46043</v>
      </c>
      <c r="H132" s="17">
        <v>28</v>
      </c>
      <c r="I132" s="17">
        <f t="shared" ref="I132:I136" si="122">AI132/A132</f>
        <v>5.0018453846077859</v>
      </c>
      <c r="J132" s="17">
        <f t="shared" ref="J132:J136" si="123">+AL132/A132</f>
        <v>6.5099398753915807</v>
      </c>
      <c r="K132" s="113">
        <f t="shared" si="111"/>
        <v>7.5875000000000004</v>
      </c>
      <c r="L132" s="17">
        <v>27</v>
      </c>
      <c r="M132" s="17">
        <v>71.5</v>
      </c>
      <c r="N132" s="17">
        <f t="shared" si="92"/>
        <v>39.588354367187151</v>
      </c>
      <c r="O132" s="17">
        <v>119.86583440040926</v>
      </c>
      <c r="P132" s="18">
        <f>SUMPRODUCT(H132:O132,'Fisico ASIG'!F132:M132)*24</f>
        <v>8456594.7676878627</v>
      </c>
      <c r="Q132" s="43">
        <v>0</v>
      </c>
      <c r="R132" s="43">
        <f t="shared" ref="R132:R136" si="124">+AJ132*AK132/A132</f>
        <v>5732.0798303088895</v>
      </c>
      <c r="S132" s="43">
        <f t="shared" ref="S132:S136" si="125">+AM132/A132</f>
        <v>2832.1455706244888</v>
      </c>
      <c r="T132" s="43">
        <f t="shared" si="112"/>
        <v>1795.6376259798433</v>
      </c>
      <c r="U132" s="43">
        <v>18000</v>
      </c>
      <c r="V132" s="20">
        <v>0</v>
      </c>
      <c r="W132" s="20">
        <v>21900</v>
      </c>
      <c r="X132" s="20">
        <v>0</v>
      </c>
      <c r="Y132" s="18">
        <f>SUMPRODUCT(Q132:X132,'Fisico ASIG'!O132:V132)/E132</f>
        <v>5764764.2917356985</v>
      </c>
      <c r="Z132" s="25">
        <f t="shared" si="118"/>
        <v>14221359.059423562</v>
      </c>
      <c r="AA132" s="26">
        <f>+Z132/'Fisico ASIG'!N132/24</f>
        <v>71.38828417386577</v>
      </c>
      <c r="AB132" s="26">
        <f t="shared" si="100"/>
        <v>15.806111696522654</v>
      </c>
      <c r="AC132" s="29">
        <f t="shared" si="119"/>
        <v>55.582172477343114</v>
      </c>
      <c r="AI132" s="1">
        <v>7241</v>
      </c>
      <c r="AJ132" s="1">
        <v>5762594</v>
      </c>
      <c r="AK132">
        <f t="shared" si="70"/>
        <v>1.44</v>
      </c>
      <c r="AL132" s="40">
        <f t="shared" si="93"/>
        <v>9424.2166666666653</v>
      </c>
      <c r="AM132">
        <v>4100000</v>
      </c>
      <c r="AN132" s="17">
        <v>36.668247650760797</v>
      </c>
      <c r="AO132" s="74">
        <f t="shared" si="120"/>
        <v>2.0701067164263538</v>
      </c>
      <c r="AP132">
        <v>0</v>
      </c>
      <c r="AQ132" s="1">
        <v>0.85</v>
      </c>
    </row>
    <row r="133" spans="1:43" hidden="1" x14ac:dyDescent="0.25">
      <c r="A133" s="3">
        <f t="shared" si="91"/>
        <v>1447.6657</v>
      </c>
      <c r="B133" s="42">
        <v>1472.7349999999999</v>
      </c>
      <c r="C133" s="53">
        <f t="shared" si="121"/>
        <v>2026</v>
      </c>
      <c r="D133" s="52">
        <f>+'Fisico ASIG'!B133</f>
        <v>46023</v>
      </c>
      <c r="E133" s="1">
        <v>31</v>
      </c>
      <c r="F133" s="56" t="str">
        <f>+'Fisico ASIG'!D133</f>
        <v>jue</v>
      </c>
      <c r="G133" s="56">
        <f>+'Fisico ASIG'!E133</f>
        <v>46044</v>
      </c>
      <c r="H133" s="17">
        <v>28</v>
      </c>
      <c r="I133" s="17">
        <f t="shared" si="122"/>
        <v>5.0018453846077859</v>
      </c>
      <c r="J133" s="17">
        <f t="shared" si="123"/>
        <v>6.5099398753915807</v>
      </c>
      <c r="K133" s="113">
        <f t="shared" si="111"/>
        <v>7.5875000000000004</v>
      </c>
      <c r="L133" s="17">
        <v>27</v>
      </c>
      <c r="M133" s="17">
        <v>71.5</v>
      </c>
      <c r="N133" s="17">
        <f t="shared" si="92"/>
        <v>40.553213409702771</v>
      </c>
      <c r="O133" s="17">
        <v>53.116583334861161</v>
      </c>
      <c r="P133" s="18">
        <f>SUMPRODUCT(H133:O133,'Fisico ASIG'!F133:M133)*24</f>
        <v>7988403.3151555862</v>
      </c>
      <c r="Q133" s="43">
        <v>0</v>
      </c>
      <c r="R133" s="43">
        <f t="shared" si="124"/>
        <v>5732.0798303088895</v>
      </c>
      <c r="S133" s="43">
        <f t="shared" si="125"/>
        <v>2832.1455706244888</v>
      </c>
      <c r="T133" s="43">
        <f t="shared" si="112"/>
        <v>1795.6376259798433</v>
      </c>
      <c r="U133" s="43">
        <v>18000</v>
      </c>
      <c r="V133" s="20">
        <v>0</v>
      </c>
      <c r="W133" s="20">
        <v>21900</v>
      </c>
      <c r="X133" s="20">
        <v>0</v>
      </c>
      <c r="Y133" s="18">
        <f>SUMPRODUCT(Q133:X133,'Fisico ASIG'!O133:V133)/E133</f>
        <v>5776429.9898389559</v>
      </c>
      <c r="Z133" s="25">
        <f t="shared" si="118"/>
        <v>13764833.304994542</v>
      </c>
      <c r="AA133" s="26">
        <f>+Z133/'Fisico ASIG'!N133/24</f>
        <v>67.604437362036762</v>
      </c>
      <c r="AB133" s="26">
        <f t="shared" si="100"/>
        <v>15.806111696522654</v>
      </c>
      <c r="AC133" s="29">
        <f t="shared" si="119"/>
        <v>51.798325665514106</v>
      </c>
      <c r="AI133" s="1">
        <v>7241</v>
      </c>
      <c r="AJ133" s="1">
        <v>5762594</v>
      </c>
      <c r="AK133">
        <f t="shared" si="70"/>
        <v>1.44</v>
      </c>
      <c r="AL133" s="40">
        <f t="shared" si="93"/>
        <v>9424.2166666666653</v>
      </c>
      <c r="AM133">
        <v>4100000</v>
      </c>
      <c r="AN133" s="17">
        <v>37.572096870915942</v>
      </c>
      <c r="AO133" s="74">
        <f t="shared" si="120"/>
        <v>2.1311165387868263</v>
      </c>
      <c r="AP133">
        <v>0</v>
      </c>
      <c r="AQ133" s="1">
        <v>0.85</v>
      </c>
    </row>
    <row r="134" spans="1:43" hidden="1" x14ac:dyDescent="0.25">
      <c r="A134" s="3">
        <f t="shared" si="91"/>
        <v>1447.6657</v>
      </c>
      <c r="B134" s="42">
        <v>1472.7349999999999</v>
      </c>
      <c r="C134" s="53">
        <f t="shared" si="121"/>
        <v>2026</v>
      </c>
      <c r="D134" s="52">
        <f>+'Fisico ASIG'!B134</f>
        <v>46023</v>
      </c>
      <c r="E134" s="1">
        <v>31</v>
      </c>
      <c r="F134" s="56" t="str">
        <f>+'Fisico ASIG'!D134</f>
        <v>vie</v>
      </c>
      <c r="G134" s="56">
        <f>+'Fisico ASIG'!E134</f>
        <v>46045</v>
      </c>
      <c r="H134" s="17">
        <v>28</v>
      </c>
      <c r="I134" s="17">
        <f t="shared" si="122"/>
        <v>5.0018453846077859</v>
      </c>
      <c r="J134" s="17">
        <f t="shared" si="123"/>
        <v>6.5099398753915807</v>
      </c>
      <c r="K134" s="113">
        <f t="shared" si="111"/>
        <v>7.5875000000000004</v>
      </c>
      <c r="L134" s="17">
        <v>27</v>
      </c>
      <c r="M134" s="17">
        <v>71.5</v>
      </c>
      <c r="N134" s="17">
        <f t="shared" si="92"/>
        <v>40.714114979261261</v>
      </c>
      <c r="O134" s="17">
        <v>85.224488404669955</v>
      </c>
      <c r="P134" s="18">
        <f>SUMPRODUCT(H134:O134,'Fisico ASIG'!F134:M134)*24</f>
        <v>7625666.5711624017</v>
      </c>
      <c r="Q134" s="43">
        <v>0</v>
      </c>
      <c r="R134" s="43">
        <f t="shared" si="124"/>
        <v>5732.0798303088895</v>
      </c>
      <c r="S134" s="43">
        <f t="shared" si="125"/>
        <v>2832.1455706244888</v>
      </c>
      <c r="T134" s="43">
        <f t="shared" si="112"/>
        <v>1795.6376259798433</v>
      </c>
      <c r="U134" s="43">
        <v>18000</v>
      </c>
      <c r="V134" s="20">
        <v>0</v>
      </c>
      <c r="W134" s="20">
        <v>21900</v>
      </c>
      <c r="X134" s="20">
        <v>0</v>
      </c>
      <c r="Y134" s="18">
        <f>SUMPRODUCT(Q134:X134,'Fisico ASIG'!O134:V134)/E134</f>
        <v>5785089.1033980958</v>
      </c>
      <c r="Z134" s="25">
        <f t="shared" si="118"/>
        <v>13410755.674560498</v>
      </c>
      <c r="AA134" s="26">
        <f>+Z134/'Fisico ASIG'!N134/24</f>
        <v>60.939856299349167</v>
      </c>
      <c r="AB134" s="26">
        <f t="shared" si="100"/>
        <v>15.806111696522654</v>
      </c>
      <c r="AC134" s="29">
        <f t="shared" si="119"/>
        <v>45.133744602826511</v>
      </c>
      <c r="AI134" s="1">
        <v>7241</v>
      </c>
      <c r="AJ134" s="1">
        <v>5762594</v>
      </c>
      <c r="AK134">
        <f t="shared" si="70"/>
        <v>1.44</v>
      </c>
      <c r="AL134" s="40">
        <f t="shared" si="93"/>
        <v>9424.2166666666653</v>
      </c>
      <c r="AM134">
        <v>4100000</v>
      </c>
      <c r="AN134" s="17">
        <v>37.722824336544505</v>
      </c>
      <c r="AO134" s="74">
        <f t="shared" si="120"/>
        <v>2.1412906427167542</v>
      </c>
      <c r="AP134">
        <v>0</v>
      </c>
      <c r="AQ134" s="1">
        <v>0.85</v>
      </c>
    </row>
    <row r="135" spans="1:43" hidden="1" x14ac:dyDescent="0.25">
      <c r="A135" s="3">
        <f t="shared" si="91"/>
        <v>1447.6657</v>
      </c>
      <c r="B135" s="42">
        <v>1472.7349999999999</v>
      </c>
      <c r="C135" s="53">
        <f t="shared" si="121"/>
        <v>2026</v>
      </c>
      <c r="D135" s="52">
        <f>+'Fisico ASIG'!B135</f>
        <v>46023</v>
      </c>
      <c r="E135" s="1">
        <v>31</v>
      </c>
      <c r="F135" s="56" t="str">
        <f>+'Fisico ASIG'!D135</f>
        <v>sáb</v>
      </c>
      <c r="G135" s="56">
        <f>+'Fisico ASIG'!E135</f>
        <v>46046</v>
      </c>
      <c r="H135" s="17">
        <v>28</v>
      </c>
      <c r="I135" s="17">
        <f t="shared" si="122"/>
        <v>5.0018453846077859</v>
      </c>
      <c r="J135" s="17">
        <f t="shared" si="123"/>
        <v>6.5099398753915807</v>
      </c>
      <c r="K135" s="113">
        <f t="shared" si="111"/>
        <v>7.5875000000000004</v>
      </c>
      <c r="L135" s="17">
        <v>27</v>
      </c>
      <c r="M135" s="17">
        <v>71.5</v>
      </c>
      <c r="N135" s="17">
        <f t="shared" si="92"/>
        <v>40.065440470448245</v>
      </c>
      <c r="O135" s="17">
        <v>107.80293738766598</v>
      </c>
      <c r="P135" s="18">
        <f>SUMPRODUCT(H135:O135,'Fisico ASIG'!F135:M135)*24</f>
        <v>8160870.7337134499</v>
      </c>
      <c r="Q135" s="43">
        <v>0</v>
      </c>
      <c r="R135" s="43">
        <f t="shared" si="124"/>
        <v>5732.0798303088895</v>
      </c>
      <c r="S135" s="43">
        <f t="shared" si="125"/>
        <v>2832.1455706244888</v>
      </c>
      <c r="T135" s="43">
        <f t="shared" si="112"/>
        <v>1795.6376259798433</v>
      </c>
      <c r="U135" s="43">
        <v>18000</v>
      </c>
      <c r="V135" s="20">
        <v>0</v>
      </c>
      <c r="W135" s="20">
        <v>21900</v>
      </c>
      <c r="X135" s="20">
        <v>0</v>
      </c>
      <c r="Y135" s="18">
        <f>SUMPRODUCT(Q135:X135,'Fisico ASIG'!O135:V135)/E135</f>
        <v>5767458.1852288879</v>
      </c>
      <c r="Z135" s="25">
        <f t="shared" si="118"/>
        <v>13928328.918942338</v>
      </c>
      <c r="AA135" s="26">
        <f>+Z135/'Fisico ASIG'!N135/24</f>
        <v>66.575430187783439</v>
      </c>
      <c r="AB135" s="26">
        <f t="shared" si="100"/>
        <v>15.806111696522654</v>
      </c>
      <c r="AC135" s="29">
        <f t="shared" si="119"/>
        <v>50.769318491260783</v>
      </c>
      <c r="AI135" s="1">
        <v>7241</v>
      </c>
      <c r="AJ135" s="1">
        <v>5762594</v>
      </c>
      <c r="AK135">
        <f t="shared" si="70"/>
        <v>1.44</v>
      </c>
      <c r="AL135" s="40">
        <f t="shared" si="93"/>
        <v>9424.2166666666653</v>
      </c>
      <c r="AM135">
        <v>4100000</v>
      </c>
      <c r="AN135" s="17">
        <v>37.115166717047536</v>
      </c>
      <c r="AO135" s="74">
        <f t="shared" si="120"/>
        <v>2.100273753400709</v>
      </c>
      <c r="AP135">
        <v>0</v>
      </c>
      <c r="AQ135" s="1">
        <v>0.85</v>
      </c>
    </row>
    <row r="136" spans="1:43" hidden="1" x14ac:dyDescent="0.25">
      <c r="A136" s="3">
        <f t="shared" si="91"/>
        <v>1447.6657</v>
      </c>
      <c r="B136" s="42">
        <v>1472.7349999999999</v>
      </c>
      <c r="C136" s="53">
        <f t="shared" si="121"/>
        <v>2026</v>
      </c>
      <c r="D136" s="52">
        <f>+'Fisico ASIG'!B136</f>
        <v>46023</v>
      </c>
      <c r="E136" s="1">
        <v>31</v>
      </c>
      <c r="F136" s="56" t="str">
        <f>+'Fisico ASIG'!D136</f>
        <v>dom</v>
      </c>
      <c r="G136" s="56">
        <f>+'Fisico ASIG'!E136</f>
        <v>46047</v>
      </c>
      <c r="H136" s="17">
        <v>28</v>
      </c>
      <c r="I136" s="17">
        <f t="shared" si="122"/>
        <v>5.0018453846077859</v>
      </c>
      <c r="J136" s="17">
        <f t="shared" si="123"/>
        <v>6.5099398753915807</v>
      </c>
      <c r="K136" s="113">
        <f t="shared" si="111"/>
        <v>7.5875000000000004</v>
      </c>
      <c r="L136" s="17">
        <v>27</v>
      </c>
      <c r="M136" s="17">
        <v>71.5</v>
      </c>
      <c r="N136" s="17">
        <f t="shared" si="92"/>
        <v>40.228678285227183</v>
      </c>
      <c r="O136" s="17">
        <v>108.91276020519958</v>
      </c>
      <c r="P136" s="18">
        <f>SUMPRODUCT(H136:O136,'Fisico ASIG'!F136:M136)*24</f>
        <v>9187657.9083550088</v>
      </c>
      <c r="Q136" s="43">
        <v>0</v>
      </c>
      <c r="R136" s="43">
        <f t="shared" si="124"/>
        <v>5732.0798303088895</v>
      </c>
      <c r="S136" s="43">
        <f t="shared" si="125"/>
        <v>2832.1455706244888</v>
      </c>
      <c r="T136" s="43">
        <f t="shared" si="112"/>
        <v>1795.6376259798433</v>
      </c>
      <c r="U136" s="43">
        <v>18000</v>
      </c>
      <c r="V136" s="20">
        <v>0</v>
      </c>
      <c r="W136" s="20">
        <v>21900</v>
      </c>
      <c r="X136" s="20">
        <v>0</v>
      </c>
      <c r="Y136" s="18">
        <f>SUMPRODUCT(Q136:X136,'Fisico ASIG'!O136:V136)/E136</f>
        <v>5746712.6489056749</v>
      </c>
      <c r="Z136" s="25">
        <f t="shared" si="118"/>
        <v>14934370.557260685</v>
      </c>
      <c r="AA136" s="26">
        <f>+Z136/'Fisico ASIG'!N136/24</f>
        <v>71.325840679159697</v>
      </c>
      <c r="AB136" s="26">
        <f t="shared" si="100"/>
        <v>15.806111696522654</v>
      </c>
      <c r="AC136" s="29">
        <f t="shared" si="119"/>
        <v>55.519728982637041</v>
      </c>
      <c r="AI136" s="1">
        <v>7241</v>
      </c>
      <c r="AJ136" s="1">
        <v>5762594</v>
      </c>
      <c r="AK136">
        <f t="shared" si="70"/>
        <v>1.44</v>
      </c>
      <c r="AL136" s="40">
        <f t="shared" si="93"/>
        <v>9424.2166666666653</v>
      </c>
      <c r="AM136">
        <v>4100000</v>
      </c>
      <c r="AN136" s="17">
        <v>37.268082702788931</v>
      </c>
      <c r="AO136" s="74">
        <f t="shared" si="120"/>
        <v>2.1105955824382532</v>
      </c>
      <c r="AP136">
        <v>0</v>
      </c>
      <c r="AQ136" s="1">
        <v>0.85</v>
      </c>
    </row>
    <row r="137" spans="1:43" hidden="1" x14ac:dyDescent="0.25">
      <c r="A137" s="3">
        <f t="shared" si="91"/>
        <v>1447.6657</v>
      </c>
      <c r="B137" s="42">
        <v>1472.7349999999999</v>
      </c>
      <c r="C137" s="53">
        <f t="shared" ref="C137" si="126">YEAR(G137)</f>
        <v>2026</v>
      </c>
      <c r="D137" s="52">
        <f>+'Fisico ASIG'!B137</f>
        <v>46023</v>
      </c>
      <c r="E137" s="1">
        <v>31</v>
      </c>
      <c r="F137" s="56" t="str">
        <f>+'Fisico ASIG'!D137</f>
        <v>lun</v>
      </c>
      <c r="G137" s="56">
        <f>+'Fisico ASIG'!E137</f>
        <v>46048</v>
      </c>
      <c r="H137" s="17">
        <v>28</v>
      </c>
      <c r="I137" s="17">
        <f t="shared" ref="I137" si="127">AI137/A137</f>
        <v>5.0018453846077859</v>
      </c>
      <c r="J137" s="17">
        <f t="shared" ref="J137" si="128">+AL137/A137</f>
        <v>6.5099398753915807</v>
      </c>
      <c r="K137" s="113">
        <f t="shared" si="111"/>
        <v>7.5875000000000004</v>
      </c>
      <c r="L137" s="17">
        <v>27</v>
      </c>
      <c r="M137" s="17">
        <v>71.5</v>
      </c>
      <c r="N137" s="17">
        <f t="shared" si="92"/>
        <v>44.919754046657687</v>
      </c>
      <c r="O137" s="17">
        <v>107.94217613917417</v>
      </c>
      <c r="P137" s="18">
        <f>SUMPRODUCT(H137:O137,'Fisico ASIG'!F137:M137)*24</f>
        <v>10788686.099197242</v>
      </c>
      <c r="Q137" s="43">
        <v>0</v>
      </c>
      <c r="R137" s="43">
        <f t="shared" ref="R137" si="129">+AJ137*AK137/A137</f>
        <v>5732.0798303088895</v>
      </c>
      <c r="S137" s="43">
        <f t="shared" ref="S137" si="130">+AM137/A137</f>
        <v>2832.1455706244888</v>
      </c>
      <c r="T137" s="43">
        <f t="shared" si="112"/>
        <v>1795.6376259798433</v>
      </c>
      <c r="U137" s="43">
        <v>18000</v>
      </c>
      <c r="V137" s="20">
        <v>0</v>
      </c>
      <c r="W137" s="20">
        <v>21900</v>
      </c>
      <c r="X137" s="20">
        <v>0</v>
      </c>
      <c r="Y137" s="18">
        <f>SUMPRODUCT(Q137:X137,'Fisico ASIG'!O137:V137)/E137</f>
        <v>5710822.9775207248</v>
      </c>
      <c r="Z137" s="25">
        <f t="shared" si="118"/>
        <v>16499509.076717967</v>
      </c>
      <c r="AA137" s="26">
        <f>+Z137/'Fisico ASIG'!N137/24</f>
        <v>67.650612754443344</v>
      </c>
      <c r="AB137" s="26">
        <f t="shared" si="100"/>
        <v>15.806111696522654</v>
      </c>
      <c r="AC137" s="29">
        <f t="shared" si="119"/>
        <v>51.844501057920688</v>
      </c>
      <c r="AI137" s="1">
        <v>7241</v>
      </c>
      <c r="AJ137" s="1">
        <v>5762594</v>
      </c>
      <c r="AK137">
        <f t="shared" si="70"/>
        <v>1.44</v>
      </c>
      <c r="AL137" s="40">
        <f t="shared" si="93"/>
        <v>9424.2166666666653</v>
      </c>
      <c r="AM137">
        <v>4100000</v>
      </c>
      <c r="AN137" s="17">
        <v>41.662533064784718</v>
      </c>
      <c r="AO137" s="74">
        <f t="shared" ref="AO137" si="131">0.075*0.9*(AN137-6)</f>
        <v>2.4072209818729684</v>
      </c>
      <c r="AP137">
        <v>0</v>
      </c>
      <c r="AQ137" s="1">
        <v>0.85</v>
      </c>
    </row>
    <row r="138" spans="1:43" hidden="1" x14ac:dyDescent="0.25">
      <c r="A138" s="3">
        <f t="shared" si="91"/>
        <v>1447.6657</v>
      </c>
      <c r="B138" s="42">
        <v>1472.7349999999999</v>
      </c>
      <c r="C138" s="53">
        <f t="shared" ref="C138:C142" si="132">YEAR(G138)</f>
        <v>2026</v>
      </c>
      <c r="D138" s="52">
        <f>+'Fisico ASIG'!B138</f>
        <v>46023</v>
      </c>
      <c r="E138" s="1">
        <v>31</v>
      </c>
      <c r="F138" s="56" t="str">
        <f>+'Fisico ASIG'!D138</f>
        <v>mar</v>
      </c>
      <c r="G138" s="56">
        <f>+'Fisico ASIG'!E138</f>
        <v>46049</v>
      </c>
      <c r="H138" s="17">
        <v>28</v>
      </c>
      <c r="I138" s="17">
        <f t="shared" ref="I138:I141" si="133">AI138/A138</f>
        <v>5.0018453846077859</v>
      </c>
      <c r="J138" s="17">
        <f t="shared" ref="J138:J141" si="134">+AL138/A138</f>
        <v>6.5099398753915807</v>
      </c>
      <c r="K138" s="113">
        <f t="shared" si="111"/>
        <v>7.5875000000000004</v>
      </c>
      <c r="L138" s="17">
        <v>27</v>
      </c>
      <c r="M138" s="17">
        <v>71.5</v>
      </c>
      <c r="N138" s="17">
        <f t="shared" si="92"/>
        <v>44.619191165674842</v>
      </c>
      <c r="O138" s="17">
        <v>112.32934871192258</v>
      </c>
      <c r="P138" s="18">
        <f>SUMPRODUCT(H138:O138,'Fisico ASIG'!F138:M138)*24</f>
        <v>10688579.819439556</v>
      </c>
      <c r="Q138" s="43">
        <v>0</v>
      </c>
      <c r="R138" s="43">
        <f t="shared" ref="R138:R142" si="135">+AJ138*AK138/A138</f>
        <v>5732.0798303088895</v>
      </c>
      <c r="S138" s="43">
        <f t="shared" ref="S138:S142" si="136">+AM138/A138</f>
        <v>2832.1455706244888</v>
      </c>
      <c r="T138" s="43">
        <f t="shared" si="112"/>
        <v>1795.6376259798433</v>
      </c>
      <c r="U138" s="43">
        <v>18000</v>
      </c>
      <c r="V138" s="20">
        <v>0</v>
      </c>
      <c r="W138" s="20">
        <v>21900</v>
      </c>
      <c r="X138" s="20">
        <v>0</v>
      </c>
      <c r="Y138" s="18">
        <f>SUMPRODUCT(Q138:X138,'Fisico ASIG'!O138:V138)/E138</f>
        <v>5763952.4526425358</v>
      </c>
      <c r="Z138" s="25">
        <f t="shared" si="118"/>
        <v>16452532.272082092</v>
      </c>
      <c r="AA138" s="26">
        <f>+Z138/'Fisico ASIG'!N138/24</f>
        <v>67.696029795420074</v>
      </c>
      <c r="AB138" s="26">
        <f t="shared" si="100"/>
        <v>15.806111696522654</v>
      </c>
      <c r="AC138" s="29">
        <f t="shared" si="119"/>
        <v>51.889918098897418</v>
      </c>
      <c r="AI138" s="1">
        <v>7241</v>
      </c>
      <c r="AJ138" s="1">
        <v>5762594</v>
      </c>
      <c r="AK138">
        <f t="shared" si="70"/>
        <v>1.44</v>
      </c>
      <c r="AL138" s="40">
        <f t="shared" si="93"/>
        <v>9424.2166666666653</v>
      </c>
      <c r="AM138">
        <v>4100000</v>
      </c>
      <c r="AN138" s="17">
        <v>41.380975330842944</v>
      </c>
      <c r="AO138" s="74">
        <f t="shared" ref="AO138:AO141" si="137">0.075*0.9*(AN138-6)</f>
        <v>2.3882158348318989</v>
      </c>
      <c r="AP138">
        <v>0</v>
      </c>
      <c r="AQ138" s="1">
        <v>0.85</v>
      </c>
    </row>
    <row r="139" spans="1:43" hidden="1" x14ac:dyDescent="0.25">
      <c r="A139" s="3">
        <f t="shared" si="91"/>
        <v>1447.6657</v>
      </c>
      <c r="B139" s="42">
        <v>1472.7349999999999</v>
      </c>
      <c r="C139" s="53">
        <f t="shared" si="132"/>
        <v>2026</v>
      </c>
      <c r="D139" s="52">
        <f>+'Fisico ASIG'!B139</f>
        <v>46023</v>
      </c>
      <c r="E139" s="1">
        <v>31</v>
      </c>
      <c r="F139" s="56" t="str">
        <f>+'Fisico ASIG'!D139</f>
        <v>mié</v>
      </c>
      <c r="G139" s="56">
        <f>+'Fisico ASIG'!E139</f>
        <v>46050</v>
      </c>
      <c r="H139" s="17">
        <v>28</v>
      </c>
      <c r="I139" s="17">
        <f t="shared" si="133"/>
        <v>5.0018453846077859</v>
      </c>
      <c r="J139" s="17">
        <f t="shared" si="134"/>
        <v>6.5099398753915807</v>
      </c>
      <c r="K139" s="113">
        <f t="shared" si="111"/>
        <v>7.5875000000000004</v>
      </c>
      <c r="L139" s="17">
        <v>27</v>
      </c>
      <c r="M139" s="17">
        <v>71.5</v>
      </c>
      <c r="N139" s="17">
        <f t="shared" si="92"/>
        <v>44.026119279927038</v>
      </c>
      <c r="O139" s="17">
        <v>115.11901510793042</v>
      </c>
      <c r="P139" s="18">
        <f>SUMPRODUCT(H139:O139,'Fisico ASIG'!F139:M139)*24</f>
        <v>9656313.4898681939</v>
      </c>
      <c r="Q139" s="43">
        <v>0</v>
      </c>
      <c r="R139" s="43">
        <f t="shared" si="135"/>
        <v>5732.0798303088895</v>
      </c>
      <c r="S139" s="43">
        <f t="shared" si="136"/>
        <v>2832.1455706244888</v>
      </c>
      <c r="T139" s="43">
        <f t="shared" si="112"/>
        <v>1795.6376259798433</v>
      </c>
      <c r="U139" s="43">
        <v>18000</v>
      </c>
      <c r="V139" s="20">
        <v>0</v>
      </c>
      <c r="W139" s="20">
        <v>21900</v>
      </c>
      <c r="X139" s="20">
        <v>0</v>
      </c>
      <c r="Y139" s="18">
        <f>SUMPRODUCT(Q139:X139,'Fisico ASIG'!O139:V139)/E139</f>
        <v>5755730.3841956528</v>
      </c>
      <c r="Z139" s="25">
        <f t="shared" si="118"/>
        <v>15412043.874063846</v>
      </c>
      <c r="AA139" s="26">
        <f>+Z139/'Fisico ASIG'!N139/24</f>
        <v>66.441925613715981</v>
      </c>
      <c r="AB139" s="26">
        <f t="shared" si="100"/>
        <v>15.806111696522654</v>
      </c>
      <c r="AC139" s="29">
        <f t="shared" si="119"/>
        <v>50.635813917193325</v>
      </c>
      <c r="AI139" s="1">
        <v>7241</v>
      </c>
      <c r="AJ139" s="1">
        <v>5762594</v>
      </c>
      <c r="AK139">
        <f t="shared" si="70"/>
        <v>1.44</v>
      </c>
      <c r="AL139" s="40">
        <f t="shared" si="93"/>
        <v>9424.2166666666653</v>
      </c>
      <c r="AM139">
        <v>4100000</v>
      </c>
      <c r="AN139" s="17">
        <v>40.825404477683406</v>
      </c>
      <c r="AO139" s="74">
        <f t="shared" si="137"/>
        <v>2.3507148022436302</v>
      </c>
      <c r="AP139">
        <v>0</v>
      </c>
      <c r="AQ139" s="1">
        <v>0.85</v>
      </c>
    </row>
    <row r="140" spans="1:43" hidden="1" x14ac:dyDescent="0.25">
      <c r="A140" s="3">
        <f t="shared" si="91"/>
        <v>1447.6657</v>
      </c>
      <c r="B140" s="42">
        <v>1472.7349999999999</v>
      </c>
      <c r="C140" s="53">
        <f t="shared" si="132"/>
        <v>2026</v>
      </c>
      <c r="D140" s="52">
        <f>+'Fisico ASIG'!B140</f>
        <v>46023</v>
      </c>
      <c r="E140" s="1">
        <v>31</v>
      </c>
      <c r="F140" s="56" t="str">
        <f>+'Fisico ASIG'!D140</f>
        <v>jue</v>
      </c>
      <c r="G140" s="56">
        <f>+'Fisico ASIG'!E140</f>
        <v>46051</v>
      </c>
      <c r="H140" s="17">
        <v>28</v>
      </c>
      <c r="I140" s="17">
        <f t="shared" si="133"/>
        <v>5.0018453846077859</v>
      </c>
      <c r="J140" s="17">
        <f t="shared" si="134"/>
        <v>6.5099398753915807</v>
      </c>
      <c r="K140" s="113">
        <f t="shared" si="111"/>
        <v>7.5875000000000004</v>
      </c>
      <c r="L140" s="17">
        <v>27</v>
      </c>
      <c r="M140" s="17">
        <v>71.5</v>
      </c>
      <c r="N140" s="17">
        <f t="shared" si="92"/>
        <v>44.705467118124638</v>
      </c>
      <c r="O140" s="17">
        <v>115.12058072751145</v>
      </c>
      <c r="P140" s="18">
        <f>SUMPRODUCT(H140:O140,'Fisico ASIG'!F140:M140)*24</f>
        <v>9919824.1036853064</v>
      </c>
      <c r="Q140" s="43">
        <v>0</v>
      </c>
      <c r="R140" s="43">
        <f t="shared" si="135"/>
        <v>5732.0798303088895</v>
      </c>
      <c r="S140" s="43">
        <f t="shared" si="136"/>
        <v>2832.1455706244888</v>
      </c>
      <c r="T140" s="43">
        <f t="shared" si="112"/>
        <v>1795.6376259798433</v>
      </c>
      <c r="U140" s="43">
        <v>18000</v>
      </c>
      <c r="V140" s="20">
        <v>0</v>
      </c>
      <c r="W140" s="20">
        <v>21900</v>
      </c>
      <c r="X140" s="20">
        <v>0</v>
      </c>
      <c r="Y140" s="18">
        <f>SUMPRODUCT(Q140:X140,'Fisico ASIG'!O140:V140)/E140</f>
        <v>5769261.4378330437</v>
      </c>
      <c r="Z140" s="25">
        <f t="shared" si="118"/>
        <v>15689085.541518349</v>
      </c>
      <c r="AA140" s="26">
        <f>+Z140/'Fisico ASIG'!N140/24</f>
        <v>66.625028288753995</v>
      </c>
      <c r="AB140" s="26">
        <f t="shared" si="100"/>
        <v>15.806111696522654</v>
      </c>
      <c r="AC140" s="29">
        <f t="shared" si="119"/>
        <v>50.818916592231339</v>
      </c>
      <c r="AI140" s="1">
        <v>7241</v>
      </c>
      <c r="AJ140" s="1">
        <v>5762594</v>
      </c>
      <c r="AK140">
        <f t="shared" si="70"/>
        <v>1.44</v>
      </c>
      <c r="AL140" s="40">
        <f t="shared" si="93"/>
        <v>9424.2166666666653</v>
      </c>
      <c r="AM140">
        <v>4100000</v>
      </c>
      <c r="AN140" s="17">
        <v>41.461795895198719</v>
      </c>
      <c r="AO140" s="74">
        <f t="shared" si="137"/>
        <v>2.3936712229259136</v>
      </c>
      <c r="AP140">
        <v>0</v>
      </c>
      <c r="AQ140" s="1">
        <v>0.85</v>
      </c>
    </row>
    <row r="141" spans="1:43" hidden="1" x14ac:dyDescent="0.25">
      <c r="A141" s="3">
        <f t="shared" si="91"/>
        <v>1447.6657</v>
      </c>
      <c r="B141" s="42">
        <v>1472.7349999999999</v>
      </c>
      <c r="C141" s="53">
        <f t="shared" si="132"/>
        <v>2026</v>
      </c>
      <c r="D141" s="52">
        <f>+'Fisico ASIG'!B141</f>
        <v>46023</v>
      </c>
      <c r="E141" s="1">
        <v>31</v>
      </c>
      <c r="F141" s="56" t="str">
        <f>+'Fisico ASIG'!D141</f>
        <v>vie</v>
      </c>
      <c r="G141" s="56">
        <f>+'Fisico ASIG'!E141</f>
        <v>46052</v>
      </c>
      <c r="H141" s="17">
        <v>28</v>
      </c>
      <c r="I141" s="17">
        <f t="shared" si="133"/>
        <v>5.0018453846077859</v>
      </c>
      <c r="J141" s="17">
        <f t="shared" si="134"/>
        <v>6.5099398753915807</v>
      </c>
      <c r="K141" s="113">
        <f t="shared" si="111"/>
        <v>7.5875000000000004</v>
      </c>
      <c r="L141" s="17">
        <v>27</v>
      </c>
      <c r="M141" s="17">
        <v>71.5</v>
      </c>
      <c r="N141" s="17">
        <f t="shared" si="92"/>
        <v>45.923559187677938</v>
      </c>
      <c r="O141" s="17">
        <v>115.10714752739339</v>
      </c>
      <c r="P141" s="18">
        <f>SUMPRODUCT(H141:O141,'Fisico ASIG'!F141:M141)*24</f>
        <v>10378655.161545802</v>
      </c>
      <c r="Q141" s="43">
        <v>0</v>
      </c>
      <c r="R141" s="43">
        <f t="shared" si="135"/>
        <v>5732.0798303088895</v>
      </c>
      <c r="S141" s="43">
        <f t="shared" si="136"/>
        <v>2832.1455706244888</v>
      </c>
      <c r="T141" s="43">
        <f t="shared" si="112"/>
        <v>1795.6376259798433</v>
      </c>
      <c r="U141" s="43">
        <v>18000</v>
      </c>
      <c r="V141" s="20">
        <v>0</v>
      </c>
      <c r="W141" s="20">
        <v>21900</v>
      </c>
      <c r="X141" s="20">
        <v>0</v>
      </c>
      <c r="Y141" s="18">
        <f>SUMPRODUCT(Q141:X141,'Fisico ASIG'!O141:V141)/E141</f>
        <v>5753753.700330059</v>
      </c>
      <c r="Z141" s="25">
        <f t="shared" si="118"/>
        <v>16132408.861875862</v>
      </c>
      <c r="AA141" s="26">
        <f>+Z141/'Fisico ASIG'!N141/24</f>
        <v>68.821862606081226</v>
      </c>
      <c r="AB141" s="26">
        <f t="shared" si="100"/>
        <v>15.806111696522654</v>
      </c>
      <c r="AC141" s="29">
        <f t="shared" si="119"/>
        <v>53.01575090955857</v>
      </c>
      <c r="AI141" s="1">
        <v>7241</v>
      </c>
      <c r="AJ141" s="1">
        <v>5762594</v>
      </c>
      <c r="AK141">
        <f t="shared" si="70"/>
        <v>1.44</v>
      </c>
      <c r="AL141" s="40">
        <f t="shared" si="93"/>
        <v>9424.2166666666653</v>
      </c>
      <c r="AM141">
        <v>4100000</v>
      </c>
      <c r="AN141" s="17">
        <v>42.602865749581206</v>
      </c>
      <c r="AO141" s="74">
        <f t="shared" si="137"/>
        <v>2.4706934380967316</v>
      </c>
      <c r="AP141">
        <v>0</v>
      </c>
      <c r="AQ141" s="1">
        <v>0.85</v>
      </c>
    </row>
    <row r="142" spans="1:43" hidden="1" x14ac:dyDescent="0.25">
      <c r="A142" s="3">
        <f>+A133</f>
        <v>1447.6657</v>
      </c>
      <c r="B142" s="42">
        <v>1472.7349999999999</v>
      </c>
      <c r="C142" s="53">
        <f t="shared" si="132"/>
        <v>2026</v>
      </c>
      <c r="D142" s="52">
        <f>+'Fisico ASIG'!B142</f>
        <v>46023</v>
      </c>
      <c r="E142" s="1">
        <v>31</v>
      </c>
      <c r="F142" s="56" t="str">
        <f>+'Fisico ASIG'!D142</f>
        <v>sáb</v>
      </c>
      <c r="G142" s="56">
        <f>+'Fisico ASIG'!E142</f>
        <v>46053</v>
      </c>
      <c r="H142" s="17">
        <v>28</v>
      </c>
      <c r="I142" s="17">
        <f t="shared" ref="I142" si="138">AI142/A142</f>
        <v>5.0018453846077859</v>
      </c>
      <c r="J142" s="17">
        <f t="shared" ref="J142" si="139">+AL142/A142</f>
        <v>6.5099398753915807</v>
      </c>
      <c r="K142" s="113">
        <f t="shared" si="111"/>
        <v>7.5875000000000004</v>
      </c>
      <c r="L142" s="17">
        <v>27</v>
      </c>
      <c r="M142" s="17">
        <v>71.5</v>
      </c>
      <c r="N142" s="17">
        <f t="shared" ref="N142" si="140">+AN142+AO142+AP142+AQ142</f>
        <v>45.476543195763803</v>
      </c>
      <c r="O142" s="17">
        <v>115.0971655652455</v>
      </c>
      <c r="P142" s="18">
        <f>SUMPRODUCT(H142:O142,'Fisico ASIG'!F142:M142)*24</f>
        <v>9996231.9747327976</v>
      </c>
      <c r="Q142" s="43">
        <v>0</v>
      </c>
      <c r="R142" s="43">
        <f t="shared" si="135"/>
        <v>5732.0798303088895</v>
      </c>
      <c r="S142" s="43">
        <f t="shared" si="136"/>
        <v>2832.1455706244888</v>
      </c>
      <c r="T142" s="43">
        <f t="shared" si="112"/>
        <v>1795.6376259798433</v>
      </c>
      <c r="U142" s="43">
        <v>18000</v>
      </c>
      <c r="V142" s="20">
        <v>0</v>
      </c>
      <c r="W142" s="20">
        <v>21900</v>
      </c>
      <c r="X142" s="20">
        <v>0</v>
      </c>
      <c r="Y142" s="18">
        <f>SUMPRODUCT(Q142:X142,'Fisico ASIG'!O142:V142)/E142</f>
        <v>5735859.5131823067</v>
      </c>
      <c r="Z142" s="25">
        <f t="shared" ref="Z142" si="141">+(P142+Y142)</f>
        <v>15732091.487915104</v>
      </c>
      <c r="AA142" s="26">
        <f>+Z142/'Fisico ASIG'!N142/24</f>
        <v>73.517560464038411</v>
      </c>
      <c r="AB142" s="26">
        <f t="shared" si="100"/>
        <v>15.806111696522654</v>
      </c>
      <c r="AC142" s="29">
        <f t="shared" ref="AC142" si="142">+AA142-AB142</f>
        <v>57.711448767515755</v>
      </c>
      <c r="AI142" s="1">
        <v>7241</v>
      </c>
      <c r="AJ142" s="1">
        <v>5762594</v>
      </c>
      <c r="AK142">
        <f t="shared" si="70"/>
        <v>1.44</v>
      </c>
      <c r="AL142" s="40">
        <f t="shared" si="93"/>
        <v>9424.2166666666653</v>
      </c>
      <c r="AM142">
        <v>4100000</v>
      </c>
      <c r="AN142" s="17">
        <v>42.184115405867729</v>
      </c>
      <c r="AO142" s="74">
        <f t="shared" ref="AO142:AO154" si="143">0.075*0.9*(AN142-6)</f>
        <v>2.442427789896072</v>
      </c>
      <c r="AP142">
        <v>0</v>
      </c>
      <c r="AQ142" s="1">
        <v>0.85</v>
      </c>
    </row>
    <row r="143" spans="1:43" hidden="1" x14ac:dyDescent="0.25">
      <c r="A143" s="3">
        <v>1408.96</v>
      </c>
      <c r="B143" s="42">
        <v>1472.7349999999999</v>
      </c>
      <c r="C143" s="53">
        <f t="shared" ref="C143:C145" si="144">YEAR(G143)</f>
        <v>2026</v>
      </c>
      <c r="D143" s="52">
        <f>+'Fisico ASIG'!B143</f>
        <v>46054</v>
      </c>
      <c r="E143" s="1">
        <v>28</v>
      </c>
      <c r="F143" s="56" t="str">
        <f>+'Fisico ASIG'!D143</f>
        <v>dom</v>
      </c>
      <c r="G143" s="56">
        <f>+'Fisico ASIG'!E143</f>
        <v>46054</v>
      </c>
      <c r="H143" s="17">
        <v>28</v>
      </c>
      <c r="I143" s="17">
        <f t="shared" ref="I143:I153" si="145">AI143/A143</f>
        <v>5.1392516466045874</v>
      </c>
      <c r="J143" s="17">
        <f t="shared" ref="J143:J153" si="146">+AL143/A143</f>
        <v>6.6887751722310531</v>
      </c>
      <c r="K143" s="113">
        <f t="shared" si="111"/>
        <v>7.5875000000000004</v>
      </c>
      <c r="L143" s="17">
        <v>27</v>
      </c>
      <c r="M143" s="17">
        <v>71.5</v>
      </c>
      <c r="N143" s="17">
        <f t="shared" ref="N143:N153" si="147">+AN143+AO143+AP143+AQ143</f>
        <v>43.395581479563994</v>
      </c>
      <c r="O143" s="17">
        <v>121.96282215633001</v>
      </c>
      <c r="P143" s="18">
        <f>SUMPRODUCT(H143:O143,'Fisico ASIG'!F143:M143)*24</f>
        <v>9473633.1655327938</v>
      </c>
      <c r="Q143" s="43">
        <v>0</v>
      </c>
      <c r="R143" s="43">
        <f t="shared" ref="R143:R153" si="148">+AJ143*AK143/A143</f>
        <v>5889.5464456052687</v>
      </c>
      <c r="S143" s="43">
        <f t="shared" ref="S143:S153" si="149">+AM143/A143</f>
        <v>2909.9477628889395</v>
      </c>
      <c r="T143" s="43">
        <f t="shared" si="112"/>
        <v>1795.6376259798433</v>
      </c>
      <c r="U143" s="43">
        <v>18000</v>
      </c>
      <c r="V143" s="20">
        <v>0</v>
      </c>
      <c r="W143" s="20">
        <v>21900</v>
      </c>
      <c r="X143" s="20">
        <v>0</v>
      </c>
      <c r="Y143" s="18">
        <f>SUMPRODUCT(Q143:X143,'Fisico ASIG'!O143:V143)/E143</f>
        <v>6240519.7797084237</v>
      </c>
      <c r="Z143" s="25">
        <f t="shared" ref="Z143:Z145" si="150">+(P143+Y143)</f>
        <v>15714152.945241217</v>
      </c>
      <c r="AA143" s="26">
        <f>+Z143/'Fisico ASIG'!N143/24</f>
        <v>79.435127742165847</v>
      </c>
      <c r="AB143" s="26">
        <f t="shared" ref="AB143:AB170" si="151">+$AB$16*336/0.52/672*1.1</f>
        <v>16.923076923076923</v>
      </c>
      <c r="AC143" s="29">
        <f>+AA143-AB143</f>
        <v>62.512050819088927</v>
      </c>
      <c r="AI143" s="1">
        <v>7241</v>
      </c>
      <c r="AJ143" s="1">
        <v>5762594</v>
      </c>
      <c r="AK143">
        <f t="shared" si="70"/>
        <v>1.44</v>
      </c>
      <c r="AL143" s="40">
        <f t="shared" si="93"/>
        <v>9424.2166666666653</v>
      </c>
      <c r="AM143">
        <v>4100000</v>
      </c>
      <c r="AN143" s="17">
        <v>40.234736749006082</v>
      </c>
      <c r="AO143" s="74">
        <f t="shared" si="143"/>
        <v>2.3108447305579105</v>
      </c>
      <c r="AP143">
        <v>0</v>
      </c>
      <c r="AQ143" s="1">
        <v>0.85</v>
      </c>
    </row>
    <row r="144" spans="1:43" hidden="1" x14ac:dyDescent="0.25">
      <c r="A144" s="3">
        <f>+A143</f>
        <v>1408.96</v>
      </c>
      <c r="B144" s="42">
        <v>1438.46</v>
      </c>
      <c r="C144" s="53">
        <f t="shared" si="144"/>
        <v>2026</v>
      </c>
      <c r="D144" s="52">
        <f>+'Fisico ASIG'!B144</f>
        <v>46054</v>
      </c>
      <c r="E144" s="1">
        <v>28</v>
      </c>
      <c r="F144" s="56" t="str">
        <f>+'Fisico ASIG'!D144</f>
        <v>lun</v>
      </c>
      <c r="G144" s="56">
        <f>+'Fisico ASIG'!E144</f>
        <v>46055</v>
      </c>
      <c r="H144" s="17">
        <v>28</v>
      </c>
      <c r="I144" s="17">
        <f t="shared" si="145"/>
        <v>5.1392516466045874</v>
      </c>
      <c r="J144" s="17">
        <f t="shared" si="146"/>
        <v>6.6887751722310531</v>
      </c>
      <c r="K144" s="113">
        <f t="shared" si="111"/>
        <v>7.5875000000000004</v>
      </c>
      <c r="L144" s="17">
        <v>27</v>
      </c>
      <c r="M144" s="17">
        <v>71.5</v>
      </c>
      <c r="N144" s="17">
        <f t="shared" si="147"/>
        <v>39.801817652024802</v>
      </c>
      <c r="O144" s="17">
        <v>121.94672479981641</v>
      </c>
      <c r="P144" s="18">
        <f>SUMPRODUCT(H144:O144,'Fisico ASIG'!F144:M144)*24</f>
        <v>10131285.067037992</v>
      </c>
      <c r="Q144" s="43">
        <v>0</v>
      </c>
      <c r="R144" s="43">
        <f t="shared" si="148"/>
        <v>5889.5464456052687</v>
      </c>
      <c r="S144" s="43">
        <f t="shared" si="149"/>
        <v>2909.9477628889395</v>
      </c>
      <c r="T144" s="43">
        <f t="shared" si="112"/>
        <v>1795.6376259798433</v>
      </c>
      <c r="U144" s="43">
        <v>18000</v>
      </c>
      <c r="V144" s="20">
        <v>0</v>
      </c>
      <c r="W144" s="20">
        <v>21900</v>
      </c>
      <c r="X144" s="20">
        <v>0</v>
      </c>
      <c r="Y144" s="18">
        <f>SUMPRODUCT(Q144:X144,'Fisico ASIG'!O144:V144)/E144</f>
        <v>6279364.4321674258</v>
      </c>
      <c r="Z144" s="25">
        <f t="shared" si="150"/>
        <v>16410649.499205418</v>
      </c>
      <c r="AA144" s="26">
        <f>+Z144/'Fisico ASIG'!N144/24</f>
        <v>69.644720080201708</v>
      </c>
      <c r="AB144" s="26">
        <f t="shared" si="151"/>
        <v>16.923076923076923</v>
      </c>
      <c r="AC144" s="29">
        <f t="shared" ref="AC144:AC145" si="152">+AA144-AB144</f>
        <v>52.721643157124788</v>
      </c>
      <c r="AI144" s="1">
        <v>7241</v>
      </c>
      <c r="AJ144" s="1">
        <v>5762594</v>
      </c>
      <c r="AK144">
        <f t="shared" si="70"/>
        <v>1.44</v>
      </c>
      <c r="AL144" s="40">
        <f t="shared" si="93"/>
        <v>9424.2166666666653</v>
      </c>
      <c r="AM144">
        <v>4100000</v>
      </c>
      <c r="AN144" s="17">
        <v>36.86821325716609</v>
      </c>
      <c r="AO144" s="74">
        <f t="shared" si="143"/>
        <v>2.0836043948587113</v>
      </c>
      <c r="AP144">
        <v>0</v>
      </c>
      <c r="AQ144" s="1">
        <v>0.85</v>
      </c>
    </row>
    <row r="145" spans="1:43" hidden="1" x14ac:dyDescent="0.25">
      <c r="A145" s="3">
        <f t="shared" ref="A145:A170" si="153">+A144</f>
        <v>1408.96</v>
      </c>
      <c r="B145" s="42">
        <v>1438.46</v>
      </c>
      <c r="C145" s="53">
        <f t="shared" si="144"/>
        <v>2026</v>
      </c>
      <c r="D145" s="52">
        <f>+'Fisico ASIG'!B145</f>
        <v>46054</v>
      </c>
      <c r="E145" s="1">
        <v>28</v>
      </c>
      <c r="F145" s="56" t="str">
        <f>+'Fisico ASIG'!D145</f>
        <v>mar</v>
      </c>
      <c r="G145" s="56">
        <f>+'Fisico ASIG'!E145</f>
        <v>46056</v>
      </c>
      <c r="H145" s="17">
        <v>28</v>
      </c>
      <c r="I145" s="17">
        <f t="shared" si="145"/>
        <v>5.1392516466045874</v>
      </c>
      <c r="J145" s="17">
        <f t="shared" si="146"/>
        <v>6.6887751722310531</v>
      </c>
      <c r="K145" s="113">
        <f t="shared" si="111"/>
        <v>7.5875000000000004</v>
      </c>
      <c r="L145" s="17">
        <v>27</v>
      </c>
      <c r="M145" s="17">
        <v>71.5</v>
      </c>
      <c r="N145" s="17">
        <f t="shared" si="147"/>
        <v>43.618647483915844</v>
      </c>
      <c r="O145" s="17">
        <v>121.95752295634409</v>
      </c>
      <c r="P145" s="18">
        <f>SUMPRODUCT(H145:O145,'Fisico ASIG'!F145:M145)*24</f>
        <v>10246276.888547108</v>
      </c>
      <c r="Q145" s="43">
        <v>0</v>
      </c>
      <c r="R145" s="43">
        <f t="shared" si="148"/>
        <v>5889.5464456052687</v>
      </c>
      <c r="S145" s="43">
        <f t="shared" si="149"/>
        <v>2909.9477628889395</v>
      </c>
      <c r="T145" s="43">
        <f t="shared" si="112"/>
        <v>1795.6376259798433</v>
      </c>
      <c r="U145" s="43">
        <v>18000</v>
      </c>
      <c r="V145" s="20">
        <v>0</v>
      </c>
      <c r="W145" s="20">
        <v>21900</v>
      </c>
      <c r="X145" s="20">
        <v>0</v>
      </c>
      <c r="Y145" s="18">
        <f>SUMPRODUCT(Q145:X145,'Fisico ASIG'!O145:V145)/E145</f>
        <v>6267087.1136974534</v>
      </c>
      <c r="Z145" s="25">
        <f t="shared" si="150"/>
        <v>16513364.002244562</v>
      </c>
      <c r="AA145" s="26">
        <f>+Z145/'Fisico ASIG'!N145/24</f>
        <v>66.876127556022041</v>
      </c>
      <c r="AB145" s="26">
        <f t="shared" si="151"/>
        <v>16.923076923076923</v>
      </c>
      <c r="AC145" s="29">
        <f t="shared" si="152"/>
        <v>49.953050632945121</v>
      </c>
      <c r="AI145" s="1">
        <v>7241</v>
      </c>
      <c r="AJ145" s="1">
        <v>5762594</v>
      </c>
      <c r="AK145">
        <f t="shared" si="70"/>
        <v>1.44</v>
      </c>
      <c r="AL145" s="40">
        <f t="shared" si="93"/>
        <v>9424.2166666666653</v>
      </c>
      <c r="AM145">
        <v>4100000</v>
      </c>
      <c r="AN145" s="17">
        <v>40.443697877204535</v>
      </c>
      <c r="AO145" s="74">
        <f t="shared" si="143"/>
        <v>2.3249496067113062</v>
      </c>
      <c r="AP145">
        <v>0</v>
      </c>
      <c r="AQ145" s="1">
        <v>0.85</v>
      </c>
    </row>
    <row r="146" spans="1:43" hidden="1" x14ac:dyDescent="0.25">
      <c r="A146" s="3">
        <f t="shared" si="153"/>
        <v>1408.96</v>
      </c>
      <c r="B146" s="42">
        <v>1438.46</v>
      </c>
      <c r="C146" s="53">
        <f t="shared" ref="C146:C149" si="154">YEAR(G146)</f>
        <v>2026</v>
      </c>
      <c r="D146" s="52">
        <f>+'Fisico ASIG'!B146</f>
        <v>46054</v>
      </c>
      <c r="E146" s="1">
        <v>28</v>
      </c>
      <c r="F146" s="56" t="str">
        <f>+'Fisico ASIG'!D146</f>
        <v>mié</v>
      </c>
      <c r="G146" s="56">
        <f>+'Fisico ASIG'!E146</f>
        <v>46057</v>
      </c>
      <c r="H146" s="17">
        <v>28</v>
      </c>
      <c r="I146" s="17">
        <f t="shared" si="145"/>
        <v>5.1392516466045874</v>
      </c>
      <c r="J146" s="17">
        <f t="shared" si="146"/>
        <v>6.6887751722310531</v>
      </c>
      <c r="K146" s="113">
        <f t="shared" si="111"/>
        <v>7.5875000000000004</v>
      </c>
      <c r="L146" s="17">
        <v>27</v>
      </c>
      <c r="M146" s="17">
        <v>71.5</v>
      </c>
      <c r="N146" s="17">
        <f t="shared" si="147"/>
        <v>46.208916278133223</v>
      </c>
      <c r="O146" s="17">
        <v>121.96324409234322</v>
      </c>
      <c r="P146" s="18">
        <f>SUMPRODUCT(H146:O146,'Fisico ASIG'!F146:M146)*24</f>
        <v>10489787.962891355</v>
      </c>
      <c r="Q146" s="43">
        <v>0</v>
      </c>
      <c r="R146" s="43">
        <f t="shared" si="148"/>
        <v>5889.5464456052687</v>
      </c>
      <c r="S146" s="43">
        <f t="shared" si="149"/>
        <v>2909.9477628889395</v>
      </c>
      <c r="T146" s="43">
        <f t="shared" si="112"/>
        <v>1795.6376259798433</v>
      </c>
      <c r="U146" s="43">
        <v>18000</v>
      </c>
      <c r="V146" s="20">
        <v>0</v>
      </c>
      <c r="W146" s="20">
        <v>21900</v>
      </c>
      <c r="X146" s="20">
        <v>0</v>
      </c>
      <c r="Y146" s="18">
        <f>SUMPRODUCT(Q146:X146,'Fisico ASIG'!O146:V146)/E146</f>
        <v>6279737.5098013347</v>
      </c>
      <c r="Z146" s="25">
        <f t="shared" ref="Z146:Z153" si="155">+(P146+Y146)</f>
        <v>16769525.472692691</v>
      </c>
      <c r="AA146" s="26">
        <f>+Z146/'Fisico ASIG'!N146/24</f>
        <v>78.487661093185366</v>
      </c>
      <c r="AB146" s="26">
        <f t="shared" si="151"/>
        <v>16.923076923076923</v>
      </c>
      <c r="AC146" s="29">
        <f t="shared" ref="AC146:AC153" si="156">+AA146-AB146</f>
        <v>61.564584170108446</v>
      </c>
      <c r="AI146" s="1">
        <v>7241</v>
      </c>
      <c r="AJ146" s="1">
        <v>5762594</v>
      </c>
      <c r="AK146">
        <f t="shared" si="70"/>
        <v>1.44</v>
      </c>
      <c r="AL146" s="40">
        <f t="shared" si="93"/>
        <v>9424.2166666666653</v>
      </c>
      <c r="AM146">
        <v>4100000</v>
      </c>
      <c r="AN146" s="17">
        <v>42.87017918326297</v>
      </c>
      <c r="AO146" s="74">
        <f t="shared" si="143"/>
        <v>2.4887370948702507</v>
      </c>
      <c r="AP146">
        <v>0</v>
      </c>
      <c r="AQ146" s="1">
        <v>0.85</v>
      </c>
    </row>
    <row r="147" spans="1:43" hidden="1" x14ac:dyDescent="0.25">
      <c r="A147" s="3">
        <f t="shared" si="153"/>
        <v>1408.96</v>
      </c>
      <c r="B147" s="42">
        <v>1438.46</v>
      </c>
      <c r="C147" s="53">
        <f t="shared" si="154"/>
        <v>2026</v>
      </c>
      <c r="D147" s="52">
        <f>+'Fisico ASIG'!B147</f>
        <v>46054</v>
      </c>
      <c r="E147" s="1">
        <v>28</v>
      </c>
      <c r="F147" s="56" t="str">
        <f>+'Fisico ASIG'!D147</f>
        <v>jue</v>
      </c>
      <c r="G147" s="56">
        <f>+'Fisico ASIG'!E147</f>
        <v>46058</v>
      </c>
      <c r="H147" s="17">
        <v>28</v>
      </c>
      <c r="I147" s="17">
        <f t="shared" si="145"/>
        <v>5.1392516466045874</v>
      </c>
      <c r="J147" s="17">
        <f t="shared" si="146"/>
        <v>6.6887751722310531</v>
      </c>
      <c r="K147" s="113">
        <f t="shared" si="111"/>
        <v>7.5875000000000004</v>
      </c>
      <c r="L147" s="17">
        <v>27</v>
      </c>
      <c r="M147" s="17">
        <v>71.5</v>
      </c>
      <c r="N147" s="17">
        <f t="shared" si="147"/>
        <v>42.205410200263884</v>
      </c>
      <c r="O147" s="17">
        <v>121.96258636533531</v>
      </c>
      <c r="P147" s="18">
        <f>SUMPRODUCT(H147:O147,'Fisico ASIG'!F147:M147)*24</f>
        <v>10570174.611942679</v>
      </c>
      <c r="Q147" s="43">
        <v>0</v>
      </c>
      <c r="R147" s="43">
        <f t="shared" si="148"/>
        <v>5889.5464456052687</v>
      </c>
      <c r="S147" s="43">
        <f t="shared" si="149"/>
        <v>2909.9477628889395</v>
      </c>
      <c r="T147" s="43">
        <f t="shared" si="112"/>
        <v>1795.6376259798433</v>
      </c>
      <c r="U147" s="43">
        <v>18000</v>
      </c>
      <c r="V147" s="20">
        <v>0</v>
      </c>
      <c r="W147" s="20">
        <v>21900</v>
      </c>
      <c r="X147" s="20">
        <v>0</v>
      </c>
      <c r="Y147" s="18">
        <f>SUMPRODUCT(Q147:X147,'Fisico ASIG'!O147:V147)/E147</f>
        <v>6333224.1332401792</v>
      </c>
      <c r="Z147" s="25">
        <f t="shared" si="155"/>
        <v>16903398.745182857</v>
      </c>
      <c r="AA147" s="26">
        <f>+Z147/'Fisico ASIG'!N147/24</f>
        <v>79.127152855488205</v>
      </c>
      <c r="AB147" s="26">
        <f t="shared" si="151"/>
        <v>16.923076923076923</v>
      </c>
      <c r="AC147" s="29">
        <f t="shared" si="156"/>
        <v>62.204075932411286</v>
      </c>
      <c r="AI147" s="1">
        <v>7241</v>
      </c>
      <c r="AJ147" s="1">
        <v>5762594</v>
      </c>
      <c r="AK147">
        <f t="shared" si="70"/>
        <v>1.44</v>
      </c>
      <c r="AL147" s="40">
        <f t="shared" si="93"/>
        <v>9424.2166666666653</v>
      </c>
      <c r="AM147">
        <v>4100000</v>
      </c>
      <c r="AN147" s="17">
        <v>39.119822201652347</v>
      </c>
      <c r="AO147" s="74">
        <f t="shared" si="143"/>
        <v>2.2355879986115337</v>
      </c>
      <c r="AP147">
        <v>0</v>
      </c>
      <c r="AQ147" s="1">
        <v>0.85</v>
      </c>
    </row>
    <row r="148" spans="1:43" hidden="1" x14ac:dyDescent="0.25">
      <c r="A148" s="3">
        <f t="shared" si="153"/>
        <v>1408.96</v>
      </c>
      <c r="B148" s="42">
        <v>1438.46</v>
      </c>
      <c r="C148" s="53">
        <f t="shared" si="154"/>
        <v>2026</v>
      </c>
      <c r="D148" s="52">
        <f>+'Fisico ASIG'!B148</f>
        <v>46054</v>
      </c>
      <c r="E148" s="1">
        <v>28</v>
      </c>
      <c r="F148" s="56" t="str">
        <f>+'Fisico ASIG'!D148</f>
        <v>vie</v>
      </c>
      <c r="G148" s="56">
        <f>+'Fisico ASIG'!E148</f>
        <v>46059</v>
      </c>
      <c r="H148" s="17">
        <v>28</v>
      </c>
      <c r="I148" s="17">
        <f t="shared" si="145"/>
        <v>5.1392516466045874</v>
      </c>
      <c r="J148" s="17">
        <f t="shared" si="146"/>
        <v>6.6887751722310531</v>
      </c>
      <c r="K148" s="113">
        <f t="shared" si="111"/>
        <v>7.5875000000000004</v>
      </c>
      <c r="L148" s="17">
        <v>27</v>
      </c>
      <c r="M148" s="17">
        <v>71.5</v>
      </c>
      <c r="N148" s="17">
        <f t="shared" si="147"/>
        <v>39.141642781412379</v>
      </c>
      <c r="O148" s="17">
        <v>121.96126748645987</v>
      </c>
      <c r="P148" s="18">
        <f>SUMPRODUCT(H148:O148,'Fisico ASIG'!F148:M148)*24</f>
        <v>9948751.0197547004</v>
      </c>
      <c r="Q148" s="43">
        <v>0</v>
      </c>
      <c r="R148" s="43">
        <f t="shared" si="148"/>
        <v>5889.5464456052687</v>
      </c>
      <c r="S148" s="43">
        <f t="shared" si="149"/>
        <v>2909.9477628889395</v>
      </c>
      <c r="T148" s="43">
        <f t="shared" si="112"/>
        <v>1795.6376259798433</v>
      </c>
      <c r="U148" s="43">
        <v>18000</v>
      </c>
      <c r="V148" s="20">
        <v>0</v>
      </c>
      <c r="W148" s="20">
        <v>21900</v>
      </c>
      <c r="X148" s="20">
        <v>0</v>
      </c>
      <c r="Y148" s="18">
        <f>SUMPRODUCT(Q148:X148,'Fisico ASIG'!O148:V148)/E148</f>
        <v>6343841.1140335817</v>
      </c>
      <c r="Z148" s="25">
        <f t="shared" si="155"/>
        <v>16292592.133788282</v>
      </c>
      <c r="AA148" s="26">
        <f>+Z148/'Fisico ASIG'!N148/24</f>
        <v>80.974167958553878</v>
      </c>
      <c r="AB148" s="26">
        <f t="shared" si="151"/>
        <v>16.923076923076923</v>
      </c>
      <c r="AC148" s="29">
        <f t="shared" si="156"/>
        <v>64.051091035476958</v>
      </c>
      <c r="AI148" s="1">
        <v>7241</v>
      </c>
      <c r="AJ148" s="1">
        <v>5762594</v>
      </c>
      <c r="AK148">
        <f t="shared" si="70"/>
        <v>1.44</v>
      </c>
      <c r="AL148" s="40">
        <f t="shared" si="93"/>
        <v>9424.2166666666653</v>
      </c>
      <c r="AM148">
        <v>4100000</v>
      </c>
      <c r="AN148" s="17">
        <v>36.249782465023301</v>
      </c>
      <c r="AO148" s="74">
        <f t="shared" si="143"/>
        <v>2.0418603163890729</v>
      </c>
      <c r="AP148">
        <v>0</v>
      </c>
      <c r="AQ148" s="1">
        <v>0.85</v>
      </c>
    </row>
    <row r="149" spans="1:43" hidden="1" x14ac:dyDescent="0.25">
      <c r="A149" s="3">
        <f t="shared" si="153"/>
        <v>1408.96</v>
      </c>
      <c r="B149" s="42">
        <v>1438.46</v>
      </c>
      <c r="C149" s="53">
        <f t="shared" si="154"/>
        <v>2026</v>
      </c>
      <c r="D149" s="52">
        <f>+'Fisico ASIG'!B149</f>
        <v>46054</v>
      </c>
      <c r="E149" s="1">
        <v>28</v>
      </c>
      <c r="F149" s="56" t="str">
        <f>+'Fisico ASIG'!D149</f>
        <v>sáb</v>
      </c>
      <c r="G149" s="56">
        <f>+'Fisico ASIG'!E149</f>
        <v>46060</v>
      </c>
      <c r="H149" s="17">
        <v>28</v>
      </c>
      <c r="I149" s="17">
        <f t="shared" si="145"/>
        <v>5.1392516466045874</v>
      </c>
      <c r="J149" s="17">
        <f t="shared" si="146"/>
        <v>6.6887751722310531</v>
      </c>
      <c r="K149" s="113">
        <f t="shared" si="111"/>
        <v>7.5875000000000004</v>
      </c>
      <c r="L149" s="17">
        <v>27</v>
      </c>
      <c r="M149" s="17">
        <v>71.5</v>
      </c>
      <c r="N149" s="17">
        <f t="shared" si="147"/>
        <v>39.323805587495421</v>
      </c>
      <c r="O149" s="17">
        <v>74.424250752864083</v>
      </c>
      <c r="P149" s="18">
        <f>SUMPRODUCT(H149:O149,'Fisico ASIG'!F149:M149)*24</f>
        <v>7033534.4562319182</v>
      </c>
      <c r="Q149" s="43">
        <v>0</v>
      </c>
      <c r="R149" s="43">
        <f t="shared" si="148"/>
        <v>5889.5464456052687</v>
      </c>
      <c r="S149" s="43">
        <f t="shared" si="149"/>
        <v>2909.9477628889395</v>
      </c>
      <c r="T149" s="43">
        <f t="shared" si="112"/>
        <v>1795.6376259798433</v>
      </c>
      <c r="U149" s="43">
        <v>18000</v>
      </c>
      <c r="V149" s="20">
        <v>0</v>
      </c>
      <c r="W149" s="20">
        <v>21900</v>
      </c>
      <c r="X149" s="20">
        <v>0</v>
      </c>
      <c r="Y149" s="18">
        <f>SUMPRODUCT(Q149:X149,'Fisico ASIG'!O149:V149)/E149</f>
        <v>6278981.1426749006</v>
      </c>
      <c r="Z149" s="25">
        <f t="shared" si="155"/>
        <v>13312515.598906819</v>
      </c>
      <c r="AA149" s="26">
        <f>+Z149/'Fisico ASIG'!N149/24</f>
        <v>73.957868309316893</v>
      </c>
      <c r="AB149" s="26">
        <f t="shared" si="151"/>
        <v>16.923076923076923</v>
      </c>
      <c r="AC149" s="29">
        <f t="shared" si="156"/>
        <v>57.034791386239974</v>
      </c>
      <c r="AI149" s="1">
        <v>7241</v>
      </c>
      <c r="AJ149" s="1">
        <v>5762594</v>
      </c>
      <c r="AK149">
        <f t="shared" si="70"/>
        <v>1.44</v>
      </c>
      <c r="AL149" s="40">
        <f t="shared" si="93"/>
        <v>9424.2166666666653</v>
      </c>
      <c r="AM149">
        <v>4100000</v>
      </c>
      <c r="AN149" s="17">
        <v>36.420426779855191</v>
      </c>
      <c r="AO149" s="74">
        <f t="shared" si="143"/>
        <v>2.0533788076402257</v>
      </c>
      <c r="AP149">
        <v>0</v>
      </c>
      <c r="AQ149" s="1">
        <v>0.85</v>
      </c>
    </row>
    <row r="150" spans="1:43" hidden="1" x14ac:dyDescent="0.25">
      <c r="A150" s="3">
        <f t="shared" si="153"/>
        <v>1408.96</v>
      </c>
      <c r="B150" s="42">
        <v>1438.46</v>
      </c>
      <c r="C150" s="53">
        <f t="shared" ref="C150:C156" si="157">YEAR(G150)</f>
        <v>2026</v>
      </c>
      <c r="D150" s="52">
        <f>+'Fisico ASIG'!B150</f>
        <v>46054</v>
      </c>
      <c r="E150" s="1">
        <v>28</v>
      </c>
      <c r="F150" s="56" t="str">
        <f>+'Fisico ASIG'!D150</f>
        <v>dom</v>
      </c>
      <c r="G150" s="56">
        <f>+'Fisico ASIG'!E150</f>
        <v>46061</v>
      </c>
      <c r="H150" s="17">
        <v>28</v>
      </c>
      <c r="I150" s="17">
        <f t="shared" si="145"/>
        <v>5.1392516466045874</v>
      </c>
      <c r="J150" s="17">
        <f t="shared" si="146"/>
        <v>6.6887751722310531</v>
      </c>
      <c r="K150" s="113">
        <f t="shared" si="111"/>
        <v>7.5875000000000004</v>
      </c>
      <c r="L150" s="17">
        <v>27</v>
      </c>
      <c r="M150" s="17">
        <v>71.5</v>
      </c>
      <c r="N150" s="17">
        <f t="shared" si="147"/>
        <v>40.420252052374416</v>
      </c>
      <c r="O150" s="17">
        <v>112.9044521118949</v>
      </c>
      <c r="P150" s="18">
        <f>SUMPRODUCT(H150:O150,'Fisico ASIG'!F150:M150)*24</f>
        <v>7076441.7029323401</v>
      </c>
      <c r="Q150" s="43">
        <v>0</v>
      </c>
      <c r="R150" s="43">
        <f t="shared" si="148"/>
        <v>5889.5464456052687</v>
      </c>
      <c r="S150" s="43">
        <f t="shared" si="149"/>
        <v>2909.9477628889395</v>
      </c>
      <c r="T150" s="43">
        <f t="shared" si="112"/>
        <v>1795.6376259798433</v>
      </c>
      <c r="U150" s="43">
        <v>18000</v>
      </c>
      <c r="V150" s="20">
        <v>0</v>
      </c>
      <c r="W150" s="20">
        <v>21900</v>
      </c>
      <c r="X150" s="20">
        <v>0</v>
      </c>
      <c r="Y150" s="18">
        <f>SUMPRODUCT(Q150:X150,'Fisico ASIG'!O150:V150)/E150</f>
        <v>6192464.2995799948</v>
      </c>
      <c r="Z150" s="25">
        <f t="shared" si="155"/>
        <v>13268906.002512336</v>
      </c>
      <c r="AA150" s="26">
        <f>+Z150/'Fisico ASIG'!N150/24</f>
        <v>74.987165965051361</v>
      </c>
      <c r="AB150" s="26">
        <f t="shared" si="151"/>
        <v>16.923076923076923</v>
      </c>
      <c r="AC150" s="29">
        <f t="shared" si="156"/>
        <v>58.064089041974441</v>
      </c>
      <c r="AI150" s="1">
        <v>7241</v>
      </c>
      <c r="AJ150" s="1">
        <v>5762594</v>
      </c>
      <c r="AK150">
        <f t="shared" si="70"/>
        <v>1.44</v>
      </c>
      <c r="AL150" s="40">
        <f t="shared" si="93"/>
        <v>9424.2166666666653</v>
      </c>
      <c r="AM150">
        <v>4100000</v>
      </c>
      <c r="AN150" s="17">
        <v>37.447542906205541</v>
      </c>
      <c r="AO150" s="74">
        <f t="shared" si="143"/>
        <v>2.1227091461688743</v>
      </c>
      <c r="AP150">
        <v>0</v>
      </c>
      <c r="AQ150" s="1">
        <v>0.85</v>
      </c>
    </row>
    <row r="151" spans="1:43" hidden="1" x14ac:dyDescent="0.25">
      <c r="A151" s="3">
        <f t="shared" si="153"/>
        <v>1408.96</v>
      </c>
      <c r="B151" s="42">
        <v>1438.46</v>
      </c>
      <c r="C151" s="53">
        <f t="shared" si="157"/>
        <v>2026</v>
      </c>
      <c r="D151" s="52">
        <f>+'Fisico ASIG'!B151</f>
        <v>46054</v>
      </c>
      <c r="E151" s="1">
        <v>28</v>
      </c>
      <c r="F151" s="56" t="str">
        <f>+'Fisico ASIG'!D151</f>
        <v>lun</v>
      </c>
      <c r="G151" s="56">
        <f>+'Fisico ASIG'!E151</f>
        <v>46062</v>
      </c>
      <c r="H151" s="17">
        <v>28</v>
      </c>
      <c r="I151" s="17">
        <f t="shared" si="145"/>
        <v>5.1392516466045874</v>
      </c>
      <c r="J151" s="17">
        <f t="shared" si="146"/>
        <v>6.6887751722310531</v>
      </c>
      <c r="K151" s="113">
        <f t="shared" si="111"/>
        <v>7.5875000000000004</v>
      </c>
      <c r="L151" s="17">
        <v>27</v>
      </c>
      <c r="M151" s="17">
        <v>71.5</v>
      </c>
      <c r="N151" s="17">
        <f t="shared" si="147"/>
        <v>40.793140621425032</v>
      </c>
      <c r="O151" s="17">
        <v>40.922763578738753</v>
      </c>
      <c r="P151" s="18">
        <f>SUMPRODUCT(H151:O151,'Fisico ASIG'!F151:M151)*24</f>
        <v>8540264.7891177218</v>
      </c>
      <c r="Q151" s="43">
        <v>0</v>
      </c>
      <c r="R151" s="43">
        <f t="shared" si="148"/>
        <v>5889.5464456052687</v>
      </c>
      <c r="S151" s="43">
        <f t="shared" si="149"/>
        <v>2909.9477628889395</v>
      </c>
      <c r="T151" s="43">
        <f t="shared" si="112"/>
        <v>1795.6376259798433</v>
      </c>
      <c r="U151" s="43">
        <v>18000</v>
      </c>
      <c r="V151" s="20">
        <v>0</v>
      </c>
      <c r="W151" s="20">
        <v>21900</v>
      </c>
      <c r="X151" s="20">
        <v>0</v>
      </c>
      <c r="Y151" s="18">
        <f>SUMPRODUCT(Q151:X151,'Fisico ASIG'!O151:V151)/E151</f>
        <v>6331806.370491432</v>
      </c>
      <c r="Z151" s="25">
        <f t="shared" si="155"/>
        <v>14872071.159609154</v>
      </c>
      <c r="AA151" s="26">
        <f>+Z151/'Fisico ASIG'!N151/24</f>
        <v>70.944140546185963</v>
      </c>
      <c r="AB151" s="26">
        <f t="shared" si="151"/>
        <v>16.923076923076923</v>
      </c>
      <c r="AC151" s="29">
        <f t="shared" si="156"/>
        <v>54.021063623109043</v>
      </c>
      <c r="AI151" s="1">
        <v>7241</v>
      </c>
      <c r="AJ151" s="1">
        <v>5762594</v>
      </c>
      <c r="AK151">
        <f t="shared" si="70"/>
        <v>1.44</v>
      </c>
      <c r="AL151" s="40">
        <f t="shared" si="93"/>
        <v>9424.2166666666653</v>
      </c>
      <c r="AM151">
        <v>4100000</v>
      </c>
      <c r="AN151" s="17">
        <v>37.796853041147571</v>
      </c>
      <c r="AO151" s="74">
        <f t="shared" si="143"/>
        <v>2.1462875802774612</v>
      </c>
      <c r="AP151">
        <v>0</v>
      </c>
      <c r="AQ151" s="1">
        <v>0.85</v>
      </c>
    </row>
    <row r="152" spans="1:43" hidden="1" x14ac:dyDescent="0.25">
      <c r="A152" s="3">
        <f t="shared" si="153"/>
        <v>1408.96</v>
      </c>
      <c r="B152" s="42">
        <v>1438.46</v>
      </c>
      <c r="C152" s="53">
        <f t="shared" si="157"/>
        <v>2026</v>
      </c>
      <c r="D152" s="52">
        <f>+'Fisico ASIG'!B152</f>
        <v>46054</v>
      </c>
      <c r="E152" s="1">
        <v>28</v>
      </c>
      <c r="F152" s="56" t="str">
        <f>+'Fisico ASIG'!D152</f>
        <v>mar</v>
      </c>
      <c r="G152" s="56">
        <f>+'Fisico ASIG'!E152</f>
        <v>46063</v>
      </c>
      <c r="H152" s="17">
        <v>28</v>
      </c>
      <c r="I152" s="17">
        <f t="shared" si="145"/>
        <v>5.1392516466045874</v>
      </c>
      <c r="J152" s="17">
        <f t="shared" si="146"/>
        <v>6.6887751722310531</v>
      </c>
      <c r="K152" s="113">
        <f t="shared" si="111"/>
        <v>7.5875000000000004</v>
      </c>
      <c r="L152" s="17">
        <v>27</v>
      </c>
      <c r="M152" s="17">
        <v>71.5</v>
      </c>
      <c r="N152" s="17">
        <f t="shared" si="147"/>
        <v>41.250512831584849</v>
      </c>
      <c r="O152" s="17">
        <v>121.88972793984395</v>
      </c>
      <c r="P152" s="18">
        <f>SUMPRODUCT(H152:O152,'Fisico ASIG'!F152:M152)*24</f>
        <v>9355853.632596001</v>
      </c>
      <c r="Q152" s="43">
        <v>0</v>
      </c>
      <c r="R152" s="43">
        <f t="shared" si="148"/>
        <v>5889.5464456052687</v>
      </c>
      <c r="S152" s="43">
        <f t="shared" si="149"/>
        <v>2909.9477628889395</v>
      </c>
      <c r="T152" s="43">
        <f t="shared" si="112"/>
        <v>1795.6376259798433</v>
      </c>
      <c r="U152" s="43">
        <v>18000</v>
      </c>
      <c r="V152" s="20">
        <v>0</v>
      </c>
      <c r="W152" s="20">
        <v>21900</v>
      </c>
      <c r="X152" s="20">
        <v>0</v>
      </c>
      <c r="Y152" s="18">
        <f>SUMPRODUCT(Q152:X152,'Fisico ASIG'!O152:V152)/E152</f>
        <v>6329891.9441797566</v>
      </c>
      <c r="Z152" s="25">
        <f t="shared" si="155"/>
        <v>15685745.576775758</v>
      </c>
      <c r="AA152" s="26">
        <f>+Z152/'Fisico ASIG'!N152/24</f>
        <v>70.391016983940375</v>
      </c>
      <c r="AB152" s="26">
        <f t="shared" si="151"/>
        <v>16.923076923076923</v>
      </c>
      <c r="AC152" s="29">
        <f t="shared" si="156"/>
        <v>53.467940060863455</v>
      </c>
      <c r="AI152" s="1">
        <v>7241</v>
      </c>
      <c r="AJ152" s="1">
        <v>5762594</v>
      </c>
      <c r="AK152">
        <f t="shared" si="70"/>
        <v>1.44</v>
      </c>
      <c r="AL152" s="40">
        <f t="shared" si="93"/>
        <v>9424.2166666666653</v>
      </c>
      <c r="AM152">
        <v>4100000</v>
      </c>
      <c r="AN152" s="17">
        <v>38.225304760266837</v>
      </c>
      <c r="AO152" s="74">
        <f t="shared" si="143"/>
        <v>2.1752080713180115</v>
      </c>
      <c r="AP152">
        <v>0</v>
      </c>
      <c r="AQ152" s="1">
        <v>0.85</v>
      </c>
    </row>
    <row r="153" spans="1:43" hidden="1" x14ac:dyDescent="0.25">
      <c r="A153" s="3">
        <f t="shared" si="153"/>
        <v>1408.96</v>
      </c>
      <c r="B153" s="42">
        <v>1438.46</v>
      </c>
      <c r="C153" s="53">
        <f t="shared" si="157"/>
        <v>2026</v>
      </c>
      <c r="D153" s="52">
        <f>+'Fisico ASIG'!B153</f>
        <v>46054</v>
      </c>
      <c r="E153" s="1">
        <v>28</v>
      </c>
      <c r="F153" s="56" t="str">
        <f>+'Fisico ASIG'!D153</f>
        <v>mié</v>
      </c>
      <c r="G153" s="56">
        <f>+'Fisico ASIG'!E153</f>
        <v>46064</v>
      </c>
      <c r="H153" s="17">
        <v>28</v>
      </c>
      <c r="I153" s="17">
        <f t="shared" si="145"/>
        <v>5.1392516466045874</v>
      </c>
      <c r="J153" s="17">
        <f t="shared" si="146"/>
        <v>6.6887751722310531</v>
      </c>
      <c r="K153" s="113">
        <f t="shared" si="111"/>
        <v>7.5875000000000004</v>
      </c>
      <c r="L153" s="17">
        <v>27</v>
      </c>
      <c r="M153" s="17">
        <v>71.5</v>
      </c>
      <c r="N153" s="17">
        <f t="shared" si="147"/>
        <v>41.366606960181038</v>
      </c>
      <c r="O153" s="17">
        <v>65.093515576507912</v>
      </c>
      <c r="P153" s="18">
        <f>SUMPRODUCT(H153:O153,'Fisico ASIG'!F153:M153)*24</f>
        <v>9019247.8824372906</v>
      </c>
      <c r="Q153" s="43">
        <v>0</v>
      </c>
      <c r="R153" s="43">
        <f t="shared" si="148"/>
        <v>5889.5464456052687</v>
      </c>
      <c r="S153" s="43">
        <f t="shared" si="149"/>
        <v>2909.9477628889395</v>
      </c>
      <c r="T153" s="43">
        <f t="shared" si="112"/>
        <v>1795.6376259798433</v>
      </c>
      <c r="U153" s="43">
        <v>18000</v>
      </c>
      <c r="V153" s="20">
        <v>0</v>
      </c>
      <c r="W153" s="20">
        <v>21900</v>
      </c>
      <c r="X153" s="20">
        <v>0</v>
      </c>
      <c r="Y153" s="18">
        <f>SUMPRODUCT(Q153:X153,'Fisico ASIG'!O153:V153)/E153</f>
        <v>6353116.1507048402</v>
      </c>
      <c r="Z153" s="25">
        <f t="shared" si="155"/>
        <v>15372364.033142131</v>
      </c>
      <c r="AA153" s="26">
        <f>+Z153/'Fisico ASIG'!N153/24</f>
        <v>74.778555980750028</v>
      </c>
      <c r="AB153" s="26">
        <f t="shared" si="151"/>
        <v>16.923076923076923</v>
      </c>
      <c r="AC153" s="29">
        <f t="shared" si="156"/>
        <v>57.855479057673108</v>
      </c>
      <c r="AI153" s="1">
        <v>7241</v>
      </c>
      <c r="AJ153" s="1">
        <v>5762594</v>
      </c>
      <c r="AK153">
        <f t="shared" si="70"/>
        <v>1.44</v>
      </c>
      <c r="AL153" s="40">
        <f t="shared" si="93"/>
        <v>9424.2166666666653</v>
      </c>
      <c r="AM153">
        <v>4100000</v>
      </c>
      <c r="AN153" s="17">
        <v>38.334058042324159</v>
      </c>
      <c r="AO153" s="74">
        <f t="shared" si="143"/>
        <v>2.1825489178568809</v>
      </c>
      <c r="AP153">
        <v>0</v>
      </c>
      <c r="AQ153" s="1">
        <v>0.85</v>
      </c>
    </row>
    <row r="154" spans="1:43" hidden="1" x14ac:dyDescent="0.25">
      <c r="A154" s="3">
        <f t="shared" si="153"/>
        <v>1408.96</v>
      </c>
      <c r="B154" s="42">
        <v>1438.46</v>
      </c>
      <c r="C154" s="53">
        <f t="shared" si="157"/>
        <v>2026</v>
      </c>
      <c r="D154" s="52">
        <f>+'Fisico ASIG'!B154</f>
        <v>46054</v>
      </c>
      <c r="E154" s="1">
        <v>28</v>
      </c>
      <c r="F154" s="56" t="str">
        <f>+'Fisico ASIG'!D154</f>
        <v>jue</v>
      </c>
      <c r="G154" s="56">
        <f>+'Fisico ASIG'!E154</f>
        <v>46065</v>
      </c>
      <c r="H154" s="17">
        <v>28</v>
      </c>
      <c r="I154" s="17">
        <f t="shared" ref="I154:I165" si="158">AI154/A154</f>
        <v>5.1392516466045874</v>
      </c>
      <c r="J154" s="17">
        <f t="shared" ref="J154:J165" si="159">+AL154/A154</f>
        <v>6.6887751722310531</v>
      </c>
      <c r="K154" s="113">
        <f t="shared" si="111"/>
        <v>7.5875000000000004</v>
      </c>
      <c r="L154" s="17">
        <v>27</v>
      </c>
      <c r="M154" s="17">
        <v>71.5</v>
      </c>
      <c r="N154" s="17">
        <f t="shared" ref="N154:N165" si="160">+AN154+AO154+AP154+AQ154</f>
        <v>40.288198176082609</v>
      </c>
      <c r="O154" s="17">
        <v>77.250120566957449</v>
      </c>
      <c r="P154" s="18">
        <f>SUMPRODUCT(H154:O154,'Fisico ASIG'!F154:M154)*24</f>
        <v>8612086.7123135608</v>
      </c>
      <c r="Q154" s="43">
        <v>0</v>
      </c>
      <c r="R154" s="43">
        <f t="shared" ref="R154:R165" si="161">+AJ154*AK154/A154</f>
        <v>5889.5464456052687</v>
      </c>
      <c r="S154" s="43">
        <f t="shared" ref="S154:S165" si="162">+AM154/A154</f>
        <v>2909.9477628889395</v>
      </c>
      <c r="T154" s="43">
        <f t="shared" si="112"/>
        <v>1795.6376259798433</v>
      </c>
      <c r="U154" s="43">
        <v>18000</v>
      </c>
      <c r="V154" s="20">
        <v>0</v>
      </c>
      <c r="W154" s="20">
        <v>21900</v>
      </c>
      <c r="X154" s="20">
        <v>0</v>
      </c>
      <c r="Y154" s="18">
        <f>SUMPRODUCT(Q154:X154,'Fisico ASIG'!O154:V154)/E154</f>
        <v>6383457.5379572632</v>
      </c>
      <c r="Z154" s="25">
        <f t="shared" ref="Z154:Z165" si="163">+(P154+Y154)</f>
        <v>14995544.250270825</v>
      </c>
      <c r="AA154" s="26">
        <f>+Z154/'Fisico ASIG'!N154/24</f>
        <v>72.157891320377942</v>
      </c>
      <c r="AB154" s="26">
        <f t="shared" si="151"/>
        <v>16.923076923076923</v>
      </c>
      <c r="AC154" s="29">
        <f t="shared" ref="AC154:AC165" si="164">+AA154-AB154</f>
        <v>55.234814397301022</v>
      </c>
      <c r="AI154" s="1">
        <v>7241</v>
      </c>
      <c r="AJ154" s="1">
        <v>5762594</v>
      </c>
      <c r="AK154">
        <f t="shared" si="70"/>
        <v>1.44</v>
      </c>
      <c r="AL154" s="40">
        <f t="shared" si="93"/>
        <v>9424.2166666666653</v>
      </c>
      <c r="AM154">
        <v>4100000</v>
      </c>
      <c r="AN154" s="17">
        <v>37.323839040826797</v>
      </c>
      <c r="AO154" s="74">
        <f t="shared" si="143"/>
        <v>2.1143591352558091</v>
      </c>
      <c r="AP154">
        <v>0</v>
      </c>
      <c r="AQ154" s="1">
        <v>0.85</v>
      </c>
    </row>
    <row r="155" spans="1:43" hidden="1" x14ac:dyDescent="0.25">
      <c r="A155" s="3">
        <f t="shared" si="153"/>
        <v>1408.96</v>
      </c>
      <c r="B155" s="42">
        <v>1438.46</v>
      </c>
      <c r="C155" s="53">
        <f t="shared" si="157"/>
        <v>2026</v>
      </c>
      <c r="D155" s="52">
        <f>+'Fisico ASIG'!B155</f>
        <v>46054</v>
      </c>
      <c r="E155" s="1">
        <v>28</v>
      </c>
      <c r="F155" s="56" t="str">
        <f>+'Fisico ASIG'!D155</f>
        <v>vie</v>
      </c>
      <c r="G155" s="56">
        <f>+'Fisico ASIG'!E155</f>
        <v>46066</v>
      </c>
      <c r="H155" s="17">
        <v>28</v>
      </c>
      <c r="I155" s="17">
        <f t="shared" si="158"/>
        <v>5.1392516466045874</v>
      </c>
      <c r="J155" s="17">
        <f t="shared" si="159"/>
        <v>6.6887751722310531</v>
      </c>
      <c r="K155" s="113">
        <f t="shared" si="111"/>
        <v>7.5875000000000004</v>
      </c>
      <c r="L155" s="17">
        <v>27</v>
      </c>
      <c r="M155" s="17">
        <v>71.5</v>
      </c>
      <c r="N155" s="17">
        <f t="shared" si="160"/>
        <v>39.92554844864592</v>
      </c>
      <c r="O155" s="17">
        <v>119.9225177524073</v>
      </c>
      <c r="P155" s="18">
        <f>SUMPRODUCT(H155:O155,'Fisico ASIG'!F155:M155)*24</f>
        <v>7099952.6919496432</v>
      </c>
      <c r="Q155" s="43">
        <v>0</v>
      </c>
      <c r="R155" s="43">
        <f t="shared" si="161"/>
        <v>5889.5464456052687</v>
      </c>
      <c r="S155" s="43">
        <f t="shared" si="162"/>
        <v>2909.9477628889395</v>
      </c>
      <c r="T155" s="43">
        <f t="shared" si="112"/>
        <v>1795.6376259798433</v>
      </c>
      <c r="U155" s="43">
        <v>18000</v>
      </c>
      <c r="V155" s="20">
        <v>0</v>
      </c>
      <c r="W155" s="20">
        <v>21900</v>
      </c>
      <c r="X155" s="20">
        <v>0</v>
      </c>
      <c r="Y155" s="18">
        <f>SUMPRODUCT(Q155:X155,'Fisico ASIG'!O155:V155)/E155</f>
        <v>6342915.3555960348</v>
      </c>
      <c r="Z155" s="25">
        <f t="shared" si="163"/>
        <v>13442868.047545679</v>
      </c>
      <c r="AA155" s="26">
        <f>+Z155/'Fisico ASIG'!N155/24</f>
        <v>72.668278086346206</v>
      </c>
      <c r="AB155" s="26">
        <f t="shared" si="151"/>
        <v>16.923076923076923</v>
      </c>
      <c r="AC155" s="29">
        <f t="shared" si="164"/>
        <v>55.745201163269286</v>
      </c>
      <c r="AI155" s="1">
        <v>7241</v>
      </c>
      <c r="AJ155" s="1">
        <v>5762594</v>
      </c>
      <c r="AK155">
        <f t="shared" si="70"/>
        <v>1.44</v>
      </c>
      <c r="AL155" s="40">
        <f t="shared" si="93"/>
        <v>9424.2166666666653</v>
      </c>
      <c r="AM155">
        <v>4100000</v>
      </c>
      <c r="AN155" s="17">
        <v>36.98412032660039</v>
      </c>
      <c r="AO155" s="74">
        <f t="shared" ref="AO155:AO218" si="165">0.075*0.9*(AN155-6)</f>
        <v>2.0914281220455266</v>
      </c>
      <c r="AP155">
        <v>0</v>
      </c>
      <c r="AQ155" s="1">
        <v>0.85</v>
      </c>
    </row>
    <row r="156" spans="1:43" hidden="1" x14ac:dyDescent="0.25">
      <c r="A156" s="3">
        <f t="shared" si="153"/>
        <v>1408.96</v>
      </c>
      <c r="B156" s="42">
        <v>1438.46</v>
      </c>
      <c r="C156" s="53">
        <f t="shared" si="157"/>
        <v>2026</v>
      </c>
      <c r="D156" s="52">
        <f>+'Fisico ASIG'!B156</f>
        <v>46054</v>
      </c>
      <c r="E156" s="1">
        <v>28</v>
      </c>
      <c r="F156" s="56" t="str">
        <f>+'Fisico ASIG'!D156</f>
        <v>sáb</v>
      </c>
      <c r="G156" s="56">
        <f>+'Fisico ASIG'!E156</f>
        <v>46067</v>
      </c>
      <c r="H156" s="17">
        <v>28</v>
      </c>
      <c r="I156" s="17">
        <f t="shared" si="158"/>
        <v>5.1392516466045874</v>
      </c>
      <c r="J156" s="17">
        <f t="shared" si="159"/>
        <v>6.6887751722310531</v>
      </c>
      <c r="K156" s="113">
        <f t="shared" si="111"/>
        <v>7.5875000000000004</v>
      </c>
      <c r="L156" s="17">
        <v>27</v>
      </c>
      <c r="M156" s="17">
        <v>71.5</v>
      </c>
      <c r="N156" s="17">
        <f t="shared" si="160"/>
        <v>40.117726872486102</v>
      </c>
      <c r="O156" s="17">
        <v>65.165493085288432</v>
      </c>
      <c r="P156" s="18">
        <f>SUMPRODUCT(H156:O156,'Fisico ASIG'!F156:M156)*24</f>
        <v>7243437.6112127407</v>
      </c>
      <c r="Q156" s="43">
        <v>0</v>
      </c>
      <c r="R156" s="43">
        <f t="shared" si="161"/>
        <v>5889.5464456052687</v>
      </c>
      <c r="S156" s="43">
        <f t="shared" si="162"/>
        <v>2909.9477628889395</v>
      </c>
      <c r="T156" s="43">
        <f t="shared" si="112"/>
        <v>1795.6376259798433</v>
      </c>
      <c r="U156" s="43">
        <v>18000</v>
      </c>
      <c r="V156" s="20">
        <v>0</v>
      </c>
      <c r="W156" s="20">
        <v>21900</v>
      </c>
      <c r="X156" s="20">
        <v>0</v>
      </c>
      <c r="Y156" s="18">
        <f>SUMPRODUCT(Q156:X156,'Fisico ASIG'!O156:V156)/E156</f>
        <v>6321304.7059988361</v>
      </c>
      <c r="Z156" s="25">
        <f t="shared" si="163"/>
        <v>13564742.317211576</v>
      </c>
      <c r="AA156" s="26">
        <f>+Z156/'Fisico ASIG'!N156/24</f>
        <v>75.121832549936315</v>
      </c>
      <c r="AB156" s="26">
        <f t="shared" si="151"/>
        <v>16.923076923076923</v>
      </c>
      <c r="AC156" s="29">
        <f t="shared" si="164"/>
        <v>58.198755626859395</v>
      </c>
      <c r="AI156" s="1">
        <v>7241</v>
      </c>
      <c r="AJ156" s="1">
        <v>5762594</v>
      </c>
      <c r="AK156">
        <f t="shared" si="70"/>
        <v>1.44</v>
      </c>
      <c r="AL156" s="40">
        <f t="shared" si="93"/>
        <v>9424.2166666666653</v>
      </c>
      <c r="AM156">
        <v>4100000</v>
      </c>
      <c r="AN156" s="17">
        <v>37.164146953148574</v>
      </c>
      <c r="AO156" s="74">
        <f t="shared" si="165"/>
        <v>2.1035799193375291</v>
      </c>
      <c r="AP156">
        <v>0</v>
      </c>
      <c r="AQ156" s="1">
        <v>0.85</v>
      </c>
    </row>
    <row r="157" spans="1:43" hidden="1" x14ac:dyDescent="0.25">
      <c r="A157" s="3">
        <f t="shared" si="153"/>
        <v>1408.96</v>
      </c>
      <c r="B157" s="42">
        <v>1438.46</v>
      </c>
      <c r="C157" s="53">
        <f t="shared" ref="C157:C163" si="166">YEAR(G157)</f>
        <v>2026</v>
      </c>
      <c r="D157" s="52">
        <f>+'Fisico ASIG'!B157</f>
        <v>46054</v>
      </c>
      <c r="E157" s="1">
        <v>28</v>
      </c>
      <c r="F157" s="56" t="str">
        <f>+'Fisico ASIG'!D157</f>
        <v>dom</v>
      </c>
      <c r="G157" s="56">
        <f>+'Fisico ASIG'!E157</f>
        <v>46068</v>
      </c>
      <c r="H157" s="17">
        <v>28</v>
      </c>
      <c r="I157" s="17">
        <f t="shared" si="158"/>
        <v>5.1392516466045874</v>
      </c>
      <c r="J157" s="17">
        <f t="shared" si="159"/>
        <v>6.6887751722310531</v>
      </c>
      <c r="K157" s="113">
        <f t="shared" si="111"/>
        <v>7.5875000000000004</v>
      </c>
      <c r="L157" s="17">
        <v>27</v>
      </c>
      <c r="M157" s="17">
        <v>71.5</v>
      </c>
      <c r="N157" s="17">
        <f t="shared" si="160"/>
        <v>39.485760716758584</v>
      </c>
      <c r="O157" s="17">
        <v>41.882971539659827</v>
      </c>
      <c r="P157" s="18">
        <f>SUMPRODUCT(H157:O157,'Fisico ASIG'!F157:M157)*24</f>
        <v>6870438.2887757719</v>
      </c>
      <c r="Q157" s="43">
        <v>0</v>
      </c>
      <c r="R157" s="43">
        <f t="shared" si="161"/>
        <v>5889.5464456052687</v>
      </c>
      <c r="S157" s="43">
        <f t="shared" si="162"/>
        <v>2909.9477628889395</v>
      </c>
      <c r="T157" s="43">
        <f t="shared" si="112"/>
        <v>1795.6376259798433</v>
      </c>
      <c r="U157" s="43">
        <v>18000</v>
      </c>
      <c r="V157" s="20">
        <v>0</v>
      </c>
      <c r="W157" s="20">
        <v>21900</v>
      </c>
      <c r="X157" s="20">
        <v>0</v>
      </c>
      <c r="Y157" s="18">
        <f>SUMPRODUCT(Q157:X157,'Fisico ASIG'!O157:V157)/E157</f>
        <v>6379522.5236497968</v>
      </c>
      <c r="Z157" s="25">
        <f t="shared" si="163"/>
        <v>13249960.812425569</v>
      </c>
      <c r="AA157" s="26">
        <f>+Z157/'Fisico ASIG'!N157/24</f>
        <v>75.754388465206418</v>
      </c>
      <c r="AB157" s="26">
        <f t="shared" si="151"/>
        <v>16.923076923076923</v>
      </c>
      <c r="AC157" s="29">
        <f t="shared" si="164"/>
        <v>58.831311542129498</v>
      </c>
      <c r="AI157" s="1">
        <v>7241</v>
      </c>
      <c r="AJ157" s="1">
        <v>5762594</v>
      </c>
      <c r="AK157">
        <f t="shared" si="70"/>
        <v>1.44</v>
      </c>
      <c r="AL157" s="40">
        <f t="shared" si="93"/>
        <v>9424.2166666666653</v>
      </c>
      <c r="AM157">
        <v>4100000</v>
      </c>
      <c r="AN157" s="17">
        <v>36.572141186659096</v>
      </c>
      <c r="AO157" s="74">
        <f t="shared" si="165"/>
        <v>2.0636195300994893</v>
      </c>
      <c r="AP157">
        <v>0</v>
      </c>
      <c r="AQ157" s="1">
        <v>0.85</v>
      </c>
    </row>
    <row r="158" spans="1:43" hidden="1" x14ac:dyDescent="0.25">
      <c r="A158" s="3">
        <f>+A157</f>
        <v>1408.96</v>
      </c>
      <c r="B158" s="42">
        <v>1423.364</v>
      </c>
      <c r="C158" s="53">
        <f t="shared" si="166"/>
        <v>2026</v>
      </c>
      <c r="D158" s="52">
        <f>+'Fisico ASIG'!B158</f>
        <v>46054</v>
      </c>
      <c r="E158" s="1">
        <v>28</v>
      </c>
      <c r="F158" s="56" t="str">
        <f>+'Fisico ASIG'!D158</f>
        <v>lun</v>
      </c>
      <c r="G158" s="56">
        <f>+'Fisico ASIG'!E158</f>
        <v>46069</v>
      </c>
      <c r="H158" s="17">
        <v>28</v>
      </c>
      <c r="I158" s="17">
        <f t="shared" si="158"/>
        <v>5.1392516466045874</v>
      </c>
      <c r="J158" s="17">
        <f t="shared" si="159"/>
        <v>6.6887751722310531</v>
      </c>
      <c r="K158" s="113">
        <f t="shared" si="111"/>
        <v>7.5875000000000004</v>
      </c>
      <c r="L158" s="17">
        <v>27</v>
      </c>
      <c r="M158" s="17">
        <v>71.5</v>
      </c>
      <c r="N158" s="17">
        <f t="shared" si="160"/>
        <v>41.043646601170529</v>
      </c>
      <c r="O158" s="17">
        <v>119.90936260763479</v>
      </c>
      <c r="P158" s="18">
        <f>SUMPRODUCT(H158:O158,'Fisico ASIG'!F158:M158)*24</f>
        <v>8104048.8832711503</v>
      </c>
      <c r="Q158" s="43">
        <v>0</v>
      </c>
      <c r="R158" s="43">
        <f t="shared" si="161"/>
        <v>5889.5464456052687</v>
      </c>
      <c r="S158" s="43">
        <f t="shared" si="162"/>
        <v>2909.9477628889395</v>
      </c>
      <c r="T158" s="43">
        <f t="shared" si="112"/>
        <v>1795.6376259798433</v>
      </c>
      <c r="U158" s="43">
        <v>18000</v>
      </c>
      <c r="V158" s="20">
        <v>0</v>
      </c>
      <c r="W158" s="20">
        <v>21900</v>
      </c>
      <c r="X158" s="20">
        <v>0</v>
      </c>
      <c r="Y158" s="18">
        <f>SUMPRODUCT(Q158:X158,'Fisico ASIG'!O158:V158)/E158</f>
        <v>6316172.0102878129</v>
      </c>
      <c r="Z158" s="25">
        <f t="shared" si="163"/>
        <v>14420220.893558964</v>
      </c>
      <c r="AA158" s="26">
        <f>+Z158/'Fisico ASIG'!N158/24</f>
        <v>74.639634680832572</v>
      </c>
      <c r="AB158" s="26">
        <f t="shared" si="151"/>
        <v>16.923076923076923</v>
      </c>
      <c r="AC158" s="29">
        <f t="shared" si="164"/>
        <v>57.716557757755652</v>
      </c>
      <c r="AI158" s="1">
        <v>7241</v>
      </c>
      <c r="AJ158" s="1">
        <v>5762594</v>
      </c>
      <c r="AK158">
        <f t="shared" si="70"/>
        <v>1.44</v>
      </c>
      <c r="AL158" s="40">
        <f t="shared" si="93"/>
        <v>9424.2166666666653</v>
      </c>
      <c r="AM158">
        <v>4100000</v>
      </c>
      <c r="AN158" s="17">
        <v>38.031519064328364</v>
      </c>
      <c r="AO158" s="74">
        <f t="shared" si="165"/>
        <v>2.1621275368421649</v>
      </c>
      <c r="AP158">
        <v>0</v>
      </c>
      <c r="AQ158" s="1">
        <v>0.85</v>
      </c>
    </row>
    <row r="159" spans="1:43" hidden="1" x14ac:dyDescent="0.25">
      <c r="A159" s="3">
        <f t="shared" si="153"/>
        <v>1408.96</v>
      </c>
      <c r="B159" s="42">
        <v>1423.364</v>
      </c>
      <c r="C159" s="53">
        <f t="shared" si="166"/>
        <v>2026</v>
      </c>
      <c r="D159" s="52">
        <f>+'Fisico ASIG'!B159</f>
        <v>46054</v>
      </c>
      <c r="E159" s="1">
        <v>28</v>
      </c>
      <c r="F159" s="56" t="str">
        <f>+'Fisico ASIG'!D159</f>
        <v>mar</v>
      </c>
      <c r="G159" s="56">
        <f>+'Fisico ASIG'!E159</f>
        <v>46070</v>
      </c>
      <c r="H159" s="17">
        <v>28</v>
      </c>
      <c r="I159" s="17">
        <f t="shared" si="158"/>
        <v>5.1392516466045874</v>
      </c>
      <c r="J159" s="17">
        <f t="shared" si="159"/>
        <v>6.6887751722310531</v>
      </c>
      <c r="K159" s="113">
        <f t="shared" si="111"/>
        <v>7.5875000000000004</v>
      </c>
      <c r="L159" s="17">
        <v>27</v>
      </c>
      <c r="M159" s="17">
        <v>71.5</v>
      </c>
      <c r="N159" s="17">
        <f t="shared" si="160"/>
        <v>42.427587169062136</v>
      </c>
      <c r="O159" s="17">
        <v>119.91731511662984</v>
      </c>
      <c r="P159" s="18">
        <f>SUMPRODUCT(H159:O159,'Fisico ASIG'!F159:M159)*24</f>
        <v>8522739.6842657402</v>
      </c>
      <c r="Q159" s="43">
        <v>0</v>
      </c>
      <c r="R159" s="43">
        <f t="shared" si="161"/>
        <v>5889.5464456052687</v>
      </c>
      <c r="S159" s="43">
        <f t="shared" si="162"/>
        <v>2909.9477628889395</v>
      </c>
      <c r="T159" s="43">
        <f t="shared" si="112"/>
        <v>1795.6376259798433</v>
      </c>
      <c r="U159" s="43">
        <v>18000</v>
      </c>
      <c r="V159" s="20">
        <v>0</v>
      </c>
      <c r="W159" s="20">
        <v>21900</v>
      </c>
      <c r="X159" s="20">
        <v>0</v>
      </c>
      <c r="Y159" s="18">
        <f>SUMPRODUCT(Q159:X159,'Fisico ASIG'!O159:V159)/E159</f>
        <v>6157830.0555492118</v>
      </c>
      <c r="Z159" s="25">
        <f t="shared" si="163"/>
        <v>14680569.739814952</v>
      </c>
      <c r="AA159" s="26">
        <f>+Z159/'Fisico ASIG'!N159/24</f>
        <v>72.252302154476169</v>
      </c>
      <c r="AB159" s="26">
        <f t="shared" si="151"/>
        <v>16.923076923076923</v>
      </c>
      <c r="AC159" s="29">
        <f t="shared" si="164"/>
        <v>55.329225231399249</v>
      </c>
      <c r="AI159" s="1">
        <v>7241</v>
      </c>
      <c r="AJ159" s="1">
        <v>5762594</v>
      </c>
      <c r="AK159">
        <f t="shared" si="70"/>
        <v>1.44</v>
      </c>
      <c r="AL159" s="40">
        <f t="shared" si="93"/>
        <v>9424.2166666666653</v>
      </c>
      <c r="AM159">
        <v>4100000</v>
      </c>
      <c r="AN159" s="17">
        <v>39.327950509660077</v>
      </c>
      <c r="AO159" s="74">
        <f t="shared" si="165"/>
        <v>2.2496366594020554</v>
      </c>
      <c r="AP159">
        <v>0</v>
      </c>
      <c r="AQ159" s="1">
        <v>0.85</v>
      </c>
    </row>
    <row r="160" spans="1:43" hidden="1" x14ac:dyDescent="0.25">
      <c r="A160" s="3">
        <f t="shared" si="153"/>
        <v>1408.96</v>
      </c>
      <c r="B160" s="42">
        <v>1423.364</v>
      </c>
      <c r="C160" s="53">
        <f t="shared" si="166"/>
        <v>2026</v>
      </c>
      <c r="D160" s="52">
        <f>+'Fisico ASIG'!B160</f>
        <v>46054</v>
      </c>
      <c r="E160" s="1">
        <v>28</v>
      </c>
      <c r="F160" s="56" t="str">
        <f>+'Fisico ASIG'!D160</f>
        <v>mié</v>
      </c>
      <c r="G160" s="56">
        <f>+'Fisico ASIG'!E160</f>
        <v>46071</v>
      </c>
      <c r="H160" s="17">
        <v>28</v>
      </c>
      <c r="I160" s="17">
        <f t="shared" si="158"/>
        <v>5.1392516466045874</v>
      </c>
      <c r="J160" s="17">
        <f t="shared" si="159"/>
        <v>6.6887751722310531</v>
      </c>
      <c r="K160" s="113">
        <f t="shared" si="111"/>
        <v>7.5875000000000004</v>
      </c>
      <c r="L160" s="17">
        <v>27</v>
      </c>
      <c r="M160" s="17">
        <v>71.5</v>
      </c>
      <c r="N160" s="17">
        <f t="shared" si="160"/>
        <v>42.86476888887541</v>
      </c>
      <c r="O160" s="17">
        <v>119.88762703781302</v>
      </c>
      <c r="P160" s="18">
        <f>SUMPRODUCT(H160:O160,'Fisico ASIG'!F160:M160)*24</f>
        <v>9063475.440360114</v>
      </c>
      <c r="Q160" s="43">
        <v>0</v>
      </c>
      <c r="R160" s="43">
        <f t="shared" si="161"/>
        <v>5889.5464456052687</v>
      </c>
      <c r="S160" s="43">
        <f t="shared" si="162"/>
        <v>2909.9477628889395</v>
      </c>
      <c r="T160" s="43">
        <f t="shared" si="112"/>
        <v>1795.6376259798433</v>
      </c>
      <c r="U160" s="43">
        <v>18000</v>
      </c>
      <c r="V160" s="20">
        <v>0</v>
      </c>
      <c r="W160" s="20">
        <v>21900</v>
      </c>
      <c r="X160" s="20">
        <v>0</v>
      </c>
      <c r="Y160" s="18">
        <f>SUMPRODUCT(Q160:X160,'Fisico ASIG'!O160:V160)/E160</f>
        <v>6267714.1536456272</v>
      </c>
      <c r="Z160" s="25">
        <f t="shared" si="163"/>
        <v>15331189.594005741</v>
      </c>
      <c r="AA160" s="26">
        <f>+Z160/'Fisico ASIG'!N160/24</f>
        <v>64.356515134610348</v>
      </c>
      <c r="AB160" s="26">
        <f t="shared" si="151"/>
        <v>16.923076923076923</v>
      </c>
      <c r="AC160" s="29">
        <f t="shared" si="164"/>
        <v>47.433438211533428</v>
      </c>
      <c r="AI160" s="1">
        <v>7241</v>
      </c>
      <c r="AJ160" s="1">
        <v>5762594</v>
      </c>
      <c r="AK160">
        <f t="shared" si="70"/>
        <v>1.44</v>
      </c>
      <c r="AL160" s="40">
        <f t="shared" si="93"/>
        <v>9424.2166666666653</v>
      </c>
      <c r="AM160">
        <v>4100000</v>
      </c>
      <c r="AN160" s="17">
        <v>39.737488420492184</v>
      </c>
      <c r="AO160" s="74">
        <f t="shared" si="165"/>
        <v>2.2772804683832226</v>
      </c>
      <c r="AP160">
        <v>0</v>
      </c>
      <c r="AQ160" s="1">
        <v>0.85</v>
      </c>
    </row>
    <row r="161" spans="1:43" hidden="1" x14ac:dyDescent="0.25">
      <c r="A161" s="3">
        <f t="shared" si="153"/>
        <v>1408.96</v>
      </c>
      <c r="B161" s="42">
        <v>1423.364</v>
      </c>
      <c r="C161" s="53">
        <f t="shared" si="166"/>
        <v>2026</v>
      </c>
      <c r="D161" s="52">
        <f>+'Fisico ASIG'!B161</f>
        <v>46054</v>
      </c>
      <c r="E161" s="1">
        <v>28</v>
      </c>
      <c r="F161" s="56" t="str">
        <f>+'Fisico ASIG'!D161</f>
        <v>jue</v>
      </c>
      <c r="G161" s="56">
        <f>+'Fisico ASIG'!E161</f>
        <v>46072</v>
      </c>
      <c r="H161" s="17">
        <v>28</v>
      </c>
      <c r="I161" s="17">
        <f t="shared" si="158"/>
        <v>5.1392516466045874</v>
      </c>
      <c r="J161" s="17">
        <f t="shared" si="159"/>
        <v>6.6887751722310531</v>
      </c>
      <c r="K161" s="113">
        <f t="shared" si="111"/>
        <v>7.5875000000000004</v>
      </c>
      <c r="L161" s="17">
        <v>27</v>
      </c>
      <c r="M161" s="17">
        <v>71.5</v>
      </c>
      <c r="N161" s="17">
        <f t="shared" si="160"/>
        <v>41.776676992603569</v>
      </c>
      <c r="O161" s="17">
        <v>108.05759589625512</v>
      </c>
      <c r="P161" s="18">
        <f>SUMPRODUCT(H161:O161,'Fisico ASIG'!F161:M161)*24</f>
        <v>7652883.2161006443</v>
      </c>
      <c r="Q161" s="43">
        <v>0</v>
      </c>
      <c r="R161" s="43">
        <f t="shared" si="161"/>
        <v>5889.5464456052687</v>
      </c>
      <c r="S161" s="43">
        <f t="shared" si="162"/>
        <v>2909.9477628889395</v>
      </c>
      <c r="T161" s="43">
        <f t="shared" si="112"/>
        <v>1795.6376259798433</v>
      </c>
      <c r="U161" s="43">
        <v>18000</v>
      </c>
      <c r="V161" s="20">
        <v>0</v>
      </c>
      <c r="W161" s="20">
        <v>21900</v>
      </c>
      <c r="X161" s="20">
        <v>0</v>
      </c>
      <c r="Y161" s="18">
        <f>SUMPRODUCT(Q161:X161,'Fisico ASIG'!O161:V161)/E161</f>
        <v>6160540.0068161041</v>
      </c>
      <c r="Z161" s="25">
        <f t="shared" si="163"/>
        <v>13813423.222916748</v>
      </c>
      <c r="AA161" s="26">
        <f>+Z161/'Fisico ASIG'!N161/24</f>
        <v>72.429494418406946</v>
      </c>
      <c r="AB161" s="26">
        <f t="shared" si="151"/>
        <v>16.923076923076923</v>
      </c>
      <c r="AC161" s="29">
        <f t="shared" si="164"/>
        <v>55.506417495330027</v>
      </c>
      <c r="AI161" s="1">
        <v>7241</v>
      </c>
      <c r="AJ161" s="1">
        <v>5762594</v>
      </c>
      <c r="AK161">
        <f t="shared" si="70"/>
        <v>1.44</v>
      </c>
      <c r="AL161" s="40">
        <f t="shared" si="93"/>
        <v>9424.2166666666653</v>
      </c>
      <c r="AM161">
        <v>4100000</v>
      </c>
      <c r="AN161" s="17">
        <v>38.718198587919034</v>
      </c>
      <c r="AO161" s="74">
        <f t="shared" si="165"/>
        <v>2.2084784046845347</v>
      </c>
      <c r="AP161">
        <v>0</v>
      </c>
      <c r="AQ161" s="1">
        <v>0.85</v>
      </c>
    </row>
    <row r="162" spans="1:43" hidden="1" x14ac:dyDescent="0.25">
      <c r="A162" s="3">
        <f t="shared" si="153"/>
        <v>1408.96</v>
      </c>
      <c r="B162" s="42">
        <v>1423.364</v>
      </c>
      <c r="C162" s="53">
        <f t="shared" si="166"/>
        <v>2026</v>
      </c>
      <c r="D162" s="52">
        <f>+'Fisico ASIG'!B162</f>
        <v>46054</v>
      </c>
      <c r="E162" s="1">
        <v>28</v>
      </c>
      <c r="F162" s="56" t="str">
        <f>+'Fisico ASIG'!D162</f>
        <v>vie</v>
      </c>
      <c r="G162" s="56">
        <f>+'Fisico ASIG'!E162</f>
        <v>46073</v>
      </c>
      <c r="H162" s="17">
        <v>28</v>
      </c>
      <c r="I162" s="17">
        <f t="shared" si="158"/>
        <v>5.1392516466045874</v>
      </c>
      <c r="J162" s="17">
        <f t="shared" si="159"/>
        <v>6.6887751722310531</v>
      </c>
      <c r="K162" s="113">
        <f t="shared" si="111"/>
        <v>7.5875000000000004</v>
      </c>
      <c r="L162" s="17">
        <v>27</v>
      </c>
      <c r="M162" s="17">
        <v>71.5</v>
      </c>
      <c r="N162" s="17">
        <f t="shared" si="160"/>
        <v>39.536345398898014</v>
      </c>
      <c r="O162" s="17">
        <v>119.90050209278427</v>
      </c>
      <c r="P162" s="18">
        <f>SUMPRODUCT(H162:O162,'Fisico ASIG'!F162:M162)*24</f>
        <v>7387998.4896733891</v>
      </c>
      <c r="Q162" s="43">
        <v>0</v>
      </c>
      <c r="R162" s="43">
        <f t="shared" si="161"/>
        <v>5889.5464456052687</v>
      </c>
      <c r="S162" s="43">
        <f t="shared" si="162"/>
        <v>2909.9477628889395</v>
      </c>
      <c r="T162" s="43">
        <f t="shared" si="112"/>
        <v>1795.6376259798433</v>
      </c>
      <c r="U162" s="43">
        <v>18000</v>
      </c>
      <c r="V162" s="20">
        <v>0</v>
      </c>
      <c r="W162" s="20">
        <v>21900</v>
      </c>
      <c r="X162" s="20">
        <v>0</v>
      </c>
      <c r="Y162" s="18">
        <f>SUMPRODUCT(Q162:X162,'Fisico ASIG'!O162:V162)/E162</f>
        <v>6300661.7155627692</v>
      </c>
      <c r="Z162" s="25">
        <f t="shared" si="163"/>
        <v>13688660.205236159</v>
      </c>
      <c r="AA162" s="26">
        <f>+Z162/'Fisico ASIG'!N162/24</f>
        <v>72.105765951390268</v>
      </c>
      <c r="AB162" s="26">
        <f t="shared" si="151"/>
        <v>16.923076923076923</v>
      </c>
      <c r="AC162" s="29">
        <f t="shared" si="164"/>
        <v>55.182689028313348</v>
      </c>
      <c r="AI162" s="1">
        <v>7241</v>
      </c>
      <c r="AJ162" s="1">
        <v>5762594</v>
      </c>
      <c r="AK162">
        <f t="shared" si="70"/>
        <v>1.44</v>
      </c>
      <c r="AL162" s="40">
        <f t="shared" si="93"/>
        <v>9424.2166666666653</v>
      </c>
      <c r="AM162">
        <v>4100000</v>
      </c>
      <c r="AN162" s="17">
        <v>36.619527305759263</v>
      </c>
      <c r="AO162" s="74">
        <f t="shared" si="165"/>
        <v>2.0668180931387505</v>
      </c>
      <c r="AP162">
        <v>0</v>
      </c>
      <c r="AQ162" s="1">
        <v>0.85</v>
      </c>
    </row>
    <row r="163" spans="1:43" hidden="1" x14ac:dyDescent="0.25">
      <c r="A163" s="3">
        <f t="shared" si="153"/>
        <v>1408.96</v>
      </c>
      <c r="B163" s="42">
        <v>1423.364</v>
      </c>
      <c r="C163" s="53">
        <f t="shared" si="166"/>
        <v>2026</v>
      </c>
      <c r="D163" s="52">
        <f>+'Fisico ASIG'!B163</f>
        <v>46054</v>
      </c>
      <c r="E163" s="1">
        <v>28</v>
      </c>
      <c r="F163" s="56" t="str">
        <f>+'Fisico ASIG'!D163</f>
        <v>sáb</v>
      </c>
      <c r="G163" s="56">
        <f>+'Fisico ASIG'!E163</f>
        <v>46074</v>
      </c>
      <c r="H163" s="17">
        <v>28</v>
      </c>
      <c r="I163" s="17">
        <f t="shared" si="158"/>
        <v>5.1392516466045874</v>
      </c>
      <c r="J163" s="17">
        <f t="shared" si="159"/>
        <v>6.6887751722310531</v>
      </c>
      <c r="K163" s="113">
        <f t="shared" si="111"/>
        <v>7.5875000000000004</v>
      </c>
      <c r="L163" s="17">
        <v>27</v>
      </c>
      <c r="M163" s="17">
        <v>71.5</v>
      </c>
      <c r="N163" s="17">
        <f t="shared" si="160"/>
        <v>40.614854610088827</v>
      </c>
      <c r="O163" s="17">
        <v>59.762019361696318</v>
      </c>
      <c r="P163" s="18">
        <f>SUMPRODUCT(H163:O163,'Fisico ASIG'!F163:M163)*24</f>
        <v>7197516.25764619</v>
      </c>
      <c r="Q163" s="43">
        <v>0</v>
      </c>
      <c r="R163" s="43">
        <f t="shared" si="161"/>
        <v>5889.5464456052687</v>
      </c>
      <c r="S163" s="43">
        <f t="shared" si="162"/>
        <v>2909.9477628889395</v>
      </c>
      <c r="T163" s="43">
        <f t="shared" si="112"/>
        <v>1795.6376259798433</v>
      </c>
      <c r="U163" s="43">
        <v>18000</v>
      </c>
      <c r="V163" s="20">
        <v>0</v>
      </c>
      <c r="W163" s="20">
        <v>21900</v>
      </c>
      <c r="X163" s="20">
        <v>0</v>
      </c>
      <c r="Y163" s="18">
        <f>SUMPRODUCT(Q163:X163,'Fisico ASIG'!O163:V163)/E163</f>
        <v>6326889.4648637827</v>
      </c>
      <c r="Z163" s="25">
        <f t="shared" si="163"/>
        <v>13524405.722509973</v>
      </c>
      <c r="AA163" s="26">
        <f>+Z163/'Fisico ASIG'!N163/24</f>
        <v>73.853466812287124</v>
      </c>
      <c r="AB163" s="26">
        <f t="shared" si="151"/>
        <v>16.923076923076923</v>
      </c>
      <c r="AC163" s="29">
        <f t="shared" si="164"/>
        <v>56.930389889210204</v>
      </c>
      <c r="AI163" s="1">
        <v>7241</v>
      </c>
      <c r="AJ163" s="1">
        <v>5762594</v>
      </c>
      <c r="AK163">
        <f t="shared" si="70"/>
        <v>1.44</v>
      </c>
      <c r="AL163" s="40">
        <f t="shared" si="93"/>
        <v>9424.2166666666653</v>
      </c>
      <c r="AM163">
        <v>4100000</v>
      </c>
      <c r="AN163" s="17">
        <v>37.62984038415815</v>
      </c>
      <c r="AO163" s="74">
        <f t="shared" si="165"/>
        <v>2.1350142259306755</v>
      </c>
      <c r="AP163">
        <v>0</v>
      </c>
      <c r="AQ163" s="1">
        <v>0.85</v>
      </c>
    </row>
    <row r="164" spans="1:43" hidden="1" x14ac:dyDescent="0.25">
      <c r="A164" s="3">
        <f t="shared" si="153"/>
        <v>1408.96</v>
      </c>
      <c r="B164" s="42">
        <v>1423.364</v>
      </c>
      <c r="C164" s="53">
        <f t="shared" ref="C164:C165" si="167">YEAR(G164)</f>
        <v>2026</v>
      </c>
      <c r="D164" s="52">
        <f>+'Fisico ASIG'!B164</f>
        <v>46054</v>
      </c>
      <c r="E164" s="1">
        <v>28</v>
      </c>
      <c r="F164" s="56" t="str">
        <f>+'Fisico ASIG'!D164</f>
        <v>dom</v>
      </c>
      <c r="G164" s="56">
        <f>+'Fisico ASIG'!E164</f>
        <v>46075</v>
      </c>
      <c r="H164" s="17">
        <v>28</v>
      </c>
      <c r="I164" s="17">
        <f t="shared" si="158"/>
        <v>5.1392516466045874</v>
      </c>
      <c r="J164" s="17">
        <f t="shared" si="159"/>
        <v>6.6887751722310531</v>
      </c>
      <c r="K164" s="113">
        <f t="shared" si="111"/>
        <v>7.5875000000000004</v>
      </c>
      <c r="L164" s="17">
        <v>27</v>
      </c>
      <c r="M164" s="17">
        <v>71.5</v>
      </c>
      <c r="N164" s="17">
        <f t="shared" si="160"/>
        <v>40.658244684318049</v>
      </c>
      <c r="O164" s="17">
        <v>41.425810228132796</v>
      </c>
      <c r="P164" s="18">
        <f>SUMPRODUCT(H164:O164,'Fisico ASIG'!F164:M164)*24</f>
        <v>6860014.6527690068</v>
      </c>
      <c r="Q164" s="43">
        <v>0</v>
      </c>
      <c r="R164" s="43">
        <f t="shared" si="161"/>
        <v>5889.5464456052687</v>
      </c>
      <c r="S164" s="43">
        <f t="shared" si="162"/>
        <v>2909.9477628889395</v>
      </c>
      <c r="T164" s="43">
        <f t="shared" si="112"/>
        <v>1795.6376259798433</v>
      </c>
      <c r="U164" s="43">
        <v>18000</v>
      </c>
      <c r="V164" s="20">
        <v>0</v>
      </c>
      <c r="W164" s="20">
        <v>21900</v>
      </c>
      <c r="X164" s="20">
        <v>0</v>
      </c>
      <c r="Y164" s="18">
        <f>SUMPRODUCT(Q164:X164,'Fisico ASIG'!O164:V164)/E164</f>
        <v>6153955.7179092914</v>
      </c>
      <c r="Z164" s="25">
        <f>+(P164+Y164)</f>
        <v>13013970.370678298</v>
      </c>
      <c r="AA164" s="26">
        <f>+Z164/'Fisico ASIG'!N164/24</f>
        <v>76.73744391854224</v>
      </c>
      <c r="AB164" s="26">
        <f t="shared" si="151"/>
        <v>16.923076923076923</v>
      </c>
      <c r="AC164" s="29">
        <f t="shared" si="164"/>
        <v>59.814366995465321</v>
      </c>
      <c r="AI164" s="1">
        <v>7241</v>
      </c>
      <c r="AJ164" s="1">
        <v>5762594</v>
      </c>
      <c r="AK164">
        <f t="shared" si="70"/>
        <v>1.44</v>
      </c>
      <c r="AL164" s="40">
        <f t="shared" si="93"/>
        <v>9424.2166666666653</v>
      </c>
      <c r="AM164">
        <v>4100000</v>
      </c>
      <c r="AN164" s="17">
        <v>37.670486823717141</v>
      </c>
      <c r="AO164" s="74">
        <f t="shared" si="165"/>
        <v>2.1377578606009071</v>
      </c>
      <c r="AP164">
        <v>0</v>
      </c>
      <c r="AQ164" s="1">
        <v>0.85</v>
      </c>
    </row>
    <row r="165" spans="1:43" hidden="1" x14ac:dyDescent="0.25">
      <c r="A165" s="3">
        <f t="shared" si="153"/>
        <v>1408.96</v>
      </c>
      <c r="B165" s="42">
        <v>1423.364</v>
      </c>
      <c r="C165" s="53">
        <f t="shared" si="167"/>
        <v>2026</v>
      </c>
      <c r="D165" s="52">
        <f>+'Fisico ASIG'!B165</f>
        <v>46054</v>
      </c>
      <c r="E165" s="1">
        <v>28</v>
      </c>
      <c r="F165" s="56" t="str">
        <f>+'Fisico ASIG'!D165</f>
        <v>lun</v>
      </c>
      <c r="G165" s="56">
        <f>+'Fisico ASIG'!E165</f>
        <v>46076</v>
      </c>
      <c r="H165" s="17">
        <v>28</v>
      </c>
      <c r="I165" s="17">
        <f t="shared" si="158"/>
        <v>5.1392516466045874</v>
      </c>
      <c r="J165" s="17">
        <f t="shared" si="159"/>
        <v>6.6887751722310531</v>
      </c>
      <c r="K165" s="113">
        <f t="shared" si="111"/>
        <v>7.5875000000000004</v>
      </c>
      <c r="L165" s="17">
        <v>27</v>
      </c>
      <c r="M165" s="17">
        <v>71.5</v>
      </c>
      <c r="N165" s="17">
        <f t="shared" si="160"/>
        <v>40.639202671640533</v>
      </c>
      <c r="O165" s="17">
        <v>50.956563507630932</v>
      </c>
      <c r="P165" s="18">
        <f>SUMPRODUCT(H165:O165,'Fisico ASIG'!F165:M165)*24</f>
        <v>7907544.7513491092</v>
      </c>
      <c r="Q165" s="43">
        <v>0</v>
      </c>
      <c r="R165" s="43">
        <f t="shared" si="161"/>
        <v>5889.5464456052687</v>
      </c>
      <c r="S165" s="43">
        <f t="shared" si="162"/>
        <v>2909.9477628889395</v>
      </c>
      <c r="T165" s="43">
        <f t="shared" si="112"/>
        <v>1795.6376259798433</v>
      </c>
      <c r="U165" s="43">
        <v>18000</v>
      </c>
      <c r="V165" s="20">
        <v>0</v>
      </c>
      <c r="W165" s="20">
        <v>21900</v>
      </c>
      <c r="X165" s="20">
        <v>0</v>
      </c>
      <c r="Y165" s="18">
        <f>SUMPRODUCT(Q165:X165,'Fisico ASIG'!O165:V165)/E165</f>
        <v>6114304.4111344349</v>
      </c>
      <c r="Z165" s="25">
        <f t="shared" si="163"/>
        <v>14021849.162483543</v>
      </c>
      <c r="AA165" s="26">
        <f>+Z165/'Fisico ASIG'!N165/24</f>
        <v>66.936350464471602</v>
      </c>
      <c r="AB165" s="26">
        <f t="shared" si="151"/>
        <v>16.923076923076923</v>
      </c>
      <c r="AC165" s="29">
        <f t="shared" si="164"/>
        <v>50.013273541394682</v>
      </c>
      <c r="AI165" s="1">
        <v>7241</v>
      </c>
      <c r="AJ165" s="1">
        <v>5762594</v>
      </c>
      <c r="AK165">
        <f t="shared" si="70"/>
        <v>1.44</v>
      </c>
      <c r="AL165" s="40">
        <f t="shared" si="93"/>
        <v>9424.2166666666653</v>
      </c>
      <c r="AM165">
        <v>4100000</v>
      </c>
      <c r="AN165" s="17">
        <v>37.652648872731177</v>
      </c>
      <c r="AO165" s="74">
        <f t="shared" si="165"/>
        <v>2.1365537989093548</v>
      </c>
      <c r="AP165">
        <v>0</v>
      </c>
      <c r="AQ165" s="1">
        <v>0.85</v>
      </c>
    </row>
    <row r="166" spans="1:43" hidden="1" x14ac:dyDescent="0.25">
      <c r="A166" s="3">
        <f t="shared" si="153"/>
        <v>1408.96</v>
      </c>
      <c r="B166" s="42">
        <v>1423.364</v>
      </c>
      <c r="C166" s="53">
        <f t="shared" ref="C166:C170" si="168">YEAR(G166)</f>
        <v>2026</v>
      </c>
      <c r="D166" s="52">
        <f>+'Fisico ASIG'!B166</f>
        <v>46054</v>
      </c>
      <c r="E166" s="1">
        <v>28</v>
      </c>
      <c r="F166" s="56" t="str">
        <f>+'Fisico ASIG'!D166</f>
        <v>mar</v>
      </c>
      <c r="G166" s="56">
        <f>+'Fisico ASIG'!E166</f>
        <v>46077</v>
      </c>
      <c r="H166" s="17">
        <v>28</v>
      </c>
      <c r="I166" s="17">
        <f t="shared" ref="I166:I170" si="169">AI166/A166</f>
        <v>5.1392516466045874</v>
      </c>
      <c r="J166" s="17">
        <f t="shared" ref="J166:J171" si="170">+AL166/A166</f>
        <v>6.6887751722310531</v>
      </c>
      <c r="K166" s="113">
        <f t="shared" si="111"/>
        <v>7.5875000000000004</v>
      </c>
      <c r="L166" s="17">
        <v>27</v>
      </c>
      <c r="M166" s="17">
        <v>71.5</v>
      </c>
      <c r="N166" s="17">
        <f t="shared" ref="N166:N184" si="171">+AN166+AO166+AP166+AQ166</f>
        <v>40.867576882080982</v>
      </c>
      <c r="O166" s="17">
        <v>119.94136103944328</v>
      </c>
      <c r="P166" s="18">
        <f>SUMPRODUCT(H166:O166,'Fisico ASIG'!F166:M166)*24</f>
        <v>8615546.4163052589</v>
      </c>
      <c r="Q166" s="43">
        <v>0</v>
      </c>
      <c r="R166" s="43">
        <f t="shared" ref="R166:R171" si="172">+AJ166*AK166/A166</f>
        <v>5889.5464456052687</v>
      </c>
      <c r="S166" s="43">
        <f t="shared" ref="S166:S171" si="173">+AM166/A166</f>
        <v>2909.9477628889395</v>
      </c>
      <c r="T166" s="43">
        <f t="shared" si="112"/>
        <v>1795.6376259798433</v>
      </c>
      <c r="U166" s="43">
        <v>18000</v>
      </c>
      <c r="V166" s="20">
        <v>0</v>
      </c>
      <c r="W166" s="20">
        <v>21900</v>
      </c>
      <c r="X166" s="20">
        <v>0</v>
      </c>
      <c r="Y166" s="18">
        <f>SUMPRODUCT(Q166:X166,'Fisico ASIG'!O166:V166)/E166</f>
        <v>6078314.4663563967</v>
      </c>
      <c r="Z166" s="25">
        <f t="shared" ref="Z166:Z171" si="174">+(P166+Y166)</f>
        <v>14693860.882661656</v>
      </c>
      <c r="AA166" s="26">
        <f>+Z166/'Fisico ASIG'!N166/24</f>
        <v>70.0360382448103</v>
      </c>
      <c r="AB166" s="26">
        <f t="shared" si="151"/>
        <v>16.923076923076923</v>
      </c>
      <c r="AC166" s="29">
        <f t="shared" ref="AC166:AC171" si="175">+AA166-AB166</f>
        <v>53.11296132173338</v>
      </c>
      <c r="AI166" s="1">
        <v>7241</v>
      </c>
      <c r="AJ166" s="1">
        <v>5762594</v>
      </c>
      <c r="AK166">
        <f t="shared" si="70"/>
        <v>1.44</v>
      </c>
      <c r="AL166" s="40">
        <f t="shared" si="93"/>
        <v>9424.2166666666653</v>
      </c>
      <c r="AM166">
        <v>4100000</v>
      </c>
      <c r="AN166" s="17">
        <v>37.866582559326446</v>
      </c>
      <c r="AO166" s="74">
        <f t="shared" si="165"/>
        <v>2.1509943227545354</v>
      </c>
      <c r="AP166">
        <v>0</v>
      </c>
      <c r="AQ166" s="1">
        <v>0.85</v>
      </c>
    </row>
    <row r="167" spans="1:43" hidden="1" x14ac:dyDescent="0.25">
      <c r="A167" s="3">
        <f t="shared" si="153"/>
        <v>1408.96</v>
      </c>
      <c r="B167" s="42">
        <v>1423.364</v>
      </c>
      <c r="C167" s="53">
        <f t="shared" si="168"/>
        <v>2026</v>
      </c>
      <c r="D167" s="52">
        <f>+'Fisico ASIG'!B167</f>
        <v>46054</v>
      </c>
      <c r="E167" s="1">
        <v>28</v>
      </c>
      <c r="F167" s="56" t="str">
        <f>+'Fisico ASIG'!D167</f>
        <v>mié</v>
      </c>
      <c r="G167" s="56">
        <f>+'Fisico ASIG'!E167</f>
        <v>46078</v>
      </c>
      <c r="H167" s="17">
        <v>28</v>
      </c>
      <c r="I167" s="17">
        <f t="shared" si="169"/>
        <v>5.1392516466045874</v>
      </c>
      <c r="J167" s="17">
        <f t="shared" si="170"/>
        <v>6.6887751722310531</v>
      </c>
      <c r="K167" s="113">
        <f t="shared" si="111"/>
        <v>7.5875000000000004</v>
      </c>
      <c r="L167" s="17">
        <v>27</v>
      </c>
      <c r="M167" s="17">
        <v>71.5</v>
      </c>
      <c r="N167" s="17">
        <f t="shared" si="171"/>
        <v>39.68301649306504</v>
      </c>
      <c r="O167" s="17">
        <v>52.155812548704723</v>
      </c>
      <c r="P167" s="18">
        <f>SUMPRODUCT(H167:O167,'Fisico ASIG'!F167:M167)*24</f>
        <v>6914984.4952929858</v>
      </c>
      <c r="Q167" s="43">
        <v>0</v>
      </c>
      <c r="R167" s="43">
        <f t="shared" si="172"/>
        <v>5889.5464456052687</v>
      </c>
      <c r="S167" s="43">
        <f t="shared" si="173"/>
        <v>2909.9477628889395</v>
      </c>
      <c r="T167" s="43">
        <f t="shared" si="112"/>
        <v>1795.6376259798433</v>
      </c>
      <c r="U167" s="43">
        <v>18000</v>
      </c>
      <c r="V167" s="20">
        <v>0</v>
      </c>
      <c r="W167" s="20">
        <v>21900</v>
      </c>
      <c r="X167" s="20">
        <v>0</v>
      </c>
      <c r="Y167" s="18">
        <f>SUMPRODUCT(Q167:X167,'Fisico ASIG'!O167:V167)/E167</f>
        <v>6168457.419464184</v>
      </c>
      <c r="Z167" s="25">
        <f t="shared" si="174"/>
        <v>13083441.91475717</v>
      </c>
      <c r="AA167" s="26">
        <f>+Z167/'Fisico ASIG'!N167/24</f>
        <v>73.27835821501462</v>
      </c>
      <c r="AB167" s="26">
        <f t="shared" si="151"/>
        <v>16.923076923076923</v>
      </c>
      <c r="AC167" s="29">
        <f t="shared" si="175"/>
        <v>56.3552812919377</v>
      </c>
      <c r="AI167" s="1">
        <v>7241</v>
      </c>
      <c r="AJ167" s="1">
        <v>5762594</v>
      </c>
      <c r="AK167">
        <f t="shared" si="70"/>
        <v>1.44</v>
      </c>
      <c r="AL167" s="40">
        <f t="shared" si="93"/>
        <v>9424.2166666666653</v>
      </c>
      <c r="AM167">
        <v>4100000</v>
      </c>
      <c r="AN167" s="17">
        <v>36.756924115283411</v>
      </c>
      <c r="AO167" s="74">
        <f t="shared" si="165"/>
        <v>2.0760923777816305</v>
      </c>
      <c r="AP167">
        <v>0</v>
      </c>
      <c r="AQ167" s="1">
        <v>0.85</v>
      </c>
    </row>
    <row r="168" spans="1:43" hidden="1" x14ac:dyDescent="0.25">
      <c r="A168" s="3">
        <f t="shared" si="153"/>
        <v>1408.96</v>
      </c>
      <c r="B168" s="42">
        <v>1423.364</v>
      </c>
      <c r="C168" s="53">
        <f t="shared" si="168"/>
        <v>2026</v>
      </c>
      <c r="D168" s="52">
        <f>+'Fisico ASIG'!B168</f>
        <v>46054</v>
      </c>
      <c r="E168" s="1">
        <v>28</v>
      </c>
      <c r="F168" s="56" t="str">
        <f>+'Fisico ASIG'!D168</f>
        <v>jue</v>
      </c>
      <c r="G168" s="56">
        <f>+'Fisico ASIG'!E168</f>
        <v>46079</v>
      </c>
      <c r="H168" s="17">
        <v>28</v>
      </c>
      <c r="I168" s="17">
        <f t="shared" si="169"/>
        <v>5.1392516466045874</v>
      </c>
      <c r="J168" s="17">
        <f t="shared" si="170"/>
        <v>6.6887751722310531</v>
      </c>
      <c r="K168" s="113">
        <f t="shared" si="111"/>
        <v>7.5875000000000004</v>
      </c>
      <c r="L168" s="17">
        <v>27</v>
      </c>
      <c r="M168" s="17">
        <v>71.5</v>
      </c>
      <c r="N168" s="17">
        <f t="shared" si="171"/>
        <v>40.493080034898064</v>
      </c>
      <c r="O168" s="17">
        <v>96.30824632558452</v>
      </c>
      <c r="P168" s="18">
        <f>SUMPRODUCT(H168:O168,'Fisico ASIG'!F168:M168)*24</f>
        <v>6840779.9397672769</v>
      </c>
      <c r="Q168" s="43">
        <v>0</v>
      </c>
      <c r="R168" s="43">
        <f t="shared" si="172"/>
        <v>5889.5464456052687</v>
      </c>
      <c r="S168" s="43">
        <f t="shared" si="173"/>
        <v>2909.9477628889395</v>
      </c>
      <c r="T168" s="43">
        <f t="shared" si="112"/>
        <v>1795.6376259798433</v>
      </c>
      <c r="U168" s="43">
        <v>18000</v>
      </c>
      <c r="V168" s="20">
        <v>0</v>
      </c>
      <c r="W168" s="20">
        <v>21900</v>
      </c>
      <c r="X168" s="20">
        <v>0</v>
      </c>
      <c r="Y168" s="18">
        <f>SUMPRODUCT(Q168:X168,'Fisico ASIG'!O168:V168)/E168</f>
        <v>5878903.4251109017</v>
      </c>
      <c r="Z168" s="25">
        <f t="shared" si="174"/>
        <v>12719683.364878178</v>
      </c>
      <c r="AA168" s="26">
        <f>+Z168/'Fisico ASIG'!N168/24</f>
        <v>71.713064316363528</v>
      </c>
      <c r="AB168" s="26">
        <f t="shared" si="151"/>
        <v>16.923076923076923</v>
      </c>
      <c r="AC168" s="29">
        <f t="shared" si="175"/>
        <v>54.789987393286609</v>
      </c>
      <c r="AI168" s="1">
        <v>7241</v>
      </c>
      <c r="AJ168" s="1">
        <v>5762594</v>
      </c>
      <c r="AK168">
        <f t="shared" si="70"/>
        <v>1.44</v>
      </c>
      <c r="AL168" s="40">
        <f t="shared" si="93"/>
        <v>9424.2166666666653</v>
      </c>
      <c r="AM168">
        <v>4100000</v>
      </c>
      <c r="AN168" s="17">
        <v>37.51576584065392</v>
      </c>
      <c r="AO168" s="74">
        <f t="shared" si="165"/>
        <v>2.1273141942441396</v>
      </c>
      <c r="AP168">
        <v>0</v>
      </c>
      <c r="AQ168" s="1">
        <v>0.85</v>
      </c>
    </row>
    <row r="169" spans="1:43" hidden="1" x14ac:dyDescent="0.25">
      <c r="A169" s="3">
        <f t="shared" si="153"/>
        <v>1408.96</v>
      </c>
      <c r="B169" s="42">
        <v>1423.364</v>
      </c>
      <c r="C169" s="53">
        <f t="shared" si="168"/>
        <v>2026</v>
      </c>
      <c r="D169" s="52">
        <f>+'Fisico ASIG'!B169</f>
        <v>46054</v>
      </c>
      <c r="E169" s="1">
        <v>28</v>
      </c>
      <c r="F169" s="56" t="str">
        <f>+'Fisico ASIG'!D169</f>
        <v>vie</v>
      </c>
      <c r="G169" s="56">
        <f>+'Fisico ASIG'!E169</f>
        <v>46080</v>
      </c>
      <c r="H169" s="17">
        <v>28</v>
      </c>
      <c r="I169" s="17">
        <f t="shared" si="169"/>
        <v>5.1392516466045874</v>
      </c>
      <c r="J169" s="17">
        <f t="shared" si="170"/>
        <v>6.6887751722310531</v>
      </c>
      <c r="K169" s="113">
        <f t="shared" si="111"/>
        <v>7.5875000000000004</v>
      </c>
      <c r="L169" s="17">
        <v>27</v>
      </c>
      <c r="M169" s="17">
        <v>71.5</v>
      </c>
      <c r="N169" s="17">
        <f t="shared" si="171"/>
        <v>40.634652520992553</v>
      </c>
      <c r="O169" s="17">
        <v>74.245765317094879</v>
      </c>
      <c r="P169" s="18">
        <f>SUMPRODUCT(H169:O169,'Fisico ASIG'!F169:M169)*24</f>
        <v>7142760.4490177352</v>
      </c>
      <c r="Q169" s="43">
        <v>0</v>
      </c>
      <c r="R169" s="43">
        <f t="shared" si="172"/>
        <v>5889.5464456052687</v>
      </c>
      <c r="S169" s="43">
        <f t="shared" si="173"/>
        <v>2909.9477628889395</v>
      </c>
      <c r="T169" s="43">
        <f t="shared" si="112"/>
        <v>1795.6376259798433</v>
      </c>
      <c r="U169" s="43">
        <v>18000</v>
      </c>
      <c r="V169" s="20">
        <v>0</v>
      </c>
      <c r="W169" s="20">
        <v>21900</v>
      </c>
      <c r="X169" s="20">
        <v>0</v>
      </c>
      <c r="Y169" s="18">
        <f>SUMPRODUCT(Q169:X169,'Fisico ASIG'!O169:V169)/E169</f>
        <v>5886310.2764960397</v>
      </c>
      <c r="Z169" s="25">
        <f t="shared" si="174"/>
        <v>13029070.725513775</v>
      </c>
      <c r="AA169" s="26">
        <f>+Z169/'Fisico ASIG'!N169/24</f>
        <v>74.705922972014065</v>
      </c>
      <c r="AB169" s="26">
        <f t="shared" si="151"/>
        <v>16.923076923076923</v>
      </c>
      <c r="AC169" s="29">
        <f t="shared" si="175"/>
        <v>57.782846048937145</v>
      </c>
      <c r="AI169" s="1">
        <v>7241</v>
      </c>
      <c r="AJ169" s="1">
        <v>5762594</v>
      </c>
      <c r="AK169">
        <f t="shared" si="70"/>
        <v>1.44</v>
      </c>
      <c r="AL169" s="40">
        <f t="shared" si="93"/>
        <v>9424.2166666666653</v>
      </c>
      <c r="AM169">
        <v>4100000</v>
      </c>
      <c r="AN169" s="17">
        <v>37.648386436526984</v>
      </c>
      <c r="AO169" s="74">
        <f t="shared" si="165"/>
        <v>2.1362660844655714</v>
      </c>
      <c r="AP169">
        <v>0</v>
      </c>
      <c r="AQ169" s="1">
        <v>0.85</v>
      </c>
    </row>
    <row r="170" spans="1:43" hidden="1" x14ac:dyDescent="0.25">
      <c r="A170" s="3">
        <f t="shared" si="153"/>
        <v>1408.96</v>
      </c>
      <c r="B170" s="42">
        <v>1423.364</v>
      </c>
      <c r="C170" s="53">
        <f t="shared" si="168"/>
        <v>2026</v>
      </c>
      <c r="D170" s="52">
        <f>+'Fisico ASIG'!B170</f>
        <v>46054</v>
      </c>
      <c r="E170" s="1">
        <v>28</v>
      </c>
      <c r="F170" s="56" t="str">
        <f>+'Fisico ASIG'!D170</f>
        <v>sáb</v>
      </c>
      <c r="G170" s="56">
        <f>+'Fisico ASIG'!E170</f>
        <v>46081</v>
      </c>
      <c r="H170" s="17">
        <v>28</v>
      </c>
      <c r="I170" s="17">
        <f t="shared" si="169"/>
        <v>5.1392516466045874</v>
      </c>
      <c r="J170" s="17">
        <f t="shared" si="170"/>
        <v>6.6887751722310531</v>
      </c>
      <c r="K170" s="113">
        <f t="shared" si="111"/>
        <v>7.5875000000000004</v>
      </c>
      <c r="L170" s="17">
        <v>27</v>
      </c>
      <c r="M170" s="17">
        <v>71.5</v>
      </c>
      <c r="N170" s="17">
        <f t="shared" si="171"/>
        <v>40.528893958451803</v>
      </c>
      <c r="O170" s="17">
        <v>45.375729906544258</v>
      </c>
      <c r="P170" s="18">
        <f>SUMPRODUCT(H170:O170,'Fisico ASIG'!F170:M170)*24</f>
        <v>7571344.7832311448</v>
      </c>
      <c r="Q170" s="43">
        <v>0</v>
      </c>
      <c r="R170" s="43">
        <f t="shared" si="172"/>
        <v>5889.5464456052687</v>
      </c>
      <c r="S170" s="43">
        <f t="shared" si="173"/>
        <v>2909.9477628889395</v>
      </c>
      <c r="T170" s="43">
        <f t="shared" si="112"/>
        <v>1795.6376259798433</v>
      </c>
      <c r="U170" s="43">
        <v>18000</v>
      </c>
      <c r="V170" s="20">
        <v>0</v>
      </c>
      <c r="W170" s="20">
        <v>21900</v>
      </c>
      <c r="X170" s="20">
        <v>0</v>
      </c>
      <c r="Y170" s="18">
        <f>SUMPRODUCT(Q170:X170,'Fisico ASIG'!O170:V170)/E170</f>
        <v>5907362.3747106092</v>
      </c>
      <c r="Z170" s="25">
        <f t="shared" si="174"/>
        <v>13478707.157941755</v>
      </c>
      <c r="AA170" s="26">
        <f>+Z170/'Fisico ASIG'!N170/24</f>
        <v>74.7885180282844</v>
      </c>
      <c r="AB170" s="26">
        <f t="shared" si="151"/>
        <v>16.923076923076923</v>
      </c>
      <c r="AC170" s="29">
        <f t="shared" si="175"/>
        <v>57.865441105207481</v>
      </c>
      <c r="AI170" s="1">
        <v>7241</v>
      </c>
      <c r="AJ170" s="1">
        <v>5762594</v>
      </c>
      <c r="AK170">
        <f t="shared" si="70"/>
        <v>1.44</v>
      </c>
      <c r="AL170" s="40">
        <f t="shared" si="93"/>
        <v>9424.2166666666653</v>
      </c>
      <c r="AM170">
        <v>4100000</v>
      </c>
      <c r="AN170" s="17">
        <v>37.549315183561404</v>
      </c>
      <c r="AO170" s="74">
        <f t="shared" si="165"/>
        <v>2.1295787748903949</v>
      </c>
      <c r="AP170">
        <v>0</v>
      </c>
      <c r="AQ170" s="1">
        <v>0.85</v>
      </c>
    </row>
    <row r="171" spans="1:43" hidden="1" x14ac:dyDescent="0.25">
      <c r="A171" s="3">
        <v>1382.7578000000001</v>
      </c>
      <c r="B171" s="42">
        <v>1423.3640000000005</v>
      </c>
      <c r="C171" s="53">
        <v>2026</v>
      </c>
      <c r="D171" s="52">
        <f>+'Fisico ASIG'!B171</f>
        <v>46082</v>
      </c>
      <c r="E171" s="1">
        <v>31</v>
      </c>
      <c r="F171" s="56" t="s">
        <v>52</v>
      </c>
      <c r="G171" s="56">
        <v>46082</v>
      </c>
      <c r="H171" s="17">
        <v>28</v>
      </c>
      <c r="I171" s="17">
        <f>AI171/A171</f>
        <v>5.2366365244875128</v>
      </c>
      <c r="J171" s="17">
        <f t="shared" si="170"/>
        <v>5.8867925629009878</v>
      </c>
      <c r="K171" s="113">
        <f>3.5+1.9+(3.5*1*5+3.5*5)/24</f>
        <v>6.8583333333333334</v>
      </c>
      <c r="L171" s="17">
        <v>27</v>
      </c>
      <c r="M171" s="17">
        <v>71.5</v>
      </c>
      <c r="N171" s="17">
        <f t="shared" si="171"/>
        <v>39.231239469920688</v>
      </c>
      <c r="O171" s="17">
        <v>41.484311774957405</v>
      </c>
      <c r="P171" s="18">
        <f>SUMPRODUCT(H171:O171,'Fisico ASIG'!F171:M171)*24</f>
        <v>7347097.5080287457</v>
      </c>
      <c r="Q171" s="43">
        <v>0</v>
      </c>
      <c r="R171" s="43">
        <f t="shared" si="172"/>
        <v>6001.1488345970629</v>
      </c>
      <c r="S171" s="43">
        <f t="shared" si="173"/>
        <v>2965.0890416239199</v>
      </c>
      <c r="T171" s="43">
        <f t="shared" si="112"/>
        <v>1795.6376259798433</v>
      </c>
      <c r="U171" s="43">
        <v>18000</v>
      </c>
      <c r="V171" s="20">
        <v>0</v>
      </c>
      <c r="W171" s="20">
        <v>21900</v>
      </c>
      <c r="X171" s="20">
        <v>0</v>
      </c>
      <c r="Y171" s="18">
        <f>SUMPRODUCT(Q171:X171,'Fisico ASIG'!O171:V171)/E171</f>
        <v>5277419.5444998937</v>
      </c>
      <c r="Z171" s="25">
        <f t="shared" si="174"/>
        <v>12624517.052528638</v>
      </c>
      <c r="AA171" s="26">
        <f>+Z171/'Fisico ASIG'!N171/24</f>
        <v>72.571590203555715</v>
      </c>
      <c r="AB171" s="26">
        <f>+$AB$16*0.9*Precios!$P$11/0.61/Precios!$Q$11</f>
        <v>11.866737176097304</v>
      </c>
      <c r="AC171" s="29">
        <f t="shared" si="175"/>
        <v>60.704853027458412</v>
      </c>
      <c r="AI171" s="1">
        <v>7241</v>
      </c>
      <c r="AJ171" s="1">
        <v>5762594</v>
      </c>
      <c r="AK171">
        <f t="shared" si="70"/>
        <v>1.44</v>
      </c>
      <c r="AL171" s="40">
        <f>4403+1752*1.4+(4403*1*5*1.4)/24</f>
        <v>8140.0083333333323</v>
      </c>
      <c r="AM171">
        <v>4100000</v>
      </c>
      <c r="AN171" s="17">
        <v>36.333713789152867</v>
      </c>
      <c r="AO171" s="74">
        <f t="shared" si="165"/>
        <v>2.0475256807678188</v>
      </c>
      <c r="AP171">
        <v>0</v>
      </c>
      <c r="AQ171" s="1">
        <v>0.85</v>
      </c>
    </row>
    <row r="172" spans="1:43" hidden="1" x14ac:dyDescent="0.25">
      <c r="A172" s="3">
        <v>1382.7578000000001</v>
      </c>
      <c r="B172" s="42">
        <v>1367.2360000000006</v>
      </c>
      <c r="C172" s="53">
        <v>2026</v>
      </c>
      <c r="D172" s="52">
        <f>+'Fisico ASIG'!B172</f>
        <v>46082</v>
      </c>
      <c r="E172" s="1">
        <v>31</v>
      </c>
      <c r="F172" s="56" t="s">
        <v>53</v>
      </c>
      <c r="G172" s="56">
        <v>46083</v>
      </c>
      <c r="H172" s="17">
        <v>28</v>
      </c>
      <c r="I172" s="17">
        <f t="shared" ref="I172:I188" si="176">AI172/A172</f>
        <v>5.2366365244875128</v>
      </c>
      <c r="J172" s="17">
        <f t="shared" ref="J172:J188" si="177">+AL172/A172</f>
        <v>5.8867925629009878</v>
      </c>
      <c r="K172" s="113">
        <f t="shared" ref="K172:K284" si="178">3.5+1.9+(3.5*1*5+3.5*5)/24</f>
        <v>6.8583333333333334</v>
      </c>
      <c r="L172" s="17">
        <v>27</v>
      </c>
      <c r="M172" s="17">
        <v>71.5</v>
      </c>
      <c r="N172" s="17">
        <f t="shared" si="171"/>
        <v>40.86015697015511</v>
      </c>
      <c r="O172" s="17">
        <v>76.07078224841041</v>
      </c>
      <c r="P172" s="18">
        <f>SUMPRODUCT(H172:O172,'Fisico ASIG'!F172:M172)*24</f>
        <v>8020162.8500264175</v>
      </c>
      <c r="Q172" s="43">
        <v>0</v>
      </c>
      <c r="R172" s="43">
        <f t="shared" ref="R172:R188" si="179">+AJ172*AK172/A172</f>
        <v>6001.1488345970629</v>
      </c>
      <c r="S172" s="43">
        <f t="shared" ref="S172:S188" si="180">+AM172/A172</f>
        <v>2965.0890416239199</v>
      </c>
      <c r="T172" s="43">
        <f t="shared" si="112"/>
        <v>1795.6376259798433</v>
      </c>
      <c r="U172" s="43">
        <v>18000</v>
      </c>
      <c r="V172" s="20">
        <v>0</v>
      </c>
      <c r="W172" s="20">
        <v>21900</v>
      </c>
      <c r="X172" s="20">
        <v>0</v>
      </c>
      <c r="Y172" s="18">
        <f>SUMPRODUCT(Q172:X172,'Fisico ASIG'!O172:V172)/E172</f>
        <v>5267334.8393057575</v>
      </c>
      <c r="Z172" s="25">
        <f t="shared" ref="Z172:Z188" si="181">+(P172+Y172)</f>
        <v>13287497.689332176</v>
      </c>
      <c r="AA172" s="26">
        <f>+Z172/'Fisico ASIG'!N172/24</f>
        <v>67.055289972356363</v>
      </c>
      <c r="AB172" s="26">
        <f>+$AB$16*0.9*Precios!$P$11/0.61/Precios!$Q$11</f>
        <v>11.866737176097304</v>
      </c>
      <c r="AC172" s="29">
        <f t="shared" ref="AC172:AC188" si="182">+AA172-AB172</f>
        <v>55.18855279625906</v>
      </c>
      <c r="AI172" s="1">
        <v>7241</v>
      </c>
      <c r="AJ172" s="1">
        <v>5762594</v>
      </c>
      <c r="AK172">
        <f t="shared" si="70"/>
        <v>1.44</v>
      </c>
      <c r="AL172" s="40">
        <f t="shared" ref="AL172:AL184" si="183">4403+1752*1.4+(4403*1*5*1.4)/24</f>
        <v>8140.0083333333323</v>
      </c>
      <c r="AM172">
        <v>4100000</v>
      </c>
      <c r="AN172" s="17">
        <v>37.859631822159351</v>
      </c>
      <c r="AO172" s="74">
        <f t="shared" si="165"/>
        <v>2.1505251479957561</v>
      </c>
      <c r="AP172">
        <v>0</v>
      </c>
      <c r="AQ172" s="1">
        <v>0.85</v>
      </c>
    </row>
    <row r="173" spans="1:43" hidden="1" x14ac:dyDescent="0.25">
      <c r="A173" s="3">
        <v>1382.7578000000001</v>
      </c>
      <c r="B173" s="42">
        <v>1367.2360000000006</v>
      </c>
      <c r="C173" s="53">
        <v>2026</v>
      </c>
      <c r="D173" s="52">
        <f>+'Fisico ASIG'!B173</f>
        <v>46082</v>
      </c>
      <c r="E173" s="1">
        <v>31</v>
      </c>
      <c r="F173" s="56" t="s">
        <v>54</v>
      </c>
      <c r="G173" s="56">
        <v>46084</v>
      </c>
      <c r="H173" s="17">
        <v>28</v>
      </c>
      <c r="I173" s="17">
        <f t="shared" si="176"/>
        <v>5.2366365244875128</v>
      </c>
      <c r="J173" s="17">
        <f t="shared" si="177"/>
        <v>5.8867925629009878</v>
      </c>
      <c r="K173" s="113">
        <f t="shared" si="178"/>
        <v>6.8583333333333334</v>
      </c>
      <c r="L173" s="17">
        <v>27</v>
      </c>
      <c r="M173" s="17">
        <v>71.5</v>
      </c>
      <c r="N173" s="17">
        <f t="shared" si="171"/>
        <v>40.967451705417012</v>
      </c>
      <c r="O173" s="17">
        <v>68.954858685741769</v>
      </c>
      <c r="P173" s="18">
        <f>SUMPRODUCT(H173:O173,'Fisico ASIG'!F173:M173)*24</f>
        <v>7741728.5119530866</v>
      </c>
      <c r="Q173" s="43">
        <v>0</v>
      </c>
      <c r="R173" s="43">
        <f t="shared" si="179"/>
        <v>6001.1488345970629</v>
      </c>
      <c r="S173" s="43">
        <f t="shared" si="180"/>
        <v>2965.0890416239199</v>
      </c>
      <c r="T173" s="43">
        <f t="shared" si="112"/>
        <v>1795.6376259798433</v>
      </c>
      <c r="U173" s="43">
        <v>18000</v>
      </c>
      <c r="V173" s="20">
        <v>0</v>
      </c>
      <c r="W173" s="20">
        <v>21900</v>
      </c>
      <c r="X173" s="20">
        <v>0</v>
      </c>
      <c r="Y173" s="18">
        <f>SUMPRODUCT(Q173:X173,'Fisico ASIG'!O173:V173)/E173</f>
        <v>5315695.2950432785</v>
      </c>
      <c r="Z173" s="25">
        <f t="shared" si="181"/>
        <v>13057423.806996364</v>
      </c>
      <c r="AA173" s="26">
        <f>+Z173/'Fisico ASIG'!N173/24</f>
        <v>71.997033713704255</v>
      </c>
      <c r="AB173" s="26">
        <f>+$AB$16*0.9*Precios!$P$11/0.61/Precios!$Q$11</f>
        <v>11.866737176097304</v>
      </c>
      <c r="AC173" s="29">
        <f>+AA173-AB173</f>
        <v>60.130296537606952</v>
      </c>
      <c r="AI173" s="1">
        <v>7241</v>
      </c>
      <c r="AJ173" s="1">
        <v>5762594</v>
      </c>
      <c r="AK173">
        <f t="shared" ref="AK173:AK184" si="184">1.2*1.2</f>
        <v>1.44</v>
      </c>
      <c r="AL173" s="40">
        <f t="shared" si="183"/>
        <v>8140.0083333333323</v>
      </c>
      <c r="AM173">
        <v>4100000</v>
      </c>
      <c r="AN173" s="17">
        <v>37.960142112802821</v>
      </c>
      <c r="AO173" s="74">
        <f t="shared" si="165"/>
        <v>2.1573095926141908</v>
      </c>
      <c r="AP173">
        <v>0</v>
      </c>
      <c r="AQ173" s="1">
        <v>0.85</v>
      </c>
    </row>
    <row r="174" spans="1:43" hidden="1" x14ac:dyDescent="0.25">
      <c r="A174" s="3">
        <v>1382.7578000000001</v>
      </c>
      <c r="B174" s="42">
        <v>1367.2360000000006</v>
      </c>
      <c r="C174" s="53">
        <v>2026</v>
      </c>
      <c r="D174" s="52">
        <f>+'Fisico ASIG'!B174</f>
        <v>46082</v>
      </c>
      <c r="E174" s="1">
        <v>31</v>
      </c>
      <c r="F174" s="56" t="s">
        <v>55</v>
      </c>
      <c r="G174" s="56">
        <v>46085</v>
      </c>
      <c r="H174" s="17">
        <v>28</v>
      </c>
      <c r="I174" s="17">
        <f t="shared" si="176"/>
        <v>5.2366365244875128</v>
      </c>
      <c r="J174" s="17">
        <f t="shared" si="177"/>
        <v>5.8867925629009878</v>
      </c>
      <c r="K174" s="113">
        <f t="shared" si="178"/>
        <v>6.8583333333333334</v>
      </c>
      <c r="L174" s="17">
        <v>27</v>
      </c>
      <c r="M174" s="17">
        <v>71.5</v>
      </c>
      <c r="N174" s="17">
        <f t="shared" si="171"/>
        <v>40.716557981740408</v>
      </c>
      <c r="O174" s="17">
        <v>80.558120299220363</v>
      </c>
      <c r="P174" s="18">
        <f>SUMPRODUCT(H174:O174,'Fisico ASIG'!F174:M174)*24</f>
        <v>8415872.9731627814</v>
      </c>
      <c r="Q174" s="43">
        <v>0</v>
      </c>
      <c r="R174" s="43">
        <f t="shared" si="179"/>
        <v>6001.1488345970629</v>
      </c>
      <c r="S174" s="43">
        <f t="shared" si="180"/>
        <v>2965.0890416239199</v>
      </c>
      <c r="T174" s="43">
        <f t="shared" si="112"/>
        <v>1795.6376259798433</v>
      </c>
      <c r="U174" s="43">
        <v>18000</v>
      </c>
      <c r="V174" s="20">
        <v>0</v>
      </c>
      <c r="W174" s="20">
        <v>21900</v>
      </c>
      <c r="X174" s="20">
        <v>0</v>
      </c>
      <c r="Y174" s="18">
        <f>SUMPRODUCT(Q174:X174,'Fisico ASIG'!O174:V174)/E174</f>
        <v>5330361.3321486581</v>
      </c>
      <c r="Z174" s="25">
        <f t="shared" si="181"/>
        <v>13746234.30531144</v>
      </c>
      <c r="AA174" s="26">
        <f>+Z174/'Fisico ASIG'!N174/24</f>
        <v>67.302767126160617</v>
      </c>
      <c r="AB174" s="26">
        <f>+$AB$16*0.9*Precios!$P$11/0.61/Precios!$Q$11</f>
        <v>11.866737176097304</v>
      </c>
      <c r="AC174" s="29">
        <f t="shared" si="182"/>
        <v>55.436029950063315</v>
      </c>
      <c r="AI174" s="1">
        <v>7241</v>
      </c>
      <c r="AJ174" s="1">
        <v>5762594</v>
      </c>
      <c r="AK174">
        <f t="shared" si="184"/>
        <v>1.44</v>
      </c>
      <c r="AL174" s="40">
        <f t="shared" si="183"/>
        <v>8140.0083333333323</v>
      </c>
      <c r="AM174">
        <v>4100000</v>
      </c>
      <c r="AN174" s="17">
        <v>37.725112863457056</v>
      </c>
      <c r="AO174" s="74">
        <f t="shared" si="165"/>
        <v>2.1414451182833516</v>
      </c>
      <c r="AP174">
        <v>0</v>
      </c>
      <c r="AQ174" s="1">
        <v>0.85</v>
      </c>
    </row>
    <row r="175" spans="1:43" hidden="1" x14ac:dyDescent="0.25">
      <c r="A175" s="3">
        <v>1382.7578000000001</v>
      </c>
      <c r="B175" s="42">
        <v>1367.2360000000006</v>
      </c>
      <c r="C175" s="53">
        <v>2026</v>
      </c>
      <c r="D175" s="52">
        <f>+'Fisico ASIG'!B175</f>
        <v>46082</v>
      </c>
      <c r="E175" s="1">
        <v>31</v>
      </c>
      <c r="F175" s="56" t="s">
        <v>56</v>
      </c>
      <c r="G175" s="56">
        <v>46086</v>
      </c>
      <c r="H175" s="17">
        <v>28</v>
      </c>
      <c r="I175" s="17">
        <f t="shared" si="176"/>
        <v>5.2366365244875128</v>
      </c>
      <c r="J175" s="17">
        <f t="shared" si="177"/>
        <v>5.8867925629009878</v>
      </c>
      <c r="K175" s="113">
        <f t="shared" si="178"/>
        <v>6.8583333333333334</v>
      </c>
      <c r="L175" s="17">
        <v>27</v>
      </c>
      <c r="M175" s="17">
        <v>71.5</v>
      </c>
      <c r="N175" s="17">
        <f t="shared" si="171"/>
        <v>40.129733967481663</v>
      </c>
      <c r="O175" s="17">
        <v>81.009195506744916</v>
      </c>
      <c r="P175" s="18">
        <f>SUMPRODUCT(H175:O175,'Fisico ASIG'!F175:M175)*24</f>
        <v>7344136.2352550551</v>
      </c>
      <c r="Q175" s="43">
        <v>0</v>
      </c>
      <c r="R175" s="43">
        <f t="shared" si="179"/>
        <v>6001.1488345970629</v>
      </c>
      <c r="S175" s="43">
        <f t="shared" si="180"/>
        <v>2965.0890416239199</v>
      </c>
      <c r="T175" s="43">
        <f t="shared" si="112"/>
        <v>1795.6376259798433</v>
      </c>
      <c r="U175" s="43">
        <v>18000</v>
      </c>
      <c r="V175" s="20">
        <v>0</v>
      </c>
      <c r="W175" s="20">
        <v>21900</v>
      </c>
      <c r="X175" s="20">
        <v>0</v>
      </c>
      <c r="Y175" s="18">
        <f>SUMPRODUCT(Q175:X175,'Fisico ASIG'!O175:V175)/E175</f>
        <v>5342741.4627121165</v>
      </c>
      <c r="Z175" s="25">
        <f t="shared" si="181"/>
        <v>12686877.697967172</v>
      </c>
      <c r="AA175" s="26">
        <f>+Z175/'Fisico ASIG'!N175/24</f>
        <v>62.463306690030919</v>
      </c>
      <c r="AB175" s="26">
        <f>+$AB$16*0.9*Precios!$P$11/0.61/Precios!$Q$11</f>
        <v>11.866737176097304</v>
      </c>
      <c r="AC175" s="29">
        <f t="shared" si="182"/>
        <v>50.596569513933616</v>
      </c>
      <c r="AI175" s="1">
        <v>7241</v>
      </c>
      <c r="AJ175" s="1">
        <v>5762594</v>
      </c>
      <c r="AK175">
        <f t="shared" si="184"/>
        <v>1.44</v>
      </c>
      <c r="AL175" s="40">
        <f t="shared" si="183"/>
        <v>8140.0083333333323</v>
      </c>
      <c r="AM175">
        <v>4100000</v>
      </c>
      <c r="AN175" s="17">
        <v>37.175394817313034</v>
      </c>
      <c r="AO175" s="74">
        <f t="shared" si="165"/>
        <v>2.1043391501686299</v>
      </c>
      <c r="AP175">
        <v>0</v>
      </c>
      <c r="AQ175" s="1">
        <v>0.85</v>
      </c>
    </row>
    <row r="176" spans="1:43" hidden="1" x14ac:dyDescent="0.25">
      <c r="A176" s="3">
        <v>1382.7578000000001</v>
      </c>
      <c r="B176" s="42">
        <v>1367.2360000000006</v>
      </c>
      <c r="C176" s="53">
        <v>2026</v>
      </c>
      <c r="D176" s="52">
        <f>+'Fisico ASIG'!B176</f>
        <v>46082</v>
      </c>
      <c r="E176" s="1">
        <v>31</v>
      </c>
      <c r="F176" s="56" t="s">
        <v>57</v>
      </c>
      <c r="G176" s="56">
        <v>46087</v>
      </c>
      <c r="H176" s="17">
        <v>28</v>
      </c>
      <c r="I176" s="17">
        <f>AI176/A176</f>
        <v>5.2366365244875128</v>
      </c>
      <c r="J176" s="17">
        <f t="shared" ref="J176:J186" si="185">+AL176/A176</f>
        <v>5.8867925629009878</v>
      </c>
      <c r="K176" s="113">
        <f t="shared" si="178"/>
        <v>6.8583333333333334</v>
      </c>
      <c r="L176" s="17">
        <v>27</v>
      </c>
      <c r="M176" s="17">
        <v>71.5</v>
      </c>
      <c r="N176" s="17">
        <f t="shared" si="171"/>
        <v>39.388538931138314</v>
      </c>
      <c r="O176" s="17">
        <v>109.98773617445292</v>
      </c>
      <c r="P176" s="18">
        <f>SUMPRODUCT(H176:O176,'Fisico ASIG'!F176:M176)*24</f>
        <v>6959499.9832849223</v>
      </c>
      <c r="Q176" s="43">
        <v>0</v>
      </c>
      <c r="R176" s="43">
        <f t="shared" ref="R176:R184" si="186">+AJ176*AK176/A176</f>
        <v>6001.1488345970629</v>
      </c>
      <c r="S176" s="43">
        <f t="shared" ref="S176:S184" si="187">+AM176/A176</f>
        <v>2965.0890416239199</v>
      </c>
      <c r="T176" s="43">
        <f t="shared" si="112"/>
        <v>1795.6376259798433</v>
      </c>
      <c r="U176" s="43">
        <v>18000</v>
      </c>
      <c r="V176" s="20">
        <v>0</v>
      </c>
      <c r="W176" s="20">
        <v>21900</v>
      </c>
      <c r="X176" s="20">
        <v>0</v>
      </c>
      <c r="Y176" s="18">
        <f>SUMPRODUCT(Q176:X176,'Fisico ASIG'!O176:V176)/E176</f>
        <v>5349811.3436131477</v>
      </c>
      <c r="Z176" s="25">
        <f t="shared" ref="Z176:Z184" si="188">+(P176+Y176)</f>
        <v>12309311.32689807</v>
      </c>
      <c r="AA176" s="26">
        <f>+Z176/'Fisico ASIG'!N176/24</f>
        <v>68.653185540478333</v>
      </c>
      <c r="AB176" s="26">
        <f>+$AB$16*0.9*Precios!$P$11/0.61/Precios!$Q$11</f>
        <v>11.866737176097304</v>
      </c>
      <c r="AC176" s="29">
        <f t="shared" ref="AC176:AC184" si="189">+AA176-AB176</f>
        <v>56.78644836438103</v>
      </c>
      <c r="AI176" s="1">
        <v>7241</v>
      </c>
      <c r="AJ176" s="1">
        <v>5762594</v>
      </c>
      <c r="AK176">
        <f t="shared" si="184"/>
        <v>1.44</v>
      </c>
      <c r="AL176" s="40">
        <f t="shared" si="183"/>
        <v>8140.0083333333323</v>
      </c>
      <c r="AM176">
        <v>4100000</v>
      </c>
      <c r="AN176" s="17">
        <v>36.48106691441528</v>
      </c>
      <c r="AO176" s="74">
        <f t="shared" si="165"/>
        <v>2.0574720167230316</v>
      </c>
      <c r="AP176">
        <v>0</v>
      </c>
      <c r="AQ176" s="1">
        <v>0.85</v>
      </c>
    </row>
    <row r="177" spans="1:43" hidden="1" x14ac:dyDescent="0.25">
      <c r="A177" s="3">
        <v>1382.7578000000001</v>
      </c>
      <c r="B177" s="42">
        <v>1367.2360000000006</v>
      </c>
      <c r="C177" s="53">
        <v>2026</v>
      </c>
      <c r="D177" s="52">
        <f>+'Fisico ASIG'!B177</f>
        <v>46082</v>
      </c>
      <c r="E177" s="1">
        <v>31</v>
      </c>
      <c r="F177" s="56" t="s">
        <v>51</v>
      </c>
      <c r="G177" s="56">
        <v>46088</v>
      </c>
      <c r="H177" s="17">
        <v>28</v>
      </c>
      <c r="I177" s="17">
        <f t="shared" ref="I177:I186" si="190">AI177/A177</f>
        <v>5.2366365244875128</v>
      </c>
      <c r="J177" s="17">
        <f t="shared" si="185"/>
        <v>5.8867925629009878</v>
      </c>
      <c r="K177" s="113">
        <f t="shared" si="178"/>
        <v>6.8583333333333334</v>
      </c>
      <c r="L177" s="17">
        <v>27</v>
      </c>
      <c r="M177" s="17">
        <v>71.5</v>
      </c>
      <c r="N177" s="17">
        <f t="shared" si="171"/>
        <v>40.371425285008144</v>
      </c>
      <c r="O177" s="17">
        <v>85.187494489192105</v>
      </c>
      <c r="P177" s="18">
        <f>SUMPRODUCT(H177:O177,'Fisico ASIG'!F177:M177)*24</f>
        <v>7007733.3026225679</v>
      </c>
      <c r="Q177" s="43">
        <v>0</v>
      </c>
      <c r="R177" s="43">
        <f t="shared" si="186"/>
        <v>6001.1488345970629</v>
      </c>
      <c r="S177" s="43">
        <f t="shared" si="187"/>
        <v>2965.0890416239199</v>
      </c>
      <c r="T177" s="43">
        <f t="shared" si="112"/>
        <v>1795.6376259798433</v>
      </c>
      <c r="U177" s="43">
        <v>18000</v>
      </c>
      <c r="V177" s="20">
        <v>0</v>
      </c>
      <c r="W177" s="20">
        <v>21900</v>
      </c>
      <c r="X177" s="20">
        <v>0</v>
      </c>
      <c r="Y177" s="18">
        <f>SUMPRODUCT(Q177:X177,'Fisico ASIG'!O177:V177)/E177</f>
        <v>5317068.4798777737</v>
      </c>
      <c r="Z177" s="25">
        <f t="shared" si="188"/>
        <v>12324801.782500342</v>
      </c>
      <c r="AA177" s="26">
        <f>+Z177/'Fisico ASIG'!N177/24</f>
        <v>74.006669738460275</v>
      </c>
      <c r="AB177" s="26">
        <f>+$AB$16*0.9*Precios!$P$11/0.61/Precios!$Q$11</f>
        <v>11.866737176097304</v>
      </c>
      <c r="AC177" s="29">
        <f t="shared" si="189"/>
        <v>62.139932562362972</v>
      </c>
      <c r="AI177" s="1">
        <v>7241</v>
      </c>
      <c r="AJ177" s="1">
        <v>5762594</v>
      </c>
      <c r="AK177">
        <f t="shared" si="184"/>
        <v>1.44</v>
      </c>
      <c r="AL177" s="40">
        <f t="shared" si="183"/>
        <v>8140.0083333333323</v>
      </c>
      <c r="AM177">
        <v>4100000</v>
      </c>
      <c r="AN177" s="17">
        <v>37.401803545675072</v>
      </c>
      <c r="AO177" s="74">
        <f t="shared" si="165"/>
        <v>2.1196217393330676</v>
      </c>
      <c r="AP177">
        <v>0</v>
      </c>
      <c r="AQ177" s="1">
        <v>0.85</v>
      </c>
    </row>
    <row r="178" spans="1:43" hidden="1" x14ac:dyDescent="0.25">
      <c r="A178" s="3">
        <v>1382.7578000000001</v>
      </c>
      <c r="B178" s="42">
        <v>1367.2360000000006</v>
      </c>
      <c r="C178" s="53">
        <v>2026</v>
      </c>
      <c r="D178" s="52">
        <f>+'Fisico ASIG'!B178</f>
        <v>46082</v>
      </c>
      <c r="E178" s="1">
        <v>31</v>
      </c>
      <c r="F178" s="56" t="s">
        <v>52</v>
      </c>
      <c r="G178" s="56">
        <v>46089</v>
      </c>
      <c r="H178" s="17">
        <v>28</v>
      </c>
      <c r="I178" s="17">
        <f t="shared" si="190"/>
        <v>5.2366365244875128</v>
      </c>
      <c r="J178" s="17">
        <f t="shared" si="185"/>
        <v>5.8867925629009878</v>
      </c>
      <c r="K178" s="113">
        <f t="shared" si="178"/>
        <v>6.8583333333333334</v>
      </c>
      <c r="L178" s="17">
        <v>27</v>
      </c>
      <c r="M178" s="17">
        <v>71.5</v>
      </c>
      <c r="N178" s="17">
        <f t="shared" si="171"/>
        <v>40.271481029685489</v>
      </c>
      <c r="O178" s="17">
        <v>101.10140994025966</v>
      </c>
      <c r="P178" s="18">
        <f>SUMPRODUCT(H178:O178,'Fisico ASIG'!F178:M178)*24</f>
        <v>7098487.5065556578</v>
      </c>
      <c r="Q178" s="43">
        <v>0</v>
      </c>
      <c r="R178" s="43">
        <f t="shared" si="186"/>
        <v>6001.1488345970629</v>
      </c>
      <c r="S178" s="43">
        <f t="shared" si="187"/>
        <v>2965.0890416239199</v>
      </c>
      <c r="T178" s="43">
        <f t="shared" si="112"/>
        <v>1795.6376259798433</v>
      </c>
      <c r="U178" s="43">
        <v>18000</v>
      </c>
      <c r="V178" s="20">
        <v>0</v>
      </c>
      <c r="W178" s="20">
        <v>21900</v>
      </c>
      <c r="X178" s="20">
        <v>0</v>
      </c>
      <c r="Y178" s="18">
        <f>SUMPRODUCT(Q178:X178,'Fisico ASIG'!O178:V178)/E178</f>
        <v>5305949.605924095</v>
      </c>
      <c r="Z178" s="25">
        <f t="shared" si="188"/>
        <v>12404437.112479754</v>
      </c>
      <c r="AA178" s="26">
        <f>+Z178/'Fisico ASIG'!N178/24</f>
        <v>72.865185271100842</v>
      </c>
      <c r="AB178" s="26">
        <f>+$AB$16*0.9*Precios!$P$11/0.61/Precios!$Q$11</f>
        <v>11.866737176097304</v>
      </c>
      <c r="AC178" s="29">
        <f t="shared" si="189"/>
        <v>60.998448095003539</v>
      </c>
      <c r="AI178" s="1">
        <v>7241</v>
      </c>
      <c r="AJ178" s="1">
        <v>5762594</v>
      </c>
      <c r="AK178">
        <f t="shared" si="184"/>
        <v>1.44</v>
      </c>
      <c r="AL178" s="40">
        <f t="shared" si="183"/>
        <v>8140.0083333333323</v>
      </c>
      <c r="AM178">
        <v>4100000</v>
      </c>
      <c r="AN178" s="17">
        <v>37.308178950525047</v>
      </c>
      <c r="AO178" s="74">
        <f t="shared" si="165"/>
        <v>2.1133020791604409</v>
      </c>
      <c r="AP178">
        <v>0</v>
      </c>
      <c r="AQ178" s="1">
        <v>0.85</v>
      </c>
    </row>
    <row r="179" spans="1:43" hidden="1" x14ac:dyDescent="0.25">
      <c r="A179" s="3">
        <v>1382.7578000000001</v>
      </c>
      <c r="B179" s="42">
        <v>1367.2360000000006</v>
      </c>
      <c r="C179" s="53">
        <v>2026</v>
      </c>
      <c r="D179" s="52">
        <f>+'Fisico ASIG'!B179</f>
        <v>46082</v>
      </c>
      <c r="E179" s="1">
        <v>31</v>
      </c>
      <c r="F179" s="56" t="s">
        <v>53</v>
      </c>
      <c r="G179" s="56">
        <v>46090</v>
      </c>
      <c r="H179" s="17">
        <v>28</v>
      </c>
      <c r="I179" s="17">
        <f t="shared" si="190"/>
        <v>5.2366365244875128</v>
      </c>
      <c r="J179" s="17">
        <f t="shared" si="185"/>
        <v>5.8867925629009878</v>
      </c>
      <c r="K179" s="113">
        <f t="shared" si="178"/>
        <v>6.8583333333333334</v>
      </c>
      <c r="L179" s="17">
        <v>27</v>
      </c>
      <c r="M179" s="17">
        <v>71.5</v>
      </c>
      <c r="N179" s="17">
        <f t="shared" si="171"/>
        <v>39.772493071474621</v>
      </c>
      <c r="O179" s="17">
        <v>64.491353896153896</v>
      </c>
      <c r="P179" s="18">
        <f>SUMPRODUCT(H179:O179,'Fisico ASIG'!F179:M179)*24</f>
        <v>7953693.3467082251</v>
      </c>
      <c r="Q179" s="43">
        <v>0</v>
      </c>
      <c r="R179" s="43">
        <f t="shared" si="186"/>
        <v>6001.1488345970629</v>
      </c>
      <c r="S179" s="43">
        <f t="shared" si="187"/>
        <v>2965.0890416239199</v>
      </c>
      <c r="T179" s="43">
        <f t="shared" si="112"/>
        <v>1795.6376259798433</v>
      </c>
      <c r="U179" s="43">
        <v>18000</v>
      </c>
      <c r="V179" s="20">
        <v>0</v>
      </c>
      <c r="W179" s="20">
        <v>21900</v>
      </c>
      <c r="X179" s="20">
        <v>0</v>
      </c>
      <c r="Y179" s="18">
        <f>SUMPRODUCT(Q179:X179,'Fisico ASIG'!O179:V179)/E179</f>
        <v>5408353.2551510734</v>
      </c>
      <c r="Z179" s="25">
        <f t="shared" si="188"/>
        <v>13362046.601859298</v>
      </c>
      <c r="AA179" s="26">
        <f>+Z179/'Fisico ASIG'!N179/24</f>
        <v>68.466351358420837</v>
      </c>
      <c r="AB179" s="26">
        <f>+$AB$16*0.9*Precios!$P$11/0.61/Precios!$Q$11</f>
        <v>11.866737176097304</v>
      </c>
      <c r="AC179" s="29">
        <f t="shared" si="189"/>
        <v>56.599614182323535</v>
      </c>
      <c r="AI179" s="1">
        <v>7241</v>
      </c>
      <c r="AJ179" s="1">
        <v>5762594</v>
      </c>
      <c r="AK179">
        <f t="shared" si="184"/>
        <v>1.44</v>
      </c>
      <c r="AL179" s="40">
        <f t="shared" si="183"/>
        <v>8140.0083333333323</v>
      </c>
      <c r="AM179">
        <v>4100000</v>
      </c>
      <c r="AN179" s="17">
        <v>36.840742924098002</v>
      </c>
      <c r="AO179" s="74">
        <f t="shared" si="165"/>
        <v>2.0817501473766153</v>
      </c>
      <c r="AP179">
        <v>0</v>
      </c>
      <c r="AQ179" s="1">
        <v>0.85</v>
      </c>
    </row>
    <row r="180" spans="1:43" hidden="1" x14ac:dyDescent="0.25">
      <c r="A180" s="3">
        <v>1382.7578000000001</v>
      </c>
      <c r="B180" s="42">
        <v>1367.2360000000006</v>
      </c>
      <c r="C180" s="53">
        <v>2026</v>
      </c>
      <c r="D180" s="52">
        <f>+'Fisico ASIG'!B180</f>
        <v>46082</v>
      </c>
      <c r="E180" s="1">
        <v>31</v>
      </c>
      <c r="F180" s="56" t="s">
        <v>54</v>
      </c>
      <c r="G180" s="56">
        <v>46091</v>
      </c>
      <c r="H180" s="17">
        <v>28</v>
      </c>
      <c r="I180" s="17">
        <f t="shared" si="190"/>
        <v>5.2366365244875128</v>
      </c>
      <c r="J180" s="17">
        <f t="shared" si="185"/>
        <v>5.8867925629009878</v>
      </c>
      <c r="K180" s="113">
        <f t="shared" si="178"/>
        <v>6.8583333333333334</v>
      </c>
      <c r="L180" s="17">
        <v>27</v>
      </c>
      <c r="M180" s="17">
        <v>71.5</v>
      </c>
      <c r="N180" s="17">
        <f t="shared" si="171"/>
        <v>40.879279137287689</v>
      </c>
      <c r="O180" s="17">
        <v>82.534726244705894</v>
      </c>
      <c r="P180" s="18">
        <f>SUMPRODUCT(H180:O180,'Fisico ASIG'!F180:M180)*24</f>
        <v>7939215.15630248</v>
      </c>
      <c r="Q180" s="43">
        <v>0</v>
      </c>
      <c r="R180" s="43">
        <f t="shared" si="186"/>
        <v>6001.1488345970629</v>
      </c>
      <c r="S180" s="43">
        <f t="shared" si="187"/>
        <v>2965.0890416239199</v>
      </c>
      <c r="T180" s="43">
        <f t="shared" si="112"/>
        <v>1795.6376259798433</v>
      </c>
      <c r="U180" s="43">
        <v>18000</v>
      </c>
      <c r="V180" s="20">
        <v>0</v>
      </c>
      <c r="W180" s="20">
        <v>21900</v>
      </c>
      <c r="X180" s="20">
        <v>0</v>
      </c>
      <c r="Y180" s="18">
        <f>SUMPRODUCT(Q180:X180,'Fisico ASIG'!O180:V180)/E180</f>
        <v>5520410.4703009995</v>
      </c>
      <c r="Z180" s="25">
        <f t="shared" si="188"/>
        <v>13459625.62660348</v>
      </c>
      <c r="AA180" s="26">
        <f>+Z180/'Fisico ASIG'!N180/24</f>
        <v>67.263404258177516</v>
      </c>
      <c r="AB180" s="26">
        <f>+$AB$16*0.9*Precios!$P$11/0.61/Precios!$Q$11</f>
        <v>11.866737176097304</v>
      </c>
      <c r="AC180" s="29">
        <f t="shared" si="189"/>
        <v>55.396667082080214</v>
      </c>
      <c r="AI180" s="1">
        <v>7241</v>
      </c>
      <c r="AJ180" s="1">
        <v>5762594</v>
      </c>
      <c r="AK180">
        <f t="shared" si="184"/>
        <v>1.44</v>
      </c>
      <c r="AL180" s="40">
        <f t="shared" si="183"/>
        <v>8140.0083333333323</v>
      </c>
      <c r="AM180">
        <v>4100000</v>
      </c>
      <c r="AN180" s="17">
        <v>37.877544859285891</v>
      </c>
      <c r="AO180" s="74">
        <f t="shared" si="165"/>
        <v>2.1517342780017978</v>
      </c>
      <c r="AP180">
        <v>0</v>
      </c>
      <c r="AQ180" s="1">
        <v>0.85</v>
      </c>
    </row>
    <row r="181" spans="1:43" hidden="1" x14ac:dyDescent="0.25">
      <c r="A181" s="3">
        <v>1382.7578000000001</v>
      </c>
      <c r="B181" s="42">
        <v>1367.2360000000006</v>
      </c>
      <c r="C181" s="53">
        <v>2026</v>
      </c>
      <c r="D181" s="52">
        <f>+'Fisico ASIG'!B181</f>
        <v>46082</v>
      </c>
      <c r="E181" s="1">
        <v>31</v>
      </c>
      <c r="F181" s="56" t="s">
        <v>55</v>
      </c>
      <c r="G181" s="56">
        <v>46092</v>
      </c>
      <c r="H181" s="17">
        <v>28</v>
      </c>
      <c r="I181" s="17">
        <f t="shared" si="190"/>
        <v>5.2366365244875128</v>
      </c>
      <c r="J181" s="17">
        <f t="shared" si="185"/>
        <v>5.8867925629009878</v>
      </c>
      <c r="K181" s="113">
        <f t="shared" si="178"/>
        <v>6.8583333333333334</v>
      </c>
      <c r="L181" s="17">
        <v>27</v>
      </c>
      <c r="M181" s="17">
        <v>71.5</v>
      </c>
      <c r="N181" s="17">
        <f t="shared" si="171"/>
        <v>40.601720021060252</v>
      </c>
      <c r="O181" s="17">
        <v>102.53495579673944</v>
      </c>
      <c r="P181" s="18">
        <f>SUMPRODUCT(H181:O181,'Fisico ASIG'!F181:M181)*24</f>
        <v>8252147.9375210786</v>
      </c>
      <c r="Q181" s="43">
        <v>0</v>
      </c>
      <c r="R181" s="43">
        <f t="shared" si="186"/>
        <v>6001.1488345970629</v>
      </c>
      <c r="S181" s="43">
        <f t="shared" si="187"/>
        <v>2965.0890416239199</v>
      </c>
      <c r="T181" s="43">
        <f t="shared" si="112"/>
        <v>1795.6376259798433</v>
      </c>
      <c r="U181" s="43">
        <v>18000</v>
      </c>
      <c r="V181" s="20">
        <v>0</v>
      </c>
      <c r="W181" s="20">
        <v>21900</v>
      </c>
      <c r="X181" s="20">
        <v>0</v>
      </c>
      <c r="Y181" s="18">
        <f>SUMPRODUCT(Q181:X181,'Fisico ASIG'!O181:V181)/E181</f>
        <v>5544093.1537582362</v>
      </c>
      <c r="Z181" s="25">
        <f t="shared" si="188"/>
        <v>13796241.091279315</v>
      </c>
      <c r="AA181" s="26">
        <f>+Z181/'Fisico ASIG'!N181/24</f>
        <v>70.529639955612879</v>
      </c>
      <c r="AB181" s="26">
        <f>+$AB$16*0.9*Precios!$P$11/0.61/Precios!$Q$11</f>
        <v>11.866737176097304</v>
      </c>
      <c r="AC181" s="29">
        <f t="shared" si="189"/>
        <v>58.662902779515576</v>
      </c>
      <c r="AI181" s="1">
        <v>7241</v>
      </c>
      <c r="AJ181" s="1">
        <v>5762594</v>
      </c>
      <c r="AK181">
        <f t="shared" si="184"/>
        <v>1.44</v>
      </c>
      <c r="AL181" s="40">
        <f t="shared" si="183"/>
        <v>8140.0083333333323</v>
      </c>
      <c r="AM181">
        <v>4100000</v>
      </c>
      <c r="AN181" s="17">
        <v>37.617536319494377</v>
      </c>
      <c r="AO181" s="74">
        <f t="shared" si="165"/>
        <v>2.1341837015658705</v>
      </c>
      <c r="AP181">
        <v>0</v>
      </c>
      <c r="AQ181" s="1">
        <v>0.85</v>
      </c>
    </row>
    <row r="182" spans="1:43" hidden="1" x14ac:dyDescent="0.25">
      <c r="A182" s="3">
        <v>1382.7578000000001</v>
      </c>
      <c r="B182" s="42">
        <v>1367.2360000000006</v>
      </c>
      <c r="C182" s="53">
        <v>2026</v>
      </c>
      <c r="D182" s="52">
        <f>+'Fisico ASIG'!B182</f>
        <v>46082</v>
      </c>
      <c r="E182" s="1">
        <v>31</v>
      </c>
      <c r="F182" s="56" t="s">
        <v>56</v>
      </c>
      <c r="G182" s="56">
        <v>46093</v>
      </c>
      <c r="H182" s="17">
        <v>28</v>
      </c>
      <c r="I182" s="17">
        <f t="shared" si="190"/>
        <v>5.2366365244875128</v>
      </c>
      <c r="J182" s="17">
        <f t="shared" si="185"/>
        <v>5.8867925629009878</v>
      </c>
      <c r="K182" s="113">
        <f t="shared" si="178"/>
        <v>6.8583333333333334</v>
      </c>
      <c r="L182" s="17">
        <v>27</v>
      </c>
      <c r="M182" s="17">
        <v>71.5</v>
      </c>
      <c r="N182" s="17">
        <f t="shared" si="171"/>
        <v>41.051348552126782</v>
      </c>
      <c r="O182" s="17">
        <v>89.110606930244685</v>
      </c>
      <c r="P182" s="18">
        <f>SUMPRODUCT(H182:O182,'Fisico ASIG'!F182:M182)*24</f>
        <v>8135468.9443626739</v>
      </c>
      <c r="Q182" s="43">
        <v>0</v>
      </c>
      <c r="R182" s="43">
        <f t="shared" si="186"/>
        <v>6001.1488345970629</v>
      </c>
      <c r="S182" s="43">
        <f t="shared" si="187"/>
        <v>2965.0890416239199</v>
      </c>
      <c r="T182" s="43">
        <f t="shared" si="112"/>
        <v>1795.6376259798433</v>
      </c>
      <c r="U182" s="43">
        <v>18000</v>
      </c>
      <c r="V182" s="20">
        <v>0</v>
      </c>
      <c r="W182" s="20">
        <v>21900</v>
      </c>
      <c r="X182" s="20">
        <v>0</v>
      </c>
      <c r="Y182" s="18">
        <f>SUMPRODUCT(Q182:X182,'Fisico ASIG'!O182:V182)/E182</f>
        <v>5522227.3449527351</v>
      </c>
      <c r="Z182" s="25">
        <f t="shared" si="188"/>
        <v>13657696.28931541</v>
      </c>
      <c r="AA182" s="26">
        <f>+Z182/'Fisico ASIG'!N182/24</f>
        <v>66.869304517470937</v>
      </c>
      <c r="AB182" s="26">
        <f>+$AB$16*0.9*Precios!$P$11/0.61/Precios!$Q$11</f>
        <v>11.866737176097304</v>
      </c>
      <c r="AC182" s="29">
        <f t="shared" si="189"/>
        <v>55.002567341373634</v>
      </c>
      <c r="AI182" s="1">
        <v>7241</v>
      </c>
      <c r="AJ182" s="1">
        <v>5762594</v>
      </c>
      <c r="AK182">
        <f t="shared" si="184"/>
        <v>1.44</v>
      </c>
      <c r="AL182" s="40">
        <f t="shared" si="183"/>
        <v>8140.0083333333323</v>
      </c>
      <c r="AM182">
        <v>4100000</v>
      </c>
      <c r="AN182" s="17">
        <v>38.038734006676144</v>
      </c>
      <c r="AO182" s="74">
        <f t="shared" si="165"/>
        <v>2.1626145454506398</v>
      </c>
      <c r="AP182">
        <v>0</v>
      </c>
      <c r="AQ182" s="1">
        <v>0.85</v>
      </c>
    </row>
    <row r="183" spans="1:43" hidden="1" x14ac:dyDescent="0.25">
      <c r="A183" s="3">
        <v>1382.7578000000001</v>
      </c>
      <c r="B183" s="42">
        <v>1367.2360000000006</v>
      </c>
      <c r="C183" s="53">
        <v>2026</v>
      </c>
      <c r="D183" s="52">
        <f>+'Fisico ASIG'!B183</f>
        <v>46082</v>
      </c>
      <c r="E183" s="1">
        <v>31</v>
      </c>
      <c r="F183" s="56" t="s">
        <v>57</v>
      </c>
      <c r="G183" s="56">
        <v>46094</v>
      </c>
      <c r="H183" s="17">
        <v>28</v>
      </c>
      <c r="I183" s="17">
        <f t="shared" si="190"/>
        <v>5.2366365244875128</v>
      </c>
      <c r="J183" s="17">
        <f t="shared" si="185"/>
        <v>5.8867925629009878</v>
      </c>
      <c r="K183" s="113">
        <f t="shared" si="178"/>
        <v>6.8583333333333334</v>
      </c>
      <c r="L183" s="17">
        <v>27</v>
      </c>
      <c r="M183" s="17">
        <v>71.5</v>
      </c>
      <c r="N183" s="17">
        <f t="shared" si="171"/>
        <v>40.697105837005815</v>
      </c>
      <c r="O183" s="17">
        <v>96.115431954025667</v>
      </c>
      <c r="P183" s="18">
        <f>SUMPRODUCT(H183:O183,'Fisico ASIG'!F183:M183)*24</f>
        <v>7770458.8429325726</v>
      </c>
      <c r="Q183" s="43">
        <v>0</v>
      </c>
      <c r="R183" s="43">
        <f t="shared" si="186"/>
        <v>6001.1488345970629</v>
      </c>
      <c r="S183" s="43">
        <f t="shared" si="187"/>
        <v>2965.0890416239199</v>
      </c>
      <c r="T183" s="43">
        <f t="shared" si="112"/>
        <v>1795.6376259798433</v>
      </c>
      <c r="U183" s="43">
        <v>18000</v>
      </c>
      <c r="V183" s="20">
        <v>0</v>
      </c>
      <c r="W183" s="20">
        <v>21900</v>
      </c>
      <c r="X183" s="20">
        <v>0</v>
      </c>
      <c r="Y183" s="18">
        <f>SUMPRODUCT(Q183:X183,'Fisico ASIG'!O183:V183)/E183</f>
        <v>5493067.77407867</v>
      </c>
      <c r="Z183" s="25">
        <f t="shared" si="188"/>
        <v>13263526.617011242</v>
      </c>
      <c r="AA183" s="26">
        <f>+Z183/'Fisico ASIG'!N183/24</f>
        <v>66.206402687189595</v>
      </c>
      <c r="AB183" s="26">
        <f>+$AB$16*0.9*Precios!$P$11/0.61/Precios!$Q$11</f>
        <v>11.866737176097304</v>
      </c>
      <c r="AC183" s="29">
        <f t="shared" si="189"/>
        <v>54.339665511092292</v>
      </c>
      <c r="AI183" s="1">
        <v>7241</v>
      </c>
      <c r="AJ183" s="1">
        <v>5762594</v>
      </c>
      <c r="AK183">
        <f t="shared" si="184"/>
        <v>1.44</v>
      </c>
      <c r="AL183" s="40">
        <f t="shared" si="183"/>
        <v>8140.0083333333323</v>
      </c>
      <c r="AM183">
        <v>4100000</v>
      </c>
      <c r="AN183" s="17">
        <v>37.706890713822773</v>
      </c>
      <c r="AO183" s="74">
        <f t="shared" si="165"/>
        <v>2.1402151231830375</v>
      </c>
      <c r="AP183">
        <v>0</v>
      </c>
      <c r="AQ183" s="1">
        <v>0.85</v>
      </c>
    </row>
    <row r="184" spans="1:43" hidden="1" x14ac:dyDescent="0.25">
      <c r="A184" s="3">
        <v>1382.7578000000001</v>
      </c>
      <c r="B184" s="42">
        <v>1367.2360000000006</v>
      </c>
      <c r="C184" s="53">
        <v>2026</v>
      </c>
      <c r="D184" s="52">
        <f>+'Fisico ASIG'!B184</f>
        <v>46082</v>
      </c>
      <c r="E184" s="1">
        <v>31</v>
      </c>
      <c r="F184" s="56" t="s">
        <v>51</v>
      </c>
      <c r="G184" s="56">
        <v>46095</v>
      </c>
      <c r="H184" s="17">
        <v>28</v>
      </c>
      <c r="I184" s="17">
        <f t="shared" si="190"/>
        <v>5.2366365244875128</v>
      </c>
      <c r="J184" s="17">
        <f t="shared" si="185"/>
        <v>5.8867925629009878</v>
      </c>
      <c r="K184" s="113">
        <f t="shared" si="178"/>
        <v>6.8583333333333334</v>
      </c>
      <c r="L184" s="17">
        <v>27</v>
      </c>
      <c r="M184" s="17">
        <v>71.5</v>
      </c>
      <c r="N184" s="17">
        <f t="shared" si="171"/>
        <v>40.134627616185305</v>
      </c>
      <c r="O184" s="17">
        <v>94.34955759526126</v>
      </c>
      <c r="P184" s="18">
        <f>SUMPRODUCT(H184:O184,'Fisico ASIG'!F184:M184)*24</f>
        <v>7059385.3818734335</v>
      </c>
      <c r="Q184" s="43">
        <v>0</v>
      </c>
      <c r="R184" s="43">
        <f t="shared" si="186"/>
        <v>6001.1488345970629</v>
      </c>
      <c r="S184" s="43">
        <f t="shared" si="187"/>
        <v>2965.0890416239199</v>
      </c>
      <c r="T184" s="43">
        <f t="shared" si="112"/>
        <v>1795.6376259798433</v>
      </c>
      <c r="U184" s="43">
        <v>18000</v>
      </c>
      <c r="V184" s="20">
        <v>0</v>
      </c>
      <c r="W184" s="20">
        <v>21900</v>
      </c>
      <c r="X184" s="20">
        <v>0</v>
      </c>
      <c r="Y184" s="18">
        <f>SUMPRODUCT(Q184:X184,'Fisico ASIG'!O184:V184)/E184</f>
        <v>5321296.159138293</v>
      </c>
      <c r="Z184" s="25">
        <f t="shared" si="188"/>
        <v>12380681.541011726</v>
      </c>
      <c r="AA184" s="26">
        <f>+Z184/'Fisico ASIG'!N184/24</f>
        <v>74.884460158918415</v>
      </c>
      <c r="AB184" s="26">
        <f>+$AB$16*0.9*Precios!$P$11/0.61/Precios!$Q$11</f>
        <v>11.866737176097304</v>
      </c>
      <c r="AC184" s="29">
        <f t="shared" si="189"/>
        <v>63.017722982821113</v>
      </c>
      <c r="AI184" s="1">
        <v>7241</v>
      </c>
      <c r="AJ184" s="1">
        <v>5762594</v>
      </c>
      <c r="AK184">
        <f t="shared" si="184"/>
        <v>1.44</v>
      </c>
      <c r="AL184" s="40">
        <f t="shared" si="183"/>
        <v>8140.0083333333323</v>
      </c>
      <c r="AM184">
        <v>4100000</v>
      </c>
      <c r="AN184" s="17">
        <v>37.17997903155532</v>
      </c>
      <c r="AO184" s="74">
        <f t="shared" si="165"/>
        <v>2.1046485846299841</v>
      </c>
      <c r="AP184">
        <v>0</v>
      </c>
      <c r="AQ184" s="1">
        <v>0.85</v>
      </c>
    </row>
    <row r="185" spans="1:43" hidden="1" x14ac:dyDescent="0.25">
      <c r="A185" s="3">
        <v>1382.7578000000001</v>
      </c>
      <c r="B185" s="42">
        <v>1367.2360000000006</v>
      </c>
      <c r="C185" s="53">
        <v>2026</v>
      </c>
      <c r="D185" s="52">
        <f>+'Fisico ASIG'!B185</f>
        <v>46082</v>
      </c>
      <c r="E185" s="1">
        <v>31</v>
      </c>
      <c r="F185" s="56" t="s">
        <v>52</v>
      </c>
      <c r="G185" s="56">
        <v>46096</v>
      </c>
      <c r="H185" s="17">
        <v>28</v>
      </c>
      <c r="I185" s="17">
        <f t="shared" si="190"/>
        <v>5.2366365244875128</v>
      </c>
      <c r="J185" s="17">
        <f t="shared" si="185"/>
        <v>5.8867925629009878</v>
      </c>
      <c r="K185" s="113">
        <f t="shared" si="178"/>
        <v>6.8583333333333334</v>
      </c>
      <c r="L185" s="17">
        <v>27</v>
      </c>
      <c r="M185" s="17">
        <v>71.5</v>
      </c>
      <c r="N185" s="17">
        <f t="shared" ref="N185:N188" si="191">+AN185+AO185+AP185+AQ185</f>
        <v>40.843323740048625</v>
      </c>
      <c r="O185" s="17">
        <v>59.595648789090461</v>
      </c>
      <c r="P185" s="18">
        <f>SUMPRODUCT(H185:O185,'Fisico ASIG'!F185:M185)*24</f>
        <v>7179884.2525221445</v>
      </c>
      <c r="Q185" s="43">
        <v>0</v>
      </c>
      <c r="R185" s="43">
        <f t="shared" si="179"/>
        <v>6001.1488345970629</v>
      </c>
      <c r="S185" s="43">
        <f t="shared" si="180"/>
        <v>2965.0890416239199</v>
      </c>
      <c r="T185" s="43">
        <f t="shared" si="112"/>
        <v>1795.6376259798433</v>
      </c>
      <c r="U185" s="43">
        <v>18000</v>
      </c>
      <c r="V185" s="20">
        <v>0</v>
      </c>
      <c r="W185" s="20">
        <v>21900</v>
      </c>
      <c r="X185" s="20">
        <v>0</v>
      </c>
      <c r="Y185" s="18">
        <f>SUMPRODUCT(Q185:X185,'Fisico ASIG'!O185:V185)/E185</f>
        <v>5499436.1623582589</v>
      </c>
      <c r="Z185" s="25">
        <f t="shared" si="181"/>
        <v>12679320.414880402</v>
      </c>
      <c r="AA185" s="26">
        <f>+Z185/'Fisico ASIG'!N185/24</f>
        <v>76.298922838892636</v>
      </c>
      <c r="AB185" s="26">
        <f>+$AB$16*0.9*Precios!$P$11/0.61/Precios!$Q$11</f>
        <v>11.866737176097304</v>
      </c>
      <c r="AC185" s="29">
        <f t="shared" si="182"/>
        <v>64.432185662795334</v>
      </c>
      <c r="AI185" s="1">
        <v>7241</v>
      </c>
      <c r="AJ185" s="1">
        <v>5762594</v>
      </c>
      <c r="AK185">
        <f t="shared" ref="AK185:AK284" si="192">1.2*1.2</f>
        <v>1.44</v>
      </c>
      <c r="AL185" s="40">
        <f t="shared" ref="AL185:AL284" si="193">4403+1752*1.4+(4403*1*5*1.4)/24</f>
        <v>8140.0083333333323</v>
      </c>
      <c r="AM185">
        <v>4100000</v>
      </c>
      <c r="AN185" s="17">
        <v>37.84386298833595</v>
      </c>
      <c r="AO185" s="74">
        <f t="shared" si="165"/>
        <v>2.1494607517126769</v>
      </c>
      <c r="AP185">
        <v>0</v>
      </c>
      <c r="AQ185" s="1">
        <v>0.85</v>
      </c>
    </row>
    <row r="186" spans="1:43" hidden="1" x14ac:dyDescent="0.25">
      <c r="A186" s="3">
        <v>1382.7578000000001</v>
      </c>
      <c r="B186" s="42">
        <v>1418.2779999999993</v>
      </c>
      <c r="C186" s="53">
        <v>2026</v>
      </c>
      <c r="D186" s="52">
        <f>+'Fisico ASIG'!B186</f>
        <v>46082</v>
      </c>
      <c r="E186" s="1">
        <v>31</v>
      </c>
      <c r="F186" s="56" t="s">
        <v>53</v>
      </c>
      <c r="G186" s="56">
        <v>46097</v>
      </c>
      <c r="H186" s="17">
        <v>28</v>
      </c>
      <c r="I186" s="17">
        <f t="shared" si="190"/>
        <v>5.2366365244875128</v>
      </c>
      <c r="J186" s="17">
        <f t="shared" si="185"/>
        <v>5.8867925629009878</v>
      </c>
      <c r="K186" s="113">
        <f t="shared" si="178"/>
        <v>6.8583333333333334</v>
      </c>
      <c r="L186" s="17">
        <v>27</v>
      </c>
      <c r="M186" s="17">
        <v>71.5</v>
      </c>
      <c r="N186" s="17">
        <f t="shared" si="191"/>
        <v>46.86800352735483</v>
      </c>
      <c r="O186" s="17">
        <v>34.475654022662866</v>
      </c>
      <c r="P186" s="18">
        <f>SUMPRODUCT(H186:O186,'Fisico ASIG'!F186:M186)*24</f>
        <v>8634083.7086583059</v>
      </c>
      <c r="Q186" s="43">
        <v>0</v>
      </c>
      <c r="R186" s="43">
        <f t="shared" si="179"/>
        <v>6001.1488345970629</v>
      </c>
      <c r="S186" s="43">
        <f t="shared" si="180"/>
        <v>2965.0890416239199</v>
      </c>
      <c r="T186" s="43">
        <f t="shared" si="112"/>
        <v>1795.6376259798433</v>
      </c>
      <c r="U186" s="43">
        <v>18000</v>
      </c>
      <c r="V186" s="20">
        <v>0</v>
      </c>
      <c r="W186" s="20">
        <v>21900</v>
      </c>
      <c r="X186" s="20">
        <v>0</v>
      </c>
      <c r="Y186" s="18">
        <f>SUMPRODUCT(Q186:X186,'Fisico ASIG'!O186:V186)/E186</f>
        <v>5367711.0048253546</v>
      </c>
      <c r="Z186" s="25">
        <f t="shared" si="181"/>
        <v>14001794.713483661</v>
      </c>
      <c r="AA186" s="26">
        <f>+Z186/'Fisico ASIG'!N186/24</f>
        <v>65.117506141625697</v>
      </c>
      <c r="AB186" s="26">
        <f>+$AB$16*0.9*Precios!$P$11/0.61/Precios!$Q$11</f>
        <v>11.866737176097304</v>
      </c>
      <c r="AC186" s="29">
        <f t="shared" si="182"/>
        <v>53.250768965528394</v>
      </c>
      <c r="AI186" s="1">
        <v>7241</v>
      </c>
      <c r="AJ186" s="1">
        <v>5762594</v>
      </c>
      <c r="AK186">
        <f t="shared" si="192"/>
        <v>1.44</v>
      </c>
      <c r="AL186" s="40">
        <f t="shared" si="193"/>
        <v>8140.0083333333323</v>
      </c>
      <c r="AM186">
        <v>4100000</v>
      </c>
      <c r="AN186" s="17">
        <v>43.487591126327708</v>
      </c>
      <c r="AO186" s="74">
        <f t="shared" si="165"/>
        <v>2.5304124010271205</v>
      </c>
      <c r="AP186">
        <v>0</v>
      </c>
      <c r="AQ186" s="1">
        <v>0.85</v>
      </c>
    </row>
    <row r="187" spans="1:43" hidden="1" x14ac:dyDescent="0.25">
      <c r="A187" s="3">
        <v>1382.7578000000001</v>
      </c>
      <c r="B187" s="42">
        <v>1418.2779999999993</v>
      </c>
      <c r="C187" s="53">
        <v>2026</v>
      </c>
      <c r="D187" s="52">
        <f>+'Fisico ASIG'!B187</f>
        <v>46082</v>
      </c>
      <c r="E187" s="1">
        <v>31</v>
      </c>
      <c r="F187" s="56" t="s">
        <v>54</v>
      </c>
      <c r="G187" s="56">
        <v>46098</v>
      </c>
      <c r="H187" s="17">
        <v>28</v>
      </c>
      <c r="I187" s="17">
        <f t="shared" si="176"/>
        <v>5.2366365244875128</v>
      </c>
      <c r="J187" s="17">
        <f t="shared" si="177"/>
        <v>5.8867925629009878</v>
      </c>
      <c r="K187" s="113">
        <f t="shared" si="178"/>
        <v>6.8583333333333334</v>
      </c>
      <c r="L187" s="17">
        <v>27</v>
      </c>
      <c r="M187" s="17">
        <v>71.5</v>
      </c>
      <c r="N187" s="17">
        <f t="shared" si="191"/>
        <v>48.282635026057811</v>
      </c>
      <c r="O187" s="17">
        <v>95.403183396107494</v>
      </c>
      <c r="P187" s="18">
        <f>SUMPRODUCT(H187:O187,'Fisico ASIG'!F187:M187)*24</f>
        <v>9062179.1651476882</v>
      </c>
      <c r="Q187" s="43">
        <v>0</v>
      </c>
      <c r="R187" s="43">
        <f t="shared" si="179"/>
        <v>6001.1488345970629</v>
      </c>
      <c r="S187" s="43">
        <f t="shared" si="180"/>
        <v>2965.0890416239199</v>
      </c>
      <c r="T187" s="43">
        <f t="shared" si="112"/>
        <v>1795.6376259798433</v>
      </c>
      <c r="U187" s="43">
        <v>18000</v>
      </c>
      <c r="V187" s="20">
        <v>0</v>
      </c>
      <c r="W187" s="20">
        <v>21900</v>
      </c>
      <c r="X187" s="20">
        <v>0</v>
      </c>
      <c r="Y187" s="18">
        <f>SUMPRODUCT(Q187:X187,'Fisico ASIG'!O187:V187)/E187</f>
        <v>5391553.5303986762</v>
      </c>
      <c r="Z187" s="25">
        <f t="shared" si="181"/>
        <v>14453732.695546364</v>
      </c>
      <c r="AA187" s="26">
        <f>+Z187/'Fisico ASIG'!N187/24</f>
        <v>70.61126114541463</v>
      </c>
      <c r="AB187" s="26">
        <f>+$AB$16*0.9*Precios!$P$11/0.61/Precios!$Q$11</f>
        <v>11.866737176097304</v>
      </c>
      <c r="AC187" s="29">
        <f t="shared" si="182"/>
        <v>58.744523969317328</v>
      </c>
      <c r="AI187" s="1">
        <v>7241</v>
      </c>
      <c r="AJ187" s="1">
        <v>5762594</v>
      </c>
      <c r="AK187">
        <f t="shared" si="192"/>
        <v>1.44</v>
      </c>
      <c r="AL187" s="40">
        <f t="shared" si="193"/>
        <v>8140.0083333333323</v>
      </c>
      <c r="AM187">
        <v>4100000</v>
      </c>
      <c r="AN187" s="17">
        <v>44.812772858133776</v>
      </c>
      <c r="AO187" s="74">
        <f t="shared" si="165"/>
        <v>2.6198621679240301</v>
      </c>
      <c r="AP187">
        <v>0</v>
      </c>
      <c r="AQ187" s="1">
        <v>0.85</v>
      </c>
    </row>
    <row r="188" spans="1:43" hidden="1" x14ac:dyDescent="0.25">
      <c r="A188" s="3">
        <v>1382.7578000000001</v>
      </c>
      <c r="B188" s="42">
        <v>1418.2779999999993</v>
      </c>
      <c r="C188" s="53">
        <v>2026</v>
      </c>
      <c r="D188" s="52">
        <f>+'Fisico ASIG'!B188</f>
        <v>46082</v>
      </c>
      <c r="E188" s="1">
        <v>31</v>
      </c>
      <c r="F188" s="56" t="s">
        <v>55</v>
      </c>
      <c r="G188" s="56">
        <v>46099</v>
      </c>
      <c r="H188" s="17">
        <v>28</v>
      </c>
      <c r="I188" s="17">
        <f t="shared" si="176"/>
        <v>5.2366365244875128</v>
      </c>
      <c r="J188" s="17">
        <f t="shared" si="177"/>
        <v>5.8867925629009878</v>
      </c>
      <c r="K188" s="113">
        <f t="shared" si="178"/>
        <v>6.8583333333333334</v>
      </c>
      <c r="L188" s="17">
        <v>27</v>
      </c>
      <c r="M188" s="17">
        <v>71.5</v>
      </c>
      <c r="N188" s="17">
        <f t="shared" si="191"/>
        <v>42.50916000973772</v>
      </c>
      <c r="O188" s="17">
        <v>34.549265713015217</v>
      </c>
      <c r="P188" s="18">
        <f>SUMPRODUCT(H188:O188,'Fisico ASIG'!F188:M188)*24</f>
        <v>7734618.3033954035</v>
      </c>
      <c r="Q188" s="43">
        <v>0</v>
      </c>
      <c r="R188" s="43">
        <f t="shared" si="179"/>
        <v>6001.1488345970629</v>
      </c>
      <c r="S188" s="43">
        <f t="shared" si="180"/>
        <v>2965.0890416239199</v>
      </c>
      <c r="T188" s="43">
        <f t="shared" si="112"/>
        <v>1795.6376259798433</v>
      </c>
      <c r="U188" s="43">
        <v>18000</v>
      </c>
      <c r="V188" s="20">
        <v>0</v>
      </c>
      <c r="W188" s="20">
        <v>21900</v>
      </c>
      <c r="X188" s="20">
        <v>0</v>
      </c>
      <c r="Y188" s="18">
        <f>SUMPRODUCT(Q188:X188,'Fisico ASIG'!O188:V188)/E188</f>
        <v>5370815.5386039279</v>
      </c>
      <c r="Z188" s="25">
        <f t="shared" si="181"/>
        <v>13105433.841999331</v>
      </c>
      <c r="AA188" s="26">
        <f>+Z188/'Fisico ASIG'!N188/24</f>
        <v>70.891728343724694</v>
      </c>
      <c r="AB188" s="26">
        <f>+$AB$16*0.9*Precios!$P$11/0.61/Precios!$Q$11</f>
        <v>11.866737176097304</v>
      </c>
      <c r="AC188" s="29">
        <f t="shared" si="182"/>
        <v>59.024991167627391</v>
      </c>
      <c r="AI188" s="1">
        <v>7241</v>
      </c>
      <c r="AJ188" s="1">
        <v>5762594</v>
      </c>
      <c r="AK188">
        <f t="shared" si="192"/>
        <v>1.44</v>
      </c>
      <c r="AL188" s="40">
        <f t="shared" si="193"/>
        <v>8140.0083333333323</v>
      </c>
      <c r="AM188">
        <v>4100000</v>
      </c>
      <c r="AN188" s="17">
        <v>39.404365348700438</v>
      </c>
      <c r="AO188" s="74">
        <f t="shared" si="165"/>
        <v>2.2547946610372795</v>
      </c>
      <c r="AP188">
        <v>0</v>
      </c>
      <c r="AQ188" s="1">
        <v>0.85</v>
      </c>
    </row>
    <row r="189" spans="1:43" hidden="1" x14ac:dyDescent="0.25">
      <c r="A189" s="3">
        <v>1382.7578000000001</v>
      </c>
      <c r="B189" s="42">
        <v>1418.2779999999993</v>
      </c>
      <c r="C189" s="53">
        <v>2026</v>
      </c>
      <c r="D189" s="52">
        <f>+'Fisico ASIG'!B189</f>
        <v>46082</v>
      </c>
      <c r="E189" s="1">
        <v>31</v>
      </c>
      <c r="F189" s="56" t="s">
        <v>56</v>
      </c>
      <c r="G189" s="56">
        <v>46100</v>
      </c>
      <c r="H189" s="17">
        <v>28</v>
      </c>
      <c r="I189" s="17">
        <f t="shared" ref="I189:I195" si="194">AI189/A189</f>
        <v>5.2366365244875128</v>
      </c>
      <c r="J189" s="17">
        <f t="shared" ref="J189:J195" si="195">+AL189/A189</f>
        <v>5.8867925629009878</v>
      </c>
      <c r="K189" s="113">
        <f t="shared" si="178"/>
        <v>6.8583333333333334</v>
      </c>
      <c r="L189" s="17">
        <v>27</v>
      </c>
      <c r="M189" s="17">
        <v>71.5</v>
      </c>
      <c r="N189" s="17">
        <f t="shared" ref="N189:N195" si="196">+AN189+AO189+AP189+AQ189</f>
        <v>40.486047823883538</v>
      </c>
      <c r="O189" s="17">
        <v>88.730526314602486</v>
      </c>
      <c r="P189" s="18">
        <f>SUMPRODUCT(H189:O189,'Fisico ASIG'!F189:M189)*24</f>
        <v>6792908.8549750336</v>
      </c>
      <c r="Q189" s="43">
        <v>0</v>
      </c>
      <c r="R189" s="43">
        <f t="shared" ref="R189:R195" si="197">+AJ189*AK189/A189</f>
        <v>6001.1488345970629</v>
      </c>
      <c r="S189" s="43">
        <f t="shared" ref="S189:S195" si="198">+AM189/A189</f>
        <v>2965.0890416239199</v>
      </c>
      <c r="T189" s="43">
        <f t="shared" si="112"/>
        <v>1795.6376259798433</v>
      </c>
      <c r="U189" s="43">
        <v>18000</v>
      </c>
      <c r="V189" s="20">
        <v>0</v>
      </c>
      <c r="W189" s="20">
        <v>21900</v>
      </c>
      <c r="X189" s="20">
        <v>0</v>
      </c>
      <c r="Y189" s="18">
        <f>SUMPRODUCT(Q189:X189,'Fisico ASIG'!O189:V189)/E189</f>
        <v>5423806.9322391115</v>
      </c>
      <c r="Z189" s="25">
        <f t="shared" ref="Z189:Z195" si="199">+(P189+Y189)</f>
        <v>12216715.787214145</v>
      </c>
      <c r="AA189" s="26">
        <f>+Z189/'Fisico ASIG'!N189/24</f>
        <v>69.970572844870176</v>
      </c>
      <c r="AB189" s="26">
        <f>+$AB$16*0.9*Precios!$P$11/0.61/Precios!$Q$11</f>
        <v>11.866737176097304</v>
      </c>
      <c r="AC189" s="29">
        <f t="shared" ref="AC189:AC195" si="200">+AA189-AB189</f>
        <v>58.103835668772874</v>
      </c>
      <c r="AI189" s="1">
        <v>7241</v>
      </c>
      <c r="AJ189" s="1">
        <v>5762594</v>
      </c>
      <c r="AK189">
        <f t="shared" si="192"/>
        <v>1.44</v>
      </c>
      <c r="AL189" s="40">
        <f t="shared" si="193"/>
        <v>8140.0083333333323</v>
      </c>
      <c r="AM189">
        <v>4100000</v>
      </c>
      <c r="AN189" s="17">
        <v>37.509178289352256</v>
      </c>
      <c r="AO189" s="74">
        <f t="shared" si="165"/>
        <v>2.1268695345312776</v>
      </c>
      <c r="AP189">
        <v>0</v>
      </c>
      <c r="AQ189" s="1">
        <v>0.85</v>
      </c>
    </row>
    <row r="190" spans="1:43" hidden="1" x14ac:dyDescent="0.25">
      <c r="A190" s="3">
        <v>1382.7578000000001</v>
      </c>
      <c r="B190" s="42">
        <v>1418.2779999999993</v>
      </c>
      <c r="C190" s="53">
        <v>2026</v>
      </c>
      <c r="D190" s="52">
        <f>+'Fisico ASIG'!B190</f>
        <v>46082</v>
      </c>
      <c r="E190" s="1">
        <v>31</v>
      </c>
      <c r="F190" s="56" t="s">
        <v>57</v>
      </c>
      <c r="G190" s="56">
        <v>46101</v>
      </c>
      <c r="H190" s="17">
        <v>28</v>
      </c>
      <c r="I190" s="17">
        <f t="shared" si="194"/>
        <v>5.2366365244875128</v>
      </c>
      <c r="J190" s="17">
        <f t="shared" si="195"/>
        <v>5.8867925629009878</v>
      </c>
      <c r="K190" s="113">
        <f t="shared" si="178"/>
        <v>6.8583333333333334</v>
      </c>
      <c r="L190" s="17">
        <v>27</v>
      </c>
      <c r="M190" s="17">
        <v>71.5</v>
      </c>
      <c r="N190" s="17">
        <f t="shared" si="196"/>
        <v>45.574309979806777</v>
      </c>
      <c r="O190" s="17">
        <v>58.765495408827171</v>
      </c>
      <c r="P190" s="18">
        <f>SUMPRODUCT(H190:O190,'Fisico ASIG'!F190:M190)*24</f>
        <v>7160444.8282879796</v>
      </c>
      <c r="Q190" s="43">
        <v>0</v>
      </c>
      <c r="R190" s="43">
        <f t="shared" si="197"/>
        <v>6001.1488345970629</v>
      </c>
      <c r="S190" s="43">
        <f t="shared" si="198"/>
        <v>2965.0890416239199</v>
      </c>
      <c r="T190" s="43">
        <f t="shared" si="112"/>
        <v>1795.6376259798433</v>
      </c>
      <c r="U190" s="43">
        <v>18000</v>
      </c>
      <c r="V190" s="20">
        <v>0</v>
      </c>
      <c r="W190" s="20">
        <v>21900</v>
      </c>
      <c r="X190" s="20">
        <v>0</v>
      </c>
      <c r="Y190" s="18">
        <f>SUMPRODUCT(Q190:X190,'Fisico ASIG'!O190:V190)/E190</f>
        <v>5453986.5044687148</v>
      </c>
      <c r="Z190" s="25">
        <f t="shared" si="199"/>
        <v>12614431.332756694</v>
      </c>
      <c r="AA190" s="26">
        <f>+Z190/'Fisico ASIG'!N190/24</f>
        <v>63.035309105945544</v>
      </c>
      <c r="AB190" s="26">
        <f>+$AB$16*0.9*Precios!$P$11/0.61/Precios!$Q$11</f>
        <v>11.866737176097304</v>
      </c>
      <c r="AC190" s="29">
        <f t="shared" si="200"/>
        <v>51.168571929848241</v>
      </c>
      <c r="AI190" s="1">
        <v>7241</v>
      </c>
      <c r="AJ190" s="1">
        <v>5762594</v>
      </c>
      <c r="AK190">
        <f t="shared" si="192"/>
        <v>1.44</v>
      </c>
      <c r="AL190" s="40">
        <f t="shared" si="193"/>
        <v>8140.0083333333323</v>
      </c>
      <c r="AM190">
        <v>4100000</v>
      </c>
      <c r="AN190" s="17">
        <v>42.27570021527567</v>
      </c>
      <c r="AO190" s="74">
        <f t="shared" si="165"/>
        <v>2.448609764531108</v>
      </c>
      <c r="AP190">
        <v>0</v>
      </c>
      <c r="AQ190" s="1">
        <v>0.85</v>
      </c>
    </row>
    <row r="191" spans="1:43" hidden="1" x14ac:dyDescent="0.25">
      <c r="A191" s="3">
        <v>1382.7578000000001</v>
      </c>
      <c r="B191" s="42">
        <v>1418.2779999999993</v>
      </c>
      <c r="C191" s="53">
        <v>2026</v>
      </c>
      <c r="D191" s="52">
        <f>+'Fisico ASIG'!B191</f>
        <v>46082</v>
      </c>
      <c r="E191" s="1">
        <v>31</v>
      </c>
      <c r="F191" s="56" t="s">
        <v>51</v>
      </c>
      <c r="G191" s="56">
        <v>46102</v>
      </c>
      <c r="H191" s="17">
        <v>28</v>
      </c>
      <c r="I191" s="17">
        <f t="shared" si="194"/>
        <v>5.2366365244875128</v>
      </c>
      <c r="J191" s="17">
        <f t="shared" si="195"/>
        <v>5.8867925629009878</v>
      </c>
      <c r="K191" s="113">
        <f t="shared" si="178"/>
        <v>6.8583333333333334</v>
      </c>
      <c r="L191" s="17">
        <v>27</v>
      </c>
      <c r="M191" s="17">
        <v>71.5</v>
      </c>
      <c r="N191" s="17">
        <f t="shared" si="196"/>
        <v>40.090889276490756</v>
      </c>
      <c r="O191" s="17">
        <v>31.463424554405243</v>
      </c>
      <c r="P191" s="18">
        <f>SUMPRODUCT(H191:O191,'Fisico ASIG'!F191:M191)*24</f>
        <v>6034374.6419730568</v>
      </c>
      <c r="Q191" s="43">
        <v>0</v>
      </c>
      <c r="R191" s="43">
        <f t="shared" si="197"/>
        <v>6001.1488345970629</v>
      </c>
      <c r="S191" s="43">
        <f t="shared" si="198"/>
        <v>2965.0890416239199</v>
      </c>
      <c r="T191" s="43">
        <f t="shared" si="112"/>
        <v>1795.6376259798433</v>
      </c>
      <c r="U191" s="43">
        <v>18000</v>
      </c>
      <c r="V191" s="20">
        <v>0</v>
      </c>
      <c r="W191" s="20">
        <v>21900</v>
      </c>
      <c r="X191" s="20">
        <v>0</v>
      </c>
      <c r="Y191" s="18">
        <f>SUMPRODUCT(Q191:X191,'Fisico ASIG'!O191:V191)/E191</f>
        <v>5245723.8879176052</v>
      </c>
      <c r="Z191" s="25">
        <f t="shared" si="199"/>
        <v>11280098.529890662</v>
      </c>
      <c r="AA191" s="26">
        <f>+Z191/'Fisico ASIG'!N191/24</f>
        <v>70.595226387048129</v>
      </c>
      <c r="AB191" s="26">
        <f>+$AB$16*0.9*Precios!$P$11/0.61/Precios!$Q$11</f>
        <v>11.866737176097304</v>
      </c>
      <c r="AC191" s="29">
        <f t="shared" si="200"/>
        <v>58.728489210950826</v>
      </c>
      <c r="AI191" s="1">
        <v>7241</v>
      </c>
      <c r="AJ191" s="1">
        <v>5762594</v>
      </c>
      <c r="AK191">
        <f t="shared" si="192"/>
        <v>1.44</v>
      </c>
      <c r="AL191" s="40">
        <f t="shared" si="193"/>
        <v>8140.0083333333323</v>
      </c>
      <c r="AM191">
        <v>4100000</v>
      </c>
      <c r="AN191" s="17">
        <v>37.139006348000706</v>
      </c>
      <c r="AO191" s="74">
        <f t="shared" si="165"/>
        <v>2.1018829284900478</v>
      </c>
      <c r="AP191">
        <v>0</v>
      </c>
      <c r="AQ191" s="1">
        <v>0.85</v>
      </c>
    </row>
    <row r="192" spans="1:43" hidden="1" x14ac:dyDescent="0.25">
      <c r="A192" s="3">
        <v>1382.7578000000001</v>
      </c>
      <c r="B192" s="42">
        <v>1418.2779999999993</v>
      </c>
      <c r="C192" s="53">
        <v>2026</v>
      </c>
      <c r="D192" s="52">
        <f>+'Fisico ASIG'!B192</f>
        <v>46082</v>
      </c>
      <c r="E192" s="1">
        <v>31</v>
      </c>
      <c r="F192" s="56" t="s">
        <v>52</v>
      </c>
      <c r="G192" s="56">
        <v>46103</v>
      </c>
      <c r="H192" s="17">
        <v>28</v>
      </c>
      <c r="I192" s="17">
        <f t="shared" si="194"/>
        <v>5.2366365244875128</v>
      </c>
      <c r="J192" s="17">
        <f t="shared" si="195"/>
        <v>5.8867925629009878</v>
      </c>
      <c r="K192" s="113">
        <f t="shared" si="178"/>
        <v>6.8583333333333334</v>
      </c>
      <c r="L192" s="17">
        <v>27</v>
      </c>
      <c r="M192" s="17">
        <v>71.5</v>
      </c>
      <c r="N192" s="17">
        <f t="shared" si="196"/>
        <v>40.175223680610017</v>
      </c>
      <c r="O192" s="17">
        <v>52.091751410984529</v>
      </c>
      <c r="P192" s="18">
        <f>SUMPRODUCT(H192:O192,'Fisico ASIG'!F192:M192)*24</f>
        <v>5679866.0011810986</v>
      </c>
      <c r="Q192" s="43">
        <v>0</v>
      </c>
      <c r="R192" s="43">
        <f t="shared" si="197"/>
        <v>6001.1488345970629</v>
      </c>
      <c r="S192" s="43">
        <f t="shared" si="198"/>
        <v>2965.0890416239199</v>
      </c>
      <c r="T192" s="43">
        <f t="shared" si="112"/>
        <v>1795.6376259798433</v>
      </c>
      <c r="U192" s="43">
        <v>18000</v>
      </c>
      <c r="V192" s="20">
        <v>0</v>
      </c>
      <c r="W192" s="20">
        <v>21900</v>
      </c>
      <c r="X192" s="20">
        <v>0</v>
      </c>
      <c r="Y192" s="18">
        <f>SUMPRODUCT(Q192:X192,'Fisico ASIG'!O192:V192)/E192</f>
        <v>5263771.4498982793</v>
      </c>
      <c r="Z192" s="25">
        <f t="shared" si="199"/>
        <v>10943637.451079378</v>
      </c>
      <c r="AA192" s="26">
        <f>+Z192/'Fisico ASIG'!N192/24</f>
        <v>80.954540923968622</v>
      </c>
      <c r="AB192" s="26">
        <f>+$AB$16*0.9*Precios!$P$11/0.61/Precios!$Q$11</f>
        <v>11.866737176097304</v>
      </c>
      <c r="AC192" s="29">
        <f t="shared" si="200"/>
        <v>69.08780374787132</v>
      </c>
      <c r="AI192" s="1">
        <v>7241</v>
      </c>
      <c r="AJ192" s="1">
        <v>5762594</v>
      </c>
      <c r="AK192">
        <f t="shared" si="192"/>
        <v>1.44</v>
      </c>
      <c r="AL192" s="40">
        <f t="shared" si="193"/>
        <v>8140.0083333333323</v>
      </c>
      <c r="AM192">
        <v>4100000</v>
      </c>
      <c r="AN192" s="17">
        <v>37.218008131718982</v>
      </c>
      <c r="AO192" s="74">
        <f t="shared" si="165"/>
        <v>2.1072155488910314</v>
      </c>
      <c r="AP192">
        <v>0</v>
      </c>
      <c r="AQ192" s="1">
        <v>0.85</v>
      </c>
    </row>
    <row r="193" spans="1:43" hidden="1" x14ac:dyDescent="0.25">
      <c r="A193" s="3">
        <v>1382.7578000000001</v>
      </c>
      <c r="B193" s="42">
        <v>1418.2779999999993</v>
      </c>
      <c r="C193" s="53">
        <v>2026</v>
      </c>
      <c r="D193" s="52">
        <f>+'Fisico ASIG'!B193</f>
        <v>46082</v>
      </c>
      <c r="E193" s="1">
        <v>31</v>
      </c>
      <c r="F193" s="56" t="s">
        <v>53</v>
      </c>
      <c r="G193" s="56">
        <v>46104</v>
      </c>
      <c r="H193" s="17">
        <v>28</v>
      </c>
      <c r="I193" s="17">
        <f t="shared" si="194"/>
        <v>5.2366365244875128</v>
      </c>
      <c r="J193" s="17">
        <f t="shared" si="195"/>
        <v>5.8867925629009878</v>
      </c>
      <c r="K193" s="113">
        <f t="shared" si="178"/>
        <v>6.8583333333333334</v>
      </c>
      <c r="L193" s="17">
        <v>27</v>
      </c>
      <c r="M193" s="17">
        <v>71.5</v>
      </c>
      <c r="N193" s="17">
        <f t="shared" si="196"/>
        <v>40.687249655662114</v>
      </c>
      <c r="O193" s="17">
        <v>87.334256014906927</v>
      </c>
      <c r="P193" s="18">
        <f>SUMPRODUCT(H193:O193,'Fisico ASIG'!F193:M193)*24</f>
        <v>6766426.4732568022</v>
      </c>
      <c r="Q193" s="43">
        <v>0</v>
      </c>
      <c r="R193" s="43">
        <f t="shared" si="197"/>
        <v>6001.1488345970629</v>
      </c>
      <c r="S193" s="43">
        <f t="shared" si="198"/>
        <v>2965.0890416239199</v>
      </c>
      <c r="T193" s="43">
        <f t="shared" si="112"/>
        <v>1795.6376259798433</v>
      </c>
      <c r="U193" s="43">
        <v>18000</v>
      </c>
      <c r="V193" s="20">
        <v>0</v>
      </c>
      <c r="W193" s="20">
        <v>21900</v>
      </c>
      <c r="X193" s="20">
        <v>0</v>
      </c>
      <c r="Y193" s="18">
        <f>SUMPRODUCT(Q193:X193,'Fisico ASIG'!O193:V193)/E193</f>
        <v>5175534.8490776112</v>
      </c>
      <c r="Z193" s="25">
        <f t="shared" si="199"/>
        <v>11941961.322334412</v>
      </c>
      <c r="AA193" s="26">
        <f>+Z193/'Fisico ASIG'!N193/24</f>
        <v>75.740300353626836</v>
      </c>
      <c r="AB193" s="26">
        <f>+$AB$16*0.9*Precios!$P$11/0.61/Precios!$Q$11</f>
        <v>11.866737176097304</v>
      </c>
      <c r="AC193" s="29">
        <f t="shared" si="200"/>
        <v>63.873563177529533</v>
      </c>
      <c r="AI193" s="1">
        <v>7241</v>
      </c>
      <c r="AJ193" s="1">
        <v>5762594</v>
      </c>
      <c r="AK193">
        <f t="shared" si="192"/>
        <v>1.44</v>
      </c>
      <c r="AL193" s="40">
        <f t="shared" si="193"/>
        <v>8140.0083333333323</v>
      </c>
      <c r="AM193">
        <v>4100000</v>
      </c>
      <c r="AN193" s="17">
        <v>37.697657757060526</v>
      </c>
      <c r="AO193" s="74">
        <f t="shared" si="165"/>
        <v>2.1395918986015858</v>
      </c>
      <c r="AP193">
        <v>0</v>
      </c>
      <c r="AQ193" s="1">
        <v>0.85</v>
      </c>
    </row>
    <row r="194" spans="1:43" hidden="1" x14ac:dyDescent="0.25">
      <c r="A194" s="3">
        <v>1382.7578000000001</v>
      </c>
      <c r="B194" s="42">
        <v>1418.2779999999993</v>
      </c>
      <c r="C194" s="53">
        <v>2026</v>
      </c>
      <c r="D194" s="52">
        <f>+'Fisico ASIG'!B194</f>
        <v>46082</v>
      </c>
      <c r="E194" s="1">
        <v>31</v>
      </c>
      <c r="F194" s="56" t="s">
        <v>54</v>
      </c>
      <c r="G194" s="56">
        <v>46105</v>
      </c>
      <c r="H194" s="17">
        <v>28</v>
      </c>
      <c r="I194" s="17">
        <f t="shared" si="194"/>
        <v>5.2366365244875128</v>
      </c>
      <c r="J194" s="17">
        <f t="shared" si="195"/>
        <v>5.8867925629009878</v>
      </c>
      <c r="K194" s="113">
        <f t="shared" si="178"/>
        <v>6.8583333333333334</v>
      </c>
      <c r="L194" s="17">
        <v>27</v>
      </c>
      <c r="M194" s="17">
        <v>71.5</v>
      </c>
      <c r="N194" s="17">
        <f t="shared" si="196"/>
        <v>40.831662837180751</v>
      </c>
      <c r="O194" s="17">
        <v>73.756010546716965</v>
      </c>
      <c r="P194" s="18">
        <f>SUMPRODUCT(H194:O194,'Fisico ASIG'!F194:M194)*24</f>
        <v>7036262.2445055265</v>
      </c>
      <c r="Q194" s="43">
        <v>0</v>
      </c>
      <c r="R194" s="43">
        <f t="shared" si="197"/>
        <v>6001.1488345970629</v>
      </c>
      <c r="S194" s="43">
        <f t="shared" si="198"/>
        <v>2965.0890416239199</v>
      </c>
      <c r="T194" s="43">
        <f t="shared" si="112"/>
        <v>1795.6376259798433</v>
      </c>
      <c r="U194" s="43">
        <v>18000</v>
      </c>
      <c r="V194" s="20">
        <v>0</v>
      </c>
      <c r="W194" s="20">
        <v>21900</v>
      </c>
      <c r="X194" s="20">
        <v>0</v>
      </c>
      <c r="Y194" s="18">
        <f>SUMPRODUCT(Q194:X194,'Fisico ASIG'!O194:V194)/E194</f>
        <v>5140129.2241824055</v>
      </c>
      <c r="Z194" s="25">
        <f t="shared" si="199"/>
        <v>12176391.468687933</v>
      </c>
      <c r="AA194" s="26">
        <f>+Z194/'Fisico ASIG'!N194/24</f>
        <v>76.038000956731196</v>
      </c>
      <c r="AB194" s="26">
        <f>+$AB$16*0.9*Precios!$P$11/0.61/Precios!$Q$11</f>
        <v>11.866737176097304</v>
      </c>
      <c r="AC194" s="29">
        <f t="shared" si="200"/>
        <v>64.171263780633893</v>
      </c>
      <c r="AI194" s="1">
        <v>7241</v>
      </c>
      <c r="AJ194" s="1">
        <v>5762594</v>
      </c>
      <c r="AK194">
        <f t="shared" si="192"/>
        <v>1.44</v>
      </c>
      <c r="AL194" s="40">
        <f t="shared" si="193"/>
        <v>8140.0083333333323</v>
      </c>
      <c r="AM194">
        <v>4100000</v>
      </c>
      <c r="AN194" s="17">
        <v>37.832939425930448</v>
      </c>
      <c r="AO194" s="74">
        <f t="shared" si="165"/>
        <v>2.1487234112503053</v>
      </c>
      <c r="AP194">
        <v>0</v>
      </c>
      <c r="AQ194" s="1">
        <v>0.85</v>
      </c>
    </row>
    <row r="195" spans="1:43" hidden="1" x14ac:dyDescent="0.25">
      <c r="A195" s="3">
        <v>1382.7578000000001</v>
      </c>
      <c r="B195" s="42">
        <v>1418.2779999999993</v>
      </c>
      <c r="C195" s="53">
        <v>2026</v>
      </c>
      <c r="D195" s="52">
        <f>+'Fisico ASIG'!B195</f>
        <v>46082</v>
      </c>
      <c r="E195" s="1">
        <v>31</v>
      </c>
      <c r="F195" s="56" t="s">
        <v>55</v>
      </c>
      <c r="G195" s="56">
        <v>46106</v>
      </c>
      <c r="H195" s="17">
        <v>28</v>
      </c>
      <c r="I195" s="17">
        <f t="shared" si="194"/>
        <v>5.2366365244875128</v>
      </c>
      <c r="J195" s="17">
        <f t="shared" si="195"/>
        <v>5.8867925629009878</v>
      </c>
      <c r="K195" s="113">
        <f t="shared" si="178"/>
        <v>6.8583333333333334</v>
      </c>
      <c r="L195" s="17">
        <v>27</v>
      </c>
      <c r="M195" s="17">
        <v>71.5</v>
      </c>
      <c r="N195" s="17">
        <f t="shared" si="196"/>
        <v>40.120588085641302</v>
      </c>
      <c r="O195" s="17">
        <v>45.074586706915582</v>
      </c>
      <c r="P195" s="18">
        <f>SUMPRODUCT(H195:O195,'Fisico ASIG'!F195:M195)*24</f>
        <v>7545961.3416582998</v>
      </c>
      <c r="Q195" s="43">
        <v>0</v>
      </c>
      <c r="R195" s="43">
        <f t="shared" si="197"/>
        <v>6001.1488345970629</v>
      </c>
      <c r="S195" s="43">
        <f t="shared" si="198"/>
        <v>2965.0890416239199</v>
      </c>
      <c r="T195" s="43">
        <f t="shared" si="112"/>
        <v>1795.6376259798433</v>
      </c>
      <c r="U195" s="43">
        <v>18000</v>
      </c>
      <c r="V195" s="20">
        <v>0</v>
      </c>
      <c r="W195" s="20">
        <v>21900</v>
      </c>
      <c r="X195" s="20">
        <v>0</v>
      </c>
      <c r="Y195" s="18">
        <f>SUMPRODUCT(Q195:X195,'Fisico ASIG'!O195:V195)/E195</f>
        <v>5154704.0972108971</v>
      </c>
      <c r="Z195" s="25">
        <f t="shared" si="199"/>
        <v>12700665.438869197</v>
      </c>
      <c r="AA195" s="26">
        <f>+Z195/'Fisico ASIG'!N195/24</f>
        <v>71.182513994667872</v>
      </c>
      <c r="AB195" s="26">
        <f>+$AB$16*0.9*Precios!$P$11/0.61/Precios!$Q$11</f>
        <v>11.866737176097304</v>
      </c>
      <c r="AC195" s="29">
        <f t="shared" si="200"/>
        <v>59.315776818570569</v>
      </c>
      <c r="AI195" s="1">
        <v>7241</v>
      </c>
      <c r="AJ195" s="1">
        <v>5762594</v>
      </c>
      <c r="AK195">
        <f t="shared" si="192"/>
        <v>1.44</v>
      </c>
      <c r="AL195" s="40">
        <f t="shared" si="193"/>
        <v>8140.0083333333323</v>
      </c>
      <c r="AM195">
        <v>4100000</v>
      </c>
      <c r="AN195" s="17">
        <v>37.166827246502386</v>
      </c>
      <c r="AO195" s="74">
        <f t="shared" si="165"/>
        <v>2.1037608391389111</v>
      </c>
      <c r="AP195">
        <v>0</v>
      </c>
      <c r="AQ195" s="1">
        <v>0.85</v>
      </c>
    </row>
    <row r="196" spans="1:43" hidden="1" x14ac:dyDescent="0.25">
      <c r="A196" s="3">
        <v>1382.7578000000001</v>
      </c>
      <c r="B196" s="42">
        <v>1418.2779999999993</v>
      </c>
      <c r="C196" s="53">
        <v>2026</v>
      </c>
      <c r="D196" s="52">
        <f>+'Fisico ASIG'!B196</f>
        <v>46082</v>
      </c>
      <c r="E196" s="1">
        <v>31</v>
      </c>
      <c r="F196" s="56" t="s">
        <v>56</v>
      </c>
      <c r="G196" s="56">
        <v>46107</v>
      </c>
      <c r="H196" s="17">
        <v>28</v>
      </c>
      <c r="I196" s="17">
        <f t="shared" ref="I196:I200" si="201">AI196/A196</f>
        <v>5.2366365244875128</v>
      </c>
      <c r="J196" s="17">
        <f t="shared" ref="J196:J200" si="202">+AL196/A196</f>
        <v>5.8867925629009878</v>
      </c>
      <c r="K196" s="113">
        <f t="shared" si="178"/>
        <v>6.8583333333333334</v>
      </c>
      <c r="L196" s="17">
        <v>27</v>
      </c>
      <c r="M196" s="17">
        <v>71.5</v>
      </c>
      <c r="N196" s="17">
        <f t="shared" ref="N196:N200" si="203">+AN196+AO196+AP196+AQ196</f>
        <v>40.165732175038869</v>
      </c>
      <c r="O196" s="17">
        <v>70.674746585678591</v>
      </c>
      <c r="P196" s="18">
        <f>SUMPRODUCT(H196:O196,'Fisico ASIG'!F196:M196)*24</f>
        <v>6915606.9821454603</v>
      </c>
      <c r="Q196" s="43">
        <v>0</v>
      </c>
      <c r="R196" s="43">
        <f t="shared" ref="R196:R200" si="204">+AJ196*AK196/A196</f>
        <v>6001.1488345970629</v>
      </c>
      <c r="S196" s="43">
        <f t="shared" ref="S196:S200" si="205">+AM196/A196</f>
        <v>2965.0890416239199</v>
      </c>
      <c r="T196" s="43">
        <f t="shared" si="112"/>
        <v>1795.6376259798433</v>
      </c>
      <c r="U196" s="43">
        <v>18000</v>
      </c>
      <c r="V196" s="20">
        <v>0</v>
      </c>
      <c r="W196" s="20">
        <v>21900</v>
      </c>
      <c r="X196" s="20">
        <v>0</v>
      </c>
      <c r="Y196" s="18">
        <f>SUMPRODUCT(Q196:X196,'Fisico ASIG'!O196:V196)/E196</f>
        <v>5111139.4885222586</v>
      </c>
      <c r="Z196" s="25">
        <f t="shared" ref="Z196:Z200" si="206">+(P196+Y196)</f>
        <v>12026746.47066772</v>
      </c>
      <c r="AA196" s="26">
        <f>+Z196/'Fisico ASIG'!N196/24</f>
        <v>66.646208655146921</v>
      </c>
      <c r="AB196" s="26">
        <f>+$AB$16*0.9*Precios!$P$11/0.61/Precios!$Q$11</f>
        <v>11.866737176097304</v>
      </c>
      <c r="AC196" s="29">
        <f t="shared" ref="AC196:AC200" si="207">+AA196-AB196</f>
        <v>54.779471479049619</v>
      </c>
      <c r="AI196" s="1">
        <v>7241</v>
      </c>
      <c r="AJ196" s="1">
        <v>5762594</v>
      </c>
      <c r="AK196">
        <f t="shared" si="192"/>
        <v>1.44</v>
      </c>
      <c r="AL196" s="40">
        <f t="shared" si="193"/>
        <v>8140.0083333333323</v>
      </c>
      <c r="AM196">
        <v>4100000</v>
      </c>
      <c r="AN196" s="17">
        <v>37.209116791605496</v>
      </c>
      <c r="AO196" s="74">
        <f t="shared" si="165"/>
        <v>2.106615383433371</v>
      </c>
      <c r="AP196">
        <v>0</v>
      </c>
      <c r="AQ196" s="1">
        <v>0.85</v>
      </c>
    </row>
    <row r="197" spans="1:43" hidden="1" x14ac:dyDescent="0.25">
      <c r="A197" s="3">
        <v>1382.7578000000001</v>
      </c>
      <c r="B197" s="42">
        <v>1418.2779999999993</v>
      </c>
      <c r="C197" s="53">
        <v>2026</v>
      </c>
      <c r="D197" s="52">
        <f>+'Fisico ASIG'!B197</f>
        <v>46082</v>
      </c>
      <c r="E197" s="1">
        <v>31</v>
      </c>
      <c r="F197" s="56" t="s">
        <v>57</v>
      </c>
      <c r="G197" s="56">
        <v>46108</v>
      </c>
      <c r="H197" s="17">
        <v>28</v>
      </c>
      <c r="I197" s="17">
        <f>AI197/A197</f>
        <v>5.2366365244875128</v>
      </c>
      <c r="J197" s="17">
        <f t="shared" si="202"/>
        <v>5.8867925629009878</v>
      </c>
      <c r="K197" s="113">
        <f t="shared" si="178"/>
        <v>6.8583333333333334</v>
      </c>
      <c r="L197" s="17">
        <v>27</v>
      </c>
      <c r="M197" s="17">
        <v>71.5</v>
      </c>
      <c r="N197" s="17">
        <f t="shared" si="203"/>
        <v>40.588159810141271</v>
      </c>
      <c r="O197" s="17">
        <v>60.889333540236237</v>
      </c>
      <c r="P197" s="18">
        <f>SUMPRODUCT(H197:O197,'Fisico ASIG'!F197:M197)*24</f>
        <v>7409631.0755340876</v>
      </c>
      <c r="Q197" s="43">
        <v>0</v>
      </c>
      <c r="R197" s="43">
        <f t="shared" si="204"/>
        <v>6001.1488345970629</v>
      </c>
      <c r="S197" s="43">
        <f t="shared" si="205"/>
        <v>2965.0890416239199</v>
      </c>
      <c r="T197" s="43">
        <f t="shared" si="112"/>
        <v>1795.6376259798433</v>
      </c>
      <c r="U197" s="43">
        <v>18000</v>
      </c>
      <c r="V197" s="20">
        <v>0</v>
      </c>
      <c r="W197" s="20">
        <v>21900</v>
      </c>
      <c r="X197" s="20">
        <v>0</v>
      </c>
      <c r="Y197" s="18">
        <f>SUMPRODUCT(Q197:X197,'Fisico ASIG'!O197:V197)/E197</f>
        <v>5105559.4916066267</v>
      </c>
      <c r="Z197" s="25">
        <f t="shared" si="206"/>
        <v>12515190.567140713</v>
      </c>
      <c r="AA197" s="26">
        <f>+Z197/'Fisico ASIG'!N197/24</f>
        <v>65.571829258481145</v>
      </c>
      <c r="AB197" s="26">
        <f>+$AB$16*0.9*Precios!$P$11/0.61/Precios!$Q$11</f>
        <v>11.866737176097304</v>
      </c>
      <c r="AC197" s="29">
        <f t="shared" si="207"/>
        <v>53.705092082383842</v>
      </c>
      <c r="AI197" s="1">
        <v>7241</v>
      </c>
      <c r="AJ197" s="1">
        <v>5762594</v>
      </c>
      <c r="AK197">
        <f t="shared" si="192"/>
        <v>1.44</v>
      </c>
      <c r="AL197" s="40">
        <f t="shared" si="193"/>
        <v>8140.0083333333323</v>
      </c>
      <c r="AM197">
        <v>4100000</v>
      </c>
      <c r="AN197" s="17">
        <v>37.604833545799785</v>
      </c>
      <c r="AO197" s="74">
        <f t="shared" si="165"/>
        <v>2.1333262643414854</v>
      </c>
      <c r="AP197">
        <v>0</v>
      </c>
      <c r="AQ197" s="1">
        <v>0.85</v>
      </c>
    </row>
    <row r="198" spans="1:43" hidden="1" x14ac:dyDescent="0.25">
      <c r="A198" s="3">
        <v>1382.7578000000001</v>
      </c>
      <c r="B198" s="42">
        <v>1418.2779999999993</v>
      </c>
      <c r="C198" s="53">
        <v>2026</v>
      </c>
      <c r="D198" s="52">
        <f>+'Fisico ASIG'!B198</f>
        <v>46082</v>
      </c>
      <c r="E198" s="1">
        <v>31</v>
      </c>
      <c r="F198" s="56" t="s">
        <v>51</v>
      </c>
      <c r="G198" s="56">
        <v>46109</v>
      </c>
      <c r="H198" s="17">
        <v>28</v>
      </c>
      <c r="I198" s="17">
        <f t="shared" si="201"/>
        <v>5.2366365244875128</v>
      </c>
      <c r="J198" s="17">
        <f t="shared" si="202"/>
        <v>5.8867925629009878</v>
      </c>
      <c r="K198" s="113">
        <f t="shared" si="178"/>
        <v>6.8583333333333334</v>
      </c>
      <c r="L198" s="17">
        <v>27</v>
      </c>
      <c r="M198" s="17">
        <v>71.5</v>
      </c>
      <c r="N198" s="17">
        <f t="shared" si="203"/>
        <v>41.353687010447864</v>
      </c>
      <c r="O198" s="17">
        <v>14.565506386525778</v>
      </c>
      <c r="P198" s="18">
        <f>SUMPRODUCT(H198:O198,'Fisico ASIG'!F198:M198)*24</f>
        <v>7456553.1115654968</v>
      </c>
      <c r="Q198" s="43">
        <v>0</v>
      </c>
      <c r="R198" s="43">
        <f t="shared" si="204"/>
        <v>6001.1488345970629</v>
      </c>
      <c r="S198" s="43">
        <f t="shared" si="205"/>
        <v>2965.0890416239199</v>
      </c>
      <c r="T198" s="43">
        <f t="shared" si="112"/>
        <v>1795.6376259798433</v>
      </c>
      <c r="U198" s="43">
        <v>18000</v>
      </c>
      <c r="V198" s="20">
        <v>0</v>
      </c>
      <c r="W198" s="20">
        <v>21900</v>
      </c>
      <c r="X198" s="20">
        <v>0</v>
      </c>
      <c r="Y198" s="18">
        <f>SUMPRODUCT(Q198:X198,'Fisico ASIG'!O198:V198)/E198</f>
        <v>5032129.2883363999</v>
      </c>
      <c r="Z198" s="25">
        <f t="shared" si="206"/>
        <v>12488682.399901897</v>
      </c>
      <c r="AA198" s="26">
        <f>+Z198/'Fisico ASIG'!N198/24</f>
        <v>65.567261477900772</v>
      </c>
      <c r="AB198" s="26">
        <f>+$AB$16*0.9*Precios!$P$11/0.61/Precios!$Q$11</f>
        <v>11.866737176097304</v>
      </c>
      <c r="AC198" s="29">
        <f t="shared" si="207"/>
        <v>53.700524301803469</v>
      </c>
      <c r="AI198" s="1">
        <v>7241</v>
      </c>
      <c r="AJ198" s="1">
        <v>5762594</v>
      </c>
      <c r="AK198">
        <f t="shared" si="192"/>
        <v>1.44</v>
      </c>
      <c r="AL198" s="40">
        <f t="shared" si="193"/>
        <v>8140.0083333333323</v>
      </c>
      <c r="AM198">
        <v>4100000</v>
      </c>
      <c r="AN198" s="17">
        <v>38.321955044916031</v>
      </c>
      <c r="AO198" s="74">
        <f t="shared" si="165"/>
        <v>2.1817319655318324</v>
      </c>
      <c r="AP198">
        <v>0</v>
      </c>
      <c r="AQ198" s="1">
        <v>0.85</v>
      </c>
    </row>
    <row r="199" spans="1:43" hidden="1" x14ac:dyDescent="0.25">
      <c r="A199" s="3">
        <v>1382.7578000000001</v>
      </c>
      <c r="B199" s="42">
        <v>1418.2779999999993</v>
      </c>
      <c r="C199" s="53">
        <v>2026</v>
      </c>
      <c r="D199" s="52">
        <f>+'Fisico ASIG'!B199</f>
        <v>46082</v>
      </c>
      <c r="E199" s="1">
        <v>31</v>
      </c>
      <c r="F199" s="56" t="s">
        <v>52</v>
      </c>
      <c r="G199" s="56">
        <v>46110</v>
      </c>
      <c r="H199" s="17">
        <v>28</v>
      </c>
      <c r="I199" s="17">
        <f t="shared" si="201"/>
        <v>5.2366365244875128</v>
      </c>
      <c r="J199" s="17">
        <f t="shared" si="202"/>
        <v>5.8867925629009878</v>
      </c>
      <c r="K199" s="113">
        <f t="shared" si="178"/>
        <v>6.8583333333333334</v>
      </c>
      <c r="L199" s="17">
        <v>27</v>
      </c>
      <c r="M199" s="17">
        <v>71.5</v>
      </c>
      <c r="N199" s="17">
        <f t="shared" si="203"/>
        <v>46.631082720829717</v>
      </c>
      <c r="O199" s="17">
        <v>76.193368325459815</v>
      </c>
      <c r="P199" s="18">
        <f>SUMPRODUCT(H199:O199,'Fisico ASIG'!F199:M199)*24</f>
        <v>7041966.8620231003</v>
      </c>
      <c r="Q199" s="43">
        <v>0</v>
      </c>
      <c r="R199" s="43">
        <f t="shared" si="204"/>
        <v>6001.1488345970629</v>
      </c>
      <c r="S199" s="43">
        <f t="shared" si="205"/>
        <v>2965.0890416239199</v>
      </c>
      <c r="T199" s="43">
        <f t="shared" si="112"/>
        <v>1795.6376259798433</v>
      </c>
      <c r="U199" s="43">
        <v>18000</v>
      </c>
      <c r="V199" s="20">
        <v>0</v>
      </c>
      <c r="W199" s="20">
        <v>21900</v>
      </c>
      <c r="X199" s="20">
        <v>0</v>
      </c>
      <c r="Y199" s="18">
        <f>SUMPRODUCT(Q199:X199,'Fisico ASIG'!O199:V199)/E199</f>
        <v>5033322.1712784171</v>
      </c>
      <c r="Z199" s="25">
        <f t="shared" si="206"/>
        <v>12075289.033301517</v>
      </c>
      <c r="AA199" s="26">
        <f>+Z199/'Fisico ASIG'!N199/24</f>
        <v>67.687320635302072</v>
      </c>
      <c r="AB199" s="26">
        <f>+$AB$16*0.9*Precios!$P$11/0.61/Precios!$Q$11</f>
        <v>11.866737176097304</v>
      </c>
      <c r="AC199" s="29">
        <f t="shared" si="207"/>
        <v>55.820583459204769</v>
      </c>
      <c r="AI199" s="1">
        <v>7241</v>
      </c>
      <c r="AJ199" s="1">
        <v>5762594</v>
      </c>
      <c r="AK199">
        <f t="shared" si="192"/>
        <v>1.44</v>
      </c>
      <c r="AL199" s="40">
        <f t="shared" si="193"/>
        <v>8140.0083333333323</v>
      </c>
      <c r="AM199">
        <v>4100000</v>
      </c>
      <c r="AN199" s="17">
        <v>43.265651260730415</v>
      </c>
      <c r="AO199" s="74">
        <f t="shared" si="165"/>
        <v>2.5154314600993031</v>
      </c>
      <c r="AP199">
        <v>0</v>
      </c>
      <c r="AQ199" s="1">
        <v>0.85</v>
      </c>
    </row>
    <row r="200" spans="1:43" hidden="1" x14ac:dyDescent="0.25">
      <c r="A200" s="3">
        <v>1382.7578000000001</v>
      </c>
      <c r="B200" s="42">
        <v>1378.9690000000007</v>
      </c>
      <c r="C200" s="53">
        <v>2026</v>
      </c>
      <c r="D200" s="52">
        <f>+'Fisico ASIG'!B200</f>
        <v>46082</v>
      </c>
      <c r="E200" s="1">
        <v>31</v>
      </c>
      <c r="F200" s="56" t="s">
        <v>53</v>
      </c>
      <c r="G200" s="56">
        <v>46111</v>
      </c>
      <c r="H200" s="17">
        <v>28</v>
      </c>
      <c r="I200" s="17">
        <f t="shared" si="201"/>
        <v>5.2366365244875128</v>
      </c>
      <c r="J200" s="17">
        <f t="shared" si="202"/>
        <v>5.8867925629009878</v>
      </c>
      <c r="K200" s="113">
        <f t="shared" si="178"/>
        <v>6.8583333333333334</v>
      </c>
      <c r="L200" s="17">
        <v>27</v>
      </c>
      <c r="M200" s="17">
        <v>71.5</v>
      </c>
      <c r="N200" s="17">
        <f t="shared" si="203"/>
        <v>108.5983584384102</v>
      </c>
      <c r="O200" s="17">
        <v>64.708199341676732</v>
      </c>
      <c r="P200" s="18">
        <f>SUMPRODUCT(H200:O200,'Fisico ASIG'!F200:M200)*24</f>
        <v>13158316.112607216</v>
      </c>
      <c r="Q200" s="43">
        <v>0</v>
      </c>
      <c r="R200" s="43">
        <f t="shared" si="204"/>
        <v>6001.1488345970629</v>
      </c>
      <c r="S200" s="43">
        <f t="shared" si="205"/>
        <v>2965.0890416239199</v>
      </c>
      <c r="T200" s="43">
        <f t="shared" si="112"/>
        <v>1795.6376259798433</v>
      </c>
      <c r="U200" s="43">
        <v>18000</v>
      </c>
      <c r="V200" s="20">
        <v>0</v>
      </c>
      <c r="W200" s="20">
        <v>21900</v>
      </c>
      <c r="X200" s="20">
        <v>0</v>
      </c>
      <c r="Y200" s="18">
        <f>SUMPRODUCT(Q200:X200,'Fisico ASIG'!O200:V200)/E200</f>
        <v>4918135.9274331797</v>
      </c>
      <c r="Z200" s="25">
        <f t="shared" si="206"/>
        <v>18076452.040040396</v>
      </c>
      <c r="AA200" s="26">
        <f>+Z200/'Fisico ASIG'!N200/24</f>
        <v>83.443886266697277</v>
      </c>
      <c r="AB200" s="26">
        <f>+$AB$16*0.9*Precios!$P$11/0.61/Precios!$Q$11</f>
        <v>11.866737176097304</v>
      </c>
      <c r="AC200" s="29">
        <f t="shared" si="207"/>
        <v>71.577149090599974</v>
      </c>
      <c r="AI200" s="1">
        <v>7241</v>
      </c>
      <c r="AJ200" s="1">
        <v>5762594</v>
      </c>
      <c r="AK200">
        <f t="shared" si="192"/>
        <v>1.44</v>
      </c>
      <c r="AL200" s="40">
        <f t="shared" si="193"/>
        <v>8140.0083333333323</v>
      </c>
      <c r="AM200">
        <v>4100000</v>
      </c>
      <c r="AN200" s="17">
        <v>101.31462148797209</v>
      </c>
      <c r="AO200" s="74">
        <f t="shared" si="165"/>
        <v>6.4337369504381163</v>
      </c>
      <c r="AP200">
        <v>0</v>
      </c>
      <c r="AQ200" s="1">
        <v>0.85</v>
      </c>
    </row>
    <row r="201" spans="1:43" hidden="1" x14ac:dyDescent="0.25">
      <c r="A201" s="3">
        <v>1382.7578000000001</v>
      </c>
      <c r="B201" s="42">
        <v>1378.9690000000007</v>
      </c>
      <c r="C201" s="53">
        <v>2026</v>
      </c>
      <c r="D201" s="52">
        <f>+'Fisico ASIG'!B201</f>
        <v>46082</v>
      </c>
      <c r="E201" s="1">
        <v>30</v>
      </c>
      <c r="F201" s="56" t="s">
        <v>54</v>
      </c>
      <c r="G201" s="56">
        <v>46112</v>
      </c>
      <c r="H201" s="17">
        <v>28</v>
      </c>
      <c r="I201" s="17">
        <f t="shared" ref="I201:I206" si="208">AI201/A201</f>
        <v>5.2366365244875128</v>
      </c>
      <c r="J201" s="17">
        <f t="shared" ref="J201:J221" si="209">+AL201/A201</f>
        <v>5.8867925629009878</v>
      </c>
      <c r="K201" s="113">
        <f t="shared" si="178"/>
        <v>6.8583333333333334</v>
      </c>
      <c r="L201" s="17">
        <v>27</v>
      </c>
      <c r="M201" s="17">
        <v>71.5</v>
      </c>
      <c r="N201" s="17">
        <f t="shared" ref="N201:N208" si="210">+AN201+AO201+AP201+AQ201</f>
        <v>132.26879712965976</v>
      </c>
      <c r="O201" s="17">
        <v>99.482206655337862</v>
      </c>
      <c r="P201" s="18">
        <f>SUMPRODUCT(H201:O201,'Fisico ASIG'!F201:M201)*24</f>
        <v>18646286.201593645</v>
      </c>
      <c r="Q201" s="43">
        <v>0</v>
      </c>
      <c r="R201" s="43">
        <f t="shared" ref="R201:R208" si="211">+AJ201*AK201/A201</f>
        <v>6001.1488345970629</v>
      </c>
      <c r="S201" s="43">
        <f t="shared" ref="S201:S208" si="212">+AM201/A201</f>
        <v>2965.0890416239199</v>
      </c>
      <c r="T201" s="43">
        <f t="shared" si="112"/>
        <v>1795.6376259798433</v>
      </c>
      <c r="U201" s="43">
        <v>18000</v>
      </c>
      <c r="V201" s="20">
        <v>0</v>
      </c>
      <c r="W201" s="20">
        <v>21900</v>
      </c>
      <c r="X201" s="20">
        <v>0</v>
      </c>
      <c r="Y201" s="18">
        <f>SUMPRODUCT(Q201:X201,'Fisico ASIG'!O201:V201)/E201</f>
        <v>4985121.5608865917</v>
      </c>
      <c r="Z201" s="25">
        <f t="shared" ref="Z201:Z208" si="213">+(P201+Y201)</f>
        <v>23631407.762480237</v>
      </c>
      <c r="AA201" s="26">
        <f>+Z201/'Fisico ASIG'!N201/24</f>
        <v>95.476746645387735</v>
      </c>
      <c r="AB201" s="26">
        <f>+$AB$16*0.9*Precios!$P$11/0.61/Precios!$Q$11</f>
        <v>11.866737176097304</v>
      </c>
      <c r="AC201" s="29">
        <f t="shared" ref="AC201:AC208" si="214">+AA201-AB201</f>
        <v>83.610009469290432</v>
      </c>
      <c r="AI201" s="1">
        <v>7241</v>
      </c>
      <c r="AJ201" s="1">
        <v>5762594</v>
      </c>
      <c r="AK201">
        <f t="shared" si="192"/>
        <v>1.44</v>
      </c>
      <c r="AL201" s="40">
        <f t="shared" si="193"/>
        <v>8140.0083333333323</v>
      </c>
      <c r="AM201">
        <v>4100000</v>
      </c>
      <c r="AN201" s="17">
        <v>123.48833454769064</v>
      </c>
      <c r="AO201" s="74">
        <f t="shared" si="165"/>
        <v>7.9304625819691186</v>
      </c>
      <c r="AP201">
        <v>0</v>
      </c>
      <c r="AQ201" s="1">
        <v>0.85</v>
      </c>
    </row>
    <row r="202" spans="1:43" hidden="1" x14ac:dyDescent="0.25">
      <c r="A202" s="3">
        <v>1381.0953999999999</v>
      </c>
      <c r="B202" s="42">
        <v>1378.9690000000001</v>
      </c>
      <c r="C202" s="53">
        <v>2026</v>
      </c>
      <c r="D202" s="52">
        <f>+'Fisico ASIG'!B202</f>
        <v>46113</v>
      </c>
      <c r="E202" s="1">
        <v>30</v>
      </c>
      <c r="F202" s="56" t="s">
        <v>55</v>
      </c>
      <c r="G202" s="56">
        <v>46113</v>
      </c>
      <c r="H202" s="17">
        <v>28</v>
      </c>
      <c r="I202" s="17">
        <f t="shared" si="208"/>
        <v>5.2429397708514562</v>
      </c>
      <c r="J202" s="17">
        <f t="shared" si="209"/>
        <v>5.8938783905393741</v>
      </c>
      <c r="K202" s="113">
        <f t="shared" si="178"/>
        <v>6.8583333333333334</v>
      </c>
      <c r="L202" s="17">
        <v>27</v>
      </c>
      <c r="M202" s="17">
        <v>71.5</v>
      </c>
      <c r="N202" s="17">
        <f t="shared" si="210"/>
        <v>113.23739958165383</v>
      </c>
      <c r="O202" s="17">
        <v>65.185286984963795</v>
      </c>
      <c r="P202" s="18">
        <f>SUMPRODUCT(H202:O202,'Fisico ASIG'!F202:M202)*24</f>
        <v>15097589.002274383</v>
      </c>
      <c r="Q202" s="43">
        <v>0</v>
      </c>
      <c r="R202" s="43">
        <f t="shared" si="211"/>
        <v>6008.3723108483309</v>
      </c>
      <c r="S202" s="43">
        <f t="shared" si="212"/>
        <v>2968.6580666331956</v>
      </c>
      <c r="T202" s="43">
        <f t="shared" ref="T202:T284" si="215">+(4000*1759+465*1759*1.2)/(4000+465)</f>
        <v>1795.6376259798433</v>
      </c>
      <c r="U202" s="43">
        <v>18000</v>
      </c>
      <c r="V202" s="20">
        <v>0</v>
      </c>
      <c r="W202" s="20">
        <v>21900</v>
      </c>
      <c r="X202" s="20">
        <v>0</v>
      </c>
      <c r="Y202" s="18">
        <f>SUMPRODUCT(Q202:X202,'Fisico ASIG'!O202:V202)/E202</f>
        <v>5104710.2919215383</v>
      </c>
      <c r="Z202" s="25">
        <f t="shared" si="213"/>
        <v>20202299.29419592</v>
      </c>
      <c r="AA202" s="26">
        <f>+Z202/'Fisico ASIG'!N202/24</f>
        <v>90.828920104855911</v>
      </c>
      <c r="AB202" s="26">
        <f>+$AB$16*0.9*Precios!$P$12/0.61/Precios!$Q$12</f>
        <v>12.065573770491804</v>
      </c>
      <c r="AC202" s="29">
        <f t="shared" si="214"/>
        <v>78.763346334364101</v>
      </c>
      <c r="AI202" s="1">
        <v>7241</v>
      </c>
      <c r="AJ202" s="1">
        <v>5762594</v>
      </c>
      <c r="AK202">
        <f t="shared" si="192"/>
        <v>1.44</v>
      </c>
      <c r="AL202" s="40">
        <f t="shared" si="193"/>
        <v>8140.0083333333323</v>
      </c>
      <c r="AM202">
        <v>4100000</v>
      </c>
      <c r="AN202" s="17">
        <v>105.6603274769591</v>
      </c>
      <c r="AO202" s="74">
        <f t="shared" si="165"/>
        <v>6.7270721046947397</v>
      </c>
      <c r="AP202">
        <v>0</v>
      </c>
      <c r="AQ202" s="1">
        <v>0.85</v>
      </c>
    </row>
    <row r="203" spans="1:43" hidden="1" x14ac:dyDescent="0.25">
      <c r="A203" s="3">
        <v>1381.0953999999999</v>
      </c>
      <c r="B203" s="42">
        <v>1378.9690000000001</v>
      </c>
      <c r="C203" s="53">
        <v>2026</v>
      </c>
      <c r="D203" s="52">
        <f>+'Fisico ASIG'!B203</f>
        <v>46113</v>
      </c>
      <c r="E203" s="1">
        <v>30</v>
      </c>
      <c r="F203" s="56" t="s">
        <v>56</v>
      </c>
      <c r="G203" s="56">
        <v>46114</v>
      </c>
      <c r="H203" s="17">
        <v>28</v>
      </c>
      <c r="I203" s="17">
        <f t="shared" si="208"/>
        <v>5.2429397708514562</v>
      </c>
      <c r="J203" s="17">
        <f t="shared" si="209"/>
        <v>5.8938783905393741</v>
      </c>
      <c r="K203" s="113">
        <f t="shared" si="178"/>
        <v>6.8583333333333334</v>
      </c>
      <c r="L203" s="17">
        <v>27</v>
      </c>
      <c r="M203" s="17">
        <v>71.5</v>
      </c>
      <c r="N203" s="17">
        <f t="shared" si="210"/>
        <v>54.391271190586103</v>
      </c>
      <c r="O203" s="17">
        <v>62.658578269354166</v>
      </c>
      <c r="P203" s="18">
        <f>SUMPRODUCT(H203:O203,'Fisico ASIG'!F203:M203)*24</f>
        <v>9125562.7056583744</v>
      </c>
      <c r="Q203" s="43">
        <v>0</v>
      </c>
      <c r="R203" s="43">
        <f t="shared" si="211"/>
        <v>6008.3723108483309</v>
      </c>
      <c r="S203" s="43">
        <f t="shared" si="212"/>
        <v>2968.6580666331956</v>
      </c>
      <c r="T203" s="43">
        <f t="shared" si="215"/>
        <v>1795.6376259798433</v>
      </c>
      <c r="U203" s="43">
        <v>18000</v>
      </c>
      <c r="V203" s="20">
        <v>0</v>
      </c>
      <c r="W203" s="20">
        <v>21900</v>
      </c>
      <c r="X203" s="20">
        <v>0</v>
      </c>
      <c r="Y203" s="18">
        <f>SUMPRODUCT(Q203:X203,'Fisico ASIG'!O203:V203)/E203</f>
        <v>5213967.6165905884</v>
      </c>
      <c r="Z203" s="25">
        <f t="shared" si="213"/>
        <v>14339530.322248962</v>
      </c>
      <c r="AA203" s="26">
        <f>+Z203/'Fisico ASIG'!N203/24</f>
        <v>73.904738280983722</v>
      </c>
      <c r="AB203" s="26">
        <f>+$AB$16*0.9*Precios!$P$12/0.61/Precios!$Q$12</f>
        <v>12.065573770491804</v>
      </c>
      <c r="AC203" s="29">
        <f t="shared" si="214"/>
        <v>61.839164510491919</v>
      </c>
      <c r="AI203" s="1">
        <v>7241</v>
      </c>
      <c r="AJ203" s="1">
        <v>5762594</v>
      </c>
      <c r="AK203">
        <f t="shared" si="192"/>
        <v>1.44</v>
      </c>
      <c r="AL203" s="40">
        <f t="shared" si="193"/>
        <v>8140.0083333333323</v>
      </c>
      <c r="AM203">
        <v>4100000</v>
      </c>
      <c r="AN203" s="17">
        <v>50.535148656286744</v>
      </c>
      <c r="AO203" s="74">
        <f t="shared" si="165"/>
        <v>3.0061225342993554</v>
      </c>
      <c r="AP203">
        <v>0</v>
      </c>
      <c r="AQ203" s="1">
        <v>0.85</v>
      </c>
    </row>
    <row r="204" spans="1:43" hidden="1" x14ac:dyDescent="0.25">
      <c r="A204" s="3">
        <v>1381.0953999999999</v>
      </c>
      <c r="B204" s="42">
        <v>1378.9690000000001</v>
      </c>
      <c r="C204" s="53">
        <v>2026</v>
      </c>
      <c r="D204" s="52">
        <f>+'Fisico ASIG'!B204</f>
        <v>46113</v>
      </c>
      <c r="E204" s="1">
        <v>30</v>
      </c>
      <c r="F204" s="56" t="s">
        <v>57</v>
      </c>
      <c r="G204" s="56">
        <v>46115</v>
      </c>
      <c r="H204" s="17">
        <v>28</v>
      </c>
      <c r="I204" s="17">
        <f t="shared" si="208"/>
        <v>5.2429397708514562</v>
      </c>
      <c r="J204" s="17">
        <f t="shared" si="209"/>
        <v>5.8938783905393741</v>
      </c>
      <c r="K204" s="113">
        <f t="shared" si="178"/>
        <v>6.8583333333333334</v>
      </c>
      <c r="L204" s="17">
        <v>27</v>
      </c>
      <c r="M204" s="17">
        <v>71.5</v>
      </c>
      <c r="N204" s="17">
        <f t="shared" si="210"/>
        <v>56.803694200833903</v>
      </c>
      <c r="O204" s="17">
        <v>70.344361298764383</v>
      </c>
      <c r="P204" s="18">
        <f>SUMPRODUCT(H204:O204,'Fisico ASIG'!F204:M204)*24</f>
        <v>8703693.2531043105</v>
      </c>
      <c r="Q204" s="43">
        <v>0</v>
      </c>
      <c r="R204" s="43">
        <f t="shared" si="211"/>
        <v>6008.3723108483309</v>
      </c>
      <c r="S204" s="43">
        <f t="shared" si="212"/>
        <v>2968.6580666331956</v>
      </c>
      <c r="T204" s="43">
        <f t="shared" si="215"/>
        <v>1795.6376259798433</v>
      </c>
      <c r="U204" s="43">
        <v>18000</v>
      </c>
      <c r="V204" s="20">
        <v>0</v>
      </c>
      <c r="W204" s="20">
        <v>21900</v>
      </c>
      <c r="X204" s="20">
        <v>0</v>
      </c>
      <c r="Y204" s="18">
        <f>SUMPRODUCT(Q204:X204,'Fisico ASIG'!O204:V204)/E204</f>
        <v>4915039.0907844426</v>
      </c>
      <c r="Z204" s="25">
        <f t="shared" si="213"/>
        <v>13618732.343888752</v>
      </c>
      <c r="AA204" s="26">
        <f>+Z204/'Fisico ASIG'!N204/24</f>
        <v>78.128705202971759</v>
      </c>
      <c r="AB204" s="26">
        <f>+$AB$16*0.9*Precios!$P$12/0.61/Precios!$Q$12</f>
        <v>12.065573770491804</v>
      </c>
      <c r="AC204" s="29">
        <f t="shared" si="214"/>
        <v>66.063131432479949</v>
      </c>
      <c r="AI204" s="1">
        <v>7241</v>
      </c>
      <c r="AJ204" s="1">
        <v>5762594</v>
      </c>
      <c r="AK204">
        <f t="shared" si="192"/>
        <v>1.44</v>
      </c>
      <c r="AL204" s="40">
        <f t="shared" si="193"/>
        <v>8140.0083333333323</v>
      </c>
      <c r="AM204">
        <v>4100000</v>
      </c>
      <c r="AN204" s="17">
        <v>52.795029696331525</v>
      </c>
      <c r="AO204" s="74">
        <f t="shared" si="165"/>
        <v>3.158664504502378</v>
      </c>
      <c r="AP204">
        <v>0</v>
      </c>
      <c r="AQ204" s="1">
        <v>0.85</v>
      </c>
    </row>
    <row r="205" spans="1:43" hidden="1" x14ac:dyDescent="0.25">
      <c r="A205" s="3">
        <v>1381.0953999999999</v>
      </c>
      <c r="B205" s="42">
        <v>1378.9690000000001</v>
      </c>
      <c r="C205" s="53">
        <v>2026</v>
      </c>
      <c r="D205" s="52">
        <f>+'Fisico ASIG'!B205</f>
        <v>46113</v>
      </c>
      <c r="E205" s="1">
        <v>30</v>
      </c>
      <c r="F205" s="56" t="str">
        <f>+F198</f>
        <v>sáb</v>
      </c>
      <c r="G205" s="56">
        <v>46116</v>
      </c>
      <c r="H205" s="17">
        <v>28</v>
      </c>
      <c r="I205" s="17">
        <f t="shared" si="208"/>
        <v>5.2429397708514562</v>
      </c>
      <c r="J205" s="17">
        <f t="shared" si="209"/>
        <v>5.8938783905393741</v>
      </c>
      <c r="K205" s="113">
        <f t="shared" si="178"/>
        <v>6.8583333333333334</v>
      </c>
      <c r="L205" s="17">
        <v>27</v>
      </c>
      <c r="M205" s="17">
        <v>71.5</v>
      </c>
      <c r="N205" s="17">
        <f t="shared" si="210"/>
        <v>59.130656742494175</v>
      </c>
      <c r="O205" s="17">
        <v>65.33627498764389</v>
      </c>
      <c r="P205" s="18">
        <f>SUMPRODUCT(H205:O205,'Fisico ASIG'!F205:M205)*24</f>
        <v>7023484.0054616891</v>
      </c>
      <c r="Q205" s="43">
        <v>0</v>
      </c>
      <c r="R205" s="43">
        <f t="shared" si="211"/>
        <v>6008.3723108483309</v>
      </c>
      <c r="S205" s="43">
        <f t="shared" si="212"/>
        <v>2968.6580666331956</v>
      </c>
      <c r="T205" s="43">
        <f t="shared" si="215"/>
        <v>1795.6376259798433</v>
      </c>
      <c r="U205" s="43">
        <v>18000</v>
      </c>
      <c r="V205" s="20">
        <v>0</v>
      </c>
      <c r="W205" s="20">
        <v>21900</v>
      </c>
      <c r="X205" s="20">
        <v>0</v>
      </c>
      <c r="Y205" s="18">
        <f>SUMPRODUCT(Q205:X205,'Fisico ASIG'!O205:V205)/E205</f>
        <v>4918013.824991798</v>
      </c>
      <c r="Z205" s="25">
        <f t="shared" si="213"/>
        <v>11941497.830453487</v>
      </c>
      <c r="AA205" s="26">
        <f>+Z205/'Fisico ASIG'!N205/24</f>
        <v>76.325843990460996</v>
      </c>
      <c r="AB205" s="26">
        <f>+$AB$16*0.9*Precios!$P$12/0.61/Precios!$Q$12</f>
        <v>12.065573770491804</v>
      </c>
      <c r="AC205" s="29">
        <f t="shared" si="214"/>
        <v>64.260270219969186</v>
      </c>
      <c r="AI205" s="1">
        <v>7241</v>
      </c>
      <c r="AJ205" s="1">
        <v>5762594</v>
      </c>
      <c r="AK205">
        <f t="shared" si="192"/>
        <v>1.44</v>
      </c>
      <c r="AL205" s="40">
        <f t="shared" si="193"/>
        <v>8140.0083333333323</v>
      </c>
      <c r="AM205">
        <v>4100000</v>
      </c>
      <c r="AN205" s="17">
        <v>54.974854091329433</v>
      </c>
      <c r="AO205" s="74">
        <f t="shared" si="165"/>
        <v>3.3058026511647371</v>
      </c>
      <c r="AP205">
        <v>0</v>
      </c>
      <c r="AQ205" s="1">
        <v>0.85</v>
      </c>
    </row>
    <row r="206" spans="1:43" hidden="1" x14ac:dyDescent="0.25">
      <c r="A206" s="3">
        <v>1381.0953999999999</v>
      </c>
      <c r="B206" s="42">
        <v>1378.9690000000001</v>
      </c>
      <c r="C206" s="53">
        <v>2026</v>
      </c>
      <c r="D206" s="52">
        <f>+'Fisico ASIG'!B206</f>
        <v>46113</v>
      </c>
      <c r="E206" s="1">
        <v>30</v>
      </c>
      <c r="F206" s="56" t="str">
        <f t="shared" ref="F206:F272" si="216">+F199</f>
        <v>dom</v>
      </c>
      <c r="G206" s="56">
        <v>46117</v>
      </c>
      <c r="H206" s="17">
        <v>28</v>
      </c>
      <c r="I206" s="17">
        <f t="shared" si="208"/>
        <v>5.2429397708514562</v>
      </c>
      <c r="J206" s="17">
        <f t="shared" si="209"/>
        <v>5.8938783905393741</v>
      </c>
      <c r="K206" s="113">
        <f t="shared" si="178"/>
        <v>6.8583333333333334</v>
      </c>
      <c r="L206" s="17">
        <v>27</v>
      </c>
      <c r="M206" s="17">
        <v>71.5</v>
      </c>
      <c r="N206" s="17">
        <f t="shared" si="210"/>
        <v>60.728899644867205</v>
      </c>
      <c r="O206" s="17">
        <v>49.896760130037904</v>
      </c>
      <c r="P206" s="18">
        <f>SUMPRODUCT(H206:O206,'Fisico ASIG'!F206:M206)*24</f>
        <v>6640086.6885230858</v>
      </c>
      <c r="Q206" s="43">
        <v>0</v>
      </c>
      <c r="R206" s="43">
        <f t="shared" si="211"/>
        <v>6008.3723108483309</v>
      </c>
      <c r="S206" s="43">
        <f t="shared" si="212"/>
        <v>2968.6580666331956</v>
      </c>
      <c r="T206" s="43">
        <f t="shared" si="215"/>
        <v>1795.6376259798433</v>
      </c>
      <c r="U206" s="43">
        <v>18000</v>
      </c>
      <c r="V206" s="20">
        <v>0</v>
      </c>
      <c r="W206" s="20">
        <v>21900</v>
      </c>
      <c r="X206" s="20">
        <v>0</v>
      </c>
      <c r="Y206" s="18">
        <f>SUMPRODUCT(Q206:X206,'Fisico ASIG'!O206:V206)/E206</f>
        <v>5178075.9933623848</v>
      </c>
      <c r="Z206" s="25">
        <f t="shared" si="213"/>
        <v>11818162.68188547</v>
      </c>
      <c r="AA206" s="26">
        <f>+Z206/'Fisico ASIG'!N206/24</f>
        <v>75.259330635580994</v>
      </c>
      <c r="AB206" s="26">
        <f>+$AB$16*0.9*Precios!$P$12/0.61/Precios!$Q$12</f>
        <v>12.065573770491804</v>
      </c>
      <c r="AC206" s="29">
        <f t="shared" si="214"/>
        <v>63.193756865089192</v>
      </c>
      <c r="AI206" s="1">
        <v>7241</v>
      </c>
      <c r="AJ206" s="1">
        <v>5762594</v>
      </c>
      <c r="AK206">
        <f t="shared" si="192"/>
        <v>1.44</v>
      </c>
      <c r="AL206" s="40">
        <f t="shared" si="193"/>
        <v>8140.0083333333323</v>
      </c>
      <c r="AM206">
        <v>4100000</v>
      </c>
      <c r="AN206" s="17">
        <v>56.472037138048904</v>
      </c>
      <c r="AO206" s="74">
        <f t="shared" si="165"/>
        <v>3.4068625068183014</v>
      </c>
      <c r="AP206">
        <v>0</v>
      </c>
      <c r="AQ206" s="1">
        <v>0.85</v>
      </c>
    </row>
    <row r="207" spans="1:43" hidden="1" x14ac:dyDescent="0.25">
      <c r="A207" s="3">
        <v>1381.0953999999999</v>
      </c>
      <c r="B207" s="42">
        <v>1378.9690000000001</v>
      </c>
      <c r="C207" s="53">
        <v>2026</v>
      </c>
      <c r="D207" s="52">
        <f>+'Fisico ASIG'!B207</f>
        <v>46113</v>
      </c>
      <c r="E207" s="1">
        <v>30</v>
      </c>
      <c r="F207" s="56" t="str">
        <f t="shared" si="216"/>
        <v>lun</v>
      </c>
      <c r="G207" s="56">
        <v>46118</v>
      </c>
      <c r="H207" s="17">
        <v>28</v>
      </c>
      <c r="I207" s="17">
        <f>AI207/A207</f>
        <v>5.2429397708514562</v>
      </c>
      <c r="J207" s="17">
        <f t="shared" si="209"/>
        <v>5.8938783905393741</v>
      </c>
      <c r="K207" s="113">
        <f t="shared" si="178"/>
        <v>6.8583333333333334</v>
      </c>
      <c r="L207" s="17">
        <v>27</v>
      </c>
      <c r="M207" s="17">
        <v>71.5</v>
      </c>
      <c r="N207" s="17">
        <f t="shared" si="210"/>
        <v>56.270567413896991</v>
      </c>
      <c r="O207" s="17">
        <v>82.408969515148655</v>
      </c>
      <c r="P207" s="18">
        <f>SUMPRODUCT(H207:O207,'Fisico ASIG'!F207:M207)*24</f>
        <v>7546847.4622473624</v>
      </c>
      <c r="Q207" s="43">
        <v>0</v>
      </c>
      <c r="R207" s="43">
        <f t="shared" si="211"/>
        <v>6008.3723108483309</v>
      </c>
      <c r="S207" s="43">
        <f t="shared" si="212"/>
        <v>2968.6580666331956</v>
      </c>
      <c r="T207" s="43">
        <f t="shared" si="215"/>
        <v>1795.6376259798433</v>
      </c>
      <c r="U207" s="43">
        <v>18000</v>
      </c>
      <c r="V207" s="20">
        <v>0</v>
      </c>
      <c r="W207" s="20">
        <v>21900</v>
      </c>
      <c r="X207" s="20">
        <v>0</v>
      </c>
      <c r="Y207" s="18">
        <f>SUMPRODUCT(Q207:X207,'Fisico ASIG'!O207:V207)/E207</f>
        <v>5211440.2938053897</v>
      </c>
      <c r="Z207" s="25">
        <f t="shared" si="213"/>
        <v>12758287.756052751</v>
      </c>
      <c r="AA207" s="26">
        <f>+Z207/'Fisico ASIG'!N207/24</f>
        <v>74.068679961321919</v>
      </c>
      <c r="AB207" s="26">
        <f>+$AB$16*0.9*Precios!$P$12/0.61/Precios!$Q$12</f>
        <v>12.065573770491804</v>
      </c>
      <c r="AC207" s="29">
        <f t="shared" si="214"/>
        <v>62.003106190830117</v>
      </c>
      <c r="AI207" s="1">
        <v>7241</v>
      </c>
      <c r="AJ207" s="1">
        <v>5762594</v>
      </c>
      <c r="AK207">
        <f t="shared" si="192"/>
        <v>1.44</v>
      </c>
      <c r="AL207" s="40">
        <f t="shared" si="193"/>
        <v>8140.0083333333323</v>
      </c>
      <c r="AM207">
        <v>4100000</v>
      </c>
      <c r="AN207" s="17">
        <v>52.295613502479618</v>
      </c>
      <c r="AO207" s="74">
        <f t="shared" si="165"/>
        <v>3.1249539114173746</v>
      </c>
      <c r="AP207">
        <v>0</v>
      </c>
      <c r="AQ207" s="1">
        <v>0.85</v>
      </c>
    </row>
    <row r="208" spans="1:43" hidden="1" x14ac:dyDescent="0.25">
      <c r="A208" s="3">
        <v>1381.0953999999999</v>
      </c>
      <c r="B208" s="42">
        <v>1378.9690000000001</v>
      </c>
      <c r="C208" s="53">
        <v>2026</v>
      </c>
      <c r="D208" s="52">
        <f>+'Fisico ASIG'!B208</f>
        <v>46113</v>
      </c>
      <c r="E208" s="1">
        <v>30</v>
      </c>
      <c r="F208" s="56" t="str">
        <f t="shared" si="216"/>
        <v>mar</v>
      </c>
      <c r="G208" s="56">
        <v>46119</v>
      </c>
      <c r="H208" s="17">
        <v>28</v>
      </c>
      <c r="I208" s="17">
        <f t="shared" ref="I208:I221" si="217">AI208/A208</f>
        <v>5.2429397708514562</v>
      </c>
      <c r="J208" s="17">
        <f t="shared" si="209"/>
        <v>5.8938783905393741</v>
      </c>
      <c r="K208" s="113">
        <f t="shared" si="178"/>
        <v>6.8583333333333334</v>
      </c>
      <c r="L208" s="17">
        <v>27</v>
      </c>
      <c r="M208" s="17">
        <v>71.5</v>
      </c>
      <c r="N208" s="17">
        <f t="shared" si="210"/>
        <v>54.092522294606233</v>
      </c>
      <c r="O208" s="17">
        <v>77.667039301997391</v>
      </c>
      <c r="P208" s="18">
        <f>SUMPRODUCT(H208:O208,'Fisico ASIG'!F208:M208)*24</f>
        <v>6825199.2183309188</v>
      </c>
      <c r="Q208" s="43">
        <v>0</v>
      </c>
      <c r="R208" s="43">
        <f t="shared" si="211"/>
        <v>6008.3723108483309</v>
      </c>
      <c r="S208" s="43">
        <f t="shared" si="212"/>
        <v>2968.6580666331956</v>
      </c>
      <c r="T208" s="43">
        <f t="shared" si="215"/>
        <v>1795.6376259798433</v>
      </c>
      <c r="U208" s="43">
        <v>18000</v>
      </c>
      <c r="V208" s="20">
        <v>0</v>
      </c>
      <c r="W208" s="20">
        <v>21900</v>
      </c>
      <c r="X208" s="20">
        <v>0</v>
      </c>
      <c r="Y208" s="18">
        <f>SUMPRODUCT(Q208:X208,'Fisico ASIG'!O208:V208)/E208</f>
        <v>5351891.7146885358</v>
      </c>
      <c r="Z208" s="25">
        <f t="shared" si="213"/>
        <v>12177090.933019456</v>
      </c>
      <c r="AA208" s="26">
        <f>+Z208/'Fisico ASIG'!N208/24</f>
        <v>76.752460508875117</v>
      </c>
      <c r="AB208" s="26">
        <f>+$AB$16*0.9*Precios!$P$12/0.61/Precios!$Q$12</f>
        <v>12.065573770491804</v>
      </c>
      <c r="AC208" s="29">
        <f t="shared" si="214"/>
        <v>64.686886738383308</v>
      </c>
      <c r="AI208" s="1">
        <v>7241</v>
      </c>
      <c r="AJ208" s="1">
        <v>5762594</v>
      </c>
      <c r="AK208">
        <f t="shared" si="192"/>
        <v>1.44</v>
      </c>
      <c r="AL208" s="40">
        <f t="shared" si="193"/>
        <v>8140.0083333333323</v>
      </c>
      <c r="AM208">
        <v>4100000</v>
      </c>
      <c r="AN208" s="17">
        <v>50.255290205720122</v>
      </c>
      <c r="AO208" s="74">
        <f t="shared" si="165"/>
        <v>2.9872320888861084</v>
      </c>
      <c r="AP208">
        <v>0</v>
      </c>
      <c r="AQ208" s="1">
        <v>0.85</v>
      </c>
    </row>
    <row r="209" spans="1:43" hidden="1" x14ac:dyDescent="0.25">
      <c r="A209" s="3">
        <v>1381.0953999999999</v>
      </c>
      <c r="B209" s="42">
        <v>1378.9690000000001</v>
      </c>
      <c r="C209" s="53">
        <v>2026</v>
      </c>
      <c r="D209" s="52">
        <f>+'Fisico ASIG'!B209</f>
        <v>46113</v>
      </c>
      <c r="E209" s="1">
        <v>30</v>
      </c>
      <c r="F209" s="56" t="str">
        <f t="shared" si="216"/>
        <v>mié</v>
      </c>
      <c r="G209" s="56">
        <f>+G208+1</f>
        <v>46120</v>
      </c>
      <c r="H209" s="17">
        <v>28</v>
      </c>
      <c r="I209" s="17">
        <f t="shared" si="217"/>
        <v>5.2429397708514562</v>
      </c>
      <c r="J209" s="17">
        <f t="shared" si="209"/>
        <v>5.8938783905393741</v>
      </c>
      <c r="K209" s="113">
        <f t="shared" si="178"/>
        <v>6.8583333333333334</v>
      </c>
      <c r="L209" s="17">
        <v>27</v>
      </c>
      <c r="M209" s="17">
        <v>71.5</v>
      </c>
      <c r="N209" s="17">
        <f t="shared" ref="N209:N212" si="218">+AN209+AO209+AP209+AQ209</f>
        <v>44.55031462626404</v>
      </c>
      <c r="O209" s="17">
        <v>77.87657534697189</v>
      </c>
      <c r="P209" s="18">
        <f>SUMPRODUCT(H209:O209,'Fisico ASIG'!F209:M209)*24</f>
        <v>6198584.219566565</v>
      </c>
      <c r="Q209" s="43">
        <v>0</v>
      </c>
      <c r="R209" s="43">
        <f t="shared" ref="R209:R212" si="219">+AJ209*AK209/A209</f>
        <v>6008.3723108483309</v>
      </c>
      <c r="S209" s="43">
        <f t="shared" ref="S209:S212" si="220">+AM209/A209</f>
        <v>2968.6580666331956</v>
      </c>
      <c r="T209" s="43">
        <f t="shared" si="215"/>
        <v>1795.6376259798433</v>
      </c>
      <c r="U209" s="43">
        <v>18000</v>
      </c>
      <c r="V209" s="20">
        <v>0</v>
      </c>
      <c r="W209" s="20">
        <v>21900</v>
      </c>
      <c r="X209" s="20">
        <v>0</v>
      </c>
      <c r="Y209" s="18">
        <f>SUMPRODUCT(Q209:X209,'Fisico ASIG'!O209:V209)/E209</f>
        <v>5400726.1417417126</v>
      </c>
      <c r="Z209" s="25">
        <f t="shared" ref="Z209:Z212" si="221">+(P209+Y209)</f>
        <v>11599310.361308277</v>
      </c>
      <c r="AA209" s="26">
        <f>+Z209/'Fisico ASIG'!N209/24</f>
        <v>73.021211551767905</v>
      </c>
      <c r="AB209" s="26">
        <f>+$AB$16*0.9*Precios!$P$12/0.61/Precios!$Q$12</f>
        <v>12.065573770491804</v>
      </c>
      <c r="AC209" s="29">
        <f t="shared" ref="AC209:AC212" si="222">+AA209-AB209</f>
        <v>60.955637781276103</v>
      </c>
      <c r="AI209" s="1">
        <v>7241</v>
      </c>
      <c r="AJ209" s="1">
        <v>5762594</v>
      </c>
      <c r="AK209">
        <f t="shared" si="192"/>
        <v>1.44</v>
      </c>
      <c r="AL209" s="40">
        <f t="shared" si="193"/>
        <v>8140.0083333333323</v>
      </c>
      <c r="AM209">
        <v>4100000</v>
      </c>
      <c r="AN209" s="17">
        <v>41.316453982448749</v>
      </c>
      <c r="AO209" s="74">
        <f t="shared" si="165"/>
        <v>2.3838606438152907</v>
      </c>
      <c r="AP209">
        <v>0</v>
      </c>
      <c r="AQ209" s="1">
        <v>0.85</v>
      </c>
    </row>
    <row r="210" spans="1:43" hidden="1" x14ac:dyDescent="0.25">
      <c r="A210" s="3">
        <v>1381.0953999999999</v>
      </c>
      <c r="B210" s="42">
        <v>1378.9690000000001</v>
      </c>
      <c r="C210" s="53">
        <v>2026</v>
      </c>
      <c r="D210" s="52">
        <f>+'Fisico ASIG'!B210</f>
        <v>46113</v>
      </c>
      <c r="E210" s="1">
        <v>30</v>
      </c>
      <c r="F210" s="56" t="str">
        <f t="shared" si="216"/>
        <v>jue</v>
      </c>
      <c r="G210" s="56">
        <f t="shared" ref="G210:G273" si="223">+G209+1</f>
        <v>46121</v>
      </c>
      <c r="H210" s="17">
        <v>28</v>
      </c>
      <c r="I210" s="17">
        <f t="shared" si="217"/>
        <v>5.2429397708514562</v>
      </c>
      <c r="J210" s="17">
        <f t="shared" si="209"/>
        <v>5.8938783905393741</v>
      </c>
      <c r="K210" s="113">
        <f t="shared" si="178"/>
        <v>6.8583333333333334</v>
      </c>
      <c r="L210" s="17">
        <v>27</v>
      </c>
      <c r="M210" s="17">
        <v>71.5</v>
      </c>
      <c r="N210" s="17">
        <f t="shared" si="218"/>
        <v>40.53463515178408</v>
      </c>
      <c r="O210" s="17">
        <v>117.84999773683973</v>
      </c>
      <c r="P210" s="18">
        <f>SUMPRODUCT(H210:O210,'Fisico ASIG'!F210:M210)*24</f>
        <v>7083784.2677385835</v>
      </c>
      <c r="Q210" s="43">
        <v>0</v>
      </c>
      <c r="R210" s="43">
        <f t="shared" si="219"/>
        <v>6008.3723108483309</v>
      </c>
      <c r="S210" s="43">
        <f t="shared" si="220"/>
        <v>2968.6580666331956</v>
      </c>
      <c r="T210" s="43">
        <f t="shared" si="215"/>
        <v>1795.6376259798433</v>
      </c>
      <c r="U210" s="43">
        <v>18000</v>
      </c>
      <c r="V210" s="20">
        <v>0</v>
      </c>
      <c r="W210" s="20">
        <v>21900</v>
      </c>
      <c r="X210" s="20">
        <v>0</v>
      </c>
      <c r="Y210" s="18">
        <f>SUMPRODUCT(Q210:X210,'Fisico ASIG'!O210:V210)/E210</f>
        <v>5475258.7357537858</v>
      </c>
      <c r="Z210" s="25">
        <f t="shared" si="221"/>
        <v>12559043.00349237</v>
      </c>
      <c r="AA210" s="26">
        <f>+Z210/'Fisico ASIG'!N210/24</f>
        <v>71.781585845743805</v>
      </c>
      <c r="AB210" s="26">
        <f>+$AB$16*0.9*Precios!$P$12/0.61/Precios!$Q$12</f>
        <v>12.065573770491804</v>
      </c>
      <c r="AC210" s="29">
        <f t="shared" si="222"/>
        <v>59.716012075252003</v>
      </c>
      <c r="AI210" s="1">
        <v>7241</v>
      </c>
      <c r="AJ210" s="1">
        <v>5762594</v>
      </c>
      <c r="AK210">
        <f t="shared" si="192"/>
        <v>1.44</v>
      </c>
      <c r="AL210" s="40">
        <f t="shared" si="193"/>
        <v>8140.0083333333323</v>
      </c>
      <c r="AM210">
        <v>4100000</v>
      </c>
      <c r="AN210" s="17">
        <v>37.554693350617406</v>
      </c>
      <c r="AO210" s="74">
        <f t="shared" si="165"/>
        <v>2.1299418011666749</v>
      </c>
      <c r="AP210">
        <v>0</v>
      </c>
      <c r="AQ210" s="1">
        <v>0.85</v>
      </c>
    </row>
    <row r="211" spans="1:43" hidden="1" x14ac:dyDescent="0.25">
      <c r="A211" s="3">
        <v>1381.0953999999999</v>
      </c>
      <c r="B211" s="42">
        <v>1378.9690000000001</v>
      </c>
      <c r="C211" s="53">
        <v>2026</v>
      </c>
      <c r="D211" s="52">
        <f>+'Fisico ASIG'!B211</f>
        <v>46113</v>
      </c>
      <c r="E211" s="1">
        <v>30</v>
      </c>
      <c r="F211" s="56" t="str">
        <f t="shared" si="216"/>
        <v>vie</v>
      </c>
      <c r="G211" s="56">
        <f t="shared" si="223"/>
        <v>46122</v>
      </c>
      <c r="H211" s="17">
        <v>28</v>
      </c>
      <c r="I211" s="17">
        <f t="shared" si="217"/>
        <v>5.2429397708514562</v>
      </c>
      <c r="J211" s="17">
        <f t="shared" si="209"/>
        <v>5.8938783905393741</v>
      </c>
      <c r="K211" s="113">
        <f t="shared" si="178"/>
        <v>6.8583333333333334</v>
      </c>
      <c r="L211" s="17">
        <v>27</v>
      </c>
      <c r="M211" s="17">
        <v>71.5</v>
      </c>
      <c r="N211" s="17">
        <f t="shared" si="218"/>
        <v>41.358864696304529</v>
      </c>
      <c r="O211" s="17">
        <v>120</v>
      </c>
      <c r="P211" s="18">
        <f>SUMPRODUCT(H211:O211,'Fisico ASIG'!F211:M211)*24</f>
        <v>7350104.020439852</v>
      </c>
      <c r="Q211" s="43">
        <v>0</v>
      </c>
      <c r="R211" s="43">
        <f t="shared" si="219"/>
        <v>6008.3723108483309</v>
      </c>
      <c r="S211" s="43">
        <f t="shared" si="220"/>
        <v>2968.6580666331956</v>
      </c>
      <c r="T211" s="43">
        <f t="shared" si="215"/>
        <v>1795.6376259798433</v>
      </c>
      <c r="U211" s="43">
        <v>18000</v>
      </c>
      <c r="V211" s="20">
        <v>0</v>
      </c>
      <c r="W211" s="20">
        <v>21900</v>
      </c>
      <c r="X211" s="20">
        <v>0</v>
      </c>
      <c r="Y211" s="18">
        <f>SUMPRODUCT(Q211:X211,'Fisico ASIG'!O211:V211)/E211</f>
        <v>5551277.1012303438</v>
      </c>
      <c r="Z211" s="25">
        <f t="shared" si="221"/>
        <v>12901381.121670196</v>
      </c>
      <c r="AA211" s="26">
        <f>+Z211/'Fisico ASIG'!N211/24</f>
        <v>73.233364588637443</v>
      </c>
      <c r="AB211" s="26">
        <f>+$AB$16*0.9*Precios!$P$12/0.61/Precios!$Q$12</f>
        <v>12.065573770491804</v>
      </c>
      <c r="AC211" s="29">
        <f t="shared" si="222"/>
        <v>61.16779081814564</v>
      </c>
      <c r="AI211" s="1">
        <v>7241</v>
      </c>
      <c r="AJ211" s="1">
        <v>5762594</v>
      </c>
      <c r="AK211">
        <f t="shared" si="192"/>
        <v>1.44</v>
      </c>
      <c r="AL211" s="40">
        <f t="shared" si="193"/>
        <v>8140.0083333333323</v>
      </c>
      <c r="AM211">
        <v>4100000</v>
      </c>
      <c r="AN211" s="17">
        <v>38.326805336116657</v>
      </c>
      <c r="AO211" s="74">
        <f t="shared" si="165"/>
        <v>2.1820593601878744</v>
      </c>
      <c r="AP211">
        <v>0</v>
      </c>
      <c r="AQ211" s="1">
        <v>0.85</v>
      </c>
    </row>
    <row r="212" spans="1:43" hidden="1" x14ac:dyDescent="0.25">
      <c r="A212" s="3">
        <v>1381.0953999999999</v>
      </c>
      <c r="B212" s="42">
        <v>1378.9690000000001</v>
      </c>
      <c r="C212" s="53">
        <v>2026</v>
      </c>
      <c r="D212" s="52">
        <f>+'Fisico ASIG'!B212</f>
        <v>46113</v>
      </c>
      <c r="E212" s="1">
        <v>30</v>
      </c>
      <c r="F212" s="56" t="str">
        <f t="shared" si="216"/>
        <v>sáb</v>
      </c>
      <c r="G212" s="56">
        <f t="shared" si="223"/>
        <v>46123</v>
      </c>
      <c r="H212" s="17">
        <v>28</v>
      </c>
      <c r="I212" s="17">
        <f t="shared" si="217"/>
        <v>5.2429397708514562</v>
      </c>
      <c r="J212" s="17">
        <f t="shared" si="209"/>
        <v>5.8938783905393741</v>
      </c>
      <c r="K212" s="113">
        <f t="shared" si="178"/>
        <v>6.8583333333333334</v>
      </c>
      <c r="L212" s="17">
        <v>27</v>
      </c>
      <c r="M212" s="17">
        <v>71.5</v>
      </c>
      <c r="N212" s="17">
        <f t="shared" si="218"/>
        <v>39.539847554179538</v>
      </c>
      <c r="O212" s="17">
        <v>120.71151288196675</v>
      </c>
      <c r="P212" s="18">
        <f>SUMPRODUCT(H212:O212,'Fisico ASIG'!F212:M212)*24</f>
        <v>8299550.0691045355</v>
      </c>
      <c r="Q212" s="43">
        <v>0</v>
      </c>
      <c r="R212" s="43">
        <f t="shared" si="219"/>
        <v>6008.3723108483309</v>
      </c>
      <c r="S212" s="43">
        <f t="shared" si="220"/>
        <v>2968.6580666331956</v>
      </c>
      <c r="T212" s="43">
        <f t="shared" si="215"/>
        <v>1795.6376259798433</v>
      </c>
      <c r="U212" s="43">
        <v>18000</v>
      </c>
      <c r="V212" s="20">
        <v>0</v>
      </c>
      <c r="W212" s="20">
        <v>21900</v>
      </c>
      <c r="X212" s="20">
        <v>0</v>
      </c>
      <c r="Y212" s="18">
        <f>SUMPRODUCT(Q212:X212,'Fisico ASIG'!O212:V212)/E212</f>
        <v>5423485.691803664</v>
      </c>
      <c r="Z212" s="25">
        <f t="shared" si="221"/>
        <v>13723035.760908199</v>
      </c>
      <c r="AA212" s="26">
        <f>+Z212/'Fisico ASIG'!N212/24</f>
        <v>73.242690067516165</v>
      </c>
      <c r="AB212" s="26">
        <f>+$AB$16*0.9*Precios!$P$12/0.61/Precios!$Q$12</f>
        <v>12.065573770491804</v>
      </c>
      <c r="AC212" s="29">
        <f t="shared" si="222"/>
        <v>61.177116297024362</v>
      </c>
      <c r="AI212" s="1">
        <v>7241</v>
      </c>
      <c r="AJ212" s="1">
        <v>5762594</v>
      </c>
      <c r="AK212">
        <f t="shared" si="192"/>
        <v>1.44</v>
      </c>
      <c r="AL212" s="40">
        <f t="shared" si="193"/>
        <v>8140.0083333333323</v>
      </c>
      <c r="AM212">
        <v>4100000</v>
      </c>
      <c r="AN212" s="17">
        <v>36.622808013282935</v>
      </c>
      <c r="AO212" s="74">
        <f t="shared" si="165"/>
        <v>2.067039540896598</v>
      </c>
      <c r="AP212">
        <v>0</v>
      </c>
      <c r="AQ212" s="1">
        <v>0.85</v>
      </c>
    </row>
    <row r="213" spans="1:43" hidden="1" x14ac:dyDescent="0.25">
      <c r="A213" s="3">
        <v>1381.0953999999999</v>
      </c>
      <c r="B213" s="42">
        <v>1378.9690000000001</v>
      </c>
      <c r="C213" s="53">
        <v>2026</v>
      </c>
      <c r="D213" s="52">
        <f>+'Fisico ASIG'!B213</f>
        <v>46113</v>
      </c>
      <c r="E213" s="1">
        <v>30</v>
      </c>
      <c r="F213" s="56" t="str">
        <f t="shared" si="216"/>
        <v>dom</v>
      </c>
      <c r="G213" s="56">
        <f t="shared" si="223"/>
        <v>46124</v>
      </c>
      <c r="H213" s="17">
        <v>28</v>
      </c>
      <c r="I213" s="17">
        <f t="shared" si="217"/>
        <v>5.2429397708514562</v>
      </c>
      <c r="J213" s="17">
        <f t="shared" si="209"/>
        <v>5.8938783905393741</v>
      </c>
      <c r="K213" s="113">
        <f t="shared" si="178"/>
        <v>6.8583333333333334</v>
      </c>
      <c r="L213" s="17">
        <v>27</v>
      </c>
      <c r="M213" s="17">
        <v>71.5</v>
      </c>
      <c r="N213" s="17">
        <f t="shared" ref="N213:N221" si="224">+AN213+AO213+AP213+AQ213</f>
        <v>45.85059074195658</v>
      </c>
      <c r="O213" s="17">
        <v>118.71240587316915</v>
      </c>
      <c r="P213" s="18">
        <f>SUMPRODUCT(H213:O213,'Fisico ASIG'!F213:M213)*24</f>
        <v>7771433.1074772161</v>
      </c>
      <c r="Q213" s="43">
        <v>0</v>
      </c>
      <c r="R213" s="43">
        <f t="shared" ref="R213:R221" si="225">+AJ213*AK213/A213</f>
        <v>6008.3723108483309</v>
      </c>
      <c r="S213" s="43">
        <f t="shared" ref="S213:S221" si="226">+AM213/A213</f>
        <v>2968.6580666331956</v>
      </c>
      <c r="T213" s="43">
        <f t="shared" si="215"/>
        <v>1795.6376259798433</v>
      </c>
      <c r="U213" s="43">
        <v>18000</v>
      </c>
      <c r="V213" s="20">
        <v>0</v>
      </c>
      <c r="W213" s="20">
        <v>21900</v>
      </c>
      <c r="X213" s="20">
        <v>0</v>
      </c>
      <c r="Y213" s="18">
        <f>SUMPRODUCT(Q213:X213,'Fisico ASIG'!O213:V213)/E213</f>
        <v>5510172.9199356735</v>
      </c>
      <c r="Z213" s="25">
        <f t="shared" ref="Z213:Z221" si="227">+(P213+Y213)</f>
        <v>13281606.02741289</v>
      </c>
      <c r="AA213" s="26">
        <f>+Z213/'Fisico ASIG'!N213/24</f>
        <v>74.755069830607226</v>
      </c>
      <c r="AB213" s="26">
        <f>+$AB$16*0.9*Precios!$P$12/0.61/Precios!$Q$12</f>
        <v>12.065573770491804</v>
      </c>
      <c r="AC213" s="29">
        <f t="shared" ref="AC213:AC221" si="228">+AA213-AB213</f>
        <v>62.689496060115424</v>
      </c>
      <c r="AI213" s="1">
        <v>7241</v>
      </c>
      <c r="AJ213" s="1">
        <v>5762594</v>
      </c>
      <c r="AK213">
        <f t="shared" si="192"/>
        <v>1.44</v>
      </c>
      <c r="AL213" s="40">
        <f t="shared" si="193"/>
        <v>8140.0083333333323</v>
      </c>
      <c r="AM213">
        <v>4100000</v>
      </c>
      <c r="AN213" s="17">
        <v>42.534511233682977</v>
      </c>
      <c r="AO213" s="74">
        <f t="shared" si="165"/>
        <v>2.4660795082736011</v>
      </c>
      <c r="AP213">
        <v>0</v>
      </c>
      <c r="AQ213" s="1">
        <v>0.85</v>
      </c>
    </row>
    <row r="214" spans="1:43" hidden="1" x14ac:dyDescent="0.25">
      <c r="A214" s="3">
        <v>1381.0953999999999</v>
      </c>
      <c r="B214" s="42">
        <v>1391.6890000000001</v>
      </c>
      <c r="C214" s="53">
        <v>2026</v>
      </c>
      <c r="D214" s="52">
        <f>+'Fisico ASIG'!B214</f>
        <v>46113</v>
      </c>
      <c r="E214" s="1">
        <v>30</v>
      </c>
      <c r="F214" s="56" t="str">
        <f t="shared" si="216"/>
        <v>lun</v>
      </c>
      <c r="G214" s="56">
        <f t="shared" si="223"/>
        <v>46125</v>
      </c>
      <c r="H214" s="17">
        <v>28</v>
      </c>
      <c r="I214" s="17">
        <f t="shared" si="217"/>
        <v>5.2429397708514562</v>
      </c>
      <c r="J214" s="17">
        <f t="shared" si="209"/>
        <v>5.8938783905393741</v>
      </c>
      <c r="K214" s="113">
        <f t="shared" si="178"/>
        <v>6.8583333333333334</v>
      </c>
      <c r="L214" s="17">
        <v>27</v>
      </c>
      <c r="M214" s="17">
        <v>71.5</v>
      </c>
      <c r="N214" s="17">
        <f t="shared" si="224"/>
        <v>43.39357680645557</v>
      </c>
      <c r="O214" s="17">
        <v>88.507704935003076</v>
      </c>
      <c r="P214" s="18">
        <f>SUMPRODUCT(H214:O214,'Fisico ASIG'!F214:M214)*24</f>
        <v>8104367.5740435142</v>
      </c>
      <c r="Q214" s="43">
        <v>0</v>
      </c>
      <c r="R214" s="43">
        <f t="shared" si="225"/>
        <v>6008.3723108483309</v>
      </c>
      <c r="S214" s="43">
        <f t="shared" si="226"/>
        <v>2968.6580666331956</v>
      </c>
      <c r="T214" s="43">
        <f t="shared" si="215"/>
        <v>1795.6376259798433</v>
      </c>
      <c r="U214" s="43">
        <v>18000</v>
      </c>
      <c r="V214" s="20">
        <v>0</v>
      </c>
      <c r="W214" s="20">
        <v>21900</v>
      </c>
      <c r="X214" s="20">
        <v>0</v>
      </c>
      <c r="Y214" s="18">
        <f>SUMPRODUCT(Q214:X214,'Fisico ASIG'!O214:V214)/E214</f>
        <v>5443790.2639019387</v>
      </c>
      <c r="Z214" s="25">
        <f t="shared" si="227"/>
        <v>13548157.837945454</v>
      </c>
      <c r="AA214" s="26">
        <f>+Z214/'Fisico ASIG'!N214/24</f>
        <v>65.923820627607441</v>
      </c>
      <c r="AB214" s="26">
        <f>+$AB$16*0.9*Precios!$P$12/0.61/Precios!$Q$12</f>
        <v>12.065573770491804</v>
      </c>
      <c r="AC214" s="29">
        <f t="shared" si="228"/>
        <v>53.858246857115638</v>
      </c>
      <c r="AI214" s="1">
        <v>7241</v>
      </c>
      <c r="AJ214" s="1">
        <v>5762594</v>
      </c>
      <c r="AK214">
        <f t="shared" si="192"/>
        <v>1.44</v>
      </c>
      <c r="AL214" s="40">
        <f t="shared" si="193"/>
        <v>8140.0083333333323</v>
      </c>
      <c r="AM214">
        <v>4100000</v>
      </c>
      <c r="AN214" s="17">
        <v>40.232858835087185</v>
      </c>
      <c r="AO214" s="74">
        <f t="shared" si="165"/>
        <v>2.3107179713683852</v>
      </c>
      <c r="AP214">
        <v>0</v>
      </c>
      <c r="AQ214" s="1">
        <v>0.85</v>
      </c>
    </row>
    <row r="215" spans="1:43" hidden="1" x14ac:dyDescent="0.25">
      <c r="A215" s="3">
        <v>1381.0953999999999</v>
      </c>
      <c r="B215" s="42">
        <v>1391.6890000000001</v>
      </c>
      <c r="C215" s="53">
        <v>2026</v>
      </c>
      <c r="D215" s="52">
        <f>+'Fisico ASIG'!B215</f>
        <v>46113</v>
      </c>
      <c r="E215" s="1">
        <v>30</v>
      </c>
      <c r="F215" s="56" t="str">
        <f t="shared" si="216"/>
        <v>mar</v>
      </c>
      <c r="G215" s="56">
        <f t="shared" si="223"/>
        <v>46126</v>
      </c>
      <c r="H215" s="17">
        <v>28</v>
      </c>
      <c r="I215" s="17">
        <f t="shared" si="217"/>
        <v>5.2429397708514562</v>
      </c>
      <c r="J215" s="17">
        <f t="shared" si="209"/>
        <v>5.8938783905393741</v>
      </c>
      <c r="K215" s="113">
        <f t="shared" si="178"/>
        <v>6.8583333333333334</v>
      </c>
      <c r="L215" s="17">
        <v>27</v>
      </c>
      <c r="M215" s="17">
        <v>71.5</v>
      </c>
      <c r="N215" s="17">
        <f t="shared" si="224"/>
        <v>44.0254846989627</v>
      </c>
      <c r="O215" s="17">
        <v>50.990291438979696</v>
      </c>
      <c r="P215" s="18">
        <f>SUMPRODUCT(H215:O215,'Fisico ASIG'!F215:M215)*24</f>
        <v>8481734.8988902215</v>
      </c>
      <c r="Q215" s="43">
        <v>0</v>
      </c>
      <c r="R215" s="43">
        <f t="shared" si="225"/>
        <v>6008.3723108483309</v>
      </c>
      <c r="S215" s="43">
        <f t="shared" si="226"/>
        <v>2968.6580666331956</v>
      </c>
      <c r="T215" s="43">
        <f t="shared" si="215"/>
        <v>1795.6376259798433</v>
      </c>
      <c r="U215" s="43">
        <v>18000</v>
      </c>
      <c r="V215" s="20">
        <v>0</v>
      </c>
      <c r="W215" s="20">
        <v>21900</v>
      </c>
      <c r="X215" s="20">
        <v>0</v>
      </c>
      <c r="Y215" s="18">
        <f>SUMPRODUCT(Q215:X215,'Fisico ASIG'!O215:V215)/E215</f>
        <v>5381523.5480970303</v>
      </c>
      <c r="Z215" s="25">
        <f t="shared" si="227"/>
        <v>13863258.446987253</v>
      </c>
      <c r="AA215" s="26">
        <f>+Z215/'Fisico ASIG'!N215/24</f>
        <v>66.933929692539536</v>
      </c>
      <c r="AB215" s="26">
        <f>+$AB$16*0.9*Precios!$P$12/0.61/Precios!$Q$12</f>
        <v>12.065573770491804</v>
      </c>
      <c r="AC215" s="29">
        <f t="shared" si="228"/>
        <v>54.868355922047733</v>
      </c>
      <c r="AI215" s="1">
        <v>7241</v>
      </c>
      <c r="AJ215" s="1">
        <v>5762594</v>
      </c>
      <c r="AK215">
        <f t="shared" si="192"/>
        <v>1.44</v>
      </c>
      <c r="AL215" s="40">
        <f t="shared" si="193"/>
        <v>8140.0083333333323</v>
      </c>
      <c r="AM215">
        <v>4100000</v>
      </c>
      <c r="AN215" s="17">
        <v>40.824810022447494</v>
      </c>
      <c r="AO215" s="74">
        <f t="shared" si="165"/>
        <v>2.3506746765152058</v>
      </c>
      <c r="AP215">
        <v>0</v>
      </c>
      <c r="AQ215" s="1">
        <v>0.85</v>
      </c>
    </row>
    <row r="216" spans="1:43" hidden="1" x14ac:dyDescent="0.25">
      <c r="A216" s="3">
        <v>1381.0953999999999</v>
      </c>
      <c r="B216" s="42">
        <v>1391.6890000000001</v>
      </c>
      <c r="C216" s="53">
        <v>2026</v>
      </c>
      <c r="D216" s="52">
        <f>+'Fisico ASIG'!B216</f>
        <v>46113</v>
      </c>
      <c r="E216" s="1">
        <v>30</v>
      </c>
      <c r="F216" s="56" t="str">
        <f t="shared" si="216"/>
        <v>mié</v>
      </c>
      <c r="G216" s="56">
        <f t="shared" si="223"/>
        <v>46127</v>
      </c>
      <c r="H216" s="17">
        <v>28</v>
      </c>
      <c r="I216" s="17">
        <f t="shared" si="217"/>
        <v>5.2429397708514562</v>
      </c>
      <c r="J216" s="17">
        <f t="shared" si="209"/>
        <v>5.8938783905393741</v>
      </c>
      <c r="K216" s="113">
        <f t="shared" si="178"/>
        <v>6.8583333333333334</v>
      </c>
      <c r="L216" s="17">
        <v>27</v>
      </c>
      <c r="M216" s="17">
        <v>71.5</v>
      </c>
      <c r="N216" s="17">
        <f t="shared" si="224"/>
        <v>43.701200185587034</v>
      </c>
      <c r="O216" s="17">
        <v>50.647231360349195</v>
      </c>
      <c r="P216" s="18">
        <f>SUMPRODUCT(H216:O216,'Fisico ASIG'!F216:M216)*24</f>
        <v>7178562.8285564985</v>
      </c>
      <c r="Q216" s="43">
        <v>0</v>
      </c>
      <c r="R216" s="43">
        <f t="shared" si="225"/>
        <v>6008.3723108483309</v>
      </c>
      <c r="S216" s="43">
        <f t="shared" si="226"/>
        <v>2968.6580666331956</v>
      </c>
      <c r="T216" s="43">
        <f t="shared" si="215"/>
        <v>1795.6376259798433</v>
      </c>
      <c r="U216" s="43">
        <v>18000</v>
      </c>
      <c r="V216" s="20">
        <v>0</v>
      </c>
      <c r="W216" s="20">
        <v>21900</v>
      </c>
      <c r="X216" s="20">
        <v>0</v>
      </c>
      <c r="Y216" s="18">
        <f>SUMPRODUCT(Q216:X216,'Fisico ASIG'!O216:V216)/E216</f>
        <v>5419268.0193562265</v>
      </c>
      <c r="Z216" s="25">
        <f t="shared" si="227"/>
        <v>12597830.847912725</v>
      </c>
      <c r="AA216" s="26">
        <f>+Z216/'Fisico ASIG'!N216/24</f>
        <v>67.166405336432462</v>
      </c>
      <c r="AB216" s="26">
        <f>+$AB$16*0.9*Precios!$P$12/0.61/Precios!$Q$12</f>
        <v>12.065573770491804</v>
      </c>
      <c r="AC216" s="29">
        <f t="shared" si="228"/>
        <v>55.100831565940659</v>
      </c>
      <c r="AI216" s="1">
        <v>7241</v>
      </c>
      <c r="AJ216" s="1">
        <v>5762594</v>
      </c>
      <c r="AK216">
        <f t="shared" si="192"/>
        <v>1.44</v>
      </c>
      <c r="AL216" s="40">
        <f t="shared" si="193"/>
        <v>8140.0083333333323</v>
      </c>
      <c r="AM216">
        <v>4100000</v>
      </c>
      <c r="AN216" s="17">
        <v>40.521030618816894</v>
      </c>
      <c r="AO216" s="74">
        <f t="shared" si="165"/>
        <v>2.3301695667701403</v>
      </c>
      <c r="AP216">
        <v>0</v>
      </c>
      <c r="AQ216" s="1">
        <v>0.85</v>
      </c>
    </row>
    <row r="217" spans="1:43" hidden="1" x14ac:dyDescent="0.25">
      <c r="A217" s="3">
        <v>1381.0953999999999</v>
      </c>
      <c r="B217" s="42">
        <v>1391.6890000000001</v>
      </c>
      <c r="C217" s="53">
        <v>2026</v>
      </c>
      <c r="D217" s="52">
        <f>+'Fisico ASIG'!B217</f>
        <v>46113</v>
      </c>
      <c r="E217" s="1">
        <v>30</v>
      </c>
      <c r="F217" s="56" t="str">
        <f t="shared" si="216"/>
        <v>jue</v>
      </c>
      <c r="G217" s="56">
        <f t="shared" si="223"/>
        <v>46128</v>
      </c>
      <c r="H217" s="17">
        <v>28</v>
      </c>
      <c r="I217" s="17">
        <f t="shared" si="217"/>
        <v>5.2429397708514562</v>
      </c>
      <c r="J217" s="17">
        <f t="shared" si="209"/>
        <v>5.8938783905393741</v>
      </c>
      <c r="K217" s="113">
        <f t="shared" si="178"/>
        <v>6.8583333333333334</v>
      </c>
      <c r="L217" s="17">
        <v>27</v>
      </c>
      <c r="M217" s="17">
        <v>71.5</v>
      </c>
      <c r="N217" s="17">
        <f t="shared" si="224"/>
        <v>40.919071657441457</v>
      </c>
      <c r="O217" s="17">
        <v>93.276970882574005</v>
      </c>
      <c r="P217" s="18">
        <f>SUMPRODUCT(H217:O217,'Fisico ASIG'!F217:M217)*24</f>
        <v>6900940.1941788942</v>
      </c>
      <c r="Q217" s="43">
        <v>0</v>
      </c>
      <c r="R217" s="43">
        <f t="shared" si="225"/>
        <v>6008.3723108483309</v>
      </c>
      <c r="S217" s="43">
        <f t="shared" si="226"/>
        <v>2968.6580666331956</v>
      </c>
      <c r="T217" s="43">
        <f t="shared" si="215"/>
        <v>1795.6376259798433</v>
      </c>
      <c r="U217" s="43">
        <v>18000</v>
      </c>
      <c r="V217" s="20">
        <v>0</v>
      </c>
      <c r="W217" s="20">
        <v>21900</v>
      </c>
      <c r="X217" s="20">
        <v>0</v>
      </c>
      <c r="Y217" s="18">
        <f>SUMPRODUCT(Q217:X217,'Fisico ASIG'!O217:V217)/E217</f>
        <v>5559588.1726771602</v>
      </c>
      <c r="Z217" s="25">
        <f t="shared" si="227"/>
        <v>12460528.366856053</v>
      </c>
      <c r="AA217" s="26">
        <f>+Z217/'Fisico ASIG'!N217/24</f>
        <v>67.391438407832183</v>
      </c>
      <c r="AB217" s="26">
        <f>+$AB$16*0.9*Precios!$P$12/0.61/Precios!$Q$12</f>
        <v>12.065573770491804</v>
      </c>
      <c r="AC217" s="29">
        <f t="shared" si="228"/>
        <v>55.325864637340381</v>
      </c>
      <c r="AI217" s="1">
        <v>7241</v>
      </c>
      <c r="AJ217" s="1">
        <v>5762594</v>
      </c>
      <c r="AK217">
        <f t="shared" si="192"/>
        <v>1.44</v>
      </c>
      <c r="AL217" s="40">
        <f t="shared" si="193"/>
        <v>8140.0083333333323</v>
      </c>
      <c r="AM217">
        <v>4100000</v>
      </c>
      <c r="AN217" s="17">
        <v>37.914821224769511</v>
      </c>
      <c r="AO217" s="74">
        <f t="shared" si="165"/>
        <v>2.1542504326719421</v>
      </c>
      <c r="AP217">
        <v>0</v>
      </c>
      <c r="AQ217" s="1">
        <v>0.85</v>
      </c>
    </row>
    <row r="218" spans="1:43" hidden="1" x14ac:dyDescent="0.25">
      <c r="A218" s="3">
        <v>1381.0953999999999</v>
      </c>
      <c r="B218" s="42">
        <v>1391.6890000000001</v>
      </c>
      <c r="C218" s="53">
        <v>2026</v>
      </c>
      <c r="D218" s="52">
        <f>+'Fisico ASIG'!B218</f>
        <v>46113</v>
      </c>
      <c r="E218" s="1">
        <v>30</v>
      </c>
      <c r="F218" s="56" t="str">
        <f t="shared" si="216"/>
        <v>vie</v>
      </c>
      <c r="G218" s="56">
        <f t="shared" si="223"/>
        <v>46129</v>
      </c>
      <c r="H218" s="17">
        <v>28</v>
      </c>
      <c r="I218" s="17">
        <f t="shared" si="217"/>
        <v>5.2429397708514562</v>
      </c>
      <c r="J218" s="17">
        <f t="shared" si="209"/>
        <v>5.8938783905393741</v>
      </c>
      <c r="K218" s="113">
        <f t="shared" si="178"/>
        <v>6.8583333333333334</v>
      </c>
      <c r="L218" s="17">
        <v>27</v>
      </c>
      <c r="M218" s="17">
        <v>71.5</v>
      </c>
      <c r="N218" s="17">
        <f t="shared" si="224"/>
        <v>41.186394609002932</v>
      </c>
      <c r="O218" s="17">
        <v>36.152777092861371</v>
      </c>
      <c r="P218" s="18">
        <f>SUMPRODUCT(H218:O218,'Fisico ASIG'!F218:M218)*24</f>
        <v>7189998.9876607377</v>
      </c>
      <c r="Q218" s="43">
        <v>0</v>
      </c>
      <c r="R218" s="43">
        <f t="shared" si="225"/>
        <v>6008.3723108483309</v>
      </c>
      <c r="S218" s="43">
        <f t="shared" si="226"/>
        <v>2968.6580666331956</v>
      </c>
      <c r="T218" s="43">
        <f t="shared" si="215"/>
        <v>1795.6376259798433</v>
      </c>
      <c r="U218" s="43">
        <v>18000</v>
      </c>
      <c r="V218" s="20">
        <v>0</v>
      </c>
      <c r="W218" s="20">
        <v>21900</v>
      </c>
      <c r="X218" s="20">
        <v>0</v>
      </c>
      <c r="Y218" s="18">
        <f>SUMPRODUCT(Q218:X218,'Fisico ASIG'!O218:V218)/E218</f>
        <v>5582508.6676740507</v>
      </c>
      <c r="Z218" s="25">
        <f t="shared" si="227"/>
        <v>12772507.655334789</v>
      </c>
      <c r="AA218" s="26">
        <f>+Z218/'Fisico ASIG'!N218/24</f>
        <v>67.281796659860689</v>
      </c>
      <c r="AB218" s="26">
        <f>+$AB$16*0.9*Precios!$P$12/0.61/Precios!$Q$12</f>
        <v>12.065573770491804</v>
      </c>
      <c r="AC218" s="29">
        <f t="shared" si="228"/>
        <v>55.216222889368886</v>
      </c>
      <c r="AI218" s="1">
        <v>7241</v>
      </c>
      <c r="AJ218" s="1">
        <v>5762594</v>
      </c>
      <c r="AK218">
        <f t="shared" si="192"/>
        <v>1.44</v>
      </c>
      <c r="AL218" s="40">
        <f t="shared" si="193"/>
        <v>8140.0083333333323</v>
      </c>
      <c r="AM218">
        <v>4100000</v>
      </c>
      <c r="AN218" s="17">
        <v>38.165240851524992</v>
      </c>
      <c r="AO218" s="74">
        <f t="shared" si="165"/>
        <v>2.1711537574779372</v>
      </c>
      <c r="AP218">
        <v>0</v>
      </c>
      <c r="AQ218" s="1">
        <v>0.85</v>
      </c>
    </row>
    <row r="219" spans="1:43" hidden="1" x14ac:dyDescent="0.25">
      <c r="A219" s="3">
        <v>1381.0953999999999</v>
      </c>
      <c r="B219" s="42">
        <v>1391.6890000000001</v>
      </c>
      <c r="C219" s="53">
        <v>2026</v>
      </c>
      <c r="D219" s="52">
        <f>+'Fisico ASIG'!B219</f>
        <v>46113</v>
      </c>
      <c r="E219" s="1">
        <v>30</v>
      </c>
      <c r="F219" s="56" t="str">
        <f t="shared" si="216"/>
        <v>sáb</v>
      </c>
      <c r="G219" s="56">
        <f t="shared" si="223"/>
        <v>46130</v>
      </c>
      <c r="H219" s="17">
        <v>28</v>
      </c>
      <c r="I219" s="17">
        <f t="shared" si="217"/>
        <v>5.2429397708514562</v>
      </c>
      <c r="J219" s="17">
        <f t="shared" si="209"/>
        <v>5.8938783905393741</v>
      </c>
      <c r="K219" s="113">
        <f t="shared" si="178"/>
        <v>6.8583333333333334</v>
      </c>
      <c r="L219" s="17">
        <v>27</v>
      </c>
      <c r="M219" s="17">
        <v>71.5</v>
      </c>
      <c r="N219" s="17">
        <f t="shared" si="224"/>
        <v>40.109988677429655</v>
      </c>
      <c r="O219" s="17">
        <v>88.564213920034376</v>
      </c>
      <c r="P219" s="18">
        <f>SUMPRODUCT(H219:O219,'Fisico ASIG'!F219:M219)*24</f>
        <v>6574683.1363658682</v>
      </c>
      <c r="Q219" s="43">
        <v>0</v>
      </c>
      <c r="R219" s="43">
        <f t="shared" si="225"/>
        <v>6008.3723108483309</v>
      </c>
      <c r="S219" s="43">
        <f t="shared" si="226"/>
        <v>2968.6580666331956</v>
      </c>
      <c r="T219" s="43">
        <f t="shared" si="215"/>
        <v>1795.6376259798433</v>
      </c>
      <c r="U219" s="43">
        <v>18000</v>
      </c>
      <c r="V219" s="20">
        <v>0</v>
      </c>
      <c r="W219" s="20">
        <v>21900</v>
      </c>
      <c r="X219" s="20">
        <v>0</v>
      </c>
      <c r="Y219" s="18">
        <f>SUMPRODUCT(Q219:X219,'Fisico ASIG'!O219:V219)/E219</f>
        <v>5762682.8142817644</v>
      </c>
      <c r="Z219" s="25">
        <f t="shared" si="227"/>
        <v>12337365.950647634</v>
      </c>
      <c r="AA219" s="26">
        <f>+Z219/'Fisico ASIG'!N219/24</f>
        <v>73.789530725284138</v>
      </c>
      <c r="AB219" s="26">
        <f>+$AB$16*0.9*Precios!$P$12/0.61/Precios!$Q$12</f>
        <v>12.065573770491804</v>
      </c>
      <c r="AC219" s="29">
        <f t="shared" si="228"/>
        <v>61.723956954792335</v>
      </c>
      <c r="AI219" s="1">
        <v>7241</v>
      </c>
      <c r="AJ219" s="1">
        <v>5762594</v>
      </c>
      <c r="AK219">
        <f t="shared" si="192"/>
        <v>1.44</v>
      </c>
      <c r="AL219" s="40">
        <f t="shared" si="193"/>
        <v>8140.0083333333323</v>
      </c>
      <c r="AM219">
        <v>4100000</v>
      </c>
      <c r="AN219" s="17">
        <v>37.156898058482113</v>
      </c>
      <c r="AO219" s="74">
        <f t="shared" ref="AO219:AO221" si="229">0.075*0.9*(AN219-6)</f>
        <v>2.1030906189475429</v>
      </c>
      <c r="AP219">
        <v>0</v>
      </c>
      <c r="AQ219" s="1">
        <v>0.85</v>
      </c>
    </row>
    <row r="220" spans="1:43" hidden="1" x14ac:dyDescent="0.25">
      <c r="A220" s="3">
        <v>1381.0953999999999</v>
      </c>
      <c r="B220" s="42">
        <v>1391.6890000000001</v>
      </c>
      <c r="C220" s="53">
        <v>2026</v>
      </c>
      <c r="D220" s="52">
        <f>+'Fisico ASIG'!B220</f>
        <v>46113</v>
      </c>
      <c r="E220" s="1">
        <v>30</v>
      </c>
      <c r="F220" s="56" t="str">
        <f t="shared" si="216"/>
        <v>dom</v>
      </c>
      <c r="G220" s="56">
        <f t="shared" si="223"/>
        <v>46131</v>
      </c>
      <c r="H220" s="17">
        <v>28</v>
      </c>
      <c r="I220" s="17">
        <f t="shared" si="217"/>
        <v>5.2429397708514562</v>
      </c>
      <c r="J220" s="17">
        <f t="shared" si="209"/>
        <v>5.8938783905393741</v>
      </c>
      <c r="K220" s="113">
        <f t="shared" si="178"/>
        <v>6.8583333333333334</v>
      </c>
      <c r="L220" s="17">
        <v>27</v>
      </c>
      <c r="M220" s="17">
        <v>71.5</v>
      </c>
      <c r="N220" s="17">
        <f t="shared" si="224"/>
        <v>40.160324371172351</v>
      </c>
      <c r="O220" s="17">
        <v>79.483092573220091</v>
      </c>
      <c r="P220" s="18">
        <f>SUMPRODUCT(H220:O220,'Fisico ASIG'!F220:M220)*24</f>
        <v>6346925.10053958</v>
      </c>
      <c r="Q220" s="43">
        <v>0</v>
      </c>
      <c r="R220" s="43">
        <f t="shared" si="225"/>
        <v>6008.3723108483309</v>
      </c>
      <c r="S220" s="43">
        <f t="shared" si="226"/>
        <v>2968.6580666331956</v>
      </c>
      <c r="T220" s="43">
        <f t="shared" si="215"/>
        <v>1795.6376259798433</v>
      </c>
      <c r="U220" s="43">
        <v>18000</v>
      </c>
      <c r="V220" s="20">
        <v>0</v>
      </c>
      <c r="W220" s="20">
        <v>21900</v>
      </c>
      <c r="X220" s="20">
        <v>0</v>
      </c>
      <c r="Y220" s="18">
        <f>SUMPRODUCT(Q220:X220,'Fisico ASIG'!O220:V220)/E220</f>
        <v>5778916.757373346</v>
      </c>
      <c r="Z220" s="25">
        <f t="shared" si="227"/>
        <v>12125841.857912926</v>
      </c>
      <c r="AA220" s="26">
        <f>+Z220/'Fisico ASIG'!N220/24</f>
        <v>76.563313854578681</v>
      </c>
      <c r="AB220" s="26">
        <f>+$AB$16*0.9*Precios!$P$12/0.61/Precios!$Q$12</f>
        <v>12.065573770491804</v>
      </c>
      <c r="AC220" s="29">
        <f t="shared" si="228"/>
        <v>64.497740084086871</v>
      </c>
      <c r="AI220" s="1">
        <v>7241</v>
      </c>
      <c r="AJ220" s="1">
        <v>5762594</v>
      </c>
      <c r="AK220">
        <f t="shared" si="192"/>
        <v>1.44</v>
      </c>
      <c r="AL220" s="40">
        <f t="shared" si="193"/>
        <v>8140.0083333333323</v>
      </c>
      <c r="AM220">
        <v>4100000</v>
      </c>
      <c r="AN220" s="17">
        <v>37.204050933182529</v>
      </c>
      <c r="AO220" s="74">
        <f t="shared" si="229"/>
        <v>2.1062734379898207</v>
      </c>
      <c r="AP220">
        <v>0</v>
      </c>
      <c r="AQ220" s="1">
        <v>0.85</v>
      </c>
    </row>
    <row r="221" spans="1:43" hidden="1" x14ac:dyDescent="0.25">
      <c r="A221" s="3">
        <v>1381.0953999999999</v>
      </c>
      <c r="B221" s="42">
        <v>1391.6890000000001</v>
      </c>
      <c r="C221" s="53">
        <v>2026</v>
      </c>
      <c r="D221" s="52">
        <f>+'Fisico ASIG'!B221</f>
        <v>46113</v>
      </c>
      <c r="E221" s="1">
        <v>30</v>
      </c>
      <c r="F221" s="56" t="str">
        <f t="shared" si="216"/>
        <v>lun</v>
      </c>
      <c r="G221" s="56">
        <f t="shared" si="223"/>
        <v>46132</v>
      </c>
      <c r="H221" s="17">
        <v>28</v>
      </c>
      <c r="I221" s="17">
        <f t="shared" si="217"/>
        <v>5.2429397708514562</v>
      </c>
      <c r="J221" s="17">
        <f t="shared" si="209"/>
        <v>5.8938783905393741</v>
      </c>
      <c r="K221" s="113">
        <f t="shared" si="178"/>
        <v>6.8583333333333334</v>
      </c>
      <c r="L221" s="17">
        <v>27</v>
      </c>
      <c r="M221" s="17">
        <v>71.5</v>
      </c>
      <c r="N221" s="17">
        <f t="shared" si="224"/>
        <v>41.107192927643005</v>
      </c>
      <c r="O221" s="17">
        <v>100.2140528801113</v>
      </c>
      <c r="P221" s="18">
        <f>SUMPRODUCT(H221:O221,'Fisico ASIG'!F221:M221)*24</f>
        <v>6665599.7659177417</v>
      </c>
      <c r="Q221" s="43">
        <v>0</v>
      </c>
      <c r="R221" s="43">
        <f t="shared" si="225"/>
        <v>6008.3723108483309</v>
      </c>
      <c r="S221" s="43">
        <f t="shared" si="226"/>
        <v>2968.6580666331956</v>
      </c>
      <c r="T221" s="43">
        <f t="shared" si="215"/>
        <v>1795.6376259798433</v>
      </c>
      <c r="U221" s="43">
        <v>18000</v>
      </c>
      <c r="V221" s="20">
        <v>0</v>
      </c>
      <c r="W221" s="20">
        <v>21900</v>
      </c>
      <c r="X221" s="20">
        <v>0</v>
      </c>
      <c r="Y221" s="18">
        <f>SUMPRODUCT(Q221:X221,'Fisico ASIG'!O221:V221)/E221</f>
        <v>5288389.4467975581</v>
      </c>
      <c r="Z221" s="25">
        <f t="shared" si="227"/>
        <v>11953989.2127153</v>
      </c>
      <c r="AA221" s="26">
        <f>+Z221/'Fisico ASIG'!N221/24</f>
        <v>64.268338077767993</v>
      </c>
      <c r="AB221" s="26">
        <f>+$AB$16*0.9*Precios!$P$12/0.61/Precios!$Q$12</f>
        <v>12.065573770491804</v>
      </c>
      <c r="AC221" s="29">
        <f t="shared" si="228"/>
        <v>52.20276430727619</v>
      </c>
      <c r="AI221" s="1">
        <v>7241</v>
      </c>
      <c r="AJ221" s="1">
        <v>5762594</v>
      </c>
      <c r="AK221">
        <f t="shared" si="192"/>
        <v>1.44</v>
      </c>
      <c r="AL221" s="40">
        <f t="shared" si="193"/>
        <v>8140.0083333333323</v>
      </c>
      <c r="AM221">
        <v>4100000</v>
      </c>
      <c r="AN221" s="17">
        <v>38.091047239009839</v>
      </c>
      <c r="AO221" s="74">
        <f t="shared" si="229"/>
        <v>2.1661456886331645</v>
      </c>
      <c r="AP221">
        <v>0</v>
      </c>
      <c r="AQ221" s="1">
        <v>0.85</v>
      </c>
    </row>
    <row r="222" spans="1:43" hidden="1" x14ac:dyDescent="0.25">
      <c r="A222" s="3">
        <v>1381.0953999999999</v>
      </c>
      <c r="B222" s="42">
        <v>1391.6890000000001</v>
      </c>
      <c r="C222" s="53">
        <v>2026</v>
      </c>
      <c r="D222" s="52">
        <f>+'Fisico ASIG'!B222</f>
        <v>46113</v>
      </c>
      <c r="E222" s="1">
        <v>30</v>
      </c>
      <c r="F222" s="56" t="str">
        <f t="shared" si="216"/>
        <v>mar</v>
      </c>
      <c r="G222" s="56">
        <f t="shared" si="223"/>
        <v>46133</v>
      </c>
      <c r="H222" s="17">
        <v>28</v>
      </c>
      <c r="I222" s="17">
        <f t="shared" ref="I222:I226" si="230">AI222/A222</f>
        <v>5.2429397708514562</v>
      </c>
      <c r="J222" s="17">
        <f t="shared" ref="J222:J226" si="231">+AL222/A222</f>
        <v>5.8938783905393741</v>
      </c>
      <c r="K222" s="113">
        <f t="shared" si="178"/>
        <v>6.8583333333333334</v>
      </c>
      <c r="L222" s="17">
        <v>27</v>
      </c>
      <c r="M222" s="17">
        <v>71.5</v>
      </c>
      <c r="N222" s="17">
        <f t="shared" ref="N222:N226" si="232">+AN222+AO222+AP222+AQ222</f>
        <v>40.743394812154719</v>
      </c>
      <c r="O222" s="17">
        <v>85.958366438996848</v>
      </c>
      <c r="P222" s="18">
        <f>SUMPRODUCT(H222:O222,'Fisico ASIG'!F222:M222)*24</f>
        <v>6389229.4264532588</v>
      </c>
      <c r="Q222" s="43">
        <v>0</v>
      </c>
      <c r="R222" s="43">
        <f t="shared" ref="R222:R226" si="233">+AJ222*AK222/A222</f>
        <v>6008.3723108483309</v>
      </c>
      <c r="S222" s="43">
        <f t="shared" ref="S222:S226" si="234">+AM222/A222</f>
        <v>2968.6580666331956</v>
      </c>
      <c r="T222" s="43">
        <f t="shared" si="215"/>
        <v>1795.6376259798433</v>
      </c>
      <c r="U222" s="43">
        <v>18000</v>
      </c>
      <c r="V222" s="20">
        <v>0</v>
      </c>
      <c r="W222" s="20">
        <v>21900</v>
      </c>
      <c r="X222" s="20">
        <v>0</v>
      </c>
      <c r="Y222" s="18">
        <f>SUMPRODUCT(Q222:X222,'Fisico ASIG'!O222:V222)/E222</f>
        <v>5319383.2435740987</v>
      </c>
      <c r="Z222" s="25">
        <f t="shared" ref="Z222:Z226" si="235">+(P222+Y222)</f>
        <v>11708612.670027357</v>
      </c>
      <c r="AA222" s="26">
        <f>+Z222/'Fisico ASIG'!N222/24</f>
        <v>65.076014059920638</v>
      </c>
      <c r="AB222" s="26">
        <f>+$AB$16*0.9*Precios!$P$12/0.61/Precios!$Q$12</f>
        <v>12.065573770491804</v>
      </c>
      <c r="AC222" s="29">
        <f t="shared" ref="AC222:AC226" si="236">+AA222-AB222</f>
        <v>53.010440289428836</v>
      </c>
      <c r="AI222" s="1">
        <v>7241</v>
      </c>
      <c r="AJ222" s="1">
        <v>5762594</v>
      </c>
      <c r="AK222">
        <f t="shared" si="192"/>
        <v>1.44</v>
      </c>
      <c r="AL222" s="40">
        <f t="shared" si="193"/>
        <v>8140.0083333333323</v>
      </c>
      <c r="AM222">
        <v>4100000</v>
      </c>
      <c r="AN222" s="17">
        <v>37.750252751432988</v>
      </c>
      <c r="AO222" s="74">
        <f t="shared" ref="AO222:AO226" si="237">0.075*0.9*(AN222-6)</f>
        <v>2.1431420607217269</v>
      </c>
      <c r="AP222">
        <v>0</v>
      </c>
      <c r="AQ222" s="1">
        <v>0.85</v>
      </c>
    </row>
    <row r="223" spans="1:43" hidden="1" x14ac:dyDescent="0.25">
      <c r="A223" s="3">
        <v>1381.0953999999999</v>
      </c>
      <c r="B223" s="42">
        <v>1391.6890000000001</v>
      </c>
      <c r="C223" s="53">
        <v>2026</v>
      </c>
      <c r="D223" s="52">
        <f>+'Fisico ASIG'!B223</f>
        <v>46113</v>
      </c>
      <c r="E223" s="1">
        <v>30</v>
      </c>
      <c r="F223" s="56" t="str">
        <f t="shared" si="216"/>
        <v>mié</v>
      </c>
      <c r="G223" s="56">
        <f t="shared" si="223"/>
        <v>46134</v>
      </c>
      <c r="H223" s="17">
        <v>28</v>
      </c>
      <c r="I223" s="17">
        <f t="shared" si="230"/>
        <v>5.2429397708514562</v>
      </c>
      <c r="J223" s="17">
        <f t="shared" si="231"/>
        <v>5.8938783905393741</v>
      </c>
      <c r="K223" s="113">
        <f t="shared" si="178"/>
        <v>6.8583333333333334</v>
      </c>
      <c r="L223" s="17">
        <v>27</v>
      </c>
      <c r="M223" s="17">
        <v>71.5</v>
      </c>
      <c r="N223" s="17">
        <f t="shared" si="232"/>
        <v>56.780684567046031</v>
      </c>
      <c r="O223" s="17">
        <v>95.135280298708679</v>
      </c>
      <c r="P223" s="18">
        <f>SUMPRODUCT(H223:O223,'Fisico ASIG'!F223:M223)*24</f>
        <v>8080663.5560937356</v>
      </c>
      <c r="Q223" s="43">
        <v>0</v>
      </c>
      <c r="R223" s="43">
        <f t="shared" si="233"/>
        <v>6008.3723108483309</v>
      </c>
      <c r="S223" s="43">
        <f t="shared" si="234"/>
        <v>2968.6580666331956</v>
      </c>
      <c r="T223" s="43">
        <f t="shared" si="215"/>
        <v>1795.6376259798433</v>
      </c>
      <c r="U223" s="43">
        <v>18000</v>
      </c>
      <c r="V223" s="20">
        <v>0</v>
      </c>
      <c r="W223" s="20">
        <v>21900</v>
      </c>
      <c r="X223" s="20">
        <v>0</v>
      </c>
      <c r="Y223" s="18">
        <f>SUMPRODUCT(Q223:X223,'Fisico ASIG'!O223:V223)/E223</f>
        <v>5365395.9151548445</v>
      </c>
      <c r="Z223" s="25">
        <f t="shared" si="235"/>
        <v>13446059.47124858</v>
      </c>
      <c r="AA223" s="26">
        <f>+Z223/'Fisico ASIG'!N223/24</f>
        <v>75.191070010532783</v>
      </c>
      <c r="AB223" s="26">
        <f>+$AB$16*0.9*Precios!$P$12/0.61/Precios!$Q$12</f>
        <v>12.065573770491804</v>
      </c>
      <c r="AC223" s="29">
        <f t="shared" si="236"/>
        <v>63.125496240040981</v>
      </c>
      <c r="AI223" s="1">
        <v>7241</v>
      </c>
      <c r="AJ223" s="1">
        <v>5762594</v>
      </c>
      <c r="AK223">
        <f t="shared" si="192"/>
        <v>1.44</v>
      </c>
      <c r="AL223" s="40">
        <f t="shared" si="193"/>
        <v>8140.0083333333323</v>
      </c>
      <c r="AM223">
        <v>4100000</v>
      </c>
      <c r="AN223" s="17">
        <v>52.773475004258572</v>
      </c>
      <c r="AO223" s="74">
        <f t="shared" si="237"/>
        <v>3.1572095627874539</v>
      </c>
      <c r="AP223">
        <v>0</v>
      </c>
      <c r="AQ223" s="1">
        <v>0.85</v>
      </c>
    </row>
    <row r="224" spans="1:43" hidden="1" x14ac:dyDescent="0.25">
      <c r="A224" s="3">
        <v>1381.0953999999999</v>
      </c>
      <c r="B224" s="42">
        <v>1391.6890000000001</v>
      </c>
      <c r="C224" s="53">
        <v>2026</v>
      </c>
      <c r="D224" s="52">
        <f>+'Fisico ASIG'!B224</f>
        <v>46113</v>
      </c>
      <c r="E224" s="1">
        <v>30</v>
      </c>
      <c r="F224" s="56" t="str">
        <f t="shared" si="216"/>
        <v>jue</v>
      </c>
      <c r="G224" s="56">
        <f t="shared" si="223"/>
        <v>46135</v>
      </c>
      <c r="H224" s="17">
        <v>28</v>
      </c>
      <c r="I224" s="17">
        <f t="shared" si="230"/>
        <v>5.2429397708514562</v>
      </c>
      <c r="J224" s="17">
        <f t="shared" si="231"/>
        <v>5.8938783905393741</v>
      </c>
      <c r="K224" s="113">
        <f t="shared" si="178"/>
        <v>6.8583333333333334</v>
      </c>
      <c r="L224" s="17">
        <v>27</v>
      </c>
      <c r="M224" s="17">
        <v>71.5</v>
      </c>
      <c r="N224" s="17">
        <f t="shared" si="232"/>
        <v>48.844995219754104</v>
      </c>
      <c r="O224" s="17">
        <v>94.825169776900594</v>
      </c>
      <c r="P224" s="18">
        <f>SUMPRODUCT(H224:O224,'Fisico ASIG'!F224:M224)*24</f>
        <v>6995087.476488864</v>
      </c>
      <c r="Q224" s="43">
        <v>0</v>
      </c>
      <c r="R224" s="43">
        <f t="shared" si="233"/>
        <v>6008.3723108483309</v>
      </c>
      <c r="S224" s="43">
        <f t="shared" si="234"/>
        <v>2968.6580666331956</v>
      </c>
      <c r="T224" s="43">
        <f t="shared" si="215"/>
        <v>1795.6376259798433</v>
      </c>
      <c r="U224" s="43">
        <v>18000</v>
      </c>
      <c r="V224" s="20">
        <v>0</v>
      </c>
      <c r="W224" s="20">
        <v>21900</v>
      </c>
      <c r="X224" s="20">
        <v>0</v>
      </c>
      <c r="Y224" s="18">
        <f>SUMPRODUCT(Q224:X224,'Fisico ASIG'!O224:V224)/E224</f>
        <v>5172763.7419131603</v>
      </c>
      <c r="Z224" s="25">
        <f t="shared" si="235"/>
        <v>12167851.218402024</v>
      </c>
      <c r="AA224" s="26">
        <f>+Z224/'Fisico ASIG'!N224/24</f>
        <v>76.537133856190181</v>
      </c>
      <c r="AB224" s="26">
        <f>+$AB$16*0.9*Precios!$P$12/0.61/Precios!$Q$12</f>
        <v>12.065573770491804</v>
      </c>
      <c r="AC224" s="29">
        <f t="shared" si="236"/>
        <v>64.471560085698371</v>
      </c>
      <c r="AI224" s="1">
        <v>7241</v>
      </c>
      <c r="AJ224" s="1">
        <v>5762594</v>
      </c>
      <c r="AK224">
        <f t="shared" si="192"/>
        <v>1.44</v>
      </c>
      <c r="AL224" s="40">
        <f t="shared" si="193"/>
        <v>8140.0083333333323</v>
      </c>
      <c r="AM224">
        <v>4100000</v>
      </c>
      <c r="AN224" s="17">
        <v>45.339573976350444</v>
      </c>
      <c r="AO224" s="74">
        <f t="shared" si="237"/>
        <v>2.655421243403655</v>
      </c>
      <c r="AP224">
        <v>0</v>
      </c>
      <c r="AQ224" s="1">
        <v>0.85</v>
      </c>
    </row>
    <row r="225" spans="1:43" hidden="1" x14ac:dyDescent="0.25">
      <c r="A225" s="3">
        <v>1381.0953999999999</v>
      </c>
      <c r="B225" s="42">
        <v>1391.6890000000001</v>
      </c>
      <c r="C225" s="53">
        <v>2026</v>
      </c>
      <c r="D225" s="52">
        <f>+'Fisico ASIG'!B225</f>
        <v>46113</v>
      </c>
      <c r="E225" s="1">
        <v>30</v>
      </c>
      <c r="F225" s="56" t="str">
        <f t="shared" si="216"/>
        <v>vie</v>
      </c>
      <c r="G225" s="56">
        <f t="shared" si="223"/>
        <v>46136</v>
      </c>
      <c r="H225" s="17">
        <v>28</v>
      </c>
      <c r="I225" s="17">
        <f t="shared" si="230"/>
        <v>5.2429397708514562</v>
      </c>
      <c r="J225" s="17">
        <f t="shared" si="231"/>
        <v>5.8938783905393741</v>
      </c>
      <c r="K225" s="113">
        <f t="shared" si="178"/>
        <v>6.8583333333333334</v>
      </c>
      <c r="L225" s="17">
        <v>27</v>
      </c>
      <c r="M225" s="17">
        <v>71.5</v>
      </c>
      <c r="N225" s="17">
        <f t="shared" si="232"/>
        <v>50.276853430155235</v>
      </c>
      <c r="O225" s="17">
        <v>97.257269082663854</v>
      </c>
      <c r="P225" s="18">
        <f>SUMPRODUCT(H225:O225,'Fisico ASIG'!F225:M225)*24</f>
        <v>6803197.48350906</v>
      </c>
      <c r="Q225" s="43">
        <v>0</v>
      </c>
      <c r="R225" s="43">
        <f t="shared" si="233"/>
        <v>6008.3723108483309</v>
      </c>
      <c r="S225" s="43">
        <f t="shared" si="234"/>
        <v>2968.6580666331956</v>
      </c>
      <c r="T225" s="43">
        <f t="shared" si="215"/>
        <v>1795.6376259798433</v>
      </c>
      <c r="U225" s="43">
        <v>18000</v>
      </c>
      <c r="V225" s="20">
        <v>0</v>
      </c>
      <c r="W225" s="20">
        <v>21900</v>
      </c>
      <c r="X225" s="20">
        <v>0</v>
      </c>
      <c r="Y225" s="18">
        <f>SUMPRODUCT(Q225:X225,'Fisico ASIG'!O225:V225)/E225</f>
        <v>4875886.2204255266</v>
      </c>
      <c r="Z225" s="25">
        <f t="shared" si="235"/>
        <v>11679083.703934588</v>
      </c>
      <c r="AA225" s="26">
        <f>+Z225/'Fisico ASIG'!N225/24</f>
        <v>72.682071219329856</v>
      </c>
      <c r="AB225" s="26">
        <f>+$AB$16*0.9*Precios!$P$12/0.61/Precios!$Q$12</f>
        <v>12.065573770491804</v>
      </c>
      <c r="AC225" s="29">
        <f t="shared" si="236"/>
        <v>60.616497448838054</v>
      </c>
      <c r="AI225" s="1">
        <v>7241</v>
      </c>
      <c r="AJ225" s="1">
        <v>5762594</v>
      </c>
      <c r="AK225">
        <f t="shared" si="192"/>
        <v>1.44</v>
      </c>
      <c r="AL225" s="40">
        <f t="shared" si="193"/>
        <v>8140.0083333333323</v>
      </c>
      <c r="AM225">
        <v>4100000</v>
      </c>
      <c r="AN225" s="17">
        <v>46.680893143002564</v>
      </c>
      <c r="AO225" s="74">
        <f t="shared" si="237"/>
        <v>2.7459602871526734</v>
      </c>
      <c r="AP225">
        <v>0</v>
      </c>
      <c r="AQ225" s="1">
        <v>0.85</v>
      </c>
    </row>
    <row r="226" spans="1:43" hidden="1" x14ac:dyDescent="0.25">
      <c r="A226" s="3">
        <v>1381.0953999999999</v>
      </c>
      <c r="B226" s="42">
        <v>1391.6890000000001</v>
      </c>
      <c r="C226" s="53">
        <v>2026</v>
      </c>
      <c r="D226" s="52">
        <f>+'Fisico ASIG'!B226</f>
        <v>46113</v>
      </c>
      <c r="E226" s="1">
        <v>30</v>
      </c>
      <c r="F226" s="56" t="str">
        <f t="shared" si="216"/>
        <v>sáb</v>
      </c>
      <c r="G226" s="56">
        <f t="shared" si="223"/>
        <v>46137</v>
      </c>
      <c r="H226" s="17">
        <v>28</v>
      </c>
      <c r="I226" s="17">
        <f t="shared" si="230"/>
        <v>5.2429397708514562</v>
      </c>
      <c r="J226" s="17">
        <f t="shared" si="231"/>
        <v>5.8938783905393741</v>
      </c>
      <c r="K226" s="113">
        <f t="shared" si="178"/>
        <v>6.8583333333333334</v>
      </c>
      <c r="L226" s="17">
        <v>27</v>
      </c>
      <c r="M226" s="17">
        <v>71.5</v>
      </c>
      <c r="N226" s="17">
        <f t="shared" si="232"/>
        <v>59.195804494748955</v>
      </c>
      <c r="O226" s="17">
        <v>82.478530353675538</v>
      </c>
      <c r="P226" s="18">
        <f>SUMPRODUCT(H226:O226,'Fisico ASIG'!F226:M226)*24</f>
        <v>6511715.0716590649</v>
      </c>
      <c r="Q226" s="43">
        <v>0</v>
      </c>
      <c r="R226" s="43">
        <f t="shared" si="233"/>
        <v>6008.3723108483309</v>
      </c>
      <c r="S226" s="43">
        <f t="shared" si="234"/>
        <v>2968.6580666331956</v>
      </c>
      <c r="T226" s="43">
        <f t="shared" si="215"/>
        <v>1795.6376259798433</v>
      </c>
      <c r="U226" s="43">
        <v>18000</v>
      </c>
      <c r="V226" s="20">
        <v>0</v>
      </c>
      <c r="W226" s="20">
        <v>21900</v>
      </c>
      <c r="X226" s="20">
        <v>0</v>
      </c>
      <c r="Y226" s="18">
        <f>SUMPRODUCT(Q226:X226,'Fisico ASIG'!O226:V226)/E226</f>
        <v>4773044.8269200511</v>
      </c>
      <c r="Z226" s="25">
        <f t="shared" si="235"/>
        <v>11284759.898579117</v>
      </c>
      <c r="AA226" s="26">
        <f>+Z226/'Fisico ASIG'!N226/24</f>
        <v>73.579401079921652</v>
      </c>
      <c r="AB226" s="26">
        <f>+$AB$16*0.9*Precios!$P$12/0.61/Precios!$Q$12</f>
        <v>12.065573770491804</v>
      </c>
      <c r="AC226" s="29">
        <f t="shared" si="236"/>
        <v>61.51382730942985</v>
      </c>
      <c r="AI226" s="1">
        <v>7241</v>
      </c>
      <c r="AJ226" s="1">
        <v>5762594</v>
      </c>
      <c r="AK226">
        <f t="shared" si="192"/>
        <v>1.44</v>
      </c>
      <c r="AL226" s="40">
        <f t="shared" si="193"/>
        <v>8140.0083333333323</v>
      </c>
      <c r="AM226">
        <v>4100000</v>
      </c>
      <c r="AN226" s="17">
        <v>55.035882430678178</v>
      </c>
      <c r="AO226" s="74">
        <f t="shared" si="237"/>
        <v>3.3099220640707774</v>
      </c>
      <c r="AP226">
        <v>0</v>
      </c>
      <c r="AQ226" s="1">
        <v>0.85</v>
      </c>
    </row>
    <row r="227" spans="1:43" hidden="1" x14ac:dyDescent="0.25">
      <c r="A227" s="3">
        <v>1381.0953999999999</v>
      </c>
      <c r="B227" s="42">
        <v>1391.6890000000001</v>
      </c>
      <c r="C227" s="53">
        <v>2026</v>
      </c>
      <c r="D227" s="52">
        <f>+'Fisico ASIG'!B227</f>
        <v>46113</v>
      </c>
      <c r="E227" s="1">
        <v>30</v>
      </c>
      <c r="F227" s="56" t="str">
        <f t="shared" si="216"/>
        <v>dom</v>
      </c>
      <c r="G227" s="56">
        <f t="shared" si="223"/>
        <v>46138</v>
      </c>
      <c r="H227" s="17">
        <v>28</v>
      </c>
      <c r="I227" s="17">
        <f t="shared" ref="I227:I230" si="238">AI227/A227</f>
        <v>5.2429397708514562</v>
      </c>
      <c r="J227" s="17">
        <f t="shared" ref="J227:J230" si="239">+AL227/A227</f>
        <v>5.8938783905393741</v>
      </c>
      <c r="K227" s="113">
        <f t="shared" si="178"/>
        <v>6.8583333333333334</v>
      </c>
      <c r="L227" s="17">
        <v>27</v>
      </c>
      <c r="M227" s="17">
        <v>71.5</v>
      </c>
      <c r="N227" s="17">
        <f t="shared" ref="N227:N256" si="240">+AN227+AO227+AP227+AQ227</f>
        <v>63.706370696078906</v>
      </c>
      <c r="O227" s="17">
        <v>47.450047461655274</v>
      </c>
      <c r="P227" s="18">
        <f>SUMPRODUCT(H227:O227,'Fisico ASIG'!F227:M227)*24</f>
        <v>7657676.3636867795</v>
      </c>
      <c r="Q227" s="43">
        <v>0</v>
      </c>
      <c r="R227" s="43">
        <f t="shared" ref="R227:R230" si="241">+AJ227*AK227/A227</f>
        <v>6008.3723108483309</v>
      </c>
      <c r="S227" s="43">
        <f t="shared" ref="S227:S230" si="242">+AM227/A227</f>
        <v>2968.6580666331956</v>
      </c>
      <c r="T227" s="43">
        <f t="shared" si="215"/>
        <v>1795.6376259798433</v>
      </c>
      <c r="U227" s="43">
        <v>18000</v>
      </c>
      <c r="V227" s="20">
        <v>0</v>
      </c>
      <c r="W227" s="20">
        <v>21900</v>
      </c>
      <c r="X227" s="20">
        <v>0</v>
      </c>
      <c r="Y227" s="18">
        <f>SUMPRODUCT(Q227:X227,'Fisico ASIG'!O227:V227)/E227</f>
        <v>4969535.074792413</v>
      </c>
      <c r="Z227" s="25">
        <f t="shared" ref="Z227:Z230" si="243">+(P227+Y227)</f>
        <v>12627211.438479193</v>
      </c>
      <c r="AA227" s="26">
        <f>+Z227/'Fisico ASIG'!N227/24</f>
        <v>81.876395766165444</v>
      </c>
      <c r="AB227" s="26">
        <f>+$AB$16*0.9*Precios!$P$12/0.61/Precios!$Q$12</f>
        <v>12.065573770491804</v>
      </c>
      <c r="AC227" s="29">
        <f t="shared" ref="AC227:AC230" si="244">+AA227-AB227</f>
        <v>69.810821995673635</v>
      </c>
      <c r="AI227" s="1">
        <v>7241</v>
      </c>
      <c r="AJ227" s="1">
        <v>5762594</v>
      </c>
      <c r="AK227">
        <f t="shared" si="192"/>
        <v>1.44</v>
      </c>
      <c r="AL227" s="40">
        <f t="shared" si="193"/>
        <v>8140.0083333333323</v>
      </c>
      <c r="AM227">
        <v>4100000</v>
      </c>
      <c r="AN227" s="17">
        <v>59.261237186022392</v>
      </c>
      <c r="AO227" s="74">
        <f t="shared" ref="AO227:AO230" si="245">0.075*0.9*(AN227-6)</f>
        <v>3.5951335100565118</v>
      </c>
      <c r="AP227">
        <v>0</v>
      </c>
      <c r="AQ227" s="1">
        <v>0.85</v>
      </c>
    </row>
    <row r="228" spans="1:43" hidden="1" x14ac:dyDescent="0.25">
      <c r="A228" s="3">
        <v>1381.0953999999999</v>
      </c>
      <c r="B228" s="42">
        <v>1391.6890000000001</v>
      </c>
      <c r="C228" s="53">
        <v>2026</v>
      </c>
      <c r="D228" s="52">
        <f>+'Fisico ASIG'!B228</f>
        <v>46113</v>
      </c>
      <c r="E228" s="1">
        <v>30</v>
      </c>
      <c r="F228" s="56" t="str">
        <f t="shared" si="216"/>
        <v>lun</v>
      </c>
      <c r="G228" s="56">
        <f t="shared" si="223"/>
        <v>46139</v>
      </c>
      <c r="H228" s="17">
        <v>28</v>
      </c>
      <c r="I228" s="17">
        <f t="shared" si="238"/>
        <v>5.2429397708514562</v>
      </c>
      <c r="J228" s="17">
        <f t="shared" si="239"/>
        <v>5.8938783905393741</v>
      </c>
      <c r="K228" s="113">
        <f t="shared" si="178"/>
        <v>6.8583333333333334</v>
      </c>
      <c r="L228" s="17">
        <v>27</v>
      </c>
      <c r="M228" s="17">
        <v>71.5</v>
      </c>
      <c r="N228" s="17">
        <f t="shared" si="240"/>
        <v>61.255212638133735</v>
      </c>
      <c r="O228" s="17">
        <v>40.199336505935058</v>
      </c>
      <c r="P228" s="18">
        <f>SUMPRODUCT(H228:O228,'Fisico ASIG'!F228:M228)*24</f>
        <v>7479359.8353074193</v>
      </c>
      <c r="Q228" s="43">
        <v>0</v>
      </c>
      <c r="R228" s="43">
        <f t="shared" si="241"/>
        <v>6008.3723108483309</v>
      </c>
      <c r="S228" s="43">
        <f t="shared" si="242"/>
        <v>2968.6580666331956</v>
      </c>
      <c r="T228" s="43">
        <f t="shared" si="215"/>
        <v>1795.6376259798433</v>
      </c>
      <c r="U228" s="43">
        <v>18000</v>
      </c>
      <c r="V228" s="20">
        <v>0</v>
      </c>
      <c r="W228" s="20">
        <v>21900</v>
      </c>
      <c r="X228" s="20">
        <v>0</v>
      </c>
      <c r="Y228" s="18">
        <f>SUMPRODUCT(Q228:X228,'Fisico ASIG'!O228:V228)/E228</f>
        <v>5024660.8435956175</v>
      </c>
      <c r="Z228" s="25">
        <f t="shared" si="243"/>
        <v>12504020.678903036</v>
      </c>
      <c r="AA228" s="26">
        <f>+Z228/'Fisico ASIG'!N228/24</f>
        <v>68.141270785759787</v>
      </c>
      <c r="AB228" s="26">
        <f>+$AB$16*0.9*Precios!$P$12/0.61/Precios!$Q$12</f>
        <v>12.065573770491804</v>
      </c>
      <c r="AC228" s="29">
        <f t="shared" si="244"/>
        <v>56.075697015267984</v>
      </c>
      <c r="AI228" s="1">
        <v>7241</v>
      </c>
      <c r="AJ228" s="1">
        <v>5762594</v>
      </c>
      <c r="AK228">
        <f t="shared" si="192"/>
        <v>1.44</v>
      </c>
      <c r="AL228" s="40">
        <f t="shared" si="193"/>
        <v>8140.0083333333323</v>
      </c>
      <c r="AM228">
        <v>4100000</v>
      </c>
      <c r="AN228" s="17">
        <v>56.96507038701052</v>
      </c>
      <c r="AO228" s="74">
        <f t="shared" si="245"/>
        <v>3.4401422511232105</v>
      </c>
      <c r="AP228">
        <v>0</v>
      </c>
      <c r="AQ228" s="1">
        <v>0.85</v>
      </c>
    </row>
    <row r="229" spans="1:43" hidden="1" x14ac:dyDescent="0.25">
      <c r="A229" s="3">
        <v>1381.0953999999999</v>
      </c>
      <c r="B229" s="42">
        <v>1391.6890000000001</v>
      </c>
      <c r="C229" s="53">
        <v>2026</v>
      </c>
      <c r="D229" s="52">
        <f>+'Fisico ASIG'!B229</f>
        <v>46113</v>
      </c>
      <c r="E229" s="1">
        <v>30</v>
      </c>
      <c r="F229" s="56" t="str">
        <f t="shared" si="216"/>
        <v>mar</v>
      </c>
      <c r="G229" s="56">
        <f t="shared" si="223"/>
        <v>46140</v>
      </c>
      <c r="H229" s="17">
        <v>28</v>
      </c>
      <c r="I229" s="17">
        <f t="shared" si="238"/>
        <v>5.2429397708514562</v>
      </c>
      <c r="J229" s="17">
        <f t="shared" si="239"/>
        <v>5.8938783905393741</v>
      </c>
      <c r="K229" s="113">
        <f t="shared" si="178"/>
        <v>6.8583333333333334</v>
      </c>
      <c r="L229" s="17">
        <v>27</v>
      </c>
      <c r="M229" s="17">
        <v>71.5</v>
      </c>
      <c r="N229" s="17">
        <f t="shared" si="240"/>
        <v>60.044050779609222</v>
      </c>
      <c r="O229" s="17">
        <v>76.043017983070456</v>
      </c>
      <c r="P229" s="18">
        <f>SUMPRODUCT(H229:O229,'Fisico ASIG'!F229:M229)*24</f>
        <v>8085141.3262126492</v>
      </c>
      <c r="Q229" s="43">
        <v>0</v>
      </c>
      <c r="R229" s="43">
        <f t="shared" si="241"/>
        <v>6008.3723108483309</v>
      </c>
      <c r="S229" s="43">
        <f t="shared" si="242"/>
        <v>2968.6580666331956</v>
      </c>
      <c r="T229" s="43">
        <f t="shared" si="215"/>
        <v>1795.6376259798433</v>
      </c>
      <c r="U229" s="43">
        <v>18000</v>
      </c>
      <c r="V229" s="20">
        <v>0</v>
      </c>
      <c r="W229" s="20">
        <v>21900</v>
      </c>
      <c r="X229" s="20">
        <v>0</v>
      </c>
      <c r="Y229" s="18">
        <f>SUMPRODUCT(Q229:X229,'Fisico ASIG'!O229:V229)/E229</f>
        <v>5051486.0641999645</v>
      </c>
      <c r="Z229" s="25">
        <f t="shared" si="243"/>
        <v>13136627.390412614</v>
      </c>
      <c r="AA229" s="26">
        <f>+Z229/'Fisico ASIG'!N229/24</f>
        <v>66.39993638330931</v>
      </c>
      <c r="AB229" s="26">
        <f>+$AB$16*0.9*Precios!$P$12/0.61/Precios!$Q$12</f>
        <v>12.065573770491804</v>
      </c>
      <c r="AC229" s="29">
        <f t="shared" si="244"/>
        <v>54.334362612817507</v>
      </c>
      <c r="AI229" s="1">
        <v>7241</v>
      </c>
      <c r="AJ229" s="1">
        <v>5762594</v>
      </c>
      <c r="AK229">
        <f t="shared" si="192"/>
        <v>1.44</v>
      </c>
      <c r="AL229" s="40">
        <f t="shared" si="193"/>
        <v>8140.0083333333323</v>
      </c>
      <c r="AM229">
        <v>4100000</v>
      </c>
      <c r="AN229" s="17">
        <v>55.830492533591773</v>
      </c>
      <c r="AO229" s="74">
        <f t="shared" si="245"/>
        <v>3.3635582460174449</v>
      </c>
      <c r="AP229">
        <v>0</v>
      </c>
      <c r="AQ229" s="1">
        <v>0.85</v>
      </c>
    </row>
    <row r="230" spans="1:43" hidden="1" x14ac:dyDescent="0.25">
      <c r="A230" s="3">
        <v>1381.0953999999999</v>
      </c>
      <c r="B230" s="42">
        <v>1391.6890000000001</v>
      </c>
      <c r="C230" s="53">
        <v>2026</v>
      </c>
      <c r="D230" s="52">
        <f>+'Fisico ASIG'!B230</f>
        <v>46113</v>
      </c>
      <c r="E230" s="1">
        <v>30</v>
      </c>
      <c r="F230" s="56" t="str">
        <f t="shared" si="216"/>
        <v>mié</v>
      </c>
      <c r="G230" s="56">
        <f t="shared" si="223"/>
        <v>46141</v>
      </c>
      <c r="H230" s="17">
        <v>28</v>
      </c>
      <c r="I230" s="17">
        <f t="shared" si="238"/>
        <v>5.2429397708514562</v>
      </c>
      <c r="J230" s="17">
        <f t="shared" si="239"/>
        <v>5.8938783905393741</v>
      </c>
      <c r="K230" s="113">
        <f t="shared" si="178"/>
        <v>6.8583333333333334</v>
      </c>
      <c r="L230" s="17">
        <v>27</v>
      </c>
      <c r="M230" s="17">
        <v>71.5</v>
      </c>
      <c r="N230" s="17">
        <f t="shared" si="240"/>
        <v>60.833237960940551</v>
      </c>
      <c r="O230" s="17">
        <v>55.180205586592656</v>
      </c>
      <c r="P230" s="18">
        <f>SUMPRODUCT(H230:O230,'Fisico ASIG'!F230:M230)*24</f>
        <v>9114247.3719522301</v>
      </c>
      <c r="Q230" s="43">
        <v>0</v>
      </c>
      <c r="R230" s="43">
        <f t="shared" si="241"/>
        <v>6008.3723108483309</v>
      </c>
      <c r="S230" s="43">
        <f t="shared" si="242"/>
        <v>2968.6580666331956</v>
      </c>
      <c r="T230" s="43">
        <f t="shared" si="215"/>
        <v>1795.6376259798433</v>
      </c>
      <c r="U230" s="43">
        <v>18000</v>
      </c>
      <c r="V230" s="20">
        <v>0</v>
      </c>
      <c r="W230" s="20">
        <v>21900</v>
      </c>
      <c r="X230" s="20">
        <v>0</v>
      </c>
      <c r="Y230" s="18">
        <f>SUMPRODUCT(Q230:X230,'Fisico ASIG'!O230:V230)/E230</f>
        <v>5109707.21721048</v>
      </c>
      <c r="Z230" s="25">
        <f t="shared" si="243"/>
        <v>14223954.589162711</v>
      </c>
      <c r="AA230" s="26">
        <f>+Z230/'Fisico ASIG'!N230/24</f>
        <v>70.3802580151402</v>
      </c>
      <c r="AB230" s="26">
        <f>+$AB$16*0.9*Precios!$P$12/0.61/Precios!$Q$12</f>
        <v>12.065573770491804</v>
      </c>
      <c r="AC230" s="29">
        <f t="shared" si="244"/>
        <v>58.314684244648397</v>
      </c>
      <c r="AI230" s="1">
        <v>7241</v>
      </c>
      <c r="AJ230" s="1">
        <v>5762594</v>
      </c>
      <c r="AK230">
        <f t="shared" si="192"/>
        <v>1.44</v>
      </c>
      <c r="AL230" s="40">
        <f t="shared" si="193"/>
        <v>8140.0083333333323</v>
      </c>
      <c r="AM230">
        <v>4100000</v>
      </c>
      <c r="AN230" s="17">
        <v>56.56977794935883</v>
      </c>
      <c r="AO230" s="74">
        <f t="shared" si="245"/>
        <v>3.4134600115817211</v>
      </c>
      <c r="AP230">
        <v>0</v>
      </c>
      <c r="AQ230" s="1">
        <v>0.85</v>
      </c>
    </row>
    <row r="231" spans="1:43" hidden="1" x14ac:dyDescent="0.25">
      <c r="A231" s="3">
        <v>1381.0953999999999</v>
      </c>
      <c r="B231" s="42">
        <v>1391.6890000000001</v>
      </c>
      <c r="C231" s="53">
        <v>2026</v>
      </c>
      <c r="D231" s="52">
        <f>+'Fisico ASIG'!B231</f>
        <v>46113</v>
      </c>
      <c r="E231" s="1">
        <v>30</v>
      </c>
      <c r="F231" s="56" t="str">
        <f t="shared" si="216"/>
        <v>jue</v>
      </c>
      <c r="G231" s="56">
        <f t="shared" si="223"/>
        <v>46142</v>
      </c>
      <c r="H231" s="17">
        <v>28</v>
      </c>
      <c r="I231" s="17">
        <f t="shared" ref="I231:I242" si="246">AI231/A231</f>
        <v>5.2429397708514562</v>
      </c>
      <c r="J231" s="17">
        <f t="shared" ref="J231:J242" si="247">+AL231/A231</f>
        <v>5.8938783905393741</v>
      </c>
      <c r="K231" s="113">
        <f t="shared" si="178"/>
        <v>6.8583333333333334</v>
      </c>
      <c r="L231" s="17">
        <v>27</v>
      </c>
      <c r="M231" s="17">
        <v>71.5</v>
      </c>
      <c r="N231" s="17">
        <f t="shared" si="240"/>
        <v>60.60022103770374</v>
      </c>
      <c r="O231" s="17">
        <v>66.43498079822136</v>
      </c>
      <c r="P231" s="18">
        <f>SUMPRODUCT(H231:O231,'Fisico ASIG'!F231:M231)*24</f>
        <v>8404089.0399089418</v>
      </c>
      <c r="Q231" s="43">
        <v>0</v>
      </c>
      <c r="R231" s="43">
        <f t="shared" ref="R231:R242" si="248">+AJ231*AK231/A231</f>
        <v>6008.3723108483309</v>
      </c>
      <c r="S231" s="43">
        <f t="shared" ref="S231:S242" si="249">+AM231/A231</f>
        <v>2968.6580666331956</v>
      </c>
      <c r="T231" s="43">
        <f t="shared" si="215"/>
        <v>1795.6376259798433</v>
      </c>
      <c r="U231" s="43">
        <v>18000</v>
      </c>
      <c r="V231" s="20">
        <v>0</v>
      </c>
      <c r="W231" s="20">
        <v>21900</v>
      </c>
      <c r="X231" s="20">
        <v>0</v>
      </c>
      <c r="Y231" s="18">
        <f>SUMPRODUCT(Q231:X231,'Fisico ASIG'!O231:V231)/E231</f>
        <v>5170449.3698134907</v>
      </c>
      <c r="Z231" s="25">
        <f t="shared" ref="Z231:Z242" si="250">+(P231+Y231)</f>
        <v>13574538.409722432</v>
      </c>
      <c r="AA231" s="26">
        <f>+Z231/'Fisico ASIG'!N231/24</f>
        <v>75.380871498479124</v>
      </c>
      <c r="AB231" s="26">
        <f>+$AB$16*0.9*Precios!$P$12/0.61/Precios!$Q$12</f>
        <v>12.065573770491804</v>
      </c>
      <c r="AC231" s="29">
        <f t="shared" ref="AC231:AC242" si="251">+AA231-AB231</f>
        <v>63.315297727987321</v>
      </c>
      <c r="AI231" s="1">
        <v>7241</v>
      </c>
      <c r="AJ231" s="1">
        <v>5762594</v>
      </c>
      <c r="AK231">
        <f t="shared" si="192"/>
        <v>1.44</v>
      </c>
      <c r="AL231" s="40">
        <f t="shared" si="193"/>
        <v>8140.0083333333323</v>
      </c>
      <c r="AM231">
        <v>4100000</v>
      </c>
      <c r="AN231" s="17">
        <v>56.351495117286873</v>
      </c>
      <c r="AO231" s="74">
        <f t="shared" ref="AO231:AO242" si="252">0.075*0.9*(AN231-6)</f>
        <v>3.3987259204168643</v>
      </c>
      <c r="AP231">
        <v>0</v>
      </c>
      <c r="AQ231" s="1">
        <v>0.85</v>
      </c>
    </row>
    <row r="232" spans="1:43" x14ac:dyDescent="0.25">
      <c r="A232" s="3">
        <v>1411.1790000000001</v>
      </c>
      <c r="B232" s="42">
        <v>1391.6890000000001</v>
      </c>
      <c r="C232" s="53">
        <v>2026</v>
      </c>
      <c r="D232" s="52">
        <f>+'Fisico ASIG'!B232</f>
        <v>46143</v>
      </c>
      <c r="E232" s="1">
        <v>31</v>
      </c>
      <c r="F232" s="56" t="str">
        <f t="shared" si="216"/>
        <v>vie</v>
      </c>
      <c r="G232" s="56">
        <f t="shared" si="223"/>
        <v>46143</v>
      </c>
      <c r="H232" s="17">
        <v>28</v>
      </c>
      <c r="I232" s="17">
        <f t="shared" si="246"/>
        <v>5.1311704610116786</v>
      </c>
      <c r="J232" s="17">
        <f t="shared" si="247"/>
        <v>5.7682323314996413</v>
      </c>
      <c r="K232" s="113">
        <f t="shared" si="178"/>
        <v>6.8583333333333334</v>
      </c>
      <c r="L232" s="17">
        <v>27</v>
      </c>
      <c r="M232" s="17">
        <v>71.5</v>
      </c>
      <c r="N232" s="17">
        <f t="shared" si="240"/>
        <v>74.112872178704748</v>
      </c>
      <c r="O232" s="17">
        <v>141.06279427486024</v>
      </c>
      <c r="P232" s="18">
        <f>SUMPRODUCT(H232:O232,'Fisico ASIG'!F232:M232)*24</f>
        <v>9108088.9378815368</v>
      </c>
      <c r="Q232" s="43">
        <v>0</v>
      </c>
      <c r="R232" s="43">
        <f t="shared" si="248"/>
        <v>5880.28546343164</v>
      </c>
      <c r="S232" s="43">
        <f t="shared" si="249"/>
        <v>2905.3720328888112</v>
      </c>
      <c r="T232" s="43">
        <f t="shared" si="215"/>
        <v>1795.6376259798433</v>
      </c>
      <c r="U232" s="43">
        <v>18000</v>
      </c>
      <c r="V232" s="20">
        <v>0</v>
      </c>
      <c r="W232" s="20">
        <v>21900</v>
      </c>
      <c r="X232" s="20">
        <v>0</v>
      </c>
      <c r="Y232" s="18">
        <f>SUMPRODUCT(Q232:X232,'Fisico ASIG'!O232:V232)/E232</f>
        <v>4919673.5326342275</v>
      </c>
      <c r="Z232" s="25">
        <f t="shared" si="250"/>
        <v>14027762.470515765</v>
      </c>
      <c r="AA232" s="26">
        <f>+Z232/'Fisico ASIG'!N232/24</f>
        <v>89.521239417375668</v>
      </c>
      <c r="AB232" s="26">
        <f>+$AB$16*0.9*Precios!$P$13/0.61/Precios!$Q$13</f>
        <v>11.485986250661025</v>
      </c>
      <c r="AC232" s="29">
        <f t="shared" si="251"/>
        <v>78.035253166714639</v>
      </c>
      <c r="AI232" s="1">
        <v>7241</v>
      </c>
      <c r="AJ232" s="1">
        <v>5762594</v>
      </c>
      <c r="AK232">
        <f t="shared" si="192"/>
        <v>1.44</v>
      </c>
      <c r="AL232" s="40">
        <f t="shared" si="193"/>
        <v>8140.0083333333323</v>
      </c>
      <c r="AM232">
        <v>4100000</v>
      </c>
      <c r="AN232" s="17">
        <v>69.009716326655507</v>
      </c>
      <c r="AO232" s="74">
        <f t="shared" si="252"/>
        <v>4.2531558520492467</v>
      </c>
      <c r="AP232">
        <v>0</v>
      </c>
      <c r="AQ232" s="1">
        <v>0.85</v>
      </c>
    </row>
    <row r="233" spans="1:43" x14ac:dyDescent="0.25">
      <c r="A233" s="3">
        <v>1411.1790000000001</v>
      </c>
      <c r="B233" s="42">
        <v>1391.6890000000001</v>
      </c>
      <c r="C233" s="53">
        <v>2026</v>
      </c>
      <c r="D233" s="52">
        <f>+'Fisico ASIG'!B233</f>
        <v>46143</v>
      </c>
      <c r="E233" s="1">
        <v>31</v>
      </c>
      <c r="F233" s="56" t="str">
        <f t="shared" si="216"/>
        <v>sáb</v>
      </c>
      <c r="G233" s="56">
        <f t="shared" si="223"/>
        <v>46144</v>
      </c>
      <c r="H233" s="17">
        <v>28</v>
      </c>
      <c r="I233" s="17">
        <f t="shared" si="246"/>
        <v>5.1311704610116786</v>
      </c>
      <c r="J233" s="17">
        <f t="shared" si="247"/>
        <v>5.7682323314996413</v>
      </c>
      <c r="K233" s="113">
        <f t="shared" si="178"/>
        <v>6.8583333333333334</v>
      </c>
      <c r="L233" s="17">
        <v>27</v>
      </c>
      <c r="M233" s="17">
        <v>71.5</v>
      </c>
      <c r="N233" s="17">
        <f t="shared" si="240"/>
        <v>70.316158796358152</v>
      </c>
      <c r="O233" s="17">
        <v>128.24309653464056</v>
      </c>
      <c r="P233" s="18">
        <f>SUMPRODUCT(H233:O233,'Fisico ASIG'!F233:M233)*24</f>
        <v>8943251.5201422367</v>
      </c>
      <c r="Q233" s="43">
        <v>0</v>
      </c>
      <c r="R233" s="43">
        <f t="shared" si="248"/>
        <v>5880.28546343164</v>
      </c>
      <c r="S233" s="43">
        <f t="shared" si="249"/>
        <v>2905.3720328888112</v>
      </c>
      <c r="T233" s="43">
        <f t="shared" si="215"/>
        <v>1795.6376259798433</v>
      </c>
      <c r="U233" s="43">
        <v>18000</v>
      </c>
      <c r="V233" s="20">
        <v>0</v>
      </c>
      <c r="W233" s="20">
        <v>21900</v>
      </c>
      <c r="X233" s="20">
        <v>0</v>
      </c>
      <c r="Y233" s="18">
        <f>SUMPRODUCT(Q233:X233,'Fisico ASIG'!O233:V233)/E233</f>
        <v>5132069.632714862</v>
      </c>
      <c r="Z233" s="25">
        <f t="shared" si="250"/>
        <v>14075321.152857099</v>
      </c>
      <c r="AA233" s="26">
        <f>+Z233/'Fisico ASIG'!N233/24</f>
        <v>87.986250759244456</v>
      </c>
      <c r="AB233" s="26">
        <f>+$AB$16*0.9*Precios!$P$13/0.61/Precios!$Q$13</f>
        <v>11.485986250661025</v>
      </c>
      <c r="AC233" s="29">
        <f t="shared" si="251"/>
        <v>76.500264508583427</v>
      </c>
      <c r="AI233" s="1">
        <v>7241</v>
      </c>
      <c r="AJ233" s="1">
        <v>5762594</v>
      </c>
      <c r="AK233">
        <f t="shared" si="192"/>
        <v>1.44</v>
      </c>
      <c r="AL233" s="40">
        <f t="shared" si="193"/>
        <v>8140.0083333333323</v>
      </c>
      <c r="AM233">
        <v>4100000</v>
      </c>
      <c r="AN233" s="17">
        <v>65.453076155839028</v>
      </c>
      <c r="AO233" s="74">
        <f t="shared" si="252"/>
        <v>4.0130826405191344</v>
      </c>
      <c r="AP233">
        <v>0</v>
      </c>
      <c r="AQ233" s="1">
        <v>0.85</v>
      </c>
    </row>
    <row r="234" spans="1:43" x14ac:dyDescent="0.25">
      <c r="A234" s="3">
        <v>1411.1790000000001</v>
      </c>
      <c r="B234" s="42">
        <v>1391.6890000000001</v>
      </c>
      <c r="C234" s="53">
        <v>2026</v>
      </c>
      <c r="D234" s="52">
        <f>+'Fisico ASIG'!B234</f>
        <v>46143</v>
      </c>
      <c r="E234" s="1">
        <v>31</v>
      </c>
      <c r="F234" s="56" t="str">
        <f t="shared" si="216"/>
        <v>dom</v>
      </c>
      <c r="G234" s="56">
        <f t="shared" si="223"/>
        <v>46145</v>
      </c>
      <c r="H234" s="17">
        <v>28</v>
      </c>
      <c r="I234" s="17">
        <f t="shared" si="246"/>
        <v>5.1311704610116786</v>
      </c>
      <c r="J234" s="17">
        <f t="shared" si="247"/>
        <v>5.7682323314996413</v>
      </c>
      <c r="K234" s="113">
        <f t="shared" si="178"/>
        <v>6.8583333333333334</v>
      </c>
      <c r="L234" s="17">
        <v>27</v>
      </c>
      <c r="M234" s="17">
        <v>71.5</v>
      </c>
      <c r="N234" s="17">
        <f t="shared" si="240"/>
        <v>70.470413049918776</v>
      </c>
      <c r="O234" s="17">
        <v>144.8524695777709</v>
      </c>
      <c r="P234" s="18">
        <f>SUMPRODUCT(H234:O234,'Fisico ASIG'!F234:M234)*24</f>
        <v>8862928.1667701453</v>
      </c>
      <c r="Q234" s="43">
        <v>0</v>
      </c>
      <c r="R234" s="43">
        <f t="shared" si="248"/>
        <v>5880.28546343164</v>
      </c>
      <c r="S234" s="43">
        <f t="shared" si="249"/>
        <v>2905.3720328888112</v>
      </c>
      <c r="T234" s="43">
        <f t="shared" si="215"/>
        <v>1795.6376259798433</v>
      </c>
      <c r="U234" s="43">
        <v>18000</v>
      </c>
      <c r="V234" s="20">
        <v>0</v>
      </c>
      <c r="W234" s="20">
        <v>21900</v>
      </c>
      <c r="X234" s="20">
        <v>0</v>
      </c>
      <c r="Y234" s="18">
        <f>SUMPRODUCT(Q234:X234,'Fisico ASIG'!O234:V234)/E234</f>
        <v>5273184.9190415675</v>
      </c>
      <c r="Z234" s="25">
        <f t="shared" si="250"/>
        <v>14136113.085811712</v>
      </c>
      <c r="AA234" s="26">
        <f>+Z234/'Fisico ASIG'!N234/24</f>
        <v>92.497227417210652</v>
      </c>
      <c r="AB234" s="26">
        <f>+$AB$16*0.9*Precios!$P$13/0.61/Precios!$Q$13</f>
        <v>11.485986250661025</v>
      </c>
      <c r="AC234" s="29">
        <f t="shared" si="251"/>
        <v>81.011241166549624</v>
      </c>
      <c r="AI234" s="1">
        <v>7241</v>
      </c>
      <c r="AJ234" s="1">
        <v>5762594</v>
      </c>
      <c r="AK234">
        <f t="shared" si="192"/>
        <v>1.44</v>
      </c>
      <c r="AL234" s="40">
        <f t="shared" si="193"/>
        <v>8140.0083333333323</v>
      </c>
      <c r="AM234">
        <v>4100000</v>
      </c>
      <c r="AN234" s="17">
        <v>65.597576627558581</v>
      </c>
      <c r="AO234" s="74">
        <f t="shared" si="252"/>
        <v>4.0228364223602044</v>
      </c>
      <c r="AP234">
        <v>0</v>
      </c>
      <c r="AQ234" s="1">
        <v>0.85</v>
      </c>
    </row>
    <row r="235" spans="1:43" x14ac:dyDescent="0.25">
      <c r="A235" s="3">
        <v>1411.1790000000001</v>
      </c>
      <c r="B235" s="42">
        <v>1412.9870000000001</v>
      </c>
      <c r="C235" s="53">
        <v>2026</v>
      </c>
      <c r="D235" s="52">
        <f>+'Fisico ASIG'!B235</f>
        <v>46143</v>
      </c>
      <c r="E235" s="1">
        <v>31</v>
      </c>
      <c r="F235" s="56" t="str">
        <f t="shared" si="216"/>
        <v>lun</v>
      </c>
      <c r="G235" s="56">
        <f t="shared" si="223"/>
        <v>46146</v>
      </c>
      <c r="H235" s="17">
        <v>28</v>
      </c>
      <c r="I235" s="17">
        <f t="shared" si="246"/>
        <v>5.1311704610116786</v>
      </c>
      <c r="J235" s="17">
        <f t="shared" si="247"/>
        <v>5.7682323314996413</v>
      </c>
      <c r="K235" s="113">
        <f t="shared" si="178"/>
        <v>6.8583333333333334</v>
      </c>
      <c r="L235" s="17">
        <v>27</v>
      </c>
      <c r="M235" s="17">
        <v>71.5</v>
      </c>
      <c r="N235" s="17">
        <f t="shared" si="240"/>
        <v>68.479613988820063</v>
      </c>
      <c r="O235" s="17">
        <v>135.7224063460456</v>
      </c>
      <c r="P235" s="18">
        <f>SUMPRODUCT(H235:O235,'Fisico ASIG'!F235:M235)*24</f>
        <v>9324599.3897834644</v>
      </c>
      <c r="Q235" s="43">
        <v>0</v>
      </c>
      <c r="R235" s="43">
        <f t="shared" si="248"/>
        <v>5880.28546343164</v>
      </c>
      <c r="S235" s="43">
        <f t="shared" si="249"/>
        <v>2905.3720328888112</v>
      </c>
      <c r="T235" s="43">
        <f t="shared" si="215"/>
        <v>1795.6376259798433</v>
      </c>
      <c r="U235" s="43">
        <v>18000</v>
      </c>
      <c r="V235" s="20">
        <v>0</v>
      </c>
      <c r="W235" s="20">
        <v>21900</v>
      </c>
      <c r="X235" s="20">
        <v>0</v>
      </c>
      <c r="Y235" s="18">
        <f>SUMPRODUCT(Q235:X235,'Fisico ASIG'!O235:V235)/E235</f>
        <v>5014052.2613791153</v>
      </c>
      <c r="Z235" s="25">
        <f t="shared" si="250"/>
        <v>14338651.65116258</v>
      </c>
      <c r="AA235" s="26">
        <f>+Z235/'Fisico ASIG'!N235/24</f>
        <v>79.376780815034508</v>
      </c>
      <c r="AB235" s="26">
        <f>+$AB$16*0.9*Precios!$P$13/0.61/Precios!$Q$13</f>
        <v>11.485986250661025</v>
      </c>
      <c r="AC235" s="29">
        <f t="shared" si="251"/>
        <v>67.890794564373479</v>
      </c>
      <c r="AI235" s="1">
        <v>7241</v>
      </c>
      <c r="AJ235" s="1">
        <v>5762594</v>
      </c>
      <c r="AK235">
        <f t="shared" si="192"/>
        <v>1.44</v>
      </c>
      <c r="AL235" s="40">
        <f t="shared" si="193"/>
        <v>8140.0083333333323</v>
      </c>
      <c r="AM235">
        <v>4100000</v>
      </c>
      <c r="AN235" s="17">
        <v>63.732659474304519</v>
      </c>
      <c r="AO235" s="74">
        <f t="shared" si="252"/>
        <v>3.8969545145155551</v>
      </c>
      <c r="AP235">
        <v>0</v>
      </c>
      <c r="AQ235" s="1">
        <v>0.85</v>
      </c>
    </row>
    <row r="236" spans="1:43" x14ac:dyDescent="0.25">
      <c r="A236" s="3">
        <v>1411.1790000000001</v>
      </c>
      <c r="B236" s="42">
        <v>1412.9870000000001</v>
      </c>
      <c r="C236" s="53">
        <v>2026</v>
      </c>
      <c r="D236" s="52">
        <f>+'Fisico ASIG'!B236</f>
        <v>46143</v>
      </c>
      <c r="E236" s="1">
        <v>31</v>
      </c>
      <c r="F236" s="56" t="str">
        <f t="shared" si="216"/>
        <v>mar</v>
      </c>
      <c r="G236" s="56">
        <f t="shared" si="223"/>
        <v>46147</v>
      </c>
      <c r="H236" s="17">
        <v>28</v>
      </c>
      <c r="I236" s="17">
        <f t="shared" si="246"/>
        <v>5.1311704610116786</v>
      </c>
      <c r="J236" s="17">
        <f t="shared" si="247"/>
        <v>5.7682323314996413</v>
      </c>
      <c r="K236" s="113">
        <f t="shared" si="178"/>
        <v>6.8583333333333334</v>
      </c>
      <c r="L236" s="17">
        <v>27</v>
      </c>
      <c r="M236" s="17">
        <v>71.5</v>
      </c>
      <c r="N236" s="17">
        <f t="shared" si="240"/>
        <v>78.120187724776983</v>
      </c>
      <c r="O236" s="17">
        <v>154.00418182981076</v>
      </c>
      <c r="P236" s="18">
        <f>SUMPRODUCT(H236:O236,'Fisico ASIG'!F236:M236)*24</f>
        <v>10306537.960073743</v>
      </c>
      <c r="Q236" s="43">
        <v>0</v>
      </c>
      <c r="R236" s="43">
        <f t="shared" si="248"/>
        <v>5880.28546343164</v>
      </c>
      <c r="S236" s="43">
        <f t="shared" si="249"/>
        <v>2905.3720328888112</v>
      </c>
      <c r="T236" s="43">
        <f t="shared" si="215"/>
        <v>1795.6376259798433</v>
      </c>
      <c r="U236" s="43">
        <v>18000</v>
      </c>
      <c r="V236" s="20">
        <v>0</v>
      </c>
      <c r="W236" s="20">
        <v>21900</v>
      </c>
      <c r="X236" s="20">
        <v>0</v>
      </c>
      <c r="Y236" s="18">
        <f>SUMPRODUCT(Q236:X236,'Fisico ASIG'!O236:V236)/E236</f>
        <v>4949632.5638806289</v>
      </c>
      <c r="Z236" s="25">
        <f t="shared" si="250"/>
        <v>15256170.523954373</v>
      </c>
      <c r="AA236" s="26">
        <f>+Z236/'Fisico ASIG'!N236/24</f>
        <v>77.05602895069309</v>
      </c>
      <c r="AB236" s="26">
        <f>+$AB$16*0.9*Precios!$P$13/0.61/Precios!$Q$13</f>
        <v>11.485986250661025</v>
      </c>
      <c r="AC236" s="29">
        <f t="shared" si="251"/>
        <v>65.570042700032062</v>
      </c>
      <c r="AI236" s="1">
        <v>7241</v>
      </c>
      <c r="AJ236" s="1">
        <v>5762594</v>
      </c>
      <c r="AK236">
        <f t="shared" si="192"/>
        <v>1.44</v>
      </c>
      <c r="AL236" s="40">
        <f t="shared" si="193"/>
        <v>8140.0083333333323</v>
      </c>
      <c r="AM236">
        <v>4100000</v>
      </c>
      <c r="AN236" s="17">
        <v>72.763641896746591</v>
      </c>
      <c r="AO236" s="74">
        <f t="shared" si="252"/>
        <v>4.5065458280303954</v>
      </c>
      <c r="AP236">
        <v>0</v>
      </c>
      <c r="AQ236" s="1">
        <v>0.85</v>
      </c>
    </row>
    <row r="237" spans="1:43" x14ac:dyDescent="0.25">
      <c r="A237" s="3">
        <v>1411.1790000000001</v>
      </c>
      <c r="B237" s="42">
        <v>1412.9870000000001</v>
      </c>
      <c r="C237" s="53">
        <v>2026</v>
      </c>
      <c r="D237" s="52">
        <f>+'Fisico ASIG'!B237</f>
        <v>46143</v>
      </c>
      <c r="E237" s="1">
        <v>31</v>
      </c>
      <c r="F237" s="56" t="str">
        <f t="shared" si="216"/>
        <v>mié</v>
      </c>
      <c r="G237" s="56">
        <f t="shared" si="223"/>
        <v>46148</v>
      </c>
      <c r="H237" s="17">
        <v>28</v>
      </c>
      <c r="I237" s="17">
        <f t="shared" si="246"/>
        <v>5.1311704610116786</v>
      </c>
      <c r="J237" s="17">
        <f t="shared" si="247"/>
        <v>5.7682323314996413</v>
      </c>
      <c r="K237" s="113">
        <f t="shared" si="178"/>
        <v>6.8583333333333334</v>
      </c>
      <c r="L237" s="17">
        <v>27</v>
      </c>
      <c r="M237" s="17">
        <v>71.5</v>
      </c>
      <c r="N237" s="17">
        <f t="shared" si="240"/>
        <v>74.675186155597004</v>
      </c>
      <c r="O237" s="17">
        <v>118.5949188057417</v>
      </c>
      <c r="P237" s="18">
        <f>SUMPRODUCT(H237:O237,'Fisico ASIG'!F237:M237)*24</f>
        <v>10293542.115400778</v>
      </c>
      <c r="Q237" s="43">
        <v>0</v>
      </c>
      <c r="R237" s="43">
        <f t="shared" si="248"/>
        <v>5880.28546343164</v>
      </c>
      <c r="S237" s="43">
        <f t="shared" si="249"/>
        <v>2905.3720328888112</v>
      </c>
      <c r="T237" s="43">
        <f t="shared" si="215"/>
        <v>1795.6376259798433</v>
      </c>
      <c r="U237" s="43">
        <v>18000</v>
      </c>
      <c r="V237" s="20">
        <v>0</v>
      </c>
      <c r="W237" s="20">
        <v>21900</v>
      </c>
      <c r="X237" s="20">
        <v>0</v>
      </c>
      <c r="Y237" s="18">
        <f>SUMPRODUCT(Q237:X237,'Fisico ASIG'!O237:V237)/E237</f>
        <v>4976932.9987783805</v>
      </c>
      <c r="Z237" s="25">
        <f t="shared" si="250"/>
        <v>15270475.114179159</v>
      </c>
      <c r="AA237" s="26">
        <f>+Z237/'Fisico ASIG'!N237/24</f>
        <v>79.718357875052106</v>
      </c>
      <c r="AB237" s="26">
        <f>+$AB$16*0.9*Precios!$P$13/0.61/Precios!$Q$13</f>
        <v>11.485986250661025</v>
      </c>
      <c r="AC237" s="29">
        <f t="shared" si="251"/>
        <v>68.232371624391078</v>
      </c>
      <c r="AI237" s="1">
        <v>7241</v>
      </c>
      <c r="AJ237" s="1">
        <v>5762594</v>
      </c>
      <c r="AK237">
        <f t="shared" si="192"/>
        <v>1.44</v>
      </c>
      <c r="AL237" s="40">
        <f t="shared" si="193"/>
        <v>8140.0083333333323</v>
      </c>
      <c r="AM237">
        <v>4100000</v>
      </c>
      <c r="AN237" s="17">
        <v>69.53647415044216</v>
      </c>
      <c r="AO237" s="74">
        <f t="shared" si="252"/>
        <v>4.2887120051548457</v>
      </c>
      <c r="AP237">
        <v>0</v>
      </c>
      <c r="AQ237" s="1">
        <v>0.85</v>
      </c>
    </row>
    <row r="238" spans="1:43" x14ac:dyDescent="0.25">
      <c r="A238" s="3">
        <v>1411.1790000000001</v>
      </c>
      <c r="B238" s="42">
        <v>1412.9870000000001</v>
      </c>
      <c r="C238" s="53">
        <v>2026</v>
      </c>
      <c r="D238" s="52">
        <f>+'Fisico ASIG'!B238</f>
        <v>46143</v>
      </c>
      <c r="E238" s="1">
        <v>31</v>
      </c>
      <c r="F238" s="56" t="str">
        <f t="shared" si="216"/>
        <v>jue</v>
      </c>
      <c r="G238" s="56">
        <f t="shared" si="223"/>
        <v>46149</v>
      </c>
      <c r="H238" s="17">
        <v>28</v>
      </c>
      <c r="I238" s="17">
        <f t="shared" si="246"/>
        <v>5.1311704610116786</v>
      </c>
      <c r="J238" s="17">
        <f t="shared" si="247"/>
        <v>5.7682323314996413</v>
      </c>
      <c r="K238" s="113">
        <f t="shared" si="178"/>
        <v>6.8583333333333334</v>
      </c>
      <c r="L238" s="17">
        <v>27</v>
      </c>
      <c r="M238" s="17">
        <v>71.5</v>
      </c>
      <c r="N238" s="17">
        <f t="shared" si="240"/>
        <v>75.761882352715219</v>
      </c>
      <c r="O238" s="17">
        <v>111.48642291688638</v>
      </c>
      <c r="P238" s="18">
        <f>SUMPRODUCT(H238:O238,'Fisico ASIG'!F238:M238)*24</f>
        <v>10943780.890780311</v>
      </c>
      <c r="Q238" s="43">
        <v>0</v>
      </c>
      <c r="R238" s="43">
        <f t="shared" si="248"/>
        <v>5880.28546343164</v>
      </c>
      <c r="S238" s="43">
        <f t="shared" si="249"/>
        <v>2905.3720328888112</v>
      </c>
      <c r="T238" s="43">
        <f t="shared" si="215"/>
        <v>1795.6376259798433</v>
      </c>
      <c r="U238" s="43">
        <v>18000</v>
      </c>
      <c r="V238" s="20">
        <v>0</v>
      </c>
      <c r="W238" s="20">
        <v>21900</v>
      </c>
      <c r="X238" s="20">
        <v>0</v>
      </c>
      <c r="Y238" s="18">
        <f>SUMPRODUCT(Q238:X238,'Fisico ASIG'!O238:V238)/E238</f>
        <v>5211667.2680351557</v>
      </c>
      <c r="Z238" s="25">
        <f t="shared" si="250"/>
        <v>16155448.158815466</v>
      </c>
      <c r="AA238" s="26">
        <f>+Z238/'Fisico ASIG'!N238/24</f>
        <v>84.675048343973216</v>
      </c>
      <c r="AB238" s="26">
        <f>+$AB$16*0.9*Precios!$P$13/0.61/Precios!$Q$13</f>
        <v>11.485986250661025</v>
      </c>
      <c r="AC238" s="29">
        <f t="shared" si="251"/>
        <v>73.189062093312188</v>
      </c>
      <c r="AI238" s="1">
        <v>7241</v>
      </c>
      <c r="AJ238" s="1">
        <v>5762594</v>
      </c>
      <c r="AK238">
        <f t="shared" si="192"/>
        <v>1.44</v>
      </c>
      <c r="AL238" s="40">
        <f t="shared" si="193"/>
        <v>8140.0083333333323</v>
      </c>
      <c r="AM238">
        <v>4100000</v>
      </c>
      <c r="AN238" s="17">
        <v>70.554456536501377</v>
      </c>
      <c r="AO238" s="74">
        <f t="shared" si="252"/>
        <v>4.3574258162138433</v>
      </c>
      <c r="AP238">
        <v>0</v>
      </c>
      <c r="AQ238" s="1">
        <v>0.85</v>
      </c>
    </row>
    <row r="239" spans="1:43" x14ac:dyDescent="0.25">
      <c r="A239" s="3">
        <v>1411.1790000000001</v>
      </c>
      <c r="B239" s="42">
        <v>1412.9870000000001</v>
      </c>
      <c r="C239" s="53">
        <v>2026</v>
      </c>
      <c r="D239" s="52">
        <f>+'Fisico ASIG'!B239</f>
        <v>46143</v>
      </c>
      <c r="E239" s="1">
        <v>31</v>
      </c>
      <c r="F239" s="56" t="str">
        <f t="shared" si="216"/>
        <v>vie</v>
      </c>
      <c r="G239" s="56">
        <f t="shared" si="223"/>
        <v>46150</v>
      </c>
      <c r="H239" s="17">
        <v>28</v>
      </c>
      <c r="I239" s="17">
        <f t="shared" si="246"/>
        <v>5.1311704610116786</v>
      </c>
      <c r="J239" s="17">
        <f t="shared" si="247"/>
        <v>5.7682323314996413</v>
      </c>
      <c r="K239" s="113">
        <f t="shared" si="178"/>
        <v>6.8583333333333334</v>
      </c>
      <c r="L239" s="17">
        <v>27</v>
      </c>
      <c r="M239" s="17">
        <v>71.5</v>
      </c>
      <c r="N239" s="17">
        <f t="shared" si="240"/>
        <v>76.561947158243214</v>
      </c>
      <c r="O239" s="17">
        <v>107.8188082612369</v>
      </c>
      <c r="P239" s="18">
        <f>SUMPRODUCT(H239:O239,'Fisico ASIG'!F239:M239)*24</f>
        <v>11835736.629473075</v>
      </c>
      <c r="Q239" s="43">
        <v>0</v>
      </c>
      <c r="R239" s="43">
        <f t="shared" si="248"/>
        <v>5880.28546343164</v>
      </c>
      <c r="S239" s="43">
        <f t="shared" si="249"/>
        <v>2905.3720328888112</v>
      </c>
      <c r="T239" s="43">
        <f t="shared" si="215"/>
        <v>1795.6376259798433</v>
      </c>
      <c r="U239" s="43">
        <v>18000</v>
      </c>
      <c r="V239" s="20">
        <v>0</v>
      </c>
      <c r="W239" s="20">
        <v>21900</v>
      </c>
      <c r="X239" s="20">
        <v>0</v>
      </c>
      <c r="Y239" s="18">
        <f>SUMPRODUCT(Q239:X239,'Fisico ASIG'!O239:V239)/E239</f>
        <v>5219900.8810114749</v>
      </c>
      <c r="Z239" s="25">
        <f t="shared" si="250"/>
        <v>17055637.51048455</v>
      </c>
      <c r="AA239" s="26">
        <f>+Z239/'Fisico ASIG'!N239/24</f>
        <v>80.070590516417028</v>
      </c>
      <c r="AB239" s="26">
        <f>+$AB$16*0.9*Precios!$P$13/0.61/Precios!$Q$13</f>
        <v>11.485986250661025</v>
      </c>
      <c r="AC239" s="29">
        <f t="shared" si="251"/>
        <v>68.584604265755999</v>
      </c>
      <c r="AI239" s="1">
        <v>7241</v>
      </c>
      <c r="AJ239" s="1">
        <v>5762594</v>
      </c>
      <c r="AK239">
        <f t="shared" si="192"/>
        <v>1.44</v>
      </c>
      <c r="AL239" s="40">
        <f t="shared" si="193"/>
        <v>8140.0083333333323</v>
      </c>
      <c r="AM239">
        <v>4100000</v>
      </c>
      <c r="AN239" s="17">
        <v>71.303931764162272</v>
      </c>
      <c r="AO239" s="74">
        <f t="shared" si="252"/>
        <v>4.4080153940809534</v>
      </c>
      <c r="AP239">
        <v>0</v>
      </c>
      <c r="AQ239" s="1">
        <v>0.85</v>
      </c>
    </row>
    <row r="240" spans="1:43" x14ac:dyDescent="0.25">
      <c r="A240" s="3">
        <v>1411.1790000000001</v>
      </c>
      <c r="B240" s="42">
        <v>1412.9870000000001</v>
      </c>
      <c r="C240" s="53">
        <v>2026</v>
      </c>
      <c r="D240" s="52">
        <f>+'Fisico ASIG'!B240</f>
        <v>46143</v>
      </c>
      <c r="E240" s="1">
        <v>31</v>
      </c>
      <c r="F240" s="56" t="str">
        <f t="shared" si="216"/>
        <v>sáb</v>
      </c>
      <c r="G240" s="56">
        <f t="shared" si="223"/>
        <v>46151</v>
      </c>
      <c r="H240" s="17">
        <v>28</v>
      </c>
      <c r="I240" s="17">
        <f t="shared" si="246"/>
        <v>5.1311704610116786</v>
      </c>
      <c r="J240" s="17">
        <f t="shared" si="247"/>
        <v>5.7682323314996413</v>
      </c>
      <c r="K240" s="113">
        <f t="shared" si="178"/>
        <v>6.8583333333333334</v>
      </c>
      <c r="L240" s="17">
        <v>27</v>
      </c>
      <c r="M240" s="17">
        <v>71.5</v>
      </c>
      <c r="N240" s="17">
        <f t="shared" si="240"/>
        <v>85.084711387581066</v>
      </c>
      <c r="O240" s="17">
        <v>94.758953027903601</v>
      </c>
      <c r="P240" s="18">
        <f>SUMPRODUCT(H240:O240,'Fisico ASIG'!F240:M240)*24</f>
        <v>11785478.731213976</v>
      </c>
      <c r="Q240" s="43">
        <v>0</v>
      </c>
      <c r="R240" s="43">
        <f t="shared" si="248"/>
        <v>5880.28546343164</v>
      </c>
      <c r="S240" s="43">
        <f t="shared" si="249"/>
        <v>2905.3720328888112</v>
      </c>
      <c r="T240" s="43">
        <f t="shared" si="215"/>
        <v>1795.6376259798433</v>
      </c>
      <c r="U240" s="43">
        <v>18000</v>
      </c>
      <c r="V240" s="20">
        <v>0</v>
      </c>
      <c r="W240" s="20">
        <v>21900</v>
      </c>
      <c r="X240" s="20">
        <v>0</v>
      </c>
      <c r="Y240" s="18">
        <f>SUMPRODUCT(Q240:X240,'Fisico ASIG'!O240:V240)/E240</f>
        <v>4897127.7102875235</v>
      </c>
      <c r="Z240" s="25">
        <f t="shared" si="250"/>
        <v>16682606.441501498</v>
      </c>
      <c r="AA240" s="26">
        <f>+Z240/'Fisico ASIG'!N240/24</f>
        <v>77.802336184170144</v>
      </c>
      <c r="AB240" s="26">
        <f>+$AB$16*0.9*Precios!$P$13/0.61/Precios!$Q$13</f>
        <v>11.485986250661025</v>
      </c>
      <c r="AC240" s="29">
        <f t="shared" si="251"/>
        <v>66.316349933509116</v>
      </c>
      <c r="AI240" s="1">
        <v>7241</v>
      </c>
      <c r="AJ240" s="1">
        <v>5762594</v>
      </c>
      <c r="AK240">
        <f t="shared" si="192"/>
        <v>1.44</v>
      </c>
      <c r="AL240" s="40">
        <f t="shared" si="193"/>
        <v>8140.0083333333323</v>
      </c>
      <c r="AM240">
        <v>4100000</v>
      </c>
      <c r="AN240" s="17">
        <v>79.287785843167285</v>
      </c>
      <c r="AO240" s="74">
        <f t="shared" si="252"/>
        <v>4.9469255444137916</v>
      </c>
      <c r="AP240">
        <v>0</v>
      </c>
      <c r="AQ240" s="1">
        <v>0.85</v>
      </c>
    </row>
    <row r="241" spans="1:43" x14ac:dyDescent="0.25">
      <c r="A241" s="3">
        <v>1411.1790000000001</v>
      </c>
      <c r="B241" s="42">
        <v>1412.9870000000001</v>
      </c>
      <c r="C241" s="53">
        <v>2026</v>
      </c>
      <c r="D241" s="52">
        <f>+'Fisico ASIG'!B241</f>
        <v>46143</v>
      </c>
      <c r="E241" s="1">
        <v>31</v>
      </c>
      <c r="F241" s="56" t="str">
        <f t="shared" si="216"/>
        <v>dom</v>
      </c>
      <c r="G241" s="56">
        <f t="shared" si="223"/>
        <v>46152</v>
      </c>
      <c r="H241" s="17">
        <v>28</v>
      </c>
      <c r="I241" s="17">
        <f t="shared" si="246"/>
        <v>5.1311704610116786</v>
      </c>
      <c r="J241" s="17">
        <f t="shared" si="247"/>
        <v>5.7682323314996413</v>
      </c>
      <c r="K241" s="113">
        <f t="shared" si="178"/>
        <v>6.8583333333333334</v>
      </c>
      <c r="L241" s="17">
        <v>27</v>
      </c>
      <c r="M241" s="17">
        <v>71.5</v>
      </c>
      <c r="N241" s="17">
        <f t="shared" si="240"/>
        <v>80.518805500421109</v>
      </c>
      <c r="O241" s="17">
        <v>119.15465139416638</v>
      </c>
      <c r="P241" s="18">
        <f>SUMPRODUCT(H241:O241,'Fisico ASIG'!F241:M241)*24</f>
        <v>12637580.960417595</v>
      </c>
      <c r="Q241" s="43">
        <v>0</v>
      </c>
      <c r="R241" s="43">
        <f t="shared" si="248"/>
        <v>5880.28546343164</v>
      </c>
      <c r="S241" s="43">
        <f t="shared" si="249"/>
        <v>2905.3720328888112</v>
      </c>
      <c r="T241" s="43">
        <f t="shared" si="215"/>
        <v>1795.6376259798433</v>
      </c>
      <c r="U241" s="43">
        <v>18000</v>
      </c>
      <c r="V241" s="20">
        <v>0</v>
      </c>
      <c r="W241" s="20">
        <v>21900</v>
      </c>
      <c r="X241" s="20">
        <v>0</v>
      </c>
      <c r="Y241" s="18">
        <f>SUMPRODUCT(Q241:X241,'Fisico ASIG'!O241:V241)/E241</f>
        <v>5113038.842135421</v>
      </c>
      <c r="Z241" s="25">
        <f t="shared" si="250"/>
        <v>17750619.802553017</v>
      </c>
      <c r="AA241" s="26">
        <f>+Z241/'Fisico ASIG'!N241/24</f>
        <v>83.243330555313648</v>
      </c>
      <c r="AB241" s="26">
        <f>+$AB$16*0.9*Precios!$P$13/0.61/Precios!$Q$13</f>
        <v>11.485986250661025</v>
      </c>
      <c r="AC241" s="29">
        <f t="shared" si="251"/>
        <v>71.757344304652619</v>
      </c>
      <c r="AI241" s="1">
        <v>7241</v>
      </c>
      <c r="AJ241" s="1">
        <v>5762594</v>
      </c>
      <c r="AK241">
        <f t="shared" si="192"/>
        <v>1.44</v>
      </c>
      <c r="AL241" s="40">
        <f t="shared" si="193"/>
        <v>8140.0083333333323</v>
      </c>
      <c r="AM241">
        <v>4100000</v>
      </c>
      <c r="AN241" s="17">
        <v>75.01059063271299</v>
      </c>
      <c r="AO241" s="74">
        <f t="shared" si="252"/>
        <v>4.6582148677081268</v>
      </c>
      <c r="AP241">
        <v>0</v>
      </c>
      <c r="AQ241" s="1">
        <v>0.85</v>
      </c>
    </row>
    <row r="242" spans="1:43" x14ac:dyDescent="0.25">
      <c r="A242" s="3">
        <v>1411.1790000000001</v>
      </c>
      <c r="B242" s="42">
        <v>1412.9870000000001</v>
      </c>
      <c r="C242" s="53">
        <v>2026</v>
      </c>
      <c r="D242" s="52">
        <f>+'Fisico ASIG'!B242</f>
        <v>46143</v>
      </c>
      <c r="E242" s="1">
        <v>31</v>
      </c>
      <c r="F242" s="56" t="str">
        <f t="shared" si="216"/>
        <v>lun</v>
      </c>
      <c r="G242" s="56">
        <f t="shared" si="223"/>
        <v>46153</v>
      </c>
      <c r="H242" s="17">
        <v>28</v>
      </c>
      <c r="I242" s="17">
        <f t="shared" si="246"/>
        <v>5.1311704610116786</v>
      </c>
      <c r="J242" s="17">
        <f t="shared" si="247"/>
        <v>5.7682323314996413</v>
      </c>
      <c r="K242" s="113">
        <f t="shared" si="178"/>
        <v>6.8583333333333334</v>
      </c>
      <c r="L242" s="17">
        <v>27</v>
      </c>
      <c r="M242" s="17">
        <v>71.5</v>
      </c>
      <c r="N242" s="17">
        <f t="shared" si="240"/>
        <v>86.140881250460339</v>
      </c>
      <c r="O242" s="17">
        <v>130.7111262397257</v>
      </c>
      <c r="P242" s="18">
        <f>SUMPRODUCT(H242:O242,'Fisico ASIG'!F242:M242)*24</f>
        <v>13771379.953140842</v>
      </c>
      <c r="Q242" s="43">
        <v>0</v>
      </c>
      <c r="R242" s="43">
        <f t="shared" si="248"/>
        <v>5880.28546343164</v>
      </c>
      <c r="S242" s="43">
        <f t="shared" si="249"/>
        <v>2905.3720328888112</v>
      </c>
      <c r="T242" s="43">
        <f t="shared" si="215"/>
        <v>1795.6376259798433</v>
      </c>
      <c r="U242" s="43">
        <v>18000</v>
      </c>
      <c r="V242" s="20">
        <v>0</v>
      </c>
      <c r="W242" s="20">
        <v>21900</v>
      </c>
      <c r="X242" s="20">
        <v>0</v>
      </c>
      <c r="Y242" s="18">
        <f>SUMPRODUCT(Q242:X242,'Fisico ASIG'!O242:V242)/E242</f>
        <v>5096082.6400105972</v>
      </c>
      <c r="Z242" s="25">
        <f t="shared" si="250"/>
        <v>18867462.593151439</v>
      </c>
      <c r="AA242" s="26">
        <f>+Z242/'Fisico ASIG'!N242/24</f>
        <v>76.844355210806611</v>
      </c>
      <c r="AB242" s="26">
        <f>+$AB$16*0.9*Precios!$P$13/0.61/Precios!$Q$13</f>
        <v>11.485986250661025</v>
      </c>
      <c r="AC242" s="29">
        <f t="shared" si="251"/>
        <v>65.358368960145583</v>
      </c>
      <c r="AI242" s="1">
        <v>7241</v>
      </c>
      <c r="AJ242" s="1">
        <v>5762594</v>
      </c>
      <c r="AK242">
        <f t="shared" si="192"/>
        <v>1.44</v>
      </c>
      <c r="AL242" s="40">
        <f t="shared" si="193"/>
        <v>8140.0083333333323</v>
      </c>
      <c r="AM242">
        <v>4100000</v>
      </c>
      <c r="AN242" s="17">
        <v>80.27717213157878</v>
      </c>
      <c r="AO242" s="74">
        <f t="shared" si="252"/>
        <v>5.0137091188815681</v>
      </c>
      <c r="AP242">
        <v>0</v>
      </c>
      <c r="AQ242" s="1">
        <v>0.85</v>
      </c>
    </row>
    <row r="243" spans="1:43" x14ac:dyDescent="0.25">
      <c r="A243" s="3">
        <v>1411.1790000000001</v>
      </c>
      <c r="B243" s="42">
        <v>1412.9870000000001</v>
      </c>
      <c r="C243" s="53">
        <v>2026</v>
      </c>
      <c r="D243" s="52">
        <f>+'Fisico ASIG'!B243</f>
        <v>46143</v>
      </c>
      <c r="E243" s="1">
        <v>31</v>
      </c>
      <c r="F243" s="56" t="str">
        <f t="shared" si="216"/>
        <v>mar</v>
      </c>
      <c r="G243" s="56">
        <f t="shared" si="223"/>
        <v>46154</v>
      </c>
      <c r="H243" s="17">
        <v>28</v>
      </c>
      <c r="I243" s="17">
        <f t="shared" ref="I243" si="253">AI243/A243</f>
        <v>5.1311704610116786</v>
      </c>
      <c r="J243" s="17">
        <f t="shared" ref="J243" si="254">+AL243/A243</f>
        <v>5.7682323314996413</v>
      </c>
      <c r="K243" s="113">
        <f t="shared" si="178"/>
        <v>6.8583333333333334</v>
      </c>
      <c r="L243" s="17">
        <v>27</v>
      </c>
      <c r="M243" s="17">
        <v>71.5</v>
      </c>
      <c r="N243" s="17">
        <f t="shared" si="240"/>
        <v>90.277817881984433</v>
      </c>
      <c r="O243" s="17">
        <v>108.33807995538764</v>
      </c>
      <c r="P243" s="18">
        <f>SUMPRODUCT(H243:O243,'Fisico ASIG'!F243:M243)*24</f>
        <v>12770928.759943211</v>
      </c>
      <c r="Q243" s="43">
        <v>0</v>
      </c>
      <c r="R243" s="43">
        <f t="shared" ref="R243" si="255">+AJ243*AK243/A243</f>
        <v>5880.28546343164</v>
      </c>
      <c r="S243" s="43">
        <f t="shared" ref="S243" si="256">+AM243/A243</f>
        <v>2905.3720328888112</v>
      </c>
      <c r="T243" s="43">
        <f t="shared" si="215"/>
        <v>1795.6376259798433</v>
      </c>
      <c r="U243" s="43">
        <v>18000</v>
      </c>
      <c r="V243" s="20">
        <v>0</v>
      </c>
      <c r="W243" s="20">
        <v>21900</v>
      </c>
      <c r="X243" s="20">
        <v>0</v>
      </c>
      <c r="Y243" s="18">
        <f>SUMPRODUCT(Q243:X243,'Fisico ASIG'!O243:V243)/E243</f>
        <v>4989201.2717883419</v>
      </c>
      <c r="Z243" s="25">
        <f t="shared" ref="Z243" si="257">+(P243+Y243)</f>
        <v>17760130.031731553</v>
      </c>
      <c r="AA243" s="26">
        <f>+Z243/'Fisico ASIG'!N243/24</f>
        <v>76.847976753326563</v>
      </c>
      <c r="AB243" s="26">
        <f>+$AB$16*0.9*Precios!$P$13/0.61/Precios!$Q$13</f>
        <v>11.485986250661025</v>
      </c>
      <c r="AC243" s="29">
        <f t="shared" ref="AC243" si="258">+AA243-AB243</f>
        <v>65.361990502665535</v>
      </c>
      <c r="AI243" s="1">
        <v>7241</v>
      </c>
      <c r="AJ243" s="1">
        <v>5762594</v>
      </c>
      <c r="AK243">
        <f t="shared" si="192"/>
        <v>1.44</v>
      </c>
      <c r="AL243" s="40">
        <f t="shared" si="193"/>
        <v>8140.0083333333323</v>
      </c>
      <c r="AM243">
        <v>4100000</v>
      </c>
      <c r="AN243" s="17">
        <v>84.152522606074413</v>
      </c>
      <c r="AO243" s="74">
        <f t="shared" ref="AO243" si="259">0.075*0.9*(AN243-6)</f>
        <v>5.2752952759100236</v>
      </c>
      <c r="AP243">
        <v>0</v>
      </c>
      <c r="AQ243" s="1">
        <v>0.85</v>
      </c>
    </row>
    <row r="244" spans="1:43" x14ac:dyDescent="0.25">
      <c r="A244" s="3">
        <v>1411.1790000000001</v>
      </c>
      <c r="B244" s="42">
        <v>1412.9870000000001</v>
      </c>
      <c r="C244" s="53">
        <v>2026</v>
      </c>
      <c r="D244" s="52">
        <f>+'Fisico ASIG'!B244</f>
        <v>46143</v>
      </c>
      <c r="E244" s="1">
        <v>31</v>
      </c>
      <c r="F244" s="56" t="str">
        <f t="shared" si="216"/>
        <v>mié</v>
      </c>
      <c r="G244" s="56">
        <f t="shared" si="223"/>
        <v>46155</v>
      </c>
      <c r="H244" s="17">
        <v>28</v>
      </c>
      <c r="I244" s="17">
        <f t="shared" ref="I244:I250" si="260">AI244/A244</f>
        <v>5.1311704610116786</v>
      </c>
      <c r="J244" s="17">
        <f t="shared" ref="J244:J250" si="261">+AL244/A244</f>
        <v>5.7682323314996413</v>
      </c>
      <c r="K244" s="113">
        <f t="shared" si="178"/>
        <v>6.8583333333333334</v>
      </c>
      <c r="L244" s="17">
        <v>27</v>
      </c>
      <c r="M244" s="17">
        <v>71.5</v>
      </c>
      <c r="N244" s="17">
        <f t="shared" si="240"/>
        <v>100.53092388399527</v>
      </c>
      <c r="O244" s="17">
        <v>152.27304542804356</v>
      </c>
      <c r="P244" s="18">
        <f>SUMPRODUCT(H244:O244,'Fisico ASIG'!F244:M244)*24</f>
        <v>13964500.662264688</v>
      </c>
      <c r="Q244" s="43">
        <v>0</v>
      </c>
      <c r="R244" s="43">
        <f t="shared" ref="R244:R250" si="262">+AJ244*AK244/A244</f>
        <v>5880.28546343164</v>
      </c>
      <c r="S244" s="43">
        <f t="shared" ref="S244:S250" si="263">+AM244/A244</f>
        <v>2905.3720328888112</v>
      </c>
      <c r="T244" s="43">
        <f t="shared" si="215"/>
        <v>1795.6376259798433</v>
      </c>
      <c r="U244" s="43">
        <v>18000</v>
      </c>
      <c r="V244" s="20">
        <v>0</v>
      </c>
      <c r="W244" s="20">
        <v>21900</v>
      </c>
      <c r="X244" s="20">
        <v>0</v>
      </c>
      <c r="Y244" s="18">
        <f>SUMPRODUCT(Q244:X244,'Fisico ASIG'!O244:V244)/E244</f>
        <v>5047439.210783869</v>
      </c>
      <c r="Z244" s="25">
        <f t="shared" ref="Z244:Z250" si="264">+(P244+Y244)</f>
        <v>19011939.873048559</v>
      </c>
      <c r="AA244" s="26">
        <f>+Z244/'Fisico ASIG'!N244/24</f>
        <v>80.066337828260671</v>
      </c>
      <c r="AB244" s="26">
        <f>+$AB$16*0.9*Precios!$P$13/0.61/Precios!$Q$13</f>
        <v>11.485986250661025</v>
      </c>
      <c r="AC244" s="29">
        <f t="shared" ref="AC244:AC250" si="265">+AA244-AB244</f>
        <v>68.580351577599643</v>
      </c>
      <c r="AI244" s="1">
        <v>7241</v>
      </c>
      <c r="AJ244" s="1">
        <v>5762594</v>
      </c>
      <c r="AK244">
        <f t="shared" si="192"/>
        <v>1.44</v>
      </c>
      <c r="AL244" s="40">
        <f t="shared" si="193"/>
        <v>8140.0083333333323</v>
      </c>
      <c r="AM244">
        <v>4100000</v>
      </c>
      <c r="AN244" s="17">
        <v>93.757305746131408</v>
      </c>
      <c r="AO244" s="74">
        <f t="shared" ref="AO244:AO250" si="266">0.075*0.9*(AN244-6)</f>
        <v>5.9236181378638708</v>
      </c>
      <c r="AP244">
        <v>0</v>
      </c>
      <c r="AQ244" s="1">
        <v>0.85</v>
      </c>
    </row>
    <row r="245" spans="1:43" x14ac:dyDescent="0.25">
      <c r="A245" s="3">
        <v>1411.1790000000001</v>
      </c>
      <c r="B245" s="42">
        <v>1412.9870000000001</v>
      </c>
      <c r="C245" s="53">
        <v>2026</v>
      </c>
      <c r="D245" s="52">
        <f>+'Fisico ASIG'!B245</f>
        <v>46143</v>
      </c>
      <c r="E245" s="1">
        <v>31</v>
      </c>
      <c r="F245" s="56" t="str">
        <f t="shared" si="216"/>
        <v>jue</v>
      </c>
      <c r="G245" s="56">
        <f t="shared" si="223"/>
        <v>46156</v>
      </c>
      <c r="H245" s="17">
        <v>28</v>
      </c>
      <c r="I245" s="17">
        <f t="shared" si="260"/>
        <v>5.1311704610116786</v>
      </c>
      <c r="J245" s="17">
        <f t="shared" si="261"/>
        <v>5.7682323314996413</v>
      </c>
      <c r="K245" s="113">
        <f t="shared" si="178"/>
        <v>6.8583333333333334</v>
      </c>
      <c r="L245" s="17">
        <v>27</v>
      </c>
      <c r="M245" s="17">
        <v>71.5</v>
      </c>
      <c r="N245" s="17">
        <f t="shared" si="240"/>
        <v>106.62388555169279</v>
      </c>
      <c r="O245" s="17">
        <v>154.85243269931658</v>
      </c>
      <c r="P245" s="18">
        <f>SUMPRODUCT(H245:O245,'Fisico ASIG'!F245:M245)*24</f>
        <v>14644637.768130971</v>
      </c>
      <c r="Q245" s="43">
        <v>0</v>
      </c>
      <c r="R245" s="43">
        <f t="shared" si="262"/>
        <v>5880.28546343164</v>
      </c>
      <c r="S245" s="43">
        <f t="shared" si="263"/>
        <v>2905.3720328888112</v>
      </c>
      <c r="T245" s="43">
        <f t="shared" si="215"/>
        <v>1795.6376259798433</v>
      </c>
      <c r="U245" s="43">
        <v>18000</v>
      </c>
      <c r="V245" s="20">
        <v>0</v>
      </c>
      <c r="W245" s="20">
        <v>21900</v>
      </c>
      <c r="X245" s="20">
        <v>0</v>
      </c>
      <c r="Y245" s="18">
        <f>SUMPRODUCT(Q245:X245,'Fisico ASIG'!O245:V245)/E245</f>
        <v>5003331.695443783</v>
      </c>
      <c r="Z245" s="25">
        <f t="shared" si="264"/>
        <v>19647969.463574752</v>
      </c>
      <c r="AA245" s="26">
        <f>+Z245/'Fisico ASIG'!N245/24</f>
        <v>77.845688011861384</v>
      </c>
      <c r="AB245" s="26">
        <f>+$AB$16*0.9*Precios!$P$13/0.61/Precios!$Q$13</f>
        <v>11.485986250661025</v>
      </c>
      <c r="AC245" s="29">
        <f t="shared" si="265"/>
        <v>66.359701761200355</v>
      </c>
      <c r="AI245" s="1">
        <v>7241</v>
      </c>
      <c r="AJ245" s="1">
        <v>5762594</v>
      </c>
      <c r="AK245">
        <f t="shared" si="192"/>
        <v>1.44</v>
      </c>
      <c r="AL245" s="40">
        <f t="shared" si="193"/>
        <v>8140.0083333333323</v>
      </c>
      <c r="AM245">
        <v>4100000</v>
      </c>
      <c r="AN245" s="17">
        <v>99.464998174887867</v>
      </c>
      <c r="AO245" s="74">
        <f t="shared" si="266"/>
        <v>6.3088873768049316</v>
      </c>
      <c r="AP245">
        <v>0</v>
      </c>
      <c r="AQ245" s="1">
        <v>0.85</v>
      </c>
    </row>
    <row r="246" spans="1:43" x14ac:dyDescent="0.25">
      <c r="A246" s="3">
        <v>1411.1790000000001</v>
      </c>
      <c r="B246" s="42">
        <v>1412.9870000000001</v>
      </c>
      <c r="C246" s="53">
        <v>2026</v>
      </c>
      <c r="D246" s="52">
        <f>+'Fisico ASIG'!B246</f>
        <v>46143</v>
      </c>
      <c r="E246" s="1">
        <v>31</v>
      </c>
      <c r="F246" s="56" t="str">
        <f t="shared" si="216"/>
        <v>vie</v>
      </c>
      <c r="G246" s="56">
        <f t="shared" si="223"/>
        <v>46157</v>
      </c>
      <c r="H246" s="17">
        <v>28</v>
      </c>
      <c r="I246" s="17">
        <f t="shared" si="260"/>
        <v>5.1311704610116786</v>
      </c>
      <c r="J246" s="17">
        <f t="shared" si="261"/>
        <v>5.7682323314996413</v>
      </c>
      <c r="K246" s="113">
        <f t="shared" si="178"/>
        <v>6.8583333333333334</v>
      </c>
      <c r="L246" s="17">
        <v>27</v>
      </c>
      <c r="M246" s="17">
        <v>71.5</v>
      </c>
      <c r="N246" s="17">
        <f t="shared" si="240"/>
        <v>98.582828547726734</v>
      </c>
      <c r="O246" s="17">
        <v>156.87313538742822</v>
      </c>
      <c r="P246" s="18">
        <f>SUMPRODUCT(H246:O246,'Fisico ASIG'!F246:M246)*24</f>
        <v>12502815.843469314</v>
      </c>
      <c r="Q246" s="43">
        <v>0</v>
      </c>
      <c r="R246" s="43">
        <f t="shared" si="262"/>
        <v>5880.28546343164</v>
      </c>
      <c r="S246" s="43">
        <f t="shared" si="263"/>
        <v>2905.3720328888112</v>
      </c>
      <c r="T246" s="43">
        <f t="shared" si="215"/>
        <v>1795.6376259798433</v>
      </c>
      <c r="U246" s="43">
        <v>18000</v>
      </c>
      <c r="V246" s="20">
        <v>0</v>
      </c>
      <c r="W246" s="20">
        <v>21900</v>
      </c>
      <c r="X246" s="20">
        <v>0</v>
      </c>
      <c r="Y246" s="18">
        <f>SUMPRODUCT(Q246:X246,'Fisico ASIG'!O246:V246)/E246</f>
        <v>4995417.9549225783</v>
      </c>
      <c r="Z246" s="25">
        <f t="shared" si="264"/>
        <v>17498233.798391894</v>
      </c>
      <c r="AA246" s="26">
        <f>+Z246/'Fisico ASIG'!N246/24</f>
        <v>75.120090988592963</v>
      </c>
      <c r="AB246" s="26">
        <f>+$AB$16*0.9*Precios!$P$13/0.61/Precios!$Q$13</f>
        <v>11.485986250661025</v>
      </c>
      <c r="AC246" s="29">
        <f t="shared" si="265"/>
        <v>63.634104737931935</v>
      </c>
      <c r="AI246" s="1">
        <v>7241</v>
      </c>
      <c r="AJ246" s="1">
        <v>5762594</v>
      </c>
      <c r="AK246">
        <f t="shared" si="192"/>
        <v>1.44</v>
      </c>
      <c r="AL246" s="40">
        <f t="shared" si="193"/>
        <v>8140.0083333333323</v>
      </c>
      <c r="AM246">
        <v>4100000</v>
      </c>
      <c r="AN246" s="17">
        <v>91.932392082179618</v>
      </c>
      <c r="AO246" s="74">
        <f t="shared" si="266"/>
        <v>5.8004364655471248</v>
      </c>
      <c r="AP246">
        <v>0</v>
      </c>
      <c r="AQ246" s="1">
        <v>0.85</v>
      </c>
    </row>
    <row r="247" spans="1:43" x14ac:dyDescent="0.25">
      <c r="A247" s="3">
        <v>1411.1790000000001</v>
      </c>
      <c r="B247" s="42">
        <v>1412.9870000000001</v>
      </c>
      <c r="C247" s="53">
        <v>2026</v>
      </c>
      <c r="D247" s="52">
        <f>+'Fisico ASIG'!B247</f>
        <v>46143</v>
      </c>
      <c r="E247" s="1">
        <v>31</v>
      </c>
      <c r="F247" s="56" t="str">
        <f t="shared" si="216"/>
        <v>sáb</v>
      </c>
      <c r="G247" s="56">
        <f t="shared" si="223"/>
        <v>46158</v>
      </c>
      <c r="H247" s="17">
        <v>28</v>
      </c>
      <c r="I247" s="17">
        <f t="shared" si="260"/>
        <v>5.1311704610116786</v>
      </c>
      <c r="J247" s="17">
        <f t="shared" si="261"/>
        <v>5.7682323314996413</v>
      </c>
      <c r="K247" s="113">
        <f t="shared" si="178"/>
        <v>6.8583333333333334</v>
      </c>
      <c r="L247" s="17">
        <v>27</v>
      </c>
      <c r="M247" s="17">
        <v>71.5</v>
      </c>
      <c r="N247" s="17">
        <f t="shared" si="240"/>
        <v>109.72375432478836</v>
      </c>
      <c r="O247" s="17">
        <v>162.10528462723116</v>
      </c>
      <c r="P247" s="18">
        <f>SUMPRODUCT(H247:O247,'Fisico ASIG'!F247:M247)*24</f>
        <v>14724852.775804769</v>
      </c>
      <c r="Q247" s="43">
        <v>0</v>
      </c>
      <c r="R247" s="43">
        <f t="shared" si="262"/>
        <v>5880.28546343164</v>
      </c>
      <c r="S247" s="43">
        <f t="shared" si="263"/>
        <v>2905.3720328888112</v>
      </c>
      <c r="T247" s="43">
        <f t="shared" si="215"/>
        <v>1795.6376259798433</v>
      </c>
      <c r="U247" s="43">
        <v>18000</v>
      </c>
      <c r="V247" s="20">
        <v>0</v>
      </c>
      <c r="W247" s="20">
        <v>21900</v>
      </c>
      <c r="X247" s="20">
        <v>0</v>
      </c>
      <c r="Y247" s="18">
        <f>SUMPRODUCT(Q247:X247,'Fisico ASIG'!O247:V247)/E247</f>
        <v>5067022.3045526054</v>
      </c>
      <c r="Z247" s="25">
        <f t="shared" si="264"/>
        <v>19791875.080357373</v>
      </c>
      <c r="AA247" s="26">
        <f>+Z247/'Fisico ASIG'!N247/24</f>
        <v>87.525517884210842</v>
      </c>
      <c r="AB247" s="26">
        <f>+$AB$16*0.9*Precios!$P$13/0.61/Precios!$Q$13</f>
        <v>11.485986250661025</v>
      </c>
      <c r="AC247" s="29">
        <f t="shared" si="265"/>
        <v>76.039531633549814</v>
      </c>
      <c r="AI247" s="1">
        <v>7241</v>
      </c>
      <c r="AJ247" s="1">
        <v>5762594</v>
      </c>
      <c r="AK247">
        <f t="shared" si="192"/>
        <v>1.44</v>
      </c>
      <c r="AL247" s="40">
        <f t="shared" si="193"/>
        <v>8140.0083333333323</v>
      </c>
      <c r="AM247">
        <v>4100000</v>
      </c>
      <c r="AN247" s="17">
        <v>102.36885651034039</v>
      </c>
      <c r="AO247" s="74">
        <f t="shared" si="266"/>
        <v>6.5048978144479772</v>
      </c>
      <c r="AP247">
        <v>0</v>
      </c>
      <c r="AQ247" s="1">
        <v>0.85</v>
      </c>
    </row>
    <row r="248" spans="1:43" x14ac:dyDescent="0.25">
      <c r="A248" s="3">
        <v>1411.1790000000001</v>
      </c>
      <c r="B248" s="42">
        <v>1412.9870000000001</v>
      </c>
      <c r="C248" s="53">
        <v>2026</v>
      </c>
      <c r="D248" s="52">
        <f>+'Fisico ASIG'!B248</f>
        <v>46143</v>
      </c>
      <c r="E248" s="1">
        <v>31</v>
      </c>
      <c r="F248" s="56" t="str">
        <f t="shared" si="216"/>
        <v>dom</v>
      </c>
      <c r="G248" s="56">
        <f t="shared" si="223"/>
        <v>46159</v>
      </c>
      <c r="H248" s="17">
        <v>28</v>
      </c>
      <c r="I248" s="17">
        <f t="shared" si="260"/>
        <v>5.1311704610116786</v>
      </c>
      <c r="J248" s="17">
        <f t="shared" si="261"/>
        <v>5.7682323314996413</v>
      </c>
      <c r="K248" s="113">
        <f t="shared" si="178"/>
        <v>6.8583333333333334</v>
      </c>
      <c r="L248" s="17">
        <v>27</v>
      </c>
      <c r="M248" s="17">
        <v>71.5</v>
      </c>
      <c r="N248" s="17">
        <f t="shared" si="240"/>
        <v>106.10293855049878</v>
      </c>
      <c r="O248" s="17">
        <v>162.39786797723474</v>
      </c>
      <c r="P248" s="18">
        <f>SUMPRODUCT(H248:O248,'Fisico ASIG'!F248:M248)*24</f>
        <v>14708209.405374052</v>
      </c>
      <c r="Q248" s="43">
        <v>0</v>
      </c>
      <c r="R248" s="43">
        <f t="shared" si="262"/>
        <v>5880.28546343164</v>
      </c>
      <c r="S248" s="43">
        <f t="shared" si="263"/>
        <v>2905.3720328888112</v>
      </c>
      <c r="T248" s="43">
        <f t="shared" si="215"/>
        <v>1795.6376259798433</v>
      </c>
      <c r="U248" s="43">
        <v>18000</v>
      </c>
      <c r="V248" s="20">
        <v>0</v>
      </c>
      <c r="W248" s="20">
        <v>21900</v>
      </c>
      <c r="X248" s="20">
        <v>0</v>
      </c>
      <c r="Y248" s="18">
        <f>SUMPRODUCT(Q248:X248,'Fisico ASIG'!O248:V248)/E248</f>
        <v>5076213.0965534057</v>
      </c>
      <c r="Z248" s="25">
        <f t="shared" si="264"/>
        <v>19784422.501927458</v>
      </c>
      <c r="AA248" s="26">
        <f>+Z248/'Fisico ASIG'!N248/24</f>
        <v>90.829695721312817</v>
      </c>
      <c r="AB248" s="26">
        <f>+$AB$16*0.9*Precios!$P$13/0.61/Precios!$Q$13</f>
        <v>11.485986250661025</v>
      </c>
      <c r="AC248" s="29">
        <f t="shared" si="265"/>
        <v>79.343709470651788</v>
      </c>
      <c r="AI248" s="1">
        <v>7241</v>
      </c>
      <c r="AJ248" s="1">
        <v>5762594</v>
      </c>
      <c r="AK248">
        <f t="shared" si="192"/>
        <v>1.44</v>
      </c>
      <c r="AL248" s="40">
        <f t="shared" si="193"/>
        <v>8140.0083333333323</v>
      </c>
      <c r="AM248">
        <v>4100000</v>
      </c>
      <c r="AN248" s="17">
        <v>98.976991616392297</v>
      </c>
      <c r="AO248" s="74">
        <f t="shared" si="266"/>
        <v>6.2759469341064804</v>
      </c>
      <c r="AP248">
        <v>0</v>
      </c>
      <c r="AQ248" s="1">
        <v>0.85</v>
      </c>
    </row>
    <row r="249" spans="1:43" x14ac:dyDescent="0.25">
      <c r="A249" s="3">
        <v>1411.1790000000001</v>
      </c>
      <c r="B249" s="42">
        <v>1399.4749999999999</v>
      </c>
      <c r="C249" s="53">
        <v>2026</v>
      </c>
      <c r="D249" s="52">
        <f>+'Fisico ASIG'!B249</f>
        <v>46143</v>
      </c>
      <c r="E249" s="1">
        <v>31</v>
      </c>
      <c r="F249" s="56" t="str">
        <f t="shared" si="216"/>
        <v>lun</v>
      </c>
      <c r="G249" s="56">
        <f t="shared" si="223"/>
        <v>46160</v>
      </c>
      <c r="H249" s="17">
        <v>28</v>
      </c>
      <c r="I249" s="17">
        <f t="shared" si="260"/>
        <v>5.1311704610116786</v>
      </c>
      <c r="J249" s="17">
        <f t="shared" si="261"/>
        <v>5.7682323314996413</v>
      </c>
      <c r="K249" s="113">
        <f t="shared" si="178"/>
        <v>6.8583333333333334</v>
      </c>
      <c r="L249" s="17">
        <v>27</v>
      </c>
      <c r="M249" s="17">
        <v>71.5</v>
      </c>
      <c r="N249" s="17">
        <f t="shared" si="240"/>
        <v>106.63970973876266</v>
      </c>
      <c r="O249" s="17">
        <v>161.43301595519824</v>
      </c>
      <c r="P249" s="18">
        <f>SUMPRODUCT(H249:O249,'Fisico ASIG'!F249:M249)*24</f>
        <v>15465755.128735166</v>
      </c>
      <c r="Q249" s="43">
        <v>0</v>
      </c>
      <c r="R249" s="43">
        <f t="shared" si="262"/>
        <v>5880.28546343164</v>
      </c>
      <c r="S249" s="43">
        <f t="shared" si="263"/>
        <v>2905.3720328888112</v>
      </c>
      <c r="T249" s="43">
        <f t="shared" si="215"/>
        <v>1795.6376259798433</v>
      </c>
      <c r="U249" s="43">
        <v>18000</v>
      </c>
      <c r="V249" s="20">
        <v>0</v>
      </c>
      <c r="W249" s="20">
        <v>21900</v>
      </c>
      <c r="X249" s="20">
        <v>0</v>
      </c>
      <c r="Y249" s="18">
        <f>SUMPRODUCT(Q249:X249,'Fisico ASIG'!O249:V249)/E249</f>
        <v>4930945.8046671422</v>
      </c>
      <c r="Z249" s="25">
        <f t="shared" si="264"/>
        <v>20396700.933402307</v>
      </c>
      <c r="AA249" s="26">
        <f>+Z249/'Fisico ASIG'!N249/24</f>
        <v>83.283541149689768</v>
      </c>
      <c r="AB249" s="26">
        <f>+$AB$16*0.9*Precios!$P$13/0.61/Precios!$Q$13</f>
        <v>11.485986250661025</v>
      </c>
      <c r="AC249" s="29">
        <f t="shared" si="265"/>
        <v>71.797554899028739</v>
      </c>
      <c r="AI249" s="1">
        <v>7241</v>
      </c>
      <c r="AJ249" s="1">
        <v>5762594</v>
      </c>
      <c r="AK249">
        <f t="shared" si="192"/>
        <v>1.44</v>
      </c>
      <c r="AL249" s="40">
        <f t="shared" si="193"/>
        <v>8140.0083333333323</v>
      </c>
      <c r="AM249">
        <v>4100000</v>
      </c>
      <c r="AN249" s="17">
        <v>99.479821769332716</v>
      </c>
      <c r="AO249" s="74">
        <f t="shared" si="266"/>
        <v>6.3098879694299583</v>
      </c>
      <c r="AP249">
        <v>0</v>
      </c>
      <c r="AQ249" s="1">
        <v>0.85</v>
      </c>
    </row>
    <row r="250" spans="1:43" x14ac:dyDescent="0.25">
      <c r="A250" s="3">
        <v>1411.1790000000001</v>
      </c>
      <c r="B250" s="42">
        <v>1399.4749999999999</v>
      </c>
      <c r="C250" s="53">
        <v>2026</v>
      </c>
      <c r="D250" s="52">
        <f>+'Fisico ASIG'!B250</f>
        <v>46143</v>
      </c>
      <c r="E250" s="1">
        <v>31</v>
      </c>
      <c r="F250" s="56" t="str">
        <f t="shared" si="216"/>
        <v>mar</v>
      </c>
      <c r="G250" s="56">
        <f t="shared" si="223"/>
        <v>46161</v>
      </c>
      <c r="H250" s="17">
        <v>28</v>
      </c>
      <c r="I250" s="17">
        <f t="shared" si="260"/>
        <v>5.1311704610116786</v>
      </c>
      <c r="J250" s="17">
        <f t="shared" si="261"/>
        <v>5.7682323314996413</v>
      </c>
      <c r="K250" s="113">
        <f t="shared" si="178"/>
        <v>6.8583333333333334</v>
      </c>
      <c r="L250" s="17">
        <v>27</v>
      </c>
      <c r="M250" s="17">
        <v>71.5</v>
      </c>
      <c r="N250" s="17">
        <f t="shared" si="240"/>
        <v>113.84011867063344</v>
      </c>
      <c r="O250" s="17">
        <v>160.57074469048388</v>
      </c>
      <c r="P250" s="18">
        <f>SUMPRODUCT(H250:O250,'Fisico ASIG'!F250:M250)*24</f>
        <v>15666305.499460965</v>
      </c>
      <c r="Q250" s="43">
        <v>0</v>
      </c>
      <c r="R250" s="43">
        <f t="shared" si="262"/>
        <v>5880.28546343164</v>
      </c>
      <c r="S250" s="43">
        <f t="shared" si="263"/>
        <v>2905.3720328888112</v>
      </c>
      <c r="T250" s="43">
        <f t="shared" si="215"/>
        <v>1795.6376259798433</v>
      </c>
      <c r="U250" s="43">
        <v>18000</v>
      </c>
      <c r="V250" s="20">
        <v>0</v>
      </c>
      <c r="W250" s="20">
        <v>21900</v>
      </c>
      <c r="X250" s="20">
        <v>0</v>
      </c>
      <c r="Y250" s="18">
        <f>SUMPRODUCT(Q250:X250,'Fisico ASIG'!O250:V250)/E250</f>
        <v>4997603.6853729421</v>
      </c>
      <c r="Z250" s="25">
        <f t="shared" si="264"/>
        <v>20663909.184833907</v>
      </c>
      <c r="AA250" s="26">
        <f>+Z250/'Fisico ASIG'!N250/24</f>
        <v>87.424956625620098</v>
      </c>
      <c r="AB250" s="26">
        <f>+$AB$16*0.9*Precios!$P$13/0.61/Precios!$Q$13</f>
        <v>11.485986250661025</v>
      </c>
      <c r="AC250" s="29">
        <f t="shared" si="265"/>
        <v>75.938970374959069</v>
      </c>
      <c r="AI250" s="1">
        <v>7241</v>
      </c>
      <c r="AJ250" s="1">
        <v>5762594</v>
      </c>
      <c r="AK250">
        <f t="shared" si="192"/>
        <v>1.44</v>
      </c>
      <c r="AL250" s="40">
        <f t="shared" si="193"/>
        <v>8140.0083333333323</v>
      </c>
      <c r="AM250">
        <v>4100000</v>
      </c>
      <c r="AN250" s="17">
        <v>106.22493552284163</v>
      </c>
      <c r="AO250" s="74">
        <f t="shared" si="266"/>
        <v>6.7651831477918103</v>
      </c>
      <c r="AP250">
        <v>0</v>
      </c>
      <c r="AQ250" s="1">
        <v>0.85</v>
      </c>
    </row>
    <row r="251" spans="1:43" x14ac:dyDescent="0.25">
      <c r="A251" s="3">
        <v>1411.1790000000001</v>
      </c>
      <c r="B251" s="42">
        <v>1399.4749999999999</v>
      </c>
      <c r="C251" s="53">
        <v>2026</v>
      </c>
      <c r="D251" s="52">
        <f>+'Fisico ASIG'!B251</f>
        <v>46143</v>
      </c>
      <c r="E251" s="1">
        <v>31</v>
      </c>
      <c r="F251" s="56" t="str">
        <f t="shared" si="216"/>
        <v>mié</v>
      </c>
      <c r="G251" s="56">
        <f t="shared" si="223"/>
        <v>46162</v>
      </c>
      <c r="H251" s="17">
        <v>28</v>
      </c>
      <c r="I251" s="17">
        <f t="shared" ref="I251:I256" si="267">AI251/A251</f>
        <v>5.1311704610116786</v>
      </c>
      <c r="J251" s="17">
        <f t="shared" ref="J251:J256" si="268">+AL251/A251</f>
        <v>5.7682323314996413</v>
      </c>
      <c r="K251" s="113">
        <f t="shared" si="178"/>
        <v>6.8583333333333334</v>
      </c>
      <c r="L251" s="17">
        <v>27</v>
      </c>
      <c r="M251" s="17">
        <v>71.5</v>
      </c>
      <c r="N251" s="17">
        <f t="shared" si="240"/>
        <v>126.62788628688351</v>
      </c>
      <c r="O251" s="17">
        <v>159.5803107345784</v>
      </c>
      <c r="P251" s="18">
        <f>SUMPRODUCT(H251:O251,'Fisico ASIG'!F251:M251)*24</f>
        <v>17330018.596833423</v>
      </c>
      <c r="Q251" s="43">
        <v>0</v>
      </c>
      <c r="R251" s="43">
        <f t="shared" ref="R251:R256" si="269">+AJ251*AK251/A251</f>
        <v>5880.28546343164</v>
      </c>
      <c r="S251" s="43">
        <f t="shared" ref="S251:S256" si="270">+AM251/A251</f>
        <v>2905.3720328888112</v>
      </c>
      <c r="T251" s="43">
        <f t="shared" si="215"/>
        <v>1795.6376259798433</v>
      </c>
      <c r="U251" s="43">
        <v>18000</v>
      </c>
      <c r="V251" s="20">
        <v>0</v>
      </c>
      <c r="W251" s="20">
        <v>21900</v>
      </c>
      <c r="X251" s="20">
        <v>0</v>
      </c>
      <c r="Y251" s="18">
        <f>SUMPRODUCT(Q251:X251,'Fisico ASIG'!O251:V251)/E251</f>
        <v>4991989.6503620585</v>
      </c>
      <c r="Z251" s="25">
        <f t="shared" ref="Z251:Z256" si="271">+(P251+Y251)</f>
        <v>22322008.247195482</v>
      </c>
      <c r="AA251" s="26">
        <f>+Z251/'Fisico ASIG'!N251/24</f>
        <v>91.463048239229522</v>
      </c>
      <c r="AB251" s="26">
        <f>+$AB$16*0.9*Precios!$P$13/0.61/Precios!$Q$13</f>
        <v>11.485986250661025</v>
      </c>
      <c r="AC251" s="29">
        <f t="shared" ref="AC251:AC256" si="272">+AA251-AB251</f>
        <v>79.977061988568494</v>
      </c>
      <c r="AI251" s="1">
        <v>7241</v>
      </c>
      <c r="AJ251" s="1">
        <v>5762594</v>
      </c>
      <c r="AK251">
        <f t="shared" si="192"/>
        <v>1.44</v>
      </c>
      <c r="AL251" s="40">
        <f t="shared" si="193"/>
        <v>8140.0083333333323</v>
      </c>
      <c r="AM251">
        <v>4100000</v>
      </c>
      <c r="AN251" s="17">
        <v>118.20410893384873</v>
      </c>
      <c r="AO251" s="74">
        <f t="shared" ref="AO251:AO261" si="273">0.075*0.9*(AN251-6)</f>
        <v>7.5737773530347896</v>
      </c>
      <c r="AP251">
        <v>0</v>
      </c>
      <c r="AQ251" s="1">
        <v>0.85</v>
      </c>
    </row>
    <row r="252" spans="1:43" x14ac:dyDescent="0.25">
      <c r="A252" s="3">
        <v>1411.1790000000001</v>
      </c>
      <c r="B252" s="42">
        <v>1399.4749999999999</v>
      </c>
      <c r="C252" s="53">
        <v>2026</v>
      </c>
      <c r="D252" s="52">
        <f>+'Fisico ASIG'!B252</f>
        <v>46143</v>
      </c>
      <c r="E252" s="1">
        <v>31</v>
      </c>
      <c r="F252" s="56" t="str">
        <f t="shared" si="216"/>
        <v>jue</v>
      </c>
      <c r="G252" s="56">
        <f t="shared" si="223"/>
        <v>46163</v>
      </c>
      <c r="H252" s="17">
        <v>28</v>
      </c>
      <c r="I252" s="17">
        <f t="shared" si="267"/>
        <v>5.1311704610116786</v>
      </c>
      <c r="J252" s="17">
        <f t="shared" si="268"/>
        <v>5.7682323314996413</v>
      </c>
      <c r="K252" s="113">
        <f t="shared" si="178"/>
        <v>6.8583333333333334</v>
      </c>
      <c r="L252" s="17">
        <v>27</v>
      </c>
      <c r="M252" s="17">
        <v>71.5</v>
      </c>
      <c r="N252" s="17">
        <f t="shared" si="240"/>
        <v>127.72004988942763</v>
      </c>
      <c r="O252" s="17">
        <v>162.47275899900029</v>
      </c>
      <c r="P252" s="18">
        <f>SUMPRODUCT(H252:O252,'Fisico ASIG'!F252:M252)*24</f>
        <v>18501881.794968843</v>
      </c>
      <c r="Q252" s="43">
        <v>0</v>
      </c>
      <c r="R252" s="43">
        <f t="shared" si="269"/>
        <v>5880.28546343164</v>
      </c>
      <c r="S252" s="43">
        <f t="shared" si="270"/>
        <v>2905.3720328888112</v>
      </c>
      <c r="T252" s="43">
        <f t="shared" si="215"/>
        <v>1795.6376259798433</v>
      </c>
      <c r="U252" s="43">
        <v>18000</v>
      </c>
      <c r="V252" s="20">
        <v>0</v>
      </c>
      <c r="W252" s="20">
        <v>21900</v>
      </c>
      <c r="X252" s="20">
        <v>0</v>
      </c>
      <c r="Y252" s="18">
        <f>SUMPRODUCT(Q252:X252,'Fisico ASIG'!O252:V252)/E252</f>
        <v>5042804.5614563869</v>
      </c>
      <c r="Z252" s="25">
        <f t="shared" si="271"/>
        <v>23544686.356425229</v>
      </c>
      <c r="AA252" s="26">
        <f>+Z252/'Fisico ASIG'!N252/24</f>
        <v>89.861530606613329</v>
      </c>
      <c r="AB252" s="26">
        <f>+$AB$16*0.9*Precios!$P$13/0.61/Precios!$Q$13</f>
        <v>11.485986250661025</v>
      </c>
      <c r="AC252" s="29">
        <f t="shared" si="272"/>
        <v>78.3755443559523</v>
      </c>
      <c r="AI252" s="1">
        <v>7241</v>
      </c>
      <c r="AJ252" s="1">
        <v>5762594</v>
      </c>
      <c r="AK252">
        <f t="shared" si="192"/>
        <v>1.44</v>
      </c>
      <c r="AL252" s="40">
        <f t="shared" si="193"/>
        <v>8140.0083333333323</v>
      </c>
      <c r="AM252">
        <v>4100000</v>
      </c>
      <c r="AN252" s="17">
        <v>119.22721301117343</v>
      </c>
      <c r="AO252" s="74">
        <f t="shared" si="273"/>
        <v>7.6428368782542071</v>
      </c>
      <c r="AP252">
        <v>0</v>
      </c>
      <c r="AQ252" s="1">
        <v>0.85</v>
      </c>
    </row>
    <row r="253" spans="1:43" x14ac:dyDescent="0.25">
      <c r="A253" s="3">
        <v>1411.1790000000001</v>
      </c>
      <c r="B253" s="42">
        <v>1399.4749999999999</v>
      </c>
      <c r="C253" s="53">
        <v>2026</v>
      </c>
      <c r="D253" s="52">
        <f>+'Fisico ASIG'!B253</f>
        <v>46143</v>
      </c>
      <c r="E253" s="1">
        <v>31</v>
      </c>
      <c r="F253" s="56" t="str">
        <f t="shared" si="216"/>
        <v>vie</v>
      </c>
      <c r="G253" s="56">
        <f t="shared" si="223"/>
        <v>46164</v>
      </c>
      <c r="H253" s="17">
        <v>28</v>
      </c>
      <c r="I253" s="17">
        <f t="shared" si="267"/>
        <v>5.1311704610116786</v>
      </c>
      <c r="J253" s="17">
        <f t="shared" si="268"/>
        <v>5.7682323314996413</v>
      </c>
      <c r="K253" s="113">
        <f t="shared" si="178"/>
        <v>6.8583333333333334</v>
      </c>
      <c r="L253" s="17">
        <v>27</v>
      </c>
      <c r="M253" s="17">
        <v>71.5</v>
      </c>
      <c r="N253" s="17">
        <f t="shared" si="240"/>
        <v>120.90838927590121</v>
      </c>
      <c r="O253" s="17">
        <v>161.96391875179933</v>
      </c>
      <c r="P253" s="18">
        <f>SUMPRODUCT(H253:O253,'Fisico ASIG'!F253:M253)*24</f>
        <v>18373330.258667685</v>
      </c>
      <c r="Q253" s="43">
        <v>0</v>
      </c>
      <c r="R253" s="43">
        <f t="shared" si="269"/>
        <v>5880.28546343164</v>
      </c>
      <c r="S253" s="43">
        <f t="shared" si="270"/>
        <v>2905.3720328888112</v>
      </c>
      <c r="T253" s="43">
        <f t="shared" si="215"/>
        <v>1795.6376259798433</v>
      </c>
      <c r="U253" s="43">
        <v>18000</v>
      </c>
      <c r="V253" s="20">
        <v>0</v>
      </c>
      <c r="W253" s="20">
        <v>21900</v>
      </c>
      <c r="X253" s="20">
        <v>0</v>
      </c>
      <c r="Y253" s="18">
        <f>SUMPRODUCT(Q253:X253,'Fisico ASIG'!O253:V253)/E253</f>
        <v>5022144.8448068844</v>
      </c>
      <c r="Z253" s="25">
        <f t="shared" si="271"/>
        <v>23395475.103474569</v>
      </c>
      <c r="AA253" s="26">
        <f>+Z253/'Fisico ASIG'!N253/24</f>
        <v>88.377286535613408</v>
      </c>
      <c r="AB253" s="26">
        <f>+$AB$16*0.9*Precios!$P$13/0.61/Precios!$Q$13</f>
        <v>11.485986250661025</v>
      </c>
      <c r="AC253" s="29">
        <f t="shared" si="272"/>
        <v>76.891300284952379</v>
      </c>
      <c r="AI253" s="1">
        <v>7241</v>
      </c>
      <c r="AJ253" s="1">
        <v>5762594</v>
      </c>
      <c r="AK253">
        <f t="shared" si="192"/>
        <v>1.44</v>
      </c>
      <c r="AL253" s="40">
        <f t="shared" si="193"/>
        <v>8140.0083333333323</v>
      </c>
      <c r="AM253">
        <v>4100000</v>
      </c>
      <c r="AN253" s="17">
        <v>112.84626630061004</v>
      </c>
      <c r="AO253" s="74">
        <f t="shared" si="273"/>
        <v>7.2121229752911784</v>
      </c>
      <c r="AP253">
        <v>0</v>
      </c>
      <c r="AQ253" s="1">
        <v>0.85</v>
      </c>
    </row>
    <row r="254" spans="1:43" x14ac:dyDescent="0.25">
      <c r="A254" s="3">
        <v>1411.1790000000001</v>
      </c>
      <c r="B254" s="42">
        <v>1399.4749999999999</v>
      </c>
      <c r="C254" s="53">
        <v>2026</v>
      </c>
      <c r="D254" s="52">
        <f>+'Fisico ASIG'!B254</f>
        <v>46143</v>
      </c>
      <c r="E254" s="1">
        <v>31</v>
      </c>
      <c r="F254" s="56" t="str">
        <f t="shared" si="216"/>
        <v>sáb</v>
      </c>
      <c r="G254" s="56">
        <f t="shared" si="223"/>
        <v>46165</v>
      </c>
      <c r="H254" s="17">
        <v>28</v>
      </c>
      <c r="I254" s="17">
        <f t="shared" si="267"/>
        <v>5.1311704610116786</v>
      </c>
      <c r="J254" s="17">
        <f t="shared" si="268"/>
        <v>5.7682323314996413</v>
      </c>
      <c r="K254" s="113">
        <f t="shared" si="178"/>
        <v>6.8583333333333334</v>
      </c>
      <c r="L254" s="17">
        <v>27</v>
      </c>
      <c r="M254" s="17">
        <v>71.5</v>
      </c>
      <c r="N254" s="17">
        <f t="shared" si="240"/>
        <v>100.62978162827132</v>
      </c>
      <c r="O254" s="17">
        <v>162.49109278249156</v>
      </c>
      <c r="P254" s="18">
        <f>SUMPRODUCT(H254:O254,'Fisico ASIG'!F254:M254)*24</f>
        <v>14718133.801334653</v>
      </c>
      <c r="Q254" s="43">
        <v>0</v>
      </c>
      <c r="R254" s="43">
        <f t="shared" si="269"/>
        <v>5880.28546343164</v>
      </c>
      <c r="S254" s="43">
        <f t="shared" si="270"/>
        <v>2905.3720328888112</v>
      </c>
      <c r="T254" s="43">
        <f t="shared" si="215"/>
        <v>1795.6376259798433</v>
      </c>
      <c r="U254" s="43">
        <v>18000</v>
      </c>
      <c r="V254" s="20">
        <v>0</v>
      </c>
      <c r="W254" s="20">
        <v>21900</v>
      </c>
      <c r="X254" s="20">
        <v>0</v>
      </c>
      <c r="Y254" s="18">
        <f>SUMPRODUCT(Q254:X254,'Fisico ASIG'!O254:V254)/E254</f>
        <v>4959405.5911056632</v>
      </c>
      <c r="Z254" s="25">
        <f t="shared" si="271"/>
        <v>19677539.392440315</v>
      </c>
      <c r="AA254" s="26">
        <f>+Z254/'Fisico ASIG'!N254/24</f>
        <v>82.81770156651983</v>
      </c>
      <c r="AB254" s="26">
        <f>+$AB$16*0.9*Precios!$P$13/0.61/Precios!$Q$13</f>
        <v>11.485986250661025</v>
      </c>
      <c r="AC254" s="29">
        <f t="shared" si="272"/>
        <v>71.331715315858801</v>
      </c>
      <c r="AI254" s="1">
        <v>7241</v>
      </c>
      <c r="AJ254" s="1">
        <v>5762594</v>
      </c>
      <c r="AK254">
        <f t="shared" si="192"/>
        <v>1.44</v>
      </c>
      <c r="AL254" s="40">
        <f t="shared" si="193"/>
        <v>8140.0083333333323</v>
      </c>
      <c r="AM254">
        <v>4100000</v>
      </c>
      <c r="AN254" s="17">
        <v>93.849912532338479</v>
      </c>
      <c r="AO254" s="74">
        <f t="shared" si="273"/>
        <v>5.9298690959328475</v>
      </c>
      <c r="AP254">
        <v>0</v>
      </c>
      <c r="AQ254" s="1">
        <v>0.85</v>
      </c>
    </row>
    <row r="255" spans="1:43" x14ac:dyDescent="0.25">
      <c r="A255" s="3">
        <v>1411.1790000000001</v>
      </c>
      <c r="B255" s="42">
        <v>1399.4749999999999</v>
      </c>
      <c r="C255" s="53">
        <v>2026</v>
      </c>
      <c r="D255" s="52">
        <f>+'Fisico ASIG'!B255</f>
        <v>46143</v>
      </c>
      <c r="E255" s="1">
        <v>31</v>
      </c>
      <c r="F255" s="56" t="str">
        <f t="shared" si="216"/>
        <v>dom</v>
      </c>
      <c r="G255" s="56">
        <f t="shared" si="223"/>
        <v>46166</v>
      </c>
      <c r="H255" s="17">
        <v>28</v>
      </c>
      <c r="I255" s="17">
        <f t="shared" si="267"/>
        <v>5.1311704610116786</v>
      </c>
      <c r="J255" s="17">
        <f t="shared" si="268"/>
        <v>5.7682323314996413</v>
      </c>
      <c r="K255" s="113">
        <f t="shared" si="178"/>
        <v>6.8583333333333334</v>
      </c>
      <c r="L255" s="17">
        <v>27</v>
      </c>
      <c r="M255" s="17">
        <v>71.5</v>
      </c>
      <c r="N255" s="17">
        <f t="shared" si="240"/>
        <v>90.691004526225825</v>
      </c>
      <c r="O255" s="17">
        <v>162.06202736793045</v>
      </c>
      <c r="P255" s="18">
        <f>SUMPRODUCT(H255:O255,'Fisico ASIG'!F255:M255)*24</f>
        <v>13826987.793031864</v>
      </c>
      <c r="Q255" s="43">
        <v>0</v>
      </c>
      <c r="R255" s="43">
        <f t="shared" si="269"/>
        <v>5880.28546343164</v>
      </c>
      <c r="S255" s="43">
        <f t="shared" si="270"/>
        <v>2905.3720328888112</v>
      </c>
      <c r="T255" s="43">
        <f t="shared" si="215"/>
        <v>1795.6376259798433</v>
      </c>
      <c r="U255" s="43">
        <v>18000</v>
      </c>
      <c r="V255" s="20">
        <v>0</v>
      </c>
      <c r="W255" s="20">
        <v>21900</v>
      </c>
      <c r="X255" s="20">
        <v>0</v>
      </c>
      <c r="Y255" s="18">
        <f>SUMPRODUCT(Q255:X255,'Fisico ASIG'!O255:V255)/E255</f>
        <v>5170616.493367644</v>
      </c>
      <c r="Z255" s="25">
        <f t="shared" si="271"/>
        <v>18997604.286399506</v>
      </c>
      <c r="AA255" s="26">
        <f>+Z255/'Fisico ASIG'!N255/24</f>
        <v>88.153372143787564</v>
      </c>
      <c r="AB255" s="26">
        <f>+$AB$16*0.9*Precios!$P$13/0.61/Precios!$Q$13</f>
        <v>11.485986250661025</v>
      </c>
      <c r="AC255" s="29">
        <f t="shared" si="272"/>
        <v>76.667385893126536</v>
      </c>
      <c r="AI255" s="1">
        <v>7241</v>
      </c>
      <c r="AJ255" s="1">
        <v>5762594</v>
      </c>
      <c r="AK255">
        <f t="shared" si="192"/>
        <v>1.44</v>
      </c>
      <c r="AL255" s="40">
        <f t="shared" si="193"/>
        <v>8140.0083333333323</v>
      </c>
      <c r="AM255">
        <v>4100000</v>
      </c>
      <c r="AN255" s="17">
        <v>84.539582694356753</v>
      </c>
      <c r="AO255" s="74">
        <f t="shared" si="273"/>
        <v>5.3014218318690816</v>
      </c>
      <c r="AP255">
        <v>0</v>
      </c>
      <c r="AQ255" s="1">
        <v>0.85</v>
      </c>
    </row>
    <row r="256" spans="1:43" x14ac:dyDescent="0.25">
      <c r="A256" s="3">
        <v>1411.1790000000001</v>
      </c>
      <c r="B256" s="42">
        <v>1399.4749999999999</v>
      </c>
      <c r="C256" s="53">
        <v>2026</v>
      </c>
      <c r="D256" s="52">
        <f>+'Fisico ASIG'!B256</f>
        <v>46143</v>
      </c>
      <c r="E256" s="1">
        <v>31</v>
      </c>
      <c r="F256" s="56" t="str">
        <f t="shared" si="216"/>
        <v>lun</v>
      </c>
      <c r="G256" s="56">
        <f t="shared" si="223"/>
        <v>46167</v>
      </c>
      <c r="H256" s="17">
        <v>28</v>
      </c>
      <c r="I256" s="17">
        <f t="shared" si="267"/>
        <v>5.1311704610116786</v>
      </c>
      <c r="J256" s="17">
        <f t="shared" si="268"/>
        <v>5.7682323314996413</v>
      </c>
      <c r="K256" s="113">
        <f t="shared" si="178"/>
        <v>6.8583333333333334</v>
      </c>
      <c r="L256" s="17">
        <v>27</v>
      </c>
      <c r="M256" s="17">
        <v>71.5</v>
      </c>
      <c r="N256" s="17">
        <f t="shared" si="240"/>
        <v>88.615602228714337</v>
      </c>
      <c r="O256" s="17">
        <v>161.93567124848425</v>
      </c>
      <c r="P256" s="18">
        <f>SUMPRODUCT(H256:O256,'Fisico ASIG'!F256:M256)*24</f>
        <v>12084298.033589114</v>
      </c>
      <c r="Q256" s="43">
        <v>0</v>
      </c>
      <c r="R256" s="43">
        <f t="shared" si="269"/>
        <v>5880.28546343164</v>
      </c>
      <c r="S256" s="43">
        <f t="shared" si="270"/>
        <v>2905.3720328888112</v>
      </c>
      <c r="T256" s="43">
        <f t="shared" si="215"/>
        <v>1795.6376259798433</v>
      </c>
      <c r="U256" s="43">
        <v>18000</v>
      </c>
      <c r="V256" s="20">
        <v>0</v>
      </c>
      <c r="W256" s="20">
        <v>21900</v>
      </c>
      <c r="X256" s="20">
        <v>0</v>
      </c>
      <c r="Y256" s="18">
        <f>SUMPRODUCT(Q256:X256,'Fisico ASIG'!O256:V256)/E256</f>
        <v>5468841.0675484249</v>
      </c>
      <c r="Z256" s="25">
        <f t="shared" si="271"/>
        <v>17553139.101137538</v>
      </c>
      <c r="AA256" s="26">
        <f>+Z256/'Fisico ASIG'!N256/24</f>
        <v>84.429458894200295</v>
      </c>
      <c r="AB256" s="26">
        <f>+$AB$16*0.9*Precios!$P$13/0.61/Precios!$Q$13</f>
        <v>11.485986250661025</v>
      </c>
      <c r="AC256" s="29">
        <f t="shared" si="272"/>
        <v>72.943472643539266</v>
      </c>
      <c r="AI256" s="1">
        <v>7241</v>
      </c>
      <c r="AJ256" s="1">
        <v>5762594</v>
      </c>
      <c r="AK256">
        <f t="shared" si="192"/>
        <v>1.44</v>
      </c>
      <c r="AL256" s="40">
        <f t="shared" si="193"/>
        <v>8140.0083333333323</v>
      </c>
      <c r="AM256">
        <v>4100000</v>
      </c>
      <c r="AN256" s="17">
        <v>82.595411923854186</v>
      </c>
      <c r="AO256" s="74">
        <f t="shared" si="273"/>
        <v>5.1701903048601583</v>
      </c>
      <c r="AP256">
        <v>0</v>
      </c>
      <c r="AQ256" s="1">
        <v>0.85</v>
      </c>
    </row>
    <row r="257" spans="1:43" x14ac:dyDescent="0.25">
      <c r="A257" s="3">
        <v>1411.1790000000001</v>
      </c>
      <c r="B257" s="42">
        <v>1399.4749999999999</v>
      </c>
      <c r="C257" s="53">
        <v>2026</v>
      </c>
      <c r="D257" s="52">
        <f>+'Fisico ASIG'!B257</f>
        <v>46143</v>
      </c>
      <c r="E257" s="1">
        <v>31</v>
      </c>
      <c r="F257" s="56" t="str">
        <f t="shared" si="216"/>
        <v>mar</v>
      </c>
      <c r="G257" s="56">
        <f t="shared" si="223"/>
        <v>46168</v>
      </c>
      <c r="H257" s="17">
        <v>28</v>
      </c>
      <c r="I257" s="17">
        <f t="shared" ref="I257:I261" si="274">AI257/A257</f>
        <v>5.1311704610116786</v>
      </c>
      <c r="J257" s="17">
        <f t="shared" ref="J257:J261" si="275">+AL257/A257</f>
        <v>5.7682323314996413</v>
      </c>
      <c r="K257" s="113">
        <f t="shared" si="178"/>
        <v>6.8583333333333334</v>
      </c>
      <c r="L257" s="17">
        <v>27</v>
      </c>
      <c r="M257" s="17">
        <v>71.5</v>
      </c>
      <c r="N257" s="17">
        <f t="shared" ref="N257:N261" si="276">+AN257+AO257+AP257+AQ257</f>
        <v>119.07536141221998</v>
      </c>
      <c r="O257" s="17">
        <v>162.59397778748229</v>
      </c>
      <c r="P257" s="18">
        <f>SUMPRODUCT(H257:O257,'Fisico ASIG'!F257:M257)*24</f>
        <v>16124087.8903512</v>
      </c>
      <c r="Q257" s="43">
        <v>0</v>
      </c>
      <c r="R257" s="43">
        <f t="shared" ref="R257:R261" si="277">+AJ257*AK257/A257</f>
        <v>5880.28546343164</v>
      </c>
      <c r="S257" s="43">
        <f t="shared" ref="S257:S261" si="278">+AM257/A257</f>
        <v>2905.3720328888112</v>
      </c>
      <c r="T257" s="43">
        <f t="shared" si="215"/>
        <v>1795.6376259798433</v>
      </c>
      <c r="U257" s="43">
        <v>18000</v>
      </c>
      <c r="V257" s="20">
        <v>0</v>
      </c>
      <c r="W257" s="20">
        <v>21900</v>
      </c>
      <c r="X257" s="20">
        <v>0</v>
      </c>
      <c r="Y257" s="18">
        <f>SUMPRODUCT(Q257:X257,'Fisico ASIG'!O257:V257)/E257</f>
        <v>5336535.7423563832</v>
      </c>
      <c r="Z257" s="25">
        <f t="shared" ref="Z257:Z261" si="279">+(P257+Y257)</f>
        <v>21460623.632707585</v>
      </c>
      <c r="AA257" s="26">
        <f>+Z257/'Fisico ASIG'!N257/24</f>
        <v>88.820042201900492</v>
      </c>
      <c r="AB257" s="26">
        <f>+$AB$16*0.9*Precios!$P$13/0.61/Precios!$Q$13</f>
        <v>11.485986250661025</v>
      </c>
      <c r="AC257" s="29">
        <f t="shared" ref="AC257:AC261" si="280">+AA257-AB257</f>
        <v>77.334055951239463</v>
      </c>
      <c r="AI257" s="1">
        <v>7241</v>
      </c>
      <c r="AJ257" s="1">
        <v>5762594</v>
      </c>
      <c r="AK257">
        <f t="shared" si="192"/>
        <v>1.44</v>
      </c>
      <c r="AL257" s="40">
        <f t="shared" si="193"/>
        <v>8140.0083333333323</v>
      </c>
      <c r="AM257">
        <v>4100000</v>
      </c>
      <c r="AN257" s="17">
        <v>111.12914418006555</v>
      </c>
      <c r="AO257" s="74">
        <f t="shared" si="273"/>
        <v>7.0962172321544248</v>
      </c>
      <c r="AP257">
        <v>0</v>
      </c>
      <c r="AQ257" s="1">
        <v>0.85</v>
      </c>
    </row>
    <row r="258" spans="1:43" x14ac:dyDescent="0.25">
      <c r="A258" s="3">
        <v>1411.1790000000001</v>
      </c>
      <c r="B258" s="42">
        <v>1399.4749999999999</v>
      </c>
      <c r="C258" s="53">
        <v>2026</v>
      </c>
      <c r="D258" s="52">
        <f>+'Fisico ASIG'!B258</f>
        <v>46143</v>
      </c>
      <c r="E258" s="1">
        <v>31</v>
      </c>
      <c r="F258" s="56" t="str">
        <f t="shared" si="216"/>
        <v>mié</v>
      </c>
      <c r="G258" s="56">
        <f t="shared" si="223"/>
        <v>46169</v>
      </c>
      <c r="H258" s="17">
        <v>28</v>
      </c>
      <c r="I258" s="17">
        <f t="shared" si="274"/>
        <v>5.1311704610116786</v>
      </c>
      <c r="J258" s="17">
        <f t="shared" si="275"/>
        <v>5.7682323314996413</v>
      </c>
      <c r="K258" s="113">
        <f t="shared" si="178"/>
        <v>6.8583333333333334</v>
      </c>
      <c r="L258" s="17">
        <v>27</v>
      </c>
      <c r="M258" s="17">
        <v>71.5</v>
      </c>
      <c r="N258" s="17">
        <f t="shared" si="276"/>
        <v>141.82710569918885</v>
      </c>
      <c r="O258" s="17">
        <v>161.93083337059034</v>
      </c>
      <c r="P258" s="18">
        <f>SUMPRODUCT(H258:O258,'Fisico ASIG'!F258:M258)*24</f>
        <v>17578554.512400806</v>
      </c>
      <c r="Q258" s="43">
        <v>0</v>
      </c>
      <c r="R258" s="43">
        <f t="shared" si="277"/>
        <v>5880.28546343164</v>
      </c>
      <c r="S258" s="43">
        <f t="shared" si="278"/>
        <v>2905.3720328888112</v>
      </c>
      <c r="T258" s="43">
        <f t="shared" si="215"/>
        <v>1795.6376259798433</v>
      </c>
      <c r="U258" s="43">
        <v>18000</v>
      </c>
      <c r="V258" s="20">
        <v>0</v>
      </c>
      <c r="W258" s="20">
        <v>21900</v>
      </c>
      <c r="X258" s="20">
        <v>0</v>
      </c>
      <c r="Y258" s="18">
        <f>SUMPRODUCT(Q258:X258,'Fisico ASIG'!O258:V258)/E258</f>
        <v>5104518.250542081</v>
      </c>
      <c r="Z258" s="25">
        <f t="shared" si="279"/>
        <v>22683072.762942888</v>
      </c>
      <c r="AA258" s="26">
        <f>+Z258/'Fisico ASIG'!N258/24</f>
        <v>92.003126745386837</v>
      </c>
      <c r="AB258" s="26">
        <f>+$AB$16*0.9*Precios!$P$13/0.61/Precios!$Q$13</f>
        <v>11.485986250661025</v>
      </c>
      <c r="AC258" s="29">
        <f t="shared" si="280"/>
        <v>80.517140494725808</v>
      </c>
      <c r="AI258" s="1">
        <v>7241</v>
      </c>
      <c r="AJ258" s="1">
        <v>5762594</v>
      </c>
      <c r="AK258">
        <f t="shared" si="192"/>
        <v>1.44</v>
      </c>
      <c r="AL258" s="40">
        <f t="shared" si="193"/>
        <v>8140.0083333333323</v>
      </c>
      <c r="AM258">
        <v>4100000</v>
      </c>
      <c r="AN258" s="17">
        <v>132.44225358237833</v>
      </c>
      <c r="AO258" s="74">
        <f t="shared" si="273"/>
        <v>8.5348521168105371</v>
      </c>
      <c r="AP258">
        <v>0</v>
      </c>
      <c r="AQ258" s="1">
        <v>0.85</v>
      </c>
    </row>
    <row r="259" spans="1:43" x14ac:dyDescent="0.25">
      <c r="A259" s="3">
        <v>1411.1790000000001</v>
      </c>
      <c r="B259" s="42">
        <v>1399.4749999999999</v>
      </c>
      <c r="C259" s="53">
        <v>2026</v>
      </c>
      <c r="D259" s="52">
        <f>+'Fisico ASIG'!B259</f>
        <v>46143</v>
      </c>
      <c r="E259" s="1">
        <v>31</v>
      </c>
      <c r="F259" s="56" t="str">
        <f t="shared" si="216"/>
        <v>jue</v>
      </c>
      <c r="G259" s="56">
        <f t="shared" si="223"/>
        <v>46170</v>
      </c>
      <c r="H259" s="17">
        <v>28</v>
      </c>
      <c r="I259" s="17">
        <f t="shared" si="274"/>
        <v>5.1311704610116786</v>
      </c>
      <c r="J259" s="17">
        <f t="shared" si="275"/>
        <v>5.7682323314996413</v>
      </c>
      <c r="K259" s="113">
        <f t="shared" si="178"/>
        <v>6.8583333333333334</v>
      </c>
      <c r="L259" s="17">
        <v>27</v>
      </c>
      <c r="M259" s="17">
        <v>71.5</v>
      </c>
      <c r="N259" s="17">
        <f t="shared" si="276"/>
        <v>143.23735785978081</v>
      </c>
      <c r="O259" s="17">
        <v>161.90578278954749</v>
      </c>
      <c r="P259" s="18">
        <f>SUMPRODUCT(H259:O259,'Fisico ASIG'!F259:M259)*24</f>
        <v>17816033.978418224</v>
      </c>
      <c r="Q259" s="43">
        <v>0</v>
      </c>
      <c r="R259" s="43">
        <f t="shared" si="277"/>
        <v>5880.28546343164</v>
      </c>
      <c r="S259" s="43">
        <f t="shared" si="278"/>
        <v>2905.3720328888112</v>
      </c>
      <c r="T259" s="43">
        <f t="shared" si="215"/>
        <v>1795.6376259798433</v>
      </c>
      <c r="U259" s="43">
        <v>18000</v>
      </c>
      <c r="V259" s="20">
        <v>0</v>
      </c>
      <c r="W259" s="20">
        <v>21900</v>
      </c>
      <c r="X259" s="20">
        <v>0</v>
      </c>
      <c r="Y259" s="18">
        <f>SUMPRODUCT(Q259:X259,'Fisico ASIG'!O259:V259)/E259</f>
        <v>5368979.1642843522</v>
      </c>
      <c r="Z259" s="25">
        <f t="shared" si="279"/>
        <v>23185013.142702576</v>
      </c>
      <c r="AA259" s="26">
        <f>+Z259/'Fisico ASIG'!N259/24</f>
        <v>95.790213950875227</v>
      </c>
      <c r="AB259" s="26">
        <f>+$AB$16*0.9*Precios!$P$13/0.61/Precios!$Q$13</f>
        <v>11.485986250661025</v>
      </c>
      <c r="AC259" s="29">
        <f t="shared" si="280"/>
        <v>84.304227700214199</v>
      </c>
      <c r="AI259" s="1">
        <v>7241</v>
      </c>
      <c r="AJ259" s="1">
        <v>5762594</v>
      </c>
      <c r="AK259">
        <f t="shared" si="192"/>
        <v>1.44</v>
      </c>
      <c r="AL259" s="40">
        <f t="shared" si="193"/>
        <v>8140.0083333333323</v>
      </c>
      <c r="AM259">
        <v>4100000</v>
      </c>
      <c r="AN259" s="17">
        <v>133.76333288972441</v>
      </c>
      <c r="AO259" s="74">
        <f t="shared" si="273"/>
        <v>8.6240249700563982</v>
      </c>
      <c r="AP259">
        <v>0</v>
      </c>
      <c r="AQ259" s="1">
        <v>0.85</v>
      </c>
    </row>
    <row r="260" spans="1:43" x14ac:dyDescent="0.25">
      <c r="A260" s="3">
        <v>1411.1790000000001</v>
      </c>
      <c r="B260" s="42">
        <v>1399.4749999999999</v>
      </c>
      <c r="C260" s="53">
        <v>2026</v>
      </c>
      <c r="D260" s="52">
        <f>+'Fisico ASIG'!B260</f>
        <v>46143</v>
      </c>
      <c r="E260" s="1">
        <v>31</v>
      </c>
      <c r="F260" s="56" t="str">
        <f t="shared" si="216"/>
        <v>vie</v>
      </c>
      <c r="G260" s="56">
        <f t="shared" si="223"/>
        <v>46171</v>
      </c>
      <c r="H260" s="17">
        <v>28</v>
      </c>
      <c r="I260" s="17">
        <f t="shared" si="274"/>
        <v>5.1311704610116786</v>
      </c>
      <c r="J260" s="17">
        <f t="shared" si="275"/>
        <v>5.7682323314996413</v>
      </c>
      <c r="K260" s="113">
        <f t="shared" si="178"/>
        <v>6.8583333333333334</v>
      </c>
      <c r="L260" s="17">
        <v>27</v>
      </c>
      <c r="M260" s="17">
        <v>71.5</v>
      </c>
      <c r="N260" s="17">
        <f t="shared" si="276"/>
        <v>125.37224180028254</v>
      </c>
      <c r="O260" s="17">
        <v>162.38645994844902</v>
      </c>
      <c r="P260" s="18">
        <f>SUMPRODUCT(H260:O260,'Fisico ASIG'!F260:M260)*24</f>
        <v>16599686.71151026</v>
      </c>
      <c r="Q260" s="43">
        <v>0</v>
      </c>
      <c r="R260" s="43">
        <f t="shared" si="277"/>
        <v>5880.28546343164</v>
      </c>
      <c r="S260" s="43">
        <f t="shared" si="278"/>
        <v>2905.3720328888112</v>
      </c>
      <c r="T260" s="43">
        <f t="shared" si="215"/>
        <v>1795.6376259798433</v>
      </c>
      <c r="U260" s="43">
        <v>18000</v>
      </c>
      <c r="V260" s="20">
        <v>0</v>
      </c>
      <c r="W260" s="20">
        <v>21900</v>
      </c>
      <c r="X260" s="20">
        <v>0</v>
      </c>
      <c r="Y260" s="18">
        <f>SUMPRODUCT(Q260:X260,'Fisico ASIG'!O260:V260)/E260</f>
        <v>5463455.9360279711</v>
      </c>
      <c r="Z260" s="25">
        <f t="shared" si="279"/>
        <v>22063142.64753823</v>
      </c>
      <c r="AA260" s="26">
        <f>+Z260/'Fisico ASIG'!N260/24</f>
        <v>91.599469755044254</v>
      </c>
      <c r="AB260" s="26">
        <f>+$AB$16*0.9*Precios!$P$13/0.61/Precios!$Q$13</f>
        <v>11.485986250661025</v>
      </c>
      <c r="AC260" s="29">
        <f t="shared" si="280"/>
        <v>80.113483504383225</v>
      </c>
      <c r="AI260" s="1">
        <v>7241</v>
      </c>
      <c r="AJ260" s="1">
        <v>5762594</v>
      </c>
      <c r="AK260">
        <f t="shared" si="192"/>
        <v>1.44</v>
      </c>
      <c r="AL260" s="40">
        <f t="shared" si="193"/>
        <v>8140.0083333333323</v>
      </c>
      <c r="AM260">
        <v>4100000</v>
      </c>
      <c r="AN260" s="17">
        <v>117.02786117122487</v>
      </c>
      <c r="AO260" s="74">
        <f t="shared" si="273"/>
        <v>7.4943806290576793</v>
      </c>
      <c r="AP260">
        <v>0</v>
      </c>
      <c r="AQ260" s="1">
        <v>0.85</v>
      </c>
    </row>
    <row r="261" spans="1:43" x14ac:dyDescent="0.25">
      <c r="A261" s="3">
        <v>1411.1790000000001</v>
      </c>
      <c r="B261" s="42">
        <v>1399.4749999999999</v>
      </c>
      <c r="C261" s="53">
        <v>2026</v>
      </c>
      <c r="D261" s="52">
        <f>+'Fisico ASIG'!B261</f>
        <v>46143</v>
      </c>
      <c r="E261" s="1">
        <v>31</v>
      </c>
      <c r="F261" s="56" t="str">
        <f t="shared" si="216"/>
        <v>sáb</v>
      </c>
      <c r="G261" s="56">
        <f t="shared" si="223"/>
        <v>46172</v>
      </c>
      <c r="H261" s="17">
        <v>28</v>
      </c>
      <c r="I261" s="17">
        <f t="shared" si="274"/>
        <v>5.1311704610116786</v>
      </c>
      <c r="J261" s="17">
        <f t="shared" si="275"/>
        <v>5.7682323314996413</v>
      </c>
      <c r="K261" s="113">
        <f t="shared" si="178"/>
        <v>6.8583333333333334</v>
      </c>
      <c r="L261" s="17">
        <v>27</v>
      </c>
      <c r="M261" s="17">
        <v>71.5</v>
      </c>
      <c r="N261" s="17">
        <f t="shared" si="276"/>
        <v>120.90234533371805</v>
      </c>
      <c r="O261" s="17">
        <v>162.63834255666498</v>
      </c>
      <c r="P261" s="18">
        <f>SUMPRODUCT(H261:O261,'Fisico ASIG'!F261:M261)*24</f>
        <v>15013370.541125927</v>
      </c>
      <c r="Q261" s="43">
        <v>0</v>
      </c>
      <c r="R261" s="43">
        <f t="shared" si="277"/>
        <v>5880.28546343164</v>
      </c>
      <c r="S261" s="43">
        <f t="shared" si="278"/>
        <v>2905.3720328888112</v>
      </c>
      <c r="T261" s="43">
        <f t="shared" si="215"/>
        <v>1795.6376259798433</v>
      </c>
      <c r="U261" s="43">
        <v>18000</v>
      </c>
      <c r="V261" s="20">
        <v>0</v>
      </c>
      <c r="W261" s="20">
        <v>21900</v>
      </c>
      <c r="X261" s="20">
        <v>0</v>
      </c>
      <c r="Y261" s="18">
        <f>SUMPRODUCT(Q261:X261,'Fisico ASIG'!O261:V261)/E261</f>
        <v>5519123.106327815</v>
      </c>
      <c r="Z261" s="25">
        <f t="shared" si="279"/>
        <v>20532493.64745374</v>
      </c>
      <c r="AA261" s="26">
        <f>+Z261/'Fisico ASIG'!N261/24</f>
        <v>92.992496976033081</v>
      </c>
      <c r="AB261" s="26">
        <f>+$AB$16*0.9*Precios!$P$13/0.61/Precios!$Q$13</f>
        <v>11.485986250661025</v>
      </c>
      <c r="AC261" s="29">
        <f t="shared" si="280"/>
        <v>81.506510725372053</v>
      </c>
      <c r="AI261" s="1">
        <v>7241</v>
      </c>
      <c r="AJ261" s="1">
        <v>5762594</v>
      </c>
      <c r="AK261">
        <f t="shared" si="192"/>
        <v>1.44</v>
      </c>
      <c r="AL261" s="40">
        <f t="shared" si="193"/>
        <v>8140.0083333333323</v>
      </c>
      <c r="AM261">
        <v>4100000</v>
      </c>
      <c r="AN261" s="17">
        <v>112.84060452807311</v>
      </c>
      <c r="AO261" s="74">
        <f t="shared" si="273"/>
        <v>7.2117408056449355</v>
      </c>
      <c r="AP261">
        <v>0</v>
      </c>
      <c r="AQ261" s="1">
        <v>0.85</v>
      </c>
    </row>
    <row r="262" spans="1:43" x14ac:dyDescent="0.25">
      <c r="A262" s="3">
        <v>1411.1790000000001</v>
      </c>
      <c r="B262" s="42">
        <v>1399.4749999999999</v>
      </c>
      <c r="C262" s="53">
        <v>2026</v>
      </c>
      <c r="D262" s="52">
        <f>+'Fisico ASIG'!B262</f>
        <v>46143</v>
      </c>
      <c r="E262" s="1">
        <v>31</v>
      </c>
      <c r="F262" s="56" t="str">
        <f t="shared" si="216"/>
        <v>dom</v>
      </c>
      <c r="G262" s="56">
        <f t="shared" si="223"/>
        <v>46173</v>
      </c>
      <c r="H262" s="17">
        <v>28</v>
      </c>
      <c r="I262" s="17">
        <f t="shared" ref="I262:I269" si="281">AI262/A262</f>
        <v>5.1311704610116786</v>
      </c>
      <c r="J262" s="17">
        <f t="shared" ref="J262:J269" si="282">+AL262/A262</f>
        <v>5.7682323314996413</v>
      </c>
      <c r="K262" s="113">
        <f t="shared" si="178"/>
        <v>6.8583333333333334</v>
      </c>
      <c r="L262" s="17">
        <v>27</v>
      </c>
      <c r="M262" s="17">
        <v>71.5</v>
      </c>
      <c r="N262" s="17">
        <f t="shared" ref="N262:N269" si="283">+AN262+AO262+AP262+AQ262</f>
        <v>120.90234533371805</v>
      </c>
      <c r="O262" s="17">
        <v>162.86435561785626</v>
      </c>
      <c r="P262" s="18">
        <f>SUMPRODUCT(H262:O262,'Fisico ASIG'!F262:M262)*24</f>
        <v>14617154.51015535</v>
      </c>
      <c r="Q262" s="43">
        <v>0</v>
      </c>
      <c r="R262" s="43">
        <f t="shared" ref="R262:R269" si="284">+AJ262*AK262/A262</f>
        <v>5880.28546343164</v>
      </c>
      <c r="S262" s="43">
        <f t="shared" ref="S262:S269" si="285">+AM262/A262</f>
        <v>2905.3720328888112</v>
      </c>
      <c r="T262" s="43">
        <f t="shared" si="215"/>
        <v>1795.6376259798433</v>
      </c>
      <c r="U262" s="43">
        <v>18000</v>
      </c>
      <c r="V262" s="20">
        <v>0</v>
      </c>
      <c r="W262" s="20">
        <v>21900</v>
      </c>
      <c r="X262" s="20">
        <v>0</v>
      </c>
      <c r="Y262" s="18">
        <f>SUMPRODUCT(Q262:X262,'Fisico ASIG'!O262:V262)/E262</f>
        <v>5531939.2253921805</v>
      </c>
      <c r="Z262" s="25">
        <f t="shared" ref="Z262:Z269" si="286">+(P262+Y262)</f>
        <v>20149093.735547531</v>
      </c>
      <c r="AA262" s="26">
        <f>+Z262/'Fisico ASIG'!N262/24</f>
        <v>98.315328334512586</v>
      </c>
      <c r="AB262" s="26">
        <f>+$AB$16*0.9*Precios!$P$13/0.61/Precios!$Q$13</f>
        <v>11.485986250661025</v>
      </c>
      <c r="AC262" s="29">
        <f t="shared" ref="AC262:AC269" si="287">+AA262-AB262</f>
        <v>86.829342083851557</v>
      </c>
      <c r="AI262" s="1">
        <v>7241</v>
      </c>
      <c r="AJ262" s="1">
        <v>5762594</v>
      </c>
      <c r="AK262">
        <f t="shared" si="192"/>
        <v>1.44</v>
      </c>
      <c r="AL262" s="40">
        <f t="shared" si="193"/>
        <v>8140.0083333333323</v>
      </c>
      <c r="AM262">
        <v>4100000</v>
      </c>
      <c r="AN262" s="17">
        <v>112.84060452807311</v>
      </c>
      <c r="AO262" s="74">
        <f t="shared" ref="AO262:AO269" si="288">0.075*0.9*(AN262-6)</f>
        <v>7.2117408056449355</v>
      </c>
      <c r="AP262">
        <v>0</v>
      </c>
      <c r="AQ262" s="1">
        <v>0.85</v>
      </c>
    </row>
    <row r="263" spans="1:43" x14ac:dyDescent="0.25">
      <c r="A263" s="3">
        <v>1477.29</v>
      </c>
      <c r="B263" s="42">
        <v>1407.8889999999999</v>
      </c>
      <c r="C263" s="53">
        <v>2026</v>
      </c>
      <c r="D263" s="52">
        <f>+'Fisico ASIG'!B263</f>
        <v>46174</v>
      </c>
      <c r="E263" s="1">
        <v>30</v>
      </c>
      <c r="F263" s="56" t="str">
        <f t="shared" si="216"/>
        <v>lun</v>
      </c>
      <c r="G263" s="56">
        <f t="shared" si="223"/>
        <v>46174</v>
      </c>
      <c r="H263" s="17">
        <v>28</v>
      </c>
      <c r="I263" s="17">
        <f t="shared" si="281"/>
        <v>4.9015426896547059</v>
      </c>
      <c r="J263" s="17">
        <f t="shared" si="282"/>
        <v>5.5100950614526143</v>
      </c>
      <c r="K263" s="113">
        <f t="shared" si="178"/>
        <v>6.8583333333333334</v>
      </c>
      <c r="L263" s="17">
        <v>27</v>
      </c>
      <c r="M263" s="17">
        <v>71.5</v>
      </c>
      <c r="N263" s="17">
        <f t="shared" si="283"/>
        <v>120.2233591617384</v>
      </c>
      <c r="O263" s="17">
        <v>151.88856033023021</v>
      </c>
      <c r="P263" s="18">
        <f>SUMPRODUCT(H263:O263,'Fisico ASIG'!F263:M263)*24</f>
        <v>15680879.289005373</v>
      </c>
      <c r="Q263" s="43">
        <v>0</v>
      </c>
      <c r="R263" s="43">
        <f t="shared" si="284"/>
        <v>5617.1336433604774</v>
      </c>
      <c r="S263" s="43">
        <f t="shared" si="285"/>
        <v>2775.3521651131464</v>
      </c>
      <c r="T263" s="43">
        <f t="shared" si="215"/>
        <v>1795.6376259798433</v>
      </c>
      <c r="U263" s="43">
        <v>18000</v>
      </c>
      <c r="V263" s="20">
        <v>0</v>
      </c>
      <c r="W263" s="20">
        <v>21900</v>
      </c>
      <c r="X263" s="20">
        <v>0</v>
      </c>
      <c r="Y263" s="18">
        <f>SUMPRODUCT(Q263:X263,'Fisico ASIG'!O263:V263)/E263</f>
        <v>5723462.0308900746</v>
      </c>
      <c r="Z263" s="25">
        <f t="shared" si="286"/>
        <v>21404341.319895446</v>
      </c>
      <c r="AA263" s="26">
        <f>+Z263/'Fisico ASIG'!N263/24</f>
        <v>95.961542002856802</v>
      </c>
      <c r="AB263" s="26">
        <f>+$AB$16*1.1*Precios!$P$14/0.61/Precios!$Q$14</f>
        <v>15.147540983606559</v>
      </c>
      <c r="AC263" s="29">
        <f t="shared" si="287"/>
        <v>80.814001019250242</v>
      </c>
      <c r="AI263" s="1">
        <v>7241</v>
      </c>
      <c r="AJ263" s="1">
        <v>5762594</v>
      </c>
      <c r="AK263">
        <f t="shared" si="192"/>
        <v>1.44</v>
      </c>
      <c r="AL263" s="40">
        <f t="shared" si="193"/>
        <v>8140.0083333333323</v>
      </c>
      <c r="AM263">
        <v>4100000</v>
      </c>
      <c r="AN263" s="17">
        <v>112.20455190795167</v>
      </c>
      <c r="AO263" s="74">
        <f t="shared" si="288"/>
        <v>7.1688072537867384</v>
      </c>
      <c r="AP263">
        <v>0</v>
      </c>
      <c r="AQ263" s="1">
        <v>0.85</v>
      </c>
    </row>
    <row r="264" spans="1:43" x14ac:dyDescent="0.25">
      <c r="A264" s="3">
        <v>1477.29</v>
      </c>
      <c r="B264" s="42">
        <v>1407.8889999999999</v>
      </c>
      <c r="C264" s="53">
        <v>2026</v>
      </c>
      <c r="D264" s="52">
        <f>+'Fisico ASIG'!B264</f>
        <v>46174</v>
      </c>
      <c r="E264" s="1">
        <v>30</v>
      </c>
      <c r="F264" s="56" t="str">
        <f t="shared" si="216"/>
        <v>mar</v>
      </c>
      <c r="G264" s="56">
        <f t="shared" si="223"/>
        <v>46175</v>
      </c>
      <c r="H264" s="17">
        <v>28</v>
      </c>
      <c r="I264" s="17">
        <f t="shared" si="281"/>
        <v>4.9015426896547059</v>
      </c>
      <c r="J264" s="17">
        <f t="shared" si="282"/>
        <v>5.5100950614526143</v>
      </c>
      <c r="K264" s="113">
        <f t="shared" si="178"/>
        <v>6.8583333333333334</v>
      </c>
      <c r="L264" s="17">
        <v>27</v>
      </c>
      <c r="M264" s="17">
        <v>71.5</v>
      </c>
      <c r="N264" s="17">
        <f t="shared" si="283"/>
        <v>101.57347389906056</v>
      </c>
      <c r="O264" s="17">
        <v>165.63930147082914</v>
      </c>
      <c r="P264" s="18">
        <f>SUMPRODUCT(H264:O264,'Fisico ASIG'!F264:M264)*24</f>
        <v>15958985.582495283</v>
      </c>
      <c r="Q264" s="43">
        <v>0</v>
      </c>
      <c r="R264" s="43">
        <f t="shared" si="284"/>
        <v>5617.1336433604774</v>
      </c>
      <c r="S264" s="43">
        <f t="shared" si="285"/>
        <v>2775.3521651131464</v>
      </c>
      <c r="T264" s="43">
        <f t="shared" si="215"/>
        <v>1795.6376259798433</v>
      </c>
      <c r="U264" s="43">
        <v>18000</v>
      </c>
      <c r="V264" s="20">
        <v>0</v>
      </c>
      <c r="W264" s="20">
        <v>21900</v>
      </c>
      <c r="X264" s="20">
        <v>0</v>
      </c>
      <c r="Y264" s="18">
        <f>SUMPRODUCT(Q264:X264,'Fisico ASIG'!O264:V264)/E264</f>
        <v>5698150.2731710831</v>
      </c>
      <c r="Z264" s="25">
        <f t="shared" si="286"/>
        <v>21657135.855666365</v>
      </c>
      <c r="AA264" s="26">
        <f>+Z264/'Fisico ASIG'!N264/24</f>
        <v>96.392053239495169</v>
      </c>
      <c r="AB264" s="26">
        <f>+$AB$16*1.1*Precios!$P$14/0.61/Precios!$Q$14</f>
        <v>15.147540983606559</v>
      </c>
      <c r="AC264" s="29">
        <f t="shared" si="287"/>
        <v>81.244512255888608</v>
      </c>
      <c r="AI264" s="1">
        <v>7241</v>
      </c>
      <c r="AJ264" s="1">
        <v>5762594</v>
      </c>
      <c r="AK264">
        <f t="shared" si="192"/>
        <v>1.44</v>
      </c>
      <c r="AL264" s="40">
        <f t="shared" si="193"/>
        <v>8140.0083333333323</v>
      </c>
      <c r="AM264">
        <v>4100000</v>
      </c>
      <c r="AN264" s="17">
        <v>94.733933394904511</v>
      </c>
      <c r="AO264" s="74">
        <f t="shared" si="288"/>
        <v>5.9895405041560545</v>
      </c>
      <c r="AP264">
        <v>0</v>
      </c>
      <c r="AQ264" s="1">
        <v>0.85</v>
      </c>
    </row>
    <row r="265" spans="1:43" x14ac:dyDescent="0.25">
      <c r="A265" s="3">
        <v>1477.29</v>
      </c>
      <c r="B265" s="42">
        <v>1407.8889999999999</v>
      </c>
      <c r="C265" s="53">
        <v>2026</v>
      </c>
      <c r="D265" s="52">
        <f>+'Fisico ASIG'!B265</f>
        <v>46174</v>
      </c>
      <c r="E265" s="1">
        <v>30</v>
      </c>
      <c r="F265" s="56" t="str">
        <f t="shared" si="216"/>
        <v>mié</v>
      </c>
      <c r="G265" s="56">
        <f t="shared" si="223"/>
        <v>46176</v>
      </c>
      <c r="H265" s="17">
        <v>28</v>
      </c>
      <c r="I265" s="17">
        <f t="shared" si="281"/>
        <v>4.9015426896547059</v>
      </c>
      <c r="J265" s="17">
        <f t="shared" si="282"/>
        <v>5.5100950614526143</v>
      </c>
      <c r="K265" s="113">
        <f t="shared" si="178"/>
        <v>6.8583333333333334</v>
      </c>
      <c r="L265" s="17">
        <v>27</v>
      </c>
      <c r="M265" s="17">
        <v>71.5</v>
      </c>
      <c r="N265" s="17">
        <f t="shared" si="283"/>
        <v>79.706414925059974</v>
      </c>
      <c r="O265" s="17">
        <v>170.50352601165162</v>
      </c>
      <c r="P265" s="18">
        <f>SUMPRODUCT(H265:O265,'Fisico ASIG'!F265:M265)*24</f>
        <v>13995929.517225448</v>
      </c>
      <c r="Q265" s="43">
        <v>0</v>
      </c>
      <c r="R265" s="43">
        <f t="shared" si="284"/>
        <v>5617.1336433604774</v>
      </c>
      <c r="S265" s="43">
        <f t="shared" si="285"/>
        <v>2775.3521651131464</v>
      </c>
      <c r="T265" s="43">
        <f t="shared" si="215"/>
        <v>1795.6376259798433</v>
      </c>
      <c r="U265" s="43">
        <v>18000</v>
      </c>
      <c r="V265" s="20">
        <v>0</v>
      </c>
      <c r="W265" s="20">
        <v>21900</v>
      </c>
      <c r="X265" s="20">
        <v>0</v>
      </c>
      <c r="Y265" s="18">
        <f>SUMPRODUCT(Q265:X265,'Fisico ASIG'!O265:V265)/E265</f>
        <v>5781755.0666197371</v>
      </c>
      <c r="Z265" s="25">
        <f t="shared" si="286"/>
        <v>19777684.583845183</v>
      </c>
      <c r="AA265" s="26">
        <f>+Z265/'Fisico ASIG'!N265/24</f>
        <v>91.072001710646632</v>
      </c>
      <c r="AB265" s="26">
        <f>+$AB$16*1.1*Precios!$P$14/0.61/Precios!$Q$14</f>
        <v>15.147540983606559</v>
      </c>
      <c r="AC265" s="29">
        <f t="shared" si="287"/>
        <v>75.924460727040071</v>
      </c>
      <c r="AI265" s="1">
        <v>7241</v>
      </c>
      <c r="AJ265" s="1">
        <v>5762594</v>
      </c>
      <c r="AK265">
        <f t="shared" si="192"/>
        <v>1.44</v>
      </c>
      <c r="AL265" s="40">
        <f t="shared" si="193"/>
        <v>8140.0083333333323</v>
      </c>
      <c r="AM265">
        <v>4100000</v>
      </c>
      <c r="AN265" s="17">
        <v>74.249569016449627</v>
      </c>
      <c r="AO265" s="74">
        <f t="shared" si="288"/>
        <v>4.6068459086103504</v>
      </c>
      <c r="AP265">
        <v>0</v>
      </c>
      <c r="AQ265" s="1">
        <v>0.85</v>
      </c>
    </row>
    <row r="266" spans="1:43" x14ac:dyDescent="0.25">
      <c r="A266" s="3">
        <v>1477.29</v>
      </c>
      <c r="B266" s="42">
        <v>1407.8889999999999</v>
      </c>
      <c r="C266" s="53">
        <v>2026</v>
      </c>
      <c r="D266" s="52">
        <f>+'Fisico ASIG'!B266</f>
        <v>46174</v>
      </c>
      <c r="E266" s="1">
        <v>30</v>
      </c>
      <c r="F266" s="56" t="str">
        <f t="shared" si="216"/>
        <v>jue</v>
      </c>
      <c r="G266" s="56">
        <f t="shared" si="223"/>
        <v>46177</v>
      </c>
      <c r="H266" s="17">
        <v>28</v>
      </c>
      <c r="I266" s="17">
        <f t="shared" si="281"/>
        <v>4.9015426896547059</v>
      </c>
      <c r="J266" s="17">
        <f t="shared" si="282"/>
        <v>5.5100950614526143</v>
      </c>
      <c r="K266" s="113">
        <f t="shared" si="178"/>
        <v>6.8583333333333334</v>
      </c>
      <c r="L266" s="17">
        <v>27</v>
      </c>
      <c r="M266" s="17">
        <v>71.5</v>
      </c>
      <c r="N266" s="17">
        <f t="shared" si="283"/>
        <v>84.781481911853376</v>
      </c>
      <c r="O266" s="17">
        <v>188.85098030397475</v>
      </c>
      <c r="P266" s="18">
        <f>SUMPRODUCT(H266:O266,'Fisico ASIG'!F266:M266)*24</f>
        <v>14185468.840625631</v>
      </c>
      <c r="Q266" s="43">
        <v>0</v>
      </c>
      <c r="R266" s="43">
        <f t="shared" si="284"/>
        <v>5617.1336433604774</v>
      </c>
      <c r="S266" s="43">
        <f t="shared" si="285"/>
        <v>2775.3521651131464</v>
      </c>
      <c r="T266" s="43">
        <f t="shared" si="215"/>
        <v>1795.6376259798433</v>
      </c>
      <c r="U266" s="43">
        <v>18000</v>
      </c>
      <c r="V266" s="20">
        <v>0</v>
      </c>
      <c r="W266" s="20">
        <v>21900</v>
      </c>
      <c r="X266" s="20">
        <v>0</v>
      </c>
      <c r="Y266" s="18">
        <f>SUMPRODUCT(Q266:X266,'Fisico ASIG'!O266:V266)/E266</f>
        <v>5794544.4325050069</v>
      </c>
      <c r="Z266" s="25">
        <f t="shared" si="286"/>
        <v>19980013.273130637</v>
      </c>
      <c r="AA266" s="26">
        <f>+Z266/'Fisico ASIG'!N266/24</f>
        <v>95.350049032731178</v>
      </c>
      <c r="AB266" s="26">
        <f>+$AB$16*1.1*Precios!$P$14/0.61/Precios!$Q$14</f>
        <v>15.147540983606559</v>
      </c>
      <c r="AC266" s="29">
        <f t="shared" si="287"/>
        <v>80.202508049124617</v>
      </c>
      <c r="AI266" s="1">
        <v>7241</v>
      </c>
      <c r="AJ266" s="1">
        <v>5762594</v>
      </c>
      <c r="AK266">
        <f t="shared" si="192"/>
        <v>1.44</v>
      </c>
      <c r="AL266" s="40">
        <f t="shared" si="193"/>
        <v>8140.0083333333323</v>
      </c>
      <c r="AM266">
        <v>4100000</v>
      </c>
      <c r="AN266" s="17">
        <v>79.003730128199891</v>
      </c>
      <c r="AO266" s="74">
        <f t="shared" si="288"/>
        <v>4.927751783653493</v>
      </c>
      <c r="AP266">
        <v>0</v>
      </c>
      <c r="AQ266" s="1">
        <v>0.85</v>
      </c>
    </row>
    <row r="267" spans="1:43" x14ac:dyDescent="0.25">
      <c r="A267" s="3">
        <v>1477.29</v>
      </c>
      <c r="B267" s="42">
        <v>1407.8889999999999</v>
      </c>
      <c r="C267" s="53">
        <v>2026</v>
      </c>
      <c r="D267" s="52">
        <f>+'Fisico ASIG'!B267</f>
        <v>46174</v>
      </c>
      <c r="E267" s="1">
        <v>30</v>
      </c>
      <c r="F267" s="56" t="str">
        <f t="shared" si="216"/>
        <v>vie</v>
      </c>
      <c r="G267" s="56">
        <f t="shared" si="223"/>
        <v>46178</v>
      </c>
      <c r="H267" s="17">
        <v>28</v>
      </c>
      <c r="I267" s="17">
        <f t="shared" si="281"/>
        <v>4.9015426896547059</v>
      </c>
      <c r="J267" s="17">
        <f t="shared" si="282"/>
        <v>5.5100950614526143</v>
      </c>
      <c r="K267" s="113">
        <f t="shared" si="178"/>
        <v>6.8583333333333334</v>
      </c>
      <c r="L267" s="17">
        <v>27</v>
      </c>
      <c r="M267" s="17">
        <v>71.5</v>
      </c>
      <c r="N267" s="17">
        <f t="shared" si="283"/>
        <v>84.485485216091732</v>
      </c>
      <c r="O267" s="17">
        <v>175.2907003941591</v>
      </c>
      <c r="P267" s="18">
        <f>SUMPRODUCT(H267:O267,'Fisico ASIG'!F267:M267)*24</f>
        <v>14781651.038396139</v>
      </c>
      <c r="Q267" s="43">
        <v>0</v>
      </c>
      <c r="R267" s="43">
        <f t="shared" si="284"/>
        <v>5617.1336433604774</v>
      </c>
      <c r="S267" s="43">
        <f t="shared" si="285"/>
        <v>2775.3521651131464</v>
      </c>
      <c r="T267" s="43">
        <f t="shared" si="215"/>
        <v>1795.6376259798433</v>
      </c>
      <c r="U267" s="43">
        <v>18000</v>
      </c>
      <c r="V267" s="20">
        <v>0</v>
      </c>
      <c r="W267" s="20">
        <v>21900</v>
      </c>
      <c r="X267" s="20">
        <v>0</v>
      </c>
      <c r="Y267" s="18">
        <f>SUMPRODUCT(Q267:X267,'Fisico ASIG'!O267:V267)/E267</f>
        <v>5786948.6375727486</v>
      </c>
      <c r="Z267" s="25">
        <f t="shared" si="286"/>
        <v>20568599.675968885</v>
      </c>
      <c r="AA267" s="26">
        <f>+Z267/'Fisico ASIG'!N267/24</f>
        <v>98.600949151568457</v>
      </c>
      <c r="AB267" s="26">
        <f>+$AB$16*1.1*Precios!$P$14/0.61/Precios!$Q$14</f>
        <v>15.147540983606559</v>
      </c>
      <c r="AC267" s="29">
        <f t="shared" si="287"/>
        <v>83.453408167961896</v>
      </c>
      <c r="AI267" s="1">
        <v>7241</v>
      </c>
      <c r="AJ267" s="1">
        <v>5762594</v>
      </c>
      <c r="AK267">
        <f t="shared" si="192"/>
        <v>1.44</v>
      </c>
      <c r="AL267" s="40">
        <f t="shared" si="193"/>
        <v>8140.0083333333323</v>
      </c>
      <c r="AM267">
        <v>4100000</v>
      </c>
      <c r="AN267" s="17">
        <v>78.726449851139805</v>
      </c>
      <c r="AO267" s="74">
        <f t="shared" si="288"/>
        <v>4.9090353649519374</v>
      </c>
      <c r="AP267">
        <v>0</v>
      </c>
      <c r="AQ267" s="1">
        <v>0.85</v>
      </c>
    </row>
    <row r="268" spans="1:43" x14ac:dyDescent="0.25">
      <c r="A268" s="3">
        <v>1477.29</v>
      </c>
      <c r="B268" s="42">
        <v>1407.8889999999999</v>
      </c>
      <c r="C268" s="53">
        <v>2026</v>
      </c>
      <c r="D268" s="52">
        <f>+'Fisico ASIG'!B268</f>
        <v>46174</v>
      </c>
      <c r="E268" s="1">
        <v>30</v>
      </c>
      <c r="F268" s="56" t="str">
        <f t="shared" si="216"/>
        <v>sáb</v>
      </c>
      <c r="G268" s="56">
        <f t="shared" si="223"/>
        <v>46179</v>
      </c>
      <c r="H268" s="17">
        <v>28</v>
      </c>
      <c r="I268" s="17">
        <f t="shared" si="281"/>
        <v>4.9015426896547059</v>
      </c>
      <c r="J268" s="17">
        <f t="shared" si="282"/>
        <v>5.5100950614526143</v>
      </c>
      <c r="K268" s="113">
        <f t="shared" si="178"/>
        <v>6.8583333333333334</v>
      </c>
      <c r="L268" s="17">
        <v>27</v>
      </c>
      <c r="M268" s="17">
        <v>71.5</v>
      </c>
      <c r="N268" s="17">
        <f t="shared" si="283"/>
        <v>80.558853142999226</v>
      </c>
      <c r="O268" s="17">
        <v>167.1302367367658</v>
      </c>
      <c r="P268" s="18">
        <f>SUMPRODUCT(H268:O268,'Fisico ASIG'!F268:M268)*24</f>
        <v>12820344.600658664</v>
      </c>
      <c r="Q268" s="43">
        <v>0</v>
      </c>
      <c r="R268" s="43">
        <f t="shared" si="284"/>
        <v>5617.1336433604774</v>
      </c>
      <c r="S268" s="43">
        <f t="shared" si="285"/>
        <v>2775.3521651131464</v>
      </c>
      <c r="T268" s="43">
        <f t="shared" si="215"/>
        <v>1795.6376259798433</v>
      </c>
      <c r="U268" s="43">
        <v>18000</v>
      </c>
      <c r="V268" s="20">
        <v>0</v>
      </c>
      <c r="W268" s="20">
        <v>21900</v>
      </c>
      <c r="X268" s="20">
        <v>0</v>
      </c>
      <c r="Y268" s="18">
        <f>SUMPRODUCT(Q268:X268,'Fisico ASIG'!O268:V268)/E268</f>
        <v>5727072.0541484067</v>
      </c>
      <c r="Z268" s="25">
        <f t="shared" si="286"/>
        <v>18547416.654807072</v>
      </c>
      <c r="AA268" s="26">
        <f>+Z268/'Fisico ASIG'!N268/24</f>
        <v>100.19575117977944</v>
      </c>
      <c r="AB268" s="26">
        <f>+$AB$16*1.1*Precios!$P$14/0.61/Precios!$Q$14</f>
        <v>15.147540983606559</v>
      </c>
      <c r="AC268" s="29">
        <f t="shared" si="287"/>
        <v>85.048210196172874</v>
      </c>
      <c r="AI268" s="1">
        <v>7241</v>
      </c>
      <c r="AJ268" s="1">
        <v>5762594</v>
      </c>
      <c r="AK268">
        <f t="shared" si="192"/>
        <v>1.44</v>
      </c>
      <c r="AL268" s="40">
        <f t="shared" si="193"/>
        <v>8140.0083333333323</v>
      </c>
      <c r="AM268">
        <v>4100000</v>
      </c>
      <c r="AN268" s="17">
        <v>75.048105988758067</v>
      </c>
      <c r="AO268" s="74">
        <f t="shared" si="288"/>
        <v>4.6607471542411698</v>
      </c>
      <c r="AP268">
        <v>0</v>
      </c>
      <c r="AQ268" s="1">
        <v>0.85</v>
      </c>
    </row>
    <row r="269" spans="1:43" x14ac:dyDescent="0.25">
      <c r="A269" s="3">
        <v>1477.29</v>
      </c>
      <c r="B269" s="42">
        <v>1407.8889999999999</v>
      </c>
      <c r="C269" s="53">
        <v>2026</v>
      </c>
      <c r="D269" s="52">
        <f>+'Fisico ASIG'!B269</f>
        <v>46174</v>
      </c>
      <c r="E269" s="1">
        <v>30</v>
      </c>
      <c r="F269" s="56" t="str">
        <f t="shared" si="216"/>
        <v>dom</v>
      </c>
      <c r="G269" s="56">
        <f t="shared" si="223"/>
        <v>46180</v>
      </c>
      <c r="H269" s="17">
        <v>28</v>
      </c>
      <c r="I269" s="17">
        <f t="shared" si="281"/>
        <v>4.9015426896547059</v>
      </c>
      <c r="J269" s="17">
        <f t="shared" si="282"/>
        <v>5.5100950614526143</v>
      </c>
      <c r="K269" s="113">
        <f t="shared" si="178"/>
        <v>6.8583333333333334</v>
      </c>
      <c r="L269" s="17">
        <v>27</v>
      </c>
      <c r="M269" s="17">
        <v>71.5</v>
      </c>
      <c r="N269" s="17">
        <f t="shared" si="283"/>
        <v>71.994813196867412</v>
      </c>
      <c r="O269" s="17">
        <v>169.80050796359851</v>
      </c>
      <c r="P269" s="18">
        <f>SUMPRODUCT(H269:O269,'Fisico ASIG'!F269:M269)*24</f>
        <v>11596888.210102465</v>
      </c>
      <c r="Q269" s="43">
        <v>0</v>
      </c>
      <c r="R269" s="43">
        <f t="shared" si="284"/>
        <v>5617.1336433604774</v>
      </c>
      <c r="S269" s="43">
        <f t="shared" si="285"/>
        <v>2775.3521651131464</v>
      </c>
      <c r="T269" s="43">
        <f t="shared" si="215"/>
        <v>1795.6376259798433</v>
      </c>
      <c r="U269" s="43">
        <v>18000</v>
      </c>
      <c r="V269" s="20">
        <v>0</v>
      </c>
      <c r="W269" s="20">
        <v>21900</v>
      </c>
      <c r="X269" s="20">
        <v>0</v>
      </c>
      <c r="Y269" s="18">
        <f>SUMPRODUCT(Q269:X269,'Fisico ASIG'!O269:V269)/E269</f>
        <v>5619947.1381210284</v>
      </c>
      <c r="Z269" s="25">
        <f t="shared" si="286"/>
        <v>17216835.348223493</v>
      </c>
      <c r="AA269" s="26">
        <f>+Z269/'Fisico ASIG'!N269/24</f>
        <v>97.684646340076313</v>
      </c>
      <c r="AB269" s="26">
        <f>+$AB$16*1.1*Precios!$P$14/0.61/Precios!$Q$14</f>
        <v>15.147540983606559</v>
      </c>
      <c r="AC269" s="29">
        <f t="shared" si="287"/>
        <v>82.537105356469752</v>
      </c>
      <c r="AI269" s="1">
        <v>7241</v>
      </c>
      <c r="AJ269" s="1">
        <v>5762594</v>
      </c>
      <c r="AK269">
        <f t="shared" si="192"/>
        <v>1.44</v>
      </c>
      <c r="AL269" s="40">
        <f t="shared" si="193"/>
        <v>8140.0083333333323</v>
      </c>
      <c r="AM269">
        <v>4100000</v>
      </c>
      <c r="AN269" s="17">
        <v>67.025586132896876</v>
      </c>
      <c r="AO269" s="74">
        <f t="shared" si="288"/>
        <v>4.1192270639705395</v>
      </c>
      <c r="AP269">
        <v>0</v>
      </c>
      <c r="AQ269" s="1">
        <v>0.85</v>
      </c>
    </row>
    <row r="270" spans="1:43" x14ac:dyDescent="0.25">
      <c r="A270" s="3">
        <v>1477.29</v>
      </c>
      <c r="B270" s="42">
        <v>1407.8889999999999</v>
      </c>
      <c r="C270" s="53">
        <v>2026</v>
      </c>
      <c r="D270" s="52">
        <f>+'Fisico ASIG'!B270</f>
        <v>46174</v>
      </c>
      <c r="E270" s="1">
        <v>30</v>
      </c>
      <c r="F270" s="56" t="str">
        <f t="shared" si="216"/>
        <v>lun</v>
      </c>
      <c r="G270" s="56">
        <f t="shared" si="223"/>
        <v>46181</v>
      </c>
      <c r="H270" s="17">
        <v>28</v>
      </c>
      <c r="I270" s="17">
        <f t="shared" ref="I270:I271" si="289">AI270/A270</f>
        <v>4.9015426896547059</v>
      </c>
      <c r="J270" s="17">
        <f t="shared" ref="J270:J271" si="290">+AL270/A270</f>
        <v>5.5100950614526143</v>
      </c>
      <c r="K270" s="113">
        <f t="shared" si="178"/>
        <v>6.8583333333333334</v>
      </c>
      <c r="L270" s="17">
        <v>27</v>
      </c>
      <c r="M270" s="17">
        <v>71.5</v>
      </c>
      <c r="N270" s="17">
        <f t="shared" ref="N270:N271" si="291">+AN270+AO270+AP270+AQ270</f>
        <v>106.64832113876425</v>
      </c>
      <c r="O270" s="17">
        <v>171.50200885485495</v>
      </c>
      <c r="P270" s="18">
        <f>SUMPRODUCT(H270:O270,'Fisico ASIG'!F270:M270)*24</f>
        <v>15344882.98235349</v>
      </c>
      <c r="Q270" s="43">
        <v>0</v>
      </c>
      <c r="R270" s="43">
        <f t="shared" ref="R270:R271" si="292">+AJ270*AK270/A270</f>
        <v>5617.1336433604774</v>
      </c>
      <c r="S270" s="43">
        <f t="shared" ref="S270:S271" si="293">+AM270/A270</f>
        <v>2775.3521651131464</v>
      </c>
      <c r="T270" s="43">
        <f t="shared" si="215"/>
        <v>1795.6376259798433</v>
      </c>
      <c r="U270" s="43">
        <v>18000</v>
      </c>
      <c r="V270" s="20">
        <v>0</v>
      </c>
      <c r="W270" s="20">
        <v>21900</v>
      </c>
      <c r="X270" s="20">
        <v>0</v>
      </c>
      <c r="Y270" s="18">
        <f>SUMPRODUCT(Q270:X270,'Fisico ASIG'!O270:V270)/E270</f>
        <v>5780558.7427342702</v>
      </c>
      <c r="Z270" s="25">
        <f t="shared" ref="Z270:Z271" si="294">+(P270+Y270)</f>
        <v>21125441.725087762</v>
      </c>
      <c r="AA270" s="26">
        <f>+Z270/'Fisico ASIG'!N270/24</f>
        <v>97.957305405182581</v>
      </c>
      <c r="AB270" s="26">
        <f>+$AB$16*1.1*Precios!$P$14/0.61/Precios!$Q$14</f>
        <v>15.147540983606559</v>
      </c>
      <c r="AC270" s="29">
        <f t="shared" ref="AC270:AC271" si="295">+AA270-AB270</f>
        <v>82.80976442157602</v>
      </c>
      <c r="AI270" s="1">
        <v>7241</v>
      </c>
      <c r="AJ270" s="1">
        <v>5762594</v>
      </c>
      <c r="AK270">
        <f t="shared" si="192"/>
        <v>1.44</v>
      </c>
      <c r="AL270" s="40">
        <f t="shared" si="193"/>
        <v>8140.0083333333323</v>
      </c>
      <c r="AM270">
        <v>4100000</v>
      </c>
      <c r="AN270" s="17">
        <v>99.48788865458009</v>
      </c>
      <c r="AO270" s="74">
        <f t="shared" ref="AO270:AO271" si="296">0.075*0.9*(AN270-6)</f>
        <v>6.3104324841841564</v>
      </c>
      <c r="AP270">
        <v>0</v>
      </c>
      <c r="AQ270" s="1">
        <v>0.85</v>
      </c>
    </row>
    <row r="271" spans="1:43" x14ac:dyDescent="0.25">
      <c r="A271" s="3">
        <v>1477.29</v>
      </c>
      <c r="B271" s="42">
        <v>1407.8889999999999</v>
      </c>
      <c r="C271" s="53">
        <v>2026</v>
      </c>
      <c r="D271" s="52">
        <f>+'Fisico ASIG'!B271</f>
        <v>46174</v>
      </c>
      <c r="E271" s="1">
        <v>30</v>
      </c>
      <c r="F271" s="56" t="str">
        <f t="shared" si="216"/>
        <v>mar</v>
      </c>
      <c r="G271" s="56">
        <f t="shared" si="223"/>
        <v>46182</v>
      </c>
      <c r="H271" s="17">
        <v>28</v>
      </c>
      <c r="I271" s="17">
        <f t="shared" si="289"/>
        <v>4.9015426896547059</v>
      </c>
      <c r="J271" s="17">
        <f t="shared" si="290"/>
        <v>5.5100950614526143</v>
      </c>
      <c r="K271" s="113">
        <f t="shared" si="178"/>
        <v>6.8583333333333334</v>
      </c>
      <c r="L271" s="17">
        <v>27</v>
      </c>
      <c r="M271" s="17">
        <v>71.5</v>
      </c>
      <c r="N271" s="17">
        <f t="shared" si="291"/>
        <v>105.84678517779909</v>
      </c>
      <c r="O271" s="17">
        <v>171.98409690621585</v>
      </c>
      <c r="P271" s="18">
        <f>SUMPRODUCT(H271:O271,'Fisico ASIG'!F271:M271)*24</f>
        <v>15645047.938591847</v>
      </c>
      <c r="Q271" s="43">
        <v>0</v>
      </c>
      <c r="R271" s="43">
        <f t="shared" si="292"/>
        <v>5617.1336433604774</v>
      </c>
      <c r="S271" s="43">
        <f t="shared" si="293"/>
        <v>2775.3521651131464</v>
      </c>
      <c r="T271" s="43">
        <f t="shared" si="215"/>
        <v>1795.6376259798433</v>
      </c>
      <c r="U271" s="43">
        <v>18000</v>
      </c>
      <c r="V271" s="20">
        <v>0</v>
      </c>
      <c r="W271" s="20">
        <v>21900</v>
      </c>
      <c r="X271" s="20">
        <v>0</v>
      </c>
      <c r="Y271" s="18">
        <f>SUMPRODUCT(Q271:X271,'Fisico ASIG'!O271:V271)/E271</f>
        <v>5811129.0078726551</v>
      </c>
      <c r="Z271" s="25">
        <f t="shared" si="294"/>
        <v>21456176.946464501</v>
      </c>
      <c r="AA271" s="26">
        <f>+Z271/'Fisico ASIG'!N271/24</f>
        <v>96.945777504753394</v>
      </c>
      <c r="AB271" s="26">
        <f>+$AB$16*1.1*Precios!$P$14/0.61/Precios!$Q$14</f>
        <v>15.147540983606559</v>
      </c>
      <c r="AC271" s="29">
        <f t="shared" si="295"/>
        <v>81.798236521146833</v>
      </c>
      <c r="AI271" s="1">
        <v>7241</v>
      </c>
      <c r="AJ271" s="1">
        <v>5762594</v>
      </c>
      <c r="AK271">
        <f t="shared" si="192"/>
        <v>1.44</v>
      </c>
      <c r="AL271" s="40">
        <f t="shared" si="193"/>
        <v>8140.0083333333323</v>
      </c>
      <c r="AM271">
        <v>4100000</v>
      </c>
      <c r="AN271" s="138">
        <v>98.737035295362148</v>
      </c>
      <c r="AO271" s="74">
        <f t="shared" si="296"/>
        <v>6.2597498824369451</v>
      </c>
      <c r="AP271">
        <v>0</v>
      </c>
      <c r="AQ271" s="1">
        <v>0.85</v>
      </c>
    </row>
    <row r="272" spans="1:43" x14ac:dyDescent="0.25">
      <c r="A272" s="3">
        <v>1477.29</v>
      </c>
      <c r="B272" s="42">
        <v>1407.8889999999999</v>
      </c>
      <c r="C272" s="53">
        <v>2026</v>
      </c>
      <c r="D272" s="52">
        <f>+'Fisico ASIG'!B272</f>
        <v>46174</v>
      </c>
      <c r="E272" s="1">
        <v>30</v>
      </c>
      <c r="F272" s="56" t="str">
        <f t="shared" si="216"/>
        <v>mié</v>
      </c>
      <c r="G272" s="56">
        <f t="shared" si="223"/>
        <v>46183</v>
      </c>
      <c r="H272" s="17">
        <v>28</v>
      </c>
      <c r="I272" s="17">
        <f t="shared" ref="I272:I284" si="297">AI272/A272</f>
        <v>4.9015426896547059</v>
      </c>
      <c r="J272" s="17">
        <f t="shared" ref="J272:J284" si="298">+AL272/A272</f>
        <v>5.5100950614526143</v>
      </c>
      <c r="K272" s="113">
        <f t="shared" si="178"/>
        <v>6.8583333333333334</v>
      </c>
      <c r="L272" s="17">
        <v>27</v>
      </c>
      <c r="M272" s="17">
        <v>71.5</v>
      </c>
      <c r="N272" s="17">
        <f t="shared" ref="N272:N284" si="299">+AN272+AO272+AP272+AQ272</f>
        <v>104.07707907045892</v>
      </c>
      <c r="O272" s="17">
        <v>171.6352486394299</v>
      </c>
      <c r="P272" s="18">
        <f>SUMPRODUCT(H272:O272,'Fisico ASIG'!F272:M272)*24</f>
        <v>14476091.692727795</v>
      </c>
      <c r="Q272" s="43">
        <v>0</v>
      </c>
      <c r="R272" s="43">
        <f t="shared" ref="R272:R277" si="300">+AJ272*AK272/A272</f>
        <v>5617.1336433604774</v>
      </c>
      <c r="S272" s="43">
        <f t="shared" ref="S272:S277" si="301">+AM272/A272</f>
        <v>2775.3521651131464</v>
      </c>
      <c r="T272" s="43">
        <f t="shared" si="215"/>
        <v>1795.6376259798433</v>
      </c>
      <c r="U272" s="43">
        <v>18000</v>
      </c>
      <c r="V272" s="20">
        <v>0</v>
      </c>
      <c r="W272" s="20">
        <v>21900</v>
      </c>
      <c r="X272" s="20">
        <v>0</v>
      </c>
      <c r="Y272" s="18">
        <f>SUMPRODUCT(Q272:X272,'Fisico ASIG'!O272:V272)/E272</f>
        <v>5808091.8417813145</v>
      </c>
      <c r="Z272" s="25">
        <f t="shared" ref="Z272:Z277" si="302">+(P272+Y272)</f>
        <v>20284183.534509107</v>
      </c>
      <c r="AA272" s="26">
        <f>+Z272/'Fisico ASIG'!N272/24</f>
        <v>88.848988001746264</v>
      </c>
      <c r="AB272" s="26">
        <f>+$AB$16*1.1*Precios!$P$14/0.61/Precios!$Q$14</f>
        <v>15.147540983606559</v>
      </c>
      <c r="AC272" s="29">
        <f t="shared" ref="AC272:AC277" si="303">+AA272-AB272</f>
        <v>73.701447018139703</v>
      </c>
      <c r="AI272" s="1">
        <v>7241</v>
      </c>
      <c r="AJ272" s="1">
        <v>5762594</v>
      </c>
      <c r="AK272">
        <f t="shared" si="192"/>
        <v>1.44</v>
      </c>
      <c r="AL272" s="40">
        <f t="shared" si="193"/>
        <v>8140.0083333333323</v>
      </c>
      <c r="AM272">
        <v>4100000</v>
      </c>
      <c r="AN272" s="138">
        <v>97.07923097935263</v>
      </c>
      <c r="AO272" s="74">
        <f t="shared" ref="AO272:AO277" si="304">0.075*0.9*(AN272-6)</f>
        <v>6.1478480911063027</v>
      </c>
      <c r="AP272">
        <v>0</v>
      </c>
      <c r="AQ272" s="1">
        <v>0.85</v>
      </c>
    </row>
    <row r="273" spans="1:43" x14ac:dyDescent="0.25">
      <c r="A273" s="3">
        <v>1477.29</v>
      </c>
      <c r="B273" s="42">
        <v>1407.8889999999999</v>
      </c>
      <c r="C273" s="53">
        <v>2026</v>
      </c>
      <c r="D273" s="52">
        <f>+'Fisico ASIG'!B273</f>
        <v>46174</v>
      </c>
      <c r="E273" s="1">
        <v>30</v>
      </c>
      <c r="F273" s="56" t="str">
        <f t="shared" ref="F273:F284" si="305">+F266</f>
        <v>jue</v>
      </c>
      <c r="G273" s="56">
        <f t="shared" si="223"/>
        <v>46184</v>
      </c>
      <c r="H273" s="17">
        <v>28</v>
      </c>
      <c r="I273" s="17">
        <f t="shared" si="297"/>
        <v>4.9015426896547059</v>
      </c>
      <c r="J273" s="17">
        <f t="shared" si="298"/>
        <v>5.5100950614526143</v>
      </c>
      <c r="K273" s="113">
        <f t="shared" si="178"/>
        <v>6.8583333333333334</v>
      </c>
      <c r="L273" s="17">
        <v>27</v>
      </c>
      <c r="M273" s="17">
        <v>71.5</v>
      </c>
      <c r="N273" s="17">
        <f t="shared" si="299"/>
        <v>100.73210513547649</v>
      </c>
      <c r="O273" s="17">
        <v>159.17725963402049</v>
      </c>
      <c r="P273" s="18">
        <f>SUMPRODUCT(H273:O273,'Fisico ASIG'!F273:M273)*24</f>
        <v>14290812.441145767</v>
      </c>
      <c r="Q273" s="43">
        <v>0</v>
      </c>
      <c r="R273" s="43">
        <f t="shared" si="300"/>
        <v>5617.1336433604774</v>
      </c>
      <c r="S273" s="43">
        <f t="shared" si="301"/>
        <v>2775.3521651131464</v>
      </c>
      <c r="T273" s="43">
        <f t="shared" si="215"/>
        <v>1795.6376259798433</v>
      </c>
      <c r="U273" s="43">
        <v>18000</v>
      </c>
      <c r="V273" s="20">
        <v>0</v>
      </c>
      <c r="W273" s="20">
        <v>21900</v>
      </c>
      <c r="X273" s="20">
        <v>0</v>
      </c>
      <c r="Y273" s="18">
        <f>SUMPRODUCT(Q273:X273,'Fisico ASIG'!O273:V273)/E273</f>
        <v>5793619.8097106842</v>
      </c>
      <c r="Z273" s="25">
        <f t="shared" si="302"/>
        <v>20084432.250856452</v>
      </c>
      <c r="AA273" s="26">
        <f>+Z273/'Fisico ASIG'!N273/24</f>
        <v>90.926978539580389</v>
      </c>
      <c r="AB273" s="26">
        <f>+$AB$16*1.1*Precios!$P$14/0.61/Precios!$Q$14</f>
        <v>15.147540983606559</v>
      </c>
      <c r="AC273" s="29">
        <f t="shared" si="303"/>
        <v>75.779437555973828</v>
      </c>
      <c r="AI273" s="1">
        <v>7241</v>
      </c>
      <c r="AJ273" s="1">
        <v>5762594</v>
      </c>
      <c r="AK273">
        <f t="shared" si="192"/>
        <v>1.44</v>
      </c>
      <c r="AL273" s="40">
        <f t="shared" si="193"/>
        <v>8140.0083333333323</v>
      </c>
      <c r="AM273">
        <v>4100000</v>
      </c>
      <c r="AN273" s="138">
        <v>93.945765934872597</v>
      </c>
      <c r="AO273" s="74">
        <f t="shared" si="304"/>
        <v>5.9363392006039009</v>
      </c>
      <c r="AP273">
        <v>0</v>
      </c>
      <c r="AQ273" s="1">
        <v>0.85</v>
      </c>
    </row>
    <row r="274" spans="1:43" x14ac:dyDescent="0.25">
      <c r="A274" s="3">
        <v>1477.29</v>
      </c>
      <c r="B274" s="42">
        <v>1407.8889999999999</v>
      </c>
      <c r="C274" s="53">
        <v>2026</v>
      </c>
      <c r="D274" s="52">
        <f>+'Fisico ASIG'!B274</f>
        <v>46174</v>
      </c>
      <c r="E274" s="1">
        <v>30</v>
      </c>
      <c r="F274" s="56" t="str">
        <f t="shared" si="305"/>
        <v>vie</v>
      </c>
      <c r="G274" s="56">
        <f t="shared" ref="G274:G284" si="306">+G273+1</f>
        <v>46185</v>
      </c>
      <c r="H274" s="17">
        <v>28</v>
      </c>
      <c r="I274" s="17">
        <f t="shared" si="297"/>
        <v>4.9015426896547059</v>
      </c>
      <c r="J274" s="17">
        <f t="shared" si="298"/>
        <v>5.5100950614526143</v>
      </c>
      <c r="K274" s="113">
        <f t="shared" si="178"/>
        <v>6.8583333333333334</v>
      </c>
      <c r="L274" s="17">
        <v>27</v>
      </c>
      <c r="M274" s="17">
        <v>71.5</v>
      </c>
      <c r="N274" s="17">
        <f t="shared" si="299"/>
        <v>81.191914999594132</v>
      </c>
      <c r="O274" s="17">
        <v>175.09805916979104</v>
      </c>
      <c r="P274" s="18">
        <f>SUMPRODUCT(H274:O274,'Fisico ASIG'!F274:M274)*24</f>
        <v>14304551.276466779</v>
      </c>
      <c r="Q274" s="43">
        <v>0</v>
      </c>
      <c r="R274" s="43">
        <f t="shared" si="300"/>
        <v>5617.1336433604774</v>
      </c>
      <c r="S274" s="43">
        <f t="shared" si="301"/>
        <v>2775.3521651131464</v>
      </c>
      <c r="T274" s="43">
        <f t="shared" si="215"/>
        <v>1795.6376259798433</v>
      </c>
      <c r="U274" s="43">
        <v>18000</v>
      </c>
      <c r="V274" s="20">
        <v>0</v>
      </c>
      <c r="W274" s="20">
        <v>21900</v>
      </c>
      <c r="X274" s="20">
        <v>0</v>
      </c>
      <c r="Y274" s="18">
        <f>SUMPRODUCT(Q274:X274,'Fisico ASIG'!O274:V274)/E274</f>
        <v>5784058.2097535264</v>
      </c>
      <c r="Z274" s="25">
        <f t="shared" si="302"/>
        <v>20088609.486220308</v>
      </c>
      <c r="AA274" s="26">
        <f>+Z274/'Fisico ASIG'!N274/24</f>
        <v>91.991760275007451</v>
      </c>
      <c r="AB274" s="26">
        <f>+$AB$16*1.1*Precios!$P$14/0.61/Precios!$Q$14</f>
        <v>15.147540983606559</v>
      </c>
      <c r="AC274" s="29">
        <f t="shared" si="303"/>
        <v>76.84421929140089</v>
      </c>
      <c r="AI274" s="1">
        <v>7241</v>
      </c>
      <c r="AJ274" s="1">
        <v>5762594</v>
      </c>
      <c r="AK274">
        <f t="shared" si="192"/>
        <v>1.44</v>
      </c>
      <c r="AL274" s="40">
        <f t="shared" si="193"/>
        <v>8140.0083333333323</v>
      </c>
      <c r="AM274">
        <v>4100000</v>
      </c>
      <c r="AN274" s="138">
        <v>75.641138172921913</v>
      </c>
      <c r="AO274" s="74">
        <f t="shared" si="304"/>
        <v>4.7007768266722296</v>
      </c>
      <c r="AP274">
        <v>0</v>
      </c>
      <c r="AQ274" s="1">
        <v>0.85</v>
      </c>
    </row>
    <row r="275" spans="1:43" x14ac:dyDescent="0.25">
      <c r="A275" s="3">
        <v>1477.29</v>
      </c>
      <c r="B275" s="42">
        <v>1407.8889999999999</v>
      </c>
      <c r="C275" s="53">
        <v>2026</v>
      </c>
      <c r="D275" s="52">
        <f>+'Fisico ASIG'!B275</f>
        <v>46174</v>
      </c>
      <c r="E275" s="1">
        <v>30</v>
      </c>
      <c r="F275" s="56" t="str">
        <f t="shared" si="305"/>
        <v>sáb</v>
      </c>
      <c r="G275" s="56">
        <f t="shared" si="306"/>
        <v>46186</v>
      </c>
      <c r="H275" s="17">
        <v>28</v>
      </c>
      <c r="I275" s="17">
        <f t="shared" si="297"/>
        <v>4.9015426896547059</v>
      </c>
      <c r="J275" s="17">
        <f t="shared" si="298"/>
        <v>5.5100950614526143</v>
      </c>
      <c r="K275" s="113">
        <f t="shared" si="178"/>
        <v>6.8583333333333334</v>
      </c>
      <c r="L275" s="17">
        <v>27</v>
      </c>
      <c r="M275" s="17">
        <v>71.5</v>
      </c>
      <c r="N275" s="17">
        <f t="shared" si="299"/>
        <v>91.304894059456956</v>
      </c>
      <c r="O275" s="17">
        <v>168.27773837546852</v>
      </c>
      <c r="P275" s="18">
        <f>SUMPRODUCT(H275:O275,'Fisico ASIG'!F275:M275)*24</f>
        <v>14974227.270683907</v>
      </c>
      <c r="Q275" s="43">
        <v>0</v>
      </c>
      <c r="R275" s="43">
        <f t="shared" si="300"/>
        <v>5617.1336433604774</v>
      </c>
      <c r="S275" s="43">
        <f t="shared" si="301"/>
        <v>2775.3521651131464</v>
      </c>
      <c r="T275" s="43">
        <f t="shared" si="215"/>
        <v>1795.6376259798433</v>
      </c>
      <c r="U275" s="43">
        <v>18000</v>
      </c>
      <c r="V275" s="20">
        <v>0</v>
      </c>
      <c r="W275" s="20">
        <v>21900</v>
      </c>
      <c r="X275" s="20">
        <v>0</v>
      </c>
      <c r="Y275" s="18">
        <f>SUMPRODUCT(Q275:X275,'Fisico ASIG'!O275:V275)/E275</f>
        <v>5803326.1580195641</v>
      </c>
      <c r="Z275" s="25">
        <f t="shared" si="302"/>
        <v>20777553.428703472</v>
      </c>
      <c r="AA275" s="26">
        <f>+Z275/'Fisico ASIG'!N275/24</f>
        <v>92.993275282958052</v>
      </c>
      <c r="AB275" s="26">
        <f>+$AB$16*1.1*Precios!$P$14/0.61/Precios!$Q$14</f>
        <v>15.147540983606559</v>
      </c>
      <c r="AC275" s="29">
        <f t="shared" si="303"/>
        <v>77.845734299351491</v>
      </c>
      <c r="AI275" s="1">
        <v>7241</v>
      </c>
      <c r="AJ275" s="1">
        <v>5762594</v>
      </c>
      <c r="AK275">
        <f t="shared" si="192"/>
        <v>1.44</v>
      </c>
      <c r="AL275" s="40">
        <f t="shared" si="193"/>
        <v>8140.0083333333323</v>
      </c>
      <c r="AM275">
        <v>4100000</v>
      </c>
      <c r="AN275" s="138">
        <v>85.114654856634161</v>
      </c>
      <c r="AO275" s="74">
        <f t="shared" si="304"/>
        <v>5.3402392028228061</v>
      </c>
      <c r="AP275">
        <v>0</v>
      </c>
      <c r="AQ275" s="1">
        <v>0.85</v>
      </c>
    </row>
    <row r="276" spans="1:43" x14ac:dyDescent="0.25">
      <c r="A276" s="3">
        <v>1477.29</v>
      </c>
      <c r="B276" s="42">
        <v>1407.8889999999999</v>
      </c>
      <c r="C276" s="53">
        <v>2026</v>
      </c>
      <c r="D276" s="52">
        <f>+'Fisico ASIG'!B276</f>
        <v>46174</v>
      </c>
      <c r="E276" s="1">
        <v>30</v>
      </c>
      <c r="F276" s="56" t="str">
        <f t="shared" si="305"/>
        <v>dom</v>
      </c>
      <c r="G276" s="56">
        <f t="shared" si="306"/>
        <v>46187</v>
      </c>
      <c r="H276" s="17">
        <v>28</v>
      </c>
      <c r="I276" s="17">
        <f t="shared" si="297"/>
        <v>4.9015426896547059</v>
      </c>
      <c r="J276" s="17">
        <f t="shared" si="298"/>
        <v>5.5100950614526143</v>
      </c>
      <c r="K276" s="113">
        <f t="shared" si="178"/>
        <v>6.8583333333333334</v>
      </c>
      <c r="L276" s="17">
        <v>27</v>
      </c>
      <c r="M276" s="17">
        <v>71.5</v>
      </c>
      <c r="N276" s="17">
        <f t="shared" si="299"/>
        <v>96.606171044308297</v>
      </c>
      <c r="O276" s="17">
        <v>165.93918392822744</v>
      </c>
      <c r="P276" s="18">
        <f>SUMPRODUCT(H276:O276,'Fisico ASIG'!F276:M276)*24</f>
        <v>15239119.193667216</v>
      </c>
      <c r="Q276" s="43">
        <v>0</v>
      </c>
      <c r="R276" s="43">
        <f t="shared" si="300"/>
        <v>5617.1336433604774</v>
      </c>
      <c r="S276" s="43">
        <f t="shared" si="301"/>
        <v>2775.3521651131464</v>
      </c>
      <c r="T276" s="43">
        <f t="shared" si="215"/>
        <v>1795.6376259798433</v>
      </c>
      <c r="U276" s="43">
        <v>18000</v>
      </c>
      <c r="V276" s="20">
        <v>0</v>
      </c>
      <c r="W276" s="20">
        <v>21900</v>
      </c>
      <c r="X276" s="20">
        <v>0</v>
      </c>
      <c r="Y276" s="18">
        <f>SUMPRODUCT(Q276:X276,'Fisico ASIG'!O276:V276)/E276</f>
        <v>5782300.9152913569</v>
      </c>
      <c r="Z276" s="25">
        <f t="shared" si="302"/>
        <v>21021420.108958572</v>
      </c>
      <c r="AA276" s="26">
        <f>+Z276/'Fisico ASIG'!N276/24</f>
        <v>96.613076660110551</v>
      </c>
      <c r="AB276" s="26">
        <f>+$AB$16*1.1*Precios!$P$14/0.61/Precios!$Q$14</f>
        <v>15.147540983606559</v>
      </c>
      <c r="AC276" s="29">
        <f t="shared" si="303"/>
        <v>81.46553567650399</v>
      </c>
      <c r="AI276" s="1">
        <v>7241</v>
      </c>
      <c r="AJ276" s="1">
        <v>5762594</v>
      </c>
      <c r="AK276">
        <f t="shared" si="192"/>
        <v>1.44</v>
      </c>
      <c r="AL276" s="40">
        <f t="shared" si="193"/>
        <v>8140.0083333333323</v>
      </c>
      <c r="AM276">
        <v>4100000</v>
      </c>
      <c r="AN276" s="138">
        <v>90.08072228975017</v>
      </c>
      <c r="AO276" s="74">
        <f t="shared" si="304"/>
        <v>5.6754487545581371</v>
      </c>
      <c r="AP276">
        <v>0</v>
      </c>
      <c r="AQ276" s="1">
        <v>0.85</v>
      </c>
    </row>
    <row r="277" spans="1:43" x14ac:dyDescent="0.25">
      <c r="A277" s="3">
        <v>1477.29</v>
      </c>
      <c r="B277" s="42">
        <v>1445.3979999999999</v>
      </c>
      <c r="C277" s="53">
        <v>2026</v>
      </c>
      <c r="D277" s="52">
        <f>+'Fisico ASIG'!B277</f>
        <v>46174</v>
      </c>
      <c r="E277" s="1">
        <v>30</v>
      </c>
      <c r="F277" s="56" t="str">
        <f t="shared" si="305"/>
        <v>lun</v>
      </c>
      <c r="G277" s="56">
        <f t="shared" si="306"/>
        <v>46188</v>
      </c>
      <c r="H277" s="17">
        <v>28</v>
      </c>
      <c r="I277" s="17">
        <f t="shared" si="297"/>
        <v>4.9015426896547059</v>
      </c>
      <c r="J277" s="17">
        <f t="shared" si="298"/>
        <v>5.5100950614526143</v>
      </c>
      <c r="K277" s="113">
        <f t="shared" si="178"/>
        <v>6.8583333333333334</v>
      </c>
      <c r="L277" s="17">
        <v>27</v>
      </c>
      <c r="M277" s="17">
        <v>71.5</v>
      </c>
      <c r="N277" s="17">
        <f t="shared" si="299"/>
        <v>103.04742507030265</v>
      </c>
      <c r="O277" s="17">
        <v>170.51972926196598</v>
      </c>
      <c r="P277" s="18">
        <f>SUMPRODUCT(H277:O277,'Fisico ASIG'!F277:M277)*24</f>
        <v>15748570.371423081</v>
      </c>
      <c r="Q277" s="43">
        <v>0</v>
      </c>
      <c r="R277" s="43">
        <f t="shared" si="300"/>
        <v>5617.1336433604774</v>
      </c>
      <c r="S277" s="43">
        <f t="shared" si="301"/>
        <v>2775.3521651131464</v>
      </c>
      <c r="T277" s="43">
        <f t="shared" si="215"/>
        <v>1795.6376259798433</v>
      </c>
      <c r="U277" s="43">
        <v>18000</v>
      </c>
      <c r="V277" s="20">
        <v>0</v>
      </c>
      <c r="W277" s="20">
        <v>21900</v>
      </c>
      <c r="X277" s="20">
        <v>0</v>
      </c>
      <c r="Y277" s="18">
        <f>SUMPRODUCT(Q277:X277,'Fisico ASIG'!O277:V277)/E277</f>
        <v>5790353.6079677623</v>
      </c>
      <c r="Z277" s="25">
        <f t="shared" si="302"/>
        <v>21538923.979390845</v>
      </c>
      <c r="AA277" s="26">
        <f>+Z277/'Fisico ASIG'!N277/24</f>
        <v>93.385283896192561</v>
      </c>
      <c r="AB277" s="26">
        <f>+$AB$16*1.1*Precios!$P$14/0.61/Precios!$Q$14</f>
        <v>15.147540983606559</v>
      </c>
      <c r="AC277" s="29">
        <f t="shared" si="303"/>
        <v>78.237742912586</v>
      </c>
      <c r="AI277" s="1">
        <v>7241</v>
      </c>
      <c r="AJ277" s="1">
        <v>5762594</v>
      </c>
      <c r="AK277">
        <f t="shared" si="192"/>
        <v>1.44</v>
      </c>
      <c r="AL277" s="40">
        <f t="shared" si="193"/>
        <v>8140.0083333333323</v>
      </c>
      <c r="AM277">
        <v>4100000</v>
      </c>
      <c r="AN277" s="138">
        <v>96.1146839066067</v>
      </c>
      <c r="AO277" s="74">
        <f t="shared" si="304"/>
        <v>6.0827411636959523</v>
      </c>
      <c r="AP277">
        <v>0</v>
      </c>
      <c r="AQ277" s="1">
        <v>0.85</v>
      </c>
    </row>
    <row r="278" spans="1:43" x14ac:dyDescent="0.25">
      <c r="A278" s="3">
        <v>1477.29</v>
      </c>
      <c r="B278" s="42">
        <v>1445.3979999999999</v>
      </c>
      <c r="C278" s="53">
        <v>2026</v>
      </c>
      <c r="D278" s="52">
        <f>+'Fisico ASIG'!B278</f>
        <v>46174</v>
      </c>
      <c r="E278" s="1">
        <v>30</v>
      </c>
      <c r="F278" s="56" t="str">
        <f t="shared" si="305"/>
        <v>mar</v>
      </c>
      <c r="G278" s="56">
        <f t="shared" si="306"/>
        <v>46189</v>
      </c>
      <c r="H278" s="17">
        <v>28</v>
      </c>
      <c r="I278" s="17">
        <f t="shared" si="297"/>
        <v>4.9015426896547059</v>
      </c>
      <c r="J278" s="17">
        <f t="shared" si="298"/>
        <v>5.5100950614526143</v>
      </c>
      <c r="K278" s="113">
        <f t="shared" si="178"/>
        <v>6.8583333333333334</v>
      </c>
      <c r="L278" s="17">
        <v>27</v>
      </c>
      <c r="M278" s="17">
        <v>71.5</v>
      </c>
      <c r="N278" s="17">
        <f t="shared" si="299"/>
        <v>111.13351898979283</v>
      </c>
      <c r="O278" s="17">
        <v>167.12593073633397</v>
      </c>
      <c r="P278" s="18">
        <f>SUMPRODUCT(H278:O278,'Fisico ASIG'!F278:M278)*24</f>
        <v>16292428.197496697</v>
      </c>
      <c r="Q278" s="43">
        <v>0</v>
      </c>
      <c r="R278" s="43">
        <f t="shared" ref="R278:R284" si="307">+AJ278*AK278/A278</f>
        <v>5617.1336433604774</v>
      </c>
      <c r="S278" s="43">
        <f t="shared" ref="S278:S284" si="308">+AM278/A278</f>
        <v>2775.3521651131464</v>
      </c>
      <c r="T278" s="43">
        <f t="shared" si="215"/>
        <v>1795.6376259798433</v>
      </c>
      <c r="U278" s="43">
        <v>18000</v>
      </c>
      <c r="V278" s="20">
        <v>0</v>
      </c>
      <c r="W278" s="20">
        <v>21900</v>
      </c>
      <c r="X278" s="20">
        <v>0</v>
      </c>
      <c r="Y278" s="18">
        <f>SUMPRODUCT(Q278:X278,'Fisico ASIG'!O278:V278)/E278</f>
        <v>5763601.405299888</v>
      </c>
      <c r="Z278" s="25">
        <f t="shared" ref="Z278:Z284" si="309">+(P278+Y278)</f>
        <v>22056029.602796584</v>
      </c>
      <c r="AA278" s="26">
        <f>+Z278/'Fisico ASIG'!N278/24</f>
        <v>95.268520310565364</v>
      </c>
      <c r="AB278" s="26">
        <f>+$AB$16*1.1*Precios!$P$14/0.61/Precios!$Q$14</f>
        <v>15.147540983606559</v>
      </c>
      <c r="AC278" s="29">
        <f t="shared" ref="AC278:AC284" si="310">+AA278-AB278</f>
        <v>80.120979326958803</v>
      </c>
      <c r="AI278" s="1">
        <v>7241</v>
      </c>
      <c r="AJ278" s="1">
        <v>5762594</v>
      </c>
      <c r="AK278">
        <f t="shared" si="192"/>
        <v>1.44</v>
      </c>
      <c r="AL278" s="40">
        <f t="shared" si="193"/>
        <v>8140.0083333333323</v>
      </c>
      <c r="AM278">
        <v>4100000</v>
      </c>
      <c r="AN278" s="138">
        <v>103.68947914734692</v>
      </c>
      <c r="AO278" s="74">
        <f t="shared" ref="AO278:AO284" si="311">0.075*0.9*(AN278-6)</f>
        <v>6.594039842445917</v>
      </c>
      <c r="AP278">
        <v>0</v>
      </c>
      <c r="AQ278" s="1">
        <v>0.85</v>
      </c>
    </row>
    <row r="279" spans="1:43" x14ac:dyDescent="0.25">
      <c r="A279" s="3">
        <v>1477.29</v>
      </c>
      <c r="B279" s="42">
        <v>1445.3979999999999</v>
      </c>
      <c r="C279" s="53">
        <v>2026</v>
      </c>
      <c r="D279" s="52">
        <f>+'Fisico ASIG'!B279</f>
        <v>46174</v>
      </c>
      <c r="E279" s="1">
        <v>30</v>
      </c>
      <c r="F279" s="56" t="str">
        <f t="shared" si="305"/>
        <v>mié</v>
      </c>
      <c r="G279" s="56">
        <f t="shared" si="306"/>
        <v>46190</v>
      </c>
      <c r="H279" s="17">
        <v>28</v>
      </c>
      <c r="I279" s="17">
        <f t="shared" si="297"/>
        <v>4.9015426896547059</v>
      </c>
      <c r="J279" s="17">
        <f t="shared" si="298"/>
        <v>5.5100950614526143</v>
      </c>
      <c r="K279" s="113">
        <f t="shared" si="178"/>
        <v>6.8583333333333334</v>
      </c>
      <c r="L279" s="17">
        <v>27</v>
      </c>
      <c r="M279" s="17">
        <v>71.5</v>
      </c>
      <c r="N279" s="17">
        <f t="shared" si="299"/>
        <v>102.38143663176442</v>
      </c>
      <c r="O279" s="17">
        <v>149.0712907674891</v>
      </c>
      <c r="P279" s="18">
        <f>SUMPRODUCT(H279:O279,'Fisico ASIG'!F279:M279)*24</f>
        <v>15308214.352555007</v>
      </c>
      <c r="Q279" s="43">
        <v>0</v>
      </c>
      <c r="R279" s="43">
        <f t="shared" si="307"/>
        <v>5617.1336433604774</v>
      </c>
      <c r="S279" s="43">
        <f t="shared" si="308"/>
        <v>2775.3521651131464</v>
      </c>
      <c r="T279" s="43">
        <f t="shared" si="215"/>
        <v>1795.6376259798433</v>
      </c>
      <c r="U279" s="43">
        <v>18000</v>
      </c>
      <c r="V279" s="20">
        <v>0</v>
      </c>
      <c r="W279" s="20">
        <v>21900</v>
      </c>
      <c r="X279" s="20">
        <v>0</v>
      </c>
      <c r="Y279" s="18">
        <f>SUMPRODUCT(Q279:X279,'Fisico ASIG'!O279:V279)/E279</f>
        <v>5714990.1380197452</v>
      </c>
      <c r="Z279" s="25">
        <f t="shared" si="309"/>
        <v>21023204.490574751</v>
      </c>
      <c r="AA279" s="26">
        <f>+Z279/'Fisico ASIG'!N279/24</f>
        <v>86.854143609327878</v>
      </c>
      <c r="AB279" s="26">
        <f>+$AB$16*1.1*Precios!$P$14/0.61/Precios!$Q$14</f>
        <v>15.147540983606559</v>
      </c>
      <c r="AC279" s="29">
        <f t="shared" si="310"/>
        <v>71.706602625721317</v>
      </c>
      <c r="AI279" s="1">
        <v>7241</v>
      </c>
      <c r="AJ279" s="1">
        <v>5762594</v>
      </c>
      <c r="AK279">
        <f t="shared" si="192"/>
        <v>1.44</v>
      </c>
      <c r="AL279" s="40">
        <f t="shared" si="193"/>
        <v>8140.0083333333323</v>
      </c>
      <c r="AM279">
        <v>4100000</v>
      </c>
      <c r="AN279" s="138">
        <v>95.490807149193841</v>
      </c>
      <c r="AO279" s="74">
        <f t="shared" si="311"/>
        <v>6.0406294825705844</v>
      </c>
      <c r="AP279">
        <v>0</v>
      </c>
      <c r="AQ279" s="1">
        <v>0.85</v>
      </c>
    </row>
    <row r="280" spans="1:43" x14ac:dyDescent="0.25">
      <c r="A280" s="3">
        <v>1477.29</v>
      </c>
      <c r="B280" s="42">
        <v>1445.3979999999999</v>
      </c>
      <c r="C280" s="53">
        <v>2026</v>
      </c>
      <c r="D280" s="52">
        <f>+'Fisico ASIG'!B280</f>
        <v>46174</v>
      </c>
      <c r="E280" s="1">
        <v>30</v>
      </c>
      <c r="F280" s="56" t="str">
        <f t="shared" si="305"/>
        <v>jue</v>
      </c>
      <c r="G280" s="56">
        <f t="shared" si="306"/>
        <v>46191</v>
      </c>
      <c r="H280" s="17">
        <v>28</v>
      </c>
      <c r="I280" s="17">
        <f t="shared" si="297"/>
        <v>4.9015426896547059</v>
      </c>
      <c r="J280" s="17">
        <f t="shared" si="298"/>
        <v>5.5100950614526143</v>
      </c>
      <c r="K280" s="113">
        <f t="shared" si="178"/>
        <v>6.8583333333333334</v>
      </c>
      <c r="L280" s="17">
        <v>27</v>
      </c>
      <c r="M280" s="17">
        <v>71.5</v>
      </c>
      <c r="N280" s="17">
        <f t="shared" si="299"/>
        <v>113.05492937315292</v>
      </c>
      <c r="O280" s="17">
        <v>149.66001089727266</v>
      </c>
      <c r="P280" s="18">
        <f>SUMPRODUCT(H280:O280,'Fisico ASIG'!F280:M280)*24</f>
        <v>16832681.473288182</v>
      </c>
      <c r="Q280" s="43">
        <v>0</v>
      </c>
      <c r="R280" s="43">
        <f t="shared" si="307"/>
        <v>5617.1336433604774</v>
      </c>
      <c r="S280" s="43">
        <f t="shared" si="308"/>
        <v>2775.3521651131464</v>
      </c>
      <c r="T280" s="43">
        <f t="shared" si="215"/>
        <v>1795.6376259798433</v>
      </c>
      <c r="U280" s="43">
        <v>18000</v>
      </c>
      <c r="V280" s="20">
        <v>0</v>
      </c>
      <c r="W280" s="20">
        <v>21900</v>
      </c>
      <c r="X280" s="20">
        <v>0</v>
      </c>
      <c r="Y280" s="18">
        <f>SUMPRODUCT(Q280:X280,'Fisico ASIG'!O280:V280)/E280</f>
        <v>5720372.4411205947</v>
      </c>
      <c r="Z280" s="25">
        <f t="shared" si="309"/>
        <v>22553053.914408777</v>
      </c>
      <c r="AA280" s="26">
        <f>+Z280/'Fisico ASIG'!N280/24</f>
        <v>87.578358190228187</v>
      </c>
      <c r="AB280" s="26">
        <f>+$AB$16*1.1*Precios!$P$14/0.61/Precios!$Q$14</f>
        <v>15.147540983606559</v>
      </c>
      <c r="AC280" s="29">
        <f t="shared" si="310"/>
        <v>72.430817206621626</v>
      </c>
      <c r="AI280" s="1">
        <v>7241</v>
      </c>
      <c r="AJ280" s="1">
        <v>5762594</v>
      </c>
      <c r="AK280">
        <f t="shared" si="192"/>
        <v>1.44</v>
      </c>
      <c r="AL280" s="40">
        <f t="shared" si="193"/>
        <v>8140.0083333333323</v>
      </c>
      <c r="AM280">
        <v>4100000</v>
      </c>
      <c r="AN280" s="138">
        <v>105.48939519733295</v>
      </c>
      <c r="AO280" s="74">
        <f t="shared" si="311"/>
        <v>6.7155341758199745</v>
      </c>
      <c r="AP280">
        <v>0</v>
      </c>
      <c r="AQ280" s="1">
        <v>0.85</v>
      </c>
    </row>
    <row r="281" spans="1:43" x14ac:dyDescent="0.25">
      <c r="A281" s="3">
        <v>1477.29</v>
      </c>
      <c r="B281" s="42">
        <v>1445.3979999999999</v>
      </c>
      <c r="C281" s="53">
        <v>2026</v>
      </c>
      <c r="D281" s="52">
        <f>+'Fisico ASIG'!B281</f>
        <v>46174</v>
      </c>
      <c r="E281" s="1">
        <v>30</v>
      </c>
      <c r="F281" s="56" t="str">
        <f t="shared" si="305"/>
        <v>vie</v>
      </c>
      <c r="G281" s="56">
        <f t="shared" si="306"/>
        <v>46192</v>
      </c>
      <c r="H281" s="17">
        <v>28</v>
      </c>
      <c r="I281" s="17">
        <f t="shared" si="297"/>
        <v>4.9015426896547059</v>
      </c>
      <c r="J281" s="17">
        <f t="shared" si="298"/>
        <v>5.5100950614526143</v>
      </c>
      <c r="K281" s="113">
        <f t="shared" si="178"/>
        <v>6.8583333333333334</v>
      </c>
      <c r="L281" s="17">
        <v>27</v>
      </c>
      <c r="M281" s="17">
        <v>71.5</v>
      </c>
      <c r="N281" s="17">
        <f t="shared" si="299"/>
        <v>120.41967118016318</v>
      </c>
      <c r="O281" s="17">
        <v>161.86842789203428</v>
      </c>
      <c r="P281" s="18">
        <f>SUMPRODUCT(H281:O281,'Fisico ASIG'!F281:M281)*24</f>
        <v>16803845.426655367</v>
      </c>
      <c r="Q281" s="43">
        <v>0</v>
      </c>
      <c r="R281" s="43">
        <f t="shared" si="307"/>
        <v>5617.1336433604774</v>
      </c>
      <c r="S281" s="43">
        <f t="shared" si="308"/>
        <v>2775.3521651131464</v>
      </c>
      <c r="T281" s="43">
        <f t="shared" si="215"/>
        <v>1795.6376259798433</v>
      </c>
      <c r="U281" s="43">
        <v>18000</v>
      </c>
      <c r="V281" s="20">
        <v>0</v>
      </c>
      <c r="W281" s="20">
        <v>21900</v>
      </c>
      <c r="X281" s="20">
        <v>0</v>
      </c>
      <c r="Y281" s="18">
        <f>SUMPRODUCT(Q281:X281,'Fisico ASIG'!O281:V281)/E281</f>
        <v>5745631.2761678742</v>
      </c>
      <c r="Z281" s="25">
        <f t="shared" si="309"/>
        <v>22549476.70282324</v>
      </c>
      <c r="AA281" s="26">
        <f>+Z281/'Fisico ASIG'!N281/24</f>
        <v>89.657755950005239</v>
      </c>
      <c r="AB281" s="26">
        <f>+$AB$16*1.1*Precios!$P$14/0.61/Precios!$Q$14</f>
        <v>15.147540983606559</v>
      </c>
      <c r="AC281" s="29">
        <f t="shared" si="310"/>
        <v>74.510214966398678</v>
      </c>
      <c r="AI281" s="1">
        <v>7241</v>
      </c>
      <c r="AJ281" s="1">
        <v>5762594</v>
      </c>
      <c r="AK281">
        <f t="shared" si="192"/>
        <v>1.44</v>
      </c>
      <c r="AL281" s="40">
        <f t="shared" si="193"/>
        <v>8140.0083333333323</v>
      </c>
      <c r="AM281">
        <v>4100000</v>
      </c>
      <c r="AN281" s="138">
        <v>112.38845075425122</v>
      </c>
      <c r="AO281" s="74">
        <f t="shared" si="311"/>
        <v>7.1812204259119579</v>
      </c>
      <c r="AP281">
        <v>0</v>
      </c>
      <c r="AQ281" s="1">
        <v>0.85</v>
      </c>
    </row>
    <row r="282" spans="1:43" x14ac:dyDescent="0.25">
      <c r="A282" s="3">
        <v>1477.29</v>
      </c>
      <c r="B282" s="42">
        <v>1445.3979999999999</v>
      </c>
      <c r="C282" s="53">
        <v>2026</v>
      </c>
      <c r="D282" s="52">
        <f>+'Fisico ASIG'!B282</f>
        <v>46174</v>
      </c>
      <c r="E282" s="1">
        <v>30</v>
      </c>
      <c r="F282" s="56" t="str">
        <f t="shared" si="305"/>
        <v>sáb</v>
      </c>
      <c r="G282" s="56">
        <f t="shared" si="306"/>
        <v>46193</v>
      </c>
      <c r="H282" s="17">
        <v>28</v>
      </c>
      <c r="I282" s="17">
        <f t="shared" si="297"/>
        <v>4.9015426896547059</v>
      </c>
      <c r="J282" s="17">
        <f t="shared" si="298"/>
        <v>5.5100950614526143</v>
      </c>
      <c r="K282" s="113">
        <f t="shared" si="178"/>
        <v>6.8583333333333334</v>
      </c>
      <c r="L282" s="17">
        <v>27</v>
      </c>
      <c r="M282" s="17">
        <v>71.5</v>
      </c>
      <c r="N282" s="17">
        <f t="shared" si="299"/>
        <v>128.68581886638015</v>
      </c>
      <c r="O282" s="17">
        <v>171.89576311637185</v>
      </c>
      <c r="P282" s="18">
        <f>SUMPRODUCT(H282:O282,'Fisico ASIG'!F282:M282)*24</f>
        <v>16681700.882056754</v>
      </c>
      <c r="Q282" s="43">
        <v>0</v>
      </c>
      <c r="R282" s="43">
        <f t="shared" si="307"/>
        <v>5617.1336433604774</v>
      </c>
      <c r="S282" s="43">
        <f t="shared" si="308"/>
        <v>2775.3521651131464</v>
      </c>
      <c r="T282" s="43">
        <f t="shared" si="215"/>
        <v>1795.6376259798433</v>
      </c>
      <c r="U282" s="43">
        <v>18000</v>
      </c>
      <c r="V282" s="20">
        <v>0</v>
      </c>
      <c r="W282" s="20">
        <v>21900</v>
      </c>
      <c r="X282" s="20">
        <v>0</v>
      </c>
      <c r="Y282" s="18">
        <f>SUMPRODUCT(Q282:X282,'Fisico ASIG'!O282:V282)/E282</f>
        <v>5638131.2874301113</v>
      </c>
      <c r="Z282" s="25">
        <f t="shared" si="309"/>
        <v>22319832.169486865</v>
      </c>
      <c r="AA282" s="26">
        <f>+Z282/'Fisico ASIG'!N282/24</f>
        <v>104.41400237520183</v>
      </c>
      <c r="AB282" s="26">
        <f>+$AB$16*1.1*Precios!$P$14/0.61/Precios!$Q$14</f>
        <v>15.147540983606559</v>
      </c>
      <c r="AC282" s="29">
        <f t="shared" si="310"/>
        <v>89.266461391595271</v>
      </c>
      <c r="AI282" s="1">
        <v>7241</v>
      </c>
      <c r="AJ282" s="1">
        <v>5762594</v>
      </c>
      <c r="AK282">
        <f t="shared" si="192"/>
        <v>1.44</v>
      </c>
      <c r="AL282" s="40">
        <f t="shared" si="193"/>
        <v>8140.0083333333323</v>
      </c>
      <c r="AM282">
        <v>4100000</v>
      </c>
      <c r="AN282" s="138">
        <v>120.13191462892755</v>
      </c>
      <c r="AO282" s="74">
        <f t="shared" si="311"/>
        <v>7.7039042374526101</v>
      </c>
      <c r="AP282">
        <v>0</v>
      </c>
      <c r="AQ282" s="1">
        <v>0.85</v>
      </c>
    </row>
    <row r="283" spans="1:43" x14ac:dyDescent="0.25">
      <c r="A283" s="3">
        <v>1477.29</v>
      </c>
      <c r="B283" s="42">
        <v>1445.3979999999999</v>
      </c>
      <c r="C283" s="53">
        <v>2026</v>
      </c>
      <c r="D283" s="52">
        <f>+'Fisico ASIG'!B283</f>
        <v>46174</v>
      </c>
      <c r="E283" s="1">
        <v>30</v>
      </c>
      <c r="F283" s="56" t="str">
        <f t="shared" si="305"/>
        <v>dom</v>
      </c>
      <c r="G283" s="56">
        <f t="shared" si="306"/>
        <v>46194</v>
      </c>
      <c r="H283" s="17">
        <v>28</v>
      </c>
      <c r="I283" s="17">
        <f t="shared" si="297"/>
        <v>4.9015426896547059</v>
      </c>
      <c r="J283" s="17">
        <f t="shared" si="298"/>
        <v>5.5100950614526143</v>
      </c>
      <c r="K283" s="113">
        <f t="shared" si="178"/>
        <v>6.8583333333333334</v>
      </c>
      <c r="L283" s="17">
        <v>27</v>
      </c>
      <c r="M283" s="17">
        <v>71.5</v>
      </c>
      <c r="N283" s="17">
        <f t="shared" si="299"/>
        <v>131.55777473342511</v>
      </c>
      <c r="O283" s="17">
        <v>164.30294077141272</v>
      </c>
      <c r="P283" s="18">
        <f>SUMPRODUCT(H283:O283,'Fisico ASIG'!F283:M283)*24</f>
        <v>16174817.865275905</v>
      </c>
      <c r="Q283" s="43">
        <v>0</v>
      </c>
      <c r="R283" s="43">
        <f t="shared" si="307"/>
        <v>5617.1336433604774</v>
      </c>
      <c r="S283" s="43">
        <f t="shared" si="308"/>
        <v>2775.3521651131464</v>
      </c>
      <c r="T283" s="43">
        <f t="shared" si="215"/>
        <v>1795.6376259798433</v>
      </c>
      <c r="U283" s="43">
        <v>18000</v>
      </c>
      <c r="V283" s="20">
        <v>0</v>
      </c>
      <c r="W283" s="20">
        <v>21900</v>
      </c>
      <c r="X283" s="20">
        <v>0</v>
      </c>
      <c r="Y283" s="18">
        <f>SUMPRODUCT(Q283:X283,'Fisico ASIG'!O283:V283)/E283</f>
        <v>5663151.5339299142</v>
      </c>
      <c r="Z283" s="25">
        <f t="shared" si="309"/>
        <v>21837969.399205819</v>
      </c>
      <c r="AA283" s="26">
        <f>+Z283/'Fisico ASIG'!N283/24</f>
        <v>104.88426807932895</v>
      </c>
      <c r="AB283" s="26">
        <f>+$AB$16*1.1*Precios!$P$14/0.61/Precios!$Q$14</f>
        <v>15.147540983606559</v>
      </c>
      <c r="AC283" s="29">
        <f t="shared" si="310"/>
        <v>89.736727095722387</v>
      </c>
      <c r="AI283" s="1">
        <v>7241</v>
      </c>
      <c r="AJ283" s="1">
        <v>5762594</v>
      </c>
      <c r="AK283">
        <f t="shared" si="192"/>
        <v>1.44</v>
      </c>
      <c r="AL283" s="40">
        <f t="shared" si="193"/>
        <v>8140.0083333333323</v>
      </c>
      <c r="AM283">
        <v>4100000</v>
      </c>
      <c r="AN283" s="138">
        <v>122.8222714130446</v>
      </c>
      <c r="AO283" s="74">
        <f t="shared" si="311"/>
        <v>7.8855033203805114</v>
      </c>
      <c r="AP283">
        <v>0</v>
      </c>
      <c r="AQ283" s="1">
        <v>0.85</v>
      </c>
    </row>
    <row r="284" spans="1:43" x14ac:dyDescent="0.25">
      <c r="A284" s="3">
        <v>1477.29</v>
      </c>
      <c r="B284" s="42">
        <v>1445.3979999999999</v>
      </c>
      <c r="C284" s="53">
        <v>2026</v>
      </c>
      <c r="D284" s="52">
        <f>+'Fisico ASIG'!B284</f>
        <v>46174</v>
      </c>
      <c r="E284" s="1">
        <v>30</v>
      </c>
      <c r="F284" s="56" t="str">
        <f t="shared" si="305"/>
        <v>lun</v>
      </c>
      <c r="G284" s="56">
        <f t="shared" si="306"/>
        <v>46195</v>
      </c>
      <c r="H284" s="17">
        <v>28</v>
      </c>
      <c r="I284" s="17">
        <f t="shared" si="297"/>
        <v>4.9015426896547059</v>
      </c>
      <c r="J284" s="17">
        <f t="shared" si="298"/>
        <v>5.5100950614526143</v>
      </c>
      <c r="K284" s="113">
        <f t="shared" si="178"/>
        <v>6.8583333333333334</v>
      </c>
      <c r="L284" s="17">
        <v>27</v>
      </c>
      <c r="M284" s="17">
        <v>71.5</v>
      </c>
      <c r="N284" s="17">
        <f t="shared" si="299"/>
        <v>148.28800766291766</v>
      </c>
      <c r="O284" s="17">
        <v>148.81805941932319</v>
      </c>
      <c r="P284" s="18">
        <f>SUMPRODUCT(H284:O284,'Fisico ASIG'!F284:M284)*24</f>
        <v>18361223.74424303</v>
      </c>
      <c r="Q284" s="43">
        <v>0</v>
      </c>
      <c r="R284" s="43">
        <f t="shared" si="307"/>
        <v>5617.1336433604774</v>
      </c>
      <c r="S284" s="43">
        <f t="shared" si="308"/>
        <v>2775.3521651131464</v>
      </c>
      <c r="T284" s="43">
        <f t="shared" si="215"/>
        <v>1795.6376259798433</v>
      </c>
      <c r="U284" s="43">
        <v>18000</v>
      </c>
      <c r="V284" s="20">
        <v>0</v>
      </c>
      <c r="W284" s="20">
        <v>21900</v>
      </c>
      <c r="X284" s="20">
        <v>0</v>
      </c>
      <c r="Y284" s="18">
        <f>SUMPRODUCT(Q284:X284,'Fisico ASIG'!O284:V284)/E284</f>
        <v>5757734.1678595645</v>
      </c>
      <c r="Z284" s="25">
        <f t="shared" si="309"/>
        <v>24118957.912102595</v>
      </c>
      <c r="AA284" s="26">
        <f>+Z284/'Fisico ASIG'!N284/24</f>
        <v>100.26156267523841</v>
      </c>
      <c r="AB284" s="26">
        <f>+$AB$16*1.1*Precios!$P$14/0.61/Precios!$Q$14</f>
        <v>15.147540983606559</v>
      </c>
      <c r="AC284" s="29">
        <f t="shared" si="310"/>
        <v>85.114021691631848</v>
      </c>
      <c r="AI284" s="1">
        <v>7241</v>
      </c>
      <c r="AJ284" s="1">
        <v>5762594</v>
      </c>
      <c r="AK284">
        <f t="shared" si="192"/>
        <v>1.44</v>
      </c>
      <c r="AL284" s="40">
        <f t="shared" si="193"/>
        <v>8140.0083333333323</v>
      </c>
      <c r="AM284">
        <v>4100000</v>
      </c>
      <c r="AN284" s="138">
        <v>138.49462076151539</v>
      </c>
      <c r="AO284" s="74">
        <f t="shared" si="311"/>
        <v>8.94338690140229</v>
      </c>
      <c r="AP284">
        <v>0</v>
      </c>
      <c r="AQ284" s="1">
        <v>0.85</v>
      </c>
    </row>
    <row r="285" spans="1:43" x14ac:dyDescent="0.25">
      <c r="A285" s="3"/>
      <c r="B285" s="42"/>
      <c r="C285" s="53"/>
      <c r="D285" s="52"/>
      <c r="E285" s="1"/>
      <c r="F285" s="56"/>
      <c r="G285" s="56"/>
      <c r="H285" s="17"/>
      <c r="I285" s="17"/>
      <c r="J285" s="17"/>
      <c r="K285" s="113"/>
      <c r="L285" s="17"/>
      <c r="M285" s="17"/>
      <c r="N285" s="17"/>
      <c r="O285" s="17"/>
      <c r="V285" s="20"/>
      <c r="W285" s="20"/>
      <c r="X285" s="20"/>
      <c r="Y285" s="18"/>
      <c r="AI285" s="1"/>
      <c r="AJ285" s="1"/>
      <c r="AL285" s="40"/>
      <c r="AN285" s="17"/>
      <c r="AO285" s="74"/>
      <c r="AQ285" s="1"/>
    </row>
    <row r="287" spans="1:43" x14ac:dyDescent="0.25">
      <c r="A287" s="75" t="s">
        <v>5</v>
      </c>
    </row>
  </sheetData>
  <autoFilter ref="A19:AM284" xr:uid="{847498D4-0BD4-478A-90F6-ACC112F10BC4}">
    <filterColumn colId="3">
      <filters blank="1">
        <dateGroupItem year="2026" month="5" dateTimeGrouping="month"/>
      </filters>
    </filterColumn>
  </autoFilter>
  <phoneticPr fontId="2" type="noConversion"/>
  <pageMargins left="0.7" right="0.7" top="0.75" bottom="0.75" header="0.3" footer="0.3"/>
  <pageSetup paperSize="9" orientation="portrait" r:id="rId1"/>
  <ignoredErrors>
    <ignoredError sqref="P143:P165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E54B6-0047-4CA6-A34B-E7D7D9A54E88}">
  <sheetPr filterMode="1"/>
  <dimension ref="A1:AM290"/>
  <sheetViews>
    <sheetView topLeftCell="D1" zoomScaleNormal="100" workbookViewId="0">
      <selection activeCell="T14" sqref="G14:T14"/>
    </sheetView>
  </sheetViews>
  <sheetFormatPr baseColWidth="10" defaultColWidth="11" defaultRowHeight="15" x14ac:dyDescent="0.25"/>
  <cols>
    <col min="1" max="1" width="11" bestFit="1" customWidth="1"/>
    <col min="2" max="2" width="3.21875" customWidth="1"/>
    <col min="3" max="3" width="5.109375" customWidth="1"/>
    <col min="4" max="4" width="8.109375" bestFit="1" customWidth="1"/>
    <col min="5" max="5" width="10.77734375" customWidth="1"/>
    <col min="6" max="6" width="10.88671875" style="1" bestFit="1" customWidth="1"/>
    <col min="7" max="7" width="14" style="1" bestFit="1" customWidth="1"/>
    <col min="11" max="11" width="13" customWidth="1"/>
    <col min="29" max="29" width="14.77734375" bestFit="1" customWidth="1"/>
  </cols>
  <sheetData>
    <row r="1" spans="3:33" s="47" customFormat="1" ht="32.25" x14ac:dyDescent="0.55000000000000004">
      <c r="C1" s="131" t="s">
        <v>144</v>
      </c>
      <c r="F1" s="48"/>
      <c r="G1" s="48"/>
      <c r="H1" s="46" t="s">
        <v>94</v>
      </c>
      <c r="N1" s="46" t="s">
        <v>95</v>
      </c>
      <c r="T1" s="46" t="s">
        <v>96</v>
      </c>
      <c r="X1" s="46" t="s">
        <v>97</v>
      </c>
      <c r="AB1"/>
      <c r="AC1"/>
      <c r="AD1"/>
      <c r="AE1"/>
      <c r="AF1"/>
      <c r="AG1"/>
    </row>
    <row r="2" spans="3:33" s="47" customFormat="1" ht="32.25" x14ac:dyDescent="0.55000000000000004">
      <c r="C2" s="61" t="s">
        <v>143</v>
      </c>
      <c r="F2" s="48"/>
      <c r="G2" s="48"/>
      <c r="H2" s="46"/>
      <c r="N2" s="46"/>
      <c r="T2" s="46"/>
      <c r="X2" s="46"/>
      <c r="AB2"/>
      <c r="AC2"/>
      <c r="AD2"/>
      <c r="AE2"/>
      <c r="AF2"/>
      <c r="AG2"/>
    </row>
    <row r="3" spans="3:33" s="47" customFormat="1" ht="32.25" x14ac:dyDescent="0.55000000000000004">
      <c r="C3" s="61" t="s">
        <v>142</v>
      </c>
      <c r="F3" s="48"/>
      <c r="G3" s="48"/>
      <c r="H3" s="27"/>
      <c r="I3" s="27"/>
      <c r="J3" s="27"/>
      <c r="K3" s="27"/>
      <c r="L3" s="27"/>
      <c r="N3" s="46"/>
      <c r="T3" s="46"/>
      <c r="X3" s="46"/>
      <c r="AB3"/>
      <c r="AC3"/>
      <c r="AD3"/>
      <c r="AE3"/>
      <c r="AF3"/>
      <c r="AG3"/>
    </row>
    <row r="4" spans="3:33" x14ac:dyDescent="0.25">
      <c r="F4"/>
    </row>
    <row r="5" spans="3:33" x14ac:dyDescent="0.25">
      <c r="H5" s="8" t="s">
        <v>18</v>
      </c>
      <c r="I5" s="8" t="s">
        <v>18</v>
      </c>
      <c r="J5" s="8" t="s">
        <v>18</v>
      </c>
      <c r="K5" s="8" t="s">
        <v>18</v>
      </c>
      <c r="L5" s="8" t="s">
        <v>18</v>
      </c>
      <c r="M5" s="8" t="s">
        <v>18</v>
      </c>
      <c r="N5" s="8" t="s">
        <v>19</v>
      </c>
      <c r="O5" s="8" t="s">
        <v>19</v>
      </c>
      <c r="P5" s="8" t="s">
        <v>19</v>
      </c>
      <c r="Q5" s="8" t="s">
        <v>19</v>
      </c>
      <c r="R5" s="8" t="s">
        <v>19</v>
      </c>
      <c r="S5" s="8" t="s">
        <v>19</v>
      </c>
      <c r="T5" s="10" t="s">
        <v>18</v>
      </c>
      <c r="U5" s="10" t="s">
        <v>18</v>
      </c>
      <c r="V5" s="10" t="s">
        <v>18</v>
      </c>
      <c r="W5" s="10" t="s">
        <v>18</v>
      </c>
      <c r="X5" s="10" t="s">
        <v>19</v>
      </c>
      <c r="Y5" s="10" t="s">
        <v>19</v>
      </c>
      <c r="Z5" s="10" t="s">
        <v>19</v>
      </c>
      <c r="AA5" s="10" t="s">
        <v>19</v>
      </c>
    </row>
    <row r="6" spans="3:33" x14ac:dyDescent="0.25">
      <c r="E6" t="s">
        <v>135</v>
      </c>
      <c r="F6"/>
      <c r="G6" s="1" t="s">
        <v>134</v>
      </c>
      <c r="H6" s="9" t="s">
        <v>14</v>
      </c>
      <c r="I6" s="9" t="s">
        <v>14</v>
      </c>
      <c r="J6" s="9" t="s">
        <v>14</v>
      </c>
      <c r="K6" s="9" t="s">
        <v>14</v>
      </c>
      <c r="L6" s="9" t="s">
        <v>14</v>
      </c>
      <c r="M6" s="9" t="s">
        <v>14</v>
      </c>
      <c r="N6" s="9" t="s">
        <v>14</v>
      </c>
      <c r="O6" s="9" t="s">
        <v>14</v>
      </c>
      <c r="P6" s="9" t="s">
        <v>14</v>
      </c>
      <c r="Q6" s="9" t="s">
        <v>14</v>
      </c>
      <c r="R6" s="9" t="s">
        <v>14</v>
      </c>
      <c r="S6" s="9" t="s">
        <v>14</v>
      </c>
      <c r="T6" s="11" t="s">
        <v>60</v>
      </c>
      <c r="U6" s="11" t="s">
        <v>60</v>
      </c>
      <c r="V6" s="11" t="s">
        <v>60</v>
      </c>
      <c r="W6" s="11" t="s">
        <v>60</v>
      </c>
      <c r="X6" s="11" t="s">
        <v>147</v>
      </c>
      <c r="Y6" s="11" t="s">
        <v>147</v>
      </c>
      <c r="Z6" s="11" t="s">
        <v>147</v>
      </c>
      <c r="AA6" s="11" t="s">
        <v>147</v>
      </c>
    </row>
    <row r="7" spans="3:33" x14ac:dyDescent="0.25">
      <c r="E7" s="51" t="s">
        <v>22</v>
      </c>
      <c r="G7" s="1" t="s">
        <v>33</v>
      </c>
      <c r="H7" s="8" t="s">
        <v>98</v>
      </c>
      <c r="I7" s="8" t="s">
        <v>99</v>
      </c>
      <c r="J7" s="8" t="s">
        <v>100</v>
      </c>
      <c r="K7" s="8" t="s">
        <v>123</v>
      </c>
      <c r="L7" s="8" t="s">
        <v>101</v>
      </c>
      <c r="M7" s="8" t="s">
        <v>102</v>
      </c>
      <c r="N7" s="8" t="s">
        <v>98</v>
      </c>
      <c r="O7" s="8" t="s">
        <v>99</v>
      </c>
      <c r="P7" s="8" t="s">
        <v>100</v>
      </c>
      <c r="Q7" s="8" t="s">
        <v>123</v>
      </c>
      <c r="R7" s="8" t="s">
        <v>101</v>
      </c>
      <c r="S7" s="8" t="s">
        <v>102</v>
      </c>
      <c r="T7" s="10" t="s">
        <v>148</v>
      </c>
      <c r="U7" s="10" t="s">
        <v>104</v>
      </c>
      <c r="V7" s="10" t="s">
        <v>105</v>
      </c>
      <c r="W7" s="10" t="s">
        <v>106</v>
      </c>
      <c r="X7" s="10" t="s">
        <v>103</v>
      </c>
      <c r="Y7" s="10" t="s">
        <v>104</v>
      </c>
      <c r="Z7" s="10" t="s">
        <v>105</v>
      </c>
      <c r="AA7" s="10" t="s">
        <v>106</v>
      </c>
    </row>
    <row r="8" spans="3:33" x14ac:dyDescent="0.25">
      <c r="E8" s="107">
        <f t="shared" ref="E8:E15" si="0">SUMIFS(E$20:E$1048576,$D$20:$D$1048576,$G8)</f>
        <v>348</v>
      </c>
      <c r="F8"/>
      <c r="G8" s="52">
        <f>+'Fisico ASIG'!E8</f>
        <v>45962</v>
      </c>
      <c r="H8" s="107">
        <f t="shared" ref="H8:J15" si="1">AVERAGEIFS(H$20:H$1048576,$D$20:$D$1048576,$G8)</f>
        <v>4121.9221569444444</v>
      </c>
      <c r="I8" s="107">
        <f t="shared" si="1"/>
        <v>901.46539166666651</v>
      </c>
      <c r="J8" s="107">
        <f t="shared" si="1"/>
        <v>320.07785694444448</v>
      </c>
      <c r="K8" s="107"/>
      <c r="L8" s="107">
        <f t="shared" ref="L8:L15" si="2">AVERAGEIFS(L$20:L$1048576,$D$20:$D$1048576,$G8)</f>
        <v>0</v>
      </c>
      <c r="M8" s="111">
        <f t="shared" ref="M8:M13" si="3">SUM(H8:L8)</f>
        <v>5343.4654055555557</v>
      </c>
      <c r="N8" s="107">
        <f t="shared" ref="N8:P15" si="4">AVERAGEIFS(N$20:N$1048576,$D$20:$D$1048576,$G8)</f>
        <v>11446.159627777773</v>
      </c>
      <c r="O8" s="107">
        <f t="shared" si="4"/>
        <v>1125.6524263888887</v>
      </c>
      <c r="P8" s="107">
        <f t="shared" si="4"/>
        <v>924.23670833333313</v>
      </c>
      <c r="Q8" s="107"/>
      <c r="R8" s="107">
        <f t="shared" ref="R8:R15" si="5">AVERAGEIFS(R$20:R$1048576,$D$20:$D$1048576,$G8)</f>
        <v>0</v>
      </c>
      <c r="S8" s="111">
        <f>SUM(N8:R8)</f>
        <v>13496.048762499995</v>
      </c>
      <c r="T8" s="107">
        <f t="shared" ref="T8:V15" si="6">AVERAGEIFS(T$20:T$1048576,$D$20:$D$1048576,$G8)</f>
        <v>0</v>
      </c>
      <c r="U8" s="107">
        <f t="shared" si="6"/>
        <v>287.79044166666671</v>
      </c>
      <c r="V8" s="107">
        <f t="shared" si="6"/>
        <v>1356.7028847222223</v>
      </c>
      <c r="W8" s="112">
        <f t="shared" ref="W8:W15" si="7">SUM(T8:V8)</f>
        <v>1644.493326388889</v>
      </c>
      <c r="X8" s="107">
        <f t="shared" ref="X8:Z15" si="8">AVERAGEIFS(X$20:X$1048576,$D$20:$D$1048576,$G8)</f>
        <v>0</v>
      </c>
      <c r="Y8" s="107">
        <f t="shared" si="8"/>
        <v>420.5636527777778</v>
      </c>
      <c r="Z8" s="107">
        <f t="shared" si="8"/>
        <v>0</v>
      </c>
      <c r="AA8" s="45">
        <f t="shared" ref="AA8:AA11" si="9">SUM(X8:Z8)</f>
        <v>420.5636527777778</v>
      </c>
    </row>
    <row r="9" spans="3:33" x14ac:dyDescent="0.25">
      <c r="E9" s="107">
        <f t="shared" si="0"/>
        <v>384</v>
      </c>
      <c r="F9"/>
      <c r="G9" s="52">
        <f>+'Fisico ASIG'!E9</f>
        <v>45992</v>
      </c>
      <c r="H9" s="107">
        <f t="shared" si="1"/>
        <v>6325.7779556451624</v>
      </c>
      <c r="I9" s="107">
        <f t="shared" si="1"/>
        <v>856.23293682795713</v>
      </c>
      <c r="J9" s="107">
        <f t="shared" si="1"/>
        <v>342.06468682795708</v>
      </c>
      <c r="K9" s="107"/>
      <c r="L9" s="107">
        <f t="shared" si="2"/>
        <v>0</v>
      </c>
      <c r="M9" s="111">
        <f t="shared" si="3"/>
        <v>7524.0755793010767</v>
      </c>
      <c r="N9" s="107">
        <f t="shared" si="4"/>
        <v>12168.723419354837</v>
      </c>
      <c r="O9" s="107">
        <f t="shared" si="4"/>
        <v>1173.5580819892473</v>
      </c>
      <c r="P9" s="107">
        <f t="shared" si="4"/>
        <v>983.24265188172046</v>
      </c>
      <c r="Q9" s="107"/>
      <c r="R9" s="107">
        <f t="shared" si="5"/>
        <v>0</v>
      </c>
      <c r="S9" s="111">
        <f t="shared" ref="S9:S15" si="10">SUM(N9:R9)</f>
        <v>14325.524153225806</v>
      </c>
      <c r="T9" s="107">
        <f t="shared" si="6"/>
        <v>0</v>
      </c>
      <c r="U9" s="107">
        <f t="shared" si="6"/>
        <v>227.45209274193545</v>
      </c>
      <c r="V9" s="107">
        <f t="shared" si="6"/>
        <v>1436.1624368279572</v>
      </c>
      <c r="W9" s="112">
        <f t="shared" si="7"/>
        <v>1663.6145295698927</v>
      </c>
      <c r="X9" s="107">
        <f t="shared" si="8"/>
        <v>0</v>
      </c>
      <c r="Y9" s="107">
        <f t="shared" si="8"/>
        <v>525</v>
      </c>
      <c r="Z9" s="107">
        <f t="shared" si="8"/>
        <v>0</v>
      </c>
      <c r="AA9" s="45">
        <f t="shared" si="9"/>
        <v>525</v>
      </c>
    </row>
    <row r="10" spans="3:33" x14ac:dyDescent="0.25">
      <c r="E10" s="107">
        <f t="shared" si="0"/>
        <v>386</v>
      </c>
      <c r="F10"/>
      <c r="G10" s="52">
        <f>+'Fisico ASIG'!E10</f>
        <v>46023</v>
      </c>
      <c r="H10" s="107">
        <f t="shared" si="1"/>
        <v>6366.2179287634408</v>
      </c>
      <c r="I10" s="107">
        <f t="shared" si="1"/>
        <v>1051.2111626344085</v>
      </c>
      <c r="J10" s="107">
        <f t="shared" si="1"/>
        <v>363.69673521505371</v>
      </c>
      <c r="K10" s="107">
        <f t="shared" ref="K10:K15" si="11">AVERAGEIFS(K$20:K$1048576,$D$20:$D$1048576,$G10)</f>
        <v>35.346139809782606</v>
      </c>
      <c r="L10" s="107">
        <f t="shared" si="2"/>
        <v>0</v>
      </c>
      <c r="M10" s="111">
        <f t="shared" si="3"/>
        <v>7816.4719664226859</v>
      </c>
      <c r="N10" s="107">
        <f t="shared" si="4"/>
        <v>12460.846709677415</v>
      </c>
      <c r="O10" s="107">
        <f t="shared" si="4"/>
        <v>1372.7496801075267</v>
      </c>
      <c r="P10" s="107">
        <f t="shared" si="4"/>
        <v>989.72004838709665</v>
      </c>
      <c r="Q10" s="107">
        <f t="shared" ref="Q10:Q15" si="12">AVERAGEIFS(Q$20:Q$1048576,$D$20:$D$1048576,$G10)</f>
        <v>200.35268659420285</v>
      </c>
      <c r="R10" s="107">
        <f t="shared" si="5"/>
        <v>0</v>
      </c>
      <c r="S10" s="111">
        <f t="shared" si="10"/>
        <v>15023.66912476624</v>
      </c>
      <c r="T10" s="107">
        <f t="shared" si="6"/>
        <v>0</v>
      </c>
      <c r="U10" s="107">
        <f t="shared" si="6"/>
        <v>249.12408870967744</v>
      </c>
      <c r="V10" s="107">
        <f t="shared" si="6"/>
        <v>1441.0388534946237</v>
      </c>
      <c r="W10" s="112">
        <f t="shared" si="7"/>
        <v>1690.1629422043011</v>
      </c>
      <c r="X10" s="107">
        <f t="shared" si="8"/>
        <v>0</v>
      </c>
      <c r="Y10" s="107">
        <f t="shared" si="8"/>
        <v>525</v>
      </c>
      <c r="Z10" s="107">
        <f t="shared" si="8"/>
        <v>0</v>
      </c>
      <c r="AA10" s="45">
        <f t="shared" si="9"/>
        <v>525</v>
      </c>
    </row>
    <row r="11" spans="3:33" x14ac:dyDescent="0.25">
      <c r="E11" s="107">
        <f t="shared" si="0"/>
        <v>336</v>
      </c>
      <c r="F11"/>
      <c r="G11" s="52">
        <f>+'Fisico ASIG'!E11</f>
        <v>46054</v>
      </c>
      <c r="H11" s="107">
        <f t="shared" si="1"/>
        <v>6811.9966160714275</v>
      </c>
      <c r="I11" s="107">
        <f t="shared" si="1"/>
        <v>1214.4693511904759</v>
      </c>
      <c r="J11" s="107">
        <f t="shared" si="1"/>
        <v>308.25451636904762</v>
      </c>
      <c r="K11" s="107">
        <f t="shared" si="11"/>
        <v>25.335641443452385</v>
      </c>
      <c r="L11" s="107">
        <f t="shared" si="2"/>
        <v>0</v>
      </c>
      <c r="M11" s="111">
        <f t="shared" si="3"/>
        <v>8360.0561250744049</v>
      </c>
      <c r="N11" s="107">
        <f t="shared" si="4"/>
        <v>12737.164345238098</v>
      </c>
      <c r="O11" s="107">
        <f t="shared" si="4"/>
        <v>1436.3410654761904</v>
      </c>
      <c r="P11" s="107">
        <f t="shared" si="4"/>
        <v>987.00428422619041</v>
      </c>
      <c r="Q11" s="107">
        <f t="shared" si="12"/>
        <v>202.97178571428569</v>
      </c>
      <c r="R11" s="107">
        <f t="shared" si="5"/>
        <v>0</v>
      </c>
      <c r="S11" s="111">
        <f t="shared" si="10"/>
        <v>15363.481480654764</v>
      </c>
      <c r="T11" s="107">
        <f t="shared" si="6"/>
        <v>0</v>
      </c>
      <c r="U11" s="107">
        <f t="shared" si="6"/>
        <v>227.16436160714287</v>
      </c>
      <c r="V11" s="107">
        <f t="shared" si="6"/>
        <v>1396.5483333333334</v>
      </c>
      <c r="W11" s="112">
        <f t="shared" si="7"/>
        <v>1623.7126949404762</v>
      </c>
      <c r="X11" s="107">
        <f t="shared" si="8"/>
        <v>0</v>
      </c>
      <c r="Y11" s="107">
        <f t="shared" si="8"/>
        <v>515.35714285714289</v>
      </c>
      <c r="Z11" s="107">
        <f t="shared" si="8"/>
        <v>0</v>
      </c>
      <c r="AA11" s="45">
        <f t="shared" si="9"/>
        <v>515.35714285714289</v>
      </c>
    </row>
    <row r="12" spans="3:33" ht="15.75" customHeight="1" x14ac:dyDescent="0.25">
      <c r="E12" s="107">
        <f t="shared" si="0"/>
        <v>374</v>
      </c>
      <c r="F12" s="52"/>
      <c r="G12" s="52">
        <f>+'Fisico ASIG'!E12</f>
        <v>46082</v>
      </c>
      <c r="H12" s="107">
        <f t="shared" si="1"/>
        <v>5927.8688817204311</v>
      </c>
      <c r="I12" s="107">
        <f t="shared" si="1"/>
        <v>1193.5380470430102</v>
      </c>
      <c r="J12" s="107">
        <f t="shared" si="1"/>
        <v>348.60928897849459</v>
      </c>
      <c r="K12" s="107">
        <f t="shared" si="11"/>
        <v>31.366695295698925</v>
      </c>
      <c r="L12" s="107">
        <f t="shared" si="2"/>
        <v>0</v>
      </c>
      <c r="M12" s="111">
        <f t="shared" si="3"/>
        <v>7501.3829130376353</v>
      </c>
      <c r="N12" s="107">
        <f t="shared" si="4"/>
        <v>12404.800967741936</v>
      </c>
      <c r="O12" s="107">
        <f t="shared" si="4"/>
        <v>1380.0867204301078</v>
      </c>
      <c r="P12" s="107">
        <f t="shared" si="4"/>
        <v>948.1403561827957</v>
      </c>
      <c r="Q12" s="107">
        <f t="shared" si="12"/>
        <v>200.03557728494624</v>
      </c>
      <c r="R12" s="107">
        <f t="shared" si="5"/>
        <v>0</v>
      </c>
      <c r="S12" s="111">
        <f t="shared" si="10"/>
        <v>14933.063621639787</v>
      </c>
      <c r="T12" s="107">
        <f t="shared" si="6"/>
        <v>0</v>
      </c>
      <c r="U12" s="107">
        <f t="shared" si="6"/>
        <v>218.14891263440859</v>
      </c>
      <c r="V12" s="107">
        <f t="shared" si="6"/>
        <v>1364.0994623655913</v>
      </c>
      <c r="W12" s="112">
        <f t="shared" si="7"/>
        <v>1582.2483749999999</v>
      </c>
      <c r="X12" s="107">
        <f t="shared" si="8"/>
        <v>0</v>
      </c>
      <c r="Y12" s="107">
        <f t="shared" si="8"/>
        <v>508.50806451612902</v>
      </c>
      <c r="Z12" s="107">
        <f t="shared" si="8"/>
        <v>0</v>
      </c>
      <c r="AA12" s="45">
        <f t="shared" ref="AA12" si="13">SUM(X12:Z12)</f>
        <v>508.50806451612902</v>
      </c>
      <c r="AC12" s="55"/>
      <c r="AD12" s="55"/>
    </row>
    <row r="13" spans="3:33" ht="15.75" customHeight="1" x14ac:dyDescent="0.25">
      <c r="E13" s="107">
        <f t="shared" si="0"/>
        <v>368</v>
      </c>
      <c r="F13" s="52"/>
      <c r="G13" s="52">
        <f>+'Fisico ASIG'!E13</f>
        <v>46113</v>
      </c>
      <c r="H13" s="107">
        <f t="shared" si="1"/>
        <v>5177.9283236111132</v>
      </c>
      <c r="I13" s="107">
        <f t="shared" si="1"/>
        <v>947.88149583333336</v>
      </c>
      <c r="J13" s="107">
        <f t="shared" si="1"/>
        <v>297.36885555555551</v>
      </c>
      <c r="K13" s="107">
        <f t="shared" si="11"/>
        <v>30.736814444444448</v>
      </c>
      <c r="L13" s="107">
        <f t="shared" si="2"/>
        <v>0</v>
      </c>
      <c r="M13" s="111">
        <f t="shared" si="3"/>
        <v>6453.9154894444464</v>
      </c>
      <c r="N13" s="107">
        <f t="shared" si="4"/>
        <v>11526.652223611109</v>
      </c>
      <c r="O13" s="107">
        <f t="shared" si="4"/>
        <v>1329.4508402777778</v>
      </c>
      <c r="P13" s="107">
        <f t="shared" si="4"/>
        <v>902.09298194444455</v>
      </c>
      <c r="Q13" s="107">
        <f t="shared" si="12"/>
        <v>195.67144868055553</v>
      </c>
      <c r="R13" s="107">
        <f t="shared" si="5"/>
        <v>0</v>
      </c>
      <c r="S13" s="111">
        <f t="shared" si="10"/>
        <v>13953.867494513886</v>
      </c>
      <c r="T13" s="107">
        <f t="shared" si="6"/>
        <v>0</v>
      </c>
      <c r="U13" s="107">
        <f t="shared" si="6"/>
        <v>242.99861388888888</v>
      </c>
      <c r="V13" s="107">
        <f t="shared" si="6"/>
        <v>1202.4212833333329</v>
      </c>
      <c r="W13" s="112">
        <f t="shared" si="7"/>
        <v>1445.4198972222218</v>
      </c>
      <c r="X13" s="107">
        <f t="shared" si="8"/>
        <v>0</v>
      </c>
      <c r="Y13" s="107">
        <f t="shared" si="8"/>
        <v>436.07638888888891</v>
      </c>
      <c r="Z13" s="107">
        <f t="shared" si="8"/>
        <v>0</v>
      </c>
      <c r="AA13" s="45">
        <f t="shared" ref="AA13" si="14">SUM(X13:Z13)</f>
        <v>436.07638888888891</v>
      </c>
      <c r="AC13" s="55"/>
      <c r="AD13" s="55"/>
    </row>
    <row r="14" spans="3:33" ht="15.75" customHeight="1" x14ac:dyDescent="0.25">
      <c r="E14" s="107">
        <f t="shared" si="0"/>
        <v>362</v>
      </c>
      <c r="F14" s="52"/>
      <c r="G14" s="52">
        <f>+'Fisico ASIG'!E14</f>
        <v>46143</v>
      </c>
      <c r="H14" s="107">
        <f t="shared" si="1"/>
        <v>4412.1912096774195</v>
      </c>
      <c r="I14" s="107">
        <f t="shared" si="1"/>
        <v>801.81793010752688</v>
      </c>
      <c r="J14" s="107">
        <f t="shared" si="1"/>
        <v>220.41145161290328</v>
      </c>
      <c r="K14" s="107">
        <f t="shared" si="11"/>
        <v>56.502343413978494</v>
      </c>
      <c r="L14" s="107">
        <f t="shared" si="2"/>
        <v>0</v>
      </c>
      <c r="M14" s="111">
        <f t="shared" ref="M14" si="15">SUM(H14:L14)</f>
        <v>5490.9229348118279</v>
      </c>
      <c r="N14" s="107">
        <f t="shared" si="4"/>
        <v>12586.967795698924</v>
      </c>
      <c r="O14" s="107">
        <f t="shared" si="4"/>
        <v>1439.4026747311827</v>
      </c>
      <c r="P14" s="107">
        <f t="shared" si="4"/>
        <v>893.67126344086034</v>
      </c>
      <c r="Q14" s="107">
        <f t="shared" si="12"/>
        <v>188.40308467741937</v>
      </c>
      <c r="R14" s="107">
        <f t="shared" si="5"/>
        <v>0</v>
      </c>
      <c r="S14" s="111">
        <f t="shared" si="10"/>
        <v>15108.444818548383</v>
      </c>
      <c r="T14" s="107">
        <f t="shared" si="6"/>
        <v>700</v>
      </c>
      <c r="U14" s="107">
        <f t="shared" si="6"/>
        <v>345.82524193548386</v>
      </c>
      <c r="V14" s="107">
        <f t="shared" si="6"/>
        <v>1246.163252688172</v>
      </c>
      <c r="W14" s="112">
        <f t="shared" si="7"/>
        <v>2291.9884946236562</v>
      </c>
      <c r="X14" s="107">
        <f t="shared" si="8"/>
        <v>0</v>
      </c>
      <c r="Y14" s="107">
        <f t="shared" si="8"/>
        <v>478.94712365591403</v>
      </c>
      <c r="Z14" s="107">
        <f t="shared" si="8"/>
        <v>0</v>
      </c>
      <c r="AA14" s="45">
        <f t="shared" ref="AA14" si="16">SUM(X14:Z14)</f>
        <v>478.94712365591403</v>
      </c>
      <c r="AC14" s="55"/>
      <c r="AD14" s="55"/>
    </row>
    <row r="15" spans="3:33" ht="15.75" customHeight="1" x14ac:dyDescent="0.25">
      <c r="C15" t="s">
        <v>146</v>
      </c>
      <c r="D15" s="5">
        <f>+MAX(G202:G284)</f>
        <v>46195</v>
      </c>
      <c r="E15" s="107">
        <f t="shared" si="0"/>
        <v>272</v>
      </c>
      <c r="F15" s="52"/>
      <c r="G15" s="52">
        <f>+'Fisico ASIG'!E15</f>
        <v>46174</v>
      </c>
      <c r="H15" s="107">
        <f t="shared" si="1"/>
        <v>5811.3068939393961</v>
      </c>
      <c r="I15" s="107">
        <f t="shared" si="1"/>
        <v>319.29905303030301</v>
      </c>
      <c r="J15" s="107">
        <f t="shared" si="1"/>
        <v>181.03589015151513</v>
      </c>
      <c r="K15" s="107">
        <f t="shared" si="11"/>
        <v>39.031337121212118</v>
      </c>
      <c r="L15" s="107">
        <f t="shared" si="2"/>
        <v>0</v>
      </c>
      <c r="M15" s="111">
        <f t="shared" ref="M15" si="17">SUM(H15:L15)</f>
        <v>6350.6731742424272</v>
      </c>
      <c r="N15" s="107">
        <f t="shared" si="4"/>
        <v>12804.329914772727</v>
      </c>
      <c r="O15" s="107">
        <f t="shared" si="4"/>
        <v>1511.525507575758</v>
      </c>
      <c r="P15" s="107">
        <f t="shared" si="4"/>
        <v>949.59153219696952</v>
      </c>
      <c r="Q15" s="107">
        <f t="shared" si="12"/>
        <v>190.59660132575755</v>
      </c>
      <c r="R15" s="107">
        <f t="shared" si="5"/>
        <v>0</v>
      </c>
      <c r="S15" s="111">
        <f t="shared" si="10"/>
        <v>15456.043555871212</v>
      </c>
      <c r="T15" s="107">
        <f t="shared" si="6"/>
        <v>700</v>
      </c>
      <c r="U15" s="107">
        <f t="shared" si="6"/>
        <v>256.60647727272726</v>
      </c>
      <c r="V15" s="107">
        <f t="shared" si="6"/>
        <v>1208.4638257575764</v>
      </c>
      <c r="W15" s="112">
        <f t="shared" si="7"/>
        <v>2165.0703030303039</v>
      </c>
      <c r="X15" s="107">
        <f t="shared" si="8"/>
        <v>0</v>
      </c>
      <c r="Y15" s="107">
        <f t="shared" si="8"/>
        <v>444.63636363636363</v>
      </c>
      <c r="Z15" s="107">
        <f t="shared" si="8"/>
        <v>0</v>
      </c>
      <c r="AA15" s="45">
        <f t="shared" ref="AA15" si="18">SUM(X15:Z15)</f>
        <v>444.63636363636363</v>
      </c>
      <c r="AC15" s="55"/>
      <c r="AD15" s="55"/>
    </row>
    <row r="16" spans="3:33" x14ac:dyDescent="0.25">
      <c r="F16" s="2"/>
      <c r="H16" s="110"/>
      <c r="I16" s="110"/>
      <c r="J16" s="110"/>
      <c r="K16" s="110"/>
      <c r="L16" s="110"/>
      <c r="M16" s="2"/>
      <c r="N16" s="32"/>
      <c r="W16" s="2"/>
    </row>
    <row r="17" spans="3:39" x14ac:dyDescent="0.25">
      <c r="E17" t="s">
        <v>39</v>
      </c>
      <c r="H17" s="8" t="s">
        <v>18</v>
      </c>
      <c r="I17" s="8" t="s">
        <v>18</v>
      </c>
      <c r="J17" s="8" t="s">
        <v>18</v>
      </c>
      <c r="K17" s="8" t="s">
        <v>18</v>
      </c>
      <c r="L17" s="8" t="s">
        <v>18</v>
      </c>
      <c r="M17" s="8" t="s">
        <v>18</v>
      </c>
      <c r="N17" s="8" t="s">
        <v>19</v>
      </c>
      <c r="O17" s="8" t="s">
        <v>19</v>
      </c>
      <c r="P17" s="8" t="s">
        <v>19</v>
      </c>
      <c r="Q17" s="8" t="s">
        <v>19</v>
      </c>
      <c r="R17" s="8" t="s">
        <v>19</v>
      </c>
      <c r="S17" s="8" t="s">
        <v>19</v>
      </c>
      <c r="T17" s="10" t="s">
        <v>18</v>
      </c>
      <c r="U17" s="10" t="s">
        <v>18</v>
      </c>
      <c r="V17" s="10" t="s">
        <v>18</v>
      </c>
      <c r="W17" s="10" t="s">
        <v>18</v>
      </c>
      <c r="X17" s="10" t="s">
        <v>19</v>
      </c>
      <c r="Y17" s="10" t="s">
        <v>19</v>
      </c>
      <c r="Z17" s="10" t="s">
        <v>19</v>
      </c>
      <c r="AA17" s="10" t="s">
        <v>19</v>
      </c>
      <c r="AC17" t="s">
        <v>107</v>
      </c>
      <c r="AD17" t="s">
        <v>107</v>
      </c>
      <c r="AE17" t="s">
        <v>108</v>
      </c>
      <c r="AF17" t="s">
        <v>108</v>
      </c>
    </row>
    <row r="18" spans="3:39" x14ac:dyDescent="0.25">
      <c r="H18" s="9" t="s">
        <v>14</v>
      </c>
      <c r="I18" s="9" t="s">
        <v>14</v>
      </c>
      <c r="J18" s="9" t="s">
        <v>14</v>
      </c>
      <c r="K18" s="9" t="s">
        <v>14</v>
      </c>
      <c r="L18" s="9" t="s">
        <v>14</v>
      </c>
      <c r="M18" s="9" t="s">
        <v>14</v>
      </c>
      <c r="N18" s="9" t="s">
        <v>14</v>
      </c>
      <c r="O18" s="9" t="s">
        <v>14</v>
      </c>
      <c r="P18" s="9" t="s">
        <v>14</v>
      </c>
      <c r="Q18" s="9" t="s">
        <v>14</v>
      </c>
      <c r="R18" s="9" t="s">
        <v>14</v>
      </c>
      <c r="S18" s="9" t="s">
        <v>14</v>
      </c>
      <c r="T18" s="11" t="s">
        <v>14</v>
      </c>
      <c r="U18" s="11" t="s">
        <v>14</v>
      </c>
      <c r="V18" s="11" t="s">
        <v>14</v>
      </c>
      <c r="W18" s="11" t="s">
        <v>14</v>
      </c>
      <c r="X18" s="11" t="s">
        <v>147</v>
      </c>
      <c r="Y18" s="11" t="s">
        <v>147</v>
      </c>
      <c r="Z18" s="11" t="s">
        <v>147</v>
      </c>
      <c r="AA18" s="11" t="s">
        <v>147</v>
      </c>
      <c r="AC18" s="38" t="s">
        <v>109</v>
      </c>
      <c r="AD18" s="38" t="s">
        <v>110</v>
      </c>
      <c r="AE18" t="s">
        <v>109</v>
      </c>
      <c r="AF18" s="38" t="s">
        <v>110</v>
      </c>
    </row>
    <row r="19" spans="3:39" x14ac:dyDescent="0.25">
      <c r="C19" s="1" t="s">
        <v>40</v>
      </c>
      <c r="D19" s="1" t="s">
        <v>33</v>
      </c>
      <c r="E19" s="1" t="s">
        <v>111</v>
      </c>
      <c r="F19" s="1" t="s">
        <v>41</v>
      </c>
      <c r="G19" s="1" t="s">
        <v>42</v>
      </c>
      <c r="H19" s="8" t="s">
        <v>98</v>
      </c>
      <c r="I19" s="8" t="s">
        <v>99</v>
      </c>
      <c r="J19" s="8" t="s">
        <v>100</v>
      </c>
      <c r="K19" s="8" t="s">
        <v>123</v>
      </c>
      <c r="L19" s="8" t="s">
        <v>101</v>
      </c>
      <c r="M19" s="8" t="s">
        <v>102</v>
      </c>
      <c r="N19" s="8" t="s">
        <v>98</v>
      </c>
      <c r="O19" s="8" t="s">
        <v>99</v>
      </c>
      <c r="P19" s="8" t="s">
        <v>100</v>
      </c>
      <c r="Q19" s="8" t="s">
        <v>123</v>
      </c>
      <c r="R19" s="8" t="s">
        <v>101</v>
      </c>
      <c r="S19" s="8" t="s">
        <v>102</v>
      </c>
      <c r="T19" s="10" t="s">
        <v>103</v>
      </c>
      <c r="U19" s="10" t="s">
        <v>104</v>
      </c>
      <c r="V19" s="10" t="s">
        <v>105</v>
      </c>
      <c r="W19" s="10" t="s">
        <v>106</v>
      </c>
      <c r="X19" s="10" t="s">
        <v>103</v>
      </c>
      <c r="Y19" s="10" t="s">
        <v>104</v>
      </c>
      <c r="Z19" s="10" t="s">
        <v>105</v>
      </c>
      <c r="AA19" s="10" t="s">
        <v>106</v>
      </c>
      <c r="AC19" s="38" t="s">
        <v>112</v>
      </c>
      <c r="AD19" s="38" t="s">
        <v>112</v>
      </c>
      <c r="AE19" s="38" t="s">
        <v>112</v>
      </c>
      <c r="AF19" s="38" t="s">
        <v>112</v>
      </c>
    </row>
    <row r="20" spans="3:39" hidden="1" x14ac:dyDescent="0.25">
      <c r="C20" s="1">
        <f>YEAR(G20)</f>
        <v>2025</v>
      </c>
      <c r="D20" s="52">
        <f>+'Fisico ASIG'!B20</f>
        <v>45931</v>
      </c>
      <c r="E20" s="1">
        <v>16</v>
      </c>
      <c r="F20" s="1" t="s">
        <v>44</v>
      </c>
      <c r="G20" s="5">
        <v>45931</v>
      </c>
      <c r="H20" s="2">
        <v>3788.3379166666664</v>
      </c>
      <c r="I20" s="2">
        <v>654.25558333333333</v>
      </c>
      <c r="J20" s="2">
        <v>347.80670833333323</v>
      </c>
      <c r="K20" s="2"/>
      <c r="L20" s="1">
        <v>0</v>
      </c>
      <c r="M20" s="35">
        <f>SUM(H20:L20)</f>
        <v>4790.4002083333335</v>
      </c>
      <c r="N20" s="2">
        <v>11861.323458333334</v>
      </c>
      <c r="O20" s="3">
        <v>757.9595833333334</v>
      </c>
      <c r="P20" s="2">
        <v>989.47608333333346</v>
      </c>
      <c r="Q20" s="2"/>
      <c r="R20" s="1">
        <v>0</v>
      </c>
      <c r="S20" s="35">
        <f>SUM(N20:R20)</f>
        <v>13608.759125</v>
      </c>
      <c r="T20" s="2">
        <v>0</v>
      </c>
      <c r="U20" s="2">
        <v>201.28450000000001</v>
      </c>
      <c r="V20" s="2">
        <v>1709.4028750000002</v>
      </c>
      <c r="W20" s="45">
        <f>SUM(T20:V20)</f>
        <v>1910.6873750000002</v>
      </c>
      <c r="X20" s="2">
        <v>0</v>
      </c>
      <c r="Y20" s="2">
        <v>420</v>
      </c>
      <c r="Z20" s="2">
        <v>0</v>
      </c>
      <c r="AA20" s="45">
        <f>SUM(X20:Z20)</f>
        <v>420</v>
      </c>
      <c r="AC20" s="39">
        <v>3000</v>
      </c>
      <c r="AD20" s="40">
        <f t="shared" ref="AD20:AD59" si="19">+N20-AC20</f>
        <v>8861.3234583333342</v>
      </c>
      <c r="AE20" s="1">
        <f>12*AI20</f>
        <v>10.8</v>
      </c>
      <c r="AF20" s="1">
        <f>12*AJ20</f>
        <v>12</v>
      </c>
      <c r="AG20" s="41">
        <f>+(AC20*AE20+AF20*AD20)/SUM(AC20:AD20)</f>
        <v>11.696492553074188</v>
      </c>
      <c r="AI20">
        <v>0.9</v>
      </c>
      <c r="AJ20">
        <v>1</v>
      </c>
      <c r="AK20" s="32">
        <f>+AC20+AD20</f>
        <v>11861.323458333334</v>
      </c>
      <c r="AL20" s="4">
        <f>+AC20/AK20</f>
        <v>0.25292287243817713</v>
      </c>
      <c r="AM20" s="4">
        <f>+AD20/AK20</f>
        <v>0.74707712756182287</v>
      </c>
    </row>
    <row r="21" spans="3:39" hidden="1" x14ac:dyDescent="0.25">
      <c r="C21" s="1">
        <f t="shared" ref="C21:C84" si="20">YEAR(G21)</f>
        <v>2025</v>
      </c>
      <c r="D21" s="52">
        <f>+'Fisico ASIG'!B21</f>
        <v>45931</v>
      </c>
      <c r="E21" s="1">
        <v>16</v>
      </c>
      <c r="F21" s="1" t="s">
        <v>45</v>
      </c>
      <c r="G21" s="5">
        <f>+ G20+1</f>
        <v>45932</v>
      </c>
      <c r="H21" s="2">
        <v>3659.9447083333334</v>
      </c>
      <c r="I21" s="2">
        <v>591.15916666666658</v>
      </c>
      <c r="J21" s="2">
        <v>378.92295833333321</v>
      </c>
      <c r="K21" s="2"/>
      <c r="L21" s="1">
        <v>0</v>
      </c>
      <c r="M21" s="35">
        <f t="shared" ref="M21:M49" si="21">SUM(H21:L21)</f>
        <v>4630.0268333333333</v>
      </c>
      <c r="N21" s="2">
        <v>12550.744250000002</v>
      </c>
      <c r="O21" s="3">
        <v>737.01525000000004</v>
      </c>
      <c r="P21" s="2">
        <v>989.24079166666672</v>
      </c>
      <c r="Q21" s="2"/>
      <c r="R21" s="1">
        <v>0</v>
      </c>
      <c r="S21" s="35">
        <f t="shared" ref="S21:S49" si="22">SUM(N21:R21)</f>
        <v>14277.000291666669</v>
      </c>
      <c r="T21" s="2">
        <v>0</v>
      </c>
      <c r="U21" s="2">
        <v>191.34416666666672</v>
      </c>
      <c r="V21" s="2">
        <v>1840.7855416666666</v>
      </c>
      <c r="W21" s="45">
        <f t="shared" ref="W21:W84" si="23">SUM(T21:V21)</f>
        <v>2032.1297083333334</v>
      </c>
      <c r="X21" s="2">
        <v>0</v>
      </c>
      <c r="Y21" s="2">
        <v>420</v>
      </c>
      <c r="Z21" s="2">
        <v>0</v>
      </c>
      <c r="AA21" s="45">
        <f t="shared" ref="AA21:AA49" si="24">SUM(X21:Z21)</f>
        <v>420</v>
      </c>
      <c r="AC21" s="39">
        <v>3000</v>
      </c>
      <c r="AD21" s="40">
        <f t="shared" si="19"/>
        <v>9550.7442500000016</v>
      </c>
      <c r="AE21" s="1">
        <f t="shared" ref="AE21:AE84" si="25">12*AI21</f>
        <v>10.8</v>
      </c>
      <c r="AF21" s="1">
        <f t="shared" ref="AF21:AF84" si="26">12*AJ21</f>
        <v>12</v>
      </c>
      <c r="AG21" s="41">
        <f t="shared" ref="AG21:AG50" si="27">+(AC21*AE21+AF21*AD21)/SUM(AC21:AD21)</f>
        <v>11.713164420508368</v>
      </c>
      <c r="AI21">
        <v>0.9</v>
      </c>
      <c r="AJ21">
        <v>1</v>
      </c>
      <c r="AK21" s="32">
        <f t="shared" ref="AK21:AK59" si="28">+AC21+AD21</f>
        <v>12550.744250000002</v>
      </c>
      <c r="AL21" s="4">
        <f t="shared" ref="AL21:AL59" si="29">+AC21/AK21</f>
        <v>0.23902964957635875</v>
      </c>
      <c r="AM21" s="4">
        <f t="shared" ref="AM21:AM59" si="30">+AD21/AK21</f>
        <v>0.76097035042364125</v>
      </c>
    </row>
    <row r="22" spans="3:39" hidden="1" x14ac:dyDescent="0.25">
      <c r="C22" s="1">
        <f t="shared" si="20"/>
        <v>2025</v>
      </c>
      <c r="D22" s="52">
        <f>+'Fisico ASIG'!B22</f>
        <v>45931</v>
      </c>
      <c r="E22" s="1">
        <v>16</v>
      </c>
      <c r="F22" s="1" t="s">
        <v>46</v>
      </c>
      <c r="G22" s="5">
        <f t="shared" ref="G22:G50" si="31">+ G21+1</f>
        <v>45933</v>
      </c>
      <c r="H22" s="2">
        <v>3755.1647500000004</v>
      </c>
      <c r="I22" s="2">
        <v>619.50137499999994</v>
      </c>
      <c r="J22" s="2">
        <v>359.48854166666666</v>
      </c>
      <c r="K22" s="2"/>
      <c r="L22" s="1">
        <v>0</v>
      </c>
      <c r="M22" s="35">
        <f t="shared" si="21"/>
        <v>4734.1546666666673</v>
      </c>
      <c r="N22" s="2">
        <v>12674.504250000002</v>
      </c>
      <c r="O22" s="3">
        <v>743.2908749999998</v>
      </c>
      <c r="P22" s="2">
        <v>989.26883333333342</v>
      </c>
      <c r="Q22" s="2"/>
      <c r="R22" s="1">
        <v>0</v>
      </c>
      <c r="S22" s="35">
        <f t="shared" si="22"/>
        <v>14407.063958333336</v>
      </c>
      <c r="T22" s="2">
        <v>0</v>
      </c>
      <c r="U22" s="2">
        <v>189.87004166666668</v>
      </c>
      <c r="V22" s="2">
        <v>1953.778708333333</v>
      </c>
      <c r="W22" s="45">
        <f t="shared" si="23"/>
        <v>2143.6487499999998</v>
      </c>
      <c r="X22" s="2">
        <v>0</v>
      </c>
      <c r="Y22" s="2">
        <v>420</v>
      </c>
      <c r="Z22" s="2">
        <v>0</v>
      </c>
      <c r="AA22" s="45">
        <f t="shared" si="24"/>
        <v>420</v>
      </c>
      <c r="AC22" s="39">
        <v>3000</v>
      </c>
      <c r="AD22" s="40">
        <f t="shared" si="19"/>
        <v>9674.5042500000018</v>
      </c>
      <c r="AE22" s="1">
        <f t="shared" si="25"/>
        <v>10.8</v>
      </c>
      <c r="AF22" s="1">
        <f t="shared" si="26"/>
        <v>12</v>
      </c>
      <c r="AG22" s="41">
        <f t="shared" si="27"/>
        <v>11.715965222071704</v>
      </c>
      <c r="AI22">
        <v>0.9</v>
      </c>
      <c r="AJ22">
        <v>1</v>
      </c>
      <c r="AK22" s="32">
        <f t="shared" si="28"/>
        <v>12674.504250000002</v>
      </c>
      <c r="AL22" s="4">
        <f t="shared" si="29"/>
        <v>0.23669564827358036</v>
      </c>
      <c r="AM22" s="4">
        <f t="shared" si="30"/>
        <v>0.76330435172641964</v>
      </c>
    </row>
    <row r="23" spans="3:39" hidden="1" x14ac:dyDescent="0.25">
      <c r="C23" s="1">
        <f t="shared" si="20"/>
        <v>2025</v>
      </c>
      <c r="D23" s="52">
        <f>+'Fisico ASIG'!B23</f>
        <v>45931</v>
      </c>
      <c r="E23" s="1">
        <v>6</v>
      </c>
      <c r="F23" s="1" t="s">
        <v>47</v>
      </c>
      <c r="G23" s="5">
        <f t="shared" si="31"/>
        <v>45934</v>
      </c>
      <c r="H23" s="2">
        <v>4065.4599583333343</v>
      </c>
      <c r="I23" s="2">
        <v>599.1688333333334</v>
      </c>
      <c r="J23" s="2">
        <v>329.31066666666663</v>
      </c>
      <c r="K23" s="2"/>
      <c r="L23" s="1">
        <v>0</v>
      </c>
      <c r="M23" s="35">
        <f t="shared" si="21"/>
        <v>4993.9394583333342</v>
      </c>
      <c r="N23" s="2">
        <v>11921.217791666662</v>
      </c>
      <c r="O23" s="3">
        <v>717.40766666666661</v>
      </c>
      <c r="P23" s="2">
        <v>989.19358333333344</v>
      </c>
      <c r="Q23" s="2"/>
      <c r="R23" s="1">
        <v>0</v>
      </c>
      <c r="S23" s="35">
        <f t="shared" si="22"/>
        <v>13627.819041666662</v>
      </c>
      <c r="T23" s="2">
        <v>0</v>
      </c>
      <c r="U23" s="2">
        <v>194.56195833333334</v>
      </c>
      <c r="V23" s="2">
        <v>1594.0311249999993</v>
      </c>
      <c r="W23" s="45">
        <f t="shared" si="23"/>
        <v>1788.5930833333327</v>
      </c>
      <c r="X23" s="2">
        <v>0</v>
      </c>
      <c r="Y23" s="2">
        <v>468.8125</v>
      </c>
      <c r="Z23" s="2">
        <v>0</v>
      </c>
      <c r="AA23" s="45">
        <f t="shared" si="24"/>
        <v>468.8125</v>
      </c>
      <c r="AC23" s="39">
        <v>3000</v>
      </c>
      <c r="AD23" s="40">
        <f t="shared" si="19"/>
        <v>8921.2177916666624</v>
      </c>
      <c r="AE23" s="1">
        <f t="shared" si="25"/>
        <v>10.8</v>
      </c>
      <c r="AF23" s="1">
        <f t="shared" si="26"/>
        <v>12</v>
      </c>
      <c r="AG23" s="41">
        <f t="shared" si="27"/>
        <v>11.6980174288472</v>
      </c>
      <c r="AI23">
        <v>0.9</v>
      </c>
      <c r="AJ23">
        <v>1</v>
      </c>
      <c r="AK23" s="32">
        <f t="shared" si="28"/>
        <v>11921.217791666662</v>
      </c>
      <c r="AL23" s="4">
        <f t="shared" si="29"/>
        <v>0.2516521426273331</v>
      </c>
      <c r="AM23" s="4">
        <f t="shared" si="30"/>
        <v>0.74834785737266685</v>
      </c>
    </row>
    <row r="24" spans="3:39" hidden="1" x14ac:dyDescent="0.25">
      <c r="C24" s="1">
        <f t="shared" si="20"/>
        <v>2025</v>
      </c>
      <c r="D24" s="52">
        <f>+'Fisico ASIG'!B24</f>
        <v>45931</v>
      </c>
      <c r="E24" s="1">
        <v>4</v>
      </c>
      <c r="F24" s="1" t="s">
        <v>48</v>
      </c>
      <c r="G24" s="5">
        <f t="shared" si="31"/>
        <v>45935</v>
      </c>
      <c r="H24" s="2">
        <v>3878.330375</v>
      </c>
      <c r="I24" s="2">
        <v>572.14716666666664</v>
      </c>
      <c r="J24" s="2">
        <v>333.13879166666663</v>
      </c>
      <c r="K24" s="2"/>
      <c r="L24" s="1">
        <v>0</v>
      </c>
      <c r="M24" s="35">
        <f t="shared" si="21"/>
        <v>4783.6163333333334</v>
      </c>
      <c r="N24" s="2">
        <v>11826.973291666665</v>
      </c>
      <c r="O24" s="3">
        <v>727.99125000000004</v>
      </c>
      <c r="P24" s="2">
        <v>989.16000000000008</v>
      </c>
      <c r="Q24" s="2"/>
      <c r="R24" s="1">
        <v>0</v>
      </c>
      <c r="S24" s="35">
        <f t="shared" si="22"/>
        <v>13544.124541666664</v>
      </c>
      <c r="T24" s="2">
        <v>0</v>
      </c>
      <c r="U24" s="2">
        <v>200.00950000000003</v>
      </c>
      <c r="V24" s="2">
        <v>1358.6642916666665</v>
      </c>
      <c r="W24" s="45">
        <f t="shared" si="23"/>
        <v>1558.6737916666666</v>
      </c>
      <c r="X24" s="2">
        <v>0</v>
      </c>
      <c r="Y24" s="2">
        <v>510</v>
      </c>
      <c r="Z24" s="2">
        <v>0</v>
      </c>
      <c r="AA24" s="45">
        <f t="shared" si="24"/>
        <v>510</v>
      </c>
      <c r="AC24" s="39">
        <v>3000</v>
      </c>
      <c r="AD24" s="40">
        <f t="shared" si="19"/>
        <v>8826.9732916666653</v>
      </c>
      <c r="AE24" s="1">
        <f t="shared" si="25"/>
        <v>10.8</v>
      </c>
      <c r="AF24" s="1">
        <f t="shared" si="26"/>
        <v>12</v>
      </c>
      <c r="AG24" s="41">
        <f t="shared" si="27"/>
        <v>11.695611048472008</v>
      </c>
      <c r="AI24">
        <v>0.9</v>
      </c>
      <c r="AJ24">
        <v>1</v>
      </c>
      <c r="AK24" s="32">
        <f t="shared" si="28"/>
        <v>11826.973291666665</v>
      </c>
      <c r="AL24" s="4">
        <f t="shared" si="29"/>
        <v>0.25365745960666136</v>
      </c>
      <c r="AM24" s="4">
        <f t="shared" si="30"/>
        <v>0.74634254039333858</v>
      </c>
    </row>
    <row r="25" spans="3:39" hidden="1" x14ac:dyDescent="0.25">
      <c r="C25" s="1">
        <f t="shared" si="20"/>
        <v>2025</v>
      </c>
      <c r="D25" s="52">
        <f>+'Fisico ASIG'!B25</f>
        <v>45931</v>
      </c>
      <c r="E25" s="1">
        <v>16</v>
      </c>
      <c r="F25" s="1" t="s">
        <v>49</v>
      </c>
      <c r="G25" s="5">
        <f t="shared" si="31"/>
        <v>45936</v>
      </c>
      <c r="H25" s="2">
        <v>3961.0921250000006</v>
      </c>
      <c r="I25" s="2">
        <v>565.208125</v>
      </c>
      <c r="J25" s="2">
        <v>346.53779166666658</v>
      </c>
      <c r="K25" s="2"/>
      <c r="L25" s="1">
        <v>0</v>
      </c>
      <c r="M25" s="35">
        <f t="shared" si="21"/>
        <v>4872.8380416666669</v>
      </c>
      <c r="N25" s="2">
        <v>11738.134458333334</v>
      </c>
      <c r="O25" s="3">
        <v>789.32220833333326</v>
      </c>
      <c r="P25" s="2">
        <v>989.16000000000008</v>
      </c>
      <c r="Q25" s="2"/>
      <c r="R25" s="1">
        <v>0</v>
      </c>
      <c r="S25" s="35">
        <f t="shared" si="22"/>
        <v>13516.616666666667</v>
      </c>
      <c r="T25" s="2">
        <v>0</v>
      </c>
      <c r="U25" s="2">
        <v>219.09712499999998</v>
      </c>
      <c r="V25" s="2">
        <v>1213.6954166666669</v>
      </c>
      <c r="W25" s="45">
        <f t="shared" si="23"/>
        <v>1432.7925416666669</v>
      </c>
      <c r="X25" s="2">
        <v>0</v>
      </c>
      <c r="Y25" s="2">
        <v>510</v>
      </c>
      <c r="Z25" s="2">
        <v>0</v>
      </c>
      <c r="AA25" s="45">
        <f t="shared" si="24"/>
        <v>510</v>
      </c>
      <c r="AC25" s="39">
        <v>3000</v>
      </c>
      <c r="AD25" s="40">
        <f t="shared" si="19"/>
        <v>8738.1344583333339</v>
      </c>
      <c r="AE25" s="1">
        <f t="shared" si="25"/>
        <v>10.8</v>
      </c>
      <c r="AF25" s="1">
        <f t="shared" si="26"/>
        <v>12</v>
      </c>
      <c r="AG25" s="41">
        <f t="shared" si="27"/>
        <v>11.69330731277795</v>
      </c>
      <c r="AI25">
        <v>0.9</v>
      </c>
      <c r="AJ25">
        <v>1</v>
      </c>
      <c r="AK25" s="32">
        <f t="shared" si="28"/>
        <v>11738.134458333334</v>
      </c>
      <c r="AL25" s="4">
        <f t="shared" si="29"/>
        <v>0.25557723935170884</v>
      </c>
      <c r="AM25" s="4">
        <f t="shared" si="30"/>
        <v>0.74442276064829116</v>
      </c>
    </row>
    <row r="26" spans="3:39" hidden="1" x14ac:dyDescent="0.25">
      <c r="C26" s="1">
        <f t="shared" si="20"/>
        <v>2025</v>
      </c>
      <c r="D26" s="52">
        <f>+'Fisico ASIG'!B26</f>
        <v>45931</v>
      </c>
      <c r="E26" s="1">
        <v>16</v>
      </c>
      <c r="F26" s="1" t="s">
        <v>50</v>
      </c>
      <c r="G26" s="5">
        <f t="shared" si="31"/>
        <v>45937</v>
      </c>
      <c r="H26" s="2">
        <v>3849.5487916666666</v>
      </c>
      <c r="I26" s="2">
        <v>634.4932500000001</v>
      </c>
      <c r="J26" s="2">
        <v>337.95387500000004</v>
      </c>
      <c r="K26" s="2"/>
      <c r="L26" s="1">
        <v>0</v>
      </c>
      <c r="M26" s="35">
        <f t="shared" si="21"/>
        <v>4821.9959166666667</v>
      </c>
      <c r="N26" s="2">
        <v>11735.382916666667</v>
      </c>
      <c r="O26" s="3">
        <v>764.05549999999994</v>
      </c>
      <c r="P26" s="2">
        <v>989.23937500000011</v>
      </c>
      <c r="Q26" s="2"/>
      <c r="R26" s="1">
        <v>0</v>
      </c>
      <c r="S26" s="35">
        <f t="shared" si="22"/>
        <v>13488.677791666669</v>
      </c>
      <c r="T26" s="2">
        <v>0</v>
      </c>
      <c r="U26" s="2">
        <v>262.34029166666664</v>
      </c>
      <c r="V26" s="2">
        <v>1599.7162916666668</v>
      </c>
      <c r="W26" s="45">
        <f t="shared" si="23"/>
        <v>1862.0565833333335</v>
      </c>
      <c r="X26" s="2">
        <v>0</v>
      </c>
      <c r="Y26" s="2">
        <v>510</v>
      </c>
      <c r="Z26" s="2">
        <v>0</v>
      </c>
      <c r="AA26" s="45">
        <f t="shared" si="24"/>
        <v>510</v>
      </c>
      <c r="AC26" s="39">
        <v>3000</v>
      </c>
      <c r="AD26" s="40">
        <f t="shared" si="19"/>
        <v>8735.3829166666674</v>
      </c>
      <c r="AE26" s="1">
        <f t="shared" si="25"/>
        <v>10.8</v>
      </c>
      <c r="AF26" s="1">
        <f t="shared" si="26"/>
        <v>12</v>
      </c>
      <c r="AG26" s="41">
        <f t="shared" si="27"/>
        <v>11.693235403943465</v>
      </c>
      <c r="AI26">
        <v>0.9</v>
      </c>
      <c r="AJ26">
        <v>1</v>
      </c>
      <c r="AK26" s="32">
        <f t="shared" si="28"/>
        <v>11735.382916666667</v>
      </c>
      <c r="AL26" s="4">
        <f t="shared" si="29"/>
        <v>0.25563716338044501</v>
      </c>
      <c r="AM26" s="4">
        <f t="shared" si="30"/>
        <v>0.74436283661955505</v>
      </c>
    </row>
    <row r="27" spans="3:39" hidden="1" x14ac:dyDescent="0.25">
      <c r="C27" s="1">
        <f t="shared" si="20"/>
        <v>2025</v>
      </c>
      <c r="D27" s="52">
        <f>+'Fisico ASIG'!B27</f>
        <v>45931</v>
      </c>
      <c r="E27" s="1">
        <v>16</v>
      </c>
      <c r="F27" s="1" t="s">
        <v>44</v>
      </c>
      <c r="G27" s="5">
        <f t="shared" si="31"/>
        <v>45938</v>
      </c>
      <c r="H27" s="2">
        <v>3591.0038749999999</v>
      </c>
      <c r="I27" s="2">
        <v>487.69033333333334</v>
      </c>
      <c r="J27" s="2">
        <v>325.61962500000004</v>
      </c>
      <c r="K27" s="2"/>
      <c r="L27" s="1">
        <v>0</v>
      </c>
      <c r="M27" s="35">
        <f t="shared" si="21"/>
        <v>4404.3138333333336</v>
      </c>
      <c r="N27" s="2">
        <v>11851.680624999999</v>
      </c>
      <c r="O27" s="3">
        <v>750.06666666666661</v>
      </c>
      <c r="P27" s="2">
        <v>989.16000000000008</v>
      </c>
      <c r="Q27" s="2"/>
      <c r="R27" s="1">
        <v>0</v>
      </c>
      <c r="S27" s="35">
        <f t="shared" si="22"/>
        <v>13590.907291666666</v>
      </c>
      <c r="T27" s="2">
        <v>0</v>
      </c>
      <c r="U27" s="2">
        <v>201.34400000000005</v>
      </c>
      <c r="V27" s="2">
        <v>1941.0047916666667</v>
      </c>
      <c r="W27" s="45">
        <f t="shared" si="23"/>
        <v>2142.3487916666668</v>
      </c>
      <c r="X27" s="2">
        <v>0</v>
      </c>
      <c r="Y27" s="2">
        <v>510</v>
      </c>
      <c r="Z27" s="2">
        <v>0</v>
      </c>
      <c r="AA27" s="45">
        <f t="shared" si="24"/>
        <v>510</v>
      </c>
      <c r="AC27" s="39">
        <v>3000</v>
      </c>
      <c r="AD27" s="40">
        <f t="shared" si="19"/>
        <v>8851.6806249999991</v>
      </c>
      <c r="AE27" s="1">
        <f t="shared" si="25"/>
        <v>10.8</v>
      </c>
      <c r="AF27" s="1">
        <f t="shared" si="26"/>
        <v>12</v>
      </c>
      <c r="AG27" s="41">
        <f t="shared" si="27"/>
        <v>11.696245611579664</v>
      </c>
      <c r="AI27">
        <v>0.9</v>
      </c>
      <c r="AJ27">
        <v>1</v>
      </c>
      <c r="AK27" s="32">
        <f t="shared" si="28"/>
        <v>11851.680624999999</v>
      </c>
      <c r="AL27" s="4">
        <f t="shared" si="29"/>
        <v>0.25312865701694526</v>
      </c>
      <c r="AM27" s="4">
        <f t="shared" si="30"/>
        <v>0.7468713429830548</v>
      </c>
    </row>
    <row r="28" spans="3:39" hidden="1" x14ac:dyDescent="0.25">
      <c r="C28" s="1">
        <f t="shared" si="20"/>
        <v>2025</v>
      </c>
      <c r="D28" s="52">
        <f>+'Fisico ASIG'!B28</f>
        <v>45931</v>
      </c>
      <c r="E28" s="1">
        <v>16</v>
      </c>
      <c r="F28" s="1" t="s">
        <v>45</v>
      </c>
      <c r="G28" s="5">
        <f t="shared" si="31"/>
        <v>45939</v>
      </c>
      <c r="H28" s="2">
        <v>3569.68075</v>
      </c>
      <c r="I28" s="2">
        <v>298.57166666666672</v>
      </c>
      <c r="J28" s="2">
        <v>385.64100000000002</v>
      </c>
      <c r="K28" s="2"/>
      <c r="L28" s="1">
        <v>0</v>
      </c>
      <c r="M28" s="35">
        <f t="shared" si="21"/>
        <v>4253.8934166666668</v>
      </c>
      <c r="N28" s="2">
        <v>11798.680583333333</v>
      </c>
      <c r="O28" s="3">
        <v>738.3216666666666</v>
      </c>
      <c r="P28" s="2">
        <v>989.16000000000008</v>
      </c>
      <c r="Q28" s="2"/>
      <c r="R28" s="1">
        <v>0</v>
      </c>
      <c r="S28" s="35">
        <f t="shared" si="22"/>
        <v>13526.162249999999</v>
      </c>
      <c r="T28" s="2">
        <v>0</v>
      </c>
      <c r="U28" s="2">
        <v>253.31254166666665</v>
      </c>
      <c r="V28" s="2">
        <v>1997.1086666666663</v>
      </c>
      <c r="W28" s="45">
        <f t="shared" si="23"/>
        <v>2250.4212083333327</v>
      </c>
      <c r="X28" s="2">
        <v>0</v>
      </c>
      <c r="Y28" s="2">
        <v>510</v>
      </c>
      <c r="Z28" s="2">
        <v>0</v>
      </c>
      <c r="AA28" s="45">
        <f t="shared" si="24"/>
        <v>510</v>
      </c>
      <c r="AC28" s="39">
        <v>3000</v>
      </c>
      <c r="AD28" s="40">
        <f t="shared" si="19"/>
        <v>8798.6805833333328</v>
      </c>
      <c r="AE28" s="1">
        <f t="shared" si="25"/>
        <v>10.8</v>
      </c>
      <c r="AF28" s="1">
        <f t="shared" si="26"/>
        <v>12</v>
      </c>
      <c r="AG28" s="41">
        <f t="shared" si="27"/>
        <v>11.694881137380284</v>
      </c>
      <c r="AI28">
        <v>0.9</v>
      </c>
      <c r="AJ28">
        <v>1</v>
      </c>
      <c r="AK28" s="32">
        <f t="shared" si="28"/>
        <v>11798.680583333333</v>
      </c>
      <c r="AL28" s="4">
        <f t="shared" si="29"/>
        <v>0.25426571884976379</v>
      </c>
      <c r="AM28" s="4">
        <f t="shared" si="30"/>
        <v>0.74573428115023621</v>
      </c>
    </row>
    <row r="29" spans="3:39" hidden="1" x14ac:dyDescent="0.25">
      <c r="C29" s="1">
        <f t="shared" si="20"/>
        <v>2025</v>
      </c>
      <c r="D29" s="52">
        <f>+'Fisico ASIG'!B29</f>
        <v>45931</v>
      </c>
      <c r="E29" s="1">
        <v>16</v>
      </c>
      <c r="F29" s="1" t="s">
        <v>46</v>
      </c>
      <c r="G29" s="5">
        <f t="shared" si="31"/>
        <v>45940</v>
      </c>
      <c r="H29" s="2">
        <v>3707.8788749999994</v>
      </c>
      <c r="I29" s="2">
        <v>297.26279166666671</v>
      </c>
      <c r="J29" s="2">
        <v>354.75412500000004</v>
      </c>
      <c r="K29" s="2"/>
      <c r="L29" s="1">
        <v>0</v>
      </c>
      <c r="M29" s="35">
        <f t="shared" si="21"/>
        <v>4359.8957916666659</v>
      </c>
      <c r="N29" s="2">
        <v>11799.591708333335</v>
      </c>
      <c r="O29" s="3">
        <v>733.76316666666673</v>
      </c>
      <c r="P29" s="2">
        <v>989.16000000000008</v>
      </c>
      <c r="Q29" s="2"/>
      <c r="R29" s="1">
        <v>0</v>
      </c>
      <c r="S29" s="35">
        <f t="shared" si="22"/>
        <v>13522.514875000003</v>
      </c>
      <c r="T29" s="2">
        <v>0</v>
      </c>
      <c r="U29" s="2">
        <v>323.4205</v>
      </c>
      <c r="V29" s="2">
        <v>1533.1634166666665</v>
      </c>
      <c r="W29" s="45">
        <f t="shared" si="23"/>
        <v>1856.5839166666665</v>
      </c>
      <c r="X29" s="2">
        <v>0</v>
      </c>
      <c r="Y29" s="2">
        <v>510</v>
      </c>
      <c r="Z29" s="2">
        <v>0</v>
      </c>
      <c r="AA29" s="45">
        <f t="shared" si="24"/>
        <v>510</v>
      </c>
      <c r="AC29" s="39">
        <v>3000</v>
      </c>
      <c r="AD29" s="40">
        <f t="shared" si="19"/>
        <v>8799.5917083333352</v>
      </c>
      <c r="AE29" s="1">
        <f t="shared" si="25"/>
        <v>10.8</v>
      </c>
      <c r="AF29" s="1">
        <f t="shared" si="26"/>
        <v>12</v>
      </c>
      <c r="AG29" s="41">
        <f t="shared" si="27"/>
        <v>11.694904697638179</v>
      </c>
      <c r="AI29">
        <v>0.9</v>
      </c>
      <c r="AJ29">
        <v>1</v>
      </c>
      <c r="AK29" s="32">
        <f t="shared" si="28"/>
        <v>11799.591708333335</v>
      </c>
      <c r="AL29" s="4">
        <f t="shared" si="29"/>
        <v>0.25424608530151788</v>
      </c>
      <c r="AM29" s="4">
        <f t="shared" si="30"/>
        <v>0.74575391469848218</v>
      </c>
    </row>
    <row r="30" spans="3:39" hidden="1" x14ac:dyDescent="0.25">
      <c r="C30" s="1">
        <f t="shared" si="20"/>
        <v>2025</v>
      </c>
      <c r="D30" s="52">
        <f>+'Fisico ASIG'!B30</f>
        <v>45931</v>
      </c>
      <c r="E30" s="1">
        <v>6</v>
      </c>
      <c r="F30" s="1" t="s">
        <v>47</v>
      </c>
      <c r="G30" s="5">
        <f t="shared" si="31"/>
        <v>45941</v>
      </c>
      <c r="H30" s="2">
        <v>3874.9389166666665</v>
      </c>
      <c r="I30" s="2">
        <v>288.87341666666663</v>
      </c>
      <c r="J30" s="2">
        <v>356.23791666666671</v>
      </c>
      <c r="K30" s="2"/>
      <c r="L30" s="1">
        <v>0</v>
      </c>
      <c r="M30" s="35">
        <f t="shared" si="21"/>
        <v>4520.0502500000002</v>
      </c>
      <c r="N30" s="2">
        <v>11766.072000000002</v>
      </c>
      <c r="O30" s="3">
        <v>737.03954166666665</v>
      </c>
      <c r="P30" s="2">
        <v>989.17575000000011</v>
      </c>
      <c r="Q30" s="2"/>
      <c r="R30" s="1">
        <v>0</v>
      </c>
      <c r="S30" s="35">
        <f t="shared" si="22"/>
        <v>13492.287291666669</v>
      </c>
      <c r="T30" s="2">
        <v>0</v>
      </c>
      <c r="U30" s="2">
        <v>354.28820833333333</v>
      </c>
      <c r="V30" s="2">
        <v>1506.2818750000004</v>
      </c>
      <c r="W30" s="45">
        <f t="shared" si="23"/>
        <v>1860.5700833333337</v>
      </c>
      <c r="X30" s="2">
        <v>0</v>
      </c>
      <c r="Y30" s="2">
        <v>510</v>
      </c>
      <c r="Z30" s="2">
        <v>0</v>
      </c>
      <c r="AA30" s="45">
        <f t="shared" si="24"/>
        <v>510</v>
      </c>
      <c r="AC30" s="39">
        <v>3000</v>
      </c>
      <c r="AD30" s="40">
        <f t="shared" si="19"/>
        <v>8766.0720000000019</v>
      </c>
      <c r="AE30" s="1">
        <f t="shared" si="25"/>
        <v>10.8</v>
      </c>
      <c r="AF30" s="1">
        <f t="shared" si="26"/>
        <v>12</v>
      </c>
      <c r="AG30" s="41">
        <f t="shared" si="27"/>
        <v>11.694035528594421</v>
      </c>
      <c r="AI30">
        <v>0.9</v>
      </c>
      <c r="AJ30">
        <v>1</v>
      </c>
      <c r="AK30" s="32">
        <f t="shared" si="28"/>
        <v>11766.072000000002</v>
      </c>
      <c r="AL30" s="4">
        <f t="shared" si="29"/>
        <v>0.25497039283798362</v>
      </c>
      <c r="AM30" s="4">
        <f t="shared" si="30"/>
        <v>0.74502960716201638</v>
      </c>
    </row>
    <row r="31" spans="3:39" hidden="1" x14ac:dyDescent="0.25">
      <c r="C31" s="1">
        <f t="shared" si="20"/>
        <v>2025</v>
      </c>
      <c r="D31" s="52">
        <f>+'Fisico ASIG'!B31</f>
        <v>45931</v>
      </c>
      <c r="E31" s="1">
        <v>4</v>
      </c>
      <c r="F31" s="1" t="s">
        <v>48</v>
      </c>
      <c r="G31" s="5">
        <f t="shared" si="31"/>
        <v>45942</v>
      </c>
      <c r="H31" s="2">
        <v>3029.145958333334</v>
      </c>
      <c r="I31" s="2">
        <v>281.58670833333332</v>
      </c>
      <c r="J31" s="2">
        <v>287.05766666666665</v>
      </c>
      <c r="K31" s="2"/>
      <c r="L31" s="1">
        <v>0</v>
      </c>
      <c r="M31" s="35">
        <f t="shared" si="21"/>
        <v>3597.7903333333338</v>
      </c>
      <c r="N31" s="2">
        <v>11566.593000000003</v>
      </c>
      <c r="O31" s="3">
        <v>750.5621666666666</v>
      </c>
      <c r="P31" s="2">
        <v>989.16000000000008</v>
      </c>
      <c r="Q31" s="2"/>
      <c r="R31" s="1">
        <v>0</v>
      </c>
      <c r="S31" s="35">
        <f t="shared" si="22"/>
        <v>13306.315166666669</v>
      </c>
      <c r="T31" s="2">
        <v>0</v>
      </c>
      <c r="U31" s="2">
        <v>222.90420833333346</v>
      </c>
      <c r="V31" s="2">
        <v>1665.6064166666665</v>
      </c>
      <c r="W31" s="45">
        <f t="shared" si="23"/>
        <v>1888.5106249999999</v>
      </c>
      <c r="X31" s="2">
        <v>0</v>
      </c>
      <c r="Y31" s="2">
        <v>510</v>
      </c>
      <c r="Z31" s="2">
        <v>0</v>
      </c>
      <c r="AA31" s="45">
        <f t="shared" si="24"/>
        <v>510</v>
      </c>
      <c r="AC31" s="39">
        <v>3000</v>
      </c>
      <c r="AD31" s="40">
        <f t="shared" si="19"/>
        <v>8566.5930000000026</v>
      </c>
      <c r="AE31" s="1">
        <f t="shared" si="25"/>
        <v>10.8</v>
      </c>
      <c r="AF31" s="1">
        <f t="shared" si="26"/>
        <v>12</v>
      </c>
      <c r="AG31" s="41">
        <f t="shared" si="27"/>
        <v>11.688758824659951</v>
      </c>
      <c r="AI31">
        <v>0.9</v>
      </c>
      <c r="AJ31">
        <v>1</v>
      </c>
      <c r="AK31" s="32">
        <f t="shared" si="28"/>
        <v>11566.593000000003</v>
      </c>
      <c r="AL31" s="4">
        <f t="shared" si="29"/>
        <v>0.25936764611670865</v>
      </c>
      <c r="AM31" s="4">
        <f t="shared" si="30"/>
        <v>0.74063235388329141</v>
      </c>
    </row>
    <row r="32" spans="3:39" hidden="1" x14ac:dyDescent="0.25">
      <c r="C32" s="1">
        <f t="shared" si="20"/>
        <v>2025</v>
      </c>
      <c r="D32" s="52">
        <f>+'Fisico ASIG'!B32</f>
        <v>45931</v>
      </c>
      <c r="E32" s="1">
        <v>16</v>
      </c>
      <c r="F32" s="1" t="s">
        <v>49</v>
      </c>
      <c r="G32" s="5">
        <f t="shared" si="31"/>
        <v>45943</v>
      </c>
      <c r="H32" s="2">
        <v>3500.7538750000017</v>
      </c>
      <c r="I32" s="2">
        <v>312.61916666666673</v>
      </c>
      <c r="J32" s="2">
        <v>347.44950000000006</v>
      </c>
      <c r="K32" s="2"/>
      <c r="L32" s="1">
        <v>0</v>
      </c>
      <c r="M32" s="35">
        <f t="shared" si="21"/>
        <v>4160.8225416666683</v>
      </c>
      <c r="N32" s="2">
        <v>11604.505958333331</v>
      </c>
      <c r="O32" s="3">
        <v>763.54454166666676</v>
      </c>
      <c r="P32" s="2">
        <v>989.16162500000007</v>
      </c>
      <c r="Q32" s="2"/>
      <c r="R32" s="1">
        <v>0</v>
      </c>
      <c r="S32" s="35">
        <f t="shared" si="22"/>
        <v>13357.212124999998</v>
      </c>
      <c r="T32" s="2">
        <v>0</v>
      </c>
      <c r="U32" s="2">
        <v>200.92720833333331</v>
      </c>
      <c r="V32" s="2">
        <v>1618.2008333333338</v>
      </c>
      <c r="W32" s="45">
        <f t="shared" si="23"/>
        <v>1819.1280416666671</v>
      </c>
      <c r="X32" s="2">
        <v>0</v>
      </c>
      <c r="Y32" s="2">
        <v>510</v>
      </c>
      <c r="Z32" s="2">
        <v>0</v>
      </c>
      <c r="AA32" s="45">
        <f t="shared" si="24"/>
        <v>510</v>
      </c>
      <c r="AC32" s="39">
        <v>3000</v>
      </c>
      <c r="AD32" s="40">
        <f t="shared" si="19"/>
        <v>8604.5059583333314</v>
      </c>
      <c r="AE32" s="1">
        <f t="shared" si="25"/>
        <v>10.8</v>
      </c>
      <c r="AF32" s="1">
        <f t="shared" si="26"/>
        <v>12</v>
      </c>
      <c r="AG32" s="41">
        <f t="shared" si="27"/>
        <v>11.689775677402727</v>
      </c>
      <c r="AI32">
        <v>0.9</v>
      </c>
      <c r="AJ32">
        <v>1</v>
      </c>
      <c r="AK32" s="32">
        <f t="shared" si="28"/>
        <v>11604.505958333331</v>
      </c>
      <c r="AL32" s="4">
        <f t="shared" si="29"/>
        <v>0.25852026883106255</v>
      </c>
      <c r="AM32" s="4">
        <f t="shared" si="30"/>
        <v>0.74147973116893739</v>
      </c>
    </row>
    <row r="33" spans="3:39" hidden="1" x14ac:dyDescent="0.25">
      <c r="C33" s="1">
        <f t="shared" si="20"/>
        <v>2025</v>
      </c>
      <c r="D33" s="52">
        <f>+'Fisico ASIG'!B33</f>
        <v>45931</v>
      </c>
      <c r="E33" s="1">
        <v>16</v>
      </c>
      <c r="F33" s="1" t="s">
        <v>50</v>
      </c>
      <c r="G33" s="5">
        <f t="shared" si="31"/>
        <v>45944</v>
      </c>
      <c r="H33" s="2">
        <v>3948.3516249999998</v>
      </c>
      <c r="I33" s="2">
        <v>330.61666666666667</v>
      </c>
      <c r="J33" s="2">
        <v>329.9656250000001</v>
      </c>
      <c r="K33" s="2"/>
      <c r="L33" s="1">
        <v>0</v>
      </c>
      <c r="M33" s="35">
        <f t="shared" si="21"/>
        <v>4608.9339166666659</v>
      </c>
      <c r="N33" s="2">
        <v>11672.541583333334</v>
      </c>
      <c r="O33" s="3">
        <v>756.59516666666673</v>
      </c>
      <c r="P33" s="2">
        <v>970.81558333333328</v>
      </c>
      <c r="Q33" s="2"/>
      <c r="R33" s="1">
        <v>0</v>
      </c>
      <c r="S33" s="35">
        <f t="shared" si="22"/>
        <v>13399.952333333333</v>
      </c>
      <c r="T33" s="2">
        <v>0</v>
      </c>
      <c r="U33" s="2">
        <v>329.47620833333343</v>
      </c>
      <c r="V33" s="2">
        <v>1623.6262083333336</v>
      </c>
      <c r="W33" s="45">
        <f t="shared" si="23"/>
        <v>1953.1024166666671</v>
      </c>
      <c r="X33" s="2">
        <v>0</v>
      </c>
      <c r="Y33" s="2">
        <v>510</v>
      </c>
      <c r="Z33" s="2">
        <v>0</v>
      </c>
      <c r="AA33" s="45">
        <f t="shared" si="24"/>
        <v>510</v>
      </c>
      <c r="AC33" s="39">
        <v>3000</v>
      </c>
      <c r="AD33" s="40">
        <f t="shared" si="19"/>
        <v>8672.5415833333336</v>
      </c>
      <c r="AE33" s="1">
        <f t="shared" si="25"/>
        <v>10.8</v>
      </c>
      <c r="AF33" s="1">
        <f t="shared" si="26"/>
        <v>12</v>
      </c>
      <c r="AG33" s="41">
        <f t="shared" si="27"/>
        <v>11.691583878772361</v>
      </c>
      <c r="AI33">
        <v>0.9</v>
      </c>
      <c r="AJ33">
        <v>1</v>
      </c>
      <c r="AK33" s="32">
        <f t="shared" si="28"/>
        <v>11672.541583333334</v>
      </c>
      <c r="AL33" s="4">
        <f t="shared" si="29"/>
        <v>0.25701343435636648</v>
      </c>
      <c r="AM33" s="4">
        <f t="shared" si="30"/>
        <v>0.74298656564363352</v>
      </c>
    </row>
    <row r="34" spans="3:39" hidden="1" x14ac:dyDescent="0.25">
      <c r="C34" s="1">
        <f t="shared" si="20"/>
        <v>2025</v>
      </c>
      <c r="D34" s="52">
        <f>+'Fisico ASIG'!B34</f>
        <v>45931</v>
      </c>
      <c r="E34" s="1">
        <v>16</v>
      </c>
      <c r="F34" s="1" t="s">
        <v>44</v>
      </c>
      <c r="G34" s="5">
        <f t="shared" si="31"/>
        <v>45945</v>
      </c>
      <c r="H34" s="2">
        <v>4006.5431250000006</v>
      </c>
      <c r="I34" s="2">
        <v>543.59308333333331</v>
      </c>
      <c r="J34" s="2">
        <v>387.61483333333325</v>
      </c>
      <c r="K34" s="2"/>
      <c r="L34" s="1">
        <v>0</v>
      </c>
      <c r="M34" s="35">
        <f t="shared" si="21"/>
        <v>4937.7510416666673</v>
      </c>
      <c r="N34" s="2">
        <v>11621.719041666665</v>
      </c>
      <c r="O34" s="3">
        <v>731.94866666666655</v>
      </c>
      <c r="P34" s="2">
        <v>989.17483333333337</v>
      </c>
      <c r="Q34" s="2"/>
      <c r="R34" s="1">
        <v>0</v>
      </c>
      <c r="S34" s="35">
        <f t="shared" si="22"/>
        <v>13342.842541666665</v>
      </c>
      <c r="T34" s="2">
        <v>0</v>
      </c>
      <c r="U34" s="2">
        <v>200.49008333333336</v>
      </c>
      <c r="V34" s="2">
        <v>1809.0374166666663</v>
      </c>
      <c r="W34" s="45">
        <f t="shared" si="23"/>
        <v>2009.5274999999997</v>
      </c>
      <c r="X34" s="2">
        <v>0</v>
      </c>
      <c r="Y34" s="2">
        <v>510</v>
      </c>
      <c r="Z34" s="2">
        <v>0</v>
      </c>
      <c r="AA34" s="45">
        <f t="shared" si="24"/>
        <v>510</v>
      </c>
      <c r="AC34" s="39">
        <v>3000</v>
      </c>
      <c r="AD34" s="40">
        <f t="shared" si="19"/>
        <v>8621.7190416666654</v>
      </c>
      <c r="AE34" s="1">
        <f t="shared" si="25"/>
        <v>10.8</v>
      </c>
      <c r="AF34" s="1">
        <f t="shared" si="26"/>
        <v>12</v>
      </c>
      <c r="AG34" s="41">
        <f t="shared" si="27"/>
        <v>11.690235154791376</v>
      </c>
      <c r="AI34">
        <v>0.9</v>
      </c>
      <c r="AJ34">
        <v>1</v>
      </c>
      <c r="AK34" s="32">
        <f t="shared" si="28"/>
        <v>11621.719041666665</v>
      </c>
      <c r="AL34" s="4">
        <f t="shared" si="29"/>
        <v>0.2581373710071872</v>
      </c>
      <c r="AM34" s="4">
        <f t="shared" si="30"/>
        <v>0.74186262899281286</v>
      </c>
    </row>
    <row r="35" spans="3:39" hidden="1" x14ac:dyDescent="0.25">
      <c r="C35" s="1">
        <f t="shared" si="20"/>
        <v>2025</v>
      </c>
      <c r="D35" s="52">
        <f>+'Fisico ASIG'!B35</f>
        <v>45931</v>
      </c>
      <c r="E35" s="1">
        <v>16</v>
      </c>
      <c r="F35" s="1" t="s">
        <v>45</v>
      </c>
      <c r="G35" s="5">
        <f t="shared" si="31"/>
        <v>45946</v>
      </c>
      <c r="H35" s="2">
        <v>4437.891291666665</v>
      </c>
      <c r="I35" s="2">
        <v>690.49483333333342</v>
      </c>
      <c r="J35" s="2">
        <v>449.21870833333332</v>
      </c>
      <c r="K35" s="2"/>
      <c r="L35" s="1">
        <v>0</v>
      </c>
      <c r="M35" s="35">
        <f t="shared" si="21"/>
        <v>5577.604833333331</v>
      </c>
      <c r="N35" s="2">
        <v>11686.533333333333</v>
      </c>
      <c r="O35" s="3">
        <v>730.39229166666678</v>
      </c>
      <c r="P35" s="2">
        <v>989.2094166666667</v>
      </c>
      <c r="Q35" s="2"/>
      <c r="R35" s="1">
        <v>0</v>
      </c>
      <c r="S35" s="35">
        <f t="shared" si="22"/>
        <v>13406.135041666666</v>
      </c>
      <c r="T35" s="2">
        <v>0</v>
      </c>
      <c r="U35" s="2">
        <v>446.2821666666668</v>
      </c>
      <c r="V35" s="2">
        <v>1092.6128749999998</v>
      </c>
      <c r="W35" s="45">
        <f t="shared" si="23"/>
        <v>1538.8950416666667</v>
      </c>
      <c r="X35" s="2">
        <v>0</v>
      </c>
      <c r="Y35" s="2">
        <v>525</v>
      </c>
      <c r="Z35" s="2">
        <v>0</v>
      </c>
      <c r="AA35" s="45">
        <f t="shared" si="24"/>
        <v>525</v>
      </c>
      <c r="AC35" s="39">
        <v>3000</v>
      </c>
      <c r="AD35" s="40">
        <f t="shared" si="19"/>
        <v>8686.5333333333328</v>
      </c>
      <c r="AE35" s="1">
        <f t="shared" si="25"/>
        <v>10.8</v>
      </c>
      <c r="AF35" s="1">
        <f t="shared" si="26"/>
        <v>12</v>
      </c>
      <c r="AG35" s="41">
        <f t="shared" si="27"/>
        <v>11.691953131239375</v>
      </c>
      <c r="AI35">
        <v>0.9</v>
      </c>
      <c r="AJ35">
        <v>1</v>
      </c>
      <c r="AK35" s="32">
        <f t="shared" si="28"/>
        <v>11686.533333333333</v>
      </c>
      <c r="AL35" s="4">
        <f t="shared" si="29"/>
        <v>0.25670572396718733</v>
      </c>
      <c r="AM35" s="4">
        <f t="shared" si="30"/>
        <v>0.74329427603281273</v>
      </c>
    </row>
    <row r="36" spans="3:39" hidden="1" x14ac:dyDescent="0.25">
      <c r="C36" s="1">
        <f t="shared" si="20"/>
        <v>2025</v>
      </c>
      <c r="D36" s="52">
        <f>+'Fisico ASIG'!B36</f>
        <v>45931</v>
      </c>
      <c r="E36" s="1">
        <v>16</v>
      </c>
      <c r="F36" s="1" t="s">
        <v>46</v>
      </c>
      <c r="G36" s="5">
        <f t="shared" si="31"/>
        <v>45947</v>
      </c>
      <c r="H36" s="2">
        <v>4202.7323333333343</v>
      </c>
      <c r="I36" s="2">
        <v>690.34679166666683</v>
      </c>
      <c r="J36" s="2">
        <v>404.18879166666653</v>
      </c>
      <c r="K36" s="2"/>
      <c r="L36" s="1">
        <v>0</v>
      </c>
      <c r="M36" s="35">
        <f t="shared" si="21"/>
        <v>5297.2679166666676</v>
      </c>
      <c r="N36" s="2">
        <v>11677.488791666668</v>
      </c>
      <c r="O36" s="3">
        <v>740.46016666666674</v>
      </c>
      <c r="P36" s="2">
        <v>989.16000000000008</v>
      </c>
      <c r="Q36" s="2"/>
      <c r="R36" s="1">
        <v>0</v>
      </c>
      <c r="S36" s="35">
        <f t="shared" si="22"/>
        <v>13407.108958333334</v>
      </c>
      <c r="T36" s="2">
        <v>0</v>
      </c>
      <c r="U36" s="2">
        <v>524.69166666666672</v>
      </c>
      <c r="V36" s="2">
        <v>909.30437500000016</v>
      </c>
      <c r="W36" s="45">
        <f t="shared" si="23"/>
        <v>1433.9960416666668</v>
      </c>
      <c r="X36" s="2">
        <v>0</v>
      </c>
      <c r="Y36" s="2">
        <v>525.3200833333334</v>
      </c>
      <c r="Z36" s="2">
        <v>0</v>
      </c>
      <c r="AA36" s="45">
        <f t="shared" si="24"/>
        <v>525.3200833333334</v>
      </c>
      <c r="AC36" s="39">
        <v>3000</v>
      </c>
      <c r="AD36" s="40">
        <f t="shared" si="19"/>
        <v>8677.4887916666685</v>
      </c>
      <c r="AE36" s="1">
        <f t="shared" si="25"/>
        <v>10.8</v>
      </c>
      <c r="AF36" s="1">
        <f t="shared" si="26"/>
        <v>12</v>
      </c>
      <c r="AG36" s="41">
        <f t="shared" si="27"/>
        <v>11.691714540324025</v>
      </c>
      <c r="AI36">
        <v>0.9</v>
      </c>
      <c r="AJ36">
        <v>1</v>
      </c>
      <c r="AK36" s="32">
        <f t="shared" si="28"/>
        <v>11677.488791666668</v>
      </c>
      <c r="AL36" s="4">
        <f t="shared" si="29"/>
        <v>0.25690454972997884</v>
      </c>
      <c r="AM36" s="4">
        <f t="shared" si="30"/>
        <v>0.74309545027002122</v>
      </c>
    </row>
    <row r="37" spans="3:39" hidden="1" x14ac:dyDescent="0.25">
      <c r="C37" s="1">
        <f t="shared" si="20"/>
        <v>2025</v>
      </c>
      <c r="D37" s="52">
        <f>+'Fisico ASIG'!B37</f>
        <v>45931</v>
      </c>
      <c r="E37" s="1">
        <v>6</v>
      </c>
      <c r="F37" s="1" t="s">
        <v>47</v>
      </c>
      <c r="G37" s="5">
        <f t="shared" si="31"/>
        <v>45948</v>
      </c>
      <c r="H37" s="2">
        <v>3399.31925</v>
      </c>
      <c r="I37" s="2">
        <v>335.88983333333334</v>
      </c>
      <c r="J37" s="2">
        <v>306.85300000000001</v>
      </c>
      <c r="K37" s="2"/>
      <c r="L37" s="1">
        <v>0</v>
      </c>
      <c r="M37" s="35">
        <f t="shared" si="21"/>
        <v>4042.0620833333332</v>
      </c>
      <c r="N37" s="2">
        <v>11523.380124999998</v>
      </c>
      <c r="O37" s="3">
        <v>720.63687500000003</v>
      </c>
      <c r="P37" s="2">
        <v>951.88616666666678</v>
      </c>
      <c r="Q37" s="2"/>
      <c r="R37" s="1">
        <v>0</v>
      </c>
      <c r="S37" s="35">
        <f t="shared" si="22"/>
        <v>13195.903166666665</v>
      </c>
      <c r="T37" s="2">
        <v>0</v>
      </c>
      <c r="U37" s="2">
        <v>523.18949999999995</v>
      </c>
      <c r="V37" s="2">
        <v>1172.5989583333333</v>
      </c>
      <c r="W37" s="45">
        <f t="shared" si="23"/>
        <v>1695.7884583333332</v>
      </c>
      <c r="X37" s="2">
        <v>0</v>
      </c>
      <c r="Y37" s="2">
        <v>525.05712499999993</v>
      </c>
      <c r="Z37" s="2">
        <v>0</v>
      </c>
      <c r="AA37" s="45">
        <f t="shared" si="24"/>
        <v>525.05712499999993</v>
      </c>
      <c r="AC37" s="39">
        <v>3000</v>
      </c>
      <c r="AD37" s="40">
        <f t="shared" si="19"/>
        <v>8523.3801249999979</v>
      </c>
      <c r="AE37" s="1">
        <f t="shared" si="25"/>
        <v>10.8</v>
      </c>
      <c r="AF37" s="1">
        <f t="shared" si="26"/>
        <v>12</v>
      </c>
      <c r="AG37" s="41">
        <f t="shared" si="27"/>
        <v>11.687591664863177</v>
      </c>
      <c r="AI37">
        <v>0.9</v>
      </c>
      <c r="AJ37">
        <v>1</v>
      </c>
      <c r="AK37" s="32">
        <f t="shared" si="28"/>
        <v>11523.380124999998</v>
      </c>
      <c r="AL37" s="4">
        <f t="shared" si="29"/>
        <v>0.26034027928068548</v>
      </c>
      <c r="AM37" s="4">
        <f t="shared" si="30"/>
        <v>0.73965972071931452</v>
      </c>
    </row>
    <row r="38" spans="3:39" hidden="1" x14ac:dyDescent="0.25">
      <c r="C38" s="1">
        <f t="shared" si="20"/>
        <v>2025</v>
      </c>
      <c r="D38" s="52">
        <f>+'Fisico ASIG'!B38</f>
        <v>45931</v>
      </c>
      <c r="E38" s="1">
        <v>4</v>
      </c>
      <c r="F38" s="1" t="s">
        <v>48</v>
      </c>
      <c r="G38" s="5">
        <f t="shared" si="31"/>
        <v>45949</v>
      </c>
      <c r="H38" s="2">
        <v>2032.815041666667</v>
      </c>
      <c r="I38" s="2">
        <v>231.10762500000001</v>
      </c>
      <c r="J38" s="2">
        <v>278.90562499999993</v>
      </c>
      <c r="K38" s="2"/>
      <c r="L38" s="1">
        <v>0</v>
      </c>
      <c r="M38" s="35">
        <f t="shared" si="21"/>
        <v>2542.8282916666667</v>
      </c>
      <c r="N38" s="2">
        <v>11737.139083333332</v>
      </c>
      <c r="O38" s="3">
        <v>753.22699999999998</v>
      </c>
      <c r="P38" s="2">
        <v>989.16000000000008</v>
      </c>
      <c r="Q38" s="2"/>
      <c r="R38" s="1">
        <v>0</v>
      </c>
      <c r="S38" s="35">
        <f t="shared" si="22"/>
        <v>13479.526083333332</v>
      </c>
      <c r="T38" s="2">
        <v>0</v>
      </c>
      <c r="U38" s="2">
        <v>498.37808333333345</v>
      </c>
      <c r="V38" s="2">
        <v>2037.6833333333341</v>
      </c>
      <c r="W38" s="45">
        <f t="shared" si="23"/>
        <v>2536.0614166666674</v>
      </c>
      <c r="X38" s="2">
        <v>0</v>
      </c>
      <c r="Y38" s="2">
        <v>525</v>
      </c>
      <c r="Z38" s="2">
        <v>0</v>
      </c>
      <c r="AA38" s="45">
        <f t="shared" si="24"/>
        <v>525</v>
      </c>
      <c r="AC38" s="39">
        <v>3000</v>
      </c>
      <c r="AD38" s="40">
        <f t="shared" si="19"/>
        <v>8737.1390833333317</v>
      </c>
      <c r="AE38" s="1">
        <f t="shared" si="25"/>
        <v>10.8</v>
      </c>
      <c r="AF38" s="1">
        <f t="shared" si="26"/>
        <v>12</v>
      </c>
      <c r="AG38" s="41">
        <f t="shared" si="27"/>
        <v>11.69328130352379</v>
      </c>
      <c r="AI38">
        <v>0.9</v>
      </c>
      <c r="AJ38">
        <v>1</v>
      </c>
      <c r="AK38" s="32">
        <f t="shared" si="28"/>
        <v>11737.139083333332</v>
      </c>
      <c r="AL38" s="4">
        <f t="shared" si="29"/>
        <v>0.25559891373017657</v>
      </c>
      <c r="AM38" s="4">
        <f t="shared" si="30"/>
        <v>0.74440108626982338</v>
      </c>
    </row>
    <row r="39" spans="3:39" hidden="1" x14ac:dyDescent="0.25">
      <c r="C39" s="1">
        <f t="shared" si="20"/>
        <v>2025</v>
      </c>
      <c r="D39" s="52">
        <f>+'Fisico ASIG'!B39</f>
        <v>45931</v>
      </c>
      <c r="E39" s="1">
        <v>16</v>
      </c>
      <c r="F39" s="1" t="s">
        <v>49</v>
      </c>
      <c r="G39" s="5">
        <f t="shared" si="31"/>
        <v>45950</v>
      </c>
      <c r="H39" s="2">
        <v>2974.9417916666671</v>
      </c>
      <c r="I39" s="2">
        <v>627.45949999999993</v>
      </c>
      <c r="J39" s="2">
        <v>349.0270000000001</v>
      </c>
      <c r="K39" s="2"/>
      <c r="L39" s="1">
        <v>0</v>
      </c>
      <c r="M39" s="35">
        <f t="shared" si="21"/>
        <v>3951.4282916666671</v>
      </c>
      <c r="N39" s="2">
        <v>11727.148000000003</v>
      </c>
      <c r="O39" s="3">
        <v>752.40949999999998</v>
      </c>
      <c r="P39" s="2">
        <v>989.3764583333334</v>
      </c>
      <c r="Q39" s="2"/>
      <c r="R39" s="1">
        <v>0</v>
      </c>
      <c r="S39" s="35">
        <f t="shared" si="22"/>
        <v>13468.933958333337</v>
      </c>
      <c r="T39" s="2">
        <v>0</v>
      </c>
      <c r="U39" s="2">
        <v>462.37737499999997</v>
      </c>
      <c r="V39" s="2">
        <v>2124.4673749999997</v>
      </c>
      <c r="W39" s="45">
        <f t="shared" si="23"/>
        <v>2586.8447499999997</v>
      </c>
      <c r="X39" s="2">
        <v>0</v>
      </c>
      <c r="Y39" s="2">
        <v>466.74458333333337</v>
      </c>
      <c r="Z39" s="2">
        <v>0</v>
      </c>
      <c r="AA39" s="45">
        <f t="shared" si="24"/>
        <v>466.74458333333337</v>
      </c>
      <c r="AC39" s="39">
        <v>3000</v>
      </c>
      <c r="AD39" s="40">
        <f t="shared" si="19"/>
        <v>8727.1480000000029</v>
      </c>
      <c r="AE39" s="1">
        <f t="shared" si="25"/>
        <v>10.8</v>
      </c>
      <c r="AF39" s="1">
        <f t="shared" si="26"/>
        <v>12</v>
      </c>
      <c r="AG39" s="41">
        <f t="shared" si="27"/>
        <v>11.693019990879284</v>
      </c>
      <c r="AI39">
        <v>0.9</v>
      </c>
      <c r="AJ39">
        <v>1</v>
      </c>
      <c r="AK39" s="32">
        <f t="shared" si="28"/>
        <v>11727.148000000003</v>
      </c>
      <c r="AL39" s="4">
        <f t="shared" si="29"/>
        <v>0.25581667426726423</v>
      </c>
      <c r="AM39" s="4">
        <f t="shared" si="30"/>
        <v>0.74418332573273571</v>
      </c>
    </row>
    <row r="40" spans="3:39" hidden="1" x14ac:dyDescent="0.25">
      <c r="C40" s="1">
        <f t="shared" si="20"/>
        <v>2025</v>
      </c>
      <c r="D40" s="52">
        <f>+'Fisico ASIG'!B40</f>
        <v>45931</v>
      </c>
      <c r="E40" s="1">
        <v>16</v>
      </c>
      <c r="F40" s="1" t="s">
        <v>50</v>
      </c>
      <c r="G40" s="5">
        <f t="shared" si="31"/>
        <v>45951</v>
      </c>
      <c r="H40" s="2">
        <v>3360.0556250000009</v>
      </c>
      <c r="I40" s="2">
        <v>625.76279166666666</v>
      </c>
      <c r="J40" s="2">
        <v>340.82491666666664</v>
      </c>
      <c r="K40" s="2"/>
      <c r="L40" s="1">
        <v>0</v>
      </c>
      <c r="M40" s="35">
        <f t="shared" si="21"/>
        <v>4326.6433333333343</v>
      </c>
      <c r="N40" s="2">
        <v>10964.984083333331</v>
      </c>
      <c r="O40" s="3">
        <v>730.40966666666645</v>
      </c>
      <c r="P40" s="2">
        <v>964.64012500000001</v>
      </c>
      <c r="Q40" s="2"/>
      <c r="R40" s="1">
        <v>0</v>
      </c>
      <c r="S40" s="35">
        <f t="shared" si="22"/>
        <v>12660.033874999997</v>
      </c>
      <c r="T40" s="2">
        <v>0</v>
      </c>
      <c r="U40" s="2">
        <v>411.89579166666681</v>
      </c>
      <c r="V40" s="2">
        <v>1784.2966666666664</v>
      </c>
      <c r="W40" s="45">
        <f t="shared" si="23"/>
        <v>2196.192458333333</v>
      </c>
      <c r="X40" s="2">
        <v>0</v>
      </c>
      <c r="Y40" s="2">
        <v>413.16720833333335</v>
      </c>
      <c r="Z40" s="2">
        <v>0</v>
      </c>
      <c r="AA40" s="45">
        <f t="shared" si="24"/>
        <v>413.16720833333335</v>
      </c>
      <c r="AC40" s="39">
        <v>3000</v>
      </c>
      <c r="AD40" s="40">
        <f t="shared" si="19"/>
        <v>7964.984083333331</v>
      </c>
      <c r="AE40" s="1">
        <f t="shared" si="25"/>
        <v>10.8</v>
      </c>
      <c r="AF40" s="1">
        <f t="shared" si="26"/>
        <v>12</v>
      </c>
      <c r="AG40" s="41">
        <f t="shared" si="27"/>
        <v>11.671682149956609</v>
      </c>
      <c r="AI40">
        <v>0.9</v>
      </c>
      <c r="AJ40">
        <v>1</v>
      </c>
      <c r="AK40" s="32">
        <f t="shared" si="28"/>
        <v>10964.984083333331</v>
      </c>
      <c r="AL40" s="4">
        <f t="shared" si="29"/>
        <v>0.27359820836949239</v>
      </c>
      <c r="AM40" s="4">
        <f t="shared" si="30"/>
        <v>0.72640179163050766</v>
      </c>
    </row>
    <row r="41" spans="3:39" hidden="1" x14ac:dyDescent="0.25">
      <c r="C41" s="1">
        <f t="shared" si="20"/>
        <v>2025</v>
      </c>
      <c r="D41" s="52">
        <f>+'Fisico ASIG'!B41</f>
        <v>45931</v>
      </c>
      <c r="E41" s="1">
        <v>16</v>
      </c>
      <c r="F41" s="1" t="s">
        <v>44</v>
      </c>
      <c r="G41" s="5">
        <f t="shared" si="31"/>
        <v>45952</v>
      </c>
      <c r="H41" s="2">
        <v>3948.9204583333353</v>
      </c>
      <c r="I41" s="2">
        <v>665.19904166666674</v>
      </c>
      <c r="J41" s="2">
        <v>345.81216666666666</v>
      </c>
      <c r="K41" s="2"/>
      <c r="L41" s="1">
        <v>0</v>
      </c>
      <c r="M41" s="35">
        <f t="shared" si="21"/>
        <v>4959.9316666666691</v>
      </c>
      <c r="N41" s="2">
        <v>10706.211000000005</v>
      </c>
      <c r="O41" s="3">
        <v>858.53824999999995</v>
      </c>
      <c r="P41" s="2">
        <v>989.16000000000008</v>
      </c>
      <c r="Q41" s="2"/>
      <c r="R41" s="1">
        <v>0</v>
      </c>
      <c r="S41" s="35">
        <f t="shared" si="22"/>
        <v>12553.909250000004</v>
      </c>
      <c r="T41" s="2">
        <v>0</v>
      </c>
      <c r="U41" s="2">
        <v>413.55254166666668</v>
      </c>
      <c r="V41" s="2">
        <v>1264.8808750000001</v>
      </c>
      <c r="W41" s="45">
        <f t="shared" si="23"/>
        <v>1678.4334166666667</v>
      </c>
      <c r="X41" s="2">
        <v>0</v>
      </c>
      <c r="Y41" s="2">
        <v>415.06837500000006</v>
      </c>
      <c r="Z41" s="2">
        <v>0</v>
      </c>
      <c r="AA41" s="45">
        <f t="shared" si="24"/>
        <v>415.06837500000006</v>
      </c>
      <c r="AC41" s="39">
        <v>3000</v>
      </c>
      <c r="AD41" s="40">
        <f t="shared" si="19"/>
        <v>7706.2110000000048</v>
      </c>
      <c r="AE41" s="1">
        <f t="shared" si="25"/>
        <v>10.8</v>
      </c>
      <c r="AF41" s="1">
        <f t="shared" si="26"/>
        <v>12</v>
      </c>
      <c r="AG41" s="41">
        <f t="shared" si="27"/>
        <v>11.663746585977057</v>
      </c>
      <c r="AI41">
        <v>0.9</v>
      </c>
      <c r="AJ41">
        <v>1</v>
      </c>
      <c r="AK41" s="32">
        <f t="shared" si="28"/>
        <v>10706.211000000005</v>
      </c>
      <c r="AL41" s="4">
        <f t="shared" si="29"/>
        <v>0.2802111783524534</v>
      </c>
      <c r="AM41" s="4">
        <f t="shared" si="30"/>
        <v>0.71978882164754654</v>
      </c>
    </row>
    <row r="42" spans="3:39" hidden="1" x14ac:dyDescent="0.25">
      <c r="C42" s="1">
        <f t="shared" si="20"/>
        <v>2025</v>
      </c>
      <c r="D42" s="52">
        <f>+'Fisico ASIG'!B42</f>
        <v>45931</v>
      </c>
      <c r="E42" s="1">
        <v>16</v>
      </c>
      <c r="F42" s="1" t="s">
        <v>45</v>
      </c>
      <c r="G42" s="5">
        <f t="shared" si="31"/>
        <v>45953</v>
      </c>
      <c r="H42" s="2">
        <v>4147.9129999999986</v>
      </c>
      <c r="I42" s="2">
        <v>645.13308333333339</v>
      </c>
      <c r="J42" s="2">
        <v>348.70804166666676</v>
      </c>
      <c r="K42" s="2"/>
      <c r="L42" s="1">
        <v>0</v>
      </c>
      <c r="M42" s="35">
        <f t="shared" si="21"/>
        <v>5141.7541249999986</v>
      </c>
      <c r="N42" s="2">
        <v>10679.160125000006</v>
      </c>
      <c r="O42" s="3">
        <v>922.92770833333338</v>
      </c>
      <c r="P42" s="2">
        <v>989.16000000000008</v>
      </c>
      <c r="Q42" s="2"/>
      <c r="R42" s="1">
        <v>0</v>
      </c>
      <c r="S42" s="35">
        <f t="shared" si="22"/>
        <v>12591.247833333338</v>
      </c>
      <c r="T42" s="2">
        <v>0</v>
      </c>
      <c r="U42" s="2">
        <v>407.83387500000003</v>
      </c>
      <c r="V42" s="2">
        <v>1471.0011666666664</v>
      </c>
      <c r="W42" s="45">
        <f t="shared" si="23"/>
        <v>1878.8350416666665</v>
      </c>
      <c r="X42" s="2">
        <v>0</v>
      </c>
      <c r="Y42" s="2">
        <v>415.01866666666666</v>
      </c>
      <c r="Z42" s="2">
        <v>0</v>
      </c>
      <c r="AA42" s="45">
        <f t="shared" si="24"/>
        <v>415.01866666666666</v>
      </c>
      <c r="AC42" s="39">
        <v>3000</v>
      </c>
      <c r="AD42" s="40">
        <f t="shared" si="19"/>
        <v>7679.1601250000058</v>
      </c>
      <c r="AE42" s="1">
        <f t="shared" si="25"/>
        <v>10.8</v>
      </c>
      <c r="AF42" s="1">
        <f t="shared" si="26"/>
        <v>12</v>
      </c>
      <c r="AG42" s="41">
        <f t="shared" si="27"/>
        <v>11.66289483837101</v>
      </c>
      <c r="AI42">
        <v>0.9</v>
      </c>
      <c r="AJ42">
        <v>1</v>
      </c>
      <c r="AK42" s="32">
        <f t="shared" si="28"/>
        <v>10679.160125000006</v>
      </c>
      <c r="AL42" s="4">
        <f t="shared" si="29"/>
        <v>0.28092096802415895</v>
      </c>
      <c r="AM42" s="4">
        <f t="shared" si="30"/>
        <v>0.719079031975841</v>
      </c>
    </row>
    <row r="43" spans="3:39" hidden="1" x14ac:dyDescent="0.25">
      <c r="C43" s="1">
        <f t="shared" si="20"/>
        <v>2025</v>
      </c>
      <c r="D43" s="52">
        <f>+'Fisico ASIG'!B43</f>
        <v>45931</v>
      </c>
      <c r="E43" s="1">
        <v>16</v>
      </c>
      <c r="F43" s="1" t="s">
        <v>46</v>
      </c>
      <c r="G43" s="5">
        <f t="shared" si="31"/>
        <v>45954</v>
      </c>
      <c r="H43" s="2">
        <v>4408.5186666666668</v>
      </c>
      <c r="I43" s="2">
        <v>656.05849999999998</v>
      </c>
      <c r="J43" s="2">
        <v>313.87312500000002</v>
      </c>
      <c r="K43" s="2"/>
      <c r="L43" s="1">
        <v>0</v>
      </c>
      <c r="M43" s="35">
        <f t="shared" si="21"/>
        <v>5378.450291666667</v>
      </c>
      <c r="N43" s="2">
        <v>10732.079416666669</v>
      </c>
      <c r="O43" s="3">
        <v>737.53708333333327</v>
      </c>
      <c r="P43" s="2">
        <v>988.97845833333338</v>
      </c>
      <c r="Q43" s="2"/>
      <c r="R43" s="1">
        <v>0</v>
      </c>
      <c r="S43" s="35">
        <f t="shared" si="22"/>
        <v>12458.594958333335</v>
      </c>
      <c r="T43" s="2">
        <v>0</v>
      </c>
      <c r="U43" s="2">
        <v>358.41345833333338</v>
      </c>
      <c r="V43" s="2">
        <v>1348.5842499999999</v>
      </c>
      <c r="W43" s="45">
        <f t="shared" si="23"/>
        <v>1706.9977083333333</v>
      </c>
      <c r="X43" s="2">
        <v>0</v>
      </c>
      <c r="Y43" s="2">
        <v>415</v>
      </c>
      <c r="Z43" s="2">
        <v>0</v>
      </c>
      <c r="AA43" s="45">
        <f t="shared" si="24"/>
        <v>415</v>
      </c>
      <c r="AC43" s="39">
        <v>3000</v>
      </c>
      <c r="AD43" s="40">
        <f t="shared" si="19"/>
        <v>7732.0794166666692</v>
      </c>
      <c r="AE43" s="1">
        <f t="shared" si="25"/>
        <v>10.8</v>
      </c>
      <c r="AF43" s="1">
        <f t="shared" si="26"/>
        <v>12</v>
      </c>
      <c r="AG43" s="41">
        <f t="shared" si="27"/>
        <v>11.664557085329681</v>
      </c>
      <c r="AI43">
        <v>0.9</v>
      </c>
      <c r="AJ43">
        <v>1</v>
      </c>
      <c r="AK43" s="32">
        <f t="shared" si="28"/>
        <v>10732.079416666669</v>
      </c>
      <c r="AL43" s="4">
        <f t="shared" si="29"/>
        <v>0.27953576222526549</v>
      </c>
      <c r="AM43" s="4">
        <f t="shared" si="30"/>
        <v>0.72046423777473456</v>
      </c>
    </row>
    <row r="44" spans="3:39" hidden="1" x14ac:dyDescent="0.25">
      <c r="C44" s="1">
        <f t="shared" si="20"/>
        <v>2025</v>
      </c>
      <c r="D44" s="52">
        <f>+'Fisico ASIG'!B44</f>
        <v>45931</v>
      </c>
      <c r="E44" s="1">
        <v>6</v>
      </c>
      <c r="F44" s="1" t="s">
        <v>47</v>
      </c>
      <c r="G44" s="5">
        <f t="shared" si="31"/>
        <v>45955</v>
      </c>
      <c r="H44" s="2">
        <v>3613.3969583333333</v>
      </c>
      <c r="I44" s="2">
        <v>346.47145833333332</v>
      </c>
      <c r="J44" s="2">
        <v>254.10441666666665</v>
      </c>
      <c r="K44" s="2"/>
      <c r="L44" s="1">
        <v>0</v>
      </c>
      <c r="M44" s="35">
        <f t="shared" si="21"/>
        <v>4213.9728333333333</v>
      </c>
      <c r="N44" s="2">
        <v>10993.674291666663</v>
      </c>
      <c r="O44" s="3">
        <v>751.78641666666658</v>
      </c>
      <c r="P44" s="2">
        <v>989.33391666666671</v>
      </c>
      <c r="Q44" s="2"/>
      <c r="R44" s="1">
        <v>0</v>
      </c>
      <c r="S44" s="35">
        <f t="shared" si="22"/>
        <v>12734.794624999995</v>
      </c>
      <c r="T44" s="2">
        <v>0</v>
      </c>
      <c r="U44" s="2">
        <v>229.68224999999998</v>
      </c>
      <c r="V44" s="2">
        <v>1329.9649166666668</v>
      </c>
      <c r="W44" s="45">
        <f t="shared" si="23"/>
        <v>1559.6471666666669</v>
      </c>
      <c r="X44" s="2">
        <v>0</v>
      </c>
      <c r="Y44" s="2">
        <v>415</v>
      </c>
      <c r="Z44" s="2">
        <v>0</v>
      </c>
      <c r="AA44" s="45">
        <f t="shared" si="24"/>
        <v>415</v>
      </c>
      <c r="AC44" s="39">
        <v>3000</v>
      </c>
      <c r="AD44" s="40">
        <f t="shared" si="19"/>
        <v>7993.6742916666626</v>
      </c>
      <c r="AE44" s="1">
        <f t="shared" si="25"/>
        <v>10.8</v>
      </c>
      <c r="AF44" s="1">
        <f t="shared" si="26"/>
        <v>12</v>
      </c>
      <c r="AG44" s="41">
        <f t="shared" si="27"/>
        <v>11.672538961543655</v>
      </c>
      <c r="AI44">
        <v>0.9</v>
      </c>
      <c r="AJ44">
        <v>1</v>
      </c>
      <c r="AK44" s="32">
        <f t="shared" si="28"/>
        <v>10993.674291666663</v>
      </c>
      <c r="AL44" s="4">
        <f t="shared" si="29"/>
        <v>0.27288419871362174</v>
      </c>
      <c r="AM44" s="4">
        <f t="shared" si="30"/>
        <v>0.72711580128637832</v>
      </c>
    </row>
    <row r="45" spans="3:39" hidden="1" x14ac:dyDescent="0.25">
      <c r="C45" s="1">
        <f t="shared" si="20"/>
        <v>2025</v>
      </c>
      <c r="D45" s="52">
        <f>+'Fisico ASIG'!B45</f>
        <v>45931</v>
      </c>
      <c r="E45" s="1">
        <v>4</v>
      </c>
      <c r="F45" s="1" t="s">
        <v>48</v>
      </c>
      <c r="G45" s="5">
        <f t="shared" si="31"/>
        <v>45956</v>
      </c>
      <c r="H45" s="2">
        <v>2285.256041666667</v>
      </c>
      <c r="I45" s="2">
        <v>368.34716666666662</v>
      </c>
      <c r="J45" s="2">
        <v>251.54116666666673</v>
      </c>
      <c r="K45" s="2"/>
      <c r="L45" s="1">
        <v>0</v>
      </c>
      <c r="M45" s="35">
        <f t="shared" si="21"/>
        <v>2905.1443750000003</v>
      </c>
      <c r="N45" s="2">
        <v>11127.918624999998</v>
      </c>
      <c r="O45" s="3">
        <v>745.34258333333321</v>
      </c>
      <c r="P45" s="2">
        <v>989.25429166666675</v>
      </c>
      <c r="Q45" s="2"/>
      <c r="R45" s="1">
        <v>0</v>
      </c>
      <c r="S45" s="35">
        <f t="shared" si="22"/>
        <v>12862.515499999998</v>
      </c>
      <c r="T45" s="2">
        <v>0</v>
      </c>
      <c r="U45" s="2">
        <v>276.29520833333339</v>
      </c>
      <c r="V45" s="2">
        <v>1679.1830833333338</v>
      </c>
      <c r="W45" s="45">
        <f t="shared" si="23"/>
        <v>1955.4782916666672</v>
      </c>
      <c r="X45" s="2">
        <v>0</v>
      </c>
      <c r="Y45" s="2">
        <v>415</v>
      </c>
      <c r="Z45" s="2">
        <v>0</v>
      </c>
      <c r="AA45" s="45">
        <f t="shared" si="24"/>
        <v>415</v>
      </c>
      <c r="AC45" s="39">
        <v>3000</v>
      </c>
      <c r="AD45" s="40">
        <f t="shared" si="19"/>
        <v>8127.9186249999984</v>
      </c>
      <c r="AE45" s="1">
        <f t="shared" si="25"/>
        <v>10.8</v>
      </c>
      <c r="AF45" s="1">
        <f t="shared" si="26"/>
        <v>12</v>
      </c>
      <c r="AG45" s="41">
        <f t="shared" si="27"/>
        <v>11.676489366851387</v>
      </c>
      <c r="AI45">
        <v>0.9</v>
      </c>
      <c r="AJ45">
        <v>1</v>
      </c>
      <c r="AK45" s="32">
        <f t="shared" si="28"/>
        <v>11127.918624999998</v>
      </c>
      <c r="AL45" s="4">
        <f t="shared" si="29"/>
        <v>0.2695921942905114</v>
      </c>
      <c r="AM45" s="4">
        <f t="shared" si="30"/>
        <v>0.7304078057094886</v>
      </c>
    </row>
    <row r="46" spans="3:39" hidden="1" x14ac:dyDescent="0.25">
      <c r="C46" s="1">
        <f t="shared" si="20"/>
        <v>2025</v>
      </c>
      <c r="D46" s="52">
        <f>+'Fisico ASIG'!B46</f>
        <v>45931</v>
      </c>
      <c r="E46" s="1">
        <v>16</v>
      </c>
      <c r="F46" s="1" t="s">
        <v>49</v>
      </c>
      <c r="G46" s="5">
        <f t="shared" si="31"/>
        <v>45957</v>
      </c>
      <c r="H46" s="2">
        <v>3637.1882916666664</v>
      </c>
      <c r="I46" s="2">
        <v>769.57316666666679</v>
      </c>
      <c r="J46" s="2">
        <v>285.27879166666668</v>
      </c>
      <c r="K46" s="2"/>
      <c r="L46" s="1">
        <v>0</v>
      </c>
      <c r="M46" s="35">
        <f t="shared" si="21"/>
        <v>4692.04025</v>
      </c>
      <c r="N46" s="2">
        <v>11075.87329166667</v>
      </c>
      <c r="O46" s="3">
        <v>825.67412500000012</v>
      </c>
      <c r="P46" s="2">
        <v>989.16000000000008</v>
      </c>
      <c r="Q46" s="2"/>
      <c r="R46" s="1">
        <v>0</v>
      </c>
      <c r="S46" s="35">
        <f t="shared" si="22"/>
        <v>12890.70741666667</v>
      </c>
      <c r="T46" s="2">
        <v>0</v>
      </c>
      <c r="U46" s="2">
        <v>382.8570416666667</v>
      </c>
      <c r="V46" s="2">
        <v>1118.3445833333333</v>
      </c>
      <c r="W46" s="45">
        <f t="shared" si="23"/>
        <v>1501.2016249999999</v>
      </c>
      <c r="X46" s="2">
        <v>0</v>
      </c>
      <c r="Y46" s="2">
        <v>415</v>
      </c>
      <c r="Z46" s="2">
        <v>0</v>
      </c>
      <c r="AA46" s="45">
        <f t="shared" si="24"/>
        <v>415</v>
      </c>
      <c r="AC46" s="39">
        <v>3000</v>
      </c>
      <c r="AD46" s="40">
        <f t="shared" si="19"/>
        <v>8075.8732916666704</v>
      </c>
      <c r="AE46" s="1">
        <f t="shared" si="25"/>
        <v>10.8</v>
      </c>
      <c r="AF46" s="1">
        <f t="shared" si="26"/>
        <v>12</v>
      </c>
      <c r="AG46" s="41">
        <f t="shared" si="27"/>
        <v>11.674969196089613</v>
      </c>
      <c r="AI46">
        <v>0.9</v>
      </c>
      <c r="AJ46">
        <v>1</v>
      </c>
      <c r="AK46" s="32">
        <f t="shared" si="28"/>
        <v>11075.87329166667</v>
      </c>
      <c r="AL46" s="4">
        <f t="shared" si="29"/>
        <v>0.2708590032586557</v>
      </c>
      <c r="AM46" s="4">
        <f t="shared" si="30"/>
        <v>0.72914099674134436</v>
      </c>
    </row>
    <row r="47" spans="3:39" hidden="1" x14ac:dyDescent="0.25">
      <c r="C47" s="1">
        <f t="shared" si="20"/>
        <v>2025</v>
      </c>
      <c r="D47" s="52">
        <f>+'Fisico ASIG'!B47</f>
        <v>45931</v>
      </c>
      <c r="E47" s="1">
        <v>16</v>
      </c>
      <c r="F47" s="1" t="s">
        <v>50</v>
      </c>
      <c r="G47" s="5">
        <f t="shared" si="31"/>
        <v>45958</v>
      </c>
      <c r="H47" s="2">
        <v>4012.0235416666665</v>
      </c>
      <c r="I47" s="2">
        <v>808.8764583333334</v>
      </c>
      <c r="J47" s="2">
        <v>308.60033333333337</v>
      </c>
      <c r="K47" s="2"/>
      <c r="L47" s="1">
        <v>0</v>
      </c>
      <c r="M47" s="35">
        <f t="shared" si="21"/>
        <v>5129.5003333333334</v>
      </c>
      <c r="N47" s="2">
        <v>11140.414708333328</v>
      </c>
      <c r="O47" s="3">
        <v>881.88591666666684</v>
      </c>
      <c r="P47" s="2">
        <v>989.2369583333334</v>
      </c>
      <c r="Q47" s="2"/>
      <c r="R47" s="1">
        <v>0</v>
      </c>
      <c r="S47" s="35">
        <f t="shared" si="22"/>
        <v>13011.537583333327</v>
      </c>
      <c r="T47" s="2">
        <v>0</v>
      </c>
      <c r="U47" s="2">
        <v>352.12308333333334</v>
      </c>
      <c r="V47" s="2">
        <v>822.05245833333333</v>
      </c>
      <c r="W47" s="45">
        <f t="shared" si="23"/>
        <v>1174.1755416666667</v>
      </c>
      <c r="X47" s="2">
        <v>0</v>
      </c>
      <c r="Y47" s="2">
        <v>415</v>
      </c>
      <c r="Z47" s="2">
        <v>0</v>
      </c>
      <c r="AA47" s="45">
        <f t="shared" si="24"/>
        <v>415</v>
      </c>
      <c r="AC47" s="39">
        <v>3000</v>
      </c>
      <c r="AD47" s="40">
        <f t="shared" si="19"/>
        <v>8140.4147083333282</v>
      </c>
      <c r="AE47" s="1">
        <f t="shared" si="25"/>
        <v>10.8</v>
      </c>
      <c r="AF47" s="1">
        <f t="shared" si="26"/>
        <v>12</v>
      </c>
      <c r="AG47" s="41">
        <f t="shared" si="27"/>
        <v>11.676852245248364</v>
      </c>
      <c r="AI47">
        <v>0.9</v>
      </c>
      <c r="AJ47">
        <v>1</v>
      </c>
      <c r="AK47" s="32">
        <f t="shared" si="28"/>
        <v>11140.414708333328</v>
      </c>
      <c r="AL47" s="4">
        <f t="shared" si="29"/>
        <v>0.26928979562636207</v>
      </c>
      <c r="AM47" s="4">
        <f t="shared" si="30"/>
        <v>0.73071020437363787</v>
      </c>
    </row>
    <row r="48" spans="3:39" hidden="1" x14ac:dyDescent="0.25">
      <c r="C48" s="1">
        <f t="shared" si="20"/>
        <v>2025</v>
      </c>
      <c r="D48" s="52">
        <f>+'Fisico ASIG'!B48</f>
        <v>45931</v>
      </c>
      <c r="E48" s="1">
        <v>16</v>
      </c>
      <c r="F48" s="1" t="s">
        <v>44</v>
      </c>
      <c r="G48" s="5">
        <f t="shared" si="31"/>
        <v>45959</v>
      </c>
      <c r="H48" s="2">
        <v>3690.1499583333352</v>
      </c>
      <c r="I48" s="2">
        <v>747.26474999999994</v>
      </c>
      <c r="J48" s="2">
        <v>268.87012500000003</v>
      </c>
      <c r="K48" s="2"/>
      <c r="L48" s="1">
        <v>0</v>
      </c>
      <c r="M48" s="35">
        <f t="shared" si="21"/>
        <v>4706.2848333333359</v>
      </c>
      <c r="N48" s="2">
        <v>11025.333625000001</v>
      </c>
      <c r="O48" s="3">
        <v>1055.6619583333336</v>
      </c>
      <c r="P48" s="2">
        <v>989.16000000000008</v>
      </c>
      <c r="Q48" s="2"/>
      <c r="R48" s="1">
        <v>0</v>
      </c>
      <c r="S48" s="35">
        <f t="shared" si="22"/>
        <v>13070.155583333335</v>
      </c>
      <c r="T48" s="2">
        <v>0</v>
      </c>
      <c r="U48" s="2">
        <v>334.26012500000007</v>
      </c>
      <c r="V48" s="2">
        <v>1295.188208333333</v>
      </c>
      <c r="W48" s="45">
        <f t="shared" si="23"/>
        <v>1629.448333333333</v>
      </c>
      <c r="X48" s="2">
        <v>0</v>
      </c>
      <c r="Y48" s="2">
        <v>415</v>
      </c>
      <c r="Z48" s="2">
        <v>0</v>
      </c>
      <c r="AA48" s="45">
        <f t="shared" si="24"/>
        <v>415</v>
      </c>
      <c r="AC48" s="39">
        <v>3000</v>
      </c>
      <c r="AD48" s="40">
        <f t="shared" si="19"/>
        <v>8025.3336250000011</v>
      </c>
      <c r="AE48" s="1">
        <f t="shared" si="25"/>
        <v>10.8</v>
      </c>
      <c r="AF48" s="1">
        <f t="shared" si="26"/>
        <v>12</v>
      </c>
      <c r="AG48" s="41">
        <f t="shared" si="27"/>
        <v>11.673479268524176</v>
      </c>
      <c r="AI48">
        <v>0.9</v>
      </c>
      <c r="AJ48">
        <v>1</v>
      </c>
      <c r="AK48" s="32">
        <f t="shared" si="28"/>
        <v>11025.333625000001</v>
      </c>
      <c r="AL48" s="4">
        <f t="shared" si="29"/>
        <v>0.27210060956318677</v>
      </c>
      <c r="AM48" s="4">
        <f t="shared" si="30"/>
        <v>0.72789939043681318</v>
      </c>
    </row>
    <row r="49" spans="3:39" hidden="1" x14ac:dyDescent="0.25">
      <c r="C49" s="1">
        <f t="shared" si="20"/>
        <v>2025</v>
      </c>
      <c r="D49" s="52">
        <f>+'Fisico ASIG'!B49</f>
        <v>45931</v>
      </c>
      <c r="E49" s="1">
        <v>16</v>
      </c>
      <c r="F49" s="1" t="s">
        <v>45</v>
      </c>
      <c r="G49" s="5">
        <f t="shared" si="31"/>
        <v>45960</v>
      </c>
      <c r="H49" s="2">
        <v>3527.3070833333331</v>
      </c>
      <c r="I49" s="2">
        <v>673.70112500000005</v>
      </c>
      <c r="J49" s="2">
        <v>249.17608333333334</v>
      </c>
      <c r="K49" s="2"/>
      <c r="L49" s="1">
        <v>0</v>
      </c>
      <c r="M49" s="35">
        <f t="shared" si="21"/>
        <v>4450.1842916666665</v>
      </c>
      <c r="N49" s="2">
        <v>10991.000416666666</v>
      </c>
      <c r="O49" s="3">
        <v>1046.5911666666668</v>
      </c>
      <c r="P49" s="2">
        <v>989.16000000000008</v>
      </c>
      <c r="Q49" s="2"/>
      <c r="R49" s="1">
        <v>0</v>
      </c>
      <c r="S49" s="35">
        <f t="shared" si="22"/>
        <v>13026.751583333333</v>
      </c>
      <c r="T49" s="2">
        <v>0</v>
      </c>
      <c r="U49" s="2">
        <v>328.95741666666663</v>
      </c>
      <c r="V49" s="2">
        <v>1607.9981250000001</v>
      </c>
      <c r="W49" s="45">
        <f t="shared" si="23"/>
        <v>1936.9555416666667</v>
      </c>
      <c r="X49" s="2">
        <v>0</v>
      </c>
      <c r="Y49" s="2">
        <v>415</v>
      </c>
      <c r="Z49" s="2">
        <v>0</v>
      </c>
      <c r="AA49" s="45">
        <f t="shared" si="24"/>
        <v>415</v>
      </c>
      <c r="AC49" s="39">
        <v>3000</v>
      </c>
      <c r="AD49" s="40">
        <f t="shared" si="19"/>
        <v>7991.0004166666658</v>
      </c>
      <c r="AE49" s="1">
        <f t="shared" si="25"/>
        <v>10.8</v>
      </c>
      <c r="AF49" s="1">
        <f t="shared" si="26"/>
        <v>12</v>
      </c>
      <c r="AG49" s="41">
        <f t="shared" si="27"/>
        <v>11.672459297286442</v>
      </c>
      <c r="AI49">
        <v>0.9</v>
      </c>
      <c r="AJ49">
        <v>1</v>
      </c>
      <c r="AK49" s="32">
        <f t="shared" si="28"/>
        <v>10991.000416666666</v>
      </c>
      <c r="AL49" s="4">
        <f t="shared" si="29"/>
        <v>0.27295058559463103</v>
      </c>
      <c r="AM49" s="4">
        <f t="shared" si="30"/>
        <v>0.72704941440536897</v>
      </c>
    </row>
    <row r="50" spans="3:39" hidden="1" x14ac:dyDescent="0.25">
      <c r="C50" s="1">
        <f t="shared" si="20"/>
        <v>2025</v>
      </c>
      <c r="D50" s="52">
        <f>+'Fisico ASIG'!B50</f>
        <v>45931</v>
      </c>
      <c r="E50" s="1">
        <v>16</v>
      </c>
      <c r="F50" s="1" t="s">
        <v>46</v>
      </c>
      <c r="G50" s="5">
        <f t="shared" si="31"/>
        <v>45961</v>
      </c>
      <c r="H50" s="2">
        <v>3066.6685833333331</v>
      </c>
      <c r="I50" s="2">
        <v>592.00187500000004</v>
      </c>
      <c r="J50" s="2">
        <v>215.40395833333338</v>
      </c>
      <c r="K50" s="2"/>
      <c r="L50" s="1">
        <v>0</v>
      </c>
      <c r="M50" s="35">
        <f t="shared" ref="M50:M113" si="32">SUM(H50:L50)</f>
        <v>3874.0744166666664</v>
      </c>
      <c r="N50" s="2">
        <v>11065.236791666666</v>
      </c>
      <c r="O50" s="3">
        <v>1021.5703333333333</v>
      </c>
      <c r="P50" s="2">
        <v>982.1594583333333</v>
      </c>
      <c r="Q50" s="2"/>
      <c r="R50" s="1">
        <v>0</v>
      </c>
      <c r="S50" s="35">
        <f t="shared" ref="S50:S113" si="33">SUM(N50:R50)</f>
        <v>13068.966583333333</v>
      </c>
      <c r="T50" s="2">
        <v>0</v>
      </c>
      <c r="U50" s="2">
        <v>345.82137500000005</v>
      </c>
      <c r="V50" s="2">
        <v>1933.321833333333</v>
      </c>
      <c r="W50" s="45">
        <f t="shared" si="23"/>
        <v>2279.143208333333</v>
      </c>
      <c r="X50" s="2">
        <v>0</v>
      </c>
      <c r="Y50" s="2">
        <v>415</v>
      </c>
      <c r="Z50" s="2">
        <v>0</v>
      </c>
      <c r="AA50" s="45">
        <f t="shared" ref="AA50:AA113" si="34">SUM(X50:Z50)</f>
        <v>415</v>
      </c>
      <c r="AC50" s="39">
        <v>3000</v>
      </c>
      <c r="AD50" s="40">
        <f t="shared" si="19"/>
        <v>8065.2367916666662</v>
      </c>
      <c r="AE50" s="1">
        <f t="shared" si="25"/>
        <v>10.8</v>
      </c>
      <c r="AF50" s="1">
        <f t="shared" si="26"/>
        <v>12</v>
      </c>
      <c r="AG50" s="41">
        <f t="shared" si="27"/>
        <v>11.674656759021081</v>
      </c>
      <c r="AI50">
        <v>0.9</v>
      </c>
      <c r="AJ50">
        <v>1</v>
      </c>
      <c r="AK50" s="32">
        <f t="shared" si="28"/>
        <v>11065.236791666666</v>
      </c>
      <c r="AL50" s="4">
        <f t="shared" si="29"/>
        <v>0.27111936748243182</v>
      </c>
      <c r="AM50" s="4">
        <f t="shared" si="30"/>
        <v>0.72888063251756818</v>
      </c>
    </row>
    <row r="51" spans="3:39" hidden="1" x14ac:dyDescent="0.25">
      <c r="C51" s="1">
        <f t="shared" si="20"/>
        <v>2025</v>
      </c>
      <c r="D51" s="52">
        <f>+'Fisico ASIG'!B51</f>
        <v>45962</v>
      </c>
      <c r="E51" s="1">
        <v>6</v>
      </c>
      <c r="F51" s="1" t="s">
        <v>47</v>
      </c>
      <c r="G51" s="5">
        <v>45962</v>
      </c>
      <c r="H51" s="2">
        <v>3191.4992500000003</v>
      </c>
      <c r="I51" s="2">
        <v>658.64929166666684</v>
      </c>
      <c r="J51" s="2">
        <v>230.57483333333332</v>
      </c>
      <c r="K51" s="2"/>
      <c r="L51" s="2">
        <v>0</v>
      </c>
      <c r="M51" s="35">
        <f t="shared" si="32"/>
        <v>4080.7233750000005</v>
      </c>
      <c r="N51" s="2">
        <v>10962.503541666671</v>
      </c>
      <c r="O51" s="2">
        <v>1005.3097500000001</v>
      </c>
      <c r="P51" s="2">
        <v>805.05070833333332</v>
      </c>
      <c r="Q51" s="2"/>
      <c r="R51" s="1">
        <v>0</v>
      </c>
      <c r="S51" s="35">
        <f t="shared" si="33"/>
        <v>12772.864000000005</v>
      </c>
      <c r="T51" s="2">
        <v>0</v>
      </c>
      <c r="U51" s="2">
        <v>225.39295833333335</v>
      </c>
      <c r="V51" s="2">
        <v>1306.0842916666666</v>
      </c>
      <c r="W51" s="45">
        <f t="shared" si="23"/>
        <v>1531.4772499999999</v>
      </c>
      <c r="X51" s="2">
        <v>0</v>
      </c>
      <c r="Y51" s="2">
        <v>415</v>
      </c>
      <c r="Z51" s="2">
        <v>0</v>
      </c>
      <c r="AA51" s="45">
        <f t="shared" si="34"/>
        <v>415</v>
      </c>
      <c r="AB51" s="32"/>
      <c r="AC51" s="39">
        <v>3000</v>
      </c>
      <c r="AD51" s="40">
        <f t="shared" si="19"/>
        <v>7962.5035416666706</v>
      </c>
      <c r="AE51" s="1">
        <f t="shared" si="25"/>
        <v>10.8</v>
      </c>
      <c r="AF51" s="1">
        <f t="shared" si="26"/>
        <v>12</v>
      </c>
      <c r="AG51" s="41">
        <f t="shared" ref="AG51:AG59" si="35">+(AC51*AE51+AF51*AD51)/SUM(AC51:AD51)</f>
        <v>11.671607859799817</v>
      </c>
      <c r="AI51">
        <v>0.9</v>
      </c>
      <c r="AJ51">
        <v>1</v>
      </c>
      <c r="AK51" s="32">
        <f t="shared" si="28"/>
        <v>10962.503541666671</v>
      </c>
      <c r="AL51" s="4">
        <f t="shared" si="29"/>
        <v>0.27366011683348551</v>
      </c>
      <c r="AM51" s="4">
        <f t="shared" si="30"/>
        <v>0.72633988316651443</v>
      </c>
    </row>
    <row r="52" spans="3:39" hidden="1" x14ac:dyDescent="0.25">
      <c r="C52" s="1">
        <f t="shared" si="20"/>
        <v>2025</v>
      </c>
      <c r="D52" s="52">
        <f>+'Fisico ASIG'!B52</f>
        <v>45962</v>
      </c>
      <c r="E52" s="1">
        <v>4</v>
      </c>
      <c r="F52" s="1" t="s">
        <v>48</v>
      </c>
      <c r="G52" s="5">
        <v>45963</v>
      </c>
      <c r="H52" s="2">
        <v>3477.9965000000002</v>
      </c>
      <c r="I52" s="2">
        <v>648.97950000000003</v>
      </c>
      <c r="J52" s="2">
        <v>208.53829166666665</v>
      </c>
      <c r="K52" s="2"/>
      <c r="L52" s="2">
        <v>0</v>
      </c>
      <c r="M52" s="35">
        <f t="shared" si="32"/>
        <v>4335.5142916666673</v>
      </c>
      <c r="N52" s="2">
        <v>10958.535</v>
      </c>
      <c r="O52" s="2">
        <v>1010.8492083333335</v>
      </c>
      <c r="P52" s="2">
        <v>804.48</v>
      </c>
      <c r="Q52" s="2"/>
      <c r="R52" s="1">
        <v>0</v>
      </c>
      <c r="S52" s="35">
        <f t="shared" si="33"/>
        <v>12773.864208333332</v>
      </c>
      <c r="T52" s="2">
        <v>0</v>
      </c>
      <c r="U52" s="2">
        <v>222.63724999999991</v>
      </c>
      <c r="V52" s="2">
        <v>1103.0210833333333</v>
      </c>
      <c r="W52" s="45">
        <f t="shared" si="23"/>
        <v>1325.6583333333333</v>
      </c>
      <c r="X52" s="2">
        <v>0</v>
      </c>
      <c r="Y52" s="2">
        <v>415</v>
      </c>
      <c r="Z52" s="2">
        <v>0</v>
      </c>
      <c r="AA52" s="45">
        <f t="shared" si="34"/>
        <v>415</v>
      </c>
      <c r="AB52" s="32"/>
      <c r="AC52" s="39">
        <v>3000</v>
      </c>
      <c r="AD52" s="40">
        <f t="shared" si="19"/>
        <v>7958.5349999999999</v>
      </c>
      <c r="AE52" s="1">
        <f t="shared" si="25"/>
        <v>10.8</v>
      </c>
      <c r="AF52" s="1">
        <f t="shared" si="26"/>
        <v>12</v>
      </c>
      <c r="AG52" s="41">
        <f t="shared" si="35"/>
        <v>11.671488935336704</v>
      </c>
      <c r="AI52">
        <v>0.9</v>
      </c>
      <c r="AJ52">
        <v>1</v>
      </c>
      <c r="AK52" s="32">
        <f t="shared" si="28"/>
        <v>10958.535</v>
      </c>
      <c r="AL52" s="4">
        <f t="shared" si="29"/>
        <v>0.27375922055274726</v>
      </c>
      <c r="AM52" s="4">
        <f t="shared" si="30"/>
        <v>0.72624077944725274</v>
      </c>
    </row>
    <row r="53" spans="3:39" hidden="1" x14ac:dyDescent="0.25">
      <c r="C53" s="1">
        <f t="shared" si="20"/>
        <v>2025</v>
      </c>
      <c r="D53" s="52">
        <f>+'Fisico ASIG'!B53</f>
        <v>45962</v>
      </c>
      <c r="E53" s="1">
        <v>16</v>
      </c>
      <c r="F53" s="1" t="s">
        <v>49</v>
      </c>
      <c r="G53" s="5">
        <v>45964</v>
      </c>
      <c r="H53" s="2">
        <v>3780.1417916666664</v>
      </c>
      <c r="I53" s="2">
        <v>732.10837500000002</v>
      </c>
      <c r="J53" s="2">
        <v>282.40583333333336</v>
      </c>
      <c r="K53" s="2"/>
      <c r="L53" s="2">
        <v>0</v>
      </c>
      <c r="M53" s="35">
        <f t="shared" si="32"/>
        <v>4794.6559999999999</v>
      </c>
      <c r="N53" s="2">
        <v>11147.124041666661</v>
      </c>
      <c r="O53" s="2">
        <v>987.54791666666677</v>
      </c>
      <c r="P53" s="2">
        <v>804.89670833333332</v>
      </c>
      <c r="Q53" s="2"/>
      <c r="R53" s="1">
        <v>0</v>
      </c>
      <c r="S53" s="35">
        <f t="shared" si="33"/>
        <v>12939.568666666661</v>
      </c>
      <c r="T53" s="2">
        <v>0</v>
      </c>
      <c r="U53" s="2">
        <v>314.59691666666663</v>
      </c>
      <c r="V53" s="2">
        <v>1212.723916666667</v>
      </c>
      <c r="W53" s="45">
        <f t="shared" si="23"/>
        <v>1527.3208333333337</v>
      </c>
      <c r="X53" s="2">
        <v>0</v>
      </c>
      <c r="Y53" s="2">
        <v>415</v>
      </c>
      <c r="Z53" s="2">
        <v>0</v>
      </c>
      <c r="AA53" s="45">
        <f t="shared" si="34"/>
        <v>415</v>
      </c>
      <c r="AB53" s="32"/>
      <c r="AC53" s="39">
        <v>3000</v>
      </c>
      <c r="AD53" s="40">
        <f t="shared" si="19"/>
        <v>8147.1240416666606</v>
      </c>
      <c r="AE53" s="1">
        <f t="shared" si="25"/>
        <v>10.8</v>
      </c>
      <c r="AF53" s="1">
        <f t="shared" si="26"/>
        <v>12</v>
      </c>
      <c r="AG53" s="41">
        <f t="shared" si="35"/>
        <v>11.677046744385043</v>
      </c>
      <c r="AI53">
        <v>0.9</v>
      </c>
      <c r="AJ53">
        <v>1</v>
      </c>
      <c r="AK53" s="32">
        <f t="shared" si="28"/>
        <v>11147.124041666661</v>
      </c>
      <c r="AL53" s="4">
        <f t="shared" si="29"/>
        <v>0.26912771301246374</v>
      </c>
      <c r="AM53" s="4">
        <f t="shared" si="30"/>
        <v>0.73087228698753626</v>
      </c>
    </row>
    <row r="54" spans="3:39" hidden="1" x14ac:dyDescent="0.25">
      <c r="C54" s="1">
        <f t="shared" si="20"/>
        <v>2025</v>
      </c>
      <c r="D54" s="52">
        <f>+'Fisico ASIG'!B54</f>
        <v>45962</v>
      </c>
      <c r="E54" s="1">
        <v>16</v>
      </c>
      <c r="F54" s="1" t="s">
        <v>50</v>
      </c>
      <c r="G54" s="5">
        <v>45965</v>
      </c>
      <c r="H54" s="2">
        <v>3971.7213333333339</v>
      </c>
      <c r="I54" s="2">
        <v>760.63000000000011</v>
      </c>
      <c r="J54" s="2">
        <v>293.84991666666662</v>
      </c>
      <c r="K54" s="2"/>
      <c r="L54" s="2">
        <v>0</v>
      </c>
      <c r="M54" s="35">
        <f t="shared" si="32"/>
        <v>5026.201250000001</v>
      </c>
      <c r="N54" s="2">
        <v>10964.098291666665</v>
      </c>
      <c r="O54" s="2">
        <v>994.37779166666678</v>
      </c>
      <c r="P54" s="2">
        <v>805.23079166666673</v>
      </c>
      <c r="Q54" s="2"/>
      <c r="R54" s="1">
        <v>0</v>
      </c>
      <c r="S54" s="35">
        <f t="shared" si="33"/>
        <v>12763.706874999998</v>
      </c>
      <c r="T54" s="2">
        <v>0</v>
      </c>
      <c r="U54" s="2">
        <v>386.29370833333343</v>
      </c>
      <c r="V54" s="2">
        <v>1219.2376666666664</v>
      </c>
      <c r="W54" s="45">
        <f t="shared" si="23"/>
        <v>1605.5313749999998</v>
      </c>
      <c r="X54" s="2">
        <v>0</v>
      </c>
      <c r="Y54" s="2">
        <v>415</v>
      </c>
      <c r="Z54" s="2">
        <v>0</v>
      </c>
      <c r="AA54" s="45">
        <f t="shared" si="34"/>
        <v>415</v>
      </c>
      <c r="AB54" s="32"/>
      <c r="AC54" s="39">
        <v>3000</v>
      </c>
      <c r="AD54" s="40">
        <f t="shared" si="19"/>
        <v>7964.0982916666653</v>
      </c>
      <c r="AE54" s="1">
        <f t="shared" si="25"/>
        <v>10.8</v>
      </c>
      <c r="AF54" s="1">
        <f t="shared" si="26"/>
        <v>12</v>
      </c>
      <c r="AG54" s="41">
        <f t="shared" si="35"/>
        <v>11.671655625092653</v>
      </c>
      <c r="AI54">
        <v>0.9</v>
      </c>
      <c r="AJ54">
        <v>1</v>
      </c>
      <c r="AK54" s="32">
        <f t="shared" si="28"/>
        <v>10964.098291666665</v>
      </c>
      <c r="AL54" s="4">
        <f t="shared" si="29"/>
        <v>0.273620312422789</v>
      </c>
      <c r="AM54" s="4">
        <f t="shared" si="30"/>
        <v>0.72637968757721105</v>
      </c>
    </row>
    <row r="55" spans="3:39" hidden="1" x14ac:dyDescent="0.25">
      <c r="C55" s="1">
        <f t="shared" si="20"/>
        <v>2025</v>
      </c>
      <c r="D55" s="52">
        <f>+'Fisico ASIG'!B55</f>
        <v>45962</v>
      </c>
      <c r="E55" s="1">
        <v>16</v>
      </c>
      <c r="F55" s="1" t="s">
        <v>44</v>
      </c>
      <c r="G55" s="5">
        <v>45966</v>
      </c>
      <c r="H55" s="2">
        <v>4321.6351250000007</v>
      </c>
      <c r="I55" s="2">
        <v>664.47895833333337</v>
      </c>
      <c r="J55" s="2">
        <v>290.23375000000004</v>
      </c>
      <c r="K55" s="2"/>
      <c r="L55" s="2">
        <v>0</v>
      </c>
      <c r="M55" s="35">
        <f t="shared" si="32"/>
        <v>5276.3478333333342</v>
      </c>
      <c r="N55" s="2">
        <v>11517.778375</v>
      </c>
      <c r="O55" s="2">
        <v>1012.9440000000001</v>
      </c>
      <c r="P55" s="2">
        <v>805.75833333333333</v>
      </c>
      <c r="Q55" s="2"/>
      <c r="R55" s="1">
        <v>0</v>
      </c>
      <c r="S55" s="35">
        <f t="shared" si="33"/>
        <v>13336.480708333333</v>
      </c>
      <c r="T55" s="2">
        <v>0</v>
      </c>
      <c r="U55" s="2">
        <v>374.90404166666667</v>
      </c>
      <c r="V55" s="2">
        <v>1091.35025</v>
      </c>
      <c r="W55" s="45">
        <f t="shared" si="23"/>
        <v>1466.2542916666666</v>
      </c>
      <c r="X55" s="2">
        <v>0</v>
      </c>
      <c r="Y55" s="2">
        <v>415</v>
      </c>
      <c r="Z55" s="2">
        <v>0</v>
      </c>
      <c r="AA55" s="45">
        <f t="shared" si="34"/>
        <v>415</v>
      </c>
      <c r="AB55" s="32"/>
      <c r="AC55" s="39">
        <v>3000</v>
      </c>
      <c r="AD55" s="40">
        <f t="shared" si="19"/>
        <v>8517.7783749999999</v>
      </c>
      <c r="AE55" s="1">
        <f t="shared" si="25"/>
        <v>10.8</v>
      </c>
      <c r="AF55" s="1">
        <f t="shared" si="26"/>
        <v>12</v>
      </c>
      <c r="AG55" s="41">
        <f t="shared" si="35"/>
        <v>11.687439722940493</v>
      </c>
      <c r="AI55">
        <v>0.9</v>
      </c>
      <c r="AJ55">
        <v>1</v>
      </c>
      <c r="AK55" s="32">
        <f t="shared" si="28"/>
        <v>11517.778375</v>
      </c>
      <c r="AL55" s="4">
        <f t="shared" si="29"/>
        <v>0.26046689754958929</v>
      </c>
      <c r="AM55" s="4">
        <f t="shared" si="30"/>
        <v>0.73953310245041071</v>
      </c>
    </row>
    <row r="56" spans="3:39" hidden="1" x14ac:dyDescent="0.25">
      <c r="C56" s="1">
        <f t="shared" si="20"/>
        <v>2025</v>
      </c>
      <c r="D56" s="52">
        <f>+'Fisico ASIG'!B56</f>
        <v>45962</v>
      </c>
      <c r="E56" s="1">
        <v>16</v>
      </c>
      <c r="F56" s="1" t="s">
        <v>45</v>
      </c>
      <c r="G56" s="5">
        <v>45967</v>
      </c>
      <c r="H56" s="2">
        <v>4281.5567499999988</v>
      </c>
      <c r="I56" s="2">
        <v>664.28045833333329</v>
      </c>
      <c r="J56" s="2">
        <v>273.01645833333339</v>
      </c>
      <c r="K56" s="2"/>
      <c r="L56" s="2">
        <v>0</v>
      </c>
      <c r="M56" s="35">
        <f t="shared" si="32"/>
        <v>5218.853666666666</v>
      </c>
      <c r="N56" s="2">
        <v>11846.218041666658</v>
      </c>
      <c r="O56" s="2">
        <v>1016.7614166666667</v>
      </c>
      <c r="P56" s="2">
        <v>805.84416666666664</v>
      </c>
      <c r="Q56" s="2"/>
      <c r="R56" s="1">
        <v>0</v>
      </c>
      <c r="S56" s="35">
        <f t="shared" si="33"/>
        <v>13668.82362499999</v>
      </c>
      <c r="T56" s="2">
        <v>0</v>
      </c>
      <c r="U56" s="2">
        <v>311.98925000000003</v>
      </c>
      <c r="V56" s="2">
        <v>1131.0460833333334</v>
      </c>
      <c r="W56" s="45">
        <f t="shared" si="23"/>
        <v>1443.0353333333335</v>
      </c>
      <c r="X56" s="2">
        <v>0</v>
      </c>
      <c r="Y56" s="2">
        <v>415</v>
      </c>
      <c r="Z56" s="2">
        <v>0</v>
      </c>
      <c r="AA56" s="45">
        <f t="shared" si="34"/>
        <v>415</v>
      </c>
      <c r="AB56" s="32"/>
      <c r="AC56" s="39">
        <v>3000</v>
      </c>
      <c r="AD56" s="40">
        <f t="shared" si="19"/>
        <v>8846.2180416666579</v>
      </c>
      <c r="AE56" s="1">
        <f t="shared" si="25"/>
        <v>10.8</v>
      </c>
      <c r="AF56" s="1">
        <f t="shared" si="26"/>
        <v>12</v>
      </c>
      <c r="AG56" s="41">
        <f t="shared" si="35"/>
        <v>11.696105542938874</v>
      </c>
      <c r="AI56">
        <v>0.9</v>
      </c>
      <c r="AJ56">
        <v>1</v>
      </c>
      <c r="AK56" s="32">
        <f t="shared" si="28"/>
        <v>11846.218041666658</v>
      </c>
      <c r="AL56" s="4">
        <f t="shared" si="29"/>
        <v>0.25324538088427134</v>
      </c>
      <c r="AM56" s="4">
        <f t="shared" si="30"/>
        <v>0.7467546191157286</v>
      </c>
    </row>
    <row r="57" spans="3:39" hidden="1" x14ac:dyDescent="0.25">
      <c r="C57" s="1">
        <f t="shared" si="20"/>
        <v>2025</v>
      </c>
      <c r="D57" s="52">
        <f>+'Fisico ASIG'!B57</f>
        <v>45962</v>
      </c>
      <c r="E57" s="1">
        <v>16</v>
      </c>
      <c r="F57" s="1" t="s">
        <v>57</v>
      </c>
      <c r="G57" s="5">
        <v>45968</v>
      </c>
      <c r="H57" s="2">
        <v>4149.9799583333315</v>
      </c>
      <c r="I57" s="2">
        <v>705.82704166666667</v>
      </c>
      <c r="J57" s="2">
        <v>296.25925000000007</v>
      </c>
      <c r="K57" s="2"/>
      <c r="L57" s="1">
        <v>0</v>
      </c>
      <c r="M57" s="35">
        <f t="shared" si="32"/>
        <v>5152.066249999998</v>
      </c>
      <c r="N57" s="2">
        <v>12201.625916666664</v>
      </c>
      <c r="O57" s="2">
        <v>1027.0706250000001</v>
      </c>
      <c r="P57" s="2">
        <v>805.78420833333337</v>
      </c>
      <c r="Q57" s="2"/>
      <c r="R57" s="1">
        <v>0</v>
      </c>
      <c r="S57" s="35">
        <f t="shared" si="33"/>
        <v>14034.480749999997</v>
      </c>
      <c r="T57" s="2">
        <v>0</v>
      </c>
      <c r="U57" s="2">
        <v>304.94262500000008</v>
      </c>
      <c r="V57" s="2">
        <v>799.10270833333323</v>
      </c>
      <c r="W57" s="45">
        <f t="shared" si="23"/>
        <v>1104.0453333333332</v>
      </c>
      <c r="X57" s="2">
        <v>0</v>
      </c>
      <c r="Y57" s="2">
        <v>415</v>
      </c>
      <c r="Z57" s="2">
        <v>0</v>
      </c>
      <c r="AA57" s="45">
        <f t="shared" si="34"/>
        <v>415</v>
      </c>
      <c r="AB57" s="32"/>
      <c r="AC57" s="39">
        <v>3000</v>
      </c>
      <c r="AD57" s="40">
        <f t="shared" si="19"/>
        <v>9201.6259166666641</v>
      </c>
      <c r="AE57" s="1">
        <f t="shared" si="25"/>
        <v>10.8</v>
      </c>
      <c r="AF57" s="1">
        <f t="shared" si="26"/>
        <v>12</v>
      </c>
      <c r="AG57" s="41">
        <f t="shared" si="35"/>
        <v>11.704957353668528</v>
      </c>
      <c r="AI57">
        <v>0.9</v>
      </c>
      <c r="AJ57">
        <v>1</v>
      </c>
      <c r="AK57" s="32">
        <f t="shared" si="28"/>
        <v>12201.625916666664</v>
      </c>
      <c r="AL57" s="4">
        <f t="shared" si="29"/>
        <v>0.24586887194289297</v>
      </c>
      <c r="AM57" s="4">
        <f t="shared" si="30"/>
        <v>0.75413112805710703</v>
      </c>
    </row>
    <row r="58" spans="3:39" hidden="1" x14ac:dyDescent="0.25">
      <c r="C58" s="1">
        <f t="shared" si="20"/>
        <v>2025</v>
      </c>
      <c r="D58" s="52">
        <f>+'Fisico ASIG'!B58</f>
        <v>45962</v>
      </c>
      <c r="E58" s="1">
        <v>6</v>
      </c>
      <c r="F58" s="1" t="s">
        <v>51</v>
      </c>
      <c r="G58" s="5">
        <v>45969</v>
      </c>
      <c r="H58" s="2">
        <v>3206.6552916666656</v>
      </c>
      <c r="I58" s="2">
        <v>908.75500000000011</v>
      </c>
      <c r="J58" s="2">
        <v>255.95504166666669</v>
      </c>
      <c r="K58" s="2"/>
      <c r="L58" s="1">
        <v>0</v>
      </c>
      <c r="M58" s="35">
        <f t="shared" si="32"/>
        <v>4371.3653333333323</v>
      </c>
      <c r="N58" s="2">
        <v>11294.693208333332</v>
      </c>
      <c r="O58" s="2">
        <v>1038.9903333333334</v>
      </c>
      <c r="P58" s="2">
        <v>805.84087499999998</v>
      </c>
      <c r="Q58" s="2"/>
      <c r="R58" s="1">
        <v>0</v>
      </c>
      <c r="S58" s="35">
        <f t="shared" si="33"/>
        <v>13139.524416666665</v>
      </c>
      <c r="T58" s="2">
        <v>0</v>
      </c>
      <c r="U58" s="2">
        <v>310.04870833333331</v>
      </c>
      <c r="V58" s="2">
        <v>645.55154166666671</v>
      </c>
      <c r="W58" s="45">
        <f t="shared" si="23"/>
        <v>955.60024999999996</v>
      </c>
      <c r="X58" s="2">
        <v>0</v>
      </c>
      <c r="Y58" s="2">
        <v>415</v>
      </c>
      <c r="Z58" s="2">
        <v>0</v>
      </c>
      <c r="AA58" s="45">
        <f t="shared" si="34"/>
        <v>415</v>
      </c>
      <c r="AB58" s="32"/>
      <c r="AC58" s="39">
        <v>3000</v>
      </c>
      <c r="AD58" s="40">
        <f t="shared" si="19"/>
        <v>8294.6932083333322</v>
      </c>
      <c r="AE58" s="1">
        <f t="shared" si="25"/>
        <v>10.8</v>
      </c>
      <c r="AF58" s="1">
        <f t="shared" si="26"/>
        <v>12</v>
      </c>
      <c r="AG58" s="41">
        <f t="shared" si="35"/>
        <v>11.681266243040238</v>
      </c>
      <c r="AI58">
        <v>0.9</v>
      </c>
      <c r="AJ58">
        <v>1</v>
      </c>
      <c r="AK58" s="32">
        <f t="shared" si="28"/>
        <v>11294.693208333332</v>
      </c>
      <c r="AL58" s="4">
        <f t="shared" si="29"/>
        <v>0.26561146413313569</v>
      </c>
      <c r="AM58" s="4">
        <f t="shared" si="30"/>
        <v>0.73438853586686437</v>
      </c>
    </row>
    <row r="59" spans="3:39" hidden="1" x14ac:dyDescent="0.25">
      <c r="C59" s="1">
        <f t="shared" si="20"/>
        <v>2025</v>
      </c>
      <c r="D59" s="52">
        <f>+'Fisico ASIG'!B59</f>
        <v>45962</v>
      </c>
      <c r="E59" s="1">
        <v>4</v>
      </c>
      <c r="F59" s="1" t="s">
        <v>52</v>
      </c>
      <c r="G59" s="5">
        <v>45970</v>
      </c>
      <c r="H59" s="2">
        <v>2570.9611250000007</v>
      </c>
      <c r="I59" s="2">
        <v>899.08941666666669</v>
      </c>
      <c r="J59" s="2">
        <v>268.37662499999999</v>
      </c>
      <c r="K59" s="2"/>
      <c r="L59" s="1">
        <v>0</v>
      </c>
      <c r="M59" s="35">
        <f t="shared" si="32"/>
        <v>3738.4271666666673</v>
      </c>
      <c r="N59" s="2">
        <v>11451.83845833333</v>
      </c>
      <c r="O59" s="2">
        <v>1047.1405416666666</v>
      </c>
      <c r="P59" s="2">
        <v>805.94233333333341</v>
      </c>
      <c r="Q59" s="2"/>
      <c r="R59" s="1">
        <v>0</v>
      </c>
      <c r="S59" s="35">
        <f t="shared" si="33"/>
        <v>13304.921333333328</v>
      </c>
      <c r="T59" s="2">
        <v>0</v>
      </c>
      <c r="U59" s="2">
        <v>276.50208333333336</v>
      </c>
      <c r="V59" s="2">
        <v>849.82241666666641</v>
      </c>
      <c r="W59" s="45">
        <f t="shared" si="23"/>
        <v>1126.3244999999997</v>
      </c>
      <c r="X59" s="2">
        <v>0</v>
      </c>
      <c r="Y59" s="2">
        <v>415</v>
      </c>
      <c r="Z59" s="2">
        <v>0</v>
      </c>
      <c r="AA59" s="45">
        <f t="shared" si="34"/>
        <v>415</v>
      </c>
      <c r="AB59" s="32"/>
      <c r="AC59" s="39">
        <v>3000</v>
      </c>
      <c r="AD59" s="40">
        <f t="shared" si="19"/>
        <v>8451.83845833333</v>
      </c>
      <c r="AE59" s="1">
        <f t="shared" si="25"/>
        <v>10.8</v>
      </c>
      <c r="AF59" s="1">
        <f t="shared" si="26"/>
        <v>12</v>
      </c>
      <c r="AG59" s="41">
        <f t="shared" si="35"/>
        <v>11.685639994565209</v>
      </c>
      <c r="AI59">
        <v>0.9</v>
      </c>
      <c r="AJ59">
        <v>1</v>
      </c>
      <c r="AK59" s="32">
        <f t="shared" si="28"/>
        <v>11451.83845833333</v>
      </c>
      <c r="AL59" s="4">
        <f t="shared" si="29"/>
        <v>0.26196667119565814</v>
      </c>
      <c r="AM59" s="4">
        <f t="shared" si="30"/>
        <v>0.73803332880434191</v>
      </c>
    </row>
    <row r="60" spans="3:39" hidden="1" x14ac:dyDescent="0.25">
      <c r="C60" s="1">
        <f t="shared" si="20"/>
        <v>2025</v>
      </c>
      <c r="D60" s="52">
        <f>+'Fisico ASIG'!B60</f>
        <v>45962</v>
      </c>
      <c r="E60" s="1">
        <v>16</v>
      </c>
      <c r="F60" s="1" t="s">
        <v>53</v>
      </c>
      <c r="G60" s="5">
        <v>45971</v>
      </c>
      <c r="H60" s="2">
        <v>3412.117291666666</v>
      </c>
      <c r="I60" s="2">
        <v>954.71170833333338</v>
      </c>
      <c r="J60" s="2">
        <v>240.68641666666667</v>
      </c>
      <c r="K60" s="2"/>
      <c r="L60" s="1">
        <v>0</v>
      </c>
      <c r="M60" s="35">
        <f t="shared" si="32"/>
        <v>4607.5154166666662</v>
      </c>
      <c r="N60" s="2">
        <v>11452.920458333327</v>
      </c>
      <c r="O60" s="2">
        <v>1101.8494583333331</v>
      </c>
      <c r="P60" s="2">
        <v>823.1586666666667</v>
      </c>
      <c r="Q60" s="2"/>
      <c r="R60" s="1">
        <v>0</v>
      </c>
      <c r="S60" s="35">
        <f t="shared" si="33"/>
        <v>13377.928583333327</v>
      </c>
      <c r="T60" s="2">
        <v>0</v>
      </c>
      <c r="U60" s="2">
        <v>315.05816666666664</v>
      </c>
      <c r="V60" s="2">
        <v>1245.0960000000002</v>
      </c>
      <c r="W60" s="45">
        <f t="shared" si="23"/>
        <v>1560.1541666666669</v>
      </c>
      <c r="X60" s="2">
        <v>0</v>
      </c>
      <c r="Y60" s="2">
        <v>415</v>
      </c>
      <c r="Z60" s="2">
        <v>0</v>
      </c>
      <c r="AA60" s="45">
        <f t="shared" si="34"/>
        <v>415</v>
      </c>
      <c r="AB60" s="32"/>
      <c r="AC60" s="39">
        <v>3000</v>
      </c>
      <c r="AD60" s="40">
        <f t="shared" ref="AD60:AD66" si="36">+N60-AC60</f>
        <v>8452.9204583333267</v>
      </c>
      <c r="AE60" s="1">
        <f t="shared" si="25"/>
        <v>10.8</v>
      </c>
      <c r="AF60" s="1">
        <f t="shared" si="26"/>
        <v>12</v>
      </c>
      <c r="AG60" s="41">
        <f t="shared" ref="AG60:AG66" si="37">+(AC60*AE60+AF60*AD60)/SUM(AC60:AD60)</f>
        <v>11.685669693324327</v>
      </c>
      <c r="AI60">
        <v>0.9</v>
      </c>
      <c r="AJ60">
        <v>1</v>
      </c>
      <c r="AK60" s="32">
        <f t="shared" ref="AK60:AK66" si="38">+AC60+AD60</f>
        <v>11452.920458333327</v>
      </c>
      <c r="AL60" s="4">
        <f t="shared" ref="AL60:AL66" si="39">+AC60/AK60</f>
        <v>0.26194192222972723</v>
      </c>
      <c r="AM60" s="4">
        <f t="shared" ref="AM60:AM66" si="40">+AD60/AK60</f>
        <v>0.73805807777027277</v>
      </c>
    </row>
    <row r="61" spans="3:39" hidden="1" x14ac:dyDescent="0.25">
      <c r="C61" s="1">
        <f t="shared" si="20"/>
        <v>2025</v>
      </c>
      <c r="D61" s="52">
        <f>+'Fisico ASIG'!B61</f>
        <v>45962</v>
      </c>
      <c r="E61" s="1">
        <v>16</v>
      </c>
      <c r="F61" s="1" t="s">
        <v>54</v>
      </c>
      <c r="G61" s="5">
        <v>45972</v>
      </c>
      <c r="H61" s="2">
        <v>3634.1379166666666</v>
      </c>
      <c r="I61" s="2">
        <v>904.44608333333349</v>
      </c>
      <c r="J61" s="2">
        <v>309.01429166666662</v>
      </c>
      <c r="K61" s="2"/>
      <c r="L61" s="1">
        <v>0</v>
      </c>
      <c r="M61" s="35">
        <f t="shared" si="32"/>
        <v>4847.5982916666662</v>
      </c>
      <c r="N61" s="2">
        <v>11425.372291666667</v>
      </c>
      <c r="O61" s="2">
        <v>1098.2405000000001</v>
      </c>
      <c r="P61" s="2">
        <v>916.08754166666665</v>
      </c>
      <c r="Q61" s="2"/>
      <c r="R61" s="1">
        <v>0</v>
      </c>
      <c r="S61" s="35">
        <f t="shared" si="33"/>
        <v>13439.700333333332</v>
      </c>
      <c r="T61" s="2">
        <v>0</v>
      </c>
      <c r="U61" s="2">
        <v>236.22212499999998</v>
      </c>
      <c r="V61" s="2">
        <v>1752.3092916666674</v>
      </c>
      <c r="W61" s="45">
        <f t="shared" si="23"/>
        <v>1988.5314166666674</v>
      </c>
      <c r="X61" s="2">
        <v>0</v>
      </c>
      <c r="Y61" s="2">
        <v>415</v>
      </c>
      <c r="Z61" s="2">
        <v>0</v>
      </c>
      <c r="AA61" s="45">
        <f t="shared" si="34"/>
        <v>415</v>
      </c>
      <c r="AB61" s="32"/>
      <c r="AC61" s="39">
        <v>3000</v>
      </c>
      <c r="AD61" s="40">
        <f t="shared" si="36"/>
        <v>8425.3722916666666</v>
      </c>
      <c r="AE61" s="1">
        <f t="shared" si="25"/>
        <v>10.8</v>
      </c>
      <c r="AF61" s="1">
        <f t="shared" si="26"/>
        <v>12</v>
      </c>
      <c r="AG61" s="41">
        <f t="shared" si="37"/>
        <v>11.684911799099471</v>
      </c>
      <c r="AI61">
        <v>0.9</v>
      </c>
      <c r="AJ61">
        <v>1</v>
      </c>
      <c r="AK61" s="32">
        <f t="shared" si="38"/>
        <v>11425.372291666667</v>
      </c>
      <c r="AL61" s="4">
        <f t="shared" si="39"/>
        <v>0.26257350075044056</v>
      </c>
      <c r="AM61" s="4">
        <f t="shared" si="40"/>
        <v>0.7374264992495595</v>
      </c>
    </row>
    <row r="62" spans="3:39" hidden="1" x14ac:dyDescent="0.25">
      <c r="C62" s="1">
        <f t="shared" si="20"/>
        <v>2025</v>
      </c>
      <c r="D62" s="52">
        <f>+'Fisico ASIG'!B62</f>
        <v>45962</v>
      </c>
      <c r="E62" s="1">
        <v>16</v>
      </c>
      <c r="F62" s="1" t="s">
        <v>55</v>
      </c>
      <c r="G62" s="5">
        <v>45973</v>
      </c>
      <c r="H62" s="2">
        <v>3407.1494583333338</v>
      </c>
      <c r="I62" s="2">
        <v>965.06704166666657</v>
      </c>
      <c r="J62" s="2">
        <v>341.95641666666666</v>
      </c>
      <c r="K62" s="2"/>
      <c r="L62" s="1">
        <v>0</v>
      </c>
      <c r="M62" s="35">
        <f t="shared" si="32"/>
        <v>4714.1729166666673</v>
      </c>
      <c r="N62" s="2">
        <v>11497.257833333331</v>
      </c>
      <c r="O62" s="2">
        <v>1102.6429583333334</v>
      </c>
      <c r="P62" s="2">
        <v>983.89266666666674</v>
      </c>
      <c r="Q62" s="2"/>
      <c r="R62" s="1">
        <v>0</v>
      </c>
      <c r="S62" s="35">
        <f t="shared" si="33"/>
        <v>13583.793458333332</v>
      </c>
      <c r="T62" s="2">
        <v>0</v>
      </c>
      <c r="U62" s="2">
        <v>210.31341666666665</v>
      </c>
      <c r="V62" s="2">
        <v>1403.6190833333333</v>
      </c>
      <c r="W62" s="45">
        <f t="shared" si="23"/>
        <v>1613.9324999999999</v>
      </c>
      <c r="X62" s="2">
        <v>0</v>
      </c>
      <c r="Y62" s="2">
        <v>415</v>
      </c>
      <c r="Z62" s="2">
        <v>0</v>
      </c>
      <c r="AA62" s="45">
        <f t="shared" si="34"/>
        <v>415</v>
      </c>
      <c r="AB62" s="32"/>
      <c r="AC62" s="39">
        <v>3000</v>
      </c>
      <c r="AD62" s="40">
        <f t="shared" si="36"/>
        <v>8497.2578333333313</v>
      </c>
      <c r="AE62" s="1">
        <f t="shared" si="25"/>
        <v>10.8</v>
      </c>
      <c r="AF62" s="1">
        <f t="shared" si="26"/>
        <v>12</v>
      </c>
      <c r="AG62" s="41">
        <f t="shared" si="37"/>
        <v>11.686881858945293</v>
      </c>
      <c r="AI62">
        <v>0.9</v>
      </c>
      <c r="AJ62">
        <v>1</v>
      </c>
      <c r="AK62" s="32">
        <f t="shared" si="38"/>
        <v>11497.257833333331</v>
      </c>
      <c r="AL62" s="4">
        <f t="shared" si="39"/>
        <v>0.26093178421225577</v>
      </c>
      <c r="AM62" s="4">
        <f t="shared" si="40"/>
        <v>0.73906821578774429</v>
      </c>
    </row>
    <row r="63" spans="3:39" hidden="1" x14ac:dyDescent="0.25">
      <c r="C63" s="1">
        <f t="shared" si="20"/>
        <v>2025</v>
      </c>
      <c r="D63" s="52">
        <f>+'Fisico ASIG'!B63</f>
        <v>45962</v>
      </c>
      <c r="E63" s="1">
        <v>16</v>
      </c>
      <c r="F63" s="1" t="s">
        <v>56</v>
      </c>
      <c r="G63" s="5">
        <v>45974</v>
      </c>
      <c r="H63" s="2">
        <v>3476.1490416666666</v>
      </c>
      <c r="I63" s="2">
        <v>958.6582083333335</v>
      </c>
      <c r="J63" s="2">
        <v>346.1502500000002</v>
      </c>
      <c r="K63" s="2"/>
      <c r="L63" s="1">
        <v>0</v>
      </c>
      <c r="M63" s="35">
        <f t="shared" si="32"/>
        <v>4780.9575000000004</v>
      </c>
      <c r="N63" s="2">
        <v>11492.795874999998</v>
      </c>
      <c r="O63" s="2">
        <v>1098.5929583333334</v>
      </c>
      <c r="P63" s="2">
        <v>990.66000000000008</v>
      </c>
      <c r="Q63" s="2"/>
      <c r="R63" s="1">
        <v>0</v>
      </c>
      <c r="S63" s="35">
        <f t="shared" si="33"/>
        <v>13582.048833333331</v>
      </c>
      <c r="T63" s="2">
        <v>0</v>
      </c>
      <c r="U63" s="2">
        <v>302.9487083333334</v>
      </c>
      <c r="V63" s="2">
        <v>1287.2944583333335</v>
      </c>
      <c r="W63" s="45">
        <f t="shared" si="23"/>
        <v>1590.2431666666669</v>
      </c>
      <c r="X63" s="2">
        <v>0</v>
      </c>
      <c r="Y63" s="2">
        <v>415</v>
      </c>
      <c r="Z63" s="2">
        <v>0</v>
      </c>
      <c r="AA63" s="45">
        <f t="shared" si="34"/>
        <v>415</v>
      </c>
      <c r="AB63" s="32"/>
      <c r="AC63" s="39">
        <v>3000</v>
      </c>
      <c r="AD63" s="40">
        <f t="shared" si="36"/>
        <v>8492.795874999998</v>
      </c>
      <c r="AE63" s="1">
        <f t="shared" si="25"/>
        <v>10.8</v>
      </c>
      <c r="AF63" s="1">
        <f t="shared" si="26"/>
        <v>12</v>
      </c>
      <c r="AG63" s="41">
        <f t="shared" si="37"/>
        <v>11.686760294087273</v>
      </c>
      <c r="AI63">
        <v>0.9</v>
      </c>
      <c r="AJ63">
        <v>1</v>
      </c>
      <c r="AK63" s="32">
        <f t="shared" si="38"/>
        <v>11492.795874999998</v>
      </c>
      <c r="AL63" s="4">
        <f t="shared" si="39"/>
        <v>0.26103308826060573</v>
      </c>
      <c r="AM63" s="4">
        <f t="shared" si="40"/>
        <v>0.73896691173939422</v>
      </c>
    </row>
    <row r="64" spans="3:39" hidden="1" x14ac:dyDescent="0.25">
      <c r="C64" s="1">
        <f t="shared" si="20"/>
        <v>2025</v>
      </c>
      <c r="D64" s="52">
        <f>+'Fisico ASIG'!B64</f>
        <v>45962</v>
      </c>
      <c r="E64" s="1">
        <v>16</v>
      </c>
      <c r="F64" s="1" t="s">
        <v>57</v>
      </c>
      <c r="G64" s="5">
        <v>45975</v>
      </c>
      <c r="H64" s="2">
        <v>3455.1753333333336</v>
      </c>
      <c r="I64" s="2">
        <v>924.54499999999996</v>
      </c>
      <c r="J64" s="2">
        <v>349.38458333333341</v>
      </c>
      <c r="K64" s="2"/>
      <c r="L64" s="1">
        <v>0</v>
      </c>
      <c r="M64" s="35">
        <f t="shared" si="32"/>
        <v>4729.1049166666671</v>
      </c>
      <c r="N64" s="2">
        <v>11371.733416666664</v>
      </c>
      <c r="O64" s="2">
        <v>1091.6550833333333</v>
      </c>
      <c r="P64" s="2">
        <v>990.66000000000008</v>
      </c>
      <c r="Q64" s="2"/>
      <c r="R64" s="1">
        <v>0</v>
      </c>
      <c r="S64" s="35">
        <f t="shared" si="33"/>
        <v>13454.048499999997</v>
      </c>
      <c r="T64" s="2">
        <v>0</v>
      </c>
      <c r="U64" s="2">
        <v>224.38420833333336</v>
      </c>
      <c r="V64" s="2">
        <v>1967.559833333333</v>
      </c>
      <c r="W64" s="45">
        <f t="shared" si="23"/>
        <v>2191.9440416666662</v>
      </c>
      <c r="X64" s="2">
        <v>0</v>
      </c>
      <c r="Y64" s="2">
        <v>415</v>
      </c>
      <c r="Z64" s="2">
        <v>0</v>
      </c>
      <c r="AA64" s="45">
        <f t="shared" si="34"/>
        <v>415</v>
      </c>
      <c r="AB64" s="32"/>
      <c r="AC64" s="39">
        <v>3000</v>
      </c>
      <c r="AD64" s="40">
        <f t="shared" si="36"/>
        <v>8371.7334166666642</v>
      </c>
      <c r="AE64" s="1">
        <f t="shared" si="25"/>
        <v>10.8</v>
      </c>
      <c r="AF64" s="1">
        <f t="shared" si="26"/>
        <v>12</v>
      </c>
      <c r="AG64" s="41">
        <f t="shared" si="37"/>
        <v>11.683425572153867</v>
      </c>
      <c r="AI64">
        <v>0.9</v>
      </c>
      <c r="AJ64">
        <v>1</v>
      </c>
      <c r="AK64" s="32">
        <f t="shared" si="38"/>
        <v>11371.733416666664</v>
      </c>
      <c r="AL64" s="4">
        <f t="shared" si="39"/>
        <v>0.26381202320511082</v>
      </c>
      <c r="AM64" s="4">
        <f t="shared" si="40"/>
        <v>0.73618797679488923</v>
      </c>
    </row>
    <row r="65" spans="3:39" hidden="1" x14ac:dyDescent="0.25">
      <c r="C65" s="1">
        <f t="shared" si="20"/>
        <v>2025</v>
      </c>
      <c r="D65" s="52">
        <f>+'Fisico ASIG'!B65</f>
        <v>45962</v>
      </c>
      <c r="E65" s="1">
        <v>6</v>
      </c>
      <c r="F65" s="1" t="s">
        <v>51</v>
      </c>
      <c r="G65" s="5">
        <v>45976</v>
      </c>
      <c r="H65" s="2">
        <v>3603.1008333333325</v>
      </c>
      <c r="I65" s="2">
        <v>945.02700000000016</v>
      </c>
      <c r="J65" s="2">
        <v>337.37491666666671</v>
      </c>
      <c r="K65" s="2"/>
      <c r="L65" s="1">
        <v>0</v>
      </c>
      <c r="M65" s="35">
        <f t="shared" si="32"/>
        <v>4885.5027499999997</v>
      </c>
      <c r="N65" s="2">
        <v>11384.241749999996</v>
      </c>
      <c r="O65" s="2">
        <v>1054.3181666666667</v>
      </c>
      <c r="P65" s="2">
        <v>990.66</v>
      </c>
      <c r="Q65" s="2"/>
      <c r="R65" s="1">
        <v>0</v>
      </c>
      <c r="S65" s="35">
        <f t="shared" si="33"/>
        <v>13429.219916666661</v>
      </c>
      <c r="T65" s="2">
        <v>0</v>
      </c>
      <c r="U65" s="2">
        <v>189.11962500000004</v>
      </c>
      <c r="V65" s="2">
        <v>1919.4689166666667</v>
      </c>
      <c r="W65" s="45">
        <f t="shared" si="23"/>
        <v>2108.588541666667</v>
      </c>
      <c r="X65" s="2">
        <v>0</v>
      </c>
      <c r="Y65" s="2">
        <v>415</v>
      </c>
      <c r="Z65" s="2">
        <v>0</v>
      </c>
      <c r="AA65" s="45">
        <f t="shared" si="34"/>
        <v>415</v>
      </c>
      <c r="AB65" s="32"/>
      <c r="AC65" s="39">
        <v>3000</v>
      </c>
      <c r="AD65" s="40">
        <f t="shared" si="36"/>
        <v>8384.2417499999956</v>
      </c>
      <c r="AE65" s="1">
        <f t="shared" si="25"/>
        <v>10.8</v>
      </c>
      <c r="AF65" s="1">
        <f t="shared" si="26"/>
        <v>12</v>
      </c>
      <c r="AG65" s="41">
        <f t="shared" si="37"/>
        <v>11.683773405461984</v>
      </c>
      <c r="AI65">
        <v>0.9</v>
      </c>
      <c r="AJ65">
        <v>1</v>
      </c>
      <c r="AK65" s="32">
        <f t="shared" si="38"/>
        <v>11384.241749999996</v>
      </c>
      <c r="AL65" s="4">
        <f t="shared" si="39"/>
        <v>0.26352216211501317</v>
      </c>
      <c r="AM65" s="4">
        <f t="shared" si="40"/>
        <v>0.73647783788498689</v>
      </c>
    </row>
    <row r="66" spans="3:39" hidden="1" x14ac:dyDescent="0.25">
      <c r="C66" s="1">
        <f t="shared" si="20"/>
        <v>2025</v>
      </c>
      <c r="D66" s="52">
        <f>+'Fisico ASIG'!B66</f>
        <v>45962</v>
      </c>
      <c r="E66" s="1">
        <v>4</v>
      </c>
      <c r="F66" s="1" t="s">
        <v>52</v>
      </c>
      <c r="G66" s="5">
        <v>45977</v>
      </c>
      <c r="H66" s="2">
        <v>3123.0352499999999</v>
      </c>
      <c r="I66" s="2">
        <v>397.05554166666673</v>
      </c>
      <c r="J66" s="2">
        <v>306.10920833333341</v>
      </c>
      <c r="K66" s="2"/>
      <c r="L66" s="1">
        <v>0</v>
      </c>
      <c r="M66" s="35">
        <f t="shared" si="32"/>
        <v>3826.2</v>
      </c>
      <c r="N66" s="2">
        <v>11399.442666666668</v>
      </c>
      <c r="O66" s="2">
        <v>1070.8793750000002</v>
      </c>
      <c r="P66" s="2">
        <v>990.78720833333341</v>
      </c>
      <c r="Q66" s="2"/>
      <c r="R66" s="1">
        <v>0</v>
      </c>
      <c r="S66" s="35">
        <f t="shared" si="33"/>
        <v>13461.109250000001</v>
      </c>
      <c r="T66" s="2">
        <v>0</v>
      </c>
      <c r="U66" s="2">
        <v>187.43366666666665</v>
      </c>
      <c r="V66" s="2">
        <v>1821.0397916666666</v>
      </c>
      <c r="W66" s="45">
        <f t="shared" si="23"/>
        <v>2008.4734583333332</v>
      </c>
      <c r="X66" s="2">
        <v>0</v>
      </c>
      <c r="Y66" s="2">
        <v>415</v>
      </c>
      <c r="Z66" s="2">
        <v>0</v>
      </c>
      <c r="AA66" s="45">
        <f t="shared" si="34"/>
        <v>415</v>
      </c>
      <c r="AB66" s="32"/>
      <c r="AC66" s="39">
        <v>3000</v>
      </c>
      <c r="AD66" s="40">
        <f t="shared" si="36"/>
        <v>8399.4426666666677</v>
      </c>
      <c r="AE66" s="1">
        <f t="shared" si="25"/>
        <v>10.8</v>
      </c>
      <c r="AF66" s="1">
        <f t="shared" si="26"/>
        <v>12</v>
      </c>
      <c r="AG66" s="41">
        <f t="shared" si="37"/>
        <v>11.684195086964484</v>
      </c>
      <c r="AI66">
        <v>0.9</v>
      </c>
      <c r="AJ66">
        <v>1</v>
      </c>
      <c r="AK66" s="32">
        <f t="shared" si="38"/>
        <v>11399.442666666668</v>
      </c>
      <c r="AL66" s="4">
        <f t="shared" si="39"/>
        <v>0.26317076086292873</v>
      </c>
      <c r="AM66" s="4">
        <f t="shared" si="40"/>
        <v>0.73682923913707132</v>
      </c>
    </row>
    <row r="67" spans="3:39" hidden="1" x14ac:dyDescent="0.25">
      <c r="C67" s="1">
        <f t="shared" si="20"/>
        <v>2025</v>
      </c>
      <c r="D67" s="52">
        <f>+'Fisico ASIG'!B67</f>
        <v>45962</v>
      </c>
      <c r="E67" s="1">
        <v>16</v>
      </c>
      <c r="F67" s="1" t="s">
        <v>53</v>
      </c>
      <c r="G67" s="5">
        <v>45978</v>
      </c>
      <c r="H67" s="2">
        <v>3137.1593749999997</v>
      </c>
      <c r="I67" s="2">
        <v>942.41445833333319</v>
      </c>
      <c r="J67" s="2">
        <v>281.05362499999995</v>
      </c>
      <c r="K67" s="2"/>
      <c r="L67" s="1">
        <v>0</v>
      </c>
      <c r="M67" s="35">
        <f t="shared" si="32"/>
        <v>4360.6274583333325</v>
      </c>
      <c r="N67" s="2">
        <v>11463.207333333334</v>
      </c>
      <c r="O67" s="2">
        <v>1116.1643333333332</v>
      </c>
      <c r="P67" s="2">
        <v>988.76987500000007</v>
      </c>
      <c r="Q67" s="2"/>
      <c r="R67" s="1">
        <v>0</v>
      </c>
      <c r="S67" s="35">
        <f t="shared" si="33"/>
        <v>13568.141541666666</v>
      </c>
      <c r="T67" s="2">
        <v>0</v>
      </c>
      <c r="U67" s="2">
        <v>215.87637500000002</v>
      </c>
      <c r="V67" s="2">
        <v>1725.9645416666667</v>
      </c>
      <c r="W67" s="45">
        <f t="shared" si="23"/>
        <v>1941.8409166666668</v>
      </c>
      <c r="X67" s="2">
        <v>0</v>
      </c>
      <c r="Y67" s="2">
        <v>415</v>
      </c>
      <c r="Z67" s="2">
        <v>0</v>
      </c>
      <c r="AA67" s="45">
        <f t="shared" si="34"/>
        <v>415</v>
      </c>
      <c r="AB67" s="32"/>
      <c r="AC67" s="39">
        <v>3000</v>
      </c>
      <c r="AD67" s="40">
        <f t="shared" ref="AD67:AD73" si="41">+N67-AC67</f>
        <v>8463.2073333333337</v>
      </c>
      <c r="AE67" s="1">
        <f t="shared" si="25"/>
        <v>10.8</v>
      </c>
      <c r="AF67" s="1">
        <f t="shared" si="26"/>
        <v>12</v>
      </c>
      <c r="AG67" s="41">
        <f t="shared" ref="AG67:AG73" si="42">+(AC67*AE67+AF67*AD67)/SUM(AC67:AD67)</f>
        <v>11.685951767658279</v>
      </c>
      <c r="AI67">
        <v>0.9</v>
      </c>
      <c r="AJ67">
        <v>1</v>
      </c>
      <c r="AK67" s="32">
        <f t="shared" ref="AK67:AK73" si="43">+AC67+AD67</f>
        <v>11463.207333333334</v>
      </c>
      <c r="AL67" s="4">
        <f t="shared" ref="AL67:AL73" si="44">+AC67/AK67</f>
        <v>0.26170686028476847</v>
      </c>
      <c r="AM67" s="4">
        <f t="shared" ref="AM67:AM73" si="45">+AD67/AK67</f>
        <v>0.73829313971523158</v>
      </c>
    </row>
    <row r="68" spans="3:39" hidden="1" x14ac:dyDescent="0.25">
      <c r="C68" s="1">
        <f t="shared" si="20"/>
        <v>2025</v>
      </c>
      <c r="D68" s="52">
        <f>+'Fisico ASIG'!B68</f>
        <v>45962</v>
      </c>
      <c r="E68" s="1">
        <v>16</v>
      </c>
      <c r="F68" s="1" t="s">
        <v>54</v>
      </c>
      <c r="G68" s="5">
        <v>45979</v>
      </c>
      <c r="H68" s="2">
        <v>3889.6255416666677</v>
      </c>
      <c r="I68" s="2">
        <v>1012.3653333333333</v>
      </c>
      <c r="J68" s="2">
        <v>297.70933333333335</v>
      </c>
      <c r="K68" s="2"/>
      <c r="L68" s="1">
        <v>0</v>
      </c>
      <c r="M68" s="35">
        <f t="shared" si="32"/>
        <v>5199.7002083333346</v>
      </c>
      <c r="N68" s="2">
        <v>11420.945416666669</v>
      </c>
      <c r="O68" s="2">
        <v>1097.5725</v>
      </c>
      <c r="P68" s="2">
        <v>991.85316666666665</v>
      </c>
      <c r="Q68" s="2"/>
      <c r="R68" s="1">
        <v>0</v>
      </c>
      <c r="S68" s="35">
        <f t="shared" si="33"/>
        <v>13510.371083333335</v>
      </c>
      <c r="T68" s="2">
        <v>0</v>
      </c>
      <c r="U68" s="2">
        <v>221.05425000000002</v>
      </c>
      <c r="V68" s="2">
        <v>1528.9509583333331</v>
      </c>
      <c r="W68" s="45">
        <f t="shared" si="23"/>
        <v>1750.005208333333</v>
      </c>
      <c r="X68" s="2">
        <v>0</v>
      </c>
      <c r="Y68" s="2">
        <v>415</v>
      </c>
      <c r="Z68" s="2">
        <v>0</v>
      </c>
      <c r="AA68" s="45">
        <f t="shared" si="34"/>
        <v>415</v>
      </c>
      <c r="AB68" s="32"/>
      <c r="AC68" s="39">
        <v>3000</v>
      </c>
      <c r="AD68" s="40">
        <f t="shared" si="41"/>
        <v>8420.9454166666692</v>
      </c>
      <c r="AE68" s="1">
        <f t="shared" si="25"/>
        <v>10.8</v>
      </c>
      <c r="AF68" s="1">
        <f t="shared" si="26"/>
        <v>12</v>
      </c>
      <c r="AG68" s="41">
        <f t="shared" si="42"/>
        <v>11.684789667697169</v>
      </c>
      <c r="AI68">
        <v>0.9</v>
      </c>
      <c r="AJ68">
        <v>1</v>
      </c>
      <c r="AK68" s="32">
        <f t="shared" si="43"/>
        <v>11420.945416666669</v>
      </c>
      <c r="AL68" s="4">
        <f t="shared" si="44"/>
        <v>0.26267527691902615</v>
      </c>
      <c r="AM68" s="4">
        <f t="shared" si="45"/>
        <v>0.73732472308097385</v>
      </c>
    </row>
    <row r="69" spans="3:39" hidden="1" x14ac:dyDescent="0.25">
      <c r="C69" s="1">
        <f t="shared" si="20"/>
        <v>2025</v>
      </c>
      <c r="D69" s="52">
        <f>+'Fisico ASIG'!B69</f>
        <v>45962</v>
      </c>
      <c r="E69" s="1">
        <v>16</v>
      </c>
      <c r="F69" s="1" t="s">
        <v>55</v>
      </c>
      <c r="G69" s="5">
        <v>45980</v>
      </c>
      <c r="H69" s="2">
        <v>4954.3772499999995</v>
      </c>
      <c r="I69" s="2">
        <v>1042.0702916666669</v>
      </c>
      <c r="J69" s="2">
        <v>383.88391666666666</v>
      </c>
      <c r="K69" s="2"/>
      <c r="L69" s="1">
        <v>0</v>
      </c>
      <c r="M69" s="35">
        <f t="shared" si="32"/>
        <v>6380.3314583333331</v>
      </c>
      <c r="N69" s="2">
        <v>11417.34991666667</v>
      </c>
      <c r="O69" s="2">
        <v>1102.6021250000001</v>
      </c>
      <c r="P69" s="2">
        <v>991.66404166666666</v>
      </c>
      <c r="Q69" s="2"/>
      <c r="R69" s="1">
        <v>0</v>
      </c>
      <c r="S69" s="35">
        <f t="shared" si="33"/>
        <v>13511.616083333336</v>
      </c>
      <c r="T69" s="2">
        <v>0</v>
      </c>
      <c r="U69" s="2">
        <v>371.66833333333329</v>
      </c>
      <c r="V69" s="2">
        <v>903.30879166666659</v>
      </c>
      <c r="W69" s="45">
        <f t="shared" si="23"/>
        <v>1274.9771249999999</v>
      </c>
      <c r="X69" s="2">
        <v>0</v>
      </c>
      <c r="Y69" s="2">
        <v>415</v>
      </c>
      <c r="Z69" s="2">
        <v>0</v>
      </c>
      <c r="AA69" s="45">
        <f t="shared" si="34"/>
        <v>415</v>
      </c>
      <c r="AB69" s="32"/>
      <c r="AC69" s="39">
        <v>3000</v>
      </c>
      <c r="AD69" s="40">
        <f t="shared" si="41"/>
        <v>8417.3499166666697</v>
      </c>
      <c r="AE69" s="1">
        <f t="shared" si="25"/>
        <v>10.8</v>
      </c>
      <c r="AF69" s="1">
        <f t="shared" si="26"/>
        <v>12</v>
      </c>
      <c r="AG69" s="41">
        <f t="shared" si="42"/>
        <v>11.684690403090404</v>
      </c>
      <c r="AI69">
        <v>0.9</v>
      </c>
      <c r="AJ69">
        <v>1</v>
      </c>
      <c r="AK69" s="32">
        <f t="shared" si="43"/>
        <v>11417.34991666667</v>
      </c>
      <c r="AL69" s="4">
        <f t="shared" si="44"/>
        <v>0.26275799742466499</v>
      </c>
      <c r="AM69" s="4">
        <f t="shared" si="45"/>
        <v>0.73724200257533501</v>
      </c>
    </row>
    <row r="70" spans="3:39" hidden="1" x14ac:dyDescent="0.25">
      <c r="C70" s="1">
        <f t="shared" si="20"/>
        <v>2025</v>
      </c>
      <c r="D70" s="52">
        <f>+'Fisico ASIG'!B70</f>
        <v>45962</v>
      </c>
      <c r="E70" s="1">
        <v>16</v>
      </c>
      <c r="F70" s="1" t="s">
        <v>56</v>
      </c>
      <c r="G70" s="5">
        <v>45981</v>
      </c>
      <c r="H70" s="2">
        <v>5403.2733750000025</v>
      </c>
      <c r="I70" s="2">
        <v>953.3579166666666</v>
      </c>
      <c r="J70" s="2">
        <v>387.68366666666668</v>
      </c>
      <c r="K70" s="2"/>
      <c r="L70" s="1">
        <v>0</v>
      </c>
      <c r="M70" s="35">
        <f t="shared" si="32"/>
        <v>6744.3149583333361</v>
      </c>
      <c r="N70" s="2">
        <v>11356.519999999999</v>
      </c>
      <c r="O70" s="2">
        <v>1092.1594166666669</v>
      </c>
      <c r="P70" s="2">
        <v>991.43700000000001</v>
      </c>
      <c r="Q70" s="2"/>
      <c r="R70" s="1">
        <v>0</v>
      </c>
      <c r="S70" s="35">
        <f t="shared" si="33"/>
        <v>13440.116416666666</v>
      </c>
      <c r="T70" s="2">
        <v>0</v>
      </c>
      <c r="U70" s="2">
        <v>387.52887499999997</v>
      </c>
      <c r="V70" s="2">
        <v>1451.5166250000002</v>
      </c>
      <c r="W70" s="45">
        <f t="shared" si="23"/>
        <v>1839.0455000000002</v>
      </c>
      <c r="X70" s="2">
        <v>0</v>
      </c>
      <c r="Y70" s="2">
        <v>415</v>
      </c>
      <c r="Z70" s="2">
        <v>0</v>
      </c>
      <c r="AA70" s="45">
        <f t="shared" si="34"/>
        <v>415</v>
      </c>
      <c r="AB70" s="32"/>
      <c r="AC70" s="39">
        <v>3000</v>
      </c>
      <c r="AD70" s="40">
        <f t="shared" si="41"/>
        <v>8356.5199999999986</v>
      </c>
      <c r="AE70" s="1">
        <f t="shared" si="25"/>
        <v>10.8</v>
      </c>
      <c r="AF70" s="1">
        <f t="shared" si="26"/>
        <v>12</v>
      </c>
      <c r="AG70" s="41">
        <f t="shared" si="42"/>
        <v>11.683001482848619</v>
      </c>
      <c r="AI70">
        <v>0.9</v>
      </c>
      <c r="AJ70">
        <v>1</v>
      </c>
      <c r="AK70" s="32">
        <f t="shared" si="43"/>
        <v>11356.519999999999</v>
      </c>
      <c r="AL70" s="4">
        <f t="shared" si="44"/>
        <v>0.26416543095948408</v>
      </c>
      <c r="AM70" s="4">
        <f t="shared" si="45"/>
        <v>0.73583456904051592</v>
      </c>
    </row>
    <row r="71" spans="3:39" hidden="1" x14ac:dyDescent="0.25">
      <c r="C71" s="1">
        <f t="shared" si="20"/>
        <v>2025</v>
      </c>
      <c r="D71" s="52">
        <f>+'Fisico ASIG'!B71</f>
        <v>45962</v>
      </c>
      <c r="E71" s="1">
        <v>6</v>
      </c>
      <c r="F71" s="1" t="s">
        <v>57</v>
      </c>
      <c r="G71" s="5">
        <v>45982</v>
      </c>
      <c r="H71" s="2">
        <v>4760.3342499999981</v>
      </c>
      <c r="I71" s="2">
        <v>1084.3257916666666</v>
      </c>
      <c r="J71" s="2">
        <v>390.66125</v>
      </c>
      <c r="K71" s="2"/>
      <c r="L71" s="1">
        <v>0</v>
      </c>
      <c r="M71" s="35">
        <f t="shared" si="32"/>
        <v>6235.3212916666644</v>
      </c>
      <c r="N71" s="2">
        <v>10951.163958333331</v>
      </c>
      <c r="O71" s="2">
        <v>1118.74125</v>
      </c>
      <c r="P71" s="2">
        <v>991.95491666666669</v>
      </c>
      <c r="Q71" s="2"/>
      <c r="R71" s="1">
        <v>0</v>
      </c>
      <c r="S71" s="35">
        <f t="shared" si="33"/>
        <v>13061.860124999997</v>
      </c>
      <c r="T71" s="2">
        <v>0</v>
      </c>
      <c r="U71" s="2">
        <v>261.17424999999997</v>
      </c>
      <c r="V71" s="2">
        <v>1091.2805416666667</v>
      </c>
      <c r="W71" s="45">
        <f t="shared" si="23"/>
        <v>1352.4547916666668</v>
      </c>
      <c r="X71" s="2">
        <v>0</v>
      </c>
      <c r="Y71" s="2">
        <v>415</v>
      </c>
      <c r="Z71" s="2">
        <v>0</v>
      </c>
      <c r="AA71" s="45">
        <f t="shared" si="34"/>
        <v>415</v>
      </c>
      <c r="AB71" s="32"/>
      <c r="AC71" s="39">
        <v>3000</v>
      </c>
      <c r="AD71" s="40">
        <f t="shared" si="41"/>
        <v>7951.1639583333308</v>
      </c>
      <c r="AE71" s="1">
        <f t="shared" si="25"/>
        <v>10.8</v>
      </c>
      <c r="AF71" s="1">
        <f t="shared" si="26"/>
        <v>12</v>
      </c>
      <c r="AG71" s="41">
        <f t="shared" si="42"/>
        <v>11.671267820142482</v>
      </c>
      <c r="AI71">
        <v>0.9</v>
      </c>
      <c r="AJ71">
        <v>1</v>
      </c>
      <c r="AK71" s="32">
        <f t="shared" si="43"/>
        <v>10951.163958333331</v>
      </c>
      <c r="AL71" s="4">
        <f t="shared" si="44"/>
        <v>0.27394348321459822</v>
      </c>
      <c r="AM71" s="4">
        <f t="shared" si="45"/>
        <v>0.72605651678540173</v>
      </c>
    </row>
    <row r="72" spans="3:39" hidden="1" x14ac:dyDescent="0.25">
      <c r="C72" s="1">
        <f t="shared" si="20"/>
        <v>2025</v>
      </c>
      <c r="D72" s="52">
        <f>+'Fisico ASIG'!B72</f>
        <v>45962</v>
      </c>
      <c r="E72" s="1">
        <v>6</v>
      </c>
      <c r="F72" s="1" t="s">
        <v>51</v>
      </c>
      <c r="G72" s="5">
        <v>45983</v>
      </c>
      <c r="H72" s="2">
        <v>3922.8581249999993</v>
      </c>
      <c r="I72" s="2">
        <v>713.44650000000001</v>
      </c>
      <c r="J72" s="2">
        <v>361.74983333333336</v>
      </c>
      <c r="K72" s="2"/>
      <c r="L72" s="1">
        <v>0</v>
      </c>
      <c r="M72" s="35">
        <f t="shared" si="32"/>
        <v>4998.0544583333321</v>
      </c>
      <c r="N72" s="2">
        <v>10848.937874999998</v>
      </c>
      <c r="O72" s="2">
        <v>1133.3053749999999</v>
      </c>
      <c r="P72" s="2">
        <v>992.232125</v>
      </c>
      <c r="Q72" s="2"/>
      <c r="R72" s="1">
        <v>0</v>
      </c>
      <c r="S72" s="35">
        <f t="shared" si="33"/>
        <v>12974.475374999998</v>
      </c>
      <c r="T72" s="2">
        <v>0</v>
      </c>
      <c r="U72" s="2">
        <v>380.68616666666668</v>
      </c>
      <c r="V72" s="2">
        <v>1148.8856666666666</v>
      </c>
      <c r="W72" s="45">
        <f t="shared" si="23"/>
        <v>1529.5718333333332</v>
      </c>
      <c r="X72" s="2">
        <v>0</v>
      </c>
      <c r="Y72" s="2">
        <v>415</v>
      </c>
      <c r="Z72" s="2">
        <v>0</v>
      </c>
      <c r="AA72" s="45">
        <f t="shared" si="34"/>
        <v>415</v>
      </c>
      <c r="AB72" s="32"/>
      <c r="AC72" s="39">
        <v>3000</v>
      </c>
      <c r="AD72" s="40">
        <f t="shared" si="41"/>
        <v>7848.9378749999978</v>
      </c>
      <c r="AE72" s="1">
        <f t="shared" si="25"/>
        <v>10.8</v>
      </c>
      <c r="AF72" s="1">
        <f t="shared" si="26"/>
        <v>12</v>
      </c>
      <c r="AG72" s="41">
        <f t="shared" si="42"/>
        <v>11.668170281600032</v>
      </c>
      <c r="AI72">
        <v>0.9</v>
      </c>
      <c r="AJ72">
        <v>1</v>
      </c>
      <c r="AK72" s="32">
        <f t="shared" si="43"/>
        <v>10848.937874999998</v>
      </c>
      <c r="AL72" s="4">
        <f t="shared" si="44"/>
        <v>0.27652476533330694</v>
      </c>
      <c r="AM72" s="4">
        <f t="shared" si="45"/>
        <v>0.72347523466669306</v>
      </c>
    </row>
    <row r="73" spans="3:39" hidden="1" x14ac:dyDescent="0.25">
      <c r="C73" s="1">
        <f t="shared" si="20"/>
        <v>2025</v>
      </c>
      <c r="D73" s="52">
        <f>+'Fisico ASIG'!B73</f>
        <v>45962</v>
      </c>
      <c r="E73" s="1">
        <v>4</v>
      </c>
      <c r="F73" s="1" t="s">
        <v>52</v>
      </c>
      <c r="G73" s="5">
        <v>45984</v>
      </c>
      <c r="H73" s="2">
        <v>2851.9209166666669</v>
      </c>
      <c r="I73" s="2">
        <v>833.33095833333346</v>
      </c>
      <c r="J73" s="2">
        <v>316.42862500000001</v>
      </c>
      <c r="K73" s="2"/>
      <c r="L73" s="1">
        <v>0</v>
      </c>
      <c r="M73" s="35">
        <f t="shared" si="32"/>
        <v>4001.6805000000004</v>
      </c>
      <c r="N73" s="2">
        <v>10955.524250000002</v>
      </c>
      <c r="O73" s="2">
        <v>1121.0169583333332</v>
      </c>
      <c r="P73" s="2">
        <v>976.11458333333326</v>
      </c>
      <c r="Q73" s="2"/>
      <c r="R73" s="1">
        <v>0</v>
      </c>
      <c r="S73" s="35">
        <f t="shared" si="33"/>
        <v>13052.65579166667</v>
      </c>
      <c r="T73" s="2">
        <v>0</v>
      </c>
      <c r="U73" s="2">
        <v>207.66879166666661</v>
      </c>
      <c r="V73" s="2">
        <v>1783.9055416666667</v>
      </c>
      <c r="W73" s="45">
        <f t="shared" si="23"/>
        <v>1991.5743333333335</v>
      </c>
      <c r="X73" s="2">
        <v>0</v>
      </c>
      <c r="Y73" s="2">
        <v>415</v>
      </c>
      <c r="Z73" s="2">
        <v>0</v>
      </c>
      <c r="AA73" s="45">
        <f t="shared" si="34"/>
        <v>415</v>
      </c>
      <c r="AB73" s="32"/>
      <c r="AC73" s="39">
        <v>3000</v>
      </c>
      <c r="AD73" s="40">
        <f t="shared" si="41"/>
        <v>7955.5242500000022</v>
      </c>
      <c r="AE73" s="1">
        <f t="shared" si="25"/>
        <v>10.8</v>
      </c>
      <c r="AF73" s="1">
        <f t="shared" si="26"/>
        <v>12</v>
      </c>
      <c r="AG73" s="41">
        <f t="shared" si="42"/>
        <v>11.671398655340479</v>
      </c>
      <c r="AI73">
        <v>0.9</v>
      </c>
      <c r="AJ73">
        <v>1</v>
      </c>
      <c r="AK73" s="32">
        <f t="shared" si="43"/>
        <v>10955.524250000002</v>
      </c>
      <c r="AL73" s="4">
        <f t="shared" si="44"/>
        <v>0.27383445388293487</v>
      </c>
      <c r="AM73" s="4">
        <f t="shared" si="45"/>
        <v>0.72616554611706519</v>
      </c>
    </row>
    <row r="74" spans="3:39" hidden="1" x14ac:dyDescent="0.25">
      <c r="C74" s="1">
        <f t="shared" si="20"/>
        <v>2025</v>
      </c>
      <c r="D74" s="52">
        <f>+'Fisico ASIG'!B74</f>
        <v>45962</v>
      </c>
      <c r="E74" s="1">
        <v>4</v>
      </c>
      <c r="F74" s="1" t="s">
        <v>53</v>
      </c>
      <c r="G74" s="5">
        <v>45985</v>
      </c>
      <c r="H74" s="2">
        <v>3420.9237916666675</v>
      </c>
      <c r="I74" s="2">
        <v>1006.1569583333333</v>
      </c>
      <c r="J74" s="2">
        <v>353.67154166666671</v>
      </c>
      <c r="K74" s="2"/>
      <c r="L74" s="1">
        <v>0</v>
      </c>
      <c r="M74" s="35">
        <f t="shared" si="32"/>
        <v>4780.7522916666676</v>
      </c>
      <c r="N74" s="2">
        <v>10920.432708333334</v>
      </c>
      <c r="O74" s="2">
        <v>1159.0691250000002</v>
      </c>
      <c r="P74" s="2">
        <v>935.32412499999987</v>
      </c>
      <c r="Q74" s="2"/>
      <c r="R74" s="1">
        <v>0</v>
      </c>
      <c r="S74" s="35">
        <f t="shared" si="33"/>
        <v>13014.825958333333</v>
      </c>
      <c r="T74" s="2">
        <v>0</v>
      </c>
      <c r="U74" s="2">
        <v>224.99108333333331</v>
      </c>
      <c r="V74" s="2">
        <v>1903.4884583333333</v>
      </c>
      <c r="W74" s="45">
        <f t="shared" si="23"/>
        <v>2128.4795416666666</v>
      </c>
      <c r="X74" s="2">
        <v>0</v>
      </c>
      <c r="Y74" s="2">
        <v>415</v>
      </c>
      <c r="Z74" s="2">
        <v>0</v>
      </c>
      <c r="AA74" s="45">
        <f t="shared" si="34"/>
        <v>415</v>
      </c>
      <c r="AB74" s="32"/>
      <c r="AC74" s="39">
        <v>3000</v>
      </c>
      <c r="AD74" s="40">
        <f t="shared" ref="AD74:AD80" si="46">+N74-AC74</f>
        <v>7920.4327083333337</v>
      </c>
      <c r="AE74" s="1">
        <f t="shared" si="25"/>
        <v>10.8</v>
      </c>
      <c r="AF74" s="1">
        <f t="shared" si="26"/>
        <v>12</v>
      </c>
      <c r="AG74" s="41">
        <f t="shared" ref="AG74:AG80" si="47">+(AC74*AE74+AF74*AD74)/SUM(AC74:AD74)</f>
        <v>11.670342733099499</v>
      </c>
      <c r="AI74">
        <v>0.9</v>
      </c>
      <c r="AJ74">
        <v>1</v>
      </c>
      <c r="AK74" s="32">
        <f t="shared" ref="AK74:AK80" si="48">+AC74+AD74</f>
        <v>10920.432708333334</v>
      </c>
      <c r="AL74" s="4">
        <f t="shared" ref="AL74:AL80" si="49">+AC74/AK74</f>
        <v>0.27471438908375062</v>
      </c>
      <c r="AM74" s="4">
        <f t="shared" ref="AM74:AM80" si="50">+AD74/AK74</f>
        <v>0.72528561091624943</v>
      </c>
    </row>
    <row r="75" spans="3:39" hidden="1" x14ac:dyDescent="0.25">
      <c r="C75" s="1">
        <f t="shared" si="20"/>
        <v>2025</v>
      </c>
      <c r="D75" s="52">
        <f>+'Fisico ASIG'!B75</f>
        <v>45962</v>
      </c>
      <c r="E75" s="1">
        <v>16</v>
      </c>
      <c r="F75" s="1" t="s">
        <v>54</v>
      </c>
      <c r="G75" s="5">
        <v>45986</v>
      </c>
      <c r="H75" s="2">
        <v>5561.4225416666686</v>
      </c>
      <c r="I75" s="2">
        <v>1105.7975833333333</v>
      </c>
      <c r="J75" s="2">
        <v>439.46741666666668</v>
      </c>
      <c r="K75" s="2"/>
      <c r="L75" s="1">
        <v>0</v>
      </c>
      <c r="M75" s="35">
        <f t="shared" si="32"/>
        <v>7106.687541666668</v>
      </c>
      <c r="N75" s="2">
        <v>11999.661291666665</v>
      </c>
      <c r="O75" s="2">
        <v>1158.6294583333333</v>
      </c>
      <c r="P75" s="2">
        <v>990.68116666666674</v>
      </c>
      <c r="Q75" s="2"/>
      <c r="R75" s="1">
        <v>0</v>
      </c>
      <c r="S75" s="35">
        <f t="shared" si="33"/>
        <v>14148.971916666665</v>
      </c>
      <c r="T75" s="2">
        <v>0</v>
      </c>
      <c r="U75" s="2">
        <v>365.54629166666672</v>
      </c>
      <c r="V75" s="2">
        <v>1272.8549583333336</v>
      </c>
      <c r="W75" s="45">
        <f t="shared" si="23"/>
        <v>1638.4012500000003</v>
      </c>
      <c r="X75" s="2">
        <v>0</v>
      </c>
      <c r="Y75" s="2">
        <v>415</v>
      </c>
      <c r="Z75" s="2">
        <v>0</v>
      </c>
      <c r="AA75" s="45">
        <f t="shared" si="34"/>
        <v>415</v>
      </c>
      <c r="AB75" s="32"/>
      <c r="AC75" s="39">
        <v>3000</v>
      </c>
      <c r="AD75" s="40">
        <f t="shared" si="46"/>
        <v>8999.6612916666654</v>
      </c>
      <c r="AE75" s="1">
        <f t="shared" si="25"/>
        <v>10.8</v>
      </c>
      <c r="AF75" s="1">
        <f t="shared" si="26"/>
        <v>12</v>
      </c>
      <c r="AG75" s="41">
        <f t="shared" si="47"/>
        <v>11.699991532052653</v>
      </c>
      <c r="AI75">
        <v>0.9</v>
      </c>
      <c r="AJ75">
        <v>1</v>
      </c>
      <c r="AK75" s="32">
        <f t="shared" si="48"/>
        <v>11999.661291666665</v>
      </c>
      <c r="AL75" s="4">
        <f t="shared" si="49"/>
        <v>0.25000705662278921</v>
      </c>
      <c r="AM75" s="4">
        <f t="shared" si="50"/>
        <v>0.74999294337721079</v>
      </c>
    </row>
    <row r="76" spans="3:39" hidden="1" x14ac:dyDescent="0.25">
      <c r="C76" s="1">
        <f t="shared" si="20"/>
        <v>2025</v>
      </c>
      <c r="D76" s="52">
        <f>+'Fisico ASIG'!B76</f>
        <v>45962</v>
      </c>
      <c r="E76" s="1">
        <v>16</v>
      </c>
      <c r="F76" s="1" t="s">
        <v>55</v>
      </c>
      <c r="G76" s="5">
        <v>45987</v>
      </c>
      <c r="H76" s="2">
        <v>5887.6274583333334</v>
      </c>
      <c r="I76" s="2">
        <v>905.68208333333348</v>
      </c>
      <c r="J76" s="2">
        <v>401.41995833333328</v>
      </c>
      <c r="K76" s="2"/>
      <c r="L76" s="1">
        <v>0</v>
      </c>
      <c r="M76" s="35">
        <f t="shared" si="32"/>
        <v>7194.7294999999995</v>
      </c>
      <c r="N76" s="2">
        <v>11865.62908333333</v>
      </c>
      <c r="O76" s="2">
        <v>1157.3671666666667</v>
      </c>
      <c r="P76" s="2">
        <v>990.66000000000008</v>
      </c>
      <c r="Q76" s="2"/>
      <c r="R76" s="1">
        <v>0</v>
      </c>
      <c r="S76" s="35">
        <f t="shared" si="33"/>
        <v>14013.656249999996</v>
      </c>
      <c r="T76" s="2">
        <v>0</v>
      </c>
      <c r="U76" s="2">
        <v>383.83429166666673</v>
      </c>
      <c r="V76" s="2">
        <v>1648.3396666666663</v>
      </c>
      <c r="W76" s="45">
        <f t="shared" si="23"/>
        <v>2032.1739583333331</v>
      </c>
      <c r="X76" s="2">
        <v>0</v>
      </c>
      <c r="Y76" s="2">
        <v>415</v>
      </c>
      <c r="Z76" s="2">
        <v>0</v>
      </c>
      <c r="AA76" s="45">
        <f t="shared" si="34"/>
        <v>415</v>
      </c>
      <c r="AB76" s="32"/>
      <c r="AC76" s="39">
        <v>3000</v>
      </c>
      <c r="AD76" s="40">
        <f t="shared" si="46"/>
        <v>8865.6290833333296</v>
      </c>
      <c r="AE76" s="1">
        <f t="shared" si="25"/>
        <v>10.8</v>
      </c>
      <c r="AF76" s="1">
        <f t="shared" si="26"/>
        <v>12</v>
      </c>
      <c r="AG76" s="41">
        <f t="shared" si="47"/>
        <v>11.696602685393511</v>
      </c>
      <c r="AI76">
        <v>0.9</v>
      </c>
      <c r="AJ76">
        <v>1</v>
      </c>
      <c r="AK76" s="32">
        <f t="shared" si="48"/>
        <v>11865.62908333333</v>
      </c>
      <c r="AL76" s="4">
        <f t="shared" si="49"/>
        <v>0.25283109550540833</v>
      </c>
      <c r="AM76" s="4">
        <f t="shared" si="50"/>
        <v>0.74716890449459161</v>
      </c>
    </row>
    <row r="77" spans="3:39" hidden="1" x14ac:dyDescent="0.25">
      <c r="C77" s="1">
        <f t="shared" si="20"/>
        <v>2025</v>
      </c>
      <c r="D77" s="52">
        <f>+'Fisico ASIG'!B77</f>
        <v>45962</v>
      </c>
      <c r="E77" s="1">
        <v>16</v>
      </c>
      <c r="F77" s="1" t="s">
        <v>56</v>
      </c>
      <c r="G77" s="5">
        <v>45988</v>
      </c>
      <c r="H77" s="2">
        <v>6048.6578750000035</v>
      </c>
      <c r="I77" s="2">
        <v>1249.923</v>
      </c>
      <c r="J77" s="2">
        <v>397.95795833333335</v>
      </c>
      <c r="K77" s="2"/>
      <c r="L77" s="1">
        <v>0</v>
      </c>
      <c r="M77" s="35">
        <f t="shared" si="32"/>
        <v>7696.5388333333367</v>
      </c>
      <c r="N77" s="2">
        <v>11858.915458333333</v>
      </c>
      <c r="O77" s="2">
        <v>1434.3998750000001</v>
      </c>
      <c r="P77" s="2">
        <v>990.66000000000008</v>
      </c>
      <c r="Q77" s="2"/>
      <c r="R77" s="1">
        <v>0</v>
      </c>
      <c r="S77" s="35">
        <f t="shared" si="33"/>
        <v>14283.975333333332</v>
      </c>
      <c r="T77" s="2">
        <v>0</v>
      </c>
      <c r="U77" s="2">
        <v>356.51600000000002</v>
      </c>
      <c r="V77" s="2">
        <v>1610.3118749999996</v>
      </c>
      <c r="W77" s="45">
        <f t="shared" si="23"/>
        <v>1966.8278749999997</v>
      </c>
      <c r="X77" s="2">
        <v>0</v>
      </c>
      <c r="Y77" s="2">
        <v>415</v>
      </c>
      <c r="Z77" s="2">
        <v>0</v>
      </c>
      <c r="AA77" s="45">
        <f t="shared" si="34"/>
        <v>415</v>
      </c>
      <c r="AB77" s="32"/>
      <c r="AC77" s="39">
        <v>3000</v>
      </c>
      <c r="AD77" s="40">
        <f t="shared" si="46"/>
        <v>8858.9154583333329</v>
      </c>
      <c r="AE77" s="1">
        <f t="shared" si="25"/>
        <v>10.8</v>
      </c>
      <c r="AF77" s="1">
        <f t="shared" si="26"/>
        <v>12</v>
      </c>
      <c r="AG77" s="41">
        <f t="shared" si="47"/>
        <v>11.696430924678678</v>
      </c>
      <c r="AI77">
        <v>0.9</v>
      </c>
      <c r="AJ77">
        <v>1</v>
      </c>
      <c r="AK77" s="32">
        <f t="shared" si="48"/>
        <v>11858.915458333333</v>
      </c>
      <c r="AL77" s="4">
        <f t="shared" si="49"/>
        <v>0.25297422943443632</v>
      </c>
      <c r="AM77" s="4">
        <f t="shared" si="50"/>
        <v>0.74702577056556374</v>
      </c>
    </row>
    <row r="78" spans="3:39" hidden="1" x14ac:dyDescent="0.25">
      <c r="C78" s="1">
        <f t="shared" si="20"/>
        <v>2025</v>
      </c>
      <c r="D78" s="52">
        <f>+'Fisico ASIG'!B78</f>
        <v>45962</v>
      </c>
      <c r="E78" s="1">
        <v>16</v>
      </c>
      <c r="F78" s="1" t="s">
        <v>57</v>
      </c>
      <c r="G78" s="5">
        <v>45989</v>
      </c>
      <c r="H78" s="2">
        <v>6468.2855833333333</v>
      </c>
      <c r="I78" s="2">
        <v>1220.7701666666667</v>
      </c>
      <c r="J78" s="2">
        <v>341.66604166666673</v>
      </c>
      <c r="K78" s="2"/>
      <c r="L78" s="1">
        <v>0</v>
      </c>
      <c r="M78" s="35">
        <f t="shared" si="32"/>
        <v>8030.7217916666659</v>
      </c>
      <c r="N78" s="2">
        <v>11943.278999999993</v>
      </c>
      <c r="O78" s="2">
        <v>1446.0370833333336</v>
      </c>
      <c r="P78" s="2">
        <v>985.66000000000008</v>
      </c>
      <c r="Q78" s="2"/>
      <c r="R78" s="1">
        <v>0</v>
      </c>
      <c r="S78" s="35">
        <f t="shared" si="33"/>
        <v>14374.976083333328</v>
      </c>
      <c r="T78" s="2">
        <v>0</v>
      </c>
      <c r="U78" s="2">
        <v>370.84241666666668</v>
      </c>
      <c r="V78" s="2">
        <v>1555.8849583333333</v>
      </c>
      <c r="W78" s="45">
        <f t="shared" si="23"/>
        <v>1926.7273749999999</v>
      </c>
      <c r="X78" s="2">
        <v>0</v>
      </c>
      <c r="Y78" s="2">
        <v>415</v>
      </c>
      <c r="Z78" s="2">
        <v>0</v>
      </c>
      <c r="AA78" s="45">
        <f t="shared" si="34"/>
        <v>415</v>
      </c>
      <c r="AB78" s="32"/>
      <c r="AC78" s="39">
        <v>3000</v>
      </c>
      <c r="AD78" s="40">
        <f t="shared" si="46"/>
        <v>8943.2789999999932</v>
      </c>
      <c r="AE78" s="1">
        <f t="shared" si="25"/>
        <v>10.8</v>
      </c>
      <c r="AF78" s="1">
        <f t="shared" si="26"/>
        <v>12</v>
      </c>
      <c r="AG78" s="41">
        <f t="shared" si="47"/>
        <v>11.698575240518117</v>
      </c>
      <c r="AI78">
        <v>0.9</v>
      </c>
      <c r="AJ78">
        <v>1</v>
      </c>
      <c r="AK78" s="32">
        <f t="shared" si="48"/>
        <v>11943.278999999993</v>
      </c>
      <c r="AL78" s="4">
        <f t="shared" si="49"/>
        <v>0.25118729956823427</v>
      </c>
      <c r="AM78" s="4">
        <f t="shared" si="50"/>
        <v>0.74881270043176573</v>
      </c>
    </row>
    <row r="79" spans="3:39" hidden="1" x14ac:dyDescent="0.25">
      <c r="C79" s="1">
        <f t="shared" si="20"/>
        <v>2025</v>
      </c>
      <c r="D79" s="52">
        <f>+'Fisico ASIG'!B79</f>
        <v>45962</v>
      </c>
      <c r="E79" s="1">
        <v>6</v>
      </c>
      <c r="F79" s="1" t="s">
        <v>51</v>
      </c>
      <c r="G79" s="5">
        <v>45990</v>
      </c>
      <c r="H79" s="2">
        <v>5709.7844583333344</v>
      </c>
      <c r="I79" s="2">
        <v>1262.860625</v>
      </c>
      <c r="J79" s="2">
        <v>307.31816666666668</v>
      </c>
      <c r="K79" s="2"/>
      <c r="L79" s="1">
        <v>0</v>
      </c>
      <c r="M79" s="35">
        <f t="shared" si="32"/>
        <v>7279.9632500000016</v>
      </c>
      <c r="N79" s="2">
        <v>12239.759541666666</v>
      </c>
      <c r="O79" s="2">
        <v>1492.2695000000001</v>
      </c>
      <c r="P79" s="2">
        <v>987.66000000000008</v>
      </c>
      <c r="Q79" s="2"/>
      <c r="R79" s="1">
        <v>0</v>
      </c>
      <c r="S79" s="35">
        <f t="shared" si="33"/>
        <v>14719.689041666667</v>
      </c>
      <c r="T79" s="2">
        <v>0</v>
      </c>
      <c r="U79" s="2">
        <v>263.07491666666664</v>
      </c>
      <c r="V79" s="2">
        <v>1199.8408333333334</v>
      </c>
      <c r="W79" s="45">
        <f t="shared" si="23"/>
        <v>1462.9157500000001</v>
      </c>
      <c r="X79" s="2">
        <v>0</v>
      </c>
      <c r="Y79" s="2">
        <v>471.90958333333333</v>
      </c>
      <c r="Z79" s="2">
        <v>0</v>
      </c>
      <c r="AA79" s="45">
        <f t="shared" si="34"/>
        <v>471.90958333333333</v>
      </c>
      <c r="AB79" s="32"/>
      <c r="AC79" s="39">
        <v>3000</v>
      </c>
      <c r="AD79" s="40">
        <f t="shared" si="46"/>
        <v>9239.7595416666663</v>
      </c>
      <c r="AE79" s="1">
        <f t="shared" si="25"/>
        <v>10.8</v>
      </c>
      <c r="AF79" s="1">
        <f t="shared" si="26"/>
        <v>12</v>
      </c>
      <c r="AG79" s="41">
        <f t="shared" si="47"/>
        <v>11.705876574801584</v>
      </c>
      <c r="AI79">
        <v>0.9</v>
      </c>
      <c r="AJ79">
        <v>1</v>
      </c>
      <c r="AK79" s="32">
        <f t="shared" si="48"/>
        <v>12239.759541666666</v>
      </c>
      <c r="AL79" s="4">
        <f t="shared" si="49"/>
        <v>0.24510285433201373</v>
      </c>
      <c r="AM79" s="4">
        <f t="shared" si="50"/>
        <v>0.75489714566798627</v>
      </c>
    </row>
    <row r="80" spans="3:39" hidden="1" x14ac:dyDescent="0.25">
      <c r="C80" s="1">
        <f t="shared" si="20"/>
        <v>2025</v>
      </c>
      <c r="D80" s="52">
        <f>+'Fisico ASIG'!B80</f>
        <v>45962</v>
      </c>
      <c r="E80" s="1">
        <v>4</v>
      </c>
      <c r="F80" s="1" t="s">
        <v>52</v>
      </c>
      <c r="G80" s="5">
        <v>45991</v>
      </c>
      <c r="H80" s="2">
        <v>4578.4019166666658</v>
      </c>
      <c r="I80" s="2">
        <v>1019.1514583333334</v>
      </c>
      <c r="J80" s="2">
        <v>311.77829166666669</v>
      </c>
      <c r="K80" s="2"/>
      <c r="L80" s="1">
        <v>0</v>
      </c>
      <c r="M80" s="35">
        <f t="shared" si="32"/>
        <v>5909.331666666666</v>
      </c>
      <c r="N80" s="2">
        <v>11775.283833333337</v>
      </c>
      <c r="O80" s="2">
        <v>1381.0685416666668</v>
      </c>
      <c r="P80" s="2">
        <v>987.6960416666667</v>
      </c>
      <c r="Q80" s="2"/>
      <c r="R80" s="1">
        <v>0</v>
      </c>
      <c r="S80" s="35">
        <f t="shared" si="33"/>
        <v>14144.04841666667</v>
      </c>
      <c r="T80" s="2">
        <v>0</v>
      </c>
      <c r="U80" s="2">
        <v>230.46375000000009</v>
      </c>
      <c r="V80" s="2">
        <v>1122.2257916666665</v>
      </c>
      <c r="W80" s="45">
        <f t="shared" si="23"/>
        <v>1352.6895416666666</v>
      </c>
      <c r="X80" s="2">
        <v>0</v>
      </c>
      <c r="Y80" s="2">
        <v>525</v>
      </c>
      <c r="Z80" s="2">
        <v>0</v>
      </c>
      <c r="AA80" s="45">
        <f t="shared" si="34"/>
        <v>525</v>
      </c>
      <c r="AB80" s="32"/>
      <c r="AC80" s="39">
        <v>3000</v>
      </c>
      <c r="AD80" s="40">
        <f t="shared" si="46"/>
        <v>8775.2838333333366</v>
      </c>
      <c r="AE80" s="1">
        <f t="shared" si="25"/>
        <v>10.8</v>
      </c>
      <c r="AF80" s="1">
        <f t="shared" si="26"/>
        <v>12</v>
      </c>
      <c r="AG80" s="41">
        <f t="shared" si="47"/>
        <v>11.694274885348483</v>
      </c>
      <c r="AI80">
        <v>0.9</v>
      </c>
      <c r="AJ80">
        <v>1</v>
      </c>
      <c r="AK80" s="32">
        <f t="shared" si="48"/>
        <v>11775.283833333337</v>
      </c>
      <c r="AL80" s="4">
        <f t="shared" si="49"/>
        <v>0.25477092887626496</v>
      </c>
      <c r="AM80" s="4">
        <f t="shared" si="50"/>
        <v>0.74522907112373504</v>
      </c>
    </row>
    <row r="81" spans="3:39" hidden="1" x14ac:dyDescent="0.25">
      <c r="C81" s="1">
        <f t="shared" si="20"/>
        <v>2025</v>
      </c>
      <c r="D81" s="52">
        <f>+'Fisico ASIG'!B81</f>
        <v>45992</v>
      </c>
      <c r="E81" s="1">
        <v>16</v>
      </c>
      <c r="F81" s="1" t="s">
        <v>53</v>
      </c>
      <c r="G81" s="5">
        <v>45992</v>
      </c>
      <c r="H81" s="2">
        <v>5376.7846249999993</v>
      </c>
      <c r="I81" s="2">
        <v>463.0749166666667</v>
      </c>
      <c r="J81" s="2">
        <v>349.91420833333336</v>
      </c>
      <c r="K81" s="2"/>
      <c r="L81" s="1">
        <v>0</v>
      </c>
      <c r="M81" s="35">
        <f t="shared" si="32"/>
        <v>6189.7737499999994</v>
      </c>
      <c r="N81" s="2">
        <v>12114.549416666661</v>
      </c>
      <c r="O81" s="2">
        <v>1005.1452499999997</v>
      </c>
      <c r="P81" s="2">
        <v>990.66000000000008</v>
      </c>
      <c r="Q81" s="2"/>
      <c r="R81" s="1">
        <v>0</v>
      </c>
      <c r="S81" s="35">
        <f t="shared" si="33"/>
        <v>14110.354666666661</v>
      </c>
      <c r="T81" s="2">
        <v>0</v>
      </c>
      <c r="U81" s="2">
        <v>407.88124999999997</v>
      </c>
      <c r="V81" s="2">
        <v>804.1581249999997</v>
      </c>
      <c r="W81" s="45">
        <f t="shared" si="23"/>
        <v>1212.0393749999996</v>
      </c>
      <c r="X81" s="2">
        <v>0</v>
      </c>
      <c r="Y81" s="2">
        <v>525</v>
      </c>
      <c r="Z81" s="2">
        <v>0</v>
      </c>
      <c r="AA81" s="45">
        <f t="shared" si="34"/>
        <v>525</v>
      </c>
      <c r="AC81" s="39">
        <v>3000</v>
      </c>
      <c r="AD81" s="40">
        <f t="shared" ref="AD81:AD88" si="51">+N81-AC81</f>
        <v>9114.5494166666613</v>
      </c>
      <c r="AE81" s="1">
        <f t="shared" si="25"/>
        <v>13.200000000000001</v>
      </c>
      <c r="AF81" s="1">
        <f t="shared" si="26"/>
        <v>18</v>
      </c>
      <c r="AG81" s="41">
        <f t="shared" ref="AG81:AG88" si="52">+(AC81*AE81+AF81*AD81)/SUM(AC81:AD81)</f>
        <v>16.811346629187124</v>
      </c>
      <c r="AI81">
        <v>1.1000000000000001</v>
      </c>
      <c r="AJ81">
        <v>1.5</v>
      </c>
      <c r="AK81" s="32">
        <f t="shared" ref="AK81:AK88" si="53">+AC81+AD81</f>
        <v>12114.549416666661</v>
      </c>
      <c r="AL81" s="4">
        <f t="shared" ref="AL81:AL88" si="54">+AC81/AK81</f>
        <v>0.24763611891934939</v>
      </c>
      <c r="AM81" s="4">
        <f t="shared" ref="AM81:AM88" si="55">+AD81/AK81</f>
        <v>0.75236388108065066</v>
      </c>
    </row>
    <row r="82" spans="3:39" hidden="1" x14ac:dyDescent="0.25">
      <c r="C82" s="1">
        <f t="shared" si="20"/>
        <v>2025</v>
      </c>
      <c r="D82" s="52">
        <f>+'Fisico ASIG'!B82</f>
        <v>45992</v>
      </c>
      <c r="E82" s="1">
        <v>16</v>
      </c>
      <c r="F82" s="1" t="s">
        <v>54</v>
      </c>
      <c r="G82" s="5">
        <v>45993</v>
      </c>
      <c r="H82" s="2">
        <v>5806.4935416666667</v>
      </c>
      <c r="I82" s="2">
        <v>507.64500000000004</v>
      </c>
      <c r="J82" s="2">
        <v>363.61366666666675</v>
      </c>
      <c r="K82" s="2"/>
      <c r="L82" s="1">
        <v>0</v>
      </c>
      <c r="M82" s="35">
        <f t="shared" si="32"/>
        <v>6677.7522083333342</v>
      </c>
      <c r="N82" s="2">
        <v>11790.104166666664</v>
      </c>
      <c r="O82" s="2">
        <v>1123.9960833333332</v>
      </c>
      <c r="P82" s="2">
        <v>991.05725000000007</v>
      </c>
      <c r="Q82" s="2"/>
      <c r="R82" s="1">
        <v>0</v>
      </c>
      <c r="S82" s="35">
        <f t="shared" si="33"/>
        <v>13905.157499999998</v>
      </c>
      <c r="T82" s="2">
        <v>0</v>
      </c>
      <c r="U82" s="2">
        <v>266.423</v>
      </c>
      <c r="V82" s="2">
        <v>1125.7110833333329</v>
      </c>
      <c r="W82" s="45">
        <f t="shared" si="23"/>
        <v>1392.1340833333329</v>
      </c>
      <c r="X82" s="2">
        <v>0</v>
      </c>
      <c r="Y82" s="2">
        <v>525</v>
      </c>
      <c r="Z82" s="2">
        <v>0</v>
      </c>
      <c r="AA82" s="45">
        <f t="shared" si="34"/>
        <v>525</v>
      </c>
      <c r="AC82" s="39">
        <v>3000</v>
      </c>
      <c r="AD82" s="40">
        <f t="shared" si="51"/>
        <v>8790.1041666666642</v>
      </c>
      <c r="AE82" s="1">
        <f t="shared" si="25"/>
        <v>13.200000000000001</v>
      </c>
      <c r="AF82" s="1">
        <f t="shared" si="26"/>
        <v>18</v>
      </c>
      <c r="AG82" s="41">
        <f t="shared" si="52"/>
        <v>16.77863674515174</v>
      </c>
      <c r="AI82">
        <v>1.1000000000000001</v>
      </c>
      <c r="AJ82">
        <v>1.5</v>
      </c>
      <c r="AK82" s="32">
        <f t="shared" si="53"/>
        <v>11790.104166666664</v>
      </c>
      <c r="AL82" s="4">
        <f t="shared" si="54"/>
        <v>0.25445067809338701</v>
      </c>
      <c r="AM82" s="4">
        <f t="shared" si="55"/>
        <v>0.74554932190661305</v>
      </c>
    </row>
    <row r="83" spans="3:39" hidden="1" x14ac:dyDescent="0.25">
      <c r="C83" s="1">
        <f t="shared" si="20"/>
        <v>2025</v>
      </c>
      <c r="D83" s="52">
        <f>+'Fisico ASIG'!B83</f>
        <v>45992</v>
      </c>
      <c r="E83" s="1">
        <v>16</v>
      </c>
      <c r="F83" s="1" t="s">
        <v>55</v>
      </c>
      <c r="G83" s="5">
        <v>45994</v>
      </c>
      <c r="H83" s="2">
        <v>6116.5963333333311</v>
      </c>
      <c r="I83" s="2">
        <v>698.22291666666672</v>
      </c>
      <c r="J83" s="2">
        <v>397.52108333333331</v>
      </c>
      <c r="K83" s="2"/>
      <c r="L83" s="1">
        <v>0</v>
      </c>
      <c r="M83" s="35">
        <f t="shared" si="32"/>
        <v>7212.3403333333308</v>
      </c>
      <c r="N83" s="2">
        <v>11245.043833333337</v>
      </c>
      <c r="O83" s="2">
        <v>1231.5662916666665</v>
      </c>
      <c r="P83" s="2">
        <v>991.66000000000008</v>
      </c>
      <c r="Q83" s="2"/>
      <c r="R83" s="1">
        <v>0</v>
      </c>
      <c r="S83" s="35">
        <f t="shared" si="33"/>
        <v>13468.270125000003</v>
      </c>
      <c r="T83" s="2">
        <v>0</v>
      </c>
      <c r="U83" s="2">
        <v>282.37012500000003</v>
      </c>
      <c r="V83" s="2">
        <v>1416.47325</v>
      </c>
      <c r="W83" s="45">
        <f t="shared" si="23"/>
        <v>1698.8433749999999</v>
      </c>
      <c r="X83" s="2">
        <v>0</v>
      </c>
      <c r="Y83" s="2">
        <v>525</v>
      </c>
      <c r="Z83" s="2">
        <v>0</v>
      </c>
      <c r="AA83" s="45">
        <f t="shared" si="34"/>
        <v>525</v>
      </c>
      <c r="AC83" s="39">
        <v>3000</v>
      </c>
      <c r="AD83" s="40">
        <f t="shared" si="51"/>
        <v>8245.0438333333368</v>
      </c>
      <c r="AE83" s="1">
        <f t="shared" si="25"/>
        <v>13.200000000000001</v>
      </c>
      <c r="AF83" s="1">
        <f t="shared" si="26"/>
        <v>18</v>
      </c>
      <c r="AG83" s="41">
        <f t="shared" si="52"/>
        <v>16.719435849835058</v>
      </c>
      <c r="AI83">
        <v>1.1000000000000001</v>
      </c>
      <c r="AJ83">
        <v>1.5</v>
      </c>
      <c r="AK83" s="32">
        <f t="shared" si="53"/>
        <v>11245.043833333337</v>
      </c>
      <c r="AL83" s="4">
        <f t="shared" si="54"/>
        <v>0.26678419795102909</v>
      </c>
      <c r="AM83" s="4">
        <f t="shared" si="55"/>
        <v>0.73321580204897085</v>
      </c>
    </row>
    <row r="84" spans="3:39" hidden="1" x14ac:dyDescent="0.25">
      <c r="C84" s="1">
        <f t="shared" si="20"/>
        <v>2025</v>
      </c>
      <c r="D84" s="52">
        <f>+'Fisico ASIG'!B84</f>
        <v>45992</v>
      </c>
      <c r="E84" s="1">
        <v>16</v>
      </c>
      <c r="F84" s="1" t="s">
        <v>56</v>
      </c>
      <c r="G84" s="5">
        <v>45995</v>
      </c>
      <c r="H84" s="2">
        <v>6648.795874999998</v>
      </c>
      <c r="I84" s="2">
        <v>793.36433333333332</v>
      </c>
      <c r="J84" s="2">
        <v>442.45295833333336</v>
      </c>
      <c r="K84" s="2"/>
      <c r="L84" s="1">
        <v>0</v>
      </c>
      <c r="M84" s="35">
        <f t="shared" si="32"/>
        <v>7884.6131666666643</v>
      </c>
      <c r="N84" s="2">
        <v>11181.850916666672</v>
      </c>
      <c r="O84" s="2">
        <v>1200.9342083333333</v>
      </c>
      <c r="P84" s="2">
        <v>991.66000000000008</v>
      </c>
      <c r="Q84" s="2"/>
      <c r="R84" s="1">
        <v>0</v>
      </c>
      <c r="S84" s="35">
        <f t="shared" si="33"/>
        <v>13374.445125000006</v>
      </c>
      <c r="T84" s="2">
        <v>0</v>
      </c>
      <c r="U84" s="2">
        <v>419.63670833333327</v>
      </c>
      <c r="V84" s="2">
        <v>1632.2857500000002</v>
      </c>
      <c r="W84" s="45">
        <f t="shared" si="23"/>
        <v>2051.9224583333335</v>
      </c>
      <c r="X84" s="2">
        <v>0</v>
      </c>
      <c r="Y84" s="2">
        <v>525</v>
      </c>
      <c r="Z84" s="2">
        <v>0</v>
      </c>
      <c r="AA84" s="45">
        <f t="shared" si="34"/>
        <v>525</v>
      </c>
      <c r="AC84" s="39">
        <v>3000</v>
      </c>
      <c r="AD84" s="40">
        <f t="shared" si="51"/>
        <v>8181.8509166666718</v>
      </c>
      <c r="AE84" s="1">
        <f t="shared" si="25"/>
        <v>13.200000000000001</v>
      </c>
      <c r="AF84" s="1">
        <f t="shared" si="26"/>
        <v>18</v>
      </c>
      <c r="AG84" s="41">
        <f t="shared" si="52"/>
        <v>16.712198891997691</v>
      </c>
      <c r="AI84">
        <v>1.1000000000000001</v>
      </c>
      <c r="AJ84">
        <v>1.5</v>
      </c>
      <c r="AK84" s="32">
        <f t="shared" si="53"/>
        <v>11181.850916666672</v>
      </c>
      <c r="AL84" s="4">
        <f t="shared" si="54"/>
        <v>0.26829189750048149</v>
      </c>
      <c r="AM84" s="4">
        <f t="shared" si="55"/>
        <v>0.73170810249951845</v>
      </c>
    </row>
    <row r="85" spans="3:39" hidden="1" x14ac:dyDescent="0.25">
      <c r="C85" s="1">
        <f t="shared" ref="C85:C117" si="56">YEAR(G85)</f>
        <v>2025</v>
      </c>
      <c r="D85" s="52">
        <f>+'Fisico ASIG'!B85</f>
        <v>45992</v>
      </c>
      <c r="E85" s="1">
        <v>16</v>
      </c>
      <c r="F85" s="1" t="s">
        <v>57</v>
      </c>
      <c r="G85" s="5">
        <v>45996</v>
      </c>
      <c r="H85" s="2">
        <v>7243.5381666666644</v>
      </c>
      <c r="I85" s="2">
        <v>786.63725000000011</v>
      </c>
      <c r="J85" s="2">
        <v>396.56141666666673</v>
      </c>
      <c r="K85" s="2"/>
      <c r="L85" s="1">
        <v>0</v>
      </c>
      <c r="M85" s="35">
        <f t="shared" si="32"/>
        <v>8426.7368333333307</v>
      </c>
      <c r="N85" s="2">
        <v>12007.342583333333</v>
      </c>
      <c r="O85" s="2">
        <v>1177.3520416666665</v>
      </c>
      <c r="P85" s="2">
        <v>986.66000000000008</v>
      </c>
      <c r="Q85" s="2"/>
      <c r="R85" s="1">
        <v>0</v>
      </c>
      <c r="S85" s="35">
        <f t="shared" si="33"/>
        <v>14171.354625</v>
      </c>
      <c r="T85" s="2">
        <v>0</v>
      </c>
      <c r="U85" s="2">
        <v>323.84787499999999</v>
      </c>
      <c r="V85" s="2">
        <v>1490.2843750000004</v>
      </c>
      <c r="W85" s="45">
        <f t="shared" ref="W85:W148" si="57">SUM(T85:V85)</f>
        <v>1814.1322500000003</v>
      </c>
      <c r="X85" s="2">
        <v>0</v>
      </c>
      <c r="Y85" s="2">
        <v>525</v>
      </c>
      <c r="Z85" s="2">
        <v>0</v>
      </c>
      <c r="AA85" s="45">
        <f t="shared" si="34"/>
        <v>525</v>
      </c>
      <c r="AC85" s="39">
        <v>3000</v>
      </c>
      <c r="AD85" s="40">
        <f t="shared" si="51"/>
        <v>9007.3425833333331</v>
      </c>
      <c r="AE85" s="1">
        <f t="shared" ref="AE85:AE88" si="58">12*AI85</f>
        <v>13.200000000000001</v>
      </c>
      <c r="AF85" s="1">
        <f t="shared" ref="AF85:AF88" si="59">12*AJ85</f>
        <v>18</v>
      </c>
      <c r="AG85" s="41">
        <f t="shared" si="52"/>
        <v>16.800733809328655</v>
      </c>
      <c r="AI85">
        <v>1.1000000000000001</v>
      </c>
      <c r="AJ85">
        <v>1.5</v>
      </c>
      <c r="AK85" s="32">
        <f t="shared" si="53"/>
        <v>12007.342583333333</v>
      </c>
      <c r="AL85" s="4">
        <f t="shared" si="54"/>
        <v>0.24984712305653031</v>
      </c>
      <c r="AM85" s="4">
        <f t="shared" si="55"/>
        <v>0.75015287694346966</v>
      </c>
    </row>
    <row r="86" spans="3:39" hidden="1" x14ac:dyDescent="0.25">
      <c r="C86" s="1">
        <f t="shared" si="56"/>
        <v>2025</v>
      </c>
      <c r="D86" s="52">
        <f>+'Fisico ASIG'!B86</f>
        <v>45992</v>
      </c>
      <c r="E86" s="1">
        <v>6</v>
      </c>
      <c r="F86" s="1" t="s">
        <v>51</v>
      </c>
      <c r="G86" s="5">
        <v>45997</v>
      </c>
      <c r="H86" s="2">
        <v>6620.9236666666684</v>
      </c>
      <c r="I86" s="2">
        <v>719.26087499999994</v>
      </c>
      <c r="J86" s="2">
        <v>342.445875</v>
      </c>
      <c r="K86" s="2"/>
      <c r="L86" s="1">
        <v>0</v>
      </c>
      <c r="M86" s="35">
        <f t="shared" si="32"/>
        <v>7682.6304166666687</v>
      </c>
      <c r="N86" s="2">
        <v>11337.525125000004</v>
      </c>
      <c r="O86" s="2">
        <v>1014.8922083333333</v>
      </c>
      <c r="P86" s="2">
        <v>983.66000000000008</v>
      </c>
      <c r="Q86" s="2"/>
      <c r="R86" s="1">
        <v>0</v>
      </c>
      <c r="S86" s="35">
        <f t="shared" si="33"/>
        <v>13336.077333333336</v>
      </c>
      <c r="T86" s="2">
        <v>0</v>
      </c>
      <c r="U86" s="2">
        <v>428.45387499999998</v>
      </c>
      <c r="V86" s="2">
        <v>1065.3023750000002</v>
      </c>
      <c r="W86" s="45">
        <f t="shared" si="57"/>
        <v>1493.7562500000001</v>
      </c>
      <c r="X86" s="2">
        <v>0</v>
      </c>
      <c r="Y86" s="2">
        <v>525</v>
      </c>
      <c r="Z86" s="2">
        <v>0</v>
      </c>
      <c r="AA86" s="45">
        <f t="shared" si="34"/>
        <v>525</v>
      </c>
      <c r="AC86" s="39">
        <v>3000</v>
      </c>
      <c r="AD86" s="40">
        <f t="shared" si="51"/>
        <v>8337.5251250000038</v>
      </c>
      <c r="AE86" s="1">
        <f t="shared" si="58"/>
        <v>13.200000000000001</v>
      </c>
      <c r="AF86" s="1">
        <f t="shared" si="59"/>
        <v>18</v>
      </c>
      <c r="AG86" s="41">
        <f t="shared" si="52"/>
        <v>16.729881535764182</v>
      </c>
      <c r="AI86">
        <v>1.1000000000000001</v>
      </c>
      <c r="AJ86">
        <v>1.5</v>
      </c>
      <c r="AK86" s="32">
        <f t="shared" si="53"/>
        <v>11337.525125000004</v>
      </c>
      <c r="AL86" s="4">
        <f t="shared" si="54"/>
        <v>0.26460801338246198</v>
      </c>
      <c r="AM86" s="4">
        <f t="shared" si="55"/>
        <v>0.73539198661753802</v>
      </c>
    </row>
    <row r="87" spans="3:39" hidden="1" x14ac:dyDescent="0.25">
      <c r="C87" s="1">
        <f t="shared" si="56"/>
        <v>2025</v>
      </c>
      <c r="D87" s="52">
        <f>+'Fisico ASIG'!B87</f>
        <v>45992</v>
      </c>
      <c r="E87" s="1">
        <v>4</v>
      </c>
      <c r="F87" s="1" t="s">
        <v>52</v>
      </c>
      <c r="G87" s="5">
        <v>45998</v>
      </c>
      <c r="H87" s="2">
        <v>4984.4497916666669</v>
      </c>
      <c r="I87" s="2">
        <v>589.93408333333343</v>
      </c>
      <c r="J87" s="2">
        <v>305.65604166666668</v>
      </c>
      <c r="K87" s="2"/>
      <c r="L87" s="1">
        <v>0</v>
      </c>
      <c r="M87" s="35">
        <f t="shared" si="32"/>
        <v>5880.0399166666675</v>
      </c>
      <c r="N87" s="2">
        <v>11784.659166666666</v>
      </c>
      <c r="O87" s="2">
        <v>920.25274999999988</v>
      </c>
      <c r="P87" s="2">
        <v>984.13995833333342</v>
      </c>
      <c r="Q87" s="2"/>
      <c r="R87" s="1">
        <v>0</v>
      </c>
      <c r="S87" s="35">
        <f t="shared" si="33"/>
        <v>13689.051874999999</v>
      </c>
      <c r="T87" s="2">
        <v>0</v>
      </c>
      <c r="U87" s="2">
        <v>334.77445833333337</v>
      </c>
      <c r="V87" s="2">
        <v>757.16516666666666</v>
      </c>
      <c r="W87" s="45">
        <f t="shared" si="57"/>
        <v>1091.939625</v>
      </c>
      <c r="X87" s="2">
        <v>0</v>
      </c>
      <c r="Y87" s="2">
        <v>525</v>
      </c>
      <c r="Z87" s="2">
        <v>0</v>
      </c>
      <c r="AA87" s="45">
        <f t="shared" si="34"/>
        <v>525</v>
      </c>
      <c r="AC87" s="39">
        <v>3000</v>
      </c>
      <c r="AD87" s="40">
        <f t="shared" si="51"/>
        <v>8784.6591666666664</v>
      </c>
      <c r="AE87" s="1">
        <f t="shared" si="58"/>
        <v>13.200000000000001</v>
      </c>
      <c r="AF87" s="1">
        <f t="shared" si="59"/>
        <v>18</v>
      </c>
      <c r="AG87" s="41">
        <f t="shared" si="52"/>
        <v>16.778072424807082</v>
      </c>
      <c r="AI87">
        <v>1.1000000000000001</v>
      </c>
      <c r="AJ87">
        <v>1.5</v>
      </c>
      <c r="AK87" s="32">
        <f t="shared" si="53"/>
        <v>11784.659166666666</v>
      </c>
      <c r="AL87" s="4">
        <f t="shared" si="54"/>
        <v>0.25456824483185803</v>
      </c>
      <c r="AM87" s="4">
        <f t="shared" si="55"/>
        <v>0.74543175516814197</v>
      </c>
    </row>
    <row r="88" spans="3:39" hidden="1" x14ac:dyDescent="0.25">
      <c r="C88" s="1">
        <f t="shared" si="56"/>
        <v>2025</v>
      </c>
      <c r="D88" s="52">
        <f>+'Fisico ASIG'!B88</f>
        <v>45992</v>
      </c>
      <c r="E88" s="1">
        <v>4</v>
      </c>
      <c r="F88" s="1" t="s">
        <v>53</v>
      </c>
      <c r="G88" s="5">
        <v>45999</v>
      </c>
      <c r="H88" s="2">
        <v>4923.9359166666654</v>
      </c>
      <c r="I88" s="2">
        <v>576.54837500000008</v>
      </c>
      <c r="J88" s="2">
        <v>273.61766666666671</v>
      </c>
      <c r="K88" s="2"/>
      <c r="L88" s="1">
        <v>0</v>
      </c>
      <c r="M88" s="35">
        <f t="shared" si="32"/>
        <v>5774.1019583333327</v>
      </c>
      <c r="N88" s="2">
        <v>12267.587958333332</v>
      </c>
      <c r="O88" s="2">
        <v>1169.502583333333</v>
      </c>
      <c r="P88" s="2">
        <v>936.49533333333341</v>
      </c>
      <c r="Q88" s="2"/>
      <c r="R88" s="1">
        <v>0</v>
      </c>
      <c r="S88" s="35">
        <f t="shared" si="33"/>
        <v>14373.585874999999</v>
      </c>
      <c r="T88" s="2">
        <v>0</v>
      </c>
      <c r="U88" s="2">
        <v>238.20620833333339</v>
      </c>
      <c r="V88" s="2">
        <v>1009.8657916666671</v>
      </c>
      <c r="W88" s="45">
        <f t="shared" si="57"/>
        <v>1248.0720000000006</v>
      </c>
      <c r="X88" s="2">
        <v>0</v>
      </c>
      <c r="Y88" s="2">
        <v>525</v>
      </c>
      <c r="Z88" s="2">
        <v>0</v>
      </c>
      <c r="AA88" s="45">
        <f t="shared" si="34"/>
        <v>525</v>
      </c>
      <c r="AC88" s="39">
        <v>3000</v>
      </c>
      <c r="AD88" s="40">
        <f t="shared" si="51"/>
        <v>9267.5879583333317</v>
      </c>
      <c r="AE88" s="1">
        <f t="shared" si="58"/>
        <v>13.200000000000001</v>
      </c>
      <c r="AF88" s="1">
        <f t="shared" si="59"/>
        <v>18</v>
      </c>
      <c r="AG88" s="41">
        <f t="shared" si="52"/>
        <v>16.826175116990449</v>
      </c>
      <c r="AI88">
        <v>1.1000000000000001</v>
      </c>
      <c r="AJ88">
        <v>1.5</v>
      </c>
      <c r="AK88" s="32">
        <f t="shared" si="53"/>
        <v>12267.587958333332</v>
      </c>
      <c r="AL88" s="4">
        <f t="shared" si="54"/>
        <v>0.2445468506269898</v>
      </c>
      <c r="AM88" s="4">
        <f t="shared" si="55"/>
        <v>0.75545314937301022</v>
      </c>
    </row>
    <row r="89" spans="3:39" hidden="1" x14ac:dyDescent="0.25">
      <c r="C89" s="1">
        <f t="shared" si="56"/>
        <v>2025</v>
      </c>
      <c r="D89" s="52">
        <f>+'Fisico ASIG'!B89</f>
        <v>45992</v>
      </c>
      <c r="E89" s="1">
        <v>16</v>
      </c>
      <c r="F89" s="1" t="s">
        <v>54</v>
      </c>
      <c r="G89" s="5">
        <v>46000</v>
      </c>
      <c r="H89" s="2">
        <v>5658.0073749999974</v>
      </c>
      <c r="I89" s="2">
        <v>592.79475000000002</v>
      </c>
      <c r="J89" s="2">
        <v>304.76541666666668</v>
      </c>
      <c r="K89" s="2"/>
      <c r="L89" s="1">
        <v>0</v>
      </c>
      <c r="M89" s="35">
        <f t="shared" si="32"/>
        <v>6555.5675416666645</v>
      </c>
      <c r="N89" s="2">
        <v>12253.627666666671</v>
      </c>
      <c r="O89" s="2">
        <v>1325.1090833333333</v>
      </c>
      <c r="P89" s="2">
        <v>984.39841666666666</v>
      </c>
      <c r="Q89" s="2"/>
      <c r="R89" s="1">
        <v>0</v>
      </c>
      <c r="S89" s="35">
        <f t="shared" si="33"/>
        <v>14563.135166666671</v>
      </c>
      <c r="T89" s="2">
        <v>0</v>
      </c>
      <c r="U89" s="2">
        <v>188.76675</v>
      </c>
      <c r="V89" s="2">
        <v>1172.0859583333336</v>
      </c>
      <c r="W89" s="45">
        <f t="shared" si="57"/>
        <v>1360.8527083333336</v>
      </c>
      <c r="X89" s="2">
        <v>0</v>
      </c>
      <c r="Y89" s="2">
        <v>525</v>
      </c>
      <c r="Z89" s="2">
        <v>0</v>
      </c>
      <c r="AA89" s="45">
        <f t="shared" si="34"/>
        <v>525</v>
      </c>
      <c r="AC89" s="39">
        <v>3000</v>
      </c>
      <c r="AD89" s="40">
        <f t="shared" ref="AD89:AD95" si="60">+N89-AC89</f>
        <v>9253.6276666666708</v>
      </c>
      <c r="AE89" s="1">
        <f t="shared" ref="AE89:AE95" si="61">12*AI89</f>
        <v>13.200000000000001</v>
      </c>
      <c r="AF89" s="1">
        <f t="shared" ref="AF89:AF95" si="62">12*AJ89</f>
        <v>18</v>
      </c>
      <c r="AG89" s="41">
        <f t="shared" ref="AG89:AG95" si="63">+(AC89*AE89+AF89*AD89)/SUM(AC89:AD89)</f>
        <v>16.82483780381445</v>
      </c>
      <c r="AI89">
        <v>1.1000000000000001</v>
      </c>
      <c r="AJ89">
        <v>1.5</v>
      </c>
      <c r="AK89" s="32">
        <f t="shared" ref="AK89:AK95" si="64">+AC89+AD89</f>
        <v>12253.627666666671</v>
      </c>
      <c r="AL89" s="4">
        <f t="shared" ref="AL89:AL95" si="65">+AC89/AK89</f>
        <v>0.24482545753865589</v>
      </c>
      <c r="AM89" s="4">
        <f t="shared" ref="AM89:AM95" si="66">+AD89/AK89</f>
        <v>0.75517454246134408</v>
      </c>
    </row>
    <row r="90" spans="3:39" hidden="1" x14ac:dyDescent="0.25">
      <c r="C90" s="1">
        <f t="shared" si="56"/>
        <v>2025</v>
      </c>
      <c r="D90" s="52">
        <f>+'Fisico ASIG'!B90</f>
        <v>45992</v>
      </c>
      <c r="E90" s="1">
        <v>16</v>
      </c>
      <c r="F90" s="1" t="s">
        <v>55</v>
      </c>
      <c r="G90" s="5">
        <v>46001</v>
      </c>
      <c r="H90" s="2">
        <v>6457.6656666666668</v>
      </c>
      <c r="I90" s="2">
        <v>751.5687916666667</v>
      </c>
      <c r="J90" s="2">
        <v>347.62237500000003</v>
      </c>
      <c r="K90" s="2"/>
      <c r="L90" s="1">
        <v>0</v>
      </c>
      <c r="M90" s="35">
        <f t="shared" si="32"/>
        <v>7556.8568333333333</v>
      </c>
      <c r="N90" s="2">
        <v>12320.577458333337</v>
      </c>
      <c r="O90" s="2">
        <v>1168.8230416666665</v>
      </c>
      <c r="P90" s="2">
        <v>983.92900000000009</v>
      </c>
      <c r="Q90" s="2"/>
      <c r="R90" s="1">
        <v>0</v>
      </c>
      <c r="S90" s="35">
        <f t="shared" si="33"/>
        <v>14473.329500000003</v>
      </c>
      <c r="T90" s="2">
        <v>0</v>
      </c>
      <c r="U90" s="2">
        <v>191.53829166666665</v>
      </c>
      <c r="V90" s="2">
        <v>1147.2692916666665</v>
      </c>
      <c r="W90" s="45">
        <f t="shared" si="57"/>
        <v>1338.8075833333332</v>
      </c>
      <c r="X90" s="2">
        <v>0</v>
      </c>
      <c r="Y90" s="2">
        <v>525</v>
      </c>
      <c r="Z90" s="2">
        <v>0</v>
      </c>
      <c r="AA90" s="45">
        <f t="shared" si="34"/>
        <v>525</v>
      </c>
      <c r="AC90" s="39">
        <v>3000</v>
      </c>
      <c r="AD90" s="40">
        <f t="shared" si="60"/>
        <v>9320.5774583333368</v>
      </c>
      <c r="AE90" s="1">
        <f t="shared" si="61"/>
        <v>13.200000000000001</v>
      </c>
      <c r="AF90" s="1">
        <f t="shared" si="62"/>
        <v>18</v>
      </c>
      <c r="AG90" s="41">
        <f t="shared" si="63"/>
        <v>16.831223613609101</v>
      </c>
      <c r="AI90">
        <v>1.1000000000000001</v>
      </c>
      <c r="AJ90">
        <v>1.5</v>
      </c>
      <c r="AK90" s="32">
        <f t="shared" si="64"/>
        <v>12320.577458333337</v>
      </c>
      <c r="AL90" s="4">
        <f t="shared" si="65"/>
        <v>0.24349508049810389</v>
      </c>
      <c r="AM90" s="4">
        <f t="shared" si="66"/>
        <v>0.75650491950189613</v>
      </c>
    </row>
    <row r="91" spans="3:39" hidden="1" x14ac:dyDescent="0.25">
      <c r="C91" s="1">
        <f t="shared" si="56"/>
        <v>2025</v>
      </c>
      <c r="D91" s="52">
        <f>+'Fisico ASIG'!B91</f>
        <v>45992</v>
      </c>
      <c r="E91" s="1">
        <v>16</v>
      </c>
      <c r="F91" s="1" t="s">
        <v>56</v>
      </c>
      <c r="G91" s="5">
        <v>46002</v>
      </c>
      <c r="H91" s="2">
        <v>6618.6329166666683</v>
      </c>
      <c r="I91" s="2">
        <v>864.0944166666668</v>
      </c>
      <c r="J91" s="2">
        <v>354.23474999999996</v>
      </c>
      <c r="K91" s="2"/>
      <c r="L91" s="1">
        <v>0</v>
      </c>
      <c r="M91" s="35">
        <f t="shared" si="32"/>
        <v>7836.9620833333347</v>
      </c>
      <c r="N91" s="2">
        <v>12390.103708333334</v>
      </c>
      <c r="O91" s="2">
        <v>1209.4585416666666</v>
      </c>
      <c r="P91" s="2">
        <v>983.86558333333335</v>
      </c>
      <c r="Q91" s="2"/>
      <c r="R91" s="1">
        <v>0</v>
      </c>
      <c r="S91" s="35">
        <f t="shared" si="33"/>
        <v>14583.427833333335</v>
      </c>
      <c r="T91" s="2">
        <v>0</v>
      </c>
      <c r="U91" s="2">
        <v>191.08441666666667</v>
      </c>
      <c r="V91" s="2">
        <v>1298.2111666666669</v>
      </c>
      <c r="W91" s="45">
        <f t="shared" si="57"/>
        <v>1489.2955833333335</v>
      </c>
      <c r="X91" s="2">
        <v>0</v>
      </c>
      <c r="Y91" s="2">
        <v>525</v>
      </c>
      <c r="Z91" s="2">
        <v>0</v>
      </c>
      <c r="AA91" s="45">
        <f t="shared" si="34"/>
        <v>525</v>
      </c>
      <c r="AC91" s="39">
        <v>3000</v>
      </c>
      <c r="AD91" s="40">
        <f t="shared" si="60"/>
        <v>9390.103708333334</v>
      </c>
      <c r="AE91" s="1">
        <f t="shared" si="61"/>
        <v>13.200000000000001</v>
      </c>
      <c r="AF91" s="1">
        <f t="shared" si="62"/>
        <v>18</v>
      </c>
      <c r="AG91" s="41">
        <f t="shared" si="63"/>
        <v>16.83778212523638</v>
      </c>
      <c r="AI91">
        <v>1.1000000000000001</v>
      </c>
      <c r="AJ91">
        <v>1.5</v>
      </c>
      <c r="AK91" s="32">
        <f t="shared" si="64"/>
        <v>12390.103708333334</v>
      </c>
      <c r="AL91" s="4">
        <f t="shared" si="65"/>
        <v>0.24212872390908727</v>
      </c>
      <c r="AM91" s="4">
        <f t="shared" si="66"/>
        <v>0.75787127609091276</v>
      </c>
    </row>
    <row r="92" spans="3:39" hidden="1" x14ac:dyDescent="0.25">
      <c r="C92" s="1">
        <f t="shared" si="56"/>
        <v>2025</v>
      </c>
      <c r="D92" s="52">
        <f>+'Fisico ASIG'!B92</f>
        <v>45992</v>
      </c>
      <c r="E92" s="1">
        <v>16</v>
      </c>
      <c r="F92" s="1" t="s">
        <v>57</v>
      </c>
      <c r="G92" s="5">
        <v>46003</v>
      </c>
      <c r="H92" s="2">
        <v>6061.0708750000022</v>
      </c>
      <c r="I92" s="2">
        <v>604.54579166666667</v>
      </c>
      <c r="J92" s="2">
        <v>343.58850000000007</v>
      </c>
      <c r="K92" s="2"/>
      <c r="L92" s="1">
        <v>0</v>
      </c>
      <c r="M92" s="35">
        <f t="shared" si="32"/>
        <v>7009.2051666666684</v>
      </c>
      <c r="N92" s="2">
        <v>12270.679291666667</v>
      </c>
      <c r="O92" s="2">
        <v>1104.3891666666666</v>
      </c>
      <c r="P92" s="2">
        <v>992.20091666666667</v>
      </c>
      <c r="Q92" s="2"/>
      <c r="R92" s="1">
        <v>0</v>
      </c>
      <c r="S92" s="35">
        <f t="shared" si="33"/>
        <v>14367.269375</v>
      </c>
      <c r="T92" s="2">
        <v>0</v>
      </c>
      <c r="U92" s="2">
        <v>189.56454166666671</v>
      </c>
      <c r="V92" s="2">
        <v>1677.1640000000004</v>
      </c>
      <c r="W92" s="45">
        <f t="shared" si="57"/>
        <v>1866.7285416666671</v>
      </c>
      <c r="X92" s="2">
        <v>0</v>
      </c>
      <c r="Y92" s="2">
        <v>525</v>
      </c>
      <c r="Z92" s="2">
        <v>0</v>
      </c>
      <c r="AA92" s="45">
        <f t="shared" si="34"/>
        <v>525</v>
      </c>
      <c r="AC92" s="39">
        <v>3000</v>
      </c>
      <c r="AD92" s="40">
        <f t="shared" si="60"/>
        <v>9270.6792916666673</v>
      </c>
      <c r="AE92" s="1">
        <f t="shared" si="61"/>
        <v>13.200000000000001</v>
      </c>
      <c r="AF92" s="1">
        <f t="shared" si="62"/>
        <v>18</v>
      </c>
      <c r="AG92" s="41">
        <f t="shared" si="63"/>
        <v>16.826470836885175</v>
      </c>
      <c r="AI92">
        <v>1.1000000000000001</v>
      </c>
      <c r="AJ92">
        <v>1.5</v>
      </c>
      <c r="AK92" s="32">
        <f t="shared" si="64"/>
        <v>12270.679291666667</v>
      </c>
      <c r="AL92" s="4">
        <f t="shared" si="65"/>
        <v>0.24448524231558857</v>
      </c>
      <c r="AM92" s="4">
        <f t="shared" si="66"/>
        <v>0.75551475768441145</v>
      </c>
    </row>
    <row r="93" spans="3:39" hidden="1" x14ac:dyDescent="0.25">
      <c r="C93" s="1">
        <f t="shared" si="56"/>
        <v>2025</v>
      </c>
      <c r="D93" s="52">
        <f>+'Fisico ASIG'!B93</f>
        <v>45992</v>
      </c>
      <c r="E93" s="1">
        <v>6</v>
      </c>
      <c r="F93" s="1" t="s">
        <v>51</v>
      </c>
      <c r="G93" s="5">
        <v>46004</v>
      </c>
      <c r="H93" s="2">
        <v>5755.7497916666689</v>
      </c>
      <c r="I93" s="2">
        <v>630.54716666666673</v>
      </c>
      <c r="J93" s="2">
        <v>344.717375</v>
      </c>
      <c r="K93" s="2"/>
      <c r="L93" s="1">
        <v>0</v>
      </c>
      <c r="M93" s="35">
        <f t="shared" si="32"/>
        <v>6731.0143333333363</v>
      </c>
      <c r="N93" s="2">
        <v>12116.732666666667</v>
      </c>
      <c r="O93" s="2">
        <v>855.4757083333335</v>
      </c>
      <c r="P93" s="2">
        <v>908.58483333333334</v>
      </c>
      <c r="Q93" s="2"/>
      <c r="R93" s="1">
        <v>0</v>
      </c>
      <c r="S93" s="35">
        <f t="shared" si="33"/>
        <v>13880.793208333333</v>
      </c>
      <c r="T93" s="2">
        <v>0</v>
      </c>
      <c r="U93" s="2">
        <v>190.36841666666666</v>
      </c>
      <c r="V93" s="2">
        <v>1724.8161250000003</v>
      </c>
      <c r="W93" s="45">
        <f t="shared" si="57"/>
        <v>1915.184541666667</v>
      </c>
      <c r="X93" s="2">
        <v>0</v>
      </c>
      <c r="Y93" s="2">
        <v>525</v>
      </c>
      <c r="Z93" s="2">
        <v>0</v>
      </c>
      <c r="AA93" s="45">
        <f t="shared" si="34"/>
        <v>525</v>
      </c>
      <c r="AC93" s="39">
        <v>3000</v>
      </c>
      <c r="AD93" s="40">
        <f t="shared" si="60"/>
        <v>9116.7326666666668</v>
      </c>
      <c r="AE93" s="1">
        <f t="shared" si="61"/>
        <v>13.200000000000001</v>
      </c>
      <c r="AF93" s="1">
        <f t="shared" si="62"/>
        <v>18</v>
      </c>
      <c r="AG93" s="41">
        <f t="shared" si="63"/>
        <v>16.811560806353793</v>
      </c>
      <c r="AI93">
        <v>1.1000000000000001</v>
      </c>
      <c r="AJ93">
        <v>1.5</v>
      </c>
      <c r="AK93" s="32">
        <f t="shared" si="64"/>
        <v>12116.732666666667</v>
      </c>
      <c r="AL93" s="4">
        <f t="shared" si="65"/>
        <v>0.24759149867629332</v>
      </c>
      <c r="AM93" s="4">
        <f t="shared" si="66"/>
        <v>0.75240850132370674</v>
      </c>
    </row>
    <row r="94" spans="3:39" hidden="1" x14ac:dyDescent="0.25">
      <c r="C94" s="1">
        <f t="shared" si="56"/>
        <v>2025</v>
      </c>
      <c r="D94" s="52">
        <f>+'Fisico ASIG'!B94</f>
        <v>45992</v>
      </c>
      <c r="E94" s="1">
        <v>4</v>
      </c>
      <c r="F94" s="1" t="s">
        <v>52</v>
      </c>
      <c r="G94" s="5">
        <v>46005</v>
      </c>
      <c r="H94" s="2">
        <v>5092.4794999999986</v>
      </c>
      <c r="I94" s="2">
        <v>612.1303333333334</v>
      </c>
      <c r="J94" s="2">
        <v>312.70366666666666</v>
      </c>
      <c r="K94" s="2"/>
      <c r="L94" s="1">
        <v>0</v>
      </c>
      <c r="M94" s="35">
        <f t="shared" si="32"/>
        <v>6017.3134999999984</v>
      </c>
      <c r="N94" s="2">
        <v>12446.437125000002</v>
      </c>
      <c r="O94" s="2">
        <v>720.9853333333333</v>
      </c>
      <c r="P94" s="2">
        <v>965.6781666666667</v>
      </c>
      <c r="Q94" s="2"/>
      <c r="R94" s="1">
        <v>0</v>
      </c>
      <c r="S94" s="35">
        <f t="shared" si="33"/>
        <v>14133.100625000003</v>
      </c>
      <c r="T94" s="2">
        <v>0</v>
      </c>
      <c r="U94" s="2">
        <v>189.32095833333327</v>
      </c>
      <c r="V94" s="2">
        <v>1522.0810000000004</v>
      </c>
      <c r="W94" s="45">
        <f t="shared" si="57"/>
        <v>1711.4019583333336</v>
      </c>
      <c r="X94" s="2">
        <v>0</v>
      </c>
      <c r="Y94" s="2">
        <v>525</v>
      </c>
      <c r="Z94" s="2">
        <v>0</v>
      </c>
      <c r="AA94" s="45">
        <f t="shared" si="34"/>
        <v>525</v>
      </c>
      <c r="AC94" s="39">
        <v>3000</v>
      </c>
      <c r="AD94" s="40">
        <f t="shared" si="60"/>
        <v>9446.4371250000022</v>
      </c>
      <c r="AE94" s="1">
        <f t="shared" si="61"/>
        <v>13.200000000000001</v>
      </c>
      <c r="AF94" s="1">
        <f t="shared" si="62"/>
        <v>18</v>
      </c>
      <c r="AG94" s="41">
        <f t="shared" si="63"/>
        <v>16.843042401983773</v>
      </c>
      <c r="AI94">
        <v>1.1000000000000001</v>
      </c>
      <c r="AJ94">
        <v>1.5</v>
      </c>
      <c r="AK94" s="32">
        <f t="shared" si="64"/>
        <v>12446.437125000002</v>
      </c>
      <c r="AL94" s="4">
        <f t="shared" si="65"/>
        <v>0.24103283292004735</v>
      </c>
      <c r="AM94" s="4">
        <f t="shared" si="66"/>
        <v>0.7589671670799526</v>
      </c>
    </row>
    <row r="95" spans="3:39" hidden="1" x14ac:dyDescent="0.25">
      <c r="C95" s="1">
        <f t="shared" si="56"/>
        <v>2025</v>
      </c>
      <c r="D95" s="52">
        <f>+'Fisico ASIG'!B95</f>
        <v>45992</v>
      </c>
      <c r="E95" s="1">
        <v>16</v>
      </c>
      <c r="F95" s="1" t="s">
        <v>53</v>
      </c>
      <c r="G95" s="5">
        <v>46006</v>
      </c>
      <c r="H95" s="2">
        <v>5707.0602500000005</v>
      </c>
      <c r="I95" s="2">
        <v>575.88279166666678</v>
      </c>
      <c r="J95" s="2">
        <v>324.13566666666668</v>
      </c>
      <c r="K95" s="2"/>
      <c r="L95" s="1">
        <v>0</v>
      </c>
      <c r="M95" s="35">
        <f t="shared" si="32"/>
        <v>6607.0787083333344</v>
      </c>
      <c r="N95" s="2">
        <v>12508.183916666665</v>
      </c>
      <c r="O95" s="2">
        <v>739.96608333333336</v>
      </c>
      <c r="P95" s="2">
        <v>991.77779166666676</v>
      </c>
      <c r="Q95" s="2"/>
      <c r="R95" s="1">
        <v>0</v>
      </c>
      <c r="S95" s="35">
        <f t="shared" si="33"/>
        <v>14239.927791666665</v>
      </c>
      <c r="T95" s="2">
        <v>0</v>
      </c>
      <c r="U95" s="2">
        <v>189.61749999999995</v>
      </c>
      <c r="V95" s="2">
        <v>1666.1215416666664</v>
      </c>
      <c r="W95" s="45">
        <f t="shared" si="57"/>
        <v>1855.7390416666663</v>
      </c>
      <c r="X95" s="2">
        <v>0</v>
      </c>
      <c r="Y95" s="2">
        <v>525</v>
      </c>
      <c r="Z95" s="2">
        <v>0</v>
      </c>
      <c r="AA95" s="45">
        <f t="shared" si="34"/>
        <v>525</v>
      </c>
      <c r="AC95" s="39">
        <v>3000</v>
      </c>
      <c r="AD95" s="40">
        <f t="shared" si="60"/>
        <v>9508.183916666665</v>
      </c>
      <c r="AE95" s="1">
        <f t="shared" si="61"/>
        <v>13.200000000000001</v>
      </c>
      <c r="AF95" s="1">
        <f t="shared" si="62"/>
        <v>18</v>
      </c>
      <c r="AG95" s="41">
        <f t="shared" si="63"/>
        <v>16.848753736278809</v>
      </c>
      <c r="AI95">
        <v>1.1000000000000001</v>
      </c>
      <c r="AJ95">
        <v>1.5</v>
      </c>
      <c r="AK95" s="32">
        <f t="shared" si="64"/>
        <v>12508.183916666665</v>
      </c>
      <c r="AL95" s="4">
        <f t="shared" si="65"/>
        <v>0.23984297160858162</v>
      </c>
      <c r="AM95" s="4">
        <f t="shared" si="66"/>
        <v>0.76015702839141841</v>
      </c>
    </row>
    <row r="96" spans="3:39" hidden="1" x14ac:dyDescent="0.25">
      <c r="C96" s="1">
        <f t="shared" si="56"/>
        <v>2025</v>
      </c>
      <c r="D96" s="52">
        <f>+'Fisico ASIG'!B96</f>
        <v>45992</v>
      </c>
      <c r="E96" s="1">
        <v>16</v>
      </c>
      <c r="F96" s="1" t="s">
        <v>54</v>
      </c>
      <c r="G96" s="5">
        <v>46007</v>
      </c>
      <c r="H96" s="2">
        <v>5634.2773333333325</v>
      </c>
      <c r="I96" s="2">
        <v>653.33291666666673</v>
      </c>
      <c r="J96" s="2">
        <v>308.02687500000002</v>
      </c>
      <c r="K96" s="2"/>
      <c r="L96" s="1">
        <v>0</v>
      </c>
      <c r="M96" s="35">
        <f t="shared" si="32"/>
        <v>6595.6371249999993</v>
      </c>
      <c r="N96" s="2">
        <v>12520.741375000003</v>
      </c>
      <c r="O96" s="2">
        <v>804.65787499999999</v>
      </c>
      <c r="P96" s="2">
        <v>977.94450000000006</v>
      </c>
      <c r="Q96" s="2"/>
      <c r="R96" s="1">
        <v>0</v>
      </c>
      <c r="S96" s="35">
        <f t="shared" si="33"/>
        <v>14303.343750000004</v>
      </c>
      <c r="T96" s="2">
        <v>0</v>
      </c>
      <c r="U96" s="2">
        <v>188.87133333333335</v>
      </c>
      <c r="V96" s="2">
        <v>1266.0113333333334</v>
      </c>
      <c r="W96" s="45">
        <f t="shared" si="57"/>
        <v>1454.8826666666666</v>
      </c>
      <c r="X96" s="2">
        <v>0</v>
      </c>
      <c r="Y96" s="2">
        <v>525</v>
      </c>
      <c r="Z96" s="2">
        <v>0</v>
      </c>
      <c r="AA96" s="45">
        <f t="shared" si="34"/>
        <v>525</v>
      </c>
      <c r="AC96" s="39">
        <v>3000</v>
      </c>
      <c r="AD96" s="40">
        <f t="shared" ref="AD96:AD101" si="67">+N96-AC96</f>
        <v>9520.7413750000032</v>
      </c>
      <c r="AE96" s="1">
        <f t="shared" ref="AE96:AE101" si="68">12*AI96</f>
        <v>13.200000000000001</v>
      </c>
      <c r="AF96" s="1">
        <f t="shared" ref="AF96:AF101" si="69">12*AJ96</f>
        <v>18</v>
      </c>
      <c r="AG96" s="41">
        <f t="shared" ref="AG96:AG101" si="70">+(AC96*AE96+AF96*AD96)/SUM(AC96:AD96)</f>
        <v>16.849908358561553</v>
      </c>
      <c r="AI96">
        <v>1.1000000000000001</v>
      </c>
      <c r="AJ96">
        <v>1.5</v>
      </c>
      <c r="AK96" s="32">
        <f t="shared" ref="AK96:AK101" si="71">+AC96+AD96</f>
        <v>12520.741375000003</v>
      </c>
      <c r="AL96" s="4">
        <f t="shared" ref="AL96:AL101" si="72">+AC96/AK96</f>
        <v>0.23960242529967593</v>
      </c>
      <c r="AM96" s="4">
        <f t="shared" ref="AM96:AM101" si="73">+AD96/AK96</f>
        <v>0.7603975747003241</v>
      </c>
    </row>
    <row r="97" spans="3:39" hidden="1" x14ac:dyDescent="0.25">
      <c r="C97" s="1">
        <f t="shared" si="56"/>
        <v>2025</v>
      </c>
      <c r="D97" s="52">
        <f>+'Fisico ASIG'!B97</f>
        <v>45992</v>
      </c>
      <c r="E97" s="1">
        <v>16</v>
      </c>
      <c r="F97" s="1" t="s">
        <v>55</v>
      </c>
      <c r="G97" s="5">
        <v>46008</v>
      </c>
      <c r="H97" s="2">
        <v>5708.4005416666641</v>
      </c>
      <c r="I97" s="2">
        <v>598.23845833333337</v>
      </c>
      <c r="J97" s="2">
        <v>335.07112499999999</v>
      </c>
      <c r="K97" s="2"/>
      <c r="L97" s="1">
        <v>0</v>
      </c>
      <c r="M97" s="35">
        <f t="shared" si="32"/>
        <v>6641.7101249999978</v>
      </c>
      <c r="N97" s="2">
        <v>12415.442499999997</v>
      </c>
      <c r="O97" s="2">
        <v>1005.7640416666666</v>
      </c>
      <c r="P97" s="2">
        <v>988.73095833333343</v>
      </c>
      <c r="Q97" s="2"/>
      <c r="R97" s="1">
        <v>0</v>
      </c>
      <c r="S97" s="35">
        <f t="shared" si="33"/>
        <v>14409.937499999998</v>
      </c>
      <c r="T97" s="2">
        <v>0</v>
      </c>
      <c r="U97" s="2">
        <v>188.30333333333331</v>
      </c>
      <c r="V97" s="2">
        <v>2116.6709166666665</v>
      </c>
      <c r="W97" s="45">
        <f t="shared" si="57"/>
        <v>2304.9742499999998</v>
      </c>
      <c r="X97" s="2">
        <v>0</v>
      </c>
      <c r="Y97" s="2">
        <v>525</v>
      </c>
      <c r="Z97" s="2">
        <v>0</v>
      </c>
      <c r="AA97" s="45">
        <f t="shared" si="34"/>
        <v>525</v>
      </c>
      <c r="AC97" s="39">
        <v>3000</v>
      </c>
      <c r="AD97" s="40">
        <f t="shared" si="67"/>
        <v>9415.4424999999974</v>
      </c>
      <c r="AE97" s="1">
        <f t="shared" si="68"/>
        <v>13.200000000000001</v>
      </c>
      <c r="AF97" s="1">
        <f t="shared" si="69"/>
        <v>18</v>
      </c>
      <c r="AG97" s="41">
        <f t="shared" si="70"/>
        <v>16.840154106468617</v>
      </c>
      <c r="AI97">
        <v>1.1000000000000001</v>
      </c>
      <c r="AJ97">
        <v>1.5</v>
      </c>
      <c r="AK97" s="32">
        <f t="shared" si="71"/>
        <v>12415.442499999997</v>
      </c>
      <c r="AL97" s="4">
        <f t="shared" si="72"/>
        <v>0.24163456115237139</v>
      </c>
      <c r="AM97" s="4">
        <f t="shared" si="73"/>
        <v>0.75836543884762864</v>
      </c>
    </row>
    <row r="98" spans="3:39" hidden="1" x14ac:dyDescent="0.25">
      <c r="C98" s="1">
        <f t="shared" si="56"/>
        <v>2025</v>
      </c>
      <c r="D98" s="52">
        <f>+'Fisico ASIG'!B98</f>
        <v>45992</v>
      </c>
      <c r="E98" s="1">
        <v>16</v>
      </c>
      <c r="F98" s="1" t="s">
        <v>56</v>
      </c>
      <c r="G98" s="5">
        <v>46009</v>
      </c>
      <c r="H98" s="2">
        <v>6647.253791666667</v>
      </c>
      <c r="I98" s="2">
        <v>809.95920833333332</v>
      </c>
      <c r="J98" s="2">
        <v>404.37012500000003</v>
      </c>
      <c r="K98" s="2"/>
      <c r="L98" s="1">
        <v>0</v>
      </c>
      <c r="M98" s="35">
        <f t="shared" si="32"/>
        <v>7861.583125000001</v>
      </c>
      <c r="N98" s="2">
        <v>12318.264083333328</v>
      </c>
      <c r="O98" s="2">
        <v>1180.856125</v>
      </c>
      <c r="P98" s="2">
        <v>992.32162500000004</v>
      </c>
      <c r="Q98" s="2"/>
      <c r="R98" s="1">
        <v>0</v>
      </c>
      <c r="S98" s="35">
        <f t="shared" si="33"/>
        <v>14491.441833333329</v>
      </c>
      <c r="T98" s="2">
        <v>0</v>
      </c>
      <c r="U98" s="2">
        <v>190.36079166666664</v>
      </c>
      <c r="V98" s="2">
        <v>1687.6618333333333</v>
      </c>
      <c r="W98" s="45">
        <f t="shared" si="57"/>
        <v>1878.0226250000001</v>
      </c>
      <c r="X98" s="2">
        <v>0</v>
      </c>
      <c r="Y98" s="2">
        <v>525</v>
      </c>
      <c r="Z98" s="2">
        <v>0</v>
      </c>
      <c r="AA98" s="45">
        <f t="shared" si="34"/>
        <v>525</v>
      </c>
      <c r="AC98" s="39">
        <v>3000</v>
      </c>
      <c r="AD98" s="40">
        <f t="shared" si="67"/>
        <v>9318.264083333328</v>
      </c>
      <c r="AE98" s="1">
        <f t="shared" si="68"/>
        <v>13.200000000000001</v>
      </c>
      <c r="AF98" s="1">
        <f t="shared" si="69"/>
        <v>18</v>
      </c>
      <c r="AG98" s="41">
        <f t="shared" si="70"/>
        <v>16.831004116928838</v>
      </c>
      <c r="AI98">
        <v>1.1000000000000001</v>
      </c>
      <c r="AJ98">
        <v>1.5</v>
      </c>
      <c r="AK98" s="32">
        <f t="shared" si="71"/>
        <v>12318.264083333328</v>
      </c>
      <c r="AL98" s="4">
        <f t="shared" si="72"/>
        <v>0.24354080897315838</v>
      </c>
      <c r="AM98" s="4">
        <f t="shared" si="73"/>
        <v>0.75645919102684167</v>
      </c>
    </row>
    <row r="99" spans="3:39" hidden="1" x14ac:dyDescent="0.25">
      <c r="C99" s="1">
        <f t="shared" si="56"/>
        <v>2025</v>
      </c>
      <c r="D99" s="52">
        <f>+'Fisico ASIG'!B99</f>
        <v>45992</v>
      </c>
      <c r="E99" s="1">
        <v>16</v>
      </c>
      <c r="F99" s="1" t="s">
        <v>57</v>
      </c>
      <c r="G99" s="5">
        <v>46010</v>
      </c>
      <c r="H99" s="2">
        <v>7457.9463333333297</v>
      </c>
      <c r="I99" s="2">
        <v>823.76083333333338</v>
      </c>
      <c r="J99" s="2">
        <v>407.188625</v>
      </c>
      <c r="K99" s="2"/>
      <c r="L99" s="1">
        <v>0</v>
      </c>
      <c r="M99" s="35">
        <f t="shared" si="32"/>
        <v>8688.8957916666641</v>
      </c>
      <c r="N99" s="2">
        <v>12348.523625</v>
      </c>
      <c r="O99" s="2">
        <v>1181.9343333333334</v>
      </c>
      <c r="P99" s="2">
        <v>992.18937500000004</v>
      </c>
      <c r="Q99" s="2"/>
      <c r="R99" s="1">
        <v>0</v>
      </c>
      <c r="S99" s="35">
        <f t="shared" si="33"/>
        <v>14522.647333333332</v>
      </c>
      <c r="T99" s="2">
        <v>0</v>
      </c>
      <c r="U99" s="2">
        <v>191.98554166666671</v>
      </c>
      <c r="V99" s="2">
        <v>1821.6266250000006</v>
      </c>
      <c r="W99" s="45">
        <f t="shared" si="57"/>
        <v>2013.6121666666672</v>
      </c>
      <c r="X99" s="2">
        <v>0</v>
      </c>
      <c r="Y99" s="2">
        <v>525</v>
      </c>
      <c r="Z99" s="2">
        <v>0</v>
      </c>
      <c r="AA99" s="45">
        <f t="shared" si="34"/>
        <v>525</v>
      </c>
      <c r="AC99" s="39">
        <v>3000</v>
      </c>
      <c r="AD99" s="40">
        <f t="shared" si="67"/>
        <v>9348.5236249999998</v>
      </c>
      <c r="AE99" s="1">
        <f t="shared" si="68"/>
        <v>13.200000000000001</v>
      </c>
      <c r="AF99" s="1">
        <f t="shared" si="69"/>
        <v>18</v>
      </c>
      <c r="AG99" s="41">
        <f t="shared" si="70"/>
        <v>16.833868692541778</v>
      </c>
      <c r="AI99">
        <v>1.1000000000000001</v>
      </c>
      <c r="AJ99">
        <v>1.5</v>
      </c>
      <c r="AK99" s="32">
        <f t="shared" si="71"/>
        <v>12348.523625</v>
      </c>
      <c r="AL99" s="4">
        <f t="shared" si="72"/>
        <v>0.2429440223871297</v>
      </c>
      <c r="AM99" s="4">
        <f t="shared" si="73"/>
        <v>0.75705597761287025</v>
      </c>
    </row>
    <row r="100" spans="3:39" hidden="1" x14ac:dyDescent="0.25">
      <c r="C100" s="1">
        <f t="shared" si="56"/>
        <v>2025</v>
      </c>
      <c r="D100" s="52">
        <f>+'Fisico ASIG'!B100</f>
        <v>45992</v>
      </c>
      <c r="E100" s="1">
        <v>6</v>
      </c>
      <c r="F100" s="1" t="s">
        <v>51</v>
      </c>
      <c r="G100" s="5">
        <v>46011</v>
      </c>
      <c r="H100" s="2">
        <v>7231.5404999999992</v>
      </c>
      <c r="I100" s="2">
        <v>923.32741666666675</v>
      </c>
      <c r="J100" s="2">
        <v>363.10695833333341</v>
      </c>
      <c r="K100" s="2"/>
      <c r="L100" s="1">
        <v>0</v>
      </c>
      <c r="M100" s="35">
        <f t="shared" si="32"/>
        <v>8517.9748749999999</v>
      </c>
      <c r="N100" s="2">
        <v>12142.267999999995</v>
      </c>
      <c r="O100" s="2">
        <v>1346.7820833333333</v>
      </c>
      <c r="P100" s="2">
        <v>992.06545833333337</v>
      </c>
      <c r="Q100" s="2"/>
      <c r="R100" s="1">
        <v>0</v>
      </c>
      <c r="S100" s="35">
        <f t="shared" si="33"/>
        <v>14481.115541666661</v>
      </c>
      <c r="T100" s="2">
        <v>0</v>
      </c>
      <c r="U100" s="2">
        <v>189.46458333333337</v>
      </c>
      <c r="V100" s="2">
        <v>1317.1156666666668</v>
      </c>
      <c r="W100" s="45">
        <f t="shared" si="57"/>
        <v>1506.5802500000002</v>
      </c>
      <c r="X100" s="2">
        <v>0</v>
      </c>
      <c r="Y100" s="2">
        <v>525</v>
      </c>
      <c r="Z100" s="2">
        <v>0</v>
      </c>
      <c r="AA100" s="45">
        <f t="shared" si="34"/>
        <v>525</v>
      </c>
      <c r="AC100" s="39">
        <v>3000</v>
      </c>
      <c r="AD100" s="40">
        <f t="shared" si="67"/>
        <v>9142.2679999999946</v>
      </c>
      <c r="AE100" s="1">
        <f t="shared" si="68"/>
        <v>13.200000000000001</v>
      </c>
      <c r="AF100" s="1">
        <f t="shared" si="69"/>
        <v>18</v>
      </c>
      <c r="AG100" s="41">
        <f t="shared" si="70"/>
        <v>16.814060108045712</v>
      </c>
      <c r="AI100">
        <v>1.1000000000000001</v>
      </c>
      <c r="AJ100">
        <v>1.5</v>
      </c>
      <c r="AK100" s="32">
        <f t="shared" si="71"/>
        <v>12142.267999999995</v>
      </c>
      <c r="AL100" s="4">
        <f t="shared" si="72"/>
        <v>0.24707081082380997</v>
      </c>
      <c r="AM100" s="4">
        <f t="shared" si="73"/>
        <v>0.75292918917619001</v>
      </c>
    </row>
    <row r="101" spans="3:39" hidden="1" x14ac:dyDescent="0.25">
      <c r="C101" s="1">
        <f t="shared" si="56"/>
        <v>2025</v>
      </c>
      <c r="D101" s="52">
        <f>+'Fisico ASIG'!B101</f>
        <v>45992</v>
      </c>
      <c r="E101" s="1">
        <v>4</v>
      </c>
      <c r="F101" s="1" t="s">
        <v>52</v>
      </c>
      <c r="G101" s="5">
        <v>46012</v>
      </c>
      <c r="H101" s="2">
        <v>6098.178291666668</v>
      </c>
      <c r="I101" s="2">
        <v>1041.2055</v>
      </c>
      <c r="J101" s="2">
        <v>334.73558333333335</v>
      </c>
      <c r="K101" s="2"/>
      <c r="L101" s="1">
        <v>0</v>
      </c>
      <c r="M101" s="35">
        <f t="shared" si="32"/>
        <v>7474.1193750000011</v>
      </c>
      <c r="N101" s="2">
        <v>12300.80633333333</v>
      </c>
      <c r="O101" s="2">
        <v>1357.0396666666663</v>
      </c>
      <c r="P101" s="2">
        <v>992.14054166666665</v>
      </c>
      <c r="Q101" s="2"/>
      <c r="R101" s="1">
        <v>0</v>
      </c>
      <c r="S101" s="35">
        <f t="shared" si="33"/>
        <v>14649.986541666662</v>
      </c>
      <c r="T101" s="2">
        <v>0</v>
      </c>
      <c r="U101" s="2">
        <v>189.39470833333337</v>
      </c>
      <c r="V101" s="2">
        <v>1212.8465833333335</v>
      </c>
      <c r="W101" s="45">
        <f t="shared" si="57"/>
        <v>1402.2412916666667</v>
      </c>
      <c r="X101" s="2">
        <v>0</v>
      </c>
      <c r="Y101" s="2">
        <v>525</v>
      </c>
      <c r="Z101" s="2">
        <v>0</v>
      </c>
      <c r="AA101" s="45">
        <f t="shared" si="34"/>
        <v>525</v>
      </c>
      <c r="AC101" s="39">
        <v>3000</v>
      </c>
      <c r="AD101" s="40">
        <f t="shared" si="67"/>
        <v>9300.8063333333303</v>
      </c>
      <c r="AE101" s="1">
        <f t="shared" si="68"/>
        <v>13.200000000000001</v>
      </c>
      <c r="AF101" s="1">
        <f t="shared" si="69"/>
        <v>18</v>
      </c>
      <c r="AG101" s="41">
        <f t="shared" si="70"/>
        <v>16.829345035619479</v>
      </c>
      <c r="AI101">
        <v>1.1000000000000001</v>
      </c>
      <c r="AJ101">
        <v>1.5</v>
      </c>
      <c r="AK101" s="32">
        <f t="shared" si="71"/>
        <v>12300.80633333333</v>
      </c>
      <c r="AL101" s="4">
        <f t="shared" si="72"/>
        <v>0.24388645091260824</v>
      </c>
      <c r="AM101" s="4">
        <f t="shared" si="73"/>
        <v>0.7561135490873917</v>
      </c>
    </row>
    <row r="102" spans="3:39" hidden="1" x14ac:dyDescent="0.25">
      <c r="C102" s="1">
        <f t="shared" si="56"/>
        <v>2025</v>
      </c>
      <c r="D102" s="52">
        <f>+'Fisico ASIG'!B102</f>
        <v>45992</v>
      </c>
      <c r="E102" s="1">
        <v>16</v>
      </c>
      <c r="F102" s="1" t="s">
        <v>53</v>
      </c>
      <c r="G102" s="5">
        <v>46013</v>
      </c>
      <c r="H102" s="2">
        <v>6732.2370416666681</v>
      </c>
      <c r="I102" s="2">
        <v>1215.8863749999998</v>
      </c>
      <c r="J102" s="2">
        <v>347.54700000000003</v>
      </c>
      <c r="K102" s="2"/>
      <c r="L102" s="1">
        <v>0</v>
      </c>
      <c r="M102" s="35">
        <f t="shared" si="32"/>
        <v>8295.6704166666677</v>
      </c>
      <c r="N102" s="2">
        <v>12439.349708333331</v>
      </c>
      <c r="O102" s="2">
        <v>1351.5412916666667</v>
      </c>
      <c r="P102" s="2">
        <v>991.97516666666672</v>
      </c>
      <c r="Q102" s="2"/>
      <c r="R102" s="1">
        <v>0</v>
      </c>
      <c r="S102" s="35">
        <f t="shared" si="33"/>
        <v>14782.866166666665</v>
      </c>
      <c r="T102" s="2">
        <v>0</v>
      </c>
      <c r="U102" s="2">
        <v>189.04620833333334</v>
      </c>
      <c r="V102" s="2">
        <v>1130.0222083333335</v>
      </c>
      <c r="W102" s="45">
        <f t="shared" si="57"/>
        <v>1319.068416666667</v>
      </c>
      <c r="X102" s="2">
        <v>0</v>
      </c>
      <c r="Y102" s="2">
        <v>525</v>
      </c>
      <c r="Z102" s="2">
        <v>0</v>
      </c>
      <c r="AA102" s="45">
        <f t="shared" si="34"/>
        <v>525</v>
      </c>
      <c r="AC102" s="39">
        <v>3000</v>
      </c>
      <c r="AD102" s="40">
        <f t="shared" ref="AD102:AD108" si="74">+N102-AC102</f>
        <v>9439.3497083333314</v>
      </c>
      <c r="AE102" s="1">
        <f t="shared" ref="AE102:AE108" si="75">12*AI102</f>
        <v>13.200000000000001</v>
      </c>
      <c r="AF102" s="1">
        <f t="shared" ref="AF102:AF108" si="76">12*AJ102</f>
        <v>18</v>
      </c>
      <c r="AG102" s="41">
        <f t="shared" ref="AG102:AG108" si="77">+(AC102*AE102+AF102*AD102)/SUM(AC102:AD102)</f>
        <v>16.842383216354694</v>
      </c>
      <c r="AI102">
        <v>1.1000000000000001</v>
      </c>
      <c r="AJ102">
        <v>1.5</v>
      </c>
      <c r="AK102" s="32">
        <f t="shared" ref="AK102:AK108" si="78">+AC102+AD102</f>
        <v>12439.349708333331</v>
      </c>
      <c r="AL102" s="4">
        <f t="shared" ref="AL102:AL108" si="79">+AC102/AK102</f>
        <v>0.24117016325943863</v>
      </c>
      <c r="AM102" s="4">
        <f t="shared" ref="AM102:AM108" si="80">+AD102/AK102</f>
        <v>0.75882983674056137</v>
      </c>
    </row>
    <row r="103" spans="3:39" hidden="1" x14ac:dyDescent="0.25">
      <c r="C103" s="1">
        <f t="shared" si="56"/>
        <v>2025</v>
      </c>
      <c r="D103" s="52">
        <f>+'Fisico ASIG'!B103</f>
        <v>45992</v>
      </c>
      <c r="E103" s="1">
        <v>16</v>
      </c>
      <c r="F103" s="1" t="s">
        <v>54</v>
      </c>
      <c r="G103" s="5">
        <v>46014</v>
      </c>
      <c r="H103" s="2">
        <v>6556.8294583333354</v>
      </c>
      <c r="I103" s="2">
        <v>1153.3941250000003</v>
      </c>
      <c r="J103" s="2">
        <v>348.73766666666671</v>
      </c>
      <c r="K103" s="2"/>
      <c r="L103" s="1">
        <v>0</v>
      </c>
      <c r="M103" s="35">
        <f t="shared" si="32"/>
        <v>8058.961250000003</v>
      </c>
      <c r="N103" s="2">
        <v>12559.24895833333</v>
      </c>
      <c r="O103" s="2">
        <v>1352.0187083333331</v>
      </c>
      <c r="P103" s="2">
        <v>991.77358333333336</v>
      </c>
      <c r="Q103" s="2"/>
      <c r="R103" s="1">
        <v>0</v>
      </c>
      <c r="S103" s="35">
        <f t="shared" si="33"/>
        <v>14903.041249999997</v>
      </c>
      <c r="T103" s="2">
        <v>0</v>
      </c>
      <c r="U103" s="2">
        <v>187.92045833333339</v>
      </c>
      <c r="V103" s="2">
        <v>1468.695166666666</v>
      </c>
      <c r="W103" s="45">
        <f t="shared" si="57"/>
        <v>1656.6156249999995</v>
      </c>
      <c r="X103" s="2">
        <v>0</v>
      </c>
      <c r="Y103" s="2">
        <v>525</v>
      </c>
      <c r="Z103" s="2">
        <v>0</v>
      </c>
      <c r="AA103" s="45">
        <f t="shared" si="34"/>
        <v>525</v>
      </c>
      <c r="AC103" s="39">
        <v>3000</v>
      </c>
      <c r="AD103" s="40">
        <f t="shared" si="74"/>
        <v>9559.2489583333299</v>
      </c>
      <c r="AE103" s="1">
        <f t="shared" si="75"/>
        <v>13.200000000000001</v>
      </c>
      <c r="AF103" s="1">
        <f t="shared" si="76"/>
        <v>18</v>
      </c>
      <c r="AG103" s="41">
        <f t="shared" si="77"/>
        <v>16.853434624333545</v>
      </c>
      <c r="AI103">
        <v>1.1000000000000001</v>
      </c>
      <c r="AJ103">
        <v>1.5</v>
      </c>
      <c r="AK103" s="32">
        <f t="shared" si="78"/>
        <v>12559.24895833333</v>
      </c>
      <c r="AL103" s="4">
        <f t="shared" si="79"/>
        <v>0.23886778659717833</v>
      </c>
      <c r="AM103" s="4">
        <f t="shared" si="80"/>
        <v>0.76113221340282167</v>
      </c>
    </row>
    <row r="104" spans="3:39" hidden="1" x14ac:dyDescent="0.25">
      <c r="C104" s="1">
        <f t="shared" si="56"/>
        <v>2025</v>
      </c>
      <c r="D104" s="52">
        <f>+'Fisico ASIG'!B104</f>
        <v>45992</v>
      </c>
      <c r="E104" s="1">
        <v>16</v>
      </c>
      <c r="F104" s="1" t="s">
        <v>55</v>
      </c>
      <c r="G104" s="5">
        <v>46015</v>
      </c>
      <c r="H104" s="2">
        <v>6451.740833333336</v>
      </c>
      <c r="I104" s="2">
        <v>1150.4166666666665</v>
      </c>
      <c r="J104" s="2">
        <v>268.32720833333337</v>
      </c>
      <c r="K104" s="2"/>
      <c r="L104" s="1">
        <v>0</v>
      </c>
      <c r="M104" s="35">
        <f t="shared" si="32"/>
        <v>7870.4847083333361</v>
      </c>
      <c r="N104" s="2">
        <v>12586.543958333328</v>
      </c>
      <c r="O104" s="2">
        <v>1344.2839999999997</v>
      </c>
      <c r="P104" s="2">
        <v>991.70191666666676</v>
      </c>
      <c r="Q104" s="2"/>
      <c r="R104" s="1">
        <v>0</v>
      </c>
      <c r="S104" s="35">
        <f t="shared" si="33"/>
        <v>14922.529874999995</v>
      </c>
      <c r="T104" s="2">
        <v>0</v>
      </c>
      <c r="U104" s="2">
        <v>188.31154166666667</v>
      </c>
      <c r="V104" s="2">
        <v>1849.0798750000001</v>
      </c>
      <c r="W104" s="45">
        <f t="shared" si="57"/>
        <v>2037.3914166666668</v>
      </c>
      <c r="X104" s="2">
        <v>0</v>
      </c>
      <c r="Y104" s="2">
        <v>525</v>
      </c>
      <c r="Z104" s="2">
        <v>0</v>
      </c>
      <c r="AA104" s="45">
        <f t="shared" si="34"/>
        <v>525</v>
      </c>
      <c r="AC104" s="39">
        <v>3000</v>
      </c>
      <c r="AD104" s="40">
        <f t="shared" si="74"/>
        <v>9586.5439583333282</v>
      </c>
      <c r="AE104" s="1">
        <f t="shared" si="75"/>
        <v>13.200000000000001</v>
      </c>
      <c r="AF104" s="1">
        <f t="shared" si="76"/>
        <v>18</v>
      </c>
      <c r="AG104" s="41">
        <f t="shared" si="77"/>
        <v>16.855921049680518</v>
      </c>
      <c r="AI104">
        <v>1.1000000000000001</v>
      </c>
      <c r="AJ104">
        <v>1.5</v>
      </c>
      <c r="AK104" s="32">
        <f t="shared" si="78"/>
        <v>12586.543958333328</v>
      </c>
      <c r="AL104" s="4">
        <f t="shared" si="79"/>
        <v>0.23834978131655854</v>
      </c>
      <c r="AM104" s="4">
        <f t="shared" si="80"/>
        <v>0.7616502186834414</v>
      </c>
    </row>
    <row r="105" spans="3:39" hidden="1" x14ac:dyDescent="0.25">
      <c r="C105" s="1">
        <f t="shared" si="56"/>
        <v>2025</v>
      </c>
      <c r="D105" s="52">
        <f>+'Fisico ASIG'!B105</f>
        <v>45992</v>
      </c>
      <c r="E105" s="1">
        <v>4</v>
      </c>
      <c r="F105" s="1" t="s">
        <v>56</v>
      </c>
      <c r="G105" s="5">
        <v>46016</v>
      </c>
      <c r="H105" s="2">
        <v>5194.6765416666676</v>
      </c>
      <c r="I105" s="2">
        <v>1010.2592083333334</v>
      </c>
      <c r="J105" s="2">
        <v>226.88200000000001</v>
      </c>
      <c r="K105" s="2"/>
      <c r="L105" s="1">
        <v>0</v>
      </c>
      <c r="M105" s="35">
        <f t="shared" si="32"/>
        <v>6431.8177500000002</v>
      </c>
      <c r="N105" s="2">
        <v>12758.090916666659</v>
      </c>
      <c r="O105" s="2">
        <v>1358.9660416666666</v>
      </c>
      <c r="P105" s="2">
        <v>991.66000000000008</v>
      </c>
      <c r="Q105" s="2"/>
      <c r="R105" s="1">
        <v>0</v>
      </c>
      <c r="S105" s="35">
        <f t="shared" si="33"/>
        <v>15108.716958333325</v>
      </c>
      <c r="T105" s="2">
        <v>0</v>
      </c>
      <c r="U105" s="2">
        <v>188.37783333333334</v>
      </c>
      <c r="V105" s="2">
        <v>1565.2208333333331</v>
      </c>
      <c r="W105" s="45">
        <f t="shared" si="57"/>
        <v>1753.5986666666663</v>
      </c>
      <c r="X105" s="2">
        <v>0</v>
      </c>
      <c r="Y105" s="2">
        <v>525</v>
      </c>
      <c r="Z105" s="2">
        <v>0</v>
      </c>
      <c r="AA105" s="45">
        <f t="shared" si="34"/>
        <v>525</v>
      </c>
      <c r="AC105" s="39">
        <v>3000</v>
      </c>
      <c r="AD105" s="40">
        <f t="shared" si="74"/>
        <v>9758.0909166666588</v>
      </c>
      <c r="AE105" s="1">
        <f t="shared" si="75"/>
        <v>13.200000000000001</v>
      </c>
      <c r="AF105" s="1">
        <f t="shared" si="76"/>
        <v>18</v>
      </c>
      <c r="AG105" s="41">
        <f t="shared" si="77"/>
        <v>16.871304484812189</v>
      </c>
      <c r="AI105">
        <v>1.1000000000000001</v>
      </c>
      <c r="AJ105">
        <v>1.5</v>
      </c>
      <c r="AK105" s="32">
        <f t="shared" si="78"/>
        <v>12758.090916666659</v>
      </c>
      <c r="AL105" s="4">
        <f t="shared" si="79"/>
        <v>0.23514489899746052</v>
      </c>
      <c r="AM105" s="4">
        <f t="shared" si="80"/>
        <v>0.76485510100253951</v>
      </c>
    </row>
    <row r="106" spans="3:39" hidden="1" x14ac:dyDescent="0.25">
      <c r="C106" s="1">
        <f t="shared" si="56"/>
        <v>2025</v>
      </c>
      <c r="D106" s="52">
        <f>+'Fisico ASIG'!B106</f>
        <v>45992</v>
      </c>
      <c r="E106" s="1">
        <v>16</v>
      </c>
      <c r="F106" s="1" t="s">
        <v>57</v>
      </c>
      <c r="G106" s="5">
        <v>46017</v>
      </c>
      <c r="H106" s="2">
        <v>6257.8996250000009</v>
      </c>
      <c r="I106" s="2">
        <v>1281.4529166666666</v>
      </c>
      <c r="J106" s="2">
        <v>368.06666666666666</v>
      </c>
      <c r="K106" s="2"/>
      <c r="L106" s="1">
        <v>0</v>
      </c>
      <c r="M106" s="35">
        <f t="shared" si="32"/>
        <v>7907.4192083333337</v>
      </c>
      <c r="N106" s="2">
        <v>12702.743958333331</v>
      </c>
      <c r="O106" s="2">
        <v>1375.9681666666665</v>
      </c>
      <c r="P106" s="2">
        <v>991.66000000000008</v>
      </c>
      <c r="Q106" s="2"/>
      <c r="R106" s="1">
        <v>0</v>
      </c>
      <c r="S106" s="35">
        <f t="shared" si="33"/>
        <v>15070.372124999998</v>
      </c>
      <c r="T106" s="2">
        <v>0</v>
      </c>
      <c r="U106" s="2">
        <v>187.7559583333333</v>
      </c>
      <c r="V106" s="2">
        <v>1934.3798750000005</v>
      </c>
      <c r="W106" s="45">
        <f t="shared" si="57"/>
        <v>2122.1358333333337</v>
      </c>
      <c r="X106" s="2">
        <v>0</v>
      </c>
      <c r="Y106" s="2">
        <v>525</v>
      </c>
      <c r="Z106" s="2">
        <v>0</v>
      </c>
      <c r="AA106" s="45">
        <f t="shared" si="34"/>
        <v>525</v>
      </c>
      <c r="AC106" s="39">
        <v>3000</v>
      </c>
      <c r="AD106" s="40">
        <f t="shared" si="74"/>
        <v>9702.7439583333307</v>
      </c>
      <c r="AE106" s="1">
        <f t="shared" si="75"/>
        <v>13.200000000000001</v>
      </c>
      <c r="AF106" s="1">
        <f t="shared" si="76"/>
        <v>18</v>
      </c>
      <c r="AG106" s="41">
        <f t="shared" si="77"/>
        <v>16.866386660454317</v>
      </c>
      <c r="AI106">
        <v>1.1000000000000001</v>
      </c>
      <c r="AJ106">
        <v>1.5</v>
      </c>
      <c r="AK106" s="32">
        <f t="shared" si="78"/>
        <v>12702.743958333331</v>
      </c>
      <c r="AL106" s="4">
        <f t="shared" si="79"/>
        <v>0.23616944573868404</v>
      </c>
      <c r="AM106" s="4">
        <f t="shared" si="80"/>
        <v>0.76383055426131596</v>
      </c>
    </row>
    <row r="107" spans="3:39" hidden="1" x14ac:dyDescent="0.25">
      <c r="C107" s="1">
        <f t="shared" si="56"/>
        <v>2025</v>
      </c>
      <c r="D107" s="52">
        <f>+'Fisico ASIG'!B107</f>
        <v>45992</v>
      </c>
      <c r="E107" s="1">
        <v>6</v>
      </c>
      <c r="F107" s="1" t="s">
        <v>51</v>
      </c>
      <c r="G107" s="5">
        <v>46018</v>
      </c>
      <c r="H107" s="2">
        <v>6949.8318333333364</v>
      </c>
      <c r="I107" s="2">
        <v>1256.2105416666666</v>
      </c>
      <c r="J107" s="2">
        <v>374.98604166666678</v>
      </c>
      <c r="K107" s="2"/>
      <c r="L107" s="1">
        <v>0</v>
      </c>
      <c r="M107" s="35">
        <f t="shared" si="32"/>
        <v>8581.0284166666697</v>
      </c>
      <c r="N107" s="2">
        <v>12421.425249999993</v>
      </c>
      <c r="O107" s="2">
        <v>1359.2220416666664</v>
      </c>
      <c r="P107" s="2">
        <v>991.66000000000008</v>
      </c>
      <c r="Q107" s="2"/>
      <c r="R107" s="1">
        <v>0</v>
      </c>
      <c r="S107" s="35">
        <f t="shared" si="33"/>
        <v>14772.307291666659</v>
      </c>
      <c r="T107" s="2">
        <v>0</v>
      </c>
      <c r="U107" s="2">
        <v>186.92633333333333</v>
      </c>
      <c r="V107" s="2">
        <v>1526.0379583333331</v>
      </c>
      <c r="W107" s="45">
        <f t="shared" si="57"/>
        <v>1712.9642916666664</v>
      </c>
      <c r="X107" s="2">
        <v>0</v>
      </c>
      <c r="Y107" s="2">
        <v>525</v>
      </c>
      <c r="Z107" s="2">
        <v>0</v>
      </c>
      <c r="AA107" s="45">
        <f t="shared" si="34"/>
        <v>525</v>
      </c>
      <c r="AC107" s="39">
        <v>3000</v>
      </c>
      <c r="AD107" s="40">
        <f t="shared" si="74"/>
        <v>9421.425249999993</v>
      </c>
      <c r="AE107" s="1">
        <f t="shared" si="75"/>
        <v>13.200000000000001</v>
      </c>
      <c r="AF107" s="1">
        <f t="shared" si="76"/>
        <v>18</v>
      </c>
      <c r="AG107" s="41">
        <f t="shared" si="77"/>
        <v>16.840712743491331</v>
      </c>
      <c r="AI107">
        <v>1.1000000000000001</v>
      </c>
      <c r="AJ107">
        <v>1.5</v>
      </c>
      <c r="AK107" s="32">
        <f t="shared" si="78"/>
        <v>12421.425249999993</v>
      </c>
      <c r="AL107" s="4">
        <f t="shared" si="79"/>
        <v>0.24151817843930604</v>
      </c>
      <c r="AM107" s="4">
        <f t="shared" si="80"/>
        <v>0.75848182156069399</v>
      </c>
    </row>
    <row r="108" spans="3:39" hidden="1" x14ac:dyDescent="0.25">
      <c r="C108" s="1">
        <f t="shared" si="56"/>
        <v>2025</v>
      </c>
      <c r="D108" s="52">
        <f>+'Fisico ASIG'!B108</f>
        <v>45992</v>
      </c>
      <c r="E108" s="1">
        <v>4</v>
      </c>
      <c r="F108" s="1" t="s">
        <v>52</v>
      </c>
      <c r="G108" s="5">
        <v>46019</v>
      </c>
      <c r="H108" s="2">
        <v>7004.0959166666671</v>
      </c>
      <c r="I108" s="2">
        <v>1183.8562083333334</v>
      </c>
      <c r="J108" s="2">
        <v>347.41258333333337</v>
      </c>
      <c r="K108" s="2"/>
      <c r="L108" s="1">
        <v>0</v>
      </c>
      <c r="M108" s="35">
        <f t="shared" si="32"/>
        <v>8535.3647083333344</v>
      </c>
      <c r="N108" s="2">
        <v>12497.186499999998</v>
      </c>
      <c r="O108" s="2">
        <v>1361.7164583333333</v>
      </c>
      <c r="P108" s="2">
        <v>991.66000000000008</v>
      </c>
      <c r="Q108" s="2"/>
      <c r="R108" s="1">
        <v>0</v>
      </c>
      <c r="S108" s="35">
        <f t="shared" si="33"/>
        <v>14850.562958333332</v>
      </c>
      <c r="T108" s="2">
        <v>0</v>
      </c>
      <c r="U108" s="2">
        <v>189.02979166666668</v>
      </c>
      <c r="V108" s="2">
        <v>1449.6933333333336</v>
      </c>
      <c r="W108" s="45">
        <f t="shared" si="57"/>
        <v>1638.7231250000002</v>
      </c>
      <c r="X108" s="2">
        <v>0</v>
      </c>
      <c r="Y108" s="2">
        <v>525</v>
      </c>
      <c r="Z108" s="2">
        <v>0</v>
      </c>
      <c r="AA108" s="45">
        <f t="shared" si="34"/>
        <v>525</v>
      </c>
      <c r="AC108" s="39">
        <v>3000</v>
      </c>
      <c r="AD108" s="40">
        <f t="shared" si="74"/>
        <v>9497.186499999998</v>
      </c>
      <c r="AE108" s="1">
        <f t="shared" si="75"/>
        <v>13.200000000000001</v>
      </c>
      <c r="AF108" s="1">
        <f t="shared" si="76"/>
        <v>18</v>
      </c>
      <c r="AG108" s="41">
        <f t="shared" si="77"/>
        <v>16.847740649465383</v>
      </c>
      <c r="AI108">
        <v>1.1000000000000001</v>
      </c>
      <c r="AJ108">
        <v>1.5</v>
      </c>
      <c r="AK108" s="32">
        <f t="shared" si="78"/>
        <v>12497.186499999998</v>
      </c>
      <c r="AL108" s="4">
        <f t="shared" si="79"/>
        <v>0.24005403136137884</v>
      </c>
      <c r="AM108" s="4">
        <f t="shared" si="80"/>
        <v>0.75994596863862118</v>
      </c>
    </row>
    <row r="109" spans="3:39" hidden="1" x14ac:dyDescent="0.25">
      <c r="C109" s="1">
        <f t="shared" si="56"/>
        <v>2025</v>
      </c>
      <c r="D109" s="52">
        <f>+'Fisico ASIG'!B109</f>
        <v>45992</v>
      </c>
      <c r="E109" s="1">
        <v>16</v>
      </c>
      <c r="F109" s="1" t="s">
        <v>53</v>
      </c>
      <c r="G109" s="5">
        <v>46020</v>
      </c>
      <c r="H109" s="2">
        <v>7705.122208333335</v>
      </c>
      <c r="I109" s="2">
        <v>1174.8919166666665</v>
      </c>
      <c r="J109" s="2">
        <v>342.90858333333335</v>
      </c>
      <c r="K109" s="2"/>
      <c r="L109" s="1">
        <v>0</v>
      </c>
      <c r="M109" s="35">
        <f t="shared" si="32"/>
        <v>9222.9227083333353</v>
      </c>
      <c r="N109" s="2">
        <v>12169.251874999994</v>
      </c>
      <c r="O109" s="2">
        <v>1349.5107916666664</v>
      </c>
      <c r="P109" s="2">
        <v>991.66000000000008</v>
      </c>
      <c r="Q109" s="2"/>
      <c r="R109" s="1">
        <v>0</v>
      </c>
      <c r="S109" s="35">
        <f t="shared" si="33"/>
        <v>14510.42266666666</v>
      </c>
      <c r="T109" s="2">
        <v>0</v>
      </c>
      <c r="U109" s="2">
        <v>186.89704166666672</v>
      </c>
      <c r="V109" s="2">
        <v>1469.5885416666665</v>
      </c>
      <c r="W109" s="45">
        <f t="shared" si="57"/>
        <v>1656.4855833333331</v>
      </c>
      <c r="X109" s="2">
        <v>0</v>
      </c>
      <c r="Y109" s="2">
        <v>525</v>
      </c>
      <c r="Z109" s="2">
        <v>0</v>
      </c>
      <c r="AA109" s="45">
        <f t="shared" si="34"/>
        <v>525</v>
      </c>
      <c r="AC109" s="39">
        <v>3000</v>
      </c>
      <c r="AD109" s="40">
        <f t="shared" ref="AD109:AD113" si="81">+N109-AC109</f>
        <v>9169.2518749999945</v>
      </c>
      <c r="AE109" s="1">
        <f t="shared" ref="AE109:AE113" si="82">12*AI109</f>
        <v>13.200000000000001</v>
      </c>
      <c r="AF109" s="1">
        <f t="shared" ref="AF109:AF113" si="83">12*AJ109</f>
        <v>18</v>
      </c>
      <c r="AG109" s="41">
        <f t="shared" ref="AG109:AG113" si="84">+(AC109*AE109+AF109*AD109)/SUM(AC109:AD109)</f>
        <v>16.816689789321991</v>
      </c>
      <c r="AI109">
        <v>1.1000000000000001</v>
      </c>
      <c r="AJ109">
        <v>1.5</v>
      </c>
      <c r="AK109" s="32">
        <f t="shared" ref="AK109:AK113" si="85">+AC109+AD109</f>
        <v>12169.251874999994</v>
      </c>
      <c r="AL109" s="4">
        <f t="shared" ref="AL109:AL113" si="86">+AC109/AK109</f>
        <v>0.24652296055791856</v>
      </c>
      <c r="AM109" s="4">
        <f t="shared" ref="AM109:AM113" si="87">+AD109/AK109</f>
        <v>0.75347703944208144</v>
      </c>
    </row>
    <row r="110" spans="3:39" hidden="1" x14ac:dyDescent="0.25">
      <c r="C110" s="1">
        <f t="shared" si="56"/>
        <v>2025</v>
      </c>
      <c r="D110" s="52">
        <f>+'Fisico ASIG'!B110</f>
        <v>45992</v>
      </c>
      <c r="E110" s="1">
        <v>16</v>
      </c>
      <c r="F110" s="1" t="s">
        <v>54</v>
      </c>
      <c r="G110" s="5">
        <v>46021</v>
      </c>
      <c r="H110" s="2">
        <v>8145.1965000000055</v>
      </c>
      <c r="I110" s="2">
        <v>1206.2672916666668</v>
      </c>
      <c r="J110" s="2">
        <v>321.16779166666663</v>
      </c>
      <c r="K110" s="2"/>
      <c r="L110" s="1">
        <v>0</v>
      </c>
      <c r="M110" s="35">
        <f t="shared" si="32"/>
        <v>9672.6315833333392</v>
      </c>
      <c r="N110" s="2">
        <v>11787.75041666666</v>
      </c>
      <c r="O110" s="2">
        <v>1339.6349583333335</v>
      </c>
      <c r="P110" s="2">
        <v>991.66000000000008</v>
      </c>
      <c r="Q110" s="2"/>
      <c r="R110" s="1">
        <v>0</v>
      </c>
      <c r="S110" s="35">
        <f t="shared" si="33"/>
        <v>14119.045374999994</v>
      </c>
      <c r="T110" s="2">
        <v>0</v>
      </c>
      <c r="U110" s="2">
        <v>188.0086666666667</v>
      </c>
      <c r="V110" s="2">
        <v>1530.8744583333337</v>
      </c>
      <c r="W110" s="45">
        <f t="shared" si="57"/>
        <v>1718.8831250000003</v>
      </c>
      <c r="X110" s="2">
        <v>0</v>
      </c>
      <c r="Y110" s="2">
        <v>525</v>
      </c>
      <c r="Z110" s="2">
        <v>0</v>
      </c>
      <c r="AA110" s="45">
        <f t="shared" si="34"/>
        <v>525</v>
      </c>
      <c r="AC110" s="39">
        <v>3000</v>
      </c>
      <c r="AD110" s="40">
        <f t="shared" si="81"/>
        <v>8787.7504166666604</v>
      </c>
      <c r="AE110" s="1">
        <f t="shared" si="82"/>
        <v>13.200000000000001</v>
      </c>
      <c r="AF110" s="1">
        <f t="shared" si="83"/>
        <v>18</v>
      </c>
      <c r="AG110" s="41">
        <f t="shared" si="84"/>
        <v>16.778392866238509</v>
      </c>
      <c r="AI110">
        <v>1.1000000000000001</v>
      </c>
      <c r="AJ110">
        <v>1.5</v>
      </c>
      <c r="AK110" s="32">
        <f t="shared" si="85"/>
        <v>11787.75041666666</v>
      </c>
      <c r="AL110" s="4">
        <f t="shared" si="86"/>
        <v>0.25450148620031099</v>
      </c>
      <c r="AM110" s="4">
        <f t="shared" si="87"/>
        <v>0.74549851379968901</v>
      </c>
    </row>
    <row r="111" spans="3:39" hidden="1" x14ac:dyDescent="0.25">
      <c r="C111" s="1">
        <f t="shared" si="56"/>
        <v>2025</v>
      </c>
      <c r="D111" s="52">
        <f>+'Fisico ASIG'!B111</f>
        <v>45992</v>
      </c>
      <c r="E111" s="1">
        <v>16</v>
      </c>
      <c r="F111" s="1" t="s">
        <v>55</v>
      </c>
      <c r="G111" s="5">
        <v>46022</v>
      </c>
      <c r="H111" s="2">
        <v>7251.7055833333343</v>
      </c>
      <c r="I111" s="2">
        <v>1294.5096666666668</v>
      </c>
      <c r="J111" s="2">
        <v>301.9197916666667</v>
      </c>
      <c r="K111" s="2"/>
      <c r="L111" s="1">
        <v>0</v>
      </c>
      <c r="M111" s="35">
        <f t="shared" si="32"/>
        <v>8848.1350416666683</v>
      </c>
      <c r="N111" s="2">
        <v>11227.783541666658</v>
      </c>
      <c r="O111" s="2">
        <v>1342.5555833333335</v>
      </c>
      <c r="P111" s="2">
        <v>953.29183333333344</v>
      </c>
      <c r="Q111" s="2"/>
      <c r="R111" s="1">
        <v>0</v>
      </c>
      <c r="S111" s="35">
        <f t="shared" si="33"/>
        <v>13523.630958333324</v>
      </c>
      <c r="T111" s="2">
        <v>0</v>
      </c>
      <c r="U111" s="2">
        <v>188.50637500000002</v>
      </c>
      <c r="V111" s="2">
        <v>1666.515333333333</v>
      </c>
      <c r="W111" s="45">
        <f t="shared" si="57"/>
        <v>1855.021708333333</v>
      </c>
      <c r="X111" s="2">
        <v>0</v>
      </c>
      <c r="Y111" s="2">
        <v>525</v>
      </c>
      <c r="Z111" s="2">
        <v>0</v>
      </c>
      <c r="AA111" s="45">
        <f t="shared" si="34"/>
        <v>525</v>
      </c>
      <c r="AC111" s="39">
        <v>3000</v>
      </c>
      <c r="AD111" s="40">
        <f t="shared" si="81"/>
        <v>8227.7835416666585</v>
      </c>
      <c r="AE111" s="1">
        <f t="shared" si="82"/>
        <v>13.200000000000001</v>
      </c>
      <c r="AF111" s="1">
        <f t="shared" si="83"/>
        <v>18</v>
      </c>
      <c r="AG111" s="41">
        <f t="shared" si="84"/>
        <v>16.717467259093379</v>
      </c>
      <c r="AI111">
        <v>1.1000000000000001</v>
      </c>
      <c r="AJ111">
        <v>1.5</v>
      </c>
      <c r="AK111" s="32">
        <f t="shared" si="85"/>
        <v>11227.783541666658</v>
      </c>
      <c r="AL111" s="4">
        <f t="shared" si="86"/>
        <v>0.26719432102221291</v>
      </c>
      <c r="AM111" s="4">
        <f t="shared" si="87"/>
        <v>0.73280567897778703</v>
      </c>
    </row>
    <row r="112" spans="3:39" x14ac:dyDescent="0.25">
      <c r="C112" s="1">
        <f t="shared" si="56"/>
        <v>2026</v>
      </c>
      <c r="D112" s="52">
        <f>+'Fisico ASIG'!B112</f>
        <v>46023</v>
      </c>
      <c r="E112" s="1">
        <v>4</v>
      </c>
      <c r="F112" s="1" t="s">
        <v>56</v>
      </c>
      <c r="G112" s="5">
        <v>46023</v>
      </c>
      <c r="H112" s="107">
        <v>5694.1821666666638</v>
      </c>
      <c r="I112" s="107">
        <v>1141.6510000000001</v>
      </c>
      <c r="J112" s="107">
        <v>272.411</v>
      </c>
      <c r="K112" s="107"/>
      <c r="L112" s="107">
        <v>0</v>
      </c>
      <c r="M112" s="111">
        <f t="shared" si="32"/>
        <v>7108.2441666666637</v>
      </c>
      <c r="N112" s="107">
        <v>12494.390208333332</v>
      </c>
      <c r="O112" s="107">
        <v>1352.1452499999998</v>
      </c>
      <c r="P112" s="107">
        <v>991.78983333333338</v>
      </c>
      <c r="Q112" s="107"/>
      <c r="R112" s="107">
        <v>0</v>
      </c>
      <c r="S112" s="111">
        <f t="shared" si="33"/>
        <v>14838.325291666666</v>
      </c>
      <c r="T112" s="107">
        <v>0</v>
      </c>
      <c r="U112" s="107">
        <v>191.22058333333334</v>
      </c>
      <c r="V112" s="107">
        <v>1459.4038333333333</v>
      </c>
      <c r="W112" s="112">
        <f t="shared" si="57"/>
        <v>1650.6244166666665</v>
      </c>
      <c r="X112" s="107">
        <v>0</v>
      </c>
      <c r="Y112" s="107">
        <v>525</v>
      </c>
      <c r="Z112" s="107">
        <v>0</v>
      </c>
      <c r="AA112" s="112">
        <f t="shared" si="34"/>
        <v>525</v>
      </c>
      <c r="AC112" s="39">
        <v>3000</v>
      </c>
      <c r="AD112" s="40">
        <f t="shared" si="81"/>
        <v>9494.3902083333323</v>
      </c>
      <c r="AE112" s="1">
        <f t="shared" si="82"/>
        <v>13.200000000000001</v>
      </c>
      <c r="AF112" s="1">
        <f t="shared" si="83"/>
        <v>18</v>
      </c>
      <c r="AG112" s="41">
        <f t="shared" si="84"/>
        <v>16.847482769475562</v>
      </c>
      <c r="AI112">
        <v>1.1000000000000001</v>
      </c>
      <c r="AJ112">
        <v>1.5</v>
      </c>
      <c r="AK112" s="32">
        <f t="shared" si="85"/>
        <v>12494.390208333332</v>
      </c>
      <c r="AL112" s="4">
        <f t="shared" si="86"/>
        <v>0.2401077563592581</v>
      </c>
      <c r="AM112" s="4">
        <f t="shared" si="87"/>
        <v>0.75989224364074193</v>
      </c>
    </row>
    <row r="113" spans="3:39" x14ac:dyDescent="0.25">
      <c r="C113" s="1">
        <f t="shared" si="56"/>
        <v>2026</v>
      </c>
      <c r="D113" s="52">
        <f>+'Fisico ASIG'!B113</f>
        <v>46023</v>
      </c>
      <c r="E113" s="1">
        <v>16</v>
      </c>
      <c r="F113" s="1" t="s">
        <v>57</v>
      </c>
      <c r="G113" s="5">
        <v>46024</v>
      </c>
      <c r="H113" s="107">
        <v>6536.1435833333371</v>
      </c>
      <c r="I113" s="107">
        <v>1148.9127916666666</v>
      </c>
      <c r="J113" s="107">
        <v>371.75025000000005</v>
      </c>
      <c r="K113" s="107"/>
      <c r="L113" s="107">
        <v>0</v>
      </c>
      <c r="M113" s="111">
        <f t="shared" si="32"/>
        <v>8056.8066250000038</v>
      </c>
      <c r="N113" s="107">
        <v>12625.99745833333</v>
      </c>
      <c r="O113" s="107">
        <v>1345.8024583333333</v>
      </c>
      <c r="P113" s="107">
        <v>992.05533333333335</v>
      </c>
      <c r="Q113" s="107"/>
      <c r="R113" s="107">
        <v>0</v>
      </c>
      <c r="S113" s="111">
        <f t="shared" si="33"/>
        <v>14963.855249999997</v>
      </c>
      <c r="T113" s="107">
        <v>0</v>
      </c>
      <c r="U113" s="107">
        <v>189.28845833333335</v>
      </c>
      <c r="V113" s="107">
        <v>1540.0257083333333</v>
      </c>
      <c r="W113" s="112">
        <f t="shared" si="57"/>
        <v>1729.3141666666668</v>
      </c>
      <c r="X113" s="107">
        <v>0</v>
      </c>
      <c r="Y113" s="107">
        <v>525</v>
      </c>
      <c r="Z113" s="107">
        <v>0</v>
      </c>
      <c r="AA113" s="112">
        <f t="shared" si="34"/>
        <v>525</v>
      </c>
      <c r="AC113" s="39">
        <v>3000</v>
      </c>
      <c r="AD113" s="40">
        <f t="shared" si="81"/>
        <v>9625.9974583333296</v>
      </c>
      <c r="AE113" s="1">
        <f t="shared" si="82"/>
        <v>13.200000000000001</v>
      </c>
      <c r="AF113" s="1">
        <f t="shared" si="83"/>
        <v>18</v>
      </c>
      <c r="AG113" s="41">
        <f t="shared" si="84"/>
        <v>16.85949604793435</v>
      </c>
      <c r="AI113">
        <v>1.1000000000000001</v>
      </c>
      <c r="AJ113">
        <v>1.5</v>
      </c>
      <c r="AK113" s="32">
        <f t="shared" si="85"/>
        <v>12625.99745833333</v>
      </c>
      <c r="AL113" s="4">
        <f t="shared" si="86"/>
        <v>0.23760499001367685</v>
      </c>
      <c r="AM113" s="4">
        <f t="shared" si="87"/>
        <v>0.76239500998632315</v>
      </c>
    </row>
    <row r="114" spans="3:39" x14ac:dyDescent="0.25">
      <c r="C114" s="1">
        <f t="shared" si="56"/>
        <v>2026</v>
      </c>
      <c r="D114" s="52">
        <f>+'Fisico ASIG'!B114</f>
        <v>46023</v>
      </c>
      <c r="E114" s="1">
        <v>6</v>
      </c>
      <c r="F114" s="1" t="s">
        <v>51</v>
      </c>
      <c r="G114" s="5">
        <v>46025</v>
      </c>
      <c r="H114" s="107">
        <v>5180.3701666666657</v>
      </c>
      <c r="I114" s="107">
        <v>1000.6248333333334</v>
      </c>
      <c r="J114" s="107">
        <v>369.88933333333335</v>
      </c>
      <c r="K114" s="107"/>
      <c r="L114" s="107">
        <v>0</v>
      </c>
      <c r="M114" s="111">
        <f t="shared" ref="M114:M143" si="88">SUM(H114:L114)</f>
        <v>6550.8843333333325</v>
      </c>
      <c r="N114" s="107">
        <v>12734.728624999998</v>
      </c>
      <c r="O114" s="107">
        <v>1349.2882499999998</v>
      </c>
      <c r="P114" s="107">
        <v>992.13887499999998</v>
      </c>
      <c r="Q114" s="107"/>
      <c r="R114" s="107">
        <v>0</v>
      </c>
      <c r="S114" s="111">
        <f t="shared" ref="S114:S177" si="89">SUM(N114:R114)</f>
        <v>15076.155749999998</v>
      </c>
      <c r="T114" s="107">
        <v>0</v>
      </c>
      <c r="U114" s="107">
        <v>193.76908333333336</v>
      </c>
      <c r="V114" s="107">
        <v>1477.1644583333332</v>
      </c>
      <c r="W114" s="112">
        <f t="shared" si="57"/>
        <v>1670.9335416666665</v>
      </c>
      <c r="X114" s="107">
        <v>0</v>
      </c>
      <c r="Y114" s="107">
        <v>525</v>
      </c>
      <c r="Z114" s="107">
        <v>0</v>
      </c>
      <c r="AA114" s="112">
        <f t="shared" ref="AA114:AA177" si="90">SUM(X114:Z114)</f>
        <v>525</v>
      </c>
      <c r="AC114" s="39">
        <v>3000</v>
      </c>
      <c r="AD114" s="40">
        <f t="shared" ref="AD114:AD122" si="91">+N114-AC114</f>
        <v>9734.7286249999979</v>
      </c>
      <c r="AE114" s="1">
        <f t="shared" ref="AE114:AE122" si="92">12*AI114</f>
        <v>13.200000000000001</v>
      </c>
      <c r="AF114" s="1">
        <f t="shared" ref="AF114:AF122" si="93">12*AJ114</f>
        <v>18</v>
      </c>
      <c r="AG114" s="41">
        <f t="shared" ref="AG114:AG122" si="94">+(AC114*AE114+AF114*AD114)/SUM(AC114:AD114)</f>
        <v>16.869233854600495</v>
      </c>
      <c r="AI114">
        <v>1.1000000000000001</v>
      </c>
      <c r="AJ114">
        <v>1.5</v>
      </c>
      <c r="AK114" s="32">
        <f t="shared" ref="AK114:AK121" si="95">+AC114+AD114</f>
        <v>12734.728624999998</v>
      </c>
      <c r="AL114" s="4">
        <f t="shared" ref="AL114:AL121" si="96">+AC114/AK114</f>
        <v>0.23557628029156377</v>
      </c>
      <c r="AM114" s="4">
        <f t="shared" ref="AM114:AM121" si="97">+AD114/AK114</f>
        <v>0.76442371970843626</v>
      </c>
    </row>
    <row r="115" spans="3:39" x14ac:dyDescent="0.25">
      <c r="C115" s="1">
        <f t="shared" si="56"/>
        <v>2026</v>
      </c>
      <c r="D115" s="52">
        <f>+'Fisico ASIG'!B115</f>
        <v>46023</v>
      </c>
      <c r="E115" s="1">
        <v>4</v>
      </c>
      <c r="F115" s="1" t="s">
        <v>52</v>
      </c>
      <c r="G115" s="5">
        <v>46026</v>
      </c>
      <c r="H115" s="107">
        <v>4426.3187916666657</v>
      </c>
      <c r="I115" s="107">
        <v>708.86991666666665</v>
      </c>
      <c r="J115" s="107">
        <v>400.56058333333334</v>
      </c>
      <c r="K115" s="107"/>
      <c r="L115" s="107">
        <v>0</v>
      </c>
      <c r="M115" s="111">
        <f>SUM(H115:L115)</f>
        <v>5535.7492916666652</v>
      </c>
      <c r="N115" s="107">
        <v>12733.695041666664</v>
      </c>
      <c r="O115" s="107">
        <v>1081.7781249999998</v>
      </c>
      <c r="P115" s="107">
        <v>991.93074999999999</v>
      </c>
      <c r="Q115" s="107"/>
      <c r="R115" s="107">
        <v>0</v>
      </c>
      <c r="S115" s="111">
        <f t="shared" si="89"/>
        <v>14807.403916666663</v>
      </c>
      <c r="T115" s="107">
        <v>0</v>
      </c>
      <c r="U115" s="107">
        <v>190.86699999999999</v>
      </c>
      <c r="V115" s="107">
        <v>1022.6011666666666</v>
      </c>
      <c r="W115" s="112">
        <f t="shared" si="57"/>
        <v>1213.4681666666665</v>
      </c>
      <c r="X115" s="107">
        <v>0</v>
      </c>
      <c r="Y115" s="107">
        <v>525</v>
      </c>
      <c r="Z115" s="107">
        <v>0</v>
      </c>
      <c r="AA115" s="112">
        <f t="shared" si="90"/>
        <v>525</v>
      </c>
      <c r="AC115" s="39">
        <v>3000</v>
      </c>
      <c r="AD115" s="40">
        <f t="shared" si="91"/>
        <v>9733.6950416666641</v>
      </c>
      <c r="AE115" s="1">
        <f t="shared" si="92"/>
        <v>13.200000000000001</v>
      </c>
      <c r="AF115" s="1">
        <f t="shared" si="93"/>
        <v>18</v>
      </c>
      <c r="AG115" s="41">
        <f t="shared" si="94"/>
        <v>16.86914207126204</v>
      </c>
      <c r="AI115">
        <v>1.1000000000000001</v>
      </c>
      <c r="AJ115">
        <v>1.5</v>
      </c>
      <c r="AK115" s="32">
        <f t="shared" si="95"/>
        <v>12733.695041666664</v>
      </c>
      <c r="AL115" s="4">
        <f t="shared" si="96"/>
        <v>0.23559540182040842</v>
      </c>
      <c r="AM115" s="4">
        <f t="shared" si="97"/>
        <v>0.76440459817959161</v>
      </c>
    </row>
    <row r="116" spans="3:39" x14ac:dyDescent="0.25">
      <c r="C116" s="1">
        <f t="shared" si="56"/>
        <v>2026</v>
      </c>
      <c r="D116" s="52">
        <f>+'Fisico ASIG'!B116</f>
        <v>46023</v>
      </c>
      <c r="E116" s="1">
        <v>16</v>
      </c>
      <c r="F116" s="1" t="s">
        <v>53</v>
      </c>
      <c r="G116" s="5">
        <v>46027</v>
      </c>
      <c r="H116" s="107">
        <v>5076.9667083333316</v>
      </c>
      <c r="I116" s="107">
        <v>901.27329166666675</v>
      </c>
      <c r="J116" s="107">
        <v>392.74795833333337</v>
      </c>
      <c r="K116" s="107"/>
      <c r="L116" s="107">
        <v>0</v>
      </c>
      <c r="M116" s="111">
        <f t="shared" si="88"/>
        <v>6370.9879583333313</v>
      </c>
      <c r="N116" s="107">
        <v>12698.565541666661</v>
      </c>
      <c r="O116" s="107">
        <v>1296.8968333333335</v>
      </c>
      <c r="P116" s="107">
        <v>991.75529166666672</v>
      </c>
      <c r="Q116" s="107"/>
      <c r="R116" s="107">
        <v>0</v>
      </c>
      <c r="S116" s="111">
        <f t="shared" si="89"/>
        <v>14987.217666666662</v>
      </c>
      <c r="T116" s="107">
        <v>0</v>
      </c>
      <c r="U116" s="107">
        <v>189.18725000000003</v>
      </c>
      <c r="V116" s="107">
        <v>1768.1955833333336</v>
      </c>
      <c r="W116" s="112">
        <f t="shared" si="57"/>
        <v>1957.3828333333336</v>
      </c>
      <c r="X116" s="107">
        <v>0</v>
      </c>
      <c r="Y116" s="107">
        <v>525</v>
      </c>
      <c r="Z116" s="107">
        <v>0</v>
      </c>
      <c r="AA116" s="112">
        <f t="shared" si="90"/>
        <v>525</v>
      </c>
      <c r="AC116" s="39">
        <v>3000</v>
      </c>
      <c r="AD116" s="40">
        <f t="shared" si="91"/>
        <v>9698.5655416666614</v>
      </c>
      <c r="AE116" s="1">
        <f t="shared" si="92"/>
        <v>13.200000000000001</v>
      </c>
      <c r="AF116" s="1">
        <f t="shared" si="93"/>
        <v>18</v>
      </c>
      <c r="AG116" s="41">
        <f t="shared" si="94"/>
        <v>16.866013649120401</v>
      </c>
      <c r="AI116">
        <v>1.1000000000000001</v>
      </c>
      <c r="AJ116">
        <v>1.5</v>
      </c>
      <c r="AK116" s="32">
        <f t="shared" si="95"/>
        <v>12698.565541666661</v>
      </c>
      <c r="AL116" s="4">
        <f t="shared" si="96"/>
        <v>0.23624715643324987</v>
      </c>
      <c r="AM116" s="4">
        <f t="shared" si="97"/>
        <v>0.76375284356675011</v>
      </c>
    </row>
    <row r="117" spans="3:39" x14ac:dyDescent="0.25">
      <c r="C117" s="1">
        <f t="shared" si="56"/>
        <v>2026</v>
      </c>
      <c r="D117" s="52">
        <f>+'Fisico ASIG'!B117</f>
        <v>46023</v>
      </c>
      <c r="E117" s="1">
        <v>16</v>
      </c>
      <c r="F117" s="1" t="s">
        <v>54</v>
      </c>
      <c r="G117" s="5">
        <v>46028</v>
      </c>
      <c r="H117" s="107">
        <v>5802.1194583333336</v>
      </c>
      <c r="I117" s="107">
        <v>930.18458333333342</v>
      </c>
      <c r="J117" s="107">
        <v>401.51150000000007</v>
      </c>
      <c r="K117" s="107"/>
      <c r="L117" s="107">
        <v>0</v>
      </c>
      <c r="M117" s="111">
        <f t="shared" si="88"/>
        <v>7133.8155416666668</v>
      </c>
      <c r="N117" s="107">
        <v>12717.819166666661</v>
      </c>
      <c r="O117" s="107">
        <v>1277.4840833333333</v>
      </c>
      <c r="P117" s="107">
        <v>989.90350000000001</v>
      </c>
      <c r="Q117" s="107"/>
      <c r="R117" s="107">
        <v>0</v>
      </c>
      <c r="S117" s="111">
        <f t="shared" si="89"/>
        <v>14985.206749999994</v>
      </c>
      <c r="T117" s="107">
        <v>0</v>
      </c>
      <c r="U117" s="107">
        <v>190.22308333333339</v>
      </c>
      <c r="V117" s="107">
        <v>1853.306458333333</v>
      </c>
      <c r="W117" s="112">
        <f t="shared" si="57"/>
        <v>2043.5295416666663</v>
      </c>
      <c r="X117" s="107">
        <v>0</v>
      </c>
      <c r="Y117" s="107">
        <v>525</v>
      </c>
      <c r="Z117" s="107">
        <v>0</v>
      </c>
      <c r="AA117" s="112">
        <f t="shared" si="90"/>
        <v>525</v>
      </c>
      <c r="AC117" s="39">
        <v>3000</v>
      </c>
      <c r="AD117" s="40">
        <f t="shared" si="91"/>
        <v>9717.8191666666607</v>
      </c>
      <c r="AE117" s="1">
        <f t="shared" si="92"/>
        <v>13.200000000000001</v>
      </c>
      <c r="AF117" s="1">
        <f t="shared" si="93"/>
        <v>18</v>
      </c>
      <c r="AG117" s="41">
        <f t="shared" si="94"/>
        <v>16.867730401628737</v>
      </c>
      <c r="AI117">
        <v>1.1000000000000001</v>
      </c>
      <c r="AJ117">
        <v>1.5</v>
      </c>
      <c r="AK117" s="32">
        <f t="shared" si="95"/>
        <v>12717.819166666661</v>
      </c>
      <c r="AL117" s="4">
        <f t="shared" si="96"/>
        <v>0.23588949966067962</v>
      </c>
      <c r="AM117" s="4">
        <f t="shared" si="97"/>
        <v>0.76411050033932038</v>
      </c>
    </row>
    <row r="118" spans="3:39" x14ac:dyDescent="0.25">
      <c r="C118" s="1">
        <f t="shared" ref="C118:C124" si="98">YEAR(G118)</f>
        <v>2026</v>
      </c>
      <c r="D118" s="52">
        <f>+'Fisico ASIG'!B118</f>
        <v>46023</v>
      </c>
      <c r="E118" s="1">
        <v>16</v>
      </c>
      <c r="F118" s="1" t="s">
        <v>55</v>
      </c>
      <c r="G118" s="5">
        <v>46029</v>
      </c>
      <c r="H118" s="107">
        <v>6049.6004166666662</v>
      </c>
      <c r="I118" s="107">
        <v>999.26324999999997</v>
      </c>
      <c r="J118" s="107">
        <v>391.0567916666667</v>
      </c>
      <c r="K118" s="107"/>
      <c r="L118" s="107">
        <v>0</v>
      </c>
      <c r="M118" s="111">
        <f t="shared" si="88"/>
        <v>7439.920458333333</v>
      </c>
      <c r="N118" s="107">
        <v>12880.418541666666</v>
      </c>
      <c r="O118" s="107">
        <v>1291.5996250000001</v>
      </c>
      <c r="P118" s="107">
        <v>991.90358333333336</v>
      </c>
      <c r="Q118" s="107"/>
      <c r="R118" s="107">
        <v>0</v>
      </c>
      <c r="S118" s="111">
        <f t="shared" si="89"/>
        <v>15163.92175</v>
      </c>
      <c r="T118" s="107">
        <v>0</v>
      </c>
      <c r="U118" s="107">
        <v>192.69054166666663</v>
      </c>
      <c r="V118" s="107">
        <v>1629.5864166666668</v>
      </c>
      <c r="W118" s="112">
        <f t="shared" si="57"/>
        <v>1822.2769583333334</v>
      </c>
      <c r="X118" s="107">
        <v>0</v>
      </c>
      <c r="Y118" s="107">
        <v>525</v>
      </c>
      <c r="Z118" s="107">
        <v>0</v>
      </c>
      <c r="AA118" s="112">
        <f t="shared" si="90"/>
        <v>525</v>
      </c>
      <c r="AC118" s="39">
        <v>3000</v>
      </c>
      <c r="AD118" s="40">
        <f t="shared" si="91"/>
        <v>9880.418541666666</v>
      </c>
      <c r="AE118" s="1">
        <f t="shared" si="92"/>
        <v>13.200000000000001</v>
      </c>
      <c r="AF118" s="1">
        <f t="shared" si="93"/>
        <v>18</v>
      </c>
      <c r="AG118" s="41">
        <f t="shared" si="94"/>
        <v>16.882023906799486</v>
      </c>
      <c r="AI118">
        <v>1.1000000000000001</v>
      </c>
      <c r="AJ118">
        <v>1.5</v>
      </c>
      <c r="AK118" s="32">
        <f t="shared" si="95"/>
        <v>12880.418541666666</v>
      </c>
      <c r="AL118" s="4">
        <f t="shared" si="96"/>
        <v>0.23291168608344104</v>
      </c>
      <c r="AM118" s="4">
        <f t="shared" si="97"/>
        <v>0.76708831391655896</v>
      </c>
    </row>
    <row r="119" spans="3:39" x14ac:dyDescent="0.25">
      <c r="C119" s="1">
        <f t="shared" si="98"/>
        <v>2026</v>
      </c>
      <c r="D119" s="52">
        <f>+'Fisico ASIG'!B119</f>
        <v>46023</v>
      </c>
      <c r="E119" s="1">
        <v>16</v>
      </c>
      <c r="F119" s="1" t="s">
        <v>56</v>
      </c>
      <c r="G119" s="5">
        <v>46030</v>
      </c>
      <c r="H119" s="107">
        <v>5271.6415416666659</v>
      </c>
      <c r="I119" s="107">
        <v>1038.3004583333334</v>
      </c>
      <c r="J119" s="107">
        <v>300.18212500000004</v>
      </c>
      <c r="K119" s="107"/>
      <c r="L119" s="107">
        <v>0</v>
      </c>
      <c r="M119" s="111">
        <f t="shared" si="88"/>
        <v>6610.1241249999994</v>
      </c>
      <c r="N119" s="107">
        <v>12961.326916666656</v>
      </c>
      <c r="O119" s="107">
        <v>1325.1554583333334</v>
      </c>
      <c r="P119" s="107">
        <v>991.66000000000008</v>
      </c>
      <c r="Q119" s="107"/>
      <c r="R119" s="107">
        <v>0</v>
      </c>
      <c r="S119" s="111">
        <f t="shared" si="89"/>
        <v>15278.142374999989</v>
      </c>
      <c r="T119" s="107">
        <v>0</v>
      </c>
      <c r="U119" s="107">
        <v>190.78183333333337</v>
      </c>
      <c r="V119" s="107">
        <v>1164.5545000000002</v>
      </c>
      <c r="W119" s="112">
        <f t="shared" si="57"/>
        <v>1355.3363333333336</v>
      </c>
      <c r="X119" s="107">
        <v>0</v>
      </c>
      <c r="Y119" s="107">
        <v>525</v>
      </c>
      <c r="Z119" s="107">
        <v>0</v>
      </c>
      <c r="AA119" s="112">
        <f t="shared" si="90"/>
        <v>525</v>
      </c>
      <c r="AC119" s="39">
        <v>3000</v>
      </c>
      <c r="AD119" s="40">
        <f t="shared" si="91"/>
        <v>9961.326916666656</v>
      </c>
      <c r="AE119" s="1">
        <f t="shared" si="92"/>
        <v>13.200000000000001</v>
      </c>
      <c r="AF119" s="1">
        <f t="shared" si="93"/>
        <v>18</v>
      </c>
      <c r="AG119" s="41">
        <f t="shared" si="94"/>
        <v>16.889002638959489</v>
      </c>
      <c r="AI119">
        <v>1.1000000000000001</v>
      </c>
      <c r="AJ119">
        <v>1.5</v>
      </c>
      <c r="AK119" s="32">
        <f t="shared" si="95"/>
        <v>12961.326916666656</v>
      </c>
      <c r="AL119" s="4">
        <f t="shared" si="96"/>
        <v>0.23145778355010649</v>
      </c>
      <c r="AM119" s="4">
        <f t="shared" si="97"/>
        <v>0.76854221644989351</v>
      </c>
    </row>
    <row r="120" spans="3:39" x14ac:dyDescent="0.25">
      <c r="C120" s="1">
        <f t="shared" si="98"/>
        <v>2026</v>
      </c>
      <c r="D120" s="52">
        <f>+'Fisico ASIG'!B120</f>
        <v>46023</v>
      </c>
      <c r="E120" s="1">
        <v>16</v>
      </c>
      <c r="F120" s="1" t="s">
        <v>57</v>
      </c>
      <c r="G120" s="5">
        <v>46031</v>
      </c>
      <c r="H120" s="107">
        <v>4903.1814166666645</v>
      </c>
      <c r="I120" s="107">
        <v>1054.7416666666666</v>
      </c>
      <c r="J120" s="107">
        <v>328.08129166666674</v>
      </c>
      <c r="K120" s="107">
        <v>9.4417968750000014</v>
      </c>
      <c r="L120" s="107">
        <v>0</v>
      </c>
      <c r="M120" s="111">
        <f t="shared" si="88"/>
        <v>6295.4461718749981</v>
      </c>
      <c r="N120" s="107">
        <v>12584.412624999986</v>
      </c>
      <c r="O120" s="107">
        <v>1401.3843750000001</v>
      </c>
      <c r="P120" s="107">
        <v>991.66000000000008</v>
      </c>
      <c r="Q120" s="107">
        <v>102.735</v>
      </c>
      <c r="R120" s="107">
        <v>0</v>
      </c>
      <c r="S120" s="111">
        <f t="shared" si="89"/>
        <v>15080.191999999986</v>
      </c>
      <c r="T120" s="107">
        <v>0</v>
      </c>
      <c r="U120" s="107">
        <v>186.59229166666671</v>
      </c>
      <c r="V120" s="107">
        <v>1124.7836666666669</v>
      </c>
      <c r="W120" s="112">
        <f t="shared" si="57"/>
        <v>1311.3759583333335</v>
      </c>
      <c r="X120" s="107">
        <v>0</v>
      </c>
      <c r="Y120" s="107">
        <v>525</v>
      </c>
      <c r="Z120" s="107">
        <v>0</v>
      </c>
      <c r="AA120" s="112">
        <f t="shared" si="90"/>
        <v>525</v>
      </c>
      <c r="AC120" s="39">
        <v>3000</v>
      </c>
      <c r="AD120" s="40">
        <f t="shared" si="91"/>
        <v>9584.4126249999863</v>
      </c>
      <c r="AE120" s="1">
        <f t="shared" si="92"/>
        <v>13.200000000000001</v>
      </c>
      <c r="AF120" s="1">
        <f t="shared" si="93"/>
        <v>18</v>
      </c>
      <c r="AG120" s="41">
        <f t="shared" si="94"/>
        <v>16.855727285086537</v>
      </c>
      <c r="AI120">
        <v>1.1000000000000001</v>
      </c>
      <c r="AJ120">
        <v>1.5</v>
      </c>
      <c r="AK120" s="32">
        <f t="shared" si="95"/>
        <v>12584.412624999986</v>
      </c>
      <c r="AL120" s="4">
        <f t="shared" si="96"/>
        <v>0.23839014894030489</v>
      </c>
      <c r="AM120" s="4">
        <f t="shared" si="97"/>
        <v>0.76160985105969514</v>
      </c>
    </row>
    <row r="121" spans="3:39" x14ac:dyDescent="0.25">
      <c r="C121" s="1">
        <f t="shared" si="98"/>
        <v>2026</v>
      </c>
      <c r="D121" s="52">
        <f>+'Fisico ASIG'!B121</f>
        <v>46023</v>
      </c>
      <c r="E121" s="1">
        <v>6</v>
      </c>
      <c r="F121" s="1" t="s">
        <v>51</v>
      </c>
      <c r="G121" s="5">
        <v>46032</v>
      </c>
      <c r="H121" s="107">
        <v>4174.5717500000001</v>
      </c>
      <c r="I121" s="107">
        <v>926.46383333333347</v>
      </c>
      <c r="J121" s="107">
        <v>387.14895833333338</v>
      </c>
      <c r="K121" s="107">
        <v>18.445599999999999</v>
      </c>
      <c r="L121" s="107">
        <v>0</v>
      </c>
      <c r="M121" s="111">
        <f t="shared" si="88"/>
        <v>5506.6301416666665</v>
      </c>
      <c r="N121" s="107">
        <v>12059.754583333335</v>
      </c>
      <c r="O121" s="107">
        <v>1430.4726666666666</v>
      </c>
      <c r="P121" s="107">
        <v>991.66000000000008</v>
      </c>
      <c r="Q121" s="107">
        <v>205.47</v>
      </c>
      <c r="R121" s="107">
        <v>0</v>
      </c>
      <c r="S121" s="111">
        <f t="shared" si="89"/>
        <v>14687.357250000001</v>
      </c>
      <c r="T121" s="107">
        <v>0</v>
      </c>
      <c r="U121" s="107">
        <v>188.35495833333331</v>
      </c>
      <c r="V121" s="107">
        <v>1092.1966249999998</v>
      </c>
      <c r="W121" s="112">
        <f t="shared" si="57"/>
        <v>1280.5515833333332</v>
      </c>
      <c r="X121" s="107">
        <v>0</v>
      </c>
      <c r="Y121" s="107">
        <v>525</v>
      </c>
      <c r="Z121" s="107">
        <v>0</v>
      </c>
      <c r="AA121" s="112">
        <f t="shared" si="90"/>
        <v>525</v>
      </c>
      <c r="AC121" s="39">
        <v>3000</v>
      </c>
      <c r="AD121" s="40">
        <f t="shared" si="91"/>
        <v>9059.7545833333352</v>
      </c>
      <c r="AE121" s="1">
        <f t="shared" si="92"/>
        <v>13.200000000000001</v>
      </c>
      <c r="AF121" s="1">
        <f t="shared" si="93"/>
        <v>18</v>
      </c>
      <c r="AG121" s="41">
        <f t="shared" si="94"/>
        <v>16.805945850680832</v>
      </c>
      <c r="AI121">
        <v>1.1000000000000001</v>
      </c>
      <c r="AJ121">
        <v>1.5</v>
      </c>
      <c r="AK121" s="32">
        <f t="shared" si="95"/>
        <v>12059.754583333335</v>
      </c>
      <c r="AL121" s="4">
        <f t="shared" si="96"/>
        <v>0.24876128110815959</v>
      </c>
      <c r="AM121" s="4">
        <f t="shared" si="97"/>
        <v>0.75123871889184035</v>
      </c>
    </row>
    <row r="122" spans="3:39" x14ac:dyDescent="0.25">
      <c r="C122" s="1">
        <f t="shared" si="98"/>
        <v>2026</v>
      </c>
      <c r="D122" s="52">
        <f>+'Fisico ASIG'!B122</f>
        <v>46023</v>
      </c>
      <c r="E122" s="1">
        <v>4</v>
      </c>
      <c r="F122" s="1" t="s">
        <v>52</v>
      </c>
      <c r="G122" s="5">
        <v>46033</v>
      </c>
      <c r="H122" s="107">
        <v>3937.5202499999996</v>
      </c>
      <c r="I122" s="107">
        <v>877.52575000000013</v>
      </c>
      <c r="J122" s="107">
        <v>344.1005833333333</v>
      </c>
      <c r="K122" s="107">
        <v>13.767331250000002</v>
      </c>
      <c r="L122" s="107">
        <v>0</v>
      </c>
      <c r="M122" s="111">
        <f t="shared" si="88"/>
        <v>5172.9139145833324</v>
      </c>
      <c r="N122" s="107">
        <v>12219.693333333333</v>
      </c>
      <c r="O122" s="107">
        <v>1375.1474583333334</v>
      </c>
      <c r="P122" s="107">
        <v>991.66000000000008</v>
      </c>
      <c r="Q122" s="107">
        <v>205.47</v>
      </c>
      <c r="R122" s="107">
        <v>0</v>
      </c>
      <c r="S122" s="111">
        <f t="shared" si="89"/>
        <v>14791.970791666665</v>
      </c>
      <c r="T122" s="107">
        <v>0</v>
      </c>
      <c r="U122" s="107">
        <v>188.99066666666667</v>
      </c>
      <c r="V122" s="107">
        <v>1607.1102916666671</v>
      </c>
      <c r="W122" s="112">
        <f t="shared" si="57"/>
        <v>1796.1009583333337</v>
      </c>
      <c r="X122" s="107">
        <v>0</v>
      </c>
      <c r="Y122" s="107">
        <v>525</v>
      </c>
      <c r="Z122" s="107">
        <v>0</v>
      </c>
      <c r="AA122" s="112">
        <f t="shared" si="90"/>
        <v>525</v>
      </c>
      <c r="AC122" s="39">
        <v>3000</v>
      </c>
      <c r="AD122" s="40">
        <f t="shared" si="91"/>
        <v>9219.6933333333327</v>
      </c>
      <c r="AE122" s="1">
        <f t="shared" si="92"/>
        <v>13.200000000000001</v>
      </c>
      <c r="AF122" s="1">
        <f t="shared" si="93"/>
        <v>18</v>
      </c>
      <c r="AG122" s="41">
        <f t="shared" si="94"/>
        <v>16.821574354839235</v>
      </c>
      <c r="AI122">
        <v>1.1000000000000001</v>
      </c>
      <c r="AJ122">
        <v>1.5</v>
      </c>
      <c r="AK122" s="32">
        <f t="shared" ref="AK122:AK130" si="99">+AC122+AD122</f>
        <v>12219.693333333333</v>
      </c>
      <c r="AL122" s="4">
        <f t="shared" ref="AL122:AL130" si="100">+AC122/AK122</f>
        <v>0.24550534274182551</v>
      </c>
      <c r="AM122" s="4">
        <f t="shared" ref="AM122:AM130" si="101">+AD122/AK122</f>
        <v>0.75449465725817455</v>
      </c>
    </row>
    <row r="123" spans="3:39" x14ac:dyDescent="0.25">
      <c r="C123" s="1">
        <f t="shared" si="98"/>
        <v>2026</v>
      </c>
      <c r="D123" s="52">
        <f>+'Fisico ASIG'!B123</f>
        <v>46023</v>
      </c>
      <c r="E123" s="1">
        <v>16</v>
      </c>
      <c r="F123" s="1" t="s">
        <v>53</v>
      </c>
      <c r="G123" s="5">
        <v>46034</v>
      </c>
      <c r="H123" s="107">
        <v>6133.0717916666672</v>
      </c>
      <c r="I123" s="107">
        <v>1248.6662083333333</v>
      </c>
      <c r="J123" s="107">
        <v>397.41670833333336</v>
      </c>
      <c r="K123" s="107">
        <v>54.563839583333348</v>
      </c>
      <c r="L123" s="107">
        <v>0</v>
      </c>
      <c r="M123" s="111">
        <f t="shared" si="88"/>
        <v>7833.7185479166665</v>
      </c>
      <c r="N123" s="107">
        <v>12110.208416666663</v>
      </c>
      <c r="O123" s="107">
        <v>1363.8689999999999</v>
      </c>
      <c r="P123" s="107">
        <v>991.66000000000008</v>
      </c>
      <c r="Q123" s="107">
        <v>205.47</v>
      </c>
      <c r="R123" s="107">
        <v>0</v>
      </c>
      <c r="S123" s="111">
        <f t="shared" si="89"/>
        <v>14671.207416666663</v>
      </c>
      <c r="T123" s="107">
        <v>0</v>
      </c>
      <c r="U123" s="107">
        <v>189.89129166666666</v>
      </c>
      <c r="V123" s="107">
        <v>1773.8041666666668</v>
      </c>
      <c r="W123" s="112">
        <f t="shared" si="57"/>
        <v>1963.6954583333334</v>
      </c>
      <c r="X123" s="107">
        <v>0</v>
      </c>
      <c r="Y123" s="107">
        <v>525</v>
      </c>
      <c r="Z123" s="107">
        <v>0</v>
      </c>
      <c r="AA123" s="112">
        <f t="shared" si="90"/>
        <v>525</v>
      </c>
      <c r="AC123" s="39">
        <v>3000</v>
      </c>
      <c r="AD123" s="40">
        <f t="shared" ref="AD123:AD130" si="102">+N123-AC123</f>
        <v>9110.2084166666627</v>
      </c>
      <c r="AE123" s="1">
        <f t="shared" ref="AE123:AE130" si="103">12*AI123</f>
        <v>13.200000000000001</v>
      </c>
      <c r="AF123" s="1">
        <f t="shared" ref="AF123:AF130" si="104">12*AJ123</f>
        <v>18</v>
      </c>
      <c r="AG123" s="41">
        <f t="shared" ref="AG123:AG130" si="105">+(AC123*AE123+AF123*AD123)/SUM(AC123:AD123)</f>
        <v>16.810920546983979</v>
      </c>
      <c r="AI123">
        <v>1.1000000000000001</v>
      </c>
      <c r="AJ123">
        <v>1.5</v>
      </c>
      <c r="AK123" s="32">
        <f t="shared" si="99"/>
        <v>12110.208416666663</v>
      </c>
      <c r="AL123" s="4">
        <f t="shared" si="100"/>
        <v>0.24772488604500423</v>
      </c>
      <c r="AM123" s="4">
        <f t="shared" si="101"/>
        <v>0.7522751139549958</v>
      </c>
    </row>
    <row r="124" spans="3:39" x14ac:dyDescent="0.25">
      <c r="C124" s="1">
        <f t="shared" si="98"/>
        <v>2026</v>
      </c>
      <c r="D124" s="52">
        <f>+'Fisico ASIG'!B124</f>
        <v>46023</v>
      </c>
      <c r="E124" s="1">
        <v>16</v>
      </c>
      <c r="F124" s="1" t="s">
        <v>54</v>
      </c>
      <c r="G124" s="5">
        <v>46035</v>
      </c>
      <c r="H124" s="107">
        <v>7042.1345416666663</v>
      </c>
      <c r="I124" s="107">
        <v>1253.4836250000001</v>
      </c>
      <c r="J124" s="107">
        <v>363.29620833333337</v>
      </c>
      <c r="K124" s="107">
        <v>56.942041666666661</v>
      </c>
      <c r="L124" s="107">
        <v>0</v>
      </c>
      <c r="M124" s="111">
        <f t="shared" si="88"/>
        <v>8715.8564166666674</v>
      </c>
      <c r="N124" s="107">
        <v>12266.304500000002</v>
      </c>
      <c r="O124" s="107">
        <v>1378.4243333333336</v>
      </c>
      <c r="P124" s="107">
        <v>991.66000000000008</v>
      </c>
      <c r="Q124" s="107">
        <v>205.47</v>
      </c>
      <c r="R124" s="107">
        <v>0</v>
      </c>
      <c r="S124" s="111">
        <f t="shared" si="89"/>
        <v>14841.858833333335</v>
      </c>
      <c r="T124" s="107">
        <v>0</v>
      </c>
      <c r="U124" s="107">
        <v>188.19325000000001</v>
      </c>
      <c r="V124" s="107">
        <v>1337.6188333333328</v>
      </c>
      <c r="W124" s="112">
        <f t="shared" si="57"/>
        <v>1525.8120833333328</v>
      </c>
      <c r="X124" s="107">
        <v>0</v>
      </c>
      <c r="Y124" s="107">
        <v>525</v>
      </c>
      <c r="Z124" s="107">
        <v>0</v>
      </c>
      <c r="AA124" s="112">
        <f t="shared" si="90"/>
        <v>525</v>
      </c>
      <c r="AC124" s="39">
        <v>3000</v>
      </c>
      <c r="AD124" s="40">
        <f t="shared" si="102"/>
        <v>9266.304500000002</v>
      </c>
      <c r="AE124" s="1">
        <f t="shared" si="103"/>
        <v>13.200000000000001</v>
      </c>
      <c r="AF124" s="1">
        <f t="shared" si="104"/>
        <v>18</v>
      </c>
      <c r="AG124" s="41">
        <f t="shared" si="105"/>
        <v>16.826052296353804</v>
      </c>
      <c r="AI124">
        <v>1.1000000000000001</v>
      </c>
      <c r="AJ124">
        <v>1.5</v>
      </c>
      <c r="AK124" s="32">
        <f t="shared" si="99"/>
        <v>12266.304500000002</v>
      </c>
      <c r="AL124" s="4">
        <f t="shared" si="100"/>
        <v>0.24457243825962413</v>
      </c>
      <c r="AM124" s="4">
        <f t="shared" si="101"/>
        <v>0.75542756174037584</v>
      </c>
    </row>
    <row r="125" spans="3:39" x14ac:dyDescent="0.25">
      <c r="C125" s="1">
        <f t="shared" ref="C125:C131" si="106">YEAR(G125)</f>
        <v>2026</v>
      </c>
      <c r="D125" s="52">
        <f>+'Fisico ASIG'!B125</f>
        <v>46023</v>
      </c>
      <c r="E125" s="1">
        <v>16</v>
      </c>
      <c r="F125" s="1" t="s">
        <v>55</v>
      </c>
      <c r="G125" s="5">
        <v>46036</v>
      </c>
      <c r="H125" s="107">
        <v>7157.944583333332</v>
      </c>
      <c r="I125" s="107">
        <v>1239.81575</v>
      </c>
      <c r="J125" s="107">
        <v>388.22066666666677</v>
      </c>
      <c r="K125" s="107">
        <v>50.404145833333331</v>
      </c>
      <c r="L125" s="107">
        <v>0</v>
      </c>
      <c r="M125" s="111">
        <f t="shared" si="88"/>
        <v>8836.385145833332</v>
      </c>
      <c r="N125" s="107">
        <v>12194.520333333328</v>
      </c>
      <c r="O125" s="107">
        <v>1417.4294583333335</v>
      </c>
      <c r="P125" s="107">
        <v>991.66000000000008</v>
      </c>
      <c r="Q125" s="107">
        <v>205.47</v>
      </c>
      <c r="R125" s="107">
        <v>0</v>
      </c>
      <c r="S125" s="111">
        <f t="shared" si="89"/>
        <v>14809.079791666662</v>
      </c>
      <c r="T125" s="107">
        <v>0</v>
      </c>
      <c r="U125" s="107">
        <v>189.23762499999998</v>
      </c>
      <c r="V125" s="107">
        <v>1693.8299166666668</v>
      </c>
      <c r="W125" s="112">
        <f t="shared" si="57"/>
        <v>1883.0675416666668</v>
      </c>
      <c r="X125" s="107">
        <v>0</v>
      </c>
      <c r="Y125" s="107">
        <v>525</v>
      </c>
      <c r="Z125" s="107">
        <v>0</v>
      </c>
      <c r="AA125" s="112">
        <f t="shared" si="90"/>
        <v>525</v>
      </c>
      <c r="AC125" s="39">
        <v>3000</v>
      </c>
      <c r="AD125" s="40">
        <f t="shared" si="102"/>
        <v>9194.5203333333284</v>
      </c>
      <c r="AE125" s="1">
        <f t="shared" si="103"/>
        <v>13.200000000000001</v>
      </c>
      <c r="AF125" s="1">
        <f t="shared" si="104"/>
        <v>18</v>
      </c>
      <c r="AG125" s="41">
        <f t="shared" si="105"/>
        <v>16.819141745113331</v>
      </c>
      <c r="AI125">
        <v>1.1000000000000001</v>
      </c>
      <c r="AJ125">
        <v>1.5</v>
      </c>
      <c r="AK125" s="32">
        <f t="shared" si="99"/>
        <v>12194.520333333328</v>
      </c>
      <c r="AL125" s="4">
        <f t="shared" si="100"/>
        <v>0.24601213643472278</v>
      </c>
      <c r="AM125" s="4">
        <f t="shared" si="101"/>
        <v>0.75398786356527725</v>
      </c>
    </row>
    <row r="126" spans="3:39" x14ac:dyDescent="0.25">
      <c r="C126" s="1">
        <f t="shared" si="106"/>
        <v>2026</v>
      </c>
      <c r="D126" s="52">
        <f>+'Fisico ASIG'!B126</f>
        <v>46023</v>
      </c>
      <c r="E126" s="1">
        <v>16</v>
      </c>
      <c r="F126" s="1" t="s">
        <v>56</v>
      </c>
      <c r="G126" s="5">
        <v>46037</v>
      </c>
      <c r="H126" s="107">
        <v>6887.5454166666696</v>
      </c>
      <c r="I126" s="107">
        <v>1331.2016666666666</v>
      </c>
      <c r="J126" s="107">
        <v>419.683875</v>
      </c>
      <c r="K126" s="107">
        <v>37.784995833333333</v>
      </c>
      <c r="L126" s="107">
        <v>0</v>
      </c>
      <c r="M126" s="111">
        <f t="shared" si="88"/>
        <v>8676.2159541666697</v>
      </c>
      <c r="N126" s="107">
        <v>11651.823958333336</v>
      </c>
      <c r="O126" s="107">
        <v>1436.7210416666667</v>
      </c>
      <c r="P126" s="107">
        <v>991.66000000000008</v>
      </c>
      <c r="Q126" s="107">
        <v>199.5</v>
      </c>
      <c r="R126" s="107">
        <v>0</v>
      </c>
      <c r="S126" s="111">
        <f t="shared" si="89"/>
        <v>14279.705000000002</v>
      </c>
      <c r="T126" s="107">
        <v>0</v>
      </c>
      <c r="U126" s="107">
        <v>189.76283333333336</v>
      </c>
      <c r="V126" s="107">
        <v>1582.7330000000006</v>
      </c>
      <c r="W126" s="112">
        <f t="shared" si="57"/>
        <v>1772.4958333333341</v>
      </c>
      <c r="X126" s="107">
        <v>0</v>
      </c>
      <c r="Y126" s="107">
        <v>525</v>
      </c>
      <c r="Z126" s="107">
        <v>0</v>
      </c>
      <c r="AA126" s="112">
        <f t="shared" si="90"/>
        <v>525</v>
      </c>
      <c r="AC126" s="39">
        <v>3000</v>
      </c>
      <c r="AD126" s="40">
        <f t="shared" si="102"/>
        <v>8651.8239583333361</v>
      </c>
      <c r="AE126" s="1">
        <f t="shared" si="103"/>
        <v>13.200000000000001</v>
      </c>
      <c r="AF126" s="1">
        <f t="shared" si="104"/>
        <v>18</v>
      </c>
      <c r="AG126" s="41">
        <f t="shared" si="105"/>
        <v>16.764141987426683</v>
      </c>
      <c r="AI126">
        <v>1.1000000000000001</v>
      </c>
      <c r="AJ126">
        <v>1.5</v>
      </c>
      <c r="AK126" s="32">
        <f t="shared" si="99"/>
        <v>11651.823958333336</v>
      </c>
      <c r="AL126" s="4">
        <f t="shared" si="100"/>
        <v>0.25747041928610775</v>
      </c>
      <c r="AM126" s="4">
        <f t="shared" si="101"/>
        <v>0.74252958071389219</v>
      </c>
    </row>
    <row r="127" spans="3:39" x14ac:dyDescent="0.25">
      <c r="C127" s="1">
        <f t="shared" si="106"/>
        <v>2026</v>
      </c>
      <c r="D127" s="52">
        <f>+'Fisico ASIG'!B127</f>
        <v>46023</v>
      </c>
      <c r="E127" s="1">
        <v>16</v>
      </c>
      <c r="F127" s="1" t="s">
        <v>57</v>
      </c>
      <c r="G127" s="5">
        <v>46038</v>
      </c>
      <c r="H127" s="107">
        <v>6451.5671250000005</v>
      </c>
      <c r="I127" s="107">
        <v>1250.7985000000001</v>
      </c>
      <c r="J127" s="107">
        <v>337.27100000000002</v>
      </c>
      <c r="K127" s="107">
        <v>24.371502083333336</v>
      </c>
      <c r="L127" s="107">
        <v>0</v>
      </c>
      <c r="M127" s="111">
        <f t="shared" si="88"/>
        <v>8064.0081270833334</v>
      </c>
      <c r="N127" s="107">
        <v>11851.40124999999</v>
      </c>
      <c r="O127" s="107">
        <v>1440.4376666666669</v>
      </c>
      <c r="P127" s="107">
        <v>991.66000000000008</v>
      </c>
      <c r="Q127" s="107">
        <v>205.47</v>
      </c>
      <c r="R127" s="107">
        <v>0</v>
      </c>
      <c r="S127" s="111">
        <f t="shared" si="89"/>
        <v>14488.968916666656</v>
      </c>
      <c r="T127" s="107">
        <v>0</v>
      </c>
      <c r="U127" s="107">
        <v>187.28970833333338</v>
      </c>
      <c r="V127" s="107">
        <v>1527.8063750000001</v>
      </c>
      <c r="W127" s="112">
        <f t="shared" si="57"/>
        <v>1715.0960833333336</v>
      </c>
      <c r="X127" s="107">
        <v>0</v>
      </c>
      <c r="Y127" s="107">
        <v>525</v>
      </c>
      <c r="Z127" s="107">
        <v>0</v>
      </c>
      <c r="AA127" s="112">
        <f t="shared" si="90"/>
        <v>525</v>
      </c>
      <c r="AC127" s="39">
        <v>3000</v>
      </c>
      <c r="AD127" s="40">
        <f t="shared" si="102"/>
        <v>8851.4012499999899</v>
      </c>
      <c r="AE127" s="1">
        <f t="shared" si="103"/>
        <v>13.200000000000001</v>
      </c>
      <c r="AF127" s="1">
        <f t="shared" si="104"/>
        <v>18</v>
      </c>
      <c r="AG127" s="41">
        <f t="shared" si="105"/>
        <v>16.784953804513201</v>
      </c>
      <c r="AI127">
        <v>1.1000000000000001</v>
      </c>
      <c r="AJ127">
        <v>1.5</v>
      </c>
      <c r="AK127" s="32">
        <f t="shared" si="99"/>
        <v>11851.40124999999</v>
      </c>
      <c r="AL127" s="4">
        <f t="shared" si="100"/>
        <v>0.25313462405975012</v>
      </c>
      <c r="AM127" s="4">
        <f t="shared" si="101"/>
        <v>0.74686537594024993</v>
      </c>
    </row>
    <row r="128" spans="3:39" x14ac:dyDescent="0.25">
      <c r="C128" s="1">
        <f t="shared" si="106"/>
        <v>2026</v>
      </c>
      <c r="D128" s="52">
        <f>+'Fisico ASIG'!B128</f>
        <v>46023</v>
      </c>
      <c r="E128" s="1">
        <v>6</v>
      </c>
      <c r="F128" s="1" t="s">
        <v>51</v>
      </c>
      <c r="G128" s="5">
        <v>46039</v>
      </c>
      <c r="H128" s="107">
        <v>6317.3543750000017</v>
      </c>
      <c r="I128" s="107">
        <v>1086.1023333333335</v>
      </c>
      <c r="J128" s="107">
        <v>403.12204166666675</v>
      </c>
      <c r="K128" s="107">
        <v>30.327968750000004</v>
      </c>
      <c r="L128" s="107">
        <v>0</v>
      </c>
      <c r="M128" s="111">
        <f t="shared" si="88"/>
        <v>7836.9067187500013</v>
      </c>
      <c r="N128" s="107">
        <v>12245.786124999999</v>
      </c>
      <c r="O128" s="107">
        <v>1314.8450833333334</v>
      </c>
      <c r="P128" s="107">
        <v>991.66000000000008</v>
      </c>
      <c r="Q128" s="107">
        <v>205.47</v>
      </c>
      <c r="R128" s="107">
        <v>0</v>
      </c>
      <c r="S128" s="111">
        <f t="shared" si="89"/>
        <v>14757.761208333332</v>
      </c>
      <c r="T128" s="107">
        <v>0</v>
      </c>
      <c r="U128" s="107">
        <v>190.02437500000005</v>
      </c>
      <c r="V128" s="107">
        <v>1901.8370833333336</v>
      </c>
      <c r="W128" s="112">
        <f t="shared" si="57"/>
        <v>2091.8614583333338</v>
      </c>
      <c r="X128" s="107">
        <v>0</v>
      </c>
      <c r="Y128" s="107">
        <v>525</v>
      </c>
      <c r="Z128" s="107">
        <v>0</v>
      </c>
      <c r="AA128" s="112">
        <f t="shared" si="90"/>
        <v>525</v>
      </c>
      <c r="AC128" s="39">
        <v>3000</v>
      </c>
      <c r="AD128" s="40">
        <f t="shared" si="102"/>
        <v>9245.7861249999987</v>
      </c>
      <c r="AE128" s="1">
        <f t="shared" si="103"/>
        <v>13.200000000000001</v>
      </c>
      <c r="AF128" s="1">
        <f t="shared" si="104"/>
        <v>18</v>
      </c>
      <c r="AG128" s="41">
        <f t="shared" si="105"/>
        <v>16.824085293258378</v>
      </c>
      <c r="AI128">
        <v>1.1000000000000001</v>
      </c>
      <c r="AJ128">
        <v>1.5</v>
      </c>
      <c r="AK128" s="32">
        <f t="shared" si="99"/>
        <v>12245.786124999999</v>
      </c>
      <c r="AL128" s="4">
        <f t="shared" si="100"/>
        <v>0.2449822305711713</v>
      </c>
      <c r="AM128" s="4">
        <f t="shared" si="101"/>
        <v>0.7550177694288287</v>
      </c>
    </row>
    <row r="129" spans="3:39" x14ac:dyDescent="0.25">
      <c r="C129" s="1">
        <f t="shared" si="106"/>
        <v>2026</v>
      </c>
      <c r="D129" s="52">
        <f>+'Fisico ASIG'!B129</f>
        <v>46023</v>
      </c>
      <c r="E129" s="1">
        <v>4</v>
      </c>
      <c r="F129" s="1" t="s">
        <v>52</v>
      </c>
      <c r="G129" s="5">
        <v>46040</v>
      </c>
      <c r="H129" s="107">
        <v>5915.7603749999998</v>
      </c>
      <c r="I129" s="107">
        <v>970.9663333333333</v>
      </c>
      <c r="J129" s="107">
        <v>338.06654166666669</v>
      </c>
      <c r="K129" s="107">
        <v>11.903133333333333</v>
      </c>
      <c r="L129" s="107">
        <v>0</v>
      </c>
      <c r="M129" s="111">
        <f t="shared" si="88"/>
        <v>7236.6963833333339</v>
      </c>
      <c r="N129" s="107">
        <v>12426.462041666662</v>
      </c>
      <c r="O129" s="107">
        <v>1432.0659166666667</v>
      </c>
      <c r="P129" s="107">
        <v>991.66000000000008</v>
      </c>
      <c r="Q129" s="107">
        <v>205.47</v>
      </c>
      <c r="R129" s="107">
        <v>0</v>
      </c>
      <c r="S129" s="111">
        <f t="shared" si="89"/>
        <v>15055.657958333328</v>
      </c>
      <c r="T129" s="107">
        <v>0</v>
      </c>
      <c r="U129" s="107">
        <v>190.12537499999999</v>
      </c>
      <c r="V129" s="107">
        <v>1347.2250833333333</v>
      </c>
      <c r="W129" s="112">
        <f t="shared" si="57"/>
        <v>1537.3504583333333</v>
      </c>
      <c r="X129" s="107">
        <v>0</v>
      </c>
      <c r="Y129" s="107">
        <v>525</v>
      </c>
      <c r="Z129" s="107">
        <v>0</v>
      </c>
      <c r="AA129" s="112">
        <f t="shared" si="90"/>
        <v>525</v>
      </c>
      <c r="AC129" s="39">
        <v>3000</v>
      </c>
      <c r="AD129" s="40">
        <f t="shared" si="102"/>
        <v>9426.4620416666621</v>
      </c>
      <c r="AE129" s="1">
        <f t="shared" si="103"/>
        <v>13.200000000000001</v>
      </c>
      <c r="AF129" s="1">
        <f t="shared" si="104"/>
        <v>18</v>
      </c>
      <c r="AG129" s="41">
        <f t="shared" si="105"/>
        <v>16.841182634951448</v>
      </c>
      <c r="AI129">
        <v>1.1000000000000001</v>
      </c>
      <c r="AJ129">
        <v>1.5</v>
      </c>
      <c r="AK129" s="32">
        <f t="shared" si="99"/>
        <v>12426.462041666662</v>
      </c>
      <c r="AL129" s="4">
        <f t="shared" si="100"/>
        <v>0.24142028438511481</v>
      </c>
      <c r="AM129" s="4">
        <f t="shared" si="101"/>
        <v>0.75857971561488524</v>
      </c>
    </row>
    <row r="130" spans="3:39" x14ac:dyDescent="0.25">
      <c r="C130" s="1">
        <f t="shared" si="106"/>
        <v>2026</v>
      </c>
      <c r="D130" s="52">
        <f>+'Fisico ASIG'!B130</f>
        <v>46023</v>
      </c>
      <c r="E130" s="1">
        <v>16</v>
      </c>
      <c r="F130" s="1" t="s">
        <v>53</v>
      </c>
      <c r="G130" s="5">
        <v>46041</v>
      </c>
      <c r="H130" s="107">
        <v>6101.4854166666682</v>
      </c>
      <c r="I130" s="107">
        <v>468.95262499999995</v>
      </c>
      <c r="J130" s="107">
        <v>340.84562500000004</v>
      </c>
      <c r="K130" s="107">
        <v>8.6628541666666674</v>
      </c>
      <c r="L130" s="107">
        <v>0</v>
      </c>
      <c r="M130" s="111">
        <f t="shared" si="88"/>
        <v>6919.9465208333349</v>
      </c>
      <c r="N130" s="107">
        <v>12683.448458333329</v>
      </c>
      <c r="O130" s="107">
        <v>1259.8212500000002</v>
      </c>
      <c r="P130" s="107">
        <v>991.04145833333337</v>
      </c>
      <c r="Q130" s="107">
        <v>205.47</v>
      </c>
      <c r="R130" s="107">
        <v>0</v>
      </c>
      <c r="S130" s="111">
        <f t="shared" si="89"/>
        <v>15139.781166666662</v>
      </c>
      <c r="T130" s="107">
        <v>0</v>
      </c>
      <c r="U130" s="107">
        <v>187.53358333333333</v>
      </c>
      <c r="V130" s="107">
        <v>1390.1142916666668</v>
      </c>
      <c r="W130" s="112">
        <f t="shared" si="57"/>
        <v>1577.6478750000001</v>
      </c>
      <c r="X130" s="107">
        <v>0</v>
      </c>
      <c r="Y130" s="107">
        <v>525</v>
      </c>
      <c r="Z130" s="107">
        <v>0</v>
      </c>
      <c r="AA130" s="112">
        <f t="shared" si="90"/>
        <v>525</v>
      </c>
      <c r="AC130" s="39">
        <v>3000</v>
      </c>
      <c r="AD130" s="40">
        <f t="shared" si="102"/>
        <v>9683.4484583333287</v>
      </c>
      <c r="AE130" s="1">
        <f t="shared" si="103"/>
        <v>13.200000000000001</v>
      </c>
      <c r="AF130" s="1">
        <f t="shared" si="104"/>
        <v>18</v>
      </c>
      <c r="AG130" s="41">
        <f t="shared" si="105"/>
        <v>16.864662079299194</v>
      </c>
      <c r="AI130">
        <v>1.1000000000000001</v>
      </c>
      <c r="AJ130">
        <v>1.5</v>
      </c>
      <c r="AK130" s="32">
        <f t="shared" si="99"/>
        <v>12683.448458333329</v>
      </c>
      <c r="AL130" s="4">
        <f t="shared" si="100"/>
        <v>0.23652873347933451</v>
      </c>
      <c r="AM130" s="4">
        <f t="shared" si="101"/>
        <v>0.76347126652066555</v>
      </c>
    </row>
    <row r="131" spans="3:39" x14ac:dyDescent="0.25">
      <c r="C131" s="1">
        <f t="shared" si="106"/>
        <v>2026</v>
      </c>
      <c r="D131" s="52">
        <f>+'Fisico ASIG'!B131</f>
        <v>46023</v>
      </c>
      <c r="E131" s="1">
        <v>16</v>
      </c>
      <c r="F131" s="1" t="s">
        <v>54</v>
      </c>
      <c r="G131" s="5">
        <v>46042</v>
      </c>
      <c r="H131" s="107">
        <v>6256.5296249999983</v>
      </c>
      <c r="I131" s="107">
        <v>805.39241666666669</v>
      </c>
      <c r="J131" s="107">
        <v>385.28825000000001</v>
      </c>
      <c r="K131" s="107">
        <v>11.924112500000001</v>
      </c>
      <c r="L131" s="107">
        <v>0</v>
      </c>
      <c r="M131" s="111">
        <f t="shared" si="88"/>
        <v>7459.1344041666644</v>
      </c>
      <c r="N131" s="107">
        <v>12842.585333333331</v>
      </c>
      <c r="O131" s="107">
        <v>1436.1853333333336</v>
      </c>
      <c r="P131" s="107">
        <v>992.97091666666665</v>
      </c>
      <c r="Q131" s="107">
        <v>205.47</v>
      </c>
      <c r="R131" s="107">
        <v>0</v>
      </c>
      <c r="S131" s="111">
        <f t="shared" si="89"/>
        <v>15477.21158333333</v>
      </c>
      <c r="T131" s="107">
        <v>0</v>
      </c>
      <c r="U131" s="107">
        <v>189.01062500000003</v>
      </c>
      <c r="V131" s="107">
        <v>1511.1287916666668</v>
      </c>
      <c r="W131" s="112">
        <f t="shared" si="57"/>
        <v>1700.1394166666669</v>
      </c>
      <c r="X131" s="107">
        <v>0</v>
      </c>
      <c r="Y131" s="107">
        <v>525</v>
      </c>
      <c r="Z131" s="107">
        <v>0</v>
      </c>
      <c r="AA131" s="112">
        <f t="shared" si="90"/>
        <v>525</v>
      </c>
      <c r="AC131" s="39">
        <v>3000</v>
      </c>
      <c r="AD131" s="40">
        <f t="shared" ref="AD131:AD133" si="107">+N131-AC131</f>
        <v>9842.5853333333307</v>
      </c>
      <c r="AE131" s="1">
        <f t="shared" ref="AE131:AE133" si="108">12*AI131</f>
        <v>13.200000000000001</v>
      </c>
      <c r="AF131" s="1">
        <f t="shared" ref="AF131:AF133" si="109">12*AJ131</f>
        <v>18</v>
      </c>
      <c r="AG131" s="41">
        <f t="shared" ref="AG131:AG133" si="110">+(AC131*AE131+AF131*AD131)/SUM(AC131:AD131)</f>
        <v>16.878730440464793</v>
      </c>
      <c r="AI131">
        <v>1.1000000000000001</v>
      </c>
      <c r="AJ131">
        <v>1.5</v>
      </c>
      <c r="AK131" s="32">
        <f t="shared" ref="AK131:AK133" si="111">+AC131+AD131</f>
        <v>12842.585333333331</v>
      </c>
      <c r="AL131" s="4">
        <f t="shared" ref="AL131:AL133" si="112">+AC131/AK131</f>
        <v>0.23359782490316855</v>
      </c>
      <c r="AM131" s="4">
        <f t="shared" ref="AM131:AM133" si="113">+AD131/AK131</f>
        <v>0.7664021750968314</v>
      </c>
    </row>
    <row r="132" spans="3:39" x14ac:dyDescent="0.25">
      <c r="C132" s="1">
        <f t="shared" ref="C132" si="114">YEAR(G132)</f>
        <v>2026</v>
      </c>
      <c r="D132" s="52">
        <f>+'Fisico ASIG'!B132</f>
        <v>46023</v>
      </c>
      <c r="E132" s="1">
        <v>16</v>
      </c>
      <c r="F132" s="1" t="s">
        <v>55</v>
      </c>
      <c r="G132" s="5">
        <v>46043</v>
      </c>
      <c r="H132" s="107">
        <v>6246.682291666667</v>
      </c>
      <c r="I132" s="107">
        <v>1092.1165416666668</v>
      </c>
      <c r="J132" s="107">
        <v>369.83304166666665</v>
      </c>
      <c r="K132" s="107">
        <v>11.887402083333335</v>
      </c>
      <c r="L132" s="107">
        <v>0</v>
      </c>
      <c r="M132" s="111">
        <f t="shared" si="88"/>
        <v>7720.5192770833346</v>
      </c>
      <c r="N132" s="107">
        <v>12627.632541666657</v>
      </c>
      <c r="O132" s="107">
        <v>1425.3712083333332</v>
      </c>
      <c r="P132" s="107">
        <v>992.63812500000006</v>
      </c>
      <c r="Q132" s="107">
        <v>205.47</v>
      </c>
      <c r="R132" s="107">
        <v>0</v>
      </c>
      <c r="S132" s="111">
        <f t="shared" si="89"/>
        <v>15251.11187499999</v>
      </c>
      <c r="T132" s="107">
        <v>0</v>
      </c>
      <c r="U132" s="107">
        <v>191.83249999999998</v>
      </c>
      <c r="V132" s="107">
        <v>2088.2160833333332</v>
      </c>
      <c r="W132" s="112">
        <f t="shared" si="57"/>
        <v>2280.0485833333332</v>
      </c>
      <c r="X132" s="107">
        <v>0</v>
      </c>
      <c r="Y132" s="107">
        <v>525</v>
      </c>
      <c r="Z132" s="107">
        <v>0</v>
      </c>
      <c r="AA132" s="112">
        <f t="shared" si="90"/>
        <v>525</v>
      </c>
      <c r="AC132" s="39">
        <v>3000</v>
      </c>
      <c r="AD132" s="40">
        <f t="shared" si="107"/>
        <v>9627.6325416666568</v>
      </c>
      <c r="AE132" s="1">
        <f t="shared" si="108"/>
        <v>13.200000000000001</v>
      </c>
      <c r="AF132" s="1">
        <f t="shared" si="109"/>
        <v>18</v>
      </c>
      <c r="AG132" s="41">
        <f t="shared" si="110"/>
        <v>16.859643725576809</v>
      </c>
      <c r="AI132">
        <v>1.1000000000000001</v>
      </c>
      <c r="AJ132">
        <v>1.5</v>
      </c>
      <c r="AK132" s="32">
        <f t="shared" si="111"/>
        <v>12627.632541666657</v>
      </c>
      <c r="AL132" s="4">
        <f t="shared" si="112"/>
        <v>0.23757422383816415</v>
      </c>
      <c r="AM132" s="4">
        <f t="shared" si="113"/>
        <v>0.76242577616183582</v>
      </c>
    </row>
    <row r="133" spans="3:39" x14ac:dyDescent="0.25">
      <c r="C133" s="1">
        <f t="shared" ref="C133:C139" si="115">YEAR(G133)</f>
        <v>2026</v>
      </c>
      <c r="D133" s="52">
        <f>+'Fisico ASIG'!B133</f>
        <v>46023</v>
      </c>
      <c r="E133" s="1">
        <v>16</v>
      </c>
      <c r="F133" s="1" t="s">
        <v>56</v>
      </c>
      <c r="G133" s="5">
        <v>46044</v>
      </c>
      <c r="H133" s="107">
        <v>7057.8664999999992</v>
      </c>
      <c r="I133" s="107">
        <v>1077.2151666666666</v>
      </c>
      <c r="J133" s="107">
        <v>411.60745833333334</v>
      </c>
      <c r="K133" s="107">
        <v>26.283737500000001</v>
      </c>
      <c r="L133" s="107">
        <v>0</v>
      </c>
      <c r="M133" s="111">
        <f t="shared" si="88"/>
        <v>8572.9728624999989</v>
      </c>
      <c r="N133" s="107">
        <v>12630.829833333328</v>
      </c>
      <c r="O133" s="107">
        <v>1388.4970833333334</v>
      </c>
      <c r="P133" s="107">
        <v>992.85166666666669</v>
      </c>
      <c r="Q133" s="107">
        <v>204.47679166666668</v>
      </c>
      <c r="R133" s="107">
        <v>0</v>
      </c>
      <c r="S133" s="111">
        <f t="shared" si="89"/>
        <v>15216.655374999995</v>
      </c>
      <c r="T133" s="107">
        <v>0</v>
      </c>
      <c r="U133" s="107">
        <v>329.2665416666668</v>
      </c>
      <c r="V133" s="107">
        <v>1664.2072499999997</v>
      </c>
      <c r="W133" s="112">
        <f t="shared" si="57"/>
        <v>1993.4737916666666</v>
      </c>
      <c r="X133" s="107">
        <v>0</v>
      </c>
      <c r="Y133" s="107">
        <v>525</v>
      </c>
      <c r="Z133" s="107">
        <v>0</v>
      </c>
      <c r="AA133" s="112">
        <f t="shared" si="90"/>
        <v>525</v>
      </c>
      <c r="AC133" s="39">
        <v>3000</v>
      </c>
      <c r="AD133" s="40">
        <f t="shared" si="107"/>
        <v>9630.8298333333278</v>
      </c>
      <c r="AE133" s="1">
        <f t="shared" si="108"/>
        <v>13.200000000000001</v>
      </c>
      <c r="AF133" s="1">
        <f t="shared" si="109"/>
        <v>18</v>
      </c>
      <c r="AG133" s="41">
        <f t="shared" si="110"/>
        <v>16.859932388448637</v>
      </c>
      <c r="AI133">
        <v>1.1000000000000001</v>
      </c>
      <c r="AJ133">
        <v>1.5</v>
      </c>
      <c r="AK133" s="32">
        <f t="shared" si="111"/>
        <v>12630.829833333328</v>
      </c>
      <c r="AL133" s="4">
        <f t="shared" si="112"/>
        <v>0.23751408573986685</v>
      </c>
      <c r="AM133" s="4">
        <f t="shared" si="113"/>
        <v>0.76248591426013312</v>
      </c>
    </row>
    <row r="134" spans="3:39" x14ac:dyDescent="0.25">
      <c r="C134" s="1">
        <f t="shared" si="115"/>
        <v>2026</v>
      </c>
      <c r="D134" s="52">
        <f>+'Fisico ASIG'!B134</f>
        <v>46023</v>
      </c>
      <c r="E134" s="1">
        <v>16</v>
      </c>
      <c r="F134" s="1" t="s">
        <v>57</v>
      </c>
      <c r="G134" s="5">
        <v>46045</v>
      </c>
      <c r="H134" s="107">
        <v>7762.5913750000054</v>
      </c>
      <c r="I134" s="107">
        <v>1193.8431250000003</v>
      </c>
      <c r="J134" s="107">
        <v>459.99758333333335</v>
      </c>
      <c r="K134" s="107">
        <v>65.391504166666664</v>
      </c>
      <c r="L134" s="107">
        <v>0</v>
      </c>
      <c r="M134" s="111">
        <f t="shared" si="88"/>
        <v>9481.8235875000064</v>
      </c>
      <c r="N134" s="107">
        <v>12799.194291666659</v>
      </c>
      <c r="O134" s="107">
        <v>1423.800125</v>
      </c>
      <c r="P134" s="107">
        <v>992.45075000000008</v>
      </c>
      <c r="Q134" s="107">
        <v>205.47</v>
      </c>
      <c r="R134" s="107">
        <v>0</v>
      </c>
      <c r="S134" s="111">
        <f t="shared" si="89"/>
        <v>15420.915166666658</v>
      </c>
      <c r="T134" s="107">
        <v>0</v>
      </c>
      <c r="U134" s="107">
        <v>459.71695833333342</v>
      </c>
      <c r="V134" s="107">
        <v>1285.1737500000002</v>
      </c>
      <c r="W134" s="112">
        <f t="shared" si="57"/>
        <v>1744.8907083333336</v>
      </c>
      <c r="X134" s="107">
        <v>0</v>
      </c>
      <c r="Y134" s="107">
        <v>525</v>
      </c>
      <c r="Z134" s="107">
        <v>0</v>
      </c>
      <c r="AA134" s="112">
        <f t="shared" si="90"/>
        <v>525</v>
      </c>
      <c r="AC134" s="39">
        <v>3000</v>
      </c>
      <c r="AD134" s="40">
        <f t="shared" ref="AD134:AD141" si="116">+N134-AC134</f>
        <v>9799.1942916666594</v>
      </c>
      <c r="AE134" s="1">
        <f t="shared" ref="AE134:AE141" si="117">12*AI134</f>
        <v>13.200000000000001</v>
      </c>
      <c r="AF134" s="1">
        <f t="shared" ref="AF134:AF141" si="118">12*AJ134</f>
        <v>18</v>
      </c>
      <c r="AG134" s="41">
        <f t="shared" ref="AG134:AG141" si="119">+(AC134*AE134+AF134*AD134)/SUM(AC134:AD134)</f>
        <v>16.874929181333265</v>
      </c>
      <c r="AI134">
        <v>1.1000000000000001</v>
      </c>
      <c r="AJ134">
        <v>1.5</v>
      </c>
      <c r="AK134" s="32">
        <f t="shared" ref="AK134:AK141" si="120">+AC134+AD134</f>
        <v>12799.194291666659</v>
      </c>
      <c r="AL134" s="4">
        <f t="shared" ref="AL134:AL141" si="121">+AC134/AK134</f>
        <v>0.23438975388890296</v>
      </c>
      <c r="AM134" s="4">
        <f t="shared" ref="AM134:AM141" si="122">+AD134/AK134</f>
        <v>0.76561024611109707</v>
      </c>
    </row>
    <row r="135" spans="3:39" x14ac:dyDescent="0.25">
      <c r="C135" s="1">
        <f t="shared" si="115"/>
        <v>2026</v>
      </c>
      <c r="D135" s="52">
        <f>+'Fisico ASIG'!B135</f>
        <v>46023</v>
      </c>
      <c r="E135" s="1">
        <v>6</v>
      </c>
      <c r="F135" s="1" t="s">
        <v>51</v>
      </c>
      <c r="G135" s="5">
        <v>46046</v>
      </c>
      <c r="H135" s="107">
        <v>7440.0454583333367</v>
      </c>
      <c r="I135" s="107">
        <v>1013.7055416666667</v>
      </c>
      <c r="J135" s="107">
        <v>402.85312499999998</v>
      </c>
      <c r="K135" s="107">
        <v>53.370489583333338</v>
      </c>
      <c r="L135" s="107">
        <v>0</v>
      </c>
      <c r="M135" s="111">
        <f t="shared" si="88"/>
        <v>8909.974614583336</v>
      </c>
      <c r="N135" s="107">
        <v>12833.295041666655</v>
      </c>
      <c r="O135" s="107">
        <v>1433.59375</v>
      </c>
      <c r="P135" s="107">
        <v>992.53654166666672</v>
      </c>
      <c r="Q135" s="107">
        <v>204.47</v>
      </c>
      <c r="R135" s="107">
        <v>0</v>
      </c>
      <c r="S135" s="111">
        <f t="shared" si="89"/>
        <v>15463.895333333321</v>
      </c>
      <c r="T135" s="107">
        <v>0</v>
      </c>
      <c r="U135" s="107">
        <v>379.6579583333334</v>
      </c>
      <c r="V135" s="107">
        <v>1288.4839166666666</v>
      </c>
      <c r="W135" s="112">
        <f t="shared" si="57"/>
        <v>1668.141875</v>
      </c>
      <c r="X135" s="107">
        <v>0</v>
      </c>
      <c r="Y135" s="107">
        <v>525</v>
      </c>
      <c r="Z135" s="107">
        <v>0</v>
      </c>
      <c r="AA135" s="112">
        <f t="shared" si="90"/>
        <v>525</v>
      </c>
      <c r="AC135" s="39">
        <v>3000</v>
      </c>
      <c r="AD135" s="40">
        <f t="shared" si="116"/>
        <v>9833.2950416666554</v>
      </c>
      <c r="AE135" s="1">
        <f t="shared" si="117"/>
        <v>13.200000000000001</v>
      </c>
      <c r="AF135" s="1">
        <f t="shared" si="118"/>
        <v>18</v>
      </c>
      <c r="AG135" s="41">
        <f t="shared" si="119"/>
        <v>16.877918729893871</v>
      </c>
      <c r="AI135">
        <v>1.1000000000000001</v>
      </c>
      <c r="AJ135">
        <v>1.5</v>
      </c>
      <c r="AK135" s="32">
        <f t="shared" si="120"/>
        <v>12833.295041666655</v>
      </c>
      <c r="AL135" s="4">
        <f t="shared" si="121"/>
        <v>0.23376693127211007</v>
      </c>
      <c r="AM135" s="4">
        <f t="shared" si="122"/>
        <v>0.76623306872788988</v>
      </c>
    </row>
    <row r="136" spans="3:39" x14ac:dyDescent="0.25">
      <c r="C136" s="1">
        <f t="shared" si="115"/>
        <v>2026</v>
      </c>
      <c r="D136" s="52">
        <f>+'Fisico ASIG'!B136</f>
        <v>46023</v>
      </c>
      <c r="E136" s="1">
        <v>4</v>
      </c>
      <c r="F136" s="1" t="s">
        <v>52</v>
      </c>
      <c r="G136" s="5">
        <v>46047</v>
      </c>
      <c r="H136" s="107">
        <v>6909.0787499999979</v>
      </c>
      <c r="I136" s="107">
        <v>827.33483333333334</v>
      </c>
      <c r="J136" s="107">
        <v>399.29200000000003</v>
      </c>
      <c r="K136" s="107">
        <v>35.783506249999995</v>
      </c>
      <c r="L136" s="107">
        <v>0</v>
      </c>
      <c r="M136" s="111">
        <f t="shared" si="88"/>
        <v>8171.4890895833314</v>
      </c>
      <c r="N136" s="107">
        <v>12622.62429166666</v>
      </c>
      <c r="O136" s="107">
        <v>1398.31</v>
      </c>
      <c r="P136" s="107">
        <v>944.35337500000003</v>
      </c>
      <c r="Q136" s="107">
        <v>204.47</v>
      </c>
      <c r="R136" s="107">
        <v>0</v>
      </c>
      <c r="S136" s="111">
        <f t="shared" si="89"/>
        <v>15169.757666666659</v>
      </c>
      <c r="T136" s="107">
        <v>0</v>
      </c>
      <c r="U136" s="107">
        <v>261.42725000000002</v>
      </c>
      <c r="V136" s="107">
        <v>1636.8919166666667</v>
      </c>
      <c r="W136" s="112">
        <f t="shared" si="57"/>
        <v>1898.3191666666667</v>
      </c>
      <c r="X136" s="107">
        <v>0</v>
      </c>
      <c r="Y136" s="107">
        <v>525</v>
      </c>
      <c r="Z136" s="107">
        <v>0</v>
      </c>
      <c r="AA136" s="112">
        <f t="shared" si="90"/>
        <v>525</v>
      </c>
      <c r="AC136" s="39">
        <v>3000</v>
      </c>
      <c r="AD136" s="40">
        <f t="shared" si="116"/>
        <v>9622.6242916666597</v>
      </c>
      <c r="AE136" s="1">
        <f t="shared" si="117"/>
        <v>13.200000000000001</v>
      </c>
      <c r="AF136" s="1">
        <f t="shared" si="118"/>
        <v>18</v>
      </c>
      <c r="AG136" s="41">
        <f t="shared" si="119"/>
        <v>16.85919126900523</v>
      </c>
      <c r="AI136">
        <v>1.1000000000000001</v>
      </c>
      <c r="AJ136">
        <v>1.5</v>
      </c>
      <c r="AK136" s="32">
        <f t="shared" si="120"/>
        <v>12622.62429166666</v>
      </c>
      <c r="AL136" s="4">
        <f t="shared" si="121"/>
        <v>0.23766848562391044</v>
      </c>
      <c r="AM136" s="4">
        <f t="shared" si="122"/>
        <v>0.76233151437608959</v>
      </c>
    </row>
    <row r="137" spans="3:39" x14ac:dyDescent="0.25">
      <c r="C137" s="1">
        <f t="shared" si="115"/>
        <v>2026</v>
      </c>
      <c r="D137" s="52">
        <f>+'Fisico ASIG'!B137</f>
        <v>46023</v>
      </c>
      <c r="E137" s="1">
        <v>16</v>
      </c>
      <c r="F137" s="1" t="s">
        <v>53</v>
      </c>
      <c r="G137" s="5">
        <v>46048</v>
      </c>
      <c r="H137" s="107">
        <v>7805.8317916666674</v>
      </c>
      <c r="I137" s="107">
        <v>1209.5900000000001</v>
      </c>
      <c r="J137" s="107">
        <v>337.19658333333331</v>
      </c>
      <c r="K137" s="107">
        <v>62.744662500000004</v>
      </c>
      <c r="L137" s="107">
        <v>0</v>
      </c>
      <c r="M137" s="111">
        <f t="shared" si="88"/>
        <v>9415.3630374999993</v>
      </c>
      <c r="N137" s="107">
        <v>11984.007749999995</v>
      </c>
      <c r="O137" s="107">
        <v>1409.3785416666669</v>
      </c>
      <c r="P137" s="107">
        <v>990.67287500000009</v>
      </c>
      <c r="Q137" s="107">
        <v>204.47</v>
      </c>
      <c r="R137" s="107">
        <v>0</v>
      </c>
      <c r="S137" s="111">
        <f t="shared" si="89"/>
        <v>14588.529166666662</v>
      </c>
      <c r="T137" s="107">
        <v>0</v>
      </c>
      <c r="U137" s="107">
        <v>255.19354166666668</v>
      </c>
      <c r="V137" s="107">
        <v>1283.9072500000002</v>
      </c>
      <c r="W137" s="112">
        <f t="shared" si="57"/>
        <v>1539.100791666667</v>
      </c>
      <c r="X137" s="107">
        <v>0</v>
      </c>
      <c r="Y137" s="107">
        <v>525</v>
      </c>
      <c r="Z137" s="107">
        <v>0</v>
      </c>
      <c r="AA137" s="112">
        <f t="shared" si="90"/>
        <v>525</v>
      </c>
      <c r="AC137" s="39">
        <v>3000</v>
      </c>
      <c r="AD137" s="40">
        <f t="shared" ref="AD137:AD140" si="123">+N137-AC137</f>
        <v>8984.0077499999952</v>
      </c>
      <c r="AE137" s="1">
        <f t="shared" ref="AE137:AE140" si="124">12*AI137</f>
        <v>13.200000000000001</v>
      </c>
      <c r="AF137" s="1">
        <f t="shared" ref="AF137:AF140" si="125">12*AJ137</f>
        <v>18</v>
      </c>
      <c r="AG137" s="41">
        <f t="shared" ref="AG137:AG140" si="126">+(AC137*AE137+AF137*AD137)/SUM(AC137:AD137)</f>
        <v>16.798398640888728</v>
      </c>
      <c r="AI137">
        <v>1.1000000000000001</v>
      </c>
      <c r="AJ137">
        <v>1.5</v>
      </c>
      <c r="AK137" s="32">
        <f t="shared" ref="AK137:AK140" si="127">+AC137+AD137</f>
        <v>11984.007749999995</v>
      </c>
      <c r="AL137" s="4">
        <f t="shared" ref="AL137:AL140" si="128">+AC137/AK137</f>
        <v>0.25033361648151481</v>
      </c>
      <c r="AM137" s="4">
        <f t="shared" ref="AM137:AM140" si="129">+AD137/AK137</f>
        <v>0.74966638351848525</v>
      </c>
    </row>
    <row r="138" spans="3:39" x14ac:dyDescent="0.25">
      <c r="C138" s="1">
        <f t="shared" si="115"/>
        <v>2026</v>
      </c>
      <c r="D138" s="52">
        <f>+'Fisico ASIG'!B138</f>
        <v>46023</v>
      </c>
      <c r="E138" s="1">
        <v>16</v>
      </c>
      <c r="F138" s="1" t="s">
        <v>54</v>
      </c>
      <c r="G138" s="5">
        <v>46049</v>
      </c>
      <c r="H138" s="107">
        <v>8021.9551666666703</v>
      </c>
      <c r="I138" s="107">
        <v>1123.0445416666666</v>
      </c>
      <c r="J138" s="107">
        <v>330.79791666666671</v>
      </c>
      <c r="K138" s="107">
        <v>51.955135416666671</v>
      </c>
      <c r="L138" s="107">
        <v>0</v>
      </c>
      <c r="M138" s="111">
        <f t="shared" si="88"/>
        <v>9527.7527604166698</v>
      </c>
      <c r="N138" s="107">
        <v>12187.368541666665</v>
      </c>
      <c r="O138" s="107">
        <v>1371.8997500000005</v>
      </c>
      <c r="P138" s="107">
        <v>991.66000000000008</v>
      </c>
      <c r="Q138" s="107">
        <v>204.47</v>
      </c>
      <c r="R138" s="107">
        <v>0</v>
      </c>
      <c r="S138" s="111">
        <f t="shared" si="89"/>
        <v>14755.398291666665</v>
      </c>
      <c r="T138" s="107">
        <v>0</v>
      </c>
      <c r="U138" s="107">
        <v>228.86545833333335</v>
      </c>
      <c r="V138" s="107">
        <v>1076.7728333333337</v>
      </c>
      <c r="W138" s="112">
        <f t="shared" si="57"/>
        <v>1305.6382916666671</v>
      </c>
      <c r="X138" s="107">
        <v>0</v>
      </c>
      <c r="Y138" s="107">
        <v>525</v>
      </c>
      <c r="Z138" s="107">
        <v>0</v>
      </c>
      <c r="AA138" s="112">
        <f t="shared" si="90"/>
        <v>525</v>
      </c>
      <c r="AC138" s="39">
        <v>3000</v>
      </c>
      <c r="AD138" s="40">
        <f t="shared" si="123"/>
        <v>9187.3685416666649</v>
      </c>
      <c r="AE138" s="1">
        <f t="shared" si="124"/>
        <v>13.200000000000001</v>
      </c>
      <c r="AF138" s="1">
        <f t="shared" si="125"/>
        <v>18</v>
      </c>
      <c r="AG138" s="41">
        <f t="shared" si="126"/>
        <v>16.818448793866477</v>
      </c>
      <c r="AI138">
        <v>1.1000000000000001</v>
      </c>
      <c r="AJ138">
        <v>1.5</v>
      </c>
      <c r="AK138" s="32">
        <f t="shared" si="127"/>
        <v>12187.368541666665</v>
      </c>
      <c r="AL138" s="4">
        <f t="shared" si="128"/>
        <v>0.24615650127781724</v>
      </c>
      <c r="AM138" s="4">
        <f t="shared" si="129"/>
        <v>0.75384349872218281</v>
      </c>
    </row>
    <row r="139" spans="3:39" x14ac:dyDescent="0.25">
      <c r="C139" s="1">
        <f t="shared" si="115"/>
        <v>2026</v>
      </c>
      <c r="D139" s="52">
        <f>+'Fisico ASIG'!B139</f>
        <v>46023</v>
      </c>
      <c r="E139" s="1">
        <v>16</v>
      </c>
      <c r="F139" s="1" t="s">
        <v>55</v>
      </c>
      <c r="G139" s="5">
        <v>46050</v>
      </c>
      <c r="H139" s="107">
        <v>7875.9607500000011</v>
      </c>
      <c r="I139" s="107">
        <v>1280.4480000000003</v>
      </c>
      <c r="J139" s="107">
        <v>291.66979166666664</v>
      </c>
      <c r="K139" s="107">
        <v>49.668041666666667</v>
      </c>
      <c r="L139" s="107">
        <v>0</v>
      </c>
      <c r="M139" s="111">
        <f t="shared" si="88"/>
        <v>9497.7465833333354</v>
      </c>
      <c r="N139" s="107">
        <v>12290.903208333328</v>
      </c>
      <c r="O139" s="107">
        <v>1426.0433750000002</v>
      </c>
      <c r="P139" s="107">
        <v>991.1647916666667</v>
      </c>
      <c r="Q139" s="107">
        <v>204.47</v>
      </c>
      <c r="R139" s="107">
        <v>0</v>
      </c>
      <c r="S139" s="111">
        <f t="shared" si="89"/>
        <v>14912.581374999992</v>
      </c>
      <c r="T139" s="107">
        <v>0</v>
      </c>
      <c r="U139" s="107">
        <v>463.92987500000004</v>
      </c>
      <c r="V139" s="107">
        <v>969.67258333333325</v>
      </c>
      <c r="W139" s="112">
        <f t="shared" si="57"/>
        <v>1433.6024583333333</v>
      </c>
      <c r="X139" s="107">
        <v>0</v>
      </c>
      <c r="Y139" s="107">
        <v>525</v>
      </c>
      <c r="Z139" s="107">
        <v>0</v>
      </c>
      <c r="AA139" s="112">
        <f t="shared" si="90"/>
        <v>525</v>
      </c>
      <c r="AC139" s="39">
        <v>3000</v>
      </c>
      <c r="AD139" s="40">
        <f t="shared" si="123"/>
        <v>9290.9032083333277</v>
      </c>
      <c r="AE139" s="1">
        <f t="shared" si="124"/>
        <v>13.200000000000001</v>
      </c>
      <c r="AF139" s="1">
        <f t="shared" si="125"/>
        <v>18</v>
      </c>
      <c r="AG139" s="41">
        <f t="shared" si="126"/>
        <v>16.828401806123029</v>
      </c>
      <c r="AI139">
        <v>1.1000000000000001</v>
      </c>
      <c r="AJ139">
        <v>1.5</v>
      </c>
      <c r="AK139" s="32">
        <f t="shared" si="127"/>
        <v>12290.903208333328</v>
      </c>
      <c r="AL139" s="4">
        <f t="shared" si="128"/>
        <v>0.24408295705770239</v>
      </c>
      <c r="AM139" s="4">
        <f t="shared" si="129"/>
        <v>0.75591704294229767</v>
      </c>
    </row>
    <row r="140" spans="3:39" x14ac:dyDescent="0.25">
      <c r="C140" s="1">
        <f t="shared" ref="C140:C141" si="130">YEAR(G140)</f>
        <v>2026</v>
      </c>
      <c r="D140" s="52">
        <f>+'Fisico ASIG'!B140</f>
        <v>46023</v>
      </c>
      <c r="E140" s="1">
        <v>16</v>
      </c>
      <c r="F140" s="1" t="s">
        <v>56</v>
      </c>
      <c r="G140" s="5">
        <v>46051</v>
      </c>
      <c r="H140" s="107">
        <v>7996.2107500000002</v>
      </c>
      <c r="I140" s="107">
        <v>1230.194375</v>
      </c>
      <c r="J140" s="107">
        <v>339.65179166666672</v>
      </c>
      <c r="K140" s="107">
        <v>57.511570833333337</v>
      </c>
      <c r="L140" s="107">
        <v>0</v>
      </c>
      <c r="M140" s="111">
        <f t="shared" si="88"/>
        <v>9623.5684875000024</v>
      </c>
      <c r="N140" s="107">
        <v>12471.410083333332</v>
      </c>
      <c r="O140" s="107">
        <v>1426.2517916666668</v>
      </c>
      <c r="P140" s="107">
        <v>991.82383333333337</v>
      </c>
      <c r="Q140" s="107">
        <v>204.47</v>
      </c>
      <c r="R140" s="107">
        <v>0</v>
      </c>
      <c r="S140" s="111">
        <f t="shared" si="89"/>
        <v>15093.955708333333</v>
      </c>
      <c r="T140" s="107">
        <v>0</v>
      </c>
      <c r="U140" s="107">
        <v>476.92729166666663</v>
      </c>
      <c r="V140" s="107">
        <v>1162.1328333333333</v>
      </c>
      <c r="W140" s="112">
        <f t="shared" si="57"/>
        <v>1639.060125</v>
      </c>
      <c r="X140" s="107">
        <v>0</v>
      </c>
      <c r="Y140" s="107">
        <v>525</v>
      </c>
      <c r="Z140" s="107">
        <v>0</v>
      </c>
      <c r="AA140" s="112">
        <f t="shared" si="90"/>
        <v>525</v>
      </c>
      <c r="AC140" s="39">
        <v>3000</v>
      </c>
      <c r="AD140" s="40">
        <f t="shared" si="123"/>
        <v>9471.4100833333323</v>
      </c>
      <c r="AE140" s="1">
        <f t="shared" si="124"/>
        <v>13.200000000000001</v>
      </c>
      <c r="AF140" s="1">
        <f t="shared" si="125"/>
        <v>18</v>
      </c>
      <c r="AG140" s="41">
        <f t="shared" si="126"/>
        <v>16.845359113061001</v>
      </c>
      <c r="AI140">
        <v>1.1000000000000001</v>
      </c>
      <c r="AJ140">
        <v>1.5</v>
      </c>
      <c r="AK140" s="32">
        <f t="shared" si="127"/>
        <v>12471.410083333332</v>
      </c>
      <c r="AL140" s="4">
        <f t="shared" si="128"/>
        <v>0.24055018477895856</v>
      </c>
      <c r="AM140" s="4">
        <f t="shared" si="129"/>
        <v>0.75944981522104149</v>
      </c>
    </row>
    <row r="141" spans="3:39" x14ac:dyDescent="0.25">
      <c r="C141" s="1">
        <f t="shared" si="130"/>
        <v>2026</v>
      </c>
      <c r="D141" s="52">
        <f>+'Fisico ASIG'!B141</f>
        <v>46023</v>
      </c>
      <c r="E141" s="1">
        <v>16</v>
      </c>
      <c r="F141" s="1" t="s">
        <v>57</v>
      </c>
      <c r="G141" s="5">
        <v>46052</v>
      </c>
      <c r="H141" s="107">
        <v>7905.3217083333366</v>
      </c>
      <c r="I141" s="107">
        <v>1206.6380416666668</v>
      </c>
      <c r="J141" s="107">
        <v>343.8969166666667</v>
      </c>
      <c r="K141" s="107">
        <v>36.623502083333328</v>
      </c>
      <c r="L141" s="107">
        <v>0</v>
      </c>
      <c r="M141" s="111">
        <f t="shared" si="88"/>
        <v>9492.4801687500039</v>
      </c>
      <c r="N141" s="107">
        <v>12496.11983333333</v>
      </c>
      <c r="O141" s="107">
        <v>1432.93075</v>
      </c>
      <c r="P141" s="107">
        <v>983.71</v>
      </c>
      <c r="Q141" s="107">
        <v>204.47</v>
      </c>
      <c r="R141" s="107">
        <v>0</v>
      </c>
      <c r="S141" s="111">
        <f t="shared" si="89"/>
        <v>15117.230583333328</v>
      </c>
      <c r="T141" s="107">
        <v>0</v>
      </c>
      <c r="U141" s="107">
        <v>457.28945833333324</v>
      </c>
      <c r="V141" s="107">
        <v>1250.0000833333334</v>
      </c>
      <c r="W141" s="112">
        <f t="shared" si="57"/>
        <v>1707.2895416666665</v>
      </c>
      <c r="X141" s="107">
        <v>0</v>
      </c>
      <c r="Y141" s="107">
        <v>525</v>
      </c>
      <c r="Z141" s="107">
        <v>0</v>
      </c>
      <c r="AA141" s="112">
        <f t="shared" si="90"/>
        <v>525</v>
      </c>
      <c r="AC141" s="39">
        <v>3000</v>
      </c>
      <c r="AD141" s="40">
        <f t="shared" si="116"/>
        <v>9496.1198333333305</v>
      </c>
      <c r="AE141" s="1">
        <f t="shared" si="117"/>
        <v>13.200000000000001</v>
      </c>
      <c r="AF141" s="1">
        <f t="shared" si="118"/>
        <v>18</v>
      </c>
      <c r="AG141" s="41">
        <f t="shared" si="119"/>
        <v>16.847642292802917</v>
      </c>
      <c r="AI141">
        <v>1.1000000000000001</v>
      </c>
      <c r="AJ141">
        <v>1.5</v>
      </c>
      <c r="AK141" s="32">
        <f t="shared" si="120"/>
        <v>12496.11983333333</v>
      </c>
      <c r="AL141" s="4">
        <f t="shared" si="121"/>
        <v>0.24007452233272578</v>
      </c>
      <c r="AM141" s="4">
        <f t="shared" si="122"/>
        <v>0.75992547766727425</v>
      </c>
    </row>
    <row r="142" spans="3:39" x14ac:dyDescent="0.25">
      <c r="C142" s="1">
        <f t="shared" ref="C142" si="131">YEAR(G142)</f>
        <v>2026</v>
      </c>
      <c r="D142" s="52">
        <f>+'Fisico ASIG'!B142</f>
        <v>46023</v>
      </c>
      <c r="E142" s="1">
        <v>6</v>
      </c>
      <c r="F142" s="1" t="s">
        <v>51</v>
      </c>
      <c r="G142" s="5">
        <v>46053</v>
      </c>
      <c r="H142" s="107">
        <v>7015.2017500000038</v>
      </c>
      <c r="I142" s="107">
        <v>950.22504166666681</v>
      </c>
      <c r="J142" s="107">
        <v>255.15129166666668</v>
      </c>
      <c r="K142" s="107">
        <v>33.202341666666669</v>
      </c>
      <c r="L142" s="107">
        <v>0</v>
      </c>
      <c r="M142" s="111">
        <f t="shared" si="88"/>
        <v>8253.7804250000045</v>
      </c>
      <c r="N142" s="107">
        <v>12359.52012499999</v>
      </c>
      <c r="O142" s="107">
        <v>1412.2100416666667</v>
      </c>
      <c r="P142" s="107">
        <v>983.71</v>
      </c>
      <c r="Q142" s="107">
        <v>204.47</v>
      </c>
      <c r="R142" s="107">
        <v>0</v>
      </c>
      <c r="S142" s="111">
        <f t="shared" si="89"/>
        <v>14959.910166666656</v>
      </c>
      <c r="T142" s="107">
        <v>0</v>
      </c>
      <c r="U142" s="107">
        <v>425.70549999999997</v>
      </c>
      <c r="V142" s="107">
        <v>1161.7197083333335</v>
      </c>
      <c r="W142" s="112">
        <f t="shared" si="57"/>
        <v>1587.4252083333336</v>
      </c>
      <c r="X142" s="107">
        <v>0</v>
      </c>
      <c r="Y142" s="107">
        <v>525</v>
      </c>
      <c r="Z142" s="107">
        <v>0</v>
      </c>
      <c r="AA142" s="112">
        <f t="shared" si="90"/>
        <v>525</v>
      </c>
      <c r="AC142" s="39">
        <v>3000</v>
      </c>
      <c r="AD142" s="40">
        <f t="shared" ref="AD142:AD143" si="132">+N142-AC142</f>
        <v>9359.52012499999</v>
      </c>
      <c r="AE142" s="1">
        <f t="shared" ref="AE142:AE143" si="133">12*AI142</f>
        <v>13.200000000000001</v>
      </c>
      <c r="AF142" s="1">
        <f t="shared" ref="AF142:AF143" si="134">12*AJ142</f>
        <v>18</v>
      </c>
      <c r="AG142" s="41">
        <f t="shared" ref="AG142:AG143" si="135">+(AC142*AE142+AF142*AD142)/SUM(AC142:AD142)</f>
        <v>16.834906221733267</v>
      </c>
      <c r="AI142">
        <v>1.1000000000000001</v>
      </c>
      <c r="AJ142">
        <v>1.5</v>
      </c>
      <c r="AK142" s="32">
        <f t="shared" ref="AK142" si="136">+AC142+AD142</f>
        <v>12359.52012499999</v>
      </c>
      <c r="AL142" s="4">
        <f t="shared" ref="AL142" si="137">+AC142/AK142</f>
        <v>0.24272787047223668</v>
      </c>
      <c r="AM142" s="4">
        <f t="shared" ref="AM142" si="138">+AD142/AK142</f>
        <v>0.75727212952776335</v>
      </c>
    </row>
    <row r="143" spans="3:39" x14ac:dyDescent="0.25">
      <c r="C143" s="1">
        <f>+'Fisico ASIG'!A143</f>
        <v>2026</v>
      </c>
      <c r="D143" s="52">
        <f>+'Fisico ASIG'!B143</f>
        <v>46054</v>
      </c>
      <c r="E143" s="1">
        <f>+E136</f>
        <v>4</v>
      </c>
      <c r="F143" s="1" t="s">
        <v>52</v>
      </c>
      <c r="G143" s="5">
        <v>46054</v>
      </c>
      <c r="H143" s="107">
        <v>6722.342041666665</v>
      </c>
      <c r="I143" s="107">
        <v>774.16683333333344</v>
      </c>
      <c r="J143" s="107">
        <v>223.29375000000002</v>
      </c>
      <c r="K143" s="107">
        <v>17.127708333333334</v>
      </c>
      <c r="L143" s="107">
        <v>0</v>
      </c>
      <c r="M143" s="111">
        <f t="shared" si="88"/>
        <v>7736.9303333333319</v>
      </c>
      <c r="N143" s="107">
        <v>12721.431083333338</v>
      </c>
      <c r="O143" s="107">
        <v>1398.8500416666666</v>
      </c>
      <c r="P143" s="107">
        <v>983.66000000000008</v>
      </c>
      <c r="Q143" s="107">
        <v>204.47</v>
      </c>
      <c r="R143" s="107">
        <v>0</v>
      </c>
      <c r="S143" s="111">
        <f t="shared" si="89"/>
        <v>15308.411125000004</v>
      </c>
      <c r="T143" s="107">
        <v>0</v>
      </c>
      <c r="U143" s="107">
        <v>236.82920833333333</v>
      </c>
      <c r="V143" s="107">
        <v>1042.2147500000001</v>
      </c>
      <c r="W143" s="112">
        <f t="shared" si="57"/>
        <v>1279.0439583333334</v>
      </c>
      <c r="X143" s="107">
        <v>0</v>
      </c>
      <c r="Y143" s="107">
        <v>515</v>
      </c>
      <c r="Z143" s="107">
        <v>0</v>
      </c>
      <c r="AA143" s="112">
        <f t="shared" si="90"/>
        <v>515</v>
      </c>
      <c r="AC143" s="39">
        <v>3000</v>
      </c>
      <c r="AD143" s="40">
        <f t="shared" si="132"/>
        <v>9721.4310833333384</v>
      </c>
      <c r="AE143" s="1">
        <f t="shared" si="133"/>
        <v>13.200000000000001</v>
      </c>
      <c r="AF143" s="1">
        <f t="shared" si="134"/>
        <v>18</v>
      </c>
      <c r="AG143" s="41">
        <f t="shared" si="135"/>
        <v>16.868051879881204</v>
      </c>
      <c r="AI143">
        <v>1.1000000000000001</v>
      </c>
      <c r="AJ143">
        <v>1.5</v>
      </c>
      <c r="AK143" s="32">
        <f t="shared" ref="AK143:AK147" si="139">+AC143+AD143</f>
        <v>12721.431083333338</v>
      </c>
      <c r="AL143" s="4">
        <f t="shared" ref="AL143:AL147" si="140">+AC143/AK143</f>
        <v>0.23582252502474932</v>
      </c>
      <c r="AM143" s="4">
        <f t="shared" ref="AM143:AM147" si="141">+AD143/AK143</f>
        <v>0.76417747497525068</v>
      </c>
    </row>
    <row r="144" spans="3:39" x14ac:dyDescent="0.25">
      <c r="C144" s="1">
        <f>+'Fisico ASIG'!A144</f>
        <v>2026</v>
      </c>
      <c r="D144" s="52">
        <f>+'Fisico ASIG'!B144</f>
        <v>46054</v>
      </c>
      <c r="E144" s="1">
        <f t="shared" ref="E144:E157" si="142">+E137</f>
        <v>16</v>
      </c>
      <c r="F144" s="1" t="s">
        <v>53</v>
      </c>
      <c r="G144" s="5">
        <v>46055</v>
      </c>
      <c r="H144" s="107">
        <v>7507.9775416666662</v>
      </c>
      <c r="I144" s="107">
        <v>1119.8006666666665</v>
      </c>
      <c r="J144" s="107">
        <v>285.14</v>
      </c>
      <c r="K144" s="107">
        <v>40.999658333333336</v>
      </c>
      <c r="L144" s="107">
        <v>0</v>
      </c>
      <c r="M144" s="111">
        <v>8953.9178666666667</v>
      </c>
      <c r="N144" s="107">
        <v>12529.231958333334</v>
      </c>
      <c r="O144" s="107">
        <v>1388.2443750000002</v>
      </c>
      <c r="P144" s="107">
        <v>988.66000000000008</v>
      </c>
      <c r="Q144" s="107">
        <v>204.47</v>
      </c>
      <c r="R144" s="107">
        <v>0</v>
      </c>
      <c r="S144" s="111">
        <f t="shared" si="89"/>
        <v>15110.606333333333</v>
      </c>
      <c r="T144" s="107">
        <v>0</v>
      </c>
      <c r="U144" s="107">
        <v>207.14762499999998</v>
      </c>
      <c r="V144" s="107">
        <v>1724.9650000000001</v>
      </c>
      <c r="W144" s="112">
        <f t="shared" si="57"/>
        <v>1932.1126250000002</v>
      </c>
      <c r="X144" s="107">
        <v>0</v>
      </c>
      <c r="Y144" s="107">
        <v>515</v>
      </c>
      <c r="Z144" s="107">
        <v>0</v>
      </c>
      <c r="AA144" s="112">
        <f t="shared" si="90"/>
        <v>515</v>
      </c>
      <c r="AC144" s="39">
        <v>3000</v>
      </c>
      <c r="AD144" s="40">
        <f t="shared" ref="AD144:AD155" si="143">+N144-AC144</f>
        <v>9529.2319583333338</v>
      </c>
      <c r="AE144" s="1">
        <f t="shared" ref="AE144:AE155" si="144">12*AI144</f>
        <v>13.200000000000001</v>
      </c>
      <c r="AF144" s="1">
        <f t="shared" ref="AF144:AF155" si="145">12*AJ144</f>
        <v>18</v>
      </c>
      <c r="AG144" s="41">
        <f t="shared" ref="AG144:AG155" si="146">+(AC144*AE144+AF144*AD144)/SUM(AC144:AD144)</f>
        <v>16.850687731866724</v>
      </c>
      <c r="AI144">
        <v>1.1000000000000001</v>
      </c>
      <c r="AJ144">
        <v>1.5</v>
      </c>
      <c r="AK144" s="32">
        <f t="shared" si="139"/>
        <v>12529.231958333334</v>
      </c>
      <c r="AL144" s="4">
        <f t="shared" si="140"/>
        <v>0.23944005586109898</v>
      </c>
      <c r="AM144" s="4">
        <f t="shared" si="141"/>
        <v>0.76055994413890105</v>
      </c>
    </row>
    <row r="145" spans="3:39" x14ac:dyDescent="0.25">
      <c r="C145" s="1">
        <f>+'Fisico ASIG'!A145</f>
        <v>2026</v>
      </c>
      <c r="D145" s="52">
        <f>+'Fisico ASIG'!B145</f>
        <v>46054</v>
      </c>
      <c r="E145" s="1">
        <f t="shared" si="142"/>
        <v>16</v>
      </c>
      <c r="F145" s="1" t="s">
        <v>54</v>
      </c>
      <c r="G145" s="5">
        <v>46056</v>
      </c>
      <c r="H145" s="107">
        <v>8268.2364166666666</v>
      </c>
      <c r="I145" s="107">
        <v>1227.0300416666669</v>
      </c>
      <c r="J145" s="107">
        <v>309.0664583333334</v>
      </c>
      <c r="K145" s="107">
        <v>79.226950000000016</v>
      </c>
      <c r="L145" s="107">
        <v>0</v>
      </c>
      <c r="M145" s="111">
        <v>9883.5598666666665</v>
      </c>
      <c r="N145" s="107">
        <v>12058.662416666662</v>
      </c>
      <c r="O145" s="107">
        <v>1383.0182500000001</v>
      </c>
      <c r="P145" s="107">
        <v>991.66000000000008</v>
      </c>
      <c r="Q145" s="107">
        <v>204.47</v>
      </c>
      <c r="R145" s="107">
        <v>0</v>
      </c>
      <c r="S145" s="111">
        <f t="shared" si="89"/>
        <v>14637.810666666663</v>
      </c>
      <c r="T145" s="107">
        <v>0</v>
      </c>
      <c r="U145" s="107">
        <v>444.85141666666664</v>
      </c>
      <c r="V145" s="107">
        <v>1416.4802499999998</v>
      </c>
      <c r="W145" s="112">
        <f t="shared" si="57"/>
        <v>1861.3316666666665</v>
      </c>
      <c r="X145" s="107">
        <v>0</v>
      </c>
      <c r="Y145" s="107">
        <v>525</v>
      </c>
      <c r="Z145" s="107">
        <v>0</v>
      </c>
      <c r="AA145" s="112">
        <f t="shared" si="90"/>
        <v>525</v>
      </c>
      <c r="AC145" s="39">
        <v>3000</v>
      </c>
      <c r="AD145" s="40">
        <f t="shared" si="143"/>
        <v>9058.6624166666625</v>
      </c>
      <c r="AE145" s="1">
        <f t="shared" si="144"/>
        <v>13.200000000000001</v>
      </c>
      <c r="AF145" s="1">
        <f t="shared" si="145"/>
        <v>18</v>
      </c>
      <c r="AG145" s="41">
        <f t="shared" si="146"/>
        <v>16.805837703848702</v>
      </c>
      <c r="AI145">
        <v>1.1000000000000001</v>
      </c>
      <c r="AJ145">
        <v>1.5</v>
      </c>
      <c r="AK145" s="32">
        <f t="shared" si="139"/>
        <v>12058.662416666662</v>
      </c>
      <c r="AL145" s="4">
        <f t="shared" si="140"/>
        <v>0.2487838116981867</v>
      </c>
      <c r="AM145" s="4">
        <f t="shared" si="141"/>
        <v>0.75121618830181325</v>
      </c>
    </row>
    <row r="146" spans="3:39" x14ac:dyDescent="0.25">
      <c r="C146" s="1">
        <f>+'Fisico ASIG'!A146</f>
        <v>2026</v>
      </c>
      <c r="D146" s="52">
        <f>+'Fisico ASIG'!B146</f>
        <v>46054</v>
      </c>
      <c r="E146" s="1">
        <f t="shared" si="142"/>
        <v>16</v>
      </c>
      <c r="F146" s="1" t="s">
        <v>55</v>
      </c>
      <c r="G146" s="5">
        <v>46057</v>
      </c>
      <c r="H146" s="107">
        <v>7815.4476666666678</v>
      </c>
      <c r="I146" s="107">
        <v>1154.8561250000002</v>
      </c>
      <c r="J146" s="107">
        <v>285.123875</v>
      </c>
      <c r="K146" s="107">
        <v>25.538006250000002</v>
      </c>
      <c r="L146" s="107">
        <v>0</v>
      </c>
      <c r="M146" s="111">
        <v>9280.9656729166691</v>
      </c>
      <c r="N146" s="107">
        <v>12401.959250000002</v>
      </c>
      <c r="O146" s="107">
        <v>1419.9055416666667</v>
      </c>
      <c r="P146" s="107">
        <v>983.66000000000008</v>
      </c>
      <c r="Q146" s="107">
        <v>204.47</v>
      </c>
      <c r="R146" s="107">
        <v>0</v>
      </c>
      <c r="S146" s="111">
        <f t="shared" si="89"/>
        <v>15009.994791666668</v>
      </c>
      <c r="T146" s="107">
        <v>0</v>
      </c>
      <c r="U146" s="107">
        <v>471.24191666666667</v>
      </c>
      <c r="V146" s="107">
        <v>1317.5642500000001</v>
      </c>
      <c r="W146" s="112">
        <f t="shared" si="57"/>
        <v>1788.8061666666667</v>
      </c>
      <c r="X146" s="107">
        <v>0</v>
      </c>
      <c r="Y146" s="107">
        <v>515</v>
      </c>
      <c r="Z146" s="107">
        <v>0</v>
      </c>
      <c r="AA146" s="112">
        <f t="shared" si="90"/>
        <v>515</v>
      </c>
      <c r="AC146" s="39">
        <v>3000</v>
      </c>
      <c r="AD146" s="40">
        <f t="shared" si="143"/>
        <v>9401.9592500000017</v>
      </c>
      <c r="AE146" s="1">
        <f t="shared" si="144"/>
        <v>13.200000000000001</v>
      </c>
      <c r="AF146" s="1">
        <f t="shared" si="145"/>
        <v>18</v>
      </c>
      <c r="AG146" s="41">
        <f t="shared" si="146"/>
        <v>16.838893136985593</v>
      </c>
      <c r="AI146">
        <v>1.1000000000000001</v>
      </c>
      <c r="AJ146">
        <v>1.5</v>
      </c>
      <c r="AK146" s="32">
        <f t="shared" si="139"/>
        <v>12401.959250000002</v>
      </c>
      <c r="AL146" s="4">
        <f t="shared" si="140"/>
        <v>0.24189726312800131</v>
      </c>
      <c r="AM146" s="4">
        <f t="shared" si="141"/>
        <v>0.75810273687199869</v>
      </c>
    </row>
    <row r="147" spans="3:39" x14ac:dyDescent="0.25">
      <c r="C147" s="1">
        <f>+'Fisico ASIG'!A147</f>
        <v>2026</v>
      </c>
      <c r="D147" s="52">
        <f>+'Fisico ASIG'!B147</f>
        <v>46054</v>
      </c>
      <c r="E147" s="1">
        <f t="shared" si="142"/>
        <v>16</v>
      </c>
      <c r="F147" s="1" t="s">
        <v>56</v>
      </c>
      <c r="G147" s="5">
        <v>46058</v>
      </c>
      <c r="H147" s="107">
        <v>7620.4595000000018</v>
      </c>
      <c r="I147" s="107">
        <v>1170.2295000000001</v>
      </c>
      <c r="J147" s="107">
        <v>246.92537500000003</v>
      </c>
      <c r="K147" s="107">
        <v>16.281968750000001</v>
      </c>
      <c r="L147" s="107">
        <v>0</v>
      </c>
      <c r="M147" s="111">
        <v>9053.8963437500024</v>
      </c>
      <c r="N147" s="107">
        <v>12785.021624999999</v>
      </c>
      <c r="O147" s="107">
        <v>1445.2653749999999</v>
      </c>
      <c r="P147" s="107">
        <v>991.66000000000008</v>
      </c>
      <c r="Q147" s="107">
        <v>204.47</v>
      </c>
      <c r="R147" s="107">
        <v>0</v>
      </c>
      <c r="S147" s="111">
        <f t="shared" si="89"/>
        <v>15426.416999999999</v>
      </c>
      <c r="T147" s="107">
        <v>0</v>
      </c>
      <c r="U147" s="107">
        <v>257.07616666666672</v>
      </c>
      <c r="V147" s="107">
        <v>1292.8390833333335</v>
      </c>
      <c r="W147" s="112">
        <f t="shared" si="57"/>
        <v>1549.9152500000002</v>
      </c>
      <c r="X147" s="107">
        <v>0</v>
      </c>
      <c r="Y147" s="107">
        <v>515</v>
      </c>
      <c r="Z147" s="107">
        <v>0</v>
      </c>
      <c r="AA147" s="112">
        <f t="shared" si="90"/>
        <v>515</v>
      </c>
      <c r="AC147" s="39">
        <v>3000</v>
      </c>
      <c r="AD147" s="40">
        <f t="shared" si="143"/>
        <v>9785.0216249999994</v>
      </c>
      <c r="AE147" s="1">
        <f t="shared" si="144"/>
        <v>13.200000000000001</v>
      </c>
      <c r="AF147" s="1">
        <f t="shared" si="145"/>
        <v>18</v>
      </c>
      <c r="AG147" s="41">
        <f t="shared" si="146"/>
        <v>16.873681998953991</v>
      </c>
      <c r="AI147">
        <v>1.1000000000000001</v>
      </c>
      <c r="AJ147">
        <v>1.5</v>
      </c>
      <c r="AK147" s="32">
        <f t="shared" si="139"/>
        <v>12785.021624999999</v>
      </c>
      <c r="AL147" s="4">
        <f t="shared" si="140"/>
        <v>0.23464958355125193</v>
      </c>
      <c r="AM147" s="4">
        <f t="shared" si="141"/>
        <v>0.76535041644874813</v>
      </c>
    </row>
    <row r="148" spans="3:39" x14ac:dyDescent="0.25">
      <c r="C148" s="1">
        <f>+'Fisico ASIG'!A148</f>
        <v>2026</v>
      </c>
      <c r="D148" s="52">
        <f>+'Fisico ASIG'!B148</f>
        <v>46054</v>
      </c>
      <c r="E148" s="1">
        <f t="shared" si="142"/>
        <v>16</v>
      </c>
      <c r="F148" s="1" t="s">
        <v>57</v>
      </c>
      <c r="G148" s="5">
        <v>46059</v>
      </c>
      <c r="H148" s="107">
        <v>7264.6852083333342</v>
      </c>
      <c r="I148" s="107">
        <v>822.15770833333329</v>
      </c>
      <c r="J148" s="107">
        <v>209.88833333333335</v>
      </c>
      <c r="K148" s="107">
        <v>13.090975</v>
      </c>
      <c r="L148" s="107">
        <v>0</v>
      </c>
      <c r="M148" s="111">
        <v>8309.8222249999999</v>
      </c>
      <c r="N148" s="107">
        <v>12869.018749999996</v>
      </c>
      <c r="O148" s="107">
        <v>1457.4437083333335</v>
      </c>
      <c r="P148" s="107">
        <v>988.66000000000008</v>
      </c>
      <c r="Q148" s="107">
        <v>204.47</v>
      </c>
      <c r="R148" s="107">
        <v>0</v>
      </c>
      <c r="S148" s="111">
        <f t="shared" si="89"/>
        <v>15519.592458333329</v>
      </c>
      <c r="T148" s="107">
        <v>0</v>
      </c>
      <c r="U148" s="107">
        <v>188.36795833333329</v>
      </c>
      <c r="V148" s="107">
        <v>1162.8596250000001</v>
      </c>
      <c r="W148" s="112">
        <f t="shared" si="57"/>
        <v>1351.2275833333333</v>
      </c>
      <c r="X148" s="107">
        <v>0</v>
      </c>
      <c r="Y148" s="107">
        <v>515</v>
      </c>
      <c r="Z148" s="107">
        <v>0</v>
      </c>
      <c r="AA148" s="112">
        <f t="shared" si="90"/>
        <v>515</v>
      </c>
      <c r="AC148" s="39">
        <v>3000</v>
      </c>
      <c r="AD148" s="40">
        <f t="shared" si="143"/>
        <v>9869.0187499999956</v>
      </c>
      <c r="AE148" s="1">
        <f t="shared" si="144"/>
        <v>13.200000000000001</v>
      </c>
      <c r="AF148" s="1">
        <f t="shared" si="145"/>
        <v>18</v>
      </c>
      <c r="AG148" s="41">
        <f t="shared" si="146"/>
        <v>16.881033567535987</v>
      </c>
      <c r="AI148">
        <v>1.1000000000000001</v>
      </c>
      <c r="AJ148">
        <v>1.5</v>
      </c>
      <c r="AK148" s="32">
        <f t="shared" ref="AK148:AK156" si="147">+AC148+AD148</f>
        <v>12869.018749999996</v>
      </c>
      <c r="AL148" s="4">
        <f t="shared" ref="AL148:AL156" si="148">+AC148/AK148</f>
        <v>0.23311800676333624</v>
      </c>
      <c r="AM148" s="4">
        <f t="shared" ref="AM148:AM156" si="149">+AD148/AK148</f>
        <v>0.76688199323666373</v>
      </c>
    </row>
    <row r="149" spans="3:39" x14ac:dyDescent="0.25">
      <c r="C149" s="1">
        <f>+'Fisico ASIG'!A149</f>
        <v>2026</v>
      </c>
      <c r="D149" s="52">
        <f>+'Fisico ASIG'!B149</f>
        <v>46054</v>
      </c>
      <c r="E149" s="1">
        <f t="shared" si="142"/>
        <v>6</v>
      </c>
      <c r="F149" s="1" t="s">
        <v>51</v>
      </c>
      <c r="G149" s="5">
        <v>46060</v>
      </c>
      <c r="H149" s="107">
        <v>7163.4578333333329</v>
      </c>
      <c r="I149" s="107">
        <v>930.79899999999998</v>
      </c>
      <c r="J149" s="107">
        <v>236.77341666666663</v>
      </c>
      <c r="K149" s="107">
        <v>18.564554166666671</v>
      </c>
      <c r="L149" s="107">
        <v>0</v>
      </c>
      <c r="M149" s="111">
        <v>8349.594804166667</v>
      </c>
      <c r="N149" s="107">
        <v>12869.236458333335</v>
      </c>
      <c r="O149" s="107">
        <v>1458.7341249999999</v>
      </c>
      <c r="P149" s="107">
        <v>988.66000000000008</v>
      </c>
      <c r="Q149" s="107">
        <v>204.47</v>
      </c>
      <c r="R149" s="107">
        <v>0</v>
      </c>
      <c r="S149" s="111">
        <f t="shared" si="89"/>
        <v>15521.100583333335</v>
      </c>
      <c r="T149" s="107">
        <v>0</v>
      </c>
      <c r="U149" s="107">
        <v>188.49795833333334</v>
      </c>
      <c r="V149" s="107">
        <v>1083.5829999999999</v>
      </c>
      <c r="W149" s="112">
        <f t="shared" ref="W149:W212" si="150">SUM(T149:V149)</f>
        <v>1272.0809583333332</v>
      </c>
      <c r="X149" s="107">
        <v>0</v>
      </c>
      <c r="Y149" s="107">
        <v>515</v>
      </c>
      <c r="Z149" s="107">
        <v>0</v>
      </c>
      <c r="AA149" s="112">
        <f t="shared" si="90"/>
        <v>515</v>
      </c>
      <c r="AC149" s="39">
        <v>3000</v>
      </c>
      <c r="AD149" s="40">
        <f t="shared" si="143"/>
        <v>9869.2364583333347</v>
      </c>
      <c r="AE149" s="1">
        <f t="shared" si="144"/>
        <v>13.200000000000001</v>
      </c>
      <c r="AF149" s="1">
        <f t="shared" si="145"/>
        <v>18</v>
      </c>
      <c r="AG149" s="41">
        <f t="shared" si="146"/>
        <v>16.881052497044188</v>
      </c>
      <c r="AI149">
        <v>1.1000000000000001</v>
      </c>
      <c r="AJ149">
        <v>1.5</v>
      </c>
      <c r="AK149" s="32">
        <f t="shared" si="147"/>
        <v>12869.236458333335</v>
      </c>
      <c r="AL149" s="4">
        <f t="shared" si="148"/>
        <v>0.23311406311579444</v>
      </c>
      <c r="AM149" s="4">
        <f t="shared" si="149"/>
        <v>0.76688593688420559</v>
      </c>
    </row>
    <row r="150" spans="3:39" x14ac:dyDescent="0.25">
      <c r="C150" s="1">
        <f>+'Fisico ASIG'!A150</f>
        <v>2026</v>
      </c>
      <c r="D150" s="52">
        <f>+'Fisico ASIG'!B150</f>
        <v>46054</v>
      </c>
      <c r="E150" s="1">
        <f>+E143</f>
        <v>4</v>
      </c>
      <c r="F150" s="1" t="s">
        <v>52</v>
      </c>
      <c r="G150" s="5">
        <v>46061</v>
      </c>
      <c r="H150" s="107">
        <v>6819.0458749999998</v>
      </c>
      <c r="I150" s="107">
        <v>1035.5005000000001</v>
      </c>
      <c r="J150" s="107">
        <v>220.52370833333339</v>
      </c>
      <c r="K150" s="107">
        <v>21.659404166666665</v>
      </c>
      <c r="L150" s="107">
        <v>0</v>
      </c>
      <c r="M150" s="111">
        <v>8096.7294874999998</v>
      </c>
      <c r="N150" s="107">
        <v>12552.874875</v>
      </c>
      <c r="O150" s="107">
        <v>1433.1759999999997</v>
      </c>
      <c r="P150" s="107">
        <v>988.66000000000008</v>
      </c>
      <c r="Q150" s="107">
        <v>204.47</v>
      </c>
      <c r="R150" s="107">
        <v>0</v>
      </c>
      <c r="S150" s="111">
        <f t="shared" si="89"/>
        <v>15179.180874999998</v>
      </c>
      <c r="T150" s="107">
        <v>0</v>
      </c>
      <c r="U150" s="107">
        <v>200.66300000000001</v>
      </c>
      <c r="V150" s="107">
        <v>1503.0214999999998</v>
      </c>
      <c r="W150" s="112">
        <f t="shared" si="150"/>
        <v>1703.6844999999998</v>
      </c>
      <c r="X150" s="107">
        <v>0</v>
      </c>
      <c r="Y150" s="107">
        <v>515</v>
      </c>
      <c r="Z150" s="107">
        <v>0</v>
      </c>
      <c r="AA150" s="112">
        <f t="shared" si="90"/>
        <v>515</v>
      </c>
      <c r="AC150" s="39">
        <v>3000</v>
      </c>
      <c r="AD150" s="40">
        <f t="shared" si="143"/>
        <v>9552.8748749999995</v>
      </c>
      <c r="AE150" s="1">
        <f t="shared" si="144"/>
        <v>13.200000000000001</v>
      </c>
      <c r="AF150" s="1">
        <f t="shared" si="145"/>
        <v>18</v>
      </c>
      <c r="AG150" s="41">
        <f t="shared" si="146"/>
        <v>16.852852422780163</v>
      </c>
      <c r="AI150">
        <v>1.1000000000000001</v>
      </c>
      <c r="AJ150">
        <v>1.5</v>
      </c>
      <c r="AK150" s="32">
        <f t="shared" si="147"/>
        <v>12552.874875</v>
      </c>
      <c r="AL150" s="4">
        <f t="shared" si="148"/>
        <v>0.23898907858746582</v>
      </c>
      <c r="AM150" s="4">
        <f t="shared" si="149"/>
        <v>0.76101092141253424</v>
      </c>
    </row>
    <row r="151" spans="3:39" x14ac:dyDescent="0.25">
      <c r="C151" s="1">
        <f>+'Fisico ASIG'!A151</f>
        <v>2026</v>
      </c>
      <c r="D151" s="52">
        <f>+'Fisico ASIG'!B151</f>
        <v>46054</v>
      </c>
      <c r="E151" s="1">
        <f t="shared" si="142"/>
        <v>16</v>
      </c>
      <c r="F151" s="1" t="s">
        <v>53</v>
      </c>
      <c r="G151" s="5">
        <v>46062</v>
      </c>
      <c r="H151" s="107">
        <v>7556.1139999999996</v>
      </c>
      <c r="I151" s="107">
        <v>1276.1500833333337</v>
      </c>
      <c r="J151" s="107">
        <v>345.44083333333333</v>
      </c>
      <c r="K151" s="107">
        <v>29.571393750000006</v>
      </c>
      <c r="L151" s="107">
        <v>0</v>
      </c>
      <c r="M151" s="111">
        <v>9207.2763104166679</v>
      </c>
      <c r="N151" s="107">
        <v>12413.004791666672</v>
      </c>
      <c r="O151" s="107">
        <v>1438.7092083333332</v>
      </c>
      <c r="P151" s="107">
        <v>991.94654166666669</v>
      </c>
      <c r="Q151" s="107">
        <v>204.25</v>
      </c>
      <c r="R151" s="107">
        <v>0</v>
      </c>
      <c r="S151" s="111">
        <f t="shared" si="89"/>
        <v>15047.910541666672</v>
      </c>
      <c r="T151" s="107">
        <v>0</v>
      </c>
      <c r="U151" s="107">
        <v>201.08624999999998</v>
      </c>
      <c r="V151" s="107">
        <v>1664.0740000000003</v>
      </c>
      <c r="W151" s="112">
        <f t="shared" si="150"/>
        <v>1865.1602500000004</v>
      </c>
      <c r="X151" s="107">
        <v>0</v>
      </c>
      <c r="Y151" s="107">
        <v>515</v>
      </c>
      <c r="Z151" s="107">
        <v>0</v>
      </c>
      <c r="AA151" s="112">
        <f t="shared" si="90"/>
        <v>515</v>
      </c>
      <c r="AC151" s="39">
        <v>3000</v>
      </c>
      <c r="AD151" s="40">
        <f t="shared" si="143"/>
        <v>9413.0047916666717</v>
      </c>
      <c r="AE151" s="1">
        <f t="shared" si="144"/>
        <v>13.200000000000001</v>
      </c>
      <c r="AF151" s="1">
        <f t="shared" si="145"/>
        <v>18</v>
      </c>
      <c r="AG151" s="41">
        <f t="shared" si="146"/>
        <v>16.839926331965383</v>
      </c>
      <c r="AI151">
        <v>1.1000000000000001</v>
      </c>
      <c r="AJ151">
        <v>1.5</v>
      </c>
      <c r="AK151" s="32">
        <f t="shared" si="147"/>
        <v>12413.004791666672</v>
      </c>
      <c r="AL151" s="4">
        <f t="shared" si="148"/>
        <v>0.241682014173878</v>
      </c>
      <c r="AM151" s="4">
        <f t="shared" si="149"/>
        <v>0.75831798582612198</v>
      </c>
    </row>
    <row r="152" spans="3:39" x14ac:dyDescent="0.25">
      <c r="C152" s="1">
        <f>+'Fisico ASIG'!A152</f>
        <v>2026</v>
      </c>
      <c r="D152" s="52">
        <f>+'Fisico ASIG'!B152</f>
        <v>46054</v>
      </c>
      <c r="E152" s="1">
        <f t="shared" si="142"/>
        <v>16</v>
      </c>
      <c r="F152" s="1" t="s">
        <v>54</v>
      </c>
      <c r="G152" s="5">
        <v>46063</v>
      </c>
      <c r="H152" s="107">
        <v>7953.4047083333353</v>
      </c>
      <c r="I152" s="107">
        <v>1271.1010416666668</v>
      </c>
      <c r="J152" s="107">
        <v>371.03258333333338</v>
      </c>
      <c r="K152" s="107">
        <v>39.484750000000012</v>
      </c>
      <c r="L152" s="107">
        <v>0</v>
      </c>
      <c r="M152" s="111">
        <v>9635.0230833333353</v>
      </c>
      <c r="N152" s="107">
        <v>12306.580999999996</v>
      </c>
      <c r="O152" s="107">
        <v>1433.0555416666666</v>
      </c>
      <c r="P152" s="107">
        <v>991.82391666666672</v>
      </c>
      <c r="Q152" s="107">
        <v>204.25</v>
      </c>
      <c r="R152" s="107">
        <v>0</v>
      </c>
      <c r="S152" s="111">
        <f t="shared" si="89"/>
        <v>14935.710458333329</v>
      </c>
      <c r="T152" s="107">
        <v>0</v>
      </c>
      <c r="U152" s="107">
        <v>299.62166666666673</v>
      </c>
      <c r="V152" s="107">
        <v>1402.0452083333339</v>
      </c>
      <c r="W152" s="112">
        <f t="shared" si="150"/>
        <v>1701.6668750000006</v>
      </c>
      <c r="X152" s="107">
        <v>0</v>
      </c>
      <c r="Y152" s="107">
        <v>515</v>
      </c>
      <c r="Z152" s="107">
        <v>0</v>
      </c>
      <c r="AA152" s="112">
        <f t="shared" si="90"/>
        <v>515</v>
      </c>
      <c r="AC152" s="39">
        <v>3000</v>
      </c>
      <c r="AD152" s="40">
        <f t="shared" si="143"/>
        <v>9306.5809999999965</v>
      </c>
      <c r="AE152" s="1">
        <f t="shared" si="144"/>
        <v>13.200000000000001</v>
      </c>
      <c r="AF152" s="1">
        <f t="shared" si="145"/>
        <v>18</v>
      </c>
      <c r="AG152" s="41">
        <f t="shared" si="146"/>
        <v>16.829894346772672</v>
      </c>
      <c r="AI152">
        <v>1.1000000000000001</v>
      </c>
      <c r="AJ152">
        <v>1.5</v>
      </c>
      <c r="AK152" s="32">
        <f t="shared" si="147"/>
        <v>12306.580999999996</v>
      </c>
      <c r="AL152" s="4">
        <f t="shared" si="148"/>
        <v>0.24377201108902635</v>
      </c>
      <c r="AM152" s="4">
        <f t="shared" si="149"/>
        <v>0.75622798891097365</v>
      </c>
    </row>
    <row r="153" spans="3:39" x14ac:dyDescent="0.25">
      <c r="C153" s="1">
        <f>+'Fisico ASIG'!A153</f>
        <v>2026</v>
      </c>
      <c r="D153" s="52">
        <f>+'Fisico ASIG'!B153</f>
        <v>46054</v>
      </c>
      <c r="E153" s="1">
        <f t="shared" si="142"/>
        <v>16</v>
      </c>
      <c r="F153" s="1" t="s">
        <v>55</v>
      </c>
      <c r="G153" s="5">
        <v>46064</v>
      </c>
      <c r="H153" s="107">
        <v>7420.6125416666673</v>
      </c>
      <c r="I153" s="107">
        <v>1291.300125</v>
      </c>
      <c r="J153" s="107">
        <v>308.61133333333333</v>
      </c>
      <c r="K153" s="107">
        <v>9.4108979166666682</v>
      </c>
      <c r="L153" s="107">
        <v>0</v>
      </c>
      <c r="M153" s="111">
        <v>9029.934897916668</v>
      </c>
      <c r="N153" s="107">
        <v>12737.927708333333</v>
      </c>
      <c r="O153" s="107">
        <v>1425.5769583333333</v>
      </c>
      <c r="P153" s="107">
        <v>992.00150000000008</v>
      </c>
      <c r="Q153" s="107">
        <v>202.25</v>
      </c>
      <c r="R153" s="107">
        <v>0</v>
      </c>
      <c r="S153" s="111">
        <f t="shared" si="89"/>
        <v>15357.756166666666</v>
      </c>
      <c r="T153" s="107">
        <v>0</v>
      </c>
      <c r="U153" s="107">
        <v>188.76529166666663</v>
      </c>
      <c r="V153" s="107">
        <v>1854.6838333333333</v>
      </c>
      <c r="W153" s="112">
        <f t="shared" si="150"/>
        <v>2043.4491249999999</v>
      </c>
      <c r="X153" s="107">
        <v>0</v>
      </c>
      <c r="Y153" s="107">
        <v>515</v>
      </c>
      <c r="Z153" s="107">
        <v>0</v>
      </c>
      <c r="AA153" s="112">
        <f t="shared" si="90"/>
        <v>515</v>
      </c>
      <c r="AC153" s="39">
        <v>3000</v>
      </c>
      <c r="AD153" s="40">
        <f t="shared" si="143"/>
        <v>9737.9277083333327</v>
      </c>
      <c r="AE153" s="1">
        <f t="shared" si="144"/>
        <v>13.200000000000001</v>
      </c>
      <c r="AF153" s="1">
        <f t="shared" si="145"/>
        <v>18</v>
      </c>
      <c r="AG153" s="41">
        <f t="shared" si="146"/>
        <v>16.86951784232695</v>
      </c>
      <c r="AI153">
        <v>1.1000000000000001</v>
      </c>
      <c r="AJ153">
        <v>1.5</v>
      </c>
      <c r="AK153" s="32">
        <f t="shared" si="147"/>
        <v>12737.927708333333</v>
      </c>
      <c r="AL153" s="4">
        <f t="shared" si="148"/>
        <v>0.23551711618188551</v>
      </c>
      <c r="AM153" s="4">
        <f t="shared" si="149"/>
        <v>0.76448288381811447</v>
      </c>
    </row>
    <row r="154" spans="3:39" x14ac:dyDescent="0.25">
      <c r="C154" s="1">
        <f>+'Fisico ASIG'!A154</f>
        <v>2026</v>
      </c>
      <c r="D154" s="52">
        <f>+'Fisico ASIG'!B154</f>
        <v>46054</v>
      </c>
      <c r="E154" s="1">
        <f t="shared" si="142"/>
        <v>16</v>
      </c>
      <c r="F154" s="1" t="s">
        <v>56</v>
      </c>
      <c r="G154" s="5">
        <v>46065</v>
      </c>
      <c r="H154" s="107">
        <v>6769.559208333334</v>
      </c>
      <c r="I154" s="107">
        <v>1329.3152916666666</v>
      </c>
      <c r="J154" s="107">
        <v>326.55770833333338</v>
      </c>
      <c r="K154" s="107">
        <v>22.522685416666668</v>
      </c>
      <c r="L154" s="107">
        <v>0</v>
      </c>
      <c r="M154" s="111">
        <v>8447.9548937500003</v>
      </c>
      <c r="N154" s="107">
        <v>12897.355791666665</v>
      </c>
      <c r="O154" s="107">
        <v>1455.3534583333333</v>
      </c>
      <c r="P154" s="107">
        <v>991.8094583333334</v>
      </c>
      <c r="Q154" s="107">
        <v>202.25</v>
      </c>
      <c r="R154" s="107">
        <v>0</v>
      </c>
      <c r="S154" s="111">
        <f t="shared" si="89"/>
        <v>15546.768708333331</v>
      </c>
      <c r="T154" s="107">
        <v>0</v>
      </c>
      <c r="U154" s="107">
        <v>187.21520833333338</v>
      </c>
      <c r="V154" s="107">
        <v>1546.1740833333331</v>
      </c>
      <c r="W154" s="112">
        <f t="shared" si="150"/>
        <v>1733.3892916666664</v>
      </c>
      <c r="X154" s="107">
        <v>0</v>
      </c>
      <c r="Y154" s="107">
        <v>515</v>
      </c>
      <c r="Z154" s="107">
        <v>0</v>
      </c>
      <c r="AA154" s="112">
        <f t="shared" si="90"/>
        <v>515</v>
      </c>
      <c r="AC154" s="39">
        <v>3000</v>
      </c>
      <c r="AD154" s="40">
        <f t="shared" si="143"/>
        <v>9897.355791666665</v>
      </c>
      <c r="AE154" s="1">
        <f t="shared" si="144"/>
        <v>13.200000000000001</v>
      </c>
      <c r="AF154" s="1">
        <f t="shared" si="145"/>
        <v>18</v>
      </c>
      <c r="AG154" s="41">
        <f t="shared" si="146"/>
        <v>16.883492071351228</v>
      </c>
      <c r="AI154">
        <v>1.1000000000000001</v>
      </c>
      <c r="AJ154">
        <v>1.5</v>
      </c>
      <c r="AK154" s="32">
        <f t="shared" si="147"/>
        <v>12897.355791666665</v>
      </c>
      <c r="AL154" s="4">
        <f t="shared" si="148"/>
        <v>0.23260581846849432</v>
      </c>
      <c r="AM154" s="4">
        <f t="shared" si="149"/>
        <v>0.76739418153150574</v>
      </c>
    </row>
    <row r="155" spans="3:39" x14ac:dyDescent="0.25">
      <c r="C155" s="1">
        <f>+'Fisico ASIG'!A155</f>
        <v>2026</v>
      </c>
      <c r="D155" s="52">
        <f>+'Fisico ASIG'!B155</f>
        <v>46054</v>
      </c>
      <c r="E155" s="1">
        <f t="shared" si="142"/>
        <v>16</v>
      </c>
      <c r="F155" s="1" t="s">
        <v>57</v>
      </c>
      <c r="G155" s="5">
        <v>46066</v>
      </c>
      <c r="H155" s="107">
        <v>6236.6767083333334</v>
      </c>
      <c r="I155" s="107">
        <v>1380.2383333333332</v>
      </c>
      <c r="J155" s="107">
        <v>302.83812499999999</v>
      </c>
      <c r="K155" s="107">
        <v>26.946968749999996</v>
      </c>
      <c r="L155" s="107">
        <v>0</v>
      </c>
      <c r="M155" s="111">
        <v>7946.7001354166678</v>
      </c>
      <c r="N155" s="107">
        <v>13095.970458333333</v>
      </c>
      <c r="O155" s="107">
        <v>1462.5429166666668</v>
      </c>
      <c r="P155" s="107">
        <v>991.73416666666674</v>
      </c>
      <c r="Q155" s="107">
        <v>202.25</v>
      </c>
      <c r="R155" s="107">
        <v>0</v>
      </c>
      <c r="S155" s="111">
        <f t="shared" si="89"/>
        <v>15752.497541666668</v>
      </c>
      <c r="T155" s="107">
        <v>0</v>
      </c>
      <c r="U155" s="107">
        <v>241.58933333333334</v>
      </c>
      <c r="V155" s="107">
        <v>1305.4271666666664</v>
      </c>
      <c r="W155" s="112">
        <f t="shared" si="150"/>
        <v>1547.0164999999997</v>
      </c>
      <c r="X155" s="107">
        <v>0</v>
      </c>
      <c r="Y155" s="107">
        <v>515</v>
      </c>
      <c r="Z155" s="107">
        <v>0</v>
      </c>
      <c r="AA155" s="112">
        <f t="shared" si="90"/>
        <v>515</v>
      </c>
      <c r="AC155" s="39">
        <v>3000</v>
      </c>
      <c r="AD155" s="40">
        <f t="shared" si="143"/>
        <v>10095.970458333333</v>
      </c>
      <c r="AE155" s="1">
        <f t="shared" si="144"/>
        <v>13.200000000000001</v>
      </c>
      <c r="AF155" s="1">
        <f t="shared" si="145"/>
        <v>18</v>
      </c>
      <c r="AG155" s="41">
        <f t="shared" si="146"/>
        <v>16.900425131087793</v>
      </c>
      <c r="AI155">
        <v>1.1000000000000001</v>
      </c>
      <c r="AJ155">
        <v>1.5</v>
      </c>
      <c r="AK155" s="32">
        <f t="shared" si="147"/>
        <v>13095.970458333333</v>
      </c>
      <c r="AL155" s="4">
        <f t="shared" si="148"/>
        <v>0.22907809769004295</v>
      </c>
      <c r="AM155" s="4">
        <f t="shared" si="149"/>
        <v>0.77092190230995705</v>
      </c>
    </row>
    <row r="156" spans="3:39" x14ac:dyDescent="0.25">
      <c r="C156" s="1">
        <f>+'Fisico ASIG'!A156</f>
        <v>2026</v>
      </c>
      <c r="D156" s="52">
        <f>+'Fisico ASIG'!B156</f>
        <v>46054</v>
      </c>
      <c r="E156" s="1">
        <f t="shared" si="142"/>
        <v>6</v>
      </c>
      <c r="F156" s="1" t="s">
        <v>51</v>
      </c>
      <c r="G156" s="5">
        <v>46067</v>
      </c>
      <c r="H156" s="107">
        <v>4930.7808749999995</v>
      </c>
      <c r="I156" s="107">
        <v>1286.1827916666666</v>
      </c>
      <c r="J156" s="107">
        <v>318.83458333333328</v>
      </c>
      <c r="K156" s="107">
        <v>29.202708333333341</v>
      </c>
      <c r="L156" s="107">
        <v>0</v>
      </c>
      <c r="M156" s="111">
        <v>6565.0009583333331</v>
      </c>
      <c r="N156" s="107">
        <v>12925.864374999997</v>
      </c>
      <c r="O156" s="107">
        <v>1440.6042500000001</v>
      </c>
      <c r="P156" s="107">
        <v>933.95416666666677</v>
      </c>
      <c r="Q156" s="107">
        <v>202.25</v>
      </c>
      <c r="R156" s="107">
        <v>0</v>
      </c>
      <c r="S156" s="111">
        <f t="shared" si="89"/>
        <v>15502.672791666664</v>
      </c>
      <c r="T156" s="107">
        <v>0</v>
      </c>
      <c r="U156" s="107">
        <v>187.23795833333335</v>
      </c>
      <c r="V156" s="107">
        <v>1936.7440833333335</v>
      </c>
      <c r="W156" s="112">
        <f t="shared" si="150"/>
        <v>2123.9820416666666</v>
      </c>
      <c r="X156" s="107">
        <v>0</v>
      </c>
      <c r="Y156" s="107">
        <v>515</v>
      </c>
      <c r="Z156" s="107">
        <v>0</v>
      </c>
      <c r="AA156" s="112">
        <f t="shared" si="90"/>
        <v>515</v>
      </c>
      <c r="AC156" s="39">
        <v>3000</v>
      </c>
      <c r="AD156" s="40">
        <f t="shared" ref="AD156:AD165" si="151">+N156-AC156</f>
        <v>9925.8643749999974</v>
      </c>
      <c r="AE156" s="1">
        <f t="shared" ref="AE156:AE165" si="152">12*AI156</f>
        <v>13.200000000000001</v>
      </c>
      <c r="AF156" s="1">
        <f t="shared" ref="AF156:AF165" si="153">12*AJ156</f>
        <v>18</v>
      </c>
      <c r="AG156" s="41">
        <f t="shared" ref="AG156:AG165" si="154">+(AC156*AE156+AF156*AD156)/SUM(AC156:AD156)</f>
        <v>16.885954580503636</v>
      </c>
      <c r="AI156">
        <v>1.1000000000000001</v>
      </c>
      <c r="AJ156">
        <v>1.5</v>
      </c>
      <c r="AK156" s="32">
        <f t="shared" si="147"/>
        <v>12925.864374999997</v>
      </c>
      <c r="AL156" s="4">
        <f t="shared" si="148"/>
        <v>0.23209279572840952</v>
      </c>
      <c r="AM156" s="4">
        <f t="shared" si="149"/>
        <v>0.76790720427159054</v>
      </c>
    </row>
    <row r="157" spans="3:39" x14ac:dyDescent="0.25">
      <c r="C157" s="1">
        <f>+'Fisico ASIG'!A157</f>
        <v>2026</v>
      </c>
      <c r="D157" s="52">
        <f>+'Fisico ASIG'!B157</f>
        <v>46054</v>
      </c>
      <c r="E157" s="1">
        <f t="shared" si="142"/>
        <v>4</v>
      </c>
      <c r="F157" s="1" t="s">
        <v>52</v>
      </c>
      <c r="G157" s="5">
        <v>46068</v>
      </c>
      <c r="H157" s="107">
        <v>5282.9635833333332</v>
      </c>
      <c r="I157" s="107">
        <v>1381.007625</v>
      </c>
      <c r="J157" s="107">
        <v>335.55533333333335</v>
      </c>
      <c r="K157" s="107">
        <v>28.589856250000004</v>
      </c>
      <c r="L157" s="107">
        <v>0</v>
      </c>
      <c r="M157" s="111">
        <v>7028.1163979166668</v>
      </c>
      <c r="N157" s="107">
        <v>12869.83154166667</v>
      </c>
      <c r="O157" s="107">
        <v>1459.2001250000001</v>
      </c>
      <c r="P157" s="107">
        <v>991.91229166666676</v>
      </c>
      <c r="Q157" s="107">
        <v>202.25</v>
      </c>
      <c r="R157" s="107">
        <v>0</v>
      </c>
      <c r="S157" s="111">
        <f t="shared" si="89"/>
        <v>15523.193958333337</v>
      </c>
      <c r="T157" s="107">
        <v>0</v>
      </c>
      <c r="U157" s="107">
        <v>187.82308333333333</v>
      </c>
      <c r="V157" s="107">
        <v>1341.4687083333336</v>
      </c>
      <c r="W157" s="112">
        <f t="shared" si="150"/>
        <v>1529.291791666667</v>
      </c>
      <c r="X157" s="107">
        <v>0</v>
      </c>
      <c r="Y157" s="107">
        <v>515</v>
      </c>
      <c r="Z157" s="107">
        <v>0</v>
      </c>
      <c r="AA157" s="112">
        <f t="shared" si="90"/>
        <v>515</v>
      </c>
      <c r="AC157" s="39">
        <v>3000</v>
      </c>
      <c r="AD157" s="40">
        <f t="shared" si="151"/>
        <v>9869.8315416666701</v>
      </c>
      <c r="AE157" s="1">
        <f t="shared" si="152"/>
        <v>13.200000000000001</v>
      </c>
      <c r="AF157" s="1">
        <f t="shared" si="153"/>
        <v>18</v>
      </c>
      <c r="AG157" s="41">
        <f t="shared" si="154"/>
        <v>16.88110423563981</v>
      </c>
      <c r="AI157">
        <v>1.1000000000000001</v>
      </c>
      <c r="AJ157">
        <v>1.5</v>
      </c>
      <c r="AK157" s="32">
        <f t="shared" ref="AK157:AK165" si="155">+AC157+AD157</f>
        <v>12869.83154166667</v>
      </c>
      <c r="AL157" s="4">
        <f t="shared" ref="AL157:AL165" si="156">+AC157/AK157</f>
        <v>0.23310328424170607</v>
      </c>
      <c r="AM157" s="4">
        <f t="shared" ref="AM157:AM165" si="157">+AD157/AK157</f>
        <v>0.76689671575829388</v>
      </c>
    </row>
    <row r="158" spans="3:39" x14ac:dyDescent="0.25">
      <c r="C158" s="1">
        <v>2026</v>
      </c>
      <c r="D158" s="52">
        <f>+'Fisico ASIG'!B158</f>
        <v>46054</v>
      </c>
      <c r="E158" s="1">
        <v>4</v>
      </c>
      <c r="F158" s="1" t="s">
        <v>53</v>
      </c>
      <c r="G158" s="5">
        <v>46069</v>
      </c>
      <c r="H158" s="107">
        <v>5250.2102500000019</v>
      </c>
      <c r="I158" s="107">
        <v>1349.9565833333336</v>
      </c>
      <c r="J158" s="107">
        <v>301.90595833333333</v>
      </c>
      <c r="K158" s="107">
        <v>27.943379166666666</v>
      </c>
      <c r="L158" s="107">
        <v>0</v>
      </c>
      <c r="M158" s="111">
        <v>6930.0161708333362</v>
      </c>
      <c r="N158" s="107">
        <v>12603.535125000002</v>
      </c>
      <c r="O158" s="107">
        <v>1442.9009583333334</v>
      </c>
      <c r="P158" s="107">
        <v>992.67370833333337</v>
      </c>
      <c r="Q158" s="107">
        <v>202.25</v>
      </c>
      <c r="R158" s="107">
        <v>0</v>
      </c>
      <c r="S158" s="111">
        <f t="shared" si="89"/>
        <v>15241.359791666669</v>
      </c>
      <c r="T158" s="107">
        <v>0</v>
      </c>
      <c r="U158" s="107">
        <v>187.548125</v>
      </c>
      <c r="V158" s="107">
        <v>1429.1985833333333</v>
      </c>
      <c r="W158" s="112">
        <f t="shared" si="150"/>
        <v>1616.7467083333333</v>
      </c>
      <c r="X158" s="107">
        <v>0</v>
      </c>
      <c r="Y158" s="107">
        <v>515</v>
      </c>
      <c r="Z158" s="107">
        <v>0</v>
      </c>
      <c r="AA158" s="112">
        <f t="shared" si="90"/>
        <v>515</v>
      </c>
      <c r="AC158" s="39">
        <v>3000</v>
      </c>
      <c r="AD158" s="40">
        <f t="shared" si="151"/>
        <v>9603.5351250000022</v>
      </c>
      <c r="AE158" s="1">
        <f t="shared" si="152"/>
        <v>13.200000000000001</v>
      </c>
      <c r="AF158" s="1">
        <f t="shared" si="153"/>
        <v>18</v>
      </c>
      <c r="AG158" s="41">
        <f t="shared" si="154"/>
        <v>16.857463413464323</v>
      </c>
      <c r="AI158">
        <v>1.1000000000000001</v>
      </c>
      <c r="AJ158">
        <v>1.5</v>
      </c>
      <c r="AK158" s="32">
        <f t="shared" si="155"/>
        <v>12603.535125000002</v>
      </c>
      <c r="AL158" s="4">
        <f t="shared" si="156"/>
        <v>0.23802845552826588</v>
      </c>
      <c r="AM158" s="4">
        <f t="shared" si="157"/>
        <v>0.7619715444717341</v>
      </c>
    </row>
    <row r="159" spans="3:39" x14ac:dyDescent="0.25">
      <c r="C159" s="1">
        <v>2026</v>
      </c>
      <c r="D159" s="52">
        <f>+'Fisico ASIG'!B159</f>
        <v>46054</v>
      </c>
      <c r="E159" s="1">
        <v>4</v>
      </c>
      <c r="F159" s="1" t="s">
        <v>54</v>
      </c>
      <c r="G159" s="5">
        <v>46070</v>
      </c>
      <c r="H159" s="107">
        <v>5684.828583333333</v>
      </c>
      <c r="I159" s="107">
        <v>1261.4629583333333</v>
      </c>
      <c r="J159" s="107">
        <v>310.65350000000001</v>
      </c>
      <c r="K159" s="107">
        <v>24.898356250000003</v>
      </c>
      <c r="L159" s="107">
        <v>0</v>
      </c>
      <c r="M159" s="111">
        <v>7281.8433979166666</v>
      </c>
      <c r="N159" s="107">
        <v>12503.407041666671</v>
      </c>
      <c r="O159" s="107">
        <v>1424.6656666666668</v>
      </c>
      <c r="P159" s="107">
        <v>992.39400000000001</v>
      </c>
      <c r="Q159" s="107">
        <v>202.25</v>
      </c>
      <c r="R159" s="107">
        <v>0</v>
      </c>
      <c r="S159" s="111">
        <f t="shared" si="89"/>
        <v>15122.716708333337</v>
      </c>
      <c r="T159" s="107">
        <v>0</v>
      </c>
      <c r="U159" s="107">
        <v>203.05066666666667</v>
      </c>
      <c r="V159" s="107">
        <v>1584.0204999999999</v>
      </c>
      <c r="W159" s="112">
        <f t="shared" si="150"/>
        <v>1787.0711666666666</v>
      </c>
      <c r="X159" s="107">
        <v>0</v>
      </c>
      <c r="Y159" s="107">
        <v>515</v>
      </c>
      <c r="Z159" s="107">
        <v>0</v>
      </c>
      <c r="AA159" s="112">
        <f t="shared" si="90"/>
        <v>515</v>
      </c>
      <c r="AC159" s="39">
        <v>3000</v>
      </c>
      <c r="AD159" s="40">
        <f t="shared" si="151"/>
        <v>9503.4070416666709</v>
      </c>
      <c r="AE159" s="1">
        <f t="shared" si="152"/>
        <v>13.200000000000001</v>
      </c>
      <c r="AF159" s="1">
        <f t="shared" si="153"/>
        <v>18</v>
      </c>
      <c r="AG159" s="41">
        <f t="shared" si="154"/>
        <v>16.848313907400353</v>
      </c>
      <c r="AI159">
        <v>1.1000000000000001</v>
      </c>
      <c r="AJ159">
        <v>1.5</v>
      </c>
      <c r="AK159" s="32">
        <f t="shared" si="155"/>
        <v>12503.407041666671</v>
      </c>
      <c r="AL159" s="4">
        <f t="shared" si="156"/>
        <v>0.23993460262492647</v>
      </c>
      <c r="AM159" s="4">
        <f t="shared" si="157"/>
        <v>0.7600653973750735</v>
      </c>
    </row>
    <row r="160" spans="3:39" x14ac:dyDescent="0.25">
      <c r="C160" s="1">
        <f>+'Fisico ASIG'!A160</f>
        <v>2026</v>
      </c>
      <c r="D160" s="52">
        <f>+'Fisico ASIG'!B160</f>
        <v>46054</v>
      </c>
      <c r="E160" s="1">
        <f t="shared" ref="E160:E164" si="158">+E153</f>
        <v>16</v>
      </c>
      <c r="F160" s="1" t="s">
        <v>55</v>
      </c>
      <c r="G160" s="5">
        <v>46071</v>
      </c>
      <c r="H160" s="107">
        <v>7415.0988333333316</v>
      </c>
      <c r="I160" s="107">
        <v>1302.57375</v>
      </c>
      <c r="J160" s="107">
        <v>432.86120833333342</v>
      </c>
      <c r="K160" s="107">
        <v>47.906558333333344</v>
      </c>
      <c r="L160" s="107">
        <v>0</v>
      </c>
      <c r="M160" s="111">
        <v>9198.4403499999989</v>
      </c>
      <c r="N160" s="107">
        <v>12722.733250000001</v>
      </c>
      <c r="O160" s="107">
        <v>1407.1953750000002</v>
      </c>
      <c r="P160" s="107">
        <v>991.77583333333337</v>
      </c>
      <c r="Q160" s="107">
        <v>202.25</v>
      </c>
      <c r="R160" s="107">
        <v>0</v>
      </c>
      <c r="S160" s="111">
        <f t="shared" si="89"/>
        <v>15323.954458333334</v>
      </c>
      <c r="T160" s="107">
        <v>0</v>
      </c>
      <c r="U160" s="107">
        <v>341.60233333333332</v>
      </c>
      <c r="V160" s="107">
        <v>1312.9017499999995</v>
      </c>
      <c r="W160" s="112">
        <f t="shared" si="150"/>
        <v>1654.5040833333328</v>
      </c>
      <c r="X160" s="107">
        <v>0</v>
      </c>
      <c r="Y160" s="107">
        <v>515</v>
      </c>
      <c r="Z160" s="107">
        <v>0</v>
      </c>
      <c r="AA160" s="112">
        <f t="shared" si="90"/>
        <v>515</v>
      </c>
      <c r="AC160" s="39">
        <v>3000</v>
      </c>
      <c r="AD160" s="40">
        <f t="shared" si="151"/>
        <v>9722.7332500000011</v>
      </c>
      <c r="AE160" s="1">
        <f t="shared" si="152"/>
        <v>13.200000000000001</v>
      </c>
      <c r="AF160" s="1">
        <f t="shared" si="153"/>
        <v>18</v>
      </c>
      <c r="AG160" s="41">
        <f t="shared" si="154"/>
        <v>16.868167734319197</v>
      </c>
      <c r="AI160">
        <v>1.1000000000000001</v>
      </c>
      <c r="AJ160">
        <v>1.5</v>
      </c>
      <c r="AK160" s="32">
        <f t="shared" si="155"/>
        <v>12722.733250000001</v>
      </c>
      <c r="AL160" s="4">
        <f t="shared" si="156"/>
        <v>0.23579838868350084</v>
      </c>
      <c r="AM160" s="4">
        <f t="shared" si="157"/>
        <v>0.76420161131649922</v>
      </c>
    </row>
    <row r="161" spans="3:39" x14ac:dyDescent="0.25">
      <c r="C161" s="1">
        <f>+'Fisico ASIG'!A161</f>
        <v>2026</v>
      </c>
      <c r="D161" s="52">
        <f>+'Fisico ASIG'!B161</f>
        <v>46054</v>
      </c>
      <c r="E161" s="1">
        <f t="shared" si="158"/>
        <v>16</v>
      </c>
      <c r="F161" s="1" t="s">
        <v>56</v>
      </c>
      <c r="G161" s="5">
        <v>46072</v>
      </c>
      <c r="H161" s="107">
        <v>7654.142541666668</v>
      </c>
      <c r="I161" s="107">
        <v>1285.5396250000001</v>
      </c>
      <c r="J161" s="107">
        <v>368.80554166666673</v>
      </c>
      <c r="K161" s="107">
        <v>9.9158541666666693</v>
      </c>
      <c r="L161" s="107">
        <v>0</v>
      </c>
      <c r="M161" s="111">
        <v>9318.4035625000015</v>
      </c>
      <c r="N161" s="107">
        <v>12827.910125</v>
      </c>
      <c r="O161" s="107">
        <v>1439.7306249999999</v>
      </c>
      <c r="P161" s="107">
        <v>986.38833333333343</v>
      </c>
      <c r="Q161" s="107">
        <v>202.25</v>
      </c>
      <c r="R161" s="107">
        <v>0</v>
      </c>
      <c r="S161" s="111">
        <f t="shared" si="89"/>
        <v>15456.279083333335</v>
      </c>
      <c r="T161" s="107">
        <v>0</v>
      </c>
      <c r="U161" s="107">
        <v>235.96370833333333</v>
      </c>
      <c r="V161" s="107">
        <v>1222.5352916666668</v>
      </c>
      <c r="W161" s="112">
        <f t="shared" si="150"/>
        <v>1458.4990000000003</v>
      </c>
      <c r="X161" s="107">
        <v>0</v>
      </c>
      <c r="Y161" s="107">
        <v>515</v>
      </c>
      <c r="Z161" s="107">
        <v>0</v>
      </c>
      <c r="AA161" s="112">
        <f t="shared" si="90"/>
        <v>515</v>
      </c>
      <c r="AC161" s="39">
        <v>3000</v>
      </c>
      <c r="AD161" s="40">
        <f t="shared" si="151"/>
        <v>9827.9101250000003</v>
      </c>
      <c r="AE161" s="1">
        <f t="shared" si="152"/>
        <v>13.200000000000001</v>
      </c>
      <c r="AF161" s="1">
        <f t="shared" si="153"/>
        <v>18</v>
      </c>
      <c r="AG161" s="41">
        <f t="shared" si="154"/>
        <v>16.877447701170261</v>
      </c>
      <c r="AI161">
        <v>1.1000000000000001</v>
      </c>
      <c r="AJ161">
        <v>1.5</v>
      </c>
      <c r="AK161" s="32">
        <f t="shared" si="155"/>
        <v>12827.910125</v>
      </c>
      <c r="AL161" s="4">
        <f t="shared" si="156"/>
        <v>0.23386506225619505</v>
      </c>
      <c r="AM161" s="4">
        <f t="shared" si="157"/>
        <v>0.76613493774380492</v>
      </c>
    </row>
    <row r="162" spans="3:39" x14ac:dyDescent="0.25">
      <c r="C162" s="1">
        <f>+'Fisico ASIG'!A162</f>
        <v>2026</v>
      </c>
      <c r="D162" s="52">
        <f>+'Fisico ASIG'!B162</f>
        <v>46054</v>
      </c>
      <c r="E162" s="1">
        <f t="shared" si="158"/>
        <v>16</v>
      </c>
      <c r="F162" s="1" t="s">
        <v>57</v>
      </c>
      <c r="G162" s="5">
        <v>46073</v>
      </c>
      <c r="H162" s="107">
        <v>7129.9092500000006</v>
      </c>
      <c r="I162" s="107">
        <v>1313.4802083333334</v>
      </c>
      <c r="J162" s="107">
        <v>340.90329166666663</v>
      </c>
      <c r="K162" s="107">
        <v>17.417750000000005</v>
      </c>
      <c r="L162" s="107">
        <v>0</v>
      </c>
      <c r="M162" s="111">
        <v>8801.7105000000029</v>
      </c>
      <c r="N162" s="107">
        <v>13002.152583333333</v>
      </c>
      <c r="O162" s="107">
        <v>1435.0827083333336</v>
      </c>
      <c r="P162" s="107">
        <v>990.36833333333334</v>
      </c>
      <c r="Q162" s="107">
        <v>202.25</v>
      </c>
      <c r="R162" s="107">
        <v>0</v>
      </c>
      <c r="S162" s="111">
        <f t="shared" si="89"/>
        <v>15629.853625</v>
      </c>
      <c r="T162" s="107">
        <v>0</v>
      </c>
      <c r="U162" s="107">
        <v>191.22020833333329</v>
      </c>
      <c r="V162" s="107">
        <v>952.39595833333351</v>
      </c>
      <c r="W162" s="112">
        <f t="shared" si="150"/>
        <v>1143.6161666666667</v>
      </c>
      <c r="X162" s="107">
        <v>0</v>
      </c>
      <c r="Y162" s="107">
        <v>515</v>
      </c>
      <c r="Z162" s="107">
        <v>0</v>
      </c>
      <c r="AA162" s="112">
        <f t="shared" si="90"/>
        <v>515</v>
      </c>
      <c r="AC162" s="39">
        <v>3000</v>
      </c>
      <c r="AD162" s="40">
        <f t="shared" si="151"/>
        <v>10002.152583333333</v>
      </c>
      <c r="AE162" s="1">
        <f t="shared" si="152"/>
        <v>13.200000000000001</v>
      </c>
      <c r="AF162" s="1">
        <f t="shared" si="153"/>
        <v>18</v>
      </c>
      <c r="AG162" s="41">
        <f t="shared" si="154"/>
        <v>16.892491077326806</v>
      </c>
      <c r="AI162">
        <v>1.1000000000000001</v>
      </c>
      <c r="AJ162">
        <v>1.5</v>
      </c>
      <c r="AK162" s="32">
        <f t="shared" si="155"/>
        <v>13002.152583333333</v>
      </c>
      <c r="AL162" s="4">
        <f t="shared" si="156"/>
        <v>0.23073102555691566</v>
      </c>
      <c r="AM162" s="4">
        <f t="shared" si="157"/>
        <v>0.7692689744430844</v>
      </c>
    </row>
    <row r="163" spans="3:39" x14ac:dyDescent="0.25">
      <c r="C163" s="1">
        <f>+'Fisico ASIG'!A163</f>
        <v>2026</v>
      </c>
      <c r="D163" s="52">
        <f>+'Fisico ASIG'!B163</f>
        <v>46054</v>
      </c>
      <c r="E163" s="1">
        <f t="shared" si="158"/>
        <v>6</v>
      </c>
      <c r="F163" s="1" t="s">
        <v>51</v>
      </c>
      <c r="G163" s="5">
        <v>46074</v>
      </c>
      <c r="H163" s="107">
        <v>6068.3556666666673</v>
      </c>
      <c r="I163" s="107">
        <v>1230.4409999999998</v>
      </c>
      <c r="J163" s="107">
        <v>314.66958333333338</v>
      </c>
      <c r="K163" s="107">
        <v>14.585777083333333</v>
      </c>
      <c r="L163" s="107">
        <v>0</v>
      </c>
      <c r="M163" s="111">
        <v>7628.052027083334</v>
      </c>
      <c r="N163" s="107">
        <v>12554.187499999996</v>
      </c>
      <c r="O163" s="107">
        <v>1468.3626666666669</v>
      </c>
      <c r="P163" s="107">
        <v>962.09645833333343</v>
      </c>
      <c r="Q163" s="107">
        <v>202.15</v>
      </c>
      <c r="R163" s="107">
        <v>0</v>
      </c>
      <c r="S163" s="111">
        <f t="shared" si="89"/>
        <v>15186.796624999997</v>
      </c>
      <c r="T163" s="107">
        <v>0</v>
      </c>
      <c r="U163" s="107">
        <v>189.20754166666666</v>
      </c>
      <c r="V163" s="107">
        <v>1218.1664583333331</v>
      </c>
      <c r="W163" s="112">
        <f t="shared" si="150"/>
        <v>1407.3739999999998</v>
      </c>
      <c r="X163" s="107">
        <v>0</v>
      </c>
      <c r="Y163" s="107">
        <v>515</v>
      </c>
      <c r="Z163" s="107">
        <v>0</v>
      </c>
      <c r="AA163" s="112">
        <f t="shared" si="90"/>
        <v>515</v>
      </c>
      <c r="AC163" s="39">
        <v>3000</v>
      </c>
      <c r="AD163" s="40">
        <f t="shared" si="151"/>
        <v>9554.1874999999964</v>
      </c>
      <c r="AE163" s="1">
        <f t="shared" si="152"/>
        <v>13.200000000000001</v>
      </c>
      <c r="AF163" s="1">
        <f t="shared" si="153"/>
        <v>18</v>
      </c>
      <c r="AG163" s="41">
        <f t="shared" si="154"/>
        <v>16.8529723647986</v>
      </c>
      <c r="AI163">
        <v>1.1000000000000001</v>
      </c>
      <c r="AJ163">
        <v>1.5</v>
      </c>
      <c r="AK163" s="32">
        <f t="shared" si="155"/>
        <v>12554.187499999996</v>
      </c>
      <c r="AL163" s="4">
        <f t="shared" si="156"/>
        <v>0.23896409066695881</v>
      </c>
      <c r="AM163" s="4">
        <f t="shared" si="157"/>
        <v>0.76103590933304122</v>
      </c>
    </row>
    <row r="164" spans="3:39" x14ac:dyDescent="0.25">
      <c r="C164" s="1">
        <f>+'Fisico ASIG'!A164</f>
        <v>2026</v>
      </c>
      <c r="D164" s="52">
        <f>+'Fisico ASIG'!B164</f>
        <v>46054</v>
      </c>
      <c r="E164" s="1">
        <f t="shared" si="158"/>
        <v>4</v>
      </c>
      <c r="F164" s="1" t="s">
        <v>52</v>
      </c>
      <c r="G164" s="5">
        <v>46075</v>
      </c>
      <c r="H164" s="107">
        <v>5858.6080416666664</v>
      </c>
      <c r="I164" s="107">
        <v>1282.7848333333334</v>
      </c>
      <c r="J164" s="107">
        <v>274.20345833333334</v>
      </c>
      <c r="K164" s="107">
        <v>10.374689583333335</v>
      </c>
      <c r="L164" s="107">
        <v>0</v>
      </c>
      <c r="M164" s="111">
        <v>7425.9710229166667</v>
      </c>
      <c r="N164" s="107">
        <v>12430.131666666663</v>
      </c>
      <c r="O164" s="107">
        <v>1444.5797916666666</v>
      </c>
      <c r="P164" s="107">
        <v>991.66000000000008</v>
      </c>
      <c r="Q164" s="107">
        <v>202.15</v>
      </c>
      <c r="R164" s="107">
        <v>0</v>
      </c>
      <c r="S164" s="111">
        <f t="shared" si="89"/>
        <v>15068.521458333329</v>
      </c>
      <c r="T164" s="107">
        <v>0</v>
      </c>
      <c r="U164" s="107">
        <v>186.98083333333332</v>
      </c>
      <c r="V164" s="107">
        <v>1240.2584583333332</v>
      </c>
      <c r="W164" s="112">
        <f t="shared" si="150"/>
        <v>1427.2392916666665</v>
      </c>
      <c r="X164" s="107">
        <v>0</v>
      </c>
      <c r="Y164" s="107">
        <v>515</v>
      </c>
      <c r="Z164" s="107">
        <v>0</v>
      </c>
      <c r="AA164" s="112">
        <f t="shared" si="90"/>
        <v>515</v>
      </c>
      <c r="AC164" s="39">
        <v>3000</v>
      </c>
      <c r="AD164" s="40">
        <f t="shared" si="151"/>
        <v>9430.1316666666626</v>
      </c>
      <c r="AE164" s="1">
        <f t="shared" si="152"/>
        <v>13.200000000000001</v>
      </c>
      <c r="AF164" s="1">
        <f t="shared" si="153"/>
        <v>18</v>
      </c>
      <c r="AG164" s="41">
        <f t="shared" si="154"/>
        <v>16.841524741156537</v>
      </c>
      <c r="AI164">
        <v>1.1000000000000001</v>
      </c>
      <c r="AJ164">
        <v>1.5</v>
      </c>
      <c r="AK164" s="32">
        <f t="shared" si="155"/>
        <v>12430.131666666663</v>
      </c>
      <c r="AL164" s="4">
        <f t="shared" si="156"/>
        <v>0.241349012259055</v>
      </c>
      <c r="AM164" s="4">
        <f t="shared" si="157"/>
        <v>0.75865098774094497</v>
      </c>
    </row>
    <row r="165" spans="3:39" x14ac:dyDescent="0.25">
      <c r="C165" s="1">
        <f>+'Fisico ASIG'!A165</f>
        <v>2026</v>
      </c>
      <c r="D165" s="52">
        <f>+'Fisico ASIG'!B165</f>
        <v>46054</v>
      </c>
      <c r="E165" s="1">
        <v>16</v>
      </c>
      <c r="F165" s="1" t="s">
        <v>53</v>
      </c>
      <c r="G165" s="5">
        <v>46076</v>
      </c>
      <c r="H165" s="107">
        <v>7049.4504166666693</v>
      </c>
      <c r="I165" s="107">
        <v>1362.8031666666666</v>
      </c>
      <c r="J165" s="107">
        <v>311.45775000000003</v>
      </c>
      <c r="K165" s="107">
        <v>38.233889583333337</v>
      </c>
      <c r="L165" s="107">
        <v>0</v>
      </c>
      <c r="M165" s="111">
        <v>8761.9452229166673</v>
      </c>
      <c r="N165" s="107">
        <v>12585.165541666667</v>
      </c>
      <c r="O165" s="107">
        <v>1435.5795833333336</v>
      </c>
      <c r="P165" s="107">
        <v>991.66000000000008</v>
      </c>
      <c r="Q165" s="107">
        <v>202.15</v>
      </c>
      <c r="R165" s="107">
        <v>0</v>
      </c>
      <c r="S165" s="111">
        <f t="shared" si="89"/>
        <v>15214.555125000001</v>
      </c>
      <c r="T165" s="107">
        <v>0</v>
      </c>
      <c r="U165" s="107">
        <v>190.46120833333336</v>
      </c>
      <c r="V165" s="107">
        <v>1308.1237083333335</v>
      </c>
      <c r="W165" s="112">
        <f t="shared" si="150"/>
        <v>1498.5849166666669</v>
      </c>
      <c r="X165" s="107">
        <v>0</v>
      </c>
      <c r="Y165" s="107">
        <v>515</v>
      </c>
      <c r="Z165" s="107">
        <v>0</v>
      </c>
      <c r="AA165" s="112">
        <f t="shared" si="90"/>
        <v>515</v>
      </c>
      <c r="AC165" s="39">
        <v>3000</v>
      </c>
      <c r="AD165" s="40">
        <f t="shared" si="151"/>
        <v>9585.1655416666672</v>
      </c>
      <c r="AE165" s="1">
        <f t="shared" si="152"/>
        <v>13.200000000000001</v>
      </c>
      <c r="AF165" s="1">
        <f t="shared" si="153"/>
        <v>18</v>
      </c>
      <c r="AG165" s="41">
        <f t="shared" si="154"/>
        <v>16.855795742032566</v>
      </c>
      <c r="AI165">
        <v>1.1000000000000001</v>
      </c>
      <c r="AJ165">
        <v>1.5</v>
      </c>
      <c r="AK165" s="32">
        <f t="shared" si="155"/>
        <v>12585.165541666667</v>
      </c>
      <c r="AL165" s="4">
        <f t="shared" si="156"/>
        <v>0.23837588707654828</v>
      </c>
      <c r="AM165" s="4">
        <f t="shared" si="157"/>
        <v>0.76162411292345167</v>
      </c>
    </row>
    <row r="166" spans="3:39" x14ac:dyDescent="0.25">
      <c r="C166" s="1">
        <f>+'Fisico ASIG'!A166</f>
        <v>2026</v>
      </c>
      <c r="D166" s="52">
        <f>+'Fisico ASIG'!B166</f>
        <v>46054</v>
      </c>
      <c r="E166" s="1">
        <v>16</v>
      </c>
      <c r="F166" s="1" t="s">
        <v>54</v>
      </c>
      <c r="G166" s="5">
        <v>46077</v>
      </c>
      <c r="H166" s="107">
        <v>7214.018750000002</v>
      </c>
      <c r="I166" s="107">
        <v>1201.8606666666667</v>
      </c>
      <c r="J166" s="107">
        <v>348.65658333333334</v>
      </c>
      <c r="K166" s="107">
        <v>23.632818749999998</v>
      </c>
      <c r="L166" s="107">
        <v>0</v>
      </c>
      <c r="M166" s="111">
        <v>8788.1688187500022</v>
      </c>
      <c r="N166" s="107">
        <v>12949.286750000007</v>
      </c>
      <c r="O166" s="107">
        <v>1411.8357916666669</v>
      </c>
      <c r="P166" s="107">
        <v>991.66000000000008</v>
      </c>
      <c r="Q166" s="107">
        <v>202</v>
      </c>
      <c r="R166" s="107">
        <v>0</v>
      </c>
      <c r="S166" s="111">
        <f t="shared" si="89"/>
        <v>15554.782541666673</v>
      </c>
      <c r="T166" s="107">
        <v>0</v>
      </c>
      <c r="U166" s="107">
        <v>189.27612499999998</v>
      </c>
      <c r="V166" s="107">
        <v>1815.7397083333331</v>
      </c>
      <c r="W166" s="112">
        <f t="shared" si="150"/>
        <v>2005.0158333333329</v>
      </c>
      <c r="X166" s="107">
        <v>0</v>
      </c>
      <c r="Y166" s="107">
        <v>515</v>
      </c>
      <c r="Z166" s="107">
        <v>0</v>
      </c>
      <c r="AA166" s="112">
        <f t="shared" si="90"/>
        <v>515</v>
      </c>
      <c r="AC166" s="39">
        <v>3000</v>
      </c>
      <c r="AD166" s="40">
        <f t="shared" ref="AD166:AD171" si="159">+N166-AC166</f>
        <v>9949.2867500000066</v>
      </c>
      <c r="AE166" s="1">
        <f t="shared" ref="AE166:AE171" si="160">12*AI166</f>
        <v>13.200000000000001</v>
      </c>
      <c r="AF166" s="1">
        <f t="shared" ref="AF166:AF171" si="161">12*AJ166</f>
        <v>18</v>
      </c>
      <c r="AG166" s="41">
        <f t="shared" ref="AG166:AG171" si="162">+(AC166*AE166+AF166*AD166)/SUM(AC166:AD166)</f>
        <v>16.887969640490045</v>
      </c>
      <c r="AI166">
        <v>1.1000000000000001</v>
      </c>
      <c r="AJ166">
        <v>1.5</v>
      </c>
      <c r="AK166" s="32">
        <f t="shared" ref="AK166:AK171" si="163">+AC166+AD166</f>
        <v>12949.286750000007</v>
      </c>
      <c r="AL166" s="4">
        <f t="shared" ref="AL166:AL171" si="164">+AC166/AK166</f>
        <v>0.23167299156457388</v>
      </c>
      <c r="AM166" s="4">
        <f t="shared" ref="AM166:AM171" si="165">+AD166/AK166</f>
        <v>0.76832700843542612</v>
      </c>
    </row>
    <row r="167" spans="3:39" x14ac:dyDescent="0.25">
      <c r="C167" s="1">
        <f>+'Fisico ASIG'!A167</f>
        <v>2026</v>
      </c>
      <c r="D167" s="52">
        <f>+'Fisico ASIG'!B167</f>
        <v>46054</v>
      </c>
      <c r="E167" s="1">
        <v>16</v>
      </c>
      <c r="F167" s="1" t="s">
        <v>55</v>
      </c>
      <c r="G167" s="5">
        <v>46078</v>
      </c>
      <c r="H167" s="107">
        <v>6817.4725416666679</v>
      </c>
      <c r="I167" s="107">
        <v>1211.5550833333334</v>
      </c>
      <c r="J167" s="107">
        <v>367.3660000000001</v>
      </c>
      <c r="K167" s="107">
        <v>12.709570833333334</v>
      </c>
      <c r="L167" s="107">
        <v>0</v>
      </c>
      <c r="M167" s="111">
        <v>8409.1031958333351</v>
      </c>
      <c r="N167" s="107">
        <v>13142.442250000002</v>
      </c>
      <c r="O167" s="107">
        <v>1450.1626666666668</v>
      </c>
      <c r="P167" s="107">
        <v>991.66000000000008</v>
      </c>
      <c r="Q167" s="107">
        <v>202</v>
      </c>
      <c r="R167" s="107">
        <v>0</v>
      </c>
      <c r="S167" s="111">
        <f t="shared" si="89"/>
        <v>15786.264916666669</v>
      </c>
      <c r="T167" s="107">
        <v>0</v>
      </c>
      <c r="U167" s="107">
        <v>187.72866666666667</v>
      </c>
      <c r="V167" s="107">
        <v>1273.0078749999998</v>
      </c>
      <c r="W167" s="112">
        <f t="shared" si="150"/>
        <v>1460.7365416666664</v>
      </c>
      <c r="X167" s="107">
        <v>0</v>
      </c>
      <c r="Y167" s="107">
        <v>515</v>
      </c>
      <c r="Z167" s="107">
        <v>0</v>
      </c>
      <c r="AA167" s="112">
        <f t="shared" si="90"/>
        <v>515</v>
      </c>
      <c r="AC167" s="39">
        <v>3000</v>
      </c>
      <c r="AD167" s="40">
        <f t="shared" si="159"/>
        <v>10142.442250000002</v>
      </c>
      <c r="AE167" s="1">
        <f t="shared" si="160"/>
        <v>13.200000000000001</v>
      </c>
      <c r="AF167" s="1">
        <f t="shared" si="161"/>
        <v>18</v>
      </c>
      <c r="AG167" s="41">
        <f t="shared" si="162"/>
        <v>16.904313237518696</v>
      </c>
      <c r="AI167">
        <v>1.1000000000000001</v>
      </c>
      <c r="AJ167">
        <v>1.5</v>
      </c>
      <c r="AK167" s="32">
        <f t="shared" si="163"/>
        <v>13142.442250000002</v>
      </c>
      <c r="AL167" s="4">
        <f t="shared" si="164"/>
        <v>0.22826807551693823</v>
      </c>
      <c r="AM167" s="4">
        <f t="shared" si="165"/>
        <v>0.77173192448306183</v>
      </c>
    </row>
    <row r="168" spans="3:39" x14ac:dyDescent="0.25">
      <c r="C168" s="1">
        <f>+'Fisico ASIG'!A168</f>
        <v>2026</v>
      </c>
      <c r="D168" s="52">
        <f>+'Fisico ASIG'!B168</f>
        <v>46054</v>
      </c>
      <c r="E168" s="1">
        <v>16</v>
      </c>
      <c r="F168" s="1" t="s">
        <v>56</v>
      </c>
      <c r="G168" s="5">
        <v>46079</v>
      </c>
      <c r="H168" s="107">
        <v>6729.724708333335</v>
      </c>
      <c r="I168" s="107">
        <v>1214.9426249999999</v>
      </c>
      <c r="J168" s="107">
        <v>331.7659583333334</v>
      </c>
      <c r="K168" s="107">
        <v>26.628060416666667</v>
      </c>
      <c r="L168" s="107">
        <v>0</v>
      </c>
      <c r="M168" s="111">
        <v>8303.061352083334</v>
      </c>
      <c r="N168" s="107">
        <v>13140.52783333333</v>
      </c>
      <c r="O168" s="107">
        <v>1473.8882083333335</v>
      </c>
      <c r="P168" s="107">
        <v>991.66000000000008</v>
      </c>
      <c r="Q168" s="107">
        <v>202</v>
      </c>
      <c r="R168" s="107">
        <v>0</v>
      </c>
      <c r="S168" s="111">
        <f t="shared" si="89"/>
        <v>15808.076041666664</v>
      </c>
      <c r="T168" s="107">
        <v>0</v>
      </c>
      <c r="U168" s="107">
        <v>192.35525000000004</v>
      </c>
      <c r="V168" s="107">
        <v>1075.7047083333332</v>
      </c>
      <c r="W168" s="112">
        <f t="shared" si="150"/>
        <v>1268.0599583333333</v>
      </c>
      <c r="X168" s="107">
        <v>0</v>
      </c>
      <c r="Y168" s="107">
        <v>515</v>
      </c>
      <c r="Z168" s="107">
        <v>0</v>
      </c>
      <c r="AA168" s="112">
        <f t="shared" si="90"/>
        <v>515</v>
      </c>
      <c r="AC168" s="39">
        <v>3000</v>
      </c>
      <c r="AD168" s="40">
        <f t="shared" si="159"/>
        <v>10140.52783333333</v>
      </c>
      <c r="AE168" s="1">
        <f t="shared" si="160"/>
        <v>13.200000000000001</v>
      </c>
      <c r="AF168" s="1">
        <f t="shared" si="161"/>
        <v>18</v>
      </c>
      <c r="AG168" s="41">
        <f t="shared" si="162"/>
        <v>16.904153609151695</v>
      </c>
      <c r="AI168">
        <v>1.1000000000000001</v>
      </c>
      <c r="AJ168">
        <v>1.5</v>
      </c>
      <c r="AK168" s="32">
        <f t="shared" si="163"/>
        <v>13140.52783333333</v>
      </c>
      <c r="AL168" s="4">
        <f t="shared" si="164"/>
        <v>0.22830133142672979</v>
      </c>
      <c r="AM168" s="4">
        <f t="shared" si="165"/>
        <v>0.77169866857327019</v>
      </c>
    </row>
    <row r="169" spans="3:39" x14ac:dyDescent="0.25">
      <c r="C169" s="1">
        <f>+'Fisico ASIG'!A169</f>
        <v>2026</v>
      </c>
      <c r="D169" s="52">
        <f>+'Fisico ASIG'!B169</f>
        <v>46054</v>
      </c>
      <c r="E169" s="1">
        <v>16</v>
      </c>
      <c r="F169" s="1" t="s">
        <v>57</v>
      </c>
      <c r="G169" s="5">
        <v>46080</v>
      </c>
      <c r="H169" s="107">
        <v>6561.3060833333338</v>
      </c>
      <c r="I169" s="107">
        <v>1304.4632083333336</v>
      </c>
      <c r="J169" s="107">
        <v>315.97458333333333</v>
      </c>
      <c r="K169" s="107">
        <v>19.164170833333337</v>
      </c>
      <c r="L169" s="107">
        <v>0</v>
      </c>
      <c r="M169" s="111">
        <v>8200.9080458333337</v>
      </c>
      <c r="N169" s="107">
        <v>13096.984416666666</v>
      </c>
      <c r="O169" s="107">
        <v>1448.2876666666666</v>
      </c>
      <c r="P169" s="107">
        <v>991.66000000000008</v>
      </c>
      <c r="Q169" s="107">
        <v>202</v>
      </c>
      <c r="R169" s="107">
        <v>0</v>
      </c>
      <c r="S169" s="111">
        <f t="shared" si="89"/>
        <v>15738.932083333333</v>
      </c>
      <c r="T169" s="107">
        <v>0</v>
      </c>
      <c r="U169" s="107">
        <v>188.95600000000005</v>
      </c>
      <c r="V169" s="107">
        <v>1443.4254166666665</v>
      </c>
      <c r="W169" s="112">
        <f t="shared" si="150"/>
        <v>1632.3814166666666</v>
      </c>
      <c r="X169" s="107">
        <v>0</v>
      </c>
      <c r="Y169" s="107">
        <v>515</v>
      </c>
      <c r="Z169" s="107">
        <v>0</v>
      </c>
      <c r="AA169" s="112">
        <f t="shared" si="90"/>
        <v>515</v>
      </c>
      <c r="AC169" s="39">
        <v>3000</v>
      </c>
      <c r="AD169" s="40">
        <f t="shared" si="159"/>
        <v>10096.984416666666</v>
      </c>
      <c r="AE169" s="1">
        <f t="shared" si="160"/>
        <v>13.200000000000001</v>
      </c>
      <c r="AF169" s="1">
        <f t="shared" si="161"/>
        <v>18</v>
      </c>
      <c r="AG169" s="41">
        <f t="shared" si="162"/>
        <v>16.900510259317773</v>
      </c>
      <c r="AI169">
        <v>1.1000000000000001</v>
      </c>
      <c r="AJ169">
        <v>1.5</v>
      </c>
      <c r="AK169" s="32">
        <f t="shared" si="163"/>
        <v>13096.984416666666</v>
      </c>
      <c r="AL169" s="4">
        <f t="shared" si="164"/>
        <v>0.22906036264213062</v>
      </c>
      <c r="AM169" s="4">
        <f t="shared" si="165"/>
        <v>0.77093963735786941</v>
      </c>
    </row>
    <row r="170" spans="3:39" x14ac:dyDescent="0.25">
      <c r="C170" s="1">
        <f>+'Fisico ASIG'!A170</f>
        <v>2026</v>
      </c>
      <c r="D170" s="52">
        <f>+'Fisico ASIG'!B170</f>
        <v>46054</v>
      </c>
      <c r="E170" s="1">
        <f t="shared" ref="E170" si="166">+E163</f>
        <v>6</v>
      </c>
      <c r="F170" s="1" t="s">
        <v>51</v>
      </c>
      <c r="G170" s="5">
        <v>46081</v>
      </c>
      <c r="H170" s="107">
        <v>5971.015875000001</v>
      </c>
      <c r="I170" s="107">
        <v>1233.4424583333334</v>
      </c>
      <c r="J170" s="107">
        <v>286.29762499999998</v>
      </c>
      <c r="K170" s="107">
        <v>17.768600000000003</v>
      </c>
      <c r="L170" s="107">
        <v>0</v>
      </c>
      <c r="M170" s="111">
        <v>7508.5245583333344</v>
      </c>
      <c r="N170" s="107">
        <v>13048.165499999994</v>
      </c>
      <c r="O170" s="107">
        <v>1435.5982500000002</v>
      </c>
      <c r="P170" s="107">
        <v>980.00124999999991</v>
      </c>
      <c r="Q170" s="107">
        <v>202</v>
      </c>
      <c r="R170" s="107">
        <v>0</v>
      </c>
      <c r="S170" s="111">
        <f t="shared" si="89"/>
        <v>15665.764999999994</v>
      </c>
      <c r="T170" s="107">
        <v>0</v>
      </c>
      <c r="U170" s="107">
        <v>188.23741666666669</v>
      </c>
      <c r="V170" s="107">
        <v>1633.7303750000005</v>
      </c>
      <c r="W170" s="112">
        <f t="shared" si="150"/>
        <v>1821.9677916666672</v>
      </c>
      <c r="X170" s="107">
        <v>0</v>
      </c>
      <c r="Y170" s="107">
        <v>515</v>
      </c>
      <c r="Z170" s="107">
        <v>0</v>
      </c>
      <c r="AA170" s="112">
        <f t="shared" si="90"/>
        <v>515</v>
      </c>
      <c r="AC170" s="39">
        <v>3000</v>
      </c>
      <c r="AD170" s="40">
        <f t="shared" si="159"/>
        <v>10048.165499999994</v>
      </c>
      <c r="AE170" s="1">
        <f t="shared" si="160"/>
        <v>13.200000000000001</v>
      </c>
      <c r="AF170" s="1">
        <f t="shared" si="161"/>
        <v>18</v>
      </c>
      <c r="AG170" s="41">
        <f t="shared" si="162"/>
        <v>16.89639658540505</v>
      </c>
      <c r="AI170">
        <v>1.1000000000000001</v>
      </c>
      <c r="AJ170">
        <v>1.5</v>
      </c>
      <c r="AK170" s="32">
        <f t="shared" si="163"/>
        <v>13048.165499999994</v>
      </c>
      <c r="AL170" s="4">
        <f t="shared" si="164"/>
        <v>0.22991737804061432</v>
      </c>
      <c r="AM170" s="4">
        <f t="shared" si="165"/>
        <v>0.7700826219593857</v>
      </c>
    </row>
    <row r="171" spans="3:39" ht="14.25" customHeight="1" x14ac:dyDescent="0.25">
      <c r="C171" s="1">
        <v>2026</v>
      </c>
      <c r="D171" s="52">
        <f>+'Fisico ASIG'!B171</f>
        <v>46082</v>
      </c>
      <c r="E171" s="1">
        <v>4</v>
      </c>
      <c r="F171" s="1" t="s">
        <v>52</v>
      </c>
      <c r="G171" s="5">
        <v>46082</v>
      </c>
      <c r="H171" s="107">
        <v>5889.9942500000006</v>
      </c>
      <c r="I171" s="107">
        <v>1227.1430833333334</v>
      </c>
      <c r="J171" s="107">
        <v>292.17700000000002</v>
      </c>
      <c r="K171" s="107">
        <v>14.51445</v>
      </c>
      <c r="L171" s="107">
        <v>0</v>
      </c>
      <c r="M171" s="111">
        <f>+SUM(H171:L171)</f>
        <v>7423.8287833333334</v>
      </c>
      <c r="N171" s="107">
        <v>12977.528958333334</v>
      </c>
      <c r="O171" s="107">
        <v>1437.0859166666667</v>
      </c>
      <c r="P171" s="107">
        <v>962.96062499999994</v>
      </c>
      <c r="Q171" s="107">
        <v>202</v>
      </c>
      <c r="R171" s="107">
        <v>0</v>
      </c>
      <c r="S171" s="111">
        <f t="shared" si="89"/>
        <v>15579.575500000001</v>
      </c>
      <c r="T171" s="107">
        <v>0</v>
      </c>
      <c r="U171" s="107">
        <v>189.99141666666665</v>
      </c>
      <c r="V171" s="107">
        <v>1877.7291666666667</v>
      </c>
      <c r="W171" s="112">
        <f t="shared" si="150"/>
        <v>2067.7205833333333</v>
      </c>
      <c r="X171" s="107">
        <v>0</v>
      </c>
      <c r="Y171" s="107">
        <v>515</v>
      </c>
      <c r="Z171" s="107">
        <v>0</v>
      </c>
      <c r="AA171" s="112">
        <f t="shared" si="90"/>
        <v>515</v>
      </c>
      <c r="AC171" s="39">
        <v>3000</v>
      </c>
      <c r="AD171" s="40">
        <f t="shared" si="159"/>
        <v>9977.5289583333342</v>
      </c>
      <c r="AE171" s="1">
        <f t="shared" si="160"/>
        <v>10.8</v>
      </c>
      <c r="AF171" s="1">
        <f t="shared" si="161"/>
        <v>18</v>
      </c>
      <c r="AG171" s="41">
        <f t="shared" si="162"/>
        <v>16.335584526965754</v>
      </c>
      <c r="AI171">
        <v>0.9</v>
      </c>
      <c r="AJ171">
        <v>1.5</v>
      </c>
      <c r="AK171" s="32">
        <f t="shared" si="163"/>
        <v>12977.528958333334</v>
      </c>
      <c r="AL171" s="4">
        <f t="shared" si="164"/>
        <v>0.23116881569920081</v>
      </c>
      <c r="AM171" s="4">
        <f t="shared" si="165"/>
        <v>0.76883118430079922</v>
      </c>
    </row>
    <row r="172" spans="3:39" ht="14.25" customHeight="1" x14ac:dyDescent="0.25">
      <c r="C172" s="1">
        <v>2026</v>
      </c>
      <c r="D172" s="52">
        <f>+'Fisico ASIG'!B172</f>
        <v>46082</v>
      </c>
      <c r="E172" s="1">
        <v>16</v>
      </c>
      <c r="F172" s="1" t="s">
        <v>53</v>
      </c>
      <c r="G172" s="5">
        <v>46083</v>
      </c>
      <c r="H172" s="107">
        <v>7338.3305833333343</v>
      </c>
      <c r="I172" s="107">
        <v>1225.5549583333332</v>
      </c>
      <c r="J172" s="107">
        <v>329.33508333333339</v>
      </c>
      <c r="K172" s="107">
        <v>25.706335416666661</v>
      </c>
      <c r="L172" s="107">
        <v>0</v>
      </c>
      <c r="M172" s="111">
        <f t="shared" ref="M172:M230" si="167">+SUM(H172:L172)</f>
        <v>8918.9269604166657</v>
      </c>
      <c r="N172" s="107">
        <v>13033.245458333331</v>
      </c>
      <c r="O172" s="107">
        <v>1423.9416666666668</v>
      </c>
      <c r="P172" s="107">
        <v>982.90783333333343</v>
      </c>
      <c r="Q172" s="107">
        <v>202</v>
      </c>
      <c r="R172" s="107">
        <v>0</v>
      </c>
      <c r="S172" s="111">
        <f t="shared" si="89"/>
        <v>15642.094958333331</v>
      </c>
      <c r="T172" s="107">
        <v>0</v>
      </c>
      <c r="U172" s="107">
        <v>190.76912500000003</v>
      </c>
      <c r="V172" s="107">
        <v>1853.3966249999996</v>
      </c>
      <c r="W172" s="112">
        <f t="shared" si="150"/>
        <v>2044.1657499999997</v>
      </c>
      <c r="X172" s="107">
        <v>0</v>
      </c>
      <c r="Y172" s="107">
        <v>515</v>
      </c>
      <c r="Z172" s="107">
        <v>0</v>
      </c>
      <c r="AA172" s="112">
        <f t="shared" si="90"/>
        <v>515</v>
      </c>
      <c r="AC172" s="39">
        <v>3000</v>
      </c>
      <c r="AD172" s="40">
        <f t="shared" ref="AD172:AD188" si="168">+N172-AC172</f>
        <v>10033.245458333331</v>
      </c>
      <c r="AE172" s="1">
        <f t="shared" ref="AE172:AE188" si="169">12*AI172</f>
        <v>10.8</v>
      </c>
      <c r="AF172" s="1">
        <f t="shared" ref="AF172:AF188" si="170">12*AJ172</f>
        <v>18</v>
      </c>
      <c r="AG172" s="41">
        <f t="shared" ref="AG172:AG188" si="171">+(AC172*AE172+AF172*AD172)/SUM(AC172:AD172)</f>
        <v>16.342699823382119</v>
      </c>
      <c r="AI172">
        <v>0.9</v>
      </c>
      <c r="AJ172">
        <v>1.5</v>
      </c>
      <c r="AK172" s="32">
        <f t="shared" ref="AK172:AK188" si="172">+AC172+AD172</f>
        <v>13033.245458333331</v>
      </c>
      <c r="AL172" s="4">
        <f t="shared" ref="AL172:AL188" si="173">+AC172/AK172</f>
        <v>0.23018058008581654</v>
      </c>
      <c r="AM172" s="4">
        <f t="shared" ref="AM172:AM188" si="174">+AD172/AK172</f>
        <v>0.76981941991418346</v>
      </c>
    </row>
    <row r="173" spans="3:39" ht="14.25" customHeight="1" x14ac:dyDescent="0.25">
      <c r="C173" s="1">
        <v>2026</v>
      </c>
      <c r="D173" s="52">
        <f>+'Fisico ASIG'!B173</f>
        <v>46082</v>
      </c>
      <c r="E173" s="1">
        <v>16</v>
      </c>
      <c r="F173" s="1" t="s">
        <v>54</v>
      </c>
      <c r="G173" s="5">
        <v>46084</v>
      </c>
      <c r="H173" s="107">
        <v>6991.5221666666675</v>
      </c>
      <c r="I173" s="107">
        <v>1318.0171250000001</v>
      </c>
      <c r="J173" s="107">
        <v>328.42583333333334</v>
      </c>
      <c r="K173" s="107">
        <v>16.758700000000001</v>
      </c>
      <c r="L173" s="107">
        <v>0</v>
      </c>
      <c r="M173" s="111">
        <f t="shared" si="167"/>
        <v>8654.7238250000009</v>
      </c>
      <c r="N173" s="107">
        <v>13056.623500000003</v>
      </c>
      <c r="O173" s="107">
        <v>1456.789708333333</v>
      </c>
      <c r="P173" s="107">
        <v>991.92075</v>
      </c>
      <c r="Q173" s="107">
        <v>202</v>
      </c>
      <c r="R173" s="107">
        <v>0</v>
      </c>
      <c r="S173" s="111">
        <f t="shared" si="89"/>
        <v>15707.333958333336</v>
      </c>
      <c r="T173" s="107">
        <v>0</v>
      </c>
      <c r="U173" s="107">
        <v>188.97754166666664</v>
      </c>
      <c r="V173" s="107">
        <v>1166.7212083333334</v>
      </c>
      <c r="W173" s="112">
        <f t="shared" si="150"/>
        <v>1355.69875</v>
      </c>
      <c r="X173" s="107">
        <v>0</v>
      </c>
      <c r="Y173" s="107">
        <v>515</v>
      </c>
      <c r="Z173" s="107">
        <v>0</v>
      </c>
      <c r="AA173" s="112">
        <f t="shared" si="90"/>
        <v>515</v>
      </c>
      <c r="AC173" s="39">
        <v>3000</v>
      </c>
      <c r="AD173" s="40">
        <f t="shared" si="168"/>
        <v>10056.623500000003</v>
      </c>
      <c r="AE173" s="1">
        <f t="shared" si="169"/>
        <v>10.8</v>
      </c>
      <c r="AF173" s="1">
        <f t="shared" si="170"/>
        <v>18</v>
      </c>
      <c r="AG173" s="41">
        <f t="shared" si="171"/>
        <v>16.345667239313443</v>
      </c>
      <c r="AI173">
        <v>0.9</v>
      </c>
      <c r="AJ173">
        <v>1.5</v>
      </c>
      <c r="AK173" s="32">
        <f t="shared" si="172"/>
        <v>13056.623500000003</v>
      </c>
      <c r="AL173" s="4">
        <f t="shared" si="173"/>
        <v>0.22976843898424423</v>
      </c>
      <c r="AM173" s="4">
        <f t="shared" si="174"/>
        <v>0.77023156101575574</v>
      </c>
    </row>
    <row r="174" spans="3:39" ht="14.25" customHeight="1" x14ac:dyDescent="0.25">
      <c r="C174" s="1">
        <v>2026</v>
      </c>
      <c r="D174" s="52">
        <f>+'Fisico ASIG'!B174</f>
        <v>46082</v>
      </c>
      <c r="E174" s="1">
        <v>16</v>
      </c>
      <c r="F174" s="1" t="s">
        <v>55</v>
      </c>
      <c r="G174" s="5">
        <v>46085</v>
      </c>
      <c r="H174" s="107">
        <v>6358.1225833333338</v>
      </c>
      <c r="I174" s="107">
        <v>1305.1382500000002</v>
      </c>
      <c r="J174" s="107">
        <v>329.54320833333338</v>
      </c>
      <c r="K174" s="107">
        <v>32.825406250000007</v>
      </c>
      <c r="L174" s="107">
        <v>0</v>
      </c>
      <c r="M174" s="111">
        <f t="shared" si="167"/>
        <v>8025.6294479166672</v>
      </c>
      <c r="N174" s="107">
        <v>13059.356916666669</v>
      </c>
      <c r="O174" s="107">
        <v>1446.8560416666671</v>
      </c>
      <c r="P174" s="107">
        <v>992.73225000000002</v>
      </c>
      <c r="Q174" s="107">
        <v>201.75</v>
      </c>
      <c r="R174" s="107">
        <v>0</v>
      </c>
      <c r="S174" s="111">
        <f t="shared" si="89"/>
        <v>15700.695208333338</v>
      </c>
      <c r="T174" s="107">
        <v>0</v>
      </c>
      <c r="U174" s="107">
        <v>189.63279166666669</v>
      </c>
      <c r="V174" s="107">
        <v>1523.0722499999999</v>
      </c>
      <c r="W174" s="112">
        <f t="shared" si="150"/>
        <v>1712.7050416666666</v>
      </c>
      <c r="X174" s="107">
        <v>0</v>
      </c>
      <c r="Y174" s="107">
        <v>515</v>
      </c>
      <c r="Z174" s="107">
        <v>0</v>
      </c>
      <c r="AA174" s="112">
        <f t="shared" si="90"/>
        <v>515</v>
      </c>
      <c r="AC174" s="39">
        <v>3000</v>
      </c>
      <c r="AD174" s="40">
        <f>+N174-AC174</f>
        <v>10059.356916666669</v>
      </c>
      <c r="AE174" s="1">
        <f t="shared" si="169"/>
        <v>10.8</v>
      </c>
      <c r="AF174" s="1">
        <f t="shared" si="170"/>
        <v>18</v>
      </c>
      <c r="AG174" s="41">
        <f t="shared" si="171"/>
        <v>16.346013502974749</v>
      </c>
      <c r="AI174">
        <v>0.9</v>
      </c>
      <c r="AJ174">
        <v>1.5</v>
      </c>
      <c r="AK174" s="32">
        <f t="shared" si="172"/>
        <v>13059.356916666669</v>
      </c>
      <c r="AL174" s="4">
        <f t="shared" si="173"/>
        <v>0.22972034680906278</v>
      </c>
      <c r="AM174" s="4">
        <f t="shared" si="174"/>
        <v>0.77027965319093727</v>
      </c>
    </row>
    <row r="175" spans="3:39" ht="14.25" customHeight="1" x14ac:dyDescent="0.25">
      <c r="C175" s="1">
        <v>2026</v>
      </c>
      <c r="D175" s="52">
        <f>+'Fisico ASIG'!B175</f>
        <v>46082</v>
      </c>
      <c r="E175" s="1">
        <v>16</v>
      </c>
      <c r="F175" s="1" t="s">
        <v>56</v>
      </c>
      <c r="G175" s="5">
        <v>46086</v>
      </c>
      <c r="H175" s="107">
        <v>6356.4589999999998</v>
      </c>
      <c r="I175" s="107">
        <v>1394.9024999999999</v>
      </c>
      <c r="J175" s="107">
        <v>443.25887499999999</v>
      </c>
      <c r="K175" s="107">
        <v>56.371283333333331</v>
      </c>
      <c r="L175" s="107">
        <v>0</v>
      </c>
      <c r="M175" s="111">
        <f t="shared" si="167"/>
        <v>8250.9916583333343</v>
      </c>
      <c r="N175" s="107">
        <v>13105.748916666666</v>
      </c>
      <c r="O175" s="107">
        <v>1455.57575</v>
      </c>
      <c r="P175" s="107">
        <v>990.23370833333342</v>
      </c>
      <c r="Q175" s="107">
        <v>201.75</v>
      </c>
      <c r="R175" s="107">
        <v>0</v>
      </c>
      <c r="S175" s="111">
        <f t="shared" si="89"/>
        <v>15753.308374999999</v>
      </c>
      <c r="T175" s="107">
        <v>0</v>
      </c>
      <c r="U175" s="107">
        <v>214.53195833333334</v>
      </c>
      <c r="V175" s="107">
        <v>1145.5229583333332</v>
      </c>
      <c r="W175" s="112">
        <f t="shared" si="150"/>
        <v>1360.0549166666665</v>
      </c>
      <c r="X175" s="107">
        <v>0</v>
      </c>
      <c r="Y175" s="107">
        <v>515</v>
      </c>
      <c r="Z175" s="107">
        <v>0</v>
      </c>
      <c r="AA175" s="112">
        <f t="shared" si="90"/>
        <v>515</v>
      </c>
      <c r="AC175" s="39">
        <v>3000</v>
      </c>
      <c r="AD175" s="40">
        <f t="shared" si="168"/>
        <v>10105.748916666666</v>
      </c>
      <c r="AE175" s="1">
        <f t="shared" si="169"/>
        <v>10.8</v>
      </c>
      <c r="AF175" s="1">
        <f t="shared" si="170"/>
        <v>18</v>
      </c>
      <c r="AG175" s="41">
        <f t="shared" si="171"/>
        <v>16.351868318449842</v>
      </c>
      <c r="AI175">
        <v>0.9</v>
      </c>
      <c r="AJ175">
        <v>1.5</v>
      </c>
      <c r="AK175" s="32">
        <f t="shared" si="172"/>
        <v>13105.748916666666</v>
      </c>
      <c r="AL175" s="4">
        <f t="shared" si="173"/>
        <v>0.22890717799307758</v>
      </c>
      <c r="AM175" s="4">
        <f t="shared" si="174"/>
        <v>0.77109282200692242</v>
      </c>
    </row>
    <row r="176" spans="3:39" ht="14.25" customHeight="1" x14ac:dyDescent="0.25">
      <c r="C176" s="1">
        <v>2026</v>
      </c>
      <c r="D176" s="52">
        <f>+'Fisico ASIG'!B176</f>
        <v>46082</v>
      </c>
      <c r="E176" s="1">
        <v>16</v>
      </c>
      <c r="F176" s="1" t="s">
        <v>57</v>
      </c>
      <c r="G176" s="5">
        <v>46087</v>
      </c>
      <c r="H176" s="107">
        <v>6237.4967916666665</v>
      </c>
      <c r="I176" s="107">
        <v>1399.6624166666666</v>
      </c>
      <c r="J176" s="107">
        <v>487.60450000000003</v>
      </c>
      <c r="K176" s="107">
        <v>23.780904166666673</v>
      </c>
      <c r="L176" s="107">
        <v>0</v>
      </c>
      <c r="M176" s="111">
        <f t="shared" si="167"/>
        <v>8148.5446124999999</v>
      </c>
      <c r="N176" s="107">
        <v>13183.396291666666</v>
      </c>
      <c r="O176" s="107">
        <v>1455.3565833333334</v>
      </c>
      <c r="P176" s="107">
        <v>985.91325000000006</v>
      </c>
      <c r="Q176" s="107">
        <v>201.75</v>
      </c>
      <c r="R176" s="107">
        <v>0</v>
      </c>
      <c r="S176" s="111">
        <f t="shared" si="89"/>
        <v>15826.416125</v>
      </c>
      <c r="T176" s="107">
        <v>0</v>
      </c>
      <c r="U176" s="107">
        <v>209.36108333333337</v>
      </c>
      <c r="V176" s="107">
        <v>1174.0779166666671</v>
      </c>
      <c r="W176" s="112">
        <f t="shared" si="150"/>
        <v>1383.4390000000005</v>
      </c>
      <c r="X176" s="107">
        <v>0</v>
      </c>
      <c r="Y176" s="107">
        <v>515</v>
      </c>
      <c r="Z176" s="107">
        <v>0</v>
      </c>
      <c r="AA176" s="112">
        <f t="shared" si="90"/>
        <v>515</v>
      </c>
      <c r="AC176" s="39">
        <v>3000</v>
      </c>
      <c r="AD176" s="40">
        <f t="shared" si="168"/>
        <v>10183.396291666666</v>
      </c>
      <c r="AE176" s="1">
        <f t="shared" si="169"/>
        <v>10.8</v>
      </c>
      <c r="AF176" s="1">
        <f t="shared" si="170"/>
        <v>18</v>
      </c>
      <c r="AG176" s="41">
        <f t="shared" si="171"/>
        <v>16.361575460364978</v>
      </c>
      <c r="AI176">
        <v>0.9</v>
      </c>
      <c r="AJ176">
        <v>1.5</v>
      </c>
      <c r="AK176" s="32">
        <f t="shared" si="172"/>
        <v>13183.396291666666</v>
      </c>
      <c r="AL176" s="4">
        <f t="shared" si="173"/>
        <v>0.22755896383819735</v>
      </c>
      <c r="AM176" s="4">
        <f t="shared" si="174"/>
        <v>0.7724410361618026</v>
      </c>
    </row>
    <row r="177" spans="3:39" ht="14.25" customHeight="1" x14ac:dyDescent="0.25">
      <c r="C177" s="1">
        <v>2026</v>
      </c>
      <c r="D177" s="52">
        <f>+'Fisico ASIG'!B177</f>
        <v>46082</v>
      </c>
      <c r="E177" s="1">
        <v>6</v>
      </c>
      <c r="F177" s="1" t="s">
        <v>51</v>
      </c>
      <c r="G177" s="5">
        <v>46088</v>
      </c>
      <c r="H177" s="107">
        <v>5141.3220833333326</v>
      </c>
      <c r="I177" s="107">
        <v>1294.7312083333334</v>
      </c>
      <c r="J177" s="107">
        <v>371.98587499999996</v>
      </c>
      <c r="K177" s="107">
        <v>9.3500312500000007</v>
      </c>
      <c r="L177" s="107">
        <v>0</v>
      </c>
      <c r="M177" s="111">
        <f t="shared" si="167"/>
        <v>6817.3891979166665</v>
      </c>
      <c r="N177" s="107">
        <v>12773.172041666661</v>
      </c>
      <c r="O177" s="107">
        <v>1468.2030833333336</v>
      </c>
      <c r="P177" s="107">
        <v>972.02008333333345</v>
      </c>
      <c r="Q177" s="107">
        <v>201.75</v>
      </c>
      <c r="R177" s="107">
        <v>0</v>
      </c>
      <c r="S177" s="111">
        <f t="shared" si="89"/>
        <v>15415.145208333328</v>
      </c>
      <c r="T177" s="107">
        <v>0</v>
      </c>
      <c r="U177" s="107">
        <v>190.84574999999998</v>
      </c>
      <c r="V177" s="107">
        <v>1314.4997500000002</v>
      </c>
      <c r="W177" s="112">
        <f t="shared" si="150"/>
        <v>1505.3455000000001</v>
      </c>
      <c r="X177" s="107">
        <v>0</v>
      </c>
      <c r="Y177" s="107">
        <v>515</v>
      </c>
      <c r="Z177" s="107">
        <v>0</v>
      </c>
      <c r="AA177" s="112">
        <f t="shared" si="90"/>
        <v>515</v>
      </c>
      <c r="AC177" s="39">
        <v>3000</v>
      </c>
      <c r="AD177" s="40">
        <f t="shared" si="168"/>
        <v>9773.1720416666612</v>
      </c>
      <c r="AE177" s="1">
        <f t="shared" si="169"/>
        <v>10.8</v>
      </c>
      <c r="AF177" s="1">
        <f t="shared" si="170"/>
        <v>18</v>
      </c>
      <c r="AG177" s="41">
        <f t="shared" si="171"/>
        <v>16.308955682305083</v>
      </c>
      <c r="AI177">
        <v>0.9</v>
      </c>
      <c r="AJ177">
        <v>1.5</v>
      </c>
      <c r="AK177" s="32">
        <f t="shared" si="172"/>
        <v>12773.172041666661</v>
      </c>
      <c r="AL177" s="4">
        <f t="shared" si="173"/>
        <v>0.23486726634651636</v>
      </c>
      <c r="AM177" s="4">
        <f t="shared" si="174"/>
        <v>0.76513273365348367</v>
      </c>
    </row>
    <row r="178" spans="3:39" ht="14.25" customHeight="1" x14ac:dyDescent="0.25">
      <c r="C178" s="1">
        <v>2026</v>
      </c>
      <c r="D178" s="52">
        <f>+'Fisico ASIG'!B178</f>
        <v>46082</v>
      </c>
      <c r="E178" s="1">
        <v>4</v>
      </c>
      <c r="F178" s="1" t="s">
        <v>52</v>
      </c>
      <c r="G178" s="5">
        <v>46089</v>
      </c>
      <c r="H178" s="107">
        <v>3736.8449583333322</v>
      </c>
      <c r="I178" s="107">
        <v>1246.5004166666668</v>
      </c>
      <c r="J178" s="107">
        <v>312.17616666666669</v>
      </c>
      <c r="K178" s="107">
        <v>14.243081250000001</v>
      </c>
      <c r="L178" s="107">
        <v>0</v>
      </c>
      <c r="M178" s="111">
        <f t="shared" si="167"/>
        <v>5309.7646229166658</v>
      </c>
      <c r="N178" s="107">
        <v>12856.260874999998</v>
      </c>
      <c r="O178" s="107">
        <v>1475.2550833333335</v>
      </c>
      <c r="P178" s="107">
        <v>968.21250000000009</v>
      </c>
      <c r="Q178" s="107">
        <v>201.75</v>
      </c>
      <c r="R178" s="107">
        <v>0</v>
      </c>
      <c r="S178" s="111">
        <f t="shared" ref="S178:S225" si="175">SUM(N178:R178)</f>
        <v>15501.478458333331</v>
      </c>
      <c r="T178" s="107">
        <v>0</v>
      </c>
      <c r="U178" s="107">
        <v>187.63533333333331</v>
      </c>
      <c r="V178" s="107">
        <v>1552.6990833333334</v>
      </c>
      <c r="W178" s="112">
        <f t="shared" si="150"/>
        <v>1740.3344166666668</v>
      </c>
      <c r="X178" s="107">
        <v>0</v>
      </c>
      <c r="Y178" s="107">
        <v>515</v>
      </c>
      <c r="Z178" s="107">
        <v>0</v>
      </c>
      <c r="AA178" s="112">
        <f t="shared" ref="AA178:AA242" si="176">SUM(X178:Z178)</f>
        <v>515</v>
      </c>
      <c r="AC178" s="39">
        <v>3000</v>
      </c>
      <c r="AD178" s="40">
        <f t="shared" si="168"/>
        <v>9856.2608749999981</v>
      </c>
      <c r="AE178" s="1">
        <f t="shared" si="169"/>
        <v>10.8</v>
      </c>
      <c r="AF178" s="1">
        <f t="shared" si="170"/>
        <v>18</v>
      </c>
      <c r="AG178" s="41">
        <f t="shared" si="171"/>
        <v>16.319884746427096</v>
      </c>
      <c r="AI178">
        <v>0.9</v>
      </c>
      <c r="AJ178">
        <v>1.5</v>
      </c>
      <c r="AK178" s="32">
        <f t="shared" si="172"/>
        <v>12856.260874999998</v>
      </c>
      <c r="AL178" s="4">
        <f t="shared" si="173"/>
        <v>0.23334934077401415</v>
      </c>
      <c r="AM178" s="4">
        <f t="shared" si="174"/>
        <v>0.76665065922598585</v>
      </c>
    </row>
    <row r="179" spans="3:39" ht="14.25" customHeight="1" x14ac:dyDescent="0.25">
      <c r="C179" s="1">
        <v>2026</v>
      </c>
      <c r="D179" s="52">
        <f>+'Fisico ASIG'!B179</f>
        <v>46082</v>
      </c>
      <c r="E179" s="1">
        <v>16</v>
      </c>
      <c r="F179" s="1" t="s">
        <v>53</v>
      </c>
      <c r="G179" s="5">
        <v>46090</v>
      </c>
      <c r="H179" s="107">
        <v>5080.8072499999989</v>
      </c>
      <c r="I179" s="107">
        <v>1341.6150833333334</v>
      </c>
      <c r="J179" s="107">
        <v>422.05995833333338</v>
      </c>
      <c r="K179" s="107">
        <v>26.534018750000008</v>
      </c>
      <c r="L179" s="107">
        <v>0</v>
      </c>
      <c r="M179" s="111">
        <f t="shared" si="167"/>
        <v>6871.016310416665</v>
      </c>
      <c r="N179" s="107">
        <v>12649.735583333326</v>
      </c>
      <c r="O179" s="107">
        <v>1469.7914166666667</v>
      </c>
      <c r="P179" s="107">
        <v>941.24591666666674</v>
      </c>
      <c r="Q179" s="107">
        <v>201.75</v>
      </c>
      <c r="R179" s="107">
        <v>0</v>
      </c>
      <c r="S179" s="111">
        <f t="shared" si="175"/>
        <v>15262.52291666666</v>
      </c>
      <c r="T179" s="107">
        <v>0</v>
      </c>
      <c r="U179" s="107">
        <v>191.36104166666669</v>
      </c>
      <c r="V179" s="107">
        <v>1499.7445416666662</v>
      </c>
      <c r="W179" s="112">
        <f t="shared" si="150"/>
        <v>1691.105583333333</v>
      </c>
      <c r="X179" s="107">
        <v>0</v>
      </c>
      <c r="Y179" s="107">
        <v>452.22208333333333</v>
      </c>
      <c r="Z179" s="107">
        <v>0</v>
      </c>
      <c r="AA179" s="112">
        <f t="shared" si="176"/>
        <v>452.22208333333333</v>
      </c>
      <c r="AC179" s="39">
        <v>3000</v>
      </c>
      <c r="AD179" s="40">
        <f t="shared" si="168"/>
        <v>9649.7355833333258</v>
      </c>
      <c r="AE179" s="1">
        <f t="shared" si="169"/>
        <v>10.8</v>
      </c>
      <c r="AF179" s="1">
        <f t="shared" si="170"/>
        <v>18</v>
      </c>
      <c r="AG179" s="41">
        <f t="shared" si="171"/>
        <v>16.292454426600102</v>
      </c>
      <c r="AI179">
        <v>0.9</v>
      </c>
      <c r="AJ179">
        <v>1.5</v>
      </c>
      <c r="AK179" s="32">
        <f t="shared" si="172"/>
        <v>12649.735583333326</v>
      </c>
      <c r="AL179" s="4">
        <f t="shared" si="173"/>
        <v>0.23715910741665253</v>
      </c>
      <c r="AM179" s="4">
        <f t="shared" si="174"/>
        <v>0.76284089258334742</v>
      </c>
    </row>
    <row r="180" spans="3:39" ht="14.25" customHeight="1" x14ac:dyDescent="0.25">
      <c r="C180" s="1">
        <v>2026</v>
      </c>
      <c r="D180" s="52">
        <f>+'Fisico ASIG'!B180</f>
        <v>46082</v>
      </c>
      <c r="E180" s="1">
        <v>16</v>
      </c>
      <c r="F180" s="1" t="s">
        <v>54</v>
      </c>
      <c r="G180" s="5">
        <v>46091</v>
      </c>
      <c r="H180" s="107">
        <v>5848.3553333333348</v>
      </c>
      <c r="I180" s="107">
        <v>1303.2235833333334</v>
      </c>
      <c r="J180" s="107">
        <v>370.81241666666671</v>
      </c>
      <c r="K180" s="107">
        <v>27.164106250000003</v>
      </c>
      <c r="L180" s="107">
        <v>0</v>
      </c>
      <c r="M180" s="111">
        <f t="shared" si="167"/>
        <v>7549.5554395833351</v>
      </c>
      <c r="N180" s="107">
        <v>12664.879708333336</v>
      </c>
      <c r="O180" s="107">
        <v>1480.0232500000002</v>
      </c>
      <c r="P180" s="107">
        <v>948.12316666666675</v>
      </c>
      <c r="Q180" s="107">
        <v>201.75</v>
      </c>
      <c r="R180" s="107">
        <v>0</v>
      </c>
      <c r="S180" s="111">
        <f t="shared" si="175"/>
        <v>15294.776125000002</v>
      </c>
      <c r="T180" s="107">
        <v>0</v>
      </c>
      <c r="U180" s="107">
        <v>189.43050000000005</v>
      </c>
      <c r="V180" s="107">
        <v>1152.7496666666666</v>
      </c>
      <c r="W180" s="112">
        <f t="shared" si="150"/>
        <v>1342.1801666666665</v>
      </c>
      <c r="X180" s="107">
        <v>0</v>
      </c>
      <c r="Y180" s="107">
        <v>415</v>
      </c>
      <c r="Z180" s="107">
        <v>0</v>
      </c>
      <c r="AA180" s="112">
        <f t="shared" si="176"/>
        <v>415</v>
      </c>
      <c r="AC180" s="39">
        <v>3000</v>
      </c>
      <c r="AD180" s="40">
        <f t="shared" si="168"/>
        <v>9664.8797083333357</v>
      </c>
      <c r="AE180" s="1">
        <f t="shared" si="169"/>
        <v>10.8</v>
      </c>
      <c r="AF180" s="1">
        <f t="shared" si="170"/>
        <v>18</v>
      </c>
      <c r="AG180" s="41">
        <f t="shared" si="171"/>
        <v>16.294496237039862</v>
      </c>
      <c r="AI180">
        <v>0.9</v>
      </c>
      <c r="AJ180">
        <v>1.5</v>
      </c>
      <c r="AK180" s="32">
        <f t="shared" si="172"/>
        <v>12664.879708333336</v>
      </c>
      <c r="AL180" s="4">
        <f t="shared" si="173"/>
        <v>0.23687552263335251</v>
      </c>
      <c r="AM180" s="4">
        <f t="shared" si="174"/>
        <v>0.76312447736664746</v>
      </c>
    </row>
    <row r="181" spans="3:39" ht="14.25" customHeight="1" x14ac:dyDescent="0.25">
      <c r="C181" s="1">
        <v>2026</v>
      </c>
      <c r="D181" s="52">
        <f>+'Fisico ASIG'!B181</f>
        <v>46082</v>
      </c>
      <c r="E181" s="1">
        <v>16</v>
      </c>
      <c r="F181" s="1" t="s">
        <v>55</v>
      </c>
      <c r="G181" s="5">
        <v>46092</v>
      </c>
      <c r="H181" s="107">
        <v>5612.7042500000007</v>
      </c>
      <c r="I181" s="107">
        <v>1304.0572083333334</v>
      </c>
      <c r="J181" s="107">
        <v>446.44020833333332</v>
      </c>
      <c r="K181" s="107">
        <v>9.4236645833333323</v>
      </c>
      <c r="L181" s="107">
        <v>0</v>
      </c>
      <c r="M181" s="111">
        <f t="shared" si="167"/>
        <v>7372.6253312500012</v>
      </c>
      <c r="N181" s="107">
        <v>12659.769083333329</v>
      </c>
      <c r="O181" s="107">
        <v>1481.0348333333336</v>
      </c>
      <c r="P181" s="107">
        <v>945.74258333333341</v>
      </c>
      <c r="Q181" s="107">
        <v>201.75</v>
      </c>
      <c r="R181" s="107">
        <v>0</v>
      </c>
      <c r="S181" s="111">
        <f t="shared" si="175"/>
        <v>15288.296499999995</v>
      </c>
      <c r="T181" s="107">
        <v>0</v>
      </c>
      <c r="U181" s="107">
        <v>186.76220833333332</v>
      </c>
      <c r="V181" s="107">
        <v>1357.8997916666669</v>
      </c>
      <c r="W181" s="112">
        <f t="shared" si="150"/>
        <v>1544.6620000000003</v>
      </c>
      <c r="X181" s="107">
        <v>0</v>
      </c>
      <c r="Y181" s="107">
        <v>476.52791666666667</v>
      </c>
      <c r="Z181" s="107">
        <v>0</v>
      </c>
      <c r="AA181" s="112">
        <f t="shared" si="176"/>
        <v>476.52791666666667</v>
      </c>
      <c r="AC181" s="39">
        <v>3000</v>
      </c>
      <c r="AD181" s="40">
        <f t="shared" si="168"/>
        <v>9659.769083333329</v>
      </c>
      <c r="AE181" s="1">
        <f t="shared" si="169"/>
        <v>10.8</v>
      </c>
      <c r="AF181" s="1">
        <f t="shared" si="170"/>
        <v>18</v>
      </c>
      <c r="AG181" s="41">
        <f t="shared" si="171"/>
        <v>16.293807741846056</v>
      </c>
      <c r="AI181">
        <v>0.9</v>
      </c>
      <c r="AJ181">
        <v>1.5</v>
      </c>
      <c r="AK181" s="32">
        <f t="shared" si="172"/>
        <v>12659.769083333329</v>
      </c>
      <c r="AL181" s="4">
        <f t="shared" si="173"/>
        <v>0.2369711469658258</v>
      </c>
      <c r="AM181" s="4">
        <f t="shared" si="174"/>
        <v>0.76302885303417423</v>
      </c>
    </row>
    <row r="182" spans="3:39" ht="14.25" customHeight="1" x14ac:dyDescent="0.25">
      <c r="C182" s="1">
        <v>2026</v>
      </c>
      <c r="D182" s="52">
        <f>+'Fisico ASIG'!B182</f>
        <v>46082</v>
      </c>
      <c r="E182" s="1">
        <v>16</v>
      </c>
      <c r="F182" s="1" t="s">
        <v>56</v>
      </c>
      <c r="G182" s="5">
        <v>46093</v>
      </c>
      <c r="H182" s="107">
        <v>5730.1950416666677</v>
      </c>
      <c r="I182" s="107">
        <v>1188.6762916666664</v>
      </c>
      <c r="J182" s="107">
        <v>429.29266666666672</v>
      </c>
      <c r="K182" s="107">
        <v>30.13896041666667</v>
      </c>
      <c r="L182" s="107">
        <v>0</v>
      </c>
      <c r="M182" s="111">
        <f t="shared" si="167"/>
        <v>7378.3029604166677</v>
      </c>
      <c r="N182" s="107">
        <v>12694.149333333331</v>
      </c>
      <c r="O182" s="107">
        <v>1369.1645833333334</v>
      </c>
      <c r="P182" s="107">
        <v>946.58404166666685</v>
      </c>
      <c r="Q182" s="107">
        <v>201.75</v>
      </c>
      <c r="R182" s="107">
        <v>0</v>
      </c>
      <c r="S182" s="111">
        <f t="shared" si="175"/>
        <v>15211.647958333331</v>
      </c>
      <c r="T182" s="107">
        <v>0</v>
      </c>
      <c r="U182" s="107">
        <v>185.89525000000003</v>
      </c>
      <c r="V182" s="107">
        <v>1250.4782083333332</v>
      </c>
      <c r="W182" s="112">
        <f t="shared" si="150"/>
        <v>1436.3734583333332</v>
      </c>
      <c r="X182" s="107">
        <v>0</v>
      </c>
      <c r="Y182" s="107">
        <v>515</v>
      </c>
      <c r="Z182" s="107">
        <v>0</v>
      </c>
      <c r="AA182" s="112">
        <f t="shared" si="176"/>
        <v>515</v>
      </c>
      <c r="AC182" s="39">
        <v>3000</v>
      </c>
      <c r="AD182" s="40">
        <f t="shared" si="168"/>
        <v>9694.149333333331</v>
      </c>
      <c r="AE182" s="1">
        <f t="shared" si="169"/>
        <v>10.8</v>
      </c>
      <c r="AF182" s="1">
        <f t="shared" si="170"/>
        <v>18</v>
      </c>
      <c r="AG182" s="41">
        <f t="shared" si="171"/>
        <v>16.298428714456591</v>
      </c>
      <c r="AI182">
        <v>0.9</v>
      </c>
      <c r="AJ182">
        <v>1.5</v>
      </c>
      <c r="AK182" s="32">
        <f t="shared" si="172"/>
        <v>12694.149333333331</v>
      </c>
      <c r="AL182" s="4">
        <f t="shared" si="173"/>
        <v>0.2363293452143623</v>
      </c>
      <c r="AM182" s="4">
        <f t="shared" si="174"/>
        <v>0.76367065478563767</v>
      </c>
    </row>
    <row r="183" spans="3:39" ht="14.25" customHeight="1" x14ac:dyDescent="0.25">
      <c r="C183" s="1">
        <v>2026</v>
      </c>
      <c r="D183" s="52">
        <f>+'Fisico ASIG'!B183</f>
        <v>46082</v>
      </c>
      <c r="E183" s="1">
        <v>16</v>
      </c>
      <c r="F183" s="1" t="s">
        <v>57</v>
      </c>
      <c r="G183" s="5">
        <v>46094</v>
      </c>
      <c r="H183" s="107">
        <v>6143.8750833333343</v>
      </c>
      <c r="I183" s="107">
        <v>1278.3820833333336</v>
      </c>
      <c r="J183" s="107">
        <v>395.9619166666667</v>
      </c>
      <c r="K183" s="107">
        <v>40.810291666666672</v>
      </c>
      <c r="L183" s="107">
        <v>0</v>
      </c>
      <c r="M183" s="111">
        <f t="shared" si="167"/>
        <v>7859.0293750000019</v>
      </c>
      <c r="N183" s="107">
        <v>12718.193999999996</v>
      </c>
      <c r="O183" s="107">
        <v>1460.9689999999998</v>
      </c>
      <c r="P183" s="107">
        <v>953.88354166666682</v>
      </c>
      <c r="Q183" s="107">
        <v>201.75</v>
      </c>
      <c r="R183" s="107">
        <v>0</v>
      </c>
      <c r="S183" s="111">
        <f t="shared" si="175"/>
        <v>15334.796541666661</v>
      </c>
      <c r="T183" s="107">
        <v>0</v>
      </c>
      <c r="U183" s="107">
        <v>189.09175000000005</v>
      </c>
      <c r="V183" s="107">
        <v>1225.9117500000002</v>
      </c>
      <c r="W183" s="112">
        <f t="shared" si="150"/>
        <v>1415.0035000000003</v>
      </c>
      <c r="X183" s="107">
        <v>0</v>
      </c>
      <c r="Y183" s="107">
        <v>515</v>
      </c>
      <c r="Z183" s="107">
        <v>0</v>
      </c>
      <c r="AA183" s="112">
        <f t="shared" si="176"/>
        <v>515</v>
      </c>
      <c r="AC183" s="39">
        <v>3000</v>
      </c>
      <c r="AD183" s="40">
        <f t="shared" si="168"/>
        <v>9718.1939999999959</v>
      </c>
      <c r="AE183" s="1">
        <f t="shared" si="169"/>
        <v>10.8</v>
      </c>
      <c r="AF183" s="1">
        <f t="shared" si="170"/>
        <v>18</v>
      </c>
      <c r="AG183" s="41">
        <f t="shared" si="171"/>
        <v>16.301645658180711</v>
      </c>
      <c r="AI183">
        <v>0.9</v>
      </c>
      <c r="AJ183">
        <v>1.5</v>
      </c>
      <c r="AK183" s="32">
        <f t="shared" si="172"/>
        <v>12718.193999999996</v>
      </c>
      <c r="AL183" s="4">
        <f t="shared" si="173"/>
        <v>0.23588254747490101</v>
      </c>
      <c r="AM183" s="4">
        <f t="shared" si="174"/>
        <v>0.76411745252509899</v>
      </c>
    </row>
    <row r="184" spans="3:39" ht="14.25" customHeight="1" x14ac:dyDescent="0.25">
      <c r="C184" s="1">
        <v>2026</v>
      </c>
      <c r="D184" s="52">
        <f>+'Fisico ASIG'!B184</f>
        <v>46082</v>
      </c>
      <c r="E184" s="1">
        <v>6</v>
      </c>
      <c r="F184" s="1" t="s">
        <v>51</v>
      </c>
      <c r="G184" s="5">
        <v>46095</v>
      </c>
      <c r="H184" s="107">
        <v>5938.4845833333338</v>
      </c>
      <c r="I184" s="107">
        <v>1400.790541666667</v>
      </c>
      <c r="J184" s="107">
        <v>400.65962500000001</v>
      </c>
      <c r="K184" s="107">
        <v>9.9911833333333337</v>
      </c>
      <c r="L184" s="107">
        <v>0</v>
      </c>
      <c r="M184" s="111">
        <f t="shared" si="167"/>
        <v>7749.9259333333348</v>
      </c>
      <c r="N184" s="107">
        <v>12350.911291666665</v>
      </c>
      <c r="O184" s="107">
        <v>1459.5396250000003</v>
      </c>
      <c r="P184" s="107">
        <v>950.7600000000001</v>
      </c>
      <c r="Q184" s="107">
        <v>200.8</v>
      </c>
      <c r="R184" s="107">
        <v>0</v>
      </c>
      <c r="S184" s="111">
        <f t="shared" si="175"/>
        <v>14962.010916666664</v>
      </c>
      <c r="T184" s="107">
        <v>0</v>
      </c>
      <c r="U184" s="107">
        <v>186.46675000000002</v>
      </c>
      <c r="V184" s="107">
        <v>1291.4827499999999</v>
      </c>
      <c r="W184" s="112">
        <f t="shared" si="150"/>
        <v>1477.9494999999999</v>
      </c>
      <c r="X184" s="107">
        <v>0</v>
      </c>
      <c r="Y184" s="107">
        <v>515</v>
      </c>
      <c r="Z184" s="107">
        <v>0</v>
      </c>
      <c r="AA184" s="112">
        <f t="shared" si="176"/>
        <v>515</v>
      </c>
      <c r="AC184" s="39">
        <v>3000</v>
      </c>
      <c r="AD184" s="40">
        <f t="shared" si="168"/>
        <v>9350.9112916666654</v>
      </c>
      <c r="AE184" s="1">
        <f t="shared" si="169"/>
        <v>10.8</v>
      </c>
      <c r="AF184" s="1">
        <f t="shared" si="170"/>
        <v>18</v>
      </c>
      <c r="AG184" s="41">
        <f t="shared" si="171"/>
        <v>16.251141191939915</v>
      </c>
      <c r="AI184">
        <v>0.9</v>
      </c>
      <c r="AJ184">
        <v>1.5</v>
      </c>
      <c r="AK184" s="32">
        <f t="shared" si="172"/>
        <v>12350.911291666665</v>
      </c>
      <c r="AL184" s="4">
        <f t="shared" si="173"/>
        <v>0.24289705667501171</v>
      </c>
      <c r="AM184" s="4">
        <f t="shared" si="174"/>
        <v>0.75710294332498829</v>
      </c>
    </row>
    <row r="185" spans="3:39" ht="14.25" customHeight="1" x14ac:dyDescent="0.25">
      <c r="C185" s="1">
        <v>2026</v>
      </c>
      <c r="D185" s="52">
        <f>+'Fisico ASIG'!B185</f>
        <v>46082</v>
      </c>
      <c r="E185" s="1">
        <v>4</v>
      </c>
      <c r="F185" s="1" t="s">
        <v>52</v>
      </c>
      <c r="G185" s="5">
        <v>46096</v>
      </c>
      <c r="H185" s="107">
        <v>5197.9846666666654</v>
      </c>
      <c r="I185" s="107">
        <v>1179.45225</v>
      </c>
      <c r="J185" s="107">
        <v>321.85575</v>
      </c>
      <c r="K185" s="107">
        <v>16.841302083333336</v>
      </c>
      <c r="L185" s="107">
        <v>0</v>
      </c>
      <c r="M185" s="111">
        <f t="shared" si="167"/>
        <v>6716.1339687499985</v>
      </c>
      <c r="N185" s="107">
        <v>12247.525833333331</v>
      </c>
      <c r="O185" s="107">
        <v>1434.3424166666666</v>
      </c>
      <c r="P185" s="107">
        <v>945.2311666666667</v>
      </c>
      <c r="Q185" s="107">
        <v>200.8</v>
      </c>
      <c r="R185" s="107">
        <v>0</v>
      </c>
      <c r="S185" s="111">
        <f t="shared" si="175"/>
        <v>14827.899416666663</v>
      </c>
      <c r="T185" s="107">
        <v>0</v>
      </c>
      <c r="U185" s="107">
        <v>187.1525</v>
      </c>
      <c r="V185" s="107">
        <v>1753.5567916666669</v>
      </c>
      <c r="W185" s="112">
        <f t="shared" si="150"/>
        <v>1940.7092916666668</v>
      </c>
      <c r="X185" s="107">
        <v>0</v>
      </c>
      <c r="Y185" s="107">
        <v>515</v>
      </c>
      <c r="Z185" s="107">
        <v>0</v>
      </c>
      <c r="AA185" s="112">
        <f t="shared" si="176"/>
        <v>515</v>
      </c>
      <c r="AC185" s="39">
        <v>3000</v>
      </c>
      <c r="AD185" s="40">
        <f t="shared" si="168"/>
        <v>9247.5258333333313</v>
      </c>
      <c r="AE185" s="1">
        <f t="shared" si="169"/>
        <v>10.8</v>
      </c>
      <c r="AF185" s="1">
        <f t="shared" si="170"/>
        <v>18</v>
      </c>
      <c r="AG185" s="41">
        <f t="shared" si="171"/>
        <v>16.236378490322299</v>
      </c>
      <c r="AI185">
        <v>0.9</v>
      </c>
      <c r="AJ185">
        <v>1.5</v>
      </c>
      <c r="AK185" s="32">
        <f t="shared" si="172"/>
        <v>12247.525833333331</v>
      </c>
      <c r="AL185" s="4">
        <f t="shared" si="173"/>
        <v>0.24494743189968099</v>
      </c>
      <c r="AM185" s="4">
        <f t="shared" si="174"/>
        <v>0.75505256810031895</v>
      </c>
    </row>
    <row r="186" spans="3:39" ht="14.25" customHeight="1" x14ac:dyDescent="0.25">
      <c r="C186" s="1">
        <v>2026</v>
      </c>
      <c r="D186" s="52">
        <f>+'Fisico ASIG'!B186</f>
        <v>46082</v>
      </c>
      <c r="E186" s="1">
        <v>16</v>
      </c>
      <c r="F186" s="1" t="s">
        <v>53</v>
      </c>
      <c r="G186" s="5">
        <v>46097</v>
      </c>
      <c r="H186" s="107">
        <v>6943.4073750000007</v>
      </c>
      <c r="I186" s="107">
        <v>1254.1877500000001</v>
      </c>
      <c r="J186" s="107">
        <v>395.24112500000001</v>
      </c>
      <c r="K186" s="107">
        <v>47.37455416666667</v>
      </c>
      <c r="L186" s="107">
        <v>0</v>
      </c>
      <c r="M186" s="111">
        <f t="shared" si="167"/>
        <v>8640.210804166667</v>
      </c>
      <c r="N186" s="107">
        <v>12169.435541666664</v>
      </c>
      <c r="O186" s="107">
        <v>1425.3342916666666</v>
      </c>
      <c r="P186" s="107">
        <v>943.7600000000001</v>
      </c>
      <c r="Q186" s="107">
        <v>200.69089583333334</v>
      </c>
      <c r="R186" s="107">
        <v>0</v>
      </c>
      <c r="S186" s="111">
        <f t="shared" si="175"/>
        <v>14739.220729166664</v>
      </c>
      <c r="T186" s="107">
        <v>0</v>
      </c>
      <c r="U186" s="107">
        <v>189.014375</v>
      </c>
      <c r="V186" s="107">
        <v>1359.3186666666668</v>
      </c>
      <c r="W186" s="112">
        <f t="shared" si="150"/>
        <v>1548.3330416666668</v>
      </c>
      <c r="X186" s="107">
        <v>0</v>
      </c>
      <c r="Y186" s="107">
        <v>515</v>
      </c>
      <c r="Z186" s="107">
        <v>0</v>
      </c>
      <c r="AA186" s="112">
        <f t="shared" si="176"/>
        <v>515</v>
      </c>
      <c r="AC186" s="39">
        <v>3000</v>
      </c>
      <c r="AD186" s="40">
        <f t="shared" si="168"/>
        <v>9169.435541666664</v>
      </c>
      <c r="AE186" s="1">
        <f t="shared" si="169"/>
        <v>10.8</v>
      </c>
      <c r="AF186" s="1">
        <f t="shared" si="170"/>
        <v>18</v>
      </c>
      <c r="AG186" s="41">
        <f t="shared" si="171"/>
        <v>16.225061472568367</v>
      </c>
      <c r="AI186">
        <v>0.9</v>
      </c>
      <c r="AJ186">
        <v>1.5</v>
      </c>
      <c r="AK186" s="32">
        <f t="shared" si="172"/>
        <v>12169.435541666664</v>
      </c>
      <c r="AL186" s="4">
        <f t="shared" si="173"/>
        <v>0.24651923992106006</v>
      </c>
      <c r="AM186" s="4">
        <f t="shared" si="174"/>
        <v>0.75348076007893994</v>
      </c>
    </row>
    <row r="187" spans="3:39" ht="14.25" customHeight="1" x14ac:dyDescent="0.25">
      <c r="C187" s="1">
        <v>2026</v>
      </c>
      <c r="D187" s="52">
        <f>+'Fisico ASIG'!B187</f>
        <v>46082</v>
      </c>
      <c r="E187" s="1">
        <v>16</v>
      </c>
      <c r="F187" s="1" t="s">
        <v>54</v>
      </c>
      <c r="G187" s="5">
        <v>46098</v>
      </c>
      <c r="H187" s="107">
        <v>6756.9755833333338</v>
      </c>
      <c r="I187" s="107">
        <v>1224.0016250000001</v>
      </c>
      <c r="J187" s="107">
        <v>331.50545833333331</v>
      </c>
      <c r="K187" s="107">
        <v>26.09829375</v>
      </c>
      <c r="L187" s="107">
        <v>0</v>
      </c>
      <c r="M187" s="111">
        <f t="shared" si="167"/>
        <v>8338.5809604166661</v>
      </c>
      <c r="N187" s="107">
        <v>12281.064</v>
      </c>
      <c r="O187" s="107">
        <v>1440.3093750000003</v>
      </c>
      <c r="P187" s="107">
        <v>953.7600000000001</v>
      </c>
      <c r="Q187" s="107">
        <v>194.89427083333334</v>
      </c>
      <c r="R187" s="107">
        <v>0</v>
      </c>
      <c r="S187" s="111">
        <f t="shared" si="175"/>
        <v>14870.027645833334</v>
      </c>
      <c r="T187" s="107">
        <v>0</v>
      </c>
      <c r="U187" s="107">
        <v>188.23870833333334</v>
      </c>
      <c r="V187" s="107">
        <v>1605.4288333333334</v>
      </c>
      <c r="W187" s="112">
        <f t="shared" si="150"/>
        <v>1793.6675416666667</v>
      </c>
      <c r="X187" s="107">
        <v>0</v>
      </c>
      <c r="Y187" s="107">
        <v>515</v>
      </c>
      <c r="Z187" s="107">
        <v>0</v>
      </c>
      <c r="AA187" s="112">
        <f t="shared" si="176"/>
        <v>515</v>
      </c>
      <c r="AC187" s="39">
        <v>3000</v>
      </c>
      <c r="AD187" s="40">
        <f t="shared" si="168"/>
        <v>9281.0640000000003</v>
      </c>
      <c r="AE187" s="1">
        <f t="shared" si="169"/>
        <v>10.8</v>
      </c>
      <c r="AF187" s="1">
        <f t="shared" si="170"/>
        <v>18</v>
      </c>
      <c r="AG187" s="41">
        <f t="shared" si="171"/>
        <v>16.241194736872963</v>
      </c>
      <c r="AI187">
        <v>0.9</v>
      </c>
      <c r="AJ187">
        <v>1.5</v>
      </c>
      <c r="AK187" s="32">
        <f t="shared" si="172"/>
        <v>12281.064</v>
      </c>
      <c r="AL187" s="4">
        <f t="shared" si="173"/>
        <v>0.24427850876764423</v>
      </c>
      <c r="AM187" s="4">
        <f t="shared" si="174"/>
        <v>0.75572149123235577</v>
      </c>
    </row>
    <row r="188" spans="3:39" ht="14.25" customHeight="1" x14ac:dyDescent="0.25">
      <c r="C188" s="1">
        <v>2026</v>
      </c>
      <c r="D188" s="52">
        <f>+'Fisico ASIG'!B188</f>
        <v>46082</v>
      </c>
      <c r="E188" s="1">
        <v>16</v>
      </c>
      <c r="F188" s="1" t="s">
        <v>55</v>
      </c>
      <c r="G188" s="5">
        <v>46099</v>
      </c>
      <c r="H188" s="107">
        <v>6133.2352083333317</v>
      </c>
      <c r="I188" s="107">
        <v>1126.7272083333332</v>
      </c>
      <c r="J188" s="107">
        <v>268.87204166666669</v>
      </c>
      <c r="K188" s="107">
        <v>25.110858333333333</v>
      </c>
      <c r="L188" s="107">
        <v>0</v>
      </c>
      <c r="M188" s="111">
        <f t="shared" si="167"/>
        <v>7553.9453166666653</v>
      </c>
      <c r="N188" s="107">
        <v>12192.932291666668</v>
      </c>
      <c r="O188" s="107">
        <v>1480.7905000000003</v>
      </c>
      <c r="P188" s="107">
        <v>945.87137500000006</v>
      </c>
      <c r="Q188" s="107">
        <v>192.96641666666667</v>
      </c>
      <c r="R188" s="107">
        <v>0</v>
      </c>
      <c r="S188" s="111">
        <f t="shared" si="175"/>
        <v>14812.560583333336</v>
      </c>
      <c r="T188" s="107">
        <v>0</v>
      </c>
      <c r="U188" s="107">
        <v>188.63266666666664</v>
      </c>
      <c r="V188" s="107">
        <v>1265.639916666667</v>
      </c>
      <c r="W188" s="112">
        <f t="shared" si="150"/>
        <v>1454.2725833333336</v>
      </c>
      <c r="X188" s="107">
        <v>0</v>
      </c>
      <c r="Y188" s="107">
        <v>515</v>
      </c>
      <c r="Z188" s="107">
        <v>0</v>
      </c>
      <c r="AA188" s="112">
        <f t="shared" si="176"/>
        <v>515</v>
      </c>
      <c r="AC188" s="39">
        <v>3000</v>
      </c>
      <c r="AD188" s="40">
        <f t="shared" si="168"/>
        <v>9192.9322916666679</v>
      </c>
      <c r="AE188" s="1">
        <f t="shared" si="169"/>
        <v>10.8</v>
      </c>
      <c r="AF188" s="1">
        <f t="shared" si="170"/>
        <v>18</v>
      </c>
      <c r="AG188" s="41">
        <f t="shared" si="171"/>
        <v>16.228481920238117</v>
      </c>
      <c r="AI188">
        <v>0.9</v>
      </c>
      <c r="AJ188">
        <v>1.5</v>
      </c>
      <c r="AK188" s="32">
        <f t="shared" si="172"/>
        <v>12192.932291666668</v>
      </c>
      <c r="AL188" s="4">
        <f t="shared" si="173"/>
        <v>0.24604417774470608</v>
      </c>
      <c r="AM188" s="4">
        <f t="shared" si="174"/>
        <v>0.75395582225529389</v>
      </c>
    </row>
    <row r="189" spans="3:39" ht="14.25" customHeight="1" x14ac:dyDescent="0.25">
      <c r="C189" s="1">
        <v>2026</v>
      </c>
      <c r="D189" s="52">
        <f>+'Fisico ASIG'!B189</f>
        <v>46082</v>
      </c>
      <c r="E189" s="1">
        <v>16</v>
      </c>
      <c r="F189" s="1" t="s">
        <v>56</v>
      </c>
      <c r="G189" s="5">
        <v>46100</v>
      </c>
      <c r="H189" s="107">
        <v>6190.2548750000014</v>
      </c>
      <c r="I189" s="107">
        <v>1150.8775000000001</v>
      </c>
      <c r="J189" s="107">
        <v>296.08954166666661</v>
      </c>
      <c r="K189" s="107">
        <v>32.661245833333339</v>
      </c>
      <c r="L189" s="107">
        <v>0</v>
      </c>
      <c r="M189" s="111">
        <f t="shared" si="167"/>
        <v>7669.8831625000003</v>
      </c>
      <c r="N189" s="107">
        <v>12430.386625000001</v>
      </c>
      <c r="O189" s="107">
        <v>1451.5252916666666</v>
      </c>
      <c r="P189" s="107">
        <v>916.78770833333328</v>
      </c>
      <c r="Q189" s="107">
        <v>193.86406250000002</v>
      </c>
      <c r="R189" s="107">
        <v>0</v>
      </c>
      <c r="S189" s="111">
        <f t="shared" si="175"/>
        <v>14992.563687500002</v>
      </c>
      <c r="T189" s="107">
        <v>0</v>
      </c>
      <c r="U189" s="107">
        <v>314.743875</v>
      </c>
      <c r="V189" s="107">
        <v>1757.6447499999997</v>
      </c>
      <c r="W189" s="112">
        <f t="shared" si="150"/>
        <v>2072.3886249999996</v>
      </c>
      <c r="X189" s="107">
        <v>0</v>
      </c>
      <c r="Y189" s="107">
        <v>515</v>
      </c>
      <c r="Z189" s="107">
        <v>0</v>
      </c>
      <c r="AA189" s="112">
        <f t="shared" si="176"/>
        <v>515</v>
      </c>
      <c r="AC189" s="39">
        <v>3000</v>
      </c>
      <c r="AD189" s="40">
        <f t="shared" ref="AD189:AD200" si="177">+N189-AC189</f>
        <v>9430.386625000001</v>
      </c>
      <c r="AE189" s="1">
        <f t="shared" ref="AE189:AE200" si="178">12*AI189</f>
        <v>10.8</v>
      </c>
      <c r="AF189" s="1">
        <f t="shared" ref="AF189:AF200" si="179">12*AJ189</f>
        <v>18</v>
      </c>
      <c r="AG189" s="41">
        <f t="shared" ref="AG189:AG200" si="180">+(AC189*AE189+AF189*AD189)/SUM(AC189:AD189)</f>
        <v>16.262322753778385</v>
      </c>
      <c r="AI189">
        <v>0.9</v>
      </c>
      <c r="AJ189">
        <v>1.5</v>
      </c>
      <c r="AK189" s="32">
        <f t="shared" ref="AK189:AK193" si="181">+AC189+AD189</f>
        <v>12430.386625000001</v>
      </c>
      <c r="AL189" s="4">
        <f t="shared" ref="AL189:AL193" si="182">+AC189/AK189</f>
        <v>0.24134406197522434</v>
      </c>
      <c r="AM189" s="4">
        <f t="shared" ref="AM189:AM193" si="183">+AD189/AK189</f>
        <v>0.75865593802477571</v>
      </c>
    </row>
    <row r="190" spans="3:39" ht="14.25" customHeight="1" x14ac:dyDescent="0.25">
      <c r="C190" s="1">
        <v>2026</v>
      </c>
      <c r="D190" s="52">
        <f>+'Fisico ASIG'!B190</f>
        <v>46082</v>
      </c>
      <c r="E190" s="1">
        <v>16</v>
      </c>
      <c r="F190" s="1" t="s">
        <v>57</v>
      </c>
      <c r="G190" s="5">
        <v>46101</v>
      </c>
      <c r="H190" s="107">
        <v>6463.8565000000008</v>
      </c>
      <c r="I190" s="107">
        <v>764.01254166666672</v>
      </c>
      <c r="J190" s="107">
        <v>359.83504166666671</v>
      </c>
      <c r="K190" s="107">
        <v>72.715547916666665</v>
      </c>
      <c r="L190" s="107">
        <v>0</v>
      </c>
      <c r="M190" s="111">
        <f t="shared" si="167"/>
        <v>7660.4196312500007</v>
      </c>
      <c r="N190" s="107">
        <v>12440.905374999998</v>
      </c>
      <c r="O190" s="107">
        <v>1083.0087083333333</v>
      </c>
      <c r="P190" s="107">
        <v>922.15149999999994</v>
      </c>
      <c r="Q190" s="107">
        <v>194.93100000000001</v>
      </c>
      <c r="R190" s="107">
        <v>0</v>
      </c>
      <c r="S190" s="111">
        <f t="shared" si="175"/>
        <v>14640.996583333332</v>
      </c>
      <c r="T190" s="107">
        <v>0</v>
      </c>
      <c r="U190" s="107">
        <v>386.09674999999993</v>
      </c>
      <c r="V190" s="107">
        <v>1147.3831666666667</v>
      </c>
      <c r="W190" s="112">
        <f t="shared" si="150"/>
        <v>1533.4799166666667</v>
      </c>
      <c r="X190" s="107">
        <v>0</v>
      </c>
      <c r="Y190" s="107">
        <v>515</v>
      </c>
      <c r="Z190" s="107">
        <v>0</v>
      </c>
      <c r="AA190" s="112">
        <f t="shared" si="176"/>
        <v>515</v>
      </c>
      <c r="AC190" s="39">
        <v>3000</v>
      </c>
      <c r="AD190" s="40">
        <f t="shared" si="177"/>
        <v>9440.9053749999985</v>
      </c>
      <c r="AE190" s="1">
        <f t="shared" si="178"/>
        <v>10.8</v>
      </c>
      <c r="AF190" s="1">
        <f t="shared" si="179"/>
        <v>18</v>
      </c>
      <c r="AG190" s="41">
        <f t="shared" si="180"/>
        <v>16.26379195493238</v>
      </c>
      <c r="AI190">
        <v>0.9</v>
      </c>
      <c r="AJ190">
        <v>1.5</v>
      </c>
      <c r="AK190" s="32">
        <f t="shared" si="181"/>
        <v>12440.905374999998</v>
      </c>
      <c r="AL190" s="4">
        <f t="shared" si="182"/>
        <v>0.24114000625939175</v>
      </c>
      <c r="AM190" s="4">
        <f t="shared" si="183"/>
        <v>0.75885999374060831</v>
      </c>
    </row>
    <row r="191" spans="3:39" ht="14.25" customHeight="1" x14ac:dyDescent="0.25">
      <c r="C191" s="1">
        <v>2026</v>
      </c>
      <c r="D191" s="52">
        <f>+'Fisico ASIG'!B191</f>
        <v>46082</v>
      </c>
      <c r="E191" s="1">
        <v>6</v>
      </c>
      <c r="F191" s="1" t="s">
        <v>51</v>
      </c>
      <c r="G191" s="5">
        <v>46102</v>
      </c>
      <c r="H191" s="107">
        <v>5691.4000000000015</v>
      </c>
      <c r="I191" s="107">
        <v>797.01158333333331</v>
      </c>
      <c r="J191" s="107">
        <v>333.74704166666663</v>
      </c>
      <c r="K191" s="107">
        <v>32.643975000000005</v>
      </c>
      <c r="L191" s="107">
        <v>0</v>
      </c>
      <c r="M191" s="111">
        <f t="shared" si="167"/>
        <v>6854.8026000000009</v>
      </c>
      <c r="N191" s="107">
        <v>12489.569916666664</v>
      </c>
      <c r="O191" s="107">
        <v>1083.7005833333333</v>
      </c>
      <c r="P191" s="107">
        <v>923.39420833333338</v>
      </c>
      <c r="Q191" s="107">
        <v>200.5</v>
      </c>
      <c r="R191" s="107">
        <v>0</v>
      </c>
      <c r="S191" s="111">
        <f t="shared" si="175"/>
        <v>14697.16470833333</v>
      </c>
      <c r="T191" s="107">
        <v>0</v>
      </c>
      <c r="U191" s="107">
        <v>357.3974583333333</v>
      </c>
      <c r="V191" s="107">
        <v>1230.992</v>
      </c>
      <c r="W191" s="112">
        <f t="shared" si="150"/>
        <v>1588.3894583333333</v>
      </c>
      <c r="X191" s="107">
        <v>0</v>
      </c>
      <c r="Y191" s="107">
        <v>515</v>
      </c>
      <c r="Z191" s="107">
        <v>0</v>
      </c>
      <c r="AA191" s="112">
        <f t="shared" si="176"/>
        <v>515</v>
      </c>
      <c r="AC191" s="39">
        <v>3000</v>
      </c>
      <c r="AD191" s="40">
        <f t="shared" si="177"/>
        <v>9489.5699166666636</v>
      </c>
      <c r="AE191" s="1">
        <f t="shared" si="178"/>
        <v>10.8</v>
      </c>
      <c r="AF191" s="1">
        <f t="shared" si="179"/>
        <v>18</v>
      </c>
      <c r="AG191" s="41">
        <f t="shared" si="180"/>
        <v>16.2705569411821</v>
      </c>
      <c r="AI191">
        <v>0.9</v>
      </c>
      <c r="AJ191">
        <v>1.5</v>
      </c>
      <c r="AK191" s="32">
        <f t="shared" si="181"/>
        <v>12489.569916666664</v>
      </c>
      <c r="AL191" s="4">
        <f t="shared" si="182"/>
        <v>0.24020042483581924</v>
      </c>
      <c r="AM191" s="4">
        <f t="shared" si="183"/>
        <v>0.75979957516418073</v>
      </c>
    </row>
    <row r="192" spans="3:39" ht="14.25" customHeight="1" x14ac:dyDescent="0.25">
      <c r="C192" s="1">
        <v>2026</v>
      </c>
      <c r="D192" s="52">
        <f>+'Fisico ASIG'!B192</f>
        <v>46082</v>
      </c>
      <c r="E192" s="1">
        <v>4</v>
      </c>
      <c r="F192" s="1" t="s">
        <v>52</v>
      </c>
      <c r="G192" s="5">
        <v>46103</v>
      </c>
      <c r="H192" s="107">
        <v>5075.5111666666662</v>
      </c>
      <c r="I192" s="107">
        <v>765.24025000000006</v>
      </c>
      <c r="J192" s="107">
        <v>301.08837499999998</v>
      </c>
      <c r="K192" s="107">
        <v>10.429010416666669</v>
      </c>
      <c r="L192" s="107">
        <v>0</v>
      </c>
      <c r="M192" s="111">
        <f t="shared" si="167"/>
        <v>6152.268802083333</v>
      </c>
      <c r="N192" s="107">
        <v>12590.549583333333</v>
      </c>
      <c r="O192" s="107">
        <v>1098.5164583333335</v>
      </c>
      <c r="P192" s="107">
        <v>926.38520833333337</v>
      </c>
      <c r="Q192" s="107">
        <v>200.55</v>
      </c>
      <c r="R192" s="107">
        <v>0</v>
      </c>
      <c r="S192" s="111">
        <f t="shared" si="175"/>
        <v>14816.001249999999</v>
      </c>
      <c r="T192" s="107">
        <v>0</v>
      </c>
      <c r="U192" s="107">
        <v>188.33808333333332</v>
      </c>
      <c r="V192" s="107">
        <v>1154.9136250000001</v>
      </c>
      <c r="W192" s="112">
        <f t="shared" si="150"/>
        <v>1343.2517083333335</v>
      </c>
      <c r="X192" s="107">
        <v>0</v>
      </c>
      <c r="Y192" s="107">
        <v>515</v>
      </c>
      <c r="Z192" s="107">
        <v>0</v>
      </c>
      <c r="AA192" s="112">
        <f t="shared" si="176"/>
        <v>515</v>
      </c>
      <c r="AC192" s="39">
        <v>3000</v>
      </c>
      <c r="AD192" s="40">
        <f t="shared" si="177"/>
        <v>9590.5495833333334</v>
      </c>
      <c r="AE192" s="1">
        <f t="shared" si="178"/>
        <v>10.8</v>
      </c>
      <c r="AF192" s="1">
        <f t="shared" si="179"/>
        <v>18</v>
      </c>
      <c r="AG192" s="41">
        <f t="shared" si="180"/>
        <v>16.284427549644626</v>
      </c>
      <c r="AI192">
        <v>0.9</v>
      </c>
      <c r="AJ192">
        <v>1.5</v>
      </c>
      <c r="AK192" s="32">
        <f t="shared" si="181"/>
        <v>12590.549583333333</v>
      </c>
      <c r="AL192" s="4">
        <f t="shared" si="182"/>
        <v>0.2382739514382464</v>
      </c>
      <c r="AM192" s="4">
        <f t="shared" si="183"/>
        <v>0.76172604856175363</v>
      </c>
    </row>
    <row r="193" spans="3:39" ht="14.25" customHeight="1" x14ac:dyDescent="0.25">
      <c r="C193" s="1">
        <v>2026</v>
      </c>
      <c r="D193" s="52">
        <f>+'Fisico ASIG'!B193</f>
        <v>46082</v>
      </c>
      <c r="E193" s="1">
        <v>6</v>
      </c>
      <c r="F193" s="1" t="s">
        <v>53</v>
      </c>
      <c r="G193" s="5">
        <v>46104</v>
      </c>
      <c r="H193" s="107">
        <v>4944.2925833333329</v>
      </c>
      <c r="I193" s="107">
        <v>898.44454166666674</v>
      </c>
      <c r="J193" s="107">
        <v>286.11158333333339</v>
      </c>
      <c r="K193" s="107">
        <v>22.920552083333334</v>
      </c>
      <c r="L193" s="107">
        <v>0</v>
      </c>
      <c r="M193" s="111">
        <f t="shared" si="167"/>
        <v>6151.7692604166659</v>
      </c>
      <c r="N193" s="107">
        <v>12007.453208333342</v>
      </c>
      <c r="O193" s="107">
        <v>1095.8577500000001</v>
      </c>
      <c r="P193" s="107">
        <v>927.98354166666661</v>
      </c>
      <c r="Q193" s="107">
        <v>200.5</v>
      </c>
      <c r="R193" s="107">
        <v>0</v>
      </c>
      <c r="S193" s="111">
        <f t="shared" si="175"/>
        <v>14231.794500000009</v>
      </c>
      <c r="T193" s="107">
        <v>0</v>
      </c>
      <c r="U193" s="107">
        <v>188.49383333333336</v>
      </c>
      <c r="V193" s="107">
        <v>1393.0950416666667</v>
      </c>
      <c r="W193" s="112">
        <f t="shared" si="150"/>
        <v>1581.5888750000001</v>
      </c>
      <c r="X193" s="107">
        <v>0</v>
      </c>
      <c r="Y193" s="107">
        <v>515</v>
      </c>
      <c r="Z193" s="107">
        <v>0</v>
      </c>
      <c r="AA193" s="112">
        <f t="shared" si="176"/>
        <v>515</v>
      </c>
      <c r="AC193" s="39">
        <v>3000</v>
      </c>
      <c r="AD193" s="40">
        <f t="shared" si="177"/>
        <v>9007.4532083333415</v>
      </c>
      <c r="AE193" s="1">
        <f t="shared" si="178"/>
        <v>10.8</v>
      </c>
      <c r="AF193" s="1">
        <f t="shared" si="179"/>
        <v>18</v>
      </c>
      <c r="AG193" s="41">
        <f t="shared" si="180"/>
        <v>16.201117287302083</v>
      </c>
      <c r="AI193">
        <v>0.9</v>
      </c>
      <c r="AJ193">
        <v>1.5</v>
      </c>
      <c r="AK193" s="32">
        <f t="shared" si="181"/>
        <v>12007.453208333342</v>
      </c>
      <c r="AL193" s="4">
        <f t="shared" si="182"/>
        <v>0.24984482120804416</v>
      </c>
      <c r="AM193" s="4">
        <f t="shared" si="183"/>
        <v>0.75015517879195581</v>
      </c>
    </row>
    <row r="194" spans="3:39" ht="14.25" customHeight="1" x14ac:dyDescent="0.25">
      <c r="C194" s="1">
        <v>2026</v>
      </c>
      <c r="D194" s="52">
        <f>+'Fisico ASIG'!B194</f>
        <v>46082</v>
      </c>
      <c r="E194" s="1">
        <v>4</v>
      </c>
      <c r="F194" s="1" t="s">
        <v>54</v>
      </c>
      <c r="G194" s="5">
        <v>46105</v>
      </c>
      <c r="H194" s="107">
        <v>4650.7855416666662</v>
      </c>
      <c r="I194" s="107">
        <v>931.37845833333336</v>
      </c>
      <c r="J194" s="107">
        <v>269.61125000000004</v>
      </c>
      <c r="K194" s="107">
        <v>6.2807333333333339</v>
      </c>
      <c r="L194" s="107">
        <v>0</v>
      </c>
      <c r="M194" s="111">
        <f t="shared" si="167"/>
        <v>5858.0559833333327</v>
      </c>
      <c r="N194" s="107">
        <v>12051.258083333329</v>
      </c>
      <c r="O194" s="107">
        <v>1100.6883333333333</v>
      </c>
      <c r="P194" s="107">
        <v>930.76</v>
      </c>
      <c r="Q194" s="107">
        <v>200.5</v>
      </c>
      <c r="R194" s="107">
        <v>0</v>
      </c>
      <c r="S194" s="111">
        <f t="shared" si="175"/>
        <v>14283.206416666662</v>
      </c>
      <c r="T194" s="107">
        <v>0</v>
      </c>
      <c r="U194" s="107">
        <v>186.53395833333335</v>
      </c>
      <c r="V194" s="107">
        <v>1590.9067500000001</v>
      </c>
      <c r="W194" s="112">
        <f t="shared" si="150"/>
        <v>1777.4407083333335</v>
      </c>
      <c r="X194" s="107">
        <v>0</v>
      </c>
      <c r="Y194" s="107">
        <v>515</v>
      </c>
      <c r="Z194" s="107">
        <v>0</v>
      </c>
      <c r="AA194" s="112">
        <f t="shared" si="176"/>
        <v>515</v>
      </c>
      <c r="AC194" s="39">
        <v>3000</v>
      </c>
      <c r="AD194" s="40">
        <f t="shared" si="177"/>
        <v>9051.2580833333286</v>
      </c>
      <c r="AE194" s="1">
        <f t="shared" si="178"/>
        <v>10.8</v>
      </c>
      <c r="AF194" s="1">
        <f t="shared" si="179"/>
        <v>18</v>
      </c>
      <c r="AG194" s="41">
        <f t="shared" si="180"/>
        <v>16.207656009800967</v>
      </c>
      <c r="AI194">
        <v>0.9</v>
      </c>
      <c r="AJ194">
        <v>1.5</v>
      </c>
      <c r="AK194" s="32">
        <f t="shared" ref="AK194:AK200" si="184">+AC194+AD194</f>
        <v>12051.258083333329</v>
      </c>
      <c r="AL194" s="4">
        <f t="shared" ref="AL194:AL200" si="185">+AC194/AK194</f>
        <v>0.24893666530542116</v>
      </c>
      <c r="AM194" s="4">
        <f t="shared" ref="AM194:AM200" si="186">+AD194/AK194</f>
        <v>0.75106333469457887</v>
      </c>
    </row>
    <row r="195" spans="3:39" ht="14.25" customHeight="1" x14ac:dyDescent="0.25">
      <c r="C195" s="1">
        <v>2026</v>
      </c>
      <c r="D195" s="52">
        <f>+'Fisico ASIG'!B195</f>
        <v>46082</v>
      </c>
      <c r="E195" s="1">
        <v>16</v>
      </c>
      <c r="F195" s="1" t="s">
        <v>55</v>
      </c>
      <c r="G195" s="5">
        <v>46106</v>
      </c>
      <c r="H195" s="107">
        <v>4920.7378333333336</v>
      </c>
      <c r="I195" s="107">
        <v>1219.4289166666667</v>
      </c>
      <c r="J195" s="107">
        <v>277.47720833333329</v>
      </c>
      <c r="K195" s="107">
        <v>17.729512500000002</v>
      </c>
      <c r="L195" s="107">
        <v>0</v>
      </c>
      <c r="M195" s="111">
        <f t="shared" si="167"/>
        <v>6435.3734708333341</v>
      </c>
      <c r="N195" s="107">
        <v>12089.261291666668</v>
      </c>
      <c r="O195" s="107">
        <v>1404.3802083333335</v>
      </c>
      <c r="P195" s="107">
        <v>930.81908333333331</v>
      </c>
      <c r="Q195" s="107">
        <v>200.45000000000002</v>
      </c>
      <c r="R195" s="107">
        <v>0</v>
      </c>
      <c r="S195" s="111">
        <f t="shared" si="175"/>
        <v>14624.910583333336</v>
      </c>
      <c r="T195" s="107">
        <v>0</v>
      </c>
      <c r="U195" s="107">
        <v>190.0095</v>
      </c>
      <c r="V195" s="107">
        <v>1204.538291666667</v>
      </c>
      <c r="W195" s="112">
        <f t="shared" si="150"/>
        <v>1394.5477916666669</v>
      </c>
      <c r="X195" s="107">
        <v>0</v>
      </c>
      <c r="Y195" s="107">
        <v>515</v>
      </c>
      <c r="Z195" s="107">
        <v>0</v>
      </c>
      <c r="AA195" s="112">
        <f t="shared" si="176"/>
        <v>515</v>
      </c>
      <c r="AC195" s="39">
        <v>3000</v>
      </c>
      <c r="AD195" s="40">
        <f t="shared" si="177"/>
        <v>9089.2612916666676</v>
      </c>
      <c r="AE195" s="1">
        <f t="shared" si="178"/>
        <v>10.8</v>
      </c>
      <c r="AF195" s="1">
        <f t="shared" si="179"/>
        <v>18</v>
      </c>
      <c r="AG195" s="41">
        <f t="shared" si="180"/>
        <v>16.213290334382197</v>
      </c>
      <c r="AI195">
        <v>0.9</v>
      </c>
      <c r="AJ195">
        <v>1.5</v>
      </c>
      <c r="AK195" s="32">
        <f t="shared" si="184"/>
        <v>12089.261291666668</v>
      </c>
      <c r="AL195" s="4">
        <f t="shared" si="185"/>
        <v>0.24815412022469485</v>
      </c>
      <c r="AM195" s="4">
        <f t="shared" si="186"/>
        <v>0.75184587977530515</v>
      </c>
    </row>
    <row r="196" spans="3:39" ht="14.25" customHeight="1" x14ac:dyDescent="0.25">
      <c r="C196" s="1">
        <v>2026</v>
      </c>
      <c r="D196" s="52">
        <f>+'Fisico ASIG'!B196</f>
        <v>46082</v>
      </c>
      <c r="E196" s="1">
        <v>16</v>
      </c>
      <c r="F196" s="1" t="s">
        <v>56</v>
      </c>
      <c r="G196" s="5">
        <v>46107</v>
      </c>
      <c r="H196" s="107">
        <v>5417.5829583333325</v>
      </c>
      <c r="I196" s="107">
        <v>1366.4585416666669</v>
      </c>
      <c r="J196" s="107">
        <v>271.39100000000002</v>
      </c>
      <c r="K196" s="107">
        <v>29.201258333333342</v>
      </c>
      <c r="L196" s="107">
        <v>0</v>
      </c>
      <c r="M196" s="111">
        <f t="shared" si="167"/>
        <v>7084.6337583333325</v>
      </c>
      <c r="N196" s="107">
        <v>12081.875083333332</v>
      </c>
      <c r="O196" s="107">
        <v>1491.2301666666667</v>
      </c>
      <c r="P196" s="107">
        <v>930.94579166666665</v>
      </c>
      <c r="Q196" s="107">
        <v>200.45000000000002</v>
      </c>
      <c r="R196" s="107">
        <v>0</v>
      </c>
      <c r="S196" s="111">
        <f t="shared" si="175"/>
        <v>14704.501041666666</v>
      </c>
      <c r="T196" s="107">
        <v>0</v>
      </c>
      <c r="U196" s="107">
        <v>189.15245833333336</v>
      </c>
      <c r="V196" s="107">
        <v>937.09629166666707</v>
      </c>
      <c r="W196" s="112">
        <f t="shared" si="150"/>
        <v>1126.2487500000004</v>
      </c>
      <c r="X196" s="107">
        <v>0</v>
      </c>
      <c r="Y196" s="107">
        <v>515</v>
      </c>
      <c r="Z196" s="107">
        <v>0</v>
      </c>
      <c r="AA196" s="112">
        <f t="shared" si="176"/>
        <v>515</v>
      </c>
      <c r="AC196" s="39">
        <v>3000</v>
      </c>
      <c r="AD196" s="40">
        <f t="shared" si="177"/>
        <v>9081.8750833333324</v>
      </c>
      <c r="AE196" s="1">
        <f t="shared" si="178"/>
        <v>10.8</v>
      </c>
      <c r="AF196" s="1">
        <f t="shared" si="179"/>
        <v>18</v>
      </c>
      <c r="AG196" s="41">
        <f t="shared" si="180"/>
        <v>16.212198036230593</v>
      </c>
      <c r="AI196">
        <v>0.9</v>
      </c>
      <c r="AJ196">
        <v>1.5</v>
      </c>
      <c r="AK196" s="32">
        <f t="shared" si="184"/>
        <v>12081.875083333332</v>
      </c>
      <c r="AL196" s="4">
        <f t="shared" si="185"/>
        <v>0.24830582830130654</v>
      </c>
      <c r="AM196" s="4">
        <f t="shared" si="186"/>
        <v>0.75169417169869346</v>
      </c>
    </row>
    <row r="197" spans="3:39" ht="14.25" customHeight="1" x14ac:dyDescent="0.25">
      <c r="C197" s="1">
        <v>2026</v>
      </c>
      <c r="D197" s="52">
        <f>+'Fisico ASIG'!B197</f>
        <v>46082</v>
      </c>
      <c r="E197" s="1">
        <v>16</v>
      </c>
      <c r="F197" s="1" t="s">
        <v>57</v>
      </c>
      <c r="G197" s="5">
        <v>46108</v>
      </c>
      <c r="H197" s="107">
        <v>5795.4518333333335</v>
      </c>
      <c r="I197" s="107">
        <v>1328.9642916666667</v>
      </c>
      <c r="J197" s="107">
        <v>246.71883333333335</v>
      </c>
      <c r="K197" s="107">
        <v>42.447066666666672</v>
      </c>
      <c r="L197" s="107">
        <v>0</v>
      </c>
      <c r="M197" s="111">
        <f t="shared" si="167"/>
        <v>7413.5820249999997</v>
      </c>
      <c r="N197" s="107">
        <v>12039.25370833333</v>
      </c>
      <c r="O197" s="107">
        <v>1427.4629583333335</v>
      </c>
      <c r="P197" s="107">
        <v>930.9685833333333</v>
      </c>
      <c r="Q197" s="107">
        <v>200.45000000000002</v>
      </c>
      <c r="R197" s="107">
        <v>0</v>
      </c>
      <c r="S197" s="111">
        <f t="shared" si="175"/>
        <v>14598.135249999998</v>
      </c>
      <c r="T197" s="107">
        <v>0</v>
      </c>
      <c r="U197" s="107">
        <v>190.88037499999999</v>
      </c>
      <c r="V197" s="107">
        <v>1067.2702916666667</v>
      </c>
      <c r="W197" s="112">
        <f t="shared" si="150"/>
        <v>1258.1506666666667</v>
      </c>
      <c r="X197" s="107">
        <v>0</v>
      </c>
      <c r="Y197" s="107">
        <v>515</v>
      </c>
      <c r="Z197" s="107">
        <v>0</v>
      </c>
      <c r="AA197" s="112">
        <f t="shared" si="176"/>
        <v>515</v>
      </c>
      <c r="AC197" s="39">
        <v>3000</v>
      </c>
      <c r="AD197" s="40">
        <f t="shared" si="177"/>
        <v>9039.25370833333</v>
      </c>
      <c r="AE197" s="1">
        <f t="shared" si="178"/>
        <v>10.8</v>
      </c>
      <c r="AF197" s="1">
        <f t="shared" si="179"/>
        <v>18</v>
      </c>
      <c r="AG197" s="41">
        <f t="shared" si="180"/>
        <v>16.205868858378746</v>
      </c>
      <c r="AI197">
        <v>0.9</v>
      </c>
      <c r="AJ197">
        <v>1.5</v>
      </c>
      <c r="AK197" s="32">
        <f t="shared" si="184"/>
        <v>12039.25370833333</v>
      </c>
      <c r="AL197" s="4">
        <f t="shared" si="185"/>
        <v>0.24918488078072981</v>
      </c>
      <c r="AM197" s="4">
        <f t="shared" si="186"/>
        <v>0.75081511921927024</v>
      </c>
    </row>
    <row r="198" spans="3:39" ht="14.25" customHeight="1" x14ac:dyDescent="0.25">
      <c r="C198" s="1">
        <v>2026</v>
      </c>
      <c r="D198" s="52">
        <f>+'Fisico ASIG'!B198</f>
        <v>46082</v>
      </c>
      <c r="E198" s="1">
        <v>6</v>
      </c>
      <c r="F198" s="1" t="s">
        <v>51</v>
      </c>
      <c r="G198" s="5">
        <v>46109</v>
      </c>
      <c r="H198" s="107">
        <v>5502.9134166666663</v>
      </c>
      <c r="I198" s="107">
        <v>1244.7927083333334</v>
      </c>
      <c r="J198" s="107">
        <v>349.14516666666668</v>
      </c>
      <c r="K198" s="107">
        <v>31.752114583333345</v>
      </c>
      <c r="L198" s="107">
        <v>0</v>
      </c>
      <c r="M198" s="111">
        <f t="shared" si="167"/>
        <v>7128.6034062499994</v>
      </c>
      <c r="N198" s="107">
        <v>11760.282999999999</v>
      </c>
      <c r="O198" s="107">
        <v>1438.7359166666668</v>
      </c>
      <c r="P198" s="107">
        <v>931.32508333333328</v>
      </c>
      <c r="Q198" s="107">
        <v>194.20625000000001</v>
      </c>
      <c r="R198" s="107">
        <v>0</v>
      </c>
      <c r="S198" s="111">
        <f t="shared" si="175"/>
        <v>14324.550249999998</v>
      </c>
      <c r="T198" s="107">
        <v>0</v>
      </c>
      <c r="U198" s="107">
        <v>210.49300000000005</v>
      </c>
      <c r="V198" s="107">
        <v>1193.5726666666667</v>
      </c>
      <c r="W198" s="112">
        <f t="shared" si="150"/>
        <v>1404.0656666666669</v>
      </c>
      <c r="X198" s="107">
        <v>0</v>
      </c>
      <c r="Y198" s="107">
        <v>515</v>
      </c>
      <c r="Z198" s="107">
        <v>0</v>
      </c>
      <c r="AA198" s="112">
        <f t="shared" si="176"/>
        <v>515</v>
      </c>
      <c r="AC198" s="39">
        <v>3000</v>
      </c>
      <c r="AD198" s="40">
        <f t="shared" si="177"/>
        <v>8760.2829999999994</v>
      </c>
      <c r="AE198" s="1">
        <f t="shared" si="178"/>
        <v>10.8</v>
      </c>
      <c r="AF198" s="1">
        <f t="shared" si="179"/>
        <v>18</v>
      </c>
      <c r="AG198" s="41">
        <f t="shared" si="180"/>
        <v>16.163309505392004</v>
      </c>
      <c r="AI198">
        <v>0.9</v>
      </c>
      <c r="AJ198">
        <v>1.5</v>
      </c>
      <c r="AK198" s="32">
        <f t="shared" si="184"/>
        <v>11760.282999999999</v>
      </c>
      <c r="AL198" s="4">
        <f t="shared" si="185"/>
        <v>0.25509590202888827</v>
      </c>
      <c r="AM198" s="4">
        <f t="shared" si="186"/>
        <v>0.74490409797111179</v>
      </c>
    </row>
    <row r="199" spans="3:39" ht="14.25" customHeight="1" x14ac:dyDescent="0.25">
      <c r="C199" s="1">
        <v>2026</v>
      </c>
      <c r="D199" s="52">
        <f>+'Fisico ASIG'!B199</f>
        <v>46082</v>
      </c>
      <c r="E199" s="1">
        <v>4</v>
      </c>
      <c r="F199" s="1" t="s">
        <v>52</v>
      </c>
      <c r="G199" s="5">
        <v>46110</v>
      </c>
      <c r="H199" s="107">
        <v>5952.8121250000013</v>
      </c>
      <c r="I199" s="107">
        <v>1245.0770416666664</v>
      </c>
      <c r="J199" s="107">
        <v>324.19945833333333</v>
      </c>
      <c r="K199" s="107">
        <v>48.319847916666667</v>
      </c>
      <c r="L199" s="107">
        <v>0</v>
      </c>
      <c r="M199" s="111">
        <f t="shared" si="167"/>
        <v>7570.408472916668</v>
      </c>
      <c r="N199" s="107">
        <v>11753.628999999995</v>
      </c>
      <c r="O199" s="107">
        <v>1423.8477500000004</v>
      </c>
      <c r="P199" s="107">
        <v>931.21266666666668</v>
      </c>
      <c r="Q199" s="107">
        <v>200.35000000000002</v>
      </c>
      <c r="R199" s="107">
        <v>0</v>
      </c>
      <c r="S199" s="111">
        <f t="shared" si="175"/>
        <v>14309.039416666663</v>
      </c>
      <c r="T199" s="107">
        <v>0</v>
      </c>
      <c r="U199" s="107">
        <v>319.41437500000001</v>
      </c>
      <c r="V199" s="107">
        <v>1198.5729583333332</v>
      </c>
      <c r="W199" s="112">
        <f t="shared" si="150"/>
        <v>1517.9873333333333</v>
      </c>
      <c r="X199" s="107">
        <v>0</v>
      </c>
      <c r="Y199" s="107">
        <v>515</v>
      </c>
      <c r="Z199" s="107">
        <v>0</v>
      </c>
      <c r="AA199" s="112">
        <f t="shared" si="176"/>
        <v>515</v>
      </c>
      <c r="AC199" s="39">
        <v>3000</v>
      </c>
      <c r="AD199" s="40">
        <f t="shared" si="177"/>
        <v>8753.6289999999954</v>
      </c>
      <c r="AE199" s="1">
        <f t="shared" si="178"/>
        <v>10.8</v>
      </c>
      <c r="AF199" s="1">
        <f t="shared" si="179"/>
        <v>18</v>
      </c>
      <c r="AG199" s="41">
        <f t="shared" si="180"/>
        <v>16.162269712613867</v>
      </c>
      <c r="AI199">
        <v>0.9</v>
      </c>
      <c r="AJ199">
        <v>1.5</v>
      </c>
      <c r="AK199" s="32">
        <f t="shared" si="184"/>
        <v>11753.628999999995</v>
      </c>
      <c r="AL199" s="4">
        <f t="shared" si="185"/>
        <v>0.2552403176925187</v>
      </c>
      <c r="AM199" s="4">
        <f t="shared" si="186"/>
        <v>0.74475968230748124</v>
      </c>
    </row>
    <row r="200" spans="3:39" ht="14.25" customHeight="1" x14ac:dyDescent="0.25">
      <c r="C200" s="1">
        <v>2026</v>
      </c>
      <c r="D200" s="52">
        <f>+'Fisico ASIG'!B200</f>
        <v>46082</v>
      </c>
      <c r="E200" s="1">
        <v>16</v>
      </c>
      <c r="F200" s="1" t="s">
        <v>53</v>
      </c>
      <c r="G200" s="5">
        <v>46111</v>
      </c>
      <c r="H200" s="107">
        <v>7408.6531249999989</v>
      </c>
      <c r="I200" s="107">
        <v>1170.6537916666668</v>
      </c>
      <c r="J200" s="107">
        <v>386.83825000000002</v>
      </c>
      <c r="K200" s="107">
        <v>83.817314583333342</v>
      </c>
      <c r="L200" s="107">
        <v>0</v>
      </c>
      <c r="M200" s="111">
        <f t="shared" si="167"/>
        <v>9049.9624812500006</v>
      </c>
      <c r="N200" s="107">
        <v>11261.067833333334</v>
      </c>
      <c r="O200" s="107">
        <v>1287.5112916666669</v>
      </c>
      <c r="P200" s="107">
        <v>930.90941666666663</v>
      </c>
      <c r="Q200" s="107">
        <v>200.4</v>
      </c>
      <c r="R200" s="107">
        <v>0</v>
      </c>
      <c r="S200" s="111">
        <f t="shared" si="175"/>
        <v>13679.888541666669</v>
      </c>
      <c r="T200" s="107">
        <v>0</v>
      </c>
      <c r="U200" s="107">
        <v>348.72629166666667</v>
      </c>
      <c r="V200" s="107">
        <v>1491.2240000000004</v>
      </c>
      <c r="W200" s="112">
        <f t="shared" si="150"/>
        <v>1839.950291666667</v>
      </c>
      <c r="X200" s="107">
        <v>0</v>
      </c>
      <c r="Y200" s="107">
        <v>515</v>
      </c>
      <c r="Z200" s="107">
        <v>0</v>
      </c>
      <c r="AA200" s="112">
        <f t="shared" si="176"/>
        <v>515</v>
      </c>
      <c r="AC200" s="39">
        <v>3000</v>
      </c>
      <c r="AD200" s="40">
        <f t="shared" si="177"/>
        <v>8261.0678333333344</v>
      </c>
      <c r="AE200" s="1">
        <f t="shared" si="178"/>
        <v>10.8</v>
      </c>
      <c r="AF200" s="1">
        <f t="shared" si="179"/>
        <v>18</v>
      </c>
      <c r="AG200" s="41">
        <f t="shared" si="180"/>
        <v>16.081887053724788</v>
      </c>
      <c r="AI200">
        <v>0.9</v>
      </c>
      <c r="AJ200">
        <v>1.5</v>
      </c>
      <c r="AK200" s="32">
        <f t="shared" si="184"/>
        <v>11261.067833333334</v>
      </c>
      <c r="AL200" s="4">
        <f t="shared" si="185"/>
        <v>0.26640457587155697</v>
      </c>
      <c r="AM200" s="4">
        <f t="shared" si="186"/>
        <v>0.73359542412844303</v>
      </c>
    </row>
    <row r="201" spans="3:39" ht="14.25" customHeight="1" x14ac:dyDescent="0.25">
      <c r="C201" s="1">
        <v>2026</v>
      </c>
      <c r="D201" s="52">
        <f>+'Fisico ASIG'!B201</f>
        <v>46082</v>
      </c>
      <c r="E201" s="1">
        <v>16</v>
      </c>
      <c r="F201" s="1" t="s">
        <v>54</v>
      </c>
      <c r="G201" s="5">
        <v>46112</v>
      </c>
      <c r="H201" s="107">
        <v>8313.5665833333333</v>
      </c>
      <c r="I201" s="107">
        <v>1104.5757083333335</v>
      </c>
      <c r="J201" s="107">
        <v>427.42750000000001</v>
      </c>
      <c r="K201" s="107">
        <v>88.41194999999999</v>
      </c>
      <c r="L201" s="107">
        <v>0</v>
      </c>
      <c r="M201" s="111">
        <f t="shared" si="167"/>
        <v>9933.9817416666665</v>
      </c>
      <c r="N201" s="107">
        <v>10879.407666666666</v>
      </c>
      <c r="O201" s="107">
        <v>1275.8597916666668</v>
      </c>
      <c r="P201" s="107">
        <v>936.84545833333334</v>
      </c>
      <c r="Q201" s="107">
        <v>200.3</v>
      </c>
      <c r="R201" s="107">
        <v>0</v>
      </c>
      <c r="S201" s="111">
        <f t="shared" si="175"/>
        <v>13292.412916666664</v>
      </c>
      <c r="T201" s="107">
        <v>0</v>
      </c>
      <c r="U201" s="107">
        <v>248.54558333333333</v>
      </c>
      <c r="V201" s="107">
        <v>1549.9436249999999</v>
      </c>
      <c r="W201" s="112">
        <f t="shared" si="150"/>
        <v>1798.4892083333332</v>
      </c>
      <c r="X201" s="107">
        <v>0</v>
      </c>
      <c r="Y201" s="107">
        <v>515</v>
      </c>
      <c r="Z201" s="107">
        <v>0</v>
      </c>
      <c r="AA201" s="112">
        <f t="shared" si="176"/>
        <v>515</v>
      </c>
      <c r="AC201" s="39">
        <v>3000</v>
      </c>
      <c r="AD201" s="40">
        <f t="shared" ref="AD201:AD208" si="187">+N201-AC201</f>
        <v>7879.407666666666</v>
      </c>
      <c r="AE201" s="1">
        <f t="shared" ref="AE201:AE208" si="188">12*AI201</f>
        <v>10.8</v>
      </c>
      <c r="AF201" s="1">
        <f t="shared" ref="AF201:AF208" si="189">12*AJ201</f>
        <v>18</v>
      </c>
      <c r="AG201" s="41">
        <f t="shared" ref="AG201:AG208" si="190">+(AC201*AE201+AF201*AD201)/SUM(AC201:AD201)</f>
        <v>16.014597792287894</v>
      </c>
      <c r="AI201">
        <v>0.9</v>
      </c>
      <c r="AJ201">
        <v>1.5</v>
      </c>
      <c r="AK201" s="32">
        <f t="shared" ref="AK201:AK208" si="191">+AC201+AD201</f>
        <v>10879.407666666666</v>
      </c>
      <c r="AL201" s="4">
        <f t="shared" ref="AL201:AL208" si="192">+AC201/AK201</f>
        <v>0.27575030662668126</v>
      </c>
      <c r="AM201" s="4">
        <f t="shared" ref="AM201:AM208" si="193">+AD201/AK201</f>
        <v>0.72424969337331879</v>
      </c>
    </row>
    <row r="202" spans="3:39" ht="14.25" customHeight="1" x14ac:dyDescent="0.25">
      <c r="C202" s="1">
        <v>2026</v>
      </c>
      <c r="D202" s="52">
        <f>+'Fisico ASIG'!B202</f>
        <v>46113</v>
      </c>
      <c r="E202" s="1">
        <v>16</v>
      </c>
      <c r="F202" s="1" t="s">
        <v>55</v>
      </c>
      <c r="G202" s="5">
        <v>46113</v>
      </c>
      <c r="H202" s="107">
        <v>8421.797500000006</v>
      </c>
      <c r="I202" s="107">
        <v>1126.3116666666667</v>
      </c>
      <c r="J202" s="107">
        <v>393.07416666666671</v>
      </c>
      <c r="K202" s="107">
        <v>86.726624999999984</v>
      </c>
      <c r="L202" s="107">
        <v>0</v>
      </c>
      <c r="M202" s="111">
        <f t="shared" si="167"/>
        <v>10027.909958333339</v>
      </c>
      <c r="N202" s="107">
        <v>10881.337124999998</v>
      </c>
      <c r="O202" s="107">
        <v>1269.2953750000001</v>
      </c>
      <c r="P202" s="107">
        <v>934.76</v>
      </c>
      <c r="Q202" s="107">
        <v>200.10000000000002</v>
      </c>
      <c r="R202" s="107">
        <v>0</v>
      </c>
      <c r="S202" s="111">
        <f t="shared" si="175"/>
        <v>13285.492499999998</v>
      </c>
      <c r="T202" s="107">
        <v>0</v>
      </c>
      <c r="U202" s="107">
        <v>381.25041666666658</v>
      </c>
      <c r="V202" s="107">
        <v>928.39249999999799</v>
      </c>
      <c r="W202" s="112">
        <f t="shared" si="150"/>
        <v>1309.6429166666646</v>
      </c>
      <c r="X202" s="107">
        <v>0</v>
      </c>
      <c r="Y202" s="107">
        <v>415</v>
      </c>
      <c r="Z202" s="107">
        <v>0</v>
      </c>
      <c r="AA202" s="112">
        <f t="shared" si="176"/>
        <v>415</v>
      </c>
      <c r="AC202" s="39">
        <v>3000</v>
      </c>
      <c r="AD202" s="40">
        <f t="shared" si="187"/>
        <v>7881.3371249999982</v>
      </c>
      <c r="AE202" s="1">
        <f t="shared" si="188"/>
        <v>10.8</v>
      </c>
      <c r="AF202" s="1">
        <f t="shared" si="189"/>
        <v>18</v>
      </c>
      <c r="AG202" s="41">
        <f t="shared" si="190"/>
        <v>16.014949840091457</v>
      </c>
      <c r="AI202">
        <v>0.9</v>
      </c>
      <c r="AJ202">
        <v>1.5</v>
      </c>
      <c r="AK202" s="32">
        <f t="shared" si="191"/>
        <v>10881.337124999998</v>
      </c>
      <c r="AL202" s="4">
        <f t="shared" si="192"/>
        <v>0.27570141109840862</v>
      </c>
      <c r="AM202" s="4">
        <f t="shared" si="193"/>
        <v>0.72429858890159138</v>
      </c>
    </row>
    <row r="203" spans="3:39" ht="14.25" customHeight="1" x14ac:dyDescent="0.25">
      <c r="C203" s="1">
        <v>2026</v>
      </c>
      <c r="D203" s="52">
        <f>+'Fisico ASIG'!B203</f>
        <v>46113</v>
      </c>
      <c r="E203" s="1">
        <v>4</v>
      </c>
      <c r="F203" s="1" t="s">
        <v>56</v>
      </c>
      <c r="G203" s="5">
        <v>46114</v>
      </c>
      <c r="H203" s="107">
        <v>7714.3991666666761</v>
      </c>
      <c r="I203" s="107">
        <v>881.25750000000005</v>
      </c>
      <c r="J203" s="107">
        <v>278.4083333333341</v>
      </c>
      <c r="K203" s="107">
        <v>33.642416666666662</v>
      </c>
      <c r="L203" s="107">
        <v>0</v>
      </c>
      <c r="M203" s="111">
        <f t="shared" si="167"/>
        <v>8907.7074166666789</v>
      </c>
      <c r="N203" s="107">
        <v>11190.104208333329</v>
      </c>
      <c r="O203" s="107">
        <v>982.14025000000015</v>
      </c>
      <c r="P203" s="107">
        <v>932.92166666666662</v>
      </c>
      <c r="Q203" s="107">
        <v>200.25</v>
      </c>
      <c r="R203" s="107">
        <v>0</v>
      </c>
      <c r="S203" s="111">
        <f t="shared" si="175"/>
        <v>13305.416124999996</v>
      </c>
      <c r="T203" s="107">
        <v>0</v>
      </c>
      <c r="U203" s="107">
        <v>272.03416666666664</v>
      </c>
      <c r="V203" s="107">
        <v>749.51208333333307</v>
      </c>
      <c r="W203" s="112">
        <f t="shared" si="150"/>
        <v>1021.5462499999996</v>
      </c>
      <c r="X203" s="107">
        <v>0</v>
      </c>
      <c r="Y203" s="107">
        <v>415</v>
      </c>
      <c r="Z203" s="107">
        <v>0</v>
      </c>
      <c r="AA203" s="112">
        <f t="shared" si="176"/>
        <v>415</v>
      </c>
      <c r="AC203" s="39">
        <v>3000</v>
      </c>
      <c r="AD203" s="40">
        <f t="shared" si="187"/>
        <v>8190.1042083333286</v>
      </c>
      <c r="AE203" s="1">
        <f t="shared" si="188"/>
        <v>10.8</v>
      </c>
      <c r="AF203" s="1">
        <f t="shared" si="189"/>
        <v>18</v>
      </c>
      <c r="AG203" s="41">
        <f t="shared" si="190"/>
        <v>16.069723069789255</v>
      </c>
      <c r="AI203">
        <v>0.9</v>
      </c>
      <c r="AJ203">
        <v>1.5</v>
      </c>
      <c r="AK203" s="32">
        <f t="shared" si="191"/>
        <v>11190.104208333329</v>
      </c>
      <c r="AL203" s="4">
        <f t="shared" si="192"/>
        <v>0.26809401808482575</v>
      </c>
      <c r="AM203" s="4">
        <f t="shared" si="193"/>
        <v>0.73190598191517431</v>
      </c>
    </row>
    <row r="204" spans="3:39" ht="14.25" customHeight="1" x14ac:dyDescent="0.25">
      <c r="C204" s="1">
        <v>2026</v>
      </c>
      <c r="D204" s="52">
        <f>+'Fisico ASIG'!B204</f>
        <v>46113</v>
      </c>
      <c r="E204" s="1">
        <v>4</v>
      </c>
      <c r="F204" s="1" t="s">
        <v>57</v>
      </c>
      <c r="G204" s="5">
        <v>46115</v>
      </c>
      <c r="H204" s="107">
        <v>6842.5579166666721</v>
      </c>
      <c r="I204" s="107">
        <v>803.15583333333291</v>
      </c>
      <c r="J204" s="107">
        <v>281.66499999999996</v>
      </c>
      <c r="K204" s="107">
        <v>21.027208333333334</v>
      </c>
      <c r="L204" s="107">
        <v>0</v>
      </c>
      <c r="M204" s="111">
        <f t="shared" si="167"/>
        <v>7948.4059583333383</v>
      </c>
      <c r="N204" s="107">
        <v>11539.784749999997</v>
      </c>
      <c r="O204" s="107">
        <v>943.79145833333337</v>
      </c>
      <c r="P204" s="107">
        <v>934.8150416666665</v>
      </c>
      <c r="Q204" s="107">
        <v>200.06133541666668</v>
      </c>
      <c r="R204" s="107">
        <v>0</v>
      </c>
      <c r="S204" s="111">
        <f t="shared" si="175"/>
        <v>13618.452585416664</v>
      </c>
      <c r="T204" s="107">
        <v>0</v>
      </c>
      <c r="U204" s="107">
        <v>191.48249999999996</v>
      </c>
      <c r="V204" s="107">
        <v>1545.9099999999992</v>
      </c>
      <c r="W204" s="112">
        <f t="shared" si="150"/>
        <v>1737.392499999999</v>
      </c>
      <c r="X204" s="107">
        <v>0</v>
      </c>
      <c r="Y204" s="107">
        <v>415</v>
      </c>
      <c r="Z204" s="107">
        <v>0</v>
      </c>
      <c r="AA204" s="112">
        <f t="shared" si="176"/>
        <v>415</v>
      </c>
      <c r="AC204" s="39">
        <v>3000</v>
      </c>
      <c r="AD204" s="40">
        <f t="shared" si="187"/>
        <v>8539.7847499999971</v>
      </c>
      <c r="AE204" s="1">
        <f t="shared" si="188"/>
        <v>10.8</v>
      </c>
      <c r="AF204" s="1">
        <f t="shared" si="189"/>
        <v>18</v>
      </c>
      <c r="AG204" s="41">
        <f t="shared" si="190"/>
        <v>16.128214653223925</v>
      </c>
      <c r="AI204">
        <v>0.9</v>
      </c>
      <c r="AJ204">
        <v>1.5</v>
      </c>
      <c r="AK204" s="32">
        <f t="shared" si="191"/>
        <v>11539.784749999997</v>
      </c>
      <c r="AL204" s="4">
        <f t="shared" si="192"/>
        <v>0.25997018705223257</v>
      </c>
      <c r="AM204" s="4">
        <f t="shared" si="193"/>
        <v>0.74002981294776748</v>
      </c>
    </row>
    <row r="205" spans="3:39" ht="14.25" customHeight="1" x14ac:dyDescent="0.25">
      <c r="C205" s="1">
        <v>2026</v>
      </c>
      <c r="D205" s="52">
        <f>+'Fisico ASIG'!B205</f>
        <v>46113</v>
      </c>
      <c r="E205" s="1">
        <v>6</v>
      </c>
      <c r="F205" s="1" t="s">
        <v>51</v>
      </c>
      <c r="G205" s="5">
        <v>46116</v>
      </c>
      <c r="H205" s="107">
        <v>6160.6133333333346</v>
      </c>
      <c r="I205" s="107">
        <v>582.50375000000008</v>
      </c>
      <c r="J205" s="107">
        <v>275.24750000000012</v>
      </c>
      <c r="K205" s="107">
        <v>46.286812500000003</v>
      </c>
      <c r="L205" s="107">
        <v>0</v>
      </c>
      <c r="M205" s="111">
        <f t="shared" si="167"/>
        <v>7064.6513958333353</v>
      </c>
      <c r="N205" s="107">
        <v>11472.50083333333</v>
      </c>
      <c r="O205" s="107">
        <v>719.73554166666668</v>
      </c>
      <c r="P205" s="107">
        <v>938.04591666666659</v>
      </c>
      <c r="Q205" s="107">
        <v>199.95000000000002</v>
      </c>
      <c r="R205" s="107">
        <v>0</v>
      </c>
      <c r="S205" s="111">
        <f t="shared" si="175"/>
        <v>13330.232291666664</v>
      </c>
      <c r="T205" s="107">
        <v>0</v>
      </c>
      <c r="U205" s="107">
        <v>192.23249999999999</v>
      </c>
      <c r="V205" s="107">
        <v>1028.4574999999995</v>
      </c>
      <c r="W205" s="112">
        <f t="shared" si="150"/>
        <v>1220.6899999999996</v>
      </c>
      <c r="X205" s="107">
        <v>0</v>
      </c>
      <c r="Y205" s="107">
        <v>415</v>
      </c>
      <c r="Z205" s="107">
        <v>0</v>
      </c>
      <c r="AA205" s="112">
        <f t="shared" si="176"/>
        <v>415</v>
      </c>
      <c r="AC205" s="39">
        <v>3000</v>
      </c>
      <c r="AD205" s="40">
        <f t="shared" si="187"/>
        <v>8472.5008333333299</v>
      </c>
      <c r="AE205" s="1">
        <f t="shared" si="188"/>
        <v>10.8</v>
      </c>
      <c r="AF205" s="1">
        <f t="shared" si="189"/>
        <v>18</v>
      </c>
      <c r="AG205" s="41">
        <f t="shared" si="190"/>
        <v>16.117237007537078</v>
      </c>
      <c r="AI205">
        <v>0.9</v>
      </c>
      <c r="AJ205">
        <v>1.5</v>
      </c>
      <c r="AK205" s="32">
        <f t="shared" si="191"/>
        <v>11472.50083333333</v>
      </c>
      <c r="AL205" s="4">
        <f t="shared" si="192"/>
        <v>0.2614948600642944</v>
      </c>
      <c r="AM205" s="4">
        <f t="shared" si="193"/>
        <v>0.73850513993570555</v>
      </c>
    </row>
    <row r="206" spans="3:39" ht="14.25" customHeight="1" x14ac:dyDescent="0.25">
      <c r="C206" s="1">
        <v>2026</v>
      </c>
      <c r="D206" s="52">
        <f>+'Fisico ASIG'!B206</f>
        <v>46113</v>
      </c>
      <c r="E206" s="1">
        <v>4</v>
      </c>
      <c r="F206" s="1" t="s">
        <v>52</v>
      </c>
      <c r="G206" s="5">
        <v>46117</v>
      </c>
      <c r="H206" s="107">
        <v>4662.3279166666716</v>
      </c>
      <c r="I206" s="107">
        <v>611.86833333333323</v>
      </c>
      <c r="J206" s="107">
        <v>280.16625000000016</v>
      </c>
      <c r="K206" s="107">
        <v>62.13397916666667</v>
      </c>
      <c r="L206" s="107">
        <v>0</v>
      </c>
      <c r="M206" s="111">
        <f t="shared" si="167"/>
        <v>5616.4964791666716</v>
      </c>
      <c r="N206" s="107">
        <v>11657.143249999994</v>
      </c>
      <c r="O206" s="107">
        <v>955.62529166666673</v>
      </c>
      <c r="P206" s="107">
        <v>940.42804166666667</v>
      </c>
      <c r="Q206" s="107">
        <v>199.95000000000002</v>
      </c>
      <c r="R206" s="107">
        <v>0</v>
      </c>
      <c r="S206" s="111">
        <f t="shared" si="175"/>
        <v>13753.146583333328</v>
      </c>
      <c r="T206" s="107">
        <v>0</v>
      </c>
      <c r="U206" s="107">
        <v>253.78333333333339</v>
      </c>
      <c r="V206" s="107">
        <v>803.624583333332</v>
      </c>
      <c r="W206" s="112">
        <f t="shared" si="150"/>
        <v>1057.4079166666654</v>
      </c>
      <c r="X206" s="107">
        <v>0</v>
      </c>
      <c r="Y206" s="107">
        <v>415</v>
      </c>
      <c r="Z206" s="107">
        <v>0</v>
      </c>
      <c r="AA206" s="112">
        <f t="shared" si="176"/>
        <v>415</v>
      </c>
      <c r="AC206" s="39">
        <v>3000</v>
      </c>
      <c r="AD206" s="40">
        <f t="shared" si="187"/>
        <v>8657.1432499999937</v>
      </c>
      <c r="AE206" s="1">
        <f t="shared" si="188"/>
        <v>10.8</v>
      </c>
      <c r="AF206" s="1">
        <f t="shared" si="189"/>
        <v>18</v>
      </c>
      <c r="AG206" s="41">
        <f t="shared" si="190"/>
        <v>16.147058885975344</v>
      </c>
      <c r="AI206">
        <v>0.9</v>
      </c>
      <c r="AJ206">
        <v>1.5</v>
      </c>
      <c r="AK206" s="32">
        <f t="shared" si="191"/>
        <v>11657.143249999994</v>
      </c>
      <c r="AL206" s="4">
        <f t="shared" si="192"/>
        <v>0.25735293250342461</v>
      </c>
      <c r="AM206" s="4">
        <f t="shared" si="193"/>
        <v>0.74264706749657539</v>
      </c>
    </row>
    <row r="207" spans="3:39" ht="14.25" customHeight="1" x14ac:dyDescent="0.25">
      <c r="C207" s="1">
        <v>2026</v>
      </c>
      <c r="D207" s="52">
        <f>+'Fisico ASIG'!B207</f>
        <v>46113</v>
      </c>
      <c r="E207" s="1">
        <v>16</v>
      </c>
      <c r="F207" s="1" t="s">
        <v>53</v>
      </c>
      <c r="G207" s="5">
        <v>46118</v>
      </c>
      <c r="H207" s="107">
        <v>5766.1083333333345</v>
      </c>
      <c r="I207" s="107">
        <v>685.90041666666673</v>
      </c>
      <c r="J207" s="107">
        <v>364.83541666666696</v>
      </c>
      <c r="K207" s="107">
        <v>57.942999999999998</v>
      </c>
      <c r="L207" s="107">
        <v>0</v>
      </c>
      <c r="M207" s="111">
        <f t="shared" si="167"/>
        <v>6874.7871666666679</v>
      </c>
      <c r="N207" s="107">
        <v>11240.129083333331</v>
      </c>
      <c r="O207" s="107">
        <v>1103.046291666667</v>
      </c>
      <c r="P207" s="107">
        <v>940.60516666666661</v>
      </c>
      <c r="Q207" s="107">
        <v>199.95000000000002</v>
      </c>
      <c r="R207" s="107">
        <v>0</v>
      </c>
      <c r="S207" s="111">
        <f t="shared" si="175"/>
        <v>13483.730541666666</v>
      </c>
      <c r="T207" s="107">
        <v>0</v>
      </c>
      <c r="U207" s="107">
        <v>361.54208333333332</v>
      </c>
      <c r="V207" s="107">
        <v>816.907499999999</v>
      </c>
      <c r="W207" s="112">
        <f t="shared" si="150"/>
        <v>1178.4495833333324</v>
      </c>
      <c r="X207" s="107">
        <v>0</v>
      </c>
      <c r="Y207" s="107">
        <v>415</v>
      </c>
      <c r="Z207" s="107">
        <v>0</v>
      </c>
      <c r="AA207" s="112">
        <f t="shared" si="176"/>
        <v>415</v>
      </c>
      <c r="AC207" s="39">
        <v>3000</v>
      </c>
      <c r="AD207" s="40">
        <f t="shared" si="187"/>
        <v>8240.1290833333314</v>
      </c>
      <c r="AE207" s="1">
        <f t="shared" si="188"/>
        <v>10.8</v>
      </c>
      <c r="AF207" s="1">
        <f t="shared" si="189"/>
        <v>18</v>
      </c>
      <c r="AG207" s="41">
        <f t="shared" si="190"/>
        <v>16.078313884132513</v>
      </c>
      <c r="AI207">
        <v>0.9</v>
      </c>
      <c r="AJ207">
        <v>1.5</v>
      </c>
      <c r="AK207" s="32">
        <f t="shared" si="191"/>
        <v>11240.129083333331</v>
      </c>
      <c r="AL207" s="4">
        <f t="shared" si="192"/>
        <v>0.26690084942603975</v>
      </c>
      <c r="AM207" s="4">
        <f t="shared" si="193"/>
        <v>0.73309915057396025</v>
      </c>
    </row>
    <row r="208" spans="3:39" ht="14.25" customHeight="1" x14ac:dyDescent="0.25">
      <c r="C208" s="1">
        <v>2026</v>
      </c>
      <c r="D208" s="52">
        <f>+'Fisico ASIG'!B208</f>
        <v>46113</v>
      </c>
      <c r="E208" s="1">
        <v>16</v>
      </c>
      <c r="F208" s="1" t="s">
        <v>54</v>
      </c>
      <c r="G208" s="5">
        <v>46119</v>
      </c>
      <c r="H208" s="107">
        <v>6067.1954166666592</v>
      </c>
      <c r="I208" s="107">
        <v>889.7891666666668</v>
      </c>
      <c r="J208" s="107">
        <v>380.2558333333331</v>
      </c>
      <c r="K208" s="107">
        <v>26.276708333333335</v>
      </c>
      <c r="L208" s="107">
        <v>0</v>
      </c>
      <c r="M208" s="111">
        <f t="shared" si="167"/>
        <v>7363.5171249999921</v>
      </c>
      <c r="N208" s="107">
        <v>11562.988333333327</v>
      </c>
      <c r="O208" s="107">
        <v>1099.015333333333</v>
      </c>
      <c r="P208" s="107">
        <v>937.98233333333326</v>
      </c>
      <c r="Q208" s="107">
        <v>199.95000000000002</v>
      </c>
      <c r="R208" s="107">
        <v>0</v>
      </c>
      <c r="S208" s="111">
        <f t="shared" si="175"/>
        <v>13799.935999999994</v>
      </c>
      <c r="T208" s="107">
        <v>0</v>
      </c>
      <c r="U208" s="107">
        <v>295.23791666666665</v>
      </c>
      <c r="V208" s="107">
        <v>964.82458333333443</v>
      </c>
      <c r="W208" s="112">
        <f t="shared" si="150"/>
        <v>1260.0625000000011</v>
      </c>
      <c r="X208" s="107">
        <v>0</v>
      </c>
      <c r="Y208" s="107">
        <v>415</v>
      </c>
      <c r="Z208" s="107">
        <v>0</v>
      </c>
      <c r="AA208" s="112">
        <f t="shared" si="176"/>
        <v>415</v>
      </c>
      <c r="AC208" s="39">
        <v>3000</v>
      </c>
      <c r="AD208" s="40">
        <f t="shared" si="187"/>
        <v>8562.9883333333273</v>
      </c>
      <c r="AE208" s="1">
        <f t="shared" si="188"/>
        <v>10.8</v>
      </c>
      <c r="AF208" s="1">
        <f t="shared" si="189"/>
        <v>18</v>
      </c>
      <c r="AG208" s="41">
        <f t="shared" si="190"/>
        <v>16.131970786675243</v>
      </c>
      <c r="AI208">
        <v>0.9</v>
      </c>
      <c r="AJ208">
        <v>1.5</v>
      </c>
      <c r="AK208" s="32">
        <f t="shared" si="191"/>
        <v>11562.988333333327</v>
      </c>
      <c r="AL208" s="4">
        <f t="shared" si="192"/>
        <v>0.25944850185066071</v>
      </c>
      <c r="AM208" s="4">
        <f t="shared" si="193"/>
        <v>0.74055149814933929</v>
      </c>
    </row>
    <row r="209" spans="3:39" ht="14.25" customHeight="1" x14ac:dyDescent="0.25">
      <c r="C209" s="1">
        <v>2026</v>
      </c>
      <c r="D209" s="52">
        <f>+'Fisico ASIG'!B209</f>
        <v>46113</v>
      </c>
      <c r="E209" s="1">
        <v>16</v>
      </c>
      <c r="F209" s="1" t="s">
        <v>55</v>
      </c>
      <c r="G209" s="5">
        <v>46120</v>
      </c>
      <c r="H209" s="107">
        <v>5718.4804166666681</v>
      </c>
      <c r="I209" s="107">
        <v>1034.5387500000004</v>
      </c>
      <c r="J209" s="107">
        <v>382.40041666666662</v>
      </c>
      <c r="K209" s="107">
        <v>13.689750000000002</v>
      </c>
      <c r="L209" s="107">
        <v>0</v>
      </c>
      <c r="M209" s="111">
        <f t="shared" si="167"/>
        <v>7149.1093333333347</v>
      </c>
      <c r="N209" s="107">
        <v>11653.381999999994</v>
      </c>
      <c r="O209" s="107">
        <v>1350.8825416666666</v>
      </c>
      <c r="P209" s="107">
        <v>940.37524999999994</v>
      </c>
      <c r="Q209" s="107">
        <v>199.95000000000002</v>
      </c>
      <c r="R209" s="107">
        <v>0</v>
      </c>
      <c r="S209" s="111">
        <f t="shared" si="175"/>
        <v>14144.58979166666</v>
      </c>
      <c r="T209" s="107">
        <v>0</v>
      </c>
      <c r="U209" s="107">
        <v>189.87416666666664</v>
      </c>
      <c r="V209" s="107">
        <v>798.7649999999993</v>
      </c>
      <c r="W209" s="112">
        <f t="shared" si="150"/>
        <v>988.63916666666591</v>
      </c>
      <c r="X209" s="107">
        <v>0</v>
      </c>
      <c r="Y209" s="107">
        <v>415</v>
      </c>
      <c r="Z209" s="107">
        <v>0</v>
      </c>
      <c r="AA209" s="112">
        <f t="shared" si="176"/>
        <v>415</v>
      </c>
      <c r="AC209" s="39">
        <v>3000</v>
      </c>
      <c r="AD209" s="40">
        <f t="shared" ref="AD209:AD212" si="194">+N209-AC209</f>
        <v>8653.3819999999942</v>
      </c>
      <c r="AE209" s="1">
        <f t="shared" ref="AE209:AE212" si="195">12*AI209</f>
        <v>10.8</v>
      </c>
      <c r="AF209" s="1">
        <f t="shared" ref="AF209:AF212" si="196">12*AJ209</f>
        <v>18</v>
      </c>
      <c r="AG209" s="41">
        <f t="shared" ref="AG209:AG212" si="197">+(AC209*AE209+AF209*AD209)/SUM(AC209:AD209)</f>
        <v>16.146460829997679</v>
      </c>
      <c r="AI209">
        <v>0.9</v>
      </c>
      <c r="AJ209">
        <v>1.5</v>
      </c>
      <c r="AK209" s="32">
        <f t="shared" ref="AK209:AK212" si="198">+AC209+AD209</f>
        <v>11653.381999999994</v>
      </c>
      <c r="AL209" s="4">
        <f t="shared" ref="AL209:AL212" si="199">+AC209/AK209</f>
        <v>0.25743599583365595</v>
      </c>
      <c r="AM209" s="4">
        <f t="shared" ref="AM209:AM212" si="200">+AD209/AK209</f>
        <v>0.74256400416634405</v>
      </c>
    </row>
    <row r="210" spans="3:39" ht="14.25" customHeight="1" x14ac:dyDescent="0.25">
      <c r="C210" s="1">
        <v>2026</v>
      </c>
      <c r="D210" s="52">
        <f>+'Fisico ASIG'!B210</f>
        <v>46113</v>
      </c>
      <c r="E210" s="1">
        <v>16</v>
      </c>
      <c r="F210" s="1" t="s">
        <v>56</v>
      </c>
      <c r="G210" s="5">
        <v>46121</v>
      </c>
      <c r="H210" s="107">
        <v>5426.5358333333406</v>
      </c>
      <c r="I210" s="107">
        <v>1009.5408333333335</v>
      </c>
      <c r="J210" s="107">
        <v>401.2466666666665</v>
      </c>
      <c r="K210" s="107">
        <v>12.071458333333334</v>
      </c>
      <c r="L210" s="107">
        <v>0</v>
      </c>
      <c r="M210" s="111">
        <f t="shared" si="167"/>
        <v>6849.3947916666739</v>
      </c>
      <c r="N210" s="107">
        <v>11896.747166666662</v>
      </c>
      <c r="O210" s="107">
        <v>1359.7571250000001</v>
      </c>
      <c r="P210" s="107">
        <v>940.45508333333328</v>
      </c>
      <c r="Q210" s="107">
        <v>199.5</v>
      </c>
      <c r="R210" s="107">
        <v>0</v>
      </c>
      <c r="S210" s="111">
        <f t="shared" si="175"/>
        <v>14396.459374999995</v>
      </c>
      <c r="T210" s="107">
        <v>0</v>
      </c>
      <c r="U210" s="107">
        <v>189.0020833333333</v>
      </c>
      <c r="V210" s="107">
        <v>865.76458333333142</v>
      </c>
      <c r="W210" s="112">
        <f t="shared" si="150"/>
        <v>1054.7666666666646</v>
      </c>
      <c r="X210" s="107">
        <v>0</v>
      </c>
      <c r="Y210" s="107">
        <v>415</v>
      </c>
      <c r="Z210" s="107">
        <v>0</v>
      </c>
      <c r="AA210" s="112">
        <f t="shared" si="176"/>
        <v>415</v>
      </c>
      <c r="AC210" s="39">
        <v>3000</v>
      </c>
      <c r="AD210" s="40">
        <f t="shared" si="194"/>
        <v>8896.7471666666625</v>
      </c>
      <c r="AE210" s="1">
        <f t="shared" si="195"/>
        <v>10.8</v>
      </c>
      <c r="AF210" s="1">
        <f t="shared" si="196"/>
        <v>18</v>
      </c>
      <c r="AG210" s="41">
        <f t="shared" si="197"/>
        <v>16.184377654043054</v>
      </c>
      <c r="AI210">
        <v>0.9</v>
      </c>
      <c r="AJ210">
        <v>1.5</v>
      </c>
      <c r="AK210" s="32">
        <f t="shared" si="198"/>
        <v>11896.747166666662</v>
      </c>
      <c r="AL210" s="4">
        <f t="shared" si="199"/>
        <v>0.25216977027179832</v>
      </c>
      <c r="AM210" s="4">
        <f t="shared" si="200"/>
        <v>0.74783022972820168</v>
      </c>
    </row>
    <row r="211" spans="3:39" ht="14.25" customHeight="1" x14ac:dyDescent="0.25">
      <c r="C211" s="1">
        <v>2026</v>
      </c>
      <c r="D211" s="52">
        <f>+'Fisico ASIG'!B211</f>
        <v>46113</v>
      </c>
      <c r="E211" s="1">
        <v>16</v>
      </c>
      <c r="F211" s="1" t="s">
        <v>57</v>
      </c>
      <c r="G211" s="5">
        <v>46122</v>
      </c>
      <c r="H211" s="107">
        <v>4796.497916666659</v>
      </c>
      <c r="I211" s="107">
        <v>944.72541666666632</v>
      </c>
      <c r="J211" s="107">
        <v>407.64999999999964</v>
      </c>
      <c r="K211" s="107">
        <v>12.157145833333335</v>
      </c>
      <c r="L211" s="107">
        <v>0</v>
      </c>
      <c r="M211" s="111">
        <f t="shared" si="167"/>
        <v>6161.0304791666586</v>
      </c>
      <c r="N211" s="107">
        <v>11852.717624999997</v>
      </c>
      <c r="O211" s="107">
        <v>1356.9361666666668</v>
      </c>
      <c r="P211" s="107">
        <v>940.27204166666661</v>
      </c>
      <c r="Q211" s="107">
        <v>199.95000000000002</v>
      </c>
      <c r="R211" s="107">
        <v>0</v>
      </c>
      <c r="S211" s="111">
        <f t="shared" si="175"/>
        <v>14349.875833333332</v>
      </c>
      <c r="T211" s="107">
        <v>0</v>
      </c>
      <c r="U211" s="107">
        <v>187.50625000000002</v>
      </c>
      <c r="V211" s="107">
        <v>1400.1362499999984</v>
      </c>
      <c r="W211" s="112">
        <f t="shared" si="150"/>
        <v>1587.6424999999986</v>
      </c>
      <c r="X211" s="107">
        <v>0</v>
      </c>
      <c r="Y211" s="107">
        <v>415.06958333333336</v>
      </c>
      <c r="Z211" s="107">
        <v>0</v>
      </c>
      <c r="AA211" s="112">
        <f t="shared" si="176"/>
        <v>415.06958333333336</v>
      </c>
      <c r="AC211" s="39">
        <v>3000</v>
      </c>
      <c r="AD211" s="40">
        <f t="shared" si="194"/>
        <v>8852.7176249999975</v>
      </c>
      <c r="AE211" s="1">
        <f t="shared" si="195"/>
        <v>10.8</v>
      </c>
      <c r="AF211" s="1">
        <f t="shared" si="196"/>
        <v>18</v>
      </c>
      <c r="AG211" s="41">
        <f t="shared" si="197"/>
        <v>16.177633123188489</v>
      </c>
      <c r="AI211">
        <v>0.9</v>
      </c>
      <c r="AJ211">
        <v>1.5</v>
      </c>
      <c r="AK211" s="32">
        <f t="shared" si="198"/>
        <v>11852.717624999997</v>
      </c>
      <c r="AL211" s="4">
        <f t="shared" si="199"/>
        <v>0.25310651066826545</v>
      </c>
      <c r="AM211" s="4">
        <f t="shared" si="200"/>
        <v>0.74689348933173449</v>
      </c>
    </row>
    <row r="212" spans="3:39" ht="14.25" customHeight="1" x14ac:dyDescent="0.25">
      <c r="C212" s="1">
        <v>2026</v>
      </c>
      <c r="D212" s="52">
        <f>+'Fisico ASIG'!B212</f>
        <v>46113</v>
      </c>
      <c r="E212" s="1">
        <v>6</v>
      </c>
      <c r="F212" s="1" t="s">
        <v>51</v>
      </c>
      <c r="G212" s="5">
        <v>46123</v>
      </c>
      <c r="H212" s="107">
        <v>3086.5654166666714</v>
      </c>
      <c r="I212" s="107">
        <v>999.95704166666667</v>
      </c>
      <c r="J212" s="107">
        <v>306.10195833333319</v>
      </c>
      <c r="K212" s="107">
        <v>11.952918750000004</v>
      </c>
      <c r="L212" s="107">
        <v>0</v>
      </c>
      <c r="M212" s="111">
        <f t="shared" si="167"/>
        <v>4404.5773354166713</v>
      </c>
      <c r="N212" s="107">
        <v>10776.768458333327</v>
      </c>
      <c r="O212" s="107">
        <v>1352.0270416666667</v>
      </c>
      <c r="P212" s="107">
        <v>938.08950000000004</v>
      </c>
      <c r="Q212" s="107">
        <v>199.9</v>
      </c>
      <c r="R212" s="107">
        <v>0</v>
      </c>
      <c r="S212" s="111">
        <f t="shared" si="175"/>
        <v>13266.784999999993</v>
      </c>
      <c r="T212" s="107">
        <v>0</v>
      </c>
      <c r="U212" s="107">
        <v>187.83250000000007</v>
      </c>
      <c r="V212" s="107">
        <v>1767.9202916666663</v>
      </c>
      <c r="W212" s="112">
        <f t="shared" si="150"/>
        <v>1955.7527916666663</v>
      </c>
      <c r="X212" s="107">
        <v>0</v>
      </c>
      <c r="Y212" s="107">
        <v>415</v>
      </c>
      <c r="Z212" s="107">
        <v>0</v>
      </c>
      <c r="AA212" s="112">
        <f t="shared" si="176"/>
        <v>415</v>
      </c>
      <c r="AC212" s="39">
        <v>3000</v>
      </c>
      <c r="AD212" s="40">
        <f t="shared" si="194"/>
        <v>7776.7684583333266</v>
      </c>
      <c r="AE212" s="1">
        <f t="shared" si="195"/>
        <v>10.8</v>
      </c>
      <c r="AF212" s="1">
        <f t="shared" si="196"/>
        <v>18</v>
      </c>
      <c r="AG212" s="41">
        <f t="shared" si="197"/>
        <v>15.995688588512133</v>
      </c>
      <c r="AI212">
        <v>0.9</v>
      </c>
      <c r="AJ212">
        <v>1.5</v>
      </c>
      <c r="AK212" s="32">
        <f t="shared" si="198"/>
        <v>10776.768458333327</v>
      </c>
      <c r="AL212" s="4">
        <f t="shared" si="199"/>
        <v>0.27837658492887046</v>
      </c>
      <c r="AM212" s="4">
        <f t="shared" si="200"/>
        <v>0.72162341507112948</v>
      </c>
    </row>
    <row r="213" spans="3:39" ht="14.25" customHeight="1" x14ac:dyDescent="0.25">
      <c r="C213" s="1">
        <v>2026</v>
      </c>
      <c r="D213" s="52">
        <f>+'Fisico ASIG'!B213</f>
        <v>46113</v>
      </c>
      <c r="E213" s="1">
        <v>4</v>
      </c>
      <c r="F213" s="1" t="s">
        <v>52</v>
      </c>
      <c r="G213" s="5">
        <v>46124</v>
      </c>
      <c r="H213" s="107">
        <v>3148.5134583333352</v>
      </c>
      <c r="I213" s="107">
        <v>952.01233333333391</v>
      </c>
      <c r="J213" s="107">
        <v>297.82887500000032</v>
      </c>
      <c r="K213" s="107">
        <v>20.02520625</v>
      </c>
      <c r="L213" s="107">
        <v>0</v>
      </c>
      <c r="M213" s="111">
        <f t="shared" si="167"/>
        <v>4418.3798729166692</v>
      </c>
      <c r="N213" s="107">
        <v>10715.268124999995</v>
      </c>
      <c r="O213" s="107">
        <v>1340.3366249999999</v>
      </c>
      <c r="P213" s="107">
        <v>942.0809999999999</v>
      </c>
      <c r="Q213" s="107">
        <v>199.9</v>
      </c>
      <c r="R213" s="107">
        <v>0</v>
      </c>
      <c r="S213" s="111">
        <f t="shared" si="175"/>
        <v>13197.585749999995</v>
      </c>
      <c r="T213" s="107">
        <v>0</v>
      </c>
      <c r="U213" s="107">
        <v>189.03187499999999</v>
      </c>
      <c r="V213" s="107">
        <v>1232.3461249999989</v>
      </c>
      <c r="W213" s="112">
        <f t="shared" ref="W213:W230" si="201">SUM(T213:V213)</f>
        <v>1421.3779999999988</v>
      </c>
      <c r="X213" s="107">
        <v>0</v>
      </c>
      <c r="Y213" s="107">
        <v>415</v>
      </c>
      <c r="Z213" s="107">
        <v>0</v>
      </c>
      <c r="AA213" s="112">
        <f t="shared" si="176"/>
        <v>415</v>
      </c>
      <c r="AC213" s="39">
        <v>3000</v>
      </c>
      <c r="AD213" s="40">
        <f t="shared" ref="AD213:AD220" si="202">+N213-AC213</f>
        <v>7715.2681249999951</v>
      </c>
      <c r="AE213" s="1">
        <f t="shared" ref="AE213:AE220" si="203">12*AI213</f>
        <v>10.8</v>
      </c>
      <c r="AF213" s="1">
        <f t="shared" ref="AF213:AF220" si="204">12*AJ213</f>
        <v>18</v>
      </c>
      <c r="AG213" s="41">
        <f t="shared" ref="AG213:AG220" si="205">+(AC213*AE213+AF213*AD213)/SUM(AC213:AD213)</f>
        <v>15.984184833452312</v>
      </c>
      <c r="AI213">
        <v>0.9</v>
      </c>
      <c r="AJ213">
        <v>1.5</v>
      </c>
      <c r="AK213" s="32">
        <f t="shared" ref="AK213:AK220" si="206">+AC213+AD213</f>
        <v>10715.268124999995</v>
      </c>
      <c r="AL213" s="4">
        <f t="shared" ref="AL213:AL220" si="207">+AC213/AK213</f>
        <v>0.27997432868717892</v>
      </c>
      <c r="AM213" s="4">
        <f t="shared" ref="AM213:AM220" si="208">+AD213/AK213</f>
        <v>0.72002567131282103</v>
      </c>
    </row>
    <row r="214" spans="3:39" ht="14.25" customHeight="1" x14ac:dyDescent="0.25">
      <c r="C214" s="1">
        <v>2026</v>
      </c>
      <c r="D214" s="52">
        <f>+'Fisico ASIG'!B214</f>
        <v>46113</v>
      </c>
      <c r="E214" s="1">
        <v>16</v>
      </c>
      <c r="F214" s="1" t="s">
        <v>53</v>
      </c>
      <c r="G214" s="5">
        <v>46125</v>
      </c>
      <c r="H214" s="107">
        <v>3584.2476666666694</v>
      </c>
      <c r="I214" s="107">
        <v>1070.1498333333336</v>
      </c>
      <c r="J214" s="107">
        <v>276.75616666666645</v>
      </c>
      <c r="K214" s="107">
        <v>29.145172916666667</v>
      </c>
      <c r="L214" s="107">
        <v>0</v>
      </c>
      <c r="M214" s="111">
        <f t="shared" si="167"/>
        <v>4960.2988395833354</v>
      </c>
      <c r="N214" s="107">
        <v>10867.560083333328</v>
      </c>
      <c r="O214" s="107">
        <v>1336.1337916666666</v>
      </c>
      <c r="P214" s="107">
        <v>942.91166666666663</v>
      </c>
      <c r="Q214" s="107">
        <v>190.96822916666667</v>
      </c>
      <c r="R214" s="107">
        <v>0</v>
      </c>
      <c r="S214" s="111">
        <f t="shared" si="175"/>
        <v>13337.573770833329</v>
      </c>
      <c r="T214" s="107">
        <v>0</v>
      </c>
      <c r="U214" s="107">
        <v>190.37125000000003</v>
      </c>
      <c r="V214" s="107">
        <v>1318.8564583333334</v>
      </c>
      <c r="W214" s="112">
        <f t="shared" si="201"/>
        <v>1509.2277083333333</v>
      </c>
      <c r="X214" s="107">
        <v>0</v>
      </c>
      <c r="Y214" s="107">
        <v>415</v>
      </c>
      <c r="Z214" s="107">
        <v>0</v>
      </c>
      <c r="AA214" s="112">
        <f t="shared" si="176"/>
        <v>415</v>
      </c>
      <c r="AC214" s="39">
        <v>3000</v>
      </c>
      <c r="AD214" s="40">
        <f t="shared" si="202"/>
        <v>7867.5600833333283</v>
      </c>
      <c r="AE214" s="1">
        <f t="shared" si="203"/>
        <v>10.8</v>
      </c>
      <c r="AF214" s="1">
        <f t="shared" si="204"/>
        <v>18</v>
      </c>
      <c r="AG214" s="41">
        <f t="shared" si="205"/>
        <v>16.012433348942224</v>
      </c>
      <c r="AI214">
        <v>0.9</v>
      </c>
      <c r="AJ214">
        <v>1.5</v>
      </c>
      <c r="AK214" s="32">
        <f t="shared" si="206"/>
        <v>10867.560083333328</v>
      </c>
      <c r="AL214" s="4">
        <f t="shared" si="207"/>
        <v>0.27605092375802459</v>
      </c>
      <c r="AM214" s="4">
        <f t="shared" si="208"/>
        <v>0.72394907624197535</v>
      </c>
    </row>
    <row r="215" spans="3:39" ht="14.25" customHeight="1" x14ac:dyDescent="0.25">
      <c r="C215" s="1">
        <v>2026</v>
      </c>
      <c r="D215" s="52">
        <f>+'Fisico ASIG'!B215</f>
        <v>46113</v>
      </c>
      <c r="E215" s="1">
        <v>16</v>
      </c>
      <c r="F215" s="1" t="s">
        <v>54</v>
      </c>
      <c r="G215" s="5">
        <v>46126</v>
      </c>
      <c r="H215" s="107">
        <v>3984.8118749999999</v>
      </c>
      <c r="I215" s="107">
        <v>1062.6291666666668</v>
      </c>
      <c r="J215" s="107">
        <v>283.71829166666646</v>
      </c>
      <c r="K215" s="107">
        <v>18.892010416666668</v>
      </c>
      <c r="L215" s="107">
        <v>0</v>
      </c>
      <c r="M215" s="111">
        <f t="shared" si="167"/>
        <v>5350.0513437499994</v>
      </c>
      <c r="N215" s="107">
        <v>11043.420791666658</v>
      </c>
      <c r="O215" s="107">
        <v>1400.7189583333334</v>
      </c>
      <c r="P215" s="107">
        <v>942.96970833333319</v>
      </c>
      <c r="Q215" s="107">
        <v>194.45000000000002</v>
      </c>
      <c r="R215" s="107">
        <v>0</v>
      </c>
      <c r="S215" s="111">
        <f t="shared" si="175"/>
        <v>13581.559458333326</v>
      </c>
      <c r="T215" s="107">
        <v>0</v>
      </c>
      <c r="U215" s="107">
        <v>189.06354166666668</v>
      </c>
      <c r="V215" s="107">
        <v>1436.272833333335</v>
      </c>
      <c r="W215" s="112">
        <f t="shared" si="201"/>
        <v>1625.3363750000017</v>
      </c>
      <c r="X215" s="107">
        <v>0</v>
      </c>
      <c r="Y215" s="107">
        <v>415</v>
      </c>
      <c r="Z215" s="107">
        <v>0</v>
      </c>
      <c r="AA215" s="112">
        <f t="shared" si="176"/>
        <v>415</v>
      </c>
      <c r="AC215" s="39">
        <v>3000</v>
      </c>
      <c r="AD215" s="40">
        <f t="shared" si="202"/>
        <v>8043.4207916666583</v>
      </c>
      <c r="AE215" s="1">
        <f t="shared" si="203"/>
        <v>10.8</v>
      </c>
      <c r="AF215" s="1">
        <f t="shared" si="204"/>
        <v>18</v>
      </c>
      <c r="AG215" s="41">
        <f t="shared" si="205"/>
        <v>16.044084309791103</v>
      </c>
      <c r="AI215">
        <v>0.9</v>
      </c>
      <c r="AJ215">
        <v>1.5</v>
      </c>
      <c r="AK215" s="32">
        <f t="shared" si="206"/>
        <v>11043.420791666658</v>
      </c>
      <c r="AL215" s="4">
        <f t="shared" si="207"/>
        <v>0.27165495697345821</v>
      </c>
      <c r="AM215" s="4">
        <f t="shared" si="208"/>
        <v>0.72834504302654179</v>
      </c>
    </row>
    <row r="216" spans="3:39" ht="14.25" customHeight="1" x14ac:dyDescent="0.25">
      <c r="C216" s="1">
        <v>2026</v>
      </c>
      <c r="D216" s="52">
        <f>+'Fisico ASIG'!B216</f>
        <v>46113</v>
      </c>
      <c r="E216" s="1">
        <v>16</v>
      </c>
      <c r="F216" s="1" t="s">
        <v>55</v>
      </c>
      <c r="G216" s="5">
        <v>46127</v>
      </c>
      <c r="H216" s="107">
        <v>4738.991666666675</v>
      </c>
      <c r="I216" s="107">
        <v>1424.9361249999995</v>
      </c>
      <c r="J216" s="107">
        <v>430.11833333333317</v>
      </c>
      <c r="K216" s="107">
        <v>26.745925000000007</v>
      </c>
      <c r="L216" s="107">
        <v>0</v>
      </c>
      <c r="M216" s="111">
        <f t="shared" si="167"/>
        <v>6620.7920500000073</v>
      </c>
      <c r="N216" s="107">
        <v>11029.569166666663</v>
      </c>
      <c r="O216" s="107">
        <v>1482.2977916666666</v>
      </c>
      <c r="P216" s="107">
        <v>942.83916666666664</v>
      </c>
      <c r="Q216" s="107">
        <v>199.65</v>
      </c>
      <c r="R216" s="107">
        <v>0</v>
      </c>
      <c r="S216" s="111">
        <f t="shared" si="175"/>
        <v>13654.356124999995</v>
      </c>
      <c r="T216" s="107">
        <v>0</v>
      </c>
      <c r="U216" s="107">
        <v>190.68087500000001</v>
      </c>
      <c r="V216" s="107">
        <v>724.1649583333342</v>
      </c>
      <c r="W216" s="112">
        <f t="shared" si="201"/>
        <v>914.84583333333421</v>
      </c>
      <c r="X216" s="107">
        <v>0</v>
      </c>
      <c r="Y216" s="107">
        <v>415</v>
      </c>
      <c r="Z216" s="107">
        <v>0</v>
      </c>
      <c r="AA216" s="112">
        <f t="shared" si="176"/>
        <v>415</v>
      </c>
      <c r="AC216" s="39">
        <v>3000</v>
      </c>
      <c r="AD216" s="40">
        <f t="shared" si="202"/>
        <v>8029.5691666666626</v>
      </c>
      <c r="AE216" s="1">
        <f t="shared" si="203"/>
        <v>10.8</v>
      </c>
      <c r="AF216" s="1">
        <f t="shared" si="204"/>
        <v>18</v>
      </c>
      <c r="AG216" s="41">
        <f t="shared" si="205"/>
        <v>16.041627948145148</v>
      </c>
      <c r="AI216">
        <v>0.9</v>
      </c>
      <c r="AJ216">
        <v>1.5</v>
      </c>
      <c r="AK216" s="32">
        <f t="shared" si="206"/>
        <v>11029.569166666663</v>
      </c>
      <c r="AL216" s="4">
        <f t="shared" si="207"/>
        <v>0.27199611831317388</v>
      </c>
      <c r="AM216" s="4">
        <f t="shared" si="208"/>
        <v>0.72800388168682617</v>
      </c>
    </row>
    <row r="217" spans="3:39" ht="14.25" customHeight="1" x14ac:dyDescent="0.25">
      <c r="C217" s="1">
        <v>2026</v>
      </c>
      <c r="D217" s="52">
        <f>+'Fisico ASIG'!B217</f>
        <v>46113</v>
      </c>
      <c r="E217" s="1">
        <v>16</v>
      </c>
      <c r="F217" s="1" t="s">
        <v>56</v>
      </c>
      <c r="G217" s="5">
        <v>46128</v>
      </c>
      <c r="H217" s="107">
        <v>4848.7845416666687</v>
      </c>
      <c r="I217" s="107">
        <v>1407.9546250000003</v>
      </c>
      <c r="J217" s="107">
        <v>458.13366666666633</v>
      </c>
      <c r="K217" s="107">
        <v>26.37749791666667</v>
      </c>
      <c r="L217" s="107">
        <v>0</v>
      </c>
      <c r="M217" s="111">
        <f t="shared" si="167"/>
        <v>6741.2503312500021</v>
      </c>
      <c r="N217" s="107">
        <v>11021.811083333327</v>
      </c>
      <c r="O217" s="107">
        <v>1467.8113333333333</v>
      </c>
      <c r="P217" s="107">
        <v>940.01479166666661</v>
      </c>
      <c r="Q217" s="107">
        <v>199.65</v>
      </c>
      <c r="R217" s="107">
        <v>0</v>
      </c>
      <c r="S217" s="111">
        <f t="shared" si="175"/>
        <v>13629.287208333326</v>
      </c>
      <c r="T217" s="107">
        <v>0</v>
      </c>
      <c r="U217" s="107">
        <v>189.35408333333336</v>
      </c>
      <c r="V217" s="107">
        <v>781.81983333333312</v>
      </c>
      <c r="W217" s="112">
        <f t="shared" si="201"/>
        <v>971.17391666666651</v>
      </c>
      <c r="X217" s="107">
        <v>0</v>
      </c>
      <c r="Y217" s="107">
        <v>415</v>
      </c>
      <c r="Z217" s="107">
        <v>0</v>
      </c>
      <c r="AA217" s="112">
        <f t="shared" si="176"/>
        <v>415</v>
      </c>
      <c r="AC217" s="39">
        <v>3000</v>
      </c>
      <c r="AD217" s="40">
        <f t="shared" si="202"/>
        <v>8021.8110833333267</v>
      </c>
      <c r="AE217" s="1">
        <f t="shared" si="203"/>
        <v>10.8</v>
      </c>
      <c r="AF217" s="1">
        <f t="shared" si="204"/>
        <v>18</v>
      </c>
      <c r="AG217" s="41">
        <f t="shared" si="205"/>
        <v>16.040249480172772</v>
      </c>
      <c r="AI217">
        <v>0.9</v>
      </c>
      <c r="AJ217">
        <v>1.5</v>
      </c>
      <c r="AK217" s="32">
        <f t="shared" si="206"/>
        <v>11021.811083333327</v>
      </c>
      <c r="AL217" s="4">
        <f t="shared" si="207"/>
        <v>0.27218757219822626</v>
      </c>
      <c r="AM217" s="4">
        <f t="shared" si="208"/>
        <v>0.7278124278017738</v>
      </c>
    </row>
    <row r="218" spans="3:39" ht="14.25" customHeight="1" x14ac:dyDescent="0.25">
      <c r="C218" s="1">
        <v>2026</v>
      </c>
      <c r="D218" s="52">
        <f>+'Fisico ASIG'!B218</f>
        <v>46113</v>
      </c>
      <c r="E218" s="1">
        <v>16</v>
      </c>
      <c r="F218" s="1" t="s">
        <v>57</v>
      </c>
      <c r="G218" s="5">
        <v>46129</v>
      </c>
      <c r="H218" s="107">
        <v>4469.6445000000031</v>
      </c>
      <c r="I218" s="107">
        <v>1381.1636250000001</v>
      </c>
      <c r="J218" s="107">
        <v>412.26379166666669</v>
      </c>
      <c r="K218" s="107">
        <v>25.771312499999993</v>
      </c>
      <c r="L218" s="107">
        <v>0</v>
      </c>
      <c r="M218" s="111">
        <f t="shared" si="167"/>
        <v>6288.8432291666695</v>
      </c>
      <c r="N218" s="107">
        <v>10621.933624999992</v>
      </c>
      <c r="O218" s="107">
        <v>1471.1241666666667</v>
      </c>
      <c r="P218" s="107">
        <v>937.94654166666658</v>
      </c>
      <c r="Q218" s="107">
        <v>199.5</v>
      </c>
      <c r="R218" s="107">
        <v>0</v>
      </c>
      <c r="S218" s="111">
        <f t="shared" si="175"/>
        <v>13230.504333333325</v>
      </c>
      <c r="T218" s="107">
        <v>0</v>
      </c>
      <c r="U218" s="107">
        <v>188.75424999999998</v>
      </c>
      <c r="V218" s="107">
        <v>1011.6555833333333</v>
      </c>
      <c r="W218" s="112">
        <f t="shared" si="201"/>
        <v>1200.4098333333334</v>
      </c>
      <c r="X218" s="107">
        <v>0</v>
      </c>
      <c r="Y218" s="107">
        <v>415</v>
      </c>
      <c r="Z218" s="107">
        <v>0</v>
      </c>
      <c r="AA218" s="112">
        <f t="shared" si="176"/>
        <v>415</v>
      </c>
      <c r="AC218" s="39">
        <v>3000</v>
      </c>
      <c r="AD218" s="40">
        <f t="shared" si="202"/>
        <v>7621.9336249999924</v>
      </c>
      <c r="AE218" s="1">
        <f t="shared" si="203"/>
        <v>10.8</v>
      </c>
      <c r="AF218" s="1">
        <f t="shared" si="204"/>
        <v>18</v>
      </c>
      <c r="AG218" s="41">
        <f t="shared" si="205"/>
        <v>15.96647194733341</v>
      </c>
      <c r="AI218">
        <v>0.9</v>
      </c>
      <c r="AJ218">
        <v>1.5</v>
      </c>
      <c r="AK218" s="32">
        <f t="shared" si="206"/>
        <v>10621.933624999992</v>
      </c>
      <c r="AL218" s="4">
        <f t="shared" si="207"/>
        <v>0.28243445175924853</v>
      </c>
      <c r="AM218" s="4">
        <f t="shared" si="208"/>
        <v>0.71756554824075147</v>
      </c>
    </row>
    <row r="219" spans="3:39" ht="14.25" customHeight="1" x14ac:dyDescent="0.25">
      <c r="C219" s="1">
        <v>2026</v>
      </c>
      <c r="D219" s="52">
        <f>+'Fisico ASIG'!B219</f>
        <v>46113</v>
      </c>
      <c r="E219" s="1">
        <v>6</v>
      </c>
      <c r="F219" s="1" t="s">
        <v>51</v>
      </c>
      <c r="G219" s="5">
        <v>46130</v>
      </c>
      <c r="H219" s="107">
        <v>4614.2220833333304</v>
      </c>
      <c r="I219" s="107">
        <v>1252.8234999999997</v>
      </c>
      <c r="J219" s="107">
        <v>274.64574999999991</v>
      </c>
      <c r="K219" s="107">
        <v>25.100129166666669</v>
      </c>
      <c r="L219" s="107">
        <v>0</v>
      </c>
      <c r="M219" s="111">
        <f t="shared" si="167"/>
        <v>6166.7914624999967</v>
      </c>
      <c r="N219" s="107">
        <v>10624.831333333319</v>
      </c>
      <c r="O219" s="107">
        <v>1459.7753750000002</v>
      </c>
      <c r="P219" s="107">
        <v>938.07333333333327</v>
      </c>
      <c r="Q219" s="107">
        <v>199.5</v>
      </c>
      <c r="R219" s="107">
        <v>0</v>
      </c>
      <c r="S219" s="111">
        <f t="shared" si="175"/>
        <v>13222.180041666652</v>
      </c>
      <c r="T219" s="107">
        <v>0</v>
      </c>
      <c r="U219" s="107">
        <v>189.23445833333335</v>
      </c>
      <c r="V219" s="107">
        <v>1150.973958333333</v>
      </c>
      <c r="W219" s="112">
        <f t="shared" si="201"/>
        <v>1340.2084166666664</v>
      </c>
      <c r="X219" s="107">
        <v>0</v>
      </c>
      <c r="Y219" s="107">
        <v>415</v>
      </c>
      <c r="Z219" s="107">
        <v>0</v>
      </c>
      <c r="AA219" s="112">
        <f t="shared" si="176"/>
        <v>415</v>
      </c>
      <c r="AC219" s="39">
        <v>3000</v>
      </c>
      <c r="AD219" s="40">
        <f t="shared" si="202"/>
        <v>7624.831333333319</v>
      </c>
      <c r="AE219" s="1">
        <f t="shared" si="203"/>
        <v>10.8</v>
      </c>
      <c r="AF219" s="1">
        <f t="shared" si="204"/>
        <v>18</v>
      </c>
      <c r="AG219" s="41">
        <f t="shared" si="205"/>
        <v>15.967026551072463</v>
      </c>
      <c r="AI219">
        <v>0.9</v>
      </c>
      <c r="AJ219">
        <v>1.5</v>
      </c>
      <c r="AK219" s="32">
        <f t="shared" si="206"/>
        <v>10624.831333333319</v>
      </c>
      <c r="AL219" s="4">
        <f t="shared" si="207"/>
        <v>0.28235742346215792</v>
      </c>
      <c r="AM219" s="4">
        <f t="shared" si="208"/>
        <v>0.71764257653784203</v>
      </c>
    </row>
    <row r="220" spans="3:39" ht="14.25" customHeight="1" x14ac:dyDescent="0.25">
      <c r="C220" s="1">
        <v>2026</v>
      </c>
      <c r="D220" s="52">
        <f>+'Fisico ASIG'!B220</f>
        <v>46113</v>
      </c>
      <c r="E220" s="1">
        <v>4</v>
      </c>
      <c r="F220" s="1" t="s">
        <v>52</v>
      </c>
      <c r="G220" s="5">
        <v>46131</v>
      </c>
      <c r="H220" s="107">
        <v>4451.6932500000048</v>
      </c>
      <c r="I220" s="107">
        <v>989.88937500000009</v>
      </c>
      <c r="J220" s="107">
        <v>260.47575000000035</v>
      </c>
      <c r="K220" s="107">
        <v>10.055454166666665</v>
      </c>
      <c r="L220" s="107">
        <v>0</v>
      </c>
      <c r="M220" s="111">
        <f t="shared" si="167"/>
        <v>5712.1138291666721</v>
      </c>
      <c r="N220" s="107">
        <v>11048.201624999991</v>
      </c>
      <c r="O220" s="107">
        <v>1428.7898333333333</v>
      </c>
      <c r="P220" s="107">
        <v>939.91162499999996</v>
      </c>
      <c r="Q220" s="107">
        <v>199.35000000000002</v>
      </c>
      <c r="R220" s="107">
        <v>0</v>
      </c>
      <c r="S220" s="111">
        <f t="shared" si="175"/>
        <v>13616.253083333324</v>
      </c>
      <c r="T220" s="107">
        <v>0</v>
      </c>
      <c r="U220" s="107">
        <v>189.60475</v>
      </c>
      <c r="V220" s="107">
        <v>1122.6085833333339</v>
      </c>
      <c r="W220" s="112">
        <f t="shared" si="201"/>
        <v>1312.2133333333338</v>
      </c>
      <c r="X220" s="107">
        <v>0</v>
      </c>
      <c r="Y220" s="107">
        <v>415</v>
      </c>
      <c r="Z220" s="107">
        <v>0</v>
      </c>
      <c r="AA220" s="112">
        <f t="shared" si="176"/>
        <v>415</v>
      </c>
      <c r="AC220" s="39">
        <v>3000</v>
      </c>
      <c r="AD220" s="40">
        <f t="shared" si="202"/>
        <v>8048.2016249999906</v>
      </c>
      <c r="AE220" s="1">
        <f t="shared" si="203"/>
        <v>10.8</v>
      </c>
      <c r="AF220" s="1">
        <f t="shared" si="204"/>
        <v>18</v>
      </c>
      <c r="AG220" s="41">
        <f t="shared" si="205"/>
        <v>16.044930683458627</v>
      </c>
      <c r="AI220">
        <v>0.9</v>
      </c>
      <c r="AJ220">
        <v>1.5</v>
      </c>
      <c r="AK220" s="32">
        <f t="shared" si="206"/>
        <v>11048.201624999991</v>
      </c>
      <c r="AL220" s="4">
        <f t="shared" si="207"/>
        <v>0.27153740507519047</v>
      </c>
      <c r="AM220" s="4">
        <f t="shared" si="208"/>
        <v>0.72846259492480958</v>
      </c>
    </row>
    <row r="221" spans="3:39" ht="14.25" customHeight="1" x14ac:dyDescent="0.25">
      <c r="C221" s="1">
        <v>2026</v>
      </c>
      <c r="D221" s="52">
        <f>+'Fisico ASIG'!B221</f>
        <v>46113</v>
      </c>
      <c r="E221" s="1">
        <v>16</v>
      </c>
      <c r="F221" s="1" t="str">
        <f>+Precios!C221</f>
        <v>lun</v>
      </c>
      <c r="G221" s="5">
        <f>+Precios!D221</f>
        <v>46132</v>
      </c>
      <c r="H221" s="107">
        <v>4991.3350416666672</v>
      </c>
      <c r="I221" s="107">
        <v>1047.9368750000001</v>
      </c>
      <c r="J221" s="107">
        <v>290.82195833333344</v>
      </c>
      <c r="K221" s="107">
        <v>21.167425000000005</v>
      </c>
      <c r="L221" s="107">
        <v>0</v>
      </c>
      <c r="M221" s="111">
        <f t="shared" si="167"/>
        <v>6351.2613000000001</v>
      </c>
      <c r="N221" s="107">
        <v>10994.774624999995</v>
      </c>
      <c r="O221" s="107">
        <v>1341.0469999999998</v>
      </c>
      <c r="P221" s="107">
        <v>881.8131249999999</v>
      </c>
      <c r="Q221" s="107">
        <v>193.75625000000002</v>
      </c>
      <c r="R221" s="107">
        <v>0</v>
      </c>
      <c r="S221" s="111">
        <f t="shared" si="175"/>
        <v>13411.390999999996</v>
      </c>
      <c r="T221" s="107">
        <v>0</v>
      </c>
      <c r="U221" s="107">
        <v>192.91416666666669</v>
      </c>
      <c r="V221" s="107">
        <v>778.00083333333316</v>
      </c>
      <c r="W221" s="112">
        <f t="shared" si="201"/>
        <v>970.91499999999985</v>
      </c>
      <c r="X221" s="107">
        <v>0</v>
      </c>
      <c r="Y221" s="107">
        <v>415</v>
      </c>
      <c r="Z221" s="107">
        <v>0</v>
      </c>
      <c r="AA221" s="112">
        <f t="shared" si="176"/>
        <v>415</v>
      </c>
      <c r="AC221" s="39">
        <v>3000</v>
      </c>
      <c r="AD221" s="40">
        <f t="shared" ref="AD221:AD226" si="209">+N221-AC221</f>
        <v>7994.7746249999946</v>
      </c>
      <c r="AE221" s="1">
        <f t="shared" ref="AE221:AE226" si="210">12*AI221</f>
        <v>10.8</v>
      </c>
      <c r="AF221" s="1">
        <f t="shared" ref="AF221:AF226" si="211">12*AJ221</f>
        <v>18</v>
      </c>
      <c r="AG221" s="41">
        <f t="shared" ref="AG221:AG226" si="212">+(AC221*AE221+AF221*AD221)/SUM(AC221:AD221)</f>
        <v>16.035430398829114</v>
      </c>
      <c r="AI221">
        <v>0.9</v>
      </c>
      <c r="AJ221">
        <v>1.5</v>
      </c>
      <c r="AK221" s="32">
        <f t="shared" ref="AK221:AK226" si="213">+AC221+AD221</f>
        <v>10994.774624999995</v>
      </c>
      <c r="AL221" s="4">
        <f t="shared" ref="AL221:AL226" si="214">+AC221/AK221</f>
        <v>0.27285688905151173</v>
      </c>
      <c r="AM221" s="4">
        <f t="shared" ref="AM221:AM226" si="215">+AD221/AK221</f>
        <v>0.72714311094848827</v>
      </c>
    </row>
    <row r="222" spans="3:39" ht="14.25" customHeight="1" x14ac:dyDescent="0.25">
      <c r="C222" s="1">
        <v>2026</v>
      </c>
      <c r="D222" s="52">
        <f>+'Fisico ASIG'!B222</f>
        <v>46113</v>
      </c>
      <c r="E222" s="1">
        <v>16</v>
      </c>
      <c r="F222" s="1" t="str">
        <f>+Precios!C222</f>
        <v>mar</v>
      </c>
      <c r="G222" s="5">
        <f>+Precios!D222</f>
        <v>46133</v>
      </c>
      <c r="H222" s="107">
        <v>5437.4477916666638</v>
      </c>
      <c r="I222" s="107">
        <v>948.73937500000011</v>
      </c>
      <c r="J222" s="107">
        <v>238.50545833333328</v>
      </c>
      <c r="K222" s="107">
        <v>35.115614583333333</v>
      </c>
      <c r="L222" s="107">
        <v>0</v>
      </c>
      <c r="M222" s="111">
        <f t="shared" si="167"/>
        <v>6659.8082395833299</v>
      </c>
      <c r="N222" s="107">
        <v>11293.321499999991</v>
      </c>
      <c r="O222" s="107">
        <v>1339.2344166666664</v>
      </c>
      <c r="P222" s="107">
        <v>850.92729166666663</v>
      </c>
      <c r="Q222" s="107">
        <v>183.45764583333334</v>
      </c>
      <c r="R222" s="107">
        <v>0</v>
      </c>
      <c r="S222" s="111">
        <f t="shared" si="175"/>
        <v>13666.940854166658</v>
      </c>
      <c r="T222" s="107">
        <v>0</v>
      </c>
      <c r="U222" s="107">
        <v>188.42258333333336</v>
      </c>
      <c r="V222" s="107">
        <v>989.34675000000072</v>
      </c>
      <c r="W222" s="112">
        <f t="shared" si="201"/>
        <v>1177.7693333333341</v>
      </c>
      <c r="X222" s="107">
        <v>0</v>
      </c>
      <c r="Y222" s="107">
        <v>415</v>
      </c>
      <c r="Z222" s="107">
        <v>0</v>
      </c>
      <c r="AA222" s="112">
        <f t="shared" si="176"/>
        <v>415</v>
      </c>
      <c r="AC222" s="39">
        <v>3000</v>
      </c>
      <c r="AD222" s="40">
        <f t="shared" si="209"/>
        <v>8293.3214999999909</v>
      </c>
      <c r="AE222" s="1">
        <f t="shared" si="210"/>
        <v>10.8</v>
      </c>
      <c r="AF222" s="1">
        <f t="shared" si="211"/>
        <v>18</v>
      </c>
      <c r="AG222" s="41">
        <f t="shared" si="212"/>
        <v>16.087365174187237</v>
      </c>
      <c r="AI222">
        <v>0.9</v>
      </c>
      <c r="AJ222">
        <v>1.5</v>
      </c>
      <c r="AK222" s="32">
        <f t="shared" si="213"/>
        <v>11293.321499999991</v>
      </c>
      <c r="AL222" s="4">
        <f t="shared" si="214"/>
        <v>0.26564372580732803</v>
      </c>
      <c r="AM222" s="4">
        <f t="shared" si="215"/>
        <v>0.73435627419267202</v>
      </c>
    </row>
    <row r="223" spans="3:39" ht="14.25" customHeight="1" x14ac:dyDescent="0.25">
      <c r="C223" s="1">
        <v>2026</v>
      </c>
      <c r="D223" s="52">
        <f>+'Fisico ASIG'!B223</f>
        <v>46113</v>
      </c>
      <c r="E223" s="1">
        <v>16</v>
      </c>
      <c r="F223" s="1" t="str">
        <f>+Precios!C223</f>
        <v>mié</v>
      </c>
      <c r="G223" s="5">
        <f>+Precios!D223</f>
        <v>46134</v>
      </c>
      <c r="H223" s="107">
        <v>4948.8705000000018</v>
      </c>
      <c r="I223" s="107">
        <v>985.97004166666704</v>
      </c>
      <c r="J223" s="107">
        <v>259.07850000000025</v>
      </c>
      <c r="K223" s="107">
        <v>19.458174999999997</v>
      </c>
      <c r="L223" s="107">
        <v>0</v>
      </c>
      <c r="M223" s="111">
        <f t="shared" si="167"/>
        <v>6213.3772166666695</v>
      </c>
      <c r="N223" s="107">
        <v>11820.236916666672</v>
      </c>
      <c r="O223" s="107">
        <v>1381.4738333333332</v>
      </c>
      <c r="P223" s="107">
        <v>852.88474999999994</v>
      </c>
      <c r="Q223" s="107">
        <v>190.4</v>
      </c>
      <c r="R223" s="107">
        <v>0</v>
      </c>
      <c r="S223" s="111">
        <f t="shared" si="175"/>
        <v>14244.995500000005</v>
      </c>
      <c r="T223" s="107">
        <v>0</v>
      </c>
      <c r="U223" s="107">
        <v>189.80983333333339</v>
      </c>
      <c r="V223" s="107">
        <v>1419.2787500000015</v>
      </c>
      <c r="W223" s="112">
        <f t="shared" si="201"/>
        <v>1609.088583333335</v>
      </c>
      <c r="X223" s="107">
        <v>0</v>
      </c>
      <c r="Y223" s="107">
        <v>415</v>
      </c>
      <c r="Z223" s="107">
        <v>0</v>
      </c>
      <c r="AA223" s="112">
        <f t="shared" si="176"/>
        <v>415</v>
      </c>
      <c r="AC223" s="39">
        <v>3000</v>
      </c>
      <c r="AD223" s="40">
        <f t="shared" si="209"/>
        <v>8820.2369166666722</v>
      </c>
      <c r="AE223" s="1">
        <f t="shared" si="210"/>
        <v>10.8</v>
      </c>
      <c r="AF223" s="1">
        <f t="shared" si="211"/>
        <v>18</v>
      </c>
      <c r="AG223" s="41">
        <f t="shared" si="212"/>
        <v>16.172625459854892</v>
      </c>
      <c r="AI223">
        <v>0.9</v>
      </c>
      <c r="AJ223">
        <v>1.5</v>
      </c>
      <c r="AK223" s="32">
        <f t="shared" si="213"/>
        <v>11820.236916666672</v>
      </c>
      <c r="AL223" s="4">
        <f t="shared" si="214"/>
        <v>0.25380201946459846</v>
      </c>
      <c r="AM223" s="4">
        <f t="shared" si="215"/>
        <v>0.74619798053540154</v>
      </c>
    </row>
    <row r="224" spans="3:39" ht="14.25" customHeight="1" x14ac:dyDescent="0.25">
      <c r="C224" s="1">
        <v>2026</v>
      </c>
      <c r="D224" s="52">
        <f>+'Fisico ASIG'!B224</f>
        <v>46113</v>
      </c>
      <c r="E224" s="1">
        <v>16</v>
      </c>
      <c r="F224" s="1" t="str">
        <f>+Precios!C224</f>
        <v>jue</v>
      </c>
      <c r="G224" s="5">
        <f>+Precios!D224</f>
        <v>46135</v>
      </c>
      <c r="H224" s="107">
        <v>5560.5644166666725</v>
      </c>
      <c r="I224" s="107">
        <v>1010.2081666666667</v>
      </c>
      <c r="J224" s="107">
        <v>249.63133333333315</v>
      </c>
      <c r="K224" s="107">
        <v>16.950568750000002</v>
      </c>
      <c r="L224" s="107">
        <v>0</v>
      </c>
      <c r="M224" s="111">
        <f t="shared" si="167"/>
        <v>6837.3544854166721</v>
      </c>
      <c r="N224" s="107">
        <v>12007.569291666663</v>
      </c>
      <c r="O224" s="107">
        <v>1372.5557916666664</v>
      </c>
      <c r="P224" s="107">
        <v>852.8757916666666</v>
      </c>
      <c r="Q224" s="107">
        <v>190.4</v>
      </c>
      <c r="R224" s="107">
        <v>0</v>
      </c>
      <c r="S224" s="111">
        <f t="shared" si="175"/>
        <v>14423.400874999996</v>
      </c>
      <c r="T224" s="107">
        <v>0</v>
      </c>
      <c r="U224" s="107">
        <v>189.14220833333331</v>
      </c>
      <c r="V224" s="107">
        <v>1649.9782916666675</v>
      </c>
      <c r="W224" s="112">
        <f t="shared" si="201"/>
        <v>1839.1205000000009</v>
      </c>
      <c r="X224" s="107">
        <v>0</v>
      </c>
      <c r="Y224" s="107">
        <v>415</v>
      </c>
      <c r="Z224" s="107">
        <v>0</v>
      </c>
      <c r="AA224" s="112">
        <f t="shared" si="176"/>
        <v>415</v>
      </c>
      <c r="AC224" s="39">
        <v>3000</v>
      </c>
      <c r="AD224" s="40">
        <f t="shared" si="209"/>
        <v>9007.569291666663</v>
      </c>
      <c r="AE224" s="1">
        <f t="shared" si="210"/>
        <v>10.8</v>
      </c>
      <c r="AF224" s="1">
        <f t="shared" si="211"/>
        <v>18</v>
      </c>
      <c r="AG224" s="41">
        <f t="shared" si="212"/>
        <v>16.201134678024257</v>
      </c>
      <c r="AI224">
        <v>0.9</v>
      </c>
      <c r="AJ224">
        <v>1.5</v>
      </c>
      <c r="AK224" s="32">
        <f t="shared" si="213"/>
        <v>12007.569291666663</v>
      </c>
      <c r="AL224" s="4">
        <f t="shared" si="214"/>
        <v>0.24984240582996434</v>
      </c>
      <c r="AM224" s="4">
        <f t="shared" si="215"/>
        <v>0.75015759417003569</v>
      </c>
    </row>
    <row r="225" spans="1:39" ht="14.25" customHeight="1" x14ac:dyDescent="0.25">
      <c r="C225" s="1">
        <v>2026</v>
      </c>
      <c r="D225" s="52">
        <f>+'Fisico ASIG'!B225</f>
        <v>46113</v>
      </c>
      <c r="E225" s="1">
        <v>16</v>
      </c>
      <c r="F225" s="1" t="str">
        <f>+Precios!C225</f>
        <v>vie</v>
      </c>
      <c r="G225" s="5">
        <f>+Precios!D225</f>
        <v>46136</v>
      </c>
      <c r="H225" s="107">
        <v>5714.4098333333213</v>
      </c>
      <c r="I225" s="107">
        <v>978.20016666666686</v>
      </c>
      <c r="J225" s="107">
        <v>196.9903333333333</v>
      </c>
      <c r="K225" s="107">
        <v>24.952150000000003</v>
      </c>
      <c r="L225" s="107">
        <v>0</v>
      </c>
      <c r="M225" s="111">
        <f t="shared" si="167"/>
        <v>6914.5524833333211</v>
      </c>
      <c r="N225" s="107">
        <v>12255.52141666667</v>
      </c>
      <c r="O225" s="107">
        <v>1361.2954583333335</v>
      </c>
      <c r="P225" s="107">
        <v>837.80570833333331</v>
      </c>
      <c r="Q225" s="107">
        <v>190.4</v>
      </c>
      <c r="R225" s="107">
        <v>0</v>
      </c>
      <c r="S225" s="111">
        <f t="shared" si="175"/>
        <v>14645.022583333337</v>
      </c>
      <c r="T225" s="107">
        <v>0</v>
      </c>
      <c r="U225" s="107">
        <v>222.20899999999997</v>
      </c>
      <c r="V225" s="107">
        <v>1426.9676666666671</v>
      </c>
      <c r="W225" s="112">
        <f t="shared" si="201"/>
        <v>1649.1766666666672</v>
      </c>
      <c r="X225" s="107">
        <v>0</v>
      </c>
      <c r="Y225" s="107">
        <v>447.22208333333333</v>
      </c>
      <c r="Z225" s="107">
        <v>0</v>
      </c>
      <c r="AA225" s="112">
        <f t="shared" si="176"/>
        <v>447.22208333333333</v>
      </c>
      <c r="AC225" s="39">
        <v>3000</v>
      </c>
      <c r="AD225" s="40">
        <f t="shared" si="209"/>
        <v>9255.5214166666701</v>
      </c>
      <c r="AE225" s="1">
        <f t="shared" si="210"/>
        <v>10.8</v>
      </c>
      <c r="AF225" s="1">
        <f t="shared" si="211"/>
        <v>18</v>
      </c>
      <c r="AG225" s="41">
        <f t="shared" si="212"/>
        <v>16.237529088674638</v>
      </c>
      <c r="AI225">
        <v>0.9</v>
      </c>
      <c r="AJ225">
        <v>1.5</v>
      </c>
      <c r="AK225" s="32">
        <f t="shared" si="213"/>
        <v>12255.52141666667</v>
      </c>
      <c r="AL225" s="4">
        <f t="shared" si="214"/>
        <v>0.24478762657296696</v>
      </c>
      <c r="AM225" s="4">
        <f t="shared" si="215"/>
        <v>0.75521237342703307</v>
      </c>
    </row>
    <row r="226" spans="1:39" ht="14.25" customHeight="1" x14ac:dyDescent="0.25">
      <c r="C226" s="1">
        <v>2026</v>
      </c>
      <c r="D226" s="52">
        <f>+'Fisico ASIG'!B226</f>
        <v>46113</v>
      </c>
      <c r="E226" s="1">
        <v>6</v>
      </c>
      <c r="F226" s="1" t="str">
        <f>+Precios!C226</f>
        <v>sáb</v>
      </c>
      <c r="G226" s="5">
        <f>+Precios!D226</f>
        <v>46137</v>
      </c>
      <c r="H226" s="107">
        <v>5194.1291666666648</v>
      </c>
      <c r="I226" s="107">
        <v>818.86916666666673</v>
      </c>
      <c r="J226" s="107">
        <v>178.69458333333333</v>
      </c>
      <c r="K226" s="107">
        <v>41.34936041666667</v>
      </c>
      <c r="L226" s="107">
        <v>0</v>
      </c>
      <c r="M226" s="111">
        <f t="shared" si="167"/>
        <v>6233.0422770833311</v>
      </c>
      <c r="N226" s="107">
        <v>12297.209375000011</v>
      </c>
      <c r="O226" s="107">
        <v>1440.998583333333</v>
      </c>
      <c r="P226" s="107">
        <v>825.93074999999999</v>
      </c>
      <c r="Q226" s="107">
        <v>190.4</v>
      </c>
      <c r="R226" s="107">
        <v>0</v>
      </c>
      <c r="S226" s="111">
        <f t="shared" ref="S226:S230" si="216">SUM(N226:R226)</f>
        <v>14754.538708333343</v>
      </c>
      <c r="T226" s="107">
        <v>0</v>
      </c>
      <c r="U226" s="107">
        <v>430.72183333333334</v>
      </c>
      <c r="V226" s="107">
        <v>1169.579875000001</v>
      </c>
      <c r="W226" s="112">
        <f t="shared" si="201"/>
        <v>1600.3017083333343</v>
      </c>
      <c r="X226" s="107">
        <v>0</v>
      </c>
      <c r="Y226" s="107">
        <v>515</v>
      </c>
      <c r="Z226" s="107">
        <v>0</v>
      </c>
      <c r="AA226" s="112">
        <f t="shared" si="176"/>
        <v>515</v>
      </c>
      <c r="AC226" s="39">
        <v>3000</v>
      </c>
      <c r="AD226" s="40">
        <f t="shared" si="209"/>
        <v>9297.2093750000113</v>
      </c>
      <c r="AE226" s="1">
        <f t="shared" si="210"/>
        <v>10.8</v>
      </c>
      <c r="AF226" s="1">
        <f t="shared" si="211"/>
        <v>18</v>
      </c>
      <c r="AG226" s="41">
        <f t="shared" si="212"/>
        <v>16.243503925052103</v>
      </c>
      <c r="AI226">
        <v>0.9</v>
      </c>
      <c r="AJ226">
        <v>1.5</v>
      </c>
      <c r="AK226" s="32">
        <f t="shared" si="213"/>
        <v>12297.209375000011</v>
      </c>
      <c r="AL226" s="4">
        <f t="shared" si="214"/>
        <v>0.2439577881872079</v>
      </c>
      <c r="AM226" s="4">
        <f t="shared" si="215"/>
        <v>0.75604221181279208</v>
      </c>
    </row>
    <row r="227" spans="1:39" ht="14.25" customHeight="1" x14ac:dyDescent="0.25">
      <c r="C227" s="1">
        <v>2026</v>
      </c>
      <c r="D227" s="52">
        <f>+'Fisico ASIG'!B227</f>
        <v>46113</v>
      </c>
      <c r="E227" s="1">
        <v>4</v>
      </c>
      <c r="F227" s="1" t="str">
        <f>+Precios!C227</f>
        <v>dom</v>
      </c>
      <c r="G227" s="5">
        <f>+Precios!D227</f>
        <v>46138</v>
      </c>
      <c r="H227" s="107">
        <v>4077.7585833333342</v>
      </c>
      <c r="I227" s="107">
        <v>839.97970833333329</v>
      </c>
      <c r="J227" s="107">
        <v>184.73183333333341</v>
      </c>
      <c r="K227" s="107">
        <v>13.097537500000001</v>
      </c>
      <c r="L227" s="107">
        <v>0</v>
      </c>
      <c r="M227" s="111">
        <f t="shared" si="167"/>
        <v>5115.5676625000006</v>
      </c>
      <c r="N227" s="107">
        <v>12389.074250000003</v>
      </c>
      <c r="O227" s="107">
        <v>1518.3394166666669</v>
      </c>
      <c r="P227" s="107">
        <v>811.76054166666665</v>
      </c>
      <c r="Q227" s="107">
        <v>190.4</v>
      </c>
      <c r="R227" s="107">
        <v>0</v>
      </c>
      <c r="S227" s="111">
        <f t="shared" si="216"/>
        <v>14909.574208333337</v>
      </c>
      <c r="T227" s="107">
        <v>0</v>
      </c>
      <c r="U227" s="107">
        <v>196.85350000000003</v>
      </c>
      <c r="V227" s="107">
        <v>1850.9709583333326</v>
      </c>
      <c r="W227" s="112">
        <f t="shared" si="201"/>
        <v>2047.8244583333326</v>
      </c>
      <c r="X227" s="107">
        <v>0</v>
      </c>
      <c r="Y227" s="107">
        <v>515</v>
      </c>
      <c r="Z227" s="107">
        <v>0</v>
      </c>
      <c r="AA227" s="112">
        <f t="shared" si="176"/>
        <v>515</v>
      </c>
      <c r="AC227" s="39">
        <v>3000</v>
      </c>
      <c r="AD227" s="40">
        <f t="shared" ref="AD227:AD230" si="217">+N227-AC227</f>
        <v>9389.0742500000033</v>
      </c>
      <c r="AE227" s="1">
        <f t="shared" ref="AE227:AE230" si="218">12*AI227</f>
        <v>10.8</v>
      </c>
      <c r="AF227" s="1">
        <f t="shared" ref="AF227:AF230" si="219">12*AJ227</f>
        <v>18</v>
      </c>
      <c r="AG227" s="41">
        <f t="shared" ref="AG227:AG230" si="220">+(AC227*AE227+AF227*AD227)/SUM(AC227:AD227)</f>
        <v>16.256528327772351</v>
      </c>
      <c r="AI227">
        <v>0.9</v>
      </c>
      <c r="AJ227">
        <v>1.5</v>
      </c>
      <c r="AK227" s="32">
        <f t="shared" ref="AK227:AK230" si="221">+AC227+AD227</f>
        <v>12389.074250000003</v>
      </c>
      <c r="AL227" s="4">
        <f t="shared" ref="AL227:AL230" si="222">+AC227/AK227</f>
        <v>0.24214884336495113</v>
      </c>
      <c r="AM227" s="4">
        <f t="shared" ref="AM227:AM230" si="223">+AD227/AK227</f>
        <v>0.75785115663504887</v>
      </c>
    </row>
    <row r="228" spans="1:39" ht="14.25" customHeight="1" x14ac:dyDescent="0.25">
      <c r="C228" s="1">
        <v>2026</v>
      </c>
      <c r="D228" s="52">
        <f>+'Fisico ASIG'!B228</f>
        <v>46113</v>
      </c>
      <c r="E228" s="1">
        <v>16</v>
      </c>
      <c r="F228" s="1" t="str">
        <f>+Precios!C228</f>
        <v>lun</v>
      </c>
      <c r="G228" s="5">
        <f>+Precios!D228</f>
        <v>46139</v>
      </c>
      <c r="H228" s="107">
        <v>5428.4480416666656</v>
      </c>
      <c r="I228" s="107">
        <v>1167.003125</v>
      </c>
      <c r="J228" s="107">
        <v>214.72158333333343</v>
      </c>
      <c r="K228" s="107">
        <v>53.784137500000014</v>
      </c>
      <c r="L228" s="107">
        <v>0</v>
      </c>
      <c r="M228" s="111">
        <f t="shared" si="167"/>
        <v>6863.9568874999986</v>
      </c>
      <c r="N228" s="107">
        <v>12505.465125000002</v>
      </c>
      <c r="O228" s="107">
        <v>1559.7582083333334</v>
      </c>
      <c r="P228" s="107">
        <v>825.94195833333333</v>
      </c>
      <c r="Q228" s="107">
        <v>190.4</v>
      </c>
      <c r="R228" s="107">
        <v>0</v>
      </c>
      <c r="S228" s="111">
        <f t="shared" si="216"/>
        <v>15081.565291666668</v>
      </c>
      <c r="T228" s="107">
        <v>0</v>
      </c>
      <c r="U228" s="107">
        <v>220.57025000000002</v>
      </c>
      <c r="V228" s="107">
        <v>1329.178416666666</v>
      </c>
      <c r="W228" s="112">
        <f t="shared" si="201"/>
        <v>1549.7486666666659</v>
      </c>
      <c r="X228" s="107">
        <v>0</v>
      </c>
      <c r="Y228" s="107">
        <v>515</v>
      </c>
      <c r="Z228" s="107">
        <v>0</v>
      </c>
      <c r="AA228" s="112">
        <f t="shared" si="176"/>
        <v>515</v>
      </c>
      <c r="AC228" s="39">
        <v>3000</v>
      </c>
      <c r="AD228" s="40">
        <f t="shared" si="217"/>
        <v>9505.4651250000024</v>
      </c>
      <c r="AE228" s="1">
        <f t="shared" si="218"/>
        <v>10.8</v>
      </c>
      <c r="AF228" s="1">
        <f t="shared" si="219"/>
        <v>18</v>
      </c>
      <c r="AG228" s="41">
        <f t="shared" si="220"/>
        <v>16.272755168712688</v>
      </c>
      <c r="AI228">
        <v>0.9</v>
      </c>
      <c r="AJ228">
        <v>1.5</v>
      </c>
      <c r="AK228" s="32">
        <f t="shared" si="221"/>
        <v>12505.465125000002</v>
      </c>
      <c r="AL228" s="4">
        <f t="shared" si="222"/>
        <v>0.23989511545657119</v>
      </c>
      <c r="AM228" s="4">
        <f t="shared" si="223"/>
        <v>0.76010488454342884</v>
      </c>
    </row>
    <row r="229" spans="1:39" ht="14.25" customHeight="1" x14ac:dyDescent="0.25">
      <c r="C229" s="1">
        <v>2026</v>
      </c>
      <c r="D229" s="52">
        <f>+'Fisico ASIG'!B229</f>
        <v>46113</v>
      </c>
      <c r="E229" s="1">
        <v>16</v>
      </c>
      <c r="F229" s="1" t="str">
        <f>+Precios!C229</f>
        <v>mar</v>
      </c>
      <c r="G229" s="5">
        <f>+Precios!D229</f>
        <v>46140</v>
      </c>
      <c r="H229" s="107">
        <v>5065.2262500000015</v>
      </c>
      <c r="I229" s="107">
        <v>868.19691666666677</v>
      </c>
      <c r="J229" s="107">
        <v>246.05504166666665</v>
      </c>
      <c r="K229" s="107">
        <v>64.208354166666666</v>
      </c>
      <c r="L229" s="107">
        <v>0</v>
      </c>
      <c r="M229" s="111">
        <f t="shared" si="167"/>
        <v>6243.6865625000019</v>
      </c>
      <c r="N229" s="107">
        <v>12405.372500000003</v>
      </c>
      <c r="O229" s="107">
        <v>1566.0477083333335</v>
      </c>
      <c r="P229" s="107">
        <v>826.02845833333333</v>
      </c>
      <c r="Q229" s="107">
        <v>189.35000000000002</v>
      </c>
      <c r="R229" s="107">
        <v>0</v>
      </c>
      <c r="S229" s="111">
        <f t="shared" si="216"/>
        <v>14986.798666666671</v>
      </c>
      <c r="T229" s="107">
        <v>0</v>
      </c>
      <c r="U229" s="107">
        <v>435.83958333333334</v>
      </c>
      <c r="V229" s="107">
        <v>1531.6738333333315</v>
      </c>
      <c r="W229" s="112">
        <f t="shared" si="201"/>
        <v>1967.5134166666649</v>
      </c>
      <c r="X229" s="107">
        <v>0</v>
      </c>
      <c r="Y229" s="107">
        <v>515</v>
      </c>
      <c r="Z229" s="107">
        <v>0</v>
      </c>
      <c r="AA229" s="112">
        <f t="shared" si="176"/>
        <v>515</v>
      </c>
      <c r="AC229" s="39">
        <v>3000</v>
      </c>
      <c r="AD229" s="40">
        <f t="shared" si="217"/>
        <v>9405.3725000000031</v>
      </c>
      <c r="AE229" s="1">
        <f t="shared" si="218"/>
        <v>10.8</v>
      </c>
      <c r="AF229" s="1">
        <f t="shared" si="219"/>
        <v>18</v>
      </c>
      <c r="AG229" s="41">
        <f t="shared" si="220"/>
        <v>16.258818910919441</v>
      </c>
      <c r="AI229">
        <v>0.9</v>
      </c>
      <c r="AJ229">
        <v>1.5</v>
      </c>
      <c r="AK229" s="32">
        <f t="shared" si="221"/>
        <v>12405.372500000003</v>
      </c>
      <c r="AL229" s="4">
        <f t="shared" si="222"/>
        <v>0.24183070681674407</v>
      </c>
      <c r="AM229" s="4">
        <f t="shared" si="223"/>
        <v>0.75816929318325599</v>
      </c>
    </row>
    <row r="230" spans="1:39" ht="14.25" customHeight="1" x14ac:dyDescent="0.25">
      <c r="C230" s="1">
        <v>2026</v>
      </c>
      <c r="D230" s="52">
        <f>+'Fisico ASIG'!B230</f>
        <v>46113</v>
      </c>
      <c r="E230" s="1">
        <v>16</v>
      </c>
      <c r="F230" s="1" t="str">
        <f>+Precios!C230</f>
        <v>mié</v>
      </c>
      <c r="G230" s="5">
        <f>+Precios!D230</f>
        <v>46141</v>
      </c>
      <c r="H230" s="107">
        <v>5033.8133750000079</v>
      </c>
      <c r="I230" s="107">
        <v>303.56600000000003</v>
      </c>
      <c r="J230" s="107">
        <v>226.21329166666678</v>
      </c>
      <c r="K230" s="107">
        <v>39.344333333333338</v>
      </c>
      <c r="L230" s="107">
        <v>0</v>
      </c>
      <c r="M230" s="111">
        <f t="shared" si="167"/>
        <v>5602.9370000000081</v>
      </c>
      <c r="N230" s="107">
        <v>12522.718083333335</v>
      </c>
      <c r="O230" s="107">
        <v>1562.00775</v>
      </c>
      <c r="P230" s="107">
        <v>826.04337499999997</v>
      </c>
      <c r="Q230" s="107">
        <v>189.35000000000002</v>
      </c>
      <c r="R230" s="107">
        <v>0</v>
      </c>
      <c r="S230" s="111">
        <f t="shared" si="216"/>
        <v>15100.119208333335</v>
      </c>
      <c r="T230" s="107">
        <v>0</v>
      </c>
      <c r="U230" s="107">
        <v>399.91391666666681</v>
      </c>
      <c r="V230" s="107">
        <v>1764.708833333332</v>
      </c>
      <c r="W230" s="112">
        <f t="shared" si="201"/>
        <v>2164.6227499999986</v>
      </c>
      <c r="X230" s="107">
        <v>0</v>
      </c>
      <c r="Y230" s="107">
        <v>515</v>
      </c>
      <c r="Z230" s="107">
        <v>0</v>
      </c>
      <c r="AA230" s="112">
        <f t="shared" si="176"/>
        <v>515</v>
      </c>
      <c r="AC230" s="39">
        <v>3000</v>
      </c>
      <c r="AD230" s="40">
        <f t="shared" si="217"/>
        <v>9522.718083333335</v>
      </c>
      <c r="AE230" s="1">
        <f t="shared" si="218"/>
        <v>10.8</v>
      </c>
      <c r="AF230" s="1">
        <f t="shared" si="219"/>
        <v>18</v>
      </c>
      <c r="AG230" s="41">
        <f t="shared" si="220"/>
        <v>16.27513485041656</v>
      </c>
      <c r="AI230">
        <v>0.9</v>
      </c>
      <c r="AJ230">
        <v>1.5</v>
      </c>
      <c r="AK230" s="32">
        <f t="shared" si="221"/>
        <v>12522.718083333335</v>
      </c>
      <c r="AL230" s="4">
        <f t="shared" si="222"/>
        <v>0.23956460410881109</v>
      </c>
      <c r="AM230" s="4">
        <f t="shared" si="223"/>
        <v>0.76043539589118891</v>
      </c>
    </row>
    <row r="231" spans="1:39" ht="14.25" customHeight="1" x14ac:dyDescent="0.25">
      <c r="C231" s="1">
        <v>2026</v>
      </c>
      <c r="D231" s="52">
        <f>+'Fisico ASIG'!B231</f>
        <v>46113</v>
      </c>
      <c r="E231" s="1">
        <v>16</v>
      </c>
      <c r="F231" s="1" t="str">
        <f>+Precios!C231</f>
        <v>jue</v>
      </c>
      <c r="G231" s="5">
        <f>+Precios!D231</f>
        <v>46142</v>
      </c>
      <c r="H231" s="107">
        <v>5381.8585000000021</v>
      </c>
      <c r="I231" s="107">
        <v>356.66804166666674</v>
      </c>
      <c r="J231" s="107">
        <v>190.62958333333344</v>
      </c>
      <c r="K231" s="107">
        <v>26.656045833333334</v>
      </c>
      <c r="L231" s="107">
        <v>0</v>
      </c>
      <c r="M231" s="111">
        <f t="shared" ref="M231:M250" si="224">+SUM(H231:L231)</f>
        <v>5955.8121708333356</v>
      </c>
      <c r="N231" s="107">
        <v>12612.104958333333</v>
      </c>
      <c r="O231" s="107">
        <v>1561.52675</v>
      </c>
      <c r="P231" s="107">
        <v>825.27983333333327</v>
      </c>
      <c r="Q231" s="107">
        <v>189.35000000000002</v>
      </c>
      <c r="R231" s="107">
        <v>0</v>
      </c>
      <c r="S231" s="111">
        <f t="shared" ref="S231:S242" si="225">SUM(N231:R231)</f>
        <v>15188.261541666669</v>
      </c>
      <c r="T231" s="107">
        <v>0</v>
      </c>
      <c r="U231" s="107">
        <v>405.68854166666665</v>
      </c>
      <c r="V231" s="107">
        <v>1714.0410833333337</v>
      </c>
      <c r="W231" s="112">
        <f t="shared" ref="W231:W242" si="226">SUM(T231:V231)</f>
        <v>2119.7296250000004</v>
      </c>
      <c r="X231" s="107">
        <v>0</v>
      </c>
      <c r="Y231" s="107">
        <v>515</v>
      </c>
      <c r="Z231" s="107">
        <v>0</v>
      </c>
      <c r="AA231" s="112">
        <f t="shared" si="176"/>
        <v>515</v>
      </c>
      <c r="AC231" s="39">
        <v>3000</v>
      </c>
      <c r="AD231" s="40">
        <f t="shared" ref="AD231:AD242" si="227">+N231-AC231</f>
        <v>9612.1049583333333</v>
      </c>
      <c r="AE231" s="1">
        <f t="shared" ref="AE231:AE242" si="228">12*AI231</f>
        <v>10.8</v>
      </c>
      <c r="AF231" s="1">
        <f t="shared" ref="AF231:AF242" si="229">12*AJ231</f>
        <v>18</v>
      </c>
      <c r="AG231" s="41">
        <f t="shared" ref="AG231:AG242" si="230">+(AC231*AE231+AF231*AD231)/SUM(AC231:AD231)</f>
        <v>16.287359638112751</v>
      </c>
      <c r="AI231">
        <v>0.9</v>
      </c>
      <c r="AJ231">
        <v>1.5</v>
      </c>
      <c r="AK231" s="32">
        <f t="shared" ref="AK231" si="231">+AC231+AD231</f>
        <v>12612.104958333333</v>
      </c>
      <c r="AL231" s="4">
        <f t="shared" ref="AL231" si="232">+AC231/AK231</f>
        <v>0.23786671692878494</v>
      </c>
      <c r="AM231" s="4">
        <f t="shared" ref="AM231" si="233">+AD231/AK231</f>
        <v>0.76213328307121508</v>
      </c>
    </row>
    <row r="232" spans="1:39" ht="14.25" customHeight="1" x14ac:dyDescent="0.25">
      <c r="A232" s="114"/>
      <c r="C232" s="1">
        <v>2026</v>
      </c>
      <c r="D232" s="52">
        <v>46143</v>
      </c>
      <c r="E232" s="1">
        <v>4</v>
      </c>
      <c r="F232" s="1" t="str">
        <f>+Precios!C232</f>
        <v>vie</v>
      </c>
      <c r="G232" s="5">
        <f>+Precios!D232</f>
        <v>46143</v>
      </c>
      <c r="H232" s="107">
        <v>3613.9975000000031</v>
      </c>
      <c r="I232" s="107">
        <v>316.82875000000001</v>
      </c>
      <c r="J232" s="107">
        <v>178.76666666666674</v>
      </c>
      <c r="K232" s="107">
        <v>8.0170833333333338</v>
      </c>
      <c r="L232" s="107">
        <v>0</v>
      </c>
      <c r="M232" s="111">
        <f t="shared" si="224"/>
        <v>4117.6100000000033</v>
      </c>
      <c r="N232" s="107">
        <v>11983.980416666665</v>
      </c>
      <c r="O232" s="107">
        <v>1559.24125</v>
      </c>
      <c r="P232" s="107">
        <v>808.34166666666658</v>
      </c>
      <c r="Q232" s="107">
        <v>189.35000000000002</v>
      </c>
      <c r="R232" s="107">
        <v>0</v>
      </c>
      <c r="S232" s="111">
        <f t="shared" si="225"/>
        <v>14540.913333333332</v>
      </c>
      <c r="T232" s="107">
        <v>700</v>
      </c>
      <c r="U232" s="107">
        <v>211.72041666666664</v>
      </c>
      <c r="V232" s="107">
        <v>1834.3708333333325</v>
      </c>
      <c r="W232" s="112">
        <f t="shared" si="226"/>
        <v>2746.091249999999</v>
      </c>
      <c r="X232" s="107">
        <v>0</v>
      </c>
      <c r="Y232" s="107">
        <v>515</v>
      </c>
      <c r="Z232" s="107">
        <v>0</v>
      </c>
      <c r="AA232" s="112">
        <f t="shared" si="176"/>
        <v>515</v>
      </c>
      <c r="AC232" s="39">
        <v>3000</v>
      </c>
      <c r="AD232" s="40">
        <f t="shared" si="227"/>
        <v>8983.9804166666654</v>
      </c>
      <c r="AE232" s="1">
        <f t="shared" si="228"/>
        <v>10.8</v>
      </c>
      <c r="AF232" s="1">
        <f t="shared" si="229"/>
        <v>18</v>
      </c>
      <c r="AG232" s="41">
        <f t="shared" si="230"/>
        <v>16.197593850373796</v>
      </c>
      <c r="AI232">
        <v>0.9</v>
      </c>
      <c r="AJ232">
        <v>1.5</v>
      </c>
      <c r="AK232" s="32">
        <f t="shared" ref="AK232:AK242" si="234">+AC232+AD232</f>
        <v>11983.980416666665</v>
      </c>
      <c r="AL232" s="4">
        <f t="shared" ref="AL232:AL242" si="235">+AC232/AK232</f>
        <v>0.25033418744808394</v>
      </c>
      <c r="AM232" s="4">
        <f t="shared" ref="AM232:AM242" si="236">+AD232/AK232</f>
        <v>0.74966581255191611</v>
      </c>
    </row>
    <row r="233" spans="1:39" ht="14.25" customHeight="1" x14ac:dyDescent="0.25">
      <c r="A233" s="114"/>
      <c r="C233" s="1">
        <v>2026</v>
      </c>
      <c r="D233" s="52">
        <v>46143</v>
      </c>
      <c r="E233" s="1">
        <v>6</v>
      </c>
      <c r="F233" s="1" t="str">
        <f>+Precios!C233</f>
        <v>sáb</v>
      </c>
      <c r="G233" s="5">
        <f>+Precios!D233</f>
        <v>46144</v>
      </c>
      <c r="H233" s="107">
        <v>4105.1350000000093</v>
      </c>
      <c r="I233" s="107">
        <v>707.57416666666688</v>
      </c>
      <c r="J233" s="107">
        <v>215.28708333333336</v>
      </c>
      <c r="K233" s="107">
        <v>12.384770833333334</v>
      </c>
      <c r="L233" s="107">
        <v>0</v>
      </c>
      <c r="M233" s="111">
        <f t="shared" si="224"/>
        <v>5040.3810208333434</v>
      </c>
      <c r="N233" s="107">
        <v>12050.304583333334</v>
      </c>
      <c r="O233" s="107">
        <v>1436.0049999999999</v>
      </c>
      <c r="P233" s="107">
        <v>806.71291666666662</v>
      </c>
      <c r="Q233" s="107">
        <v>189.35000000000002</v>
      </c>
      <c r="R233" s="107">
        <v>0</v>
      </c>
      <c r="S233" s="111">
        <f t="shared" si="225"/>
        <v>14482.372500000001</v>
      </c>
      <c r="T233" s="107">
        <v>700</v>
      </c>
      <c r="U233" s="107">
        <v>283.15958333333339</v>
      </c>
      <c r="V233" s="107">
        <v>1469.4804166666684</v>
      </c>
      <c r="W233" s="112">
        <f t="shared" si="226"/>
        <v>2452.6400000000017</v>
      </c>
      <c r="X233" s="107">
        <v>0</v>
      </c>
      <c r="Y233" s="107">
        <v>515</v>
      </c>
      <c r="Z233" s="107">
        <v>0</v>
      </c>
      <c r="AA233" s="112">
        <f t="shared" si="176"/>
        <v>515</v>
      </c>
      <c r="AC233" s="39">
        <v>3000</v>
      </c>
      <c r="AD233" s="40">
        <f t="shared" si="227"/>
        <v>9050.3045833333344</v>
      </c>
      <c r="AE233" s="1">
        <f t="shared" si="228"/>
        <v>10.8</v>
      </c>
      <c r="AF233" s="1">
        <f t="shared" si="229"/>
        <v>18</v>
      </c>
      <c r="AG233" s="41">
        <f t="shared" si="230"/>
        <v>16.207514187660056</v>
      </c>
      <c r="AI233">
        <v>0.9</v>
      </c>
      <c r="AJ233">
        <v>1.5</v>
      </c>
      <c r="AK233" s="32">
        <f t="shared" si="234"/>
        <v>12050.304583333334</v>
      </c>
      <c r="AL233" s="4">
        <f t="shared" si="235"/>
        <v>0.2489563628249922</v>
      </c>
      <c r="AM233" s="4">
        <f t="shared" si="236"/>
        <v>0.75104363717500777</v>
      </c>
    </row>
    <row r="234" spans="1:39" ht="14.25" customHeight="1" x14ac:dyDescent="0.25">
      <c r="A234" s="114"/>
      <c r="C234" s="1">
        <v>2026</v>
      </c>
      <c r="D234" s="52">
        <v>46143</v>
      </c>
      <c r="E234" s="1">
        <v>4</v>
      </c>
      <c r="F234" s="1" t="str">
        <f>+Precios!C234</f>
        <v>dom</v>
      </c>
      <c r="G234" s="5">
        <f>+Precios!D234</f>
        <v>46145</v>
      </c>
      <c r="H234" s="107">
        <v>4127.3333333333403</v>
      </c>
      <c r="I234" s="107">
        <v>866.34</v>
      </c>
      <c r="J234" s="107">
        <v>190.78125000000009</v>
      </c>
      <c r="K234" s="107">
        <v>7.1735416666666687</v>
      </c>
      <c r="L234" s="107">
        <v>0</v>
      </c>
      <c r="M234" s="111">
        <f t="shared" si="224"/>
        <v>5191.6281250000075</v>
      </c>
      <c r="N234" s="107">
        <v>12248.061250000004</v>
      </c>
      <c r="O234" s="107">
        <v>1557.88375</v>
      </c>
      <c r="P234" s="107">
        <v>807.92583333333323</v>
      </c>
      <c r="Q234" s="107">
        <v>189.35000000000002</v>
      </c>
      <c r="R234" s="107">
        <v>0</v>
      </c>
      <c r="S234" s="111">
        <f t="shared" si="225"/>
        <v>14803.220833333336</v>
      </c>
      <c r="T234" s="107">
        <v>700</v>
      </c>
      <c r="U234" s="107">
        <v>200.67000000000004</v>
      </c>
      <c r="V234" s="107">
        <v>1851.910833333334</v>
      </c>
      <c r="W234" s="112">
        <f t="shared" si="226"/>
        <v>2752.5808333333343</v>
      </c>
      <c r="X234" s="107">
        <v>0</v>
      </c>
      <c r="Y234" s="107">
        <v>515</v>
      </c>
      <c r="Z234" s="107">
        <v>0</v>
      </c>
      <c r="AA234" s="112">
        <f t="shared" si="176"/>
        <v>515</v>
      </c>
      <c r="AC234" s="39">
        <v>3000</v>
      </c>
      <c r="AD234" s="40">
        <f t="shared" si="227"/>
        <v>9248.0612500000043</v>
      </c>
      <c r="AE234" s="1">
        <f t="shared" si="228"/>
        <v>10.8</v>
      </c>
      <c r="AF234" s="1">
        <f t="shared" si="229"/>
        <v>18</v>
      </c>
      <c r="AG234" s="41">
        <f t="shared" si="230"/>
        <v>16.236455585981005</v>
      </c>
      <c r="AI234">
        <v>0.9</v>
      </c>
      <c r="AJ234">
        <v>1.5</v>
      </c>
      <c r="AK234" s="32">
        <f t="shared" si="234"/>
        <v>12248.061250000004</v>
      </c>
      <c r="AL234" s="4">
        <f t="shared" si="235"/>
        <v>0.24493672416930468</v>
      </c>
      <c r="AM234" s="4">
        <f t="shared" si="236"/>
        <v>0.75506327583069532</v>
      </c>
    </row>
    <row r="235" spans="1:39" ht="14.25" customHeight="1" x14ac:dyDescent="0.25">
      <c r="A235" s="114"/>
      <c r="C235" s="1">
        <v>2026</v>
      </c>
      <c r="D235" s="52">
        <v>46143</v>
      </c>
      <c r="E235" s="1">
        <v>16</v>
      </c>
      <c r="F235" s="1" t="str">
        <f>+Precios!C235</f>
        <v>lun</v>
      </c>
      <c r="G235" s="5">
        <f>+Precios!D235</f>
        <v>46146</v>
      </c>
      <c r="H235" s="107">
        <v>4101.5508333333382</v>
      </c>
      <c r="I235" s="107">
        <v>1283.7625000000005</v>
      </c>
      <c r="J235" s="107">
        <v>243.64791666666682</v>
      </c>
      <c r="K235" s="107">
        <v>33.550104166666664</v>
      </c>
      <c r="L235" s="107">
        <v>0</v>
      </c>
      <c r="M235" s="111">
        <f>+SUM(H235:L235)</f>
        <v>5662.5113541666724</v>
      </c>
      <c r="N235" s="107">
        <v>12296.917916666669</v>
      </c>
      <c r="O235" s="107">
        <v>1489</v>
      </c>
      <c r="P235" s="107">
        <v>811.37125000000003</v>
      </c>
      <c r="Q235" s="107">
        <v>180.70937500000002</v>
      </c>
      <c r="R235" s="107">
        <v>0</v>
      </c>
      <c r="S235" s="111">
        <f t="shared" si="225"/>
        <v>14777.99854166667</v>
      </c>
      <c r="T235" s="107">
        <v>700</v>
      </c>
      <c r="U235" s="107">
        <v>287.51833333333337</v>
      </c>
      <c r="V235" s="107">
        <v>1528.7016666666686</v>
      </c>
      <c r="W235" s="112">
        <f t="shared" si="226"/>
        <v>2516.2200000000021</v>
      </c>
      <c r="X235" s="107">
        <v>0</v>
      </c>
      <c r="Y235" s="107">
        <v>515</v>
      </c>
      <c r="Z235" s="107">
        <v>0</v>
      </c>
      <c r="AA235" s="112">
        <f t="shared" si="176"/>
        <v>515</v>
      </c>
      <c r="AC235" s="39">
        <v>3000</v>
      </c>
      <c r="AD235" s="40">
        <f t="shared" si="227"/>
        <v>9296.917916666669</v>
      </c>
      <c r="AE235" s="1">
        <f t="shared" si="228"/>
        <v>10.8</v>
      </c>
      <c r="AF235" s="1">
        <f t="shared" si="229"/>
        <v>18</v>
      </c>
      <c r="AG235" s="41">
        <f t="shared" si="230"/>
        <v>16.243462293041382</v>
      </c>
      <c r="AI235">
        <v>0.9</v>
      </c>
      <c r="AJ235">
        <v>1.5</v>
      </c>
      <c r="AK235" s="32">
        <f t="shared" si="234"/>
        <v>12296.917916666669</v>
      </c>
      <c r="AL235" s="4">
        <f t="shared" si="235"/>
        <v>0.24396357041091898</v>
      </c>
      <c r="AM235" s="4">
        <f t="shared" si="236"/>
        <v>0.75603642958908102</v>
      </c>
    </row>
    <row r="236" spans="1:39" ht="14.25" customHeight="1" x14ac:dyDescent="0.25">
      <c r="A236" s="114"/>
      <c r="C236" s="1">
        <v>2026</v>
      </c>
      <c r="D236" s="52">
        <v>46143</v>
      </c>
      <c r="E236" s="1">
        <v>16</v>
      </c>
      <c r="F236" s="1" t="str">
        <f>+Precios!C236</f>
        <v>mar</v>
      </c>
      <c r="G236" s="5">
        <f>+Precios!D236</f>
        <v>46147</v>
      </c>
      <c r="H236" s="107">
        <v>4198.3483333333343</v>
      </c>
      <c r="I236" s="107">
        <v>1317.5595833333334</v>
      </c>
      <c r="J236" s="107">
        <v>218.38291666666672</v>
      </c>
      <c r="K236" s="107">
        <v>64.350875000000016</v>
      </c>
      <c r="L236" s="107">
        <v>0</v>
      </c>
      <c r="M236" s="111">
        <f t="shared" si="224"/>
        <v>5798.6417083333345</v>
      </c>
      <c r="N236" s="107">
        <v>12335.28875</v>
      </c>
      <c r="O236" s="107">
        <v>1476.0370833333334</v>
      </c>
      <c r="P236" s="107">
        <v>814.02958333333333</v>
      </c>
      <c r="Q236" s="107">
        <v>182.82395833333334</v>
      </c>
      <c r="R236" s="107">
        <v>0</v>
      </c>
      <c r="S236" s="111">
        <f t="shared" si="225"/>
        <v>14808.179374999998</v>
      </c>
      <c r="T236" s="107">
        <v>700</v>
      </c>
      <c r="U236" s="107">
        <v>334.315</v>
      </c>
      <c r="V236" s="107">
        <v>909.72458333333225</v>
      </c>
      <c r="W236" s="112">
        <f t="shared" si="226"/>
        <v>1944.0395833333323</v>
      </c>
      <c r="X236" s="107">
        <v>0</v>
      </c>
      <c r="Y236" s="107">
        <v>515</v>
      </c>
      <c r="Z236" s="107">
        <v>0</v>
      </c>
      <c r="AA236" s="112">
        <f t="shared" si="176"/>
        <v>515</v>
      </c>
      <c r="AC236" s="39">
        <v>3000</v>
      </c>
      <c r="AD236" s="40">
        <f t="shared" si="227"/>
        <v>9335.2887499999997</v>
      </c>
      <c r="AE236" s="1">
        <f t="shared" si="228"/>
        <v>10.8</v>
      </c>
      <c r="AF236" s="1">
        <f t="shared" si="229"/>
        <v>18</v>
      </c>
      <c r="AG236" s="41">
        <f t="shared" si="230"/>
        <v>16.248926276654853</v>
      </c>
      <c r="AI236">
        <v>0.9</v>
      </c>
      <c r="AJ236">
        <v>1.5</v>
      </c>
      <c r="AK236" s="32">
        <f t="shared" si="234"/>
        <v>12335.28875</v>
      </c>
      <c r="AL236" s="4">
        <f t="shared" si="235"/>
        <v>0.24320468379793705</v>
      </c>
      <c r="AM236" s="4">
        <f t="shared" si="236"/>
        <v>0.75679531620206297</v>
      </c>
    </row>
    <row r="237" spans="1:39" ht="14.25" customHeight="1" x14ac:dyDescent="0.25">
      <c r="A237" s="114"/>
      <c r="C237" s="1">
        <v>2026</v>
      </c>
      <c r="D237" s="52">
        <v>46143</v>
      </c>
      <c r="E237" s="1">
        <v>16</v>
      </c>
      <c r="F237" s="1" t="str">
        <f>+Precios!C237</f>
        <v>mié</v>
      </c>
      <c r="G237" s="5">
        <f>+Precios!D237</f>
        <v>46148</v>
      </c>
      <c r="H237" s="107">
        <v>4129.4008333333331</v>
      </c>
      <c r="I237" s="107">
        <v>1144.7562499999999</v>
      </c>
      <c r="J237" s="107">
        <v>191.04166666666652</v>
      </c>
      <c r="K237" s="107">
        <v>43.113145833333334</v>
      </c>
      <c r="L237" s="107">
        <v>0</v>
      </c>
      <c r="M237" s="111">
        <f t="shared" si="224"/>
        <v>5508.3118958333325</v>
      </c>
      <c r="N237" s="107">
        <v>12308.772916666665</v>
      </c>
      <c r="O237" s="107">
        <v>1447.3279166666669</v>
      </c>
      <c r="P237" s="107">
        <v>814.03625</v>
      </c>
      <c r="Q237" s="107">
        <v>189.35000000000002</v>
      </c>
      <c r="R237" s="107">
        <v>0</v>
      </c>
      <c r="S237" s="111">
        <f t="shared" si="225"/>
        <v>14759.487083333332</v>
      </c>
      <c r="T237" s="107">
        <v>700</v>
      </c>
      <c r="U237" s="107">
        <v>458.19916666666683</v>
      </c>
      <c r="V237" s="107">
        <v>1368.3774999999996</v>
      </c>
      <c r="W237" s="112">
        <f t="shared" si="226"/>
        <v>2526.5766666666664</v>
      </c>
      <c r="X237" s="107">
        <v>0</v>
      </c>
      <c r="Y237" s="107">
        <v>515</v>
      </c>
      <c r="Z237" s="107">
        <v>0</v>
      </c>
      <c r="AA237" s="112">
        <f t="shared" si="176"/>
        <v>515</v>
      </c>
      <c r="AC237" s="39">
        <v>3000</v>
      </c>
      <c r="AD237" s="40">
        <f t="shared" si="227"/>
        <v>9308.772916666665</v>
      </c>
      <c r="AE237" s="1">
        <f t="shared" si="228"/>
        <v>10.8</v>
      </c>
      <c r="AF237" s="1">
        <f t="shared" si="229"/>
        <v>18</v>
      </c>
      <c r="AG237" s="41">
        <f t="shared" si="230"/>
        <v>16.245154074558272</v>
      </c>
      <c r="AI237">
        <v>0.9</v>
      </c>
      <c r="AJ237">
        <v>1.5</v>
      </c>
      <c r="AK237" s="32">
        <f t="shared" si="234"/>
        <v>12308.772916666665</v>
      </c>
      <c r="AL237" s="4">
        <f t="shared" si="235"/>
        <v>0.24372860075579567</v>
      </c>
      <c r="AM237" s="4">
        <f t="shared" si="236"/>
        <v>0.75627139924420439</v>
      </c>
    </row>
    <row r="238" spans="1:39" ht="14.25" customHeight="1" x14ac:dyDescent="0.25">
      <c r="A238" s="114"/>
      <c r="C238" s="1">
        <v>2026</v>
      </c>
      <c r="D238" s="52">
        <v>46143</v>
      </c>
      <c r="E238" s="1">
        <v>16</v>
      </c>
      <c r="F238" s="1" t="str">
        <f>+Precios!C238</f>
        <v>jue</v>
      </c>
      <c r="G238" s="5">
        <f>+Precios!D238</f>
        <v>46149</v>
      </c>
      <c r="H238" s="107">
        <v>4076.4758333333293</v>
      </c>
      <c r="I238" s="107">
        <v>1040.0724999999995</v>
      </c>
      <c r="J238" s="107">
        <v>190.71541666666678</v>
      </c>
      <c r="K238" s="107">
        <v>12.467416666666669</v>
      </c>
      <c r="L238" s="107">
        <v>0</v>
      </c>
      <c r="M238" s="111">
        <f t="shared" si="224"/>
        <v>5319.7311666666619</v>
      </c>
      <c r="N238" s="107">
        <v>12373.167083333336</v>
      </c>
      <c r="O238" s="107">
        <v>1439.2441666666668</v>
      </c>
      <c r="P238" s="107">
        <v>811.63958333333335</v>
      </c>
      <c r="Q238" s="107">
        <v>189.35000000000002</v>
      </c>
      <c r="R238" s="107">
        <v>0</v>
      </c>
      <c r="S238" s="111">
        <f t="shared" si="225"/>
        <v>14813.400833333337</v>
      </c>
      <c r="T238" s="107">
        <v>700</v>
      </c>
      <c r="U238" s="107">
        <v>228.8329166666667</v>
      </c>
      <c r="V238" s="107">
        <v>1760.0437499999982</v>
      </c>
      <c r="W238" s="112">
        <f t="shared" si="226"/>
        <v>2688.8766666666652</v>
      </c>
      <c r="X238" s="107">
        <v>0</v>
      </c>
      <c r="Y238" s="107">
        <v>515</v>
      </c>
      <c r="Z238" s="107">
        <v>0</v>
      </c>
      <c r="AA238" s="112">
        <f t="shared" si="176"/>
        <v>515</v>
      </c>
      <c r="AC238" s="39">
        <v>3000</v>
      </c>
      <c r="AD238" s="40">
        <f t="shared" si="227"/>
        <v>9373.1670833333355</v>
      </c>
      <c r="AE238" s="1">
        <f t="shared" si="228"/>
        <v>10.8</v>
      </c>
      <c r="AF238" s="1">
        <f t="shared" si="229"/>
        <v>18</v>
      </c>
      <c r="AG238" s="41">
        <f t="shared" si="230"/>
        <v>16.254286889159104</v>
      </c>
      <c r="AI238">
        <v>0.9</v>
      </c>
      <c r="AJ238">
        <v>1.5</v>
      </c>
      <c r="AK238" s="32">
        <f t="shared" si="234"/>
        <v>12373.167083333336</v>
      </c>
      <c r="AL238" s="4">
        <f t="shared" si="235"/>
        <v>0.24246015428345763</v>
      </c>
      <c r="AM238" s="4">
        <f t="shared" si="236"/>
        <v>0.75753984571654231</v>
      </c>
    </row>
    <row r="239" spans="1:39" ht="14.25" customHeight="1" x14ac:dyDescent="0.25">
      <c r="A239" s="114"/>
      <c r="C239" s="1">
        <v>2026</v>
      </c>
      <c r="D239" s="52">
        <v>46143</v>
      </c>
      <c r="E239" s="1">
        <v>16</v>
      </c>
      <c r="F239" s="1" t="str">
        <f>+Precios!C239</f>
        <v>vie</v>
      </c>
      <c r="G239" s="5">
        <f>+Precios!D239</f>
        <v>46150</v>
      </c>
      <c r="H239" s="107">
        <v>4218.6024999999963</v>
      </c>
      <c r="I239" s="107">
        <v>684.53958333333333</v>
      </c>
      <c r="J239" s="107">
        <v>238.91833333333327</v>
      </c>
      <c r="K239" s="107">
        <v>13.091875000000002</v>
      </c>
      <c r="L239" s="107">
        <v>0</v>
      </c>
      <c r="M239" s="111">
        <f t="shared" si="224"/>
        <v>5155.1522916666627</v>
      </c>
      <c r="N239" s="107">
        <v>12680.327500000003</v>
      </c>
      <c r="O239" s="107">
        <v>1507.5179166666667</v>
      </c>
      <c r="P239" s="107">
        <v>863.38125000000002</v>
      </c>
      <c r="Q239" s="107">
        <v>188.35000000000002</v>
      </c>
      <c r="R239" s="107">
        <v>0</v>
      </c>
      <c r="S239" s="111">
        <f t="shared" si="225"/>
        <v>15239.576666666671</v>
      </c>
      <c r="T239" s="107">
        <v>700</v>
      </c>
      <c r="U239" s="107">
        <v>190.67625000000001</v>
      </c>
      <c r="V239" s="107">
        <v>2137.3525000000022</v>
      </c>
      <c r="W239" s="112">
        <f t="shared" si="226"/>
        <v>3028.0287500000022</v>
      </c>
      <c r="X239" s="107">
        <v>0</v>
      </c>
      <c r="Y239" s="107">
        <v>515</v>
      </c>
      <c r="Z239" s="107">
        <v>0</v>
      </c>
      <c r="AA239" s="112">
        <f t="shared" si="176"/>
        <v>515</v>
      </c>
      <c r="AC239" s="39">
        <v>3000</v>
      </c>
      <c r="AD239" s="40">
        <f t="shared" si="227"/>
        <v>9680.3275000000031</v>
      </c>
      <c r="AE239" s="1">
        <f t="shared" si="228"/>
        <v>10.8</v>
      </c>
      <c r="AF239" s="1">
        <f t="shared" si="229"/>
        <v>18</v>
      </c>
      <c r="AG239" s="41">
        <f t="shared" si="230"/>
        <v>16.296573964670866</v>
      </c>
      <c r="AI239">
        <v>0.9</v>
      </c>
      <c r="AJ239">
        <v>1.5</v>
      </c>
      <c r="AK239" s="32">
        <f t="shared" si="234"/>
        <v>12680.327500000003</v>
      </c>
      <c r="AL239" s="4">
        <f t="shared" si="235"/>
        <v>0.23658694935126867</v>
      </c>
      <c r="AM239" s="4">
        <f t="shared" si="236"/>
        <v>0.76341305064873133</v>
      </c>
    </row>
    <row r="240" spans="1:39" ht="14.25" customHeight="1" x14ac:dyDescent="0.25">
      <c r="A240" s="114"/>
      <c r="C240" s="1">
        <v>2026</v>
      </c>
      <c r="D240" s="52">
        <v>46143</v>
      </c>
      <c r="E240" s="1">
        <v>6</v>
      </c>
      <c r="F240" s="1" t="str">
        <f>+Precios!C240</f>
        <v>sáb</v>
      </c>
      <c r="G240" s="5">
        <f>+Precios!D240</f>
        <v>46151</v>
      </c>
      <c r="H240" s="107">
        <v>4267.4737499999947</v>
      </c>
      <c r="I240" s="107">
        <v>657.65875000000017</v>
      </c>
      <c r="J240" s="107">
        <v>298.83958333333322</v>
      </c>
      <c r="K240" s="107">
        <v>35.466666666666669</v>
      </c>
      <c r="L240" s="107">
        <v>0</v>
      </c>
      <c r="M240" s="111">
        <f t="shared" si="224"/>
        <v>5259.4387499999948</v>
      </c>
      <c r="N240" s="107">
        <v>12939.116250000003</v>
      </c>
      <c r="O240" s="107">
        <v>1529.0516666666667</v>
      </c>
      <c r="P240" s="107">
        <v>890.17666666666651</v>
      </c>
      <c r="Q240" s="107">
        <v>189.9319375</v>
      </c>
      <c r="R240" s="107">
        <v>0</v>
      </c>
      <c r="S240" s="111">
        <f t="shared" si="225"/>
        <v>15548.276520833335</v>
      </c>
      <c r="T240" s="107">
        <v>700</v>
      </c>
      <c r="U240" s="107">
        <v>314.84458333333339</v>
      </c>
      <c r="V240" s="107">
        <v>1871.9995833333332</v>
      </c>
      <c r="W240" s="112">
        <f t="shared" si="226"/>
        <v>2886.8441666666668</v>
      </c>
      <c r="X240" s="107">
        <v>0</v>
      </c>
      <c r="Y240" s="107">
        <v>515</v>
      </c>
      <c r="Z240" s="107">
        <v>0</v>
      </c>
      <c r="AA240" s="112">
        <f t="shared" si="176"/>
        <v>515</v>
      </c>
      <c r="AC240" s="39">
        <v>3000</v>
      </c>
      <c r="AD240" s="40">
        <f t="shared" si="227"/>
        <v>9939.1162500000028</v>
      </c>
      <c r="AE240" s="1">
        <f t="shared" si="228"/>
        <v>10.8</v>
      </c>
      <c r="AF240" s="1">
        <f t="shared" si="229"/>
        <v>18</v>
      </c>
      <c r="AG240" s="41">
        <f t="shared" si="230"/>
        <v>16.330643331224419</v>
      </c>
      <c r="AI240">
        <v>0.9</v>
      </c>
      <c r="AJ240">
        <v>1.5</v>
      </c>
      <c r="AK240" s="32">
        <f t="shared" si="234"/>
        <v>12939.116250000003</v>
      </c>
      <c r="AL240" s="4">
        <f t="shared" si="235"/>
        <v>0.23185509288549744</v>
      </c>
      <c r="AM240" s="4">
        <f t="shared" si="236"/>
        <v>0.76814490711450256</v>
      </c>
    </row>
    <row r="241" spans="1:39" ht="14.25" customHeight="1" x14ac:dyDescent="0.25">
      <c r="A241" s="114"/>
      <c r="C241" s="1">
        <v>2026</v>
      </c>
      <c r="D241" s="52">
        <v>46143</v>
      </c>
      <c r="E241" s="1">
        <v>4</v>
      </c>
      <c r="F241" s="1" t="str">
        <f>+Precios!C241</f>
        <v>dom</v>
      </c>
      <c r="G241" s="5">
        <f>+Precios!D241</f>
        <v>46152</v>
      </c>
      <c r="H241" s="107">
        <v>3922.9849999999924</v>
      </c>
      <c r="I241" s="107">
        <v>638.58249999999987</v>
      </c>
      <c r="J241" s="107">
        <v>292.70333333333366</v>
      </c>
      <c r="K241" s="107">
        <v>43.352437500000001</v>
      </c>
      <c r="L241" s="107">
        <v>0</v>
      </c>
      <c r="M241" s="111">
        <f t="shared" si="224"/>
        <v>4897.6232708333255</v>
      </c>
      <c r="N241" s="107">
        <v>12918.410833333335</v>
      </c>
      <c r="O241" s="107">
        <v>1542.6241666666667</v>
      </c>
      <c r="P241" s="107">
        <v>890.17374999999993</v>
      </c>
      <c r="Q241" s="107">
        <v>196.35416666666669</v>
      </c>
      <c r="R241" s="107">
        <v>0</v>
      </c>
      <c r="S241" s="111">
        <f t="shared" si="225"/>
        <v>15547.562916666668</v>
      </c>
      <c r="T241" s="107">
        <v>700</v>
      </c>
      <c r="U241" s="107">
        <v>306.11</v>
      </c>
      <c r="V241" s="107">
        <v>1566.8841666666656</v>
      </c>
      <c r="W241" s="112">
        <f t="shared" si="226"/>
        <v>2572.9941666666655</v>
      </c>
      <c r="X241" s="107">
        <v>0</v>
      </c>
      <c r="Y241" s="107">
        <v>515</v>
      </c>
      <c r="Z241" s="107">
        <v>0</v>
      </c>
      <c r="AA241" s="112">
        <f t="shared" si="176"/>
        <v>515</v>
      </c>
      <c r="AC241" s="39">
        <v>3000</v>
      </c>
      <c r="AD241" s="40">
        <f t="shared" si="227"/>
        <v>9918.4108333333352</v>
      </c>
      <c r="AE241" s="1">
        <f t="shared" si="228"/>
        <v>10.8</v>
      </c>
      <c r="AF241" s="1">
        <f t="shared" si="229"/>
        <v>18</v>
      </c>
      <c r="AG241" s="41">
        <f t="shared" si="230"/>
        <v>16.327967713779035</v>
      </c>
      <c r="AI241">
        <v>0.9</v>
      </c>
      <c r="AJ241">
        <v>1.5</v>
      </c>
      <c r="AK241" s="32">
        <f t="shared" si="234"/>
        <v>12918.410833333335</v>
      </c>
      <c r="AL241" s="4">
        <f t="shared" si="235"/>
        <v>0.23222670641957827</v>
      </c>
      <c r="AM241" s="4">
        <f t="shared" si="236"/>
        <v>0.76777329358042168</v>
      </c>
    </row>
    <row r="242" spans="1:39" ht="14.25" customHeight="1" x14ac:dyDescent="0.25">
      <c r="A242" s="114"/>
      <c r="C242" s="1">
        <v>2026</v>
      </c>
      <c r="D242" s="52">
        <v>46143</v>
      </c>
      <c r="E242" s="1">
        <v>16</v>
      </c>
      <c r="F242" s="1" t="str">
        <f>+Precios!C242</f>
        <v>lun</v>
      </c>
      <c r="G242" s="5">
        <f>+Precios!D242</f>
        <v>46153</v>
      </c>
      <c r="H242" s="107">
        <v>4015.2245833333336</v>
      </c>
      <c r="I242" s="107">
        <v>488.18499999999989</v>
      </c>
      <c r="J242" s="107">
        <v>295.87708333333347</v>
      </c>
      <c r="K242" s="107">
        <v>71.912374999999983</v>
      </c>
      <c r="L242" s="107">
        <v>0</v>
      </c>
      <c r="M242" s="111">
        <f>+SUM(H242:L242)</f>
        <v>4871.1990416666667</v>
      </c>
      <c r="N242" s="107">
        <v>12897.548750000005</v>
      </c>
      <c r="O242" s="107">
        <v>1391.3641666666667</v>
      </c>
      <c r="P242" s="107">
        <v>889.06208333333325</v>
      </c>
      <c r="Q242" s="107">
        <v>196.8</v>
      </c>
      <c r="R242" s="107">
        <v>0</v>
      </c>
      <c r="S242" s="111">
        <f t="shared" si="225"/>
        <v>15374.775000000005</v>
      </c>
      <c r="T242" s="107">
        <v>700</v>
      </c>
      <c r="U242" s="107">
        <v>451.78208333333328</v>
      </c>
      <c r="V242" s="107">
        <v>1683.059583333333</v>
      </c>
      <c r="W242" s="112">
        <f t="shared" si="226"/>
        <v>2834.8416666666662</v>
      </c>
      <c r="X242" s="107">
        <v>0</v>
      </c>
      <c r="Y242" s="107">
        <v>515</v>
      </c>
      <c r="Z242" s="107">
        <v>0</v>
      </c>
      <c r="AA242" s="112">
        <f t="shared" si="176"/>
        <v>515</v>
      </c>
      <c r="AC242" s="39">
        <v>3000</v>
      </c>
      <c r="AD242" s="40">
        <f t="shared" si="227"/>
        <v>9897.5487500000054</v>
      </c>
      <c r="AE242" s="1">
        <f t="shared" si="228"/>
        <v>10.8</v>
      </c>
      <c r="AF242" s="1">
        <f t="shared" si="229"/>
        <v>18</v>
      </c>
      <c r="AG242" s="41">
        <f t="shared" si="230"/>
        <v>16.325263162893648</v>
      </c>
      <c r="AI242">
        <v>0.9</v>
      </c>
      <c r="AJ242">
        <v>1.5</v>
      </c>
      <c r="AK242" s="32">
        <f t="shared" si="234"/>
        <v>12897.548750000005</v>
      </c>
      <c r="AL242" s="4">
        <f t="shared" si="235"/>
        <v>0.23260233848699341</v>
      </c>
      <c r="AM242" s="4">
        <f t="shared" si="236"/>
        <v>0.76739766151300659</v>
      </c>
    </row>
    <row r="243" spans="1:39" ht="14.25" customHeight="1" x14ac:dyDescent="0.25">
      <c r="A243" s="114"/>
      <c r="C243" s="1">
        <v>2026</v>
      </c>
      <c r="D243" s="52">
        <v>46143</v>
      </c>
      <c r="E243" s="1">
        <v>16</v>
      </c>
      <c r="F243" s="1" t="str">
        <f>+Precios!C243</f>
        <v>mar</v>
      </c>
      <c r="G243" s="5">
        <f>+Precios!D243</f>
        <v>46154</v>
      </c>
      <c r="H243" s="107">
        <v>4173.7920833333355</v>
      </c>
      <c r="I243" s="107">
        <v>615.0412500000001</v>
      </c>
      <c r="J243" s="107">
        <v>243.25666666666675</v>
      </c>
      <c r="K243" s="107">
        <v>47.979541666666655</v>
      </c>
      <c r="L243" s="107">
        <v>0</v>
      </c>
      <c r="M243" s="111">
        <f t="shared" si="224"/>
        <v>5080.0695416666695</v>
      </c>
      <c r="N243" s="107">
        <v>12830.532083333339</v>
      </c>
      <c r="O243" s="107">
        <v>1518.3237499999998</v>
      </c>
      <c r="P243" s="107">
        <v>889.05791666666653</v>
      </c>
      <c r="Q243" s="107">
        <v>196.85000000000002</v>
      </c>
      <c r="R243" s="107">
        <v>0</v>
      </c>
      <c r="S243" s="111">
        <f t="shared" ref="S243:S250" si="237">SUM(N243:R243)</f>
        <v>15434.763750000006</v>
      </c>
      <c r="T243" s="107">
        <v>700</v>
      </c>
      <c r="U243" s="107">
        <v>427.30833333333334</v>
      </c>
      <c r="V243" s="107">
        <v>1467.2429166666655</v>
      </c>
      <c r="W243" s="112">
        <f t="shared" ref="W243:W250" si="238">SUM(T243:V243)</f>
        <v>2594.5512499999986</v>
      </c>
      <c r="X243" s="107">
        <v>0</v>
      </c>
      <c r="Y243" s="107">
        <v>515</v>
      </c>
      <c r="Z243" s="107">
        <v>0</v>
      </c>
      <c r="AA243" s="112">
        <f t="shared" ref="AA243:AA250" si="239">SUM(X243:Z243)</f>
        <v>515</v>
      </c>
      <c r="AC243" s="39">
        <v>3000</v>
      </c>
      <c r="AD243" s="40">
        <f t="shared" ref="AD243:AD250" si="240">+N243-AC243</f>
        <v>9830.532083333339</v>
      </c>
      <c r="AE243" s="1">
        <f t="shared" ref="AE243:AE250" si="241">12*AI243</f>
        <v>10.8</v>
      </c>
      <c r="AF243" s="1">
        <f t="shared" ref="AF243:AF250" si="242">12*AJ243</f>
        <v>18</v>
      </c>
      <c r="AG243" s="41">
        <f t="shared" ref="AG243:AG250" si="243">+(AC243*AE243+AF243*AD243)/SUM(AC243:AD243)</f>
        <v>16.3165156472304</v>
      </c>
      <c r="AI243">
        <v>0.9</v>
      </c>
      <c r="AJ243">
        <v>1.5</v>
      </c>
      <c r="AK243" s="32">
        <f t="shared" ref="AK243:AK250" si="244">+AC243+AD243</f>
        <v>12830.532083333339</v>
      </c>
      <c r="AL243" s="4">
        <f t="shared" ref="AL243:AL250" si="245">+AC243/AK243</f>
        <v>0.23381727121799986</v>
      </c>
      <c r="AM243" s="4">
        <f t="shared" ref="AM243:AM250" si="246">+AD243/AK243</f>
        <v>0.76618272878200011</v>
      </c>
    </row>
    <row r="244" spans="1:39" ht="14.25" customHeight="1" x14ac:dyDescent="0.25">
      <c r="A244" s="114"/>
      <c r="C244" s="1">
        <v>2026</v>
      </c>
      <c r="D244" s="52">
        <v>46143</v>
      </c>
      <c r="E244" s="1">
        <v>16</v>
      </c>
      <c r="F244" s="1" t="str">
        <f>+Precios!C244</f>
        <v>mié</v>
      </c>
      <c r="G244" s="5">
        <f>+Precios!D244</f>
        <v>46155</v>
      </c>
      <c r="H244" s="107">
        <v>4329.2616666666645</v>
      </c>
      <c r="I244" s="107">
        <v>665.64958333333345</v>
      </c>
      <c r="J244" s="107">
        <v>281.49291666666687</v>
      </c>
      <c r="K244" s="107">
        <v>62.925520833333337</v>
      </c>
      <c r="L244" s="107">
        <v>0</v>
      </c>
      <c r="M244" s="111">
        <f t="shared" si="224"/>
        <v>5339.3296874999987</v>
      </c>
      <c r="N244" s="107">
        <v>12886.345416666669</v>
      </c>
      <c r="O244" s="107">
        <v>1525.1520833333334</v>
      </c>
      <c r="P244" s="107">
        <v>889.03583333333324</v>
      </c>
      <c r="Q244" s="107">
        <v>190.85000000000002</v>
      </c>
      <c r="R244" s="107">
        <v>0</v>
      </c>
      <c r="S244" s="111">
        <f t="shared" si="237"/>
        <v>15491.383333333335</v>
      </c>
      <c r="T244" s="107">
        <v>700</v>
      </c>
      <c r="U244" s="107">
        <v>375.94041666666664</v>
      </c>
      <c r="V244" s="107">
        <v>1173.6862499999995</v>
      </c>
      <c r="W244" s="112">
        <f t="shared" si="238"/>
        <v>2249.6266666666661</v>
      </c>
      <c r="X244" s="107">
        <v>0</v>
      </c>
      <c r="Y244" s="107">
        <v>447.63875000000002</v>
      </c>
      <c r="Z244" s="107">
        <v>0</v>
      </c>
      <c r="AA244" s="112">
        <f t="shared" si="239"/>
        <v>447.63875000000002</v>
      </c>
      <c r="AC244" s="39">
        <v>3000</v>
      </c>
      <c r="AD244" s="40">
        <f t="shared" si="240"/>
        <v>9886.3454166666688</v>
      </c>
      <c r="AE244" s="1">
        <f t="shared" si="241"/>
        <v>10.8</v>
      </c>
      <c r="AF244" s="1">
        <f t="shared" si="242"/>
        <v>18</v>
      </c>
      <c r="AG244" s="41">
        <f t="shared" si="243"/>
        <v>16.323807153883717</v>
      </c>
      <c r="AI244">
        <v>0.9</v>
      </c>
      <c r="AJ244">
        <v>1.5</v>
      </c>
      <c r="AK244" s="32">
        <f t="shared" si="244"/>
        <v>12886.345416666669</v>
      </c>
      <c r="AL244" s="4">
        <f t="shared" si="245"/>
        <v>0.23280456196059462</v>
      </c>
      <c r="AM244" s="4">
        <f t="shared" si="246"/>
        <v>0.76719543803940538</v>
      </c>
    </row>
    <row r="245" spans="1:39" ht="14.25" customHeight="1" x14ac:dyDescent="0.25">
      <c r="A245" s="114"/>
      <c r="C245" s="1">
        <v>2026</v>
      </c>
      <c r="D245" s="52">
        <v>46143</v>
      </c>
      <c r="E245" s="1">
        <v>16</v>
      </c>
      <c r="F245" s="1" t="str">
        <f>+Precios!C245</f>
        <v>jue</v>
      </c>
      <c r="G245" s="5">
        <f>+Precios!D245</f>
        <v>46156</v>
      </c>
      <c r="H245" s="107">
        <v>4325.4266666666745</v>
      </c>
      <c r="I245" s="107">
        <v>723.43833333333339</v>
      </c>
      <c r="J245" s="107">
        <v>211.07208333333338</v>
      </c>
      <c r="K245" s="107">
        <v>92.193958333333299</v>
      </c>
      <c r="L245" s="107">
        <v>0</v>
      </c>
      <c r="M245" s="111">
        <f t="shared" si="224"/>
        <v>5352.1310416666747</v>
      </c>
      <c r="N245" s="107">
        <v>12872.765416666671</v>
      </c>
      <c r="O245" s="107">
        <v>1531.5670833333334</v>
      </c>
      <c r="P245" s="107">
        <v>884.05333333333328</v>
      </c>
      <c r="Q245" s="107">
        <v>184.57343750000001</v>
      </c>
      <c r="R245" s="107">
        <v>0</v>
      </c>
      <c r="S245" s="111">
        <f t="shared" si="237"/>
        <v>15472.959270833337</v>
      </c>
      <c r="T245" s="107">
        <v>700</v>
      </c>
      <c r="U245" s="107">
        <v>373.60416666666669</v>
      </c>
      <c r="V245" s="107">
        <v>576.44499999999982</v>
      </c>
      <c r="W245" s="112">
        <f t="shared" si="238"/>
        <v>1650.0491666666667</v>
      </c>
      <c r="X245" s="107">
        <v>0</v>
      </c>
      <c r="Y245" s="107">
        <v>415</v>
      </c>
      <c r="Z245" s="107">
        <v>0</v>
      </c>
      <c r="AA245" s="112">
        <f t="shared" si="239"/>
        <v>415</v>
      </c>
      <c r="AC245" s="39">
        <v>3000</v>
      </c>
      <c r="AD245" s="40">
        <f t="shared" si="240"/>
        <v>9872.7654166666707</v>
      </c>
      <c r="AE245" s="1">
        <f t="shared" si="241"/>
        <v>10.8</v>
      </c>
      <c r="AF245" s="1">
        <f t="shared" si="242"/>
        <v>18</v>
      </c>
      <c r="AG245" s="41">
        <f t="shared" si="243"/>
        <v>16.322038870370932</v>
      </c>
      <c r="AI245">
        <v>0.9</v>
      </c>
      <c r="AJ245">
        <v>1.5</v>
      </c>
      <c r="AK245" s="32">
        <f t="shared" si="244"/>
        <v>12872.765416666671</v>
      </c>
      <c r="AL245" s="4">
        <f t="shared" si="245"/>
        <v>0.23305015689292605</v>
      </c>
      <c r="AM245" s="4">
        <f t="shared" si="246"/>
        <v>0.76694984310707393</v>
      </c>
    </row>
    <row r="246" spans="1:39" ht="14.25" customHeight="1" x14ac:dyDescent="0.25">
      <c r="A246" s="114"/>
      <c r="C246" s="1">
        <v>2026</v>
      </c>
      <c r="D246" s="52">
        <v>46143</v>
      </c>
      <c r="E246" s="1">
        <v>16</v>
      </c>
      <c r="F246" s="1" t="str">
        <f>+Precios!C246</f>
        <v>vie</v>
      </c>
      <c r="G246" s="5">
        <f>+Precios!D246</f>
        <v>46157</v>
      </c>
      <c r="H246" s="107">
        <v>4284.4079166666697</v>
      </c>
      <c r="I246" s="107">
        <v>602.8275000000001</v>
      </c>
      <c r="J246" s="107">
        <v>217.95625000000041</v>
      </c>
      <c r="K246" s="107">
        <v>71.606979166666633</v>
      </c>
      <c r="L246" s="107">
        <v>0</v>
      </c>
      <c r="M246" s="111">
        <f t="shared" si="224"/>
        <v>5176.7986458333371</v>
      </c>
      <c r="N246" s="107">
        <v>12663.534583333336</v>
      </c>
      <c r="O246" s="107">
        <v>1526.9075000000003</v>
      </c>
      <c r="P246" s="107">
        <v>906.33624999999995</v>
      </c>
      <c r="Q246" s="107">
        <v>177.67370833333337</v>
      </c>
      <c r="R246" s="107">
        <v>0</v>
      </c>
      <c r="S246" s="111">
        <f t="shared" si="237"/>
        <v>15274.452041666669</v>
      </c>
      <c r="T246" s="107">
        <v>700</v>
      </c>
      <c r="U246" s="107">
        <v>360.89916666666664</v>
      </c>
      <c r="V246" s="107">
        <v>1468.9599999999998</v>
      </c>
      <c r="W246" s="112">
        <f t="shared" si="238"/>
        <v>2529.8591666666662</v>
      </c>
      <c r="X246" s="107">
        <v>0</v>
      </c>
      <c r="Y246" s="107">
        <v>415</v>
      </c>
      <c r="Z246" s="107">
        <v>0</v>
      </c>
      <c r="AA246" s="112">
        <f t="shared" si="239"/>
        <v>415</v>
      </c>
      <c r="AC246" s="39">
        <v>3000</v>
      </c>
      <c r="AD246" s="40">
        <f t="shared" si="240"/>
        <v>9663.5345833333358</v>
      </c>
      <c r="AE246" s="1">
        <f t="shared" si="241"/>
        <v>10.8</v>
      </c>
      <c r="AF246" s="1">
        <f t="shared" si="242"/>
        <v>18</v>
      </c>
      <c r="AG246" s="41">
        <f t="shared" si="243"/>
        <v>16.294315077843429</v>
      </c>
      <c r="AI246">
        <v>0.9</v>
      </c>
      <c r="AJ246">
        <v>1.5</v>
      </c>
      <c r="AK246" s="32">
        <f t="shared" si="244"/>
        <v>12663.534583333336</v>
      </c>
      <c r="AL246" s="4">
        <f t="shared" si="245"/>
        <v>0.23690068363285746</v>
      </c>
      <c r="AM246" s="4">
        <f t="shared" si="246"/>
        <v>0.76309931636714257</v>
      </c>
    </row>
    <row r="247" spans="1:39" ht="14.25" customHeight="1" x14ac:dyDescent="0.25">
      <c r="A247" s="114"/>
      <c r="C247" s="1">
        <v>2026</v>
      </c>
      <c r="D247" s="52">
        <v>46143</v>
      </c>
      <c r="E247" s="1">
        <v>6</v>
      </c>
      <c r="F247" s="1" t="str">
        <f>+Precios!C247</f>
        <v>sáb</v>
      </c>
      <c r="G247" s="5">
        <f>+Precios!D247</f>
        <v>46158</v>
      </c>
      <c r="H247" s="107">
        <v>4281.4012499999926</v>
      </c>
      <c r="I247" s="107">
        <v>391.40874999999988</v>
      </c>
      <c r="J247" s="107">
        <v>203.1783333333334</v>
      </c>
      <c r="K247" s="107">
        <v>59.473666666666681</v>
      </c>
      <c r="L247" s="107">
        <v>0</v>
      </c>
      <c r="M247" s="111">
        <f t="shared" si="224"/>
        <v>4935.4619999999923</v>
      </c>
      <c r="N247" s="107">
        <v>12682.093333333332</v>
      </c>
      <c r="O247" s="107">
        <v>1325.68875</v>
      </c>
      <c r="P247" s="107">
        <v>927.94583333333321</v>
      </c>
      <c r="Q247" s="107">
        <v>186.8</v>
      </c>
      <c r="R247" s="107">
        <v>0</v>
      </c>
      <c r="S247" s="111">
        <f t="shared" si="237"/>
        <v>15122.527916666664</v>
      </c>
      <c r="T247" s="107">
        <v>700</v>
      </c>
      <c r="U247" s="107">
        <v>361.83041666666668</v>
      </c>
      <c r="V247" s="107">
        <v>1113.2683333333323</v>
      </c>
      <c r="W247" s="112">
        <f t="shared" si="238"/>
        <v>2175.0987499999992</v>
      </c>
      <c r="X247" s="107">
        <v>0</v>
      </c>
      <c r="Y247" s="107">
        <v>415</v>
      </c>
      <c r="Z247" s="107">
        <v>0</v>
      </c>
      <c r="AA247" s="112">
        <f t="shared" si="239"/>
        <v>415</v>
      </c>
      <c r="AC247" s="39">
        <v>3000</v>
      </c>
      <c r="AD247" s="40">
        <f t="shared" si="240"/>
        <v>9682.0933333333323</v>
      </c>
      <c r="AE247" s="1">
        <f t="shared" si="241"/>
        <v>10.8</v>
      </c>
      <c r="AF247" s="1">
        <f t="shared" si="242"/>
        <v>18</v>
      </c>
      <c r="AG247" s="41">
        <f t="shared" si="243"/>
        <v>16.296811146845368</v>
      </c>
      <c r="AI247">
        <v>0.9</v>
      </c>
      <c r="AJ247">
        <v>1.5</v>
      </c>
      <c r="AK247" s="32">
        <f t="shared" si="244"/>
        <v>12682.093333333332</v>
      </c>
      <c r="AL247" s="4">
        <f t="shared" si="245"/>
        <v>0.23655400738258775</v>
      </c>
      <c r="AM247" s="4">
        <f t="shared" si="246"/>
        <v>0.76344599261741219</v>
      </c>
    </row>
    <row r="248" spans="1:39" ht="14.25" customHeight="1" x14ac:dyDescent="0.25">
      <c r="A248" s="114"/>
      <c r="C248" s="1">
        <v>2026</v>
      </c>
      <c r="D248" s="52">
        <v>46143</v>
      </c>
      <c r="E248" s="1">
        <v>4</v>
      </c>
      <c r="F248" s="1" t="str">
        <f>+Precios!C248</f>
        <v>dom</v>
      </c>
      <c r="G248" s="5">
        <f>+Precios!D248</f>
        <v>46159</v>
      </c>
      <c r="H248" s="107">
        <v>4176.1016666666592</v>
      </c>
      <c r="I248" s="107">
        <v>576.92583333333312</v>
      </c>
      <c r="J248" s="107">
        <v>209.06291666666661</v>
      </c>
      <c r="K248" s="107">
        <v>55.083375000000018</v>
      </c>
      <c r="L248" s="107">
        <v>0</v>
      </c>
      <c r="M248" s="111">
        <f t="shared" si="224"/>
        <v>5017.1737916666589</v>
      </c>
      <c r="N248" s="107">
        <v>12770.711250000002</v>
      </c>
      <c r="O248" s="107">
        <v>1268.57375</v>
      </c>
      <c r="P248" s="107">
        <v>924.98916666666662</v>
      </c>
      <c r="Q248" s="107">
        <v>186.85000000000002</v>
      </c>
      <c r="R248" s="107">
        <v>0</v>
      </c>
      <c r="S248" s="111">
        <f t="shared" si="237"/>
        <v>15151.124166666668</v>
      </c>
      <c r="T248" s="107">
        <v>700</v>
      </c>
      <c r="U248" s="107">
        <v>360.79625000000004</v>
      </c>
      <c r="V248" s="107">
        <v>991.9237499999989</v>
      </c>
      <c r="W248" s="112">
        <f t="shared" si="238"/>
        <v>2052.7199999999989</v>
      </c>
      <c r="X248" s="107">
        <v>0</v>
      </c>
      <c r="Y248" s="107">
        <v>415</v>
      </c>
      <c r="Z248" s="107">
        <v>0</v>
      </c>
      <c r="AA248" s="112">
        <f t="shared" si="239"/>
        <v>415</v>
      </c>
      <c r="AC248" s="39">
        <v>3000</v>
      </c>
      <c r="AD248" s="40">
        <f t="shared" si="240"/>
        <v>9770.7112500000021</v>
      </c>
      <c r="AE248" s="1">
        <f t="shared" si="241"/>
        <v>10.8</v>
      </c>
      <c r="AF248" s="1">
        <f t="shared" si="242"/>
        <v>18</v>
      </c>
      <c r="AG248" s="41">
        <f t="shared" si="243"/>
        <v>16.308629834536429</v>
      </c>
      <c r="AI248">
        <v>0.9</v>
      </c>
      <c r="AJ248">
        <v>1.5</v>
      </c>
      <c r="AK248" s="32">
        <f t="shared" si="244"/>
        <v>12770.711250000002</v>
      </c>
      <c r="AL248" s="4">
        <f t="shared" si="245"/>
        <v>0.23491252298105161</v>
      </c>
      <c r="AM248" s="4">
        <f t="shared" si="246"/>
        <v>0.76508747701894841</v>
      </c>
    </row>
    <row r="249" spans="1:39" ht="14.25" customHeight="1" x14ac:dyDescent="0.25">
      <c r="A249" s="114"/>
      <c r="C249" s="1">
        <v>2026</v>
      </c>
      <c r="D249" s="52">
        <v>46143</v>
      </c>
      <c r="E249" s="1">
        <v>16</v>
      </c>
      <c r="F249" s="1" t="str">
        <f>+Precios!C249</f>
        <v>lun</v>
      </c>
      <c r="G249" s="5">
        <f>+Precios!D249</f>
        <v>46160</v>
      </c>
      <c r="H249" s="107">
        <v>5034.8787499999935</v>
      </c>
      <c r="I249" s="107">
        <v>684.6945833333333</v>
      </c>
      <c r="J249" s="107">
        <v>216.9145833333333</v>
      </c>
      <c r="K249" s="107">
        <v>83.646062499999985</v>
      </c>
      <c r="L249" s="107">
        <v>0</v>
      </c>
      <c r="M249" s="111">
        <f t="shared" si="224"/>
        <v>6020.1339791666596</v>
      </c>
      <c r="N249" s="107">
        <v>12973.735000000001</v>
      </c>
      <c r="O249" s="107">
        <v>1258.8062499999999</v>
      </c>
      <c r="P249" s="107">
        <v>924.9516666666666</v>
      </c>
      <c r="Q249" s="107">
        <v>186.85000000000002</v>
      </c>
      <c r="R249" s="107">
        <v>0</v>
      </c>
      <c r="S249" s="111">
        <f t="shared" si="237"/>
        <v>15344.342916666666</v>
      </c>
      <c r="T249" s="107">
        <v>700</v>
      </c>
      <c r="U249" s="107">
        <v>360.49416666666656</v>
      </c>
      <c r="V249" s="107">
        <v>1196.017916666666</v>
      </c>
      <c r="W249" s="112">
        <f t="shared" si="238"/>
        <v>2256.5120833333326</v>
      </c>
      <c r="X249" s="107">
        <v>0</v>
      </c>
      <c r="Y249" s="107">
        <v>415</v>
      </c>
      <c r="Z249" s="107">
        <v>0</v>
      </c>
      <c r="AA249" s="112">
        <f t="shared" si="239"/>
        <v>415</v>
      </c>
      <c r="AC249" s="39">
        <v>3000</v>
      </c>
      <c r="AD249" s="40">
        <f t="shared" si="240"/>
        <v>9973.7350000000006</v>
      </c>
      <c r="AE249" s="1">
        <f t="shared" si="241"/>
        <v>10.8</v>
      </c>
      <c r="AF249" s="1">
        <f t="shared" si="242"/>
        <v>18</v>
      </c>
      <c r="AG249" s="41">
        <f t="shared" si="243"/>
        <v>16.335097795661774</v>
      </c>
      <c r="AI249">
        <v>0.9</v>
      </c>
      <c r="AJ249">
        <v>1.5</v>
      </c>
      <c r="AK249" s="32">
        <f t="shared" si="244"/>
        <v>12973.735000000001</v>
      </c>
      <c r="AL249" s="4">
        <f t="shared" si="245"/>
        <v>0.23123641726919811</v>
      </c>
      <c r="AM249" s="4">
        <f t="shared" si="246"/>
        <v>0.76876358273080192</v>
      </c>
    </row>
    <row r="250" spans="1:39" ht="14.25" customHeight="1" x14ac:dyDescent="0.25">
      <c r="A250" s="114"/>
      <c r="C250" s="1">
        <v>2026</v>
      </c>
      <c r="D250" s="52">
        <v>46143</v>
      </c>
      <c r="E250" s="1">
        <v>16</v>
      </c>
      <c r="F250" s="1" t="str">
        <f>+Precios!C250</f>
        <v>mar</v>
      </c>
      <c r="G250" s="5">
        <f>+Precios!D250</f>
        <v>46161</v>
      </c>
      <c r="H250" s="107">
        <v>5411.1866666666656</v>
      </c>
      <c r="I250" s="107">
        <v>708.84666666666669</v>
      </c>
      <c r="J250" s="107">
        <v>242.69458333333318</v>
      </c>
      <c r="K250" s="107">
        <v>67.214791666666684</v>
      </c>
      <c r="L250" s="107">
        <v>0</v>
      </c>
      <c r="M250" s="111">
        <f t="shared" si="224"/>
        <v>6429.9427083333312</v>
      </c>
      <c r="N250" s="107">
        <v>12908.61083333333</v>
      </c>
      <c r="O250" s="107">
        <v>1260.3541666666667</v>
      </c>
      <c r="P250" s="107">
        <v>924.9587499999999</v>
      </c>
      <c r="Q250" s="107">
        <v>186.8</v>
      </c>
      <c r="R250" s="107">
        <v>0</v>
      </c>
      <c r="S250" s="111">
        <f t="shared" si="237"/>
        <v>15280.723749999996</v>
      </c>
      <c r="T250" s="107">
        <v>700</v>
      </c>
      <c r="U250" s="107">
        <v>350.06375000000003</v>
      </c>
      <c r="V250" s="107">
        <v>1237.6658333333326</v>
      </c>
      <c r="W250" s="112">
        <f t="shared" si="238"/>
        <v>2287.7295833333328</v>
      </c>
      <c r="X250" s="107">
        <v>0</v>
      </c>
      <c r="Y250" s="107">
        <v>415</v>
      </c>
      <c r="Z250" s="107">
        <v>0</v>
      </c>
      <c r="AA250" s="112">
        <f t="shared" si="239"/>
        <v>415</v>
      </c>
      <c r="AC250" s="39">
        <v>3000</v>
      </c>
      <c r="AD250" s="40">
        <f t="shared" si="240"/>
        <v>9908.6108333333304</v>
      </c>
      <c r="AE250" s="1">
        <f t="shared" si="241"/>
        <v>10.8</v>
      </c>
      <c r="AF250" s="1">
        <f t="shared" si="242"/>
        <v>18</v>
      </c>
      <c r="AG250" s="41">
        <f t="shared" si="243"/>
        <v>16.326698335019653</v>
      </c>
      <c r="AI250">
        <v>0.9</v>
      </c>
      <c r="AJ250">
        <v>1.5</v>
      </c>
      <c r="AK250" s="32">
        <f t="shared" si="244"/>
        <v>12908.61083333333</v>
      </c>
      <c r="AL250" s="4">
        <f t="shared" si="245"/>
        <v>0.23240300902504812</v>
      </c>
      <c r="AM250" s="4">
        <f t="shared" si="246"/>
        <v>0.76759699097495182</v>
      </c>
    </row>
    <row r="251" spans="1:39" ht="14.25" customHeight="1" x14ac:dyDescent="0.25">
      <c r="A251" s="114"/>
      <c r="C251" s="1">
        <v>2026</v>
      </c>
      <c r="D251" s="52">
        <v>46143</v>
      </c>
      <c r="E251" s="1">
        <v>16</v>
      </c>
      <c r="F251" s="1" t="str">
        <f>+Precios!C251</f>
        <v>mié</v>
      </c>
      <c r="G251" s="5">
        <f>+Precios!D251</f>
        <v>46162</v>
      </c>
      <c r="H251" s="107">
        <v>5209.0295833333321</v>
      </c>
      <c r="I251" s="107">
        <v>810.15291666666678</v>
      </c>
      <c r="J251" s="107">
        <v>306.47458333333333</v>
      </c>
      <c r="K251" s="107">
        <v>72.912312500000013</v>
      </c>
      <c r="L251" s="107">
        <v>0</v>
      </c>
      <c r="M251" s="111">
        <f t="shared" ref="M251:M256" si="247">+SUM(H251:L251)</f>
        <v>6398.5693958333322</v>
      </c>
      <c r="N251" s="107">
        <v>12947.789583333337</v>
      </c>
      <c r="O251" s="107">
        <v>1262.6554166666667</v>
      </c>
      <c r="P251" s="107">
        <v>924.95749999999998</v>
      </c>
      <c r="Q251" s="107">
        <v>186.85000000000002</v>
      </c>
      <c r="R251" s="107">
        <v>0</v>
      </c>
      <c r="S251" s="111">
        <f t="shared" ref="S251:S256" si="248">SUM(N251:R251)</f>
        <v>15322.252500000004</v>
      </c>
      <c r="T251" s="107">
        <v>700</v>
      </c>
      <c r="U251" s="107">
        <v>350.89083333333332</v>
      </c>
      <c r="V251" s="107">
        <v>1069.3454166666659</v>
      </c>
      <c r="W251" s="112">
        <f t="shared" ref="W251:W256" si="249">SUM(T251:V251)</f>
        <v>2120.236249999999</v>
      </c>
      <c r="X251" s="107">
        <v>0</v>
      </c>
      <c r="Y251" s="107">
        <v>415</v>
      </c>
      <c r="Z251" s="107">
        <v>0</v>
      </c>
      <c r="AA251" s="112">
        <f t="shared" ref="AA251:AA256" si="250">SUM(X251:Z251)</f>
        <v>415</v>
      </c>
      <c r="AC251" s="39">
        <v>3000</v>
      </c>
      <c r="AD251" s="40">
        <f t="shared" ref="AD251:AD256" si="251">+N251-AC251</f>
        <v>9947.7895833333369</v>
      </c>
      <c r="AE251" s="1">
        <f t="shared" ref="AE251:AE256" si="252">12*AI251</f>
        <v>10.8</v>
      </c>
      <c r="AF251" s="1">
        <f t="shared" ref="AF251:AF256" si="253">12*AJ251</f>
        <v>18</v>
      </c>
      <c r="AG251" s="41">
        <f t="shared" ref="AG251:AG256" si="254">+(AC251*AE251+AF251*AD251)/SUM(AC251:AD251)</f>
        <v>16.331761582857048</v>
      </c>
      <c r="AI251">
        <v>0.9</v>
      </c>
      <c r="AJ251">
        <v>1.5</v>
      </c>
      <c r="AK251" s="32">
        <f t="shared" ref="AK251:AK256" si="255">+AC251+AD251</f>
        <v>12947.789583333337</v>
      </c>
      <c r="AL251" s="4">
        <f t="shared" ref="AL251:AL256" si="256">+AC251/AK251</f>
        <v>0.23169978015874326</v>
      </c>
      <c r="AM251" s="4">
        <f t="shared" ref="AM251:AM256" si="257">+AD251/AK251</f>
        <v>0.76830021984125674</v>
      </c>
    </row>
    <row r="252" spans="1:39" ht="14.25" customHeight="1" x14ac:dyDescent="0.25">
      <c r="A252" s="114"/>
      <c r="C252" s="1">
        <v>2026</v>
      </c>
      <c r="D252" s="52">
        <v>46143</v>
      </c>
      <c r="E252" s="1">
        <v>16</v>
      </c>
      <c r="F252" s="1" t="str">
        <f>+Precios!C252</f>
        <v>jue</v>
      </c>
      <c r="G252" s="5">
        <f>+Precios!D252</f>
        <v>46163</v>
      </c>
      <c r="H252" s="107">
        <v>5435.7537499999971</v>
      </c>
      <c r="I252" s="107">
        <v>731.21333333333348</v>
      </c>
      <c r="J252" s="107">
        <v>301.73416666666674</v>
      </c>
      <c r="K252" s="107">
        <v>99.20406250000002</v>
      </c>
      <c r="L252" s="107">
        <v>0</v>
      </c>
      <c r="M252" s="111">
        <f t="shared" si="247"/>
        <v>6567.9053124999973</v>
      </c>
      <c r="N252" s="107">
        <v>12866.559166666662</v>
      </c>
      <c r="O252" s="107">
        <v>1284.3491666666666</v>
      </c>
      <c r="P252" s="107">
        <v>929.06291666666664</v>
      </c>
      <c r="Q252" s="107">
        <v>186.8</v>
      </c>
      <c r="R252" s="107">
        <v>0</v>
      </c>
      <c r="S252" s="111">
        <f t="shared" si="248"/>
        <v>15266.771249999994</v>
      </c>
      <c r="T252" s="107">
        <v>700</v>
      </c>
      <c r="U252" s="107">
        <v>357.4375</v>
      </c>
      <c r="V252" s="107">
        <v>683.81916666666712</v>
      </c>
      <c r="W252" s="112">
        <f t="shared" si="249"/>
        <v>1741.2566666666671</v>
      </c>
      <c r="X252" s="107">
        <v>0</v>
      </c>
      <c r="Y252" s="107">
        <v>415</v>
      </c>
      <c r="Z252" s="107">
        <v>0</v>
      </c>
      <c r="AA252" s="112">
        <f t="shared" si="250"/>
        <v>415</v>
      </c>
      <c r="AC252" s="39">
        <v>3000</v>
      </c>
      <c r="AD252" s="40">
        <f t="shared" si="251"/>
        <v>9866.5591666666623</v>
      </c>
      <c r="AE252" s="1">
        <f t="shared" si="252"/>
        <v>10.8</v>
      </c>
      <c r="AF252" s="1">
        <f t="shared" si="253"/>
        <v>18</v>
      </c>
      <c r="AG252" s="41">
        <f t="shared" si="254"/>
        <v>16.321229497318985</v>
      </c>
      <c r="AI252">
        <v>0.9</v>
      </c>
      <c r="AJ252">
        <v>1.5</v>
      </c>
      <c r="AK252" s="32">
        <f t="shared" si="255"/>
        <v>12866.559166666662</v>
      </c>
      <c r="AL252" s="4">
        <f t="shared" si="256"/>
        <v>0.2331625698168075</v>
      </c>
      <c r="AM252" s="4">
        <f t="shared" si="257"/>
        <v>0.7668374301831925</v>
      </c>
    </row>
    <row r="253" spans="1:39" ht="14.25" customHeight="1" x14ac:dyDescent="0.25">
      <c r="A253" s="114"/>
      <c r="C253" s="1">
        <v>2026</v>
      </c>
      <c r="D253" s="52">
        <v>46143</v>
      </c>
      <c r="E253" s="1">
        <v>16</v>
      </c>
      <c r="F253" s="1" t="str">
        <f>+Precios!C253</f>
        <v>vie</v>
      </c>
      <c r="G253" s="5">
        <f>+Precios!D253</f>
        <v>46164</v>
      </c>
      <c r="H253" s="107">
        <v>5296.4254166666697</v>
      </c>
      <c r="I253" s="107">
        <v>672.46291666666684</v>
      </c>
      <c r="J253" s="107">
        <v>269.12500000000028</v>
      </c>
      <c r="K253" s="107">
        <v>82.567770833333313</v>
      </c>
      <c r="L253" s="107">
        <v>0</v>
      </c>
      <c r="M253" s="111">
        <f t="shared" si="247"/>
        <v>6320.5811041666693</v>
      </c>
      <c r="N253" s="107">
        <v>12869.460833333325</v>
      </c>
      <c r="O253" s="107">
        <v>1218.5041666666666</v>
      </c>
      <c r="P253" s="107">
        <v>934.08249999999998</v>
      </c>
      <c r="Q253" s="107">
        <v>185.8</v>
      </c>
      <c r="R253" s="107">
        <v>0</v>
      </c>
      <c r="S253" s="111">
        <f t="shared" si="248"/>
        <v>15207.847499999993</v>
      </c>
      <c r="T253" s="107">
        <v>700</v>
      </c>
      <c r="U253" s="107">
        <v>357.07958333333335</v>
      </c>
      <c r="V253" s="107">
        <v>1022.8458333333328</v>
      </c>
      <c r="W253" s="112">
        <f t="shared" si="249"/>
        <v>2079.925416666666</v>
      </c>
      <c r="X253" s="107">
        <v>0</v>
      </c>
      <c r="Y253" s="107">
        <v>415</v>
      </c>
      <c r="Z253" s="107">
        <v>0</v>
      </c>
      <c r="AA253" s="112">
        <f t="shared" si="250"/>
        <v>415</v>
      </c>
      <c r="AC253" s="39">
        <v>3000</v>
      </c>
      <c r="AD253" s="40">
        <f t="shared" si="251"/>
        <v>9869.4608333333254</v>
      </c>
      <c r="AE253" s="1">
        <f t="shared" si="252"/>
        <v>10.8</v>
      </c>
      <c r="AF253" s="1">
        <f t="shared" si="253"/>
        <v>18</v>
      </c>
      <c r="AG253" s="41">
        <f t="shared" si="254"/>
        <v>16.321608008312701</v>
      </c>
      <c r="AI253">
        <v>0.9</v>
      </c>
      <c r="AJ253">
        <v>1.5</v>
      </c>
      <c r="AK253" s="32">
        <f t="shared" si="255"/>
        <v>12869.460833333325</v>
      </c>
      <c r="AL253" s="4">
        <f t="shared" si="256"/>
        <v>0.23310999884545813</v>
      </c>
      <c r="AM253" s="4">
        <f t="shared" si="257"/>
        <v>0.76689000115454187</v>
      </c>
    </row>
    <row r="254" spans="1:39" ht="14.25" customHeight="1" x14ac:dyDescent="0.25">
      <c r="A254" s="114"/>
      <c r="C254" s="1">
        <v>2026</v>
      </c>
      <c r="D254" s="52">
        <v>46143</v>
      </c>
      <c r="E254" s="1">
        <v>6</v>
      </c>
      <c r="F254" s="1" t="str">
        <f>+Precios!C254</f>
        <v>sáb</v>
      </c>
      <c r="G254" s="5">
        <f>+Precios!D254</f>
        <v>46165</v>
      </c>
      <c r="H254" s="107">
        <v>4387.7920833333292</v>
      </c>
      <c r="I254" s="107">
        <v>832.36833333333379</v>
      </c>
      <c r="J254" s="107">
        <v>186.3475000000002</v>
      </c>
      <c r="K254" s="107">
        <v>77.030583333333325</v>
      </c>
      <c r="L254" s="107">
        <v>0</v>
      </c>
      <c r="M254" s="111">
        <f t="shared" si="247"/>
        <v>5483.538499999996</v>
      </c>
      <c r="N254" s="107">
        <v>12350.390833333329</v>
      </c>
      <c r="O254" s="107">
        <v>1243.5079166666667</v>
      </c>
      <c r="P254" s="107">
        <v>934.07958333333329</v>
      </c>
      <c r="Q254" s="107">
        <v>185.75</v>
      </c>
      <c r="R254" s="107">
        <v>0</v>
      </c>
      <c r="S254" s="111">
        <f t="shared" si="248"/>
        <v>14713.728333333331</v>
      </c>
      <c r="T254" s="107">
        <v>700</v>
      </c>
      <c r="U254" s="107">
        <v>358.01125000000002</v>
      </c>
      <c r="V254" s="107">
        <v>1310.6241666666656</v>
      </c>
      <c r="W254" s="112">
        <f t="shared" si="249"/>
        <v>2368.6354166666656</v>
      </c>
      <c r="X254" s="107">
        <v>0</v>
      </c>
      <c r="Y254" s="107">
        <v>415</v>
      </c>
      <c r="Z254" s="107">
        <v>0</v>
      </c>
      <c r="AA254" s="112">
        <f t="shared" si="250"/>
        <v>415</v>
      </c>
      <c r="AC254" s="39">
        <v>3000</v>
      </c>
      <c r="AD254" s="40">
        <f t="shared" si="251"/>
        <v>9350.3908333333293</v>
      </c>
      <c r="AE254" s="1">
        <f t="shared" si="252"/>
        <v>10.8</v>
      </c>
      <c r="AF254" s="1">
        <f t="shared" si="253"/>
        <v>18</v>
      </c>
      <c r="AG254" s="41">
        <f t="shared" si="254"/>
        <v>16.251067493208211</v>
      </c>
      <c r="AI254">
        <v>0.9</v>
      </c>
      <c r="AJ254">
        <v>1.5</v>
      </c>
      <c r="AK254" s="32">
        <f t="shared" si="255"/>
        <v>12350.390833333329</v>
      </c>
      <c r="AL254" s="4">
        <f t="shared" si="256"/>
        <v>0.24290729260997079</v>
      </c>
      <c r="AM254" s="4">
        <f t="shared" si="257"/>
        <v>0.75709270739002921</v>
      </c>
    </row>
    <row r="255" spans="1:39" ht="14.25" customHeight="1" x14ac:dyDescent="0.25">
      <c r="A255" s="114"/>
      <c r="C255" s="1">
        <v>2026</v>
      </c>
      <c r="D255" s="52">
        <v>46143</v>
      </c>
      <c r="E255" s="1">
        <v>4</v>
      </c>
      <c r="F255" s="1" t="str">
        <f>+Precios!C255</f>
        <v>dom</v>
      </c>
      <c r="G255" s="5">
        <f>+Precios!D255</f>
        <v>46166</v>
      </c>
      <c r="H255" s="107">
        <v>4335.7037500000015</v>
      </c>
      <c r="I255" s="107">
        <v>665.31999999999982</v>
      </c>
      <c r="J255" s="107">
        <v>172.0070833333333</v>
      </c>
      <c r="K255" s="107">
        <v>41.883812500000005</v>
      </c>
      <c r="L255" s="107">
        <v>0</v>
      </c>
      <c r="M255" s="111">
        <f t="shared" si="247"/>
        <v>5214.9146458333344</v>
      </c>
      <c r="N255" s="107">
        <v>12310.132083333334</v>
      </c>
      <c r="O255" s="107">
        <v>1387.8516666666667</v>
      </c>
      <c r="P255" s="107">
        <v>934.07583333333332</v>
      </c>
      <c r="Q255" s="107">
        <v>185.8</v>
      </c>
      <c r="R255" s="107">
        <v>0</v>
      </c>
      <c r="S255" s="111">
        <f t="shared" si="248"/>
        <v>14817.859583333335</v>
      </c>
      <c r="T255" s="107">
        <v>700</v>
      </c>
      <c r="U255" s="107">
        <v>298.41291666666666</v>
      </c>
      <c r="V255" s="107">
        <v>1399.7825000000018</v>
      </c>
      <c r="W255" s="112">
        <f t="shared" si="249"/>
        <v>2398.1954166666683</v>
      </c>
      <c r="X255" s="107">
        <v>0</v>
      </c>
      <c r="Y255" s="107">
        <v>464.72208333333333</v>
      </c>
      <c r="Z255" s="107">
        <v>0</v>
      </c>
      <c r="AA255" s="112">
        <f t="shared" si="250"/>
        <v>464.72208333333333</v>
      </c>
      <c r="AC255" s="39">
        <v>3000</v>
      </c>
      <c r="AD255" s="40">
        <f t="shared" si="251"/>
        <v>9310.1320833333339</v>
      </c>
      <c r="AE255" s="1">
        <f t="shared" si="252"/>
        <v>10.8</v>
      </c>
      <c r="AF255" s="1">
        <f t="shared" si="253"/>
        <v>18</v>
      </c>
      <c r="AG255" s="41">
        <f t="shared" si="254"/>
        <v>16.24534782780729</v>
      </c>
      <c r="AI255">
        <v>0.9</v>
      </c>
      <c r="AJ255">
        <v>1.5</v>
      </c>
      <c r="AK255" s="32">
        <f t="shared" si="255"/>
        <v>12310.132083333334</v>
      </c>
      <c r="AL255" s="4">
        <f t="shared" si="256"/>
        <v>0.24370169058232077</v>
      </c>
      <c r="AM255" s="4">
        <f t="shared" si="257"/>
        <v>0.75629830941767917</v>
      </c>
    </row>
    <row r="256" spans="1:39" ht="14.25" customHeight="1" x14ac:dyDescent="0.25">
      <c r="A256" s="114"/>
      <c r="C256" s="1">
        <v>2026</v>
      </c>
      <c r="D256" s="52">
        <v>46143</v>
      </c>
      <c r="E256" s="1">
        <v>4</v>
      </c>
      <c r="F256" s="1" t="str">
        <f>+Precios!C256</f>
        <v>lun</v>
      </c>
      <c r="G256" s="5">
        <f>+Precios!D256</f>
        <v>46167</v>
      </c>
      <c r="H256" s="107">
        <v>4271.5679166666769</v>
      </c>
      <c r="I256" s="107">
        <v>960.41750000000013</v>
      </c>
      <c r="J256" s="107">
        <v>178.90125</v>
      </c>
      <c r="K256" s="107">
        <v>63.921854166666677</v>
      </c>
      <c r="L256" s="107">
        <v>0</v>
      </c>
      <c r="M256" s="111">
        <f t="shared" si="247"/>
        <v>5474.8085208333441</v>
      </c>
      <c r="N256" s="107">
        <v>12257.271250000005</v>
      </c>
      <c r="O256" s="107">
        <v>1519.2258333333332</v>
      </c>
      <c r="P256" s="107">
        <v>937.50666666666655</v>
      </c>
      <c r="Q256" s="107">
        <v>185.75</v>
      </c>
      <c r="R256" s="107">
        <v>0</v>
      </c>
      <c r="S256" s="111">
        <f t="shared" si="248"/>
        <v>14899.753750000005</v>
      </c>
      <c r="T256" s="107">
        <v>700</v>
      </c>
      <c r="U256" s="107">
        <v>401.91666666666669</v>
      </c>
      <c r="V256" s="107">
        <v>882.09249999999895</v>
      </c>
      <c r="W256" s="112">
        <f t="shared" si="249"/>
        <v>1984.0091666666658</v>
      </c>
      <c r="X256" s="107">
        <v>0</v>
      </c>
      <c r="Y256" s="107">
        <v>515</v>
      </c>
      <c r="Z256" s="107">
        <v>0</v>
      </c>
      <c r="AA256" s="112">
        <f t="shared" si="250"/>
        <v>515</v>
      </c>
      <c r="AC256" s="39">
        <v>3000</v>
      </c>
      <c r="AD256" s="40">
        <f t="shared" si="251"/>
        <v>9257.2712500000052</v>
      </c>
      <c r="AE256" s="1">
        <f t="shared" si="252"/>
        <v>10.8</v>
      </c>
      <c r="AF256" s="1">
        <f t="shared" si="253"/>
        <v>18</v>
      </c>
      <c r="AG256" s="41">
        <f t="shared" si="254"/>
        <v>16.237780696906746</v>
      </c>
      <c r="AI256">
        <v>0.9</v>
      </c>
      <c r="AJ256">
        <v>1.5</v>
      </c>
      <c r="AK256" s="32">
        <f t="shared" si="255"/>
        <v>12257.271250000005</v>
      </c>
      <c r="AL256" s="4">
        <f t="shared" si="256"/>
        <v>0.2447526809851743</v>
      </c>
      <c r="AM256" s="4">
        <f t="shared" si="257"/>
        <v>0.75524731901482567</v>
      </c>
    </row>
    <row r="257" spans="1:39" ht="14.25" customHeight="1" x14ac:dyDescent="0.25">
      <c r="A257" s="114"/>
      <c r="C257" s="1">
        <v>2026</v>
      </c>
      <c r="D257" s="52">
        <v>46143</v>
      </c>
      <c r="E257" s="1">
        <v>16</v>
      </c>
      <c r="F257" s="1" t="str">
        <f>+Precios!C257</f>
        <v>mar</v>
      </c>
      <c r="G257" s="5">
        <f>+Precios!D257</f>
        <v>46168</v>
      </c>
      <c r="H257" s="107">
        <v>4539.1570833333226</v>
      </c>
      <c r="I257" s="107">
        <v>1257.9733333333329</v>
      </c>
      <c r="J257" s="107">
        <v>186.84583333333345</v>
      </c>
      <c r="K257" s="107">
        <v>72.403499999999994</v>
      </c>
      <c r="L257" s="107">
        <v>0</v>
      </c>
      <c r="M257" s="111">
        <f t="shared" ref="M257:M261" si="258">+SUM(H257:L257)</f>
        <v>6056.3797499999901</v>
      </c>
      <c r="N257" s="107">
        <v>12647.852083333333</v>
      </c>
      <c r="O257" s="107">
        <v>1539.7454166666669</v>
      </c>
      <c r="P257" s="107">
        <v>939.22541666666655</v>
      </c>
      <c r="Q257" s="107">
        <v>185.8</v>
      </c>
      <c r="R257" s="107">
        <v>0</v>
      </c>
      <c r="S257" s="111">
        <f t="shared" ref="S257:S261" si="259">SUM(N257:R257)</f>
        <v>15312.622916666665</v>
      </c>
      <c r="T257" s="107">
        <v>700</v>
      </c>
      <c r="U257" s="107">
        <v>432.2091666666667</v>
      </c>
      <c r="V257" s="107">
        <v>907.66041666666752</v>
      </c>
      <c r="W257" s="112">
        <f t="shared" ref="W257:W261" si="260">SUM(T257:V257)</f>
        <v>2039.8695833333343</v>
      </c>
      <c r="X257" s="107">
        <v>0</v>
      </c>
      <c r="Y257" s="107">
        <v>515</v>
      </c>
      <c r="Z257" s="107">
        <v>0</v>
      </c>
      <c r="AA257" s="112">
        <f t="shared" ref="AA257:AA261" si="261">SUM(X257:Z257)</f>
        <v>515</v>
      </c>
      <c r="AC257" s="39">
        <v>3000</v>
      </c>
      <c r="AD257" s="40">
        <f t="shared" ref="AD257:AD261" si="262">+N257-AC257</f>
        <v>9647.8520833333332</v>
      </c>
      <c r="AE257" s="1">
        <f t="shared" ref="AE257:AE261" si="263">12*AI257</f>
        <v>10.8</v>
      </c>
      <c r="AF257" s="1">
        <f t="shared" ref="AF257:AF261" si="264">12*AJ257</f>
        <v>18</v>
      </c>
      <c r="AG257" s="41">
        <f t="shared" ref="AG257:AG261" si="265">+(AC257*AE257+AF257*AD257)/SUM(AC257:AD257)</f>
        <v>16.292200141361288</v>
      </c>
      <c r="AI257">
        <v>0.9</v>
      </c>
      <c r="AJ257">
        <v>1.5</v>
      </c>
      <c r="AK257" s="32">
        <f t="shared" ref="AK257:AK261" si="266">+AC257+AD257</f>
        <v>12647.852083333333</v>
      </c>
      <c r="AL257" s="4">
        <f t="shared" ref="AL257:AL261" si="267">+AC257/AK257</f>
        <v>0.23719442481093217</v>
      </c>
      <c r="AM257" s="4">
        <f t="shared" ref="AM257:AM261" si="268">+AD257/AK257</f>
        <v>0.76280557518906789</v>
      </c>
    </row>
    <row r="258" spans="1:39" ht="14.25" customHeight="1" x14ac:dyDescent="0.25">
      <c r="A258" s="114"/>
      <c r="C258" s="1">
        <v>2026</v>
      </c>
      <c r="D258" s="52">
        <v>46143</v>
      </c>
      <c r="E258" s="1">
        <v>16</v>
      </c>
      <c r="F258" s="1" t="str">
        <f>+Precios!C258</f>
        <v>mié</v>
      </c>
      <c r="G258" s="5">
        <f>+Precios!D258</f>
        <v>46169</v>
      </c>
      <c r="H258" s="107">
        <v>4544.7483333333421</v>
      </c>
      <c r="I258" s="107">
        <v>1312.5108333333333</v>
      </c>
      <c r="J258" s="107">
        <v>223.28291666666675</v>
      </c>
      <c r="K258" s="107">
        <v>83.471270833333392</v>
      </c>
      <c r="L258" s="107">
        <v>0</v>
      </c>
      <c r="M258" s="111">
        <f t="shared" si="258"/>
        <v>6164.0133541666764</v>
      </c>
      <c r="N258" s="107">
        <v>12604.579166666672</v>
      </c>
      <c r="O258" s="107">
        <v>1528.3054166666668</v>
      </c>
      <c r="P258" s="107">
        <v>940.93999999999994</v>
      </c>
      <c r="Q258" s="107">
        <v>189.86654166666668</v>
      </c>
      <c r="R258" s="107">
        <v>0</v>
      </c>
      <c r="S258" s="111">
        <f t="shared" si="259"/>
        <v>15263.691125000005</v>
      </c>
      <c r="T258" s="107">
        <v>700</v>
      </c>
      <c r="U258" s="107">
        <v>426.49291666666659</v>
      </c>
      <c r="V258" s="107">
        <v>954.17541666666602</v>
      </c>
      <c r="W258" s="112">
        <f t="shared" si="260"/>
        <v>2080.6683333333326</v>
      </c>
      <c r="X258" s="107">
        <v>0</v>
      </c>
      <c r="Y258" s="107">
        <v>515</v>
      </c>
      <c r="Z258" s="107">
        <v>0</v>
      </c>
      <c r="AA258" s="112">
        <f t="shared" si="261"/>
        <v>515</v>
      </c>
      <c r="AC258" s="39">
        <v>3000</v>
      </c>
      <c r="AD258" s="40">
        <f t="shared" si="262"/>
        <v>9604.5791666666719</v>
      </c>
      <c r="AE258" s="1">
        <f t="shared" si="263"/>
        <v>10.8</v>
      </c>
      <c r="AF258" s="1">
        <f t="shared" si="264"/>
        <v>18</v>
      </c>
      <c r="AG258" s="41">
        <f t="shared" si="265"/>
        <v>16.286337075249438</v>
      </c>
      <c r="AI258">
        <v>0.9</v>
      </c>
      <c r="AJ258">
        <v>1.5</v>
      </c>
      <c r="AK258" s="32">
        <f t="shared" si="266"/>
        <v>12604.579166666672</v>
      </c>
      <c r="AL258" s="4">
        <f t="shared" si="267"/>
        <v>0.23800873954868906</v>
      </c>
      <c r="AM258" s="4">
        <f t="shared" si="268"/>
        <v>0.76199126045131094</v>
      </c>
    </row>
    <row r="259" spans="1:39" ht="14.25" customHeight="1" x14ac:dyDescent="0.25">
      <c r="A259" s="114"/>
      <c r="C259" s="1">
        <v>2026</v>
      </c>
      <c r="D259" s="52">
        <v>46143</v>
      </c>
      <c r="E259" s="1">
        <v>16</v>
      </c>
      <c r="F259" s="1" t="str">
        <f>+Precios!C259</f>
        <v>jue</v>
      </c>
      <c r="G259" s="5">
        <f>+Precios!D259</f>
        <v>46170</v>
      </c>
      <c r="H259" s="107">
        <v>4811.3450000000021</v>
      </c>
      <c r="I259" s="107">
        <v>1058.8079166666666</v>
      </c>
      <c r="J259" s="107">
        <v>196.84833333333324</v>
      </c>
      <c r="K259" s="107">
        <v>79.496020833333347</v>
      </c>
      <c r="L259" s="107">
        <v>0</v>
      </c>
      <c r="M259" s="111">
        <f t="shared" si="258"/>
        <v>6146.4972708333353</v>
      </c>
      <c r="N259" s="107">
        <v>12287.202916666669</v>
      </c>
      <c r="O259" s="107">
        <v>1465.3566666666666</v>
      </c>
      <c r="P259" s="107">
        <v>940.93208333333325</v>
      </c>
      <c r="Q259" s="107">
        <v>193.8</v>
      </c>
      <c r="R259" s="107">
        <v>0</v>
      </c>
      <c r="S259" s="111">
        <f t="shared" si="259"/>
        <v>14887.291666666668</v>
      </c>
      <c r="T259" s="107">
        <v>700</v>
      </c>
      <c r="U259" s="107">
        <v>432.32249999999999</v>
      </c>
      <c r="V259" s="107">
        <v>782.64666666666574</v>
      </c>
      <c r="W259" s="112">
        <f t="shared" si="260"/>
        <v>1914.9691666666658</v>
      </c>
      <c r="X259" s="107">
        <v>0</v>
      </c>
      <c r="Y259" s="107">
        <v>515</v>
      </c>
      <c r="Z259" s="107">
        <v>0</v>
      </c>
      <c r="AA259" s="112">
        <f t="shared" si="261"/>
        <v>515</v>
      </c>
      <c r="AC259" s="39">
        <v>3000</v>
      </c>
      <c r="AD259" s="40">
        <f t="shared" si="262"/>
        <v>9287.2029166666689</v>
      </c>
      <c r="AE259" s="1">
        <f t="shared" si="263"/>
        <v>10.8</v>
      </c>
      <c r="AF259" s="1">
        <f t="shared" si="264"/>
        <v>18</v>
      </c>
      <c r="AG259" s="41">
        <f t="shared" si="265"/>
        <v>16.242073468917713</v>
      </c>
      <c r="AI259">
        <v>0.9</v>
      </c>
      <c r="AJ259">
        <v>1.5</v>
      </c>
      <c r="AK259" s="32">
        <f t="shared" si="266"/>
        <v>12287.202916666669</v>
      </c>
      <c r="AL259" s="4">
        <f t="shared" si="267"/>
        <v>0.24415646265031768</v>
      </c>
      <c r="AM259" s="4">
        <f t="shared" si="268"/>
        <v>0.75584353734968235</v>
      </c>
    </row>
    <row r="260" spans="1:39" ht="14.25" customHeight="1" x14ac:dyDescent="0.25">
      <c r="A260" s="114"/>
      <c r="C260" s="1">
        <v>2026</v>
      </c>
      <c r="D260" s="52">
        <v>46143</v>
      </c>
      <c r="E260" s="1">
        <v>16</v>
      </c>
      <c r="F260" s="1" t="str">
        <f>+Precios!C260</f>
        <v>vie</v>
      </c>
      <c r="G260" s="5">
        <f>+Precios!D260</f>
        <v>46171</v>
      </c>
      <c r="H260" s="107">
        <v>4665.9100000000008</v>
      </c>
      <c r="I260" s="107">
        <v>1072.8891666666668</v>
      </c>
      <c r="J260" s="107">
        <v>164.70916666666662</v>
      </c>
      <c r="K260" s="107">
        <v>71.675958333333355</v>
      </c>
      <c r="L260" s="107">
        <v>0</v>
      </c>
      <c r="M260" s="111">
        <f t="shared" si="258"/>
        <v>5975.1842916666674</v>
      </c>
      <c r="N260" s="107">
        <v>12366.595416666671</v>
      </c>
      <c r="O260" s="107">
        <v>1526.11625</v>
      </c>
      <c r="P260" s="107">
        <v>938.92791666666653</v>
      </c>
      <c r="Q260" s="107">
        <v>191.28125</v>
      </c>
      <c r="R260" s="107">
        <v>0</v>
      </c>
      <c r="S260" s="111">
        <f t="shared" si="259"/>
        <v>15022.920833333337</v>
      </c>
      <c r="T260" s="107">
        <v>700</v>
      </c>
      <c r="U260" s="107">
        <v>427.64916666666659</v>
      </c>
      <c r="V260" s="107">
        <v>605.82416666666688</v>
      </c>
      <c r="W260" s="112">
        <f t="shared" si="260"/>
        <v>1733.4733333333334</v>
      </c>
      <c r="X260" s="107">
        <v>0</v>
      </c>
      <c r="Y260" s="107">
        <v>515</v>
      </c>
      <c r="Z260" s="107">
        <v>0</v>
      </c>
      <c r="AA260" s="112">
        <f t="shared" si="261"/>
        <v>515</v>
      </c>
      <c r="AC260" s="39">
        <v>3000</v>
      </c>
      <c r="AD260" s="40">
        <f t="shared" si="262"/>
        <v>9366.5954166666706</v>
      </c>
      <c r="AE260" s="1">
        <f t="shared" si="263"/>
        <v>10.8</v>
      </c>
      <c r="AF260" s="1">
        <f t="shared" si="264"/>
        <v>18</v>
      </c>
      <c r="AG260" s="41">
        <f t="shared" si="265"/>
        <v>16.25335920904396</v>
      </c>
      <c r="AI260">
        <v>0.9</v>
      </c>
      <c r="AJ260">
        <v>1.5</v>
      </c>
      <c r="AK260" s="32">
        <f t="shared" si="266"/>
        <v>12366.595416666671</v>
      </c>
      <c r="AL260" s="4">
        <f t="shared" si="267"/>
        <v>0.24258899874389431</v>
      </c>
      <c r="AM260" s="4">
        <f t="shared" si="268"/>
        <v>0.75741100125610572</v>
      </c>
    </row>
    <row r="261" spans="1:39" ht="14.25" customHeight="1" x14ac:dyDescent="0.25">
      <c r="A261" s="114"/>
      <c r="C261" s="1">
        <v>2026</v>
      </c>
      <c r="D261" s="52">
        <v>46143</v>
      </c>
      <c r="E261" s="1">
        <v>6</v>
      </c>
      <c r="F261" s="1" t="str">
        <f>+Precios!C261</f>
        <v>sáb</v>
      </c>
      <c r="G261" s="5">
        <f>+Precios!D261</f>
        <v>46172</v>
      </c>
      <c r="H261" s="107">
        <v>4354.6954166666683</v>
      </c>
      <c r="I261" s="107">
        <v>723.99041666666687</v>
      </c>
      <c r="J261" s="107">
        <v>131.98625000000001</v>
      </c>
      <c r="K261" s="107">
        <v>68.518124999999998</v>
      </c>
      <c r="L261" s="107">
        <v>0</v>
      </c>
      <c r="M261" s="111">
        <f t="shared" si="258"/>
        <v>5279.1902083333343</v>
      </c>
      <c r="N261" s="107">
        <v>12487.147916666665</v>
      </c>
      <c r="O261" s="107">
        <v>1528.2054166666667</v>
      </c>
      <c r="P261" s="107">
        <v>935.9224999999999</v>
      </c>
      <c r="Q261" s="107">
        <v>191.23125000000002</v>
      </c>
      <c r="R261" s="107">
        <v>0</v>
      </c>
      <c r="S261" s="111">
        <f t="shared" si="259"/>
        <v>15142.507083333334</v>
      </c>
      <c r="T261" s="107">
        <v>700</v>
      </c>
      <c r="U261" s="107">
        <v>311.20541666666668</v>
      </c>
      <c r="V261" s="107">
        <v>890.3675000000004</v>
      </c>
      <c r="W261" s="112">
        <f t="shared" si="260"/>
        <v>1901.572916666667</v>
      </c>
      <c r="X261" s="107">
        <v>0</v>
      </c>
      <c r="Y261" s="107">
        <v>515</v>
      </c>
      <c r="Z261" s="107">
        <v>0</v>
      </c>
      <c r="AA261" s="112">
        <f t="shared" si="261"/>
        <v>515</v>
      </c>
      <c r="AC261" s="39">
        <v>3000</v>
      </c>
      <c r="AD261" s="40">
        <f t="shared" si="262"/>
        <v>9487.147916666665</v>
      </c>
      <c r="AE261" s="1">
        <f t="shared" si="263"/>
        <v>10.8</v>
      </c>
      <c r="AF261" s="1">
        <f t="shared" si="264"/>
        <v>18</v>
      </c>
      <c r="AG261" s="41">
        <f t="shared" si="265"/>
        <v>16.270221499404972</v>
      </c>
      <c r="AI261">
        <v>0.9</v>
      </c>
      <c r="AJ261">
        <v>1.5</v>
      </c>
      <c r="AK261" s="32">
        <f t="shared" si="266"/>
        <v>12487.147916666665</v>
      </c>
      <c r="AL261" s="4">
        <f t="shared" si="267"/>
        <v>0.24024701397153175</v>
      </c>
      <c r="AM261" s="4">
        <f t="shared" si="268"/>
        <v>0.75975298602846819</v>
      </c>
    </row>
    <row r="262" spans="1:39" ht="14.25" customHeight="1" x14ac:dyDescent="0.25">
      <c r="A262" s="114"/>
      <c r="C262" s="1">
        <v>2026</v>
      </c>
      <c r="D262" s="52">
        <v>46143</v>
      </c>
      <c r="E262" s="1">
        <v>4</v>
      </c>
      <c r="F262" s="1" t="str">
        <f>+Precios!C262</f>
        <v>dom</v>
      </c>
      <c r="G262" s="5">
        <f>+Precios!D262</f>
        <v>46173</v>
      </c>
      <c r="H262" s="107">
        <v>4132.8150000000032</v>
      </c>
      <c r="I262" s="107">
        <v>643.55708333333325</v>
      </c>
      <c r="J262" s="107">
        <v>133.90333333333348</v>
      </c>
      <c r="K262" s="107">
        <v>53.4831875</v>
      </c>
      <c r="L262" s="107">
        <v>0</v>
      </c>
      <c r="M262" s="111">
        <f t="shared" ref="M262:M284" si="269">+SUM(H262:L262)</f>
        <v>4963.75860416667</v>
      </c>
      <c r="N262" s="107">
        <v>12580.796250000005</v>
      </c>
      <c r="O262" s="107">
        <v>1526.9891666666667</v>
      </c>
      <c r="P262" s="107">
        <v>935.91666666666652</v>
      </c>
      <c r="Q262" s="107">
        <v>192.8</v>
      </c>
      <c r="R262" s="107">
        <v>0</v>
      </c>
      <c r="S262" s="111">
        <f t="shared" ref="S262" si="270">SUM(N262:R262)</f>
        <v>15236.502083333336</v>
      </c>
      <c r="T262" s="107">
        <v>700</v>
      </c>
      <c r="U262" s="107">
        <v>328.1895833333333</v>
      </c>
      <c r="V262" s="107">
        <v>914.76166666666848</v>
      </c>
      <c r="W262" s="112">
        <f t="shared" ref="W262:W271" si="271">SUM(T262:V262)</f>
        <v>1942.9512500000019</v>
      </c>
      <c r="X262" s="107">
        <v>0</v>
      </c>
      <c r="Y262" s="107">
        <v>515</v>
      </c>
      <c r="Z262" s="107">
        <v>0</v>
      </c>
      <c r="AA262" s="112">
        <f t="shared" ref="AA262:AA271" si="272">SUM(X262:Z262)</f>
        <v>515</v>
      </c>
      <c r="AC262" s="39">
        <v>3000</v>
      </c>
      <c r="AD262" s="40">
        <f t="shared" ref="AD262" si="273">+N262-AC262</f>
        <v>9580.7962500000049</v>
      </c>
      <c r="AE262" s="1">
        <f t="shared" ref="AE262" si="274">12*AI262</f>
        <v>10.8</v>
      </c>
      <c r="AF262" s="1">
        <f t="shared" ref="AF262" si="275">12*AJ262</f>
        <v>18</v>
      </c>
      <c r="AG262" s="41">
        <f t="shared" ref="AG262" si="276">+(AC262*AE262+AF262*AD262)/SUM(AC262:AD262)</f>
        <v>16.283097542415092</v>
      </c>
      <c r="AI262">
        <v>0.9</v>
      </c>
      <c r="AJ262">
        <v>1.5</v>
      </c>
      <c r="AK262" s="32">
        <f t="shared" ref="AK262" si="277">+AC262+AD262</f>
        <v>12580.796250000005</v>
      </c>
      <c r="AL262" s="4">
        <f t="shared" ref="AL262" si="278">+AC262/AK262</f>
        <v>0.23845867466457052</v>
      </c>
      <c r="AM262" s="4">
        <f t="shared" ref="AM262" si="279">+AD262/AK262</f>
        <v>0.76154132533542951</v>
      </c>
    </row>
    <row r="263" spans="1:39" ht="14.25" customHeight="1" x14ac:dyDescent="0.25">
      <c r="C263" s="1">
        <v>2026</v>
      </c>
      <c r="D263" s="52">
        <v>46174</v>
      </c>
      <c r="E263" s="1">
        <v>16</v>
      </c>
      <c r="F263" s="1" t="str">
        <f>+Precios!C263</f>
        <v>lun</v>
      </c>
      <c r="G263" s="5">
        <f>+Precios!D263</f>
        <v>46174</v>
      </c>
      <c r="H263" s="107">
        <v>5342.8424999999952</v>
      </c>
      <c r="I263" s="107">
        <v>617.82791666666662</v>
      </c>
      <c r="J263" s="107">
        <v>183.24750000000003</v>
      </c>
      <c r="K263" s="107">
        <v>50.473166666666657</v>
      </c>
      <c r="L263" s="107">
        <v>0</v>
      </c>
      <c r="M263" s="111">
        <f t="shared" si="269"/>
        <v>6194.3910833333293</v>
      </c>
      <c r="N263" s="2">
        <v>12582.307374999999</v>
      </c>
      <c r="O263" s="2">
        <v>1531.702416666667</v>
      </c>
      <c r="P263" s="2">
        <v>931.91116666666665</v>
      </c>
      <c r="Q263" s="2">
        <v>192.85000000000002</v>
      </c>
      <c r="R263" s="107">
        <v>0</v>
      </c>
      <c r="S263" s="111">
        <f t="shared" ref="S263:S269" si="280">SUM(N263:R263)</f>
        <v>15238.770958333333</v>
      </c>
      <c r="T263" s="107">
        <v>700</v>
      </c>
      <c r="U263" s="107">
        <v>219.23458333333335</v>
      </c>
      <c r="V263" s="107">
        <v>1138.9529166666678</v>
      </c>
      <c r="W263" s="112">
        <f t="shared" si="271"/>
        <v>2058.1875000000009</v>
      </c>
      <c r="X263" s="107">
        <v>0</v>
      </c>
      <c r="Y263" s="107">
        <v>453</v>
      </c>
      <c r="Z263" s="107">
        <v>0</v>
      </c>
      <c r="AA263" s="112">
        <f t="shared" si="272"/>
        <v>453</v>
      </c>
      <c r="AC263" s="39">
        <v>3000</v>
      </c>
      <c r="AD263" s="40">
        <f t="shared" ref="AD263:AD269" si="281">+N263-AC263</f>
        <v>9582.3073749999985</v>
      </c>
      <c r="AE263" s="1">
        <f t="shared" ref="AE263:AE269" si="282">12*AI263</f>
        <v>13.200000000000001</v>
      </c>
      <c r="AF263" s="1">
        <f t="shared" ref="AF263:AF269" si="283">12*AJ263</f>
        <v>18</v>
      </c>
      <c r="AG263" s="41">
        <f t="shared" ref="AG263:AG269" si="284">+(AC263*AE263+AF263*AD263)/SUM(AC263:AD263)</f>
        <v>16.855535827346614</v>
      </c>
      <c r="AI263">
        <v>1.1000000000000001</v>
      </c>
      <c r="AJ263">
        <v>1.5</v>
      </c>
      <c r="AK263" s="32">
        <f t="shared" ref="AK263" si="285">+AC263+AD263</f>
        <v>12582.307374999999</v>
      </c>
      <c r="AL263" s="4">
        <f t="shared" ref="AL263" si="286">+AC263/AK263</f>
        <v>0.23843003596945592</v>
      </c>
      <c r="AM263" s="4">
        <f t="shared" ref="AM263" si="287">+AD263/AK263</f>
        <v>0.76156996403054411</v>
      </c>
    </row>
    <row r="264" spans="1:39" ht="14.25" customHeight="1" x14ac:dyDescent="0.25">
      <c r="C264" s="1">
        <v>2026</v>
      </c>
      <c r="D264" s="52">
        <v>46174</v>
      </c>
      <c r="E264" s="1">
        <v>16</v>
      </c>
      <c r="F264" s="1" t="str">
        <f>+Precios!C264</f>
        <v>mar</v>
      </c>
      <c r="G264" s="5">
        <f>+Precios!D264</f>
        <v>46175</v>
      </c>
      <c r="H264" s="107">
        <v>5731.4333333333479</v>
      </c>
      <c r="I264" s="107">
        <v>332.05249999999995</v>
      </c>
      <c r="J264" s="107">
        <v>194.22416666666683</v>
      </c>
      <c r="K264" s="107">
        <v>25.35220833333333</v>
      </c>
      <c r="L264" s="107">
        <v>0</v>
      </c>
      <c r="M264" s="111">
        <f t="shared" si="269"/>
        <v>6283.0622083333483</v>
      </c>
      <c r="N264" s="2">
        <v>12787.34270833333</v>
      </c>
      <c r="O264" s="2">
        <v>1534.8683333333336</v>
      </c>
      <c r="P264" s="2">
        <v>935.90587499999992</v>
      </c>
      <c r="Q264" s="2">
        <v>192.8</v>
      </c>
      <c r="R264" s="107">
        <v>0</v>
      </c>
      <c r="S264" s="111">
        <f t="shared" si="280"/>
        <v>15450.916916666663</v>
      </c>
      <c r="T264" s="107">
        <v>700</v>
      </c>
      <c r="U264" s="107">
        <v>191.58416666666665</v>
      </c>
      <c r="V264" s="107">
        <v>1317.2920833333319</v>
      </c>
      <c r="W264" s="112">
        <f t="shared" si="271"/>
        <v>2208.8762499999984</v>
      </c>
      <c r="X264" s="107">
        <v>0</v>
      </c>
      <c r="Y264" s="107">
        <v>453</v>
      </c>
      <c r="Z264" s="107">
        <v>0</v>
      </c>
      <c r="AA264" s="112">
        <f t="shared" si="272"/>
        <v>453</v>
      </c>
      <c r="AC264" s="39">
        <v>3000</v>
      </c>
      <c r="AD264" s="40">
        <f t="shared" si="281"/>
        <v>9787.3427083333299</v>
      </c>
      <c r="AE264" s="1">
        <f t="shared" si="282"/>
        <v>13.200000000000001</v>
      </c>
      <c r="AF264" s="1">
        <f t="shared" si="283"/>
        <v>18</v>
      </c>
      <c r="AG264" s="41">
        <f t="shared" si="284"/>
        <v>16.873886441581352</v>
      </c>
      <c r="AI264">
        <v>1.1000000000000001</v>
      </c>
      <c r="AJ264">
        <v>1.5</v>
      </c>
      <c r="AK264" s="32">
        <f t="shared" ref="AK264:AK269" si="288">+AC264+AD264</f>
        <v>12787.34270833333</v>
      </c>
      <c r="AL264" s="4">
        <f t="shared" ref="AL264:AL269" si="289">+AC264/AK264</f>
        <v>0.23460699133721838</v>
      </c>
      <c r="AM264" s="4">
        <f t="shared" ref="AM264:AM269" si="290">+AD264/AK264</f>
        <v>0.76539300866278159</v>
      </c>
    </row>
    <row r="265" spans="1:39" ht="14.25" customHeight="1" x14ac:dyDescent="0.25">
      <c r="C265" s="1">
        <v>2026</v>
      </c>
      <c r="D265" s="52">
        <v>46174</v>
      </c>
      <c r="E265" s="1">
        <v>16</v>
      </c>
      <c r="F265" s="1" t="str">
        <f>+Precios!C265</f>
        <v>mié</v>
      </c>
      <c r="G265" s="5">
        <f>+Precios!D265</f>
        <v>46176</v>
      </c>
      <c r="H265" s="107">
        <v>5591.6000000000085</v>
      </c>
      <c r="I265" s="107">
        <v>300.60249999999991</v>
      </c>
      <c r="J265" s="107">
        <v>190.80874999999995</v>
      </c>
      <c r="K265" s="107">
        <v>24.379750000000001</v>
      </c>
      <c r="L265" s="107">
        <v>0</v>
      </c>
      <c r="M265" s="111">
        <f t="shared" si="269"/>
        <v>6107.3910000000087</v>
      </c>
      <c r="N265" s="2">
        <v>12840.505291666665</v>
      </c>
      <c r="O265" s="2">
        <v>1535.1557083333335</v>
      </c>
      <c r="P265" s="2">
        <v>938.90033333333326</v>
      </c>
      <c r="Q265" s="2">
        <v>192.8</v>
      </c>
      <c r="R265" s="107">
        <v>0</v>
      </c>
      <c r="S265" s="111">
        <f t="shared" si="280"/>
        <v>15507.361333333331</v>
      </c>
      <c r="T265" s="107">
        <v>700</v>
      </c>
      <c r="U265" s="107">
        <v>200.24124999999995</v>
      </c>
      <c r="V265" s="107">
        <v>1450.4683333333326</v>
      </c>
      <c r="W265" s="112">
        <f t="shared" si="271"/>
        <v>2350.7095833333324</v>
      </c>
      <c r="X265" s="107">
        <v>0</v>
      </c>
      <c r="Y265" s="107">
        <v>453</v>
      </c>
      <c r="Z265" s="107">
        <v>0</v>
      </c>
      <c r="AA265" s="112">
        <f t="shared" si="272"/>
        <v>453</v>
      </c>
      <c r="AC265" s="39">
        <v>3000</v>
      </c>
      <c r="AD265" s="40">
        <f t="shared" si="281"/>
        <v>9840.5052916666646</v>
      </c>
      <c r="AE265" s="1">
        <f t="shared" si="282"/>
        <v>13.200000000000001</v>
      </c>
      <c r="AF265" s="1">
        <f t="shared" si="283"/>
        <v>18</v>
      </c>
      <c r="AG265" s="41">
        <f t="shared" si="284"/>
        <v>16.87854880529153</v>
      </c>
      <c r="AI265">
        <v>1.1000000000000001</v>
      </c>
      <c r="AJ265">
        <v>1.5</v>
      </c>
      <c r="AK265" s="32">
        <f t="shared" si="288"/>
        <v>12840.505291666665</v>
      </c>
      <c r="AL265" s="4">
        <f t="shared" si="289"/>
        <v>0.23363566556426438</v>
      </c>
      <c r="AM265" s="4">
        <f t="shared" si="290"/>
        <v>0.76636433443573559</v>
      </c>
    </row>
    <row r="266" spans="1:39" ht="14.25" customHeight="1" x14ac:dyDescent="0.25">
      <c r="C266" s="1">
        <v>2026</v>
      </c>
      <c r="D266" s="52">
        <v>46174</v>
      </c>
      <c r="E266" s="1">
        <v>16</v>
      </c>
      <c r="F266" s="1" t="str">
        <f>+Precios!C266</f>
        <v>jue</v>
      </c>
      <c r="G266" s="5">
        <f>+Precios!D266</f>
        <v>46177</v>
      </c>
      <c r="H266" s="107">
        <v>6222.0295833333366</v>
      </c>
      <c r="I266" s="107">
        <v>339.49500000000006</v>
      </c>
      <c r="J266" s="107">
        <v>207.40875000000005</v>
      </c>
      <c r="K266" s="107">
        <v>53.150520833333339</v>
      </c>
      <c r="L266" s="107">
        <v>0</v>
      </c>
      <c r="M266" s="111">
        <f t="shared" si="269"/>
        <v>6822.0838541666699</v>
      </c>
      <c r="N266" s="2">
        <v>12880.5635</v>
      </c>
      <c r="O266" s="2">
        <v>1530.9472499999999</v>
      </c>
      <c r="P266" s="2">
        <v>929.98104166666667</v>
      </c>
      <c r="Q266" s="2">
        <v>192.8</v>
      </c>
      <c r="R266" s="107">
        <v>0</v>
      </c>
      <c r="S266" s="111">
        <f t="shared" si="280"/>
        <v>15534.291791666665</v>
      </c>
      <c r="T266" s="107">
        <v>700</v>
      </c>
      <c r="U266" s="107">
        <v>324.98125000000005</v>
      </c>
      <c r="V266" s="107">
        <v>650.44416666666712</v>
      </c>
      <c r="W266" s="112">
        <f t="shared" si="271"/>
        <v>1675.4254166666672</v>
      </c>
      <c r="X266" s="107">
        <v>0</v>
      </c>
      <c r="Y266" s="107">
        <v>453</v>
      </c>
      <c r="Z266" s="107">
        <v>0</v>
      </c>
      <c r="AA266" s="112">
        <f t="shared" si="272"/>
        <v>453</v>
      </c>
      <c r="AC266" s="39">
        <v>3000</v>
      </c>
      <c r="AD266" s="40">
        <f t="shared" si="281"/>
        <v>9880.5635000000002</v>
      </c>
      <c r="AE266" s="1">
        <f t="shared" si="282"/>
        <v>13.200000000000001</v>
      </c>
      <c r="AF266" s="1">
        <f t="shared" si="283"/>
        <v>18</v>
      </c>
      <c r="AG266" s="41">
        <f t="shared" si="284"/>
        <v>16.882036488543378</v>
      </c>
      <c r="AI266">
        <v>1.1000000000000001</v>
      </c>
      <c r="AJ266">
        <v>1.5</v>
      </c>
      <c r="AK266" s="32">
        <f t="shared" si="288"/>
        <v>12880.5635</v>
      </c>
      <c r="AL266" s="4">
        <f t="shared" si="289"/>
        <v>0.2329090648867963</v>
      </c>
      <c r="AM266" s="4">
        <f t="shared" si="290"/>
        <v>0.7670909351132037</v>
      </c>
    </row>
    <row r="267" spans="1:39" ht="14.25" customHeight="1" x14ac:dyDescent="0.25">
      <c r="C267" s="1">
        <v>2026</v>
      </c>
      <c r="D267" s="52">
        <v>46174</v>
      </c>
      <c r="E267" s="1">
        <v>16</v>
      </c>
      <c r="F267" s="1" t="str">
        <f>+Precios!C267</f>
        <v>vie</v>
      </c>
      <c r="G267" s="5">
        <f>+Precios!D267</f>
        <v>46178</v>
      </c>
      <c r="H267" s="107">
        <v>6172.3529166666531</v>
      </c>
      <c r="I267" s="107">
        <v>350.70541666666668</v>
      </c>
      <c r="J267" s="107">
        <v>207.74874999999994</v>
      </c>
      <c r="K267" s="107">
        <v>39.683770833333334</v>
      </c>
      <c r="L267" s="107">
        <v>0</v>
      </c>
      <c r="M267" s="111">
        <f t="shared" si="269"/>
        <v>6770.4908541666528</v>
      </c>
      <c r="N267" s="2">
        <v>12898.141625</v>
      </c>
      <c r="O267" s="2">
        <v>1529.0363333333335</v>
      </c>
      <c r="P267" s="2">
        <v>944.31116666666662</v>
      </c>
      <c r="Q267" s="2">
        <v>192.8</v>
      </c>
      <c r="R267" s="107">
        <v>0</v>
      </c>
      <c r="S267" s="111">
        <f t="shared" si="280"/>
        <v>15564.289124999999</v>
      </c>
      <c r="T267" s="107">
        <v>700</v>
      </c>
      <c r="U267" s="107">
        <v>213.22</v>
      </c>
      <c r="V267" s="107">
        <v>526.77083333333405</v>
      </c>
      <c r="W267" s="112">
        <f t="shared" si="271"/>
        <v>1439.9908333333342</v>
      </c>
      <c r="X267" s="107">
        <v>0</v>
      </c>
      <c r="Y267" s="107">
        <v>453</v>
      </c>
      <c r="Z267" s="107">
        <v>0</v>
      </c>
      <c r="AA267" s="112">
        <f t="shared" si="272"/>
        <v>453</v>
      </c>
      <c r="AC267" s="39">
        <v>3000</v>
      </c>
      <c r="AD267" s="40">
        <f t="shared" si="281"/>
        <v>9898.1416250000002</v>
      </c>
      <c r="AE267" s="1">
        <f t="shared" si="282"/>
        <v>13.200000000000001</v>
      </c>
      <c r="AF267" s="1">
        <f t="shared" si="283"/>
        <v>18</v>
      </c>
      <c r="AG267" s="41">
        <f t="shared" si="284"/>
        <v>16.883560095813415</v>
      </c>
      <c r="AI267">
        <v>1.1000000000000001</v>
      </c>
      <c r="AJ267">
        <v>1.5</v>
      </c>
      <c r="AK267" s="32">
        <f t="shared" si="288"/>
        <v>12898.141625</v>
      </c>
      <c r="AL267" s="4">
        <f t="shared" si="289"/>
        <v>0.23259164670553847</v>
      </c>
      <c r="AM267" s="4">
        <f t="shared" si="290"/>
        <v>0.76740835329446155</v>
      </c>
    </row>
    <row r="268" spans="1:39" ht="14.25" customHeight="1" x14ac:dyDescent="0.25">
      <c r="C268" s="1">
        <v>2026</v>
      </c>
      <c r="D268" s="52">
        <v>46174</v>
      </c>
      <c r="E268" s="1">
        <v>6</v>
      </c>
      <c r="F268" s="1" t="str">
        <f>+Precios!C268</f>
        <v>sáb</v>
      </c>
      <c r="G268" s="5">
        <f>+Precios!D268</f>
        <v>46179</v>
      </c>
      <c r="H268" s="107">
        <v>6044.279583333343</v>
      </c>
      <c r="I268" s="107">
        <v>304.83874999999995</v>
      </c>
      <c r="J268" s="107">
        <v>187.95624999999995</v>
      </c>
      <c r="K268" s="107">
        <v>34.128833333333333</v>
      </c>
      <c r="L268" s="107">
        <v>0</v>
      </c>
      <c r="M268" s="111">
        <f t="shared" si="269"/>
        <v>6571.2034166666763</v>
      </c>
      <c r="N268" s="2">
        <v>12874.363999999998</v>
      </c>
      <c r="O268" s="2">
        <v>1527.4005416666669</v>
      </c>
      <c r="P268" s="2">
        <v>950.05724999999984</v>
      </c>
      <c r="Q268" s="2">
        <v>192.8</v>
      </c>
      <c r="R268" s="107">
        <v>0</v>
      </c>
      <c r="S268" s="111">
        <f t="shared" si="280"/>
        <v>15544.621791666663</v>
      </c>
      <c r="T268" s="107">
        <v>700</v>
      </c>
      <c r="U268" s="107">
        <v>194.79624999999999</v>
      </c>
      <c r="V268" s="107">
        <v>360.56458333333268</v>
      </c>
      <c r="W268" s="112">
        <f t="shared" si="271"/>
        <v>1255.3608333333327</v>
      </c>
      <c r="X268" s="107">
        <v>0</v>
      </c>
      <c r="Y268" s="107">
        <v>453</v>
      </c>
      <c r="Z268" s="107">
        <v>0</v>
      </c>
      <c r="AA268" s="112">
        <f t="shared" si="272"/>
        <v>453</v>
      </c>
      <c r="AC268" s="39">
        <v>3000</v>
      </c>
      <c r="AD268" s="40">
        <f t="shared" si="281"/>
        <v>9874.3639999999978</v>
      </c>
      <c r="AE268" s="1">
        <f t="shared" si="282"/>
        <v>13.200000000000001</v>
      </c>
      <c r="AF268" s="1">
        <f t="shared" si="283"/>
        <v>18</v>
      </c>
      <c r="AG268" s="41">
        <f t="shared" si="284"/>
        <v>16.881498146238524</v>
      </c>
      <c r="AI268">
        <v>1.1000000000000001</v>
      </c>
      <c r="AJ268">
        <v>1.5</v>
      </c>
      <c r="AK268" s="32">
        <f t="shared" si="288"/>
        <v>12874.363999999998</v>
      </c>
      <c r="AL268" s="4">
        <f t="shared" si="289"/>
        <v>0.23302121953364069</v>
      </c>
      <c r="AM268" s="4">
        <f t="shared" si="290"/>
        <v>0.76697878046635926</v>
      </c>
    </row>
    <row r="269" spans="1:39" ht="14.25" customHeight="1" x14ac:dyDescent="0.25">
      <c r="C269" s="1">
        <v>2026</v>
      </c>
      <c r="D269" s="52">
        <v>46174</v>
      </c>
      <c r="E269" s="1">
        <v>4</v>
      </c>
      <c r="F269" s="1" t="str">
        <f>+Precios!C269</f>
        <v>dom</v>
      </c>
      <c r="G269" s="5">
        <f>+Precios!D269</f>
        <v>46180</v>
      </c>
      <c r="H269" s="107">
        <v>5479.887916666662</v>
      </c>
      <c r="I269" s="107">
        <v>478.77250000000004</v>
      </c>
      <c r="J269" s="107">
        <v>163.69416666666663</v>
      </c>
      <c r="K269" s="107">
        <v>31.190645833333335</v>
      </c>
      <c r="L269" s="107">
        <v>0</v>
      </c>
      <c r="M269" s="111">
        <f t="shared" si="269"/>
        <v>6153.5452291666616</v>
      </c>
      <c r="N269" s="2">
        <v>12786.381333333331</v>
      </c>
      <c r="O269" s="2">
        <v>1527.0281666666667</v>
      </c>
      <c r="P269" s="2">
        <v>950.05854166666654</v>
      </c>
      <c r="Q269" s="2">
        <v>186.61945833333334</v>
      </c>
      <c r="R269" s="107">
        <v>0</v>
      </c>
      <c r="S269" s="111">
        <f t="shared" si="280"/>
        <v>15450.087499999998</v>
      </c>
      <c r="T269" s="107">
        <v>700</v>
      </c>
      <c r="U269" s="107">
        <v>209.46999999999994</v>
      </c>
      <c r="V269" s="107">
        <v>514.12708333333273</v>
      </c>
      <c r="W269" s="112">
        <f t="shared" si="271"/>
        <v>1423.5970833333326</v>
      </c>
      <c r="X269" s="107">
        <v>0</v>
      </c>
      <c r="Y269" s="107">
        <v>453</v>
      </c>
      <c r="Z269" s="107">
        <v>0</v>
      </c>
      <c r="AA269" s="112">
        <f t="shared" si="272"/>
        <v>453</v>
      </c>
      <c r="AC269" s="39">
        <v>3000</v>
      </c>
      <c r="AD269" s="40">
        <f t="shared" si="281"/>
        <v>9786.381333333331</v>
      </c>
      <c r="AE269" s="1">
        <f t="shared" si="282"/>
        <v>13.200000000000001</v>
      </c>
      <c r="AF269" s="1">
        <f t="shared" si="283"/>
        <v>18</v>
      </c>
      <c r="AG269" s="41">
        <f t="shared" si="284"/>
        <v>16.873801772010342</v>
      </c>
      <c r="AI269">
        <v>1.1000000000000001</v>
      </c>
      <c r="AJ269">
        <v>1.5</v>
      </c>
      <c r="AK269" s="32">
        <f t="shared" si="288"/>
        <v>12786.381333333331</v>
      </c>
      <c r="AL269" s="4">
        <f t="shared" si="289"/>
        <v>0.23462463083117813</v>
      </c>
      <c r="AM269" s="4">
        <f t="shared" si="290"/>
        <v>0.76537536916882187</v>
      </c>
    </row>
    <row r="270" spans="1:39" ht="14.25" customHeight="1" x14ac:dyDescent="0.25">
      <c r="C270" s="1">
        <v>2026</v>
      </c>
      <c r="D270" s="52">
        <v>46174</v>
      </c>
      <c r="E270" s="1">
        <v>16</v>
      </c>
      <c r="F270" s="1" t="str">
        <f>+Precios!C270</f>
        <v>lun</v>
      </c>
      <c r="G270" s="5">
        <f>+Precios!D270</f>
        <v>46181</v>
      </c>
      <c r="H270" s="107">
        <v>6583.7416666666804</v>
      </c>
      <c r="I270" s="107">
        <v>357.89375000000001</v>
      </c>
      <c r="J270" s="107">
        <v>190.5241666666667</v>
      </c>
      <c r="K270" s="107">
        <v>49.487249999999996</v>
      </c>
      <c r="L270" s="107">
        <v>0</v>
      </c>
      <c r="M270" s="111">
        <f t="shared" si="269"/>
        <v>7181.6468333333478</v>
      </c>
      <c r="N270" s="2">
        <v>12866.323624999999</v>
      </c>
      <c r="O270" s="2">
        <v>1525.6245000000004</v>
      </c>
      <c r="P270" s="2">
        <v>955.05520833333321</v>
      </c>
      <c r="Q270" s="2">
        <v>191.8</v>
      </c>
      <c r="R270" s="107">
        <v>0</v>
      </c>
      <c r="S270" s="111">
        <f t="shared" ref="S270:S284" si="291">SUM(N270:R270)</f>
        <v>15538.803333333331</v>
      </c>
      <c r="T270" s="107">
        <v>700</v>
      </c>
      <c r="U270" s="107">
        <v>190.48583333333337</v>
      </c>
      <c r="V270" s="107">
        <v>508.09958333333446</v>
      </c>
      <c r="W270" s="112">
        <f t="shared" si="271"/>
        <v>1398.5854166666679</v>
      </c>
      <c r="X270" s="107">
        <v>0</v>
      </c>
      <c r="Y270" s="107">
        <v>453</v>
      </c>
      <c r="Z270" s="107">
        <v>0</v>
      </c>
      <c r="AA270" s="112">
        <f t="shared" si="272"/>
        <v>453</v>
      </c>
      <c r="AC270" s="39">
        <v>3000</v>
      </c>
      <c r="AD270" s="40">
        <f t="shared" ref="AD270:AD271" si="292">+N270-AC270</f>
        <v>9866.3236249999991</v>
      </c>
      <c r="AE270" s="1">
        <f t="shared" ref="AE270:AE271" si="293">12*AI270</f>
        <v>13.200000000000001</v>
      </c>
      <c r="AF270" s="1">
        <f t="shared" ref="AF270:AF271" si="294">12*AJ270</f>
        <v>18</v>
      </c>
      <c r="AG270" s="41">
        <f t="shared" ref="AG270:AG271" si="295">+(AC270*AE270+AF270*AD270)/SUM(AC270:AD270)</f>
        <v>16.880799176229335</v>
      </c>
      <c r="AI270">
        <v>1.1000000000000001</v>
      </c>
      <c r="AJ270">
        <v>1.5</v>
      </c>
      <c r="AK270" s="32">
        <f t="shared" ref="AK270:AK271" si="296">+AC270+AD270</f>
        <v>12866.323624999999</v>
      </c>
      <c r="AL270" s="4">
        <f t="shared" ref="AL270:AL271" si="297">+AC270/AK270</f>
        <v>0.23316683828555573</v>
      </c>
      <c r="AM270" s="4">
        <f t="shared" ref="AM270:AM271" si="298">+AD270/AK270</f>
        <v>0.76683316171444427</v>
      </c>
    </row>
    <row r="271" spans="1:39" ht="14.25" customHeight="1" x14ac:dyDescent="0.25">
      <c r="C271" s="1">
        <v>2026</v>
      </c>
      <c r="D271" s="52">
        <v>46174</v>
      </c>
      <c r="E271" s="1">
        <v>16</v>
      </c>
      <c r="F271" s="1" t="str">
        <f>+Precios!C271</f>
        <v>mar</v>
      </c>
      <c r="G271" s="5">
        <f>+Precios!D271</f>
        <v>46182</v>
      </c>
      <c r="H271" s="107">
        <v>6740.5204166666763</v>
      </c>
      <c r="I271" s="107">
        <v>198.36208333333332</v>
      </c>
      <c r="J271" s="107">
        <v>195.72874999999991</v>
      </c>
      <c r="K271" s="107">
        <v>48.938416666666683</v>
      </c>
      <c r="L271" s="107">
        <v>0</v>
      </c>
      <c r="M271" s="111">
        <f t="shared" si="269"/>
        <v>7183.5496666666768</v>
      </c>
      <c r="N271" s="2">
        <v>12980.442416666665</v>
      </c>
      <c r="O271" s="2">
        <v>1523.1502083333337</v>
      </c>
      <c r="P271" s="2">
        <v>947.05833333333328</v>
      </c>
      <c r="Q271" s="2">
        <v>191.85000000000002</v>
      </c>
      <c r="R271" s="107">
        <v>0</v>
      </c>
      <c r="S271" s="111">
        <f t="shared" si="291"/>
        <v>15642.500958333332</v>
      </c>
      <c r="T271" s="107">
        <v>700</v>
      </c>
      <c r="U271" s="107">
        <v>321.03208333333328</v>
      </c>
      <c r="V271" s="107">
        <v>817.06958333333284</v>
      </c>
      <c r="W271" s="112">
        <f t="shared" si="271"/>
        <v>1838.101666666666</v>
      </c>
      <c r="X271" s="107">
        <v>0</v>
      </c>
      <c r="Y271" s="107">
        <v>453</v>
      </c>
      <c r="Z271" s="107">
        <v>0</v>
      </c>
      <c r="AA271" s="112">
        <f t="shared" si="272"/>
        <v>453</v>
      </c>
      <c r="AC271" s="39">
        <v>3000</v>
      </c>
      <c r="AD271" s="40">
        <f t="shared" si="292"/>
        <v>9980.4424166666649</v>
      </c>
      <c r="AE271" s="1">
        <f t="shared" si="293"/>
        <v>13.200000000000001</v>
      </c>
      <c r="AF271" s="1">
        <f t="shared" si="294"/>
        <v>18</v>
      </c>
      <c r="AG271" s="41">
        <f t="shared" si="295"/>
        <v>16.890638736510965</v>
      </c>
      <c r="AI271">
        <v>1.1000000000000001</v>
      </c>
      <c r="AJ271">
        <v>1.5</v>
      </c>
      <c r="AK271" s="32">
        <f t="shared" si="296"/>
        <v>12980.442416666665</v>
      </c>
      <c r="AL271" s="4">
        <f t="shared" si="297"/>
        <v>0.23111692989354904</v>
      </c>
      <c r="AM271" s="4">
        <f t="shared" si="298"/>
        <v>0.76888307010645096</v>
      </c>
    </row>
    <row r="272" spans="1:39" ht="14.25" customHeight="1" x14ac:dyDescent="0.25">
      <c r="C272" s="1">
        <v>2026</v>
      </c>
      <c r="D272" s="52">
        <v>46174</v>
      </c>
      <c r="E272" s="1">
        <v>16</v>
      </c>
      <c r="F272" s="1" t="str">
        <f>+Precios!C272</f>
        <v>mié</v>
      </c>
      <c r="G272" s="5">
        <f>+Precios!D272</f>
        <v>46183</v>
      </c>
      <c r="H272" s="107">
        <v>6294.4666666666772</v>
      </c>
      <c r="I272" s="107">
        <v>4.5833333333333334E-3</v>
      </c>
      <c r="J272" s="107">
        <v>183.50041666666652</v>
      </c>
      <c r="K272" s="107">
        <v>39.483958333333334</v>
      </c>
      <c r="L272" s="107">
        <v>0</v>
      </c>
      <c r="M272" s="111">
        <f t="shared" si="269"/>
        <v>6517.4556250000105</v>
      </c>
      <c r="N272" s="2">
        <v>12999.843625000001</v>
      </c>
      <c r="O272" s="2">
        <v>1516.0700000000002</v>
      </c>
      <c r="P272" s="2">
        <v>955.04762499999993</v>
      </c>
      <c r="Q272" s="2">
        <v>191.8</v>
      </c>
      <c r="R272" s="107">
        <v>0</v>
      </c>
      <c r="S272" s="111">
        <f t="shared" si="291"/>
        <v>15662.76125</v>
      </c>
      <c r="T272" s="107">
        <v>700</v>
      </c>
      <c r="U272" s="107">
        <v>256.45291666666662</v>
      </c>
      <c r="V272" s="107">
        <v>1260.0029166666686</v>
      </c>
      <c r="W272" s="112">
        <f t="shared" ref="W272:W284" si="299">SUM(T272:V272)</f>
        <v>2216.4558333333352</v>
      </c>
      <c r="X272" s="107">
        <v>0</v>
      </c>
      <c r="Y272" s="107">
        <v>453</v>
      </c>
      <c r="Z272" s="107">
        <v>0</v>
      </c>
      <c r="AA272" s="112">
        <f t="shared" ref="AA272:AA284" si="300">SUM(X272:Z272)</f>
        <v>453</v>
      </c>
      <c r="AC272" s="39">
        <v>3000</v>
      </c>
      <c r="AD272" s="40">
        <f t="shared" ref="AD272:AD277" si="301">+N272-AC272</f>
        <v>9999.8436250000013</v>
      </c>
      <c r="AE272" s="1">
        <f t="shared" ref="AE272:AE277" si="302">12*AI272</f>
        <v>13.200000000000001</v>
      </c>
      <c r="AF272" s="1">
        <f t="shared" ref="AF272:AF277" si="303">12*AJ272</f>
        <v>18</v>
      </c>
      <c r="AG272" s="41">
        <f t="shared" ref="AG272:AG277" si="304">+(AC272*AE272+AF272*AD272)/SUM(AC272:AD272)</f>
        <v>16.892294367887061</v>
      </c>
      <c r="AI272">
        <v>1.1000000000000001</v>
      </c>
      <c r="AJ272">
        <v>1.5</v>
      </c>
      <c r="AK272" s="32">
        <f t="shared" ref="AK272:AK277" si="305">+AC272+AD272</f>
        <v>12999.843625000001</v>
      </c>
      <c r="AL272" s="4">
        <f t="shared" ref="AL272:AL277" si="306">+AC272/AK272</f>
        <v>0.23077200669019585</v>
      </c>
      <c r="AM272" s="4">
        <f t="shared" ref="AM272:AM277" si="307">+AD272/AK272</f>
        <v>0.76922799330980418</v>
      </c>
    </row>
    <row r="273" spans="3:39" ht="14.25" customHeight="1" x14ac:dyDescent="0.25">
      <c r="C273" s="1">
        <v>2026</v>
      </c>
      <c r="D273" s="52">
        <v>46174</v>
      </c>
      <c r="E273" s="1">
        <v>16</v>
      </c>
      <c r="F273" s="1" t="str">
        <f>+Precios!C273</f>
        <v>jue</v>
      </c>
      <c r="G273" s="5">
        <f>+Precios!D273</f>
        <v>46184</v>
      </c>
      <c r="H273" s="107">
        <v>6012.5925000000134</v>
      </c>
      <c r="I273" s="107">
        <v>0</v>
      </c>
      <c r="J273" s="107">
        <v>210.01208333333329</v>
      </c>
      <c r="K273" s="107">
        <v>38.205312499999991</v>
      </c>
      <c r="L273" s="107">
        <v>0</v>
      </c>
      <c r="M273" s="111">
        <f t="shared" si="269"/>
        <v>6260.8098958333467</v>
      </c>
      <c r="N273" s="2">
        <v>13106.166041666667</v>
      </c>
      <c r="O273" s="2">
        <v>1516.0700000000002</v>
      </c>
      <c r="P273" s="2">
        <v>955.04204166666659</v>
      </c>
      <c r="Q273" s="2">
        <v>191.8</v>
      </c>
      <c r="R273" s="107">
        <v>0</v>
      </c>
      <c r="S273" s="111">
        <f t="shared" si="291"/>
        <v>15769.078083333334</v>
      </c>
      <c r="T273" s="107">
        <v>700</v>
      </c>
      <c r="U273" s="107">
        <v>257.935</v>
      </c>
      <c r="V273" s="107">
        <v>1341.1749999999986</v>
      </c>
      <c r="W273" s="112">
        <f t="shared" si="299"/>
        <v>2299.1099999999988</v>
      </c>
      <c r="X273" s="107">
        <v>0</v>
      </c>
      <c r="Y273" s="107">
        <v>453</v>
      </c>
      <c r="Z273" s="107">
        <v>0</v>
      </c>
      <c r="AA273" s="112">
        <f t="shared" si="300"/>
        <v>453</v>
      </c>
      <c r="AC273" s="39">
        <v>3000</v>
      </c>
      <c r="AD273" s="40">
        <f t="shared" si="301"/>
        <v>10106.166041666667</v>
      </c>
      <c r="AE273" s="1">
        <f t="shared" si="302"/>
        <v>13.200000000000001</v>
      </c>
      <c r="AF273" s="1">
        <f t="shared" si="303"/>
        <v>18</v>
      </c>
      <c r="AG273" s="41">
        <f t="shared" si="304"/>
        <v>16.90128051527655</v>
      </c>
      <c r="AI273">
        <v>1.1000000000000001</v>
      </c>
      <c r="AJ273">
        <v>1.5</v>
      </c>
      <c r="AK273" s="32">
        <f t="shared" si="305"/>
        <v>13106.166041666667</v>
      </c>
      <c r="AL273" s="4">
        <f t="shared" si="306"/>
        <v>0.22889989265071908</v>
      </c>
      <c r="AM273" s="4">
        <f t="shared" si="307"/>
        <v>0.77110010734928092</v>
      </c>
    </row>
    <row r="274" spans="3:39" ht="14.25" customHeight="1" x14ac:dyDescent="0.25">
      <c r="C274" s="1">
        <v>2026</v>
      </c>
      <c r="D274" s="52">
        <v>46174</v>
      </c>
      <c r="E274" s="1">
        <v>16</v>
      </c>
      <c r="F274" s="1" t="str">
        <f>+Precios!C274</f>
        <v>vie</v>
      </c>
      <c r="G274" s="5">
        <f>+Precios!D274</f>
        <v>46185</v>
      </c>
      <c r="H274" s="107">
        <v>5829.4479166666706</v>
      </c>
      <c r="I274" s="107">
        <v>0</v>
      </c>
      <c r="J274" s="107">
        <v>187.24999999999986</v>
      </c>
      <c r="K274" s="107">
        <v>14.403375000000004</v>
      </c>
      <c r="L274" s="107">
        <v>0</v>
      </c>
      <c r="M274" s="111">
        <f t="shared" si="269"/>
        <v>6031.1012916666705</v>
      </c>
      <c r="N274" s="2">
        <v>13104.622374999995</v>
      </c>
      <c r="O274" s="2">
        <v>1516.0700000000002</v>
      </c>
      <c r="P274" s="2">
        <v>952.86537499999997</v>
      </c>
      <c r="Q274" s="2">
        <v>190.8</v>
      </c>
      <c r="R274" s="107">
        <v>0</v>
      </c>
      <c r="S274" s="111">
        <f t="shared" si="291"/>
        <v>15764.357749999994</v>
      </c>
      <c r="T274" s="107">
        <v>700</v>
      </c>
      <c r="U274" s="107">
        <v>191.92166666666665</v>
      </c>
      <c r="V274" s="107">
        <v>1993.6679166666727</v>
      </c>
      <c r="W274" s="112">
        <f t="shared" si="299"/>
        <v>2885.5895833333393</v>
      </c>
      <c r="X274" s="107">
        <v>0</v>
      </c>
      <c r="Y274" s="107">
        <v>453</v>
      </c>
      <c r="Z274" s="107">
        <v>0</v>
      </c>
      <c r="AA274" s="112">
        <f t="shared" si="300"/>
        <v>453</v>
      </c>
      <c r="AC274" s="39">
        <v>3000</v>
      </c>
      <c r="AD274" s="40">
        <f t="shared" si="301"/>
        <v>10104.622374999995</v>
      </c>
      <c r="AE274" s="1">
        <f t="shared" si="302"/>
        <v>13.200000000000001</v>
      </c>
      <c r="AF274" s="1">
        <f t="shared" si="303"/>
        <v>18</v>
      </c>
      <c r="AG274" s="41">
        <f t="shared" si="304"/>
        <v>16.901151090971439</v>
      </c>
      <c r="AI274">
        <v>1.1000000000000001</v>
      </c>
      <c r="AJ274">
        <v>1.5</v>
      </c>
      <c r="AK274" s="32">
        <f t="shared" si="305"/>
        <v>13104.622374999995</v>
      </c>
      <c r="AL274" s="4">
        <f t="shared" si="306"/>
        <v>0.22892685604761664</v>
      </c>
      <c r="AM274" s="4">
        <f t="shared" si="307"/>
        <v>0.77107314395238336</v>
      </c>
    </row>
    <row r="275" spans="3:39" ht="14.25" customHeight="1" x14ac:dyDescent="0.25">
      <c r="C275" s="1">
        <v>2026</v>
      </c>
      <c r="D275" s="52">
        <v>46174</v>
      </c>
      <c r="E275" s="1">
        <v>6</v>
      </c>
      <c r="F275" s="1" t="str">
        <f>+Precios!C275</f>
        <v>sáb</v>
      </c>
      <c r="G275" s="5">
        <f>+Precios!D275</f>
        <v>46186</v>
      </c>
      <c r="H275" s="107">
        <v>5684.8895833333263</v>
      </c>
      <c r="I275" s="107">
        <v>0</v>
      </c>
      <c r="J275" s="107">
        <v>206.92333333333329</v>
      </c>
      <c r="K275" s="107">
        <v>30.206291666666672</v>
      </c>
      <c r="L275" s="107">
        <v>0</v>
      </c>
      <c r="M275" s="111">
        <f t="shared" si="269"/>
        <v>5922.0192083333259</v>
      </c>
      <c r="N275" s="2">
        <v>12762.098791666669</v>
      </c>
      <c r="O275" s="2">
        <v>1516.0700000000002</v>
      </c>
      <c r="P275" s="2">
        <v>952.85970833333329</v>
      </c>
      <c r="Q275" s="2">
        <v>190.85000000000002</v>
      </c>
      <c r="R275" s="107">
        <v>0</v>
      </c>
      <c r="S275" s="111">
        <f t="shared" si="291"/>
        <v>15421.878500000003</v>
      </c>
      <c r="T275" s="107">
        <v>700</v>
      </c>
      <c r="U275" s="107">
        <v>191.79583333333332</v>
      </c>
      <c r="V275" s="107">
        <v>1169.9424999999999</v>
      </c>
      <c r="W275" s="112">
        <f t="shared" si="299"/>
        <v>2061.7383333333332</v>
      </c>
      <c r="X275" s="107">
        <v>0</v>
      </c>
      <c r="Y275" s="107">
        <v>453</v>
      </c>
      <c r="Z275" s="107">
        <v>0</v>
      </c>
      <c r="AA275" s="112">
        <f t="shared" si="300"/>
        <v>453</v>
      </c>
      <c r="AC275" s="39">
        <v>3000</v>
      </c>
      <c r="AD275" s="40">
        <f t="shared" si="301"/>
        <v>9762.0987916666691</v>
      </c>
      <c r="AE275" s="1">
        <f t="shared" si="302"/>
        <v>13.200000000000001</v>
      </c>
      <c r="AF275" s="1">
        <f t="shared" si="303"/>
        <v>18</v>
      </c>
      <c r="AG275" s="41">
        <f t="shared" si="304"/>
        <v>16.871658946144276</v>
      </c>
      <c r="AI275">
        <v>1.1000000000000001</v>
      </c>
      <c r="AJ275">
        <v>1.5</v>
      </c>
      <c r="AK275" s="32">
        <f t="shared" si="305"/>
        <v>12762.098791666669</v>
      </c>
      <c r="AL275" s="4">
        <f t="shared" si="306"/>
        <v>0.23507105288660865</v>
      </c>
      <c r="AM275" s="4">
        <f t="shared" si="307"/>
        <v>0.76492894711339132</v>
      </c>
    </row>
    <row r="276" spans="3:39" ht="14.25" customHeight="1" x14ac:dyDescent="0.25">
      <c r="C276" s="1">
        <v>2026</v>
      </c>
      <c r="D276" s="52">
        <v>46174</v>
      </c>
      <c r="E276" s="1">
        <v>4</v>
      </c>
      <c r="F276" s="1" t="str">
        <f>+Precios!C276</f>
        <v>dom</v>
      </c>
      <c r="G276" s="5">
        <f>+Precios!D276</f>
        <v>46187</v>
      </c>
      <c r="H276" s="107">
        <v>5563.2962499999931</v>
      </c>
      <c r="I276" s="107">
        <v>0</v>
      </c>
      <c r="J276" s="107">
        <v>186.76874999999993</v>
      </c>
      <c r="K276" s="107">
        <v>31.39372916666667</v>
      </c>
      <c r="L276" s="107">
        <v>0</v>
      </c>
      <c r="M276" s="111">
        <f t="shared" si="269"/>
        <v>5781.4587291666603</v>
      </c>
      <c r="N276" s="2">
        <v>12713.897166666666</v>
      </c>
      <c r="O276" s="2">
        <v>1516.0700000000002</v>
      </c>
      <c r="P276" s="2">
        <v>952.85341666666659</v>
      </c>
      <c r="Q276" s="2">
        <v>190.85000000000002</v>
      </c>
      <c r="R276" s="107">
        <v>0</v>
      </c>
      <c r="S276" s="111">
        <f t="shared" si="291"/>
        <v>15373.670583333333</v>
      </c>
      <c r="T276" s="107">
        <v>700</v>
      </c>
      <c r="U276" s="107">
        <v>191.94041666666666</v>
      </c>
      <c r="V276" s="107">
        <v>1413.3366666666686</v>
      </c>
      <c r="W276" s="112">
        <f t="shared" si="299"/>
        <v>2305.2770833333352</v>
      </c>
      <c r="X276" s="107">
        <v>0</v>
      </c>
      <c r="Y276" s="107">
        <v>453</v>
      </c>
      <c r="Z276" s="107">
        <v>0</v>
      </c>
      <c r="AA276" s="112">
        <f t="shared" si="300"/>
        <v>453</v>
      </c>
      <c r="AC276" s="39">
        <v>3000</v>
      </c>
      <c r="AD276" s="40">
        <f t="shared" si="301"/>
        <v>9713.8971666666657</v>
      </c>
      <c r="AE276" s="1">
        <f t="shared" si="302"/>
        <v>13.200000000000001</v>
      </c>
      <c r="AF276" s="1">
        <f t="shared" si="303"/>
        <v>18</v>
      </c>
      <c r="AG276" s="41">
        <f t="shared" si="304"/>
        <v>16.86738111758887</v>
      </c>
      <c r="AI276">
        <v>1.1000000000000001</v>
      </c>
      <c r="AJ276">
        <v>1.5</v>
      </c>
      <c r="AK276" s="32">
        <f t="shared" si="305"/>
        <v>12713.897166666666</v>
      </c>
      <c r="AL276" s="4">
        <f t="shared" si="306"/>
        <v>0.23596226716898491</v>
      </c>
      <c r="AM276" s="4">
        <f t="shared" si="307"/>
        <v>0.76403773283101506</v>
      </c>
    </row>
    <row r="277" spans="3:39" ht="14.25" customHeight="1" x14ac:dyDescent="0.25">
      <c r="C277" s="1">
        <v>2026</v>
      </c>
      <c r="D277" s="52">
        <v>46174</v>
      </c>
      <c r="E277" s="1">
        <v>4</v>
      </c>
      <c r="F277" s="1" t="str">
        <f>+Precios!C277</f>
        <v>lun</v>
      </c>
      <c r="G277" s="5">
        <f>+Precios!D277</f>
        <v>46188</v>
      </c>
      <c r="H277" s="107">
        <v>5521.0929166666783</v>
      </c>
      <c r="I277" s="107">
        <v>24.270416666666666</v>
      </c>
      <c r="J277" s="107">
        <v>179.68999999999986</v>
      </c>
      <c r="K277" s="107">
        <v>40.468541666666667</v>
      </c>
      <c r="L277" s="107">
        <v>0</v>
      </c>
      <c r="M277" s="111">
        <f t="shared" si="269"/>
        <v>5765.5218750000113</v>
      </c>
      <c r="N277" s="2">
        <v>12697.385916666664</v>
      </c>
      <c r="O277" s="2">
        <v>1409.0577083333335</v>
      </c>
      <c r="P277" s="2">
        <v>953.34270833333335</v>
      </c>
      <c r="Q277" s="2">
        <v>190.17797916666666</v>
      </c>
      <c r="R277" s="107">
        <v>0</v>
      </c>
      <c r="S277" s="111">
        <f t="shared" si="291"/>
        <v>15249.964312499998</v>
      </c>
      <c r="T277" s="107">
        <v>700</v>
      </c>
      <c r="U277" s="107">
        <v>244.89458333333337</v>
      </c>
      <c r="V277" s="107">
        <v>1670.6395833333345</v>
      </c>
      <c r="W277" s="112">
        <f t="shared" si="299"/>
        <v>2615.5341666666677</v>
      </c>
      <c r="X277" s="107">
        <v>0</v>
      </c>
      <c r="Y277" s="107">
        <v>430</v>
      </c>
      <c r="Z277" s="107">
        <v>0</v>
      </c>
      <c r="AA277" s="112">
        <f t="shared" si="300"/>
        <v>430</v>
      </c>
      <c r="AC277" s="39">
        <v>3000</v>
      </c>
      <c r="AD277" s="40">
        <f t="shared" si="301"/>
        <v>9697.3859166666643</v>
      </c>
      <c r="AE277" s="1">
        <f t="shared" si="302"/>
        <v>13.200000000000001</v>
      </c>
      <c r="AF277" s="1">
        <f t="shared" si="303"/>
        <v>18</v>
      </c>
      <c r="AG277" s="41">
        <f t="shared" si="304"/>
        <v>16.865908298408222</v>
      </c>
      <c r="AI277">
        <v>1.1000000000000001</v>
      </c>
      <c r="AJ277">
        <v>1.5</v>
      </c>
      <c r="AK277" s="32">
        <f t="shared" si="305"/>
        <v>12697.385916666664</v>
      </c>
      <c r="AL277" s="4">
        <f t="shared" si="306"/>
        <v>0.2362691044982875</v>
      </c>
      <c r="AM277" s="4">
        <f t="shared" si="307"/>
        <v>0.76373089550171247</v>
      </c>
    </row>
    <row r="278" spans="3:39" ht="14.25" customHeight="1" x14ac:dyDescent="0.25">
      <c r="C278" s="1">
        <v>2026</v>
      </c>
      <c r="D278" s="52">
        <v>46174</v>
      </c>
      <c r="E278" s="1">
        <v>16</v>
      </c>
      <c r="F278" s="1" t="str">
        <f>+Precios!C278</f>
        <v>mar</v>
      </c>
      <c r="G278" s="5">
        <f>+Precios!D278</f>
        <v>46189</v>
      </c>
      <c r="H278" s="107">
        <v>6141.4670833333357</v>
      </c>
      <c r="I278" s="107">
        <v>284.10166666666669</v>
      </c>
      <c r="J278" s="107">
        <v>153.48416666666674</v>
      </c>
      <c r="K278" s="107">
        <v>42.123312499999997</v>
      </c>
      <c r="L278" s="107">
        <v>0</v>
      </c>
      <c r="M278" s="111">
        <f t="shared" si="269"/>
        <v>6621.1762291666691</v>
      </c>
      <c r="N278" s="2">
        <v>13086.652249999994</v>
      </c>
      <c r="O278" s="2">
        <v>1476.1991666666668</v>
      </c>
      <c r="P278" s="2">
        <v>952.99541666666664</v>
      </c>
      <c r="Q278" s="2">
        <v>186.86389583333334</v>
      </c>
      <c r="R278" s="107">
        <v>0</v>
      </c>
      <c r="S278" s="111">
        <f t="shared" si="291"/>
        <v>15702.710729166662</v>
      </c>
      <c r="T278" s="107">
        <v>700</v>
      </c>
      <c r="U278" s="107">
        <v>351.05666666666662</v>
      </c>
      <c r="V278" s="107">
        <v>1555.0029166666643</v>
      </c>
      <c r="W278" s="112">
        <f t="shared" si="299"/>
        <v>2606.0595833333309</v>
      </c>
      <c r="X278" s="107">
        <v>0</v>
      </c>
      <c r="Y278" s="107">
        <v>430</v>
      </c>
      <c r="Z278" s="107">
        <v>0</v>
      </c>
      <c r="AA278" s="112">
        <f t="shared" si="300"/>
        <v>430</v>
      </c>
      <c r="AC278" s="39">
        <v>3000</v>
      </c>
      <c r="AD278" s="40">
        <f t="shared" ref="AD278:AD284" si="308">+N278-AC278</f>
        <v>10086.652249999994</v>
      </c>
      <c r="AE278" s="1">
        <f t="shared" ref="AE278:AE284" si="309">12*AI278</f>
        <v>13.200000000000001</v>
      </c>
      <c r="AF278" s="1">
        <f t="shared" ref="AF278:AF284" si="310">12*AJ278</f>
        <v>18</v>
      </c>
      <c r="AG278" s="41">
        <f t="shared" ref="AG278:AG284" si="311">+(AC278*AE278+AF278*AD278)/SUM(AC278:AD278)</f>
        <v>16.899642190767313</v>
      </c>
      <c r="AI278">
        <v>1.1000000000000001</v>
      </c>
      <c r="AJ278">
        <v>1.5</v>
      </c>
      <c r="AK278" s="32">
        <f t="shared" ref="AK278:AK284" si="312">+AC278+AD278</f>
        <v>13086.652249999994</v>
      </c>
      <c r="AL278" s="4">
        <f t="shared" ref="AL278:AL284" si="313">+AC278/AK278</f>
        <v>0.22924121025680969</v>
      </c>
      <c r="AM278" s="4">
        <f t="shared" ref="AM278:AM284" si="314">+AD278/AK278</f>
        <v>0.77075878974319034</v>
      </c>
    </row>
    <row r="279" spans="3:39" ht="14.25" customHeight="1" x14ac:dyDescent="0.25">
      <c r="C279" s="1">
        <v>2026</v>
      </c>
      <c r="D279" s="52">
        <v>46174</v>
      </c>
      <c r="E279" s="1">
        <v>16</v>
      </c>
      <c r="F279" s="1" t="str">
        <f>+Precios!C279</f>
        <v>mié</v>
      </c>
      <c r="G279" s="5">
        <f>+Precios!D279</f>
        <v>46190</v>
      </c>
      <c r="H279" s="107">
        <v>6041.200416666682</v>
      </c>
      <c r="I279" s="107">
        <v>349.45</v>
      </c>
      <c r="J279" s="107">
        <v>183.74166666666659</v>
      </c>
      <c r="K279" s="107">
        <v>46.004958333333342</v>
      </c>
      <c r="L279" s="107">
        <v>0</v>
      </c>
      <c r="M279" s="111">
        <f t="shared" si="269"/>
        <v>6620.3970416666816</v>
      </c>
      <c r="N279" s="2">
        <v>13104.194583333332</v>
      </c>
      <c r="O279" s="2">
        <v>1526.4250833333335</v>
      </c>
      <c r="P279" s="2">
        <v>954.83645833333333</v>
      </c>
      <c r="Q279" s="2">
        <v>178.61389583333334</v>
      </c>
      <c r="R279" s="107">
        <v>0</v>
      </c>
      <c r="S279" s="111">
        <f t="shared" si="291"/>
        <v>15764.070020833333</v>
      </c>
      <c r="T279" s="107">
        <v>700</v>
      </c>
      <c r="U279" s="107">
        <v>393.12166666666667</v>
      </c>
      <c r="V279" s="107">
        <v>1338.6783333333317</v>
      </c>
      <c r="W279" s="112">
        <f t="shared" si="299"/>
        <v>2431.7999999999984</v>
      </c>
      <c r="X279" s="107">
        <v>0</v>
      </c>
      <c r="Y279" s="107">
        <v>430</v>
      </c>
      <c r="Z279" s="107">
        <v>0</v>
      </c>
      <c r="AA279" s="112">
        <f t="shared" si="300"/>
        <v>430</v>
      </c>
      <c r="AC279" s="39">
        <v>3000</v>
      </c>
      <c r="AD279" s="40">
        <f t="shared" si="308"/>
        <v>10104.194583333332</v>
      </c>
      <c r="AE279" s="1">
        <f t="shared" si="309"/>
        <v>13.200000000000001</v>
      </c>
      <c r="AF279" s="1">
        <f t="shared" si="310"/>
        <v>18</v>
      </c>
      <c r="AG279" s="41">
        <f t="shared" si="311"/>
        <v>16.901115218609867</v>
      </c>
      <c r="AI279">
        <v>1.1000000000000001</v>
      </c>
      <c r="AJ279">
        <v>1.5</v>
      </c>
      <c r="AK279" s="32">
        <f t="shared" si="312"/>
        <v>13104.194583333332</v>
      </c>
      <c r="AL279" s="4">
        <f t="shared" si="313"/>
        <v>0.22893432945627748</v>
      </c>
      <c r="AM279" s="4">
        <f t="shared" si="314"/>
        <v>0.77106567054372255</v>
      </c>
    </row>
    <row r="280" spans="3:39" ht="14.25" customHeight="1" x14ac:dyDescent="0.25">
      <c r="C280" s="1">
        <v>2026</v>
      </c>
      <c r="D280" s="52">
        <v>46174</v>
      </c>
      <c r="E280" s="1">
        <v>16</v>
      </c>
      <c r="F280" s="1" t="str">
        <f>+Precios!C280</f>
        <v>jue</v>
      </c>
      <c r="G280" s="5">
        <f>+Precios!D280</f>
        <v>46191</v>
      </c>
      <c r="H280" s="107">
        <v>5833.4016666666712</v>
      </c>
      <c r="I280" s="107">
        <v>354.04458333333332</v>
      </c>
      <c r="J280" s="107">
        <v>197.67583333333312</v>
      </c>
      <c r="K280" s="107">
        <v>57.024833333333333</v>
      </c>
      <c r="L280" s="107">
        <v>0</v>
      </c>
      <c r="M280" s="111">
        <f t="shared" si="269"/>
        <v>6442.1469166666702</v>
      </c>
      <c r="N280" s="2">
        <v>12807.041124999998</v>
      </c>
      <c r="O280" s="2">
        <v>1528.7590833333336</v>
      </c>
      <c r="P280" s="2">
        <v>954.83091666666667</v>
      </c>
      <c r="Q280" s="2">
        <v>190.85000000000002</v>
      </c>
      <c r="R280" s="107">
        <v>0</v>
      </c>
      <c r="S280" s="111">
        <f t="shared" si="291"/>
        <v>15481.481124999998</v>
      </c>
      <c r="T280" s="107">
        <v>700</v>
      </c>
      <c r="U280" s="107">
        <v>354.14291666666668</v>
      </c>
      <c r="V280" s="107">
        <v>1558.4412500000005</v>
      </c>
      <c r="W280" s="112">
        <f t="shared" si="299"/>
        <v>2612.5841666666674</v>
      </c>
      <c r="X280" s="107">
        <v>0</v>
      </c>
      <c r="Y280" s="107">
        <v>430</v>
      </c>
      <c r="Z280" s="107">
        <v>0</v>
      </c>
      <c r="AA280" s="112">
        <f t="shared" si="300"/>
        <v>430</v>
      </c>
      <c r="AC280" s="39">
        <v>3000</v>
      </c>
      <c r="AD280" s="40">
        <f t="shared" si="308"/>
        <v>9807.0411249999979</v>
      </c>
      <c r="AE280" s="1">
        <f t="shared" si="309"/>
        <v>13.200000000000001</v>
      </c>
      <c r="AF280" s="1">
        <f t="shared" si="310"/>
        <v>18</v>
      </c>
      <c r="AG280" s="41">
        <f t="shared" si="311"/>
        <v>16.875618508642837</v>
      </c>
      <c r="AI280">
        <v>1.1000000000000001</v>
      </c>
      <c r="AJ280">
        <v>1.5</v>
      </c>
      <c r="AK280" s="32">
        <f t="shared" si="312"/>
        <v>12807.041124999998</v>
      </c>
      <c r="AL280" s="4">
        <f t="shared" si="313"/>
        <v>0.23424614403274202</v>
      </c>
      <c r="AM280" s="4">
        <f t="shared" si="314"/>
        <v>0.76575385596725798</v>
      </c>
    </row>
    <row r="281" spans="3:39" ht="14.25" customHeight="1" x14ac:dyDescent="0.25">
      <c r="C281" s="1">
        <v>2026</v>
      </c>
      <c r="D281" s="52">
        <v>46174</v>
      </c>
      <c r="E281" s="1">
        <v>16</v>
      </c>
      <c r="F281" s="1" t="str">
        <f>+Precios!C281</f>
        <v>vie</v>
      </c>
      <c r="G281" s="5">
        <f>+Precios!D281</f>
        <v>46192</v>
      </c>
      <c r="H281" s="107">
        <v>5352.9374999999854</v>
      </c>
      <c r="I281" s="107">
        <v>546.60125000000005</v>
      </c>
      <c r="J281" s="107">
        <v>168.12250000000006</v>
      </c>
      <c r="K281" s="107">
        <v>66.362229166666665</v>
      </c>
      <c r="L281" s="107">
        <v>0</v>
      </c>
      <c r="M281" s="111">
        <f t="shared" si="269"/>
        <v>6134.0234791666526</v>
      </c>
      <c r="N281" s="2">
        <v>12485.531708333332</v>
      </c>
      <c r="O281" s="2">
        <v>1398.6658333333335</v>
      </c>
      <c r="P281" s="2">
        <v>952.82516666666663</v>
      </c>
      <c r="Q281" s="2">
        <v>190.85000000000002</v>
      </c>
      <c r="R281" s="107">
        <v>0</v>
      </c>
      <c r="S281" s="111">
        <f t="shared" si="291"/>
        <v>15027.872708333332</v>
      </c>
      <c r="T281" s="107">
        <v>700</v>
      </c>
      <c r="U281" s="107">
        <v>399.05833333333334</v>
      </c>
      <c r="V281" s="107">
        <v>1302.2424999999996</v>
      </c>
      <c r="W281" s="112">
        <f t="shared" si="299"/>
        <v>2401.3008333333328</v>
      </c>
      <c r="X281" s="107">
        <v>0</v>
      </c>
      <c r="Y281" s="107">
        <v>430</v>
      </c>
      <c r="Z281" s="107">
        <v>0</v>
      </c>
      <c r="AA281" s="112">
        <f t="shared" si="300"/>
        <v>430</v>
      </c>
      <c r="AC281" s="39">
        <v>3000</v>
      </c>
      <c r="AD281" s="40">
        <f t="shared" si="308"/>
        <v>9485.5317083333321</v>
      </c>
      <c r="AE281" s="1">
        <f t="shared" si="309"/>
        <v>13.200000000000001</v>
      </c>
      <c r="AF281" s="1">
        <f t="shared" si="310"/>
        <v>18</v>
      </c>
      <c r="AG281" s="41">
        <f t="shared" si="311"/>
        <v>16.846665057092533</v>
      </c>
      <c r="AI281">
        <v>1.1000000000000001</v>
      </c>
      <c r="AJ281">
        <v>1.5</v>
      </c>
      <c r="AK281" s="32">
        <f t="shared" si="312"/>
        <v>12485.531708333332</v>
      </c>
      <c r="AL281" s="4">
        <f t="shared" si="313"/>
        <v>0.24027811310572242</v>
      </c>
      <c r="AM281" s="4">
        <f t="shared" si="314"/>
        <v>0.75972188689427755</v>
      </c>
    </row>
    <row r="282" spans="3:39" ht="14.25" customHeight="1" x14ac:dyDescent="0.25">
      <c r="C282" s="1">
        <v>2026</v>
      </c>
      <c r="D282" s="52">
        <v>46174</v>
      </c>
      <c r="E282" s="1">
        <v>4</v>
      </c>
      <c r="F282" s="1" t="str">
        <f>+Precios!C282</f>
        <v>sáb</v>
      </c>
      <c r="G282" s="5">
        <f>+Precios!D282</f>
        <v>46193</v>
      </c>
      <c r="H282" s="107">
        <v>5150.9408333333331</v>
      </c>
      <c r="I282" s="107">
        <v>596.76416666666682</v>
      </c>
      <c r="J282" s="107">
        <v>133.4841666666666</v>
      </c>
      <c r="K282" s="107">
        <v>18.703520833333336</v>
      </c>
      <c r="L282" s="107">
        <v>0</v>
      </c>
      <c r="M282" s="111">
        <f t="shared" si="269"/>
        <v>5899.8926874999997</v>
      </c>
      <c r="N282" s="2">
        <v>12458.089999999997</v>
      </c>
      <c r="O282" s="2">
        <v>1521.3168750000002</v>
      </c>
      <c r="P282" s="2">
        <v>954.81841666666662</v>
      </c>
      <c r="Q282" s="2">
        <v>190.85000000000002</v>
      </c>
      <c r="R282" s="107">
        <v>0</v>
      </c>
      <c r="S282" s="111">
        <f t="shared" si="291"/>
        <v>15125.075291666664</v>
      </c>
      <c r="T282" s="107">
        <v>700</v>
      </c>
      <c r="U282" s="107">
        <v>221.03083333333325</v>
      </c>
      <c r="V282" s="107">
        <v>1790.5991666666712</v>
      </c>
      <c r="W282" s="112">
        <f t="shared" si="299"/>
        <v>2711.6300000000047</v>
      </c>
      <c r="X282" s="107">
        <v>0</v>
      </c>
      <c r="Y282" s="107">
        <v>430</v>
      </c>
      <c r="Z282" s="107">
        <v>0</v>
      </c>
      <c r="AA282" s="112">
        <f t="shared" si="300"/>
        <v>430</v>
      </c>
      <c r="AC282" s="39">
        <v>3000</v>
      </c>
      <c r="AD282" s="40">
        <f t="shared" si="308"/>
        <v>9458.0899999999965</v>
      </c>
      <c r="AE282" s="1">
        <f t="shared" si="309"/>
        <v>13.200000000000001</v>
      </c>
      <c r="AF282" s="1">
        <f t="shared" si="310"/>
        <v>18</v>
      </c>
      <c r="AG282" s="41">
        <f t="shared" si="311"/>
        <v>16.844124580894825</v>
      </c>
      <c r="AI282">
        <v>1.1000000000000001</v>
      </c>
      <c r="AJ282">
        <v>1.5</v>
      </c>
      <c r="AK282" s="32">
        <f t="shared" si="312"/>
        <v>12458.089999999997</v>
      </c>
      <c r="AL282" s="4">
        <f t="shared" si="313"/>
        <v>0.24080737898024504</v>
      </c>
      <c r="AM282" s="4">
        <f t="shared" si="314"/>
        <v>0.75919262101975493</v>
      </c>
    </row>
    <row r="283" spans="3:39" ht="14.25" customHeight="1" x14ac:dyDescent="0.25">
      <c r="C283" s="1">
        <v>2026</v>
      </c>
      <c r="D283" s="52">
        <v>46174</v>
      </c>
      <c r="E283" s="1">
        <v>4</v>
      </c>
      <c r="F283" s="1" t="str">
        <f>+Precios!C283</f>
        <v>dom</v>
      </c>
      <c r="G283" s="5">
        <f>+Precios!D283</f>
        <v>46194</v>
      </c>
      <c r="H283" s="107">
        <v>4847.3183333333327</v>
      </c>
      <c r="I283" s="107">
        <v>607.57583333333332</v>
      </c>
      <c r="J283" s="107">
        <v>126.29416666666664</v>
      </c>
      <c r="K283" s="107">
        <v>18.891166666666667</v>
      </c>
      <c r="L283" s="107">
        <v>0</v>
      </c>
      <c r="M283" s="111">
        <f t="shared" si="269"/>
        <v>5600.0794999999989</v>
      </c>
      <c r="N283" s="2">
        <v>12352.072833333326</v>
      </c>
      <c r="O283" s="2">
        <v>1523.8687499999999</v>
      </c>
      <c r="P283" s="2">
        <v>957.98187499999995</v>
      </c>
      <c r="Q283" s="2">
        <v>190.85000000000002</v>
      </c>
      <c r="R283" s="107">
        <v>0</v>
      </c>
      <c r="S283" s="111">
        <f t="shared" si="291"/>
        <v>15024.773458333326</v>
      </c>
      <c r="T283" s="107">
        <v>700</v>
      </c>
      <c r="U283" s="107">
        <v>205.95000000000002</v>
      </c>
      <c r="V283" s="107">
        <v>1466.4616666666682</v>
      </c>
      <c r="W283" s="112">
        <f t="shared" si="299"/>
        <v>2372.4116666666682</v>
      </c>
      <c r="X283" s="107">
        <v>0</v>
      </c>
      <c r="Y283" s="107">
        <v>430</v>
      </c>
      <c r="Z283" s="107">
        <v>0</v>
      </c>
      <c r="AA283" s="112">
        <f t="shared" si="300"/>
        <v>430</v>
      </c>
      <c r="AC283" s="39">
        <v>3000</v>
      </c>
      <c r="AD283" s="40">
        <f t="shared" si="308"/>
        <v>9352.0728333333263</v>
      </c>
      <c r="AE283" s="1">
        <f t="shared" si="309"/>
        <v>13.200000000000001</v>
      </c>
      <c r="AF283" s="1">
        <f t="shared" si="310"/>
        <v>18</v>
      </c>
      <c r="AG283" s="41">
        <f t="shared" si="311"/>
        <v>16.834203765287057</v>
      </c>
      <c r="AI283">
        <v>1.1000000000000001</v>
      </c>
      <c r="AJ283">
        <v>1.5</v>
      </c>
      <c r="AK283" s="32">
        <f t="shared" si="312"/>
        <v>12352.072833333326</v>
      </c>
      <c r="AL283" s="4">
        <f t="shared" si="313"/>
        <v>0.24287421556519603</v>
      </c>
      <c r="AM283" s="4">
        <f t="shared" si="314"/>
        <v>0.75712578443480394</v>
      </c>
    </row>
    <row r="284" spans="3:39" ht="14.25" customHeight="1" x14ac:dyDescent="0.25">
      <c r="C284" s="1">
        <v>2026</v>
      </c>
      <c r="D284" s="52">
        <v>46174</v>
      </c>
      <c r="E284" s="1">
        <v>16</v>
      </c>
      <c r="F284" s="1" t="str">
        <f>+Precios!C284</f>
        <v>lun</v>
      </c>
      <c r="G284" s="5">
        <f>+Precios!D284</f>
        <v>46195</v>
      </c>
      <c r="H284" s="107">
        <v>5667.0120833333349</v>
      </c>
      <c r="I284" s="107">
        <v>981.21624999999949</v>
      </c>
      <c r="J284" s="107">
        <v>144.50124999999994</v>
      </c>
      <c r="K284" s="107">
        <v>58.633624999999995</v>
      </c>
      <c r="L284" s="107">
        <v>0</v>
      </c>
      <c r="M284" s="111">
        <f t="shared" si="269"/>
        <v>6851.363208333335</v>
      </c>
      <c r="N284" s="2">
        <v>12521.289833333327</v>
      </c>
      <c r="O284" s="2">
        <v>1524.0052083333333</v>
      </c>
      <c r="P284" s="2">
        <v>957.47566666666648</v>
      </c>
      <c r="Q284" s="2">
        <v>190.85000000000002</v>
      </c>
      <c r="R284" s="107">
        <v>0</v>
      </c>
      <c r="S284" s="111">
        <f t="shared" si="291"/>
        <v>15193.620708333328</v>
      </c>
      <c r="T284" s="107">
        <v>700</v>
      </c>
      <c r="U284" s="107">
        <v>320.99624999999997</v>
      </c>
      <c r="V284" s="107">
        <v>1442.2245833333316</v>
      </c>
      <c r="W284" s="112">
        <f t="shared" si="299"/>
        <v>2463.2208333333315</v>
      </c>
      <c r="X284" s="107">
        <v>0</v>
      </c>
      <c r="Y284" s="107">
        <v>430</v>
      </c>
      <c r="Z284" s="107">
        <v>0</v>
      </c>
      <c r="AA284" s="112">
        <f t="shared" si="300"/>
        <v>430</v>
      </c>
      <c r="AC284" s="39">
        <v>3000</v>
      </c>
      <c r="AD284" s="40">
        <f t="shared" si="308"/>
        <v>9521.2898333333269</v>
      </c>
      <c r="AE284" s="1">
        <f t="shared" si="309"/>
        <v>13.200000000000001</v>
      </c>
      <c r="AF284" s="1">
        <f t="shared" si="310"/>
        <v>18</v>
      </c>
      <c r="AG284" s="41">
        <f t="shared" si="311"/>
        <v>16.84995873494875</v>
      </c>
      <c r="AI284">
        <v>1.1000000000000001</v>
      </c>
      <c r="AJ284">
        <v>1.5</v>
      </c>
      <c r="AK284" s="32">
        <f t="shared" si="312"/>
        <v>12521.289833333327</v>
      </c>
      <c r="AL284" s="4">
        <f t="shared" si="313"/>
        <v>0.23959193021901018</v>
      </c>
      <c r="AM284" s="4">
        <f t="shared" si="314"/>
        <v>0.76040806978098985</v>
      </c>
    </row>
    <row r="285" spans="3:39" ht="14.25" customHeight="1" x14ac:dyDescent="0.25">
      <c r="C285" s="1"/>
      <c r="D285" s="1"/>
      <c r="E285" s="1"/>
      <c r="G285" s="5"/>
      <c r="H285" s="107"/>
      <c r="I285" s="107"/>
      <c r="J285" s="107"/>
      <c r="K285" s="107"/>
      <c r="L285" s="107"/>
      <c r="N285" s="107"/>
      <c r="O285" s="107"/>
      <c r="P285" s="107"/>
      <c r="Q285" s="107"/>
      <c r="R285" s="107"/>
      <c r="AC285" s="39"/>
      <c r="AD285" s="40"/>
      <c r="AE285" s="1"/>
      <c r="AF285" s="1"/>
      <c r="AG285" s="41"/>
      <c r="AK285" s="32"/>
      <c r="AL285" s="4"/>
      <c r="AM285" s="4"/>
    </row>
    <row r="286" spans="3:39" x14ac:dyDescent="0.25">
      <c r="C286" s="1"/>
      <c r="D286" s="1"/>
      <c r="E286" s="1"/>
      <c r="G286" s="5"/>
    </row>
    <row r="290" spans="3:3" x14ac:dyDescent="0.25">
      <c r="C290" s="75" t="s">
        <v>5</v>
      </c>
    </row>
  </sheetData>
  <autoFilter ref="C19:AM284" xr:uid="{690E54B6-0047-4CA6-A34B-E7D7D9A54E88}">
    <filterColumn colId="1">
      <filters>
        <dateGroupItem year="2026" dateTimeGrouping="year"/>
      </filters>
    </filterColumn>
  </autoFilter>
  <phoneticPr fontId="2" type="noConversion"/>
  <pageMargins left="0.7" right="0.7" top="0.75" bottom="0.75" header="0.3" footer="0.3"/>
  <ignoredErrors>
    <ignoredError sqref="M20 M51:M143 M171:M221 M285 M232:M241" formulaRange="1"/>
    <ignoredError sqref="M8:M13 W8:W10 S8:S11 S12:W15 T11:W11 M14:M1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7ACD4-9C6E-4352-8700-10693FF92FCB}">
  <dimension ref="A1:AJ290"/>
  <sheetViews>
    <sheetView zoomScaleNormal="100" workbookViewId="0"/>
  </sheetViews>
  <sheetFormatPr baseColWidth="10" defaultColWidth="11" defaultRowHeight="15" x14ac:dyDescent="0.25"/>
  <cols>
    <col min="1" max="1" width="10.33203125" style="49" customWidth="1"/>
    <col min="2" max="2" width="10" style="49" customWidth="1"/>
    <col min="3" max="3" width="11" bestFit="1" customWidth="1"/>
    <col min="4" max="4" width="4.6640625" customWidth="1"/>
    <col min="5" max="5" width="10.77734375" customWidth="1"/>
    <col min="6" max="6" width="5.6640625" style="1" customWidth="1"/>
    <col min="7" max="7" width="13.33203125" style="1" customWidth="1"/>
    <col min="12" max="12" width="12.6640625" customWidth="1"/>
    <col min="13" max="13" width="15.5546875" customWidth="1"/>
    <col min="16" max="17" width="13.109375" customWidth="1"/>
    <col min="18" max="18" width="11.6640625" customWidth="1"/>
    <col min="19" max="19" width="13.6640625" customWidth="1"/>
    <col min="20" max="20" width="11.77734375" customWidth="1"/>
    <col min="21" max="21" width="12.21875" customWidth="1"/>
    <col min="22" max="22" width="11.77734375" customWidth="1"/>
    <col min="23" max="23" width="14.5546875" customWidth="1"/>
    <col min="24" max="24" width="11.6640625" customWidth="1"/>
    <col min="25" max="27" width="13.109375" customWidth="1"/>
    <col min="33" max="33" width="24.5546875" bestFit="1" customWidth="1"/>
    <col min="34" max="34" width="20.33203125" bestFit="1" customWidth="1"/>
    <col min="35" max="35" width="26.44140625" bestFit="1" customWidth="1"/>
  </cols>
  <sheetData>
    <row r="1" spans="1:35" s="47" customFormat="1" ht="32.25" x14ac:dyDescent="0.55000000000000004">
      <c r="A1" s="49"/>
      <c r="B1" s="131" t="s">
        <v>144</v>
      </c>
      <c r="F1" s="48"/>
      <c r="G1" s="48"/>
      <c r="H1" s="46" t="s">
        <v>113</v>
      </c>
      <c r="N1" s="46" t="s">
        <v>114</v>
      </c>
      <c r="T1" s="46" t="s">
        <v>115</v>
      </c>
      <c r="X1" s="46" t="s">
        <v>116</v>
      </c>
    </row>
    <row r="2" spans="1:35" s="47" customFormat="1" ht="32.25" x14ac:dyDescent="0.55000000000000004">
      <c r="A2" s="49"/>
      <c r="B2" s="61" t="s">
        <v>70</v>
      </c>
      <c r="F2" s="48"/>
      <c r="G2" s="48"/>
      <c r="H2" s="46"/>
      <c r="N2" s="46"/>
      <c r="T2" s="46"/>
      <c r="X2" s="46"/>
    </row>
    <row r="3" spans="1:35" s="47" customFormat="1" ht="32.25" x14ac:dyDescent="0.55000000000000004">
      <c r="A3" s="49"/>
      <c r="B3" s="61" t="s">
        <v>145</v>
      </c>
      <c r="F3" s="48"/>
      <c r="G3" s="48"/>
      <c r="H3" s="46"/>
      <c r="N3" s="46"/>
      <c r="T3" s="46"/>
      <c r="X3" s="46"/>
    </row>
    <row r="4" spans="1:35" x14ac:dyDescent="0.25">
      <c r="A4" s="49" t="s">
        <v>140</v>
      </c>
      <c r="L4" s="32"/>
      <c r="M4" s="37"/>
      <c r="S4" s="37"/>
    </row>
    <row r="5" spans="1:35" x14ac:dyDescent="0.25">
      <c r="H5" s="8" t="s">
        <v>18</v>
      </c>
      <c r="I5" s="8" t="s">
        <v>18</v>
      </c>
      <c r="J5" s="8" t="s">
        <v>18</v>
      </c>
      <c r="K5" s="8" t="s">
        <v>18</v>
      </c>
      <c r="L5" s="8" t="s">
        <v>18</v>
      </c>
      <c r="M5" s="8" t="s">
        <v>18</v>
      </c>
      <c r="N5" s="8" t="s">
        <v>19</v>
      </c>
      <c r="O5" s="8" t="s">
        <v>19</v>
      </c>
      <c r="P5" s="8" t="s">
        <v>19</v>
      </c>
      <c r="Q5" s="8" t="s">
        <v>19</v>
      </c>
      <c r="R5" s="8" t="s">
        <v>19</v>
      </c>
      <c r="S5" s="8" t="s">
        <v>19</v>
      </c>
      <c r="T5" s="10" t="s">
        <v>18</v>
      </c>
      <c r="U5" s="10" t="s">
        <v>18</v>
      </c>
      <c r="V5" s="10" t="s">
        <v>18</v>
      </c>
      <c r="W5" s="10" t="s">
        <v>18</v>
      </c>
      <c r="X5" s="10" t="s">
        <v>19</v>
      </c>
      <c r="Y5" s="10" t="s">
        <v>19</v>
      </c>
      <c r="Z5" s="10" t="s">
        <v>19</v>
      </c>
      <c r="AA5" s="10" t="s">
        <v>19</v>
      </c>
    </row>
    <row r="6" spans="1:35" x14ac:dyDescent="0.25">
      <c r="E6" t="s">
        <v>32</v>
      </c>
      <c r="F6"/>
      <c r="H6" s="9" t="s">
        <v>16</v>
      </c>
      <c r="I6" s="9" t="s">
        <v>16</v>
      </c>
      <c r="J6" s="9" t="s">
        <v>16</v>
      </c>
      <c r="K6" s="9" t="s">
        <v>16</v>
      </c>
      <c r="L6" s="9" t="s">
        <v>16</v>
      </c>
      <c r="M6" s="9" t="s">
        <v>117</v>
      </c>
      <c r="N6" s="9" t="s">
        <v>16</v>
      </c>
      <c r="O6" s="9" t="s">
        <v>16</v>
      </c>
      <c r="P6" s="9" t="s">
        <v>16</v>
      </c>
      <c r="Q6" s="9" t="s">
        <v>16</v>
      </c>
      <c r="R6" s="9" t="s">
        <v>16</v>
      </c>
      <c r="S6" s="9" t="s">
        <v>20</v>
      </c>
      <c r="T6" s="11" t="s">
        <v>16</v>
      </c>
      <c r="U6" s="11" t="s">
        <v>16</v>
      </c>
      <c r="V6" s="11" t="s">
        <v>16</v>
      </c>
      <c r="W6" s="11" t="s">
        <v>16</v>
      </c>
      <c r="X6" s="11" t="s">
        <v>20</v>
      </c>
      <c r="Y6" s="11" t="s">
        <v>20</v>
      </c>
      <c r="Z6" s="11" t="s">
        <v>20</v>
      </c>
      <c r="AA6" s="11" t="s">
        <v>20</v>
      </c>
      <c r="AI6" s="114"/>
    </row>
    <row r="7" spans="1:35" x14ac:dyDescent="0.25">
      <c r="F7" s="1" t="s">
        <v>130</v>
      </c>
      <c r="G7" s="1" t="s">
        <v>33</v>
      </c>
      <c r="H7" s="8" t="s">
        <v>98</v>
      </c>
      <c r="I7" s="8" t="s">
        <v>99</v>
      </c>
      <c r="J7" s="8" t="s">
        <v>100</v>
      </c>
      <c r="K7" s="8" t="s">
        <v>123</v>
      </c>
      <c r="L7" s="8" t="s">
        <v>101</v>
      </c>
      <c r="M7" s="8" t="s">
        <v>102</v>
      </c>
      <c r="N7" s="8" t="s">
        <v>98</v>
      </c>
      <c r="O7" s="8" t="s">
        <v>99</v>
      </c>
      <c r="P7" s="8" t="s">
        <v>100</v>
      </c>
      <c r="Q7" s="8" t="s">
        <v>123</v>
      </c>
      <c r="R7" s="8" t="s">
        <v>101</v>
      </c>
      <c r="S7" s="8" t="s">
        <v>102</v>
      </c>
      <c r="T7" s="10" t="s">
        <v>103</v>
      </c>
      <c r="U7" s="10" t="s">
        <v>104</v>
      </c>
      <c r="V7" s="10" t="s">
        <v>105</v>
      </c>
      <c r="W7" s="10" t="s">
        <v>106</v>
      </c>
      <c r="X7" s="10" t="s">
        <v>65</v>
      </c>
      <c r="Y7" s="10" t="s">
        <v>66</v>
      </c>
      <c r="Z7" s="10" t="s">
        <v>67</v>
      </c>
      <c r="AA7" s="10" t="s">
        <v>37</v>
      </c>
      <c r="AI7" s="114"/>
    </row>
    <row r="8" spans="1:35" x14ac:dyDescent="0.25">
      <c r="C8" s="132"/>
      <c r="D8" s="132"/>
      <c r="E8" s="132"/>
      <c r="F8" s="118">
        <f t="shared" ref="F8:F11" si="0">+EDATE(G8,1)-G8</f>
        <v>30</v>
      </c>
      <c r="G8" s="52">
        <f>+Precios!D7</f>
        <v>45962</v>
      </c>
      <c r="H8" s="17">
        <f>+IFERROR(SUMPRODUCT(H51:H80,'Fisico SPOT MAT'!H51:H80)/('Fisico SPOT MAT'!H8*$F8),0)</f>
        <v>37.782842686628456</v>
      </c>
      <c r="I8" s="17">
        <f>+IFERROR(SUMPRODUCT(I51:I80,'Fisico SPOT MAT'!I51:I80)/('Fisico SPOT MAT'!I8*$F8),0)</f>
        <v>31.526893585365418</v>
      </c>
      <c r="J8" s="17">
        <f>+IFERROR(SUMPRODUCT(J51:J80,'Fisico SPOT MAT'!J51:J80)/('Fisico SPOT MAT'!J8*$F8),0)</f>
        <v>22</v>
      </c>
      <c r="K8" s="17">
        <f>+IFERROR(SUMPRODUCT(K51:K80,'Fisico SPOT MAT'!K51:K80)/('Fisico SPOT MAT'!K8*$F8),0)</f>
        <v>0</v>
      </c>
      <c r="L8" s="17">
        <f>+IFERROR(SUMPRODUCT(L51:L80,'Fisico SPOT MAT'!L51:L80)/('Fisico SPOT MAT'!L8*$F8),0)</f>
        <v>0</v>
      </c>
      <c r="M8" s="44">
        <f>+SUMPRODUCT(M51:M80,'Fisico SPOT MAT'!M51:M80)/'Fisico SPOT MAT'!M8</f>
        <v>144991284.98436746</v>
      </c>
      <c r="N8" s="17">
        <f>+IFERROR(SUMPRODUCT(N51:N80,'Fisico SPOT MAT'!N51:N80)/('Fisico SPOT MAT'!N8*$F8),0)</f>
        <v>11.685484029834477</v>
      </c>
      <c r="O8" s="17">
        <f>+IFERROR(SUMPRODUCT(O51:O80,'Fisico SPOT MAT'!O51:O80)/('Fisico SPOT MAT'!O8*$F8),0)</f>
        <v>14.511494252873568</v>
      </c>
      <c r="P8" s="17">
        <f>+IFERROR(SUMPRODUCT(P51:P80,'Fisico SPOT MAT'!P51:P80)/('Fisico SPOT MAT'!P8*$F8),0)</f>
        <v>6.0000000000000009</v>
      </c>
      <c r="Q8" s="17">
        <f>+IFERROR(SUMPRODUCT(Q51:Q80,'Fisico SPOT MAT'!Q51:Q80)/('Fisico SPOT MAT'!Q8*$F8),0)</f>
        <v>0</v>
      </c>
      <c r="R8" s="17">
        <f>+IFERROR(SUMPRODUCT(R51:R80,'Fisico SPOT MAT'!R51:R80)/('Fisico SPOT MAT'!R8*$F8),0)</f>
        <v>0</v>
      </c>
      <c r="S8" s="44">
        <f>+SUMPRODUCT(S51:S80,'Fisico SPOT MAT'!S51:S80)/'Fisico SPOT MAT'!S8</f>
        <v>54774842.75556504</v>
      </c>
      <c r="W8" s="17">
        <f>+IFERROR(SUMPRODUCT(W51:W80,'Fisico SPOT MAT'!W51:W80)/('Fisico SPOT MAT'!W8*$F8),0)</f>
        <v>2174276.6467480487</v>
      </c>
      <c r="AA8" s="17">
        <f>+IFERROR(SUMPRODUCT(AA51:AA80,'Fisico SPOT MAT'!AA51:AA80)/('Fisico SPOT MAT'!AA8*$F8),0)</f>
        <v>24035.498363707611</v>
      </c>
      <c r="AI8" s="114"/>
    </row>
    <row r="9" spans="1:35" x14ac:dyDescent="0.25">
      <c r="C9" s="132"/>
      <c r="D9" s="132"/>
      <c r="E9" s="132"/>
      <c r="F9" s="118">
        <f t="shared" si="0"/>
        <v>31</v>
      </c>
      <c r="G9" s="52">
        <f>+Precios!D8</f>
        <v>45992</v>
      </c>
      <c r="H9" s="17">
        <f>+IFERROR(SUMPRODUCT(H81:H111,'Fisico SPOT MAT'!H81:H111)/('Fisico SPOT MAT'!H9*$F9),0)</f>
        <v>42.159979495958865</v>
      </c>
      <c r="I9" s="17">
        <f>+IFERROR(SUMPRODUCT(I81:I111,'Fisico SPOT MAT'!I81:I111)/('Fisico SPOT MAT'!I9*$F9),0)</f>
        <v>34.742837221870992</v>
      </c>
      <c r="J9" s="17">
        <f>+IFERROR(SUMPRODUCT(J81:J111,'Fisico SPOT MAT'!J81:J111)/('Fisico SPOT MAT'!J9*$F9),0)</f>
        <v>22.000000000000004</v>
      </c>
      <c r="K9" s="17">
        <f>+IFERROR(SUMPRODUCT(K81:K111,'Fisico SPOT MAT'!K81:K111)/('Fisico SPOT MAT'!K9*$F9),0)</f>
        <v>0</v>
      </c>
      <c r="L9" s="17">
        <f>+IFERROR(SUMPRODUCT(L81:L111,'Fisico SPOT MAT'!L81:L111)/('Fisico SPOT MAT'!L9*$F9),0)</f>
        <v>0</v>
      </c>
      <c r="M9" s="44">
        <f>+SUMPRODUCT(M81:M111,'Fisico SPOT MAT'!M81:M111)/'Fisico SPOT MAT'!M9</f>
        <v>230968242.21351933</v>
      </c>
      <c r="N9" s="17">
        <f>+IFERROR(SUMPRODUCT(N81:N111,'Fisico SPOT MAT'!N81:N111)/('Fisico SPOT MAT'!N9*$F9),0)</f>
        <v>16.816638401272542</v>
      </c>
      <c r="O9" s="17">
        <f>+IFERROR(SUMPRODUCT(O81:O111,'Fisico SPOT MAT'!O81:O111)/('Fisico SPOT MAT'!O9*$F9),0)</f>
        <v>13.151041666666668</v>
      </c>
      <c r="P9" s="17">
        <f>+IFERROR(SUMPRODUCT(P81:P111,'Fisico SPOT MAT'!P81:P111)/('Fisico SPOT MAT'!P9*$F9),0)</f>
        <v>5.9999999999999982</v>
      </c>
      <c r="Q9" s="17">
        <f>+IFERROR(SUMPRODUCT(Q81:Q111,'Fisico SPOT MAT'!Q81:Q111)/('Fisico SPOT MAT'!Q9*$F9),0)</f>
        <v>0</v>
      </c>
      <c r="R9" s="17">
        <f>+IFERROR(SUMPRODUCT(R81:R111,'Fisico SPOT MAT'!R81:R111)/('Fisico SPOT MAT'!R9*$F9),0)</f>
        <v>0</v>
      </c>
      <c r="S9" s="44">
        <f>+SUMPRODUCT(S81:S111,'Fisico SPOT MAT'!S81:S111)/'Fisico SPOT MAT'!S9</f>
        <v>86781163.54616107</v>
      </c>
      <c r="W9" s="17">
        <f>+IFERROR(SUMPRODUCT(W81:W111,'Fisico SPOT MAT'!W81:W111)/('Fisico SPOT MAT'!W9*$F9),0)</f>
        <v>2241565.199122807</v>
      </c>
      <c r="AA9" s="17">
        <f>+IFERROR(SUMPRODUCT(AA81:AA111,'Fisico SPOT MAT'!AA81:AA111)/('Fisico SPOT MAT'!AA9*$F9),0)</f>
        <v>32516.129032258064</v>
      </c>
      <c r="AI9" s="114"/>
    </row>
    <row r="10" spans="1:35" x14ac:dyDescent="0.25">
      <c r="C10" s="132"/>
      <c r="D10" s="132"/>
      <c r="E10" s="132"/>
      <c r="F10" s="118">
        <f t="shared" si="0"/>
        <v>31</v>
      </c>
      <c r="G10" s="52">
        <f>+Precios!D9</f>
        <v>46023</v>
      </c>
      <c r="H10" s="17">
        <f>+IFERROR(SUMPRODUCT(H112:H142,'Fisico SPOT MAT'!H112:H142)/('Fisico SPOT MAT'!H10*$F10),0)</f>
        <v>44.809511667351437</v>
      </c>
      <c r="I10" s="17">
        <f>+IFERROR(SUMPRODUCT(I112:I142,'Fisico SPOT MAT'!I112:I142)/('Fisico SPOT MAT'!I10*$F10),0)</f>
        <v>36.662848246171009</v>
      </c>
      <c r="J10" s="17">
        <f>+IFERROR(SUMPRODUCT(J112:J142,'Fisico SPOT MAT'!J112:J142)/('Fisico SPOT MAT'!J10*$F10),0)</f>
        <v>22</v>
      </c>
      <c r="K10" s="17">
        <f>+IFERROR(SUMPRODUCT(K112:K142,'Fisico SPOT MAT'!K112:K142)/('Fisico SPOT MAT'!K10*$F10),0)</f>
        <v>16.322580645161295</v>
      </c>
      <c r="L10" s="17">
        <f>+IFERROR(SUMPRODUCT(L112:L142,'Fisico SPOT MAT'!L112:L142)/('Fisico SPOT MAT'!L10*$F10),0)</f>
        <v>0</v>
      </c>
      <c r="M10" s="44">
        <f>+SUMPRODUCT(M112:M142,'Fisico SPOT MAT'!M112:M142)/'Fisico SPOT MAT'!M10</f>
        <v>257174089.32451031</v>
      </c>
      <c r="N10" s="17">
        <f>+IFERROR(SUMPRODUCT(N112:N142,'Fisico SPOT MAT'!N112:N142)/('Fisico SPOT MAT'!N10*$F10),0)</f>
        <v>16.84438029489468</v>
      </c>
      <c r="O10" s="17">
        <f>+IFERROR(SUMPRODUCT(O112:O142,'Fisico SPOT MAT'!O112:O142)/('Fisico SPOT MAT'!O10*$F10),0)</f>
        <v>13.082901554404145</v>
      </c>
      <c r="P10" s="17">
        <f>+IFERROR(SUMPRODUCT(P112:P142,'Fisico SPOT MAT'!P112:P142)/('Fisico SPOT MAT'!P10*$F10),0)</f>
        <v>6.0000000000000018</v>
      </c>
      <c r="Q10" s="17">
        <f>+IFERROR(SUMPRODUCT(Q112:Q142,'Fisico SPOT MAT'!Q112:Q142)/('Fisico SPOT MAT'!Q10*$F10),0)</f>
        <v>4.4516129032258069</v>
      </c>
      <c r="R10" s="17">
        <f>+IFERROR(SUMPRODUCT(R112:R142,'Fisico SPOT MAT'!R112:R142)/('Fisico SPOT MAT'!R10*$F10),0)</f>
        <v>0</v>
      </c>
      <c r="S10" s="44">
        <f>+SUMPRODUCT(S112:S142,'Fisico SPOT MAT'!S112:S142)/'Fisico SPOT MAT'!S10</f>
        <v>90343865.092627138</v>
      </c>
      <c r="T10" s="114"/>
      <c r="W10" s="17">
        <f>+IFERROR(SUMPRODUCT(W112:W142,'Fisico SPOT MAT'!W112:W142)/('Fisico SPOT MAT'!W10*$F10),0)</f>
        <v>2237712.4649286605</v>
      </c>
      <c r="AA10" s="17">
        <f>+IFERROR(SUMPRODUCT(AA112:AA142,'Fisico SPOT MAT'!AA112:AA142)/('Fisico SPOT MAT'!AA10*$F10),0)</f>
        <v>32685.483870967742</v>
      </c>
      <c r="AI10" s="114"/>
    </row>
    <row r="11" spans="1:35" x14ac:dyDescent="0.25">
      <c r="C11" s="132"/>
      <c r="D11" s="132"/>
      <c r="E11" s="132"/>
      <c r="F11" s="118">
        <f t="shared" si="0"/>
        <v>28</v>
      </c>
      <c r="G11" s="52">
        <f>+Precios!D10</f>
        <v>46054</v>
      </c>
      <c r="H11" s="17">
        <f>+IFERROR(SUMPRODUCT(H143:H170,'Fisico SPOT MAT'!H143:H170)/('Fisico SPOT MAT'!H11*$F11),0)</f>
        <v>45.370506831057305</v>
      </c>
      <c r="I11" s="17">
        <f>+IFERROR(SUMPRODUCT(I143:I170,'Fisico SPOT MAT'!I143:I170)/('Fisico SPOT MAT'!I11*$F11),0)</f>
        <v>34.851878037726465</v>
      </c>
      <c r="J11" s="17">
        <f>+IFERROR(SUMPRODUCT(J143:J170,'Fisico SPOT MAT'!J143:J170)/('Fisico SPOT MAT'!J11*$F11),0)</f>
        <v>22.000000000000004</v>
      </c>
      <c r="K11" s="17">
        <f>+IFERROR(SUMPRODUCT(K143:K170,'Fisico SPOT MAT'!K143:K170)/('Fisico SPOT MAT'!K11*$F11),0)</f>
        <v>22.000000000000004</v>
      </c>
      <c r="L11" s="17">
        <f>+IFERROR(SUMPRODUCT(L143:L170,'Fisico SPOT MAT'!L143:L170)/('Fisico SPOT MAT'!L11*$F11),0)</f>
        <v>0</v>
      </c>
      <c r="M11" s="44">
        <f>+SUMPRODUCT(M143:M170,'Fisico SPOT MAT'!M143:M170)/'Fisico SPOT MAT'!M11</f>
        <v>245376981.19874623</v>
      </c>
      <c r="N11" s="17">
        <f>+IFERROR(SUMPRODUCT(N143:N170,'Fisico SPOT MAT'!N143:N170)/('Fisico SPOT MAT'!N11*$F11),0)</f>
        <v>16.869450090326929</v>
      </c>
      <c r="O11" s="17">
        <f>+IFERROR(SUMPRODUCT(O143:O170,'Fisico SPOT MAT'!O143:O170)/('Fisico SPOT MAT'!O11*$F11),0)</f>
        <v>15.029761904761907</v>
      </c>
      <c r="P11" s="17">
        <f>+IFERROR(SUMPRODUCT(P143:P170,'Fisico SPOT MAT'!P143:P170)/('Fisico SPOT MAT'!P11*$F11),0)</f>
        <v>6</v>
      </c>
      <c r="Q11" s="17">
        <f>+IFERROR(SUMPRODUCT(Q143:Q170,'Fisico SPOT MAT'!Q143:Q170)/('Fisico SPOT MAT'!Q11*$F11),0)</f>
        <v>6.0000000000000009</v>
      </c>
      <c r="R11" s="17">
        <f>+IFERROR(SUMPRODUCT(R143:R170,'Fisico SPOT MAT'!R143:R170)/('Fisico SPOT MAT'!R11*$F11),0)</f>
        <v>0</v>
      </c>
      <c r="S11" s="44">
        <f>+SUMPRODUCT(S143:S170,'Fisico SPOT MAT'!S143:S170)/'Fisico SPOT MAT'!S11</f>
        <v>82035884.712141007</v>
      </c>
      <c r="T11" s="114"/>
      <c r="W11" s="17">
        <f>+IFERROR(SUMPRODUCT(W143:W170,'Fisico SPOT MAT'!W143:W170)/('Fisico SPOT MAT'!W11*$F11),0)</f>
        <v>2162432.9734117133</v>
      </c>
      <c r="AA11" s="17">
        <f>+IFERROR(SUMPRODUCT(AA143:AA170,'Fisico SPOT MAT'!AA143:AA170)/('Fisico SPOT MAT'!AA11*$F11),0)</f>
        <v>30936.243936243936</v>
      </c>
      <c r="AI11" s="114"/>
    </row>
    <row r="12" spans="1:35" x14ac:dyDescent="0.25">
      <c r="C12" s="132"/>
      <c r="D12" s="132"/>
      <c r="E12" s="132"/>
      <c r="F12" s="118">
        <f>+EDATE(G12,1)-G12</f>
        <v>31</v>
      </c>
      <c r="G12" s="52">
        <f>+Precios!D11</f>
        <v>46082</v>
      </c>
      <c r="H12" s="17">
        <f>+IFERROR(SUMPRODUCT(H171:H201,'Fisico SPOT MAT'!H171:H201)/('Fisico SPOT MAT'!H12*$F12),0)</f>
        <v>47.004262796516471</v>
      </c>
      <c r="I12" s="17">
        <f>+IFERROR(SUMPRODUCT(I171:I201,'Fisico SPOT MAT'!I171:I201)/('Fisico SPOT MAT'!I12*$F12),0)</f>
        <v>44.093031901680369</v>
      </c>
      <c r="J12" s="17">
        <f>+IFERROR(SUMPRODUCT(J171:J201,'Fisico SPOT MAT'!J171:J201)/('Fisico SPOT MAT'!J12*$F12),0)</f>
        <v>22.000000000000004</v>
      </c>
      <c r="K12" s="17">
        <f>+IFERROR(SUMPRODUCT(K171:K201,'Fisico SPOT MAT'!K171:K201)/('Fisico SPOT MAT'!K12*$F12),0)</f>
        <v>22.000000000000007</v>
      </c>
      <c r="L12" s="17">
        <f>+IFERROR(SUMPRODUCT(L171:L201,'Fisico SPOT MAT'!L171:L201)/('Fisico SPOT MAT'!L12*$F12),0)</f>
        <v>0</v>
      </c>
      <c r="M12" s="44">
        <f>+SUMPRODUCT(M171:M201,'Fisico SPOT MAT'!M171:M201)/'Fisico SPOT MAT'!M12</f>
        <v>264502107.07174936</v>
      </c>
      <c r="N12" s="17">
        <f>+IFERROR(SUMPRODUCT(N171:N201,'Fisico SPOT MAT'!N171:N201)/('Fisico SPOT MAT'!N12*$F12),0)</f>
        <v>16.258738688660163</v>
      </c>
      <c r="O12" s="17">
        <f>+IFERROR(SUMPRODUCT(O171:O201,'Fisico SPOT MAT'!O171:O201)/('Fisico SPOT MAT'!O12*$F12),0)</f>
        <v>13.502673796791438</v>
      </c>
      <c r="P12" s="17">
        <f>+IFERROR(SUMPRODUCT(P171:P201,'Fisico SPOT MAT'!P171:P201)/('Fisico SPOT MAT'!P12*$F12),0)</f>
        <v>6.0000000000000018</v>
      </c>
      <c r="Q12" s="17">
        <f>+IFERROR(SUMPRODUCT(Q171:Q201,'Fisico SPOT MAT'!Q171:Q201)/('Fisico SPOT MAT'!Q12*$F12),0)</f>
        <v>6</v>
      </c>
      <c r="R12" s="17">
        <f>+IFERROR(SUMPRODUCT(R171:R2054,'Fisico SPOT MAT'!R171:R201)/('Fisico SPOT MAT'!R12*$F12),0)</f>
        <v>0</v>
      </c>
      <c r="S12" s="44">
        <f>+SUMPRODUCT(S171:S201,'Fisico SPOT MAT'!S171:S201)/'Fisico SPOT MAT'!S12</f>
        <v>85563512.386881828</v>
      </c>
      <c r="W12" s="17">
        <f>+IFERROR(SUMPRODUCT(W171:W201,'Fisico SPOT MAT'!W171:W201)/('Fisico SPOT MAT'!W12*$F12),0)</f>
        <v>2109463.6610384318</v>
      </c>
      <c r="AA12" s="17">
        <f>+IFERROR(SUMPRODUCT(AA171:AA201,'Fisico SPOT MAT'!AA171:AA201)/('Fisico SPOT MAT'!AA12*$F12),0)</f>
        <v>30489.029795661634</v>
      </c>
      <c r="AI12" s="114"/>
    </row>
    <row r="13" spans="1:35" x14ac:dyDescent="0.25">
      <c r="C13" s="132"/>
      <c r="D13" s="132"/>
      <c r="E13" s="132"/>
      <c r="F13" s="118">
        <f>+EDATE(G13,1)-G13</f>
        <v>30</v>
      </c>
      <c r="G13" s="52">
        <f>+Precios!D12</f>
        <v>46113</v>
      </c>
      <c r="H13" s="17">
        <f>+IFERROR(SUMPRODUCT(H202:H231,'Fisico SPOT MAT'!H202:H231)/('Fisico SPOT MAT'!H13*$F13),0)</f>
        <v>54.198844062124465</v>
      </c>
      <c r="I13" s="17">
        <f>+IFERROR(SUMPRODUCT(I202:I231,'Fisico SPOT MAT'!I202:I231)/('Fisico SPOT MAT'!I13*$F13),0)</f>
        <v>42.155067766865585</v>
      </c>
      <c r="J13" s="17">
        <f>+IFERROR(SUMPRODUCT(J202:J231,'Fisico SPOT MAT'!J202:J231)/('Fisico SPOT MAT'!J13*$F13),0)</f>
        <v>22.449681738581493</v>
      </c>
      <c r="K13" s="17">
        <f>+IFERROR(SUMPRODUCT(K202:K231,'Fisico SPOT MAT'!K202:K231)/('Fisico SPOT MAT'!K13*$F13),0)</f>
        <v>22.949724505298118</v>
      </c>
      <c r="L13" s="17">
        <f>+IFERROR(SUMPRODUCT(L202:L231,'Fisico SPOT MAT'!L202:L231)/('Fisico SPOT MAT'!L13*$F13),0)</f>
        <v>0</v>
      </c>
      <c r="M13" s="44">
        <f>+SUMPRODUCT(M202:M231,'Fisico SPOT MAT'!M202:M231)/'Fisico SPOT MAT'!M13</f>
        <v>251157474.55302119</v>
      </c>
      <c r="N13" s="17">
        <f>+IFERROR(SUMPRODUCT(N202:N231,'Fisico SPOT MAT'!N202:N231)/('Fisico SPOT MAT'!N13*$F13),0)</f>
        <v>16.126082093831659</v>
      </c>
      <c r="O13" s="17">
        <f>+IFERROR(SUMPRODUCT(O202:O231,'Fisico SPOT MAT'!O202:O231)/('Fisico SPOT MAT'!O13*$F13),0)</f>
        <v>13.722826086956522</v>
      </c>
      <c r="P13" s="17">
        <f>+IFERROR(SUMPRODUCT(P202:P231,'Fisico SPOT MAT'!P202:P231)/('Fisico SPOT MAT'!P13*$F13),0)</f>
        <v>6</v>
      </c>
      <c r="Q13" s="17">
        <f>+IFERROR(SUMPRODUCT(Q202:Q231,'Fisico SPOT MAT'!Q202:Q231)/('Fisico SPOT MAT'!Q13*$F13),0)</f>
        <v>6.0000000000000018</v>
      </c>
      <c r="R13" s="17">
        <f>+IFERROR(SUMPRODUCT(R202:R231,'Fisico SPOT MAT'!R202:R231)/('Fisico SPOT MAT'!R13*$F13),0)</f>
        <v>0</v>
      </c>
      <c r="S13" s="44">
        <f>+SUMPRODUCT(S202:S231,'Fisico SPOT MAT'!S202:S231)/'Fisico SPOT MAT'!S13</f>
        <v>78648950.702289149</v>
      </c>
      <c r="W13" s="17">
        <f>+IFERROR(SUMPRODUCT(W202:W231,'Fisico SPOT MAT'!W202:W231)/('Fisico SPOT MAT'!W13*$F13),0)</f>
        <v>1962671.8269248854</v>
      </c>
      <c r="AA13" s="17">
        <f>+IFERROR(SUMPRODUCT(AA202:AA284,'Fisico SPOT MAT'!AA202:AA284)/('Fisico SPOT MAT'!AA13*$F13),0)</f>
        <v>79316.214073189738</v>
      </c>
      <c r="AI13" s="114"/>
    </row>
    <row r="14" spans="1:35" x14ac:dyDescent="0.25">
      <c r="C14" s="132"/>
      <c r="D14" s="132"/>
      <c r="E14" s="132"/>
      <c r="F14" s="118">
        <v>31</v>
      </c>
      <c r="G14" s="52">
        <f>+Precios!D13</f>
        <v>46143</v>
      </c>
      <c r="H14" s="17">
        <f>+IFERROR(SUMPRODUCT(H232:H262,'Fisico SPOT MAT'!H232:H262)/('Fisico SPOT MAT'!H14*$F14),0)</f>
        <v>114.12583124682749</v>
      </c>
      <c r="I14" s="17">
        <f>+IFERROR(SUMPRODUCT(I232:I262,'Fisico SPOT MAT'!I232:I262)/('Fisico SPOT MAT'!I14*$F14),0)</f>
        <v>152.4117057505116</v>
      </c>
      <c r="J14" s="17">
        <f>+IFERROR(SUMPRODUCT(J232:J262,'Fisico SPOT MAT'!J232:J262)/('Fisico SPOT MAT'!J14*$F14),0)</f>
        <v>27.247876331374304</v>
      </c>
      <c r="K14" s="17">
        <f>+IFERROR(SUMPRODUCT(K232:K262,'Fisico SPOT MAT'!K232:K262)/('Fisico SPOT MAT'!K14*$F14),0)</f>
        <v>28.53821629869898</v>
      </c>
      <c r="L14" s="17">
        <f>+IFERROR(SUMPRODUCT(L232:L262,'Fisico SPOT MAT'!L232:L262)/('Fisico SPOT MAT'!L14*$F14),0)</f>
        <v>0</v>
      </c>
      <c r="M14" s="44">
        <f>+SUMPRODUCT(M232:M262,'Fisico SPOT MAT'!M232:M262)/'Fisico SPOT MAT'!M15</f>
        <v>417860194.08707541</v>
      </c>
      <c r="N14" s="17">
        <f>+IFERROR(SUMPRODUCT(N232:N262,'Fisico SPOT MAT'!N232:N262)/('Fisico SPOT MAT'!N14*$F14),0)</f>
        <v>16.283939360885562</v>
      </c>
      <c r="O14" s="17">
        <f>+IFERROR(SUMPRODUCT(O232:O262,'Fisico SPOT MAT'!O232:O262)/('Fisico SPOT MAT'!O14*$F14),0)</f>
        <v>13.950276243093921</v>
      </c>
      <c r="P14" s="17">
        <f>+IFERROR(SUMPRODUCT(P232:P262,'Fisico SPOT MAT'!P232:P262)/('Fisico SPOT MAT'!P14*$F14),0)</f>
        <v>5.9999999999999991</v>
      </c>
      <c r="Q14" s="17">
        <f>+IFERROR(SUMPRODUCT(Q232:Q262,'Fisico SPOT MAT'!Q232:Q262)/('Fisico SPOT MAT'!Q14*$F14),0)</f>
        <v>5.9999999999999982</v>
      </c>
      <c r="R14" s="17">
        <f>+IFERROR(SUMPRODUCT(R232:R262,'Fisico SPOT MAT'!R232:R262)/('Fisico SPOT MAT'!R14*$F14),0)</f>
        <v>0</v>
      </c>
      <c r="S14" s="44">
        <f>+SUMPRODUCT(S232:S262,'Fisico SPOT MAT'!S232:S262)/'Fisico SPOT MAT'!S15</f>
        <v>82442633.800585344</v>
      </c>
      <c r="T14" s="17">
        <f>+IFERROR(SUMPRODUCT(T232:T262,'Fisico SPOT MAT'!T232:T262)/('Fisico SPOT MAT'!T14*$F14),0)</f>
        <v>75</v>
      </c>
      <c r="W14" s="17">
        <f>+IFERROR(SUMPRODUCT(W232:W262,'Fisico SPOT MAT'!W232:W262)/('Fisico SPOT MAT'!W14*$F14),0)</f>
        <v>3291482.8805352887</v>
      </c>
      <c r="AA14" s="17">
        <f>+IFERROR(SUMPRODUCT(AA232:AA262,'Fisico SPOT MAT'!AA232:AA262)/('Fisico SPOT MAT'!AA154*$F14),0)</f>
        <v>25954.557991536392</v>
      </c>
      <c r="AI14" s="114"/>
    </row>
    <row r="15" spans="1:35" x14ac:dyDescent="0.25">
      <c r="E15" s="1" t="s">
        <v>138</v>
      </c>
      <c r="F15" s="118">
        <f>+COUNTIF(D203:D287,MONTH(G15))</f>
        <v>22</v>
      </c>
      <c r="G15" s="52">
        <f>+Precios!D14</f>
        <v>46174</v>
      </c>
      <c r="H15" s="17">
        <f>+IFERROR(SUMPRODUCT(H263:H284,'Fisico SPOT MAT'!H263:H284)/('Fisico SPOT MAT'!H15*$F15),0)</f>
        <v>161.35009562658041</v>
      </c>
      <c r="I15" s="17">
        <f>+IFERROR(SUMPRODUCT(I263:I284,'Fisico SPOT MAT'!I263:I284)/('Fisico SPOT MAT'!I15*$F15),0)</f>
        <v>160.59851529906797</v>
      </c>
      <c r="J15" s="17">
        <f>+IFERROR(SUMPRODUCT(J263:J284,'Fisico SPOT MAT'!J263:J284)/('Fisico SPOT MAT'!J15*$F15),0)</f>
        <v>30.737211715874473</v>
      </c>
      <c r="K15" s="17">
        <f>+IFERROR(SUMPRODUCT(K263:K284,'Fisico SPOT MAT'!K263:K284)/('Fisico SPOT MAT'!K15*$F15),0)</f>
        <v>31.087741676787303</v>
      </c>
      <c r="L15" s="17">
        <f>+IFERROR(SUMPRODUCT(L263:L284,'Fisico SPOT MAT'!L263:L284)/('Fisico SPOT MAT'!L15*$F15),0)</f>
        <v>0</v>
      </c>
      <c r="M15" s="44">
        <f>+SUMPRODUCT(M263:M284,'Fisico SPOT MAT'!M263:M284)/'Fisico SPOT MAT'!M15</f>
        <v>528267774.58841223</v>
      </c>
      <c r="N15" s="17">
        <f>+IFERROR(SUMPRODUCT(N263:N284,'Fisico SPOT MAT'!N263:N284)/('Fisico SPOT MAT'!N15*$F15),0)</f>
        <v>16.875380430225686</v>
      </c>
      <c r="O15" s="17">
        <f>+IFERROR(SUMPRODUCT(O263:O284,'Fisico SPOT MAT'!O263:O284)/('Fisico SPOT MAT'!O15*$F15),0)</f>
        <v>13.359788359788359</v>
      </c>
      <c r="P15" s="17">
        <f>+IFERROR(SUMPRODUCT(P263:P284,'Fisico SPOT MAT'!P263:P284)/('Fisico SPOT MAT'!P15*$F15),0)</f>
        <v>6</v>
      </c>
      <c r="Q15" s="17">
        <f>+IFERROR(SUMPRODUCT(Q263:Q284,'Fisico SPOT MAT'!Q263:Q284)/('Fisico SPOT MAT'!Q15*$F15),0)</f>
        <v>6</v>
      </c>
      <c r="R15" s="17">
        <f>+IFERROR(SUMPRODUCT(R263:R284,'Fisico SPOT MAT'!R263:R284)/('Fisico SPOT MAT'!R15*$F15),0)</f>
        <v>0</v>
      </c>
      <c r="S15" s="44">
        <f>+SUMPRODUCT(S263:S286,'Fisico SPOT MAT'!S263:S286)/'Fisico SPOT MAT'!S15</f>
        <v>66552312.6330259</v>
      </c>
      <c r="T15" s="17">
        <f>+IFERROR(SUMPRODUCT(T263:T284,'Fisico SPOT MAT'!T263:T284)/('Fisico SPOT MAT'!T15*$F15),0)</f>
        <v>75</v>
      </c>
      <c r="W15" s="17">
        <f>+IFERROR(SUMPRODUCT(W263:W284,'Fisico SPOT MAT'!W263:W284)/('Fisico SPOT MAT'!W15*$F15),0)</f>
        <v>3246190.5848735753</v>
      </c>
      <c r="AA15" s="17">
        <f>+IFERROR(SUMPRODUCT(AA263:AA284,'Fisico SPOT MAT'!AA263:AA284)/('Fisico SPOT MAT'!AA15*$F15),0)</f>
        <v>27575.352688611736</v>
      </c>
      <c r="AI15" s="114"/>
    </row>
    <row r="16" spans="1:35" x14ac:dyDescent="0.25">
      <c r="E16" s="1"/>
      <c r="F16" s="118"/>
      <c r="G16" s="52"/>
      <c r="H16" s="17"/>
      <c r="I16" s="17"/>
      <c r="J16" s="17"/>
      <c r="K16" s="17"/>
      <c r="L16" s="17"/>
      <c r="M16" s="44"/>
      <c r="N16" s="17"/>
      <c r="O16" s="17"/>
      <c r="P16" s="17"/>
      <c r="Q16" s="17"/>
      <c r="R16" s="17"/>
      <c r="S16" s="44"/>
      <c r="W16" s="17"/>
      <c r="AA16" s="17"/>
      <c r="AI16" s="114"/>
    </row>
    <row r="17" spans="1:36" x14ac:dyDescent="0.25">
      <c r="E17" t="s">
        <v>86</v>
      </c>
      <c r="H17" s="8" t="s">
        <v>18</v>
      </c>
      <c r="I17" s="8" t="s">
        <v>18</v>
      </c>
      <c r="J17" s="8" t="s">
        <v>18</v>
      </c>
      <c r="K17" s="8" t="s">
        <v>18</v>
      </c>
      <c r="L17" s="8" t="s">
        <v>18</v>
      </c>
      <c r="M17" s="8" t="s">
        <v>18</v>
      </c>
      <c r="N17" s="8" t="s">
        <v>19</v>
      </c>
      <c r="O17" s="8" t="s">
        <v>19</v>
      </c>
      <c r="P17" s="8" t="s">
        <v>19</v>
      </c>
      <c r="Q17" s="8" t="s">
        <v>19</v>
      </c>
      <c r="R17" s="8" t="s">
        <v>19</v>
      </c>
      <c r="S17" s="8" t="s">
        <v>19</v>
      </c>
      <c r="T17" s="10" t="s">
        <v>18</v>
      </c>
      <c r="U17" s="10" t="s">
        <v>18</v>
      </c>
      <c r="V17" s="10" t="s">
        <v>18</v>
      </c>
      <c r="W17" s="10" t="s">
        <v>18</v>
      </c>
      <c r="X17" s="10" t="s">
        <v>19</v>
      </c>
      <c r="Y17" s="10" t="s">
        <v>19</v>
      </c>
      <c r="Z17" s="10" t="s">
        <v>19</v>
      </c>
      <c r="AA17" s="10" t="s">
        <v>19</v>
      </c>
      <c r="AD17" s="8" t="s">
        <v>18</v>
      </c>
      <c r="AE17" s="8" t="s">
        <v>18</v>
      </c>
      <c r="AF17" s="8" t="s">
        <v>19</v>
      </c>
      <c r="AG17" s="8" t="s">
        <v>119</v>
      </c>
      <c r="AH17" s="8" t="s">
        <v>118</v>
      </c>
      <c r="AI17" s="8" t="s">
        <v>124</v>
      </c>
    </row>
    <row r="18" spans="1:36" x14ac:dyDescent="0.25">
      <c r="H18" s="9" t="s">
        <v>16</v>
      </c>
      <c r="I18" s="9" t="s">
        <v>16</v>
      </c>
      <c r="J18" s="9" t="s">
        <v>16</v>
      </c>
      <c r="K18" s="9" t="s">
        <v>16</v>
      </c>
      <c r="L18" s="9" t="s">
        <v>16</v>
      </c>
      <c r="M18" s="9" t="s">
        <v>117</v>
      </c>
      <c r="N18" s="9" t="s">
        <v>20</v>
      </c>
      <c r="O18" s="9" t="s">
        <v>20</v>
      </c>
      <c r="P18" s="9" t="s">
        <v>20</v>
      </c>
      <c r="Q18" s="9" t="s">
        <v>20</v>
      </c>
      <c r="R18" s="9" t="s">
        <v>20</v>
      </c>
      <c r="S18" s="9" t="s">
        <v>20</v>
      </c>
      <c r="T18" s="11" t="s">
        <v>16</v>
      </c>
      <c r="U18" s="11" t="s">
        <v>16</v>
      </c>
      <c r="V18" s="11" t="s">
        <v>16</v>
      </c>
      <c r="W18" s="11" t="s">
        <v>16</v>
      </c>
      <c r="X18" s="11" t="s">
        <v>20</v>
      </c>
      <c r="Y18" s="11" t="s">
        <v>20</v>
      </c>
      <c r="Z18" s="11" t="s">
        <v>20</v>
      </c>
      <c r="AA18" s="11" t="s">
        <v>20</v>
      </c>
      <c r="AD18" s="9" t="s">
        <v>16</v>
      </c>
      <c r="AE18" s="9" t="s">
        <v>16</v>
      </c>
      <c r="AF18" s="9" t="s">
        <v>20</v>
      </c>
      <c r="AG18" s="9" t="s">
        <v>16</v>
      </c>
      <c r="AH18" s="9" t="s">
        <v>16</v>
      </c>
      <c r="AI18" s="9" t="s">
        <v>16</v>
      </c>
    </row>
    <row r="19" spans="1:36" x14ac:dyDescent="0.25">
      <c r="A19" s="49" t="s">
        <v>90</v>
      </c>
      <c r="B19" s="49" t="s">
        <v>91</v>
      </c>
      <c r="C19" s="1" t="s">
        <v>40</v>
      </c>
      <c r="D19" s="1" t="s">
        <v>33</v>
      </c>
      <c r="E19" s="1" t="s">
        <v>111</v>
      </c>
      <c r="F19" s="1" t="s">
        <v>41</v>
      </c>
      <c r="G19" s="1" t="s">
        <v>42</v>
      </c>
      <c r="H19" s="8" t="s">
        <v>98</v>
      </c>
      <c r="I19" s="8" t="s">
        <v>99</v>
      </c>
      <c r="J19" s="8" t="s">
        <v>100</v>
      </c>
      <c r="K19" s="8" t="s">
        <v>123</v>
      </c>
      <c r="L19" s="8" t="s">
        <v>101</v>
      </c>
      <c r="M19" s="8" t="s">
        <v>102</v>
      </c>
      <c r="N19" s="8" t="s">
        <v>98</v>
      </c>
      <c r="O19" s="8" t="s">
        <v>99</v>
      </c>
      <c r="P19" s="8" t="s">
        <v>100</v>
      </c>
      <c r="Q19" s="8" t="s">
        <v>123</v>
      </c>
      <c r="R19" s="8" t="s">
        <v>101</v>
      </c>
      <c r="S19" s="8" t="s">
        <v>102</v>
      </c>
      <c r="T19" s="10" t="s">
        <v>103</v>
      </c>
      <c r="U19" s="10" t="s">
        <v>104</v>
      </c>
      <c r="V19" s="10" t="s">
        <v>105</v>
      </c>
      <c r="W19" s="10" t="s">
        <v>106</v>
      </c>
      <c r="X19" s="10" t="s">
        <v>103</v>
      </c>
      <c r="Y19" s="10" t="s">
        <v>104</v>
      </c>
      <c r="Z19" s="10" t="s">
        <v>105</v>
      </c>
      <c r="AA19" s="10" t="s">
        <v>37</v>
      </c>
      <c r="AD19" s="8" t="s">
        <v>98</v>
      </c>
      <c r="AE19" s="8" t="s">
        <v>99</v>
      </c>
      <c r="AF19" s="8" t="s">
        <v>99</v>
      </c>
      <c r="AG19" s="8" t="s">
        <v>93</v>
      </c>
      <c r="AH19" s="8" t="s">
        <v>93</v>
      </c>
      <c r="AI19" s="8" t="s">
        <v>93</v>
      </c>
      <c r="AJ19" s="8" t="s">
        <v>22</v>
      </c>
    </row>
    <row r="20" spans="1:36" x14ac:dyDescent="0.25">
      <c r="A20" s="49">
        <v>1443</v>
      </c>
      <c r="B20" s="49">
        <v>1425.6669999999999</v>
      </c>
      <c r="C20" s="1">
        <f>YEAR(G20)</f>
        <v>2025</v>
      </c>
      <c r="D20" s="1">
        <f>MONTH(G20)</f>
        <v>10</v>
      </c>
      <c r="E20" s="1">
        <v>16</v>
      </c>
      <c r="F20" s="1" t="s">
        <v>44</v>
      </c>
      <c r="G20" s="56">
        <v>45931</v>
      </c>
      <c r="H20" s="17">
        <f>+AD20+AG20</f>
        <v>30.878017900526256</v>
      </c>
      <c r="I20" s="17">
        <f>+AE20</f>
        <v>26.856505044173673</v>
      </c>
      <c r="J20" s="17">
        <v>22</v>
      </c>
      <c r="K20" s="17"/>
      <c r="L20" s="17">
        <v>32</v>
      </c>
      <c r="M20" s="44">
        <f>SUMPRODUCT(H20:L20,'Fisico SPOT MAT'!H20:L20)*24</f>
        <v>3412779.1670731073</v>
      </c>
      <c r="N20" s="19">
        <f>+'Fisico SPOT MAT'!AG20</f>
        <v>11.696492553074188</v>
      </c>
      <c r="O20" s="19">
        <f>AF20/375</f>
        <v>13.466666666666667</v>
      </c>
      <c r="P20" s="19">
        <v>6</v>
      </c>
      <c r="Q20" s="19"/>
      <c r="R20" s="19">
        <v>0</v>
      </c>
      <c r="S20" s="44">
        <f>SUMPRODUCT(N20:R20,'Fisico SPOT MAT'!N20:R20)*E20</f>
        <v>2478078.8328888891</v>
      </c>
      <c r="T20" s="17"/>
      <c r="U20" s="17">
        <v>18</v>
      </c>
      <c r="V20" s="17">
        <v>60</v>
      </c>
      <c r="W20" s="28">
        <f>SUMPRODUCT(T20:V20,'Fisico SPOT MAT'!T20:V20)*24</f>
        <v>2548495.0440000002</v>
      </c>
      <c r="X20" s="19">
        <v>0</v>
      </c>
      <c r="Y20" s="19">
        <v>5</v>
      </c>
      <c r="Z20" s="19">
        <v>0</v>
      </c>
      <c r="AA20" s="28">
        <f>SUMPRODUCT(X20:Z20,'Fisico SPOT MAT'!X20:Z20)*E20</f>
        <v>33600</v>
      </c>
      <c r="AD20" s="41">
        <v>29.368166651546844</v>
      </c>
      <c r="AE20" s="41">
        <v>26.856505044173673</v>
      </c>
      <c r="AF20">
        <v>5050</v>
      </c>
      <c r="AG20" s="74">
        <f t="shared" ref="AG20:AG80" si="1">0.075*0.9*(AD20-7)</f>
        <v>1.509851248979412</v>
      </c>
    </row>
    <row r="21" spans="1:36" x14ac:dyDescent="0.25">
      <c r="A21" s="49">
        <v>1443</v>
      </c>
      <c r="B21" s="49">
        <v>1425.6669999999999</v>
      </c>
      <c r="C21" s="1">
        <f t="shared" ref="C21:C66" si="2">YEAR(G21)</f>
        <v>2025</v>
      </c>
      <c r="D21" s="1">
        <f t="shared" ref="D21:D66" si="3">MONTH(G21)</f>
        <v>10</v>
      </c>
      <c r="E21" s="1">
        <v>16</v>
      </c>
      <c r="F21" s="1" t="s">
        <v>45</v>
      </c>
      <c r="G21" s="56">
        <f>+ G20+1</f>
        <v>45932</v>
      </c>
      <c r="H21" s="17">
        <f t="shared" ref="H21:H66" si="4">+AD21+AG21</f>
        <v>31.320846924555486</v>
      </c>
      <c r="I21" s="17">
        <f t="shared" ref="I21:I50" si="5">+AE21</f>
        <v>27.296952830038197</v>
      </c>
      <c r="J21" s="17">
        <v>22</v>
      </c>
      <c r="K21" s="17"/>
      <c r="L21" s="17">
        <v>32</v>
      </c>
      <c r="M21" s="44">
        <f>SUMPRODUCT(H21:L21,'Fisico SPOT MAT'!H21:L21)*24</f>
        <v>3338537.2063901578</v>
      </c>
      <c r="N21" s="19">
        <f>+'Fisico SPOT MAT'!AG21</f>
        <v>11.713164420508368</v>
      </c>
      <c r="O21" s="19">
        <f t="shared" ref="O21:O50" si="6">AF21/375</f>
        <v>13.466666666666667</v>
      </c>
      <c r="P21" s="19">
        <v>6</v>
      </c>
      <c r="Q21" s="19"/>
      <c r="R21" s="19">
        <v>0</v>
      </c>
      <c r="S21" s="44">
        <f>SUMPRODUCT(N21:R21,'Fisico SPOT MAT'!N21:R21)*E21</f>
        <v>2605912.2312000003</v>
      </c>
      <c r="T21" s="17"/>
      <c r="U21" s="17">
        <v>18</v>
      </c>
      <c r="V21" s="17">
        <v>60</v>
      </c>
      <c r="W21" s="28">
        <f>SUMPRODUCT(T21:V21,'Fisico SPOT MAT'!T21:V21)*24</f>
        <v>2733391.86</v>
      </c>
      <c r="X21" s="19">
        <v>0</v>
      </c>
      <c r="Y21" s="19">
        <v>5</v>
      </c>
      <c r="Z21" s="19">
        <v>0</v>
      </c>
      <c r="AA21" s="28">
        <f>SUMPRODUCT(X21:Z21,'Fisico SPOT MAT'!X21:Z21)*E21</f>
        <v>33600</v>
      </c>
      <c r="AD21" s="41">
        <v>29.782994777101159</v>
      </c>
      <c r="AE21" s="41">
        <v>27.296952830038197</v>
      </c>
      <c r="AF21">
        <v>5050</v>
      </c>
      <c r="AG21" s="74">
        <f t="shared" si="1"/>
        <v>1.5378521474543283</v>
      </c>
    </row>
    <row r="22" spans="1:36" x14ac:dyDescent="0.25">
      <c r="A22" s="49">
        <v>1443</v>
      </c>
      <c r="B22" s="49">
        <v>1425.6669999999999</v>
      </c>
      <c r="C22" s="1">
        <f t="shared" si="2"/>
        <v>2025</v>
      </c>
      <c r="D22" s="1">
        <f t="shared" si="3"/>
        <v>10</v>
      </c>
      <c r="E22" s="1">
        <v>16</v>
      </c>
      <c r="F22" s="1" t="s">
        <v>46</v>
      </c>
      <c r="G22" s="56">
        <f t="shared" ref="G22:G85" si="7">+ G21+1</f>
        <v>45933</v>
      </c>
      <c r="H22" s="17">
        <f t="shared" si="4"/>
        <v>32.096551294918946</v>
      </c>
      <c r="I22" s="17">
        <f t="shared" si="5"/>
        <v>27.218544746414143</v>
      </c>
      <c r="J22" s="17">
        <v>22</v>
      </c>
      <c r="K22" s="17"/>
      <c r="L22" s="17">
        <v>32</v>
      </c>
      <c r="M22" s="44">
        <f>SUMPRODUCT(H22:L22,'Fisico SPOT MAT'!H22:L22)*24</f>
        <v>3487164.2839635783</v>
      </c>
      <c r="N22" s="19">
        <f>+'Fisico SPOT MAT'!AG22</f>
        <v>11.715965222071704</v>
      </c>
      <c r="O22" s="19">
        <f t="shared" si="6"/>
        <v>13.466666666666667</v>
      </c>
      <c r="P22" s="19">
        <v>6</v>
      </c>
      <c r="Q22" s="19"/>
      <c r="R22" s="19">
        <v>0</v>
      </c>
      <c r="S22" s="44">
        <f>SUMPRODUCT(N22:R22,'Fisico SPOT MAT'!N22:R22)*E22</f>
        <v>2631029.0312000006</v>
      </c>
      <c r="T22" s="17"/>
      <c r="U22" s="17">
        <v>18</v>
      </c>
      <c r="V22" s="17">
        <v>60</v>
      </c>
      <c r="W22" s="28">
        <f>SUMPRODUCT(T22:V22,'Fisico SPOT MAT'!T22:V22)*24</f>
        <v>2895465.1979999999</v>
      </c>
      <c r="X22" s="19">
        <v>0</v>
      </c>
      <c r="Y22" s="19">
        <v>5</v>
      </c>
      <c r="Z22" s="19">
        <v>0</v>
      </c>
      <c r="AA22" s="28">
        <f>SUMPRODUCT(X22:Z22,'Fisico SPOT MAT'!X22:Z22)*E22</f>
        <v>33600</v>
      </c>
      <c r="AD22" s="41">
        <v>30.509649924982618</v>
      </c>
      <c r="AE22" s="41">
        <v>27.218544746414143</v>
      </c>
      <c r="AF22">
        <v>5050</v>
      </c>
      <c r="AG22" s="74">
        <f t="shared" si="1"/>
        <v>1.5869013699363268</v>
      </c>
    </row>
    <row r="23" spans="1:36" x14ac:dyDescent="0.25">
      <c r="A23" s="49">
        <v>1443</v>
      </c>
      <c r="B23" s="49">
        <v>1425.6669999999999</v>
      </c>
      <c r="C23" s="1">
        <f t="shared" si="2"/>
        <v>2025</v>
      </c>
      <c r="D23" s="1">
        <f t="shared" si="3"/>
        <v>10</v>
      </c>
      <c r="E23" s="1">
        <v>6</v>
      </c>
      <c r="F23" s="1" t="s">
        <v>47</v>
      </c>
      <c r="G23" s="56">
        <f t="shared" si="7"/>
        <v>45934</v>
      </c>
      <c r="H23" s="17">
        <f t="shared" si="4"/>
        <v>33.548863908085224</v>
      </c>
      <c r="I23" s="17">
        <f t="shared" si="5"/>
        <v>27.177014611531305</v>
      </c>
      <c r="J23" s="17">
        <v>22</v>
      </c>
      <c r="K23" s="17"/>
      <c r="L23" s="17">
        <v>32</v>
      </c>
      <c r="M23" s="44">
        <f>SUMPRODUCT(H23:L23,'Fisico SPOT MAT'!H23:L23)*24</f>
        <v>3838080.4241000563</v>
      </c>
      <c r="N23" s="19">
        <f>+'Fisico SPOT MAT'!AG23</f>
        <v>11.6980174288472</v>
      </c>
      <c r="O23" s="19">
        <f t="shared" si="6"/>
        <v>13.466666666666667</v>
      </c>
      <c r="P23" s="19">
        <v>6</v>
      </c>
      <c r="Q23" s="19"/>
      <c r="R23" s="19">
        <v>0</v>
      </c>
      <c r="S23" s="44">
        <f>SUMPRODUCT(N23:R23,'Fisico SPOT MAT'!N23:R23)*E23</f>
        <v>930305.1894666662</v>
      </c>
      <c r="T23" s="17"/>
      <c r="U23" s="17">
        <v>18</v>
      </c>
      <c r="V23" s="17">
        <v>60</v>
      </c>
      <c r="W23" s="28">
        <f>SUMPRODUCT(T23:V23,'Fisico SPOT MAT'!T23:V23)*24</f>
        <v>2379455.5859999992</v>
      </c>
      <c r="X23" s="19">
        <v>0</v>
      </c>
      <c r="Y23" s="19">
        <v>5</v>
      </c>
      <c r="Z23" s="19">
        <v>0</v>
      </c>
      <c r="AA23" s="28">
        <f>SUMPRODUCT(X23:Z23,'Fisico SPOT MAT'!X23:Z23)*E23</f>
        <v>14064.375</v>
      </c>
      <c r="AD23" s="41">
        <v>31.870130124669998</v>
      </c>
      <c r="AE23" s="41">
        <v>27.177014611531305</v>
      </c>
      <c r="AF23">
        <v>5050</v>
      </c>
      <c r="AG23" s="74">
        <f t="shared" si="1"/>
        <v>1.6787337834152249</v>
      </c>
    </row>
    <row r="24" spans="1:36" x14ac:dyDescent="0.25">
      <c r="A24" s="49">
        <v>1443</v>
      </c>
      <c r="B24" s="49">
        <v>1425.6669999999999</v>
      </c>
      <c r="C24" s="1">
        <f t="shared" si="2"/>
        <v>2025</v>
      </c>
      <c r="D24" s="1">
        <f t="shared" si="3"/>
        <v>10</v>
      </c>
      <c r="E24" s="1">
        <v>4</v>
      </c>
      <c r="F24" s="1" t="s">
        <v>48</v>
      </c>
      <c r="G24" s="56">
        <f t="shared" si="7"/>
        <v>45935</v>
      </c>
      <c r="H24" s="17">
        <f t="shared" si="4"/>
        <v>33.415553132151345</v>
      </c>
      <c r="I24" s="17">
        <f t="shared" si="5"/>
        <v>27.74009756132244</v>
      </c>
      <c r="J24" s="17">
        <v>22</v>
      </c>
      <c r="K24" s="17"/>
      <c r="L24" s="17">
        <v>32</v>
      </c>
      <c r="M24" s="44">
        <f>SUMPRODUCT(H24:L24,'Fisico SPOT MAT'!H24:L24)*24</f>
        <v>3667128.6323827952</v>
      </c>
      <c r="N24" s="19">
        <f>+'Fisico SPOT MAT'!AG24</f>
        <v>11.695611048472008</v>
      </c>
      <c r="O24" s="19">
        <f t="shared" si="6"/>
        <v>13.466666666666667</v>
      </c>
      <c r="P24" s="19">
        <v>6</v>
      </c>
      <c r="Q24" s="19"/>
      <c r="R24" s="19">
        <v>0</v>
      </c>
      <c r="S24" s="44">
        <f>SUMPRODUCT(N24:R24,'Fisico SPOT MAT'!N24:R24)*E24</f>
        <v>616249.0199999999</v>
      </c>
      <c r="T24" s="17"/>
      <c r="U24" s="17">
        <v>18</v>
      </c>
      <c r="V24" s="17">
        <v>60</v>
      </c>
      <c r="W24" s="28">
        <f>SUMPRODUCT(T24:V24,'Fisico SPOT MAT'!T24:V24)*24</f>
        <v>2042880.6839999997</v>
      </c>
      <c r="X24" s="19">
        <v>0</v>
      </c>
      <c r="Y24" s="19">
        <v>5</v>
      </c>
      <c r="Z24" s="19">
        <v>0</v>
      </c>
      <c r="AA24" s="28">
        <f>SUMPRODUCT(X24:Z24,'Fisico SPOT MAT'!X24:Z24)*E24</f>
        <v>10200</v>
      </c>
      <c r="AD24" s="41">
        <v>31.745248835738963</v>
      </c>
      <c r="AE24" s="41">
        <v>27.74009756132244</v>
      </c>
      <c r="AF24">
        <v>5050</v>
      </c>
      <c r="AG24" s="74">
        <f t="shared" si="1"/>
        <v>1.67030429641238</v>
      </c>
    </row>
    <row r="25" spans="1:36" x14ac:dyDescent="0.25">
      <c r="A25" s="49">
        <v>1443</v>
      </c>
      <c r="B25" s="49">
        <v>1425.6669999999999</v>
      </c>
      <c r="C25" s="1">
        <f t="shared" si="2"/>
        <v>2025</v>
      </c>
      <c r="D25" s="1">
        <f t="shared" si="3"/>
        <v>10</v>
      </c>
      <c r="E25" s="1">
        <v>16</v>
      </c>
      <c r="F25" s="1" t="s">
        <v>49</v>
      </c>
      <c r="G25" s="56">
        <f t="shared" si="7"/>
        <v>45936</v>
      </c>
      <c r="H25" s="17">
        <f t="shared" si="4"/>
        <v>32.234041123874491</v>
      </c>
      <c r="I25" s="17">
        <f t="shared" si="5"/>
        <v>27.835555422421599</v>
      </c>
      <c r="J25" s="17">
        <v>22</v>
      </c>
      <c r="K25" s="17"/>
      <c r="L25" s="17">
        <v>32</v>
      </c>
      <c r="M25" s="44">
        <f>SUMPRODUCT(H25:L25,'Fisico SPOT MAT'!H25:L25)*24</f>
        <v>3624929.2789923018</v>
      </c>
      <c r="N25" s="19">
        <f>+'Fisico SPOT MAT'!AG25</f>
        <v>11.69330731277795</v>
      </c>
      <c r="O25" s="19">
        <f t="shared" si="6"/>
        <v>13.466666666666667</v>
      </c>
      <c r="P25" s="19">
        <v>6</v>
      </c>
      <c r="Q25" s="19"/>
      <c r="R25" s="19">
        <v>0</v>
      </c>
      <c r="S25" s="44">
        <f>SUMPRODUCT(N25:R25,'Fisico SPOT MAT'!N25:R25)*E25</f>
        <v>2461153.8011555555</v>
      </c>
      <c r="T25" s="17"/>
      <c r="U25" s="17">
        <v>18</v>
      </c>
      <c r="V25" s="17">
        <v>60</v>
      </c>
      <c r="W25" s="28">
        <f>SUMPRODUCT(T25:V25,'Fisico SPOT MAT'!T25:V25)*24</f>
        <v>1842371.3580000005</v>
      </c>
      <c r="X25" s="19">
        <v>0</v>
      </c>
      <c r="Y25" s="19">
        <v>5</v>
      </c>
      <c r="Z25" s="19">
        <v>0</v>
      </c>
      <c r="AA25" s="28">
        <f>SUMPRODUCT(X25:Z25,'Fisico SPOT MAT'!X25:Z25)*E25</f>
        <v>40800</v>
      </c>
      <c r="AD25" s="41">
        <v>30.638446017681019</v>
      </c>
      <c r="AE25" s="41">
        <v>27.835555422421599</v>
      </c>
      <c r="AF25">
        <v>5050</v>
      </c>
      <c r="AG25" s="74">
        <f t="shared" si="1"/>
        <v>1.595595106193469</v>
      </c>
    </row>
    <row r="26" spans="1:36" x14ac:dyDescent="0.25">
      <c r="A26" s="49">
        <v>1443</v>
      </c>
      <c r="B26" s="49">
        <v>1425.6669999999999</v>
      </c>
      <c r="C26" s="1">
        <f t="shared" si="2"/>
        <v>2025</v>
      </c>
      <c r="D26" s="1">
        <f t="shared" si="3"/>
        <v>10</v>
      </c>
      <c r="E26" s="1">
        <v>16</v>
      </c>
      <c r="F26" s="1" t="s">
        <v>50</v>
      </c>
      <c r="G26" s="56">
        <f t="shared" si="7"/>
        <v>45937</v>
      </c>
      <c r="H26" s="17">
        <f t="shared" si="4"/>
        <v>32.130238284212496</v>
      </c>
      <c r="I26" s="17">
        <f t="shared" si="5"/>
        <v>27.302203851266906</v>
      </c>
      <c r="J26" s="17">
        <v>22</v>
      </c>
      <c r="K26" s="17"/>
      <c r="L26" s="17">
        <v>32</v>
      </c>
      <c r="M26" s="44">
        <f>SUMPRODUCT(H26:L26,'Fisico SPOT MAT'!H26:L26)*24</f>
        <v>3562679.2624009233</v>
      </c>
      <c r="N26" s="19">
        <f>+'Fisico SPOT MAT'!AG26</f>
        <v>11.693235403943465</v>
      </c>
      <c r="O26" s="19">
        <f t="shared" si="6"/>
        <v>13.466666666666667</v>
      </c>
      <c r="P26" s="19">
        <v>6</v>
      </c>
      <c r="Q26" s="19"/>
      <c r="R26" s="19">
        <v>0</v>
      </c>
      <c r="S26" s="44">
        <f>SUMPRODUCT(N26:R26,'Fisico SPOT MAT'!N26:R26)*E26</f>
        <v>2455188.9917333336</v>
      </c>
      <c r="T26" s="17"/>
      <c r="U26" s="17">
        <v>18</v>
      </c>
      <c r="V26" s="17">
        <v>60</v>
      </c>
      <c r="W26" s="28">
        <f>SUMPRODUCT(T26:V26,'Fisico SPOT MAT'!T26:V26)*24</f>
        <v>2416922.466</v>
      </c>
      <c r="X26" s="19">
        <v>0</v>
      </c>
      <c r="Y26" s="19">
        <v>5</v>
      </c>
      <c r="Z26" s="19">
        <v>0</v>
      </c>
      <c r="AA26" s="28">
        <f>SUMPRODUCT(X26:Z26,'Fisico SPOT MAT'!X26:Z26)*E26</f>
        <v>40800</v>
      </c>
      <c r="AD26" s="41">
        <v>30.541206823618261</v>
      </c>
      <c r="AE26" s="41">
        <v>27.302203851266906</v>
      </c>
      <c r="AF26">
        <v>5050</v>
      </c>
      <c r="AG26" s="74">
        <f t="shared" si="1"/>
        <v>1.5890314605942326</v>
      </c>
    </row>
    <row r="27" spans="1:36" x14ac:dyDescent="0.25">
      <c r="A27" s="49">
        <v>1443</v>
      </c>
      <c r="B27" s="49">
        <v>1425.6669999999999</v>
      </c>
      <c r="C27" s="1">
        <f t="shared" si="2"/>
        <v>2025</v>
      </c>
      <c r="D27" s="1">
        <f t="shared" si="3"/>
        <v>10</v>
      </c>
      <c r="E27" s="1">
        <v>16</v>
      </c>
      <c r="F27" s="1" t="s">
        <v>44</v>
      </c>
      <c r="G27" s="56">
        <f t="shared" si="7"/>
        <v>45938</v>
      </c>
      <c r="H27" s="17">
        <f t="shared" si="4"/>
        <v>32.592833719268512</v>
      </c>
      <c r="I27" s="17">
        <f t="shared" si="5"/>
        <v>28.424977678498756</v>
      </c>
      <c r="J27" s="17">
        <v>22</v>
      </c>
      <c r="K27" s="17"/>
      <c r="L27" s="17">
        <v>32</v>
      </c>
      <c r="M27" s="44">
        <f>SUMPRODUCT(H27:L27,'Fisico SPOT MAT'!H27:L27)*24</f>
        <v>3313613.0585314441</v>
      </c>
      <c r="N27" s="19">
        <f>+'Fisico SPOT MAT'!AG27</f>
        <v>11.696245611579664</v>
      </c>
      <c r="O27" s="19">
        <f t="shared" si="6"/>
        <v>13.466666666666667</v>
      </c>
      <c r="P27" s="19">
        <v>6</v>
      </c>
      <c r="Q27" s="19"/>
      <c r="R27" s="19">
        <v>0</v>
      </c>
      <c r="S27" s="44">
        <f>SUMPRODUCT(N27:R27,'Fisico SPOT MAT'!N27:R27)*E27</f>
        <v>2474496.404444444</v>
      </c>
      <c r="T27" s="17"/>
      <c r="U27" s="17">
        <v>18</v>
      </c>
      <c r="V27" s="17">
        <v>60</v>
      </c>
      <c r="W27" s="28">
        <f>SUMPRODUCT(T27:V27,'Fisico SPOT MAT'!T27:V27)*24</f>
        <v>2882027.5079999999</v>
      </c>
      <c r="X27" s="19">
        <v>0</v>
      </c>
      <c r="Y27" s="19">
        <v>5</v>
      </c>
      <c r="Z27" s="19">
        <v>0</v>
      </c>
      <c r="AA27" s="28">
        <f>SUMPRODUCT(X27:Z27,'Fisico SPOT MAT'!X27:Z27)*E27</f>
        <v>40800</v>
      </c>
      <c r="AD27" s="41">
        <v>30.974551493459963</v>
      </c>
      <c r="AE27" s="41">
        <v>28.424977678498756</v>
      </c>
      <c r="AF27">
        <v>5050</v>
      </c>
      <c r="AG27" s="74">
        <f t="shared" si="1"/>
        <v>1.6182822258085476</v>
      </c>
    </row>
    <row r="28" spans="1:36" x14ac:dyDescent="0.25">
      <c r="A28" s="49">
        <v>1443</v>
      </c>
      <c r="B28" s="49">
        <v>1425.6669999999999</v>
      </c>
      <c r="C28" s="1">
        <f t="shared" si="2"/>
        <v>2025</v>
      </c>
      <c r="D28" s="1">
        <f t="shared" si="3"/>
        <v>10</v>
      </c>
      <c r="E28" s="1">
        <v>16</v>
      </c>
      <c r="F28" s="1" t="s">
        <v>45</v>
      </c>
      <c r="G28" s="56">
        <f t="shared" si="7"/>
        <v>45939</v>
      </c>
      <c r="H28" s="17">
        <f t="shared" si="4"/>
        <v>31.985514445742318</v>
      </c>
      <c r="I28" s="17">
        <f t="shared" si="5"/>
        <v>28.844416044112954</v>
      </c>
      <c r="J28" s="17">
        <v>22</v>
      </c>
      <c r="K28" s="17"/>
      <c r="L28" s="17">
        <v>32</v>
      </c>
      <c r="M28" s="44">
        <f>SUMPRODUCT(H28:L28,'Fisico SPOT MAT'!H28:L28)*24</f>
        <v>3150583.2616351401</v>
      </c>
      <c r="N28" s="19">
        <f>+'Fisico SPOT MAT'!AG28</f>
        <v>11.694881137380284</v>
      </c>
      <c r="O28" s="19">
        <f t="shared" si="6"/>
        <v>13.466666666666667</v>
      </c>
      <c r="P28" s="19">
        <v>6</v>
      </c>
      <c r="Q28" s="19"/>
      <c r="R28" s="19">
        <v>0</v>
      </c>
      <c r="S28" s="44">
        <f>SUMPRODUCT(N28:R28,'Fisico SPOT MAT'!N28:R28)*E28</f>
        <v>2461789.7404444441</v>
      </c>
      <c r="T28" s="17"/>
      <c r="U28" s="17">
        <v>18</v>
      </c>
      <c r="V28" s="17">
        <v>60</v>
      </c>
      <c r="W28" s="28">
        <f>SUMPRODUCT(T28:V28,'Fisico SPOT MAT'!T28:V28)*24</f>
        <v>2985267.4979999992</v>
      </c>
      <c r="X28" s="19">
        <v>0</v>
      </c>
      <c r="Y28" s="19">
        <v>5</v>
      </c>
      <c r="Z28" s="19">
        <v>0</v>
      </c>
      <c r="AA28" s="28">
        <f>SUMPRODUCT(X28:Z28,'Fisico SPOT MAT'!X28:Z28)*E28</f>
        <v>40800</v>
      </c>
      <c r="AD28" s="41">
        <v>30.405634141210601</v>
      </c>
      <c r="AE28" s="41">
        <v>28.844416044112954</v>
      </c>
      <c r="AF28">
        <v>5050</v>
      </c>
      <c r="AG28" s="74">
        <f t="shared" si="1"/>
        <v>1.5798803045317158</v>
      </c>
    </row>
    <row r="29" spans="1:36" x14ac:dyDescent="0.25">
      <c r="A29" s="49">
        <v>1443</v>
      </c>
      <c r="B29" s="49">
        <v>1425.6669999999999</v>
      </c>
      <c r="C29" s="1">
        <f t="shared" si="2"/>
        <v>2025</v>
      </c>
      <c r="D29" s="1">
        <f t="shared" si="3"/>
        <v>10</v>
      </c>
      <c r="E29" s="1">
        <v>16</v>
      </c>
      <c r="F29" s="1" t="s">
        <v>46</v>
      </c>
      <c r="G29" s="56">
        <f t="shared" si="7"/>
        <v>45940</v>
      </c>
      <c r="H29" s="17">
        <f t="shared" si="4"/>
        <v>32.852105831211034</v>
      </c>
      <c r="I29" s="17">
        <f t="shared" si="5"/>
        <v>28.198837146581255</v>
      </c>
      <c r="J29" s="17">
        <v>22</v>
      </c>
      <c r="K29" s="17"/>
      <c r="L29" s="17">
        <v>32</v>
      </c>
      <c r="M29" s="44">
        <f>SUMPRODUCT(H29:L29,'Fisico SPOT MAT'!H29:L29)*24</f>
        <v>3311968.4403061951</v>
      </c>
      <c r="N29" s="19">
        <f>+'Fisico SPOT MAT'!AG29</f>
        <v>11.694904697638179</v>
      </c>
      <c r="O29" s="19">
        <f t="shared" si="6"/>
        <v>13.466666666666667</v>
      </c>
      <c r="P29" s="19">
        <v>6</v>
      </c>
      <c r="Q29" s="19"/>
      <c r="R29" s="19">
        <v>0</v>
      </c>
      <c r="S29" s="44">
        <f>SUMPRODUCT(N29:R29,'Fisico SPOT MAT'!N29:R29)*E29</f>
        <v>2460982.4716444449</v>
      </c>
      <c r="T29" s="17"/>
      <c r="U29" s="17">
        <v>18</v>
      </c>
      <c r="V29" s="17">
        <v>60</v>
      </c>
      <c r="W29" s="28">
        <f>SUMPRODUCT(T29:V29,'Fisico SPOT MAT'!T29:V29)*24</f>
        <v>2347472.9759999998</v>
      </c>
      <c r="X29" s="19">
        <v>0</v>
      </c>
      <c r="Y29" s="19">
        <v>5</v>
      </c>
      <c r="Z29" s="19">
        <v>0</v>
      </c>
      <c r="AA29" s="28">
        <f>SUMPRODUCT(X29:Z29,'Fisico SPOT MAT'!X29:Z29)*E29</f>
        <v>40800</v>
      </c>
      <c r="AD29" s="41">
        <v>31.217429350080593</v>
      </c>
      <c r="AE29" s="41">
        <v>28.198837146581255</v>
      </c>
      <c r="AF29">
        <v>5050</v>
      </c>
      <c r="AG29" s="74">
        <f t="shared" si="1"/>
        <v>1.6346764811304402</v>
      </c>
    </row>
    <row r="30" spans="1:36" x14ac:dyDescent="0.25">
      <c r="A30" s="49">
        <v>1443</v>
      </c>
      <c r="B30" s="49">
        <v>1425.6669999999999</v>
      </c>
      <c r="C30" s="1">
        <f t="shared" si="2"/>
        <v>2025</v>
      </c>
      <c r="D30" s="1">
        <f t="shared" si="3"/>
        <v>10</v>
      </c>
      <c r="E30" s="1">
        <v>6</v>
      </c>
      <c r="F30" s="1" t="s">
        <v>47</v>
      </c>
      <c r="G30" s="56">
        <f t="shared" si="7"/>
        <v>45941</v>
      </c>
      <c r="H30" s="17">
        <f t="shared" si="4"/>
        <v>33.110416894215305</v>
      </c>
      <c r="I30" s="17">
        <f t="shared" si="5"/>
        <v>28.293251545492758</v>
      </c>
      <c r="J30" s="17">
        <v>22</v>
      </c>
      <c r="K30" s="17"/>
      <c r="L30" s="17">
        <v>32</v>
      </c>
      <c r="M30" s="44">
        <f>SUMPRODUCT(H30:L30,'Fisico SPOT MAT'!H30:L30)*24</f>
        <v>3463469.8891121987</v>
      </c>
      <c r="N30" s="19">
        <f>+'Fisico SPOT MAT'!AG30</f>
        <v>11.694035528594421</v>
      </c>
      <c r="O30" s="19">
        <f t="shared" si="6"/>
        <v>13.466666666666667</v>
      </c>
      <c r="P30" s="19">
        <v>6</v>
      </c>
      <c r="Q30" s="19"/>
      <c r="R30" s="19">
        <v>0</v>
      </c>
      <c r="S30" s="44">
        <f>SUMPRODUCT(N30:R30,'Fisico SPOT MAT'!N30:R30)*E30</f>
        <v>920720.3059666669</v>
      </c>
      <c r="T30" s="17"/>
      <c r="U30" s="17">
        <v>18</v>
      </c>
      <c r="V30" s="17">
        <v>60</v>
      </c>
      <c r="W30" s="28">
        <f>SUMPRODUCT(T30:V30,'Fisico SPOT MAT'!T30:V30)*24</f>
        <v>2322098.4060000004</v>
      </c>
      <c r="X30" s="19">
        <v>0</v>
      </c>
      <c r="Y30" s="19">
        <v>5</v>
      </c>
      <c r="Z30" s="19">
        <v>0</v>
      </c>
      <c r="AA30" s="28">
        <f>SUMPRODUCT(X30:Z30,'Fisico SPOT MAT'!X30:Z30)*E30</f>
        <v>15300</v>
      </c>
      <c r="AD30" s="41">
        <v>31.459406926665395</v>
      </c>
      <c r="AE30" s="41">
        <v>28.293251545492758</v>
      </c>
      <c r="AF30">
        <v>5050</v>
      </c>
      <c r="AG30" s="74">
        <f t="shared" si="1"/>
        <v>1.6510099675499141</v>
      </c>
    </row>
    <row r="31" spans="1:36" x14ac:dyDescent="0.25">
      <c r="A31" s="49">
        <v>1443</v>
      </c>
      <c r="B31" s="49">
        <v>1425.6669999999999</v>
      </c>
      <c r="C31" s="1">
        <f t="shared" si="2"/>
        <v>2025</v>
      </c>
      <c r="D31" s="1">
        <f t="shared" si="3"/>
        <v>10</v>
      </c>
      <c r="E31" s="1">
        <v>4</v>
      </c>
      <c r="F31" s="1" t="s">
        <v>48</v>
      </c>
      <c r="G31" s="56">
        <f t="shared" si="7"/>
        <v>45942</v>
      </c>
      <c r="H31" s="17">
        <f t="shared" si="4"/>
        <v>33.965434275514312</v>
      </c>
      <c r="I31" s="17">
        <f t="shared" si="5"/>
        <v>28.615624557000125</v>
      </c>
      <c r="J31" s="17">
        <v>22</v>
      </c>
      <c r="K31" s="17"/>
      <c r="L31" s="17">
        <v>32</v>
      </c>
      <c r="M31" s="44">
        <f>SUMPRODUCT(H31:L31,'Fisico SPOT MAT'!H31:L31)*24</f>
        <v>2814223.3476308519</v>
      </c>
      <c r="N31" s="19">
        <f>+'Fisico SPOT MAT'!AG31</f>
        <v>11.688758824659951</v>
      </c>
      <c r="O31" s="19">
        <f t="shared" si="6"/>
        <v>13.466666666666667</v>
      </c>
      <c r="P31" s="19">
        <v>6</v>
      </c>
      <c r="Q31" s="19"/>
      <c r="R31" s="19">
        <v>0</v>
      </c>
      <c r="S31" s="44">
        <f>SUMPRODUCT(N31:R31,'Fisico SPOT MAT'!N31:R31)*E31</f>
        <v>604966.58604444459</v>
      </c>
      <c r="T31" s="17"/>
      <c r="U31" s="17">
        <v>18</v>
      </c>
      <c r="V31" s="17">
        <v>60</v>
      </c>
      <c r="W31" s="28">
        <f>SUMPRODUCT(T31:V31,'Fisico SPOT MAT'!T31:V31)*24</f>
        <v>2494767.858</v>
      </c>
      <c r="X31" s="19">
        <v>0</v>
      </c>
      <c r="Y31" s="19">
        <v>5</v>
      </c>
      <c r="Z31" s="19">
        <v>0</v>
      </c>
      <c r="AA31" s="28">
        <f>SUMPRODUCT(X31:Z31,'Fisico SPOT MAT'!X31:Z31)*E31</f>
        <v>10200</v>
      </c>
      <c r="AD31" s="41">
        <v>32.260359977062585</v>
      </c>
      <c r="AE31" s="41">
        <v>28.615624557000125</v>
      </c>
      <c r="AF31">
        <v>5050</v>
      </c>
      <c r="AG31" s="74">
        <f t="shared" si="1"/>
        <v>1.7050742984517246</v>
      </c>
    </row>
    <row r="32" spans="1:36" x14ac:dyDescent="0.25">
      <c r="A32" s="49">
        <v>1443</v>
      </c>
      <c r="B32" s="49">
        <v>1429.75</v>
      </c>
      <c r="C32" s="1">
        <f t="shared" si="2"/>
        <v>2025</v>
      </c>
      <c r="D32" s="1">
        <f t="shared" si="3"/>
        <v>10</v>
      </c>
      <c r="E32" s="1">
        <v>16</v>
      </c>
      <c r="F32" s="1" t="s">
        <v>49</v>
      </c>
      <c r="G32" s="56">
        <f t="shared" si="7"/>
        <v>45943</v>
      </c>
      <c r="H32" s="17">
        <f t="shared" si="4"/>
        <v>33.088138182282677</v>
      </c>
      <c r="I32" s="17">
        <f t="shared" si="5"/>
        <v>28.00112944185172</v>
      </c>
      <c r="J32" s="17">
        <v>22</v>
      </c>
      <c r="K32" s="17"/>
      <c r="L32" s="17">
        <v>32</v>
      </c>
      <c r="M32" s="44">
        <f>SUMPRODUCT(H32:L32,'Fisico SPOT MAT'!H32:L32)*24</f>
        <v>3173544.1610399703</v>
      </c>
      <c r="N32" s="19">
        <f>+'Fisico SPOT MAT'!AG32</f>
        <v>11.689775677402727</v>
      </c>
      <c r="O32" s="19">
        <f t="shared" si="6"/>
        <v>13.466666666666667</v>
      </c>
      <c r="P32" s="19">
        <v>6</v>
      </c>
      <c r="Q32" s="19"/>
      <c r="R32" s="19">
        <v>0</v>
      </c>
      <c r="S32" s="44">
        <f>SUMPRODUCT(N32:R32,'Fisico SPOT MAT'!N32:R32)*E32</f>
        <v>2429943.0572444443</v>
      </c>
      <c r="T32" s="17"/>
      <c r="U32" s="17">
        <v>18</v>
      </c>
      <c r="V32" s="17">
        <v>60</v>
      </c>
      <c r="W32" s="28">
        <f>SUMPRODUCT(T32:V32,'Fisico SPOT MAT'!T32:V32)*24</f>
        <v>2417009.7540000007</v>
      </c>
      <c r="X32" s="19">
        <v>0</v>
      </c>
      <c r="Y32" s="19">
        <v>5</v>
      </c>
      <c r="Z32" s="19">
        <v>0</v>
      </c>
      <c r="AA32" s="28">
        <f>SUMPRODUCT(X32:Z32,'Fisico SPOT MAT'!X32:Z32)*E32</f>
        <v>40800</v>
      </c>
      <c r="AD32" s="41">
        <v>31.438536938906491</v>
      </c>
      <c r="AE32" s="41">
        <v>28.00112944185172</v>
      </c>
      <c r="AF32">
        <v>5050</v>
      </c>
      <c r="AG32" s="74">
        <f t="shared" si="1"/>
        <v>1.6496012433761882</v>
      </c>
    </row>
    <row r="33" spans="1:33" x14ac:dyDescent="0.25">
      <c r="A33" s="49">
        <v>1443</v>
      </c>
      <c r="B33" s="49">
        <v>1429.75</v>
      </c>
      <c r="C33" s="1">
        <f t="shared" si="2"/>
        <v>2025</v>
      </c>
      <c r="D33" s="1">
        <f t="shared" si="3"/>
        <v>10</v>
      </c>
      <c r="E33" s="1">
        <v>16</v>
      </c>
      <c r="F33" s="1" t="s">
        <v>50</v>
      </c>
      <c r="G33" s="56">
        <f t="shared" si="7"/>
        <v>45944</v>
      </c>
      <c r="H33" s="17">
        <f t="shared" si="4"/>
        <v>33.219838385174562</v>
      </c>
      <c r="I33" s="17">
        <f t="shared" si="5"/>
        <v>27.616604313937227</v>
      </c>
      <c r="J33" s="17">
        <v>22</v>
      </c>
      <c r="K33" s="17"/>
      <c r="L33" s="17">
        <v>32</v>
      </c>
      <c r="M33" s="44">
        <f>SUMPRODUCT(H33:L33,'Fisico SPOT MAT'!H33:L33)*24</f>
        <v>3541280.5507984217</v>
      </c>
      <c r="N33" s="19">
        <f>+'Fisico SPOT MAT'!AG33</f>
        <v>11.691583878772361</v>
      </c>
      <c r="O33" s="19">
        <f t="shared" si="6"/>
        <v>13.466666666666667</v>
      </c>
      <c r="P33" s="19">
        <v>6</v>
      </c>
      <c r="Q33" s="19"/>
      <c r="R33" s="19">
        <v>0</v>
      </c>
      <c r="S33" s="44">
        <f>SUMPRODUCT(N33:R33,'Fisico SPOT MAT'!N33:R33)*E33</f>
        <v>2439747.3185777781</v>
      </c>
      <c r="T33" s="17"/>
      <c r="U33" s="17">
        <v>18</v>
      </c>
      <c r="V33" s="17">
        <v>60</v>
      </c>
      <c r="W33" s="28">
        <f>SUMPRODUCT(T33:V33,'Fisico SPOT MAT'!T33:V33)*24</f>
        <v>2480355.4620000003</v>
      </c>
      <c r="X33" s="19">
        <v>0</v>
      </c>
      <c r="Y33" s="19">
        <v>5</v>
      </c>
      <c r="Z33" s="19">
        <v>0</v>
      </c>
      <c r="AA33" s="28">
        <f>SUMPRODUCT(X33:Z33,'Fisico SPOT MAT'!X33:Z33)*E33</f>
        <v>40800</v>
      </c>
      <c r="AD33" s="41">
        <v>31.561909494308725</v>
      </c>
      <c r="AE33" s="41">
        <v>27.616604313937227</v>
      </c>
      <c r="AF33">
        <v>5050</v>
      </c>
      <c r="AG33" s="74">
        <f t="shared" si="1"/>
        <v>1.6579288908658392</v>
      </c>
    </row>
    <row r="34" spans="1:33" x14ac:dyDescent="0.25">
      <c r="A34" s="49">
        <v>1443</v>
      </c>
      <c r="B34" s="49">
        <v>1429.75</v>
      </c>
      <c r="C34" s="1">
        <f t="shared" si="2"/>
        <v>2025</v>
      </c>
      <c r="D34" s="1">
        <f t="shared" si="3"/>
        <v>10</v>
      </c>
      <c r="E34" s="1">
        <v>16</v>
      </c>
      <c r="F34" s="1" t="s">
        <v>44</v>
      </c>
      <c r="G34" s="56">
        <f t="shared" si="7"/>
        <v>45945</v>
      </c>
      <c r="H34" s="17">
        <f t="shared" si="4"/>
        <v>33.890664775349983</v>
      </c>
      <c r="I34" s="17">
        <f t="shared" si="5"/>
        <v>27.693766360116236</v>
      </c>
      <c r="J34" s="17">
        <v>22</v>
      </c>
      <c r="K34" s="17"/>
      <c r="L34" s="17">
        <v>32</v>
      </c>
      <c r="M34" s="44">
        <f>SUMPRODUCT(H34:L34,'Fisico SPOT MAT'!H34:L34)*24</f>
        <v>3824785.8272520006</v>
      </c>
      <c r="N34" s="19">
        <f>+'Fisico SPOT MAT'!AG34</f>
        <v>11.690235154791376</v>
      </c>
      <c r="O34" s="19">
        <f t="shared" si="6"/>
        <v>13.466666666666667</v>
      </c>
      <c r="P34" s="19">
        <v>6</v>
      </c>
      <c r="Q34" s="19"/>
      <c r="R34" s="19">
        <v>0</v>
      </c>
      <c r="S34" s="44">
        <f>SUMPRODUCT(N34:R34,'Fisico SPOT MAT'!N34:R34)*E34</f>
        <v>2426441.3793777777</v>
      </c>
      <c r="T34" s="17"/>
      <c r="U34" s="17">
        <v>18</v>
      </c>
      <c r="V34" s="17">
        <v>60</v>
      </c>
      <c r="W34" s="28">
        <f>SUMPRODUCT(T34:V34,'Fisico SPOT MAT'!T34:V34)*24</f>
        <v>2691625.5959999999</v>
      </c>
      <c r="X34" s="19">
        <v>0</v>
      </c>
      <c r="Y34" s="19">
        <v>5</v>
      </c>
      <c r="Z34" s="19">
        <v>0</v>
      </c>
      <c r="AA34" s="28">
        <f>SUMPRODUCT(X34:Z34,'Fisico SPOT MAT'!X34:Z34)*E34</f>
        <v>40800</v>
      </c>
      <c r="AD34" s="41">
        <v>32.190318290725976</v>
      </c>
      <c r="AE34" s="41">
        <v>27.693766360116236</v>
      </c>
      <c r="AF34">
        <v>5050</v>
      </c>
      <c r="AG34" s="74">
        <f t="shared" si="1"/>
        <v>1.7003464846240035</v>
      </c>
    </row>
    <row r="35" spans="1:33" x14ac:dyDescent="0.25">
      <c r="A35" s="49">
        <v>1443</v>
      </c>
      <c r="B35" s="49">
        <v>1429.75</v>
      </c>
      <c r="C35" s="1">
        <f t="shared" si="2"/>
        <v>2025</v>
      </c>
      <c r="D35" s="1">
        <f t="shared" si="3"/>
        <v>10</v>
      </c>
      <c r="E35" s="1">
        <v>16</v>
      </c>
      <c r="F35" s="1" t="s">
        <v>45</v>
      </c>
      <c r="G35" s="56">
        <f t="shared" si="7"/>
        <v>45946</v>
      </c>
      <c r="H35" s="17">
        <f t="shared" si="4"/>
        <v>33.795007933978411</v>
      </c>
      <c r="I35" s="17">
        <f t="shared" si="5"/>
        <v>26.744518501515849</v>
      </c>
      <c r="J35" s="17">
        <v>22</v>
      </c>
      <c r="K35" s="17"/>
      <c r="L35" s="17">
        <v>32</v>
      </c>
      <c r="M35" s="44">
        <f>SUMPRODUCT(H35:L35,'Fisico SPOT MAT'!H35:L35)*24</f>
        <v>4279880.0361750331</v>
      </c>
      <c r="N35" s="19">
        <f>+'Fisico SPOT MAT'!AG35</f>
        <v>11.691953131239375</v>
      </c>
      <c r="O35" s="19">
        <f t="shared" si="6"/>
        <v>13.466666666666667</v>
      </c>
      <c r="P35" s="19">
        <v>6</v>
      </c>
      <c r="Q35" s="19"/>
      <c r="R35" s="19">
        <v>0</v>
      </c>
      <c r="S35" s="44">
        <f>SUMPRODUCT(N35:R35,'Fisico SPOT MAT'!N35:R35)*E35</f>
        <v>2438553.6964444444</v>
      </c>
      <c r="T35" s="17"/>
      <c r="U35" s="17">
        <v>18</v>
      </c>
      <c r="V35" s="17">
        <v>60</v>
      </c>
      <c r="W35" s="28">
        <f>SUMPRODUCT(T35:V35,'Fisico SPOT MAT'!T35:V35)*24</f>
        <v>1766156.4359999998</v>
      </c>
      <c r="X35" s="19">
        <v>0</v>
      </c>
      <c r="Y35" s="19">
        <v>5</v>
      </c>
      <c r="Z35" s="19">
        <v>0</v>
      </c>
      <c r="AA35" s="28">
        <f>SUMPRODUCT(X35:Z35,'Fisico SPOT MAT'!X35:Z35)*E35</f>
        <v>42000</v>
      </c>
      <c r="AD35" s="41">
        <v>32.100710008410687</v>
      </c>
      <c r="AE35" s="41">
        <v>26.744518501515849</v>
      </c>
      <c r="AF35">
        <v>5050</v>
      </c>
      <c r="AG35" s="74">
        <f t="shared" si="1"/>
        <v>1.6942979255677215</v>
      </c>
    </row>
    <row r="36" spans="1:33" x14ac:dyDescent="0.25">
      <c r="A36" s="49">
        <v>1443</v>
      </c>
      <c r="B36" s="49">
        <v>1429.75</v>
      </c>
      <c r="C36" s="1">
        <f t="shared" si="2"/>
        <v>2025</v>
      </c>
      <c r="D36" s="1">
        <f t="shared" si="3"/>
        <v>10</v>
      </c>
      <c r="E36" s="1">
        <v>16</v>
      </c>
      <c r="F36" s="1" t="s">
        <v>46</v>
      </c>
      <c r="G36" s="56">
        <f t="shared" si="7"/>
        <v>45947</v>
      </c>
      <c r="H36" s="17">
        <f t="shared" si="4"/>
        <v>33.328911169812187</v>
      </c>
      <c r="I36" s="17">
        <f t="shared" si="5"/>
        <v>26.764168663387103</v>
      </c>
      <c r="J36" s="17">
        <v>22</v>
      </c>
      <c r="K36" s="17"/>
      <c r="L36" s="17">
        <v>32</v>
      </c>
      <c r="M36" s="44">
        <f>SUMPRODUCT(H36:L36,'Fisico SPOT MAT'!H36:L36)*24</f>
        <v>4018588.8958374169</v>
      </c>
      <c r="N36" s="19">
        <f>+'Fisico SPOT MAT'!AG36</f>
        <v>11.691714540324025</v>
      </c>
      <c r="O36" s="19">
        <f t="shared" si="6"/>
        <v>13.466666666666667</v>
      </c>
      <c r="P36" s="19">
        <v>6</v>
      </c>
      <c r="Q36" s="19"/>
      <c r="R36" s="19">
        <v>0</v>
      </c>
      <c r="S36" s="44">
        <f>SUMPRODUCT(N36:R36,'Fisico SPOT MAT'!N36:R36)*E36</f>
        <v>2438981.6919111111</v>
      </c>
      <c r="T36" s="17"/>
      <c r="U36" s="17">
        <v>18</v>
      </c>
      <c r="V36" s="17">
        <v>60</v>
      </c>
      <c r="W36" s="28">
        <f>SUMPRODUCT(T36:V36,'Fisico SPOT MAT'!T36:V36)*24</f>
        <v>1536065.1</v>
      </c>
      <c r="X36" s="19">
        <v>0</v>
      </c>
      <c r="Y36" s="19">
        <v>5</v>
      </c>
      <c r="Z36" s="19">
        <v>0</v>
      </c>
      <c r="AA36" s="28">
        <f>SUMPRODUCT(X36:Z36,'Fisico SPOT MAT'!X36:Z36)*E36</f>
        <v>42025.606666666674</v>
      </c>
      <c r="AD36" s="41">
        <v>31.664085404976291</v>
      </c>
      <c r="AE36" s="41">
        <v>26.764168663387103</v>
      </c>
      <c r="AF36">
        <v>5050</v>
      </c>
      <c r="AG36" s="74">
        <f t="shared" si="1"/>
        <v>1.6648257648358997</v>
      </c>
    </row>
    <row r="37" spans="1:33" x14ac:dyDescent="0.25">
      <c r="A37" s="49">
        <v>1443</v>
      </c>
      <c r="B37" s="49">
        <v>1429.75</v>
      </c>
      <c r="C37" s="1">
        <f t="shared" si="2"/>
        <v>2025</v>
      </c>
      <c r="D37" s="1">
        <f t="shared" si="3"/>
        <v>10</v>
      </c>
      <c r="E37" s="1">
        <v>6</v>
      </c>
      <c r="F37" s="1" t="s">
        <v>47</v>
      </c>
      <c r="G37" s="56">
        <f t="shared" si="7"/>
        <v>45948</v>
      </c>
      <c r="H37" s="17">
        <f t="shared" si="4"/>
        <v>33.359552815415427</v>
      </c>
      <c r="I37" s="17">
        <f t="shared" si="5"/>
        <v>30.460668749317044</v>
      </c>
      <c r="J37" s="17">
        <v>22</v>
      </c>
      <c r="K37" s="17"/>
      <c r="L37" s="17">
        <v>32</v>
      </c>
      <c r="M37" s="44">
        <f>SUMPRODUCT(H37:L37,'Fisico SPOT MAT'!H37:L37)*24</f>
        <v>3129167.1601503198</v>
      </c>
      <c r="N37" s="19">
        <f>+'Fisico SPOT MAT'!AG37</f>
        <v>11.687591664863177</v>
      </c>
      <c r="O37" s="19">
        <f t="shared" si="6"/>
        <v>13.466666666666667</v>
      </c>
      <c r="P37" s="19">
        <v>6</v>
      </c>
      <c r="Q37" s="19"/>
      <c r="R37" s="19">
        <v>0</v>
      </c>
      <c r="S37" s="44">
        <f>SUMPRODUCT(N37:R37,'Fisico SPOT MAT'!N37:R37)*E37</f>
        <v>900578.73050000006</v>
      </c>
      <c r="T37" s="17"/>
      <c r="U37" s="17">
        <v>18</v>
      </c>
      <c r="V37" s="17">
        <v>60</v>
      </c>
      <c r="W37" s="28">
        <f>SUMPRODUCT(T37:V37,'Fisico SPOT MAT'!T37:V37)*24</f>
        <v>1914560.3639999998</v>
      </c>
      <c r="X37" s="19">
        <v>0</v>
      </c>
      <c r="Y37" s="19">
        <v>5</v>
      </c>
      <c r="Z37" s="19">
        <v>0</v>
      </c>
      <c r="AA37" s="28">
        <f>SUMPRODUCT(X37:Z37,'Fisico SPOT MAT'!X37:Z37)*E37</f>
        <v>15751.713749999997</v>
      </c>
      <c r="AD37" s="41">
        <v>31.692789522637401</v>
      </c>
      <c r="AE37" s="41">
        <v>30.460668749317044</v>
      </c>
      <c r="AF37">
        <v>5050</v>
      </c>
      <c r="AG37" s="74">
        <f t="shared" si="1"/>
        <v>1.6667632927780247</v>
      </c>
    </row>
    <row r="38" spans="1:33" x14ac:dyDescent="0.25">
      <c r="A38" s="49">
        <v>1443</v>
      </c>
      <c r="B38" s="49">
        <v>1429.75</v>
      </c>
      <c r="C38" s="1">
        <f t="shared" si="2"/>
        <v>2025</v>
      </c>
      <c r="D38" s="1">
        <f t="shared" si="3"/>
        <v>10</v>
      </c>
      <c r="E38" s="1">
        <v>4</v>
      </c>
      <c r="F38" s="1" t="s">
        <v>48</v>
      </c>
      <c r="G38" s="56">
        <f t="shared" si="7"/>
        <v>45949</v>
      </c>
      <c r="H38" s="17">
        <f t="shared" si="4"/>
        <v>34.435549689752726</v>
      </c>
      <c r="I38" s="17">
        <f t="shared" si="5"/>
        <v>29.997346159382005</v>
      </c>
      <c r="J38" s="17">
        <v>22</v>
      </c>
      <c r="K38" s="17"/>
      <c r="L38" s="17">
        <v>32</v>
      </c>
      <c r="M38" s="44">
        <f>SUMPRODUCT(H38:L38,'Fisico SPOT MAT'!H38:L38)*24</f>
        <v>1993671.4213100858</v>
      </c>
      <c r="N38" s="19">
        <f>+'Fisico SPOT MAT'!AG38</f>
        <v>11.69328130352379</v>
      </c>
      <c r="O38" s="19">
        <f t="shared" si="6"/>
        <v>13.466666666666667</v>
      </c>
      <c r="P38" s="19">
        <v>6</v>
      </c>
      <c r="Q38" s="19"/>
      <c r="R38" s="19">
        <v>0</v>
      </c>
      <c r="S38" s="44">
        <f>SUMPRODUCT(N38:R38,'Fisico SPOT MAT'!N38:R38)*E38</f>
        <v>613296.34373333328</v>
      </c>
      <c r="T38" s="17"/>
      <c r="U38" s="17">
        <v>18</v>
      </c>
      <c r="V38" s="17">
        <v>60</v>
      </c>
      <c r="W38" s="28">
        <f>SUMPRODUCT(T38:V38,'Fisico SPOT MAT'!T38:V38)*24</f>
        <v>3149563.3320000013</v>
      </c>
      <c r="X38" s="19">
        <v>0</v>
      </c>
      <c r="Y38" s="19">
        <v>5</v>
      </c>
      <c r="Z38" s="19">
        <v>0</v>
      </c>
      <c r="AA38" s="28">
        <f>SUMPRODUCT(X38:Z38,'Fisico SPOT MAT'!X38:Z38)*E38</f>
        <v>10500</v>
      </c>
      <c r="AD38" s="41">
        <v>32.700749123890141</v>
      </c>
      <c r="AE38" s="41">
        <v>29.997346159382005</v>
      </c>
      <c r="AF38">
        <v>5050</v>
      </c>
      <c r="AG38" s="74">
        <f t="shared" si="1"/>
        <v>1.7348005658625847</v>
      </c>
    </row>
    <row r="39" spans="1:33" x14ac:dyDescent="0.25">
      <c r="A39" s="49">
        <v>1443</v>
      </c>
      <c r="B39" s="49">
        <v>1429.75</v>
      </c>
      <c r="C39" s="1">
        <f t="shared" si="2"/>
        <v>2025</v>
      </c>
      <c r="D39" s="1">
        <f t="shared" si="3"/>
        <v>10</v>
      </c>
      <c r="E39" s="1">
        <v>16</v>
      </c>
      <c r="F39" s="1" t="s">
        <v>49</v>
      </c>
      <c r="G39" s="56">
        <f t="shared" si="7"/>
        <v>45950</v>
      </c>
      <c r="H39" s="17">
        <f t="shared" si="4"/>
        <v>33.577008256753935</v>
      </c>
      <c r="I39" s="17">
        <f t="shared" si="5"/>
        <v>26.969190013608262</v>
      </c>
      <c r="J39" s="17">
        <v>22</v>
      </c>
      <c r="K39" s="17"/>
      <c r="L39" s="17">
        <v>32</v>
      </c>
      <c r="M39" s="44">
        <f>SUMPRODUCT(H39:L39,'Fisico SPOT MAT'!H39:L39)*24</f>
        <v>2987767.5260039438</v>
      </c>
      <c r="N39" s="19">
        <f>+'Fisico SPOT MAT'!AG39</f>
        <v>11.693019990879284</v>
      </c>
      <c r="O39" s="19">
        <f t="shared" si="6"/>
        <v>13.466666666666667</v>
      </c>
      <c r="P39" s="19">
        <v>6</v>
      </c>
      <c r="Q39" s="19"/>
      <c r="R39" s="19">
        <v>0</v>
      </c>
      <c r="S39" s="44">
        <f>SUMPRODUCT(N39:R39,'Fisico SPOT MAT'!N39:R39)*E39</f>
        <v>2451111.7229333343</v>
      </c>
      <c r="T39" s="17"/>
      <c r="U39" s="17">
        <v>18</v>
      </c>
      <c r="V39" s="17">
        <v>60</v>
      </c>
      <c r="W39" s="28">
        <f>SUMPRODUCT(T39:V39,'Fisico SPOT MAT'!T39:V39)*24</f>
        <v>3258980.0459999992</v>
      </c>
      <c r="X39" s="19">
        <v>0</v>
      </c>
      <c r="Y39" s="19">
        <v>5</v>
      </c>
      <c r="Z39" s="19">
        <v>0</v>
      </c>
      <c r="AA39" s="28">
        <f>SUMPRODUCT(X39:Z39,'Fisico SPOT MAT'!X39:Z39)*E39</f>
        <v>37339.566666666666</v>
      </c>
      <c r="AD39" s="41">
        <v>31.896494854102045</v>
      </c>
      <c r="AE39" s="41">
        <v>26.969190013608262</v>
      </c>
      <c r="AF39">
        <v>5050</v>
      </c>
      <c r="AG39" s="74">
        <f t="shared" si="1"/>
        <v>1.6805134026518882</v>
      </c>
    </row>
    <row r="40" spans="1:33" x14ac:dyDescent="0.25">
      <c r="A40" s="49">
        <v>1443</v>
      </c>
      <c r="B40" s="49">
        <v>1429.75</v>
      </c>
      <c r="C40" s="1">
        <f t="shared" si="2"/>
        <v>2025</v>
      </c>
      <c r="D40" s="1">
        <f t="shared" si="3"/>
        <v>10</v>
      </c>
      <c r="E40" s="1">
        <v>16</v>
      </c>
      <c r="F40" s="1" t="s">
        <v>50</v>
      </c>
      <c r="G40" s="56">
        <f t="shared" si="7"/>
        <v>45951</v>
      </c>
      <c r="H40" s="17">
        <f t="shared" si="4"/>
        <v>33.808002893515294</v>
      </c>
      <c r="I40" s="17">
        <f t="shared" si="5"/>
        <v>26.772845233715795</v>
      </c>
      <c r="J40" s="17">
        <v>22</v>
      </c>
      <c r="K40" s="17"/>
      <c r="L40" s="17">
        <v>32</v>
      </c>
      <c r="M40" s="44">
        <f>SUMPRODUCT(H40:L40,'Fisico SPOT MAT'!H40:L40)*24</f>
        <v>3308360.8520003669</v>
      </c>
      <c r="N40" s="19">
        <f>+'Fisico SPOT MAT'!AG40</f>
        <v>11.671682149956609</v>
      </c>
      <c r="O40" s="19">
        <f t="shared" si="6"/>
        <v>13.466666666666667</v>
      </c>
      <c r="P40" s="19">
        <v>6</v>
      </c>
      <c r="Q40" s="19"/>
      <c r="R40" s="19">
        <v>0</v>
      </c>
      <c r="S40" s="44">
        <f>SUMPRODUCT(N40:R40,'Fisico SPOT MAT'!N40:R40)*E40</f>
        <v>2297661.3321777773</v>
      </c>
      <c r="T40" s="17"/>
      <c r="U40" s="17">
        <v>18</v>
      </c>
      <c r="V40" s="17">
        <v>60</v>
      </c>
      <c r="W40" s="28">
        <f>SUMPRODUCT(T40:V40,'Fisico SPOT MAT'!T40:V40)*24</f>
        <v>2747326.182</v>
      </c>
      <c r="X40" s="19">
        <v>0</v>
      </c>
      <c r="Y40" s="19">
        <v>5</v>
      </c>
      <c r="Z40" s="19">
        <v>0</v>
      </c>
      <c r="AA40" s="28">
        <f>SUMPRODUCT(X40:Z40,'Fisico SPOT MAT'!X40:Z40)*E40</f>
        <v>33053.376666666671</v>
      </c>
      <c r="AD40" s="41">
        <v>32.112883272613857</v>
      </c>
      <c r="AE40" s="41">
        <v>26.772845233715795</v>
      </c>
      <c r="AF40">
        <v>5050</v>
      </c>
      <c r="AG40" s="74">
        <f t="shared" si="1"/>
        <v>1.6951196209014354</v>
      </c>
    </row>
    <row r="41" spans="1:33" x14ac:dyDescent="0.25">
      <c r="A41" s="49">
        <v>1443</v>
      </c>
      <c r="B41" s="49">
        <v>1429.75</v>
      </c>
      <c r="C41" s="1">
        <f t="shared" si="2"/>
        <v>2025</v>
      </c>
      <c r="D41" s="1">
        <f t="shared" si="3"/>
        <v>10</v>
      </c>
      <c r="E41" s="1">
        <v>16</v>
      </c>
      <c r="F41" s="1" t="s">
        <v>44</v>
      </c>
      <c r="G41" s="56">
        <f t="shared" si="7"/>
        <v>45952</v>
      </c>
      <c r="H41" s="17">
        <f t="shared" si="4"/>
        <v>33.046988040655705</v>
      </c>
      <c r="I41" s="17">
        <f t="shared" si="5"/>
        <v>26.849898355463598</v>
      </c>
      <c r="J41" s="17">
        <v>22</v>
      </c>
      <c r="K41" s="17"/>
      <c r="L41" s="17">
        <v>32</v>
      </c>
      <c r="M41" s="44">
        <f>SUMPRODUCT(H41:L41,'Fisico SPOT MAT'!H41:L41)*24</f>
        <v>3743239.7155586602</v>
      </c>
      <c r="N41" s="19">
        <f>+'Fisico SPOT MAT'!AG41</f>
        <v>11.663746585977057</v>
      </c>
      <c r="O41" s="19">
        <f t="shared" si="6"/>
        <v>13.466666666666667</v>
      </c>
      <c r="P41" s="19">
        <v>6</v>
      </c>
      <c r="Q41" s="19"/>
      <c r="R41" s="19">
        <v>0</v>
      </c>
      <c r="S41" s="44">
        <f>SUMPRODUCT(N41:R41,'Fisico SPOT MAT'!N41:R41)*E41</f>
        <v>2277938.246933334</v>
      </c>
      <c r="T41" s="17"/>
      <c r="U41" s="17">
        <v>18</v>
      </c>
      <c r="V41" s="17">
        <v>60</v>
      </c>
      <c r="W41" s="28">
        <f>SUMPRODUCT(T41:V41,'Fisico SPOT MAT'!T41:V41)*24</f>
        <v>2000083.1580000003</v>
      </c>
      <c r="X41" s="19">
        <v>0</v>
      </c>
      <c r="Y41" s="19">
        <v>5</v>
      </c>
      <c r="Z41" s="19">
        <v>0</v>
      </c>
      <c r="AA41" s="28">
        <f>SUMPRODUCT(X41:Z41,'Fisico SPOT MAT'!X41:Z41)*E41</f>
        <v>33205.47</v>
      </c>
      <c r="AD41" s="41">
        <v>31.39998879686717</v>
      </c>
      <c r="AE41" s="41">
        <v>26.849898355463598</v>
      </c>
      <c r="AF41">
        <v>5050</v>
      </c>
      <c r="AG41" s="74">
        <f t="shared" si="1"/>
        <v>1.6469992437885341</v>
      </c>
    </row>
    <row r="42" spans="1:33" x14ac:dyDescent="0.25">
      <c r="A42" s="49">
        <v>1443</v>
      </c>
      <c r="B42" s="49">
        <v>1429.75</v>
      </c>
      <c r="C42" s="1">
        <f t="shared" si="2"/>
        <v>2025</v>
      </c>
      <c r="D42" s="1">
        <f t="shared" si="3"/>
        <v>10</v>
      </c>
      <c r="E42" s="1">
        <v>16</v>
      </c>
      <c r="F42" s="1" t="s">
        <v>45</v>
      </c>
      <c r="G42" s="56">
        <f t="shared" si="7"/>
        <v>45953</v>
      </c>
      <c r="H42" s="17">
        <f t="shared" si="4"/>
        <v>33.715658284669125</v>
      </c>
      <c r="I42" s="17">
        <f t="shared" si="5"/>
        <v>29.563811463142287</v>
      </c>
      <c r="J42" s="17">
        <v>22</v>
      </c>
      <c r="K42" s="17"/>
      <c r="L42" s="17">
        <v>32</v>
      </c>
      <c r="M42" s="44">
        <f>SUMPRODUCT(H42:L42,'Fisico SPOT MAT'!H42:L42)*24</f>
        <v>3998250.8895241376</v>
      </c>
      <c r="N42" s="19">
        <f>+'Fisico SPOT MAT'!AG42</f>
        <v>11.66289483837101</v>
      </c>
      <c r="O42" s="19">
        <f t="shared" si="6"/>
        <v>13.466666666666667</v>
      </c>
      <c r="P42" s="19">
        <v>6</v>
      </c>
      <c r="Q42" s="19"/>
      <c r="R42" s="19">
        <v>0</v>
      </c>
      <c r="S42" s="44">
        <f>SUMPRODUCT(N42:R42,'Fisico SPOT MAT'!N42:R42)*E42</f>
        <v>2286618.2608888899</v>
      </c>
      <c r="T42" s="17"/>
      <c r="U42" s="17">
        <v>18</v>
      </c>
      <c r="V42" s="17">
        <v>60</v>
      </c>
      <c r="W42" s="28">
        <f>SUMPRODUCT(T42:V42,'Fisico SPOT MAT'!T42:V42)*24</f>
        <v>2294425.9139999999</v>
      </c>
      <c r="X42" s="19">
        <v>0</v>
      </c>
      <c r="Y42" s="19">
        <v>5</v>
      </c>
      <c r="Z42" s="19">
        <v>0</v>
      </c>
      <c r="AA42" s="28">
        <f>SUMPRODUCT(X42:Z42,'Fisico SPOT MAT'!X42:Z42)*E42</f>
        <v>33201.493333333332</v>
      </c>
      <c r="AD42" s="41">
        <v>32.026377784233375</v>
      </c>
      <c r="AE42" s="41">
        <v>29.563811463142287</v>
      </c>
      <c r="AF42">
        <v>5050</v>
      </c>
      <c r="AG42" s="74">
        <f t="shared" si="1"/>
        <v>1.689280500435753</v>
      </c>
    </row>
    <row r="43" spans="1:33" x14ac:dyDescent="0.25">
      <c r="A43" s="49">
        <v>1443</v>
      </c>
      <c r="B43" s="49">
        <v>1429.75</v>
      </c>
      <c r="C43" s="1">
        <f t="shared" si="2"/>
        <v>2025</v>
      </c>
      <c r="D43" s="1">
        <f t="shared" si="3"/>
        <v>10</v>
      </c>
      <c r="E43" s="1">
        <v>16</v>
      </c>
      <c r="F43" s="1" t="s">
        <v>46</v>
      </c>
      <c r="G43" s="56">
        <f t="shared" si="7"/>
        <v>45954</v>
      </c>
      <c r="H43" s="17">
        <f t="shared" si="4"/>
        <v>33.225511298545662</v>
      </c>
      <c r="I43" s="17">
        <f t="shared" si="5"/>
        <v>27.258397334980778</v>
      </c>
      <c r="J43" s="17">
        <v>22</v>
      </c>
      <c r="K43" s="17"/>
      <c r="L43" s="17">
        <v>32</v>
      </c>
      <c r="M43" s="44">
        <f>SUMPRODUCT(H43:L43,'Fisico SPOT MAT'!H43:L43)*24</f>
        <v>4110326.3708921825</v>
      </c>
      <c r="N43" s="19">
        <f>+'Fisico SPOT MAT'!AG43</f>
        <v>11.664557085329681</v>
      </c>
      <c r="O43" s="19">
        <f t="shared" si="6"/>
        <v>13.466666666666667</v>
      </c>
      <c r="P43" s="19">
        <v>6</v>
      </c>
      <c r="Q43" s="19"/>
      <c r="R43" s="19">
        <v>0</v>
      </c>
      <c r="S43" s="44">
        <f>SUMPRODUCT(N43:R43,'Fisico SPOT MAT'!N43:R43)*E43</f>
        <v>2256815.8368888893</v>
      </c>
      <c r="T43" s="17"/>
      <c r="U43" s="17">
        <v>18</v>
      </c>
      <c r="V43" s="17">
        <v>60</v>
      </c>
      <c r="W43" s="28">
        <f>SUMPRODUCT(T43:V43,'Fisico SPOT MAT'!T43:V43)*24</f>
        <v>2096795.9339999999</v>
      </c>
      <c r="X43" s="19">
        <v>0</v>
      </c>
      <c r="Y43" s="19">
        <v>5</v>
      </c>
      <c r="Z43" s="19">
        <v>0</v>
      </c>
      <c r="AA43" s="28">
        <f>SUMPRODUCT(X43:Z43,'Fisico SPOT MAT'!X43:Z43)*E43</f>
        <v>33200</v>
      </c>
      <c r="AD43" s="41">
        <v>31.567223698871814</v>
      </c>
      <c r="AE43" s="41">
        <v>27.258397334980778</v>
      </c>
      <c r="AF43">
        <v>5050</v>
      </c>
      <c r="AG43" s="74">
        <f t="shared" si="1"/>
        <v>1.6582875996738475</v>
      </c>
    </row>
    <row r="44" spans="1:33" x14ac:dyDescent="0.25">
      <c r="A44" s="49">
        <v>1443</v>
      </c>
      <c r="B44" s="49">
        <v>1429.75</v>
      </c>
      <c r="C44" s="1">
        <f t="shared" si="2"/>
        <v>2025</v>
      </c>
      <c r="D44" s="1">
        <f t="shared" si="3"/>
        <v>10</v>
      </c>
      <c r="E44" s="1">
        <v>6</v>
      </c>
      <c r="F44" s="1" t="s">
        <v>47</v>
      </c>
      <c r="G44" s="56">
        <f t="shared" si="7"/>
        <v>45955</v>
      </c>
      <c r="H44" s="17">
        <f t="shared" si="4"/>
        <v>32.600510600346126</v>
      </c>
      <c r="I44" s="17">
        <f t="shared" si="5"/>
        <v>27.214326131364064</v>
      </c>
      <c r="J44" s="17">
        <v>22</v>
      </c>
      <c r="K44" s="17"/>
      <c r="L44" s="17">
        <v>32</v>
      </c>
      <c r="M44" s="44">
        <f>SUMPRODUCT(H44:L44,'Fisico SPOT MAT'!H44:L44)*24</f>
        <v>3187628.8865367263</v>
      </c>
      <c r="N44" s="19">
        <f>+'Fisico SPOT MAT'!AG44</f>
        <v>11.672538961543655</v>
      </c>
      <c r="O44" s="19">
        <f t="shared" si="6"/>
        <v>13.466666666666667</v>
      </c>
      <c r="P44" s="19">
        <v>6</v>
      </c>
      <c r="Q44" s="19"/>
      <c r="R44" s="19">
        <v>0</v>
      </c>
      <c r="S44" s="44">
        <f>SUMPRODUCT(N44:R44,'Fisico SPOT MAT'!N44:R44)*E44</f>
        <v>866304.91246666643</v>
      </c>
      <c r="T44" s="17"/>
      <c r="U44" s="17">
        <v>18</v>
      </c>
      <c r="V44" s="17">
        <v>60</v>
      </c>
      <c r="W44" s="28">
        <f>SUMPRODUCT(T44:V44,'Fisico SPOT MAT'!T44:V44)*24</f>
        <v>2014372.2119999998</v>
      </c>
      <c r="X44" s="19">
        <v>0</v>
      </c>
      <c r="Y44" s="19">
        <v>5</v>
      </c>
      <c r="Z44" s="19">
        <v>0</v>
      </c>
      <c r="AA44" s="28">
        <f>SUMPRODUCT(X44:Z44,'Fisico SPOT MAT'!X44:Z44)*E44</f>
        <v>12450</v>
      </c>
      <c r="AD44" s="41">
        <v>30.981742951143911</v>
      </c>
      <c r="AE44" s="41">
        <v>27.214326131364064</v>
      </c>
      <c r="AF44">
        <v>5050</v>
      </c>
      <c r="AG44" s="74">
        <f t="shared" si="1"/>
        <v>1.6187676492022141</v>
      </c>
    </row>
    <row r="45" spans="1:33" x14ac:dyDescent="0.25">
      <c r="A45" s="49">
        <v>1443</v>
      </c>
      <c r="B45" s="49">
        <v>1429.75</v>
      </c>
      <c r="C45" s="1">
        <f t="shared" si="2"/>
        <v>2025</v>
      </c>
      <c r="D45" s="1">
        <f t="shared" si="3"/>
        <v>10</v>
      </c>
      <c r="E45" s="1">
        <v>4</v>
      </c>
      <c r="F45" s="1" t="s">
        <v>48</v>
      </c>
      <c r="G45" s="56">
        <f t="shared" si="7"/>
        <v>45956</v>
      </c>
      <c r="H45" s="17">
        <f t="shared" si="4"/>
        <v>33.258866880009151</v>
      </c>
      <c r="I45" s="17">
        <f t="shared" si="5"/>
        <v>28.175501730938546</v>
      </c>
      <c r="J45" s="17">
        <v>22</v>
      </c>
      <c r="K45" s="17"/>
      <c r="L45" s="17">
        <v>32</v>
      </c>
      <c r="M45" s="44">
        <f>SUMPRODUCT(H45:L45,'Fisico SPOT MAT'!H45:L45)*24</f>
        <v>2206015.161004751</v>
      </c>
      <c r="N45" s="19">
        <f>+'Fisico SPOT MAT'!AG45</f>
        <v>11.676489366851387</v>
      </c>
      <c r="O45" s="19">
        <f t="shared" si="6"/>
        <v>13.466666666666667</v>
      </c>
      <c r="P45" s="19">
        <v>6</v>
      </c>
      <c r="Q45" s="19"/>
      <c r="R45" s="19">
        <v>0</v>
      </c>
      <c r="S45" s="44">
        <f>SUMPRODUCT(N45:R45,'Fisico SPOT MAT'!N45:R45)*E45</f>
        <v>583631.31748888886</v>
      </c>
      <c r="T45" s="17"/>
      <c r="U45" s="17">
        <v>18</v>
      </c>
      <c r="V45" s="17">
        <v>60</v>
      </c>
      <c r="W45" s="28">
        <f>SUMPRODUCT(T45:V45,'Fisico SPOT MAT'!T45:V45)*24</f>
        <v>2537383.1700000009</v>
      </c>
      <c r="X45" s="19">
        <v>0</v>
      </c>
      <c r="Y45" s="19">
        <v>5</v>
      </c>
      <c r="Z45" s="19">
        <v>0</v>
      </c>
      <c r="AA45" s="28">
        <f>SUMPRODUCT(X45:Z45,'Fisico SPOT MAT'!X45:Z45)*E45</f>
        <v>8300</v>
      </c>
      <c r="AD45" s="41">
        <v>31.598470145207639</v>
      </c>
      <c r="AE45" s="41">
        <v>28.175501730938546</v>
      </c>
      <c r="AF45">
        <v>5050</v>
      </c>
      <c r="AG45" s="74">
        <f t="shared" si="1"/>
        <v>1.6603967348015156</v>
      </c>
    </row>
    <row r="46" spans="1:33" x14ac:dyDescent="0.25">
      <c r="A46" s="49">
        <v>1443</v>
      </c>
      <c r="B46" s="49">
        <v>1429.75</v>
      </c>
      <c r="C46" s="1">
        <f t="shared" si="2"/>
        <v>2025</v>
      </c>
      <c r="D46" s="1">
        <f t="shared" si="3"/>
        <v>10</v>
      </c>
      <c r="E46" s="1">
        <v>16</v>
      </c>
      <c r="F46" s="1" t="s">
        <v>49</v>
      </c>
      <c r="G46" s="56">
        <f t="shared" si="7"/>
        <v>45957</v>
      </c>
      <c r="H46" s="17">
        <f t="shared" si="4"/>
        <v>32.724135567240147</v>
      </c>
      <c r="I46" s="17">
        <f t="shared" si="5"/>
        <v>39.535948899352931</v>
      </c>
      <c r="J46" s="17">
        <v>22</v>
      </c>
      <c r="K46" s="17"/>
      <c r="L46" s="17">
        <v>32</v>
      </c>
      <c r="M46" s="44">
        <f>SUMPRODUCT(H46:L46,'Fisico SPOT MAT'!H46:L46)*24</f>
        <v>3737418.757161404</v>
      </c>
      <c r="N46" s="19">
        <f>+'Fisico SPOT MAT'!AG46</f>
        <v>11.674969196089613</v>
      </c>
      <c r="O46" s="19">
        <f t="shared" si="6"/>
        <v>13.466666666666667</v>
      </c>
      <c r="P46" s="19">
        <v>6</v>
      </c>
      <c r="Q46" s="19"/>
      <c r="R46" s="19">
        <v>0</v>
      </c>
      <c r="S46" s="44">
        <f>SUMPRODUCT(N46:R46,'Fisico SPOT MAT'!N46:R46)*E46</f>
        <v>2341832.2834666674</v>
      </c>
      <c r="T46" s="17"/>
      <c r="U46" s="17">
        <v>18</v>
      </c>
      <c r="V46" s="17">
        <v>60</v>
      </c>
      <c r="W46" s="28">
        <f>SUMPRODUCT(T46:V46,'Fisico SPOT MAT'!T46:V46)*24</f>
        <v>1775810.442</v>
      </c>
      <c r="X46" s="19">
        <v>0</v>
      </c>
      <c r="Y46" s="19">
        <v>5</v>
      </c>
      <c r="Z46" s="19">
        <v>0</v>
      </c>
      <c r="AA46" s="28">
        <f>SUMPRODUCT(X46:Z46,'Fisico SPOT MAT'!X46:Z46)*E46</f>
        <v>33200</v>
      </c>
      <c r="AD46" s="41">
        <v>31.09755088266056</v>
      </c>
      <c r="AE46" s="41">
        <v>39.535948899352931</v>
      </c>
      <c r="AF46">
        <v>5050</v>
      </c>
      <c r="AG46" s="74">
        <f t="shared" si="1"/>
        <v>1.6265846845795879</v>
      </c>
    </row>
    <row r="47" spans="1:33" x14ac:dyDescent="0.25">
      <c r="A47" s="49">
        <v>1443</v>
      </c>
      <c r="B47" s="49">
        <v>1429.75</v>
      </c>
      <c r="C47" s="1">
        <f t="shared" si="2"/>
        <v>2025</v>
      </c>
      <c r="D47" s="1">
        <f t="shared" si="3"/>
        <v>10</v>
      </c>
      <c r="E47" s="1">
        <v>16</v>
      </c>
      <c r="F47" s="1" t="s">
        <v>50</v>
      </c>
      <c r="G47" s="56">
        <f t="shared" si="7"/>
        <v>45958</v>
      </c>
      <c r="H47" s="17">
        <f t="shared" si="4"/>
        <v>32.488373401085887</v>
      </c>
      <c r="I47" s="17">
        <f t="shared" si="5"/>
        <v>37.80591261895129</v>
      </c>
      <c r="J47" s="17">
        <v>22</v>
      </c>
      <c r="K47" s="17"/>
      <c r="L47" s="17">
        <v>32</v>
      </c>
      <c r="M47" s="44">
        <f>SUMPRODUCT(H47:L47,'Fisico SPOT MAT'!H47:L47)*24</f>
        <v>4025127.3348533725</v>
      </c>
      <c r="N47" s="19">
        <f>+'Fisico SPOT MAT'!AG47</f>
        <v>11.676852245248364</v>
      </c>
      <c r="O47" s="19">
        <f t="shared" si="6"/>
        <v>13.466666666666667</v>
      </c>
      <c r="P47" s="19">
        <v>6</v>
      </c>
      <c r="Q47" s="19"/>
      <c r="R47" s="19">
        <v>0</v>
      </c>
      <c r="S47" s="44">
        <f>SUMPRODUCT(N47:R47,'Fisico SPOT MAT'!N47:R47)*E47</f>
        <v>2366343.3908444433</v>
      </c>
      <c r="T47" s="17"/>
      <c r="U47" s="17">
        <v>18</v>
      </c>
      <c r="V47" s="17">
        <v>60</v>
      </c>
      <c r="W47" s="28">
        <f>SUMPRODUCT(T47:V47,'Fisico SPOT MAT'!T47:V47)*24</f>
        <v>1335872.7119999998</v>
      </c>
      <c r="X47" s="19">
        <v>0</v>
      </c>
      <c r="Y47" s="19">
        <v>5</v>
      </c>
      <c r="Z47" s="19">
        <v>0</v>
      </c>
      <c r="AA47" s="28">
        <f>SUMPRODUCT(X47:Z47,'Fisico SPOT MAT'!X47:Z47)*E47</f>
        <v>33200</v>
      </c>
      <c r="AD47" s="41">
        <v>30.876696394459845</v>
      </c>
      <c r="AE47" s="41">
        <v>37.80591261895129</v>
      </c>
      <c r="AF47">
        <v>5050</v>
      </c>
      <c r="AG47" s="74">
        <f t="shared" si="1"/>
        <v>1.6116770066260397</v>
      </c>
    </row>
    <row r="48" spans="1:33" x14ac:dyDescent="0.25">
      <c r="A48" s="49">
        <v>1443</v>
      </c>
      <c r="B48" s="49">
        <v>1429.75</v>
      </c>
      <c r="C48" s="1">
        <f t="shared" si="2"/>
        <v>2025</v>
      </c>
      <c r="D48" s="1">
        <f t="shared" si="3"/>
        <v>10</v>
      </c>
      <c r="E48" s="1">
        <v>16</v>
      </c>
      <c r="F48" s="1" t="s">
        <v>44</v>
      </c>
      <c r="G48" s="56">
        <f t="shared" si="7"/>
        <v>45959</v>
      </c>
      <c r="H48" s="17">
        <f t="shared" si="4"/>
        <v>32.668787147359353</v>
      </c>
      <c r="I48" s="17">
        <f t="shared" si="5"/>
        <v>26.758895259585856</v>
      </c>
      <c r="J48" s="17">
        <v>22</v>
      </c>
      <c r="K48" s="17"/>
      <c r="L48" s="17">
        <v>32</v>
      </c>
      <c r="M48" s="44">
        <f>SUMPRODUCT(H48:L48,'Fisico SPOT MAT'!H48:L48)*24</f>
        <v>3515132.2909694239</v>
      </c>
      <c r="N48" s="19">
        <f>+'Fisico SPOT MAT'!AG48</f>
        <v>11.673479268524176</v>
      </c>
      <c r="O48" s="19">
        <f t="shared" si="6"/>
        <v>13.466666666666667</v>
      </c>
      <c r="P48" s="19">
        <v>6</v>
      </c>
      <c r="Q48" s="19"/>
      <c r="R48" s="19">
        <v>0</v>
      </c>
      <c r="S48" s="44">
        <f>SUMPRODUCT(N48:R48,'Fisico SPOT MAT'!N48:R48)*E48</f>
        <v>2381683.379288889</v>
      </c>
      <c r="T48" s="17"/>
      <c r="U48" s="17">
        <v>18</v>
      </c>
      <c r="V48" s="17">
        <v>60</v>
      </c>
      <c r="W48" s="28">
        <f>SUMPRODUCT(T48:V48,'Fisico SPOT MAT'!T48:V48)*24</f>
        <v>2009471.3939999994</v>
      </c>
      <c r="X48" s="19">
        <v>0</v>
      </c>
      <c r="Y48" s="19">
        <v>5</v>
      </c>
      <c r="Z48" s="19">
        <v>0</v>
      </c>
      <c r="AA48" s="28">
        <f>SUMPRODUCT(X48:Z48,'Fisico SPOT MAT'!X48:Z48)*E48</f>
        <v>33200</v>
      </c>
      <c r="AD48" s="41">
        <v>31.045702245769885</v>
      </c>
      <c r="AE48" s="41">
        <v>26.758895259585856</v>
      </c>
      <c r="AF48">
        <v>5050</v>
      </c>
      <c r="AG48" s="74">
        <f t="shared" si="1"/>
        <v>1.6230849015894673</v>
      </c>
    </row>
    <row r="49" spans="1:36" x14ac:dyDescent="0.25">
      <c r="A49" s="49">
        <v>1443</v>
      </c>
      <c r="B49" s="49">
        <v>1429.75</v>
      </c>
      <c r="C49" s="1">
        <f t="shared" si="2"/>
        <v>2025</v>
      </c>
      <c r="D49" s="1">
        <f t="shared" si="3"/>
        <v>10</v>
      </c>
      <c r="E49" s="1">
        <v>16</v>
      </c>
      <c r="F49" s="1" t="s">
        <v>45</v>
      </c>
      <c r="G49" s="56">
        <f t="shared" si="7"/>
        <v>45960</v>
      </c>
      <c r="H49" s="17">
        <f t="shared" si="4"/>
        <v>33.493164079466212</v>
      </c>
      <c r="I49" s="17">
        <f t="shared" si="5"/>
        <v>26.974328946763944</v>
      </c>
      <c r="J49" s="17">
        <v>22</v>
      </c>
      <c r="K49" s="17"/>
      <c r="L49" s="17">
        <v>32</v>
      </c>
      <c r="M49" s="44">
        <f>SUMPRODUCT(H49:L49,'Fisico SPOT MAT'!H49:L49)*24</f>
        <v>3403084.4277992402</v>
      </c>
      <c r="N49" s="19">
        <f>+'Fisico SPOT MAT'!AG49</f>
        <v>11.672459297286442</v>
      </c>
      <c r="O49" s="19">
        <f t="shared" si="6"/>
        <v>13.466666666666667</v>
      </c>
      <c r="P49" s="19">
        <v>6</v>
      </c>
      <c r="Q49" s="19"/>
      <c r="R49" s="19">
        <v>0</v>
      </c>
      <c r="S49" s="44">
        <f>SUMPRODUCT(N49:R49,'Fisico SPOT MAT'!N49:R49)*E49</f>
        <v>2373136.9500444443</v>
      </c>
      <c r="T49" s="17"/>
      <c r="U49" s="17">
        <v>18</v>
      </c>
      <c r="V49" s="17">
        <v>60</v>
      </c>
      <c r="W49" s="28">
        <f>SUMPRODUCT(T49:V49,'Fisico SPOT MAT'!T49:V49)*24</f>
        <v>2457626.9040000001</v>
      </c>
      <c r="X49" s="19">
        <v>0</v>
      </c>
      <c r="Y49" s="19">
        <v>5</v>
      </c>
      <c r="Z49" s="19">
        <v>0</v>
      </c>
      <c r="AA49" s="28">
        <f>SUMPRODUCT(X49:Z49,'Fisico SPOT MAT'!X49:Z49)*E49</f>
        <v>33200</v>
      </c>
      <c r="AD49" s="41">
        <v>31.81795229926577</v>
      </c>
      <c r="AE49" s="41">
        <v>26.974328946763944</v>
      </c>
      <c r="AF49">
        <v>5050</v>
      </c>
      <c r="AG49" s="74">
        <f t="shared" si="1"/>
        <v>1.6752117802004396</v>
      </c>
    </row>
    <row r="50" spans="1:36" x14ac:dyDescent="0.25">
      <c r="A50" s="49">
        <v>1443</v>
      </c>
      <c r="B50" s="49">
        <v>1429.75</v>
      </c>
      <c r="C50" s="1">
        <f t="shared" si="2"/>
        <v>2025</v>
      </c>
      <c r="D50" s="1">
        <f t="shared" si="3"/>
        <v>10</v>
      </c>
      <c r="E50" s="1">
        <v>16</v>
      </c>
      <c r="F50" s="1" t="s">
        <v>46</v>
      </c>
      <c r="G50" s="56">
        <f t="shared" si="7"/>
        <v>45961</v>
      </c>
      <c r="H50" s="17">
        <f t="shared" si="4"/>
        <v>33.622152524567753</v>
      </c>
      <c r="I50" s="17">
        <f t="shared" si="5"/>
        <v>27.302931012390992</v>
      </c>
      <c r="J50" s="17">
        <v>22</v>
      </c>
      <c r="K50" s="17"/>
      <c r="L50" s="17">
        <v>32</v>
      </c>
      <c r="M50" s="44">
        <f>SUMPRODUCT(H50:L50,'Fisico SPOT MAT'!H50:L50)*24</f>
        <v>2976246.5348831494</v>
      </c>
      <c r="N50" s="19">
        <f>+'Fisico SPOT MAT'!AG50</f>
        <v>11.674656759021081</v>
      </c>
      <c r="O50" s="19">
        <f t="shared" si="6"/>
        <v>13.466666666666667</v>
      </c>
      <c r="P50" s="19">
        <v>6</v>
      </c>
      <c r="Q50" s="19"/>
      <c r="R50" s="19">
        <v>0</v>
      </c>
      <c r="S50" s="44">
        <f>SUMPRODUCT(N50:R50,'Fisico SPOT MAT'!N50:R50)*E50</f>
        <v>2381327.1264888891</v>
      </c>
      <c r="T50" s="17"/>
      <c r="U50" s="17">
        <v>18</v>
      </c>
      <c r="V50" s="17">
        <v>60</v>
      </c>
      <c r="W50" s="28">
        <f>SUMPRODUCT(T50:V50,'Fisico SPOT MAT'!T50:V50)*24</f>
        <v>2933378.2739999997</v>
      </c>
      <c r="X50" s="19">
        <v>0</v>
      </c>
      <c r="Y50" s="19">
        <v>5</v>
      </c>
      <c r="Z50" s="19">
        <v>0</v>
      </c>
      <c r="AA50" s="28">
        <f>SUMPRODUCT(X50:Z50,'Fisico SPOT MAT'!X50:Z50)*E50</f>
        <v>33200</v>
      </c>
      <c r="AD50" s="41">
        <v>31.938784566339812</v>
      </c>
      <c r="AE50" s="41">
        <v>27.302931012390992</v>
      </c>
      <c r="AF50">
        <v>5050</v>
      </c>
      <c r="AG50" s="74">
        <f t="shared" si="1"/>
        <v>1.6833679582279375</v>
      </c>
    </row>
    <row r="51" spans="1:36" x14ac:dyDescent="0.25">
      <c r="A51" s="3">
        <v>1450.75</v>
      </c>
      <c r="B51" s="42">
        <v>1429.75</v>
      </c>
      <c r="C51" s="1">
        <f t="shared" si="2"/>
        <v>2025</v>
      </c>
      <c r="D51" s="1">
        <f t="shared" si="3"/>
        <v>11</v>
      </c>
      <c r="E51" s="1">
        <v>6</v>
      </c>
      <c r="F51" s="1" t="s">
        <v>51</v>
      </c>
      <c r="G51" s="56">
        <f t="shared" si="7"/>
        <v>45962</v>
      </c>
      <c r="H51" s="17">
        <f t="shared" si="4"/>
        <v>37.438050793883455</v>
      </c>
      <c r="I51" s="17">
        <f>+AE51+AG51</f>
        <v>30.041833598106063</v>
      </c>
      <c r="J51" s="17">
        <v>22</v>
      </c>
      <c r="K51" s="17"/>
      <c r="L51" s="17">
        <v>32</v>
      </c>
      <c r="M51" s="44">
        <f>SUMPRODUCT(H51:L51,'Fisico SPOT MAT'!H51:L51)*24</f>
        <v>3464236.5547976336</v>
      </c>
      <c r="N51" s="19">
        <f>+'Fisico SPOT MAT'!AG51</f>
        <v>11.671607859799817</v>
      </c>
      <c r="O51" s="19">
        <f>AF51/AJ51</f>
        <v>14.511494252873563</v>
      </c>
      <c r="P51" s="19">
        <v>6</v>
      </c>
      <c r="Q51" s="19"/>
      <c r="R51" s="19">
        <v>0</v>
      </c>
      <c r="S51" s="44">
        <f>SUMPRODUCT(N51:R51,'Fisico SPOT MAT'!N51:R51)*E51</f>
        <v>884213.36045689671</v>
      </c>
      <c r="T51" s="17"/>
      <c r="U51" s="17">
        <v>18</v>
      </c>
      <c r="V51" s="17">
        <v>60</v>
      </c>
      <c r="W51" s="28">
        <f>SUMPRODUCT(T51:V51,'Fisico SPOT MAT'!T51:V51)*24</f>
        <v>1978131.1379999998</v>
      </c>
      <c r="X51" s="19">
        <v>0</v>
      </c>
      <c r="Y51" s="19">
        <v>5</v>
      </c>
      <c r="Z51" s="19">
        <v>0</v>
      </c>
      <c r="AA51" s="28">
        <f>SUMPRODUCT(X51:Z51,'Fisico SPOT MAT'!X51:Z51)*E51</f>
        <v>12450</v>
      </c>
      <c r="AD51" s="41">
        <v>35.513396528228064</v>
      </c>
      <c r="AE51" s="41">
        <v>28.117179332450668</v>
      </c>
      <c r="AF51">
        <v>5050</v>
      </c>
      <c r="AG51" s="74">
        <f t="shared" si="1"/>
        <v>1.9246542656553944</v>
      </c>
      <c r="AJ51">
        <v>348</v>
      </c>
    </row>
    <row r="52" spans="1:36" x14ac:dyDescent="0.25">
      <c r="A52" s="3">
        <v>1450.75</v>
      </c>
      <c r="B52" s="42">
        <v>1429.75</v>
      </c>
      <c r="C52" s="1">
        <f t="shared" si="2"/>
        <v>2025</v>
      </c>
      <c r="D52" s="1">
        <f t="shared" si="3"/>
        <v>11</v>
      </c>
      <c r="E52" s="1">
        <v>4</v>
      </c>
      <c r="F52" s="1" t="s">
        <v>52</v>
      </c>
      <c r="G52" s="56">
        <f t="shared" si="7"/>
        <v>45963</v>
      </c>
      <c r="H52" s="17">
        <f t="shared" si="4"/>
        <v>38.105237267804704</v>
      </c>
      <c r="I52" s="17">
        <f t="shared" ref="I52:I79" si="8">+AE52+AG52</f>
        <v>30.16088506891623</v>
      </c>
      <c r="J52" s="17">
        <v>22</v>
      </c>
      <c r="K52" s="17"/>
      <c r="L52" s="17">
        <v>32</v>
      </c>
      <c r="M52" s="44">
        <f>SUMPRODUCT(H52:L52,'Fisico SPOT MAT'!H52:L52)*24</f>
        <v>3760596.4890562487</v>
      </c>
      <c r="N52" s="19">
        <f>+'Fisico SPOT MAT'!AG52</f>
        <v>11.671488935336704</v>
      </c>
      <c r="O52" s="19">
        <f t="shared" ref="O52:O115" si="9">AF52/AJ52</f>
        <v>14.511494252873563</v>
      </c>
      <c r="P52" s="19">
        <v>6</v>
      </c>
      <c r="Q52" s="19"/>
      <c r="R52" s="19">
        <v>0</v>
      </c>
      <c r="S52" s="44">
        <f>SUMPRODUCT(N52:R52,'Fisico SPOT MAT'!N52:R52)*E52</f>
        <v>589592.9299090039</v>
      </c>
      <c r="T52" s="17"/>
      <c r="U52" s="17">
        <v>18</v>
      </c>
      <c r="V52" s="17">
        <v>60</v>
      </c>
      <c r="W52" s="28">
        <f>SUMPRODUCT(T52:V52,'Fisico SPOT MAT'!T52:V52)*24</f>
        <v>1684529.6519999998</v>
      </c>
      <c r="X52" s="19">
        <v>0</v>
      </c>
      <c r="Y52" s="19">
        <v>5</v>
      </c>
      <c r="Z52" s="19">
        <v>0</v>
      </c>
      <c r="AA52" s="28">
        <f>SUMPRODUCT(X52:Z52,'Fisico SPOT MAT'!X52:Z52)*E52</f>
        <v>8300</v>
      </c>
      <c r="AD52" s="41">
        <v>36.138395567030166</v>
      </c>
      <c r="AE52" s="41">
        <v>28.194043368141692</v>
      </c>
      <c r="AF52">
        <v>5050</v>
      </c>
      <c r="AG52" s="74">
        <f t="shared" si="1"/>
        <v>1.9668417007745362</v>
      </c>
      <c r="AJ52">
        <v>348</v>
      </c>
    </row>
    <row r="53" spans="1:36" x14ac:dyDescent="0.25">
      <c r="A53" s="3">
        <v>1450.75</v>
      </c>
      <c r="B53" s="42">
        <v>1470.8330000000001</v>
      </c>
      <c r="C53" s="1">
        <f t="shared" si="2"/>
        <v>2025</v>
      </c>
      <c r="D53" s="1">
        <f t="shared" si="3"/>
        <v>11</v>
      </c>
      <c r="E53" s="1">
        <v>16</v>
      </c>
      <c r="F53" s="1" t="s">
        <v>53</v>
      </c>
      <c r="G53" s="56">
        <f t="shared" si="7"/>
        <v>45964</v>
      </c>
      <c r="H53" s="17">
        <f t="shared" si="4"/>
        <v>38.702779807794911</v>
      </c>
      <c r="I53" s="17">
        <f t="shared" si="8"/>
        <v>31.392911926434685</v>
      </c>
      <c r="J53" s="17">
        <v>22</v>
      </c>
      <c r="K53" s="17"/>
      <c r="L53" s="17">
        <v>32</v>
      </c>
      <c r="M53" s="44">
        <f>SUMPRODUCT(H53:L53,'Fisico SPOT MAT'!H53:L53)*24</f>
        <v>4211950.4994103648</v>
      </c>
      <c r="N53" s="19">
        <f>+'Fisico SPOT MAT'!AG53</f>
        <v>11.677046744385043</v>
      </c>
      <c r="O53" s="19">
        <f t="shared" si="9"/>
        <v>14.511494252873563</v>
      </c>
      <c r="P53" s="19">
        <v>6</v>
      </c>
      <c r="Q53" s="19"/>
      <c r="R53" s="19">
        <v>0</v>
      </c>
      <c r="S53" s="44">
        <f>SUMPRODUCT(N53:R53,'Fisico SPOT MAT'!N53:R53)*E53</f>
        <v>2389210.6346743279</v>
      </c>
      <c r="T53" s="17"/>
      <c r="U53" s="17">
        <v>18</v>
      </c>
      <c r="V53" s="17">
        <v>60</v>
      </c>
      <c r="W53" s="28">
        <f>SUMPRODUCT(T53:V53,'Fisico SPOT MAT'!T53:V53)*24</f>
        <v>1882228.3080000007</v>
      </c>
      <c r="X53" s="19">
        <v>0</v>
      </c>
      <c r="Y53" s="19">
        <v>5</v>
      </c>
      <c r="Z53" s="19">
        <v>0</v>
      </c>
      <c r="AA53" s="28">
        <f>SUMPRODUCT(X53:Z53,'Fisico SPOT MAT'!X53:Z53)*E53</f>
        <v>33200</v>
      </c>
      <c r="AD53" s="41">
        <v>36.698154386693126</v>
      </c>
      <c r="AE53" s="41">
        <v>29.3882865053329</v>
      </c>
      <c r="AF53">
        <v>5050</v>
      </c>
      <c r="AG53" s="74">
        <f t="shared" si="1"/>
        <v>2.0046254211017862</v>
      </c>
      <c r="AJ53">
        <v>348</v>
      </c>
    </row>
    <row r="54" spans="1:36" x14ac:dyDescent="0.25">
      <c r="A54" s="3">
        <v>1450.75</v>
      </c>
      <c r="B54" s="42">
        <v>1470.8330000000001</v>
      </c>
      <c r="C54" s="1">
        <f t="shared" si="2"/>
        <v>2025</v>
      </c>
      <c r="D54" s="1">
        <f t="shared" si="3"/>
        <v>11</v>
      </c>
      <c r="E54" s="1">
        <v>16</v>
      </c>
      <c r="F54" s="1" t="s">
        <v>54</v>
      </c>
      <c r="G54" s="56">
        <f t="shared" si="7"/>
        <v>45965</v>
      </c>
      <c r="H54" s="17">
        <f t="shared" si="4"/>
        <v>39.880057218701339</v>
      </c>
      <c r="I54" s="17">
        <f t="shared" si="8"/>
        <v>32.510350517534008</v>
      </c>
      <c r="J54" s="17">
        <v>22</v>
      </c>
      <c r="K54" s="17"/>
      <c r="L54" s="17">
        <v>32</v>
      </c>
      <c r="M54" s="44">
        <f>SUMPRODUCT(H54:L54,'Fisico SPOT MAT'!H54:L54)*24</f>
        <v>4550052.4826613292</v>
      </c>
      <c r="N54" s="19">
        <f>+'Fisico SPOT MAT'!AG54</f>
        <v>11.671655625092653</v>
      </c>
      <c r="O54" s="19">
        <f t="shared" si="9"/>
        <v>14.511494252873563</v>
      </c>
      <c r="P54" s="19">
        <v>6</v>
      </c>
      <c r="Q54" s="19"/>
      <c r="R54" s="19">
        <v>0</v>
      </c>
      <c r="S54" s="44">
        <f>SUMPRODUCT(N54:R54,'Fisico SPOT MAT'!N54:R54)*E54</f>
        <v>2355687.5497432947</v>
      </c>
      <c r="T54" s="17"/>
      <c r="U54" s="17">
        <v>18</v>
      </c>
      <c r="V54" s="17">
        <v>60</v>
      </c>
      <c r="W54" s="28">
        <f>SUMPRODUCT(T54:V54,'Fisico SPOT MAT'!T54:V54)*24</f>
        <v>1922581.1219999995</v>
      </c>
      <c r="X54" s="19">
        <v>0</v>
      </c>
      <c r="Y54" s="19">
        <v>5</v>
      </c>
      <c r="Z54" s="19">
        <v>0</v>
      </c>
      <c r="AA54" s="28">
        <f>SUMPRODUCT(X54:Z54,'Fisico SPOT MAT'!X54:Z54)*E54</f>
        <v>33200</v>
      </c>
      <c r="AD54" s="41">
        <v>37.800990368806872</v>
      </c>
      <c r="AE54" s="41">
        <v>30.431283667639541</v>
      </c>
      <c r="AF54">
        <v>5050</v>
      </c>
      <c r="AG54" s="74">
        <f t="shared" si="1"/>
        <v>2.0790668498944638</v>
      </c>
      <c r="AJ54">
        <v>348</v>
      </c>
    </row>
    <row r="55" spans="1:36" x14ac:dyDescent="0.25">
      <c r="A55" s="3">
        <v>1450.75</v>
      </c>
      <c r="B55" s="42">
        <v>1470.8330000000001</v>
      </c>
      <c r="C55" s="1">
        <f t="shared" si="2"/>
        <v>2025</v>
      </c>
      <c r="D55" s="1">
        <f t="shared" si="3"/>
        <v>11</v>
      </c>
      <c r="E55" s="1">
        <v>16</v>
      </c>
      <c r="F55" s="1" t="s">
        <v>55</v>
      </c>
      <c r="G55" s="56">
        <f t="shared" si="7"/>
        <v>45966</v>
      </c>
      <c r="H55" s="17">
        <f t="shared" si="4"/>
        <v>38.16801181080919</v>
      </c>
      <c r="I55" s="17">
        <f t="shared" si="8"/>
        <v>30.508504044086326</v>
      </c>
      <c r="J55" s="17">
        <v>22</v>
      </c>
      <c r="K55" s="17"/>
      <c r="L55" s="17">
        <v>32</v>
      </c>
      <c r="M55" s="44">
        <f>SUMPRODUCT(H55:L55,'Fisico SPOT MAT'!H55:L55)*24</f>
        <v>4598534.9275327353</v>
      </c>
      <c r="N55" s="19">
        <f>+'Fisico SPOT MAT'!AG55</f>
        <v>11.687439722940493</v>
      </c>
      <c r="O55" s="19">
        <f t="shared" si="9"/>
        <v>14.511494252873563</v>
      </c>
      <c r="P55" s="19">
        <v>6</v>
      </c>
      <c r="Q55" s="19"/>
      <c r="R55" s="19">
        <v>0</v>
      </c>
      <c r="S55" s="44">
        <f>SUMPRODUCT(N55:R55,'Fisico SPOT MAT'!N55:R55)*E55</f>
        <v>2466355.5445517236</v>
      </c>
      <c r="T55" s="17"/>
      <c r="U55" s="17">
        <v>18</v>
      </c>
      <c r="V55" s="17">
        <v>60</v>
      </c>
      <c r="W55" s="28">
        <f>SUMPRODUCT(T55:V55,'Fisico SPOT MAT'!T55:V55)*24</f>
        <v>1733502.906</v>
      </c>
      <c r="X55" s="19">
        <v>0</v>
      </c>
      <c r="Y55" s="19">
        <v>5</v>
      </c>
      <c r="Z55" s="19">
        <v>0</v>
      </c>
      <c r="AA55" s="28">
        <f>SUMPRODUCT(X55:Z55,'Fisico SPOT MAT'!X55:Z55)*E55</f>
        <v>33200</v>
      </c>
      <c r="AD55" s="41">
        <v>36.197200759540223</v>
      </c>
      <c r="AE55" s="41">
        <v>28.537692992817362</v>
      </c>
      <c r="AF55">
        <v>5050</v>
      </c>
      <c r="AG55" s="74">
        <f t="shared" si="1"/>
        <v>1.9708110512689652</v>
      </c>
      <c r="AJ55">
        <v>348</v>
      </c>
    </row>
    <row r="56" spans="1:36" x14ac:dyDescent="0.25">
      <c r="A56" s="3">
        <v>1450.75</v>
      </c>
      <c r="B56" s="42">
        <v>1470.8330000000001</v>
      </c>
      <c r="C56" s="1">
        <f t="shared" si="2"/>
        <v>2025</v>
      </c>
      <c r="D56" s="1">
        <f t="shared" si="3"/>
        <v>11</v>
      </c>
      <c r="E56" s="1">
        <v>16</v>
      </c>
      <c r="F56" s="1" t="s">
        <v>56</v>
      </c>
      <c r="G56" s="56">
        <f t="shared" si="7"/>
        <v>45967</v>
      </c>
      <c r="H56" s="17">
        <f t="shared" si="4"/>
        <v>37.079803462856162</v>
      </c>
      <c r="I56" s="17">
        <f t="shared" si="8"/>
        <v>30.383193081275909</v>
      </c>
      <c r="J56" s="17">
        <v>22</v>
      </c>
      <c r="K56" s="17"/>
      <c r="L56" s="17">
        <v>32</v>
      </c>
      <c r="M56" s="44">
        <f>SUMPRODUCT(H56:L56,'Fisico SPOT MAT'!H56:L56)*24</f>
        <v>4438766.5515374057</v>
      </c>
      <c r="N56" s="19">
        <f>+'Fisico SPOT MAT'!AG56</f>
        <v>11.696105542938874</v>
      </c>
      <c r="O56" s="19">
        <f t="shared" si="9"/>
        <v>14.511494252873563</v>
      </c>
      <c r="P56" s="19">
        <v>6</v>
      </c>
      <c r="Q56" s="19"/>
      <c r="R56" s="19">
        <v>0</v>
      </c>
      <c r="S56" s="44">
        <f>SUMPRODUCT(N56:R56,'Fisico SPOT MAT'!N56:R56)*E56</f>
        <v>2530310.5432720287</v>
      </c>
      <c r="T56" s="17"/>
      <c r="U56" s="17">
        <v>18</v>
      </c>
      <c r="V56" s="17">
        <v>60</v>
      </c>
      <c r="W56" s="28">
        <f>SUMPRODUCT(T56:V56,'Fisico SPOT MAT'!T56:V56)*24</f>
        <v>1763485.716</v>
      </c>
      <c r="X56" s="19">
        <v>0</v>
      </c>
      <c r="Y56" s="19">
        <v>5</v>
      </c>
      <c r="Z56" s="19">
        <v>0</v>
      </c>
      <c r="AA56" s="28">
        <f>SUMPRODUCT(X56:Z56,'Fisico SPOT MAT'!X56:Z56)*E56</f>
        <v>33200</v>
      </c>
      <c r="AD56" s="41">
        <v>35.177801838741132</v>
      </c>
      <c r="AE56" s="41">
        <v>28.481191457160882</v>
      </c>
      <c r="AF56">
        <v>5050</v>
      </c>
      <c r="AG56" s="74">
        <f t="shared" si="1"/>
        <v>1.9020016241150266</v>
      </c>
      <c r="AJ56">
        <v>348</v>
      </c>
    </row>
    <row r="57" spans="1:36" x14ac:dyDescent="0.25">
      <c r="A57" s="3">
        <v>1450.75</v>
      </c>
      <c r="B57" s="42">
        <v>1470.8330000000001</v>
      </c>
      <c r="C57" s="1">
        <f t="shared" si="2"/>
        <v>2025</v>
      </c>
      <c r="D57" s="1">
        <f t="shared" si="3"/>
        <v>11</v>
      </c>
      <c r="E57" s="1">
        <v>16</v>
      </c>
      <c r="F57" s="1" t="s">
        <v>57</v>
      </c>
      <c r="G57" s="56">
        <f t="shared" si="7"/>
        <v>45968</v>
      </c>
      <c r="H57" s="17">
        <f t="shared" si="4"/>
        <v>37.035330703389192</v>
      </c>
      <c r="I57" s="17">
        <f t="shared" si="8"/>
        <v>30.159812489025562</v>
      </c>
      <c r="J57" s="17">
        <v>22</v>
      </c>
      <c r="K57" s="17"/>
      <c r="L57" s="17">
        <v>32</v>
      </c>
      <c r="M57" s="44">
        <f>SUMPRODUCT(H57:L57,'Fisico SPOT MAT'!H57:L57)*24</f>
        <v>4356028.6774959005</v>
      </c>
      <c r="N57" s="19">
        <f>+'Fisico SPOT MAT'!AG57</f>
        <v>11.704957353668528</v>
      </c>
      <c r="O57" s="19">
        <f t="shared" si="9"/>
        <v>14.511494252873563</v>
      </c>
      <c r="P57" s="19">
        <v>6</v>
      </c>
      <c r="Q57" s="19"/>
      <c r="R57" s="19">
        <v>0</v>
      </c>
      <c r="S57" s="44">
        <f>SUMPRODUCT(N57:R57,'Fisico SPOT MAT'!N57:R57)*E57</f>
        <v>2600936.7315517236</v>
      </c>
      <c r="T57" s="17"/>
      <c r="U57" s="17">
        <v>18</v>
      </c>
      <c r="V57" s="17">
        <v>60</v>
      </c>
      <c r="W57" s="28">
        <f>SUMPRODUCT(T57:V57,'Fisico SPOT MAT'!T57:V57)*24</f>
        <v>1282443.1139999998</v>
      </c>
      <c r="X57" s="19">
        <v>0</v>
      </c>
      <c r="Y57" s="19">
        <v>5</v>
      </c>
      <c r="Z57" s="19">
        <v>0</v>
      </c>
      <c r="AA57" s="28">
        <f>SUMPRODUCT(X57:Z57,'Fisico SPOT MAT'!X57:Z57)*E57</f>
        <v>33200</v>
      </c>
      <c r="AD57" s="41">
        <v>35.136141174135076</v>
      </c>
      <c r="AE57" s="41">
        <v>28.260622959771442</v>
      </c>
      <c r="AF57">
        <v>5050</v>
      </c>
      <c r="AG57" s="74">
        <f t="shared" si="1"/>
        <v>1.8991895292541179</v>
      </c>
      <c r="AJ57">
        <v>348</v>
      </c>
    </row>
    <row r="58" spans="1:36" x14ac:dyDescent="0.25">
      <c r="A58" s="3">
        <v>1450.75</v>
      </c>
      <c r="B58" s="42">
        <v>1470.8330000000001</v>
      </c>
      <c r="C58" s="1">
        <f t="shared" si="2"/>
        <v>2025</v>
      </c>
      <c r="D58" s="1">
        <f t="shared" si="3"/>
        <v>11</v>
      </c>
      <c r="E58" s="1">
        <v>6</v>
      </c>
      <c r="F58" s="1" t="s">
        <v>51</v>
      </c>
      <c r="G58" s="56">
        <f t="shared" si="7"/>
        <v>45969</v>
      </c>
      <c r="H58" s="17">
        <f t="shared" si="4"/>
        <v>38.819896445149766</v>
      </c>
      <c r="I58" s="17">
        <f t="shared" si="8"/>
        <v>32.569342374700099</v>
      </c>
      <c r="J58" s="17">
        <v>22</v>
      </c>
      <c r="K58" s="17"/>
      <c r="L58" s="17">
        <v>32</v>
      </c>
      <c r="M58" s="44">
        <f>SUMPRODUCT(H58:L58,'Fisico SPOT MAT'!H58:L58)*24</f>
        <v>3833054.1601002901</v>
      </c>
      <c r="N58" s="19">
        <f>+'Fisico SPOT MAT'!AG58</f>
        <v>11.681266243040238</v>
      </c>
      <c r="O58" s="19">
        <f t="shared" si="9"/>
        <v>14.511494252873563</v>
      </c>
      <c r="P58" s="19">
        <v>6</v>
      </c>
      <c r="Q58" s="19"/>
      <c r="R58" s="19">
        <v>0</v>
      </c>
      <c r="S58" s="44">
        <f>SUMPRODUCT(N58:R58,'Fisico SPOT MAT'!N58:R58)*E58</f>
        <v>911091.996005747</v>
      </c>
      <c r="T58" s="17"/>
      <c r="U58" s="17">
        <v>18</v>
      </c>
      <c r="V58" s="17">
        <v>60</v>
      </c>
      <c r="W58" s="28">
        <f>SUMPRODUCT(T58:V58,'Fisico SPOT MAT'!T58:V58)*24</f>
        <v>1063535.2619999999</v>
      </c>
      <c r="X58" s="19">
        <v>0</v>
      </c>
      <c r="Y58" s="19">
        <v>5</v>
      </c>
      <c r="Z58" s="19">
        <v>0</v>
      </c>
      <c r="AA58" s="28">
        <f>SUMPRODUCT(X58:Z58,'Fisico SPOT MAT'!X58:Z58)*E58</f>
        <v>12450</v>
      </c>
      <c r="AD58" s="41">
        <v>36.807865522388539</v>
      </c>
      <c r="AE58" s="41">
        <v>30.557311451938876</v>
      </c>
      <c r="AF58">
        <v>5050</v>
      </c>
      <c r="AG58" s="74">
        <f t="shared" si="1"/>
        <v>2.0120309227612263</v>
      </c>
      <c r="AJ58">
        <v>348</v>
      </c>
    </row>
    <row r="59" spans="1:36" x14ac:dyDescent="0.25">
      <c r="A59" s="3">
        <v>1450.75</v>
      </c>
      <c r="B59" s="42">
        <v>1470.8330000000001</v>
      </c>
      <c r="C59" s="1">
        <f t="shared" si="2"/>
        <v>2025</v>
      </c>
      <c r="D59" s="1">
        <f t="shared" si="3"/>
        <v>11</v>
      </c>
      <c r="E59" s="1">
        <v>4</v>
      </c>
      <c r="F59" s="1" t="s">
        <v>52</v>
      </c>
      <c r="G59" s="56">
        <f t="shared" si="7"/>
        <v>45970</v>
      </c>
      <c r="H59" s="17">
        <f t="shared" si="4"/>
        <v>36.832159324947426</v>
      </c>
      <c r="I59" s="17">
        <f t="shared" si="8"/>
        <v>31.954547149157673</v>
      </c>
      <c r="J59" s="17">
        <v>22</v>
      </c>
      <c r="K59" s="17"/>
      <c r="L59" s="17">
        <v>32</v>
      </c>
      <c r="M59" s="44">
        <f>SUMPRODUCT(H59:L59,'Fisico SPOT MAT'!H59:L59)*24</f>
        <v>3103879.9363303143</v>
      </c>
      <c r="N59" s="19">
        <f>+'Fisico SPOT MAT'!AG59</f>
        <v>11.685639994565209</v>
      </c>
      <c r="O59" s="19">
        <f t="shared" si="9"/>
        <v>14.511494252873563</v>
      </c>
      <c r="P59" s="19">
        <v>6</v>
      </c>
      <c r="Q59" s="19"/>
      <c r="R59" s="19">
        <v>0</v>
      </c>
      <c r="S59" s="44">
        <f>SUMPRODUCT(N59:R59,'Fisico SPOT MAT'!N59:R59)*E59</f>
        <v>615413.15780938684</v>
      </c>
      <c r="T59" s="17"/>
      <c r="U59" s="17">
        <v>18</v>
      </c>
      <c r="V59" s="17">
        <v>60</v>
      </c>
      <c r="W59" s="28">
        <f>SUMPRODUCT(T59:V59,'Fisico SPOT MAT'!T59:V59)*24</f>
        <v>1343193.1799999997</v>
      </c>
      <c r="X59" s="19">
        <v>0</v>
      </c>
      <c r="Y59" s="19">
        <v>5</v>
      </c>
      <c r="Z59" s="19">
        <v>0</v>
      </c>
      <c r="AA59" s="28">
        <f>SUMPRODUCT(X59:Z59,'Fisico SPOT MAT'!X59:Z59)*E59</f>
        <v>8300</v>
      </c>
      <c r="AD59" s="41">
        <v>34.945816697843021</v>
      </c>
      <c r="AE59" s="41">
        <v>30.068204522053268</v>
      </c>
      <c r="AF59">
        <v>5050</v>
      </c>
      <c r="AG59" s="74">
        <f t="shared" si="1"/>
        <v>1.8863426271044041</v>
      </c>
      <c r="AJ59">
        <v>348</v>
      </c>
    </row>
    <row r="60" spans="1:36" x14ac:dyDescent="0.25">
      <c r="A60" s="3">
        <v>1450.75</v>
      </c>
      <c r="B60" s="42">
        <v>1470.8330000000001</v>
      </c>
      <c r="C60" s="1">
        <f t="shared" si="2"/>
        <v>2025</v>
      </c>
      <c r="D60" s="1">
        <f t="shared" si="3"/>
        <v>11</v>
      </c>
      <c r="E60" s="1">
        <v>16</v>
      </c>
      <c r="F60" s="1" t="s">
        <v>53</v>
      </c>
      <c r="G60" s="56">
        <f t="shared" si="7"/>
        <v>45971</v>
      </c>
      <c r="H60" s="17">
        <f t="shared" si="4"/>
        <v>37.952911618249296</v>
      </c>
      <c r="I60" s="17">
        <f t="shared" si="8"/>
        <v>30.423717795585571</v>
      </c>
      <c r="J60" s="17">
        <v>22</v>
      </c>
      <c r="K60" s="17"/>
      <c r="L60" s="17">
        <v>32</v>
      </c>
      <c r="M60" s="44">
        <f>SUMPRODUCT(H60:L60,'Fisico SPOT MAT'!H60:L60)*24</f>
        <v>3932178.4022127967</v>
      </c>
      <c r="N60" s="19">
        <f>+'Fisico SPOT MAT'!AG60</f>
        <v>11.685669693324327</v>
      </c>
      <c r="O60" s="19">
        <f t="shared" si="9"/>
        <v>14.511494252873563</v>
      </c>
      <c r="P60" s="19">
        <v>6</v>
      </c>
      <c r="Q60" s="19"/>
      <c r="R60" s="19">
        <v>0</v>
      </c>
      <c r="S60" s="44">
        <f>SUMPRODUCT(N60:R60,'Fisico SPOT MAT'!N60:R60)*E60</f>
        <v>2476215.6733141746</v>
      </c>
      <c r="T60" s="17"/>
      <c r="U60" s="17">
        <v>18</v>
      </c>
      <c r="V60" s="17">
        <v>60</v>
      </c>
      <c r="W60" s="28">
        <f>SUMPRODUCT(T60:V60,'Fisico SPOT MAT'!T60:V60)*24</f>
        <v>1929043.3680000002</v>
      </c>
      <c r="X60" s="19">
        <v>0</v>
      </c>
      <c r="Y60" s="19">
        <v>5</v>
      </c>
      <c r="Z60" s="19">
        <v>0</v>
      </c>
      <c r="AA60" s="28">
        <f>SUMPRODUCT(X60:Z60,'Fisico SPOT MAT'!X60:Z60)*E60</f>
        <v>33200</v>
      </c>
      <c r="AD60" s="41">
        <v>35.995701750116439</v>
      </c>
      <c r="AE60" s="41">
        <v>28.46650792745271</v>
      </c>
      <c r="AF60">
        <v>5050</v>
      </c>
      <c r="AG60" s="74">
        <f t="shared" si="1"/>
        <v>1.9572098681328598</v>
      </c>
      <c r="AJ60">
        <v>348</v>
      </c>
    </row>
    <row r="61" spans="1:36" x14ac:dyDescent="0.25">
      <c r="A61" s="3">
        <v>1450.75</v>
      </c>
      <c r="B61" s="42">
        <v>1470.8330000000001</v>
      </c>
      <c r="C61" s="1">
        <f t="shared" si="2"/>
        <v>2025</v>
      </c>
      <c r="D61" s="1">
        <f t="shared" si="3"/>
        <v>11</v>
      </c>
      <c r="E61" s="1">
        <v>16</v>
      </c>
      <c r="F61" s="1" t="s">
        <v>54</v>
      </c>
      <c r="G61" s="56">
        <f t="shared" si="7"/>
        <v>45972</v>
      </c>
      <c r="H61" s="17">
        <f t="shared" si="4"/>
        <v>38.159700123109047</v>
      </c>
      <c r="I61" s="17">
        <f t="shared" si="8"/>
        <v>30.561886726093807</v>
      </c>
      <c r="J61" s="17">
        <v>22</v>
      </c>
      <c r="K61" s="17"/>
      <c r="L61" s="17">
        <v>32</v>
      </c>
      <c r="M61" s="44">
        <f>SUMPRODUCT(H61:L61,'Fisico SPOT MAT'!H61:L61)*24</f>
        <v>4154820.150513107</v>
      </c>
      <c r="N61" s="19">
        <f>+'Fisico SPOT MAT'!AG61</f>
        <v>11.684911799099471</v>
      </c>
      <c r="O61" s="19">
        <f t="shared" si="9"/>
        <v>14.511494252873563</v>
      </c>
      <c r="P61" s="19">
        <v>6</v>
      </c>
      <c r="Q61" s="19"/>
      <c r="R61" s="19">
        <v>0</v>
      </c>
      <c r="S61" s="44">
        <f>SUMPRODUCT(N61:R61,'Fisico SPOT MAT'!N61:R61)*E61</f>
        <v>2479009.6552643678</v>
      </c>
      <c r="T61" s="17"/>
      <c r="U61" s="17">
        <v>18</v>
      </c>
      <c r="V61" s="17">
        <v>60</v>
      </c>
      <c r="W61" s="28">
        <f>SUMPRODUCT(T61:V61,'Fisico SPOT MAT'!T61:V61)*24</f>
        <v>2625373.3380000009</v>
      </c>
      <c r="X61" s="19">
        <v>0</v>
      </c>
      <c r="Y61" s="19">
        <v>5</v>
      </c>
      <c r="Z61" s="19">
        <v>0</v>
      </c>
      <c r="AA61" s="28">
        <f>SUMPRODUCT(X61:Z61,'Fisico SPOT MAT'!X61:Z61)*E61</f>
        <v>33200</v>
      </c>
      <c r="AD61" s="41">
        <v>36.18941463523096</v>
      </c>
      <c r="AE61" s="41">
        <v>28.591601238215716</v>
      </c>
      <c r="AF61">
        <v>5050</v>
      </c>
      <c r="AG61" s="74">
        <f t="shared" si="1"/>
        <v>1.97028548787809</v>
      </c>
      <c r="AJ61">
        <v>348</v>
      </c>
    </row>
    <row r="62" spans="1:36" x14ac:dyDescent="0.25">
      <c r="A62" s="3">
        <v>1450.75</v>
      </c>
      <c r="B62" s="42">
        <v>1470.8330000000001</v>
      </c>
      <c r="C62" s="1">
        <f t="shared" si="2"/>
        <v>2025</v>
      </c>
      <c r="D62" s="1">
        <f t="shared" si="3"/>
        <v>11</v>
      </c>
      <c r="E62" s="1">
        <v>16</v>
      </c>
      <c r="F62" s="1" t="s">
        <v>55</v>
      </c>
      <c r="G62" s="56">
        <f t="shared" si="7"/>
        <v>45973</v>
      </c>
      <c r="H62" s="17">
        <f t="shared" si="4"/>
        <v>36.767242045989548</v>
      </c>
      <c r="I62" s="17">
        <f t="shared" si="8"/>
        <v>30.368354085096417</v>
      </c>
      <c r="J62" s="17">
        <v>22</v>
      </c>
      <c r="K62" s="17"/>
      <c r="L62" s="17">
        <v>32</v>
      </c>
      <c r="M62" s="44">
        <f>SUMPRODUCT(H62:L62,'Fisico SPOT MAT'!H62:L62)*24</f>
        <v>3890448.6630062484</v>
      </c>
      <c r="N62" s="19">
        <f>+'Fisico SPOT MAT'!AG62</f>
        <v>11.686881858945293</v>
      </c>
      <c r="O62" s="19">
        <f t="shared" si="9"/>
        <v>14.511494252873563</v>
      </c>
      <c r="P62" s="19">
        <v>6</v>
      </c>
      <c r="Q62" s="19"/>
      <c r="R62" s="19">
        <v>0</v>
      </c>
      <c r="S62" s="44">
        <f>SUMPRODUCT(N62:R62,'Fisico SPOT MAT'!N62:R62)*E62</f>
        <v>2500343.1512452103</v>
      </c>
      <c r="T62" s="17"/>
      <c r="U62" s="17">
        <v>18</v>
      </c>
      <c r="V62" s="17">
        <v>60</v>
      </c>
      <c r="W62" s="28">
        <f>SUMPRODUCT(T62:V62,'Fisico SPOT MAT'!T62:V62)*24</f>
        <v>2112066.8759999997</v>
      </c>
      <c r="X62" s="19">
        <v>0</v>
      </c>
      <c r="Y62" s="19">
        <v>5</v>
      </c>
      <c r="Z62" s="19">
        <v>0</v>
      </c>
      <c r="AA62" s="28">
        <f>SUMPRODUCT(X62:Z62,'Fisico SPOT MAT'!X62:Z62)*E62</f>
        <v>33200</v>
      </c>
      <c r="AD62" s="41">
        <v>34.885004258538217</v>
      </c>
      <c r="AE62" s="41">
        <v>28.486116297645086</v>
      </c>
      <c r="AF62">
        <v>5050</v>
      </c>
      <c r="AG62" s="74">
        <f t="shared" si="1"/>
        <v>1.8822377874513299</v>
      </c>
      <c r="AJ62">
        <v>348</v>
      </c>
    </row>
    <row r="63" spans="1:36" x14ac:dyDescent="0.25">
      <c r="A63" s="3">
        <v>1450.75</v>
      </c>
      <c r="B63" s="42">
        <v>1470.8330000000001</v>
      </c>
      <c r="C63" s="1">
        <f t="shared" si="2"/>
        <v>2025</v>
      </c>
      <c r="D63" s="1">
        <f t="shared" si="3"/>
        <v>11</v>
      </c>
      <c r="E63" s="1">
        <v>16</v>
      </c>
      <c r="F63" s="1" t="s">
        <v>56</v>
      </c>
      <c r="G63" s="56">
        <f t="shared" si="7"/>
        <v>45974</v>
      </c>
      <c r="H63" s="17">
        <f t="shared" si="4"/>
        <v>36.851229545927772</v>
      </c>
      <c r="I63" s="17">
        <f t="shared" si="8"/>
        <v>30.321336848662185</v>
      </c>
      <c r="J63" s="17">
        <v>22</v>
      </c>
      <c r="K63" s="17"/>
      <c r="L63" s="17">
        <v>32</v>
      </c>
      <c r="M63" s="44">
        <f>SUMPRODUCT(H63:L63,'Fisico SPOT MAT'!H63:L63)*24</f>
        <v>3954803.285470204</v>
      </c>
      <c r="N63" s="19">
        <f>+'Fisico SPOT MAT'!AG63</f>
        <v>11.686760294087273</v>
      </c>
      <c r="O63" s="19">
        <f t="shared" si="9"/>
        <v>14.511494252873563</v>
      </c>
      <c r="P63" s="19">
        <v>6</v>
      </c>
      <c r="Q63" s="19"/>
      <c r="R63" s="19">
        <v>0</v>
      </c>
      <c r="S63" s="44">
        <f>SUMPRODUCT(N63:R63,'Fisico SPOT MAT'!N63:R63)*E63</f>
        <v>2499195.7744176243</v>
      </c>
      <c r="T63" s="17"/>
      <c r="U63" s="17">
        <v>18</v>
      </c>
      <c r="V63" s="17">
        <v>60</v>
      </c>
      <c r="W63" s="28">
        <f>SUMPRODUCT(T63:V63,'Fisico SPOT MAT'!T63:V63)*24</f>
        <v>1984577.8620000004</v>
      </c>
      <c r="X63" s="19">
        <v>0</v>
      </c>
      <c r="Y63" s="19">
        <v>5</v>
      </c>
      <c r="Z63" s="19">
        <v>0</v>
      </c>
      <c r="AA63" s="28">
        <f>SUMPRODUCT(X63:Z63,'Fisico SPOT MAT'!X63:Z63)*E63</f>
        <v>33200</v>
      </c>
      <c r="AD63" s="41">
        <v>34.963681073468642</v>
      </c>
      <c r="AE63" s="41">
        <v>28.433788376203051</v>
      </c>
      <c r="AF63">
        <v>5050</v>
      </c>
      <c r="AG63" s="74">
        <f t="shared" si="1"/>
        <v>1.8875484724591334</v>
      </c>
      <c r="AJ63">
        <v>348</v>
      </c>
    </row>
    <row r="64" spans="1:36" x14ac:dyDescent="0.25">
      <c r="A64" s="3">
        <v>1450.75</v>
      </c>
      <c r="B64" s="42">
        <v>1470.8330000000001</v>
      </c>
      <c r="C64" s="1">
        <f t="shared" si="2"/>
        <v>2025</v>
      </c>
      <c r="D64" s="1">
        <f t="shared" si="3"/>
        <v>11</v>
      </c>
      <c r="E64" s="1">
        <v>16</v>
      </c>
      <c r="F64" s="1" t="s">
        <v>57</v>
      </c>
      <c r="G64" s="56">
        <f t="shared" si="7"/>
        <v>45975</v>
      </c>
      <c r="H64" s="17">
        <f t="shared" si="4"/>
        <v>37.516866923193355</v>
      </c>
      <c r="I64" s="17">
        <f t="shared" si="8"/>
        <v>30.38735876104786</v>
      </c>
      <c r="J64" s="17">
        <v>22</v>
      </c>
      <c r="K64" s="17"/>
      <c r="L64" s="17">
        <v>32</v>
      </c>
      <c r="M64" s="44">
        <f>SUMPRODUCT(H64:L64,'Fisico SPOT MAT'!H64:L64)*24</f>
        <v>3969799.0707847984</v>
      </c>
      <c r="N64" s="19">
        <f>+'Fisico SPOT MAT'!AG64</f>
        <v>11.683425572153867</v>
      </c>
      <c r="O64" s="19">
        <f t="shared" si="9"/>
        <v>14.511494252873563</v>
      </c>
      <c r="P64" s="19">
        <v>6</v>
      </c>
      <c r="Q64" s="19"/>
      <c r="R64" s="19">
        <v>0</v>
      </c>
      <c r="S64" s="44">
        <f>SUMPRODUCT(N64:R64,'Fisico SPOT MAT'!N64:R64)*E64</f>
        <v>2474340.9194865897</v>
      </c>
      <c r="T64" s="17"/>
      <c r="U64" s="17">
        <v>18</v>
      </c>
      <c r="V64" s="17">
        <v>60</v>
      </c>
      <c r="W64" s="28">
        <f>SUMPRODUCT(T64:V64,'Fisico SPOT MAT'!T64:V64)*24</f>
        <v>2930220.1379999993</v>
      </c>
      <c r="X64" s="19">
        <v>0</v>
      </c>
      <c r="Y64" s="19">
        <v>5</v>
      </c>
      <c r="Z64" s="19">
        <v>0</v>
      </c>
      <c r="AA64" s="28">
        <f>SUMPRODUCT(X64:Z64,'Fisico SPOT MAT'!X64:Z64)*E64</f>
        <v>33200</v>
      </c>
      <c r="AD64" s="41">
        <v>35.587228967862629</v>
      </c>
      <c r="AE64" s="41">
        <v>28.457720805717134</v>
      </c>
      <c r="AF64">
        <v>5050</v>
      </c>
      <c r="AG64" s="74">
        <f t="shared" si="1"/>
        <v>1.9296379553307275</v>
      </c>
      <c r="AJ64">
        <v>348</v>
      </c>
    </row>
    <row r="65" spans="1:36" x14ac:dyDescent="0.25">
      <c r="A65" s="3">
        <v>1450.75</v>
      </c>
      <c r="B65" s="42">
        <v>1470.8330000000001</v>
      </c>
      <c r="C65" s="1">
        <f t="shared" si="2"/>
        <v>2025</v>
      </c>
      <c r="D65" s="1">
        <f t="shared" si="3"/>
        <v>11</v>
      </c>
      <c r="E65" s="1">
        <v>6</v>
      </c>
      <c r="F65" s="1" t="s">
        <v>51</v>
      </c>
      <c r="G65" s="56">
        <f t="shared" si="7"/>
        <v>45976</v>
      </c>
      <c r="H65" s="17">
        <f t="shared" si="4"/>
        <v>36.85426747714677</v>
      </c>
      <c r="I65" s="17">
        <f t="shared" si="8"/>
        <v>30.278778379803331</v>
      </c>
      <c r="J65" s="17">
        <v>22</v>
      </c>
      <c r="K65" s="17"/>
      <c r="L65" s="17">
        <v>32</v>
      </c>
      <c r="M65" s="44">
        <f>SUMPRODUCT(H65:L65,'Fisico SPOT MAT'!H65:L65)*24</f>
        <v>4051827.6749134585</v>
      </c>
      <c r="N65" s="19">
        <f>+'Fisico SPOT MAT'!AG65</f>
        <v>11.683773405461984</v>
      </c>
      <c r="O65" s="19">
        <f t="shared" si="9"/>
        <v>14.511494252873563</v>
      </c>
      <c r="P65" s="19">
        <v>6</v>
      </c>
      <c r="Q65" s="19"/>
      <c r="R65" s="19">
        <v>0</v>
      </c>
      <c r="S65" s="44">
        <f>SUMPRODUCT(N65:R65,'Fisico SPOT MAT'!N65:R65)*E65</f>
        <v>925527.55809770082</v>
      </c>
      <c r="T65" s="17"/>
      <c r="U65" s="17">
        <v>18</v>
      </c>
      <c r="V65" s="17">
        <v>60</v>
      </c>
      <c r="W65" s="28">
        <f>SUMPRODUCT(T65:V65,'Fisico SPOT MAT'!T65:V65)*24</f>
        <v>2845734.9180000005</v>
      </c>
      <c r="X65" s="19">
        <v>0</v>
      </c>
      <c r="Y65" s="19">
        <v>5</v>
      </c>
      <c r="Z65" s="19">
        <v>0</v>
      </c>
      <c r="AA65" s="28">
        <f>SUMPRODUCT(X65:Z65,'Fisico SPOT MAT'!X65:Z65)*E65</f>
        <v>12450</v>
      </c>
      <c r="AD65" s="41">
        <v>34.96652691067613</v>
      </c>
      <c r="AE65" s="41">
        <v>28.391037813332691</v>
      </c>
      <c r="AF65">
        <v>5050</v>
      </c>
      <c r="AG65" s="74">
        <f t="shared" si="1"/>
        <v>1.8877405664706388</v>
      </c>
      <c r="AJ65">
        <v>348</v>
      </c>
    </row>
    <row r="66" spans="1:36" x14ac:dyDescent="0.25">
      <c r="A66" s="3">
        <v>1450.75</v>
      </c>
      <c r="B66" s="42">
        <v>1470.8330000000001</v>
      </c>
      <c r="C66" s="1">
        <f t="shared" si="2"/>
        <v>2025</v>
      </c>
      <c r="D66" s="1">
        <f t="shared" si="3"/>
        <v>11</v>
      </c>
      <c r="E66" s="1">
        <v>4</v>
      </c>
      <c r="F66" s="1" t="s">
        <v>52</v>
      </c>
      <c r="G66" s="56">
        <f t="shared" si="7"/>
        <v>45977</v>
      </c>
      <c r="H66" s="17">
        <f t="shared" si="4"/>
        <v>36.499791080998754</v>
      </c>
      <c r="I66" s="17">
        <f t="shared" si="8"/>
        <v>31.326964580932149</v>
      </c>
      <c r="J66" s="17">
        <v>22</v>
      </c>
      <c r="K66" s="17"/>
      <c r="L66" s="17">
        <v>32</v>
      </c>
      <c r="M66" s="44">
        <f>SUMPRODUCT(H66:L66,'Fisico SPOT MAT'!H66:L66)*24</f>
        <v>3195913.9592971816</v>
      </c>
      <c r="N66" s="19">
        <f>+'Fisico SPOT MAT'!AG66</f>
        <v>11.684195086964484</v>
      </c>
      <c r="O66" s="19">
        <f t="shared" si="9"/>
        <v>14.511494252873563</v>
      </c>
      <c r="P66" s="19">
        <v>6</v>
      </c>
      <c r="Q66" s="19"/>
      <c r="R66" s="19">
        <v>0</v>
      </c>
      <c r="S66" s="44">
        <f>SUMPRODUCT(N66:R66,'Fisico SPOT MAT'!N66:R66)*E66</f>
        <v>618712.38058333343</v>
      </c>
      <c r="T66" s="17"/>
      <c r="U66" s="17">
        <v>18</v>
      </c>
      <c r="V66" s="17">
        <v>60</v>
      </c>
      <c r="W66" s="28">
        <f>SUMPRODUCT(T66:V66,'Fisico SPOT MAT'!T66:V66)*24</f>
        <v>2703268.6439999999</v>
      </c>
      <c r="X66" s="19">
        <v>0</v>
      </c>
      <c r="Y66" s="19">
        <v>5</v>
      </c>
      <c r="Z66" s="19">
        <v>0</v>
      </c>
      <c r="AA66" s="28">
        <f>SUMPRODUCT(X66:Z66,'Fisico SPOT MAT'!X66:Z66)*E66</f>
        <v>8300</v>
      </c>
      <c r="AD66" s="41">
        <v>34.634464712879392</v>
      </c>
      <c r="AE66" s="41">
        <v>29.46163821281279</v>
      </c>
      <c r="AF66">
        <v>5050</v>
      </c>
      <c r="AG66" s="74">
        <f t="shared" si="1"/>
        <v>1.865326368119359</v>
      </c>
      <c r="AJ66">
        <v>348</v>
      </c>
    </row>
    <row r="67" spans="1:36" x14ac:dyDescent="0.25">
      <c r="A67" s="3">
        <v>1450.75</v>
      </c>
      <c r="B67" s="42">
        <v>1419.3330000000001</v>
      </c>
      <c r="C67" s="1">
        <f t="shared" ref="C67:C73" si="10">YEAR(G67)</f>
        <v>2025</v>
      </c>
      <c r="D67" s="1">
        <f t="shared" ref="D67:D73" si="11">MONTH(G67)</f>
        <v>11</v>
      </c>
      <c r="E67" s="1">
        <v>16</v>
      </c>
      <c r="F67" s="1" t="s">
        <v>53</v>
      </c>
      <c r="G67" s="56">
        <f t="shared" si="7"/>
        <v>45978</v>
      </c>
      <c r="H67" s="17">
        <f t="shared" ref="H67:H79" si="12">+AD67+AG67</f>
        <v>37.187608916144463</v>
      </c>
      <c r="I67" s="17">
        <f t="shared" si="8"/>
        <v>30.617459308601504</v>
      </c>
      <c r="J67" s="17">
        <v>22</v>
      </c>
      <c r="K67" s="17"/>
      <c r="L67" s="17">
        <v>32</v>
      </c>
      <c r="M67" s="44">
        <f>SUMPRODUCT(H67:L67,'Fisico SPOT MAT'!H67:L67)*24</f>
        <v>3640823.3285993934</v>
      </c>
      <c r="N67" s="19">
        <f>+'Fisico SPOT MAT'!AG67</f>
        <v>11.685951767658279</v>
      </c>
      <c r="O67" s="19">
        <f t="shared" si="9"/>
        <v>14.511494252873563</v>
      </c>
      <c r="P67" s="19">
        <v>6</v>
      </c>
      <c r="Q67" s="19"/>
      <c r="R67" s="19">
        <v>0</v>
      </c>
      <c r="S67" s="44">
        <f>SUMPRODUCT(N67:R67,'Fisico SPOT MAT'!N67:R67)*E67</f>
        <v>2497413.112934866</v>
      </c>
      <c r="T67" s="17"/>
      <c r="U67" s="17">
        <v>18</v>
      </c>
      <c r="V67" s="17">
        <v>60</v>
      </c>
      <c r="W67" s="28">
        <f>SUMPRODUCT(T67:V67,'Fisico SPOT MAT'!T67:V67)*24</f>
        <v>2578647.534</v>
      </c>
      <c r="X67" s="19">
        <v>0</v>
      </c>
      <c r="Y67" s="19">
        <v>5</v>
      </c>
      <c r="Z67" s="19">
        <v>0</v>
      </c>
      <c r="AA67" s="28">
        <f>SUMPRODUCT(X67:Z67,'Fisico SPOT MAT'!X67:Z67)*E67</f>
        <v>33200</v>
      </c>
      <c r="AD67" s="41">
        <v>35.278790553765305</v>
      </c>
      <c r="AE67" s="41">
        <v>28.708640946222346</v>
      </c>
      <c r="AF67">
        <v>5050</v>
      </c>
      <c r="AG67" s="74">
        <f t="shared" si="1"/>
        <v>1.9088183623791581</v>
      </c>
      <c r="AJ67">
        <v>348</v>
      </c>
    </row>
    <row r="68" spans="1:36" x14ac:dyDescent="0.25">
      <c r="A68" s="3">
        <v>1450.75</v>
      </c>
      <c r="B68" s="42">
        <v>1419.3330000000001</v>
      </c>
      <c r="C68" s="1">
        <f t="shared" si="10"/>
        <v>2025</v>
      </c>
      <c r="D68" s="1">
        <f t="shared" si="11"/>
        <v>11</v>
      </c>
      <c r="E68" s="1">
        <v>16</v>
      </c>
      <c r="F68" s="1" t="s">
        <v>54</v>
      </c>
      <c r="G68" s="56">
        <f t="shared" si="7"/>
        <v>45979</v>
      </c>
      <c r="H68" s="17">
        <f t="shared" si="12"/>
        <v>37.139837986871939</v>
      </c>
      <c r="I68" s="17">
        <f t="shared" si="8"/>
        <v>30.39434538227006</v>
      </c>
      <c r="J68" s="17">
        <v>22</v>
      </c>
      <c r="K68" s="17"/>
      <c r="L68" s="17">
        <v>32</v>
      </c>
      <c r="M68" s="44">
        <f>SUMPRODUCT(H68:L68,'Fisico SPOT MAT'!H68:L68)*24</f>
        <v>4362716.384995264</v>
      </c>
      <c r="N68" s="19">
        <f>+'Fisico SPOT MAT'!AG68</f>
        <v>11.684789667697169</v>
      </c>
      <c r="O68" s="19">
        <f t="shared" si="9"/>
        <v>14.511494252873563</v>
      </c>
      <c r="P68" s="19">
        <v>6</v>
      </c>
      <c r="Q68" s="19"/>
      <c r="R68" s="19">
        <v>0</v>
      </c>
      <c r="S68" s="44">
        <f>SUMPRODUCT(N68:R68,'Fisico SPOT MAT'!N68:R68)*E68</f>
        <v>2485278.0964137935</v>
      </c>
      <c r="T68" s="17"/>
      <c r="U68" s="17">
        <v>18</v>
      </c>
      <c r="V68" s="17">
        <v>60</v>
      </c>
      <c r="W68" s="28">
        <f>SUMPRODUCT(T68:V68,'Fisico SPOT MAT'!T68:V68)*24</f>
        <v>2297184.8159999996</v>
      </c>
      <c r="X68" s="19">
        <v>0</v>
      </c>
      <c r="Y68" s="19">
        <v>5</v>
      </c>
      <c r="Z68" s="19">
        <v>0</v>
      </c>
      <c r="AA68" s="28">
        <f>SUMPRODUCT(X68:Z68,'Fisico SPOT MAT'!X68:Z68)*E68</f>
        <v>33200</v>
      </c>
      <c r="AD68" s="41">
        <v>35.234040268732493</v>
      </c>
      <c r="AE68" s="41">
        <v>28.488547664130618</v>
      </c>
      <c r="AF68">
        <v>5050</v>
      </c>
      <c r="AG68" s="74">
        <f t="shared" si="1"/>
        <v>1.9057977181394434</v>
      </c>
      <c r="AJ68">
        <v>348</v>
      </c>
    </row>
    <row r="69" spans="1:36" x14ac:dyDescent="0.25">
      <c r="A69" s="3">
        <v>1450.75</v>
      </c>
      <c r="B69" s="42">
        <v>1419.3330000000001</v>
      </c>
      <c r="C69" s="1">
        <f t="shared" si="10"/>
        <v>2025</v>
      </c>
      <c r="D69" s="1">
        <f t="shared" si="11"/>
        <v>11</v>
      </c>
      <c r="E69" s="1">
        <v>16</v>
      </c>
      <c r="F69" s="1" t="s">
        <v>55</v>
      </c>
      <c r="G69" s="56">
        <f t="shared" si="7"/>
        <v>45980</v>
      </c>
      <c r="H69" s="17">
        <f t="shared" si="12"/>
        <v>37.057027521178107</v>
      </c>
      <c r="I69" s="17">
        <f t="shared" si="8"/>
        <v>30.380921858887188</v>
      </c>
      <c r="J69" s="17">
        <v>22</v>
      </c>
      <c r="K69" s="17"/>
      <c r="L69" s="17">
        <v>32</v>
      </c>
      <c r="M69" s="44">
        <f>SUMPRODUCT(H69:L69,'Fisico SPOT MAT'!H69:L69)*24</f>
        <v>5368775.9129473958</v>
      </c>
      <c r="N69" s="19">
        <f>+'Fisico SPOT MAT'!AG69</f>
        <v>11.684690403090404</v>
      </c>
      <c r="O69" s="19">
        <f t="shared" si="9"/>
        <v>14.511494252873563</v>
      </c>
      <c r="P69" s="19">
        <v>6</v>
      </c>
      <c r="Q69" s="19"/>
      <c r="R69" s="19">
        <v>0</v>
      </c>
      <c r="S69" s="44">
        <f>SUMPRODUCT(N69:R69,'Fisico SPOT MAT'!N69:R69)*E69</f>
        <v>2485737.4024022999</v>
      </c>
      <c r="T69" s="17"/>
      <c r="U69" s="17">
        <v>18</v>
      </c>
      <c r="V69" s="17">
        <v>60</v>
      </c>
      <c r="W69" s="28">
        <f>SUMPRODUCT(T69:V69,'Fisico SPOT MAT'!T69:V69)*24</f>
        <v>1461325.38</v>
      </c>
      <c r="X69" s="19">
        <v>0</v>
      </c>
      <c r="Y69" s="19">
        <v>5</v>
      </c>
      <c r="Z69" s="19">
        <v>0</v>
      </c>
      <c r="AA69" s="28">
        <f>SUMPRODUCT(X69:Z69,'Fisico SPOT MAT'!X69:Z69)*E69</f>
        <v>33200</v>
      </c>
      <c r="AD69" s="41">
        <v>35.156466061993541</v>
      </c>
      <c r="AE69" s="41">
        <v>28.480360399702622</v>
      </c>
      <c r="AF69">
        <v>5050</v>
      </c>
      <c r="AG69" s="74">
        <f t="shared" si="1"/>
        <v>1.9005614591845641</v>
      </c>
      <c r="AJ69">
        <v>348</v>
      </c>
    </row>
    <row r="70" spans="1:36" x14ac:dyDescent="0.25">
      <c r="A70" s="3">
        <v>1450.75</v>
      </c>
      <c r="B70" s="42">
        <v>1419.3330000000001</v>
      </c>
      <c r="C70" s="1">
        <f t="shared" si="10"/>
        <v>2025</v>
      </c>
      <c r="D70" s="1">
        <f t="shared" si="11"/>
        <v>11</v>
      </c>
      <c r="E70" s="1">
        <v>16</v>
      </c>
      <c r="F70" s="1" t="s">
        <v>56</v>
      </c>
      <c r="G70" s="56">
        <f t="shared" si="7"/>
        <v>45981</v>
      </c>
      <c r="H70" s="17">
        <f t="shared" si="12"/>
        <v>37.27788654795075</v>
      </c>
      <c r="I70" s="17">
        <f t="shared" si="8"/>
        <v>30.939475146498481</v>
      </c>
      <c r="J70" s="17">
        <v>22</v>
      </c>
      <c r="K70" s="17"/>
      <c r="L70" s="17">
        <v>32</v>
      </c>
      <c r="M70" s="44">
        <f>SUMPRODUCT(H70:L70,'Fisico SPOT MAT'!H70:L70)*24</f>
        <v>5746753.1063017352</v>
      </c>
      <c r="N70" s="19">
        <f>+'Fisico SPOT MAT'!AG70</f>
        <v>11.683001482848619</v>
      </c>
      <c r="O70" s="19">
        <f t="shared" si="9"/>
        <v>14.511494252873563</v>
      </c>
      <c r="P70" s="19">
        <v>6</v>
      </c>
      <c r="Q70" s="19"/>
      <c r="R70" s="19">
        <v>0</v>
      </c>
      <c r="S70" s="44">
        <f>SUMPRODUCT(N70:R70,'Fisico SPOT MAT'!N70:R70)*E70</f>
        <v>2471611.6335708811</v>
      </c>
      <c r="T70" s="17"/>
      <c r="U70" s="17">
        <v>18</v>
      </c>
      <c r="V70" s="17">
        <v>60</v>
      </c>
      <c r="W70" s="28">
        <f>SUMPRODUCT(T70:V70,'Fisico SPOT MAT'!T70:V70)*24</f>
        <v>2257596.4139999999</v>
      </c>
      <c r="X70" s="19">
        <v>0</v>
      </c>
      <c r="Y70" s="19">
        <v>5</v>
      </c>
      <c r="Z70" s="19">
        <v>0</v>
      </c>
      <c r="AA70" s="28">
        <f>SUMPRODUCT(X70:Z70,'Fisico SPOT MAT'!X70:Z70)*E70</f>
        <v>33200</v>
      </c>
      <c r="AD70" s="41">
        <v>35.36335976388829</v>
      </c>
      <c r="AE70" s="41">
        <v>29.024948362436021</v>
      </c>
      <c r="AF70">
        <v>5050</v>
      </c>
      <c r="AG70" s="74">
        <f t="shared" si="1"/>
        <v>1.9145267840624598</v>
      </c>
      <c r="AJ70">
        <v>348</v>
      </c>
    </row>
    <row r="71" spans="1:36" x14ac:dyDescent="0.25">
      <c r="A71" s="3">
        <v>1450.75</v>
      </c>
      <c r="B71" s="42">
        <v>1419.3330000000001</v>
      </c>
      <c r="C71" s="1">
        <f t="shared" si="10"/>
        <v>2025</v>
      </c>
      <c r="D71" s="1">
        <f t="shared" si="11"/>
        <v>11</v>
      </c>
      <c r="E71" s="1">
        <v>6</v>
      </c>
      <c r="F71" s="1" t="s">
        <v>57</v>
      </c>
      <c r="G71" s="56">
        <f t="shared" si="7"/>
        <v>45982</v>
      </c>
      <c r="H71" s="17">
        <f t="shared" si="12"/>
        <v>36.523841038642693</v>
      </c>
      <c r="I71" s="17">
        <f t="shared" si="8"/>
        <v>30.241936552847086</v>
      </c>
      <c r="J71" s="17">
        <v>22</v>
      </c>
      <c r="K71" s="17"/>
      <c r="L71" s="17">
        <v>32</v>
      </c>
      <c r="M71" s="44">
        <f>SUMPRODUCT(H71:L71,'Fisico SPOT MAT'!H71:L71)*24</f>
        <v>5166056.4175681276</v>
      </c>
      <c r="N71" s="19">
        <f>+'Fisico SPOT MAT'!AG71</f>
        <v>11.671267820142482</v>
      </c>
      <c r="O71" s="19">
        <f t="shared" si="9"/>
        <v>14.511494252873563</v>
      </c>
      <c r="P71" s="19">
        <v>6</v>
      </c>
      <c r="Q71" s="19"/>
      <c r="R71" s="19">
        <v>0</v>
      </c>
      <c r="S71" s="44">
        <f>SUMPRODUCT(N71:R71,'Fisico SPOT MAT'!N71:R71)*E71</f>
        <v>900001.82531896536</v>
      </c>
      <c r="T71" s="17"/>
      <c r="U71" s="17">
        <v>18</v>
      </c>
      <c r="V71" s="17">
        <v>60</v>
      </c>
      <c r="W71" s="28">
        <f>SUMPRODUCT(T71:V71,'Fisico SPOT MAT'!T71:V71)*24</f>
        <v>1684271.2560000001</v>
      </c>
      <c r="X71" s="19">
        <v>0</v>
      </c>
      <c r="Y71" s="19">
        <v>5</v>
      </c>
      <c r="Z71" s="19">
        <v>0</v>
      </c>
      <c r="AA71" s="28">
        <f>SUMPRODUCT(X71:Z71,'Fisico SPOT MAT'!X71:Z71)*E71</f>
        <v>12450</v>
      </c>
      <c r="AD71" s="41">
        <v>34.656993947206267</v>
      </c>
      <c r="AE71" s="41">
        <v>28.375089461410663</v>
      </c>
      <c r="AF71">
        <v>5050</v>
      </c>
      <c r="AG71" s="74">
        <f t="shared" si="1"/>
        <v>1.8668470914364232</v>
      </c>
      <c r="AJ71">
        <v>348</v>
      </c>
    </row>
    <row r="72" spans="1:36" x14ac:dyDescent="0.25">
      <c r="A72" s="3">
        <v>1450.75</v>
      </c>
      <c r="B72" s="42">
        <v>1419.3330000000001</v>
      </c>
      <c r="C72" s="1">
        <f t="shared" si="10"/>
        <v>2025</v>
      </c>
      <c r="D72" s="1">
        <f t="shared" si="11"/>
        <v>11</v>
      </c>
      <c r="E72" s="1">
        <v>6</v>
      </c>
      <c r="F72" s="1" t="s">
        <v>51</v>
      </c>
      <c r="G72" s="56">
        <f t="shared" si="7"/>
        <v>45983</v>
      </c>
      <c r="H72" s="17">
        <f t="shared" si="12"/>
        <v>36.463786133059081</v>
      </c>
      <c r="I72" s="17">
        <f t="shared" si="8"/>
        <v>30.292867174610492</v>
      </c>
      <c r="J72" s="17">
        <v>22</v>
      </c>
      <c r="K72" s="17"/>
      <c r="L72" s="17">
        <v>32</v>
      </c>
      <c r="M72" s="44">
        <f>SUMPRODUCT(H72:L72,'Fisico SPOT MAT'!H72:L72)*24</f>
        <v>4142714.3062645728</v>
      </c>
      <c r="N72" s="19">
        <f>+'Fisico SPOT MAT'!AG72</f>
        <v>11.668170281600032</v>
      </c>
      <c r="O72" s="19">
        <f t="shared" si="9"/>
        <v>14.511494252873563</v>
      </c>
      <c r="P72" s="19">
        <v>6</v>
      </c>
      <c r="Q72" s="19"/>
      <c r="R72" s="19">
        <v>0</v>
      </c>
      <c r="S72" s="44">
        <f>SUMPRODUCT(N72:R72,'Fisico SPOT MAT'!N72:R72)*E72</f>
        <v>893919.6101163791</v>
      </c>
      <c r="T72" s="17"/>
      <c r="U72" s="17">
        <v>18</v>
      </c>
      <c r="V72" s="17">
        <v>60</v>
      </c>
      <c r="W72" s="28">
        <f>SUMPRODUCT(T72:V72,'Fisico SPOT MAT'!T72:V72)*24</f>
        <v>1818851.784</v>
      </c>
      <c r="X72" s="19">
        <v>0</v>
      </c>
      <c r="Y72" s="19">
        <v>5</v>
      </c>
      <c r="Z72" s="19">
        <v>0</v>
      </c>
      <c r="AA72" s="28">
        <f>SUMPRODUCT(X72:Z72,'Fisico SPOT MAT'!X72:Z72)*E72</f>
        <v>12450</v>
      </c>
      <c r="AD72" s="41">
        <v>34.600736424411316</v>
      </c>
      <c r="AE72" s="41">
        <v>28.429817465962728</v>
      </c>
      <c r="AF72">
        <v>5050</v>
      </c>
      <c r="AG72" s="74">
        <f t="shared" si="1"/>
        <v>1.863049708647764</v>
      </c>
      <c r="AJ72">
        <v>348</v>
      </c>
    </row>
    <row r="73" spans="1:36" x14ac:dyDescent="0.25">
      <c r="A73" s="3">
        <v>1450.75</v>
      </c>
      <c r="B73" s="42">
        <v>1419.3330000000001</v>
      </c>
      <c r="C73" s="1">
        <f t="shared" si="10"/>
        <v>2025</v>
      </c>
      <c r="D73" s="1">
        <f t="shared" si="11"/>
        <v>11</v>
      </c>
      <c r="E73" s="1">
        <v>4</v>
      </c>
      <c r="F73" s="1" t="s">
        <v>52</v>
      </c>
      <c r="G73" s="56">
        <f t="shared" si="7"/>
        <v>45984</v>
      </c>
      <c r="H73" s="17">
        <f t="shared" si="12"/>
        <v>37.25216531964292</v>
      </c>
      <c r="I73" s="17">
        <f t="shared" si="8"/>
        <v>30.596478890084455</v>
      </c>
      <c r="J73" s="17">
        <v>22</v>
      </c>
      <c r="K73" s="17"/>
      <c r="L73" s="17">
        <v>32</v>
      </c>
      <c r="M73" s="44">
        <f>SUMPRODUCT(H73:L73,'Fisico SPOT MAT'!H73:L73)*24</f>
        <v>3328767.6549915345</v>
      </c>
      <c r="N73" s="19">
        <f>+'Fisico SPOT MAT'!AG73</f>
        <v>11.671398655340479</v>
      </c>
      <c r="O73" s="19">
        <f t="shared" si="9"/>
        <v>14.511494252873563</v>
      </c>
      <c r="P73" s="19">
        <v>6</v>
      </c>
      <c r="Q73" s="19"/>
      <c r="R73" s="19">
        <v>0</v>
      </c>
      <c r="S73" s="44">
        <f>SUMPRODUCT(N73:R73,'Fisico SPOT MAT'!N73:R73)*E73</f>
        <v>599962.43859291193</v>
      </c>
      <c r="T73" s="17"/>
      <c r="U73" s="17">
        <v>18</v>
      </c>
      <c r="V73" s="17">
        <v>60</v>
      </c>
      <c r="W73" s="28">
        <f>SUMPRODUCT(T73:V73,'Fisico SPOT MAT'!T73:V73)*24</f>
        <v>2658536.898</v>
      </c>
      <c r="X73" s="19">
        <v>0</v>
      </c>
      <c r="Y73" s="19">
        <v>5</v>
      </c>
      <c r="Z73" s="19">
        <v>0</v>
      </c>
      <c r="AA73" s="28">
        <f>SUMPRODUCT(X73:Z73,'Fisico SPOT MAT'!X73:Z73)*E73</f>
        <v>8300</v>
      </c>
      <c r="AD73" s="41">
        <v>35.339264936433651</v>
      </c>
      <c r="AE73" s="41">
        <v>28.683578506875183</v>
      </c>
      <c r="AF73">
        <v>5050</v>
      </c>
      <c r="AG73" s="74">
        <f t="shared" si="1"/>
        <v>1.9129003832092715</v>
      </c>
      <c r="AJ73">
        <v>348</v>
      </c>
    </row>
    <row r="74" spans="1:36" x14ac:dyDescent="0.25">
      <c r="A74" s="3">
        <v>1450.75</v>
      </c>
      <c r="B74" s="42">
        <v>1419.3330000000001</v>
      </c>
      <c r="C74" s="1">
        <f t="shared" ref="C74:C88" si="13">YEAR(G74)</f>
        <v>2025</v>
      </c>
      <c r="D74" s="1">
        <f t="shared" ref="D74:D88" si="14">MONTH(G74)</f>
        <v>11</v>
      </c>
      <c r="E74" s="1">
        <v>4</v>
      </c>
      <c r="F74" s="1" t="s">
        <v>53</v>
      </c>
      <c r="G74" s="56">
        <f t="shared" si="7"/>
        <v>45985</v>
      </c>
      <c r="H74" s="17">
        <f t="shared" si="12"/>
        <v>37.108140026046208</v>
      </c>
      <c r="I74" s="17">
        <f t="shared" si="8"/>
        <v>31.282222384115663</v>
      </c>
      <c r="J74" s="17">
        <v>22</v>
      </c>
      <c r="K74" s="17"/>
      <c r="L74" s="17">
        <v>32</v>
      </c>
      <c r="M74" s="44">
        <f>SUMPRODUCT(H74:L74,'Fisico SPOT MAT'!H74:L74)*24</f>
        <v>3988793.2492842004</v>
      </c>
      <c r="N74" s="19">
        <f>+'Fisico SPOT MAT'!AG74</f>
        <v>11.670342733099499</v>
      </c>
      <c r="O74" s="19">
        <f t="shared" si="9"/>
        <v>14.511494252873563</v>
      </c>
      <c r="P74" s="19">
        <v>6</v>
      </c>
      <c r="Q74" s="19"/>
      <c r="R74" s="19">
        <v>0</v>
      </c>
      <c r="S74" s="44">
        <f>SUMPRODUCT(N74:R74,'Fisico SPOT MAT'!N74:R74)*E74</f>
        <v>599507.84878448281</v>
      </c>
      <c r="T74" s="17"/>
      <c r="U74" s="17">
        <v>18</v>
      </c>
      <c r="V74" s="17">
        <v>60</v>
      </c>
      <c r="W74" s="28">
        <f>SUMPRODUCT(T74:V74,'Fisico SPOT MAT'!T74:V74)*24</f>
        <v>2838219.5279999999</v>
      </c>
      <c r="X74" s="19">
        <v>0</v>
      </c>
      <c r="Y74" s="19">
        <v>5</v>
      </c>
      <c r="Z74" s="19">
        <v>0</v>
      </c>
      <c r="AA74" s="28">
        <f>SUMPRODUCT(X74:Z74,'Fisico SPOT MAT'!X74:Z74)*E74</f>
        <v>8300</v>
      </c>
      <c r="AD74" s="41">
        <v>35.204346628614715</v>
      </c>
      <c r="AE74" s="41">
        <v>29.37842898668417</v>
      </c>
      <c r="AF74">
        <v>5050</v>
      </c>
      <c r="AG74" s="74">
        <f t="shared" si="1"/>
        <v>1.9037933974314933</v>
      </c>
      <c r="AJ74">
        <v>348</v>
      </c>
    </row>
    <row r="75" spans="1:36" x14ac:dyDescent="0.25">
      <c r="A75" s="3">
        <v>1450.75</v>
      </c>
      <c r="B75" s="42">
        <v>1419.3330000000001</v>
      </c>
      <c r="C75" s="1">
        <f t="shared" si="13"/>
        <v>2025</v>
      </c>
      <c r="D75" s="1">
        <f t="shared" si="14"/>
        <v>11</v>
      </c>
      <c r="E75" s="1">
        <v>16</v>
      </c>
      <c r="F75" s="1" t="s">
        <v>54</v>
      </c>
      <c r="G75" s="56">
        <f t="shared" si="7"/>
        <v>45986</v>
      </c>
      <c r="H75" s="17">
        <f t="shared" si="12"/>
        <v>37.291667369592474</v>
      </c>
      <c r="I75" s="17">
        <f t="shared" si="8"/>
        <v>42.203496988120733</v>
      </c>
      <c r="J75" s="17">
        <v>22</v>
      </c>
      <c r="K75" s="17"/>
      <c r="L75" s="17">
        <v>32</v>
      </c>
      <c r="M75" s="44">
        <f>SUMPRODUCT(H75:L75,'Fisico SPOT MAT'!H75:L75)*24</f>
        <v>6329556.6640783958</v>
      </c>
      <c r="N75" s="19">
        <f>+'Fisico SPOT MAT'!AG75</f>
        <v>11.699991532052653</v>
      </c>
      <c r="O75" s="19">
        <f t="shared" si="9"/>
        <v>14.511494252873563</v>
      </c>
      <c r="P75" s="19">
        <v>6</v>
      </c>
      <c r="Q75" s="19"/>
      <c r="R75" s="19">
        <v>0</v>
      </c>
      <c r="S75" s="44">
        <f>SUMPRODUCT(N75:R75,'Fisico SPOT MAT'!N75:R75)*E75</f>
        <v>2610455.4756130269</v>
      </c>
      <c r="T75" s="17"/>
      <c r="U75" s="17">
        <v>18</v>
      </c>
      <c r="V75" s="17">
        <v>60</v>
      </c>
      <c r="W75" s="28">
        <f>SUMPRODUCT(T75:V75,'Fisico SPOT MAT'!T75:V75)*24</f>
        <v>1990827.1380000003</v>
      </c>
      <c r="X75" s="19">
        <v>0</v>
      </c>
      <c r="Y75" s="19">
        <v>5</v>
      </c>
      <c r="Z75" s="19">
        <v>0</v>
      </c>
      <c r="AA75" s="28">
        <f>SUMPRODUCT(X75:Z75,'Fisico SPOT MAT'!X75:Z75)*E75</f>
        <v>33200</v>
      </c>
      <c r="AD75" s="41">
        <v>35.376269198681477</v>
      </c>
      <c r="AE75" s="41">
        <v>40.288098817209736</v>
      </c>
      <c r="AF75">
        <v>5050</v>
      </c>
      <c r="AG75" s="74">
        <f t="shared" si="1"/>
        <v>1.9153981709109997</v>
      </c>
      <c r="AJ75">
        <v>348</v>
      </c>
    </row>
    <row r="76" spans="1:36" x14ac:dyDescent="0.25">
      <c r="A76" s="3">
        <v>1450.75</v>
      </c>
      <c r="B76" s="42">
        <v>1419.3330000000001</v>
      </c>
      <c r="C76" s="1">
        <f t="shared" si="13"/>
        <v>2025</v>
      </c>
      <c r="D76" s="1">
        <f t="shared" si="14"/>
        <v>11</v>
      </c>
      <c r="E76" s="1">
        <v>16</v>
      </c>
      <c r="F76" s="1" t="s">
        <v>55</v>
      </c>
      <c r="G76" s="56">
        <f t="shared" si="7"/>
        <v>45987</v>
      </c>
      <c r="H76" s="17">
        <f t="shared" si="12"/>
        <v>38.481723222003247</v>
      </c>
      <c r="I76" s="17">
        <f t="shared" si="8"/>
        <v>37.429706883748153</v>
      </c>
      <c r="J76" s="17">
        <v>22</v>
      </c>
      <c r="K76" s="17"/>
      <c r="L76" s="17">
        <v>32</v>
      </c>
      <c r="M76" s="44">
        <f>SUMPRODUCT(H76:L76,'Fisico SPOT MAT'!H76:L76)*24</f>
        <v>6463120.9026770918</v>
      </c>
      <c r="N76" s="19">
        <f>+'Fisico SPOT MAT'!AG76</f>
        <v>11.696602685393511</v>
      </c>
      <c r="O76" s="19">
        <f t="shared" si="9"/>
        <v>14.511494252873563</v>
      </c>
      <c r="P76" s="19">
        <v>6</v>
      </c>
      <c r="Q76" s="19"/>
      <c r="R76" s="19">
        <v>0</v>
      </c>
      <c r="S76" s="44">
        <f>SUMPRODUCT(N76:R76,'Fisico SPOT MAT'!N76:R76)*E76</f>
        <v>2584426.1758007659</v>
      </c>
      <c r="T76" s="17"/>
      <c r="U76" s="17">
        <v>18</v>
      </c>
      <c r="V76" s="17">
        <v>60</v>
      </c>
      <c r="W76" s="28">
        <f>SUMPRODUCT(T76:V76,'Fisico SPOT MAT'!T76:V76)*24</f>
        <v>2539425.5339999995</v>
      </c>
      <c r="X76" s="19">
        <v>0</v>
      </c>
      <c r="Y76" s="19">
        <v>5</v>
      </c>
      <c r="Z76" s="19">
        <v>0</v>
      </c>
      <c r="AA76" s="28">
        <f>SUMPRODUCT(X76:Z76,'Fisico SPOT MAT'!X76:Z76)*E76</f>
        <v>33200</v>
      </c>
      <c r="AD76" s="41">
        <v>36.491075617801634</v>
      </c>
      <c r="AE76" s="41">
        <v>35.439059279546541</v>
      </c>
      <c r="AF76">
        <v>5050</v>
      </c>
      <c r="AG76" s="74">
        <f t="shared" si="1"/>
        <v>1.9906476042016104</v>
      </c>
      <c r="AJ76">
        <v>348</v>
      </c>
    </row>
    <row r="77" spans="1:36" x14ac:dyDescent="0.25">
      <c r="A77" s="3">
        <v>1450.75</v>
      </c>
      <c r="B77" s="42">
        <v>1419.3330000000001</v>
      </c>
      <c r="C77" s="1">
        <f t="shared" si="13"/>
        <v>2025</v>
      </c>
      <c r="D77" s="1">
        <f t="shared" si="14"/>
        <v>11</v>
      </c>
      <c r="E77" s="1">
        <v>16</v>
      </c>
      <c r="F77" s="1" t="s">
        <v>56</v>
      </c>
      <c r="G77" s="56">
        <f t="shared" si="7"/>
        <v>45988</v>
      </c>
      <c r="H77" s="17">
        <f t="shared" si="12"/>
        <v>39.970192381991389</v>
      </c>
      <c r="I77" s="17">
        <f t="shared" si="8"/>
        <v>31.247395555526705</v>
      </c>
      <c r="J77" s="17">
        <v>22</v>
      </c>
      <c r="K77" s="17"/>
      <c r="L77" s="17">
        <v>32</v>
      </c>
      <c r="M77" s="44">
        <f>SUMPRODUCT(H77:L77,'Fisico SPOT MAT'!H77:L77)*24</f>
        <v>6949870.3774771523</v>
      </c>
      <c r="N77" s="19">
        <f>+'Fisico SPOT MAT'!AG77</f>
        <v>11.696430924678678</v>
      </c>
      <c r="O77" s="19">
        <f t="shared" si="9"/>
        <v>14.511494252873563</v>
      </c>
      <c r="P77" s="19">
        <v>6</v>
      </c>
      <c r="Q77" s="19"/>
      <c r="R77" s="19">
        <v>0</v>
      </c>
      <c r="S77" s="44">
        <f>SUMPRODUCT(N77:R77,'Fisico SPOT MAT'!N77:R77)*E77</f>
        <v>2647459.6966781612</v>
      </c>
      <c r="T77" s="17"/>
      <c r="U77" s="17">
        <v>18</v>
      </c>
      <c r="V77" s="17">
        <v>60</v>
      </c>
      <c r="W77" s="28">
        <f>SUMPRODUCT(T77:V77,'Fisico SPOT MAT'!T77:V77)*24</f>
        <v>2472864.0119999996</v>
      </c>
      <c r="X77" s="19">
        <v>0</v>
      </c>
      <c r="Y77" s="19">
        <v>5</v>
      </c>
      <c r="Z77" s="19">
        <v>0</v>
      </c>
      <c r="AA77" s="28">
        <f>SUMPRODUCT(X77:Z77,'Fisico SPOT MAT'!X77:Z77)*E77</f>
        <v>33200</v>
      </c>
      <c r="AD77" s="41">
        <v>37.88542611896149</v>
      </c>
      <c r="AE77" s="41">
        <v>29.162629292496803</v>
      </c>
      <c r="AF77">
        <v>5050</v>
      </c>
      <c r="AG77" s="74">
        <f t="shared" si="1"/>
        <v>2.0847662630299006</v>
      </c>
      <c r="AJ77">
        <v>348</v>
      </c>
    </row>
    <row r="78" spans="1:36" x14ac:dyDescent="0.25">
      <c r="A78" s="3">
        <v>1450.75</v>
      </c>
      <c r="B78" s="42">
        <v>1419.3330000000001</v>
      </c>
      <c r="C78" s="1">
        <f t="shared" si="13"/>
        <v>2025</v>
      </c>
      <c r="D78" s="1">
        <f t="shared" si="14"/>
        <v>11</v>
      </c>
      <c r="E78" s="1">
        <v>16</v>
      </c>
      <c r="F78" s="1" t="s">
        <v>57</v>
      </c>
      <c r="G78" s="56">
        <f t="shared" si="7"/>
        <v>45989</v>
      </c>
      <c r="H78" s="17">
        <f t="shared" si="12"/>
        <v>40.049355050610203</v>
      </c>
      <c r="I78" s="17">
        <f t="shared" si="8"/>
        <v>31.533927147019973</v>
      </c>
      <c r="J78" s="17">
        <v>22</v>
      </c>
      <c r="K78" s="17"/>
      <c r="L78" s="17">
        <v>32</v>
      </c>
      <c r="M78" s="44">
        <f>SUMPRODUCT(H78:L78,'Fisico SPOT MAT'!H78:L78)*24</f>
        <v>7321511.9114699699</v>
      </c>
      <c r="N78" s="19">
        <f>+'Fisico SPOT MAT'!AG78</f>
        <v>11.698575240518117</v>
      </c>
      <c r="O78" s="19">
        <f t="shared" si="9"/>
        <v>14.511494252873563</v>
      </c>
      <c r="P78" s="19">
        <v>6</v>
      </c>
      <c r="Q78" s="19"/>
      <c r="R78" s="19">
        <v>0</v>
      </c>
      <c r="S78" s="44">
        <f>SUMPRODUCT(N78:R78,'Fisico SPOT MAT'!N78:R78)*E78</f>
        <v>2665879.4691877379</v>
      </c>
      <c r="T78" s="17"/>
      <c r="U78" s="17">
        <v>18</v>
      </c>
      <c r="V78" s="17">
        <v>60</v>
      </c>
      <c r="W78" s="28">
        <f>SUMPRODUCT(T78:V78,'Fisico SPOT MAT'!T78:V78)*24</f>
        <v>2400678.264</v>
      </c>
      <c r="X78" s="19">
        <v>0</v>
      </c>
      <c r="Y78" s="19">
        <v>5</v>
      </c>
      <c r="Z78" s="19">
        <v>0</v>
      </c>
      <c r="AA78" s="28">
        <f>SUMPRODUCT(X78:Z78,'Fisico SPOT MAT'!X78:Z78)*E78</f>
        <v>33200</v>
      </c>
      <c r="AD78" s="41">
        <v>37.959583185583327</v>
      </c>
      <c r="AE78" s="41">
        <v>29.444155281993098</v>
      </c>
      <c r="AF78">
        <v>5050</v>
      </c>
      <c r="AG78" s="74">
        <f t="shared" si="1"/>
        <v>2.0897718650268748</v>
      </c>
      <c r="AJ78">
        <v>348</v>
      </c>
    </row>
    <row r="79" spans="1:36" x14ac:dyDescent="0.25">
      <c r="A79" s="3">
        <v>1450.75</v>
      </c>
      <c r="B79" s="42">
        <v>1419.3330000000001</v>
      </c>
      <c r="C79" s="1">
        <f t="shared" si="13"/>
        <v>2025</v>
      </c>
      <c r="D79" s="1">
        <f t="shared" si="14"/>
        <v>11</v>
      </c>
      <c r="E79" s="1">
        <v>6</v>
      </c>
      <c r="F79" s="1" t="s">
        <v>51</v>
      </c>
      <c r="G79" s="56">
        <f t="shared" si="7"/>
        <v>45990</v>
      </c>
      <c r="H79" s="17">
        <f t="shared" si="12"/>
        <v>38.625995670461258</v>
      </c>
      <c r="I79" s="17">
        <f t="shared" si="8"/>
        <v>31.175771925312603</v>
      </c>
      <c r="J79" s="17">
        <v>22</v>
      </c>
      <c r="K79" s="17"/>
      <c r="L79" s="17">
        <v>32</v>
      </c>
      <c r="M79" s="44">
        <f>SUMPRODUCT(H79:L79,'Fisico SPOT MAT'!H79:L79)*24</f>
        <v>6400266.3420473943</v>
      </c>
      <c r="N79" s="19">
        <f>+'Fisico SPOT MAT'!AG79</f>
        <v>11.705876574801584</v>
      </c>
      <c r="O79" s="19">
        <f t="shared" si="9"/>
        <v>14.511494252873563</v>
      </c>
      <c r="P79" s="19">
        <v>6</v>
      </c>
      <c r="Q79" s="19"/>
      <c r="R79" s="19">
        <v>0</v>
      </c>
      <c r="S79" s="44">
        <f>SUMPRODUCT(N79:R79,'Fisico SPOT MAT'!N79:R79)*E79</f>
        <v>1025148.808637931</v>
      </c>
      <c r="T79" s="17"/>
      <c r="U79" s="17">
        <v>18</v>
      </c>
      <c r="V79" s="17">
        <v>60</v>
      </c>
      <c r="W79" s="28">
        <f>SUMPRODUCT(T79:V79,'Fisico SPOT MAT'!T79:V79)*24</f>
        <v>1841419.1640000001</v>
      </c>
      <c r="X79" s="19">
        <v>0</v>
      </c>
      <c r="Y79" s="19">
        <v>5</v>
      </c>
      <c r="Z79" s="19">
        <v>0</v>
      </c>
      <c r="AA79" s="28">
        <f>SUMPRODUCT(X79:Z79,'Fisico SPOT MAT'!X79:Z79)*E79</f>
        <v>14157.287499999999</v>
      </c>
      <c r="AD79" s="41">
        <v>36.626225452422723</v>
      </c>
      <c r="AE79" s="41">
        <v>29.176001707274068</v>
      </c>
      <c r="AF79">
        <v>5050</v>
      </c>
      <c r="AG79" s="74">
        <f t="shared" si="1"/>
        <v>1.9997702180385339</v>
      </c>
      <c r="AJ79">
        <v>348</v>
      </c>
    </row>
    <row r="80" spans="1:36" x14ac:dyDescent="0.25">
      <c r="A80" s="3">
        <v>1450.75</v>
      </c>
      <c r="B80" s="42">
        <v>1419.3330000000001</v>
      </c>
      <c r="C80" s="1">
        <f t="shared" si="13"/>
        <v>2025</v>
      </c>
      <c r="D80" s="1">
        <f t="shared" si="14"/>
        <v>11</v>
      </c>
      <c r="E80" s="1">
        <v>4</v>
      </c>
      <c r="F80" s="1" t="s">
        <v>52</v>
      </c>
      <c r="G80" s="56">
        <f t="shared" si="7"/>
        <v>45991</v>
      </c>
      <c r="H80" s="17">
        <f t="shared" ref="H80" si="15">+AD80+AG80</f>
        <v>36.986245858106876</v>
      </c>
      <c r="I80" s="17">
        <f t="shared" ref="I80" si="16">+AE80+AG80</f>
        <v>31.018100772241674</v>
      </c>
      <c r="J80" s="17">
        <v>22</v>
      </c>
      <c r="K80" s="17"/>
      <c r="L80" s="17">
        <v>32</v>
      </c>
      <c r="M80" s="44">
        <f>SUMPRODUCT(H80:L80,'Fisico SPOT MAT'!H80:L80)*24</f>
        <v>4987419.9355317149</v>
      </c>
      <c r="N80" s="19">
        <f>+'Fisico SPOT MAT'!AG80</f>
        <v>11.694274885348483</v>
      </c>
      <c r="O80" s="19">
        <f t="shared" si="9"/>
        <v>14.511494252873563</v>
      </c>
      <c r="P80" s="19">
        <v>6</v>
      </c>
      <c r="Q80" s="19"/>
      <c r="R80" s="19">
        <v>0</v>
      </c>
      <c r="S80" s="44">
        <f>SUMPRODUCT(N80:R80,'Fisico SPOT MAT'!N80:R80)*E80</f>
        <v>654683.80182088132</v>
      </c>
      <c r="T80" s="17"/>
      <c r="U80" s="17">
        <v>18</v>
      </c>
      <c r="V80" s="17">
        <v>60</v>
      </c>
      <c r="W80" s="28">
        <f>SUMPRODUCT(T80:V80,'Fisico SPOT MAT'!T80:V80)*24</f>
        <v>1715565.4799999997</v>
      </c>
      <c r="X80" s="19">
        <v>0</v>
      </c>
      <c r="Y80" s="19">
        <v>5</v>
      </c>
      <c r="Z80" s="19">
        <v>0</v>
      </c>
      <c r="AA80" s="28">
        <f>SUMPRODUCT(X80:Z80,'Fisico SPOT MAT'!X80:Z80)*E80</f>
        <v>10500</v>
      </c>
      <c r="AD80" s="41">
        <v>35.090160054432673</v>
      </c>
      <c r="AE80" s="41">
        <v>29.12201496856747</v>
      </c>
      <c r="AF80">
        <v>5050</v>
      </c>
      <c r="AG80" s="74">
        <f t="shared" si="1"/>
        <v>1.8960858036742054</v>
      </c>
      <c r="AJ80">
        <v>348</v>
      </c>
    </row>
    <row r="81" spans="1:36" x14ac:dyDescent="0.25">
      <c r="A81" s="3">
        <v>1459.4167</v>
      </c>
      <c r="B81" s="42">
        <v>1442.8330000000001</v>
      </c>
      <c r="C81" s="1">
        <f t="shared" si="13"/>
        <v>2025</v>
      </c>
      <c r="D81" s="1">
        <f t="shared" si="14"/>
        <v>12</v>
      </c>
      <c r="E81" s="1">
        <v>16</v>
      </c>
      <c r="F81" s="1" t="s">
        <v>53</v>
      </c>
      <c r="G81" s="56">
        <f t="shared" si="7"/>
        <v>45992</v>
      </c>
      <c r="H81" s="17">
        <f>+AD81+AG81+AH81</f>
        <v>39.918869613182089</v>
      </c>
      <c r="I81" s="17">
        <f>+AE81+AG81+AH81</f>
        <v>44.02047681143997</v>
      </c>
      <c r="J81" s="17">
        <v>22</v>
      </c>
      <c r="K81" s="17"/>
      <c r="L81" s="17">
        <v>32</v>
      </c>
      <c r="M81" s="44">
        <f>SUMPRODUCT(H81:L81,'Fisico SPOT MAT'!H81:L81)*24</f>
        <v>5825233.3343509194</v>
      </c>
      <c r="N81" s="19">
        <f>+'Fisico SPOT MAT'!AG81</f>
        <v>16.811346629187124</v>
      </c>
      <c r="O81" s="19">
        <f t="shared" si="9"/>
        <v>13.151041666666666</v>
      </c>
      <c r="P81" s="19">
        <v>6</v>
      </c>
      <c r="Q81" s="19"/>
      <c r="R81" s="19">
        <v>0</v>
      </c>
      <c r="S81" s="44">
        <f>SUMPRODUCT(N81:R81,'Fisico SPOT MAT'!N81:R81)*E81</f>
        <v>3565192.9050208316</v>
      </c>
      <c r="T81" s="17"/>
      <c r="U81" s="17">
        <v>18</v>
      </c>
      <c r="V81" s="17">
        <v>60</v>
      </c>
      <c r="W81" s="28">
        <f>SUMPRODUCT(T81:V81,'Fisico SPOT MAT'!T81:V81)*24</f>
        <v>1334192.3999999994</v>
      </c>
      <c r="X81" s="19">
        <v>0</v>
      </c>
      <c r="Y81" s="19">
        <v>5</v>
      </c>
      <c r="Z81" s="19">
        <v>0</v>
      </c>
      <c r="AA81" s="28">
        <f>SUMPRODUCT(X81:Z81,'Fisico SPOT MAT'!X81:Z81)*E81</f>
        <v>42000</v>
      </c>
      <c r="AD81" s="41">
        <v>35.776458654034741</v>
      </c>
      <c r="AE81" s="42">
        <v>39.878065852292622</v>
      </c>
      <c r="AF81">
        <v>5050</v>
      </c>
      <c r="AG81" s="74">
        <f>0.075*0.9*(AD81-7)</f>
        <v>1.9424109591473451</v>
      </c>
      <c r="AH81">
        <v>2.2000000000000002</v>
      </c>
      <c r="AJ81">
        <v>384</v>
      </c>
    </row>
    <row r="82" spans="1:36" x14ac:dyDescent="0.25">
      <c r="A82" s="3">
        <f>+A81</f>
        <v>1459.4167</v>
      </c>
      <c r="B82" s="42">
        <v>1442.8330000000001</v>
      </c>
      <c r="C82" s="1">
        <f t="shared" si="13"/>
        <v>2025</v>
      </c>
      <c r="D82" s="1">
        <f t="shared" si="14"/>
        <v>12</v>
      </c>
      <c r="E82" s="1">
        <v>16</v>
      </c>
      <c r="F82" s="1" t="s">
        <v>54</v>
      </c>
      <c r="G82" s="56">
        <f t="shared" si="7"/>
        <v>45993</v>
      </c>
      <c r="H82" s="17">
        <f t="shared" ref="H82:H108" si="17">+AD82+AG82+AH82</f>
        <v>39.976786946818343</v>
      </c>
      <c r="I82" s="17">
        <f t="shared" ref="I82:I108" si="18">+AE82+AG82+AH82</f>
        <v>35.470219845358905</v>
      </c>
      <c r="J82" s="17">
        <v>22</v>
      </c>
      <c r="K82" s="17"/>
      <c r="L82" s="17">
        <v>32</v>
      </c>
      <c r="M82" s="44">
        <f>SUMPRODUCT(H82:L82,'Fisico SPOT MAT'!H82:L82)*24</f>
        <v>6195137.6554403733</v>
      </c>
      <c r="N82" s="19">
        <f>+'Fisico SPOT MAT'!AG82</f>
        <v>16.77863674515174</v>
      </c>
      <c r="O82" s="19">
        <f t="shared" si="9"/>
        <v>13.151041666666666</v>
      </c>
      <c r="P82" s="19">
        <v>6</v>
      </c>
      <c r="Q82" s="19"/>
      <c r="R82" s="19">
        <v>0</v>
      </c>
      <c r="S82" s="44">
        <f>SUMPRODUCT(N82:R82,'Fisico SPOT MAT'!N82:R82)*E82</f>
        <v>3496799.0052013872</v>
      </c>
      <c r="T82" s="17"/>
      <c r="U82" s="17">
        <v>18</v>
      </c>
      <c r="V82" s="17">
        <v>60</v>
      </c>
      <c r="W82" s="28">
        <f>SUMPRODUCT(T82:V82,'Fisico SPOT MAT'!T82:V82)*24</f>
        <v>1736118.6959999995</v>
      </c>
      <c r="X82" s="19">
        <v>0</v>
      </c>
      <c r="Y82" s="19">
        <v>5</v>
      </c>
      <c r="Z82" s="19">
        <v>0</v>
      </c>
      <c r="AA82" s="28">
        <f>SUMPRODUCT(X82:Z82,'Fisico SPOT MAT'!X82:Z82)*E82</f>
        <v>42000</v>
      </c>
      <c r="AD82" s="41">
        <v>35.830713767511327</v>
      </c>
      <c r="AE82" s="42">
        <v>31.324146666051885</v>
      </c>
      <c r="AF82">
        <v>5050</v>
      </c>
      <c r="AG82" s="74">
        <f t="shared" ref="AG82:AG95" si="19">0.075*0.9*(AD82-7)</f>
        <v>1.9460731793070147</v>
      </c>
      <c r="AH82">
        <v>2.2000000000000002</v>
      </c>
      <c r="AJ82">
        <v>384</v>
      </c>
    </row>
    <row r="83" spans="1:36" x14ac:dyDescent="0.25">
      <c r="A83" s="3">
        <f t="shared" ref="A83:A111" si="20">+A82</f>
        <v>1459.4167</v>
      </c>
      <c r="B83" s="42">
        <v>1442.8330000000001</v>
      </c>
      <c r="C83" s="1">
        <f t="shared" si="13"/>
        <v>2025</v>
      </c>
      <c r="D83" s="1">
        <f t="shared" si="14"/>
        <v>12</v>
      </c>
      <c r="E83" s="1">
        <v>16</v>
      </c>
      <c r="F83" s="1" t="s">
        <v>55</v>
      </c>
      <c r="G83" s="56">
        <f t="shared" si="7"/>
        <v>45994</v>
      </c>
      <c r="H83" s="17">
        <f t="shared" si="17"/>
        <v>42.624028570357559</v>
      </c>
      <c r="I83" s="17">
        <f t="shared" si="18"/>
        <v>33.077696587603569</v>
      </c>
      <c r="J83" s="17">
        <v>22</v>
      </c>
      <c r="K83" s="17"/>
      <c r="L83" s="17">
        <v>32</v>
      </c>
      <c r="M83" s="44">
        <f>SUMPRODUCT(H83:L83,'Fisico SPOT MAT'!H83:L83)*24</f>
        <v>7021321.115680539</v>
      </c>
      <c r="N83" s="19">
        <f>+'Fisico SPOT MAT'!AG83</f>
        <v>16.719435849835058</v>
      </c>
      <c r="O83" s="19">
        <f t="shared" si="9"/>
        <v>13.151041666666666</v>
      </c>
      <c r="P83" s="19">
        <v>6</v>
      </c>
      <c r="Q83" s="19"/>
      <c r="R83" s="19">
        <v>0</v>
      </c>
      <c r="S83" s="44">
        <f>SUMPRODUCT(N83:R83,'Fisico SPOT MAT'!N83:R83)*E83</f>
        <v>3362514.0578715284</v>
      </c>
      <c r="T83" s="17"/>
      <c r="U83" s="17">
        <v>18</v>
      </c>
      <c r="V83" s="17">
        <v>60</v>
      </c>
      <c r="W83" s="28">
        <f>SUMPRODUCT(T83:V83,'Fisico SPOT MAT'!T83:V83)*24</f>
        <v>2161705.3739999998</v>
      </c>
      <c r="X83" s="19">
        <v>0</v>
      </c>
      <c r="Y83" s="19">
        <v>5</v>
      </c>
      <c r="Z83" s="19">
        <v>0</v>
      </c>
      <c r="AA83" s="28">
        <f>SUMPRODUCT(X83:Z83,'Fisico SPOT MAT'!X83:Z83)*E83</f>
        <v>42000</v>
      </c>
      <c r="AD83" s="41">
        <v>38.310565405487175</v>
      </c>
      <c r="AE83" s="42">
        <v>28.764233422733181</v>
      </c>
      <c r="AF83">
        <v>5050</v>
      </c>
      <c r="AG83" s="74">
        <f t="shared" si="19"/>
        <v>2.1134631648703843</v>
      </c>
      <c r="AH83">
        <v>2.2000000000000002</v>
      </c>
      <c r="AJ83">
        <v>384</v>
      </c>
    </row>
    <row r="84" spans="1:36" x14ac:dyDescent="0.25">
      <c r="A84" s="3">
        <f t="shared" si="20"/>
        <v>1459.4167</v>
      </c>
      <c r="B84" s="42">
        <v>1442.8330000000001</v>
      </c>
      <c r="C84" s="1">
        <f t="shared" si="13"/>
        <v>2025</v>
      </c>
      <c r="D84" s="1">
        <f t="shared" si="14"/>
        <v>12</v>
      </c>
      <c r="E84" s="1">
        <v>16</v>
      </c>
      <c r="F84" s="1" t="s">
        <v>56</v>
      </c>
      <c r="G84" s="56">
        <f t="shared" si="7"/>
        <v>45995</v>
      </c>
      <c r="H84" s="17">
        <f t="shared" si="17"/>
        <v>43.370717637361118</v>
      </c>
      <c r="I84" s="17">
        <f t="shared" si="18"/>
        <v>35.000247425054731</v>
      </c>
      <c r="J84" s="17">
        <v>22</v>
      </c>
      <c r="K84" s="17"/>
      <c r="L84" s="17">
        <v>32</v>
      </c>
      <c r="M84" s="44">
        <f>SUMPRODUCT(H84:L84,'Fisico SPOT MAT'!H84:L84)*24</f>
        <v>7820759.0777109563</v>
      </c>
      <c r="N84" s="19">
        <f>+'Fisico SPOT MAT'!AG84</f>
        <v>16.712198891997691</v>
      </c>
      <c r="O84" s="19">
        <f t="shared" si="9"/>
        <v>13.151041666666666</v>
      </c>
      <c r="P84" s="19">
        <v>6</v>
      </c>
      <c r="Q84" s="19"/>
      <c r="R84" s="19">
        <v>0</v>
      </c>
      <c r="S84" s="44">
        <f>SUMPRODUCT(N84:R84,'Fisico SPOT MAT'!N84:R84)*E84</f>
        <v>3337868.9970034738</v>
      </c>
      <c r="T84" s="17"/>
      <c r="U84" s="17">
        <v>18</v>
      </c>
      <c r="V84" s="17">
        <v>60</v>
      </c>
      <c r="W84" s="28">
        <f>SUMPRODUCT(T84:V84,'Fisico SPOT MAT'!T84:V84)*24</f>
        <v>2531774.5380000006</v>
      </c>
      <c r="X84" s="19">
        <v>0</v>
      </c>
      <c r="Y84" s="19">
        <v>5</v>
      </c>
      <c r="Z84" s="19">
        <v>0</v>
      </c>
      <c r="AA84" s="28">
        <f>SUMPRODUCT(X84:Z84,'Fisico SPOT MAT'!X84:Z84)*E84</f>
        <v>42000</v>
      </c>
      <c r="AD84" s="41">
        <v>39.010039941321885</v>
      </c>
      <c r="AE84" s="42">
        <v>30.639569729015498</v>
      </c>
      <c r="AF84">
        <v>5050</v>
      </c>
      <c r="AG84" s="74">
        <f t="shared" si="19"/>
        <v>2.1606776960392273</v>
      </c>
      <c r="AH84">
        <v>2.2000000000000002</v>
      </c>
      <c r="AJ84">
        <v>384</v>
      </c>
    </row>
    <row r="85" spans="1:36" x14ac:dyDescent="0.25">
      <c r="A85" s="3">
        <f t="shared" si="20"/>
        <v>1459.4167</v>
      </c>
      <c r="B85" s="42">
        <v>1442.8330000000001</v>
      </c>
      <c r="C85" s="1">
        <f t="shared" si="13"/>
        <v>2025</v>
      </c>
      <c r="D85" s="1">
        <f t="shared" si="14"/>
        <v>12</v>
      </c>
      <c r="E85" s="1">
        <v>16</v>
      </c>
      <c r="F85" s="1" t="s">
        <v>57</v>
      </c>
      <c r="G85" s="56">
        <f t="shared" si="7"/>
        <v>45996</v>
      </c>
      <c r="H85" s="17">
        <f t="shared" si="17"/>
        <v>43.307922155040714</v>
      </c>
      <c r="I85" s="17">
        <f t="shared" si="18"/>
        <v>34.666446958176238</v>
      </c>
      <c r="J85" s="17">
        <v>22</v>
      </c>
      <c r="K85" s="17"/>
      <c r="L85" s="17">
        <v>32</v>
      </c>
      <c r="M85" s="44">
        <f>SUMPRODUCT(H85:L85,'Fisico SPOT MAT'!H85:L85)*24</f>
        <v>8392724.5612364039</v>
      </c>
      <c r="N85" s="19">
        <f>+'Fisico SPOT MAT'!AG85</f>
        <v>16.800733809328655</v>
      </c>
      <c r="O85" s="19">
        <f t="shared" si="9"/>
        <v>13.151041666666666</v>
      </c>
      <c r="P85" s="19">
        <v>6</v>
      </c>
      <c r="Q85" s="19"/>
      <c r="R85" s="19">
        <v>0</v>
      </c>
      <c r="S85" s="44">
        <f>SUMPRODUCT(N85:R85,'Fisico SPOT MAT'!N85:R85)*E85</f>
        <v>3570168.516100694</v>
      </c>
      <c r="T85" s="17"/>
      <c r="U85" s="17">
        <v>18</v>
      </c>
      <c r="V85" s="17">
        <v>60</v>
      </c>
      <c r="W85" s="28">
        <f>SUMPRODUCT(T85:V85,'Fisico SPOT MAT'!T85:V85)*24</f>
        <v>2285911.7820000006</v>
      </c>
      <c r="X85" s="19">
        <v>0</v>
      </c>
      <c r="Y85" s="19">
        <v>5</v>
      </c>
      <c r="Z85" s="19">
        <v>0</v>
      </c>
      <c r="AA85" s="28">
        <f>SUMPRODUCT(X85:Z85,'Fisico SPOT MAT'!X85:Z85)*E85</f>
        <v>42000</v>
      </c>
      <c r="AD85" s="41">
        <v>38.951215133527597</v>
      </c>
      <c r="AE85" s="42">
        <v>30.309739936663121</v>
      </c>
      <c r="AF85">
        <v>5050</v>
      </c>
      <c r="AG85" s="74">
        <f t="shared" si="19"/>
        <v>2.156707021513113</v>
      </c>
      <c r="AH85">
        <v>2.2000000000000002</v>
      </c>
      <c r="AJ85">
        <v>384</v>
      </c>
    </row>
    <row r="86" spans="1:36" x14ac:dyDescent="0.25">
      <c r="A86" s="3">
        <f t="shared" si="20"/>
        <v>1459.4167</v>
      </c>
      <c r="B86" s="42">
        <v>1442.8330000000001</v>
      </c>
      <c r="C86" s="1">
        <f t="shared" si="13"/>
        <v>2025</v>
      </c>
      <c r="D86" s="1">
        <f t="shared" si="14"/>
        <v>12</v>
      </c>
      <c r="E86" s="1">
        <v>6</v>
      </c>
      <c r="F86" s="1" t="s">
        <v>51</v>
      </c>
      <c r="G86" s="56">
        <f t="shared" ref="G86:G108" si="21">+ G85+1</f>
        <v>45997</v>
      </c>
      <c r="H86" s="17">
        <f t="shared" si="17"/>
        <v>47.01992432658934</v>
      </c>
      <c r="I86" s="17">
        <f t="shared" si="18"/>
        <v>38.149005794915517</v>
      </c>
      <c r="J86" s="17">
        <v>22</v>
      </c>
      <c r="K86" s="17"/>
      <c r="L86" s="17">
        <v>32</v>
      </c>
      <c r="M86" s="44">
        <f>SUMPRODUCT(H86:L86,'Fisico SPOT MAT'!H86:L86)*24</f>
        <v>8310917.4316133317</v>
      </c>
      <c r="N86" s="19">
        <f>+'Fisico SPOT MAT'!AG86</f>
        <v>16.729881535764182</v>
      </c>
      <c r="O86" s="19">
        <f t="shared" si="9"/>
        <v>13.151041666666666</v>
      </c>
      <c r="P86" s="19">
        <v>6</v>
      </c>
      <c r="Q86" s="19"/>
      <c r="R86" s="19">
        <v>0</v>
      </c>
      <c r="S86" s="44">
        <f>SUMPRODUCT(N86:R86,'Fisico SPOT MAT'!N86:R86)*E86</f>
        <v>1253545.8118138025</v>
      </c>
      <c r="T86" s="17"/>
      <c r="U86" s="17">
        <v>18</v>
      </c>
      <c r="V86" s="17">
        <v>60</v>
      </c>
      <c r="W86" s="28">
        <f>SUMPRODUCT(T86:V86,'Fisico SPOT MAT'!T86:V86)*24</f>
        <v>1719127.4940000004</v>
      </c>
      <c r="X86" s="19">
        <v>0</v>
      </c>
      <c r="Y86" s="19">
        <v>5</v>
      </c>
      <c r="Z86" s="19">
        <v>0</v>
      </c>
      <c r="AA86" s="28">
        <f>SUMPRODUCT(X86:Z86,'Fisico SPOT MAT'!X86:Z86)*E86</f>
        <v>15750</v>
      </c>
      <c r="AD86" s="41">
        <v>42.428500540130528</v>
      </c>
      <c r="AE86" s="42">
        <v>33.557582008456706</v>
      </c>
      <c r="AF86">
        <v>5050</v>
      </c>
      <c r="AG86" s="74">
        <f t="shared" si="19"/>
        <v>2.391423786458811</v>
      </c>
      <c r="AH86">
        <v>2.2000000000000002</v>
      </c>
      <c r="AJ86">
        <v>384</v>
      </c>
    </row>
    <row r="87" spans="1:36" x14ac:dyDescent="0.25">
      <c r="A87" s="3">
        <f t="shared" si="20"/>
        <v>1459.4167</v>
      </c>
      <c r="B87" s="42">
        <v>1442.8330000000001</v>
      </c>
      <c r="C87" s="1">
        <f t="shared" si="13"/>
        <v>2025</v>
      </c>
      <c r="D87" s="1">
        <f t="shared" si="14"/>
        <v>12</v>
      </c>
      <c r="E87" s="1">
        <v>4</v>
      </c>
      <c r="F87" s="1" t="s">
        <v>52</v>
      </c>
      <c r="G87" s="56">
        <f t="shared" si="21"/>
        <v>45998</v>
      </c>
      <c r="H87" s="17">
        <f t="shared" si="17"/>
        <v>46.595392653955379</v>
      </c>
      <c r="I87" s="17">
        <f t="shared" si="18"/>
        <v>36.259080087479219</v>
      </c>
      <c r="J87" s="17">
        <v>22</v>
      </c>
      <c r="K87" s="17"/>
      <c r="L87" s="17">
        <v>32</v>
      </c>
      <c r="M87" s="44">
        <f>SUMPRODUCT(H87:L87,'Fisico SPOT MAT'!H87:L87)*24</f>
        <v>6248815.0871332344</v>
      </c>
      <c r="N87" s="19">
        <f>+'Fisico SPOT MAT'!AG87</f>
        <v>16.778072424807082</v>
      </c>
      <c r="O87" s="19">
        <f t="shared" si="9"/>
        <v>13.151041666666666</v>
      </c>
      <c r="P87" s="19">
        <v>6</v>
      </c>
      <c r="Q87" s="19"/>
      <c r="R87" s="19">
        <v>0</v>
      </c>
      <c r="S87" s="44">
        <f>SUMPRODUCT(N87:R87,'Fisico SPOT MAT'!N87:R87)*E87</f>
        <v>862923.94803645834</v>
      </c>
      <c r="T87" s="17"/>
      <c r="U87" s="17">
        <v>18</v>
      </c>
      <c r="V87" s="17">
        <v>60</v>
      </c>
      <c r="W87" s="28">
        <f>SUMPRODUCT(T87:V87,'Fisico SPOT MAT'!T87:V87)*24</f>
        <v>1234940.406</v>
      </c>
      <c r="X87" s="19">
        <v>0</v>
      </c>
      <c r="Y87" s="19">
        <v>5</v>
      </c>
      <c r="Z87" s="19">
        <v>0</v>
      </c>
      <c r="AA87" s="28">
        <f>SUMPRODUCT(X87:Z87,'Fisico SPOT MAT'!X87:Z87)*E87</f>
        <v>10500</v>
      </c>
      <c r="AD87" s="41">
        <v>42.030812790590517</v>
      </c>
      <c r="AE87" s="42">
        <v>31.694500224114353</v>
      </c>
      <c r="AF87">
        <v>5050</v>
      </c>
      <c r="AG87" s="74">
        <f t="shared" si="19"/>
        <v>2.36457986336486</v>
      </c>
      <c r="AH87">
        <v>2.2000000000000002</v>
      </c>
      <c r="AJ87">
        <v>384</v>
      </c>
    </row>
    <row r="88" spans="1:36" x14ac:dyDescent="0.25">
      <c r="A88" s="3">
        <f t="shared" si="20"/>
        <v>1459.4167</v>
      </c>
      <c r="B88" s="42">
        <v>1442.8330000000001</v>
      </c>
      <c r="C88" s="1">
        <f t="shared" si="13"/>
        <v>2025</v>
      </c>
      <c r="D88" s="1">
        <f t="shared" si="14"/>
        <v>12</v>
      </c>
      <c r="E88" s="1">
        <v>4</v>
      </c>
      <c r="F88" s="1" t="s">
        <v>53</v>
      </c>
      <c r="G88" s="56">
        <f t="shared" si="21"/>
        <v>45999</v>
      </c>
      <c r="H88" s="17">
        <f t="shared" si="17"/>
        <v>40.651035592787949</v>
      </c>
      <c r="I88" s="17">
        <f t="shared" si="18"/>
        <v>33.28796623010092</v>
      </c>
      <c r="J88" s="17">
        <v>22</v>
      </c>
      <c r="K88" s="17"/>
      <c r="L88" s="17">
        <v>32</v>
      </c>
      <c r="M88" s="44">
        <f>SUMPRODUCT(H88:L88,'Fisico SPOT MAT'!H88:L88)*24</f>
        <v>5408995.3370090351</v>
      </c>
      <c r="N88" s="19">
        <f>+'Fisico SPOT MAT'!AG88</f>
        <v>16.826175116990449</v>
      </c>
      <c r="O88" s="19">
        <f t="shared" si="9"/>
        <v>13.151041666666666</v>
      </c>
      <c r="P88" s="19">
        <v>6</v>
      </c>
      <c r="Q88" s="19"/>
      <c r="R88" s="19">
        <v>0</v>
      </c>
      <c r="S88" s="44">
        <f>SUMPRODUCT(N88:R88,'Fisico SPOT MAT'!N88:R88)*E88</f>
        <v>909662.9298107638</v>
      </c>
      <c r="T88" s="17"/>
      <c r="U88" s="17">
        <v>18</v>
      </c>
      <c r="V88" s="17">
        <v>60</v>
      </c>
      <c r="W88" s="28">
        <f>SUMPRODUCT(T88:V88,'Fisico SPOT MAT'!T88:V88)*24</f>
        <v>1557111.8220000006</v>
      </c>
      <c r="X88" s="19">
        <v>0</v>
      </c>
      <c r="Y88" s="19">
        <v>5</v>
      </c>
      <c r="Z88" s="19">
        <v>0</v>
      </c>
      <c r="AA88" s="28">
        <f>SUMPRODUCT(X88:Z88,'Fisico SPOT MAT'!X88:Z88)*E88</f>
        <v>10500</v>
      </c>
      <c r="AD88" s="41">
        <v>36.462328424157327</v>
      </c>
      <c r="AE88" s="42">
        <v>29.099259061470299</v>
      </c>
      <c r="AF88">
        <v>5050</v>
      </c>
      <c r="AG88" s="74">
        <f t="shared" si="19"/>
        <v>1.9887071686306197</v>
      </c>
      <c r="AH88">
        <v>2.2000000000000002</v>
      </c>
      <c r="AJ88">
        <v>384</v>
      </c>
    </row>
    <row r="89" spans="1:36" x14ac:dyDescent="0.25">
      <c r="A89" s="3">
        <f t="shared" si="20"/>
        <v>1459.4167</v>
      </c>
      <c r="B89" s="42">
        <v>1442.8330000000001</v>
      </c>
      <c r="C89" s="1">
        <f t="shared" ref="C89:C95" si="22">YEAR(G89)</f>
        <v>2025</v>
      </c>
      <c r="D89" s="1">
        <f t="shared" ref="D89:D115" si="23">MONTH(G89)</f>
        <v>12</v>
      </c>
      <c r="E89" s="1">
        <v>16</v>
      </c>
      <c r="F89" s="1" t="s">
        <v>54</v>
      </c>
      <c r="G89" s="56">
        <f t="shared" si="21"/>
        <v>46000</v>
      </c>
      <c r="H89" s="17">
        <f t="shared" si="17"/>
        <v>41.394900584707706</v>
      </c>
      <c r="I89" s="17">
        <f t="shared" si="18"/>
        <v>33.005695152575662</v>
      </c>
      <c r="J89" s="17">
        <v>22</v>
      </c>
      <c r="K89" s="17"/>
      <c r="L89" s="17">
        <v>32</v>
      </c>
      <c r="M89" s="44">
        <f>SUMPRODUCT(H89:L89,'Fisico SPOT MAT'!H89:L89)*24</f>
        <v>6251594.274453165</v>
      </c>
      <c r="N89" s="19">
        <f>+'Fisico SPOT MAT'!AG89</f>
        <v>16.82483780381445</v>
      </c>
      <c r="O89" s="19">
        <f t="shared" si="9"/>
        <v>13.151041666666666</v>
      </c>
      <c r="P89" s="19">
        <v>6</v>
      </c>
      <c r="Q89" s="19"/>
      <c r="R89" s="19">
        <v>0</v>
      </c>
      <c r="S89" s="44">
        <f>SUMPRODUCT(N89:R89,'Fisico SPOT MAT'!N89:R89)*E89</f>
        <v>3671972.0522847236</v>
      </c>
      <c r="T89" s="17"/>
      <c r="U89" s="17">
        <v>18</v>
      </c>
      <c r="V89" s="17">
        <v>60</v>
      </c>
      <c r="W89" s="28">
        <f>SUMPRODUCT(T89:V89,'Fisico SPOT MAT'!T89:V89)*24</f>
        <v>1769351.0160000003</v>
      </c>
      <c r="X89" s="19">
        <v>0</v>
      </c>
      <c r="Y89" s="19">
        <v>5</v>
      </c>
      <c r="Z89" s="19">
        <v>0</v>
      </c>
      <c r="AA89" s="28">
        <f>SUMPRODUCT(X89:Z89,'Fisico SPOT MAT'!X89:Z89)*E89</f>
        <v>42000</v>
      </c>
      <c r="AD89" s="41">
        <v>37.159157456400656</v>
      </c>
      <c r="AE89" s="42">
        <v>28.769952024268616</v>
      </c>
      <c r="AF89">
        <v>5050</v>
      </c>
      <c r="AG89" s="74">
        <f t="shared" si="19"/>
        <v>2.0357431283070446</v>
      </c>
      <c r="AH89">
        <v>2.2000000000000002</v>
      </c>
      <c r="AJ89">
        <v>384</v>
      </c>
    </row>
    <row r="90" spans="1:36" x14ac:dyDescent="0.25">
      <c r="A90" s="3">
        <f t="shared" si="20"/>
        <v>1459.4167</v>
      </c>
      <c r="B90" s="42">
        <v>1442.8330000000001</v>
      </c>
      <c r="C90" s="1">
        <f t="shared" si="22"/>
        <v>2025</v>
      </c>
      <c r="D90" s="1">
        <f t="shared" si="23"/>
        <v>12</v>
      </c>
      <c r="E90" s="1">
        <v>16</v>
      </c>
      <c r="F90" s="1" t="s">
        <v>55</v>
      </c>
      <c r="G90" s="56">
        <f t="shared" si="21"/>
        <v>46001</v>
      </c>
      <c r="H90" s="17">
        <f t="shared" si="17"/>
        <v>41.463767922004266</v>
      </c>
      <c r="I90" s="17">
        <f t="shared" si="18"/>
        <v>38.300020154927488</v>
      </c>
      <c r="J90" s="17">
        <v>22</v>
      </c>
      <c r="K90" s="17"/>
      <c r="L90" s="17">
        <v>32</v>
      </c>
      <c r="M90" s="44">
        <f>SUMPRODUCT(H90:L90,'Fisico SPOT MAT'!H90:L90)*24</f>
        <v>7300606.6233410267</v>
      </c>
      <c r="N90" s="19">
        <f>+'Fisico SPOT MAT'!AG90</f>
        <v>16.831223613609101</v>
      </c>
      <c r="O90" s="19">
        <f t="shared" si="9"/>
        <v>13.151041666666666</v>
      </c>
      <c r="P90" s="19">
        <v>6</v>
      </c>
      <c r="Q90" s="19"/>
      <c r="R90" s="19">
        <v>0</v>
      </c>
      <c r="S90" s="44">
        <f>SUMPRODUCT(N90:R90,'Fisico SPOT MAT'!N90:R90)*E90</f>
        <v>3658323.3403506954</v>
      </c>
      <c r="T90" s="17"/>
      <c r="U90" s="17">
        <v>18</v>
      </c>
      <c r="V90" s="17">
        <v>60</v>
      </c>
      <c r="W90" s="28">
        <f>SUMPRODUCT(T90:V90,'Fisico SPOT MAT'!T90:V90)*24</f>
        <v>1734812.3219999997</v>
      </c>
      <c r="X90" s="19">
        <v>0</v>
      </c>
      <c r="Y90" s="19">
        <v>5</v>
      </c>
      <c r="Z90" s="19">
        <v>0</v>
      </c>
      <c r="AA90" s="28">
        <f>SUMPRODUCT(X90:Z90,'Fisico SPOT MAT'!X90:Z90)*E90</f>
        <v>42000</v>
      </c>
      <c r="AD90" s="41">
        <v>37.223670184547316</v>
      </c>
      <c r="AE90" s="42">
        <v>34.059922417470538</v>
      </c>
      <c r="AF90">
        <v>5050</v>
      </c>
      <c r="AG90" s="74">
        <f t="shared" si="19"/>
        <v>2.0400977374569438</v>
      </c>
      <c r="AH90">
        <v>2.2000000000000002</v>
      </c>
      <c r="AJ90">
        <v>384</v>
      </c>
    </row>
    <row r="91" spans="1:36" x14ac:dyDescent="0.25">
      <c r="A91" s="3">
        <f t="shared" si="20"/>
        <v>1459.4167</v>
      </c>
      <c r="B91" s="42">
        <v>1442.8330000000001</v>
      </c>
      <c r="C91" s="1">
        <f t="shared" si="22"/>
        <v>2025</v>
      </c>
      <c r="D91" s="1">
        <f t="shared" si="23"/>
        <v>12</v>
      </c>
      <c r="E91" s="1">
        <v>16</v>
      </c>
      <c r="F91" s="1" t="s">
        <v>56</v>
      </c>
      <c r="G91" s="56">
        <f t="shared" si="21"/>
        <v>46002</v>
      </c>
      <c r="H91" s="17">
        <f t="shared" si="17"/>
        <v>40.868068616698892</v>
      </c>
      <c r="I91" s="17">
        <f t="shared" si="18"/>
        <v>37.501973708748636</v>
      </c>
      <c r="J91" s="17">
        <v>22</v>
      </c>
      <c r="K91" s="17"/>
      <c r="L91" s="17">
        <v>32</v>
      </c>
      <c r="M91" s="44">
        <f>SUMPRODUCT(H91:L91,'Fisico SPOT MAT'!H91:L91)*24</f>
        <v>7456539.7147868443</v>
      </c>
      <c r="N91" s="19">
        <f>+'Fisico SPOT MAT'!AG91</f>
        <v>16.83778212523638</v>
      </c>
      <c r="O91" s="19">
        <f t="shared" si="9"/>
        <v>13.151041666666666</v>
      </c>
      <c r="P91" s="19">
        <v>6</v>
      </c>
      <c r="Q91" s="19"/>
      <c r="R91" s="19">
        <v>0</v>
      </c>
      <c r="S91" s="44">
        <f>SUMPRODUCT(N91:R91,'Fisico SPOT MAT'!N91:R91)*E91</f>
        <v>3686891.1988090277</v>
      </c>
      <c r="T91" s="17"/>
      <c r="U91" s="17">
        <v>18</v>
      </c>
      <c r="V91" s="17">
        <v>60</v>
      </c>
      <c r="W91" s="28">
        <f>SUMPRODUCT(T91:V91,'Fisico SPOT MAT'!T91:V91)*24</f>
        <v>1951972.5480000002</v>
      </c>
      <c r="X91" s="19">
        <v>0</v>
      </c>
      <c r="Y91" s="19">
        <v>5</v>
      </c>
      <c r="Z91" s="19">
        <v>0</v>
      </c>
      <c r="AA91" s="28">
        <f>SUMPRODUCT(X91:Z91,'Fisico SPOT MAT'!X91:Z91)*E91</f>
        <v>42000</v>
      </c>
      <c r="AD91" s="41">
        <v>36.665638048429869</v>
      </c>
      <c r="AE91" s="42">
        <v>33.299543140479614</v>
      </c>
      <c r="AF91">
        <v>5050</v>
      </c>
      <c r="AG91" s="74">
        <f t="shared" si="19"/>
        <v>2.0024305682690162</v>
      </c>
      <c r="AH91">
        <v>2.2000000000000002</v>
      </c>
      <c r="AJ91">
        <v>384</v>
      </c>
    </row>
    <row r="92" spans="1:36" x14ac:dyDescent="0.25">
      <c r="A92" s="3">
        <f t="shared" si="20"/>
        <v>1459.4167</v>
      </c>
      <c r="B92" s="42">
        <v>1442.8330000000001</v>
      </c>
      <c r="C92" s="1">
        <f t="shared" si="22"/>
        <v>2025</v>
      </c>
      <c r="D92" s="1">
        <f t="shared" si="23"/>
        <v>12</v>
      </c>
      <c r="E92" s="1">
        <v>16</v>
      </c>
      <c r="F92" s="1" t="s">
        <v>57</v>
      </c>
      <c r="G92" s="56">
        <f t="shared" si="21"/>
        <v>46003</v>
      </c>
      <c r="H92" s="17">
        <f t="shared" si="17"/>
        <v>41.946423068437348</v>
      </c>
      <c r="I92" s="17">
        <f t="shared" si="18"/>
        <v>37.604432744454471</v>
      </c>
      <c r="J92" s="17">
        <v>22</v>
      </c>
      <c r="K92" s="17"/>
      <c r="L92" s="17">
        <v>32</v>
      </c>
      <c r="M92" s="44">
        <f>SUMPRODUCT(H92:L92,'Fisico SPOT MAT'!H92:L92)*24</f>
        <v>6828787.0016209427</v>
      </c>
      <c r="N92" s="19">
        <f>+'Fisico SPOT MAT'!AG92</f>
        <v>16.826470836885175</v>
      </c>
      <c r="O92" s="19">
        <f t="shared" si="9"/>
        <v>13.151041666666666</v>
      </c>
      <c r="P92" s="19">
        <v>6</v>
      </c>
      <c r="Q92" s="19"/>
      <c r="R92" s="19">
        <v>0</v>
      </c>
      <c r="S92" s="44">
        <f>SUMPRODUCT(N92:R92,'Fisico SPOT MAT'!N92:R92)*E92</f>
        <v>3631188.8111527781</v>
      </c>
      <c r="T92" s="17"/>
      <c r="U92" s="17">
        <v>18</v>
      </c>
      <c r="V92" s="17">
        <v>60</v>
      </c>
      <c r="W92" s="28">
        <f>SUMPRODUCT(T92:V92,'Fisico SPOT MAT'!T92:V92)*24</f>
        <v>2497008.0420000004</v>
      </c>
      <c r="X92" s="19">
        <v>0</v>
      </c>
      <c r="Y92" s="19">
        <v>5</v>
      </c>
      <c r="Z92" s="19">
        <v>0</v>
      </c>
      <c r="AA92" s="28">
        <f>SUMPRODUCT(X92:Z92,'Fisico SPOT MAT'!X92:Z92)*E92</f>
        <v>42000</v>
      </c>
      <c r="AD92" s="41">
        <v>37.675806153102897</v>
      </c>
      <c r="AE92" s="42">
        <v>33.33381582912002</v>
      </c>
      <c r="AF92">
        <v>5050</v>
      </c>
      <c r="AG92" s="74">
        <f t="shared" si="19"/>
        <v>2.0706169153344458</v>
      </c>
      <c r="AH92">
        <v>2.2000000000000002</v>
      </c>
      <c r="AJ92">
        <v>384</v>
      </c>
    </row>
    <row r="93" spans="1:36" x14ac:dyDescent="0.25">
      <c r="A93" s="3">
        <f t="shared" si="20"/>
        <v>1459.4167</v>
      </c>
      <c r="B93" s="42">
        <v>1442.8330000000001</v>
      </c>
      <c r="C93" s="1">
        <f t="shared" si="22"/>
        <v>2025</v>
      </c>
      <c r="D93" s="1">
        <f t="shared" si="23"/>
        <v>12</v>
      </c>
      <c r="E93" s="1">
        <v>6</v>
      </c>
      <c r="F93" s="1" t="s">
        <v>51</v>
      </c>
      <c r="G93" s="56">
        <f t="shared" si="21"/>
        <v>46004</v>
      </c>
      <c r="H93" s="17">
        <f t="shared" si="17"/>
        <v>40.67406842313752</v>
      </c>
      <c r="I93" s="17">
        <f t="shared" si="18"/>
        <v>35.091105900544271</v>
      </c>
      <c r="J93" s="17">
        <v>22</v>
      </c>
      <c r="K93" s="17"/>
      <c r="L93" s="17">
        <v>32</v>
      </c>
      <c r="M93" s="44">
        <f>SUMPRODUCT(H93:L93,'Fisico SPOT MAT'!H93:L93)*24</f>
        <v>6331683.3720839452</v>
      </c>
      <c r="N93" s="19">
        <f>+'Fisico SPOT MAT'!AG93</f>
        <v>16.811560806353793</v>
      </c>
      <c r="O93" s="19">
        <f t="shared" si="9"/>
        <v>13.151041666666666</v>
      </c>
      <c r="P93" s="19">
        <v>6</v>
      </c>
      <c r="Q93" s="19"/>
      <c r="R93" s="19">
        <v>0</v>
      </c>
      <c r="S93" s="44">
        <f>SUMPRODUCT(N93:R93,'Fisico SPOT MAT'!N93:R93)*E93</f>
        <v>1322418.5621106769</v>
      </c>
      <c r="T93" s="17"/>
      <c r="U93" s="17">
        <v>18</v>
      </c>
      <c r="V93" s="17">
        <v>60</v>
      </c>
      <c r="W93" s="28">
        <f>SUMPRODUCT(T93:V93,'Fisico SPOT MAT'!T93:V93)*24</f>
        <v>2565974.3760000002</v>
      </c>
      <c r="X93" s="19">
        <v>0</v>
      </c>
      <c r="Y93" s="19">
        <v>5</v>
      </c>
      <c r="Z93" s="19">
        <v>0</v>
      </c>
      <c r="AA93" s="28">
        <f>SUMPRODUCT(X93:Z93,'Fisico SPOT MAT'!X93:Z93)*E93</f>
        <v>15750</v>
      </c>
      <c r="AD93" s="41">
        <v>36.483904846030462</v>
      </c>
      <c r="AE93" s="42">
        <v>30.900942323437214</v>
      </c>
      <c r="AF93">
        <v>5050</v>
      </c>
      <c r="AG93" s="74">
        <f t="shared" si="19"/>
        <v>1.9901635771070563</v>
      </c>
      <c r="AH93">
        <v>2.2000000000000002</v>
      </c>
      <c r="AJ93">
        <v>384</v>
      </c>
    </row>
    <row r="94" spans="1:36" x14ac:dyDescent="0.25">
      <c r="A94" s="3">
        <f t="shared" si="20"/>
        <v>1459.4167</v>
      </c>
      <c r="B94" s="42">
        <v>1442.8330000000001</v>
      </c>
      <c r="C94" s="1">
        <f t="shared" si="22"/>
        <v>2025</v>
      </c>
      <c r="D94" s="1">
        <f t="shared" si="23"/>
        <v>12</v>
      </c>
      <c r="E94" s="1">
        <v>4</v>
      </c>
      <c r="F94" s="1" t="s">
        <v>52</v>
      </c>
      <c r="G94" s="56">
        <f t="shared" si="21"/>
        <v>46005</v>
      </c>
      <c r="H94" s="17">
        <f t="shared" si="17"/>
        <v>40.496061208521397</v>
      </c>
      <c r="I94" s="17">
        <f t="shared" si="18"/>
        <v>33.406867918093788</v>
      </c>
      <c r="J94" s="17">
        <v>22</v>
      </c>
      <c r="K94" s="17"/>
      <c r="L94" s="17">
        <v>32</v>
      </c>
      <c r="M94" s="44">
        <f>SUMPRODUCT(H94:L94,'Fisico SPOT MAT'!H94:L94)*24</f>
        <v>5605300.7855071779</v>
      </c>
      <c r="N94" s="19">
        <f>+'Fisico SPOT MAT'!AG94</f>
        <v>16.843042401983773</v>
      </c>
      <c r="O94" s="19">
        <f t="shared" si="9"/>
        <v>13.151041666666666</v>
      </c>
      <c r="P94" s="19">
        <v>6</v>
      </c>
      <c r="Q94" s="19"/>
      <c r="R94" s="19">
        <v>0</v>
      </c>
      <c r="S94" s="44">
        <f>SUMPRODUCT(N94:R94,'Fisico SPOT MAT'!N94:R94)*E94</f>
        <v>899646.58163888892</v>
      </c>
      <c r="T94" s="17"/>
      <c r="U94" s="17">
        <v>18</v>
      </c>
      <c r="V94" s="17">
        <v>60</v>
      </c>
      <c r="W94" s="28">
        <f>SUMPRODUCT(T94:V94,'Fisico SPOT MAT'!T94:V94)*24</f>
        <v>2273583.2940000002</v>
      </c>
      <c r="X94" s="19">
        <v>0</v>
      </c>
      <c r="Y94" s="19">
        <v>5</v>
      </c>
      <c r="Z94" s="19">
        <v>0</v>
      </c>
      <c r="AA94" s="28">
        <f>SUMPRODUCT(X94:Z94,'Fisico SPOT MAT'!X94:Z94)*E94</f>
        <v>10500</v>
      </c>
      <c r="AD94" s="41">
        <v>36.317153356928706</v>
      </c>
      <c r="AE94" s="42">
        <v>29.227960066501097</v>
      </c>
      <c r="AF94">
        <v>5050</v>
      </c>
      <c r="AG94" s="74">
        <f t="shared" si="19"/>
        <v>1.9789078515926879</v>
      </c>
      <c r="AH94">
        <v>2.2000000000000002</v>
      </c>
      <c r="AJ94">
        <v>384</v>
      </c>
    </row>
    <row r="95" spans="1:36" x14ac:dyDescent="0.25">
      <c r="A95" s="3">
        <f t="shared" si="20"/>
        <v>1459.4167</v>
      </c>
      <c r="B95" s="42">
        <v>1437.4169999999999</v>
      </c>
      <c r="C95" s="1">
        <f t="shared" si="22"/>
        <v>2025</v>
      </c>
      <c r="D95" s="1">
        <f t="shared" si="23"/>
        <v>12</v>
      </c>
      <c r="E95" s="1">
        <v>16</v>
      </c>
      <c r="F95" s="1" t="s">
        <v>53</v>
      </c>
      <c r="G95" s="56">
        <f t="shared" si="21"/>
        <v>46006</v>
      </c>
      <c r="H95" s="17">
        <f t="shared" si="17"/>
        <v>39.65247868503522</v>
      </c>
      <c r="I95" s="17">
        <f t="shared" si="18"/>
        <v>33.907019079099719</v>
      </c>
      <c r="J95" s="17">
        <v>22</v>
      </c>
      <c r="K95" s="17"/>
      <c r="L95" s="17">
        <v>32</v>
      </c>
      <c r="M95" s="44">
        <f>SUMPRODUCT(H95:L95,'Fisico SPOT MAT'!H95:L95)*24</f>
        <v>6070956.9213208882</v>
      </c>
      <c r="N95" s="19">
        <f>+'Fisico SPOT MAT'!AG95</f>
        <v>16.848753736278809</v>
      </c>
      <c r="O95" s="19">
        <f t="shared" si="9"/>
        <v>13.151041666666666</v>
      </c>
      <c r="P95" s="19">
        <v>6</v>
      </c>
      <c r="Q95" s="19"/>
      <c r="R95" s="19">
        <v>0</v>
      </c>
      <c r="S95" s="44">
        <f>SUMPRODUCT(N95:R95,'Fisico SPOT MAT'!N95:R95)*E95</f>
        <v>3622868.8327013887</v>
      </c>
      <c r="T95" s="17"/>
      <c r="U95" s="17">
        <v>18</v>
      </c>
      <c r="V95" s="17">
        <v>60</v>
      </c>
      <c r="W95" s="28">
        <f>SUMPRODUCT(T95:V95,'Fisico SPOT MAT'!T95:V95)*24</f>
        <v>2481129.7799999998</v>
      </c>
      <c r="X95" s="19">
        <v>0</v>
      </c>
      <c r="Y95" s="19">
        <v>5</v>
      </c>
      <c r="Z95" s="19">
        <v>0</v>
      </c>
      <c r="AA95" s="28">
        <f>SUMPRODUCT(X95:Z95,'Fisico SPOT MAT'!X95:Z95)*E95</f>
        <v>42000</v>
      </c>
      <c r="AD95" s="41">
        <v>35.526912117129008</v>
      </c>
      <c r="AE95" s="42">
        <v>29.781452511193507</v>
      </c>
      <c r="AF95">
        <v>5050</v>
      </c>
      <c r="AG95" s="74">
        <f t="shared" si="19"/>
        <v>1.9255665679062082</v>
      </c>
      <c r="AH95">
        <v>2.2000000000000002</v>
      </c>
      <c r="AJ95">
        <v>384</v>
      </c>
    </row>
    <row r="96" spans="1:36" x14ac:dyDescent="0.25">
      <c r="A96" s="3">
        <f t="shared" si="20"/>
        <v>1459.4167</v>
      </c>
      <c r="B96" s="42">
        <v>1437.4169999999999</v>
      </c>
      <c r="C96" s="1">
        <f t="shared" ref="C96:C101" si="24">YEAR(G96)</f>
        <v>2025</v>
      </c>
      <c r="D96" s="1">
        <f t="shared" si="23"/>
        <v>12</v>
      </c>
      <c r="E96" s="1">
        <v>16</v>
      </c>
      <c r="F96" s="1" t="s">
        <v>54</v>
      </c>
      <c r="G96" s="56">
        <f t="shared" si="21"/>
        <v>46007</v>
      </c>
      <c r="H96" s="17">
        <f t="shared" si="17"/>
        <v>40.017966351843327</v>
      </c>
      <c r="I96" s="17">
        <f t="shared" si="18"/>
        <v>33.049885945041943</v>
      </c>
      <c r="J96" s="17">
        <v>22</v>
      </c>
      <c r="K96" s="17"/>
      <c r="L96" s="17">
        <v>32</v>
      </c>
      <c r="M96" s="44">
        <f>SUMPRODUCT(H96:L96,'Fisico SPOT MAT'!H96:L96)*24</f>
        <v>6092195.7689342834</v>
      </c>
      <c r="N96" s="19">
        <f>+'Fisico SPOT MAT'!AG96</f>
        <v>16.849908358561553</v>
      </c>
      <c r="O96" s="19">
        <f t="shared" si="9"/>
        <v>13.151041666666666</v>
      </c>
      <c r="P96" s="19">
        <v>6</v>
      </c>
      <c r="Q96" s="19"/>
      <c r="R96" s="19">
        <v>0</v>
      </c>
      <c r="S96" s="44">
        <f>SUMPRODUCT(N96:R96,'Fisico SPOT MAT'!N96:R96)*E96</f>
        <v>3638769.6158645833</v>
      </c>
      <c r="T96" s="17"/>
      <c r="U96" s="17">
        <v>18</v>
      </c>
      <c r="V96" s="17">
        <v>60</v>
      </c>
      <c r="W96" s="28">
        <f>SUMPRODUCT(T96:V96,'Fisico SPOT MAT'!T96:V96)*24</f>
        <v>1904648.736</v>
      </c>
      <c r="X96" s="19">
        <v>0</v>
      </c>
      <c r="Y96" s="19">
        <v>5</v>
      </c>
      <c r="Z96" s="19">
        <v>0</v>
      </c>
      <c r="AA96" s="28">
        <f>SUMPRODUCT(X96:Z96,'Fisico SPOT MAT'!X96:Z96)*E96</f>
        <v>42000</v>
      </c>
      <c r="AD96" s="41">
        <v>35.869289322569855</v>
      </c>
      <c r="AE96" s="42">
        <v>28.901208915768478</v>
      </c>
      <c r="AF96">
        <v>5050</v>
      </c>
      <c r="AG96" s="74">
        <f t="shared" ref="AG96:AG101" si="25">0.075*0.9*(AD96-7)</f>
        <v>1.9486770292734654</v>
      </c>
      <c r="AH96">
        <v>2.2000000000000002</v>
      </c>
      <c r="AJ96">
        <v>384</v>
      </c>
    </row>
    <row r="97" spans="1:36" x14ac:dyDescent="0.25">
      <c r="A97" s="3">
        <f t="shared" si="20"/>
        <v>1459.4167</v>
      </c>
      <c r="B97" s="42">
        <v>1437.4169999999999</v>
      </c>
      <c r="C97" s="1">
        <f t="shared" si="24"/>
        <v>2025</v>
      </c>
      <c r="D97" s="1">
        <f t="shared" si="23"/>
        <v>12</v>
      </c>
      <c r="E97" s="1">
        <v>16</v>
      </c>
      <c r="F97" s="1" t="s">
        <v>55</v>
      </c>
      <c r="G97" s="56">
        <f t="shared" si="21"/>
        <v>46008</v>
      </c>
      <c r="H97" s="17">
        <f t="shared" si="17"/>
        <v>40.82986723757277</v>
      </c>
      <c r="I97" s="17">
        <f t="shared" si="18"/>
        <v>33.435443234862824</v>
      </c>
      <c r="J97" s="17">
        <v>22</v>
      </c>
      <c r="K97" s="17"/>
      <c r="L97" s="17">
        <v>32</v>
      </c>
      <c r="M97" s="44">
        <f>SUMPRODUCT(H97:L97,'Fisico SPOT MAT'!H97:L97)*24</f>
        <v>6250732.0564717054</v>
      </c>
      <c r="N97" s="19">
        <f>+'Fisico SPOT MAT'!AG97</f>
        <v>16.840154106468617</v>
      </c>
      <c r="O97" s="19">
        <f t="shared" si="9"/>
        <v>13.151041666666666</v>
      </c>
      <c r="P97" s="19">
        <v>6</v>
      </c>
      <c r="Q97" s="19"/>
      <c r="R97" s="19">
        <v>0</v>
      </c>
      <c r="S97" s="44">
        <f>SUMPRODUCT(N97:R97,'Fisico SPOT MAT'!N97:R97)*E97</f>
        <v>3651795.1291006934</v>
      </c>
      <c r="T97" s="17"/>
      <c r="U97" s="17">
        <v>18</v>
      </c>
      <c r="V97" s="17">
        <v>60</v>
      </c>
      <c r="W97" s="28">
        <f>SUMPRODUCT(T97:V97,'Fisico SPOT MAT'!T97:V97)*24</f>
        <v>3129353.16</v>
      </c>
      <c r="X97" s="19">
        <v>0</v>
      </c>
      <c r="Y97" s="19">
        <v>5</v>
      </c>
      <c r="Z97" s="19">
        <v>0</v>
      </c>
      <c r="AA97" s="28">
        <f>SUMPRODUCT(X97:Z97,'Fisico SPOT MAT'!X97:Z97)*E97</f>
        <v>42000</v>
      </c>
      <c r="AD97" s="41">
        <v>36.629852213182922</v>
      </c>
      <c r="AE97" s="42">
        <v>29.235428210472975</v>
      </c>
      <c r="AF97">
        <v>5050</v>
      </c>
      <c r="AG97" s="74">
        <f t="shared" si="25"/>
        <v>2.0000150243898474</v>
      </c>
      <c r="AH97">
        <v>2.2000000000000002</v>
      </c>
      <c r="AJ97">
        <v>384</v>
      </c>
    </row>
    <row r="98" spans="1:36" x14ac:dyDescent="0.25">
      <c r="A98" s="3">
        <f t="shared" si="20"/>
        <v>1459.4167</v>
      </c>
      <c r="B98" s="42">
        <v>1437.4169999999999</v>
      </c>
      <c r="C98" s="1">
        <f t="shared" si="24"/>
        <v>2025</v>
      </c>
      <c r="D98" s="1">
        <f t="shared" si="23"/>
        <v>12</v>
      </c>
      <c r="E98" s="1">
        <v>16</v>
      </c>
      <c r="F98" s="1" t="s">
        <v>56</v>
      </c>
      <c r="G98" s="56">
        <f t="shared" si="21"/>
        <v>46009</v>
      </c>
      <c r="H98" s="17">
        <f t="shared" si="17"/>
        <v>40.815945734207418</v>
      </c>
      <c r="I98" s="17">
        <f t="shared" si="18"/>
        <v>36.784941946731337</v>
      </c>
      <c r="J98" s="17">
        <v>22</v>
      </c>
      <c r="K98" s="17"/>
      <c r="L98" s="17">
        <v>32</v>
      </c>
      <c r="M98" s="44">
        <f>SUMPRODUCT(H98:L98,'Fisico SPOT MAT'!H98:L98)*24</f>
        <v>7440105.4859983996</v>
      </c>
      <c r="N98" s="19">
        <f>+'Fisico SPOT MAT'!AG98</f>
        <v>16.831004116928838</v>
      </c>
      <c r="O98" s="19">
        <f t="shared" si="9"/>
        <v>13.151041666666666</v>
      </c>
      <c r="P98" s="19">
        <v>6</v>
      </c>
      <c r="Q98" s="19"/>
      <c r="R98" s="19">
        <v>0</v>
      </c>
      <c r="S98" s="44">
        <f>SUMPRODUCT(N98:R98,'Fisico SPOT MAT'!N98:R98)*E98</f>
        <v>3660994.7416354148</v>
      </c>
      <c r="T98" s="17"/>
      <c r="U98" s="17">
        <v>18</v>
      </c>
      <c r="V98" s="17">
        <v>60</v>
      </c>
      <c r="W98" s="28">
        <f>SUMPRODUCT(T98:V98,'Fisico SPOT MAT'!T98:V98)*24</f>
        <v>2512468.9020000002</v>
      </c>
      <c r="X98" s="19">
        <v>0</v>
      </c>
      <c r="Y98" s="19">
        <v>5</v>
      </c>
      <c r="Z98" s="19">
        <v>0</v>
      </c>
      <c r="AA98" s="28">
        <f>SUMPRODUCT(X98:Z98,'Fisico SPOT MAT'!X98:Z98)*E98</f>
        <v>42000</v>
      </c>
      <c r="AD98" s="41">
        <v>36.61681099223177</v>
      </c>
      <c r="AE98" s="42">
        <v>32.585807204755689</v>
      </c>
      <c r="AF98">
        <v>5050</v>
      </c>
      <c r="AG98" s="74">
        <f t="shared" si="25"/>
        <v>1.9991347419756447</v>
      </c>
      <c r="AH98">
        <v>2.2000000000000002</v>
      </c>
      <c r="AJ98">
        <v>384</v>
      </c>
    </row>
    <row r="99" spans="1:36" x14ac:dyDescent="0.25">
      <c r="A99" s="3">
        <f t="shared" si="20"/>
        <v>1459.4167</v>
      </c>
      <c r="B99" s="42">
        <v>1437.4169999999999</v>
      </c>
      <c r="C99" s="1">
        <f t="shared" si="24"/>
        <v>2025</v>
      </c>
      <c r="D99" s="1">
        <f t="shared" si="23"/>
        <v>12</v>
      </c>
      <c r="E99" s="1">
        <v>16</v>
      </c>
      <c r="F99" s="1" t="s">
        <v>57</v>
      </c>
      <c r="G99" s="56">
        <f t="shared" si="21"/>
        <v>46010</v>
      </c>
      <c r="H99" s="17">
        <f t="shared" si="17"/>
        <v>40.807413671637903</v>
      </c>
      <c r="I99" s="17">
        <f t="shared" si="18"/>
        <v>37.965433517072015</v>
      </c>
      <c r="J99" s="17">
        <v>22</v>
      </c>
      <c r="K99" s="17"/>
      <c r="L99" s="17">
        <v>32</v>
      </c>
      <c r="M99" s="44">
        <f>SUMPRODUCT(H99:L99,'Fisico SPOT MAT'!H99:L99)*24</f>
        <v>8269730.1136102267</v>
      </c>
      <c r="N99" s="19">
        <f>+'Fisico SPOT MAT'!AG99</f>
        <v>16.833868692541778</v>
      </c>
      <c r="O99" s="19">
        <f t="shared" si="9"/>
        <v>13.151041666666666</v>
      </c>
      <c r="P99" s="19">
        <v>6</v>
      </c>
      <c r="Q99" s="19"/>
      <c r="R99" s="19">
        <v>0</v>
      </c>
      <c r="S99" s="44">
        <f>SUMPRODUCT(N99:R99,'Fisico SPOT MAT'!N99:R99)*E99</f>
        <v>3669923.6666388889</v>
      </c>
      <c r="T99" s="17"/>
      <c r="U99" s="17">
        <v>18</v>
      </c>
      <c r="V99" s="17">
        <v>60</v>
      </c>
      <c r="W99" s="28">
        <f>SUMPRODUCT(T99:V99,'Fisico SPOT MAT'!T99:V99)*24</f>
        <v>2706080.094000001</v>
      </c>
      <c r="X99" s="19">
        <v>0</v>
      </c>
      <c r="Y99" s="19">
        <v>5</v>
      </c>
      <c r="Z99" s="19">
        <v>0</v>
      </c>
      <c r="AA99" s="28">
        <f>SUMPRODUCT(X99:Z99,'Fisico SPOT MAT'!X99:Z99)*E99</f>
        <v>42000</v>
      </c>
      <c r="AD99" s="41">
        <v>36.608818427763843</v>
      </c>
      <c r="AE99" s="42">
        <v>33.766838273197955</v>
      </c>
      <c r="AF99">
        <v>5050</v>
      </c>
      <c r="AG99" s="74">
        <f t="shared" si="25"/>
        <v>1.9985952438740595</v>
      </c>
      <c r="AH99">
        <v>2.2000000000000002</v>
      </c>
      <c r="AJ99">
        <v>384</v>
      </c>
    </row>
    <row r="100" spans="1:36" x14ac:dyDescent="0.25">
      <c r="A100" s="3">
        <f t="shared" si="20"/>
        <v>1459.4167</v>
      </c>
      <c r="B100" s="42">
        <v>1437.4169999999999</v>
      </c>
      <c r="C100" s="1">
        <f t="shared" si="24"/>
        <v>2025</v>
      </c>
      <c r="D100" s="1">
        <f t="shared" si="23"/>
        <v>12</v>
      </c>
      <c r="E100" s="1">
        <v>6</v>
      </c>
      <c r="F100" s="1" t="s">
        <v>51</v>
      </c>
      <c r="G100" s="56">
        <f t="shared" si="21"/>
        <v>46011</v>
      </c>
      <c r="H100" s="17">
        <f t="shared" si="17"/>
        <v>40.193118280419128</v>
      </c>
      <c r="I100" s="17">
        <f t="shared" si="18"/>
        <v>34.349778301593823</v>
      </c>
      <c r="J100" s="17">
        <v>22</v>
      </c>
      <c r="K100" s="17"/>
      <c r="L100" s="17">
        <v>32</v>
      </c>
      <c r="M100" s="44">
        <f>SUMPRODUCT(H100:L100,'Fisico SPOT MAT'!H100:L100)*24</f>
        <v>7928702.5874821907</v>
      </c>
      <c r="N100" s="19">
        <f>+'Fisico SPOT MAT'!AG100</f>
        <v>16.814060108045712</v>
      </c>
      <c r="O100" s="19">
        <f t="shared" si="9"/>
        <v>13.151041666666666</v>
      </c>
      <c r="P100" s="19">
        <v>6</v>
      </c>
      <c r="Q100" s="19"/>
      <c r="R100" s="19">
        <v>0</v>
      </c>
      <c r="S100" s="44">
        <f>SUMPRODUCT(N100:R100,'Fisico SPOT MAT'!N100:R100)*E100</f>
        <v>1366948.8242630204</v>
      </c>
      <c r="T100" s="17"/>
      <c r="U100" s="17">
        <v>18</v>
      </c>
      <c r="V100" s="17">
        <v>60</v>
      </c>
      <c r="W100" s="28">
        <f>SUMPRODUCT(T100:V100,'Fisico SPOT MAT'!T100:V100)*24</f>
        <v>1978495.2600000002</v>
      </c>
      <c r="X100" s="19">
        <v>0</v>
      </c>
      <c r="Y100" s="19">
        <v>5</v>
      </c>
      <c r="Z100" s="19">
        <v>0</v>
      </c>
      <c r="AA100" s="28">
        <f>SUMPRODUCT(X100:Z100,'Fisico SPOT MAT'!X100:Z100)*E100</f>
        <v>15750</v>
      </c>
      <c r="AD100" s="41">
        <v>36.033366070650231</v>
      </c>
      <c r="AE100" s="42">
        <v>30.190026091824929</v>
      </c>
      <c r="AF100">
        <v>5050</v>
      </c>
      <c r="AG100" s="74">
        <f t="shared" si="25"/>
        <v>1.9597522097688909</v>
      </c>
      <c r="AH100">
        <v>2.2000000000000002</v>
      </c>
      <c r="AJ100">
        <v>384</v>
      </c>
    </row>
    <row r="101" spans="1:36" x14ac:dyDescent="0.25">
      <c r="A101" s="3">
        <f t="shared" si="20"/>
        <v>1459.4167</v>
      </c>
      <c r="B101" s="42">
        <v>1437.4169999999999</v>
      </c>
      <c r="C101" s="1">
        <f t="shared" si="24"/>
        <v>2025</v>
      </c>
      <c r="D101" s="1">
        <f t="shared" si="23"/>
        <v>12</v>
      </c>
      <c r="E101" s="1">
        <v>4</v>
      </c>
      <c r="F101" s="1" t="s">
        <v>52</v>
      </c>
      <c r="G101" s="56">
        <f t="shared" si="21"/>
        <v>46012</v>
      </c>
      <c r="H101" s="17">
        <f t="shared" si="17"/>
        <v>40.91658803531854</v>
      </c>
      <c r="I101" s="17">
        <f t="shared" si="18"/>
        <v>33.521066339998661</v>
      </c>
      <c r="J101" s="17">
        <v>22</v>
      </c>
      <c r="K101" s="17"/>
      <c r="L101" s="17">
        <v>32</v>
      </c>
      <c r="M101" s="44">
        <f>SUMPRODUCT(H101:L101,'Fisico SPOT MAT'!H101:L101)*24</f>
        <v>7002795.609562858</v>
      </c>
      <c r="N101" s="19">
        <f>+'Fisico SPOT MAT'!AG101</f>
        <v>16.829345035619479</v>
      </c>
      <c r="O101" s="19">
        <f t="shared" si="9"/>
        <v>13.151041666666666</v>
      </c>
      <c r="P101" s="19">
        <v>6</v>
      </c>
      <c r="Q101" s="19"/>
      <c r="R101" s="19">
        <v>0</v>
      </c>
      <c r="S101" s="44">
        <f>SUMPRODUCT(N101:R101,'Fisico SPOT MAT'!N101:R101)*E101</f>
        <v>923255.3697986108</v>
      </c>
      <c r="T101" s="17"/>
      <c r="U101" s="17">
        <v>18</v>
      </c>
      <c r="V101" s="17">
        <v>60</v>
      </c>
      <c r="W101" s="28">
        <f>SUMPRODUCT(T101:V101,'Fisico SPOT MAT'!T101:V101)*24</f>
        <v>1828317.5940000003</v>
      </c>
      <c r="X101" s="19">
        <v>0</v>
      </c>
      <c r="Y101" s="19">
        <v>5</v>
      </c>
      <c r="Z101" s="19">
        <v>0</v>
      </c>
      <c r="AA101" s="28">
        <f>SUMPRODUCT(X101:Z101,'Fisico SPOT MAT'!X101:Z101)*E101</f>
        <v>10500</v>
      </c>
      <c r="AD101" s="41">
        <v>36.711089494443591</v>
      </c>
      <c r="AE101" s="42">
        <v>29.31556779912372</v>
      </c>
      <c r="AF101">
        <v>5050</v>
      </c>
      <c r="AG101" s="74">
        <f t="shared" si="25"/>
        <v>2.0054985408749424</v>
      </c>
      <c r="AH101">
        <v>2.2000000000000002</v>
      </c>
      <c r="AJ101">
        <v>384</v>
      </c>
    </row>
    <row r="102" spans="1:36" x14ac:dyDescent="0.25">
      <c r="A102" s="3">
        <f t="shared" si="20"/>
        <v>1459.4167</v>
      </c>
      <c r="B102" s="42">
        <v>1437.4169999999999</v>
      </c>
      <c r="C102" s="1">
        <f t="shared" ref="C102:C115" si="26">YEAR(G102)</f>
        <v>2025</v>
      </c>
      <c r="D102" s="1">
        <f t="shared" si="23"/>
        <v>12</v>
      </c>
      <c r="E102" s="1">
        <v>16</v>
      </c>
      <c r="F102" s="1" t="s">
        <v>53</v>
      </c>
      <c r="G102" s="56">
        <f t="shared" si="21"/>
        <v>46013</v>
      </c>
      <c r="H102" s="17">
        <f t="shared" si="17"/>
        <v>40.253659307177912</v>
      </c>
      <c r="I102" s="17">
        <f t="shared" si="18"/>
        <v>33.318097230796418</v>
      </c>
      <c r="J102" s="17">
        <v>22</v>
      </c>
      <c r="K102" s="17"/>
      <c r="L102" s="17">
        <v>32</v>
      </c>
      <c r="M102" s="44">
        <f>SUMPRODUCT(H102:L102,'Fisico SPOT MAT'!H102:L102)*24</f>
        <v>7659701.5371423345</v>
      </c>
      <c r="N102" s="19">
        <f>+'Fisico SPOT MAT'!AG102</f>
        <v>16.842383216354694</v>
      </c>
      <c r="O102" s="19">
        <f t="shared" si="9"/>
        <v>13.151041666666666</v>
      </c>
      <c r="P102" s="19">
        <v>6</v>
      </c>
      <c r="Q102" s="19"/>
      <c r="R102" s="19">
        <v>0</v>
      </c>
      <c r="S102" s="44">
        <f>SUMPRODUCT(N102:R102,'Fisico SPOT MAT'!N102:R102)*E102</f>
        <v>3731749.1454548608</v>
      </c>
      <c r="T102" s="17"/>
      <c r="U102" s="17">
        <v>18</v>
      </c>
      <c r="V102" s="17">
        <v>60</v>
      </c>
      <c r="W102" s="28">
        <f>SUMPRODUCT(T102:V102,'Fisico SPOT MAT'!T102:V102)*24</f>
        <v>1708899.9420000003</v>
      </c>
      <c r="X102" s="19">
        <v>0</v>
      </c>
      <c r="Y102" s="19">
        <v>5</v>
      </c>
      <c r="Z102" s="19">
        <v>0</v>
      </c>
      <c r="AA102" s="28">
        <f>SUMPRODUCT(X102:Z102,'Fisico SPOT MAT'!X102:Z102)*E102</f>
        <v>42000</v>
      </c>
      <c r="AD102" s="41">
        <v>36.090078976279074</v>
      </c>
      <c r="AE102" s="42">
        <v>29.15451689989758</v>
      </c>
      <c r="AF102">
        <v>5050</v>
      </c>
      <c r="AG102" s="74">
        <f t="shared" ref="AG102:AG108" si="27">0.075*0.9*(AD102-7)</f>
        <v>1.9635803308988375</v>
      </c>
      <c r="AH102">
        <v>2.2000000000000002</v>
      </c>
      <c r="AJ102">
        <v>384</v>
      </c>
    </row>
    <row r="103" spans="1:36" x14ac:dyDescent="0.25">
      <c r="A103" s="3">
        <f t="shared" si="20"/>
        <v>1459.4167</v>
      </c>
      <c r="B103" s="42">
        <v>1437.4169999999999</v>
      </c>
      <c r="C103" s="1">
        <f t="shared" si="26"/>
        <v>2025</v>
      </c>
      <c r="D103" s="1">
        <f t="shared" si="23"/>
        <v>12</v>
      </c>
      <c r="E103" s="1">
        <v>16</v>
      </c>
      <c r="F103" s="1" t="s">
        <v>54</v>
      </c>
      <c r="G103" s="56">
        <f t="shared" si="21"/>
        <v>46014</v>
      </c>
      <c r="H103" s="17">
        <f t="shared" si="17"/>
        <v>41.415968942931656</v>
      </c>
      <c r="I103" s="17">
        <f t="shared" si="18"/>
        <v>33.923592911342915</v>
      </c>
      <c r="J103" s="17">
        <v>22</v>
      </c>
      <c r="K103" s="17"/>
      <c r="L103" s="17">
        <v>32</v>
      </c>
      <c r="M103" s="44">
        <f>SUMPRODUCT(H103:L103,'Fisico SPOT MAT'!H103:L103)*24</f>
        <v>7640566.7193584163</v>
      </c>
      <c r="N103" s="19">
        <f>+'Fisico SPOT MAT'!AG103</f>
        <v>16.853434624333545</v>
      </c>
      <c r="O103" s="19">
        <f t="shared" si="9"/>
        <v>13.151041666666666</v>
      </c>
      <c r="P103" s="19">
        <v>6</v>
      </c>
      <c r="Q103" s="19"/>
      <c r="R103" s="19">
        <v>0</v>
      </c>
      <c r="S103" s="44">
        <f>SUMPRODUCT(N103:R103,'Fisico SPOT MAT'!N103:R103)*E103</f>
        <v>3766361.2338784714</v>
      </c>
      <c r="T103" s="17"/>
      <c r="U103" s="17">
        <v>18</v>
      </c>
      <c r="V103" s="17">
        <v>60</v>
      </c>
      <c r="W103" s="28">
        <f>SUMPRODUCT(T103:V103,'Fisico SPOT MAT'!T103:V103)*24</f>
        <v>2196102.6779999989</v>
      </c>
      <c r="X103" s="19">
        <v>0</v>
      </c>
      <c r="Y103" s="19">
        <v>5</v>
      </c>
      <c r="Z103" s="19">
        <v>0</v>
      </c>
      <c r="AA103" s="28">
        <f>SUMPRODUCT(X103:Z103,'Fisico SPOT MAT'!X103:Z103)*E103</f>
        <v>42000</v>
      </c>
      <c r="AD103" s="41">
        <v>37.178893623355179</v>
      </c>
      <c r="AE103" s="42">
        <v>29.686517591766439</v>
      </c>
      <c r="AF103">
        <v>5050</v>
      </c>
      <c r="AG103" s="74">
        <f t="shared" si="27"/>
        <v>2.0370753195764748</v>
      </c>
      <c r="AH103">
        <v>2.2000000000000002</v>
      </c>
      <c r="AJ103">
        <v>384</v>
      </c>
    </row>
    <row r="104" spans="1:36" x14ac:dyDescent="0.25">
      <c r="A104" s="3">
        <f t="shared" si="20"/>
        <v>1459.4167</v>
      </c>
      <c r="B104" s="42">
        <v>1437.4169999999999</v>
      </c>
      <c r="C104" s="1">
        <f t="shared" si="26"/>
        <v>2025</v>
      </c>
      <c r="D104" s="1">
        <f t="shared" si="23"/>
        <v>12</v>
      </c>
      <c r="E104" s="1">
        <v>16</v>
      </c>
      <c r="F104" s="1" t="s">
        <v>55</v>
      </c>
      <c r="G104" s="56">
        <f t="shared" si="21"/>
        <v>46015</v>
      </c>
      <c r="H104" s="17">
        <f t="shared" si="17"/>
        <v>41.020234726301055</v>
      </c>
      <c r="I104" s="17">
        <f t="shared" si="18"/>
        <v>34.205971844753243</v>
      </c>
      <c r="J104" s="17">
        <v>22</v>
      </c>
      <c r="K104" s="17"/>
      <c r="L104" s="17">
        <v>32</v>
      </c>
      <c r="M104" s="44">
        <f>SUMPRODUCT(H104:L104,'Fisico SPOT MAT'!H104:L104)*24</f>
        <v>7437749.8096719086</v>
      </c>
      <c r="N104" s="19">
        <f>+'Fisico SPOT MAT'!AG104</f>
        <v>16.855921049680518</v>
      </c>
      <c r="O104" s="19">
        <f t="shared" si="9"/>
        <v>13.151041666666666</v>
      </c>
      <c r="P104" s="19">
        <v>6</v>
      </c>
      <c r="Q104" s="19"/>
      <c r="R104" s="19">
        <v>0</v>
      </c>
      <c r="S104" s="44">
        <f>SUMPRODUCT(N104:R104,'Fisico SPOT MAT'!N104:R104)*E104</f>
        <v>3772587.8023333317</v>
      </c>
      <c r="T104" s="17"/>
      <c r="U104" s="17">
        <v>18</v>
      </c>
      <c r="V104" s="17">
        <v>60</v>
      </c>
      <c r="W104" s="28">
        <f>SUMPRODUCT(T104:V104,'Fisico SPOT MAT'!T104:V104)*24</f>
        <v>2744025.6060000001</v>
      </c>
      <c r="X104" s="19">
        <v>0</v>
      </c>
      <c r="Y104" s="19">
        <v>5</v>
      </c>
      <c r="Z104" s="19">
        <v>0</v>
      </c>
      <c r="AA104" s="28">
        <f>SUMPRODUCT(X104:Z104,'Fisico SPOT MAT'!X104:Z104)*E104</f>
        <v>42000</v>
      </c>
      <c r="AD104" s="41">
        <v>36.808182413396771</v>
      </c>
      <c r="AE104" s="42">
        <v>29.993919531848956</v>
      </c>
      <c r="AF104">
        <v>5050</v>
      </c>
      <c r="AG104" s="74">
        <f t="shared" si="27"/>
        <v>2.0120523129042822</v>
      </c>
      <c r="AH104">
        <v>2.2000000000000002</v>
      </c>
      <c r="AJ104">
        <v>384</v>
      </c>
    </row>
    <row r="105" spans="1:36" x14ac:dyDescent="0.25">
      <c r="A105" s="3">
        <f t="shared" si="20"/>
        <v>1459.4167</v>
      </c>
      <c r="B105" s="42">
        <v>1437.4169999999999</v>
      </c>
      <c r="C105" s="1">
        <f t="shared" si="26"/>
        <v>2025</v>
      </c>
      <c r="D105" s="1">
        <f t="shared" si="23"/>
        <v>12</v>
      </c>
      <c r="E105" s="1">
        <v>4</v>
      </c>
      <c r="F105" s="1" t="s">
        <v>56</v>
      </c>
      <c r="G105" s="56">
        <f t="shared" si="21"/>
        <v>46016</v>
      </c>
      <c r="H105" s="17">
        <f t="shared" si="17"/>
        <v>41.648464233696693</v>
      </c>
      <c r="I105" s="17">
        <f t="shared" si="18"/>
        <v>35.512108299282886</v>
      </c>
      <c r="J105" s="17">
        <v>22</v>
      </c>
      <c r="K105" s="17"/>
      <c r="L105" s="17">
        <v>32</v>
      </c>
      <c r="M105" s="44">
        <f>SUMPRODUCT(H105:L105,'Fisico SPOT MAT'!H105:L105)*24</f>
        <v>6173235.3256298052</v>
      </c>
      <c r="N105" s="19">
        <f>+'Fisico SPOT MAT'!AG105</f>
        <v>16.871304484812189</v>
      </c>
      <c r="O105" s="19">
        <f t="shared" si="9"/>
        <v>13.151041666666666</v>
      </c>
      <c r="P105" s="19">
        <v>6</v>
      </c>
      <c r="Q105" s="19"/>
      <c r="R105" s="19">
        <v>0</v>
      </c>
      <c r="S105" s="44">
        <f>SUMPRODUCT(N105:R105,'Fisico SPOT MAT'!N105:R105)*E105</f>
        <v>956269.66215017298</v>
      </c>
      <c r="T105" s="17"/>
      <c r="U105" s="17">
        <v>18</v>
      </c>
      <c r="V105" s="17">
        <v>60</v>
      </c>
      <c r="W105" s="28">
        <f>SUMPRODUCT(T105:V105,'Fisico SPOT MAT'!T105:V105)*24</f>
        <v>2335297.2239999999</v>
      </c>
      <c r="X105" s="19">
        <v>0</v>
      </c>
      <c r="Y105" s="19">
        <v>5</v>
      </c>
      <c r="Z105" s="19">
        <v>0</v>
      </c>
      <c r="AA105" s="28">
        <f>SUMPRODUCT(X105:Z105,'Fisico SPOT MAT'!X105:Z105)*E105</f>
        <v>10500</v>
      </c>
      <c r="AD105" s="41">
        <v>37.396687806741632</v>
      </c>
      <c r="AE105" s="42">
        <v>31.260331872327825</v>
      </c>
      <c r="AF105">
        <v>5050</v>
      </c>
      <c r="AG105" s="74">
        <f t="shared" si="27"/>
        <v>2.0517764269550605</v>
      </c>
      <c r="AH105">
        <v>2.2000000000000002</v>
      </c>
      <c r="AJ105">
        <v>384</v>
      </c>
    </row>
    <row r="106" spans="1:36" x14ac:dyDescent="0.25">
      <c r="A106" s="3">
        <f t="shared" si="20"/>
        <v>1459.4167</v>
      </c>
      <c r="B106" s="42">
        <v>1437.4169999999999</v>
      </c>
      <c r="C106" s="1">
        <f t="shared" si="26"/>
        <v>2025</v>
      </c>
      <c r="D106" s="1">
        <f t="shared" si="23"/>
        <v>12</v>
      </c>
      <c r="E106" s="1">
        <v>16</v>
      </c>
      <c r="F106" s="1" t="s">
        <v>57</v>
      </c>
      <c r="G106" s="56">
        <f t="shared" si="21"/>
        <v>46017</v>
      </c>
      <c r="H106" s="17">
        <f t="shared" si="17"/>
        <v>40.498410044975159</v>
      </c>
      <c r="I106" s="17">
        <f t="shared" si="18"/>
        <v>33.136037961202234</v>
      </c>
      <c r="J106" s="17">
        <v>22</v>
      </c>
      <c r="K106" s="17"/>
      <c r="L106" s="17">
        <v>32</v>
      </c>
      <c r="M106" s="44">
        <f>SUMPRODUCT(H106:L106,'Fisico SPOT MAT'!H106:L106)*24</f>
        <v>7295873.3806169517</v>
      </c>
      <c r="N106" s="19">
        <f>+'Fisico SPOT MAT'!AG106</f>
        <v>16.866386660454317</v>
      </c>
      <c r="O106" s="19">
        <f t="shared" si="9"/>
        <v>13.151041666666666</v>
      </c>
      <c r="P106" s="19">
        <v>6</v>
      </c>
      <c r="Q106" s="19"/>
      <c r="R106" s="19">
        <v>0</v>
      </c>
      <c r="S106" s="44">
        <f>SUMPRODUCT(N106:R106,'Fisico SPOT MAT'!N106:R106)*E106</f>
        <v>3812716.2550694435</v>
      </c>
      <c r="T106" s="17"/>
      <c r="U106" s="17">
        <v>18</v>
      </c>
      <c r="V106" s="17">
        <v>60</v>
      </c>
      <c r="W106" s="28">
        <f>SUMPRODUCT(T106:V106,'Fisico SPOT MAT'!T106:V106)*24</f>
        <v>2866617.594000001</v>
      </c>
      <c r="X106" s="19">
        <v>0</v>
      </c>
      <c r="Y106" s="19">
        <v>5</v>
      </c>
      <c r="Z106" s="19">
        <v>0</v>
      </c>
      <c r="AA106" s="28">
        <f>SUMPRODUCT(X106:Z106,'Fisico SPOT MAT'!X106:Z106)*E106</f>
        <v>42000</v>
      </c>
      <c r="AD106" s="41">
        <v>36.319353672107873</v>
      </c>
      <c r="AE106" s="42">
        <v>28.956981588334955</v>
      </c>
      <c r="AF106">
        <v>5050</v>
      </c>
      <c r="AG106" s="74">
        <f t="shared" si="27"/>
        <v>1.9790563728672816</v>
      </c>
      <c r="AH106">
        <v>2.2000000000000002</v>
      </c>
      <c r="AJ106">
        <v>384</v>
      </c>
    </row>
    <row r="107" spans="1:36" x14ac:dyDescent="0.25">
      <c r="A107" s="3">
        <f t="shared" si="20"/>
        <v>1459.4167</v>
      </c>
      <c r="B107" s="42">
        <v>1437.4169999999999</v>
      </c>
      <c r="C107" s="1">
        <f t="shared" si="26"/>
        <v>2025</v>
      </c>
      <c r="D107" s="1">
        <f t="shared" si="23"/>
        <v>12</v>
      </c>
      <c r="E107" s="1">
        <v>6</v>
      </c>
      <c r="F107" s="1" t="s">
        <v>51</v>
      </c>
      <c r="G107" s="56">
        <f t="shared" si="21"/>
        <v>46018</v>
      </c>
      <c r="H107" s="17">
        <f t="shared" si="17"/>
        <v>39.900749696128436</v>
      </c>
      <c r="I107" s="17">
        <f t="shared" si="18"/>
        <v>33.169250874599278</v>
      </c>
      <c r="J107" s="17">
        <v>22</v>
      </c>
      <c r="K107" s="17"/>
      <c r="L107" s="17">
        <v>32</v>
      </c>
      <c r="M107" s="44">
        <f>SUMPRODUCT(H107:L107,'Fisico SPOT MAT'!H107:L107)*24</f>
        <v>7853298.142477043</v>
      </c>
      <c r="N107" s="19">
        <f>+'Fisico SPOT MAT'!AG107</f>
        <v>16.840712743491331</v>
      </c>
      <c r="O107" s="19">
        <f t="shared" si="9"/>
        <v>13.151041666666666</v>
      </c>
      <c r="P107" s="19">
        <v>6</v>
      </c>
      <c r="Q107" s="19"/>
      <c r="R107" s="19">
        <v>0</v>
      </c>
      <c r="S107" s="44">
        <f>SUMPRODUCT(N107:R107,'Fisico SPOT MAT'!N107:R107)*E107</f>
        <v>1398064.8012252594</v>
      </c>
      <c r="T107" s="17"/>
      <c r="U107" s="17">
        <v>18</v>
      </c>
      <c r="V107" s="17">
        <v>60</v>
      </c>
      <c r="W107" s="28">
        <f>SUMPRODUCT(T107:V107,'Fisico SPOT MAT'!T107:V107)*24</f>
        <v>2278246.8359999997</v>
      </c>
      <c r="X107" s="19">
        <v>0</v>
      </c>
      <c r="Y107" s="19">
        <v>5</v>
      </c>
      <c r="Z107" s="19">
        <v>0</v>
      </c>
      <c r="AA107" s="28">
        <f>SUMPRODUCT(X107:Z107,'Fisico SPOT MAT'!X107:Z107)*E107</f>
        <v>15750</v>
      </c>
      <c r="AD107" s="41">
        <v>35.759484492860359</v>
      </c>
      <c r="AE107" s="42">
        <v>29.027985671331205</v>
      </c>
      <c r="AF107">
        <v>5050</v>
      </c>
      <c r="AG107" s="74">
        <f t="shared" si="27"/>
        <v>1.9412652032680744</v>
      </c>
      <c r="AH107">
        <v>2.2000000000000002</v>
      </c>
      <c r="AJ107">
        <v>384</v>
      </c>
    </row>
    <row r="108" spans="1:36" x14ac:dyDescent="0.25">
      <c r="A108" s="3">
        <f t="shared" si="20"/>
        <v>1459.4167</v>
      </c>
      <c r="B108" s="42">
        <v>1437.4169999999999</v>
      </c>
      <c r="C108" s="1">
        <f t="shared" si="26"/>
        <v>2025</v>
      </c>
      <c r="D108" s="1">
        <f t="shared" si="23"/>
        <v>12</v>
      </c>
      <c r="E108" s="1">
        <v>4</v>
      </c>
      <c r="F108" s="1" t="s">
        <v>52</v>
      </c>
      <c r="G108" s="56">
        <f t="shared" si="21"/>
        <v>46019</v>
      </c>
      <c r="H108" s="17">
        <f t="shared" si="17"/>
        <v>43.605958483023429</v>
      </c>
      <c r="I108" s="17">
        <f t="shared" si="18"/>
        <v>33.946400284233867</v>
      </c>
      <c r="J108" s="17">
        <v>22</v>
      </c>
      <c r="K108" s="17"/>
      <c r="L108" s="17">
        <v>32</v>
      </c>
      <c r="M108" s="44">
        <f>SUMPRODUCT(H108:L108,'Fisico SPOT MAT'!H108:L108)*24</f>
        <v>8478025.1835281439</v>
      </c>
      <c r="N108" s="19">
        <f>+'Fisico SPOT MAT'!AG108</f>
        <v>16.847740649465383</v>
      </c>
      <c r="O108" s="19">
        <f t="shared" si="9"/>
        <v>13.151041666666666</v>
      </c>
      <c r="P108" s="19">
        <v>6</v>
      </c>
      <c r="Q108" s="19"/>
      <c r="R108" s="19">
        <v>0</v>
      </c>
      <c r="S108" s="44">
        <f>SUMPRODUCT(N108:R108,'Fisico SPOT MAT'!N108:R108)*E108</f>
        <v>937629.22752690967</v>
      </c>
      <c r="T108" s="17"/>
      <c r="U108" s="17">
        <v>18</v>
      </c>
      <c r="V108" s="17">
        <v>60</v>
      </c>
      <c r="W108" s="28">
        <f>SUMPRODUCT(T108:V108,'Fisico SPOT MAT'!T108:V108)*24</f>
        <v>2169219.2700000005</v>
      </c>
      <c r="X108" s="19">
        <v>0</v>
      </c>
      <c r="Y108" s="19">
        <v>5</v>
      </c>
      <c r="Z108" s="19">
        <v>0</v>
      </c>
      <c r="AA108" s="28">
        <f>SUMPRODUCT(X108:Z108,'Fisico SPOT MAT'!X108:Z108)*E108</f>
        <v>10500</v>
      </c>
      <c r="AD108" s="41">
        <v>39.23040607308986</v>
      </c>
      <c r="AE108" s="42">
        <v>29.570847874300302</v>
      </c>
      <c r="AF108">
        <v>5050</v>
      </c>
      <c r="AG108" s="74">
        <f t="shared" si="27"/>
        <v>2.1755524099335655</v>
      </c>
      <c r="AH108">
        <v>2.2000000000000002</v>
      </c>
      <c r="AJ108">
        <v>384</v>
      </c>
    </row>
    <row r="109" spans="1:36" x14ac:dyDescent="0.25">
      <c r="A109" s="3">
        <f t="shared" si="20"/>
        <v>1459.4167</v>
      </c>
      <c r="B109" s="49">
        <v>1450.4169999999999</v>
      </c>
      <c r="C109" s="1">
        <f t="shared" si="26"/>
        <v>2025</v>
      </c>
      <c r="D109" s="1">
        <f t="shared" si="23"/>
        <v>12</v>
      </c>
      <c r="E109" s="1">
        <v>16</v>
      </c>
      <c r="F109" s="1" t="s">
        <v>53</v>
      </c>
      <c r="G109" s="56">
        <f t="shared" ref="G109:G141" si="28">+G108+1</f>
        <v>46020</v>
      </c>
      <c r="H109" s="17">
        <f t="shared" ref="H109:H111" si="29">+AD109+AG109+AH109</f>
        <v>45.535357997965122</v>
      </c>
      <c r="I109" s="17">
        <f t="shared" ref="I109:I111" si="30">+AE109+AG109+AH109</f>
        <v>33.914699172824648</v>
      </c>
      <c r="J109" s="17">
        <v>22</v>
      </c>
      <c r="K109" s="17"/>
      <c r="L109" s="17">
        <v>32</v>
      </c>
      <c r="M109" s="44">
        <f>SUMPRODUCT(H109:L109,'Fisico SPOT MAT'!H109:L109)*24</f>
        <v>9557894.2301327195</v>
      </c>
      <c r="N109" s="19">
        <f>+'Fisico SPOT MAT'!AG109</f>
        <v>16.816689789321991</v>
      </c>
      <c r="O109" s="19">
        <f t="shared" si="9"/>
        <v>13.151041666666666</v>
      </c>
      <c r="P109" s="19">
        <v>6</v>
      </c>
      <c r="Q109" s="19"/>
      <c r="R109" s="19">
        <v>0</v>
      </c>
      <c r="S109" s="44">
        <f>SUMPRODUCT(N109:R109,'Fisico SPOT MAT'!N109:R109)*E109</f>
        <v>3653503.4624131927</v>
      </c>
      <c r="T109" s="17"/>
      <c r="U109" s="17">
        <v>18</v>
      </c>
      <c r="V109" s="17">
        <v>60</v>
      </c>
      <c r="W109" s="28">
        <f>SUMPRODUCT(T109:V109,'Fisico SPOT MAT'!T109:V109)*24</f>
        <v>2196947.0219999999</v>
      </c>
      <c r="X109" s="19">
        <v>0</v>
      </c>
      <c r="Y109" s="19">
        <v>5</v>
      </c>
      <c r="Z109" s="19">
        <v>0</v>
      </c>
      <c r="AA109" s="28">
        <f>SUMPRODUCT(X109:Z109,'Fisico SPOT MAT'!X109:Z109)*E109</f>
        <v>42000</v>
      </c>
      <c r="AD109" s="41">
        <v>41.037806087086764</v>
      </c>
      <c r="AE109" s="42">
        <v>29.41714726194629</v>
      </c>
      <c r="AF109">
        <v>5050</v>
      </c>
      <c r="AG109" s="74">
        <f t="shared" ref="AG109:AG115" si="31">0.075*0.9*(AD109-7)</f>
        <v>2.2975519108783566</v>
      </c>
      <c r="AH109">
        <v>2.2000000000000002</v>
      </c>
      <c r="AJ109">
        <v>384</v>
      </c>
    </row>
    <row r="110" spans="1:36" x14ac:dyDescent="0.25">
      <c r="A110" s="3">
        <f t="shared" si="20"/>
        <v>1459.4167</v>
      </c>
      <c r="B110" s="49">
        <v>1450.4169999999999</v>
      </c>
      <c r="C110" s="1">
        <f t="shared" si="26"/>
        <v>2025</v>
      </c>
      <c r="D110" s="1">
        <f t="shared" si="23"/>
        <v>12</v>
      </c>
      <c r="E110" s="1">
        <v>16</v>
      </c>
      <c r="F110" s="1" t="s">
        <v>54</v>
      </c>
      <c r="G110" s="56">
        <f t="shared" si="28"/>
        <v>46021</v>
      </c>
      <c r="H110" s="17">
        <f t="shared" si="29"/>
        <v>48.549743141367756</v>
      </c>
      <c r="I110" s="17">
        <f t="shared" si="30"/>
        <v>33.841245031857348</v>
      </c>
      <c r="J110" s="17">
        <v>22</v>
      </c>
      <c r="K110" s="17"/>
      <c r="L110" s="17">
        <v>32</v>
      </c>
      <c r="M110" s="44">
        <f>SUMPRODUCT(H110:L110,'Fisico SPOT MAT'!H110:L110)*24</f>
        <v>10640027.431652188</v>
      </c>
      <c r="N110" s="19">
        <f>+'Fisico SPOT MAT'!AG110</f>
        <v>16.778392866238509</v>
      </c>
      <c r="O110" s="19">
        <f t="shared" si="9"/>
        <v>13.151041666666666</v>
      </c>
      <c r="P110" s="19">
        <v>6</v>
      </c>
      <c r="Q110" s="19"/>
      <c r="R110" s="19">
        <v>0</v>
      </c>
      <c r="S110" s="44">
        <f>SUMPRODUCT(N110:R110,'Fisico SPOT MAT'!N110:R110)*E110</f>
        <v>3541553.0024826373</v>
      </c>
      <c r="T110" s="17"/>
      <c r="U110" s="17">
        <v>18</v>
      </c>
      <c r="V110" s="17">
        <v>60</v>
      </c>
      <c r="W110" s="28">
        <f>SUMPRODUCT(T110:V110,'Fisico SPOT MAT'!T110:V110)*24</f>
        <v>2285678.9640000006</v>
      </c>
      <c r="X110" s="19">
        <v>0</v>
      </c>
      <c r="Y110" s="19">
        <v>5</v>
      </c>
      <c r="Z110" s="19">
        <v>0</v>
      </c>
      <c r="AA110" s="28">
        <f>SUMPRODUCT(X110:Z110,'Fisico SPOT MAT'!X110:Z110)*E110</f>
        <v>42000</v>
      </c>
      <c r="AD110" s="41">
        <v>43.861586080906562</v>
      </c>
      <c r="AE110" s="42">
        <v>29.15308797139615</v>
      </c>
      <c r="AF110">
        <v>5050</v>
      </c>
      <c r="AG110" s="74">
        <f t="shared" si="31"/>
        <v>2.4881570604611931</v>
      </c>
      <c r="AH110">
        <v>2.2000000000000002</v>
      </c>
      <c r="AJ110">
        <v>384</v>
      </c>
    </row>
    <row r="111" spans="1:36" x14ac:dyDescent="0.25">
      <c r="A111" s="3">
        <f t="shared" si="20"/>
        <v>1459.4167</v>
      </c>
      <c r="B111" s="49">
        <v>1450.4169999999999</v>
      </c>
      <c r="C111" s="1">
        <f t="shared" si="26"/>
        <v>2025</v>
      </c>
      <c r="D111" s="1">
        <f t="shared" si="23"/>
        <v>12</v>
      </c>
      <c r="E111" s="1">
        <v>16</v>
      </c>
      <c r="F111" s="1" t="s">
        <v>55</v>
      </c>
      <c r="G111" s="56">
        <f t="shared" si="28"/>
        <v>46022</v>
      </c>
      <c r="H111" s="17">
        <f t="shared" si="29"/>
        <v>46.959300938046098</v>
      </c>
      <c r="I111" s="17">
        <f t="shared" si="30"/>
        <v>33.15193253119002</v>
      </c>
      <c r="J111" s="17">
        <v>22</v>
      </c>
      <c r="K111" s="17"/>
      <c r="L111" s="17">
        <v>32</v>
      </c>
      <c r="M111" s="44">
        <f>SUMPRODUCT(H111:L111,'Fisico SPOT MAT'!H111:L111)*24</f>
        <v>9362226.1763719786</v>
      </c>
      <c r="N111" s="19">
        <f>+'Fisico SPOT MAT'!AG111</f>
        <v>16.717467259093379</v>
      </c>
      <c r="O111" s="19">
        <f t="shared" si="9"/>
        <v>13.151041666666666</v>
      </c>
      <c r="P111" s="19">
        <v>6</v>
      </c>
      <c r="Q111" s="19"/>
      <c r="R111" s="19">
        <v>0</v>
      </c>
      <c r="S111" s="44">
        <f>SUMPRODUCT(N111:R111,'Fisico SPOT MAT'!N111:R111)*E111</f>
        <v>3377213.7466597199</v>
      </c>
      <c r="T111" s="17"/>
      <c r="U111" s="17">
        <v>18</v>
      </c>
      <c r="V111" s="17">
        <v>60</v>
      </c>
      <c r="W111" s="28">
        <f>SUMPRODUCT(T111:V111,'Fisico SPOT MAT'!T111:V111)*24</f>
        <v>2481216.8339999993</v>
      </c>
      <c r="X111" s="19">
        <v>0</v>
      </c>
      <c r="Y111" s="19">
        <v>5</v>
      </c>
      <c r="Z111" s="19">
        <v>0</v>
      </c>
      <c r="AA111" s="28">
        <f>SUMPRODUCT(X111:Z111,'Fisico SPOT MAT'!X111:Z111)*E111</f>
        <v>42000</v>
      </c>
      <c r="AD111" s="41">
        <v>42.371710480605245</v>
      </c>
      <c r="AE111" s="42">
        <v>28.564342073749163</v>
      </c>
      <c r="AF111">
        <v>5050</v>
      </c>
      <c r="AG111" s="74">
        <f t="shared" si="31"/>
        <v>2.387590457440854</v>
      </c>
      <c r="AH111">
        <v>2.2000000000000002</v>
      </c>
      <c r="AJ111">
        <v>384</v>
      </c>
    </row>
    <row r="112" spans="1:36" x14ac:dyDescent="0.25">
      <c r="A112" s="3">
        <v>1447.6657</v>
      </c>
      <c r="B112" s="49">
        <v>1450.4169999999999</v>
      </c>
      <c r="C112" s="1">
        <f t="shared" si="26"/>
        <v>2026</v>
      </c>
      <c r="D112" s="1">
        <f t="shared" si="23"/>
        <v>1</v>
      </c>
      <c r="E112" s="1">
        <v>4</v>
      </c>
      <c r="F112" s="1" t="s">
        <v>56</v>
      </c>
      <c r="G112" s="56">
        <f t="shared" si="28"/>
        <v>46023</v>
      </c>
      <c r="H112" s="17">
        <f>+AD112+AG112+AH112+AI112</f>
        <v>41.163466529275226</v>
      </c>
      <c r="I112" s="17">
        <f>+AE112+AG112+AH112+AI112</f>
        <v>36.04129338056385</v>
      </c>
      <c r="J112" s="17">
        <v>22</v>
      </c>
      <c r="K112" s="17"/>
      <c r="L112" s="17">
        <v>32</v>
      </c>
      <c r="M112" s="44">
        <f>SUMPRODUCT(H112:L112,'Fisico SPOT MAT'!H112:L112)*24</f>
        <v>6756765.5438014362</v>
      </c>
      <c r="N112" s="19">
        <f>+'Fisico SPOT MAT'!AG112</f>
        <v>16.847482769475562</v>
      </c>
      <c r="O112" s="19">
        <f t="shared" si="9"/>
        <v>13.082901554404145</v>
      </c>
      <c r="P112" s="19">
        <v>6</v>
      </c>
      <c r="Q112" s="19"/>
      <c r="R112" s="19">
        <v>0</v>
      </c>
      <c r="S112" s="44">
        <f>SUMPRODUCT(N112:R112,'Fisico SPOT MAT'!N112:R112)*E112</f>
        <v>936558.98377202067</v>
      </c>
      <c r="T112" s="17"/>
      <c r="U112" s="17">
        <v>18</v>
      </c>
      <c r="V112" s="17">
        <v>60</v>
      </c>
      <c r="W112" s="28">
        <f>SUMPRODUCT(T112:V112,'Fisico SPOT MAT'!T112:V112)*24</f>
        <v>2184148.8119999999</v>
      </c>
      <c r="X112" s="19">
        <v>0</v>
      </c>
      <c r="Y112" s="19">
        <v>5</v>
      </c>
      <c r="Z112" s="19">
        <v>0</v>
      </c>
      <c r="AA112" s="28">
        <f>SUMPRODUCT(X112:Z112,'Fisico SPOT MAT'!X112:Z112)*E112</f>
        <v>10500</v>
      </c>
      <c r="AC112" s="115"/>
      <c r="AD112" s="41">
        <v>38.206994406815198</v>
      </c>
      <c r="AE112" s="42">
        <v>33.084821258103823</v>
      </c>
      <c r="AF112">
        <v>5050</v>
      </c>
      <c r="AG112" s="74">
        <f>0.075*0.9*(AD112-7)</f>
        <v>2.1064721224600262</v>
      </c>
      <c r="AH112">
        <v>0</v>
      </c>
      <c r="AI112" s="41">
        <v>0.85</v>
      </c>
      <c r="AJ112">
        <v>386</v>
      </c>
    </row>
    <row r="113" spans="1:36" x14ac:dyDescent="0.25">
      <c r="A113" s="3">
        <f t="shared" ref="A113:A141" si="32">+A112</f>
        <v>1447.6657</v>
      </c>
      <c r="B113" s="49">
        <v>1450.4169999999999</v>
      </c>
      <c r="C113" s="1">
        <f t="shared" si="26"/>
        <v>2026</v>
      </c>
      <c r="D113" s="1">
        <f t="shared" si="23"/>
        <v>1</v>
      </c>
      <c r="E113" s="1">
        <v>16</v>
      </c>
      <c r="F113" s="1" t="s">
        <v>57</v>
      </c>
      <c r="G113" s="56">
        <f t="shared" si="28"/>
        <v>46024</v>
      </c>
      <c r="H113" s="17">
        <f t="shared" ref="H113:H130" si="33">+AD113+AG113+AH113+AI113</f>
        <v>41.26411643339263</v>
      </c>
      <c r="I113" s="17">
        <f t="shared" ref="I113:I130" si="34">+AE113+AG113+AH113+AI113</f>
        <v>36.067701902231029</v>
      </c>
      <c r="J113" s="17">
        <v>22</v>
      </c>
      <c r="K113" s="17"/>
      <c r="L113" s="17">
        <v>32</v>
      </c>
      <c r="M113" s="44">
        <f>SUMPRODUCT(H113:L113,'Fisico SPOT MAT'!H113:L113)*24</f>
        <v>7663808.146308776</v>
      </c>
      <c r="N113" s="19">
        <f>+'Fisico SPOT MAT'!AG113</f>
        <v>16.85949604793435</v>
      </c>
      <c r="O113" s="19">
        <f t="shared" si="9"/>
        <v>13.082901554404145</v>
      </c>
      <c r="P113" s="19">
        <v>6</v>
      </c>
      <c r="Q113" s="19"/>
      <c r="R113" s="19">
        <v>0</v>
      </c>
      <c r="S113" s="44">
        <f>SUMPRODUCT(N113:R113,'Fisico SPOT MAT'!N113:R113)*E113</f>
        <v>3782836.5971848001</v>
      </c>
      <c r="T113" s="17"/>
      <c r="U113" s="17">
        <v>18</v>
      </c>
      <c r="V113" s="17">
        <v>60</v>
      </c>
      <c r="W113" s="28">
        <f>SUMPRODUCT(T113:V113,'Fisico SPOT MAT'!T113:V113)*24</f>
        <v>2299409.6340000001</v>
      </c>
      <c r="X113" s="19">
        <v>0</v>
      </c>
      <c r="Y113" s="19">
        <v>5</v>
      </c>
      <c r="Z113" s="19">
        <v>0</v>
      </c>
      <c r="AA113" s="28">
        <f>SUMPRODUCT(X113:Z113,'Fisico SPOT MAT'!X113:Z113)*E113</f>
        <v>42000</v>
      </c>
      <c r="AC113" s="115"/>
      <c r="AD113" s="41">
        <v>38.301280031281152</v>
      </c>
      <c r="AE113" s="42">
        <v>33.104865500119551</v>
      </c>
      <c r="AF113">
        <v>5050</v>
      </c>
      <c r="AG113" s="74">
        <f t="shared" si="31"/>
        <v>2.1128364021114781</v>
      </c>
      <c r="AH113">
        <v>0</v>
      </c>
      <c r="AI113" s="41">
        <v>0.85</v>
      </c>
      <c r="AJ113">
        <v>386</v>
      </c>
    </row>
    <row r="114" spans="1:36" x14ac:dyDescent="0.25">
      <c r="A114" s="3">
        <f t="shared" si="32"/>
        <v>1447.6657</v>
      </c>
      <c r="B114" s="49">
        <v>1450.4169999999999</v>
      </c>
      <c r="C114" s="1">
        <f t="shared" si="26"/>
        <v>2026</v>
      </c>
      <c r="D114" s="1">
        <f t="shared" si="23"/>
        <v>1</v>
      </c>
      <c r="E114" s="1">
        <v>6</v>
      </c>
      <c r="F114" s="1" t="s">
        <v>51</v>
      </c>
      <c r="G114" s="56">
        <f t="shared" si="28"/>
        <v>46025</v>
      </c>
      <c r="H114" s="17">
        <f t="shared" si="33"/>
        <v>39.397512001545799</v>
      </c>
      <c r="I114" s="17">
        <f t="shared" si="34"/>
        <v>37.356911987511012</v>
      </c>
      <c r="J114" s="17">
        <v>22</v>
      </c>
      <c r="K114" s="17"/>
      <c r="L114" s="17">
        <v>32</v>
      </c>
      <c r="M114" s="44">
        <f>SUMPRODUCT(H114:L114,'Fisico SPOT MAT'!H114:L114)*24</f>
        <v>5990676.3594812229</v>
      </c>
      <c r="N114" s="19">
        <f>+'Fisico SPOT MAT'!AG114</f>
        <v>16.869233854600495</v>
      </c>
      <c r="O114" s="19">
        <f t="shared" si="9"/>
        <v>13.082901554404145</v>
      </c>
      <c r="P114" s="19">
        <v>6</v>
      </c>
      <c r="Q114" s="19"/>
      <c r="R114" s="19">
        <v>0</v>
      </c>
      <c r="S114" s="44">
        <f>SUMPRODUCT(N114:R114,'Fisico SPOT MAT'!N114:R114)*E114</f>
        <v>1430583.3230595852</v>
      </c>
      <c r="T114" s="17"/>
      <c r="U114" s="17">
        <v>18</v>
      </c>
      <c r="V114" s="17">
        <v>60</v>
      </c>
      <c r="W114" s="28">
        <f>SUMPRODUCT(T114:V114,'Fisico SPOT MAT'!T114:V114)*24</f>
        <v>2210825.0639999998</v>
      </c>
      <c r="X114" s="19">
        <v>0</v>
      </c>
      <c r="Y114" s="19">
        <v>5</v>
      </c>
      <c r="Z114" s="19">
        <v>0</v>
      </c>
      <c r="AA114" s="28">
        <f>SUMPRODUCT(X114:Z114,'Fisico SPOT MAT'!X114:Z114)*E114</f>
        <v>15750</v>
      </c>
      <c r="AC114" s="115"/>
      <c r="AD114" s="41">
        <v>36.552704451096766</v>
      </c>
      <c r="AE114" s="42">
        <v>34.512104437061979</v>
      </c>
      <c r="AF114">
        <v>5050</v>
      </c>
      <c r="AG114" s="74">
        <f t="shared" si="31"/>
        <v>1.9948075504490319</v>
      </c>
      <c r="AH114">
        <v>0</v>
      </c>
      <c r="AI114" s="41">
        <v>0.85</v>
      </c>
      <c r="AJ114">
        <v>386</v>
      </c>
    </row>
    <row r="115" spans="1:36" x14ac:dyDescent="0.25">
      <c r="A115" s="3">
        <f t="shared" si="32"/>
        <v>1447.6657</v>
      </c>
      <c r="B115" s="49">
        <v>1450.4169999999999</v>
      </c>
      <c r="C115" s="1">
        <f t="shared" si="26"/>
        <v>2026</v>
      </c>
      <c r="D115" s="1">
        <f t="shared" si="23"/>
        <v>1</v>
      </c>
      <c r="E115" s="1">
        <v>4</v>
      </c>
      <c r="F115" s="1" t="s">
        <v>52</v>
      </c>
      <c r="G115" s="56">
        <f t="shared" si="28"/>
        <v>46026</v>
      </c>
      <c r="H115" s="17">
        <f t="shared" si="33"/>
        <v>38.599396927084889</v>
      </c>
      <c r="I115" s="17">
        <f t="shared" si="34"/>
        <v>35.902162527289342</v>
      </c>
      <c r="J115" s="17">
        <v>22</v>
      </c>
      <c r="K115" s="17"/>
      <c r="L115" s="17">
        <v>32</v>
      </c>
      <c r="M115" s="44">
        <f>SUMPRODUCT(H115:L115,'Fisico SPOT MAT'!H115:L115)*24</f>
        <v>4922772.7621815</v>
      </c>
      <c r="N115" s="19">
        <f>+'Fisico SPOT MAT'!AG115</f>
        <v>16.86914207126204</v>
      </c>
      <c r="O115" s="19">
        <f t="shared" si="9"/>
        <v>13.082901554404145</v>
      </c>
      <c r="P115" s="19">
        <v>6</v>
      </c>
      <c r="Q115" s="19"/>
      <c r="R115" s="19">
        <v>0</v>
      </c>
      <c r="S115" s="44">
        <f>SUMPRODUCT(N115:R115,'Fisico SPOT MAT'!N115:R115)*E115</f>
        <v>939643.56785233144</v>
      </c>
      <c r="T115" s="17"/>
      <c r="U115" s="17">
        <v>18</v>
      </c>
      <c r="V115" s="17">
        <v>60</v>
      </c>
      <c r="W115" s="28">
        <f>SUMPRODUCT(T115:V115,'Fisico SPOT MAT'!T115:V115)*24</f>
        <v>1555000.2239999999</v>
      </c>
      <c r="X115" s="19">
        <v>0</v>
      </c>
      <c r="Y115" s="19">
        <v>5</v>
      </c>
      <c r="Z115" s="19">
        <v>0</v>
      </c>
      <c r="AA115" s="28">
        <f>SUMPRODUCT(X115:Z115,'Fisico SPOT MAT'!X115:Z115)*E115</f>
        <v>10500</v>
      </c>
      <c r="AC115" s="115"/>
      <c r="AD115" s="41">
        <v>35.80505566940036</v>
      </c>
      <c r="AE115" s="42">
        <v>33.107821269604813</v>
      </c>
      <c r="AF115">
        <v>5050</v>
      </c>
      <c r="AG115" s="74">
        <f t="shared" si="31"/>
        <v>1.9443412576845245</v>
      </c>
      <c r="AH115">
        <v>0</v>
      </c>
      <c r="AI115" s="41">
        <v>0.85</v>
      </c>
      <c r="AJ115">
        <v>386</v>
      </c>
    </row>
    <row r="116" spans="1:36" x14ac:dyDescent="0.25">
      <c r="A116" s="3">
        <f t="shared" si="32"/>
        <v>1447.6657</v>
      </c>
      <c r="B116" s="49">
        <v>1450.4169999999999</v>
      </c>
      <c r="C116" s="1">
        <f t="shared" ref="C116:C117" si="35">YEAR(G116)</f>
        <v>2026</v>
      </c>
      <c r="D116" s="1">
        <f t="shared" ref="D116:D117" si="36">MONTH(G116)</f>
        <v>1</v>
      </c>
      <c r="E116" s="1">
        <v>16</v>
      </c>
      <c r="F116" s="1" t="s">
        <v>53</v>
      </c>
      <c r="G116" s="56">
        <f t="shared" si="28"/>
        <v>46027</v>
      </c>
      <c r="H116" s="17">
        <f t="shared" si="33"/>
        <v>38.452374357382766</v>
      </c>
      <c r="I116" s="17">
        <f t="shared" si="34"/>
        <v>35.660552548725398</v>
      </c>
      <c r="J116" s="17">
        <v>22</v>
      </c>
      <c r="K116" s="17"/>
      <c r="L116" s="17">
        <v>32</v>
      </c>
      <c r="M116" s="44">
        <f>SUMPRODUCT(H116:L116,'Fisico SPOT MAT'!H116:L116)*24</f>
        <v>5664042.7951290673</v>
      </c>
      <c r="N116" s="19">
        <f>+'Fisico SPOT MAT'!AG116</f>
        <v>16.866013649120401</v>
      </c>
      <c r="O116" s="19">
        <f t="shared" ref="O116:O179" si="37">AF116/AJ116</f>
        <v>13.082901554404145</v>
      </c>
      <c r="P116" s="19">
        <v>6</v>
      </c>
      <c r="Q116" s="19"/>
      <c r="R116" s="19">
        <v>0</v>
      </c>
      <c r="S116" s="44">
        <f>SUMPRODUCT(N116:R116,'Fisico SPOT MAT'!N116:R116)*E116</f>
        <v>3793470.1615474941</v>
      </c>
      <c r="T116" s="17"/>
      <c r="U116" s="17">
        <v>18</v>
      </c>
      <c r="V116" s="17">
        <v>60</v>
      </c>
      <c r="W116" s="28">
        <f>SUMPRODUCT(T116:V116,'Fisico SPOT MAT'!T116:V116)*24</f>
        <v>2627930.5320000006</v>
      </c>
      <c r="X116" s="19">
        <v>0</v>
      </c>
      <c r="Y116" s="19">
        <v>5</v>
      </c>
      <c r="Z116" s="19">
        <v>0</v>
      </c>
      <c r="AA116" s="28">
        <f>SUMPRODUCT(X116:Z116,'Fisico SPOT MAT'!X116:Z116)*E116</f>
        <v>42000</v>
      </c>
      <c r="AC116" s="115"/>
      <c r="AD116" s="41">
        <v>35.667329608789473</v>
      </c>
      <c r="AE116" s="42">
        <v>32.875507800132105</v>
      </c>
      <c r="AF116">
        <v>5050</v>
      </c>
      <c r="AG116" s="74">
        <f t="shared" ref="AG116:AG117" si="38">0.075*0.9*(AD116-7)</f>
        <v>1.9350447485932896</v>
      </c>
      <c r="AH116">
        <v>0</v>
      </c>
      <c r="AI116" s="41">
        <v>0.85</v>
      </c>
      <c r="AJ116">
        <v>386</v>
      </c>
    </row>
    <row r="117" spans="1:36" x14ac:dyDescent="0.25">
      <c r="A117" s="3">
        <f t="shared" si="32"/>
        <v>1447.6657</v>
      </c>
      <c r="B117" s="49">
        <v>1450.4169999999999</v>
      </c>
      <c r="C117" s="1">
        <f t="shared" si="35"/>
        <v>2026</v>
      </c>
      <c r="D117" s="1">
        <f t="shared" si="36"/>
        <v>1</v>
      </c>
      <c r="E117" s="1">
        <v>16</v>
      </c>
      <c r="F117" s="1" t="s">
        <v>54</v>
      </c>
      <c r="G117" s="56">
        <f t="shared" si="28"/>
        <v>46028</v>
      </c>
      <c r="H117" s="17">
        <f t="shared" si="33"/>
        <v>39.224894653394152</v>
      </c>
      <c r="I117" s="17">
        <f t="shared" si="34"/>
        <v>35.216551082774998</v>
      </c>
      <c r="J117" s="17">
        <v>22</v>
      </c>
      <c r="K117" s="17"/>
      <c r="L117" s="17">
        <v>32</v>
      </c>
      <c r="M117" s="44">
        <f>SUMPRODUCT(H117:L117,'Fisico SPOT MAT'!H117:L117)*24</f>
        <v>6460288.0899576349</v>
      </c>
      <c r="N117" s="19">
        <f>+'Fisico SPOT MAT'!AG117</f>
        <v>16.867730401628737</v>
      </c>
      <c r="O117" s="19">
        <f t="shared" si="37"/>
        <v>13.082901554404145</v>
      </c>
      <c r="P117" s="19">
        <v>6</v>
      </c>
      <c r="Q117" s="19"/>
      <c r="R117" s="19">
        <v>0</v>
      </c>
      <c r="S117" s="44">
        <f>SUMPRODUCT(N117:R117,'Fisico SPOT MAT'!N117:R117)*E117</f>
        <v>3794773.8319930895</v>
      </c>
      <c r="T117" s="17"/>
      <c r="U117" s="17">
        <v>18</v>
      </c>
      <c r="V117" s="17">
        <v>60</v>
      </c>
      <c r="W117" s="28">
        <f>SUMPRODUCT(T117:V117,'Fisico SPOT MAT'!T117:V117)*24</f>
        <v>2750937.6719999993</v>
      </c>
      <c r="X117" s="19">
        <v>0</v>
      </c>
      <c r="Y117" s="19">
        <v>5</v>
      </c>
      <c r="Z117" s="19">
        <v>0</v>
      </c>
      <c r="AA117" s="28">
        <f>SUMPRODUCT(X117:Z117,'Fisico SPOT MAT'!X117:Z117)*E117</f>
        <v>42000</v>
      </c>
      <c r="AC117" s="115"/>
      <c r="AD117" s="41">
        <v>36.391002017231052</v>
      </c>
      <c r="AE117" s="42">
        <v>32.382658446611899</v>
      </c>
      <c r="AF117">
        <v>5050</v>
      </c>
      <c r="AG117" s="74">
        <f t="shared" si="38"/>
        <v>1.9838926361630962</v>
      </c>
      <c r="AH117">
        <v>0</v>
      </c>
      <c r="AI117" s="41">
        <v>0.85</v>
      </c>
      <c r="AJ117">
        <v>386</v>
      </c>
    </row>
    <row r="118" spans="1:36" x14ac:dyDescent="0.25">
      <c r="A118" s="3">
        <f t="shared" si="32"/>
        <v>1447.6657</v>
      </c>
      <c r="B118" s="49">
        <v>1450.4169999999999</v>
      </c>
      <c r="C118" s="1">
        <f t="shared" ref="C118:C124" si="39">YEAR(G118)</f>
        <v>2026</v>
      </c>
      <c r="D118" s="1">
        <f t="shared" ref="D118:D124" si="40">MONTH(G118)</f>
        <v>1</v>
      </c>
      <c r="E118" s="1">
        <v>16</v>
      </c>
      <c r="F118" s="1" t="s">
        <v>120</v>
      </c>
      <c r="G118" s="56">
        <f t="shared" si="28"/>
        <v>46029</v>
      </c>
      <c r="H118" s="17">
        <f t="shared" si="33"/>
        <v>38.732578484838747</v>
      </c>
      <c r="I118" s="17">
        <f t="shared" si="34"/>
        <v>34.710239836206902</v>
      </c>
      <c r="J118" s="17">
        <v>22</v>
      </c>
      <c r="K118" s="17"/>
      <c r="L118" s="17">
        <v>32</v>
      </c>
      <c r="M118" s="44">
        <f>SUMPRODUCT(H118:L118,'Fisico SPOT MAT'!H118:L118)*24</f>
        <v>6662508.9461790994</v>
      </c>
      <c r="N118" s="19">
        <f>+'Fisico SPOT MAT'!AG118</f>
        <v>16.882023906799486</v>
      </c>
      <c r="O118" s="19">
        <f t="shared" si="37"/>
        <v>13.082901554404145</v>
      </c>
      <c r="P118" s="19">
        <v>6</v>
      </c>
      <c r="Q118" s="19"/>
      <c r="R118" s="19">
        <v>0</v>
      </c>
      <c r="S118" s="44">
        <f>SUMPRODUCT(N118:R118,'Fisico SPOT MAT'!N118:R118)*E118</f>
        <v>3844749.2158652856</v>
      </c>
      <c r="T118" s="17"/>
      <c r="U118" s="17">
        <v>18</v>
      </c>
      <c r="V118" s="17">
        <v>60</v>
      </c>
      <c r="W118" s="28">
        <f>SUMPRODUCT(T118:V118,'Fisico SPOT MAT'!T118:V118)*24</f>
        <v>2429846.7540000002</v>
      </c>
      <c r="X118" s="19">
        <v>0</v>
      </c>
      <c r="Y118" s="19">
        <v>5</v>
      </c>
      <c r="Z118" s="19">
        <v>0</v>
      </c>
      <c r="AA118" s="28">
        <f>SUMPRODUCT(X118:Z118,'Fisico SPOT MAT'!X118:Z118)*E118</f>
        <v>42000</v>
      </c>
      <c r="AC118" s="115"/>
      <c r="AD118" s="41">
        <v>35.929815910855964</v>
      </c>
      <c r="AE118" s="42">
        <v>31.907477262224127</v>
      </c>
      <c r="AF118">
        <v>5050</v>
      </c>
      <c r="AG118" s="74">
        <f t="shared" ref="AG118:AG124" si="41">0.075*0.9*(AD118-7)</f>
        <v>1.9527625739827776</v>
      </c>
      <c r="AH118">
        <v>0</v>
      </c>
      <c r="AI118" s="41">
        <v>0.85</v>
      </c>
      <c r="AJ118">
        <v>386</v>
      </c>
    </row>
    <row r="119" spans="1:36" x14ac:dyDescent="0.25">
      <c r="A119" s="3">
        <f t="shared" si="32"/>
        <v>1447.6657</v>
      </c>
      <c r="B119" s="49">
        <v>1450.4169999999999</v>
      </c>
      <c r="C119" s="1">
        <f t="shared" si="39"/>
        <v>2026</v>
      </c>
      <c r="D119" s="1">
        <f t="shared" si="40"/>
        <v>1</v>
      </c>
      <c r="E119" s="1">
        <v>16</v>
      </c>
      <c r="F119" s="1" t="s">
        <v>56</v>
      </c>
      <c r="G119" s="56">
        <f t="shared" si="28"/>
        <v>46030</v>
      </c>
      <c r="H119" s="17">
        <f t="shared" si="33"/>
        <v>38.651057070754142</v>
      </c>
      <c r="I119" s="17">
        <f t="shared" si="34"/>
        <v>34.570334628530055</v>
      </c>
      <c r="J119" s="17">
        <v>22</v>
      </c>
      <c r="K119" s="17"/>
      <c r="L119" s="17">
        <v>32</v>
      </c>
      <c r="M119" s="44">
        <f>SUMPRODUCT(H119:L119,'Fisico SPOT MAT'!H119:L119)*24</f>
        <v>5910070.0589533467</v>
      </c>
      <c r="N119" s="19">
        <f>+'Fisico SPOT MAT'!AG119</f>
        <v>16.889002638959489</v>
      </c>
      <c r="O119" s="19">
        <f t="shared" si="37"/>
        <v>13.082901554404145</v>
      </c>
      <c r="P119" s="19">
        <v>6</v>
      </c>
      <c r="Q119" s="19"/>
      <c r="R119" s="19">
        <v>0</v>
      </c>
      <c r="S119" s="44">
        <f>SUMPRODUCT(N119:R119,'Fisico SPOT MAT'!N119:R119)*E119</f>
        <v>3875051.5664904979</v>
      </c>
      <c r="T119" s="17"/>
      <c r="U119" s="17">
        <v>18</v>
      </c>
      <c r="V119" s="17">
        <v>60</v>
      </c>
      <c r="W119" s="28">
        <f>SUMPRODUCT(T119:V119,'Fisico SPOT MAT'!T119:V119)*24</f>
        <v>1759376.2320000005</v>
      </c>
      <c r="X119" s="19">
        <v>0</v>
      </c>
      <c r="Y119" s="19">
        <v>5</v>
      </c>
      <c r="Z119" s="19">
        <v>0</v>
      </c>
      <c r="AA119" s="28">
        <f>SUMPRODUCT(X119:Z119,'Fisico SPOT MAT'!X119:Z119)*E119</f>
        <v>42000</v>
      </c>
      <c r="AC119" s="115"/>
      <c r="AD119" s="41">
        <v>35.853449246608093</v>
      </c>
      <c r="AE119" s="42">
        <v>31.772726804384007</v>
      </c>
      <c r="AF119">
        <v>5050</v>
      </c>
      <c r="AG119" s="74">
        <f t="shared" si="41"/>
        <v>1.9476078241460464</v>
      </c>
      <c r="AH119">
        <v>0</v>
      </c>
      <c r="AI119" s="41">
        <v>0.85</v>
      </c>
      <c r="AJ119">
        <v>386</v>
      </c>
    </row>
    <row r="120" spans="1:36" x14ac:dyDescent="0.25">
      <c r="A120" s="3">
        <f t="shared" si="32"/>
        <v>1447.6657</v>
      </c>
      <c r="B120" s="49">
        <v>1450.4169999999999</v>
      </c>
      <c r="C120" s="1">
        <f t="shared" si="39"/>
        <v>2026</v>
      </c>
      <c r="D120" s="1">
        <f t="shared" si="40"/>
        <v>1</v>
      </c>
      <c r="E120" s="1">
        <v>16</v>
      </c>
      <c r="F120" s="1" t="s">
        <v>57</v>
      </c>
      <c r="G120" s="56">
        <f t="shared" si="28"/>
        <v>46031</v>
      </c>
      <c r="H120" s="17">
        <f t="shared" si="33"/>
        <v>38.841874003545946</v>
      </c>
      <c r="I120" s="17">
        <f t="shared" si="34"/>
        <v>34.494894918590141</v>
      </c>
      <c r="J120" s="17">
        <v>22</v>
      </c>
      <c r="K120" s="17">
        <v>22</v>
      </c>
      <c r="L120" s="17">
        <v>32</v>
      </c>
      <c r="M120" s="44">
        <f>SUMPRODUCT(H120:L120,'Fisico SPOT MAT'!H120:L120)*24</f>
        <v>5622179.1770048756</v>
      </c>
      <c r="N120" s="19">
        <f>+'Fisico SPOT MAT'!AG120</f>
        <v>16.855727285086537</v>
      </c>
      <c r="O120" s="19">
        <f t="shared" si="37"/>
        <v>13.082901554404145</v>
      </c>
      <c r="P120" s="19">
        <v>6</v>
      </c>
      <c r="Q120" s="19">
        <v>6</v>
      </c>
      <c r="R120" s="19">
        <v>0</v>
      </c>
      <c r="S120" s="44">
        <f>SUMPRODUCT(N120:R120,'Fisico SPOT MAT'!N120:R120)*E120</f>
        <v>3792319.5370880794</v>
      </c>
      <c r="T120" s="17"/>
      <c r="U120" s="17">
        <v>18</v>
      </c>
      <c r="V120" s="17">
        <v>60</v>
      </c>
      <c r="W120" s="28">
        <f>SUMPRODUCT(T120:V120,'Fisico SPOT MAT'!T120:V120)*24</f>
        <v>1700296.3500000006</v>
      </c>
      <c r="X120" s="19">
        <v>0</v>
      </c>
      <c r="Y120" s="19">
        <v>5</v>
      </c>
      <c r="Z120" s="19">
        <v>0</v>
      </c>
      <c r="AA120" s="28">
        <f>SUMPRODUCT(X120:Z120,'Fisico SPOT MAT'!X120:Z120)*E120</f>
        <v>42000</v>
      </c>
      <c r="AC120" s="115"/>
      <c r="AD120" s="41">
        <v>36.032200471705806</v>
      </c>
      <c r="AE120" s="42">
        <v>31.685221386749994</v>
      </c>
      <c r="AF120">
        <v>5050</v>
      </c>
      <c r="AG120" s="74">
        <f t="shared" si="41"/>
        <v>1.9596735318401421</v>
      </c>
      <c r="AH120">
        <v>0</v>
      </c>
      <c r="AI120" s="41">
        <v>0.85</v>
      </c>
      <c r="AJ120">
        <v>386</v>
      </c>
    </row>
    <row r="121" spans="1:36" x14ac:dyDescent="0.25">
      <c r="A121" s="3">
        <f t="shared" si="32"/>
        <v>1447.6657</v>
      </c>
      <c r="B121" s="49">
        <v>1450.4169999999999</v>
      </c>
      <c r="C121" s="1">
        <f t="shared" si="39"/>
        <v>2026</v>
      </c>
      <c r="D121" s="1">
        <f t="shared" si="40"/>
        <v>1</v>
      </c>
      <c r="E121" s="1">
        <v>6</v>
      </c>
      <c r="F121" s="1" t="s">
        <v>51</v>
      </c>
      <c r="G121" s="56">
        <f t="shared" si="28"/>
        <v>46032</v>
      </c>
      <c r="H121" s="17">
        <f t="shared" si="33"/>
        <v>37.981684950750079</v>
      </c>
      <c r="I121" s="17">
        <f t="shared" si="34"/>
        <v>35.327674317407322</v>
      </c>
      <c r="J121" s="17">
        <v>22</v>
      </c>
      <c r="K121" s="17">
        <v>22</v>
      </c>
      <c r="L121" s="17">
        <v>32</v>
      </c>
      <c r="M121" s="44">
        <f>SUMPRODUCT(H121:L121,'Fisico SPOT MAT'!H121:L121)*24</f>
        <v>4805043.8848077962</v>
      </c>
      <c r="N121" s="19">
        <f>+'Fisico SPOT MAT'!AG121</f>
        <v>16.805945850680832</v>
      </c>
      <c r="O121" s="19">
        <f t="shared" si="37"/>
        <v>13.082901554404145</v>
      </c>
      <c r="P121" s="19">
        <v>6</v>
      </c>
      <c r="Q121" s="19">
        <v>6</v>
      </c>
      <c r="R121" s="19">
        <v>0</v>
      </c>
      <c r="S121" s="44">
        <f>SUMPRODUCT(N121:R121,'Fisico SPOT MAT'!N121:R121)*E121</f>
        <v>1371438.5734455958</v>
      </c>
      <c r="T121" s="17"/>
      <c r="U121" s="17">
        <v>18</v>
      </c>
      <c r="V121" s="17">
        <v>60</v>
      </c>
      <c r="W121" s="28">
        <f>SUMPRODUCT(T121:V121,'Fisico SPOT MAT'!T121:V121)*24</f>
        <v>1654132.4819999994</v>
      </c>
      <c r="X121" s="19">
        <v>0</v>
      </c>
      <c r="Y121" s="19">
        <v>5</v>
      </c>
      <c r="Z121" s="19">
        <v>0</v>
      </c>
      <c r="AA121" s="28">
        <f>SUMPRODUCT(X121:Z121,'Fisico SPOT MAT'!X121:Z121)*E121</f>
        <v>15750</v>
      </c>
      <c r="AC121" s="115"/>
      <c r="AD121" s="41">
        <v>35.226402764168689</v>
      </c>
      <c r="AE121" s="42">
        <v>32.572392130825932</v>
      </c>
      <c r="AF121">
        <v>5050</v>
      </c>
      <c r="AG121" s="74">
        <f t="shared" si="41"/>
        <v>1.9052821865813867</v>
      </c>
      <c r="AH121">
        <v>0</v>
      </c>
      <c r="AI121" s="41">
        <v>0.85</v>
      </c>
      <c r="AJ121">
        <v>386</v>
      </c>
    </row>
    <row r="122" spans="1:36" x14ac:dyDescent="0.25">
      <c r="A122" s="3">
        <f t="shared" si="32"/>
        <v>1447.6657</v>
      </c>
      <c r="B122" s="49">
        <v>1450.4169999999999</v>
      </c>
      <c r="C122" s="1">
        <f t="shared" si="39"/>
        <v>2026</v>
      </c>
      <c r="D122" s="1">
        <f t="shared" si="40"/>
        <v>1</v>
      </c>
      <c r="E122" s="1">
        <v>4</v>
      </c>
      <c r="F122" s="1" t="s">
        <v>52</v>
      </c>
      <c r="G122" s="56">
        <f t="shared" si="28"/>
        <v>46033</v>
      </c>
      <c r="H122" s="17">
        <f t="shared" si="33"/>
        <v>39.222399895660011</v>
      </c>
      <c r="I122" s="17">
        <f t="shared" si="34"/>
        <v>35.45355184804842</v>
      </c>
      <c r="J122" s="17">
        <v>22</v>
      </c>
      <c r="K122" s="17">
        <v>22</v>
      </c>
      <c r="L122" s="17">
        <v>32</v>
      </c>
      <c r="M122" s="44">
        <f>SUMPRODUCT(H122:L122,'Fisico SPOT MAT'!H122:L122)*24</f>
        <v>4642163.8233411619</v>
      </c>
      <c r="N122" s="19">
        <f>+'Fisico SPOT MAT'!AG122</f>
        <v>16.821574354839235</v>
      </c>
      <c r="O122" s="19">
        <f t="shared" si="37"/>
        <v>13.082901554404145</v>
      </c>
      <c r="P122" s="19">
        <v>6</v>
      </c>
      <c r="Q122" s="19">
        <v>6</v>
      </c>
      <c r="R122" s="19">
        <v>0</v>
      </c>
      <c r="S122" s="44">
        <f>SUMPRODUCT(N122:R122,'Fisico SPOT MAT'!N122:R122)*E122</f>
        <v>922912.71528065612</v>
      </c>
      <c r="T122" s="17"/>
      <c r="U122" s="17">
        <v>18</v>
      </c>
      <c r="V122" s="17">
        <v>60</v>
      </c>
      <c r="W122" s="28">
        <f>SUMPRODUCT(T122:V122,'Fisico SPOT MAT'!T122:V122)*24</f>
        <v>2395882.7880000006</v>
      </c>
      <c r="X122" s="19">
        <v>0</v>
      </c>
      <c r="Y122" s="19">
        <v>5</v>
      </c>
      <c r="Z122" s="19">
        <v>0</v>
      </c>
      <c r="AA122" s="28">
        <f>SUMPRODUCT(X122:Z122,'Fisico SPOT MAT'!X122:Z122)*E122</f>
        <v>10500</v>
      </c>
      <c r="AC122" s="115"/>
      <c r="AD122" s="41">
        <v>36.388665007644036</v>
      </c>
      <c r="AE122" s="42">
        <v>32.619816960032445</v>
      </c>
      <c r="AF122">
        <v>5050</v>
      </c>
      <c r="AG122" s="74">
        <f t="shared" si="41"/>
        <v>1.9837348880159726</v>
      </c>
      <c r="AH122">
        <v>0</v>
      </c>
      <c r="AI122" s="41">
        <v>0.85</v>
      </c>
      <c r="AJ122">
        <v>386</v>
      </c>
    </row>
    <row r="123" spans="1:36" x14ac:dyDescent="0.25">
      <c r="A123" s="3">
        <f t="shared" si="32"/>
        <v>1447.6657</v>
      </c>
      <c r="B123" s="49">
        <v>1472.7349999999999</v>
      </c>
      <c r="C123" s="1">
        <f t="shared" si="39"/>
        <v>2026</v>
      </c>
      <c r="D123" s="1">
        <f t="shared" si="40"/>
        <v>1</v>
      </c>
      <c r="E123" s="1">
        <v>16</v>
      </c>
      <c r="F123" s="1" t="s">
        <v>53</v>
      </c>
      <c r="G123" s="56">
        <f t="shared" si="28"/>
        <v>46034</v>
      </c>
      <c r="H123" s="17">
        <f t="shared" si="33"/>
        <v>41.524904108397052</v>
      </c>
      <c r="I123" s="17">
        <f t="shared" si="34"/>
        <v>34.755225972484745</v>
      </c>
      <c r="J123" s="17">
        <v>22</v>
      </c>
      <c r="K123" s="17">
        <v>22</v>
      </c>
      <c r="L123" s="17">
        <v>32</v>
      </c>
      <c r="M123" s="44">
        <f>SUMPRODUCT(H123:L123,'Fisico SPOT MAT'!H123:L123)*24</f>
        <v>7392395.1918688947</v>
      </c>
      <c r="N123" s="19">
        <f>+'Fisico SPOT MAT'!AG123</f>
        <v>16.810920546983979</v>
      </c>
      <c r="O123" s="19">
        <f t="shared" si="37"/>
        <v>13.082901554404145</v>
      </c>
      <c r="P123" s="19">
        <v>6</v>
      </c>
      <c r="Q123" s="19">
        <v>6</v>
      </c>
      <c r="R123" s="19">
        <v>0</v>
      </c>
      <c r="S123" s="44">
        <f>SUMPRODUCT(N123:R123,'Fisico SPOT MAT'!N123:R123)*E123</f>
        <v>3657758.3257616567</v>
      </c>
      <c r="T123" s="17"/>
      <c r="U123" s="17">
        <v>18</v>
      </c>
      <c r="V123" s="17">
        <v>60</v>
      </c>
      <c r="W123" s="28">
        <f>SUMPRODUCT(T123:V123,'Fisico SPOT MAT'!T123:V123)*24</f>
        <v>2636311.0380000002</v>
      </c>
      <c r="X123" s="19">
        <v>0</v>
      </c>
      <c r="Y123" s="19">
        <v>5</v>
      </c>
      <c r="Z123" s="19">
        <v>0</v>
      </c>
      <c r="AA123" s="28">
        <f>SUMPRODUCT(X123:Z123,'Fisico SPOT MAT'!X123:Z123)*E123</f>
        <v>42000</v>
      </c>
      <c r="AC123" s="115"/>
      <c r="AD123" s="41">
        <v>38.545577619107306</v>
      </c>
      <c r="AE123" s="42">
        <v>31.775899483195001</v>
      </c>
      <c r="AF123">
        <v>5050</v>
      </c>
      <c r="AG123" s="74">
        <f t="shared" si="41"/>
        <v>2.1293264892897432</v>
      </c>
      <c r="AH123">
        <v>0</v>
      </c>
      <c r="AI123" s="41">
        <v>0.85</v>
      </c>
      <c r="AJ123">
        <v>386</v>
      </c>
    </row>
    <row r="124" spans="1:36" x14ac:dyDescent="0.25">
      <c r="A124" s="3">
        <f t="shared" si="32"/>
        <v>1447.6657</v>
      </c>
      <c r="B124" s="49">
        <v>1472.7349999999999</v>
      </c>
      <c r="C124" s="1">
        <f t="shared" si="39"/>
        <v>2026</v>
      </c>
      <c r="D124" s="1">
        <f t="shared" si="40"/>
        <v>1</v>
      </c>
      <c r="E124" s="1">
        <v>16</v>
      </c>
      <c r="F124" s="1" t="s">
        <v>54</v>
      </c>
      <c r="G124" s="56">
        <f t="shared" si="28"/>
        <v>46035</v>
      </c>
      <c r="H124" s="17">
        <f t="shared" si="33"/>
        <v>39.569136310162932</v>
      </c>
      <c r="I124" s="17">
        <f t="shared" si="34"/>
        <v>34.664271217940929</v>
      </c>
      <c r="J124" s="17">
        <v>22</v>
      </c>
      <c r="K124" s="17">
        <v>22</v>
      </c>
      <c r="L124" s="17">
        <v>32</v>
      </c>
      <c r="M124" s="44">
        <f>SUMPRODUCT(H124:L124,'Fisico SPOT MAT'!H124:L124)*24</f>
        <v>7952340.466511108</v>
      </c>
      <c r="N124" s="19">
        <f>+'Fisico SPOT MAT'!AG124</f>
        <v>16.826052296353804</v>
      </c>
      <c r="O124" s="19">
        <f t="shared" si="37"/>
        <v>13.082901554404145</v>
      </c>
      <c r="P124" s="19">
        <v>6</v>
      </c>
      <c r="Q124" s="19">
        <v>6</v>
      </c>
      <c r="R124" s="19">
        <v>0</v>
      </c>
      <c r="S124" s="44">
        <f>SUMPRODUCT(N124:R124,'Fisico SPOT MAT'!N124:R124)*E124</f>
        <v>3705760.8136511231</v>
      </c>
      <c r="T124" s="17"/>
      <c r="U124" s="17">
        <v>18</v>
      </c>
      <c r="V124" s="17">
        <v>60</v>
      </c>
      <c r="W124" s="28">
        <f>SUMPRODUCT(T124:V124,'Fisico SPOT MAT'!T124:V124)*24</f>
        <v>2007470.6039999989</v>
      </c>
      <c r="X124" s="19">
        <v>0</v>
      </c>
      <c r="Y124" s="19">
        <v>5</v>
      </c>
      <c r="Z124" s="19">
        <v>0</v>
      </c>
      <c r="AA124" s="28">
        <f>SUMPRODUCT(X124:Z124,'Fisico SPOT MAT'!X124:Z124)*E124</f>
        <v>42000</v>
      </c>
      <c r="AC124" s="115"/>
      <c r="AD124" s="41">
        <v>36.713476637154969</v>
      </c>
      <c r="AE124" s="42">
        <v>31.808611544932969</v>
      </c>
      <c r="AF124">
        <v>5050</v>
      </c>
      <c r="AG124" s="74">
        <f t="shared" si="41"/>
        <v>2.0056596730079606</v>
      </c>
      <c r="AH124">
        <v>0</v>
      </c>
      <c r="AI124" s="41">
        <v>0.85</v>
      </c>
      <c r="AJ124">
        <v>386</v>
      </c>
    </row>
    <row r="125" spans="1:36" x14ac:dyDescent="0.25">
      <c r="A125" s="3">
        <f t="shared" si="32"/>
        <v>1447.6657</v>
      </c>
      <c r="B125" s="49">
        <v>1472.7349999999999</v>
      </c>
      <c r="C125" s="1">
        <f t="shared" ref="C125:C131" si="42">YEAR(G125)</f>
        <v>2026</v>
      </c>
      <c r="D125" s="1">
        <f t="shared" ref="D125:D131" si="43">MONTH(G125)</f>
        <v>1</v>
      </c>
      <c r="E125" s="1">
        <v>16</v>
      </c>
      <c r="F125" s="1" t="s">
        <v>120</v>
      </c>
      <c r="G125" s="56">
        <f t="shared" si="28"/>
        <v>46036</v>
      </c>
      <c r="H125" s="17">
        <f t="shared" si="33"/>
        <v>42.450106789152315</v>
      </c>
      <c r="I125" s="17">
        <f t="shared" si="34"/>
        <v>34.969991665112737</v>
      </c>
      <c r="J125" s="17">
        <v>22</v>
      </c>
      <c r="K125" s="17">
        <v>22</v>
      </c>
      <c r="L125" s="17">
        <v>32</v>
      </c>
      <c r="M125" s="44">
        <f>SUMPRODUCT(H125:L125,'Fisico SPOT MAT'!H125:L125)*24</f>
        <v>8564678.5025306344</v>
      </c>
      <c r="N125" s="19">
        <f>+'Fisico SPOT MAT'!AG125</f>
        <v>16.819141745113331</v>
      </c>
      <c r="O125" s="19">
        <f t="shared" si="37"/>
        <v>13.082901554404145</v>
      </c>
      <c r="P125" s="19">
        <v>6</v>
      </c>
      <c r="Q125" s="19">
        <v>6</v>
      </c>
      <c r="R125" s="19">
        <v>0</v>
      </c>
      <c r="S125" s="44">
        <f>SUMPRODUCT(N125:R125,'Fisico SPOT MAT'!N125:R125)*E125</f>
        <v>3693251.7770189969</v>
      </c>
      <c r="T125" s="17"/>
      <c r="U125" s="17">
        <v>18</v>
      </c>
      <c r="V125" s="17">
        <v>60</v>
      </c>
      <c r="W125" s="28">
        <f>SUMPRODUCT(T125:V125,'Fisico SPOT MAT'!T125:V125)*24</f>
        <v>2520865.7340000002</v>
      </c>
      <c r="X125" s="19">
        <v>0</v>
      </c>
      <c r="Y125" s="19">
        <v>5</v>
      </c>
      <c r="Z125" s="19">
        <v>0</v>
      </c>
      <c r="AA125" s="28">
        <f>SUMPRODUCT(X125:Z125,'Fisico SPOT MAT'!X125:Z125)*E125</f>
        <v>42000</v>
      </c>
      <c r="AC125" s="115"/>
      <c r="AD125" s="41">
        <v>39.412278022625117</v>
      </c>
      <c r="AE125" s="42">
        <v>31.932162898585542</v>
      </c>
      <c r="AF125">
        <v>5050</v>
      </c>
      <c r="AG125" s="74">
        <f t="shared" ref="AG125:AG130" si="44">0.075*0.9*(AD125-7)</f>
        <v>2.1878287665271956</v>
      </c>
      <c r="AH125">
        <v>0</v>
      </c>
      <c r="AI125" s="41">
        <v>0.85</v>
      </c>
      <c r="AJ125">
        <v>386</v>
      </c>
    </row>
    <row r="126" spans="1:36" x14ac:dyDescent="0.25">
      <c r="A126" s="3">
        <f t="shared" si="32"/>
        <v>1447.6657</v>
      </c>
      <c r="B126" s="49">
        <v>1472.7349999999999</v>
      </c>
      <c r="C126" s="1">
        <f t="shared" si="42"/>
        <v>2026</v>
      </c>
      <c r="D126" s="1">
        <f t="shared" si="43"/>
        <v>1</v>
      </c>
      <c r="E126" s="1">
        <v>16</v>
      </c>
      <c r="F126" s="1" t="s">
        <v>56</v>
      </c>
      <c r="G126" s="56">
        <f t="shared" si="28"/>
        <v>46037</v>
      </c>
      <c r="H126" s="17">
        <f t="shared" si="33"/>
        <v>46.70629688899821</v>
      </c>
      <c r="I126" s="17">
        <f t="shared" si="34"/>
        <v>34.847096387960534</v>
      </c>
      <c r="J126" s="17">
        <v>22</v>
      </c>
      <c r="K126" s="17">
        <v>22</v>
      </c>
      <c r="L126" s="17">
        <v>32</v>
      </c>
      <c r="M126" s="44">
        <f>SUMPRODUCT(H126:L126,'Fisico SPOT MAT'!H126:L126)*24</f>
        <v>9075469.6563785449</v>
      </c>
      <c r="N126" s="19">
        <f>+'Fisico SPOT MAT'!AG126</f>
        <v>16.764141987426683</v>
      </c>
      <c r="O126" s="19">
        <f t="shared" si="37"/>
        <v>13.082901554404145</v>
      </c>
      <c r="P126" s="19">
        <v>6</v>
      </c>
      <c r="Q126" s="19">
        <v>6</v>
      </c>
      <c r="R126" s="19">
        <v>0</v>
      </c>
      <c r="S126" s="44">
        <f>SUMPRODUCT(N126:R126,'Fisico SPOT MAT'!N126:R126)*E126</f>
        <v>3540420.3391882563</v>
      </c>
      <c r="T126" s="17"/>
      <c r="U126" s="17">
        <v>18</v>
      </c>
      <c r="V126" s="17">
        <v>60</v>
      </c>
      <c r="W126" s="28">
        <f>SUMPRODUCT(T126:V126,'Fisico SPOT MAT'!T126:V126)*24</f>
        <v>2361113.0640000012</v>
      </c>
      <c r="X126" s="19">
        <v>0</v>
      </c>
      <c r="Y126" s="19">
        <v>5</v>
      </c>
      <c r="Z126" s="19">
        <v>0</v>
      </c>
      <c r="AA126" s="28">
        <f>SUMPRODUCT(X126:Z126,'Fisico SPOT MAT'!X126:Z126)*E126</f>
        <v>42000</v>
      </c>
      <c r="AC126" s="115"/>
      <c r="AD126" s="41">
        <v>43.399341348007688</v>
      </c>
      <c r="AE126" s="42">
        <v>31.540140846970015</v>
      </c>
      <c r="AF126">
        <v>5050</v>
      </c>
      <c r="AG126" s="74">
        <f t="shared" si="44"/>
        <v>2.4569555409905193</v>
      </c>
      <c r="AH126">
        <v>0</v>
      </c>
      <c r="AI126" s="41">
        <v>0.85</v>
      </c>
      <c r="AJ126">
        <v>386</v>
      </c>
    </row>
    <row r="127" spans="1:36" x14ac:dyDescent="0.25">
      <c r="A127" s="3">
        <f t="shared" si="32"/>
        <v>1447.6657</v>
      </c>
      <c r="B127" s="49">
        <v>1472.7349999999999</v>
      </c>
      <c r="C127" s="1">
        <f t="shared" si="42"/>
        <v>2026</v>
      </c>
      <c r="D127" s="1">
        <f t="shared" si="43"/>
        <v>1</v>
      </c>
      <c r="E127" s="1">
        <v>16</v>
      </c>
      <c r="F127" s="1" t="s">
        <v>57</v>
      </c>
      <c r="G127" s="56">
        <f t="shared" si="28"/>
        <v>46038</v>
      </c>
      <c r="H127" s="17">
        <f t="shared" si="33"/>
        <v>43.854101864073492</v>
      </c>
      <c r="I127" s="17">
        <f t="shared" si="34"/>
        <v>35.194021983922561</v>
      </c>
      <c r="J127" s="17">
        <v>22</v>
      </c>
      <c r="K127" s="17">
        <v>22</v>
      </c>
      <c r="L127" s="17">
        <v>32</v>
      </c>
      <c r="M127" s="44">
        <f>SUMPRODUCT(H127:L127,'Fisico SPOT MAT'!H127:L127)*24</f>
        <v>8037706.7240387648</v>
      </c>
      <c r="N127" s="19">
        <f>+'Fisico SPOT MAT'!AG127</f>
        <v>16.784953804513201</v>
      </c>
      <c r="O127" s="19">
        <f t="shared" si="37"/>
        <v>13.082901554404145</v>
      </c>
      <c r="P127" s="19">
        <v>6</v>
      </c>
      <c r="Q127" s="19">
        <v>6</v>
      </c>
      <c r="R127" s="19">
        <v>0</v>
      </c>
      <c r="S127" s="44">
        <f>SUMPRODUCT(N127:R127,'Fisico SPOT MAT'!N127:R127)*E127</f>
        <v>3599249.7070120871</v>
      </c>
      <c r="T127" s="17"/>
      <c r="U127" s="17">
        <v>18</v>
      </c>
      <c r="V127" s="17">
        <v>60</v>
      </c>
      <c r="W127" s="28">
        <f>SUMPRODUCT(T127:V127,'Fisico SPOT MAT'!T127:V127)*24</f>
        <v>2280950.3340000003</v>
      </c>
      <c r="X127" s="19">
        <v>0</v>
      </c>
      <c r="Y127" s="19">
        <v>5</v>
      </c>
      <c r="Z127" s="19">
        <v>0</v>
      </c>
      <c r="AA127" s="28">
        <f>SUMPRODUCT(X127:Z127,'Fisico SPOT MAT'!X127:Z127)*E127</f>
        <v>42000</v>
      </c>
      <c r="AC127" s="115"/>
      <c r="AD127" s="41">
        <v>40.727495891403741</v>
      </c>
      <c r="AE127" s="42">
        <v>32.067416011252803</v>
      </c>
      <c r="AF127">
        <v>5050</v>
      </c>
      <c r="AG127" s="74">
        <f t="shared" si="44"/>
        <v>2.2766059726697527</v>
      </c>
      <c r="AH127">
        <v>0</v>
      </c>
      <c r="AI127" s="41">
        <v>0.85</v>
      </c>
      <c r="AJ127">
        <v>386</v>
      </c>
    </row>
    <row r="128" spans="1:36" x14ac:dyDescent="0.25">
      <c r="A128" s="3">
        <f t="shared" si="32"/>
        <v>1447.6657</v>
      </c>
      <c r="B128" s="49">
        <v>1472.7349999999999</v>
      </c>
      <c r="C128" s="1">
        <f t="shared" si="42"/>
        <v>2026</v>
      </c>
      <c r="D128" s="1">
        <f t="shared" si="43"/>
        <v>1</v>
      </c>
      <c r="E128" s="1">
        <v>6</v>
      </c>
      <c r="F128" s="1" t="s">
        <v>51</v>
      </c>
      <c r="G128" s="56">
        <f t="shared" si="28"/>
        <v>46039</v>
      </c>
      <c r="H128" s="17">
        <f t="shared" si="33"/>
        <v>42.050618872019989</v>
      </c>
      <c r="I128" s="17">
        <f t="shared" si="34"/>
        <v>37.197839097634521</v>
      </c>
      <c r="J128" s="17">
        <v>22</v>
      </c>
      <c r="K128" s="17">
        <v>22</v>
      </c>
      <c r="L128" s="17">
        <v>32</v>
      </c>
      <c r="M128" s="44">
        <f>SUMPRODUCT(H128:L128,'Fisico SPOT MAT'!H128:L128)*24</f>
        <v>7574045.308096284</v>
      </c>
      <c r="N128" s="19">
        <f>+'Fisico SPOT MAT'!AG128</f>
        <v>16.824085293258378</v>
      </c>
      <c r="O128" s="19">
        <f t="shared" si="37"/>
        <v>13.082901554404145</v>
      </c>
      <c r="P128" s="19">
        <v>6</v>
      </c>
      <c r="Q128" s="19">
        <v>6</v>
      </c>
      <c r="R128" s="19">
        <v>0</v>
      </c>
      <c r="S128" s="44">
        <f>SUMPRODUCT(N128:R128,'Fisico SPOT MAT'!N128:R128)*E128</f>
        <v>1382453.5142072537</v>
      </c>
      <c r="T128" s="17"/>
      <c r="U128" s="17">
        <v>18</v>
      </c>
      <c r="V128" s="17">
        <v>60</v>
      </c>
      <c r="W128" s="28">
        <f>SUMPRODUCT(T128:V128,'Fisico SPOT MAT'!T128:V128)*24</f>
        <v>2820735.9300000006</v>
      </c>
      <c r="X128" s="19">
        <v>0</v>
      </c>
      <c r="Y128" s="19">
        <v>5</v>
      </c>
      <c r="Z128" s="19">
        <v>0</v>
      </c>
      <c r="AA128" s="28">
        <f>SUMPRODUCT(X128:Z128,'Fisico SPOT MAT'!X128:Z128)*E128</f>
        <v>15750</v>
      </c>
      <c r="AC128" s="115"/>
      <c r="AD128" s="41">
        <v>39.038050465592491</v>
      </c>
      <c r="AE128" s="42">
        <v>34.185270691207023</v>
      </c>
      <c r="AF128">
        <v>5050</v>
      </c>
      <c r="AG128" s="74">
        <f t="shared" si="44"/>
        <v>2.1625684064274933</v>
      </c>
      <c r="AH128">
        <v>0</v>
      </c>
      <c r="AI128" s="41">
        <v>0.85</v>
      </c>
      <c r="AJ128">
        <v>386</v>
      </c>
    </row>
    <row r="129" spans="1:36" x14ac:dyDescent="0.25">
      <c r="A129" s="3">
        <f t="shared" si="32"/>
        <v>1447.6657</v>
      </c>
      <c r="B129" s="49">
        <v>1472.7349999999999</v>
      </c>
      <c r="C129" s="1">
        <f t="shared" si="42"/>
        <v>2026</v>
      </c>
      <c r="D129" s="1">
        <f t="shared" si="43"/>
        <v>1</v>
      </c>
      <c r="E129" s="1">
        <v>4</v>
      </c>
      <c r="F129" s="1" t="s">
        <v>52</v>
      </c>
      <c r="G129" s="56">
        <f t="shared" si="28"/>
        <v>46040</v>
      </c>
      <c r="H129" s="17">
        <f t="shared" si="33"/>
        <v>40.707589770490841</v>
      </c>
      <c r="I129" s="17">
        <f t="shared" si="34"/>
        <v>34.826606221270147</v>
      </c>
      <c r="J129" s="17">
        <v>22</v>
      </c>
      <c r="K129" s="17">
        <v>22</v>
      </c>
      <c r="L129" s="17">
        <v>32</v>
      </c>
      <c r="M129" s="44">
        <f>SUMPRODUCT(H129:L129,'Fisico SPOT MAT'!H129:L129)*24</f>
        <v>6775947.3965072539</v>
      </c>
      <c r="N129" s="19">
        <f>+'Fisico SPOT MAT'!AG129</f>
        <v>16.841182634951448</v>
      </c>
      <c r="O129" s="19">
        <f t="shared" si="37"/>
        <v>13.082901554404145</v>
      </c>
      <c r="P129" s="19">
        <v>6</v>
      </c>
      <c r="Q129" s="19">
        <v>6</v>
      </c>
      <c r="R129" s="19">
        <v>0</v>
      </c>
      <c r="S129" s="44">
        <f>SUMPRODUCT(N129:R129,'Fisico SPOT MAT'!N129:R129)*E129</f>
        <v>940778.69662866974</v>
      </c>
      <c r="T129" s="17"/>
      <c r="U129" s="17">
        <v>18</v>
      </c>
      <c r="V129" s="17">
        <v>60</v>
      </c>
      <c r="W129" s="28">
        <f>SUMPRODUCT(T129:V129,'Fisico SPOT MAT'!T129:V129)*24</f>
        <v>2022138.2819999997</v>
      </c>
      <c r="X129" s="19">
        <v>0</v>
      </c>
      <c r="Y129" s="19">
        <v>5</v>
      </c>
      <c r="Z129" s="19">
        <v>0</v>
      </c>
      <c r="AA129" s="28">
        <f>SUMPRODUCT(X129:Z129,'Fisico SPOT MAT'!X129:Z129)*E129</f>
        <v>10500</v>
      </c>
      <c r="AC129" s="115"/>
      <c r="AD129" s="41">
        <v>37.779943578914136</v>
      </c>
      <c r="AE129" s="42">
        <v>31.898960029693438</v>
      </c>
      <c r="AF129">
        <v>5050</v>
      </c>
      <c r="AG129" s="74">
        <f t="shared" si="44"/>
        <v>2.0776461915767044</v>
      </c>
      <c r="AH129">
        <v>0</v>
      </c>
      <c r="AI129" s="41">
        <v>0.85</v>
      </c>
      <c r="AJ129">
        <v>386</v>
      </c>
    </row>
    <row r="130" spans="1:36" x14ac:dyDescent="0.25">
      <c r="A130" s="3">
        <f t="shared" si="32"/>
        <v>1447.6657</v>
      </c>
      <c r="B130" s="49">
        <v>1472.7349999999999</v>
      </c>
      <c r="C130" s="1">
        <f t="shared" si="42"/>
        <v>2026</v>
      </c>
      <c r="D130" s="1">
        <f t="shared" si="43"/>
        <v>1</v>
      </c>
      <c r="E130" s="1">
        <v>16</v>
      </c>
      <c r="F130" s="1" t="s">
        <v>53</v>
      </c>
      <c r="G130" s="56">
        <f t="shared" si="28"/>
        <v>46041</v>
      </c>
      <c r="H130" s="17">
        <f t="shared" si="33"/>
        <v>40.650364041475285</v>
      </c>
      <c r="I130" s="17">
        <f t="shared" si="34"/>
        <v>38.83162795640807</v>
      </c>
      <c r="J130" s="17">
        <v>22</v>
      </c>
      <c r="K130" s="17">
        <v>22</v>
      </c>
      <c r="L130" s="17">
        <v>32</v>
      </c>
      <c r="M130" s="44">
        <f>SUMPRODUCT(H130:L130,'Fisico SPOT MAT'!H130:L130)*24</f>
        <v>6574247.6108664051</v>
      </c>
      <c r="N130" s="19">
        <f>+'Fisico SPOT MAT'!AG130</f>
        <v>16.864662079299194</v>
      </c>
      <c r="O130" s="19">
        <f t="shared" si="37"/>
        <v>13.082901554404145</v>
      </c>
      <c r="P130" s="19">
        <v>6</v>
      </c>
      <c r="Q130" s="19">
        <v>6</v>
      </c>
      <c r="R130" s="19">
        <v>0</v>
      </c>
      <c r="S130" s="44">
        <f>SUMPRODUCT(N130:R130,'Fisico SPOT MAT'!N130:R130)*E130</f>
        <v>3801012.1342383404</v>
      </c>
      <c r="T130" s="17"/>
      <c r="U130" s="17">
        <v>18</v>
      </c>
      <c r="V130" s="17">
        <v>60</v>
      </c>
      <c r="W130" s="28">
        <f>SUMPRODUCT(T130:V130,'Fisico SPOT MAT'!T130:V130)*24</f>
        <v>2082779.0880000005</v>
      </c>
      <c r="X130" s="19">
        <v>0</v>
      </c>
      <c r="Y130" s="19">
        <v>5</v>
      </c>
      <c r="Z130" s="19">
        <v>0</v>
      </c>
      <c r="AA130" s="28">
        <f>SUMPRODUCT(X130:Z130,'Fisico SPOT MAT'!X130:Z130)*E130</f>
        <v>42000</v>
      </c>
      <c r="AC130" s="115"/>
      <c r="AD130" s="41">
        <v>37.72633633861853</v>
      </c>
      <c r="AE130" s="42">
        <v>35.907600253551315</v>
      </c>
      <c r="AF130">
        <v>5050</v>
      </c>
      <c r="AG130" s="74">
        <f t="shared" si="44"/>
        <v>2.0740277028567511</v>
      </c>
      <c r="AH130">
        <v>0</v>
      </c>
      <c r="AI130" s="41">
        <v>0.85</v>
      </c>
      <c r="AJ130">
        <v>386</v>
      </c>
    </row>
    <row r="131" spans="1:36" x14ac:dyDescent="0.25">
      <c r="A131" s="3">
        <f t="shared" si="32"/>
        <v>1447.6657</v>
      </c>
      <c r="B131" s="49">
        <v>1472.7349999999999</v>
      </c>
      <c r="C131" s="1">
        <f t="shared" si="42"/>
        <v>2026</v>
      </c>
      <c r="D131" s="1">
        <f t="shared" si="43"/>
        <v>1</v>
      </c>
      <c r="E131" s="1">
        <v>16</v>
      </c>
      <c r="F131" s="1" t="s">
        <v>54</v>
      </c>
      <c r="G131" s="56">
        <f t="shared" si="28"/>
        <v>46042</v>
      </c>
      <c r="H131" s="17">
        <f t="shared" ref="H131:H141" si="45">+AD131+AG131+AH131+AI131</f>
        <v>40.689405713170459</v>
      </c>
      <c r="I131" s="17">
        <f t="shared" ref="I131:I136" si="46">+AE131+AG131+AH131+AI131</f>
        <v>35.706387089149707</v>
      </c>
      <c r="J131" s="17">
        <v>22</v>
      </c>
      <c r="K131" s="17">
        <v>22</v>
      </c>
      <c r="L131" s="17">
        <v>32</v>
      </c>
      <c r="M131" s="44">
        <f>SUMPRODUCT(H131:L131,'Fisico SPOT MAT'!H131:L131)*24</f>
        <v>7009699.1431502607</v>
      </c>
      <c r="N131" s="19">
        <f>+'Fisico SPOT MAT'!AG131</f>
        <v>16.878730440464793</v>
      </c>
      <c r="O131" s="19">
        <f t="shared" si="37"/>
        <v>13.082901554404145</v>
      </c>
      <c r="P131" s="19">
        <v>6</v>
      </c>
      <c r="Q131" s="19">
        <v>6</v>
      </c>
      <c r="R131" s="19">
        <v>0</v>
      </c>
      <c r="S131" s="44">
        <f>SUMPRODUCT(N131:R131,'Fisico SPOT MAT'!N131:R131)*E131</f>
        <v>3883946.4452780653</v>
      </c>
      <c r="T131" s="17"/>
      <c r="U131" s="17">
        <v>18</v>
      </c>
      <c r="V131" s="17">
        <v>60</v>
      </c>
      <c r="W131" s="28">
        <f>SUMPRODUCT(T131:V131,'Fisico SPOT MAT'!T131:V131)*24</f>
        <v>2257678.0500000003</v>
      </c>
      <c r="X131" s="19">
        <v>0</v>
      </c>
      <c r="Y131" s="19">
        <v>5</v>
      </c>
      <c r="Z131" s="19">
        <v>0</v>
      </c>
      <c r="AA131" s="28">
        <f>SUMPRODUCT(X131:Z131,'Fisico SPOT MAT'!X131:Z131)*E131</f>
        <v>42000</v>
      </c>
      <c r="AC131" s="115"/>
      <c r="AD131" s="41">
        <v>37.762909333180758</v>
      </c>
      <c r="AE131" s="42">
        <v>32.779890709160007</v>
      </c>
      <c r="AF131">
        <v>5050</v>
      </c>
      <c r="AG131" s="74">
        <f t="shared" ref="AG131:AG136" si="47">0.075*0.9*(AD131-7)</f>
        <v>2.0764963799897012</v>
      </c>
      <c r="AH131">
        <v>0</v>
      </c>
      <c r="AI131" s="41">
        <v>0.85</v>
      </c>
      <c r="AJ131">
        <v>386</v>
      </c>
    </row>
    <row r="132" spans="1:36" x14ac:dyDescent="0.25">
      <c r="A132" s="3">
        <f t="shared" si="32"/>
        <v>1447.6657</v>
      </c>
      <c r="B132" s="49">
        <v>1472.7349999999999</v>
      </c>
      <c r="C132" s="1">
        <f t="shared" ref="C132:C136" si="48">YEAR(G132)</f>
        <v>2026</v>
      </c>
      <c r="D132" s="1">
        <f t="shared" ref="D132:D136" si="49">MONTH(G132)</f>
        <v>1</v>
      </c>
      <c r="E132" s="1">
        <v>16</v>
      </c>
      <c r="F132" s="1" t="s">
        <v>120</v>
      </c>
      <c r="G132" s="56">
        <f t="shared" si="28"/>
        <v>46043</v>
      </c>
      <c r="H132" s="17">
        <f t="shared" si="45"/>
        <v>41.028707035711413</v>
      </c>
      <c r="I132" s="17">
        <f t="shared" si="46"/>
        <v>35.326623418229723</v>
      </c>
      <c r="J132" s="17">
        <v>22</v>
      </c>
      <c r="K132" s="17">
        <v>22</v>
      </c>
      <c r="L132" s="17">
        <v>32</v>
      </c>
      <c r="M132" s="44">
        <f>SUMPRODUCT(H132:L132,'Fisico SPOT MAT'!H132:L132)*24</f>
        <v>7278526.4939696584</v>
      </c>
      <c r="N132" s="19">
        <f>+'Fisico SPOT MAT'!AG132</f>
        <v>16.859643725576809</v>
      </c>
      <c r="O132" s="19">
        <f t="shared" si="37"/>
        <v>13.082901554404145</v>
      </c>
      <c r="P132" s="19">
        <v>6</v>
      </c>
      <c r="Q132" s="19">
        <v>6</v>
      </c>
      <c r="R132" s="19">
        <v>0</v>
      </c>
      <c r="S132" s="44">
        <f>SUMPRODUCT(N132:R132,'Fisico SPOT MAT'!N132:R132)*E132</f>
        <v>3819744.4111537095</v>
      </c>
      <c r="T132" s="17"/>
      <c r="U132" s="17">
        <v>18</v>
      </c>
      <c r="V132" s="17">
        <v>60</v>
      </c>
      <c r="W132" s="28">
        <f>SUMPRODUCT(T132:V132,'Fisico SPOT MAT'!T132:V132)*24</f>
        <v>3089902.8</v>
      </c>
      <c r="X132" s="19">
        <v>0</v>
      </c>
      <c r="Y132" s="19">
        <v>5</v>
      </c>
      <c r="Z132" s="19">
        <v>0</v>
      </c>
      <c r="AA132" s="28">
        <f>SUMPRODUCT(X132:Z132,'Fisico SPOT MAT'!X132:Z132)*E132</f>
        <v>42000</v>
      </c>
      <c r="AC132" s="115"/>
      <c r="AD132" s="41">
        <v>38.080756005350267</v>
      </c>
      <c r="AE132" s="42">
        <v>32.378672387868576</v>
      </c>
      <c r="AF132">
        <v>5050</v>
      </c>
      <c r="AG132" s="74">
        <f t="shared" si="47"/>
        <v>2.0979510303611431</v>
      </c>
      <c r="AH132">
        <v>0</v>
      </c>
      <c r="AI132" s="41">
        <v>0.85</v>
      </c>
      <c r="AJ132">
        <v>386</v>
      </c>
    </row>
    <row r="133" spans="1:36" x14ac:dyDescent="0.25">
      <c r="A133" s="3">
        <f t="shared" si="32"/>
        <v>1447.6657</v>
      </c>
      <c r="B133" s="49">
        <v>1472.7349999999999</v>
      </c>
      <c r="C133" s="1">
        <f t="shared" si="48"/>
        <v>2026</v>
      </c>
      <c r="D133" s="1">
        <f t="shared" si="49"/>
        <v>1</v>
      </c>
      <c r="E133" s="1">
        <v>16</v>
      </c>
      <c r="F133" s="1" t="s">
        <v>56</v>
      </c>
      <c r="G133" s="56">
        <f t="shared" si="28"/>
        <v>46044</v>
      </c>
      <c r="H133" s="17">
        <f t="shared" si="45"/>
        <v>40.495418613331708</v>
      </c>
      <c r="I133" s="17">
        <f t="shared" si="46"/>
        <v>35.809365262257678</v>
      </c>
      <c r="J133" s="17">
        <v>22</v>
      </c>
      <c r="K133" s="17">
        <v>22</v>
      </c>
      <c r="L133" s="17">
        <v>32</v>
      </c>
      <c r="M133" s="44">
        <f>SUMPRODUCT(H133:L133,'Fisico SPOT MAT'!H133:L133)*24</f>
        <v>8016462.1466892976</v>
      </c>
      <c r="N133" s="19">
        <f>+'Fisico SPOT MAT'!AG133</f>
        <v>16.859932388448637</v>
      </c>
      <c r="O133" s="19">
        <f t="shared" si="37"/>
        <v>13.082901554404145</v>
      </c>
      <c r="P133" s="19">
        <v>6</v>
      </c>
      <c r="Q133" s="19">
        <v>6</v>
      </c>
      <c r="R133" s="19">
        <v>0</v>
      </c>
      <c r="S133" s="44">
        <f>SUMPRODUCT(N133:R133,'Fisico SPOT MAT'!N133:R133)*E133</f>
        <v>3812871.6543972343</v>
      </c>
      <c r="T133" s="17"/>
      <c r="U133" s="17">
        <v>18</v>
      </c>
      <c r="V133" s="17">
        <v>60</v>
      </c>
      <c r="W133" s="28">
        <f>SUMPRODUCT(T133:V133,'Fisico SPOT MAT'!T133:V133)*24</f>
        <v>2538701.5859999997</v>
      </c>
      <c r="X133" s="19">
        <v>0</v>
      </c>
      <c r="Y133" s="19">
        <v>5</v>
      </c>
      <c r="Z133" s="19">
        <v>0</v>
      </c>
      <c r="AA133" s="28">
        <f>SUMPRODUCT(X133:Z133,'Fisico SPOT MAT'!X133:Z133)*E133</f>
        <v>42000</v>
      </c>
      <c r="AC133" s="115"/>
      <c r="AD133" s="41">
        <v>37.581188396563661</v>
      </c>
      <c r="AE133" s="42">
        <v>32.895135045489631</v>
      </c>
      <c r="AF133">
        <v>5050</v>
      </c>
      <c r="AG133" s="74">
        <f t="shared" si="47"/>
        <v>2.0642302167680473</v>
      </c>
      <c r="AH133">
        <v>0</v>
      </c>
      <c r="AI133" s="41">
        <v>0.85</v>
      </c>
      <c r="AJ133">
        <v>386</v>
      </c>
    </row>
    <row r="134" spans="1:36" x14ac:dyDescent="0.25">
      <c r="A134" s="3">
        <f t="shared" si="32"/>
        <v>1447.6657</v>
      </c>
      <c r="B134" s="49">
        <v>1472.7349999999999</v>
      </c>
      <c r="C134" s="1">
        <f t="shared" si="48"/>
        <v>2026</v>
      </c>
      <c r="D134" s="1">
        <f t="shared" si="49"/>
        <v>1</v>
      </c>
      <c r="E134" s="1">
        <v>16</v>
      </c>
      <c r="F134" s="1" t="s">
        <v>57</v>
      </c>
      <c r="G134" s="56">
        <f t="shared" si="28"/>
        <v>46045</v>
      </c>
      <c r="H134" s="17">
        <f t="shared" si="45"/>
        <v>42.139009153195474</v>
      </c>
      <c r="I134" s="17">
        <f t="shared" si="46"/>
        <v>35.279425466445318</v>
      </c>
      <c r="J134" s="17">
        <v>22</v>
      </c>
      <c r="K134" s="17">
        <v>22</v>
      </c>
      <c r="L134" s="17">
        <v>32</v>
      </c>
      <c r="M134" s="44">
        <f>SUMPRODUCT(H134:L134,'Fisico SPOT MAT'!H134:L134)*24</f>
        <v>9138829.643416971</v>
      </c>
      <c r="N134" s="19">
        <f>+'Fisico SPOT MAT'!AG134</f>
        <v>16.874929181333265</v>
      </c>
      <c r="O134" s="19">
        <f t="shared" si="37"/>
        <v>13.082901554404145</v>
      </c>
      <c r="P134" s="19">
        <v>6</v>
      </c>
      <c r="Q134" s="19">
        <v>6</v>
      </c>
      <c r="R134" s="19">
        <v>0</v>
      </c>
      <c r="S134" s="44">
        <f>SUMPRODUCT(N134:R134,'Fisico SPOT MAT'!N134:R134)*E134</f>
        <v>3868807.3378963708</v>
      </c>
      <c r="T134" s="17"/>
      <c r="U134" s="17">
        <v>18</v>
      </c>
      <c r="V134" s="17">
        <v>60</v>
      </c>
      <c r="W134" s="28">
        <f>SUMPRODUCT(T134:V134,'Fisico SPOT MAT'!T134:V134)*24</f>
        <v>2049247.926</v>
      </c>
      <c r="X134" s="19">
        <v>0</v>
      </c>
      <c r="Y134" s="19">
        <v>5</v>
      </c>
      <c r="Z134" s="19">
        <v>0</v>
      </c>
      <c r="AA134" s="28">
        <f>SUMPRODUCT(X134:Z134,'Fisico SPOT MAT'!X134:Z134)*E134</f>
        <v>42000</v>
      </c>
      <c r="AC134" s="115"/>
      <c r="AD134" s="41">
        <v>39.120851665756881</v>
      </c>
      <c r="AE134" s="42">
        <v>32.261267979006725</v>
      </c>
      <c r="AF134">
        <v>5050</v>
      </c>
      <c r="AG134" s="74">
        <f t="shared" si="47"/>
        <v>2.1681574874385894</v>
      </c>
      <c r="AH134">
        <v>0</v>
      </c>
      <c r="AI134" s="41">
        <v>0.85</v>
      </c>
      <c r="AJ134">
        <v>386</v>
      </c>
    </row>
    <row r="135" spans="1:36" x14ac:dyDescent="0.25">
      <c r="A135" s="3">
        <f t="shared" si="32"/>
        <v>1447.6657</v>
      </c>
      <c r="B135" s="49">
        <v>1472.7349999999999</v>
      </c>
      <c r="C135" s="1">
        <f t="shared" si="48"/>
        <v>2026</v>
      </c>
      <c r="D135" s="1">
        <f t="shared" si="49"/>
        <v>1</v>
      </c>
      <c r="E135" s="1">
        <v>6</v>
      </c>
      <c r="F135" s="1" t="s">
        <v>51</v>
      </c>
      <c r="G135" s="56">
        <f t="shared" si="28"/>
        <v>46046</v>
      </c>
      <c r="H135" s="17">
        <f t="shared" si="45"/>
        <v>47.307454224782099</v>
      </c>
      <c r="I135" s="17">
        <f t="shared" si="46"/>
        <v>37.524688789403363</v>
      </c>
      <c r="J135" s="17">
        <v>22</v>
      </c>
      <c r="K135" s="17">
        <v>22</v>
      </c>
      <c r="L135" s="17">
        <v>32</v>
      </c>
      <c r="M135" s="44">
        <f>SUMPRODUCT(H135:L135,'Fisico SPOT MAT'!H135:L135)*24</f>
        <v>9601092.3467129003</v>
      </c>
      <c r="N135" s="19">
        <f>+'Fisico SPOT MAT'!AG135</f>
        <v>16.877918729893871</v>
      </c>
      <c r="O135" s="19">
        <f t="shared" si="37"/>
        <v>13.082901554404145</v>
      </c>
      <c r="P135" s="19">
        <v>6</v>
      </c>
      <c r="Q135" s="19">
        <v>6</v>
      </c>
      <c r="R135" s="19">
        <v>0</v>
      </c>
      <c r="S135" s="44">
        <f>SUMPRODUCT(N135:R135,'Fisico SPOT MAT'!N135:R135)*E135</f>
        <v>1455221.4954015533</v>
      </c>
      <c r="T135" s="17"/>
      <c r="U135" s="17">
        <v>18</v>
      </c>
      <c r="V135" s="17">
        <v>60</v>
      </c>
      <c r="W135" s="28">
        <f>SUMPRODUCT(T135:V135,'Fisico SPOT MAT'!T135:V135)*24</f>
        <v>2019429.0779999997</v>
      </c>
      <c r="X135" s="19">
        <v>0</v>
      </c>
      <c r="Y135" s="19">
        <v>5</v>
      </c>
      <c r="Z135" s="19">
        <v>0</v>
      </c>
      <c r="AA135" s="28">
        <f>SUMPRODUCT(X135:Z135,'Fisico SPOT MAT'!X135:Z135)*E135</f>
        <v>15750</v>
      </c>
      <c r="AC135" s="115"/>
      <c r="AD135" s="41">
        <v>43.9624863932385</v>
      </c>
      <c r="AE135" s="42">
        <v>34.179720957859764</v>
      </c>
      <c r="AF135">
        <v>5050</v>
      </c>
      <c r="AG135" s="74">
        <f t="shared" si="47"/>
        <v>2.4949678315435988</v>
      </c>
      <c r="AH135">
        <v>0</v>
      </c>
      <c r="AI135" s="41">
        <v>0.85</v>
      </c>
      <c r="AJ135">
        <v>386</v>
      </c>
    </row>
    <row r="136" spans="1:36" x14ac:dyDescent="0.25">
      <c r="A136" s="3">
        <f t="shared" si="32"/>
        <v>1447.6657</v>
      </c>
      <c r="B136" s="49">
        <v>1472.7349999999999</v>
      </c>
      <c r="C136" s="1">
        <f t="shared" si="48"/>
        <v>2026</v>
      </c>
      <c r="D136" s="1">
        <f t="shared" si="49"/>
        <v>1</v>
      </c>
      <c r="E136" s="1">
        <v>4</v>
      </c>
      <c r="F136" s="1" t="s">
        <v>52</v>
      </c>
      <c r="G136" s="56">
        <f t="shared" si="28"/>
        <v>46047</v>
      </c>
      <c r="H136" s="17">
        <f t="shared" si="45"/>
        <v>50.110246773424585</v>
      </c>
      <c r="I136" s="17">
        <f t="shared" si="46"/>
        <v>37.136752789383209</v>
      </c>
      <c r="J136" s="17">
        <v>22</v>
      </c>
      <c r="K136" s="17">
        <v>22</v>
      </c>
      <c r="L136" s="17">
        <v>32</v>
      </c>
      <c r="M136" s="44">
        <f>SUMPRODUCT(H136:L136,'Fisico SPOT MAT'!H136:L136)*24</f>
        <v>9276283.954957664</v>
      </c>
      <c r="N136" s="19">
        <f>+'Fisico SPOT MAT'!AG136</f>
        <v>16.85919126900523</v>
      </c>
      <c r="O136" s="19">
        <f t="shared" si="37"/>
        <v>13.082901554404145</v>
      </c>
      <c r="P136" s="19">
        <v>6</v>
      </c>
      <c r="Q136" s="19">
        <v>6</v>
      </c>
      <c r="R136" s="19">
        <v>0</v>
      </c>
      <c r="S136" s="44">
        <f>SUMPRODUCT(N136:R136,'Fisico SPOT MAT'!N136:R136)*E136</f>
        <v>951976.51829015499</v>
      </c>
      <c r="T136" s="17"/>
      <c r="U136" s="17">
        <v>18</v>
      </c>
      <c r="V136" s="17">
        <v>60</v>
      </c>
      <c r="W136" s="28">
        <f>SUMPRODUCT(T136:V136,'Fisico SPOT MAT'!T136:V136)*24</f>
        <v>2470060.932</v>
      </c>
      <c r="X136" s="19">
        <v>0</v>
      </c>
      <c r="Y136" s="19">
        <v>5</v>
      </c>
      <c r="Z136" s="19">
        <v>0</v>
      </c>
      <c r="AA136" s="28">
        <f>SUMPRODUCT(X136:Z136,'Fisico SPOT MAT'!X136:Z136)*E136</f>
        <v>10500</v>
      </c>
      <c r="AC136" s="115"/>
      <c r="AD136" s="41">
        <v>46.588053183535912</v>
      </c>
      <c r="AE136" s="42">
        <v>33.614559199494536</v>
      </c>
      <c r="AF136">
        <v>5050</v>
      </c>
      <c r="AG136" s="74">
        <f t="shared" si="47"/>
        <v>2.6721935898886744</v>
      </c>
      <c r="AH136">
        <v>0</v>
      </c>
      <c r="AI136" s="41">
        <v>0.85</v>
      </c>
      <c r="AJ136">
        <v>386</v>
      </c>
    </row>
    <row r="137" spans="1:36" x14ac:dyDescent="0.25">
      <c r="A137" s="3">
        <f t="shared" si="32"/>
        <v>1447.6657</v>
      </c>
      <c r="B137" s="49">
        <v>1472.7349999999999</v>
      </c>
      <c r="C137" s="1">
        <f t="shared" ref="C137" si="50">YEAR(G137)</f>
        <v>2026</v>
      </c>
      <c r="D137" s="1">
        <f t="shared" ref="D137" si="51">MONTH(G137)</f>
        <v>1</v>
      </c>
      <c r="E137" s="1">
        <v>16</v>
      </c>
      <c r="F137" s="1" t="s">
        <v>53</v>
      </c>
      <c r="G137" s="56">
        <f t="shared" si="28"/>
        <v>46048</v>
      </c>
      <c r="H137" s="17">
        <f t="shared" si="45"/>
        <v>53.797224983592834</v>
      </c>
      <c r="I137" s="17">
        <f t="shared" ref="I137:I141" si="52">+AE137+AG137+AH137+AI137</f>
        <v>40.391985499905736</v>
      </c>
      <c r="J137" s="17">
        <v>22</v>
      </c>
      <c r="K137" s="17">
        <v>22</v>
      </c>
      <c r="L137" s="17">
        <v>32</v>
      </c>
      <c r="M137" s="44">
        <f>SUMPRODUCT(H137:L137,'Fisico SPOT MAT'!H137:L137)*24</f>
        <v>11462124.9175089</v>
      </c>
      <c r="N137" s="19">
        <f>+'Fisico SPOT MAT'!AG137</f>
        <v>16.798398640888728</v>
      </c>
      <c r="O137" s="19">
        <f t="shared" si="37"/>
        <v>13.082901554404145</v>
      </c>
      <c r="P137" s="19">
        <v>6</v>
      </c>
      <c r="Q137" s="19">
        <v>6</v>
      </c>
      <c r="R137" s="19">
        <v>0</v>
      </c>
      <c r="S137" s="44">
        <f>SUMPRODUCT(N137:R137,'Fisico SPOT MAT'!N137:R137)*E137</f>
        <v>3630748.1194162332</v>
      </c>
      <c r="T137" s="17"/>
      <c r="U137" s="17">
        <v>18</v>
      </c>
      <c r="V137" s="17">
        <v>60</v>
      </c>
      <c r="W137" s="28">
        <f>SUMPRODUCT(T137:V137,'Fisico SPOT MAT'!T137:V137)*24</f>
        <v>1959070.0500000003</v>
      </c>
      <c r="X137" s="19">
        <v>0</v>
      </c>
      <c r="Y137" s="19">
        <v>5</v>
      </c>
      <c r="Z137" s="19">
        <v>0</v>
      </c>
      <c r="AA137" s="28">
        <f>SUMPRODUCT(X137:Z137,'Fisico SPOT MAT'!X137:Z137)*E137</f>
        <v>42000</v>
      </c>
      <c r="AC137" s="115"/>
      <c r="AD137" s="41">
        <v>50.041896940133803</v>
      </c>
      <c r="AE137" s="42">
        <v>36.636657456446706</v>
      </c>
      <c r="AF137">
        <v>5050</v>
      </c>
      <c r="AG137" s="74">
        <f t="shared" ref="AG137:AG141" si="53">0.075*0.9*(AD137-7)</f>
        <v>2.9053280434590318</v>
      </c>
      <c r="AH137">
        <v>0</v>
      </c>
      <c r="AI137" s="41">
        <v>0.85</v>
      </c>
      <c r="AJ137">
        <v>386</v>
      </c>
    </row>
    <row r="138" spans="1:36" x14ac:dyDescent="0.25">
      <c r="A138" s="3">
        <f t="shared" si="32"/>
        <v>1447.6657</v>
      </c>
      <c r="B138" s="49">
        <v>1472.7349999999999</v>
      </c>
      <c r="C138" s="1">
        <f t="shared" ref="C138:C141" si="54">YEAR(G138)</f>
        <v>2026</v>
      </c>
      <c r="D138" s="1">
        <f t="shared" ref="D138:D141" si="55">MONTH(G138)</f>
        <v>1</v>
      </c>
      <c r="E138" s="1">
        <v>16</v>
      </c>
      <c r="F138" s="1" t="s">
        <v>54</v>
      </c>
      <c r="G138" s="56">
        <f t="shared" si="28"/>
        <v>46049</v>
      </c>
      <c r="H138" s="17">
        <f t="shared" si="45"/>
        <v>55.335184518119867</v>
      </c>
      <c r="I138" s="17">
        <f t="shared" si="52"/>
        <v>41.485225636532725</v>
      </c>
      <c r="J138" s="17">
        <v>22</v>
      </c>
      <c r="K138" s="17">
        <v>22</v>
      </c>
      <c r="L138" s="17">
        <v>32</v>
      </c>
      <c r="M138" s="44">
        <f>SUMPRODUCT(H138:L138,'Fisico SPOT MAT'!H138:L138)*24</f>
        <v>11973760.624808079</v>
      </c>
      <c r="N138" s="19">
        <f>+'Fisico SPOT MAT'!AG138</f>
        <v>16.818448793866477</v>
      </c>
      <c r="O138" s="19">
        <f t="shared" si="37"/>
        <v>13.082901554404145</v>
      </c>
      <c r="P138" s="19">
        <v>6</v>
      </c>
      <c r="Q138" s="19">
        <v>6</v>
      </c>
      <c r="R138" s="19">
        <v>0</v>
      </c>
      <c r="S138" s="44">
        <f>SUMPRODUCT(N138:R138,'Fisico SPOT MAT'!N138:R138)*E138</f>
        <v>3681565.4899481856</v>
      </c>
      <c r="T138" s="17"/>
      <c r="U138" s="17">
        <v>18</v>
      </c>
      <c r="V138" s="17">
        <v>60</v>
      </c>
      <c r="W138" s="28">
        <f>SUMPRODUCT(T138:V138,'Fisico SPOT MAT'!T138:V138)*24</f>
        <v>1649422.7580000004</v>
      </c>
      <c r="X138" s="19">
        <v>0</v>
      </c>
      <c r="Y138" s="19">
        <v>5</v>
      </c>
      <c r="Z138" s="19">
        <v>0</v>
      </c>
      <c r="AA138" s="28">
        <f>SUMPRODUCT(X138:Z138,'Fisico SPOT MAT'!X138:Z138)*E138</f>
        <v>42000</v>
      </c>
      <c r="AC138" s="115"/>
      <c r="AD138" s="41">
        <v>51.482608447887465</v>
      </c>
      <c r="AE138" s="42">
        <v>37.632649566300323</v>
      </c>
      <c r="AF138">
        <v>5050</v>
      </c>
      <c r="AG138" s="74">
        <f t="shared" si="53"/>
        <v>3.0025760702324042</v>
      </c>
      <c r="AH138">
        <v>0</v>
      </c>
      <c r="AI138" s="41">
        <v>0.85</v>
      </c>
      <c r="AJ138">
        <v>386</v>
      </c>
    </row>
    <row r="139" spans="1:36" x14ac:dyDescent="0.25">
      <c r="A139" s="3">
        <f t="shared" si="32"/>
        <v>1447.6657</v>
      </c>
      <c r="B139" s="49">
        <v>1472.7349999999999</v>
      </c>
      <c r="C139" s="1">
        <f t="shared" si="54"/>
        <v>2026</v>
      </c>
      <c r="D139" s="1">
        <f t="shared" si="55"/>
        <v>1</v>
      </c>
      <c r="E139" s="1">
        <v>16</v>
      </c>
      <c r="F139" s="1" t="s">
        <v>120</v>
      </c>
      <c r="G139" s="56">
        <f t="shared" si="28"/>
        <v>46050</v>
      </c>
      <c r="H139" s="17">
        <f t="shared" si="45"/>
        <v>53.990627914471773</v>
      </c>
      <c r="I139" s="17">
        <f t="shared" si="52"/>
        <v>39.842804549262645</v>
      </c>
      <c r="J139" s="17">
        <v>22</v>
      </c>
      <c r="K139" s="17">
        <v>22</v>
      </c>
      <c r="L139" s="17">
        <v>32</v>
      </c>
      <c r="M139" s="44">
        <f>SUMPRODUCT(H139:L139,'Fisico SPOT MAT'!H139:L139)*24</f>
        <v>11610099.313321481</v>
      </c>
      <c r="N139" s="19">
        <f>+'Fisico SPOT MAT'!AG139</f>
        <v>16.828401806123029</v>
      </c>
      <c r="O139" s="19">
        <f t="shared" si="37"/>
        <v>13.082901554404145</v>
      </c>
      <c r="P139" s="19">
        <v>6</v>
      </c>
      <c r="Q139" s="19">
        <v>6</v>
      </c>
      <c r="R139" s="19">
        <v>0</v>
      </c>
      <c r="S139" s="44">
        <f>SUMPRODUCT(N139:R139,'Fisico SPOT MAT'!N139:R139)*E139</f>
        <v>3722669.6253989623</v>
      </c>
      <c r="T139" s="17"/>
      <c r="U139" s="17">
        <v>18</v>
      </c>
      <c r="V139" s="17">
        <v>60</v>
      </c>
      <c r="W139" s="28">
        <f>SUMPRODUCT(T139:V139,'Fisico SPOT MAT'!T139:V139)*24</f>
        <v>1596746.2259999998</v>
      </c>
      <c r="X139" s="19">
        <v>0</v>
      </c>
      <c r="Y139" s="19">
        <v>5</v>
      </c>
      <c r="Z139" s="19">
        <v>0</v>
      </c>
      <c r="AA139" s="28">
        <f>SUMPRODUCT(X139:Z139,'Fisico SPOT MAT'!X139:Z139)*E139</f>
        <v>42000</v>
      </c>
      <c r="AC139" s="115"/>
      <c r="AD139" s="41">
        <v>50.223070645875197</v>
      </c>
      <c r="AE139" s="42">
        <v>36.075247280666069</v>
      </c>
      <c r="AF139">
        <v>5050</v>
      </c>
      <c r="AG139" s="74">
        <f t="shared" si="53"/>
        <v>2.917557268596576</v>
      </c>
      <c r="AH139">
        <v>0</v>
      </c>
      <c r="AI139" s="41">
        <v>0.85</v>
      </c>
      <c r="AJ139">
        <v>386</v>
      </c>
    </row>
    <row r="140" spans="1:36" x14ac:dyDescent="0.25">
      <c r="A140" s="3">
        <f t="shared" si="32"/>
        <v>1447.6657</v>
      </c>
      <c r="B140" s="49">
        <v>1472.7349999999999</v>
      </c>
      <c r="C140" s="1">
        <f t="shared" si="54"/>
        <v>2026</v>
      </c>
      <c r="D140" s="1">
        <f t="shared" si="55"/>
        <v>1</v>
      </c>
      <c r="E140" s="1">
        <v>16</v>
      </c>
      <c r="F140" s="1" t="s">
        <v>56</v>
      </c>
      <c r="G140" s="56">
        <f t="shared" si="28"/>
        <v>46051</v>
      </c>
      <c r="H140" s="17">
        <f t="shared" si="45"/>
        <v>54.456784590370084</v>
      </c>
      <c r="I140" s="17">
        <f t="shared" si="52"/>
        <v>40.201841758123408</v>
      </c>
      <c r="J140" s="17">
        <v>22</v>
      </c>
      <c r="K140" s="17">
        <v>22</v>
      </c>
      <c r="L140" s="17">
        <v>32</v>
      </c>
      <c r="M140" s="44">
        <f>SUMPRODUCT(H140:L140,'Fisico SPOT MAT'!H140:L140)*24</f>
        <v>11847398.398138443</v>
      </c>
      <c r="N140" s="19">
        <f>+'Fisico SPOT MAT'!AG140</f>
        <v>16.845359113061001</v>
      </c>
      <c r="O140" s="19">
        <f t="shared" si="37"/>
        <v>13.082901554404145</v>
      </c>
      <c r="P140" s="19">
        <v>6</v>
      </c>
      <c r="Q140" s="19">
        <v>6</v>
      </c>
      <c r="R140" s="19">
        <v>0</v>
      </c>
      <c r="S140" s="44">
        <f>SUMPRODUCT(N140:R140,'Fisico SPOT MAT'!N140:R140)*E140</f>
        <v>3774762.500514681</v>
      </c>
      <c r="T140" s="17"/>
      <c r="U140" s="17">
        <v>18</v>
      </c>
      <c r="V140" s="17">
        <v>60</v>
      </c>
      <c r="W140" s="28">
        <f>SUMPRODUCT(T140:V140,'Fisico SPOT MAT'!T140:V140)*24</f>
        <v>1879503.87</v>
      </c>
      <c r="X140" s="19">
        <v>0</v>
      </c>
      <c r="Y140" s="19">
        <v>5</v>
      </c>
      <c r="Z140" s="19">
        <v>0</v>
      </c>
      <c r="AA140" s="28">
        <f>SUMPRODUCT(X140:Z140,'Fisico SPOT MAT'!X140:Z140)*E140</f>
        <v>42000</v>
      </c>
      <c r="AC140" s="115"/>
      <c r="AD140" s="41">
        <v>50.659751372712023</v>
      </c>
      <c r="AE140" s="42">
        <v>36.404808540465346</v>
      </c>
      <c r="AF140">
        <v>5050</v>
      </c>
      <c r="AG140" s="74">
        <f t="shared" si="53"/>
        <v>2.9470332176580616</v>
      </c>
      <c r="AH140">
        <v>0</v>
      </c>
      <c r="AI140" s="41">
        <v>0.85</v>
      </c>
      <c r="AJ140">
        <v>386</v>
      </c>
    </row>
    <row r="141" spans="1:36" x14ac:dyDescent="0.25">
      <c r="A141" s="3">
        <f t="shared" si="32"/>
        <v>1447.6657</v>
      </c>
      <c r="B141" s="49">
        <v>1472.7349999999999</v>
      </c>
      <c r="C141" s="1">
        <f t="shared" si="54"/>
        <v>2026</v>
      </c>
      <c r="D141" s="1">
        <f t="shared" si="55"/>
        <v>1</v>
      </c>
      <c r="E141" s="1">
        <v>16</v>
      </c>
      <c r="F141" s="1" t="s">
        <v>57</v>
      </c>
      <c r="G141" s="56">
        <f t="shared" si="28"/>
        <v>46052</v>
      </c>
      <c r="H141" s="17">
        <f t="shared" si="45"/>
        <v>57.828034539467289</v>
      </c>
      <c r="I141" s="17">
        <f t="shared" si="52"/>
        <v>40.68948742815315</v>
      </c>
      <c r="J141" s="17">
        <v>22</v>
      </c>
      <c r="K141" s="17">
        <v>22</v>
      </c>
      <c r="L141" s="17">
        <v>32</v>
      </c>
      <c r="M141" s="44">
        <f>SUMPRODUCT(H141:L141,'Fisico SPOT MAT'!H141:L141)*24</f>
        <v>12350835.58642387</v>
      </c>
      <c r="N141" s="19">
        <f>+'Fisico SPOT MAT'!AG141</f>
        <v>16.847642292802917</v>
      </c>
      <c r="O141" s="19">
        <f t="shared" si="37"/>
        <v>13.082901554404145</v>
      </c>
      <c r="P141" s="19">
        <v>6</v>
      </c>
      <c r="Q141" s="19">
        <v>6</v>
      </c>
      <c r="R141" s="19">
        <v>0</v>
      </c>
      <c r="S141" s="44">
        <f>SUMPRODUCT(N141:R141,'Fisico SPOT MAT'!N141:R141)*E141</f>
        <v>3782498.0629844554</v>
      </c>
      <c r="T141" s="17"/>
      <c r="U141" s="17">
        <v>18</v>
      </c>
      <c r="V141" s="17">
        <v>60</v>
      </c>
      <c r="W141" s="28">
        <f>SUMPRODUCT(T141:V141,'Fisico SPOT MAT'!T141:V141)*24</f>
        <v>1997549.1660000002</v>
      </c>
      <c r="X141" s="19">
        <v>0</v>
      </c>
      <c r="Y141" s="19">
        <v>5</v>
      </c>
      <c r="Z141" s="19">
        <v>0</v>
      </c>
      <c r="AA141" s="28">
        <f>SUMPRODUCT(X141:Z141,'Fisico SPOT MAT'!X141:Z141)*E141</f>
        <v>42000</v>
      </c>
      <c r="AC141" s="115"/>
      <c r="AD141" s="41">
        <v>53.817830950320641</v>
      </c>
      <c r="AE141" s="42">
        <v>36.679283839006509</v>
      </c>
      <c r="AF141">
        <v>5050</v>
      </c>
      <c r="AG141" s="74">
        <f t="shared" si="53"/>
        <v>3.1602035891466436</v>
      </c>
      <c r="AH141">
        <v>0</v>
      </c>
      <c r="AI141" s="41">
        <v>0.85</v>
      </c>
      <c r="AJ141">
        <v>386</v>
      </c>
    </row>
    <row r="142" spans="1:36" x14ac:dyDescent="0.25">
      <c r="A142" s="3">
        <f>+'Mono ASIG'!A142</f>
        <v>1447.6657</v>
      </c>
      <c r="B142" s="3">
        <f>+'Mono ASIG'!B142</f>
        <v>1472.7349999999999</v>
      </c>
      <c r="C142" s="1">
        <f>+'Mono ASIG'!C142</f>
        <v>2026</v>
      </c>
      <c r="D142" s="1">
        <f t="shared" ref="D142" si="56">MONTH(G142)</f>
        <v>1</v>
      </c>
      <c r="E142" s="1">
        <f>+E135</f>
        <v>6</v>
      </c>
      <c r="F142" s="1" t="str">
        <f>+'Mono ASIG'!F142</f>
        <v>sáb</v>
      </c>
      <c r="G142" s="56">
        <f>+'Mono ASIG'!G142</f>
        <v>46053</v>
      </c>
      <c r="H142" s="17">
        <f t="shared" ref="H142:H149" si="57">+AD142+AG142+AH142+AI142</f>
        <v>57.017363040010935</v>
      </c>
      <c r="I142" s="17">
        <f t="shared" ref="I142:I149" si="58">+AE142+AG142+AH142+AI142</f>
        <v>40.814343770308959</v>
      </c>
      <c r="J142" s="17">
        <v>22</v>
      </c>
      <c r="K142" s="17">
        <v>22</v>
      </c>
      <c r="L142" s="17">
        <v>32</v>
      </c>
      <c r="M142" s="44">
        <f>SUMPRODUCT(H142:L142,'Fisico SPOT MAT'!H142:L142)*24</f>
        <v>10682757.514121834</v>
      </c>
      <c r="N142" s="19">
        <f>+'Fisico SPOT MAT'!AG142</f>
        <v>16.834906221733267</v>
      </c>
      <c r="O142" s="19">
        <f t="shared" si="37"/>
        <v>13.082901554404145</v>
      </c>
      <c r="P142" s="19">
        <v>6</v>
      </c>
      <c r="Q142" s="19">
        <v>6</v>
      </c>
      <c r="R142" s="19">
        <v>0</v>
      </c>
      <c r="S142" s="44">
        <f>SUMPRODUCT(N142:R142,'Fisico SPOT MAT'!N142:R142)*E142</f>
        <v>1402057.4831955952</v>
      </c>
      <c r="T142" s="17"/>
      <c r="U142" s="17">
        <v>18</v>
      </c>
      <c r="V142" s="17">
        <v>60</v>
      </c>
      <c r="W142" s="28">
        <f>SUMPRODUCT(T142:V142,'Fisico SPOT MAT'!T142:V142)*24</f>
        <v>1856781.156</v>
      </c>
      <c r="X142" s="19">
        <v>0</v>
      </c>
      <c r="Y142" s="19">
        <v>5</v>
      </c>
      <c r="Z142" s="19">
        <v>0</v>
      </c>
      <c r="AA142" s="28">
        <f>SUMPRODUCT(X142:Z142,'Fisico SPOT MAT'!X142:Z142)*E142</f>
        <v>15750</v>
      </c>
      <c r="AC142" s="115"/>
      <c r="AD142" s="41">
        <v>53.058419709612117</v>
      </c>
      <c r="AE142" s="42">
        <v>36.855400439910142</v>
      </c>
      <c r="AF142">
        <v>5050</v>
      </c>
      <c r="AG142" s="74">
        <f t="shared" ref="AG142:AG155" si="59">0.075*0.9*(AD142-7)</f>
        <v>3.1089433303988181</v>
      </c>
      <c r="AH142">
        <v>0</v>
      </c>
      <c r="AI142" s="41">
        <v>0.85</v>
      </c>
      <c r="AJ142">
        <v>386</v>
      </c>
    </row>
    <row r="143" spans="1:36" x14ac:dyDescent="0.25">
      <c r="A143" s="3">
        <f>+'Mono ASIG'!A143</f>
        <v>1408.96</v>
      </c>
      <c r="B143" s="3">
        <f>+'Mono ASIG'!B143</f>
        <v>1472.7349999999999</v>
      </c>
      <c r="C143" s="1">
        <f>+'Mono ASIG'!C143</f>
        <v>2026</v>
      </c>
      <c r="D143" s="1">
        <f t="shared" ref="D143:D149" si="60">MONTH(G143)</f>
        <v>2</v>
      </c>
      <c r="E143" s="1">
        <f>+'Fisico SPOT MAT'!E143</f>
        <v>4</v>
      </c>
      <c r="F143" s="1" t="str">
        <f>+'Mono ASIG'!F143</f>
        <v>dom</v>
      </c>
      <c r="G143" s="56">
        <f>+'Mono ASIG'!G143</f>
        <v>46054</v>
      </c>
      <c r="H143" s="17">
        <f t="shared" si="57"/>
        <v>50.847543972546909</v>
      </c>
      <c r="I143" s="17">
        <f t="shared" si="58"/>
        <v>39.27863174497034</v>
      </c>
      <c r="J143" s="17">
        <v>22</v>
      </c>
      <c r="K143" s="17">
        <v>22</v>
      </c>
      <c r="L143" s="17">
        <v>32</v>
      </c>
      <c r="M143" s="44">
        <f>SUMPRODUCT(H143:L143,'Fisico SPOT MAT'!H143:L143)*24</f>
        <v>9060289.6464275941</v>
      </c>
      <c r="N143" s="19">
        <f>+'Fisico SPOT MAT'!AG143</f>
        <v>16.868051879881204</v>
      </c>
      <c r="O143" s="19">
        <f t="shared" si="37"/>
        <v>15.029761904761905</v>
      </c>
      <c r="P143" s="19">
        <v>6</v>
      </c>
      <c r="Q143" s="19">
        <v>6</v>
      </c>
      <c r="R143" s="19">
        <v>0</v>
      </c>
      <c r="S143" s="44">
        <f>SUMPRODUCT(N143:R143,'Fisico SPOT MAT'!N143:R143)*E143</f>
        <v>970955.69026686542</v>
      </c>
      <c r="T143" s="17"/>
      <c r="U143" s="17">
        <v>18</v>
      </c>
      <c r="V143" s="17">
        <v>60</v>
      </c>
      <c r="W143" s="28">
        <f>SUMPRODUCT(T143:V143,'Fisico SPOT MAT'!T143:V143)*24</f>
        <v>1603099.4580000001</v>
      </c>
      <c r="X143" s="19">
        <v>0</v>
      </c>
      <c r="Y143" s="19">
        <v>5</v>
      </c>
      <c r="Z143" s="19">
        <v>0</v>
      </c>
      <c r="AA143" s="28">
        <f>SUMPRODUCT(X143:Z143,'Fisico SPOT MAT'!X143:Z143)*E143</f>
        <v>10300</v>
      </c>
      <c r="AC143" s="115"/>
      <c r="AD143" s="41">
        <v>47.278729716671577</v>
      </c>
      <c r="AE143" s="42">
        <v>35.709817489095009</v>
      </c>
      <c r="AF143">
        <v>5050</v>
      </c>
      <c r="AG143" s="74">
        <f t="shared" si="59"/>
        <v>2.7188142558753317</v>
      </c>
      <c r="AH143">
        <v>0</v>
      </c>
      <c r="AI143" s="41">
        <v>0.85</v>
      </c>
      <c r="AJ143">
        <v>336</v>
      </c>
    </row>
    <row r="144" spans="1:36" x14ac:dyDescent="0.25">
      <c r="A144" s="3">
        <f>+'Mono ASIG'!A144</f>
        <v>1408.96</v>
      </c>
      <c r="B144" s="3">
        <f>+'Mono ASIG'!B144</f>
        <v>1438.46</v>
      </c>
      <c r="C144" s="1">
        <f>+'Mono ASIG'!C144</f>
        <v>2026</v>
      </c>
      <c r="D144" s="1">
        <f t="shared" si="60"/>
        <v>2</v>
      </c>
      <c r="E144" s="1">
        <f>+'Fisico SPOT MAT'!E144</f>
        <v>16</v>
      </c>
      <c r="F144" s="1" t="str">
        <f>+'Mono ASIG'!F144</f>
        <v>lun</v>
      </c>
      <c r="G144" s="56">
        <f>+'Mono ASIG'!G144</f>
        <v>46055</v>
      </c>
      <c r="H144" s="17">
        <f t="shared" si="57"/>
        <v>50.707384392129271</v>
      </c>
      <c r="I144" s="17">
        <f t="shared" si="58"/>
        <v>34.746273923580794</v>
      </c>
      <c r="J144" s="17">
        <v>22</v>
      </c>
      <c r="K144" s="17">
        <v>22</v>
      </c>
      <c r="L144" s="17">
        <v>32</v>
      </c>
      <c r="M144" s="44">
        <f>SUMPRODUCT(H144:L144,'Fisico SPOT MAT'!H144:L144)*24</f>
        <v>10243053.033597771</v>
      </c>
      <c r="N144" s="19">
        <f>+'Fisico SPOT MAT'!AG144</f>
        <v>16.850687731866724</v>
      </c>
      <c r="O144" s="19">
        <f t="shared" si="37"/>
        <v>15.029761904761905</v>
      </c>
      <c r="P144" s="19">
        <v>6</v>
      </c>
      <c r="Q144" s="19">
        <v>6</v>
      </c>
      <c r="R144" s="19">
        <v>0</v>
      </c>
      <c r="S144" s="44">
        <f>SUMPRODUCT(N144:R144,'Fisico SPOT MAT'!N144:R144)*E144</f>
        <v>3826399.00275</v>
      </c>
      <c r="T144" s="17"/>
      <c r="U144" s="17">
        <v>18</v>
      </c>
      <c r="V144" s="17">
        <v>60</v>
      </c>
      <c r="W144" s="28">
        <f>SUMPRODUCT(T144:V144,'Fisico SPOT MAT'!T144:V144)*24</f>
        <v>2573437.3740000003</v>
      </c>
      <c r="X144" s="19">
        <v>0</v>
      </c>
      <c r="Y144" s="19">
        <v>5</v>
      </c>
      <c r="Z144" s="19">
        <v>0</v>
      </c>
      <c r="AA144" s="28">
        <f>SUMPRODUCT(X144:Z144,'Fisico SPOT MAT'!X144:Z144)*E144</f>
        <v>41200</v>
      </c>
      <c r="AC144" s="115"/>
      <c r="AD144" s="41">
        <v>47.147432685835383</v>
      </c>
      <c r="AE144" s="42">
        <v>31.186322217286907</v>
      </c>
      <c r="AF144">
        <v>5050</v>
      </c>
      <c r="AG144" s="74">
        <f t="shared" si="59"/>
        <v>2.7099517062938885</v>
      </c>
      <c r="AH144">
        <v>0</v>
      </c>
      <c r="AI144" s="41">
        <v>0.85</v>
      </c>
      <c r="AJ144">
        <v>336</v>
      </c>
    </row>
    <row r="145" spans="1:36" x14ac:dyDescent="0.25">
      <c r="A145" s="3">
        <f>+'Mono ASIG'!A145</f>
        <v>1408.96</v>
      </c>
      <c r="B145" s="3">
        <f>+'Mono ASIG'!B145</f>
        <v>1438.46</v>
      </c>
      <c r="C145" s="1">
        <f>+'Mono ASIG'!C145</f>
        <v>2026</v>
      </c>
      <c r="D145" s="1">
        <f t="shared" si="60"/>
        <v>2</v>
      </c>
      <c r="E145" s="1">
        <f>+'Fisico SPOT MAT'!E145</f>
        <v>16</v>
      </c>
      <c r="F145" s="1" t="str">
        <f>+'Mono ASIG'!F145</f>
        <v>mar</v>
      </c>
      <c r="G145" s="56">
        <f>+'Mono ASIG'!G145</f>
        <v>46056</v>
      </c>
      <c r="H145" s="17">
        <f t="shared" si="57"/>
        <v>58.911072910958744</v>
      </c>
      <c r="I145" s="17">
        <f t="shared" si="58"/>
        <v>39.509051395522896</v>
      </c>
      <c r="J145" s="17">
        <v>22</v>
      </c>
      <c r="K145" s="17">
        <v>22</v>
      </c>
      <c r="L145" s="17">
        <v>32</v>
      </c>
      <c r="M145" s="44">
        <f>SUMPRODUCT(H145:L145,'Fisico SPOT MAT'!H145:L145)*24</f>
        <v>13058686.232416475</v>
      </c>
      <c r="N145" s="19">
        <f>+'Fisico SPOT MAT'!AG145</f>
        <v>16.805837703848702</v>
      </c>
      <c r="O145" s="19">
        <f t="shared" si="37"/>
        <v>15.029761904761905</v>
      </c>
      <c r="P145" s="19">
        <v>6</v>
      </c>
      <c r="Q145" s="19">
        <v>6</v>
      </c>
      <c r="R145" s="19">
        <v>0</v>
      </c>
      <c r="S145" s="44">
        <f>SUMPRODUCT(N145:R145,'Fisico SPOT MAT'!N145:R145)*E145</f>
        <v>3689906.2161190463</v>
      </c>
      <c r="T145" s="17"/>
      <c r="U145" s="17">
        <v>18</v>
      </c>
      <c r="V145" s="17">
        <v>60</v>
      </c>
      <c r="W145" s="28">
        <f>SUMPRODUCT(T145:V145,'Fisico SPOT MAT'!T145:V145)*24</f>
        <v>2231907.3719999995</v>
      </c>
      <c r="X145" s="19">
        <v>0</v>
      </c>
      <c r="Y145" s="19">
        <v>5</v>
      </c>
      <c r="Z145" s="19">
        <v>0</v>
      </c>
      <c r="AA145" s="28">
        <f>SUMPRODUCT(X145:Z145,'Fisico SPOT MAT'!X145:Z145)*E145</f>
        <v>42000</v>
      </c>
      <c r="AC145" s="115"/>
      <c r="AD145" s="41">
        <v>54.832386801834886</v>
      </c>
      <c r="AE145" s="42">
        <v>35.430365286399038</v>
      </c>
      <c r="AF145">
        <v>5050</v>
      </c>
      <c r="AG145" s="74">
        <f t="shared" si="59"/>
        <v>3.228686109123855</v>
      </c>
      <c r="AH145">
        <v>0</v>
      </c>
      <c r="AI145" s="41">
        <v>0.85</v>
      </c>
      <c r="AJ145">
        <v>336</v>
      </c>
    </row>
    <row r="146" spans="1:36" x14ac:dyDescent="0.25">
      <c r="A146" s="3">
        <f>+'Mono ASIG'!A146</f>
        <v>1408.96</v>
      </c>
      <c r="B146" s="3">
        <f>+'Mono ASIG'!B146</f>
        <v>1438.46</v>
      </c>
      <c r="C146" s="1">
        <f>+'Mono ASIG'!C146</f>
        <v>2026</v>
      </c>
      <c r="D146" s="1">
        <f t="shared" si="60"/>
        <v>2</v>
      </c>
      <c r="E146" s="1">
        <f>+'Fisico SPOT MAT'!E146</f>
        <v>16</v>
      </c>
      <c r="F146" s="1" t="str">
        <f>+'Mono ASIG'!F146</f>
        <v>mié</v>
      </c>
      <c r="G146" s="56">
        <f>+'Mono ASIG'!G146</f>
        <v>46057</v>
      </c>
      <c r="H146" s="17">
        <f t="shared" si="57"/>
        <v>57.765421360963252</v>
      </c>
      <c r="I146" s="17">
        <f t="shared" si="58"/>
        <v>40.402926666310329</v>
      </c>
      <c r="J146" s="17">
        <v>22</v>
      </c>
      <c r="K146" s="17">
        <v>22</v>
      </c>
      <c r="L146" s="17">
        <v>32</v>
      </c>
      <c r="M146" s="44">
        <f>SUMPRODUCT(H146:L146,'Fisico SPOT MAT'!H146:L146)*24</f>
        <v>12118962.151333716</v>
      </c>
      <c r="N146" s="19">
        <f>+'Fisico SPOT MAT'!AG146</f>
        <v>16.838893136985593</v>
      </c>
      <c r="O146" s="19">
        <f t="shared" si="37"/>
        <v>15.029761904761905</v>
      </c>
      <c r="P146" s="19">
        <v>6</v>
      </c>
      <c r="Q146" s="19">
        <v>6</v>
      </c>
      <c r="R146" s="19">
        <v>0</v>
      </c>
      <c r="S146" s="44">
        <f>SUMPRODUCT(N146:R146,'Fisico SPOT MAT'!N146:R146)*E146</f>
        <v>3796878.2194960322</v>
      </c>
      <c r="T146" s="17"/>
      <c r="U146" s="17">
        <v>18</v>
      </c>
      <c r="V146" s="17">
        <v>60</v>
      </c>
      <c r="W146" s="28">
        <f>SUMPRODUCT(T146:V146,'Fisico SPOT MAT'!T146:V146)*24</f>
        <v>2100869.0280000004</v>
      </c>
      <c r="X146" s="19">
        <v>0</v>
      </c>
      <c r="Y146" s="19">
        <v>5</v>
      </c>
      <c r="Z146" s="19">
        <v>0</v>
      </c>
      <c r="AA146" s="28">
        <f>SUMPRODUCT(X146:Z146,'Fisico SPOT MAT'!X146:Z146)*E146</f>
        <v>41200</v>
      </c>
      <c r="AC146" s="115"/>
      <c r="AD146" s="41">
        <v>53.759176918935133</v>
      </c>
      <c r="AE146" s="42">
        <v>36.396682224282202</v>
      </c>
      <c r="AF146">
        <v>5050</v>
      </c>
      <c r="AG146" s="74">
        <f t="shared" si="59"/>
        <v>3.1562444420281217</v>
      </c>
      <c r="AH146">
        <v>0</v>
      </c>
      <c r="AI146" s="41">
        <v>0.85</v>
      </c>
      <c r="AJ146">
        <v>336</v>
      </c>
    </row>
    <row r="147" spans="1:36" x14ac:dyDescent="0.25">
      <c r="A147" s="3">
        <f>+'Mono ASIG'!A147</f>
        <v>1408.96</v>
      </c>
      <c r="B147" s="3">
        <f>+'Mono ASIG'!B147</f>
        <v>1438.46</v>
      </c>
      <c r="C147" s="1">
        <f>+'Mono ASIG'!C147</f>
        <v>2026</v>
      </c>
      <c r="D147" s="1">
        <f t="shared" si="60"/>
        <v>2</v>
      </c>
      <c r="E147" s="1">
        <f>+'Fisico SPOT MAT'!E147</f>
        <v>16</v>
      </c>
      <c r="F147" s="1" t="str">
        <f>+'Mono ASIG'!F147</f>
        <v>jue</v>
      </c>
      <c r="G147" s="56">
        <f>+'Mono ASIG'!G147</f>
        <v>46058</v>
      </c>
      <c r="H147" s="17">
        <f t="shared" si="57"/>
        <v>51.175847768610012</v>
      </c>
      <c r="I147" s="17">
        <f t="shared" si="58"/>
        <v>39.835748743873808</v>
      </c>
      <c r="J147" s="17">
        <v>22</v>
      </c>
      <c r="K147" s="17">
        <v>22</v>
      </c>
      <c r="L147" s="17">
        <v>32</v>
      </c>
      <c r="M147" s="44">
        <f>SUMPRODUCT(H147:L147,'Fisico SPOT MAT'!H147:L147)*24</f>
        <v>10617384.124704652</v>
      </c>
      <c r="N147" s="19">
        <f>+'Fisico SPOT MAT'!AG147</f>
        <v>16.873681998953991</v>
      </c>
      <c r="O147" s="19">
        <f t="shared" si="37"/>
        <v>15.029761904761905</v>
      </c>
      <c r="P147" s="19">
        <v>6</v>
      </c>
      <c r="Q147" s="19">
        <v>6</v>
      </c>
      <c r="R147" s="19">
        <v>0</v>
      </c>
      <c r="S147" s="44">
        <f>SUMPRODUCT(N147:R147,'Fisico SPOT MAT'!N147:R147)*E147</f>
        <v>3914066.6196071426</v>
      </c>
      <c r="T147" s="17"/>
      <c r="U147" s="17">
        <v>18</v>
      </c>
      <c r="V147" s="17">
        <v>60</v>
      </c>
      <c r="W147" s="28">
        <f>SUMPRODUCT(T147:V147,'Fisico SPOT MAT'!T147:V147)*24</f>
        <v>1972745.1840000004</v>
      </c>
      <c r="X147" s="19">
        <v>0</v>
      </c>
      <c r="Y147" s="19">
        <v>5</v>
      </c>
      <c r="Z147" s="19">
        <v>0</v>
      </c>
      <c r="AA147" s="28">
        <f>SUMPRODUCT(X147:Z147,'Fisico SPOT MAT'!X147:Z147)*E147</f>
        <v>41200</v>
      </c>
      <c r="AC147" s="115"/>
      <c r="AD147" s="41">
        <v>47.586274256309146</v>
      </c>
      <c r="AE147" s="42">
        <v>36.246175231572941</v>
      </c>
      <c r="AF147">
        <v>5050</v>
      </c>
      <c r="AG147" s="74">
        <f t="shared" si="59"/>
        <v>2.7395735123008675</v>
      </c>
      <c r="AH147">
        <v>0</v>
      </c>
      <c r="AI147" s="41">
        <v>0.85</v>
      </c>
      <c r="AJ147">
        <v>336</v>
      </c>
    </row>
    <row r="148" spans="1:36" x14ac:dyDescent="0.25">
      <c r="A148" s="3">
        <f>+'Mono ASIG'!A148</f>
        <v>1408.96</v>
      </c>
      <c r="B148" s="3">
        <f>+'Mono ASIG'!B148</f>
        <v>1438.46</v>
      </c>
      <c r="C148" s="1">
        <f>+'Mono ASIG'!C148</f>
        <v>2026</v>
      </c>
      <c r="D148" s="1">
        <f t="shared" si="60"/>
        <v>2</v>
      </c>
      <c r="E148" s="1">
        <f>+'Fisico SPOT MAT'!E148</f>
        <v>16</v>
      </c>
      <c r="F148" s="1" t="str">
        <f>+'Mono ASIG'!F148</f>
        <v>vie</v>
      </c>
      <c r="G148" s="56">
        <f>+'Mono ASIG'!G148</f>
        <v>46059</v>
      </c>
      <c r="H148" s="17">
        <f t="shared" si="57"/>
        <v>46.466479811911988</v>
      </c>
      <c r="I148" s="17">
        <f t="shared" si="58"/>
        <v>35.679062194190401</v>
      </c>
      <c r="J148" s="17">
        <v>22</v>
      </c>
      <c r="K148" s="17">
        <v>22</v>
      </c>
      <c r="L148" s="17">
        <v>32</v>
      </c>
      <c r="M148" s="44">
        <f>SUMPRODUCT(H148:L148,'Fisico SPOT MAT'!H148:L148)*24</f>
        <v>8923289.0247673895</v>
      </c>
      <c r="N148" s="19">
        <f>+'Fisico SPOT MAT'!AG148</f>
        <v>16.881033567535987</v>
      </c>
      <c r="O148" s="19">
        <f t="shared" si="37"/>
        <v>15.029761904761905</v>
      </c>
      <c r="P148" s="19">
        <v>6</v>
      </c>
      <c r="Q148" s="19">
        <v>6</v>
      </c>
      <c r="R148" s="19">
        <v>0</v>
      </c>
      <c r="S148" s="44">
        <f>SUMPRODUCT(N148:R148,'Fisico SPOT MAT'!N148:R148)*E148</f>
        <v>3940898.3908134908</v>
      </c>
      <c r="T148" s="17"/>
      <c r="U148" s="17">
        <v>18</v>
      </c>
      <c r="V148" s="17">
        <v>60</v>
      </c>
      <c r="W148" s="28">
        <f>SUMPRODUCT(T148:V148,'Fisico SPOT MAT'!T148:V148)*24</f>
        <v>1755892.818</v>
      </c>
      <c r="X148" s="19">
        <v>0</v>
      </c>
      <c r="Y148" s="19">
        <v>5</v>
      </c>
      <c r="Z148" s="19">
        <v>0</v>
      </c>
      <c r="AA148" s="28">
        <f>SUMPRODUCT(X148:Z148,'Fisico SPOT MAT'!X148:Z148)*E148</f>
        <v>41200</v>
      </c>
      <c r="AC148" s="115"/>
      <c r="AD148" s="41">
        <v>43.1746883483953</v>
      </c>
      <c r="AE148" s="42">
        <v>32.38727073067372</v>
      </c>
      <c r="AF148">
        <v>5050</v>
      </c>
      <c r="AG148" s="74">
        <f t="shared" si="59"/>
        <v>2.4417914635166831</v>
      </c>
      <c r="AH148">
        <v>0</v>
      </c>
      <c r="AI148" s="41">
        <v>0.85</v>
      </c>
      <c r="AJ148">
        <v>336</v>
      </c>
    </row>
    <row r="149" spans="1:36" x14ac:dyDescent="0.25">
      <c r="A149" s="3">
        <f>+'Mono ASIG'!A149</f>
        <v>1408.96</v>
      </c>
      <c r="B149" s="3">
        <f>+'Mono ASIG'!B149</f>
        <v>1438.46</v>
      </c>
      <c r="C149" s="1">
        <f>+'Mono ASIG'!C149</f>
        <v>2026</v>
      </c>
      <c r="D149" s="1">
        <f t="shared" si="60"/>
        <v>2</v>
      </c>
      <c r="E149" s="1">
        <f>+'Fisico SPOT MAT'!E149</f>
        <v>6</v>
      </c>
      <c r="F149" s="1" t="str">
        <f>+'Mono ASIG'!F149</f>
        <v>sáb</v>
      </c>
      <c r="G149" s="56">
        <f>+'Mono ASIG'!G149</f>
        <v>46060</v>
      </c>
      <c r="H149" s="17">
        <f t="shared" si="57"/>
        <v>45.175425579528628</v>
      </c>
      <c r="I149" s="17">
        <f t="shared" si="58"/>
        <v>34.408362655592676</v>
      </c>
      <c r="J149" s="17">
        <v>22</v>
      </c>
      <c r="K149" s="17">
        <v>22</v>
      </c>
      <c r="L149" s="17">
        <v>32</v>
      </c>
      <c r="M149" s="44">
        <f>SUMPRODUCT(H149:L149,'Fisico SPOT MAT'!H149:L149)*24</f>
        <v>8670167.0676393062</v>
      </c>
      <c r="N149" s="19">
        <f>+'Fisico SPOT MAT'!AG149</f>
        <v>16.881052497044188</v>
      </c>
      <c r="O149" s="19">
        <f t="shared" si="37"/>
        <v>15.029761904761905</v>
      </c>
      <c r="P149" s="19">
        <v>6</v>
      </c>
      <c r="Q149" s="19">
        <v>6</v>
      </c>
      <c r="R149" s="19">
        <v>0</v>
      </c>
      <c r="S149" s="44">
        <f>SUMPRODUCT(N149:R149,'Fisico SPOT MAT'!N149:R149)*E149</f>
        <v>1477976.7769866074</v>
      </c>
      <c r="T149" s="17"/>
      <c r="U149" s="17">
        <v>18</v>
      </c>
      <c r="V149" s="17">
        <v>60</v>
      </c>
      <c r="W149" s="28">
        <f>SUMPRODUCT(T149:V149,'Fisico SPOT MAT'!T149:V149)*24</f>
        <v>1641790.6379999996</v>
      </c>
      <c r="X149" s="19">
        <v>0</v>
      </c>
      <c r="Y149" s="19">
        <v>5</v>
      </c>
      <c r="Z149" s="19">
        <v>0</v>
      </c>
      <c r="AA149" s="28">
        <f>SUMPRODUCT(X149:Z149,'Fisico SPOT MAT'!X149:Z149)*E149</f>
        <v>15450</v>
      </c>
      <c r="AC149" s="115"/>
      <c r="AD149" s="41">
        <v>41.965269863727052</v>
      </c>
      <c r="AE149" s="42">
        <v>31.198206939791099</v>
      </c>
      <c r="AF149">
        <v>5050</v>
      </c>
      <c r="AG149" s="74">
        <f t="shared" si="59"/>
        <v>2.360155715801576</v>
      </c>
      <c r="AH149">
        <v>0</v>
      </c>
      <c r="AI149" s="41">
        <v>0.85</v>
      </c>
      <c r="AJ149">
        <v>336</v>
      </c>
    </row>
    <row r="150" spans="1:36" x14ac:dyDescent="0.25">
      <c r="A150" s="3">
        <f>+'Mono ASIG'!A150</f>
        <v>1408.96</v>
      </c>
      <c r="B150" s="3">
        <f>+'Mono ASIG'!B150</f>
        <v>1438.46</v>
      </c>
      <c r="C150" s="1">
        <f>+'Mono ASIG'!C150</f>
        <v>2026</v>
      </c>
      <c r="D150" s="1">
        <f t="shared" ref="D150:D155" si="61">MONTH(G150)</f>
        <v>2</v>
      </c>
      <c r="E150" s="1">
        <f>+'Fisico SPOT MAT'!E150</f>
        <v>4</v>
      </c>
      <c r="F150" s="1" t="str">
        <f>+'Mono ASIG'!F150</f>
        <v>dom</v>
      </c>
      <c r="G150" s="56">
        <f>+'Mono ASIG'!G150</f>
        <v>46061</v>
      </c>
      <c r="H150" s="17">
        <f t="shared" ref="H150:H155" si="62">+AD150+AG150+AH150+AI150</f>
        <v>44.751881918844411</v>
      </c>
      <c r="I150" s="17">
        <f t="shared" ref="I150:I155" si="63">+AE150+AG150+AH150+AI150</f>
        <v>34.145070846648366</v>
      </c>
      <c r="J150" s="17">
        <v>22</v>
      </c>
      <c r="K150" s="17">
        <v>22</v>
      </c>
      <c r="L150" s="17">
        <v>32</v>
      </c>
      <c r="M150" s="44">
        <f>SUMPRODUCT(H150:L150,'Fisico SPOT MAT'!H150:L150)*24</f>
        <v>8300409.6529541481</v>
      </c>
      <c r="N150" s="19">
        <f>+'Fisico SPOT MAT'!AG150</f>
        <v>16.852852422780163</v>
      </c>
      <c r="O150" s="19">
        <f t="shared" si="37"/>
        <v>15.029761904761905</v>
      </c>
      <c r="P150" s="19">
        <v>6</v>
      </c>
      <c r="Q150" s="19">
        <v>6</v>
      </c>
      <c r="R150" s="19">
        <v>0</v>
      </c>
      <c r="S150" s="44">
        <f>SUMPRODUCT(N150:R150,'Fisico SPOT MAT'!N150:R150)*E150</f>
        <v>961003.28719047608</v>
      </c>
      <c r="T150" s="17"/>
      <c r="U150" s="17">
        <v>18</v>
      </c>
      <c r="V150" s="17">
        <v>60</v>
      </c>
      <c r="W150" s="28">
        <f>SUMPRODUCT(T150:V150,'Fisico SPOT MAT'!T150:V150)*24</f>
        <v>2251037.3759999997</v>
      </c>
      <c r="X150" s="19">
        <v>0</v>
      </c>
      <c r="Y150" s="19">
        <v>5</v>
      </c>
      <c r="Z150" s="19">
        <v>0</v>
      </c>
      <c r="AA150" s="28">
        <f>SUMPRODUCT(X150:Z150,'Fisico SPOT MAT'!X150:Z150)*E150</f>
        <v>10300</v>
      </c>
      <c r="AC150" s="115"/>
      <c r="AD150" s="41">
        <v>41.568507652313265</v>
      </c>
      <c r="AE150" s="42">
        <v>30.96169658011722</v>
      </c>
      <c r="AF150">
        <v>5050</v>
      </c>
      <c r="AG150" s="74">
        <f t="shared" si="59"/>
        <v>2.3333742665311457</v>
      </c>
      <c r="AH150">
        <v>0</v>
      </c>
      <c r="AI150" s="41">
        <v>0.85</v>
      </c>
      <c r="AJ150">
        <v>336</v>
      </c>
    </row>
    <row r="151" spans="1:36" x14ac:dyDescent="0.25">
      <c r="A151" s="3">
        <f>+'Mono ASIG'!A151</f>
        <v>1408.96</v>
      </c>
      <c r="B151" s="3">
        <f>+'Mono ASIG'!B151</f>
        <v>1438.46</v>
      </c>
      <c r="C151" s="1">
        <f>+'Mono ASIG'!C151</f>
        <v>2026</v>
      </c>
      <c r="D151" s="1">
        <f t="shared" si="61"/>
        <v>2</v>
      </c>
      <c r="E151" s="1">
        <f>+'Fisico SPOT MAT'!E151</f>
        <v>16</v>
      </c>
      <c r="F151" s="1" t="str">
        <f>+'Mono ASIG'!F151</f>
        <v>lun</v>
      </c>
      <c r="G151" s="56">
        <f>+'Mono ASIG'!G151</f>
        <v>46062</v>
      </c>
      <c r="H151" s="17">
        <f t="shared" si="62"/>
        <v>46.053988498482774</v>
      </c>
      <c r="I151" s="17">
        <f t="shared" si="63"/>
        <v>34.23839832623068</v>
      </c>
      <c r="J151" s="17">
        <v>22</v>
      </c>
      <c r="K151" s="17">
        <v>22</v>
      </c>
      <c r="L151" s="17">
        <v>32</v>
      </c>
      <c r="M151" s="44">
        <f>SUMPRODUCT(H151:L151,'Fisico SPOT MAT'!H151:L151)*24</f>
        <v>9598386.9869346507</v>
      </c>
      <c r="N151" s="19">
        <f>+'Fisico SPOT MAT'!AG151</f>
        <v>16.839926331965383</v>
      </c>
      <c r="O151" s="19">
        <f t="shared" si="37"/>
        <v>15.029761904761905</v>
      </c>
      <c r="P151" s="19">
        <v>6</v>
      </c>
      <c r="Q151" s="19">
        <v>6</v>
      </c>
      <c r="R151" s="19">
        <v>0</v>
      </c>
      <c r="S151" s="44">
        <f>SUMPRODUCT(N151:R151,'Fisico SPOT MAT'!N151:R151)*E151</f>
        <v>3805355.5576230166</v>
      </c>
      <c r="T151" s="17"/>
      <c r="U151" s="17">
        <v>18</v>
      </c>
      <c r="V151" s="17">
        <v>60</v>
      </c>
      <c r="W151" s="28">
        <f>SUMPRODUCT(T151:V151,'Fisico SPOT MAT'!T151:V151)*24</f>
        <v>2483135.8200000003</v>
      </c>
      <c r="X151" s="19">
        <v>0</v>
      </c>
      <c r="Y151" s="19">
        <v>5</v>
      </c>
      <c r="Z151" s="19">
        <v>0</v>
      </c>
      <c r="AA151" s="28">
        <f>SUMPRODUCT(X151:Z151,'Fisico SPOT MAT'!X151:Z151)*E151</f>
        <v>41200</v>
      </c>
      <c r="AC151" s="115"/>
      <c r="AD151" s="41">
        <v>42.788279623871446</v>
      </c>
      <c r="AE151" s="42">
        <v>30.972689451619356</v>
      </c>
      <c r="AF151">
        <v>5050</v>
      </c>
      <c r="AG151" s="74">
        <f t="shared" si="59"/>
        <v>2.4157088746113229</v>
      </c>
      <c r="AH151">
        <v>0</v>
      </c>
      <c r="AI151" s="41">
        <v>0.85</v>
      </c>
      <c r="AJ151">
        <v>336</v>
      </c>
    </row>
    <row r="152" spans="1:36" x14ac:dyDescent="0.25">
      <c r="A152" s="3">
        <f>+'Mono ASIG'!A152</f>
        <v>1408.96</v>
      </c>
      <c r="B152" s="3">
        <f>+'Mono ASIG'!B152</f>
        <v>1438.46</v>
      </c>
      <c r="C152" s="1">
        <f>+'Mono ASIG'!C152</f>
        <v>2026</v>
      </c>
      <c r="D152" s="1">
        <f t="shared" si="61"/>
        <v>2</v>
      </c>
      <c r="E152" s="1">
        <f>+'Fisico SPOT MAT'!E152</f>
        <v>16</v>
      </c>
      <c r="F152" s="1" t="str">
        <f>+'Mono ASIG'!F152</f>
        <v>mar</v>
      </c>
      <c r="G152" s="56">
        <f>+'Mono ASIG'!G152</f>
        <v>46063</v>
      </c>
      <c r="H152" s="17">
        <f t="shared" si="62"/>
        <v>56.555871559927837</v>
      </c>
      <c r="I152" s="17">
        <f t="shared" si="63"/>
        <v>34.901761903025857</v>
      </c>
      <c r="J152" s="17">
        <v>22</v>
      </c>
      <c r="K152" s="17">
        <v>22</v>
      </c>
      <c r="L152" s="17">
        <v>32</v>
      </c>
      <c r="M152" s="44">
        <f>SUMPRODUCT(H152:L152,'Fisico SPOT MAT'!H152:L152)*24</f>
        <v>12076962.777429527</v>
      </c>
      <c r="N152" s="19">
        <f>+'Fisico SPOT MAT'!AG152</f>
        <v>16.829894346772672</v>
      </c>
      <c r="O152" s="19">
        <f t="shared" si="37"/>
        <v>15.029761904761905</v>
      </c>
      <c r="P152" s="19">
        <v>6</v>
      </c>
      <c r="Q152" s="19">
        <v>6</v>
      </c>
      <c r="R152" s="19">
        <v>0</v>
      </c>
      <c r="S152" s="44">
        <f>SUMPRODUCT(N152:R152,'Fisico SPOT MAT'!N152:R152)*E152</f>
        <v>3773334.1614007922</v>
      </c>
      <c r="T152" s="17"/>
      <c r="U152" s="17">
        <v>18</v>
      </c>
      <c r="V152" s="17">
        <v>60</v>
      </c>
      <c r="W152" s="28">
        <f>SUMPRODUCT(T152:V152,'Fisico SPOT MAT'!T152:V152)*24</f>
        <v>2148381.6600000011</v>
      </c>
      <c r="X152" s="19">
        <v>0</v>
      </c>
      <c r="Y152" s="19">
        <v>5</v>
      </c>
      <c r="Z152" s="19">
        <v>0</v>
      </c>
      <c r="AA152" s="28">
        <f>SUMPRODUCT(X152:Z152,'Fisico SPOT MAT'!X152:Z152)*E152</f>
        <v>41200</v>
      </c>
      <c r="AC152" s="115"/>
      <c r="AD152" s="41">
        <v>52.626109189627947</v>
      </c>
      <c r="AE152" s="42">
        <v>30.97199953272597</v>
      </c>
      <c r="AF152">
        <v>5050</v>
      </c>
      <c r="AG152" s="74">
        <f t="shared" si="59"/>
        <v>3.0797623702998864</v>
      </c>
      <c r="AH152">
        <v>0</v>
      </c>
      <c r="AI152" s="41">
        <v>0.85</v>
      </c>
      <c r="AJ152">
        <v>336</v>
      </c>
    </row>
    <row r="153" spans="1:36" x14ac:dyDescent="0.25">
      <c r="A153" s="3">
        <f>+'Mono ASIG'!A153</f>
        <v>1408.96</v>
      </c>
      <c r="B153" s="3">
        <f>+'Mono ASIG'!B153</f>
        <v>1438.46</v>
      </c>
      <c r="C153" s="1">
        <f>+'Mono ASIG'!C153</f>
        <v>2026</v>
      </c>
      <c r="D153" s="1">
        <f t="shared" si="61"/>
        <v>2</v>
      </c>
      <c r="E153" s="1">
        <f>+'Fisico SPOT MAT'!E153</f>
        <v>16</v>
      </c>
      <c r="F153" s="1" t="str">
        <f>+'Mono ASIG'!F153</f>
        <v>mié</v>
      </c>
      <c r="G153" s="56">
        <f>+'Mono ASIG'!G153</f>
        <v>46064</v>
      </c>
      <c r="H153" s="17">
        <f t="shared" si="62"/>
        <v>46.015953427293056</v>
      </c>
      <c r="I153" s="17">
        <f t="shared" si="63"/>
        <v>34.133462603906693</v>
      </c>
      <c r="J153" s="17">
        <v>22</v>
      </c>
      <c r="K153" s="17">
        <v>22</v>
      </c>
      <c r="L153" s="17">
        <v>32</v>
      </c>
      <c r="M153" s="44">
        <f>SUMPRODUCT(H153:L153,'Fisico SPOT MAT'!H153:L153)*24</f>
        <v>9420950.273614265</v>
      </c>
      <c r="N153" s="19">
        <f>+'Fisico SPOT MAT'!AG153</f>
        <v>16.86951784232695</v>
      </c>
      <c r="O153" s="19">
        <f t="shared" si="37"/>
        <v>15.029761904761905</v>
      </c>
      <c r="P153" s="19">
        <v>6</v>
      </c>
      <c r="Q153" s="19">
        <v>6</v>
      </c>
      <c r="R153" s="19">
        <v>0</v>
      </c>
      <c r="S153" s="44">
        <f>SUMPRODUCT(N153:R153,'Fisico SPOT MAT'!N153:R153)*E153</f>
        <v>3895588.6401706343</v>
      </c>
      <c r="T153" s="17"/>
      <c r="U153" s="17">
        <v>18</v>
      </c>
      <c r="V153" s="17">
        <v>60</v>
      </c>
      <c r="W153" s="28">
        <f>SUMPRODUCT(T153:V153,'Fisico SPOT MAT'!T153:V153)*24</f>
        <v>2752291.3260000004</v>
      </c>
      <c r="X153" s="19">
        <v>0</v>
      </c>
      <c r="Y153" s="19">
        <v>5</v>
      </c>
      <c r="Z153" s="19">
        <v>0</v>
      </c>
      <c r="AA153" s="28">
        <f>SUMPRODUCT(X153:Z153,'Fisico SPOT MAT'!X153:Z153)*E153</f>
        <v>41200</v>
      </c>
      <c r="AC153" s="115"/>
      <c r="AD153" s="41">
        <v>42.752649580602395</v>
      </c>
      <c r="AE153" s="42">
        <v>30.870158757216032</v>
      </c>
      <c r="AF153">
        <v>5050</v>
      </c>
      <c r="AG153" s="74">
        <f t="shared" si="59"/>
        <v>2.413303846690662</v>
      </c>
      <c r="AH153">
        <v>0</v>
      </c>
      <c r="AI153" s="41">
        <v>0.85</v>
      </c>
      <c r="AJ153">
        <v>336</v>
      </c>
    </row>
    <row r="154" spans="1:36" x14ac:dyDescent="0.25">
      <c r="A154" s="3">
        <f>+'Mono ASIG'!A154</f>
        <v>1408.96</v>
      </c>
      <c r="B154" s="3">
        <f>+'Mono ASIG'!B154</f>
        <v>1438.46</v>
      </c>
      <c r="C154" s="1">
        <f>+'Mono ASIG'!C154</f>
        <v>2026</v>
      </c>
      <c r="D154" s="1">
        <f t="shared" si="61"/>
        <v>2</v>
      </c>
      <c r="E154" s="1">
        <f>+'Fisico SPOT MAT'!E154</f>
        <v>16</v>
      </c>
      <c r="F154" s="1" t="str">
        <f>+'Mono ASIG'!F154</f>
        <v>jue</v>
      </c>
      <c r="G154" s="56">
        <f>+'Mono ASIG'!G154</f>
        <v>46065</v>
      </c>
      <c r="H154" s="17">
        <f t="shared" si="62"/>
        <v>42.02539116497605</v>
      </c>
      <c r="I154" s="17">
        <f t="shared" si="63"/>
        <v>33.831080586284124</v>
      </c>
      <c r="J154" s="17">
        <v>22</v>
      </c>
      <c r="K154" s="17">
        <v>22</v>
      </c>
      <c r="L154" s="17">
        <v>32</v>
      </c>
      <c r="M154" s="44">
        <f>SUMPRODUCT(H154:L154,'Fisico SPOT MAT'!H154:L154)*24</f>
        <v>8091487.5639390908</v>
      </c>
      <c r="N154" s="19">
        <f>+'Fisico SPOT MAT'!AG154</f>
        <v>16.883492071351228</v>
      </c>
      <c r="O154" s="19">
        <f t="shared" si="37"/>
        <v>15.029761904761905</v>
      </c>
      <c r="P154" s="19">
        <v>6</v>
      </c>
      <c r="Q154" s="19">
        <v>6</v>
      </c>
      <c r="R154" s="19">
        <v>0</v>
      </c>
      <c r="S154" s="44">
        <f>SUMPRODUCT(N154:R154,'Fisico SPOT MAT'!N154:R154)*E154</f>
        <v>3948646.031456349</v>
      </c>
      <c r="T154" s="17"/>
      <c r="U154" s="17">
        <v>18</v>
      </c>
      <c r="V154" s="17">
        <v>60</v>
      </c>
      <c r="W154" s="28">
        <f>SUMPRODUCT(T154:V154,'Fisico SPOT MAT'!T154:V154)*24</f>
        <v>2307367.65</v>
      </c>
      <c r="X154" s="19">
        <v>0</v>
      </c>
      <c r="Y154" s="19">
        <v>5</v>
      </c>
      <c r="Z154" s="19">
        <v>0</v>
      </c>
      <c r="AA154" s="28">
        <f>SUMPRODUCT(X154:Z154,'Fisico SPOT MAT'!X154:Z154)*E154</f>
        <v>41200</v>
      </c>
      <c r="AC154" s="115"/>
      <c r="AD154" s="41">
        <v>39.014417953139159</v>
      </c>
      <c r="AE154" s="42">
        <v>30.820107374447229</v>
      </c>
      <c r="AF154">
        <v>5050</v>
      </c>
      <c r="AG154" s="74">
        <f t="shared" si="59"/>
        <v>2.1609732118368932</v>
      </c>
      <c r="AH154">
        <v>0</v>
      </c>
      <c r="AI154" s="41">
        <v>0.85</v>
      </c>
      <c r="AJ154">
        <v>336</v>
      </c>
    </row>
    <row r="155" spans="1:36" x14ac:dyDescent="0.25">
      <c r="A155" s="3">
        <f>+'Mono ASIG'!A155</f>
        <v>1408.96</v>
      </c>
      <c r="B155" s="3">
        <f>+'Mono ASIG'!B155</f>
        <v>1438.46</v>
      </c>
      <c r="C155" s="1">
        <f>+'Mono ASIG'!C155</f>
        <v>2026</v>
      </c>
      <c r="D155" s="1">
        <f t="shared" si="61"/>
        <v>2</v>
      </c>
      <c r="E155" s="1">
        <f>+'Fisico SPOT MAT'!E155</f>
        <v>16</v>
      </c>
      <c r="F155" s="1" t="str">
        <f>+'Mono ASIG'!F155</f>
        <v>vie</v>
      </c>
      <c r="G155" s="56">
        <f>+'Mono ASIG'!G155</f>
        <v>46066</v>
      </c>
      <c r="H155" s="17">
        <f t="shared" si="62"/>
        <v>39.992823302127661</v>
      </c>
      <c r="I155" s="17">
        <f t="shared" si="63"/>
        <v>33.397957704842391</v>
      </c>
      <c r="J155" s="17">
        <v>22</v>
      </c>
      <c r="K155" s="17">
        <v>22</v>
      </c>
      <c r="L155" s="17">
        <v>32</v>
      </c>
      <c r="M155" s="44">
        <f>SUMPRODUCT(H155:L155,'Fisico SPOT MAT'!H155:L155)*24</f>
        <v>7266593.3551353347</v>
      </c>
      <c r="N155" s="19">
        <f>+'Fisico SPOT MAT'!AG155</f>
        <v>16.900425131087793</v>
      </c>
      <c r="O155" s="19">
        <f t="shared" si="37"/>
        <v>15.029761904761905</v>
      </c>
      <c r="P155" s="19">
        <v>6</v>
      </c>
      <c r="Q155" s="19">
        <v>6</v>
      </c>
      <c r="R155" s="19">
        <v>0</v>
      </c>
      <c r="S155" s="44">
        <f>SUMPRODUCT(N155:R155,'Fisico SPOT MAT'!N155:R155)*E155</f>
        <v>4007568.7210079366</v>
      </c>
      <c r="T155" s="17"/>
      <c r="U155" s="17">
        <v>18</v>
      </c>
      <c r="V155" s="17">
        <v>60</v>
      </c>
      <c r="W155" s="28">
        <f>SUMPRODUCT(T155:V155,'Fisico SPOT MAT'!T155:V155)*24</f>
        <v>1984181.7119999996</v>
      </c>
      <c r="X155" s="19">
        <v>0</v>
      </c>
      <c r="Y155" s="19">
        <v>5</v>
      </c>
      <c r="Z155" s="19">
        <v>0</v>
      </c>
      <c r="AA155" s="28">
        <f>SUMPRODUCT(X155:Z155,'Fisico SPOT MAT'!X155:Z155)*E155</f>
        <v>41200</v>
      </c>
      <c r="AC155" s="115"/>
      <c r="AD155" s="41">
        <v>37.110373116747219</v>
      </c>
      <c r="AE155" s="42">
        <v>30.515507519461949</v>
      </c>
      <c r="AF155">
        <v>5050</v>
      </c>
      <c r="AG155" s="74">
        <f t="shared" si="59"/>
        <v>2.0324501853804375</v>
      </c>
      <c r="AH155">
        <v>0</v>
      </c>
      <c r="AI155" s="41">
        <v>0.85</v>
      </c>
      <c r="AJ155">
        <v>336</v>
      </c>
    </row>
    <row r="156" spans="1:36" x14ac:dyDescent="0.25">
      <c r="A156" s="3">
        <f>+'Mono ASIG'!A156</f>
        <v>1408.96</v>
      </c>
      <c r="B156" s="3">
        <f>+'Mono ASIG'!B156</f>
        <v>1438.46</v>
      </c>
      <c r="C156" s="1">
        <f>+'Mono ASIG'!C156</f>
        <v>2026</v>
      </c>
      <c r="D156" s="1">
        <f t="shared" ref="D156:D165" si="64">MONTH(G156)</f>
        <v>2</v>
      </c>
      <c r="E156" s="1">
        <f>+'Fisico SPOT MAT'!E156</f>
        <v>6</v>
      </c>
      <c r="F156" s="1" t="str">
        <f>+'Mono ASIG'!F156</f>
        <v>sáb</v>
      </c>
      <c r="G156" s="56">
        <f>+'Mono ASIG'!G156</f>
        <v>46067</v>
      </c>
      <c r="H156" s="17">
        <f t="shared" ref="H156:H165" si="65">+AD156+AG156+AH156+AI156</f>
        <v>39.952619309348698</v>
      </c>
      <c r="I156" s="17">
        <f t="shared" ref="I156:I165" si="66">+AE156+AG156+AH156+AI156</f>
        <v>33.875776550728375</v>
      </c>
      <c r="J156" s="17">
        <v>22</v>
      </c>
      <c r="K156" s="17">
        <v>22</v>
      </c>
      <c r="L156" s="17">
        <v>32</v>
      </c>
      <c r="M156" s="44">
        <f>SUMPRODUCT(H156:L156,'Fisico SPOT MAT'!H156:L156)*24</f>
        <v>5957396.9392140228</v>
      </c>
      <c r="N156" s="19">
        <f>+'Fisico SPOT MAT'!AG156</f>
        <v>16.885954580503636</v>
      </c>
      <c r="O156" s="19">
        <f t="shared" si="37"/>
        <v>15.029761904761905</v>
      </c>
      <c r="P156" s="19">
        <v>6</v>
      </c>
      <c r="Q156" s="19">
        <v>6</v>
      </c>
      <c r="R156" s="19">
        <v>0</v>
      </c>
      <c r="S156" s="44">
        <f>SUMPRODUCT(N156:R156,'Fisico SPOT MAT'!N156:R156)*E156</f>
        <v>1480408.3357589284</v>
      </c>
      <c r="T156" s="17"/>
      <c r="U156" s="17">
        <v>18</v>
      </c>
      <c r="V156" s="17">
        <v>60</v>
      </c>
      <c r="W156" s="28">
        <f>SUMPRODUCT(T156:V156,'Fisico SPOT MAT'!T156:V156)*24</f>
        <v>2869798.2779999999</v>
      </c>
      <c r="X156" s="19">
        <v>0</v>
      </c>
      <c r="Y156" s="19">
        <v>5</v>
      </c>
      <c r="Z156" s="19">
        <v>0</v>
      </c>
      <c r="AA156" s="28">
        <f>SUMPRODUCT(X156:Z156,'Fisico SPOT MAT'!X156:Z156)*E156</f>
        <v>15450</v>
      </c>
      <c r="AC156" s="115"/>
      <c r="AD156" s="41">
        <v>37.072711296813765</v>
      </c>
      <c r="AE156" s="42">
        <v>30.995868538193442</v>
      </c>
      <c r="AF156">
        <v>5050</v>
      </c>
      <c r="AG156" s="74">
        <f t="shared" ref="AG156:AG171" si="67">0.075*0.9*(AD156-7)</f>
        <v>2.0299080125349294</v>
      </c>
      <c r="AH156">
        <v>0</v>
      </c>
      <c r="AI156" s="41">
        <v>0.85</v>
      </c>
      <c r="AJ156">
        <v>336</v>
      </c>
    </row>
    <row r="157" spans="1:36" x14ac:dyDescent="0.25">
      <c r="A157" s="3">
        <f>+'Mono ASIG'!A157</f>
        <v>1408.96</v>
      </c>
      <c r="B157" s="3">
        <f>+'Mono ASIG'!B157</f>
        <v>1438.46</v>
      </c>
      <c r="C157" s="1">
        <f>+'Mono ASIG'!C157</f>
        <v>2026</v>
      </c>
      <c r="D157" s="1">
        <f t="shared" si="64"/>
        <v>2</v>
      </c>
      <c r="E157" s="1">
        <f>+'Fisico SPOT MAT'!E157</f>
        <v>4</v>
      </c>
      <c r="F157" s="1" t="str">
        <f>+'Mono ASIG'!F157</f>
        <v>dom</v>
      </c>
      <c r="G157" s="56">
        <f>+'Mono ASIG'!G157</f>
        <v>46068</v>
      </c>
      <c r="H157" s="17">
        <f t="shared" si="65"/>
        <v>40.137623181452327</v>
      </c>
      <c r="I157" s="17">
        <f t="shared" si="66"/>
        <v>33.415194877973889</v>
      </c>
      <c r="J157" s="17">
        <v>22</v>
      </c>
      <c r="K157" s="17">
        <v>22</v>
      </c>
      <c r="L157" s="17">
        <v>32</v>
      </c>
      <c r="M157" s="44">
        <f>SUMPRODUCT(H157:L157,'Fisico SPOT MAT'!H157:L157)*24</f>
        <v>6388882.4322562711</v>
      </c>
      <c r="N157" s="19">
        <f>+'Fisico SPOT MAT'!AG157</f>
        <v>16.88110423563981</v>
      </c>
      <c r="O157" s="19">
        <f t="shared" si="37"/>
        <v>15.029761904761905</v>
      </c>
      <c r="P157" s="19">
        <v>6</v>
      </c>
      <c r="Q157" s="19">
        <v>6</v>
      </c>
      <c r="R157" s="19">
        <v>0</v>
      </c>
      <c r="S157" s="44">
        <f>SUMPRODUCT(N157:R157,'Fisico SPOT MAT'!N157:R157)*E157</f>
        <v>985413.48780059558</v>
      </c>
      <c r="T157" s="17"/>
      <c r="U157" s="17">
        <v>18</v>
      </c>
      <c r="V157" s="17">
        <v>60</v>
      </c>
      <c r="W157" s="28">
        <f>SUMPRODUCT(T157:V157,'Fisico SPOT MAT'!T157:V157)*24</f>
        <v>2012854.5120000001</v>
      </c>
      <c r="X157" s="19">
        <v>0</v>
      </c>
      <c r="Y157" s="19">
        <v>5</v>
      </c>
      <c r="Z157" s="19">
        <v>0</v>
      </c>
      <c r="AA157" s="28">
        <f>SUMPRODUCT(X157:Z157,'Fisico SPOT MAT'!X157:Z157)*E157</f>
        <v>10300</v>
      </c>
      <c r="AC157" s="115"/>
      <c r="AD157" s="41">
        <v>37.246017031805458</v>
      </c>
      <c r="AE157" s="42">
        <v>30.52358872832702</v>
      </c>
      <c r="AF157">
        <v>5050</v>
      </c>
      <c r="AG157" s="74">
        <f t="shared" si="67"/>
        <v>2.0416061496468685</v>
      </c>
      <c r="AH157">
        <v>0</v>
      </c>
      <c r="AI157" s="41">
        <v>0.85</v>
      </c>
      <c r="AJ157">
        <v>336</v>
      </c>
    </row>
    <row r="158" spans="1:36" x14ac:dyDescent="0.25">
      <c r="A158" s="3">
        <f>+'Mono ASIG'!A158</f>
        <v>1408.96</v>
      </c>
      <c r="B158" s="3">
        <f>+'Mono ASIG'!B158</f>
        <v>1423.364</v>
      </c>
      <c r="C158" s="1">
        <f>+'Mono ASIG'!C158</f>
        <v>2026</v>
      </c>
      <c r="D158" s="1">
        <f t="shared" si="64"/>
        <v>2</v>
      </c>
      <c r="E158" s="1">
        <f>+'Fisico SPOT MAT'!E158</f>
        <v>4</v>
      </c>
      <c r="F158" s="1" t="str">
        <f>+'Mono ASIG'!F158</f>
        <v>lun</v>
      </c>
      <c r="G158" s="56">
        <f>+'Mono ASIG'!G158</f>
        <v>46069</v>
      </c>
      <c r="H158" s="17">
        <f t="shared" si="65"/>
        <v>40.976721993369601</v>
      </c>
      <c r="I158" s="17">
        <f t="shared" si="66"/>
        <v>33.61748591964146</v>
      </c>
      <c r="J158" s="17">
        <v>22</v>
      </c>
      <c r="K158" s="17">
        <v>22</v>
      </c>
      <c r="L158" s="17">
        <v>32</v>
      </c>
      <c r="M158" s="44">
        <f>SUMPRODUCT(H158:L158,'Fisico SPOT MAT'!H158:L158)*24</f>
        <v>6426605.7042798046</v>
      </c>
      <c r="N158" s="19">
        <f>+'Fisico SPOT MAT'!AG158</f>
        <v>16.857463413464323</v>
      </c>
      <c r="O158" s="19">
        <f t="shared" si="37"/>
        <v>15.029761904761905</v>
      </c>
      <c r="P158" s="19">
        <v>6</v>
      </c>
      <c r="Q158" s="19">
        <v>6</v>
      </c>
      <c r="R158" s="19">
        <v>0</v>
      </c>
      <c r="S158" s="44">
        <f>SUMPRODUCT(N158:R158,'Fisico SPOT MAT'!N158:R158)*E158</f>
        <v>965278.52942361124</v>
      </c>
      <c r="T158" s="17"/>
      <c r="U158" s="17">
        <v>18</v>
      </c>
      <c r="V158" s="17">
        <v>60</v>
      </c>
      <c r="W158" s="28">
        <f>SUMPRODUCT(T158:V158,'Fisico SPOT MAT'!T158:V158)*24</f>
        <v>2139066.75</v>
      </c>
      <c r="X158" s="19">
        <v>0</v>
      </c>
      <c r="Y158" s="19">
        <v>5</v>
      </c>
      <c r="Z158" s="19">
        <v>0</v>
      </c>
      <c r="AA158" s="28">
        <f>SUMPRODUCT(X158:Z158,'Fisico SPOT MAT'!X158:Z158)*E158</f>
        <v>10300</v>
      </c>
      <c r="AC158" s="115"/>
      <c r="AD158" s="41">
        <v>38.032058073414142</v>
      </c>
      <c r="AE158" s="42">
        <v>30.672821999686001</v>
      </c>
      <c r="AF158">
        <v>5050</v>
      </c>
      <c r="AG158" s="74">
        <f t="shared" si="67"/>
        <v>2.0946639199554546</v>
      </c>
      <c r="AH158">
        <v>0</v>
      </c>
      <c r="AI158" s="41">
        <v>0.85</v>
      </c>
      <c r="AJ158">
        <v>336</v>
      </c>
    </row>
    <row r="159" spans="1:36" x14ac:dyDescent="0.25">
      <c r="A159" s="3">
        <f>+'Mono ASIG'!A159</f>
        <v>1408.96</v>
      </c>
      <c r="B159" s="3">
        <f>+'Mono ASIG'!B159</f>
        <v>1423.364</v>
      </c>
      <c r="C159" s="1">
        <f>+'Mono ASIG'!C159</f>
        <v>2026</v>
      </c>
      <c r="D159" s="1">
        <f t="shared" si="64"/>
        <v>2</v>
      </c>
      <c r="E159" s="1">
        <f>+'Fisico SPOT MAT'!E159</f>
        <v>4</v>
      </c>
      <c r="F159" s="1" t="str">
        <f>+'Mono ASIG'!F159</f>
        <v>mar</v>
      </c>
      <c r="G159" s="56">
        <f>+'Mono ASIG'!G159</f>
        <v>46070</v>
      </c>
      <c r="H159" s="17">
        <f t="shared" si="65"/>
        <v>41.650033242729513</v>
      </c>
      <c r="I159" s="17">
        <f t="shared" si="66"/>
        <v>34.107571490059776</v>
      </c>
      <c r="J159" s="17">
        <v>22</v>
      </c>
      <c r="K159" s="17">
        <v>22</v>
      </c>
      <c r="L159" s="17">
        <v>32</v>
      </c>
      <c r="M159" s="44">
        <f>SUMPRODUCT(H159:L159,'Fisico SPOT MAT'!H159:L159)*24</f>
        <v>6892341.080303248</v>
      </c>
      <c r="N159" s="19">
        <f>+'Fisico SPOT MAT'!AG159</f>
        <v>16.848313907400353</v>
      </c>
      <c r="O159" s="19">
        <f t="shared" si="37"/>
        <v>15.029761904761905</v>
      </c>
      <c r="P159" s="19">
        <v>6</v>
      </c>
      <c r="Q159" s="19">
        <v>6</v>
      </c>
      <c r="R159" s="19">
        <v>0</v>
      </c>
      <c r="S159" s="44">
        <f>SUMPRODUCT(N159:R159,'Fisico SPOT MAT'!N159:R159)*E159</f>
        <v>956966.30605555582</v>
      </c>
      <c r="T159" s="17"/>
      <c r="U159" s="17">
        <v>18</v>
      </c>
      <c r="V159" s="17">
        <v>60</v>
      </c>
      <c r="W159" s="28">
        <f>SUMPRODUCT(T159:V159,'Fisico SPOT MAT'!T159:V159)*24</f>
        <v>2368707.4079999998</v>
      </c>
      <c r="X159" s="19">
        <v>0</v>
      </c>
      <c r="Y159" s="19">
        <v>5</v>
      </c>
      <c r="Z159" s="19">
        <v>0</v>
      </c>
      <c r="AA159" s="28">
        <f>SUMPRODUCT(X159:Z159,'Fisico SPOT MAT'!X159:Z159)*E159</f>
        <v>10300</v>
      </c>
      <c r="AC159" s="115"/>
      <c r="AD159" s="41">
        <v>38.66279460677238</v>
      </c>
      <c r="AE159" s="42">
        <v>31.120332854102639</v>
      </c>
      <c r="AF159">
        <v>5050</v>
      </c>
      <c r="AG159" s="74">
        <f t="shared" si="67"/>
        <v>2.1372386359571358</v>
      </c>
      <c r="AH159">
        <v>0</v>
      </c>
      <c r="AI159" s="41">
        <v>0.85</v>
      </c>
      <c r="AJ159">
        <v>336</v>
      </c>
    </row>
    <row r="160" spans="1:36" x14ac:dyDescent="0.25">
      <c r="A160" s="3">
        <f>+'Mono ASIG'!A160</f>
        <v>1408.96</v>
      </c>
      <c r="B160" s="3">
        <f>+'Mono ASIG'!B160</f>
        <v>1423.364</v>
      </c>
      <c r="C160" s="1">
        <f>+'Mono ASIG'!C160</f>
        <v>2026</v>
      </c>
      <c r="D160" s="1">
        <f t="shared" si="64"/>
        <v>2</v>
      </c>
      <c r="E160" s="1">
        <f>+'Fisico SPOT MAT'!E160</f>
        <v>16</v>
      </c>
      <c r="F160" s="1" t="str">
        <f>+'Mono ASIG'!F160</f>
        <v>mié</v>
      </c>
      <c r="G160" s="56">
        <f>+'Mono ASIG'!G160</f>
        <v>46071</v>
      </c>
      <c r="H160" s="17">
        <f t="shared" si="65"/>
        <v>45.60187368682378</v>
      </c>
      <c r="I160" s="17">
        <f t="shared" si="66"/>
        <v>34.102379326160055</v>
      </c>
      <c r="J160" s="17">
        <v>22</v>
      </c>
      <c r="K160" s="17">
        <v>22</v>
      </c>
      <c r="L160" s="17">
        <v>32</v>
      </c>
      <c r="M160" s="44">
        <f>SUMPRODUCT(H160:L160,'Fisico SPOT MAT'!H160:L160)*24</f>
        <v>9435363.7286987137</v>
      </c>
      <c r="N160" s="19">
        <f>+'Fisico SPOT MAT'!AG160</f>
        <v>16.868167734319197</v>
      </c>
      <c r="O160" s="19">
        <f t="shared" si="37"/>
        <v>15.029761904761905</v>
      </c>
      <c r="P160" s="19">
        <v>6</v>
      </c>
      <c r="Q160" s="19">
        <v>6</v>
      </c>
      <c r="R160" s="19">
        <v>0</v>
      </c>
      <c r="S160" s="44">
        <f>SUMPRODUCT(N160:R160,'Fisico SPOT MAT'!N160:R160)*E160</f>
        <v>3886770.6390357148</v>
      </c>
      <c r="T160" s="17"/>
      <c r="U160" s="17">
        <v>18</v>
      </c>
      <c r="V160" s="17">
        <v>60</v>
      </c>
      <c r="W160" s="28">
        <f>SUMPRODUCT(T160:V160,'Fisico SPOT MAT'!T160:V160)*24</f>
        <v>2038150.7279999992</v>
      </c>
      <c r="X160" s="19">
        <v>0</v>
      </c>
      <c r="Y160" s="19">
        <v>5</v>
      </c>
      <c r="Z160" s="19">
        <v>0</v>
      </c>
      <c r="AA160" s="28">
        <f>SUMPRODUCT(X160:Z160,'Fisico SPOT MAT'!X160:Z160)*E160</f>
        <v>41200</v>
      </c>
      <c r="AC160" s="115"/>
      <c r="AD160" s="41">
        <v>42.364752868218993</v>
      </c>
      <c r="AE160" s="42">
        <v>30.865258507555271</v>
      </c>
      <c r="AF160">
        <v>5050</v>
      </c>
      <c r="AG160" s="74">
        <f t="shared" si="67"/>
        <v>2.3871208186047821</v>
      </c>
      <c r="AH160">
        <v>0</v>
      </c>
      <c r="AI160" s="41">
        <v>0.85</v>
      </c>
      <c r="AJ160">
        <v>336</v>
      </c>
    </row>
    <row r="161" spans="1:36" x14ac:dyDescent="0.25">
      <c r="A161" s="3">
        <f>+'Mono ASIG'!A161</f>
        <v>1408.96</v>
      </c>
      <c r="B161" s="3">
        <f>+'Mono ASIG'!B161</f>
        <v>1423.364</v>
      </c>
      <c r="C161" s="1">
        <f>+'Mono ASIG'!C161</f>
        <v>2026</v>
      </c>
      <c r="D161" s="1">
        <f t="shared" si="64"/>
        <v>2</v>
      </c>
      <c r="E161" s="1">
        <f>+'Fisico SPOT MAT'!E161</f>
        <v>16</v>
      </c>
      <c r="F161" s="1" t="str">
        <f>+'Mono ASIG'!F161</f>
        <v>jue</v>
      </c>
      <c r="G161" s="56">
        <f>+'Mono ASIG'!G161</f>
        <v>46072</v>
      </c>
      <c r="H161" s="17">
        <f t="shared" si="65"/>
        <v>42.060654990360682</v>
      </c>
      <c r="I161" s="17">
        <f t="shared" si="66"/>
        <v>34.034973106018839</v>
      </c>
      <c r="J161" s="17">
        <v>22</v>
      </c>
      <c r="K161" s="17">
        <v>22</v>
      </c>
      <c r="L161" s="17">
        <v>32</v>
      </c>
      <c r="M161" s="44">
        <f>SUMPRODUCT(H161:L161,'Fisico SPOT MAT'!H161:L161)*24</f>
        <v>8976562.2231363356</v>
      </c>
      <c r="N161" s="19">
        <f>+'Fisico SPOT MAT'!AG161</f>
        <v>16.877447701170261</v>
      </c>
      <c r="O161" s="19">
        <f t="shared" si="37"/>
        <v>15.029761904761905</v>
      </c>
      <c r="P161" s="19">
        <v>6</v>
      </c>
      <c r="Q161" s="19">
        <v>6</v>
      </c>
      <c r="R161" s="19">
        <v>0</v>
      </c>
      <c r="S161" s="44">
        <f>SUMPRODUCT(N161:R161,'Fisico SPOT MAT'!N161:R161)*E161</f>
        <v>3924368.3320119041</v>
      </c>
      <c r="T161" s="17"/>
      <c r="U161" s="17">
        <v>18</v>
      </c>
      <c r="V161" s="17">
        <v>60</v>
      </c>
      <c r="W161" s="28">
        <f>SUMPRODUCT(T161:V161,'Fisico SPOT MAT'!T161:V161)*24</f>
        <v>1862387.142</v>
      </c>
      <c r="X161" s="19">
        <v>0</v>
      </c>
      <c r="Y161" s="19">
        <v>5</v>
      </c>
      <c r="Z161" s="19">
        <v>0</v>
      </c>
      <c r="AA161" s="28">
        <f>SUMPRODUCT(X161:Z161,'Fisico SPOT MAT'!X161:Z161)*E161</f>
        <v>41200</v>
      </c>
      <c r="AC161" s="115"/>
      <c r="AD161" s="41">
        <v>39.047451981602514</v>
      </c>
      <c r="AE161" s="42">
        <v>31.021770097260671</v>
      </c>
      <c r="AF161">
        <v>5050</v>
      </c>
      <c r="AG161" s="74">
        <f t="shared" si="67"/>
        <v>2.16320300875817</v>
      </c>
      <c r="AH161">
        <v>0</v>
      </c>
      <c r="AI161" s="41">
        <v>0.85</v>
      </c>
      <c r="AJ161">
        <v>336</v>
      </c>
    </row>
    <row r="162" spans="1:36" x14ac:dyDescent="0.25">
      <c r="A162" s="3">
        <f>+'Mono ASIG'!A162</f>
        <v>1408.96</v>
      </c>
      <c r="B162" s="3">
        <f>+'Mono ASIG'!B162</f>
        <v>1423.364</v>
      </c>
      <c r="C162" s="1">
        <f>+'Mono ASIG'!C162</f>
        <v>2026</v>
      </c>
      <c r="D162" s="1">
        <f t="shared" si="64"/>
        <v>2</v>
      </c>
      <c r="E162" s="1">
        <f>+'Fisico SPOT MAT'!E162</f>
        <v>16</v>
      </c>
      <c r="F162" s="1" t="str">
        <f>+'Mono ASIG'!F162</f>
        <v>vie</v>
      </c>
      <c r="G162" s="56">
        <f>+'Mono ASIG'!G162</f>
        <v>46073</v>
      </c>
      <c r="H162" s="17">
        <f t="shared" si="65"/>
        <v>41.011399375331713</v>
      </c>
      <c r="I162" s="17">
        <f t="shared" si="66"/>
        <v>33.80775124304629</v>
      </c>
      <c r="J162" s="17">
        <v>22</v>
      </c>
      <c r="K162" s="17">
        <v>22</v>
      </c>
      <c r="L162" s="17">
        <v>32</v>
      </c>
      <c r="M162" s="44">
        <f>SUMPRODUCT(H162:L162,'Fisico SPOT MAT'!H162:L162)*24</f>
        <v>8272714.339782875</v>
      </c>
      <c r="N162" s="19">
        <f>+'Fisico SPOT MAT'!AG162</f>
        <v>16.892491077326806</v>
      </c>
      <c r="O162" s="19">
        <f t="shared" si="37"/>
        <v>15.029761904761905</v>
      </c>
      <c r="P162" s="19">
        <v>6</v>
      </c>
      <c r="Q162" s="19">
        <v>6</v>
      </c>
      <c r="R162" s="19">
        <v>0</v>
      </c>
      <c r="S162" s="44">
        <f>SUMPRODUCT(N162:R162,'Fisico SPOT MAT'!N162:R162)*E162</f>
        <v>3973814.5267182542</v>
      </c>
      <c r="T162" s="17"/>
      <c r="U162" s="17">
        <v>18</v>
      </c>
      <c r="V162" s="17">
        <v>60</v>
      </c>
      <c r="W162" s="28">
        <f>SUMPRODUCT(T162:V162,'Fisico SPOT MAT'!T162:V162)*24</f>
        <v>1454057.31</v>
      </c>
      <c r="X162" s="19">
        <v>0</v>
      </c>
      <c r="Y162" s="19">
        <v>5</v>
      </c>
      <c r="Z162" s="19">
        <v>0</v>
      </c>
      <c r="AA162" s="28">
        <f>SUMPRODUCT(X162:Z162,'Fisico SPOT MAT'!X162:Z162)*E162</f>
        <v>41200</v>
      </c>
      <c r="AC162" s="115"/>
      <c r="AD162" s="41">
        <v>38.064542740357574</v>
      </c>
      <c r="AE162" s="42">
        <v>30.860894608072154</v>
      </c>
      <c r="AF162">
        <v>5050</v>
      </c>
      <c r="AG162" s="74">
        <f t="shared" si="67"/>
        <v>2.0968566349741362</v>
      </c>
      <c r="AH162">
        <v>0</v>
      </c>
      <c r="AI162" s="41">
        <v>0.85</v>
      </c>
      <c r="AJ162">
        <v>336</v>
      </c>
    </row>
    <row r="163" spans="1:36" x14ac:dyDescent="0.25">
      <c r="A163" s="3">
        <f>+'Mono ASIG'!A163</f>
        <v>1408.96</v>
      </c>
      <c r="B163" s="3">
        <f>+'Mono ASIG'!B163</f>
        <v>1423.364</v>
      </c>
      <c r="C163" s="1">
        <f>+'Mono ASIG'!C163</f>
        <v>2026</v>
      </c>
      <c r="D163" s="1">
        <f t="shared" si="64"/>
        <v>2</v>
      </c>
      <c r="E163" s="1">
        <f>+'Fisico SPOT MAT'!E163</f>
        <v>6</v>
      </c>
      <c r="F163" s="1" t="str">
        <f>+'Mono ASIG'!F163</f>
        <v>sáb</v>
      </c>
      <c r="G163" s="56">
        <f>+'Mono ASIG'!G163</f>
        <v>46074</v>
      </c>
      <c r="H163" s="17">
        <f t="shared" si="65"/>
        <v>40.86016453523559</v>
      </c>
      <c r="I163" s="17">
        <f t="shared" si="66"/>
        <v>34.363857831941175</v>
      </c>
      <c r="J163" s="17">
        <v>22</v>
      </c>
      <c r="K163" s="17">
        <v>22</v>
      </c>
      <c r="L163" s="17">
        <v>32</v>
      </c>
      <c r="M163" s="44">
        <f>SUMPRODUCT(H163:L163,'Fisico SPOT MAT'!H163:L163)*24</f>
        <v>7139527.8845300991</v>
      </c>
      <c r="N163" s="19">
        <f>+'Fisico SPOT MAT'!AG163</f>
        <v>16.8529723647986</v>
      </c>
      <c r="O163" s="19">
        <f t="shared" si="37"/>
        <v>15.029761904761905</v>
      </c>
      <c r="P163" s="19">
        <v>6</v>
      </c>
      <c r="Q163" s="19">
        <v>6</v>
      </c>
      <c r="R163" s="19">
        <v>0</v>
      </c>
      <c r="S163" s="44">
        <f>SUMPRODUCT(N163:R163,'Fisico SPOT MAT'!N163:R163)*E163</f>
        <v>1443779.9701190472</v>
      </c>
      <c r="T163" s="17"/>
      <c r="U163" s="17">
        <v>18</v>
      </c>
      <c r="V163" s="17">
        <v>60</v>
      </c>
      <c r="W163" s="28">
        <f>SUMPRODUCT(T163:V163,'Fisico SPOT MAT'!T163:V163)*24</f>
        <v>1835897.3579999995</v>
      </c>
      <c r="X163" s="19">
        <v>0</v>
      </c>
      <c r="Y163" s="19">
        <v>5</v>
      </c>
      <c r="Z163" s="19">
        <v>0</v>
      </c>
      <c r="AA163" s="28">
        <f>SUMPRODUCT(X163:Z163,'Fisico SPOT MAT'!X163:Z163)*E163</f>
        <v>15450</v>
      </c>
      <c r="AC163" s="115"/>
      <c r="AD163" s="41">
        <v>37.92287075900289</v>
      </c>
      <c r="AE163" s="42">
        <v>31.426564055708479</v>
      </c>
      <c r="AF163">
        <v>5050</v>
      </c>
      <c r="AG163" s="74">
        <f t="shared" si="67"/>
        <v>2.0872937762326953</v>
      </c>
      <c r="AH163">
        <v>0</v>
      </c>
      <c r="AI163" s="41">
        <v>0.85</v>
      </c>
      <c r="AJ163">
        <v>336</v>
      </c>
    </row>
    <row r="164" spans="1:36" x14ac:dyDescent="0.25">
      <c r="A164" s="3">
        <f>+'Mono ASIG'!A164</f>
        <v>1408.96</v>
      </c>
      <c r="B164" s="3">
        <f>+'Mono ASIG'!B164</f>
        <v>1423.364</v>
      </c>
      <c r="C164" s="1">
        <f>+'Mono ASIG'!C164</f>
        <v>2026</v>
      </c>
      <c r="D164" s="1">
        <f t="shared" si="64"/>
        <v>2</v>
      </c>
      <c r="E164" s="1">
        <f>+'Fisico SPOT MAT'!E164</f>
        <v>4</v>
      </c>
      <c r="F164" s="1" t="str">
        <f>+'Mono ASIG'!F164</f>
        <v>dom</v>
      </c>
      <c r="G164" s="56">
        <f>+'Mono ASIG'!G164</f>
        <v>46075</v>
      </c>
      <c r="H164" s="17">
        <f t="shared" si="65"/>
        <v>40.771472921949318</v>
      </c>
      <c r="I164" s="17">
        <f t="shared" si="66"/>
        <v>34.00700106612301</v>
      </c>
      <c r="J164" s="17">
        <v>22</v>
      </c>
      <c r="K164" s="17">
        <v>22</v>
      </c>
      <c r="L164" s="17">
        <v>32</v>
      </c>
      <c r="M164" s="44">
        <f>SUMPRODUCT(H164:L164,'Fisico SPOT MAT'!H164:L164)*24</f>
        <v>6929963.1259216014</v>
      </c>
      <c r="N164" s="19">
        <f>+'Fisico SPOT MAT'!AG164</f>
        <v>16.841524741156537</v>
      </c>
      <c r="O164" s="19">
        <f t="shared" si="37"/>
        <v>15.029761904761905</v>
      </c>
      <c r="P164" s="19">
        <v>6</v>
      </c>
      <c r="Q164" s="19">
        <v>6</v>
      </c>
      <c r="R164" s="19">
        <v>0</v>
      </c>
      <c r="S164" s="44">
        <f>SUMPRODUCT(N164:R164,'Fisico SPOT MAT'!N164:R164)*E164</f>
        <v>952867.68128472194</v>
      </c>
      <c r="T164" s="17"/>
      <c r="U164" s="17">
        <v>18</v>
      </c>
      <c r="V164" s="17">
        <v>60</v>
      </c>
      <c r="W164" s="28">
        <f>SUMPRODUCT(T164:V164,'Fisico SPOT MAT'!T164:V164)*24</f>
        <v>1866747.9</v>
      </c>
      <c r="X164" s="19">
        <v>0</v>
      </c>
      <c r="Y164" s="19">
        <v>5</v>
      </c>
      <c r="Z164" s="19">
        <v>0</v>
      </c>
      <c r="AA164" s="28">
        <f>SUMPRODUCT(X164:Z164,'Fisico SPOT MAT'!X164:Z164)*E164</f>
        <v>10300</v>
      </c>
      <c r="AC164" s="115"/>
      <c r="AD164" s="41">
        <v>37.839787280514585</v>
      </c>
      <c r="AE164" s="42">
        <v>31.075315424688277</v>
      </c>
      <c r="AF164">
        <v>5050</v>
      </c>
      <c r="AG164" s="74">
        <f t="shared" si="67"/>
        <v>2.0816856414347344</v>
      </c>
      <c r="AH164">
        <v>0</v>
      </c>
      <c r="AI164" s="41">
        <v>0.85</v>
      </c>
      <c r="AJ164">
        <v>336</v>
      </c>
    </row>
    <row r="165" spans="1:36" x14ac:dyDescent="0.25">
      <c r="A165" s="3">
        <f>+'Mono ASIG'!A165</f>
        <v>1408.96</v>
      </c>
      <c r="B165" s="3">
        <f>+'Mono ASIG'!B165</f>
        <v>1423.364</v>
      </c>
      <c r="C165" s="1">
        <f>+'Mono ASIG'!C165</f>
        <v>2026</v>
      </c>
      <c r="D165" s="1">
        <f t="shared" si="64"/>
        <v>2</v>
      </c>
      <c r="E165" s="1">
        <f>+'Fisico SPOT MAT'!E165</f>
        <v>16</v>
      </c>
      <c r="F165" s="1" t="str">
        <f>+'Mono ASIG'!F165</f>
        <v>lun</v>
      </c>
      <c r="G165" s="56">
        <f>+'Mono ASIG'!G165</f>
        <v>46076</v>
      </c>
      <c r="H165" s="17">
        <f t="shared" si="65"/>
        <v>41.735897120419217</v>
      </c>
      <c r="I165" s="17">
        <f t="shared" si="66"/>
        <v>33.575755181448088</v>
      </c>
      <c r="J165" s="17">
        <v>22</v>
      </c>
      <c r="K165" s="17">
        <v>22</v>
      </c>
      <c r="L165" s="17">
        <v>32</v>
      </c>
      <c r="M165" s="44">
        <f>SUMPRODUCT(H165:L165,'Fisico SPOT MAT'!H165:L165)*24</f>
        <v>8343971.9736199686</v>
      </c>
      <c r="N165" s="19">
        <f>+'Fisico SPOT MAT'!AG165</f>
        <v>16.855795742032566</v>
      </c>
      <c r="O165" s="19">
        <f t="shared" si="37"/>
        <v>15.029761904761905</v>
      </c>
      <c r="P165" s="19">
        <v>6</v>
      </c>
      <c r="Q165" s="19">
        <v>6</v>
      </c>
      <c r="R165" s="19">
        <v>0</v>
      </c>
      <c r="S165" s="44">
        <f>SUMPRODUCT(N165:R165,'Fisico SPOT MAT'!N165:R165)*E165</f>
        <v>3853956.1453253962</v>
      </c>
      <c r="T165" s="17"/>
      <c r="U165" s="17">
        <v>18</v>
      </c>
      <c r="V165" s="17">
        <v>60</v>
      </c>
      <c r="W165" s="28">
        <f>SUMPRODUCT(T165:V165,'Fisico SPOT MAT'!T165:V165)*24</f>
        <v>1965977.3820000002</v>
      </c>
      <c r="X165" s="19">
        <v>0</v>
      </c>
      <c r="Y165" s="19">
        <v>5</v>
      </c>
      <c r="Z165" s="19">
        <v>0</v>
      </c>
      <c r="AA165" s="28">
        <f>SUMPRODUCT(X165:Z165,'Fisico SPOT MAT'!X165:Z165)*E165</f>
        <v>41200</v>
      </c>
      <c r="AC165" s="115"/>
      <c r="AD165" s="41">
        <v>38.743229152617531</v>
      </c>
      <c r="AE165" s="42">
        <v>30.583087213646404</v>
      </c>
      <c r="AF165">
        <v>5050</v>
      </c>
      <c r="AG165" s="74">
        <f t="shared" si="67"/>
        <v>2.1426679678016836</v>
      </c>
      <c r="AH165">
        <v>0</v>
      </c>
      <c r="AI165" s="41">
        <v>0.85</v>
      </c>
      <c r="AJ165">
        <v>336</v>
      </c>
    </row>
    <row r="166" spans="1:36" x14ac:dyDescent="0.25">
      <c r="A166" s="3">
        <f>+'Mono ASIG'!A166</f>
        <v>1408.96</v>
      </c>
      <c r="B166" s="3">
        <f>+'Mono ASIG'!B166</f>
        <v>1423.364</v>
      </c>
      <c r="C166" s="1">
        <f>+'Mono ASIG'!C166</f>
        <v>2026</v>
      </c>
      <c r="D166" s="1">
        <f t="shared" ref="D166:D171" si="68">MONTH(G166)</f>
        <v>2</v>
      </c>
      <c r="E166" s="1">
        <f>+'Fisico SPOT MAT'!E166</f>
        <v>16</v>
      </c>
      <c r="F166" s="1" t="str">
        <f>+'Mono ASIG'!F166</f>
        <v>mar</v>
      </c>
      <c r="G166" s="56">
        <f>+'Mono ASIG'!G166</f>
        <v>46077</v>
      </c>
      <c r="H166" s="17">
        <f t="shared" ref="H166:H170" si="69">+AD166+AG166+AH166+AI166</f>
        <v>41.687254432789281</v>
      </c>
      <c r="I166" s="17">
        <f t="shared" ref="I166:I171" si="70">+AE166+AG166+AH166+AI166</f>
        <v>34.531595545331534</v>
      </c>
      <c r="J166" s="17">
        <v>22</v>
      </c>
      <c r="K166" s="17">
        <v>22</v>
      </c>
      <c r="L166" s="17">
        <v>32</v>
      </c>
      <c r="M166" s="44">
        <f>SUMPRODUCT(H166:L166,'Fisico SPOT MAT'!H166:L166)*24</f>
        <v>8410204.0416761227</v>
      </c>
      <c r="N166" s="19">
        <f>+'Fisico SPOT MAT'!AG166</f>
        <v>16.887969640490045</v>
      </c>
      <c r="O166" s="19">
        <f t="shared" si="37"/>
        <v>15.029761904761905</v>
      </c>
      <c r="P166" s="19">
        <v>6</v>
      </c>
      <c r="Q166" s="19">
        <v>6</v>
      </c>
      <c r="R166" s="19">
        <v>0</v>
      </c>
      <c r="S166" s="44">
        <f>SUMPRODUCT(N166:R166,'Fisico SPOT MAT'!N166:R166)*E166</f>
        <v>3953098.8367579379</v>
      </c>
      <c r="T166" s="17"/>
      <c r="U166" s="17">
        <v>18</v>
      </c>
      <c r="V166" s="17">
        <v>60</v>
      </c>
      <c r="W166" s="28">
        <f>SUMPRODUCT(T166:V166,'Fisico SPOT MAT'!T166:V166)*24</f>
        <v>2696432.4659999995</v>
      </c>
      <c r="X166" s="19">
        <v>0</v>
      </c>
      <c r="Y166" s="19">
        <v>5</v>
      </c>
      <c r="Z166" s="19">
        <v>0</v>
      </c>
      <c r="AA166" s="28">
        <f>SUMPRODUCT(X166:Z166,'Fisico SPOT MAT'!X166:Z166)*E166</f>
        <v>41200</v>
      </c>
      <c r="AC166" s="115"/>
      <c r="AD166" s="41">
        <v>38.697662232121104</v>
      </c>
      <c r="AE166" s="42">
        <v>31.542003344663357</v>
      </c>
      <c r="AF166">
        <v>5050</v>
      </c>
      <c r="AG166" s="74">
        <f t="shared" si="67"/>
        <v>2.1395922006681745</v>
      </c>
      <c r="AH166">
        <v>0</v>
      </c>
      <c r="AI166" s="41">
        <v>0.85</v>
      </c>
      <c r="AJ166">
        <v>336</v>
      </c>
    </row>
    <row r="167" spans="1:36" x14ac:dyDescent="0.25">
      <c r="A167" s="3">
        <f>+'Mono ASIG'!A167</f>
        <v>1408.96</v>
      </c>
      <c r="B167" s="3">
        <f>+'Mono ASIG'!B167</f>
        <v>1423.364</v>
      </c>
      <c r="C167" s="1">
        <f>+'Mono ASIG'!C167</f>
        <v>2026</v>
      </c>
      <c r="D167" s="1">
        <f t="shared" si="68"/>
        <v>2</v>
      </c>
      <c r="E167" s="1">
        <f>+'Fisico SPOT MAT'!E167</f>
        <v>16</v>
      </c>
      <c r="F167" s="1" t="str">
        <f>+'Mono ASIG'!F167</f>
        <v>mié</v>
      </c>
      <c r="G167" s="56">
        <f>+'Mono ASIG'!G167</f>
        <v>46078</v>
      </c>
      <c r="H167" s="17">
        <f t="shared" si="69"/>
        <v>41.043178338891373</v>
      </c>
      <c r="I167" s="17">
        <f t="shared" si="70"/>
        <v>34.528446985414128</v>
      </c>
      <c r="J167" s="17">
        <v>22</v>
      </c>
      <c r="K167" s="17">
        <v>22</v>
      </c>
      <c r="L167" s="17">
        <v>32</v>
      </c>
      <c r="M167" s="44">
        <f>SUMPRODUCT(H167:L167,'Fisico SPOT MAT'!H167:L167)*24</f>
        <v>7920132.4649096997</v>
      </c>
      <c r="N167" s="19">
        <f>+'Fisico SPOT MAT'!AG167</f>
        <v>16.904313237518696</v>
      </c>
      <c r="O167" s="19">
        <f t="shared" si="37"/>
        <v>15.029761904761905</v>
      </c>
      <c r="P167" s="19">
        <v>6</v>
      </c>
      <c r="Q167" s="19">
        <v>6</v>
      </c>
      <c r="R167" s="19">
        <v>0</v>
      </c>
      <c r="S167" s="44">
        <f>SUMPRODUCT(N167:R167,'Fisico SPOT MAT'!N167:R167)*E167</f>
        <v>4017944.3216507942</v>
      </c>
      <c r="T167" s="17"/>
      <c r="U167" s="17">
        <v>18</v>
      </c>
      <c r="V167" s="17">
        <v>60</v>
      </c>
      <c r="W167" s="28">
        <f>SUMPRODUCT(T167:V167,'Fisico SPOT MAT'!T167:V167)*24</f>
        <v>1914230.1239999996</v>
      </c>
      <c r="X167" s="19">
        <v>0</v>
      </c>
      <c r="Y167" s="19">
        <v>5</v>
      </c>
      <c r="Z167" s="19">
        <v>0</v>
      </c>
      <c r="AA167" s="28">
        <f>SUMPRODUCT(X167:Z167,'Fisico SPOT MAT'!X167:Z167)*E167</f>
        <v>41200</v>
      </c>
      <c r="AC167" s="115"/>
      <c r="AD167" s="41">
        <v>38.094312261256555</v>
      </c>
      <c r="AE167" s="42">
        <v>31.579580907779309</v>
      </c>
      <c r="AF167">
        <v>5050</v>
      </c>
      <c r="AG167" s="74">
        <f t="shared" si="67"/>
        <v>2.0988660776348174</v>
      </c>
      <c r="AH167">
        <v>0</v>
      </c>
      <c r="AI167" s="41">
        <v>0.85</v>
      </c>
      <c r="AJ167">
        <v>336</v>
      </c>
    </row>
    <row r="168" spans="1:36" x14ac:dyDescent="0.25">
      <c r="A168" s="3">
        <f>+'Mono ASIG'!A168</f>
        <v>1408.96</v>
      </c>
      <c r="B168" s="3">
        <f>+'Mono ASIG'!B168</f>
        <v>1423.364</v>
      </c>
      <c r="C168" s="1">
        <f>+'Mono ASIG'!C168</f>
        <v>2026</v>
      </c>
      <c r="D168" s="1">
        <f t="shared" si="68"/>
        <v>2</v>
      </c>
      <c r="E168" s="1">
        <f>+'Fisico SPOT MAT'!E168</f>
        <v>16</v>
      </c>
      <c r="F168" s="1" t="str">
        <f>+'Mono ASIG'!F168</f>
        <v>jue</v>
      </c>
      <c r="G168" s="56">
        <f>+'Mono ASIG'!G168</f>
        <v>46079</v>
      </c>
      <c r="H168" s="17">
        <f t="shared" si="69"/>
        <v>41.000299769436047</v>
      </c>
      <c r="I168" s="17">
        <f t="shared" si="70"/>
        <v>34.56587791228457</v>
      </c>
      <c r="J168" s="17">
        <v>22</v>
      </c>
      <c r="K168" s="17">
        <v>22</v>
      </c>
      <c r="L168" s="17">
        <v>32</v>
      </c>
      <c r="M168" s="44">
        <f>SUMPRODUCT(H168:L168,'Fisico SPOT MAT'!H168:L168)*24</f>
        <v>7819222.9743870683</v>
      </c>
      <c r="N168" s="19">
        <f>+'Fisico SPOT MAT'!AG168</f>
        <v>16.904153609151695</v>
      </c>
      <c r="O168" s="19">
        <f t="shared" si="37"/>
        <v>15.029761904761905</v>
      </c>
      <c r="P168" s="19">
        <v>6</v>
      </c>
      <c r="Q168" s="19">
        <v>6</v>
      </c>
      <c r="R168" s="19">
        <v>0</v>
      </c>
      <c r="S168" s="44">
        <f>SUMPRODUCT(N168:R168,'Fisico SPOT MAT'!N168:R168)*E168</f>
        <v>4023098.3975277762</v>
      </c>
      <c r="T168" s="17"/>
      <c r="U168" s="17">
        <v>18</v>
      </c>
      <c r="V168" s="17">
        <v>60</v>
      </c>
      <c r="W168" s="28">
        <f>SUMPRODUCT(T168:V168,'Fisico SPOT MAT'!T168:V168)*24</f>
        <v>1632112.2479999999</v>
      </c>
      <c r="X168" s="19">
        <v>0</v>
      </c>
      <c r="Y168" s="19">
        <v>5</v>
      </c>
      <c r="Z168" s="19">
        <v>0</v>
      </c>
      <c r="AA168" s="28">
        <f>SUMPRODUCT(X168:Z168,'Fisico SPOT MAT'!X168:Z168)*E168</f>
        <v>41200</v>
      </c>
      <c r="AC168" s="115"/>
      <c r="AD168" s="41">
        <v>38.05414498307826</v>
      </c>
      <c r="AE168" s="42">
        <v>31.619723125926786</v>
      </c>
      <c r="AF168">
        <v>5050</v>
      </c>
      <c r="AG168" s="74">
        <f t="shared" si="67"/>
        <v>2.0961547863577827</v>
      </c>
      <c r="AH168">
        <v>0</v>
      </c>
      <c r="AI168" s="41">
        <v>0.85</v>
      </c>
      <c r="AJ168">
        <v>336</v>
      </c>
    </row>
    <row r="169" spans="1:36" x14ac:dyDescent="0.25">
      <c r="A169" s="3">
        <f>+'Mono ASIG'!A169</f>
        <v>1408.96</v>
      </c>
      <c r="B169" s="3">
        <f>+'Mono ASIG'!B169</f>
        <v>1423.364</v>
      </c>
      <c r="C169" s="1">
        <f>+'Mono ASIG'!C169</f>
        <v>2026</v>
      </c>
      <c r="D169" s="1">
        <f t="shared" si="68"/>
        <v>2</v>
      </c>
      <c r="E169" s="1">
        <f>+'Fisico SPOT MAT'!E169</f>
        <v>16</v>
      </c>
      <c r="F169" s="1" t="str">
        <f>+'Mono ASIG'!F169</f>
        <v>vie</v>
      </c>
      <c r="G169" s="56">
        <f>+'Mono ASIG'!G169</f>
        <v>46080</v>
      </c>
      <c r="H169" s="17">
        <f t="shared" si="69"/>
        <v>41.113171070334339</v>
      </c>
      <c r="I169" s="17">
        <f t="shared" si="70"/>
        <v>33.937518433316136</v>
      </c>
      <c r="J169" s="17">
        <v>22</v>
      </c>
      <c r="K169" s="17">
        <v>22</v>
      </c>
      <c r="L169" s="17">
        <v>32</v>
      </c>
      <c r="M169" s="44">
        <f>SUMPRODUCT(H169:L169,'Fisico SPOT MAT'!H169:L169)*24</f>
        <v>7713585.5092552938</v>
      </c>
      <c r="N169" s="19">
        <f>+'Fisico SPOT MAT'!AG169</f>
        <v>16.900510259317773</v>
      </c>
      <c r="O169" s="19">
        <f t="shared" si="37"/>
        <v>15.029761904761905</v>
      </c>
      <c r="P169" s="19">
        <v>6</v>
      </c>
      <c r="Q169" s="19">
        <v>6</v>
      </c>
      <c r="R169" s="19">
        <v>0</v>
      </c>
      <c r="S169" s="44">
        <f>SUMPRODUCT(N169:R169,'Fisico SPOT MAT'!N169:R169)*E169</f>
        <v>4004401.5727936509</v>
      </c>
      <c r="T169" s="17"/>
      <c r="U169" s="17">
        <v>18</v>
      </c>
      <c r="V169" s="17">
        <v>60</v>
      </c>
      <c r="W169" s="28">
        <f>SUMPRODUCT(T169:V169,'Fisico SPOT MAT'!T169:V169)*24</f>
        <v>2160161.5919999997</v>
      </c>
      <c r="X169" s="19">
        <v>0</v>
      </c>
      <c r="Y169" s="19">
        <v>5</v>
      </c>
      <c r="Z169" s="19">
        <v>0</v>
      </c>
      <c r="AA169" s="28">
        <f>SUMPRODUCT(X169:Z169,'Fisico SPOT MAT'!X169:Z169)*E169</f>
        <v>41200</v>
      </c>
      <c r="AC169" s="115"/>
      <c r="AD169" s="41">
        <v>38.159879222795631</v>
      </c>
      <c r="AE169" s="42">
        <v>30.984226585777428</v>
      </c>
      <c r="AF169">
        <v>5050</v>
      </c>
      <c r="AG169" s="74">
        <f t="shared" si="67"/>
        <v>2.103291847538705</v>
      </c>
      <c r="AH169">
        <v>0</v>
      </c>
      <c r="AI169" s="41">
        <v>0.85</v>
      </c>
      <c r="AJ169">
        <v>336</v>
      </c>
    </row>
    <row r="170" spans="1:36" x14ac:dyDescent="0.25">
      <c r="A170" s="3">
        <f>+'Mono ASIG'!A170</f>
        <v>1408.96</v>
      </c>
      <c r="B170" s="3">
        <f>+'Mono ASIG'!B170</f>
        <v>1423.364</v>
      </c>
      <c r="C170" s="1">
        <f>+'Mono ASIG'!C170</f>
        <v>2026</v>
      </c>
      <c r="D170" s="1">
        <f t="shared" si="68"/>
        <v>2</v>
      </c>
      <c r="E170" s="1">
        <f>+'Fisico SPOT MAT'!E170</f>
        <v>6</v>
      </c>
      <c r="F170" s="1" t="str">
        <f>+'Mono ASIG'!F170</f>
        <v>sáb</v>
      </c>
      <c r="G170" s="56">
        <f>+'Mono ASIG'!G170</f>
        <v>46081</v>
      </c>
      <c r="H170" s="17">
        <f t="shared" si="69"/>
        <v>40.613518023441074</v>
      </c>
      <c r="I170" s="17">
        <f t="shared" si="70"/>
        <v>34.197126360613346</v>
      </c>
      <c r="J170" s="17">
        <v>22</v>
      </c>
      <c r="K170" s="17">
        <v>22</v>
      </c>
      <c r="L170" s="17">
        <v>32</v>
      </c>
      <c r="M170" s="44">
        <f>SUMPRODUCT(H170:L170,'Fisico SPOT MAT'!H170:L170)*24</f>
        <v>6992966.5299296621</v>
      </c>
      <c r="N170" s="19">
        <f>+'Fisico SPOT MAT'!AG170</f>
        <v>16.89639658540505</v>
      </c>
      <c r="O170" s="19">
        <f t="shared" si="37"/>
        <v>15.029761904761905</v>
      </c>
      <c r="P170" s="19">
        <v>6</v>
      </c>
      <c r="Q170" s="19">
        <v>6</v>
      </c>
      <c r="R170" s="19">
        <v>0</v>
      </c>
      <c r="S170" s="44">
        <f>SUMPRODUCT(N170:R170,'Fisico SPOT MAT'!N170:R170)*E170</f>
        <v>1494814.1183303567</v>
      </c>
      <c r="T170" s="17"/>
      <c r="U170" s="17">
        <v>18</v>
      </c>
      <c r="V170" s="17">
        <v>60</v>
      </c>
      <c r="W170" s="28">
        <f>SUMPRODUCT(T170:V170,'Fisico SPOT MAT'!T170:V170)*24</f>
        <v>2433890.3040000009</v>
      </c>
      <c r="X170" s="19">
        <v>0</v>
      </c>
      <c r="Y170" s="19">
        <v>5</v>
      </c>
      <c r="Z170" s="19">
        <v>0</v>
      </c>
      <c r="AA170" s="28">
        <f>SUMPRODUCT(X170:Z170,'Fisico SPOT MAT'!X170:Z170)*E170</f>
        <v>15450</v>
      </c>
      <c r="AC170" s="115"/>
      <c r="AD170" s="41">
        <v>37.691820162474073</v>
      </c>
      <c r="AE170" s="42">
        <v>31.275428499646342</v>
      </c>
      <c r="AF170">
        <v>5050</v>
      </c>
      <c r="AG170" s="74">
        <f t="shared" si="67"/>
        <v>2.0716978609670003</v>
      </c>
      <c r="AH170">
        <v>0</v>
      </c>
      <c r="AI170" s="41">
        <v>0.85</v>
      </c>
      <c r="AJ170">
        <v>336</v>
      </c>
    </row>
    <row r="171" spans="1:36" x14ac:dyDescent="0.25">
      <c r="A171" s="3">
        <f>+'Mono ASIG'!A171</f>
        <v>1382.7578000000001</v>
      </c>
      <c r="B171" s="3">
        <f>+'Mono ASIG'!B171</f>
        <v>1423.3640000000005</v>
      </c>
      <c r="C171" s="1">
        <f>+'Mono ASIG'!C171</f>
        <v>2026</v>
      </c>
      <c r="D171" s="1">
        <f t="shared" si="68"/>
        <v>3</v>
      </c>
      <c r="E171" s="1">
        <f>+'Fisico SPOT MAT'!E171</f>
        <v>4</v>
      </c>
      <c r="F171" s="1" t="str">
        <f>+'Mono ASIG'!F171</f>
        <v>dom</v>
      </c>
      <c r="G171" s="56">
        <f>+'Mono ASIG'!G171</f>
        <v>46082</v>
      </c>
      <c r="H171" s="17">
        <f>+AD171+AG171+AH171+AI171</f>
        <v>40.493705630625179</v>
      </c>
      <c r="I171" s="17">
        <f t="shared" si="70"/>
        <v>34.177876557794939</v>
      </c>
      <c r="J171" s="17">
        <v>22</v>
      </c>
      <c r="K171" s="17">
        <v>22</v>
      </c>
      <c r="L171" s="17">
        <v>32</v>
      </c>
      <c r="M171" s="44">
        <f>SUMPRODUCT(H171:L171,'Fisico SPOT MAT'!H171:L171)*24</f>
        <v>6892705.2011158448</v>
      </c>
      <c r="N171" s="19">
        <f>+'Fisico SPOT MAT'!AG171</f>
        <v>16.335584526965754</v>
      </c>
      <c r="O171" s="19">
        <f t="shared" si="37"/>
        <v>13.502673796791443</v>
      </c>
      <c r="P171" s="19">
        <v>6</v>
      </c>
      <c r="Q171" s="19">
        <v>6</v>
      </c>
      <c r="R171" s="19">
        <v>0</v>
      </c>
      <c r="S171" s="44">
        <f>SUMPRODUCT(N171:R171,'Fisico SPOT MAT'!N171:R171)*E171</f>
        <v>953559.14940285217</v>
      </c>
      <c r="T171" s="17"/>
      <c r="U171" s="17">
        <v>18</v>
      </c>
      <c r="V171" s="17">
        <v>60</v>
      </c>
      <c r="W171" s="28">
        <f>SUMPRODUCT(T171:V171,'Fisico SPOT MAT'!T171:V171)*24</f>
        <v>2786006.2919999999</v>
      </c>
      <c r="X171" s="19">
        <v>0</v>
      </c>
      <c r="Y171" s="19">
        <v>5</v>
      </c>
      <c r="Z171" s="19">
        <v>0</v>
      </c>
      <c r="AA171" s="28">
        <f>SUMPRODUCT(X171:Z171,'Fisico SPOT MAT'!X171:Z171)*E171</f>
        <v>10300</v>
      </c>
      <c r="AC171" s="115"/>
      <c r="AD171" s="41">
        <v>37.579583728922884</v>
      </c>
      <c r="AE171" s="42">
        <v>31.263754656092644</v>
      </c>
      <c r="AF171">
        <v>5050</v>
      </c>
      <c r="AG171" s="74">
        <f t="shared" si="67"/>
        <v>2.0641219017022947</v>
      </c>
      <c r="AH171">
        <v>0</v>
      </c>
      <c r="AI171" s="41">
        <v>0.85</v>
      </c>
      <c r="AJ171">
        <v>374</v>
      </c>
    </row>
    <row r="172" spans="1:36" x14ac:dyDescent="0.25">
      <c r="A172" s="3">
        <f>+'Mono ASIG'!A172</f>
        <v>1382.7578000000001</v>
      </c>
      <c r="B172" s="3">
        <f>+'Mono ASIG'!B172</f>
        <v>1367.2360000000006</v>
      </c>
      <c r="C172" s="1">
        <f>+'Mono ASIG'!C172</f>
        <v>2026</v>
      </c>
      <c r="D172" s="1">
        <f t="shared" ref="D172:D200" si="71">MONTH(G172)</f>
        <v>3</v>
      </c>
      <c r="E172" s="1">
        <f>+'Fisico SPOT MAT'!E172</f>
        <v>16</v>
      </c>
      <c r="F172" s="1" t="str">
        <f>+'Mono ASIG'!F172</f>
        <v>lun</v>
      </c>
      <c r="G172" s="56">
        <f>+'Mono ASIG'!G172</f>
        <v>46083</v>
      </c>
      <c r="H172" s="17">
        <f t="shared" ref="H172:H200" si="72">+AD172+AG172+AH172+AI172</f>
        <v>46.665826034617979</v>
      </c>
      <c r="I172" s="17">
        <f t="shared" ref="I172:I200" si="73">+AE172+AG172+AH172+AI172</f>
        <v>34.956724590040658</v>
      </c>
      <c r="J172" s="17">
        <v>22</v>
      </c>
      <c r="K172" s="17">
        <v>22</v>
      </c>
      <c r="L172" s="17">
        <v>32</v>
      </c>
      <c r="M172" s="44">
        <f>SUMPRODUCT(H172:L172,'Fisico SPOT MAT'!H172:L172)*24</f>
        <v>9434437.3619344123</v>
      </c>
      <c r="N172" s="19">
        <f>+'Fisico SPOT MAT'!AG172</f>
        <v>16.342699823382119</v>
      </c>
      <c r="O172" s="19">
        <f t="shared" si="37"/>
        <v>13.502673796791443</v>
      </c>
      <c r="P172" s="19">
        <v>6</v>
      </c>
      <c r="Q172" s="19">
        <v>6</v>
      </c>
      <c r="R172" s="19">
        <v>0</v>
      </c>
      <c r="S172" s="44">
        <f>SUMPRODUCT(N172:R172,'Fisico SPOT MAT'!N172:R172)*E172</f>
        <v>3829358.1612905515</v>
      </c>
      <c r="T172" s="17"/>
      <c r="U172" s="17">
        <v>18</v>
      </c>
      <c r="V172" s="17">
        <v>60</v>
      </c>
      <c r="W172" s="28">
        <f>SUMPRODUCT(T172:V172,'Fisico SPOT MAT'!T172:V172)*24</f>
        <v>2751303.4019999993</v>
      </c>
      <c r="X172" s="19">
        <v>0</v>
      </c>
      <c r="Y172" s="19">
        <v>5</v>
      </c>
      <c r="Z172" s="19">
        <v>0</v>
      </c>
      <c r="AA172" s="28">
        <f>SUMPRODUCT(X172:Z172,'Fisico SPOT MAT'!X172:Z172)*E172</f>
        <v>41200</v>
      </c>
      <c r="AC172" s="115"/>
      <c r="AD172" s="41">
        <v>43.361429540625743</v>
      </c>
      <c r="AE172" s="42">
        <v>31.652328096048418</v>
      </c>
      <c r="AF172">
        <v>5050</v>
      </c>
      <c r="AG172" s="74">
        <f t="shared" ref="AG172:AG175" si="74">0.075*0.9*(AD172-7)</f>
        <v>2.4543964939922378</v>
      </c>
      <c r="AH172">
        <v>0</v>
      </c>
      <c r="AI172" s="41">
        <v>0.85</v>
      </c>
      <c r="AJ172">
        <v>374</v>
      </c>
    </row>
    <row r="173" spans="1:36" x14ac:dyDescent="0.25">
      <c r="A173" s="3">
        <f>+'Mono ASIG'!A173</f>
        <v>1382.7578000000001</v>
      </c>
      <c r="B173" s="3">
        <f>+'Mono ASIG'!B173</f>
        <v>1367.2360000000006</v>
      </c>
      <c r="C173" s="1">
        <f>+'Mono ASIG'!C173</f>
        <v>2026</v>
      </c>
      <c r="D173" s="1">
        <f t="shared" si="71"/>
        <v>3</v>
      </c>
      <c r="E173" s="1">
        <f>+'Fisico SPOT MAT'!E173</f>
        <v>16</v>
      </c>
      <c r="F173" s="1" t="str">
        <f>+'Mono ASIG'!F173</f>
        <v>mar</v>
      </c>
      <c r="G173" s="56">
        <f>+'Mono ASIG'!G173</f>
        <v>46084</v>
      </c>
      <c r="H173" s="17">
        <f t="shared" si="72"/>
        <v>48.190128205728868</v>
      </c>
      <c r="I173" s="17">
        <f t="shared" si="73"/>
        <v>34.649031869406329</v>
      </c>
      <c r="J173" s="17">
        <v>22</v>
      </c>
      <c r="K173" s="17">
        <v>22</v>
      </c>
      <c r="L173" s="17">
        <v>32</v>
      </c>
      <c r="M173" s="44">
        <f>SUMPRODUCT(H173:L173,'Fisico SPOT MAT'!H173:L173)*24</f>
        <v>9364426.240001848</v>
      </c>
      <c r="N173" s="19">
        <f>+'Fisico SPOT MAT'!AG173</f>
        <v>16.345667239313443</v>
      </c>
      <c r="O173" s="19">
        <f t="shared" si="37"/>
        <v>13.502673796791443</v>
      </c>
      <c r="P173" s="19">
        <v>6</v>
      </c>
      <c r="Q173" s="19">
        <v>6</v>
      </c>
      <c r="R173" s="19">
        <v>0</v>
      </c>
      <c r="S173" s="44">
        <f>SUMPRODUCT(N173:R173,'Fisico SPOT MAT'!N173:R173)*E173</f>
        <v>3844052.8595543685</v>
      </c>
      <c r="T173" s="17"/>
      <c r="U173" s="17">
        <v>18</v>
      </c>
      <c r="V173" s="17">
        <v>60</v>
      </c>
      <c r="W173" s="28">
        <f>SUMPRODUCT(T173:V173,'Fisico SPOT MAT'!T173:V173)*24</f>
        <v>1761716.838</v>
      </c>
      <c r="X173" s="19">
        <v>0</v>
      </c>
      <c r="Y173" s="19">
        <v>5</v>
      </c>
      <c r="Z173" s="19">
        <v>0</v>
      </c>
      <c r="AA173" s="28">
        <f>SUMPRODUCT(X173:Z173,'Fisico SPOT MAT'!X173:Z173)*E173</f>
        <v>41200</v>
      </c>
      <c r="AC173" s="115"/>
      <c r="AD173" s="41">
        <v>44.789347265319783</v>
      </c>
      <c r="AE173" s="42">
        <v>31.248250928997244</v>
      </c>
      <c r="AF173">
        <v>5050</v>
      </c>
      <c r="AG173" s="74">
        <f t="shared" si="74"/>
        <v>2.5507809404090853</v>
      </c>
      <c r="AH173">
        <v>0</v>
      </c>
      <c r="AI173" s="41">
        <v>0.85</v>
      </c>
      <c r="AJ173">
        <v>374</v>
      </c>
    </row>
    <row r="174" spans="1:36" x14ac:dyDescent="0.25">
      <c r="A174" s="3">
        <f>+'Mono ASIG'!A174</f>
        <v>1382.7578000000001</v>
      </c>
      <c r="B174" s="3">
        <f>+'Mono ASIG'!B174</f>
        <v>1367.2360000000006</v>
      </c>
      <c r="C174" s="1">
        <f>+'Mono ASIG'!C174</f>
        <v>2026</v>
      </c>
      <c r="D174" s="1">
        <f t="shared" si="71"/>
        <v>3</v>
      </c>
      <c r="E174" s="1">
        <f>+'Fisico SPOT MAT'!E174</f>
        <v>16</v>
      </c>
      <c r="F174" s="1" t="str">
        <f>+'Mono ASIG'!F174</f>
        <v>mié</v>
      </c>
      <c r="G174" s="56">
        <f>+'Mono ASIG'!G174</f>
        <v>46085</v>
      </c>
      <c r="H174" s="17">
        <f t="shared" si="72"/>
        <v>42.891142411570904</v>
      </c>
      <c r="I174" s="17">
        <f t="shared" si="73"/>
        <v>34.413892491636595</v>
      </c>
      <c r="J174" s="17">
        <v>22</v>
      </c>
      <c r="K174" s="17">
        <v>22</v>
      </c>
      <c r="L174" s="17">
        <v>32</v>
      </c>
      <c r="M174" s="44">
        <f>SUMPRODUCT(H174:L174,'Fisico SPOT MAT'!H174:L174)*24</f>
        <v>7814259.3152407482</v>
      </c>
      <c r="N174" s="19">
        <f>+'Fisico SPOT MAT'!AG174</f>
        <v>16.346013502974749</v>
      </c>
      <c r="O174" s="19">
        <f t="shared" si="37"/>
        <v>13.502673796791443</v>
      </c>
      <c r="P174" s="19">
        <v>6</v>
      </c>
      <c r="Q174" s="19">
        <v>6</v>
      </c>
      <c r="R174" s="19">
        <v>0</v>
      </c>
      <c r="S174" s="44">
        <f>SUMPRODUCT(N174:R174,'Fisico SPOT MAT'!N174:R174)*E174</f>
        <v>3842747.8905846714</v>
      </c>
      <c r="T174" s="17"/>
      <c r="U174" s="17">
        <v>18</v>
      </c>
      <c r="V174" s="17">
        <v>60</v>
      </c>
      <c r="W174" s="28">
        <f>SUMPRODUCT(T174:V174,'Fisico SPOT MAT'!T174:V174)*24</f>
        <v>2275145.4059999995</v>
      </c>
      <c r="X174" s="19">
        <v>0</v>
      </c>
      <c r="Y174" s="19">
        <v>5</v>
      </c>
      <c r="Z174" s="19">
        <v>0</v>
      </c>
      <c r="AA174" s="28">
        <f>SUMPRODUCT(X174:Z174,'Fisico SPOT MAT'!X174:Z174)*E174</f>
        <v>41200</v>
      </c>
      <c r="AC174" s="115"/>
      <c r="AD174" s="41">
        <v>39.825426146670637</v>
      </c>
      <c r="AE174" s="42">
        <v>31.348176226736324</v>
      </c>
      <c r="AF174">
        <v>5050</v>
      </c>
      <c r="AG174" s="74">
        <f t="shared" si="74"/>
        <v>2.215716264900268</v>
      </c>
      <c r="AH174">
        <v>0</v>
      </c>
      <c r="AI174" s="41">
        <v>0.85</v>
      </c>
      <c r="AJ174">
        <v>374</v>
      </c>
    </row>
    <row r="175" spans="1:36" x14ac:dyDescent="0.25">
      <c r="A175" s="3">
        <f>+'Mono ASIG'!A175</f>
        <v>1382.7578000000001</v>
      </c>
      <c r="B175" s="3">
        <f>+'Mono ASIG'!B175</f>
        <v>1367.2360000000006</v>
      </c>
      <c r="C175" s="1">
        <f>+'Mono ASIG'!C175</f>
        <v>2026</v>
      </c>
      <c r="D175" s="1">
        <f t="shared" si="71"/>
        <v>3</v>
      </c>
      <c r="E175" s="1">
        <f>+'Fisico SPOT MAT'!E175</f>
        <v>16</v>
      </c>
      <c r="F175" s="1" t="str">
        <f>+'Mono ASIG'!F175</f>
        <v>jue</v>
      </c>
      <c r="G175" s="56">
        <f>+'Mono ASIG'!G175</f>
        <v>46086</v>
      </c>
      <c r="H175" s="17">
        <f t="shared" si="72"/>
        <v>41.399542600393467</v>
      </c>
      <c r="I175" s="17">
        <f t="shared" si="73"/>
        <v>33.879530486085727</v>
      </c>
      <c r="J175" s="17">
        <v>22</v>
      </c>
      <c r="K175" s="17">
        <v>22</v>
      </c>
      <c r="L175" s="17">
        <v>32</v>
      </c>
      <c r="M175" s="44">
        <f>SUMPRODUCT(H175:L175,'Fisico SPOT MAT'!H175:L175)*24</f>
        <v>7713720.0099685192</v>
      </c>
      <c r="N175" s="19">
        <f>+'Fisico SPOT MAT'!AG175</f>
        <v>16.351868318449842</v>
      </c>
      <c r="O175" s="19">
        <f t="shared" si="37"/>
        <v>13.502673796791443</v>
      </c>
      <c r="P175" s="19">
        <v>6</v>
      </c>
      <c r="Q175" s="19">
        <v>6</v>
      </c>
      <c r="R175" s="19">
        <v>0</v>
      </c>
      <c r="S175" s="44">
        <f>SUMPRODUCT(N175:R175,'Fisico SPOT MAT'!N175:R175)*E175</f>
        <v>3857752.7566203205</v>
      </c>
      <c r="T175" s="17"/>
      <c r="U175" s="17">
        <v>18</v>
      </c>
      <c r="V175" s="17">
        <v>60</v>
      </c>
      <c r="W175" s="28">
        <f>SUMPRODUCT(T175:V175,'Fisico SPOT MAT'!T175:V175)*24</f>
        <v>1742230.8659999995</v>
      </c>
      <c r="X175" s="19">
        <v>0</v>
      </c>
      <c r="Y175" s="19">
        <v>5</v>
      </c>
      <c r="Z175" s="19">
        <v>0</v>
      </c>
      <c r="AA175" s="28">
        <f>SUMPRODUCT(X175:Z175,'Fisico SPOT MAT'!X175:Z175)*E175</f>
        <v>41200</v>
      </c>
      <c r="AC175" s="115"/>
      <c r="AD175" s="41">
        <v>38.428142951188256</v>
      </c>
      <c r="AE175" s="42">
        <v>30.90813083688052</v>
      </c>
      <c r="AF175">
        <v>5050</v>
      </c>
      <c r="AG175" s="74">
        <f t="shared" si="74"/>
        <v>2.1213996492052076</v>
      </c>
      <c r="AH175">
        <v>0</v>
      </c>
      <c r="AI175" s="41">
        <v>0.85</v>
      </c>
      <c r="AJ175">
        <v>374</v>
      </c>
    </row>
    <row r="176" spans="1:36" x14ac:dyDescent="0.25">
      <c r="A176" s="3">
        <f>+'Mono ASIG'!A176</f>
        <v>1382.7578000000001</v>
      </c>
      <c r="B176" s="3">
        <f>+'Mono ASIG'!B176</f>
        <v>1367.2360000000006</v>
      </c>
      <c r="C176" s="1">
        <f>+'Mono ASIG'!C176</f>
        <v>2026</v>
      </c>
      <c r="D176" s="1">
        <f t="shared" si="71"/>
        <v>3</v>
      </c>
      <c r="E176" s="1">
        <f>+'Fisico SPOT MAT'!E176</f>
        <v>16</v>
      </c>
      <c r="F176" s="1" t="str">
        <f>+'Mono ASIG'!F176</f>
        <v>vie</v>
      </c>
      <c r="G176" s="56">
        <f>+'Mono ASIG'!G176</f>
        <v>46087</v>
      </c>
      <c r="H176" s="17">
        <f t="shared" si="72"/>
        <v>40.656631246319691</v>
      </c>
      <c r="I176" s="17">
        <f t="shared" si="73"/>
        <v>33.806528281192918</v>
      </c>
      <c r="J176" s="17">
        <v>22</v>
      </c>
      <c r="K176" s="17">
        <v>22</v>
      </c>
      <c r="L176" s="17">
        <v>32</v>
      </c>
      <c r="M176" s="44">
        <f>SUMPRODUCT(H176:L176,'Fisico SPOT MAT'!H176:L176)*24</f>
        <v>7491931.5101693999</v>
      </c>
      <c r="N176" s="19">
        <f>+'Fisico SPOT MAT'!AG176</f>
        <v>16.361575460364978</v>
      </c>
      <c r="O176" s="19">
        <f t="shared" si="37"/>
        <v>13.502673796791443</v>
      </c>
      <c r="P176" s="19">
        <v>6</v>
      </c>
      <c r="Q176" s="19">
        <v>6</v>
      </c>
      <c r="R176" s="19">
        <v>0</v>
      </c>
      <c r="S176" s="44">
        <f>SUMPRODUCT(N176:R176,'Fisico SPOT MAT'!N176:R176)*E176</f>
        <v>3879653.0872442066</v>
      </c>
      <c r="T176" s="17"/>
      <c r="U176" s="17">
        <v>18</v>
      </c>
      <c r="V176" s="17">
        <v>60</v>
      </c>
      <c r="W176" s="28">
        <f>SUMPRODUCT(T176:V176,'Fisico SPOT MAT'!T176:V176)*24</f>
        <v>1781116.1880000005</v>
      </c>
      <c r="X176" s="19">
        <v>0</v>
      </c>
      <c r="Y176" s="19">
        <v>5</v>
      </c>
      <c r="Z176" s="19">
        <v>0</v>
      </c>
      <c r="AA176" s="28">
        <f>SUMPRODUCT(X176:Z176,'Fisico SPOT MAT'!X176:Z176)*E176</f>
        <v>41200</v>
      </c>
      <c r="AC176" s="115"/>
      <c r="AD176" s="41">
        <v>37.732207256505561</v>
      </c>
      <c r="AE176" s="42">
        <v>30.882104291378791</v>
      </c>
      <c r="AF176">
        <v>5050</v>
      </c>
      <c r="AG176" s="74">
        <f t="shared" ref="AG176:AG187" si="75">0.075*0.9*(AD176-7)</f>
        <v>2.0744239898141257</v>
      </c>
      <c r="AH176">
        <v>0</v>
      </c>
      <c r="AI176" s="41">
        <v>0.85</v>
      </c>
      <c r="AJ176">
        <v>374</v>
      </c>
    </row>
    <row r="177" spans="1:36" x14ac:dyDescent="0.25">
      <c r="A177" s="3">
        <f>+'Mono ASIG'!A177</f>
        <v>1382.7578000000001</v>
      </c>
      <c r="B177" s="3">
        <f>+'Mono ASIG'!B177</f>
        <v>1367.2360000000006</v>
      </c>
      <c r="C177" s="1">
        <f>+'Mono ASIG'!C177</f>
        <v>2026</v>
      </c>
      <c r="D177" s="1">
        <f t="shared" si="71"/>
        <v>3</v>
      </c>
      <c r="E177" s="1">
        <f>+'Fisico SPOT MAT'!E177</f>
        <v>6</v>
      </c>
      <c r="F177" s="1" t="str">
        <f>+'Mono ASIG'!F177</f>
        <v>sáb</v>
      </c>
      <c r="G177" s="56">
        <f>+'Mono ASIG'!G177</f>
        <v>46088</v>
      </c>
      <c r="H177" s="17">
        <f t="shared" si="72"/>
        <v>40.01606856072879</v>
      </c>
      <c r="I177" s="17">
        <f t="shared" si="73"/>
        <v>34.328492841737244</v>
      </c>
      <c r="J177" s="17">
        <v>22</v>
      </c>
      <c r="K177" s="17">
        <v>22</v>
      </c>
      <c r="L177" s="17">
        <v>32</v>
      </c>
      <c r="M177" s="44">
        <f>SUMPRODUCT(H177:L177,'Fisico SPOT MAT'!H177:L177)*24</f>
        <v>6205705.3904208066</v>
      </c>
      <c r="N177" s="19">
        <f>+'Fisico SPOT MAT'!AG177</f>
        <v>16.308955682305083</v>
      </c>
      <c r="O177" s="19">
        <f t="shared" si="37"/>
        <v>13.502673796791443</v>
      </c>
      <c r="P177" s="19">
        <v>6</v>
      </c>
      <c r="Q177" s="19">
        <v>6</v>
      </c>
      <c r="R177" s="19">
        <v>0</v>
      </c>
      <c r="S177" s="44">
        <f>SUMPRODUCT(N177:R177,'Fisico SPOT MAT'!N177:R177)*E177</f>
        <v>1411106.3073101598</v>
      </c>
      <c r="T177" s="17"/>
      <c r="U177" s="17">
        <v>18</v>
      </c>
      <c r="V177" s="17">
        <v>60</v>
      </c>
      <c r="W177" s="28">
        <f>SUMPRODUCT(T177:V177,'Fisico SPOT MAT'!T177:V177)*24</f>
        <v>1975325.0040000002</v>
      </c>
      <c r="X177" s="19">
        <v>0</v>
      </c>
      <c r="Y177" s="19">
        <v>5</v>
      </c>
      <c r="Z177" s="19">
        <v>0</v>
      </c>
      <c r="AA177" s="28">
        <f>SUMPRODUCT(X177:Z177,'Fisico SPOT MAT'!X177:Z177)*E177</f>
        <v>15450</v>
      </c>
      <c r="AC177" s="115"/>
      <c r="AD177" s="41">
        <v>37.13214853464055</v>
      </c>
      <c r="AE177" s="42">
        <v>31.444572815649007</v>
      </c>
      <c r="AF177">
        <v>5050</v>
      </c>
      <c r="AG177" s="74">
        <f t="shared" si="75"/>
        <v>2.0339200260882371</v>
      </c>
      <c r="AH177">
        <v>0</v>
      </c>
      <c r="AI177" s="41">
        <v>0.85</v>
      </c>
      <c r="AJ177">
        <v>374</v>
      </c>
    </row>
    <row r="178" spans="1:36" x14ac:dyDescent="0.25">
      <c r="A178" s="3">
        <f>+'Mono ASIG'!A178</f>
        <v>1382.7578000000001</v>
      </c>
      <c r="B178" s="3">
        <f>+'Mono ASIG'!B178</f>
        <v>1367.2360000000006</v>
      </c>
      <c r="C178" s="1">
        <f>+'Mono ASIG'!C178</f>
        <v>2026</v>
      </c>
      <c r="D178" s="1">
        <f t="shared" si="71"/>
        <v>3</v>
      </c>
      <c r="E178" s="1">
        <f>+'Fisico SPOT MAT'!E178</f>
        <v>4</v>
      </c>
      <c r="F178" s="1" t="str">
        <f>+'Mono ASIG'!F178</f>
        <v>dom</v>
      </c>
      <c r="G178" s="56">
        <f>+'Mono ASIG'!G178</f>
        <v>46089</v>
      </c>
      <c r="H178" s="17">
        <f t="shared" si="72"/>
        <v>39.970925784575989</v>
      </c>
      <c r="I178" s="17">
        <f t="shared" si="73"/>
        <v>34.585548406781434</v>
      </c>
      <c r="J178" s="17">
        <v>22</v>
      </c>
      <c r="K178" s="17">
        <v>22</v>
      </c>
      <c r="L178" s="17">
        <v>32</v>
      </c>
      <c r="M178" s="44">
        <f>SUMPRODUCT(H178:L178,'Fisico SPOT MAT'!H178:L178)*24</f>
        <v>4791774.6348449634</v>
      </c>
      <c r="N178" s="19">
        <f>+'Fisico SPOT MAT'!AG178</f>
        <v>16.319884746427096</v>
      </c>
      <c r="O178" s="19">
        <f t="shared" si="37"/>
        <v>13.502673796791443</v>
      </c>
      <c r="P178" s="19">
        <v>6</v>
      </c>
      <c r="Q178" s="19">
        <v>6</v>
      </c>
      <c r="R178" s="19">
        <v>0</v>
      </c>
      <c r="S178" s="44">
        <f>SUMPRODUCT(N178:R178,'Fisico SPOT MAT'!N178:R178)*E178</f>
        <v>947009.43562923337</v>
      </c>
      <c r="T178" s="17"/>
      <c r="U178" s="17">
        <v>18</v>
      </c>
      <c r="V178" s="17">
        <v>60</v>
      </c>
      <c r="W178" s="28">
        <f>SUMPRODUCT(T178:V178,'Fisico SPOT MAT'!T178:V178)*24</f>
        <v>2316945.1440000003</v>
      </c>
      <c r="X178" s="19">
        <v>0</v>
      </c>
      <c r="Y178" s="19">
        <v>5</v>
      </c>
      <c r="Z178" s="19">
        <v>0</v>
      </c>
      <c r="AA178" s="28">
        <f>SUMPRODUCT(X178:Z178,'Fisico SPOT MAT'!X178:Z178)*E178</f>
        <v>10300</v>
      </c>
      <c r="AC178" s="115"/>
      <c r="AD178" s="41">
        <v>37.089860219743315</v>
      </c>
      <c r="AE178" s="42">
        <v>31.70448284194876</v>
      </c>
      <c r="AF178">
        <v>5050</v>
      </c>
      <c r="AG178" s="74">
        <f t="shared" si="75"/>
        <v>2.0310655648326739</v>
      </c>
      <c r="AH178">
        <v>0</v>
      </c>
      <c r="AI178" s="41">
        <v>0.85</v>
      </c>
      <c r="AJ178">
        <v>374</v>
      </c>
    </row>
    <row r="179" spans="1:36" x14ac:dyDescent="0.25">
      <c r="A179" s="3">
        <f>+'Mono ASIG'!A179</f>
        <v>1382.7578000000001</v>
      </c>
      <c r="B179" s="3">
        <f>+'Mono ASIG'!B179</f>
        <v>1367.2360000000006</v>
      </c>
      <c r="C179" s="1">
        <f>+'Mono ASIG'!C179</f>
        <v>2026</v>
      </c>
      <c r="D179" s="1">
        <f t="shared" si="71"/>
        <v>3</v>
      </c>
      <c r="E179" s="1">
        <f>+'Fisico SPOT MAT'!E179</f>
        <v>16</v>
      </c>
      <c r="F179" s="1" t="str">
        <f>+'Mono ASIG'!F179</f>
        <v>lun</v>
      </c>
      <c r="G179" s="56">
        <f>+'Mono ASIG'!G179</f>
        <v>46090</v>
      </c>
      <c r="H179" s="17">
        <f t="shared" si="72"/>
        <v>39.666460853391492</v>
      </c>
      <c r="I179" s="17">
        <f t="shared" si="73"/>
        <v>34.086624503012011</v>
      </c>
      <c r="J179" s="17">
        <v>22</v>
      </c>
      <c r="K179" s="17">
        <v>22</v>
      </c>
      <c r="L179" s="17">
        <v>32</v>
      </c>
      <c r="M179" s="44">
        <f>SUMPRODUCT(H179:L179,'Fisico SPOT MAT'!H179:L179)*24</f>
        <v>6171308.1349139148</v>
      </c>
      <c r="N179" s="19">
        <f>+'Fisico SPOT MAT'!AG179</f>
        <v>16.292454426600102</v>
      </c>
      <c r="O179" s="19">
        <f t="shared" si="37"/>
        <v>13.502673796791443</v>
      </c>
      <c r="P179" s="19">
        <v>6</v>
      </c>
      <c r="Q179" s="19">
        <v>6</v>
      </c>
      <c r="R179" s="19">
        <v>0</v>
      </c>
      <c r="S179" s="44">
        <f>SUMPRODUCT(N179:R179,'Fisico SPOT MAT'!N179:R179)*E179</f>
        <v>3724789.2807771815</v>
      </c>
      <c r="T179" s="17"/>
      <c r="U179" s="17">
        <v>18</v>
      </c>
      <c r="V179" s="17">
        <v>60</v>
      </c>
      <c r="W179" s="28">
        <f>SUMPRODUCT(T179:V179,'Fisico SPOT MAT'!T179:V179)*24</f>
        <v>2242300.1099999994</v>
      </c>
      <c r="X179" s="19">
        <v>0</v>
      </c>
      <c r="Y179" s="19">
        <v>5</v>
      </c>
      <c r="Z179" s="19">
        <v>0</v>
      </c>
      <c r="AA179" s="28">
        <f>SUMPRODUCT(X179:Z179,'Fisico SPOT MAT'!X179:Z179)*E179</f>
        <v>36177.766666666663</v>
      </c>
      <c r="AC179" s="115"/>
      <c r="AD179" s="41">
        <v>36.804647169453389</v>
      </c>
      <c r="AE179" s="42">
        <v>31.224810819073905</v>
      </c>
      <c r="AF179">
        <v>5050</v>
      </c>
      <c r="AG179" s="74">
        <f t="shared" si="75"/>
        <v>2.011813683938104</v>
      </c>
      <c r="AH179">
        <v>0</v>
      </c>
      <c r="AI179" s="41">
        <v>0.85</v>
      </c>
      <c r="AJ179">
        <v>374</v>
      </c>
    </row>
    <row r="180" spans="1:36" x14ac:dyDescent="0.25">
      <c r="A180" s="3">
        <f>+'Mono ASIG'!A180</f>
        <v>1382.7578000000001</v>
      </c>
      <c r="B180" s="3">
        <f>+'Mono ASIG'!B180</f>
        <v>1367.2360000000006</v>
      </c>
      <c r="C180" s="1">
        <f>+'Mono ASIG'!C180</f>
        <v>2026</v>
      </c>
      <c r="D180" s="1">
        <f t="shared" si="71"/>
        <v>3</v>
      </c>
      <c r="E180" s="1">
        <f>+'Fisico SPOT MAT'!E180</f>
        <v>16</v>
      </c>
      <c r="F180" s="1" t="str">
        <f>+'Mono ASIG'!F180</f>
        <v>mar</v>
      </c>
      <c r="G180" s="56">
        <f>+'Mono ASIG'!G180</f>
        <v>46091</v>
      </c>
      <c r="H180" s="17">
        <f t="shared" si="72"/>
        <v>40.645529315893434</v>
      </c>
      <c r="I180" s="17">
        <f t="shared" si="73"/>
        <v>34.357747628235757</v>
      </c>
      <c r="J180" s="17">
        <v>22</v>
      </c>
      <c r="K180" s="17">
        <v>22</v>
      </c>
      <c r="L180" s="17">
        <v>32</v>
      </c>
      <c r="M180" s="44">
        <f>SUMPRODUCT(H180:L180,'Fisico SPOT MAT'!H180:L180)*24</f>
        <v>6989779.407222243</v>
      </c>
      <c r="N180" s="19">
        <f>+'Fisico SPOT MAT'!AG180</f>
        <v>16.294496237039862</v>
      </c>
      <c r="O180" s="19">
        <f t="shared" ref="O180:O242" si="76">AF180/AJ180</f>
        <v>13.502673796791443</v>
      </c>
      <c r="P180" s="19">
        <v>6</v>
      </c>
      <c r="Q180" s="19">
        <v>6</v>
      </c>
      <c r="R180" s="19">
        <v>0</v>
      </c>
      <c r="S180" s="44">
        <f>SUMPRODUCT(N180:R180,'Fisico SPOT MAT'!N180:R180)*E180</f>
        <v>3732021.5185026745</v>
      </c>
      <c r="T180" s="17"/>
      <c r="U180" s="17">
        <v>18</v>
      </c>
      <c r="V180" s="17">
        <v>60</v>
      </c>
      <c r="W180" s="28">
        <f>SUMPRODUCT(T180:V180,'Fisico SPOT MAT'!T180:V180)*24</f>
        <v>1741793.4959999998</v>
      </c>
      <c r="X180" s="19">
        <v>0</v>
      </c>
      <c r="Y180" s="19">
        <v>5</v>
      </c>
      <c r="Z180" s="19">
        <v>0</v>
      </c>
      <c r="AA180" s="28">
        <f>SUMPRODUCT(X180:Z180,'Fisico SPOT MAT'!X180:Z180)*E180</f>
        <v>33200</v>
      </c>
      <c r="AC180" s="115"/>
      <c r="AD180" s="41">
        <v>37.721807321680032</v>
      </c>
      <c r="AE180" s="42">
        <v>31.434025634022355</v>
      </c>
      <c r="AF180">
        <v>5050</v>
      </c>
      <c r="AG180" s="74">
        <f t="shared" si="75"/>
        <v>2.0737219942134022</v>
      </c>
      <c r="AH180">
        <v>0</v>
      </c>
      <c r="AI180" s="41">
        <v>0.85</v>
      </c>
      <c r="AJ180">
        <v>374</v>
      </c>
    </row>
    <row r="181" spans="1:36" x14ac:dyDescent="0.25">
      <c r="A181" s="3">
        <f>+'Mono ASIG'!A181</f>
        <v>1382.7578000000001</v>
      </c>
      <c r="B181" s="3">
        <f>+'Mono ASIG'!B181</f>
        <v>1367.2360000000006</v>
      </c>
      <c r="C181" s="1">
        <f>+'Mono ASIG'!C181</f>
        <v>2026</v>
      </c>
      <c r="D181" s="1">
        <f t="shared" si="71"/>
        <v>3</v>
      </c>
      <c r="E181" s="1">
        <f>+'Fisico SPOT MAT'!E181</f>
        <v>16</v>
      </c>
      <c r="F181" s="1" t="str">
        <f>+'Mono ASIG'!F181</f>
        <v>mié</v>
      </c>
      <c r="G181" s="56">
        <f>+'Mono ASIG'!G181</f>
        <v>46092</v>
      </c>
      <c r="H181" s="17">
        <f t="shared" si="72"/>
        <v>40.34124985552036</v>
      </c>
      <c r="I181" s="17">
        <f t="shared" si="73"/>
        <v>34.388266167371825</v>
      </c>
      <c r="J181" s="17">
        <v>22</v>
      </c>
      <c r="K181" s="17">
        <v>22</v>
      </c>
      <c r="L181" s="17">
        <v>32</v>
      </c>
      <c r="M181" s="44">
        <f>SUMPRODUCT(H181:L181,'Fisico SPOT MAT'!H181:L181)*24</f>
        <v>6751122.6263089003</v>
      </c>
      <c r="N181" s="19">
        <f>+'Fisico SPOT MAT'!AG181</f>
        <v>16.293807741846056</v>
      </c>
      <c r="O181" s="19">
        <f t="shared" si="76"/>
        <v>13.502673796791443</v>
      </c>
      <c r="P181" s="19">
        <v>6</v>
      </c>
      <c r="Q181" s="19">
        <v>6</v>
      </c>
      <c r="R181" s="19">
        <v>0</v>
      </c>
      <c r="S181" s="44">
        <f>SUMPRODUCT(N181:R181,'Fisico SPOT MAT'!N181:R181)*E181</f>
        <v>3730539.6677789651</v>
      </c>
      <c r="T181" s="17"/>
      <c r="U181" s="17">
        <v>18</v>
      </c>
      <c r="V181" s="17">
        <v>60</v>
      </c>
      <c r="W181" s="28">
        <f>SUMPRODUCT(T181:V181,'Fisico SPOT MAT'!T181:V181)*24</f>
        <v>2036056.9740000004</v>
      </c>
      <c r="X181" s="19">
        <v>0</v>
      </c>
      <c r="Y181" s="19">
        <v>5</v>
      </c>
      <c r="Z181" s="19">
        <v>0</v>
      </c>
      <c r="AA181" s="28">
        <f>SUMPRODUCT(X181:Z181,'Fisico SPOT MAT'!X181:Z181)*E181</f>
        <v>38122.233333333337</v>
      </c>
      <c r="AC181" s="115"/>
      <c r="AD181" s="41">
        <v>37.436768014538977</v>
      </c>
      <c r="AE181" s="42">
        <v>31.483784326390445</v>
      </c>
      <c r="AF181">
        <v>5050</v>
      </c>
      <c r="AG181" s="74">
        <f t="shared" si="75"/>
        <v>2.054481840981381</v>
      </c>
      <c r="AH181">
        <v>0</v>
      </c>
      <c r="AI181" s="41">
        <v>0.85</v>
      </c>
      <c r="AJ181">
        <v>374</v>
      </c>
    </row>
    <row r="182" spans="1:36" x14ac:dyDescent="0.25">
      <c r="A182" s="3">
        <f>+'Mono ASIG'!A182</f>
        <v>1382.7578000000001</v>
      </c>
      <c r="B182" s="3">
        <f>+'Mono ASIG'!B182</f>
        <v>1367.2360000000006</v>
      </c>
      <c r="C182" s="1">
        <f>+'Mono ASIG'!C182</f>
        <v>2026</v>
      </c>
      <c r="D182" s="1">
        <f t="shared" si="71"/>
        <v>3</v>
      </c>
      <c r="E182" s="1">
        <f>+'Fisico SPOT MAT'!E182</f>
        <v>16</v>
      </c>
      <c r="F182" s="1" t="str">
        <f>+'Mono ASIG'!F182</f>
        <v>jue</v>
      </c>
      <c r="G182" s="56">
        <f>+'Mono ASIG'!G182</f>
        <v>46093</v>
      </c>
      <c r="H182" s="17">
        <f t="shared" si="72"/>
        <v>40.260935532328503</v>
      </c>
      <c r="I182" s="17">
        <f t="shared" si="73"/>
        <v>34.935529273571753</v>
      </c>
      <c r="J182" s="17">
        <v>22</v>
      </c>
      <c r="K182" s="17">
        <v>22</v>
      </c>
      <c r="L182" s="17">
        <v>32</v>
      </c>
      <c r="M182" s="44">
        <f>SUMPRODUCT(H182:L182,'Fisico SPOT MAT'!H182:L182)*24</f>
        <v>6776101.0641687606</v>
      </c>
      <c r="N182" s="19">
        <f>+'Fisico SPOT MAT'!AG182</f>
        <v>16.298428714456591</v>
      </c>
      <c r="O182" s="19">
        <f t="shared" si="76"/>
        <v>13.502673796791443</v>
      </c>
      <c r="P182" s="19">
        <v>6</v>
      </c>
      <c r="Q182" s="19">
        <v>6</v>
      </c>
      <c r="R182" s="19">
        <v>0</v>
      </c>
      <c r="S182" s="44">
        <f>SUMPRODUCT(N182:R182,'Fisico SPOT MAT'!N182:R182)*E182</f>
        <v>3716353.1998859174</v>
      </c>
      <c r="T182" s="17"/>
      <c r="U182" s="17">
        <v>18</v>
      </c>
      <c r="V182" s="17">
        <v>60</v>
      </c>
      <c r="W182" s="28">
        <f>SUMPRODUCT(T182:V182,'Fisico SPOT MAT'!T182:V182)*24</f>
        <v>1880995.3679999998</v>
      </c>
      <c r="X182" s="19">
        <v>0</v>
      </c>
      <c r="Y182" s="19">
        <v>5</v>
      </c>
      <c r="Z182" s="19">
        <v>0</v>
      </c>
      <c r="AA182" s="28">
        <f>SUMPRODUCT(X182:Z182,'Fisico SPOT MAT'!X182:Z182)*E182</f>
        <v>41200</v>
      </c>
      <c r="AC182" s="115"/>
      <c r="AD182" s="41">
        <v>37.361532114593444</v>
      </c>
      <c r="AE182" s="42">
        <v>32.036125855836694</v>
      </c>
      <c r="AF182">
        <v>5050</v>
      </c>
      <c r="AG182" s="74">
        <f t="shared" si="75"/>
        <v>2.0494034177350575</v>
      </c>
      <c r="AH182">
        <v>0</v>
      </c>
      <c r="AI182" s="41">
        <v>0.85</v>
      </c>
      <c r="AJ182">
        <v>374</v>
      </c>
    </row>
    <row r="183" spans="1:36" x14ac:dyDescent="0.25">
      <c r="A183" s="3">
        <f>+'Mono ASIG'!A183</f>
        <v>1382.7578000000001</v>
      </c>
      <c r="B183" s="3">
        <f>+'Mono ASIG'!B183</f>
        <v>1367.2360000000006</v>
      </c>
      <c r="C183" s="1">
        <f>+'Mono ASIG'!C183</f>
        <v>2026</v>
      </c>
      <c r="D183" s="1">
        <f t="shared" si="71"/>
        <v>3</v>
      </c>
      <c r="E183" s="1">
        <f>+'Fisico SPOT MAT'!E183</f>
        <v>16</v>
      </c>
      <c r="F183" s="1" t="str">
        <f>+'Mono ASIG'!F183</f>
        <v>vie</v>
      </c>
      <c r="G183" s="56">
        <f>+'Mono ASIG'!G183</f>
        <v>46094</v>
      </c>
      <c r="H183" s="17">
        <f t="shared" si="72"/>
        <v>40.269048563063798</v>
      </c>
      <c r="I183" s="17">
        <f t="shared" si="73"/>
        <v>34.368604463377302</v>
      </c>
      <c r="J183" s="17">
        <v>22</v>
      </c>
      <c r="K183" s="17">
        <v>22</v>
      </c>
      <c r="L183" s="17">
        <v>32</v>
      </c>
      <c r="M183" s="44">
        <f>SUMPRODUCT(H183:L183,'Fisico SPOT MAT'!H183:L183)*24</f>
        <v>7222876.8205111828</v>
      </c>
      <c r="N183" s="19">
        <f>+'Fisico SPOT MAT'!AG183</f>
        <v>16.301645658180711</v>
      </c>
      <c r="O183" s="19">
        <f t="shared" si="76"/>
        <v>13.502673796791443</v>
      </c>
      <c r="P183" s="19">
        <v>6</v>
      </c>
      <c r="Q183" s="19">
        <v>6</v>
      </c>
      <c r="R183" s="19">
        <v>0</v>
      </c>
      <c r="S183" s="44">
        <f>SUMPRODUCT(N183:R183,'Fisico SPOT MAT'!N183:R183)*E183</f>
        <v>3743812.4973475914</v>
      </c>
      <c r="T183" s="17"/>
      <c r="U183" s="17">
        <v>18</v>
      </c>
      <c r="V183" s="17">
        <v>60</v>
      </c>
      <c r="W183" s="28">
        <f>SUMPRODUCT(T183:V183,'Fisico SPOT MAT'!T183:V183)*24</f>
        <v>1847000.5560000006</v>
      </c>
      <c r="X183" s="19">
        <v>0</v>
      </c>
      <c r="Y183" s="19">
        <v>5</v>
      </c>
      <c r="Z183" s="19">
        <v>0</v>
      </c>
      <c r="AA183" s="28">
        <f>SUMPRODUCT(X183:Z183,'Fisico SPOT MAT'!X183:Z183)*E183</f>
        <v>41200</v>
      </c>
      <c r="AC183" s="115"/>
      <c r="AD183" s="41">
        <v>37.369132143385286</v>
      </c>
      <c r="AE183" s="42">
        <v>31.468688043698794</v>
      </c>
      <c r="AF183">
        <v>5050</v>
      </c>
      <c r="AG183" s="74">
        <f t="shared" si="75"/>
        <v>2.0499164196785071</v>
      </c>
      <c r="AH183">
        <v>0</v>
      </c>
      <c r="AI183" s="41">
        <v>0.85</v>
      </c>
      <c r="AJ183">
        <v>374</v>
      </c>
    </row>
    <row r="184" spans="1:36" x14ac:dyDescent="0.25">
      <c r="A184" s="3">
        <f>+'Mono ASIG'!A184</f>
        <v>1382.7578000000001</v>
      </c>
      <c r="B184" s="3">
        <f>+'Mono ASIG'!B184</f>
        <v>1367.2360000000006</v>
      </c>
      <c r="C184" s="1">
        <f>+'Mono ASIG'!C184</f>
        <v>2026</v>
      </c>
      <c r="D184" s="1">
        <f t="shared" si="71"/>
        <v>3</v>
      </c>
      <c r="E184" s="1">
        <f>+'Fisico SPOT MAT'!E184</f>
        <v>6</v>
      </c>
      <c r="F184" s="1" t="str">
        <f>+'Mono ASIG'!F184</f>
        <v>sáb</v>
      </c>
      <c r="G184" s="56">
        <f>+'Mono ASIG'!G184</f>
        <v>46095</v>
      </c>
      <c r="H184" s="17">
        <f t="shared" si="72"/>
        <v>40.147354969527385</v>
      </c>
      <c r="I184" s="17">
        <f t="shared" si="73"/>
        <v>33.785109382600545</v>
      </c>
      <c r="J184" s="17">
        <v>22</v>
      </c>
      <c r="K184" s="17">
        <v>22</v>
      </c>
      <c r="L184" s="17">
        <v>32</v>
      </c>
      <c r="M184" s="44">
        <f>SUMPRODUCT(H184:L184,'Fisico SPOT MAT'!H184:L184)*24</f>
        <v>7074591.0720912777</v>
      </c>
      <c r="N184" s="19">
        <f>+'Fisico SPOT MAT'!AG184</f>
        <v>16.251141191939915</v>
      </c>
      <c r="O184" s="19">
        <f t="shared" si="76"/>
        <v>13.502673796791443</v>
      </c>
      <c r="P184" s="19">
        <v>6</v>
      </c>
      <c r="Q184" s="19">
        <v>6</v>
      </c>
      <c r="R184" s="19">
        <v>0</v>
      </c>
      <c r="S184" s="44">
        <f>SUMPRODUCT(N184:R184,'Fisico SPOT MAT'!N184:R184)*E184</f>
        <v>1364000.7041991977</v>
      </c>
      <c r="T184" s="17"/>
      <c r="U184" s="17">
        <v>18</v>
      </c>
      <c r="V184" s="17">
        <v>60</v>
      </c>
      <c r="W184" s="28">
        <f>SUMPRODUCT(T184:V184,'Fisico SPOT MAT'!T184:V184)*24</f>
        <v>1940288.7960000001</v>
      </c>
      <c r="X184" s="19">
        <v>0</v>
      </c>
      <c r="Y184" s="19">
        <v>5</v>
      </c>
      <c r="Z184" s="19">
        <v>0</v>
      </c>
      <c r="AA184" s="28">
        <f>SUMPRODUCT(X184:Z184,'Fisico SPOT MAT'!X184:Z184)*E184</f>
        <v>15450</v>
      </c>
      <c r="AC184" s="115"/>
      <c r="AD184" s="41">
        <v>37.25513346091558</v>
      </c>
      <c r="AE184" s="42">
        <v>30.892887873988741</v>
      </c>
      <c r="AF184">
        <v>5050</v>
      </c>
      <c r="AG184" s="74">
        <f t="shared" si="75"/>
        <v>2.0422215086118016</v>
      </c>
      <c r="AH184">
        <v>0</v>
      </c>
      <c r="AI184" s="41">
        <v>0.85</v>
      </c>
      <c r="AJ184">
        <v>374</v>
      </c>
    </row>
    <row r="185" spans="1:36" x14ac:dyDescent="0.25">
      <c r="A185" s="3">
        <f>+'Mono ASIG'!A185</f>
        <v>1382.7578000000001</v>
      </c>
      <c r="B185" s="3">
        <f>+'Mono ASIG'!B185</f>
        <v>1367.2360000000006</v>
      </c>
      <c r="C185" s="1">
        <f>+'Mono ASIG'!C185</f>
        <v>2026</v>
      </c>
      <c r="D185" s="1">
        <f t="shared" si="71"/>
        <v>3</v>
      </c>
      <c r="E185" s="1">
        <f>+'Fisico SPOT MAT'!E185</f>
        <v>4</v>
      </c>
      <c r="F185" s="1" t="str">
        <f>+'Mono ASIG'!F185</f>
        <v>dom</v>
      </c>
      <c r="G185" s="56">
        <f>+'Mono ASIG'!G185</f>
        <v>46096</v>
      </c>
      <c r="H185" s="17">
        <f t="shared" si="72"/>
        <v>40.876531483819974</v>
      </c>
      <c r="I185" s="17">
        <f t="shared" si="73"/>
        <v>34.865647428115572</v>
      </c>
      <c r="J185" s="17">
        <v>22</v>
      </c>
      <c r="K185" s="17">
        <v>22</v>
      </c>
      <c r="L185" s="17">
        <v>32</v>
      </c>
      <c r="M185" s="44">
        <f>SUMPRODUCT(H185:L185,'Fisico SPOT MAT'!H185:L185)*24</f>
        <v>6265182.8479690654</v>
      </c>
      <c r="N185" s="19">
        <f>+'Fisico SPOT MAT'!AG185</f>
        <v>16.236378490322299</v>
      </c>
      <c r="O185" s="19">
        <f t="shared" si="76"/>
        <v>13.502673796791443</v>
      </c>
      <c r="P185" s="19">
        <v>6</v>
      </c>
      <c r="Q185" s="19">
        <v>6</v>
      </c>
      <c r="R185" s="19">
        <v>0</v>
      </c>
      <c r="S185" s="44">
        <f>SUMPRODUCT(N185:R185,'Fisico SPOT MAT'!N185:R185)*E185</f>
        <v>900396.43906060595</v>
      </c>
      <c r="T185" s="17"/>
      <c r="U185" s="17">
        <v>18</v>
      </c>
      <c r="V185" s="17">
        <v>60</v>
      </c>
      <c r="W185" s="28">
        <f>SUMPRODUCT(T185:V185,'Fisico SPOT MAT'!T185:V185)*24</f>
        <v>2605971.66</v>
      </c>
      <c r="X185" s="19">
        <v>0</v>
      </c>
      <c r="Y185" s="19">
        <v>5</v>
      </c>
      <c r="Z185" s="19">
        <v>0</v>
      </c>
      <c r="AA185" s="28">
        <f>SUMPRODUCT(X185:Z185,'Fisico SPOT MAT'!X185:Z185)*E185</f>
        <v>10300</v>
      </c>
      <c r="AC185" s="115"/>
      <c r="AD185" s="41">
        <v>37.938202795147518</v>
      </c>
      <c r="AE185" s="42">
        <v>31.927318739443116</v>
      </c>
      <c r="AF185">
        <v>5050</v>
      </c>
      <c r="AG185" s="74">
        <f t="shared" si="75"/>
        <v>2.0883286886724575</v>
      </c>
      <c r="AH185">
        <v>0</v>
      </c>
      <c r="AI185" s="41">
        <v>0.85</v>
      </c>
      <c r="AJ185">
        <v>374</v>
      </c>
    </row>
    <row r="186" spans="1:36" x14ac:dyDescent="0.25">
      <c r="A186" s="3">
        <f>+'Mono ASIG'!A186</f>
        <v>1382.7578000000001</v>
      </c>
      <c r="B186" s="3">
        <f>+'Mono ASIG'!B186</f>
        <v>1418.2779999999993</v>
      </c>
      <c r="C186" s="1">
        <f>+'Mono ASIG'!C186</f>
        <v>2026</v>
      </c>
      <c r="D186" s="1">
        <f t="shared" si="71"/>
        <v>3</v>
      </c>
      <c r="E186" s="1">
        <f>+'Fisico SPOT MAT'!E186</f>
        <v>16</v>
      </c>
      <c r="F186" s="1" t="str">
        <f>+'Mono ASIG'!F186</f>
        <v>lun</v>
      </c>
      <c r="G186" s="56">
        <f>+'Mono ASIG'!G186</f>
        <v>46097</v>
      </c>
      <c r="H186" s="17">
        <f t="shared" si="72"/>
        <v>51.677344745344506</v>
      </c>
      <c r="I186" s="17">
        <f t="shared" si="73"/>
        <v>34.825263233605661</v>
      </c>
      <c r="J186" s="17">
        <v>22</v>
      </c>
      <c r="K186" s="17">
        <v>22</v>
      </c>
      <c r="L186" s="17">
        <v>32</v>
      </c>
      <c r="M186" s="44">
        <f>SUMPRODUCT(H186:L186,'Fisico SPOT MAT'!H186:L186)*24</f>
        <v>9893563.6825205479</v>
      </c>
      <c r="N186" s="19">
        <f>+'Fisico SPOT MAT'!AG186</f>
        <v>16.225061472568367</v>
      </c>
      <c r="O186" s="19">
        <f t="shared" si="76"/>
        <v>13.502673796791443</v>
      </c>
      <c r="P186" s="19">
        <v>6</v>
      </c>
      <c r="Q186" s="19">
        <v>6</v>
      </c>
      <c r="R186" s="19">
        <v>0</v>
      </c>
      <c r="S186" s="44">
        <f>SUMPRODUCT(N186:R186,'Fisico SPOT MAT'!N186:R186)*E186</f>
        <v>3576997.9058680916</v>
      </c>
      <c r="T186" s="17"/>
      <c r="U186" s="17">
        <v>18</v>
      </c>
      <c r="V186" s="17">
        <v>60</v>
      </c>
      <c r="W186" s="28">
        <f>SUMPRODUCT(T186:V186,'Fisico SPOT MAT'!T186:V186)*24</f>
        <v>2039073.09</v>
      </c>
      <c r="X186" s="19">
        <v>0</v>
      </c>
      <c r="Y186" s="19">
        <v>5</v>
      </c>
      <c r="Z186" s="19">
        <v>0</v>
      </c>
      <c r="AA186" s="28">
        <f>SUMPRODUCT(X186:Z186,'Fisico SPOT MAT'!X186:Z186)*E186</f>
        <v>41200</v>
      </c>
      <c r="AC186" s="115"/>
      <c r="AD186" s="41">
        <v>48.056060651376583</v>
      </c>
      <c r="AE186" s="42">
        <v>31.203979139637742</v>
      </c>
      <c r="AF186">
        <v>5050</v>
      </c>
      <c r="AG186" s="74">
        <f t="shared" si="75"/>
        <v>2.7712840939679197</v>
      </c>
      <c r="AH186">
        <v>0</v>
      </c>
      <c r="AI186" s="41">
        <v>0.85</v>
      </c>
      <c r="AJ186">
        <v>374</v>
      </c>
    </row>
    <row r="187" spans="1:36" x14ac:dyDescent="0.25">
      <c r="A187" s="3">
        <f>+'Mono ASIG'!A187</f>
        <v>1382.7578000000001</v>
      </c>
      <c r="B187" s="3">
        <f>+'Mono ASIG'!B187</f>
        <v>1418.2779999999993</v>
      </c>
      <c r="C187" s="1">
        <f>+'Mono ASIG'!C187</f>
        <v>2026</v>
      </c>
      <c r="D187" s="1">
        <f t="shared" si="71"/>
        <v>3</v>
      </c>
      <c r="E187" s="1">
        <f>+'Fisico SPOT MAT'!E187</f>
        <v>16</v>
      </c>
      <c r="F187" s="1" t="str">
        <f>+'Mono ASIG'!F187</f>
        <v>mar</v>
      </c>
      <c r="G187" s="56">
        <f>+'Mono ASIG'!G187</f>
        <v>46098</v>
      </c>
      <c r="H187" s="17">
        <f t="shared" si="72"/>
        <v>49.204522220655463</v>
      </c>
      <c r="I187" s="17">
        <f t="shared" si="73"/>
        <v>34.92441472355474</v>
      </c>
      <c r="J187" s="17">
        <v>22</v>
      </c>
      <c r="K187" s="17">
        <v>22</v>
      </c>
      <c r="L187" s="17">
        <v>32</v>
      </c>
      <c r="M187" s="44">
        <f>SUMPRODUCT(H187:L187,'Fisico SPOT MAT'!H187:L187)*24</f>
        <v>9194125.875700552</v>
      </c>
      <c r="N187" s="19">
        <f>+'Fisico SPOT MAT'!AG187</f>
        <v>16.241194736872963</v>
      </c>
      <c r="O187" s="19">
        <f t="shared" si="76"/>
        <v>13.502673796791443</v>
      </c>
      <c r="P187" s="19">
        <v>6</v>
      </c>
      <c r="Q187" s="19">
        <v>6</v>
      </c>
      <c r="R187" s="19">
        <v>0</v>
      </c>
      <c r="S187" s="44">
        <f>SUMPRODUCT(N187:R187,'Fisico SPOT MAT'!N187:R187)*E187</f>
        <v>3612785.6845133696</v>
      </c>
      <c r="T187" s="17"/>
      <c r="U187" s="17">
        <v>18</v>
      </c>
      <c r="V187" s="17">
        <v>60</v>
      </c>
      <c r="W187" s="28">
        <f>SUMPRODUCT(T187:V187,'Fisico SPOT MAT'!T187:V187)*24</f>
        <v>2393136.642</v>
      </c>
      <c r="X187" s="19">
        <v>0</v>
      </c>
      <c r="Y187" s="19">
        <v>5</v>
      </c>
      <c r="Z187" s="19">
        <v>0</v>
      </c>
      <c r="AA187" s="28">
        <f>SUMPRODUCT(X187:Z187,'Fisico SPOT MAT'!X187:Z187)*E187</f>
        <v>41200</v>
      </c>
      <c r="AC187" s="115"/>
      <c r="AD187" s="41">
        <v>45.739599269934857</v>
      </c>
      <c r="AE187" s="42">
        <v>31.459491772834138</v>
      </c>
      <c r="AF187">
        <v>5050</v>
      </c>
      <c r="AG187" s="74">
        <f t="shared" si="75"/>
        <v>2.6149229507206031</v>
      </c>
      <c r="AH187">
        <v>0</v>
      </c>
      <c r="AI187" s="41">
        <v>0.85</v>
      </c>
      <c r="AJ187">
        <v>374</v>
      </c>
    </row>
    <row r="188" spans="1:36" x14ac:dyDescent="0.25">
      <c r="A188" s="3">
        <f>+'Mono ASIG'!A188</f>
        <v>1382.7578000000001</v>
      </c>
      <c r="B188" s="3">
        <f>+'Mono ASIG'!B188</f>
        <v>1418.2779999999993</v>
      </c>
      <c r="C188" s="1">
        <f>+'Mono ASIG'!C188</f>
        <v>2026</v>
      </c>
      <c r="D188" s="1">
        <f t="shared" si="71"/>
        <v>3</v>
      </c>
      <c r="E188" s="1">
        <f>+'Fisico SPOT MAT'!E188</f>
        <v>16</v>
      </c>
      <c r="F188" s="1" t="str">
        <f>+'Mono ASIG'!F188</f>
        <v>mié</v>
      </c>
      <c r="G188" s="56">
        <f>+'Mono ASIG'!G188</f>
        <v>46099</v>
      </c>
      <c r="H188" s="17">
        <f t="shared" si="72"/>
        <v>42.641648522238476</v>
      </c>
      <c r="I188" s="17">
        <f t="shared" si="73"/>
        <v>35.331373488477816</v>
      </c>
      <c r="J188" s="17">
        <v>22</v>
      </c>
      <c r="K188" s="17">
        <v>22</v>
      </c>
      <c r="L188" s="17">
        <v>32</v>
      </c>
      <c r="M188" s="44">
        <f>SUMPRODUCT(H188:L188,'Fisico SPOT MAT'!H188:L188)*24</f>
        <v>7387384.8882053504</v>
      </c>
      <c r="N188" s="19">
        <f>+'Fisico SPOT MAT'!AG188</f>
        <v>16.228481920238117</v>
      </c>
      <c r="O188" s="19">
        <f t="shared" si="76"/>
        <v>13.502673796791443</v>
      </c>
      <c r="P188" s="19">
        <v>6</v>
      </c>
      <c r="Q188" s="19">
        <v>6</v>
      </c>
      <c r="R188" s="19">
        <v>0</v>
      </c>
      <c r="S188" s="44">
        <f>SUMPRODUCT(N188:R188,'Fisico SPOT MAT'!N188:R188)*E188</f>
        <v>3595207.025326204</v>
      </c>
      <c r="T188" s="17"/>
      <c r="U188" s="17">
        <v>18</v>
      </c>
      <c r="V188" s="17">
        <v>60</v>
      </c>
      <c r="W188" s="28">
        <f>SUMPRODUCT(T188:V188,'Fisico SPOT MAT'!T188:V188)*24</f>
        <v>1904010.7920000006</v>
      </c>
      <c r="X188" s="19">
        <v>0</v>
      </c>
      <c r="Y188" s="19">
        <v>5</v>
      </c>
      <c r="Z188" s="19">
        <v>0</v>
      </c>
      <c r="AA188" s="28">
        <f>SUMPRODUCT(X188:Z188,'Fisico SPOT MAT'!X188:Z188)*E188</f>
        <v>41200</v>
      </c>
      <c r="AC188" s="115"/>
      <c r="AD188" s="41">
        <v>39.591708217553609</v>
      </c>
      <c r="AE188" s="42">
        <v>32.281433183792949</v>
      </c>
      <c r="AF188">
        <v>5050</v>
      </c>
      <c r="AG188" s="74">
        <f t="shared" ref="AG188:AG200" si="77">0.075*0.9*(AD188-7)</f>
        <v>2.1999403046848687</v>
      </c>
      <c r="AH188">
        <v>0</v>
      </c>
      <c r="AI188" s="41">
        <v>0.85</v>
      </c>
      <c r="AJ188">
        <v>374</v>
      </c>
    </row>
    <row r="189" spans="1:36" x14ac:dyDescent="0.25">
      <c r="A189" s="3">
        <f>+'Mono ASIG'!A189</f>
        <v>1382.7578000000001</v>
      </c>
      <c r="B189" s="3">
        <f>+'Mono ASIG'!B189</f>
        <v>1418.2779999999993</v>
      </c>
      <c r="C189" s="1">
        <f>+'Mono ASIG'!C189</f>
        <v>2026</v>
      </c>
      <c r="D189" s="1">
        <f t="shared" si="71"/>
        <v>3</v>
      </c>
      <c r="E189" s="1">
        <f>+'Fisico SPOT MAT'!E189</f>
        <v>16</v>
      </c>
      <c r="F189" s="1" t="str">
        <f>+'Mono ASIG'!F189</f>
        <v>jue</v>
      </c>
      <c r="G189" s="56">
        <f>+'Mono ASIG'!G189</f>
        <v>46100</v>
      </c>
      <c r="H189" s="17">
        <f t="shared" si="72"/>
        <v>42.562140009195829</v>
      </c>
      <c r="I189" s="17">
        <f t="shared" si="73"/>
        <v>35.002694207838829</v>
      </c>
      <c r="J189" s="17">
        <v>22</v>
      </c>
      <c r="K189" s="17">
        <v>22</v>
      </c>
      <c r="L189" s="17">
        <v>32</v>
      </c>
      <c r="M189" s="44">
        <f>SUMPRODUCT(H189:L189,'Fisico SPOT MAT'!H189:L189)*24</f>
        <v>7463683.8050529379</v>
      </c>
      <c r="N189" s="19">
        <f>+'Fisico SPOT MAT'!AG189</f>
        <v>16.262322753778385</v>
      </c>
      <c r="O189" s="19">
        <f t="shared" si="76"/>
        <v>13.502673796791443</v>
      </c>
      <c r="P189" s="19">
        <v>6</v>
      </c>
      <c r="Q189" s="19">
        <v>6</v>
      </c>
      <c r="R189" s="19">
        <v>0</v>
      </c>
      <c r="S189" s="44">
        <f>SUMPRODUCT(N189:R189,'Fisico SPOT MAT'!N189:R189)*E189</f>
        <v>3654565.4783386816</v>
      </c>
      <c r="T189" s="17"/>
      <c r="U189" s="17">
        <v>18</v>
      </c>
      <c r="V189" s="17">
        <v>60</v>
      </c>
      <c r="W189" s="28">
        <f>SUMPRODUCT(T189:V189,'Fisico SPOT MAT'!T189:V189)*24</f>
        <v>2666977.7939999998</v>
      </c>
      <c r="X189" s="19">
        <v>0</v>
      </c>
      <c r="Y189" s="19">
        <v>5</v>
      </c>
      <c r="Z189" s="19">
        <v>0</v>
      </c>
      <c r="AA189" s="28">
        <f>SUMPRODUCT(X189:Z189,'Fisico SPOT MAT'!X189:Z189)*E189</f>
        <v>41200</v>
      </c>
      <c r="AC189" s="115"/>
      <c r="AD189" s="41">
        <v>39.517227174890706</v>
      </c>
      <c r="AE189" s="42">
        <v>31.957781373533702</v>
      </c>
      <c r="AF189">
        <v>5050</v>
      </c>
      <c r="AG189" s="74">
        <f t="shared" si="77"/>
        <v>2.1949128343051227</v>
      </c>
      <c r="AH189">
        <v>0</v>
      </c>
      <c r="AI189" s="41">
        <v>0.85</v>
      </c>
      <c r="AJ189">
        <v>374</v>
      </c>
    </row>
    <row r="190" spans="1:36" x14ac:dyDescent="0.25">
      <c r="A190" s="3">
        <f>+'Mono ASIG'!A190</f>
        <v>1382.7578000000001</v>
      </c>
      <c r="B190" s="3">
        <f>+'Mono ASIG'!B190</f>
        <v>1418.2779999999993</v>
      </c>
      <c r="C190" s="1">
        <f>+'Mono ASIG'!C190</f>
        <v>2026</v>
      </c>
      <c r="D190" s="1">
        <f t="shared" si="71"/>
        <v>3</v>
      </c>
      <c r="E190" s="1">
        <f>+'Fisico SPOT MAT'!E190</f>
        <v>16</v>
      </c>
      <c r="F190" s="1" t="str">
        <f>+'Mono ASIG'!F190</f>
        <v>vie</v>
      </c>
      <c r="G190" s="56">
        <f>+'Mono ASIG'!G190</f>
        <v>46101</v>
      </c>
      <c r="H190" s="17">
        <f t="shared" si="72"/>
        <v>46.97883657416196</v>
      </c>
      <c r="I190" s="17">
        <f t="shared" si="73"/>
        <v>36.323798466669409</v>
      </c>
      <c r="J190" s="17">
        <v>22</v>
      </c>
      <c r="K190" s="17">
        <v>22</v>
      </c>
      <c r="L190" s="17">
        <v>32</v>
      </c>
      <c r="M190" s="44">
        <f>SUMPRODUCT(H190:L190,'Fisico SPOT MAT'!H190:L190)*24</f>
        <v>8182377.8091042191</v>
      </c>
      <c r="N190" s="19">
        <f>+'Fisico SPOT MAT'!AG190</f>
        <v>16.26379195493238</v>
      </c>
      <c r="O190" s="19">
        <f t="shared" si="76"/>
        <v>13.502673796791443</v>
      </c>
      <c r="P190" s="19">
        <v>6</v>
      </c>
      <c r="Q190" s="19">
        <v>6</v>
      </c>
      <c r="R190" s="19">
        <v>0</v>
      </c>
      <c r="S190" s="44">
        <f>SUMPRODUCT(N190:R190,'Fisico SPOT MAT'!N190:R190)*E190</f>
        <v>3578596.8809233513</v>
      </c>
      <c r="T190" s="17"/>
      <c r="U190" s="17">
        <v>18</v>
      </c>
      <c r="V190" s="17">
        <v>60</v>
      </c>
      <c r="W190" s="28">
        <f>SUMPRODUCT(T190:V190,'Fisico SPOT MAT'!T190:V190)*24</f>
        <v>1819025.5560000003</v>
      </c>
      <c r="X190" s="19">
        <v>0</v>
      </c>
      <c r="Y190" s="19">
        <v>5</v>
      </c>
      <c r="Z190" s="19">
        <v>0</v>
      </c>
      <c r="AA190" s="28">
        <f>SUMPRODUCT(X190:Z190,'Fisico SPOT MAT'!X190:Z190)*E190</f>
        <v>41200</v>
      </c>
      <c r="AC190" s="115"/>
      <c r="AD190" s="41">
        <v>43.654647844648203</v>
      </c>
      <c r="AE190" s="42">
        <v>32.999609737155652</v>
      </c>
      <c r="AF190">
        <v>5050</v>
      </c>
      <c r="AG190" s="74">
        <f t="shared" si="77"/>
        <v>2.4741887295137537</v>
      </c>
      <c r="AH190">
        <v>0</v>
      </c>
      <c r="AI190" s="41">
        <v>0.85</v>
      </c>
      <c r="AJ190">
        <v>374</v>
      </c>
    </row>
    <row r="191" spans="1:36" x14ac:dyDescent="0.25">
      <c r="A191" s="3">
        <f>+'Mono ASIG'!A191</f>
        <v>1382.7578000000001</v>
      </c>
      <c r="B191" s="3">
        <f>+'Mono ASIG'!B191</f>
        <v>1418.2779999999993</v>
      </c>
      <c r="C191" s="1">
        <f>+'Mono ASIG'!C191</f>
        <v>2026</v>
      </c>
      <c r="D191" s="1">
        <f t="shared" si="71"/>
        <v>3</v>
      </c>
      <c r="E191" s="1">
        <f>+'Fisico SPOT MAT'!E191</f>
        <v>6</v>
      </c>
      <c r="F191" s="1" t="str">
        <f>+'Mono ASIG'!F191</f>
        <v>sáb</v>
      </c>
      <c r="G191" s="56">
        <f>+'Mono ASIG'!G191</f>
        <v>46102</v>
      </c>
      <c r="H191" s="17">
        <f t="shared" si="72"/>
        <v>42.431221995013381</v>
      </c>
      <c r="I191" s="17">
        <f t="shared" si="73"/>
        <v>35.848042941190194</v>
      </c>
      <c r="J191" s="17">
        <v>22</v>
      </c>
      <c r="K191" s="17">
        <v>22</v>
      </c>
      <c r="L191" s="17">
        <v>32</v>
      </c>
      <c r="M191" s="44">
        <f>SUMPRODUCT(H191:L191,'Fisico SPOT MAT'!H191:L191)*24</f>
        <v>6674999.152633084</v>
      </c>
      <c r="N191" s="19">
        <f>+'Fisico SPOT MAT'!AG191</f>
        <v>16.2705569411821</v>
      </c>
      <c r="O191" s="19">
        <f t="shared" si="76"/>
        <v>13.502673796791443</v>
      </c>
      <c r="P191" s="19">
        <v>6</v>
      </c>
      <c r="Q191" s="19">
        <v>6</v>
      </c>
      <c r="R191" s="19">
        <v>0</v>
      </c>
      <c r="S191" s="44">
        <f>SUMPRODUCT(N191:R191,'Fisico SPOT MAT'!N191:R191)*E191</f>
        <v>1347530.8753208551</v>
      </c>
      <c r="T191" s="17"/>
      <c r="U191" s="17">
        <v>18</v>
      </c>
      <c r="V191" s="17">
        <v>60</v>
      </c>
      <c r="W191" s="28">
        <f>SUMPRODUCT(T191:V191,'Fisico SPOT MAT'!T191:V191)*24</f>
        <v>1927024.1820000003</v>
      </c>
      <c r="X191" s="19">
        <v>0</v>
      </c>
      <c r="Y191" s="19">
        <v>5</v>
      </c>
      <c r="Z191" s="19">
        <v>0</v>
      </c>
      <c r="AA191" s="28">
        <f>SUMPRODUCT(X191:Z191,'Fisico SPOT MAT'!X191:Z191)*E191</f>
        <v>15450</v>
      </c>
      <c r="AC191" s="115"/>
      <c r="AD191" s="41">
        <v>39.394587348958666</v>
      </c>
      <c r="AE191" s="42">
        <v>32.811408295135479</v>
      </c>
      <c r="AF191">
        <v>5050</v>
      </c>
      <c r="AG191" s="74">
        <f t="shared" si="77"/>
        <v>2.1866346460547099</v>
      </c>
      <c r="AH191">
        <v>0</v>
      </c>
      <c r="AI191" s="41">
        <v>0.85</v>
      </c>
      <c r="AJ191">
        <v>374</v>
      </c>
    </row>
    <row r="192" spans="1:36" x14ac:dyDescent="0.25">
      <c r="A192" s="3">
        <f>+'Mono ASIG'!A192</f>
        <v>1382.7578000000001</v>
      </c>
      <c r="B192" s="3">
        <f>+'Mono ASIG'!B192</f>
        <v>1418.2779999999993</v>
      </c>
      <c r="C192" s="1">
        <f>+'Mono ASIG'!C192</f>
        <v>2026</v>
      </c>
      <c r="D192" s="1">
        <f t="shared" si="71"/>
        <v>3</v>
      </c>
      <c r="E192" s="1">
        <f>+'Fisico SPOT MAT'!E192</f>
        <v>4</v>
      </c>
      <c r="F192" s="1" t="str">
        <f>+'Mono ASIG'!F192</f>
        <v>dom</v>
      </c>
      <c r="G192" s="56">
        <f>+'Mono ASIG'!G192</f>
        <v>46103</v>
      </c>
      <c r="H192" s="17">
        <f t="shared" si="72"/>
        <v>42.207309086043772</v>
      </c>
      <c r="I192" s="17">
        <f t="shared" si="73"/>
        <v>36.210785210511013</v>
      </c>
      <c r="J192" s="17">
        <v>22</v>
      </c>
      <c r="K192" s="17">
        <v>22</v>
      </c>
      <c r="L192" s="17">
        <v>32</v>
      </c>
      <c r="M192" s="44">
        <f>SUMPRODUCT(H192:L192,'Fisico SPOT MAT'!H192:L192)*24</f>
        <v>5970888.0333005041</v>
      </c>
      <c r="N192" s="19">
        <f>+'Fisico SPOT MAT'!AG192</f>
        <v>16.284427549644626</v>
      </c>
      <c r="O192" s="19">
        <f t="shared" si="76"/>
        <v>13.502673796791443</v>
      </c>
      <c r="P192" s="19">
        <v>6</v>
      </c>
      <c r="Q192" s="19">
        <v>6</v>
      </c>
      <c r="R192" s="19">
        <v>0</v>
      </c>
      <c r="S192" s="44">
        <f>SUMPRODUCT(N192:R192,'Fisico SPOT MAT'!N192:R192)*E192</f>
        <v>906497.65258912649</v>
      </c>
      <c r="T192" s="17"/>
      <c r="U192" s="17">
        <v>18</v>
      </c>
      <c r="V192" s="17">
        <v>60</v>
      </c>
      <c r="W192" s="28">
        <f>SUMPRODUCT(T192:V192,'Fisico SPOT MAT'!T192:V192)*24</f>
        <v>1744437.6720000003</v>
      </c>
      <c r="X192" s="19">
        <v>0</v>
      </c>
      <c r="Y192" s="19">
        <v>5</v>
      </c>
      <c r="Z192" s="19">
        <v>0</v>
      </c>
      <c r="AA192" s="28">
        <f>SUMPRODUCT(X192:Z192,'Fisico SPOT MAT'!X192:Z192)*E192</f>
        <v>10300</v>
      </c>
      <c r="AC192" s="115"/>
      <c r="AD192" s="41">
        <v>39.184832867488311</v>
      </c>
      <c r="AE192" s="42">
        <v>33.188308991955552</v>
      </c>
      <c r="AF192">
        <v>5050</v>
      </c>
      <c r="AG192" s="74">
        <f t="shared" si="77"/>
        <v>2.1724762185554609</v>
      </c>
      <c r="AH192">
        <v>0</v>
      </c>
      <c r="AI192" s="41">
        <v>0.85</v>
      </c>
      <c r="AJ192">
        <v>374</v>
      </c>
    </row>
    <row r="193" spans="1:36" x14ac:dyDescent="0.25">
      <c r="A193" s="3">
        <f>+'Mono ASIG'!A193</f>
        <v>1382.7578000000001</v>
      </c>
      <c r="B193" s="3">
        <f>+'Mono ASIG'!B193</f>
        <v>1418.2779999999993</v>
      </c>
      <c r="C193" s="1">
        <f>+'Mono ASIG'!C193</f>
        <v>2026</v>
      </c>
      <c r="D193" s="1">
        <f t="shared" si="71"/>
        <v>3</v>
      </c>
      <c r="E193" s="1">
        <f>+'Fisico SPOT MAT'!E193</f>
        <v>6</v>
      </c>
      <c r="F193" s="1" t="str">
        <f>+'Mono ASIG'!F193</f>
        <v>lun</v>
      </c>
      <c r="G193" s="56">
        <f>+'Mono ASIG'!G193</f>
        <v>46104</v>
      </c>
      <c r="H193" s="17">
        <f t="shared" si="72"/>
        <v>44.732963841528559</v>
      </c>
      <c r="I193" s="17">
        <f t="shared" si="73"/>
        <v>34.965660006815938</v>
      </c>
      <c r="J193" s="17">
        <v>22</v>
      </c>
      <c r="K193" s="17">
        <v>22</v>
      </c>
      <c r="L193" s="17">
        <v>32</v>
      </c>
      <c r="M193" s="44">
        <f>SUMPRODUCT(H193:L193,'Fisico SPOT MAT'!H193:L193)*24</f>
        <v>6225270.593046017</v>
      </c>
      <c r="N193" s="19">
        <f>+'Fisico SPOT MAT'!AG193</f>
        <v>16.201117287302083</v>
      </c>
      <c r="O193" s="19">
        <f t="shared" si="76"/>
        <v>13.502673796791443</v>
      </c>
      <c r="P193" s="19">
        <v>6</v>
      </c>
      <c r="Q193" s="19">
        <v>6</v>
      </c>
      <c r="R193" s="19">
        <v>0</v>
      </c>
      <c r="S193" s="44">
        <f>SUMPRODUCT(N193:R193,'Fisico SPOT MAT'!N193:R193)*E193</f>
        <v>1296612.412355616</v>
      </c>
      <c r="T193" s="17"/>
      <c r="U193" s="17">
        <v>18</v>
      </c>
      <c r="V193" s="17">
        <v>60</v>
      </c>
      <c r="W193" s="28">
        <f>SUMPRODUCT(T193:V193,'Fisico SPOT MAT'!T193:V193)*24</f>
        <v>2087486.196</v>
      </c>
      <c r="X193" s="19">
        <v>0</v>
      </c>
      <c r="Y193" s="19">
        <v>5</v>
      </c>
      <c r="Z193" s="19">
        <v>0</v>
      </c>
      <c r="AA193" s="28">
        <f>SUMPRODUCT(X193:Z193,'Fisico SPOT MAT'!X193:Z193)*E193</f>
        <v>15450</v>
      </c>
      <c r="AC193" s="115"/>
      <c r="AD193" s="41">
        <v>41.550785800026752</v>
      </c>
      <c r="AE193" s="42">
        <v>31.783481965314127</v>
      </c>
      <c r="AF193">
        <v>5050</v>
      </c>
      <c r="AG193" s="74">
        <f t="shared" si="77"/>
        <v>2.3321780415018059</v>
      </c>
      <c r="AH193">
        <v>0</v>
      </c>
      <c r="AI193" s="41">
        <v>0.85</v>
      </c>
      <c r="AJ193">
        <v>374</v>
      </c>
    </row>
    <row r="194" spans="1:36" x14ac:dyDescent="0.25">
      <c r="A194" s="3">
        <f>+'Mono ASIG'!A194</f>
        <v>1382.7578000000001</v>
      </c>
      <c r="B194" s="3">
        <f>+'Mono ASIG'!B194</f>
        <v>1418.2779999999993</v>
      </c>
      <c r="C194" s="1">
        <f>+'Mono ASIG'!C194</f>
        <v>2026</v>
      </c>
      <c r="D194" s="1">
        <f t="shared" si="71"/>
        <v>3</v>
      </c>
      <c r="E194" s="1">
        <f>+'Fisico SPOT MAT'!E194</f>
        <v>4</v>
      </c>
      <c r="F194" s="1" t="str">
        <f>+'Mono ASIG'!F194</f>
        <v>mar</v>
      </c>
      <c r="G194" s="56">
        <f>+'Mono ASIG'!G194</f>
        <v>46105</v>
      </c>
      <c r="H194" s="17">
        <f t="shared" si="72"/>
        <v>42.693712390729182</v>
      </c>
      <c r="I194" s="17">
        <f t="shared" si="73"/>
        <v>34.563991976119887</v>
      </c>
      <c r="J194" s="17">
        <v>22</v>
      </c>
      <c r="K194" s="17">
        <v>22</v>
      </c>
      <c r="L194" s="17">
        <v>32</v>
      </c>
      <c r="M194" s="44">
        <f>SUMPRODUCT(H194:L194,'Fisico SPOT MAT'!H194:L194)*24</f>
        <v>5683705.9560186202</v>
      </c>
      <c r="N194" s="19">
        <f>+'Fisico SPOT MAT'!AG194</f>
        <v>16.207656009800967</v>
      </c>
      <c r="O194" s="19">
        <f t="shared" si="76"/>
        <v>13.502673796791443</v>
      </c>
      <c r="P194" s="19">
        <v>6</v>
      </c>
      <c r="Q194" s="19">
        <v>6</v>
      </c>
      <c r="R194" s="19">
        <v>0</v>
      </c>
      <c r="S194" s="44">
        <f>SUMPRODUCT(N194:R194,'Fisico SPOT MAT'!N194:R194)*E194</f>
        <v>867889.76406773576</v>
      </c>
      <c r="T194" s="17"/>
      <c r="U194" s="17">
        <v>18</v>
      </c>
      <c r="V194" s="17">
        <v>60</v>
      </c>
      <c r="W194" s="28">
        <f>SUMPRODUCT(T194:V194,'Fisico SPOT MAT'!T194:V194)*24</f>
        <v>2371488.39</v>
      </c>
      <c r="X194" s="19">
        <v>0</v>
      </c>
      <c r="Y194" s="19">
        <v>5</v>
      </c>
      <c r="Z194" s="19">
        <v>0</v>
      </c>
      <c r="AA194" s="28">
        <f>SUMPRODUCT(X194:Z194,'Fisico SPOT MAT'!X194:Z194)*E194</f>
        <v>10300</v>
      </c>
      <c r="AC194" s="115"/>
      <c r="AD194" s="41">
        <v>39.640479991315388</v>
      </c>
      <c r="AE194" s="42">
        <v>31.5107595767061</v>
      </c>
      <c r="AF194">
        <v>5050</v>
      </c>
      <c r="AG194" s="74">
        <f t="shared" si="77"/>
        <v>2.203232399413789</v>
      </c>
      <c r="AH194">
        <v>0</v>
      </c>
      <c r="AI194" s="41">
        <v>0.85</v>
      </c>
      <c r="AJ194">
        <v>374</v>
      </c>
    </row>
    <row r="195" spans="1:36" x14ac:dyDescent="0.25">
      <c r="A195" s="3">
        <f>+'Mono ASIG'!A195</f>
        <v>1382.7578000000001</v>
      </c>
      <c r="B195" s="3">
        <f>+'Mono ASIG'!B195</f>
        <v>1418.2779999999993</v>
      </c>
      <c r="C195" s="1">
        <f>+'Mono ASIG'!C195</f>
        <v>2026</v>
      </c>
      <c r="D195" s="1">
        <f t="shared" si="71"/>
        <v>3</v>
      </c>
      <c r="E195" s="1">
        <f>+'Fisico SPOT MAT'!E195</f>
        <v>16</v>
      </c>
      <c r="F195" s="1" t="str">
        <f>+'Mono ASIG'!F195</f>
        <v>mié</v>
      </c>
      <c r="G195" s="56">
        <f>+'Mono ASIG'!G195</f>
        <v>46106</v>
      </c>
      <c r="H195" s="17">
        <f t="shared" si="72"/>
        <v>42.120604944781284</v>
      </c>
      <c r="I195" s="17">
        <f t="shared" si="73"/>
        <v>34.328613314345851</v>
      </c>
      <c r="J195" s="17">
        <v>22</v>
      </c>
      <c r="K195" s="17">
        <v>22</v>
      </c>
      <c r="L195" s="17">
        <v>32</v>
      </c>
      <c r="M195" s="44">
        <f>SUMPRODUCT(H195:L195,'Fisico SPOT MAT'!H195:L195)*24</f>
        <v>6134887.3420220967</v>
      </c>
      <c r="N195" s="19">
        <f>+'Fisico SPOT MAT'!AG195</f>
        <v>16.213290334382197</v>
      </c>
      <c r="O195" s="19">
        <f t="shared" si="76"/>
        <v>13.502673796791443</v>
      </c>
      <c r="P195" s="19">
        <v>6</v>
      </c>
      <c r="Q195" s="19">
        <v>6</v>
      </c>
      <c r="R195" s="19">
        <v>0</v>
      </c>
      <c r="S195" s="44">
        <f>SUMPRODUCT(N195:R195,'Fisico SPOT MAT'!N195:R195)*E195</f>
        <v>3548115.2894367208</v>
      </c>
      <c r="T195" s="17"/>
      <c r="U195" s="17">
        <v>18</v>
      </c>
      <c r="V195" s="17">
        <v>60</v>
      </c>
      <c r="W195" s="28">
        <f>SUMPRODUCT(T195:V195,'Fisico SPOT MAT'!T195:V195)*24</f>
        <v>1816619.2440000004</v>
      </c>
      <c r="X195" s="19">
        <v>0</v>
      </c>
      <c r="Y195" s="19">
        <v>5</v>
      </c>
      <c r="Z195" s="19">
        <v>0</v>
      </c>
      <c r="AA195" s="28">
        <f>SUMPRODUCT(X195:Z195,'Fisico SPOT MAT'!X195:Z195)*E195</f>
        <v>41200</v>
      </c>
      <c r="AC195" s="115"/>
      <c r="AD195" s="41">
        <v>39.103611189490664</v>
      </c>
      <c r="AE195" s="42">
        <v>31.311619559055227</v>
      </c>
      <c r="AF195">
        <v>5050</v>
      </c>
      <c r="AG195" s="74">
        <f t="shared" si="77"/>
        <v>2.16699375529062</v>
      </c>
      <c r="AH195">
        <v>0</v>
      </c>
      <c r="AI195" s="41">
        <v>0.85</v>
      </c>
      <c r="AJ195">
        <v>374</v>
      </c>
    </row>
    <row r="196" spans="1:36" x14ac:dyDescent="0.25">
      <c r="A196" s="3">
        <f>+'Mono ASIG'!A196</f>
        <v>1382.7578000000001</v>
      </c>
      <c r="B196" s="3">
        <f>+'Mono ASIG'!B196</f>
        <v>1418.2779999999993</v>
      </c>
      <c r="C196" s="1">
        <f>+'Mono ASIG'!C196</f>
        <v>2026</v>
      </c>
      <c r="D196" s="1">
        <f t="shared" si="71"/>
        <v>3</v>
      </c>
      <c r="E196" s="1">
        <f>+'Fisico SPOT MAT'!E196</f>
        <v>16</v>
      </c>
      <c r="F196" s="1" t="str">
        <f>+'Mono ASIG'!F196</f>
        <v>jue</v>
      </c>
      <c r="G196" s="56">
        <f>+'Mono ASIG'!G196</f>
        <v>46107</v>
      </c>
      <c r="H196" s="17">
        <f t="shared" si="72"/>
        <v>40.679384176192492</v>
      </c>
      <c r="I196" s="17">
        <f t="shared" si="73"/>
        <v>33.72710748069148</v>
      </c>
      <c r="J196" s="17">
        <v>22</v>
      </c>
      <c r="K196" s="17">
        <v>22</v>
      </c>
      <c r="L196" s="17">
        <v>32</v>
      </c>
      <c r="M196" s="44">
        <f>SUMPRODUCT(H196:L196,'Fisico SPOT MAT'!H196:L196)*24</f>
        <v>6554007.8941072579</v>
      </c>
      <c r="N196" s="19">
        <f>+'Fisico SPOT MAT'!AG196</f>
        <v>16.212198036230593</v>
      </c>
      <c r="O196" s="19">
        <f t="shared" si="76"/>
        <v>13.502673796791443</v>
      </c>
      <c r="P196" s="19">
        <v>6</v>
      </c>
      <c r="Q196" s="19">
        <v>6</v>
      </c>
      <c r="R196" s="19">
        <v>0</v>
      </c>
      <c r="S196" s="44">
        <f>SUMPRODUCT(N196:R196,'Fisico SPOT MAT'!N196:R196)*E196</f>
        <v>3564763.5319429589</v>
      </c>
      <c r="T196" s="17"/>
      <c r="U196" s="17">
        <v>18</v>
      </c>
      <c r="V196" s="17">
        <v>60</v>
      </c>
      <c r="W196" s="28">
        <f>SUMPRODUCT(T196:V196,'Fisico SPOT MAT'!T196:V196)*24</f>
        <v>1431132.5220000008</v>
      </c>
      <c r="X196" s="19">
        <v>0</v>
      </c>
      <c r="Y196" s="19">
        <v>5</v>
      </c>
      <c r="Z196" s="19">
        <v>0</v>
      </c>
      <c r="AA196" s="28">
        <f>SUMPRODUCT(X196:Z196,'Fisico SPOT MAT'!X196:Z196)*E196</f>
        <v>41200</v>
      </c>
      <c r="AC196" s="115"/>
      <c r="AD196" s="41">
        <v>37.75352147652692</v>
      </c>
      <c r="AE196" s="42">
        <v>30.801244781025908</v>
      </c>
      <c r="AF196">
        <v>5050</v>
      </c>
      <c r="AG196" s="74">
        <f t="shared" si="77"/>
        <v>2.0758626996655671</v>
      </c>
      <c r="AH196">
        <v>0</v>
      </c>
      <c r="AI196" s="41">
        <v>0.85</v>
      </c>
      <c r="AJ196">
        <v>374</v>
      </c>
    </row>
    <row r="197" spans="1:36" x14ac:dyDescent="0.25">
      <c r="A197" s="3">
        <f>+'Mono ASIG'!A197</f>
        <v>1382.7578000000001</v>
      </c>
      <c r="B197" s="3">
        <f>+'Mono ASIG'!B197</f>
        <v>1418.2779999999993</v>
      </c>
      <c r="C197" s="1">
        <f>+'Mono ASIG'!C197</f>
        <v>2026</v>
      </c>
      <c r="D197" s="1">
        <f t="shared" si="71"/>
        <v>3</v>
      </c>
      <c r="E197" s="1">
        <f>+'Fisico SPOT MAT'!E197</f>
        <v>16</v>
      </c>
      <c r="F197" s="1" t="str">
        <f>+'Mono ASIG'!F197</f>
        <v>vie</v>
      </c>
      <c r="G197" s="56">
        <f>+'Mono ASIG'!G197</f>
        <v>46108</v>
      </c>
      <c r="H197" s="17">
        <f t="shared" si="72"/>
        <v>41.803908917321245</v>
      </c>
      <c r="I197" s="17">
        <f t="shared" si="73"/>
        <v>34.375872289865526</v>
      </c>
      <c r="J197" s="17">
        <v>22</v>
      </c>
      <c r="K197" s="17">
        <v>22</v>
      </c>
      <c r="L197" s="17">
        <v>32</v>
      </c>
      <c r="M197" s="44">
        <f>SUMPRODUCT(H197:L197,'Fisico SPOT MAT'!H197:L197)*24</f>
        <v>7063643.9314443376</v>
      </c>
      <c r="N197" s="19">
        <f>+'Fisico SPOT MAT'!AG197</f>
        <v>16.205868858378746</v>
      </c>
      <c r="O197" s="19">
        <f t="shared" si="76"/>
        <v>13.502673796791443</v>
      </c>
      <c r="P197" s="19">
        <v>6</v>
      </c>
      <c r="Q197" s="19">
        <v>6</v>
      </c>
      <c r="R197" s="19">
        <v>0</v>
      </c>
      <c r="S197" s="44">
        <f>SUMPRODUCT(N197:R197,'Fisico SPOT MAT'!N197:R197)*E197</f>
        <v>3538714.3189340457</v>
      </c>
      <c r="T197" s="17"/>
      <c r="U197" s="17">
        <v>18</v>
      </c>
      <c r="V197" s="17">
        <v>60</v>
      </c>
      <c r="W197" s="28">
        <f>SUMPRODUCT(T197:V197,'Fisico SPOT MAT'!T197:V197)*24</f>
        <v>1619329.5419999999</v>
      </c>
      <c r="X197" s="19">
        <v>0</v>
      </c>
      <c r="Y197" s="19">
        <v>5</v>
      </c>
      <c r="Z197" s="19">
        <v>0</v>
      </c>
      <c r="AA197" s="28">
        <f>SUMPRODUCT(X197:Z197,'Fisico SPOT MAT'!X197:Z197)*E197</f>
        <v>41200</v>
      </c>
      <c r="AC197" s="115"/>
      <c r="AD197" s="41">
        <v>38.806940437771658</v>
      </c>
      <c r="AE197" s="42">
        <v>31.378903810315936</v>
      </c>
      <c r="AF197">
        <v>5050</v>
      </c>
      <c r="AG197" s="74">
        <f t="shared" si="77"/>
        <v>2.1469684795495869</v>
      </c>
      <c r="AH197">
        <v>0</v>
      </c>
      <c r="AI197" s="41">
        <v>0.85</v>
      </c>
      <c r="AJ197">
        <v>374</v>
      </c>
    </row>
    <row r="198" spans="1:36" x14ac:dyDescent="0.25">
      <c r="A198" s="3">
        <f>+'Mono ASIG'!A198</f>
        <v>1382.7578000000001</v>
      </c>
      <c r="B198" s="3">
        <f>+'Mono ASIG'!B198</f>
        <v>1418.2779999999993</v>
      </c>
      <c r="C198" s="1">
        <f>+'Mono ASIG'!C198</f>
        <v>2026</v>
      </c>
      <c r="D198" s="1">
        <f t="shared" si="71"/>
        <v>3</v>
      </c>
      <c r="E198" s="1">
        <f>+'Fisico SPOT MAT'!E198</f>
        <v>6</v>
      </c>
      <c r="F198" s="1" t="str">
        <f>+'Mono ASIG'!F198</f>
        <v>sáb</v>
      </c>
      <c r="G198" s="56">
        <f>+'Mono ASIG'!G198</f>
        <v>46109</v>
      </c>
      <c r="H198" s="17">
        <f t="shared" si="72"/>
        <v>42.760229501442012</v>
      </c>
      <c r="I198" s="17">
        <f t="shared" si="73"/>
        <v>34.346897554703403</v>
      </c>
      <c r="J198" s="17">
        <v>22</v>
      </c>
      <c r="K198" s="17">
        <v>22</v>
      </c>
      <c r="L198" s="17">
        <v>32</v>
      </c>
      <c r="M198" s="44">
        <f>SUMPRODUCT(H198:L198,'Fisico SPOT MAT'!H198:L198)*24</f>
        <v>6874568.3625767492</v>
      </c>
      <c r="N198" s="19">
        <f>+'Fisico SPOT MAT'!AG198</f>
        <v>16.163309505392004</v>
      </c>
      <c r="O198" s="19">
        <f t="shared" si="76"/>
        <v>13.502673796791443</v>
      </c>
      <c r="P198" s="19">
        <v>6</v>
      </c>
      <c r="Q198" s="19">
        <v>6</v>
      </c>
      <c r="R198" s="19">
        <v>0</v>
      </c>
      <c r="S198" s="44">
        <f>SUMPRODUCT(N198:R198,'Fisico SPOT MAT'!N198:R198)*E198</f>
        <v>1297590.3825748661</v>
      </c>
      <c r="T198" s="17"/>
      <c r="U198" s="17">
        <v>18</v>
      </c>
      <c r="V198" s="17">
        <v>60</v>
      </c>
      <c r="W198" s="28">
        <f>SUMPRODUCT(T198:V198,'Fisico SPOT MAT'!T198:V198)*24</f>
        <v>1809677.6159999999</v>
      </c>
      <c r="X198" s="19">
        <v>0</v>
      </c>
      <c r="Y198" s="19">
        <v>5</v>
      </c>
      <c r="Z198" s="19">
        <v>0</v>
      </c>
      <c r="AA198" s="28">
        <f>SUMPRODUCT(X198:Z198,'Fisico SPOT MAT'!X198:Z198)*E198</f>
        <v>15450</v>
      </c>
      <c r="AC198" s="115"/>
      <c r="AD198" s="41">
        <v>39.702791102053403</v>
      </c>
      <c r="AE198" s="42">
        <v>31.289459155314798</v>
      </c>
      <c r="AF198">
        <v>5050</v>
      </c>
      <c r="AG198" s="74">
        <f t="shared" si="77"/>
        <v>2.2074383993886051</v>
      </c>
      <c r="AH198">
        <v>0</v>
      </c>
      <c r="AI198" s="41">
        <v>0.85</v>
      </c>
      <c r="AJ198">
        <v>374</v>
      </c>
    </row>
    <row r="199" spans="1:36" x14ac:dyDescent="0.25">
      <c r="A199" s="3">
        <f>+'Mono ASIG'!A199</f>
        <v>1382.7578000000001</v>
      </c>
      <c r="B199" s="3">
        <f>+'Mono ASIG'!B199</f>
        <v>1418.2779999999993</v>
      </c>
      <c r="C199" s="1">
        <f>+'Mono ASIG'!C199</f>
        <v>2026</v>
      </c>
      <c r="D199" s="1">
        <f t="shared" si="71"/>
        <v>3</v>
      </c>
      <c r="E199" s="1">
        <f>+'Fisico SPOT MAT'!E199</f>
        <v>4</v>
      </c>
      <c r="F199" s="1" t="str">
        <f>+'Mono ASIG'!F199</f>
        <v>dom</v>
      </c>
      <c r="G199" s="56">
        <f>+'Mono ASIG'!G199</f>
        <v>46110</v>
      </c>
      <c r="H199" s="17">
        <f t="shared" si="72"/>
        <v>49.464956592161066</v>
      </c>
      <c r="I199" s="17">
        <f t="shared" si="73"/>
        <v>34.671510133624167</v>
      </c>
      <c r="J199" s="17">
        <v>22</v>
      </c>
      <c r="K199" s="17">
        <v>22</v>
      </c>
      <c r="L199" s="17">
        <v>32</v>
      </c>
      <c r="M199" s="44">
        <f>SUMPRODUCT(H199:L199,'Fisico SPOT MAT'!H199:L199)*24</f>
        <v>8299673.2648608889</v>
      </c>
      <c r="N199" s="19">
        <f>+'Fisico SPOT MAT'!AG199</f>
        <v>16.162269712613867</v>
      </c>
      <c r="O199" s="19">
        <f t="shared" si="76"/>
        <v>13.502673796791443</v>
      </c>
      <c r="P199" s="19">
        <v>6</v>
      </c>
      <c r="Q199" s="19">
        <v>6</v>
      </c>
      <c r="R199" s="19">
        <v>0</v>
      </c>
      <c r="S199" s="44">
        <f>SUMPRODUCT(N199:R199,'Fisico SPOT MAT'!N199:R199)*E199</f>
        <v>863921.79881818162</v>
      </c>
      <c r="T199" s="17"/>
      <c r="U199" s="17">
        <v>18</v>
      </c>
      <c r="V199" s="17">
        <v>60</v>
      </c>
      <c r="W199" s="28">
        <f>SUMPRODUCT(T199:V199,'Fisico SPOT MAT'!T199:V199)*24</f>
        <v>1863932.0699999998</v>
      </c>
      <c r="X199" s="19">
        <v>0</v>
      </c>
      <c r="Y199" s="19">
        <v>5</v>
      </c>
      <c r="Z199" s="19">
        <v>0</v>
      </c>
      <c r="AA199" s="28">
        <f>SUMPRODUCT(X199:Z199,'Fisico SPOT MAT'!X199:Z199)*E199</f>
        <v>10300</v>
      </c>
      <c r="AC199" s="115"/>
      <c r="AD199" s="41">
        <v>45.983565894296078</v>
      </c>
      <c r="AE199" s="42">
        <v>31.190119435759179</v>
      </c>
      <c r="AF199">
        <v>5050</v>
      </c>
      <c r="AG199" s="74">
        <f t="shared" si="77"/>
        <v>2.6313906978649855</v>
      </c>
      <c r="AH199">
        <v>0</v>
      </c>
      <c r="AI199" s="41">
        <v>0.85</v>
      </c>
      <c r="AJ199">
        <v>374</v>
      </c>
    </row>
    <row r="200" spans="1:36" x14ac:dyDescent="0.25">
      <c r="A200" s="3">
        <f>+'Mono ASIG'!A200</f>
        <v>1382.7578000000001</v>
      </c>
      <c r="B200" s="3">
        <f>+'Mono ASIG'!B200</f>
        <v>1378.9690000000007</v>
      </c>
      <c r="C200" s="1">
        <f>+'Mono ASIG'!C200</f>
        <v>2026</v>
      </c>
      <c r="D200" s="1">
        <f t="shared" si="71"/>
        <v>3</v>
      </c>
      <c r="E200" s="1">
        <f>+'Fisico SPOT MAT'!E200</f>
        <v>16</v>
      </c>
      <c r="F200" s="1" t="str">
        <f>+'Mono ASIG'!F200</f>
        <v>lun</v>
      </c>
      <c r="G200" s="56">
        <f>+'Mono ASIG'!G200</f>
        <v>46111</v>
      </c>
      <c r="H200" s="17">
        <f t="shared" si="72"/>
        <v>77.444774324151169</v>
      </c>
      <c r="I200" s="17">
        <f t="shared" si="73"/>
        <v>158.22833683973226</v>
      </c>
      <c r="J200" s="17">
        <v>22</v>
      </c>
      <c r="K200" s="17">
        <v>22</v>
      </c>
      <c r="L200" s="17">
        <v>32</v>
      </c>
      <c r="M200" s="44">
        <f>SUMPRODUCT(H200:L200,'Fisico SPOT MAT'!H200:L200)*24</f>
        <v>18464315.860870048</v>
      </c>
      <c r="N200" s="19">
        <f>+'Fisico SPOT MAT'!AG200</f>
        <v>16.081887053724788</v>
      </c>
      <c r="O200" s="19">
        <f t="shared" si="76"/>
        <v>13.502673796791443</v>
      </c>
      <c r="P200" s="19">
        <v>6</v>
      </c>
      <c r="Q200" s="19">
        <v>6</v>
      </c>
      <c r="R200" s="19">
        <v>0</v>
      </c>
      <c r="S200" s="44">
        <f>SUMPRODUCT(N200:R200,'Fisico SPOT MAT'!N200:R200)*E200</f>
        <v>3284350.7596969693</v>
      </c>
      <c r="T200" s="17"/>
      <c r="U200" s="17">
        <v>18</v>
      </c>
      <c r="V200" s="17">
        <v>60</v>
      </c>
      <c r="W200" s="28">
        <f>SUMPRODUCT(T200:V200,'Fisico SPOT MAT'!T200:V200)*24</f>
        <v>2298012.3180000004</v>
      </c>
      <c r="X200" s="19">
        <v>0</v>
      </c>
      <c r="Y200" s="19">
        <v>5</v>
      </c>
      <c r="Z200" s="19">
        <v>0</v>
      </c>
      <c r="AA200" s="28">
        <f>SUMPRODUCT(X200:Z200,'Fisico SPOT MAT'!X200:Z200)*E200</f>
        <v>41200</v>
      </c>
      <c r="AC200" s="115"/>
      <c r="AD200" s="41">
        <v>72.194167985153328</v>
      </c>
      <c r="AE200" s="42">
        <v>152.97773050073442</v>
      </c>
      <c r="AF200">
        <v>5050</v>
      </c>
      <c r="AG200" s="74">
        <f t="shared" si="77"/>
        <v>4.40060633899785</v>
      </c>
      <c r="AH200">
        <v>0</v>
      </c>
      <c r="AI200" s="41">
        <v>0.85</v>
      </c>
      <c r="AJ200">
        <v>374</v>
      </c>
    </row>
    <row r="201" spans="1:36" x14ac:dyDescent="0.25">
      <c r="A201" s="3">
        <f>+'Mono ASIG'!A201</f>
        <v>1382.7578000000001</v>
      </c>
      <c r="B201" s="3">
        <f>+'Mono ASIG'!B201</f>
        <v>1378.9690000000007</v>
      </c>
      <c r="C201" s="1">
        <f>+'Mono ASIG'!C201</f>
        <v>2026</v>
      </c>
      <c r="D201" s="1">
        <f t="shared" ref="D201:D208" si="78">MONTH(G201)</f>
        <v>3</v>
      </c>
      <c r="E201" s="1">
        <f>+'Fisico SPOT MAT'!E201</f>
        <v>16</v>
      </c>
      <c r="F201" s="1" t="str">
        <f>+'Mono ASIG'!F201</f>
        <v>mar</v>
      </c>
      <c r="G201" s="56">
        <f>+'Mono ASIG'!G201</f>
        <v>46112</v>
      </c>
      <c r="H201" s="17">
        <f t="shared" ref="H201:H207" si="79">+AD201+AG201+AH201+AI201</f>
        <v>97.639185779361</v>
      </c>
      <c r="I201" s="17">
        <f t="shared" ref="I201:I207" si="80">+AE201+AG201+AH201+AI201</f>
        <v>222.45876676983534</v>
      </c>
      <c r="J201" s="17">
        <v>22</v>
      </c>
      <c r="K201" s="17">
        <v>22</v>
      </c>
      <c r="L201" s="17">
        <v>32</v>
      </c>
      <c r="M201" s="44">
        <f>SUMPRODUCT(H201:L201,'Fisico SPOT MAT'!H201:L201)*24</f>
        <v>25651221.35757412</v>
      </c>
      <c r="N201" s="19">
        <f>+'Fisico SPOT MAT'!AG201</f>
        <v>16.014597792287894</v>
      </c>
      <c r="O201" s="19">
        <f t="shared" si="76"/>
        <v>13.502673796791443</v>
      </c>
      <c r="P201" s="19">
        <v>6</v>
      </c>
      <c r="Q201" s="19">
        <v>6</v>
      </c>
      <c r="R201" s="19">
        <v>0</v>
      </c>
      <c r="S201" s="44">
        <f>SUMPRODUCT(N201:R201,'Fisico SPOT MAT'!N201:R201)*E201</f>
        <v>3172475.6692370763</v>
      </c>
      <c r="T201" s="17"/>
      <c r="U201" s="17">
        <v>18</v>
      </c>
      <c r="V201" s="17">
        <v>60</v>
      </c>
      <c r="W201" s="28">
        <f>SUMPRODUCT(T201:V201,'Fisico SPOT MAT'!T201:V201)*24</f>
        <v>2339290.5120000001</v>
      </c>
      <c r="X201" s="19">
        <v>0</v>
      </c>
      <c r="Y201" s="19">
        <v>5</v>
      </c>
      <c r="Z201" s="19">
        <v>0</v>
      </c>
      <c r="AA201" s="28">
        <f>SUMPRODUCT(X201:Z201,'Fisico SPOT MAT'!X201:Z201)*E201</f>
        <v>41200</v>
      </c>
      <c r="AC201" s="115"/>
      <c r="AD201" s="41">
        <v>91.111649442024358</v>
      </c>
      <c r="AE201" s="42">
        <v>215.93123043249869</v>
      </c>
      <c r="AF201">
        <v>5050</v>
      </c>
      <c r="AG201" s="74">
        <f t="shared" ref="AG201:AG208" si="81">0.075*0.9*(AD201-7)</f>
        <v>5.6775363373366448</v>
      </c>
      <c r="AH201">
        <v>0</v>
      </c>
      <c r="AI201" s="41">
        <v>0.85</v>
      </c>
      <c r="AJ201">
        <v>374</v>
      </c>
    </row>
    <row r="202" spans="1:36" x14ac:dyDescent="0.25">
      <c r="A202" s="3">
        <f>+'Mono ASIG'!A202</f>
        <v>1381.0953999999999</v>
      </c>
      <c r="B202" s="3">
        <f>+'Mono ASIG'!B202</f>
        <v>1378.9690000000001</v>
      </c>
      <c r="C202" s="1">
        <f>+'Mono ASIG'!C202</f>
        <v>2026</v>
      </c>
      <c r="D202" s="1">
        <f t="shared" si="78"/>
        <v>4</v>
      </c>
      <c r="E202" s="1">
        <v>16</v>
      </c>
      <c r="F202" s="1" t="str">
        <f>+'Mono ASIG'!F202</f>
        <v>mié</v>
      </c>
      <c r="G202" s="56">
        <f>+'Mono ASIG'!G202</f>
        <v>46113</v>
      </c>
      <c r="H202" s="17">
        <f t="shared" si="79"/>
        <v>83.660111400524428</v>
      </c>
      <c r="I202" s="17">
        <f t="shared" si="80"/>
        <v>200.37418423710753</v>
      </c>
      <c r="J202" s="17">
        <v>31.839206243463231</v>
      </c>
      <c r="K202" s="17">
        <v>31.839206243463231</v>
      </c>
      <c r="L202" s="17">
        <v>32</v>
      </c>
      <c r="M202" s="44">
        <f>SUMPRODUCT(H202:L202,'Fisico SPOT MAT'!H202:L202)*24</f>
        <v>22692690.59542514</v>
      </c>
      <c r="N202" s="19">
        <f>+'Fisico SPOT MAT'!AG202</f>
        <v>16.014949840091457</v>
      </c>
      <c r="O202" s="19">
        <f t="shared" si="76"/>
        <v>13.722826086956522</v>
      </c>
      <c r="P202" s="19">
        <v>6</v>
      </c>
      <c r="Q202" s="19">
        <v>6</v>
      </c>
      <c r="R202" s="19">
        <v>0</v>
      </c>
      <c r="S202" s="44">
        <f>SUMPRODUCT(N202:R202,'Fisico SPOT MAT'!N202:R202)*E202</f>
        <v>3175864.7669456513</v>
      </c>
      <c r="T202" s="17"/>
      <c r="U202" s="17">
        <v>18</v>
      </c>
      <c r="V202" s="17">
        <v>60</v>
      </c>
      <c r="W202" s="28">
        <f>SUMPRODUCT(T202:V202,'Fisico SPOT MAT'!T202:V202)*24</f>
        <v>1501585.3799999971</v>
      </c>
      <c r="X202" s="19">
        <v>0</v>
      </c>
      <c r="Y202" s="19">
        <v>5</v>
      </c>
      <c r="Z202" s="19">
        <v>0</v>
      </c>
      <c r="AA202" s="28">
        <f>SUMPRODUCT(X202:Z202,'Fisico SPOT MAT'!X202:Z202)*E202</f>
        <v>33200</v>
      </c>
      <c r="AC202" s="115"/>
      <c r="AD202" s="41">
        <v>78.016497799086125</v>
      </c>
      <c r="AE202" s="42">
        <v>194.73057063566921</v>
      </c>
      <c r="AF202">
        <v>5050</v>
      </c>
      <c r="AG202" s="74">
        <f t="shared" si="81"/>
        <v>4.7936136014383139</v>
      </c>
      <c r="AH202">
        <v>0</v>
      </c>
      <c r="AI202" s="41">
        <v>0.85</v>
      </c>
      <c r="AJ202">
        <v>368</v>
      </c>
    </row>
    <row r="203" spans="1:36" x14ac:dyDescent="0.25">
      <c r="A203" s="3">
        <f>+'Mono ASIG'!A203</f>
        <v>1381.0953999999999</v>
      </c>
      <c r="B203" s="3">
        <f>+'Mono ASIG'!B203</f>
        <v>1378.9690000000001</v>
      </c>
      <c r="C203" s="1">
        <f>+'Mono ASIG'!C203</f>
        <v>2026</v>
      </c>
      <c r="D203" s="1">
        <f t="shared" si="78"/>
        <v>4</v>
      </c>
      <c r="E203" s="1">
        <v>4</v>
      </c>
      <c r="F203" s="1" t="str">
        <f>+'Mono ASIG'!F203</f>
        <v>jue</v>
      </c>
      <c r="G203" s="56">
        <f>+'Mono ASIG'!G203</f>
        <v>46114</v>
      </c>
      <c r="H203" s="17">
        <f t="shared" si="79"/>
        <v>60.555048131336576</v>
      </c>
      <c r="I203" s="17">
        <f t="shared" si="80"/>
        <v>37.981521400293879</v>
      </c>
      <c r="J203" s="17">
        <v>22.080034345088507</v>
      </c>
      <c r="K203" s="17">
        <v>22.080034345088507</v>
      </c>
      <c r="L203" s="17">
        <v>32</v>
      </c>
      <c r="M203" s="44">
        <f>SUMPRODUCT(H203:L203,'Fisico SPOT MAT'!H203:L203)*24</f>
        <v>12180177.713152165</v>
      </c>
      <c r="N203" s="19">
        <f>+'Fisico SPOT MAT'!AG203</f>
        <v>16.069723069789255</v>
      </c>
      <c r="O203" s="19">
        <f t="shared" si="76"/>
        <v>13.722826086956522</v>
      </c>
      <c r="P203" s="19">
        <v>6</v>
      </c>
      <c r="Q203" s="19">
        <v>6</v>
      </c>
      <c r="R203" s="19">
        <v>0</v>
      </c>
      <c r="S203" s="44">
        <f>SUMPRODUCT(N203:R203,'Fisico SPOT MAT'!N203:R203)*E203</f>
        <v>800394.58237499965</v>
      </c>
      <c r="T203" s="17"/>
      <c r="U203" s="17">
        <v>18</v>
      </c>
      <c r="V203" s="17">
        <v>60</v>
      </c>
      <c r="W203" s="28">
        <f>SUMPRODUCT(T203:V203,'Fisico SPOT MAT'!T203:V203)*24</f>
        <v>1196816.1599999997</v>
      </c>
      <c r="X203" s="19">
        <v>0</v>
      </c>
      <c r="Y203" s="19">
        <v>5</v>
      </c>
      <c r="Z203" s="19">
        <v>0</v>
      </c>
      <c r="AA203" s="28">
        <f>SUMPRODUCT(X203:Z203,'Fisico SPOT MAT'!X203:Z203)*E203</f>
        <v>8300</v>
      </c>
      <c r="AC203" s="115"/>
      <c r="AD203" s="41">
        <v>56.372410427481569</v>
      </c>
      <c r="AE203" s="42">
        <v>33.798883696438871</v>
      </c>
      <c r="AF203">
        <v>5050</v>
      </c>
      <c r="AG203" s="74">
        <f t="shared" si="81"/>
        <v>3.3326377038550059</v>
      </c>
      <c r="AH203">
        <v>0</v>
      </c>
      <c r="AI203" s="41">
        <v>0.85</v>
      </c>
      <c r="AJ203">
        <v>368</v>
      </c>
    </row>
    <row r="204" spans="1:36" x14ac:dyDescent="0.25">
      <c r="A204" s="3">
        <f>+'Mono ASIG'!A204</f>
        <v>1381.0953999999999</v>
      </c>
      <c r="B204" s="3">
        <f>+'Mono ASIG'!B204</f>
        <v>1378.9690000000001</v>
      </c>
      <c r="C204" s="1">
        <f>+'Mono ASIG'!C204</f>
        <v>2026</v>
      </c>
      <c r="D204" s="1">
        <f t="shared" si="78"/>
        <v>4</v>
      </c>
      <c r="E204" s="1">
        <v>4</v>
      </c>
      <c r="F204" s="1" t="str">
        <f>+'Mono ASIG'!F204</f>
        <v>vie</v>
      </c>
      <c r="G204" s="56">
        <f>+'Mono ASIG'!G204</f>
        <v>46115</v>
      </c>
      <c r="H204" s="17">
        <f t="shared" si="79"/>
        <v>55.968644564099023</v>
      </c>
      <c r="I204" s="17">
        <f t="shared" si="80"/>
        <v>37.363325991381714</v>
      </c>
      <c r="J204" s="17">
        <v>22.010618332479801</v>
      </c>
      <c r="K204" s="17">
        <v>22.010618332479801</v>
      </c>
      <c r="L204" s="17">
        <v>32</v>
      </c>
      <c r="M204" s="44">
        <f>SUMPRODUCT(H204:L204,'Fisico SPOT MAT'!H204:L204)*24</f>
        <v>10071352.988153579</v>
      </c>
      <c r="N204" s="19">
        <f>+'Fisico SPOT MAT'!AG204</f>
        <v>16.128214653223925</v>
      </c>
      <c r="O204" s="19">
        <f t="shared" si="76"/>
        <v>13.722826086956522</v>
      </c>
      <c r="P204" s="19">
        <v>6</v>
      </c>
      <c r="Q204" s="19">
        <v>6</v>
      </c>
      <c r="R204" s="19">
        <v>0</v>
      </c>
      <c r="S204" s="44">
        <f>SUMPRODUCT(N204:R204,'Fisico SPOT MAT'!N204:R204)*E204</f>
        <v>823507.47923025338</v>
      </c>
      <c r="T204" s="17"/>
      <c r="U204" s="17">
        <v>18</v>
      </c>
      <c r="V204" s="17">
        <v>60</v>
      </c>
      <c r="W204" s="28">
        <f>SUMPRODUCT(T204:V204,'Fisico SPOT MAT'!T204:V204)*24</f>
        <v>2308830.8399999989</v>
      </c>
      <c r="X204" s="19">
        <v>0</v>
      </c>
      <c r="Y204" s="19">
        <v>5</v>
      </c>
      <c r="Z204" s="19">
        <v>0</v>
      </c>
      <c r="AA204" s="28">
        <f>SUMPRODUCT(X204:Z204,'Fisico SPOT MAT'!X204:Z204)*E204</f>
        <v>8300</v>
      </c>
      <c r="AC204" s="115"/>
      <c r="AD204" s="41">
        <v>52.076013643184098</v>
      </c>
      <c r="AE204" s="42">
        <v>33.470695070466789</v>
      </c>
      <c r="AF204">
        <v>5050</v>
      </c>
      <c r="AG204" s="74">
        <f t="shared" si="81"/>
        <v>3.0426309209149269</v>
      </c>
      <c r="AH204">
        <v>0</v>
      </c>
      <c r="AI204" s="41">
        <v>0.85</v>
      </c>
      <c r="AJ204">
        <v>368</v>
      </c>
    </row>
    <row r="205" spans="1:36" x14ac:dyDescent="0.25">
      <c r="A205" s="3">
        <f>+'Mono ASIG'!A205</f>
        <v>1381.0953999999999</v>
      </c>
      <c r="B205" s="3">
        <f>+'Mono ASIG'!B205</f>
        <v>1378.9690000000001</v>
      </c>
      <c r="C205" s="1">
        <f>+'Mono ASIG'!C205</f>
        <v>2026</v>
      </c>
      <c r="D205" s="1">
        <f t="shared" si="78"/>
        <v>4</v>
      </c>
      <c r="E205" s="1">
        <v>6</v>
      </c>
      <c r="F205" s="1" t="str">
        <f>+'Mono ASIG'!F205</f>
        <v>sáb</v>
      </c>
      <c r="G205" s="56">
        <f>+'Mono ASIG'!G205</f>
        <v>46116</v>
      </c>
      <c r="H205" s="17">
        <f t="shared" si="79"/>
        <v>59.709894021509427</v>
      </c>
      <c r="I205" s="17">
        <f t="shared" si="80"/>
        <v>38.19317094881373</v>
      </c>
      <c r="J205" s="17">
        <v>22.008806540298703</v>
      </c>
      <c r="K205" s="17">
        <v>22.008806540298703</v>
      </c>
      <c r="L205" s="17">
        <v>32</v>
      </c>
      <c r="M205" s="44">
        <f>SUMPRODUCT(H205:L205,'Fisico SPOT MAT'!H205:L205)*24</f>
        <v>9532171.7045468837</v>
      </c>
      <c r="N205" s="19">
        <f>+'Fisico SPOT MAT'!AG205</f>
        <v>16.117237007537078</v>
      </c>
      <c r="O205" s="19">
        <f t="shared" si="76"/>
        <v>13.722826086956522</v>
      </c>
      <c r="P205" s="19">
        <v>6</v>
      </c>
      <c r="Q205" s="19">
        <v>6</v>
      </c>
      <c r="R205" s="19">
        <v>0</v>
      </c>
      <c r="S205" s="44">
        <f>SUMPRODUCT(N205:R205,'Fisico SPOT MAT'!N205:R205)*E205</f>
        <v>1209658.7770013581</v>
      </c>
      <c r="T205" s="17"/>
      <c r="U205" s="17">
        <v>18</v>
      </c>
      <c r="V205" s="17">
        <v>60</v>
      </c>
      <c r="W205" s="28">
        <f>SUMPRODUCT(T205:V205,'Fisico SPOT MAT'!T205:V205)*24</f>
        <v>1564023.2399999993</v>
      </c>
      <c r="X205" s="19">
        <v>0</v>
      </c>
      <c r="Y205" s="19">
        <v>5</v>
      </c>
      <c r="Z205" s="19">
        <v>0</v>
      </c>
      <c r="AA205" s="28">
        <f>SUMPRODUCT(X205:Z205,'Fisico SPOT MAT'!X205:Z205)*E205</f>
        <v>12450</v>
      </c>
      <c r="AC205" s="115"/>
      <c r="AD205" s="41">
        <v>55.580696975652856</v>
      </c>
      <c r="AE205" s="42">
        <v>34.063973902957159</v>
      </c>
      <c r="AF205">
        <v>5050</v>
      </c>
      <c r="AG205" s="74">
        <f t="shared" si="81"/>
        <v>3.2791970458565678</v>
      </c>
      <c r="AH205">
        <v>0</v>
      </c>
      <c r="AI205" s="41">
        <v>0.85</v>
      </c>
      <c r="AJ205">
        <v>368</v>
      </c>
    </row>
    <row r="206" spans="1:36" x14ac:dyDescent="0.25">
      <c r="A206" s="3">
        <f>+'Mono ASIG'!A206</f>
        <v>1381.0953999999999</v>
      </c>
      <c r="B206" s="3">
        <f>+'Mono ASIG'!B206</f>
        <v>1378.9690000000001</v>
      </c>
      <c r="C206" s="1">
        <f>+'Mono ASIG'!C206</f>
        <v>2026</v>
      </c>
      <c r="D206" s="1">
        <f t="shared" si="78"/>
        <v>4</v>
      </c>
      <c r="E206" s="1">
        <v>4</v>
      </c>
      <c r="F206" s="1" t="str">
        <f>+'Mono ASIG'!F206</f>
        <v>dom</v>
      </c>
      <c r="G206" s="56">
        <f>+'Mono ASIG'!G206</f>
        <v>46117</v>
      </c>
      <c r="H206" s="17">
        <f t="shared" si="79"/>
        <v>67.19343639687996</v>
      </c>
      <c r="I206" s="17">
        <f t="shared" si="80"/>
        <v>37.220949711864314</v>
      </c>
      <c r="J206" s="17">
        <v>22.034760340345446</v>
      </c>
      <c r="K206" s="17">
        <v>22.034760340345446</v>
      </c>
      <c r="L206" s="17">
        <v>32</v>
      </c>
      <c r="M206" s="44">
        <f>SUMPRODUCT(H206:L206,'Fisico SPOT MAT'!H206:L206)*24</f>
        <v>8246271.7994245179</v>
      </c>
      <c r="N206" s="19">
        <f>+'Fisico SPOT MAT'!AG206</f>
        <v>16.147058885975344</v>
      </c>
      <c r="O206" s="19">
        <f t="shared" si="76"/>
        <v>13.722826086956522</v>
      </c>
      <c r="P206" s="19">
        <v>6</v>
      </c>
      <c r="Q206" s="19">
        <v>6</v>
      </c>
      <c r="R206" s="19">
        <v>0</v>
      </c>
      <c r="S206" s="44">
        <f>SUMPRODUCT(N206:R206,'Fisico SPOT MAT'!N206:R206)*E206</f>
        <v>832738.90572735469</v>
      </c>
      <c r="T206" s="17"/>
      <c r="U206" s="17">
        <v>18</v>
      </c>
      <c r="V206" s="17">
        <v>60</v>
      </c>
      <c r="W206" s="28">
        <f>SUMPRODUCT(T206:V206,'Fisico SPOT MAT'!T206:V206)*24</f>
        <v>1266853.799999998</v>
      </c>
      <c r="X206" s="19">
        <v>0</v>
      </c>
      <c r="Y206" s="19">
        <v>5</v>
      </c>
      <c r="Z206" s="19">
        <v>0</v>
      </c>
      <c r="AA206" s="28">
        <f>SUMPRODUCT(X206:Z206,'Fisico SPOT MAT'!X206:Z206)*E206</f>
        <v>8300</v>
      </c>
      <c r="AC206" s="115"/>
      <c r="AD206" s="41">
        <v>62.591041121199034</v>
      </c>
      <c r="AE206" s="42">
        <v>32.618554436183381</v>
      </c>
      <c r="AF206">
        <v>5050</v>
      </c>
      <c r="AG206" s="74">
        <f t="shared" si="81"/>
        <v>3.7523952756809349</v>
      </c>
      <c r="AH206">
        <v>0</v>
      </c>
      <c r="AI206" s="41">
        <v>0.85</v>
      </c>
      <c r="AJ206">
        <v>368</v>
      </c>
    </row>
    <row r="207" spans="1:36" x14ac:dyDescent="0.25">
      <c r="A207" s="3">
        <f>+'Mono ASIG'!A207</f>
        <v>1381.0953999999999</v>
      </c>
      <c r="B207" s="3">
        <f>+'Mono ASIG'!B207</f>
        <v>1378.9690000000001</v>
      </c>
      <c r="C207" s="1">
        <f>+'Mono ASIG'!C207</f>
        <v>2026</v>
      </c>
      <c r="D207" s="1">
        <f t="shared" si="78"/>
        <v>4</v>
      </c>
      <c r="E207" s="1">
        <v>16</v>
      </c>
      <c r="F207" s="1" t="str">
        <f>+'Mono ASIG'!F207</f>
        <v>lun</v>
      </c>
      <c r="G207" s="56">
        <f>+'Mono ASIG'!G207</f>
        <v>46118</v>
      </c>
      <c r="H207" s="17">
        <f t="shared" si="79"/>
        <v>64.832954092792548</v>
      </c>
      <c r="I207" s="17">
        <f t="shared" si="80"/>
        <v>37.137384704795473</v>
      </c>
      <c r="J207" s="17">
        <v>22.292369725238064</v>
      </c>
      <c r="K207" s="17">
        <v>22.292369725238064</v>
      </c>
      <c r="L207" s="17">
        <v>32</v>
      </c>
      <c r="M207" s="44">
        <f>SUMPRODUCT(H207:L207,'Fisico SPOT MAT'!H207:L207)*24</f>
        <v>9809546.8149163723</v>
      </c>
      <c r="N207" s="19">
        <f>+'Fisico SPOT MAT'!AG207</f>
        <v>16.078313884132513</v>
      </c>
      <c r="O207" s="19">
        <f t="shared" si="76"/>
        <v>13.722826086956522</v>
      </c>
      <c r="P207" s="19">
        <v>6</v>
      </c>
      <c r="Q207" s="19">
        <v>6</v>
      </c>
      <c r="R207" s="19">
        <v>0</v>
      </c>
      <c r="S207" s="44">
        <f>SUMPRODUCT(N207:R207,'Fisico SPOT MAT'!N207:R207)*E207</f>
        <v>3243241.0708224629</v>
      </c>
      <c r="T207" s="17"/>
      <c r="U207" s="17">
        <v>18</v>
      </c>
      <c r="V207" s="17">
        <v>60</v>
      </c>
      <c r="W207" s="28">
        <f>SUMPRODUCT(T207:V207,'Fisico SPOT MAT'!T207:V207)*24</f>
        <v>1332532.9799999986</v>
      </c>
      <c r="X207" s="19">
        <v>0</v>
      </c>
      <c r="Y207" s="19">
        <v>5</v>
      </c>
      <c r="Z207" s="19">
        <v>0</v>
      </c>
      <c r="AA207" s="28">
        <f>SUMPRODUCT(X207:Z207,'Fisico SPOT MAT'!X207:Z207)*E207</f>
        <v>33200</v>
      </c>
      <c r="AC207" s="115"/>
      <c r="AD207" s="41">
        <v>60.37981648036773</v>
      </c>
      <c r="AE207" s="42">
        <v>32.684247092370647</v>
      </c>
      <c r="AF207">
        <v>5050</v>
      </c>
      <c r="AG207" s="74">
        <f t="shared" si="81"/>
        <v>3.6031376124248218</v>
      </c>
      <c r="AH207">
        <v>0</v>
      </c>
      <c r="AI207" s="41">
        <v>0.85</v>
      </c>
      <c r="AJ207">
        <v>368</v>
      </c>
    </row>
    <row r="208" spans="1:36" x14ac:dyDescent="0.25">
      <c r="A208" s="3">
        <f>+'Mono ASIG'!A208</f>
        <v>1381.0953999999999</v>
      </c>
      <c r="B208" s="3">
        <f>+'Mono ASIG'!B208</f>
        <v>1378.9690000000001</v>
      </c>
      <c r="C208" s="1">
        <f>+'Mono ASIG'!C208</f>
        <v>2026</v>
      </c>
      <c r="D208" s="1">
        <f t="shared" si="78"/>
        <v>4</v>
      </c>
      <c r="E208" s="1">
        <v>16</v>
      </c>
      <c r="F208" s="1" t="str">
        <f>+'Mono ASIG'!F208</f>
        <v>mar</v>
      </c>
      <c r="G208" s="56">
        <f>+'Mono ASIG'!G208</f>
        <v>46119</v>
      </c>
      <c r="H208" s="17">
        <f t="shared" ref="H208:H221" si="82">+AD208+AG208+AH208+AI208</f>
        <v>62.252073756594243</v>
      </c>
      <c r="I208" s="17">
        <f t="shared" ref="I208:I221" si="83">+AE208+AG208+AH208+AI208</f>
        <v>38.038144561040554</v>
      </c>
      <c r="J208" s="17">
        <v>22.000000000000043</v>
      </c>
      <c r="K208" s="17">
        <v>22.000000000000043</v>
      </c>
      <c r="L208" s="17">
        <v>32</v>
      </c>
      <c r="M208" s="44">
        <f>SUMPRODUCT(H208:L208,'Fisico SPOT MAT'!H208:L208)*24</f>
        <v>10091643.394588429</v>
      </c>
      <c r="N208" s="19">
        <f>+'Fisico SPOT MAT'!AG208</f>
        <v>16.131970786675243</v>
      </c>
      <c r="O208" s="19">
        <f t="shared" si="76"/>
        <v>13.722826086956522</v>
      </c>
      <c r="P208" s="19">
        <v>6</v>
      </c>
      <c r="Q208" s="19">
        <v>6</v>
      </c>
      <c r="R208" s="19">
        <v>0</v>
      </c>
      <c r="S208" s="44">
        <f>SUMPRODUCT(N208:R208,'Fisico SPOT MAT'!N208:R208)*E208</f>
        <v>3335087.6845797086</v>
      </c>
      <c r="T208" s="17"/>
      <c r="U208" s="17">
        <v>18</v>
      </c>
      <c r="V208" s="17">
        <v>60</v>
      </c>
      <c r="W208" s="28">
        <f>SUMPRODUCT(T208:V208,'Fisico SPOT MAT'!T208:V208)*24</f>
        <v>1516890.1800000016</v>
      </c>
      <c r="X208" s="19">
        <v>0</v>
      </c>
      <c r="Y208" s="19">
        <v>5</v>
      </c>
      <c r="Z208" s="19">
        <v>0</v>
      </c>
      <c r="AA208" s="28">
        <f>SUMPRODUCT(X208:Z208,'Fisico SPOT MAT'!X208:Z208)*E208</f>
        <v>33200</v>
      </c>
      <c r="AC208" s="115"/>
      <c r="AD208" s="41">
        <v>57.962129982758071</v>
      </c>
      <c r="AE208" s="42">
        <v>33.748200787204382</v>
      </c>
      <c r="AF208">
        <v>5050</v>
      </c>
      <c r="AG208" s="74">
        <f t="shared" si="81"/>
        <v>3.4399437738361702</v>
      </c>
      <c r="AH208">
        <v>0</v>
      </c>
      <c r="AI208" s="41">
        <v>0.85</v>
      </c>
      <c r="AJ208">
        <v>368</v>
      </c>
    </row>
    <row r="209" spans="1:36" x14ac:dyDescent="0.25">
      <c r="A209" s="3">
        <f>+'Mono ASIG'!A209</f>
        <v>1381.0953999999999</v>
      </c>
      <c r="B209" s="3">
        <f>+'Mono ASIG'!B209</f>
        <v>1378.9690000000001</v>
      </c>
      <c r="C209" s="1">
        <f>+'Mono ASIG'!C209</f>
        <v>2026</v>
      </c>
      <c r="D209" s="1">
        <f t="shared" ref="D209:D221" si="84">MONTH(G209)</f>
        <v>4</v>
      </c>
      <c r="E209" s="1">
        <v>16</v>
      </c>
      <c r="F209" s="1" t="str">
        <f>+'Mono ASIG'!F209</f>
        <v>mié</v>
      </c>
      <c r="G209" s="56">
        <f>+'Mono ASIG'!G209</f>
        <v>46120</v>
      </c>
      <c r="H209" s="17">
        <f t="shared" si="82"/>
        <v>50.598213854246744</v>
      </c>
      <c r="I209" s="17">
        <f t="shared" si="83"/>
        <v>36.152098266349789</v>
      </c>
      <c r="J209" s="17">
        <v>21.999999999999972</v>
      </c>
      <c r="K209" s="17">
        <v>21.999999999999972</v>
      </c>
      <c r="L209" s="17">
        <v>32</v>
      </c>
      <c r="M209" s="44">
        <f>SUMPRODUCT(H209:L209,'Fisico SPOT MAT'!H209:L209)*24</f>
        <v>8051031.0062600505</v>
      </c>
      <c r="N209" s="19">
        <f>+'Fisico SPOT MAT'!AG209</f>
        <v>16.146460829997679</v>
      </c>
      <c r="O209" s="19">
        <f t="shared" si="76"/>
        <v>13.722826086956522</v>
      </c>
      <c r="P209" s="19">
        <v>6</v>
      </c>
      <c r="Q209" s="19">
        <v>6</v>
      </c>
      <c r="R209" s="19">
        <v>0</v>
      </c>
      <c r="S209" s="44">
        <f>SUMPRODUCT(N209:R209,'Fisico SPOT MAT'!N209:R209)*E209</f>
        <v>3416652.0589311584</v>
      </c>
      <c r="T209" s="17"/>
      <c r="U209" s="17">
        <v>18</v>
      </c>
      <c r="V209" s="17">
        <v>60</v>
      </c>
      <c r="W209" s="28">
        <f>SUMPRODUCT(T209:V209,'Fisico SPOT MAT'!T209:V209)*24</f>
        <v>1232247.2399999991</v>
      </c>
      <c r="X209" s="19">
        <v>0</v>
      </c>
      <c r="Y209" s="19">
        <v>5</v>
      </c>
      <c r="Z209" s="19">
        <v>0</v>
      </c>
      <c r="AA209" s="28">
        <f>SUMPRODUCT(X209:Z209,'Fisico SPOT MAT'!X209:Z209)*E209</f>
        <v>33200</v>
      </c>
      <c r="AC209" s="115"/>
      <c r="AD209" s="41">
        <v>47.045165203041442</v>
      </c>
      <c r="AE209" s="42">
        <v>32.599049615144487</v>
      </c>
      <c r="AF209">
        <v>5050</v>
      </c>
      <c r="AG209" s="74">
        <f t="shared" ref="AG209:AG212" si="85">0.075*0.9*(AD209-7)</f>
        <v>2.7030486512052976</v>
      </c>
      <c r="AH209">
        <v>0</v>
      </c>
      <c r="AI209" s="41">
        <v>0.85</v>
      </c>
      <c r="AJ209">
        <v>368</v>
      </c>
    </row>
    <row r="210" spans="1:36" x14ac:dyDescent="0.25">
      <c r="A210" s="3">
        <f>+'Mono ASIG'!A210</f>
        <v>1381.0953999999999</v>
      </c>
      <c r="B210" s="3">
        <f>+'Mono ASIG'!B210</f>
        <v>1378.9690000000001</v>
      </c>
      <c r="C210" s="1">
        <f>+'Mono ASIG'!C210</f>
        <v>2026</v>
      </c>
      <c r="D210" s="1">
        <f t="shared" si="84"/>
        <v>4</v>
      </c>
      <c r="E210" s="1">
        <v>16</v>
      </c>
      <c r="F210" s="1" t="str">
        <f>+'Mono ASIG'!F210</f>
        <v>jue</v>
      </c>
      <c r="G210" s="56">
        <f>+'Mono ASIG'!G210</f>
        <v>46121</v>
      </c>
      <c r="H210" s="17">
        <f t="shared" si="82"/>
        <v>41.152257031745883</v>
      </c>
      <c r="I210" s="17">
        <f t="shared" si="83"/>
        <v>35.71975200570423</v>
      </c>
      <c r="J210" s="17">
        <v>21.999999999999972</v>
      </c>
      <c r="K210" s="17">
        <v>21.999999999999972</v>
      </c>
      <c r="L210" s="17">
        <v>32</v>
      </c>
      <c r="M210" s="44">
        <f>SUMPRODUCT(H210:L210,'Fisico SPOT MAT'!H210:L210)*24</f>
        <v>6443225.864678679</v>
      </c>
      <c r="N210" s="19">
        <f>+'Fisico SPOT MAT'!AG210</f>
        <v>16.184377654043054</v>
      </c>
      <c r="O210" s="19">
        <f>AF210/AJ210</f>
        <v>13.722826086956522</v>
      </c>
      <c r="P210" s="19">
        <v>6</v>
      </c>
      <c r="Q210" s="19">
        <v>6</v>
      </c>
      <c r="R210" s="19">
        <v>0</v>
      </c>
      <c r="S210" s="44">
        <f>SUMPRODUCT(N210:R210,'Fisico SPOT MAT'!N210:R210)*E210</f>
        <v>3488654.2407499989</v>
      </c>
      <c r="T210" s="17"/>
      <c r="U210" s="17">
        <v>18</v>
      </c>
      <c r="V210" s="17">
        <v>60</v>
      </c>
      <c r="W210" s="28">
        <f>SUMPRODUCT(T210:V210,'Fisico SPOT MAT'!T210:V210)*24</f>
        <v>1328349.8999999971</v>
      </c>
      <c r="X210" s="19">
        <v>0</v>
      </c>
      <c r="Y210" s="19">
        <v>5</v>
      </c>
      <c r="Z210" s="19">
        <v>0</v>
      </c>
      <c r="AA210" s="28">
        <f>SUMPRODUCT(X210:Z210,'Fisico SPOT MAT'!X210:Z210)*E210</f>
        <v>33200</v>
      </c>
      <c r="AC210" s="115"/>
      <c r="AD210" s="41">
        <v>38.196493706553518</v>
      </c>
      <c r="AE210" s="42">
        <v>32.763988680511865</v>
      </c>
      <c r="AF210">
        <v>5050</v>
      </c>
      <c r="AG210" s="74">
        <f t="shared" si="85"/>
        <v>2.1057633251923624</v>
      </c>
      <c r="AH210">
        <v>0</v>
      </c>
      <c r="AI210" s="41">
        <v>0.85</v>
      </c>
      <c r="AJ210">
        <v>368</v>
      </c>
    </row>
    <row r="211" spans="1:36" x14ac:dyDescent="0.25">
      <c r="A211" s="3">
        <f>+'Mono ASIG'!A211</f>
        <v>1381.0953999999999</v>
      </c>
      <c r="B211" s="3">
        <f>+'Mono ASIG'!B211</f>
        <v>1378.9690000000001</v>
      </c>
      <c r="C211" s="1">
        <f>+'Mono ASIG'!C211</f>
        <v>2026</v>
      </c>
      <c r="D211" s="1">
        <f t="shared" si="84"/>
        <v>4</v>
      </c>
      <c r="E211" s="1">
        <v>16</v>
      </c>
      <c r="F211" s="1" t="str">
        <f>+'Mono ASIG'!F211</f>
        <v>vie</v>
      </c>
      <c r="G211" s="56">
        <f>+'Mono ASIG'!G211</f>
        <v>46122</v>
      </c>
      <c r="H211" s="17">
        <f t="shared" si="82"/>
        <v>41.792011201171867</v>
      </c>
      <c r="I211" s="17">
        <f t="shared" si="83"/>
        <v>36.267964836435993</v>
      </c>
      <c r="J211" s="17">
        <v>21.999999999999993</v>
      </c>
      <c r="K211" s="17">
        <v>21.999999999999993</v>
      </c>
      <c r="L211" s="17">
        <v>32</v>
      </c>
      <c r="M211" s="44">
        <f>SUMPRODUCT(H211:L211,'Fisico SPOT MAT'!H211:L211)*24</f>
        <v>5854903.6814356288</v>
      </c>
      <c r="N211" s="19">
        <f>+'Fisico SPOT MAT'!AG211</f>
        <v>16.177633123188489</v>
      </c>
      <c r="O211" s="19">
        <f t="shared" si="76"/>
        <v>13.722826086956522</v>
      </c>
      <c r="P211" s="19">
        <v>6</v>
      </c>
      <c r="Q211" s="19">
        <v>6</v>
      </c>
      <c r="R211" s="19">
        <v>0</v>
      </c>
      <c r="S211" s="44">
        <f>SUMPRODUCT(N211:R211,'Fisico SPOT MAT'!N211:R211)*E211</f>
        <v>3475379.9764202894</v>
      </c>
      <c r="T211" s="17"/>
      <c r="U211" s="17">
        <v>18</v>
      </c>
      <c r="V211" s="17">
        <v>60</v>
      </c>
      <c r="W211" s="28">
        <f>SUMPRODUCT(T211:V211,'Fisico SPOT MAT'!T211:V211)*24</f>
        <v>2097198.8999999976</v>
      </c>
      <c r="X211" s="19">
        <v>0</v>
      </c>
      <c r="Y211" s="19">
        <v>5</v>
      </c>
      <c r="Z211" s="19">
        <v>0</v>
      </c>
      <c r="AA211" s="28">
        <f>SUMPRODUCT(X211:Z211,'Fisico SPOT MAT'!X211:Z211)*E211</f>
        <v>33205.566666666666</v>
      </c>
      <c r="AC211" s="115"/>
      <c r="AD211" s="41">
        <v>38.795795036226572</v>
      </c>
      <c r="AE211" s="42">
        <v>33.271748671490698</v>
      </c>
      <c r="AF211">
        <v>5050</v>
      </c>
      <c r="AG211" s="74">
        <f t="shared" si="85"/>
        <v>2.1462161649452938</v>
      </c>
      <c r="AH211">
        <v>0</v>
      </c>
      <c r="AI211" s="41">
        <v>0.85</v>
      </c>
      <c r="AJ211">
        <v>368</v>
      </c>
    </row>
    <row r="212" spans="1:36" x14ac:dyDescent="0.25">
      <c r="A212" s="3">
        <f>+'Mono ASIG'!A212</f>
        <v>1381.0953999999999</v>
      </c>
      <c r="B212" s="3">
        <f>+'Mono ASIG'!B212</f>
        <v>1378.9690000000001</v>
      </c>
      <c r="C212" s="1">
        <f>+'Mono ASIG'!C212</f>
        <v>2026</v>
      </c>
      <c r="D212" s="1">
        <f t="shared" si="84"/>
        <v>4</v>
      </c>
      <c r="E212" s="1">
        <v>6</v>
      </c>
      <c r="F212" s="1" t="str">
        <f>+'Mono ASIG'!F212</f>
        <v>sáb</v>
      </c>
      <c r="G212" s="56">
        <f>+'Mono ASIG'!G212</f>
        <v>46123</v>
      </c>
      <c r="H212" s="17">
        <f t="shared" si="82"/>
        <v>41.21842481804655</v>
      </c>
      <c r="I212" s="17">
        <f t="shared" si="83"/>
        <v>34.541129102974395</v>
      </c>
      <c r="J212" s="17">
        <v>21.999999999999968</v>
      </c>
      <c r="K212" s="17">
        <v>21.999999999999968</v>
      </c>
      <c r="L212" s="17">
        <v>32</v>
      </c>
      <c r="M212" s="44">
        <f>SUMPRODUCT(H212:L212,'Fisico SPOT MAT'!H212:L212)*24</f>
        <v>4050245.2114158655</v>
      </c>
      <c r="N212" s="19">
        <f>+'Fisico SPOT MAT'!AG212</f>
        <v>15.995688588512133</v>
      </c>
      <c r="O212" s="19">
        <f t="shared" si="76"/>
        <v>13.722826086956522</v>
      </c>
      <c r="P212" s="19">
        <v>6</v>
      </c>
      <c r="Q212" s="19">
        <v>6</v>
      </c>
      <c r="R212" s="19">
        <v>0</v>
      </c>
      <c r="S212" s="44">
        <f>SUMPRODUCT(N212:R212,'Fisico SPOT MAT'!N212:R212)*E212</f>
        <v>1186580.4072459233</v>
      </c>
      <c r="T212" s="17"/>
      <c r="U212" s="17">
        <v>18</v>
      </c>
      <c r="V212" s="17">
        <v>60</v>
      </c>
      <c r="W212" s="28">
        <f>SUMPRODUCT(T212:V212,'Fisico SPOT MAT'!T212:V212)*24</f>
        <v>2626948.8599999994</v>
      </c>
      <c r="X212" s="19">
        <v>0</v>
      </c>
      <c r="Y212" s="19">
        <v>5</v>
      </c>
      <c r="Z212" s="19">
        <v>0</v>
      </c>
      <c r="AA212" s="28">
        <f>SUMPRODUCT(X212:Z212,'Fisico SPOT MAT'!X212:Z212)*E212</f>
        <v>12450</v>
      </c>
      <c r="AC212" s="115"/>
      <c r="AD212" s="41">
        <v>38.258477581308242</v>
      </c>
      <c r="AE212" s="42">
        <v>31.581181866236086</v>
      </c>
      <c r="AF212">
        <v>5050</v>
      </c>
      <c r="AG212" s="74">
        <f t="shared" si="85"/>
        <v>2.1099472367383063</v>
      </c>
      <c r="AH212">
        <v>0</v>
      </c>
      <c r="AI212" s="41">
        <v>0.85</v>
      </c>
      <c r="AJ212">
        <v>368</v>
      </c>
    </row>
    <row r="213" spans="1:36" x14ac:dyDescent="0.25">
      <c r="A213" s="3">
        <f>+'Mono ASIG'!A213</f>
        <v>1381.0953999999999</v>
      </c>
      <c r="B213" s="3">
        <f>+'Mono ASIG'!B213</f>
        <v>1378.9690000000001</v>
      </c>
      <c r="C213" s="1">
        <f>+'Mono ASIG'!C213</f>
        <v>2026</v>
      </c>
      <c r="D213" s="1">
        <f t="shared" si="84"/>
        <v>4</v>
      </c>
      <c r="E213" s="1">
        <v>4</v>
      </c>
      <c r="F213" s="1" t="str">
        <f>+'Mono ASIG'!F213</f>
        <v>dom</v>
      </c>
      <c r="G213" s="56">
        <f>+'Mono ASIG'!G213</f>
        <v>46124</v>
      </c>
      <c r="H213" s="17">
        <f t="shared" si="82"/>
        <v>42.669471086406134</v>
      </c>
      <c r="I213" s="17">
        <f t="shared" si="83"/>
        <v>34.925004642335018</v>
      </c>
      <c r="J213" s="17">
        <v>22.000000000000011</v>
      </c>
      <c r="K213" s="17">
        <v>22.000000000000011</v>
      </c>
      <c r="L213" s="17">
        <v>32</v>
      </c>
      <c r="M213" s="44">
        <f>SUMPRODUCT(H213:L213,'Fisico SPOT MAT'!H213:L213)*24</f>
        <v>4190093.4941818006</v>
      </c>
      <c r="N213" s="19">
        <f>+'Fisico SPOT MAT'!AG213</f>
        <v>15.984184833452312</v>
      </c>
      <c r="O213" s="19">
        <f t="shared" si="76"/>
        <v>13.722826086956522</v>
      </c>
      <c r="P213" s="19">
        <v>6</v>
      </c>
      <c r="Q213" s="19">
        <v>6</v>
      </c>
      <c r="R213" s="19">
        <v>0</v>
      </c>
      <c r="S213" s="44">
        <f>SUMPRODUCT(N213:R213,'Fisico SPOT MAT'!N213:R213)*E213</f>
        <v>786079.67461141269</v>
      </c>
      <c r="T213" s="17"/>
      <c r="U213" s="17">
        <v>18</v>
      </c>
      <c r="V213" s="17">
        <v>60</v>
      </c>
      <c r="W213" s="28">
        <f>SUMPRODUCT(T213:V213,'Fisico SPOT MAT'!T213:V213)*24</f>
        <v>1856240.1899999981</v>
      </c>
      <c r="X213" s="19">
        <v>0</v>
      </c>
      <c r="Y213" s="19">
        <v>5</v>
      </c>
      <c r="Z213" s="19">
        <v>0</v>
      </c>
      <c r="AA213" s="28">
        <f>SUMPRODUCT(X213:Z213,'Fisico SPOT MAT'!X213:Z213)*E213</f>
        <v>8300</v>
      </c>
      <c r="AC213" s="115"/>
      <c r="AD213" s="41">
        <v>39.617771509513943</v>
      </c>
      <c r="AE213" s="42">
        <v>31.873305065442828</v>
      </c>
      <c r="AF213">
        <v>5050</v>
      </c>
      <c r="AG213" s="74">
        <f t="shared" ref="AG213:AG221" si="86">0.075*0.9*(AD213-7)</f>
        <v>2.2016995768921914</v>
      </c>
      <c r="AH213">
        <v>0</v>
      </c>
      <c r="AI213" s="41">
        <v>0.85</v>
      </c>
      <c r="AJ213">
        <v>368</v>
      </c>
    </row>
    <row r="214" spans="1:36" x14ac:dyDescent="0.25">
      <c r="A214" s="3">
        <f>+'Mono ASIG'!A214</f>
        <v>1381.0953999999999</v>
      </c>
      <c r="B214" s="3">
        <f>+'Mono ASIG'!B214</f>
        <v>1391.6890000000001</v>
      </c>
      <c r="C214" s="1">
        <f>+'Mono ASIG'!C214</f>
        <v>2026</v>
      </c>
      <c r="D214" s="1">
        <f t="shared" si="84"/>
        <v>4</v>
      </c>
      <c r="E214" s="1">
        <v>16</v>
      </c>
      <c r="F214" s="1" t="str">
        <f>+'Mono ASIG'!F214</f>
        <v>lun</v>
      </c>
      <c r="G214" s="56">
        <f>+'Mono ASIG'!G214</f>
        <v>46125</v>
      </c>
      <c r="H214" s="17">
        <f t="shared" si="82"/>
        <v>40.474570527050695</v>
      </c>
      <c r="I214" s="17">
        <f t="shared" si="83"/>
        <v>33.938293243421526</v>
      </c>
      <c r="J214" s="17">
        <v>22.000000000000014</v>
      </c>
      <c r="K214" s="17">
        <v>22.000000000000014</v>
      </c>
      <c r="L214" s="17">
        <v>32</v>
      </c>
      <c r="M214" s="44">
        <f>SUMPRODUCT(H214:L214,'Fisico SPOT MAT'!H214:L214)*24</f>
        <v>4514874.5591955762</v>
      </c>
      <c r="N214" s="19">
        <f>+'Fisico SPOT MAT'!AG214</f>
        <v>16.012433348942224</v>
      </c>
      <c r="O214" s="19">
        <f t="shared" si="76"/>
        <v>13.722826086956522</v>
      </c>
      <c r="P214" s="19">
        <v>6</v>
      </c>
      <c r="Q214" s="19">
        <v>6</v>
      </c>
      <c r="R214" s="19">
        <v>0</v>
      </c>
      <c r="S214" s="44">
        <f>SUMPRODUCT(N214:R214,'Fisico SPOT MAT'!N214:R214)*E214</f>
        <v>3186478.2804311584</v>
      </c>
      <c r="T214" s="17"/>
      <c r="U214" s="17">
        <v>18</v>
      </c>
      <c r="V214" s="17">
        <v>60</v>
      </c>
      <c r="W214" s="28">
        <f>SUMPRODUCT(T214:V214,'Fisico SPOT MAT'!T214:V214)*24</f>
        <v>1981393.6800000002</v>
      </c>
      <c r="X214" s="19">
        <v>0</v>
      </c>
      <c r="Y214" s="19">
        <v>5</v>
      </c>
      <c r="Z214" s="19">
        <v>0</v>
      </c>
      <c r="AA214" s="28">
        <f>SUMPRODUCT(X214:Z214,'Fisico SPOT MAT'!X214:Z214)*E214</f>
        <v>33200</v>
      </c>
      <c r="AC214" s="115"/>
      <c r="AD214" s="41">
        <v>37.561658573349597</v>
      </c>
      <c r="AE214" s="42">
        <v>31.025381289720425</v>
      </c>
      <c r="AF214">
        <v>5050</v>
      </c>
      <c r="AG214" s="74">
        <f t="shared" si="86"/>
        <v>2.0629119537010978</v>
      </c>
      <c r="AH214">
        <v>0</v>
      </c>
      <c r="AI214" s="41">
        <v>0.85</v>
      </c>
      <c r="AJ214">
        <v>368</v>
      </c>
    </row>
    <row r="215" spans="1:36" x14ac:dyDescent="0.25">
      <c r="A215" s="3">
        <f>+'Mono ASIG'!A215</f>
        <v>1381.0953999999999</v>
      </c>
      <c r="B215" s="3">
        <f>+'Mono ASIG'!B215</f>
        <v>1391.6890000000001</v>
      </c>
      <c r="C215" s="1">
        <f>+'Mono ASIG'!C215</f>
        <v>2026</v>
      </c>
      <c r="D215" s="1">
        <f t="shared" si="84"/>
        <v>4</v>
      </c>
      <c r="E215" s="1">
        <v>16</v>
      </c>
      <c r="F215" s="1" t="str">
        <f>+'Mono ASIG'!F215</f>
        <v>mar</v>
      </c>
      <c r="G215" s="56">
        <f>+'Mono ASIG'!G215</f>
        <v>46126</v>
      </c>
      <c r="H215" s="17">
        <f t="shared" si="82"/>
        <v>41.697852861447565</v>
      </c>
      <c r="I215" s="17">
        <f t="shared" si="83"/>
        <v>34.585124658032477</v>
      </c>
      <c r="J215" s="17">
        <v>22.000000000000025</v>
      </c>
      <c r="K215" s="17">
        <v>22.000000000000025</v>
      </c>
      <c r="L215" s="17">
        <v>32</v>
      </c>
      <c r="M215" s="44">
        <f>SUMPRODUCT(H215:L215,'Fisico SPOT MAT'!H215:L215)*24</f>
        <v>5029600.5140294442</v>
      </c>
      <c r="N215" s="19">
        <f>+'Fisico SPOT MAT'!AG215</f>
        <v>16.044084309791103</v>
      </c>
      <c r="O215" s="19">
        <f t="shared" si="76"/>
        <v>13.722826086956522</v>
      </c>
      <c r="P215" s="19">
        <v>6</v>
      </c>
      <c r="Q215" s="19">
        <v>6</v>
      </c>
      <c r="R215" s="19">
        <v>0</v>
      </c>
      <c r="S215" s="44">
        <f>SUMPRODUCT(N215:R215,'Fisico SPOT MAT'!N215:R215)*E215</f>
        <v>3251646.6425905777</v>
      </c>
      <c r="T215" s="17"/>
      <c r="U215" s="17">
        <v>18</v>
      </c>
      <c r="V215" s="17">
        <v>60</v>
      </c>
      <c r="W215" s="28">
        <f>SUMPRODUCT(T215:V215,'Fisico SPOT MAT'!T215:V215)*24</f>
        <v>2149908.3300000024</v>
      </c>
      <c r="X215" s="19">
        <v>0</v>
      </c>
      <c r="Y215" s="19">
        <v>5</v>
      </c>
      <c r="Z215" s="19">
        <v>0</v>
      </c>
      <c r="AA215" s="28">
        <f>SUMPRODUCT(X215:Z215,'Fisico SPOT MAT'!X215:Z215)*E215</f>
        <v>33200</v>
      </c>
      <c r="AC215" s="115"/>
      <c r="AD215" s="41">
        <v>38.70759050252699</v>
      </c>
      <c r="AE215" s="42">
        <v>31.594862299111902</v>
      </c>
      <c r="AF215">
        <v>5050</v>
      </c>
      <c r="AG215" s="74">
        <f t="shared" si="86"/>
        <v>2.1402623589205718</v>
      </c>
      <c r="AH215">
        <v>0</v>
      </c>
      <c r="AI215" s="41">
        <v>0.85</v>
      </c>
      <c r="AJ215">
        <v>368</v>
      </c>
    </row>
    <row r="216" spans="1:36" x14ac:dyDescent="0.25">
      <c r="A216" s="3">
        <f>+'Mono ASIG'!A216</f>
        <v>1381.0953999999999</v>
      </c>
      <c r="B216" s="3">
        <f>+'Mono ASIG'!B216</f>
        <v>1391.6890000000001</v>
      </c>
      <c r="C216" s="1">
        <f>+'Mono ASIG'!C216</f>
        <v>2026</v>
      </c>
      <c r="D216" s="1">
        <f t="shared" si="84"/>
        <v>4</v>
      </c>
      <c r="E216" s="1">
        <v>16</v>
      </c>
      <c r="F216" s="1" t="str">
        <f>+'Mono ASIG'!F216</f>
        <v>mié</v>
      </c>
      <c r="G216" s="56">
        <f>+'Mono ASIG'!G216</f>
        <v>46127</v>
      </c>
      <c r="H216" s="17">
        <f t="shared" si="82"/>
        <v>41.024414291875615</v>
      </c>
      <c r="I216" s="17">
        <f t="shared" si="83"/>
        <v>33.90871992804928</v>
      </c>
      <c r="J216" s="17">
        <v>21.999999999999986</v>
      </c>
      <c r="K216" s="17">
        <v>21.999999999999986</v>
      </c>
      <c r="L216" s="17">
        <v>32</v>
      </c>
      <c r="M216" s="44">
        <f>SUMPRODUCT(H216:L216,'Fisico SPOT MAT'!H216:L216)*24</f>
        <v>6066795.1468895497</v>
      </c>
      <c r="N216" s="19">
        <f>+'Fisico SPOT MAT'!AG216</f>
        <v>16.041627948145148</v>
      </c>
      <c r="O216" s="19">
        <f t="shared" si="76"/>
        <v>13.722826086956522</v>
      </c>
      <c r="P216" s="19">
        <v>6</v>
      </c>
      <c r="Q216" s="19">
        <v>6</v>
      </c>
      <c r="R216" s="19">
        <v>0</v>
      </c>
      <c r="S216" s="44">
        <f>SUMPRODUCT(N216:R216,'Fisico SPOT MAT'!N216:R216)*E216</f>
        <v>3266055.9168659411</v>
      </c>
      <c r="T216" s="17"/>
      <c r="U216" s="17">
        <v>18</v>
      </c>
      <c r="V216" s="17">
        <v>60</v>
      </c>
      <c r="W216" s="28">
        <f>SUMPRODUCT(T216:V216,'Fisico SPOT MAT'!T216:V216)*24</f>
        <v>1125171.6780000012</v>
      </c>
      <c r="X216" s="19">
        <v>0</v>
      </c>
      <c r="Y216" s="19">
        <v>5</v>
      </c>
      <c r="Z216" s="19">
        <v>0</v>
      </c>
      <c r="AA216" s="28">
        <f>SUMPRODUCT(X216:Z216,'Fisico SPOT MAT'!X216:Z216)*E216</f>
        <v>33200</v>
      </c>
      <c r="AC216" s="115"/>
      <c r="AD216" s="41">
        <v>38.076734699649286</v>
      </c>
      <c r="AE216" s="42">
        <v>30.96104033582295</v>
      </c>
      <c r="AF216">
        <v>5050</v>
      </c>
      <c r="AG216" s="74">
        <f t="shared" si="86"/>
        <v>2.0976795922263269</v>
      </c>
      <c r="AH216">
        <v>0</v>
      </c>
      <c r="AI216" s="41">
        <v>0.85</v>
      </c>
      <c r="AJ216">
        <v>368</v>
      </c>
    </row>
    <row r="217" spans="1:36" x14ac:dyDescent="0.25">
      <c r="A217" s="3">
        <f>+'Mono ASIG'!A217</f>
        <v>1381.0953999999999</v>
      </c>
      <c r="B217" s="3">
        <f>+'Mono ASIG'!B217</f>
        <v>1391.6890000000001</v>
      </c>
      <c r="C217" s="1">
        <f>+'Mono ASIG'!C217</f>
        <v>2026</v>
      </c>
      <c r="D217" s="1">
        <f t="shared" si="84"/>
        <v>4</v>
      </c>
      <c r="E217" s="1">
        <v>16</v>
      </c>
      <c r="F217" s="1" t="str">
        <f>+'Mono ASIG'!F217</f>
        <v>jue</v>
      </c>
      <c r="G217" s="56">
        <f>+'Mono ASIG'!G217</f>
        <v>46128</v>
      </c>
      <c r="H217" s="17">
        <f t="shared" si="82"/>
        <v>41.313288890914187</v>
      </c>
      <c r="I217" s="17">
        <f t="shared" si="83"/>
        <v>33.926198282186341</v>
      </c>
      <c r="J217" s="17">
        <v>22.000000000000025</v>
      </c>
      <c r="K217" s="17">
        <v>22.000000000000025</v>
      </c>
      <c r="L217" s="17">
        <v>32</v>
      </c>
      <c r="M217" s="44">
        <f>SUMPRODUCT(H217:L217,'Fisico SPOT MAT'!H217:L217)*24</f>
        <v>6209880.7185738888</v>
      </c>
      <c r="N217" s="19">
        <f>+'Fisico SPOT MAT'!AG217</f>
        <v>16.040249480172772</v>
      </c>
      <c r="O217" s="19">
        <f t="shared" si="76"/>
        <v>13.722826086956522</v>
      </c>
      <c r="P217" s="19">
        <v>6</v>
      </c>
      <c r="Q217" s="19">
        <v>6</v>
      </c>
      <c r="R217" s="19">
        <v>0</v>
      </c>
      <c r="S217" s="44">
        <f>SUMPRODUCT(N217:R217,'Fisico SPOT MAT'!N217:R217)*E217</f>
        <v>3260369.7264927519</v>
      </c>
      <c r="T217" s="17"/>
      <c r="U217" s="17">
        <v>18</v>
      </c>
      <c r="V217" s="17">
        <v>60</v>
      </c>
      <c r="W217" s="28">
        <f>SUMPRODUCT(T217:V217,'Fisico SPOT MAT'!T217:V217)*24</f>
        <v>1207621.5239999997</v>
      </c>
      <c r="X217" s="19">
        <v>0</v>
      </c>
      <c r="Y217" s="19">
        <v>5</v>
      </c>
      <c r="Z217" s="19">
        <v>0</v>
      </c>
      <c r="AA217" s="28">
        <f>SUMPRODUCT(X217:Z217,'Fisico SPOT MAT'!X217:Z217)*E217</f>
        <v>33200</v>
      </c>
      <c r="AC217" s="115"/>
      <c r="AD217" s="41">
        <v>38.347343223338818</v>
      </c>
      <c r="AE217" s="42">
        <v>30.960252614610972</v>
      </c>
      <c r="AF217">
        <v>5050</v>
      </c>
      <c r="AG217" s="74">
        <f t="shared" si="86"/>
        <v>2.1159456675753705</v>
      </c>
      <c r="AH217">
        <v>0</v>
      </c>
      <c r="AI217" s="41">
        <v>0.85</v>
      </c>
      <c r="AJ217">
        <v>368</v>
      </c>
    </row>
    <row r="218" spans="1:36" x14ac:dyDescent="0.25">
      <c r="A218" s="3">
        <f>+'Mono ASIG'!A218</f>
        <v>1381.0953999999999</v>
      </c>
      <c r="B218" s="3">
        <f>+'Mono ASIG'!B218</f>
        <v>1391.6890000000001</v>
      </c>
      <c r="C218" s="1">
        <f>+'Mono ASIG'!C218</f>
        <v>2026</v>
      </c>
      <c r="D218" s="1">
        <f t="shared" si="84"/>
        <v>4</v>
      </c>
      <c r="E218" s="1">
        <v>16</v>
      </c>
      <c r="F218" s="1" t="str">
        <f>+'Mono ASIG'!F218</f>
        <v>vie</v>
      </c>
      <c r="G218" s="56">
        <f>+'Mono ASIG'!G218</f>
        <v>46129</v>
      </c>
      <c r="H218" s="17">
        <f t="shared" si="82"/>
        <v>41.791280886173531</v>
      </c>
      <c r="I218" s="17">
        <f t="shared" si="83"/>
        <v>34.124428055099223</v>
      </c>
      <c r="J218" s="17">
        <v>22.000000000000004</v>
      </c>
      <c r="K218" s="17">
        <v>22.000000000000004</v>
      </c>
      <c r="L218" s="17">
        <v>32</v>
      </c>
      <c r="M218" s="44">
        <f>SUMPRODUCT(H218:L218,'Fisico SPOT MAT'!H218:L218)*24</f>
        <v>5845448.6353473598</v>
      </c>
      <c r="N218" s="19">
        <f>+'Fisico SPOT MAT'!AG218</f>
        <v>15.96647194733341</v>
      </c>
      <c r="O218" s="19">
        <f t="shared" si="76"/>
        <v>13.722826086956522</v>
      </c>
      <c r="P218" s="19">
        <v>6</v>
      </c>
      <c r="Q218" s="19">
        <v>6</v>
      </c>
      <c r="R218" s="19">
        <v>0</v>
      </c>
      <c r="S218" s="44">
        <f>SUMPRODUCT(N218:R218,'Fisico SPOT MAT'!N218:R218)*E218</f>
        <v>3145719.4494637656</v>
      </c>
      <c r="T218" s="17"/>
      <c r="U218" s="17">
        <v>18</v>
      </c>
      <c r="V218" s="17">
        <v>60</v>
      </c>
      <c r="W218" s="28">
        <f>SUMPRODUCT(T218:V218,'Fisico SPOT MAT'!T218:V218)*24</f>
        <v>1538325.8760000002</v>
      </c>
      <c r="X218" s="19">
        <v>0</v>
      </c>
      <c r="Y218" s="19">
        <v>5</v>
      </c>
      <c r="Z218" s="19">
        <v>0</v>
      </c>
      <c r="AA218" s="28">
        <f>SUMPRODUCT(X218:Z218,'Fisico SPOT MAT'!X218:Z218)*E218</f>
        <v>33200</v>
      </c>
      <c r="AC218" s="115"/>
      <c r="AD218" s="41">
        <v>38.79511090039675</v>
      </c>
      <c r="AE218" s="42">
        <v>31.128258069322442</v>
      </c>
      <c r="AF218">
        <v>5050</v>
      </c>
      <c r="AG218" s="74">
        <f t="shared" si="86"/>
        <v>2.1461699857767806</v>
      </c>
      <c r="AH218">
        <v>0</v>
      </c>
      <c r="AI218" s="41">
        <v>0.85</v>
      </c>
      <c r="AJ218">
        <v>368</v>
      </c>
    </row>
    <row r="219" spans="1:36" x14ac:dyDescent="0.25">
      <c r="A219" s="3">
        <f>+'Mono ASIG'!A219</f>
        <v>1381.0953999999999</v>
      </c>
      <c r="B219" s="3">
        <f>+'Mono ASIG'!B219</f>
        <v>1391.6890000000001</v>
      </c>
      <c r="C219" s="1">
        <f>+'Mono ASIG'!C219</f>
        <v>2026</v>
      </c>
      <c r="D219" s="1">
        <f t="shared" si="84"/>
        <v>4</v>
      </c>
      <c r="E219" s="1">
        <v>6</v>
      </c>
      <c r="F219" s="1" t="str">
        <f>+'Mono ASIG'!F219</f>
        <v>sáb</v>
      </c>
      <c r="G219" s="56">
        <f>+'Mono ASIG'!G219</f>
        <v>46130</v>
      </c>
      <c r="H219" s="17">
        <f t="shared" si="82"/>
        <v>41.731773265529803</v>
      </c>
      <c r="I219" s="17">
        <f t="shared" si="83"/>
        <v>34.634669157916264</v>
      </c>
      <c r="J219" s="17">
        <v>21.999999999999993</v>
      </c>
      <c r="K219" s="17">
        <v>21.999999999999993</v>
      </c>
      <c r="L219" s="17">
        <v>32</v>
      </c>
      <c r="M219" s="44">
        <f>SUMPRODUCT(H219:L219,'Fisico SPOT MAT'!H219:L219)*24</f>
        <v>5821084.9573415155</v>
      </c>
      <c r="N219" s="19">
        <f>+'Fisico SPOT MAT'!AG219</f>
        <v>15.967026551072463</v>
      </c>
      <c r="O219" s="19">
        <f t="shared" si="76"/>
        <v>13.722826086956522</v>
      </c>
      <c r="P219" s="19">
        <v>6</v>
      </c>
      <c r="Q219" s="19">
        <v>6</v>
      </c>
      <c r="R219" s="19">
        <v>0</v>
      </c>
      <c r="S219" s="44">
        <f>SUMPRODUCT(N219:R219,'Fisico SPOT MAT'!N219:R219)*E219</f>
        <v>1179027.885582879</v>
      </c>
      <c r="T219" s="17"/>
      <c r="U219" s="17">
        <v>18</v>
      </c>
      <c r="V219" s="17">
        <v>60</v>
      </c>
      <c r="W219" s="28">
        <f>SUMPRODUCT(T219:V219,'Fisico SPOT MAT'!T219:V219)*24</f>
        <v>1739151.7859999996</v>
      </c>
      <c r="X219" s="19">
        <v>0</v>
      </c>
      <c r="Y219" s="19">
        <v>5</v>
      </c>
      <c r="Z219" s="19">
        <v>0</v>
      </c>
      <c r="AA219" s="28">
        <f>SUMPRODUCT(X219:Z219,'Fisico SPOT MAT'!X219:Z219)*E219</f>
        <v>12450</v>
      </c>
      <c r="AC219" s="115"/>
      <c r="AD219" s="41">
        <v>38.739366056702387</v>
      </c>
      <c r="AE219" s="42">
        <v>31.642261949088851</v>
      </c>
      <c r="AF219">
        <v>5050</v>
      </c>
      <c r="AG219" s="74">
        <f t="shared" si="86"/>
        <v>2.1424072088274113</v>
      </c>
      <c r="AH219">
        <v>0</v>
      </c>
      <c r="AI219" s="41">
        <v>0.85</v>
      </c>
      <c r="AJ219">
        <v>368</v>
      </c>
    </row>
    <row r="220" spans="1:36" x14ac:dyDescent="0.25">
      <c r="A220" s="3">
        <f>+'Mono ASIG'!A220</f>
        <v>1381.0953999999999</v>
      </c>
      <c r="B220" s="3">
        <f>+'Mono ASIG'!B220</f>
        <v>1391.6890000000001</v>
      </c>
      <c r="C220" s="1">
        <f>+'Mono ASIG'!C220</f>
        <v>2026</v>
      </c>
      <c r="D220" s="1">
        <f t="shared" si="84"/>
        <v>4</v>
      </c>
      <c r="E220" s="1">
        <v>4</v>
      </c>
      <c r="F220" s="1" t="str">
        <f>+'Mono ASIG'!F220</f>
        <v>dom</v>
      </c>
      <c r="G220" s="56">
        <f>+'Mono ASIG'!G220</f>
        <v>46131</v>
      </c>
      <c r="H220" s="17">
        <f t="shared" si="82"/>
        <v>41.444620610241898</v>
      </c>
      <c r="I220" s="17">
        <f t="shared" si="83"/>
        <v>35.258539923403298</v>
      </c>
      <c r="J220" s="17">
        <v>22.000000000000025</v>
      </c>
      <c r="K220" s="17">
        <v>22.000000000000025</v>
      </c>
      <c r="L220" s="17">
        <v>32</v>
      </c>
      <c r="M220" s="44">
        <f>SUMPRODUCT(H220:L220,'Fisico SPOT MAT'!H220:L220)*24</f>
        <v>5408459.4806227647</v>
      </c>
      <c r="N220" s="19">
        <f>+'Fisico SPOT MAT'!AG220</f>
        <v>16.044930683458627</v>
      </c>
      <c r="O220" s="19">
        <f t="shared" si="76"/>
        <v>13.722826086956522</v>
      </c>
      <c r="P220" s="19">
        <v>6</v>
      </c>
      <c r="Q220" s="19">
        <v>6</v>
      </c>
      <c r="R220" s="19">
        <v>0</v>
      </c>
      <c r="S220" s="44">
        <f>SUMPRODUCT(N220:R220,'Fisico SPOT MAT'!N220:R220)*E220</f>
        <v>814840.93359057896</v>
      </c>
      <c r="T220" s="17"/>
      <c r="U220" s="17">
        <v>18</v>
      </c>
      <c r="V220" s="17">
        <v>60</v>
      </c>
      <c r="W220" s="28">
        <f>SUMPRODUCT(T220:V220,'Fisico SPOT MAT'!T220:V220)*24</f>
        <v>1698465.6120000007</v>
      </c>
      <c r="X220" s="19">
        <v>0</v>
      </c>
      <c r="Y220" s="19">
        <v>5</v>
      </c>
      <c r="Z220" s="19">
        <v>0</v>
      </c>
      <c r="AA220" s="28">
        <f>SUMPRODUCT(X220:Z220,'Fisico SPOT MAT'!X220:Z220)*E220</f>
        <v>8300</v>
      </c>
      <c r="AC220" s="115"/>
      <c r="AD220" s="41">
        <v>38.470370595074378</v>
      </c>
      <c r="AE220" s="42">
        <v>32.284289908235777</v>
      </c>
      <c r="AF220">
        <v>5050</v>
      </c>
      <c r="AG220" s="74">
        <f t="shared" si="86"/>
        <v>2.1242500151675205</v>
      </c>
      <c r="AH220">
        <v>0</v>
      </c>
      <c r="AI220" s="41">
        <v>0.85</v>
      </c>
      <c r="AJ220">
        <v>368</v>
      </c>
    </row>
    <row r="221" spans="1:36" x14ac:dyDescent="0.25">
      <c r="A221" s="3">
        <f>+'Mono ASIG'!A221</f>
        <v>1381.0953999999999</v>
      </c>
      <c r="B221" s="3">
        <f>+'Mono ASIG'!B221</f>
        <v>1391.6890000000001</v>
      </c>
      <c r="C221" s="1">
        <f>+'Mono ASIG'!C221</f>
        <v>2026</v>
      </c>
      <c r="D221" s="1">
        <f t="shared" si="84"/>
        <v>4</v>
      </c>
      <c r="E221" s="1">
        <v>16</v>
      </c>
      <c r="F221" s="1" t="str">
        <f>+'Mono ASIG'!F221</f>
        <v>lun</v>
      </c>
      <c r="G221" s="56">
        <f>+'Mono ASIG'!G221</f>
        <v>46132</v>
      </c>
      <c r="H221" s="17">
        <f t="shared" si="82"/>
        <v>43.657205219586729</v>
      </c>
      <c r="I221" s="17">
        <f t="shared" si="83"/>
        <v>34.876195400380276</v>
      </c>
      <c r="J221" s="17">
        <v>21.999999999999975</v>
      </c>
      <c r="K221" s="17">
        <v>21.999999999999975</v>
      </c>
      <c r="L221" s="17">
        <v>32</v>
      </c>
      <c r="M221" s="44">
        <f>SUMPRODUCT(H221:L221,'Fisico SPOT MAT'!H221:L221)*24</f>
        <v>6271669.3412844809</v>
      </c>
      <c r="N221" s="19">
        <f>+'Fisico SPOT MAT'!AG221</f>
        <v>16.035430398829114</v>
      </c>
      <c r="O221" s="19">
        <f t="shared" si="76"/>
        <v>13.722826086956522</v>
      </c>
      <c r="P221" s="19">
        <v>6</v>
      </c>
      <c r="Q221" s="19">
        <v>6</v>
      </c>
      <c r="R221" s="19">
        <v>0</v>
      </c>
      <c r="S221" s="44">
        <f>SUMPRODUCT(N221:R221,'Fisico SPOT MAT'!N221:R221)*E221</f>
        <v>3218597.0280869547</v>
      </c>
      <c r="T221" s="17"/>
      <c r="U221" s="17">
        <v>18</v>
      </c>
      <c r="V221" s="17">
        <v>60</v>
      </c>
      <c r="W221" s="28">
        <f>SUMPRODUCT(T221:V221,'Fisico SPOT MAT'!T221:V221)*24</f>
        <v>1203660.1199999996</v>
      </c>
      <c r="X221" s="19">
        <v>0</v>
      </c>
      <c r="Y221" s="19">
        <v>5</v>
      </c>
      <c r="Z221" s="19">
        <v>0</v>
      </c>
      <c r="AA221" s="28">
        <f>SUMPRODUCT(X221:Z221,'Fisico SPOT MAT'!X221:Z221)*E221</f>
        <v>33200</v>
      </c>
      <c r="AC221" s="115"/>
      <c r="AD221" s="41">
        <v>40.543049386029722</v>
      </c>
      <c r="AE221" s="42">
        <v>31.762039566823269</v>
      </c>
      <c r="AF221">
        <v>5050</v>
      </c>
      <c r="AG221" s="74">
        <f t="shared" si="86"/>
        <v>2.2641558335570062</v>
      </c>
      <c r="AH221">
        <v>0</v>
      </c>
      <c r="AI221" s="41">
        <v>0.85</v>
      </c>
      <c r="AJ221">
        <v>368</v>
      </c>
    </row>
    <row r="222" spans="1:36" x14ac:dyDescent="0.25">
      <c r="A222" s="3">
        <f>+'Mono ASIG'!A222</f>
        <v>1381.0953999999999</v>
      </c>
      <c r="B222" s="3">
        <f>+'Mono ASIG'!B222</f>
        <v>1391.6890000000001</v>
      </c>
      <c r="C222" s="1">
        <f>+'Mono ASIG'!C222</f>
        <v>2026</v>
      </c>
      <c r="D222" s="1">
        <f t="shared" ref="D222:D226" si="87">MONTH(G222)</f>
        <v>4</v>
      </c>
      <c r="E222" s="1">
        <v>16</v>
      </c>
      <c r="F222" s="1" t="str">
        <f>+'Mono ASIG'!F222</f>
        <v>mar</v>
      </c>
      <c r="G222" s="56">
        <f>+'Mono ASIG'!G222</f>
        <v>46133</v>
      </c>
      <c r="H222" s="17">
        <f t="shared" ref="H222:H226" si="88">+AD222+AG222+AH222+AI222</f>
        <v>41.746604968129283</v>
      </c>
      <c r="I222" s="17">
        <f t="shared" ref="I222:I226" si="89">+AE222+AG222+AH222+AI222</f>
        <v>34.785066578433614</v>
      </c>
      <c r="J222" s="17">
        <v>21.999999999999972</v>
      </c>
      <c r="K222" s="17">
        <v>21.999999999999972</v>
      </c>
      <c r="L222" s="17">
        <v>32</v>
      </c>
      <c r="M222" s="44">
        <f>SUMPRODUCT(H222:L222,'Fisico SPOT MAT'!H222:L222)*24</f>
        <v>6384398.6621437985</v>
      </c>
      <c r="N222" s="19">
        <f>+'Fisico SPOT MAT'!AG222</f>
        <v>16.087365174187237</v>
      </c>
      <c r="O222" s="19">
        <f t="shared" si="76"/>
        <v>13.722826086956522</v>
      </c>
      <c r="P222" s="19">
        <v>6</v>
      </c>
      <c r="Q222" s="19">
        <v>6</v>
      </c>
      <c r="R222" s="19">
        <v>0</v>
      </c>
      <c r="S222" s="44">
        <f>SUMPRODUCT(N222:R222,'Fisico SPOT MAT'!N222:R222)*E222</f>
        <v>3300226.8418333307</v>
      </c>
      <c r="T222" s="17"/>
      <c r="U222" s="17">
        <v>18</v>
      </c>
      <c r="V222" s="17">
        <v>60</v>
      </c>
      <c r="W222" s="28">
        <f>SUMPRODUCT(T222:V222,'Fisico SPOT MAT'!T222:V222)*24</f>
        <v>1506057.8760000011</v>
      </c>
      <c r="X222" s="19">
        <v>0</v>
      </c>
      <c r="Y222" s="19">
        <v>5</v>
      </c>
      <c r="Z222" s="19">
        <v>0</v>
      </c>
      <c r="AA222" s="28">
        <f>SUMPRODUCT(X222:Z222,'Fisico SPOT MAT'!X222:Z222)*E222</f>
        <v>33200</v>
      </c>
      <c r="AC222" s="115"/>
      <c r="AD222" s="41">
        <v>38.753259923306118</v>
      </c>
      <c r="AE222" s="42">
        <v>31.791721533610453</v>
      </c>
      <c r="AF222">
        <v>5050</v>
      </c>
      <c r="AG222" s="74">
        <f t="shared" ref="AG222:AG226" si="90">0.075*0.9*(AD222-7)</f>
        <v>2.143345044823163</v>
      </c>
      <c r="AH222">
        <v>0</v>
      </c>
      <c r="AI222" s="41">
        <v>0.85</v>
      </c>
      <c r="AJ222">
        <v>368</v>
      </c>
    </row>
    <row r="223" spans="1:36" x14ac:dyDescent="0.25">
      <c r="A223" s="3">
        <f>+'Mono ASIG'!A223</f>
        <v>1381.0953999999999</v>
      </c>
      <c r="B223" s="3">
        <f>+'Mono ASIG'!B223</f>
        <v>1391.6890000000001</v>
      </c>
      <c r="C223" s="1">
        <f>+'Mono ASIG'!C223</f>
        <v>2026</v>
      </c>
      <c r="D223" s="1">
        <f t="shared" si="87"/>
        <v>4</v>
      </c>
      <c r="E223" s="1">
        <v>16</v>
      </c>
      <c r="F223" s="1" t="str">
        <f>+'Mono ASIG'!F223</f>
        <v>mié</v>
      </c>
      <c r="G223" s="56">
        <f>+'Mono ASIG'!G223</f>
        <v>46134</v>
      </c>
      <c r="H223" s="17">
        <f t="shared" si="88"/>
        <v>46.648089943955341</v>
      </c>
      <c r="I223" s="17">
        <f t="shared" si="89"/>
        <v>34.965511118404343</v>
      </c>
      <c r="J223" s="17">
        <v>21.999999999999972</v>
      </c>
      <c r="K223" s="17">
        <v>21.999999999999972</v>
      </c>
      <c r="L223" s="17">
        <v>32</v>
      </c>
      <c r="M223" s="44">
        <f>SUMPRODUCT(H223:L223,'Fisico SPOT MAT'!H223:L223)*24</f>
        <v>6514994.628223123</v>
      </c>
      <c r="N223" s="19">
        <f>+'Fisico SPOT MAT'!AG223</f>
        <v>16.172625459854892</v>
      </c>
      <c r="O223" s="19">
        <f t="shared" si="76"/>
        <v>13.722826086956522</v>
      </c>
      <c r="P223" s="19">
        <v>6</v>
      </c>
      <c r="Q223" s="19">
        <v>6</v>
      </c>
      <c r="R223" s="19">
        <v>0</v>
      </c>
      <c r="S223" s="44">
        <f>SUMPRODUCT(N223:R223,'Fisico SPOT MAT'!N223:R223)*E223</f>
        <v>3462107.1705362336</v>
      </c>
      <c r="T223" s="17"/>
      <c r="U223" s="17">
        <v>18</v>
      </c>
      <c r="V223" s="17">
        <v>60</v>
      </c>
      <c r="W223" s="28">
        <f>SUMPRODUCT(T223:V223,'Fisico SPOT MAT'!T223:V223)*24</f>
        <v>2125759.2480000025</v>
      </c>
      <c r="X223" s="19">
        <v>0</v>
      </c>
      <c r="Y223" s="19">
        <v>5</v>
      </c>
      <c r="Z223" s="19">
        <v>0</v>
      </c>
      <c r="AA223" s="28">
        <f>SUMPRODUCT(X223:Z223,'Fisico SPOT MAT'!X223:Z223)*E223</f>
        <v>33200</v>
      </c>
      <c r="AC223" s="115"/>
      <c r="AD223" s="41">
        <v>43.344814935789543</v>
      </c>
      <c r="AE223" s="42">
        <v>31.662236110238549</v>
      </c>
      <c r="AF223">
        <v>5050</v>
      </c>
      <c r="AG223" s="74">
        <f t="shared" si="90"/>
        <v>2.4532750081657944</v>
      </c>
      <c r="AH223">
        <v>0</v>
      </c>
      <c r="AI223" s="41">
        <v>0.85</v>
      </c>
      <c r="AJ223">
        <v>368</v>
      </c>
    </row>
    <row r="224" spans="1:36" x14ac:dyDescent="0.25">
      <c r="A224" s="3">
        <f>+'Mono ASIG'!A224</f>
        <v>1381.0953999999999</v>
      </c>
      <c r="B224" s="3">
        <f>+'Mono ASIG'!B224</f>
        <v>1391.6890000000001</v>
      </c>
      <c r="C224" s="1">
        <f>+'Mono ASIG'!C224</f>
        <v>2026</v>
      </c>
      <c r="D224" s="1">
        <f t="shared" si="87"/>
        <v>4</v>
      </c>
      <c r="E224" s="1">
        <v>16</v>
      </c>
      <c r="F224" s="1" t="str">
        <f>+'Mono ASIG'!F224</f>
        <v>jue</v>
      </c>
      <c r="G224" s="56">
        <f>+'Mono ASIG'!G224</f>
        <v>46135</v>
      </c>
      <c r="H224" s="17">
        <f t="shared" si="88"/>
        <v>52.031756554634214</v>
      </c>
      <c r="I224" s="17">
        <f t="shared" si="89"/>
        <v>35.117118027315755</v>
      </c>
      <c r="J224" s="17">
        <v>21.999999999999972</v>
      </c>
      <c r="K224" s="17">
        <v>21.999999999999972</v>
      </c>
      <c r="L224" s="17">
        <v>32</v>
      </c>
      <c r="M224" s="44">
        <f>SUMPRODUCT(H224:L224,'Fisico SPOT MAT'!H224:L224)*24</f>
        <v>7935992.0472284835</v>
      </c>
      <c r="N224" s="19">
        <f>+'Fisico SPOT MAT'!AG224</f>
        <v>16.201134678024257</v>
      </c>
      <c r="O224" s="19">
        <f t="shared" si="76"/>
        <v>13.722826086956522</v>
      </c>
      <c r="P224" s="19">
        <v>6</v>
      </c>
      <c r="Q224" s="19">
        <v>6</v>
      </c>
      <c r="R224" s="19">
        <v>0</v>
      </c>
      <c r="S224" s="44">
        <f>SUMPRODUCT(N224:R224,'Fisico SPOT MAT'!N224:R224)*E224</f>
        <v>3514099.9427789841</v>
      </c>
      <c r="T224" s="17"/>
      <c r="U224" s="17">
        <v>18</v>
      </c>
      <c r="V224" s="17">
        <v>60</v>
      </c>
      <c r="W224" s="28">
        <f>SUMPRODUCT(T224:V224,'Fisico SPOT MAT'!T224:V224)*24</f>
        <v>2457678.1740000015</v>
      </c>
      <c r="X224" s="19">
        <v>0</v>
      </c>
      <c r="Y224" s="19">
        <v>5</v>
      </c>
      <c r="Z224" s="19">
        <v>0</v>
      </c>
      <c r="AA224" s="28">
        <f>SUMPRODUCT(X224:Z224,'Fisico SPOT MAT'!X224:Z224)*E224</f>
        <v>33200</v>
      </c>
      <c r="AC224" s="115"/>
      <c r="AD224" s="41">
        <v>48.388062346261556</v>
      </c>
      <c r="AE224" s="42">
        <v>31.4734238189431</v>
      </c>
      <c r="AF224">
        <v>5050</v>
      </c>
      <c r="AG224" s="74">
        <f t="shared" si="90"/>
        <v>2.793694208372655</v>
      </c>
      <c r="AH224">
        <v>0</v>
      </c>
      <c r="AI224" s="41">
        <v>0.85</v>
      </c>
      <c r="AJ224">
        <v>368</v>
      </c>
    </row>
    <row r="225" spans="1:36" x14ac:dyDescent="0.25">
      <c r="A225" s="3">
        <f>+'Mono ASIG'!A225</f>
        <v>1381.0953999999999</v>
      </c>
      <c r="B225" s="3">
        <f>+'Mono ASIG'!B225</f>
        <v>1391.6890000000001</v>
      </c>
      <c r="C225" s="1">
        <f>+'Mono ASIG'!C225</f>
        <v>2026</v>
      </c>
      <c r="D225" s="1">
        <f t="shared" si="87"/>
        <v>4</v>
      </c>
      <c r="E225" s="1">
        <v>16</v>
      </c>
      <c r="F225" s="1" t="str">
        <f>+'Mono ASIG'!F225</f>
        <v>vie</v>
      </c>
      <c r="G225" s="56">
        <f>+'Mono ASIG'!G225</f>
        <v>46136</v>
      </c>
      <c r="H225" s="17">
        <f t="shared" si="88"/>
        <v>49.451257206227062</v>
      </c>
      <c r="I225" s="17">
        <f t="shared" si="89"/>
        <v>35.15819931502336</v>
      </c>
      <c r="J225" s="17">
        <v>21.999999999999972</v>
      </c>
      <c r="K225" s="17">
        <v>21.999999999999972</v>
      </c>
      <c r="L225" s="17">
        <v>32</v>
      </c>
      <c r="M225" s="44">
        <f>SUMPRODUCT(H225:L225,'Fisico SPOT MAT'!H225:L225)*24</f>
        <v>7724621.7963107591</v>
      </c>
      <c r="N225" s="19">
        <f>+'Fisico SPOT MAT'!AG225</f>
        <v>16.237529088674638</v>
      </c>
      <c r="O225" s="19">
        <f t="shared" si="76"/>
        <v>13.722826086956522</v>
      </c>
      <c r="P225" s="19">
        <v>6</v>
      </c>
      <c r="Q225" s="19">
        <v>6</v>
      </c>
      <c r="R225" s="19">
        <v>0</v>
      </c>
      <c r="S225" s="44">
        <f>SUMPRODUCT(N225:R225,'Fisico SPOT MAT'!N225:R225)*E225</f>
        <v>3581591.0492427549</v>
      </c>
      <c r="T225" s="17"/>
      <c r="U225" s="17">
        <v>18</v>
      </c>
      <c r="V225" s="17">
        <v>60</v>
      </c>
      <c r="W225" s="28">
        <f>SUMPRODUCT(T225:V225,'Fisico SPOT MAT'!T225:V225)*24</f>
        <v>2150827.7280000006</v>
      </c>
      <c r="X225" s="19">
        <v>0</v>
      </c>
      <c r="Y225" s="19">
        <v>5</v>
      </c>
      <c r="Z225" s="19">
        <v>0</v>
      </c>
      <c r="AA225" s="28">
        <f>SUMPRODUCT(X225:Z225,'Fisico SPOT MAT'!X225:Z225)*E225</f>
        <v>35777.766666666663</v>
      </c>
      <c r="AC225" s="115"/>
      <c r="AD225" s="41">
        <v>45.970732745880149</v>
      </c>
      <c r="AE225" s="42">
        <v>31.67767485467645</v>
      </c>
      <c r="AF225">
        <v>5050</v>
      </c>
      <c r="AG225" s="74">
        <f t="shared" si="90"/>
        <v>2.6305244603469102</v>
      </c>
      <c r="AH225">
        <v>0</v>
      </c>
      <c r="AI225" s="41">
        <v>0.85</v>
      </c>
      <c r="AJ225">
        <v>368</v>
      </c>
    </row>
    <row r="226" spans="1:36" x14ac:dyDescent="0.25">
      <c r="A226" s="3">
        <f>+'Mono ASIG'!A226</f>
        <v>1381.0953999999999</v>
      </c>
      <c r="B226" s="3">
        <f>+'Mono ASIG'!B226</f>
        <v>1391.6890000000001</v>
      </c>
      <c r="C226" s="1">
        <f>+'Mono ASIG'!C226</f>
        <v>2026</v>
      </c>
      <c r="D226" s="1">
        <f t="shared" si="87"/>
        <v>4</v>
      </c>
      <c r="E226" s="1">
        <v>6</v>
      </c>
      <c r="F226" s="1" t="str">
        <f>+'Mono ASIG'!F226</f>
        <v>sáb</v>
      </c>
      <c r="G226" s="56">
        <f>+'Mono ASIG'!G226</f>
        <v>46137</v>
      </c>
      <c r="H226" s="17">
        <f t="shared" si="88"/>
        <v>55.908277861652905</v>
      </c>
      <c r="I226" s="17">
        <f t="shared" si="89"/>
        <v>36.975686424506293</v>
      </c>
      <c r="J226" s="17">
        <v>21.999999999999972</v>
      </c>
      <c r="K226" s="17">
        <v>21.999999999999972</v>
      </c>
      <c r="L226" s="17">
        <v>32</v>
      </c>
      <c r="M226" s="44">
        <f>SUMPRODUCT(H226:L226,'Fisico SPOT MAT'!H226:L226)*24</f>
        <v>7812336.7917882968</v>
      </c>
      <c r="N226" s="19">
        <f>+'Fisico SPOT MAT'!AG226</f>
        <v>16.243503925052103</v>
      </c>
      <c r="O226" s="19">
        <f t="shared" si="76"/>
        <v>13.722826086956522</v>
      </c>
      <c r="P226" s="19">
        <v>6</v>
      </c>
      <c r="Q226" s="19">
        <v>6</v>
      </c>
      <c r="R226" s="19">
        <v>0</v>
      </c>
      <c r="S226" s="44">
        <f>SUMPRODUCT(N226:R226,'Fisico SPOT MAT'!N226:R226)*E226</f>
        <v>1353733.9572038054</v>
      </c>
      <c r="T226" s="17"/>
      <c r="U226" s="17">
        <v>18</v>
      </c>
      <c r="V226" s="17">
        <v>60</v>
      </c>
      <c r="W226" s="28">
        <f>SUMPRODUCT(T226:V226,'Fisico SPOT MAT'!T226:V226)*24</f>
        <v>1870266.8520000018</v>
      </c>
      <c r="X226" s="19">
        <v>0</v>
      </c>
      <c r="Y226" s="19">
        <v>5</v>
      </c>
      <c r="Z226" s="19">
        <v>0</v>
      </c>
      <c r="AA226" s="28">
        <f>SUMPRODUCT(X226:Z226,'Fisico SPOT MAT'!X226:Z226)*E226</f>
        <v>15450</v>
      </c>
      <c r="AC226" s="115"/>
      <c r="AD226" s="41">
        <v>52.019464039019113</v>
      </c>
      <c r="AE226" s="42">
        <v>33.0868726018725</v>
      </c>
      <c r="AF226">
        <v>5050</v>
      </c>
      <c r="AG226" s="74">
        <f t="shared" si="90"/>
        <v>3.0388138226337902</v>
      </c>
      <c r="AH226">
        <v>0</v>
      </c>
      <c r="AI226" s="41">
        <v>0.85</v>
      </c>
      <c r="AJ226">
        <v>368</v>
      </c>
    </row>
    <row r="227" spans="1:36" x14ac:dyDescent="0.25">
      <c r="A227" s="3">
        <f>+'Mono ASIG'!A227</f>
        <v>1381.0953999999999</v>
      </c>
      <c r="B227" s="3">
        <f>+'Mono ASIG'!B227</f>
        <v>1391.6890000000001</v>
      </c>
      <c r="C227" s="1">
        <f>+'Mono ASIG'!C227</f>
        <v>2026</v>
      </c>
      <c r="D227" s="1">
        <f t="shared" ref="D227:D230" si="91">MONTH(G227)</f>
        <v>4</v>
      </c>
      <c r="E227" s="1">
        <v>4</v>
      </c>
      <c r="F227" s="1" t="str">
        <f>+'Mono ASIG'!F227</f>
        <v>dom</v>
      </c>
      <c r="G227" s="56">
        <f>+'Mono ASIG'!G227</f>
        <v>46138</v>
      </c>
      <c r="H227" s="17">
        <f t="shared" ref="H227:H230" si="92">+AD227+AG227+AH227+AI227</f>
        <v>56.455808464199706</v>
      </c>
      <c r="I227" s="17">
        <f t="shared" ref="I227:I230" si="93">+AE227+AG227+AH227+AI227</f>
        <v>36.590845119719489</v>
      </c>
      <c r="J227" s="17">
        <v>21.999999999999972</v>
      </c>
      <c r="K227" s="17">
        <v>21.999999999999972</v>
      </c>
      <c r="L227" s="17">
        <v>32</v>
      </c>
      <c r="M227" s="44">
        <f>SUMPRODUCT(H227:L227,'Fisico SPOT MAT'!H227:L227)*24</f>
        <v>6367223.3067258848</v>
      </c>
      <c r="N227" s="19">
        <f>+'Fisico SPOT MAT'!AG227</f>
        <v>16.256528327772351</v>
      </c>
      <c r="O227" s="19">
        <f t="shared" si="76"/>
        <v>13.722826086956522</v>
      </c>
      <c r="P227" s="19">
        <v>6</v>
      </c>
      <c r="Q227" s="19">
        <v>6</v>
      </c>
      <c r="R227" s="19">
        <v>0</v>
      </c>
      <c r="S227" s="44">
        <f>SUMPRODUCT(N227:R227,'Fisico SPOT MAT'!N227:R227)*E227</f>
        <v>913008.83002355089</v>
      </c>
      <c r="T227" s="17"/>
      <c r="U227" s="17">
        <v>18</v>
      </c>
      <c r="V227" s="17">
        <v>60</v>
      </c>
      <c r="W227" s="28">
        <f>SUMPRODUCT(T227:V227,'Fisico SPOT MAT'!T227:V227)*24</f>
        <v>2750438.8919999991</v>
      </c>
      <c r="X227" s="19">
        <v>0</v>
      </c>
      <c r="Y227" s="19">
        <v>5</v>
      </c>
      <c r="Z227" s="19">
        <v>0</v>
      </c>
      <c r="AA227" s="28">
        <f>SUMPRODUCT(X227:Z227,'Fisico SPOT MAT'!X227:Z227)*E227</f>
        <v>10300</v>
      </c>
      <c r="AC227" s="115"/>
      <c r="AD227" s="41">
        <v>52.532373268571149</v>
      </c>
      <c r="AE227" s="42">
        <v>32.667409924090933</v>
      </c>
      <c r="AF227">
        <v>5050</v>
      </c>
      <c r="AG227" s="74">
        <f t="shared" ref="AG227:AG230" si="94">0.075*0.9*(AD227-7)</f>
        <v>3.0734351956285528</v>
      </c>
      <c r="AH227">
        <v>0</v>
      </c>
      <c r="AI227" s="41">
        <v>0.85</v>
      </c>
      <c r="AJ227">
        <v>368</v>
      </c>
    </row>
    <row r="228" spans="1:36" x14ac:dyDescent="0.25">
      <c r="A228" s="3">
        <f>+'Mono ASIG'!A228</f>
        <v>1381.0953999999999</v>
      </c>
      <c r="B228" s="3">
        <f>+'Mono ASIG'!B228</f>
        <v>1391.6890000000001</v>
      </c>
      <c r="C228" s="1">
        <f>+'Mono ASIG'!C228</f>
        <v>2026</v>
      </c>
      <c r="D228" s="1">
        <f t="shared" si="91"/>
        <v>4</v>
      </c>
      <c r="E228" s="1">
        <v>16</v>
      </c>
      <c r="F228" s="1" t="str">
        <f>+'Mono ASIG'!F228</f>
        <v>lun</v>
      </c>
      <c r="G228" s="56">
        <f>+'Mono ASIG'!G228</f>
        <v>46139</v>
      </c>
      <c r="H228" s="17">
        <f t="shared" si="92"/>
        <v>60.497234488905889</v>
      </c>
      <c r="I228" s="17">
        <f t="shared" si="93"/>
        <v>36.872311761203711</v>
      </c>
      <c r="J228" s="17">
        <v>21.999999999999972</v>
      </c>
      <c r="K228" s="17">
        <v>21.999999999999972</v>
      </c>
      <c r="L228" s="17">
        <v>32</v>
      </c>
      <c r="M228" s="44">
        <f>SUMPRODUCT(H228:L228,'Fisico SPOT MAT'!H228:L228)*24</f>
        <v>9056239.7519323807</v>
      </c>
      <c r="N228" s="19">
        <f>+'Fisico SPOT MAT'!AG228</f>
        <v>16.272755168712688</v>
      </c>
      <c r="O228" s="19">
        <f t="shared" si="76"/>
        <v>13.722826086956522</v>
      </c>
      <c r="P228" s="19">
        <v>6</v>
      </c>
      <c r="Q228" s="19">
        <v>6</v>
      </c>
      <c r="R228" s="19">
        <v>0</v>
      </c>
      <c r="S228" s="44">
        <f>SUMPRODUCT(N228:R228,'Fisico SPOT MAT'!N228:R228)*E228</f>
        <v>3696011.4340905803</v>
      </c>
      <c r="T228" s="17"/>
      <c r="U228" s="17">
        <v>18</v>
      </c>
      <c r="V228" s="17">
        <v>60</v>
      </c>
      <c r="W228" s="28">
        <f>SUMPRODUCT(T228:V228,'Fisico SPOT MAT'!T228:V228)*24</f>
        <v>2009303.2679999992</v>
      </c>
      <c r="X228" s="19">
        <v>0</v>
      </c>
      <c r="Y228" s="19">
        <v>5</v>
      </c>
      <c r="Z228" s="19">
        <v>0</v>
      </c>
      <c r="AA228" s="28">
        <f>SUMPRODUCT(X228:Z228,'Fisico SPOT MAT'!X228:Z228)*E228</f>
        <v>41200</v>
      </c>
      <c r="AC228" s="115"/>
      <c r="AD228" s="41">
        <v>56.318252448623781</v>
      </c>
      <c r="AE228" s="42">
        <v>32.693329720921604</v>
      </c>
      <c r="AF228">
        <v>5050</v>
      </c>
      <c r="AG228" s="74">
        <f t="shared" si="94"/>
        <v>3.3289820402821055</v>
      </c>
      <c r="AH228">
        <v>0</v>
      </c>
      <c r="AI228" s="41">
        <v>0.85</v>
      </c>
      <c r="AJ228">
        <v>368</v>
      </c>
    </row>
    <row r="229" spans="1:36" x14ac:dyDescent="0.25">
      <c r="A229" s="3">
        <f>+'Mono ASIG'!A229</f>
        <v>1381.0953999999999</v>
      </c>
      <c r="B229" s="3">
        <f>+'Mono ASIG'!B229</f>
        <v>1391.6890000000001</v>
      </c>
      <c r="C229" s="1">
        <f>+'Mono ASIG'!C229</f>
        <v>2026</v>
      </c>
      <c r="D229" s="1">
        <f t="shared" si="91"/>
        <v>4</v>
      </c>
      <c r="E229" s="1">
        <v>16</v>
      </c>
      <c r="F229" s="1" t="str">
        <f>+'Mono ASIG'!F229</f>
        <v>mar</v>
      </c>
      <c r="G229" s="56">
        <f>+'Mono ASIG'!G229</f>
        <v>46140</v>
      </c>
      <c r="H229" s="17">
        <f t="shared" si="92"/>
        <v>75.456362554189326</v>
      </c>
      <c r="I229" s="17">
        <f t="shared" si="93"/>
        <v>37.95969550014145</v>
      </c>
      <c r="J229" s="17">
        <v>21.999999999999972</v>
      </c>
      <c r="K229" s="17">
        <v>21.999999999999972</v>
      </c>
      <c r="L229" s="17">
        <v>32</v>
      </c>
      <c r="M229" s="44">
        <f>SUMPRODUCT(H229:L229,'Fisico SPOT MAT'!H229:L229)*24</f>
        <v>10127660.007315807</v>
      </c>
      <c r="N229" s="19">
        <f>+'Fisico SPOT MAT'!AG229</f>
        <v>16.258818910919441</v>
      </c>
      <c r="O229" s="19">
        <f t="shared" si="76"/>
        <v>13.722826086956522</v>
      </c>
      <c r="P229" s="19">
        <v>6</v>
      </c>
      <c r="Q229" s="19">
        <v>6</v>
      </c>
      <c r="R229" s="19">
        <v>0</v>
      </c>
      <c r="S229" s="44">
        <f>SUMPRODUCT(N229:R229,'Fisico SPOT MAT'!N229:R229)*E229</f>
        <v>3668473.217525363</v>
      </c>
      <c r="T229" s="17"/>
      <c r="U229" s="17">
        <v>18</v>
      </c>
      <c r="V229" s="17">
        <v>60</v>
      </c>
      <c r="W229" s="28">
        <f>SUMPRODUCT(T229:V229,'Fisico SPOT MAT'!T229:V229)*24</f>
        <v>2393893.0199999977</v>
      </c>
      <c r="X229" s="19">
        <v>0</v>
      </c>
      <c r="Y229" s="19">
        <v>5</v>
      </c>
      <c r="Z229" s="19">
        <v>0</v>
      </c>
      <c r="AA229" s="28">
        <f>SUMPRODUCT(X229:Z229,'Fisico SPOT MAT'!X229:Z229)*E229</f>
        <v>41200</v>
      </c>
      <c r="AC229" s="115"/>
      <c r="AD229" s="41">
        <v>70.331487170200774</v>
      </c>
      <c r="AE229" s="42">
        <v>32.834820116152898</v>
      </c>
      <c r="AF229">
        <v>5050</v>
      </c>
      <c r="AG229" s="74">
        <f t="shared" si="94"/>
        <v>4.2748753839885527</v>
      </c>
      <c r="AH229">
        <v>0</v>
      </c>
      <c r="AI229" s="41">
        <v>0.85</v>
      </c>
      <c r="AJ229">
        <v>368</v>
      </c>
    </row>
    <row r="230" spans="1:36" x14ac:dyDescent="0.25">
      <c r="A230" s="3">
        <f>+'Mono ASIG'!A230</f>
        <v>1381.0953999999999</v>
      </c>
      <c r="B230" s="3">
        <f>+'Mono ASIG'!B230</f>
        <v>1391.6890000000001</v>
      </c>
      <c r="C230" s="1">
        <f>+'Mono ASIG'!C230</f>
        <v>2026</v>
      </c>
      <c r="D230" s="1">
        <f t="shared" si="91"/>
        <v>4</v>
      </c>
      <c r="E230" s="1">
        <v>16</v>
      </c>
      <c r="F230" s="1" t="str">
        <f>+'Mono ASIG'!F230</f>
        <v>mié</v>
      </c>
      <c r="G230" s="56">
        <f>+'Mono ASIG'!G230</f>
        <v>46141</v>
      </c>
      <c r="H230" s="17">
        <f t="shared" si="92"/>
        <v>66.411201163136056</v>
      </c>
      <c r="I230" s="17">
        <f t="shared" si="93"/>
        <v>37.712883974061583</v>
      </c>
      <c r="J230" s="17">
        <v>21.999999999999972</v>
      </c>
      <c r="K230" s="17">
        <v>21.999999999999972</v>
      </c>
      <c r="L230" s="17">
        <v>32</v>
      </c>
      <c r="M230" s="44">
        <f>SUMPRODUCT(H230:L230,'Fisico SPOT MAT'!H230:L230)*24</f>
        <v>8438213.034030728</v>
      </c>
      <c r="N230" s="19">
        <f>+'Fisico SPOT MAT'!AG230</f>
        <v>16.27513485041656</v>
      </c>
      <c r="O230" s="19">
        <f t="shared" si="76"/>
        <v>13.722826086956522</v>
      </c>
      <c r="P230" s="19">
        <v>6</v>
      </c>
      <c r="Q230" s="19">
        <v>6</v>
      </c>
      <c r="R230" s="19">
        <v>0</v>
      </c>
      <c r="S230" s="44">
        <f>SUMPRODUCT(N230:R230,'Fisico SPOT MAT'!N230:R230)*E230</f>
        <v>3701383.1431956524</v>
      </c>
      <c r="T230" s="17"/>
      <c r="U230" s="17">
        <v>18</v>
      </c>
      <c r="V230" s="17">
        <v>60</v>
      </c>
      <c r="W230" s="28">
        <f>SUMPRODUCT(T230:V230,'Fisico SPOT MAT'!T230:V230)*24</f>
        <v>2713943.5319999983</v>
      </c>
      <c r="X230" s="19">
        <v>0</v>
      </c>
      <c r="Y230" s="19">
        <v>5</v>
      </c>
      <c r="Z230" s="19">
        <v>0</v>
      </c>
      <c r="AA230" s="28">
        <f>SUMPRODUCT(X230:Z230,'Fisico SPOT MAT'!X230:Z230)*E230</f>
        <v>41200</v>
      </c>
      <c r="AC230" s="115"/>
      <c r="AD230" s="41">
        <v>61.858268068511535</v>
      </c>
      <c r="AE230" s="42">
        <v>33.159950879437055</v>
      </c>
      <c r="AF230">
        <v>5050</v>
      </c>
      <c r="AG230" s="74">
        <f t="shared" si="94"/>
        <v>3.7029330946245289</v>
      </c>
      <c r="AH230">
        <v>0</v>
      </c>
      <c r="AI230" s="41">
        <v>0.85</v>
      </c>
      <c r="AJ230">
        <v>368</v>
      </c>
    </row>
    <row r="231" spans="1:36" x14ac:dyDescent="0.25">
      <c r="A231" s="3">
        <f>+'Mono ASIG'!A231</f>
        <v>1381.0953999999999</v>
      </c>
      <c r="B231" s="3">
        <f>+'Mono ASIG'!B231</f>
        <v>1391.6890000000001</v>
      </c>
      <c r="C231" s="1">
        <f>+'Mono ASIG'!C231</f>
        <v>2026</v>
      </c>
      <c r="D231" s="1">
        <f t="shared" ref="D231:D242" si="95">MONTH(G231)</f>
        <v>4</v>
      </c>
      <c r="E231" s="1">
        <v>16</v>
      </c>
      <c r="F231" s="1" t="str">
        <f>+'Mono ASIG'!F231</f>
        <v>jue</v>
      </c>
      <c r="G231" s="56">
        <f>+'Mono ASIG'!G231</f>
        <v>46142</v>
      </c>
      <c r="H231" s="17">
        <f t="shared" ref="H231:H242" si="96">+AD231+AG231+AH231+AI231</f>
        <v>69.512762359143409</v>
      </c>
      <c r="I231" s="17">
        <f t="shared" ref="I231:I242" si="97">+AE231+AG231+AH231+AI231</f>
        <v>35.894707331125218</v>
      </c>
      <c r="J231" s="17">
        <v>21.999999999999972</v>
      </c>
      <c r="K231" s="17">
        <v>21.999999999999972</v>
      </c>
      <c r="L231" s="17">
        <v>32</v>
      </c>
      <c r="M231" s="44">
        <f>SUMPRODUCT(H231:L231,'Fisico SPOT MAT'!H231:L231)*24</f>
        <v>9400575.1145446412</v>
      </c>
      <c r="N231" s="19">
        <f>+'Fisico SPOT MAT'!AG231</f>
        <v>16.287359638112751</v>
      </c>
      <c r="O231" s="19">
        <f t="shared" si="76"/>
        <v>13.722826086956522</v>
      </c>
      <c r="P231" s="19">
        <v>6</v>
      </c>
      <c r="Q231" s="19">
        <v>6</v>
      </c>
      <c r="R231" s="19">
        <v>0</v>
      </c>
      <c r="S231" s="44">
        <f>SUMPRODUCT(N231:R231,'Fisico SPOT MAT'!N231:R231)*E231</f>
        <v>3726947.6523260879</v>
      </c>
      <c r="T231" s="17"/>
      <c r="U231" s="17">
        <v>18</v>
      </c>
      <c r="V231" s="17">
        <v>60</v>
      </c>
      <c r="W231" s="28">
        <f>SUMPRODUCT(T231:V231,'Fisico SPOT MAT'!T231:V231)*24</f>
        <v>2643476.6100000008</v>
      </c>
      <c r="X231" s="19">
        <v>0</v>
      </c>
      <c r="Y231" s="19">
        <v>5</v>
      </c>
      <c r="Z231" s="19">
        <v>0</v>
      </c>
      <c r="AA231" s="28">
        <f>SUMPRODUCT(X231:Z231,'Fisico SPOT MAT'!X231:Z231)*E231</f>
        <v>41200</v>
      </c>
      <c r="AC231" s="115"/>
      <c r="AD231" s="41">
        <v>64.763711811843947</v>
      </c>
      <c r="AE231" s="42">
        <v>31.14565678382575</v>
      </c>
      <c r="AF231">
        <v>5050</v>
      </c>
      <c r="AG231" s="74">
        <f t="shared" ref="AG231:AG242" si="98">0.075*0.9*(AD231-7)</f>
        <v>3.8990505472994665</v>
      </c>
      <c r="AH231">
        <v>0</v>
      </c>
      <c r="AI231" s="41">
        <v>0.85</v>
      </c>
      <c r="AJ231">
        <v>368</v>
      </c>
    </row>
    <row r="232" spans="1:36" x14ac:dyDescent="0.25">
      <c r="A232" s="3">
        <f>+'Mono ASIG'!A232</f>
        <v>1411.1790000000001</v>
      </c>
      <c r="B232" s="3">
        <f>+'Mono ASIG'!B232</f>
        <v>1391.6890000000001</v>
      </c>
      <c r="C232" s="1">
        <f>+'Mono ASIG'!C232</f>
        <v>2026</v>
      </c>
      <c r="D232" s="1">
        <f t="shared" si="95"/>
        <v>5</v>
      </c>
      <c r="E232" s="1">
        <f>+'Fisico SPOT MAT'!E232</f>
        <v>4</v>
      </c>
      <c r="F232" s="1" t="str">
        <f>+'Mono ASIG'!F232</f>
        <v>vie</v>
      </c>
      <c r="G232" s="56">
        <f>+'Mono ASIG'!G232</f>
        <v>46143</v>
      </c>
      <c r="H232" s="17">
        <f t="shared" si="96"/>
        <v>78.785654079155748</v>
      </c>
      <c r="I232" s="17">
        <f t="shared" si="97"/>
        <v>49.571890018431333</v>
      </c>
      <c r="J232" s="17">
        <v>22.51267725500653</v>
      </c>
      <c r="K232" s="17">
        <v>22.51267725500653</v>
      </c>
      <c r="L232" s="17">
        <v>32</v>
      </c>
      <c r="M232" s="44">
        <f>SUMPRODUCT(H232:L232,'Fisico SPOT MAT'!H232:L232)*24</f>
        <v>7311407.0185881797</v>
      </c>
      <c r="N232" s="19">
        <f>+'Fisico SPOT MAT'!AG232</f>
        <v>16.197593850373796</v>
      </c>
      <c r="O232" s="19">
        <f t="shared" si="76"/>
        <v>13.950276243093922</v>
      </c>
      <c r="P232" s="19">
        <v>6</v>
      </c>
      <c r="Q232" s="19">
        <v>6</v>
      </c>
      <c r="R232" s="19">
        <v>0</v>
      </c>
      <c r="S232" s="44">
        <f>SUMPRODUCT(N232:R232,'Fisico SPOT MAT'!N232:R232)*E232</f>
        <v>887398.57466850826</v>
      </c>
      <c r="T232" s="17">
        <v>75</v>
      </c>
      <c r="U232" s="17">
        <v>18</v>
      </c>
      <c r="V232" s="17">
        <v>60</v>
      </c>
      <c r="W232" s="28">
        <f>SUMPRODUCT(T232:V232,'Fisico SPOT MAT'!T232:V232)*24</f>
        <v>3992957.2199999988</v>
      </c>
      <c r="X232" s="19">
        <v>0</v>
      </c>
      <c r="Y232" s="19">
        <v>5</v>
      </c>
      <c r="Z232" s="19">
        <v>0</v>
      </c>
      <c r="AA232" s="28">
        <f>SUMPRODUCT(X232:Z232,'Fisico SPOT MAT'!X232:Z232)*E232</f>
        <v>10300</v>
      </c>
      <c r="AC232" s="115"/>
      <c r="AD232" s="41">
        <v>73.450261432464401</v>
      </c>
      <c r="AE232" s="42">
        <v>44.236497371739986</v>
      </c>
      <c r="AF232">
        <v>5050</v>
      </c>
      <c r="AG232" s="74">
        <f t="shared" si="98"/>
        <v>4.4853926466913476</v>
      </c>
      <c r="AH232">
        <v>0</v>
      </c>
      <c r="AI232" s="41">
        <v>0.85</v>
      </c>
      <c r="AJ232">
        <v>362</v>
      </c>
    </row>
    <row r="233" spans="1:36" x14ac:dyDescent="0.25">
      <c r="A233" s="3">
        <f>+'Mono ASIG'!A233</f>
        <v>1411.1790000000001</v>
      </c>
      <c r="B233" s="3">
        <f>+'Mono ASIG'!B233</f>
        <v>1391.6890000000001</v>
      </c>
      <c r="C233" s="1">
        <f>+'Mono ASIG'!C233</f>
        <v>2026</v>
      </c>
      <c r="D233" s="1">
        <f t="shared" si="95"/>
        <v>5</v>
      </c>
      <c r="E233" s="1">
        <f>+'Fisico SPOT MAT'!E233</f>
        <v>6</v>
      </c>
      <c r="F233" s="1" t="str">
        <f>+'Mono ASIG'!F233</f>
        <v>sáb</v>
      </c>
      <c r="G233" s="56">
        <f>+'Mono ASIG'!G233</f>
        <v>46144</v>
      </c>
      <c r="H233" s="17">
        <f t="shared" si="96"/>
        <v>73.755417558372315</v>
      </c>
      <c r="I233" s="17">
        <f t="shared" si="97"/>
        <v>49.660027962132951</v>
      </c>
      <c r="J233" s="17">
        <v>22.315440500223932</v>
      </c>
      <c r="K233" s="17">
        <v>22.315440500223932</v>
      </c>
      <c r="L233" s="17">
        <v>32</v>
      </c>
      <c r="M233" s="44">
        <f>SUMPRODUCT(H233:L233,'Fisico SPOT MAT'!H233:L233)*24</f>
        <v>8231872.7202161029</v>
      </c>
      <c r="N233" s="19">
        <f>+'Fisico SPOT MAT'!AG233</f>
        <v>16.207514187660056</v>
      </c>
      <c r="O233" s="19">
        <f t="shared" si="76"/>
        <v>13.950276243093922</v>
      </c>
      <c r="P233" s="19">
        <v>6</v>
      </c>
      <c r="Q233" s="19">
        <v>6</v>
      </c>
      <c r="R233" s="19">
        <v>0</v>
      </c>
      <c r="S233" s="44">
        <f>SUMPRODUCT(N233:R233,'Fisico SPOT MAT'!N233:R233)*E233</f>
        <v>1327887.1586187845</v>
      </c>
      <c r="T233" s="17">
        <v>75</v>
      </c>
      <c r="U233" s="17">
        <v>18</v>
      </c>
      <c r="V233" s="17">
        <v>60</v>
      </c>
      <c r="W233" s="28">
        <f>SUMPRODUCT(T233:V233,'Fisico SPOT MAT'!T233:V233)*24</f>
        <v>3498376.7400000021</v>
      </c>
      <c r="X233" s="19">
        <v>0</v>
      </c>
      <c r="Y233" s="19">
        <v>5</v>
      </c>
      <c r="Z233" s="19">
        <v>0</v>
      </c>
      <c r="AA233" s="28">
        <f>SUMPRODUCT(X233:Z233,'Fisico SPOT MAT'!X233:Z233)*E233</f>
        <v>15450</v>
      </c>
      <c r="AC233" s="115"/>
      <c r="AD233" s="41">
        <v>68.738096073416699</v>
      </c>
      <c r="AE233" s="42">
        <v>44.64270647717732</v>
      </c>
      <c r="AF233">
        <v>5050</v>
      </c>
      <c r="AG233" s="74">
        <f t="shared" si="98"/>
        <v>4.167321484955627</v>
      </c>
      <c r="AH233">
        <v>0</v>
      </c>
      <c r="AI233" s="41">
        <v>0.85</v>
      </c>
      <c r="AJ233">
        <v>362</v>
      </c>
    </row>
    <row r="234" spans="1:36" x14ac:dyDescent="0.25">
      <c r="A234" s="3">
        <f>+'Mono ASIG'!A234</f>
        <v>1411.1790000000001</v>
      </c>
      <c r="B234" s="3">
        <f>+'Mono ASIG'!B234</f>
        <v>1391.6890000000001</v>
      </c>
      <c r="C234" s="1">
        <f>+'Mono ASIG'!C234</f>
        <v>2026</v>
      </c>
      <c r="D234" s="1">
        <f t="shared" si="95"/>
        <v>5</v>
      </c>
      <c r="E234" s="1">
        <f>+'Fisico SPOT MAT'!E234</f>
        <v>4</v>
      </c>
      <c r="F234" s="1" t="str">
        <f>+'Mono ASIG'!F234</f>
        <v>dom</v>
      </c>
      <c r="G234" s="56">
        <f>+'Mono ASIG'!G234</f>
        <v>46145</v>
      </c>
      <c r="H234" s="17">
        <f t="shared" si="96"/>
        <v>67.607698374746491</v>
      </c>
      <c r="I234" s="17">
        <f t="shared" si="97"/>
        <v>47.882683677733731</v>
      </c>
      <c r="J234" s="17">
        <v>22.101928484584022</v>
      </c>
      <c r="K234" s="17">
        <v>22.101928484584022</v>
      </c>
      <c r="L234" s="17">
        <v>32</v>
      </c>
      <c r="M234" s="44">
        <f>SUMPRODUCT(H234:L234,'Fisico SPOT MAT'!H234:L234)*24</f>
        <v>7797536.9740320649</v>
      </c>
      <c r="N234" s="19">
        <f>+'Fisico SPOT MAT'!AG234</f>
        <v>16.236455585981005</v>
      </c>
      <c r="O234" s="19">
        <f t="shared" si="76"/>
        <v>13.950276243093922</v>
      </c>
      <c r="P234" s="19">
        <v>6</v>
      </c>
      <c r="Q234" s="19">
        <v>6</v>
      </c>
      <c r="R234" s="19">
        <v>0</v>
      </c>
      <c r="S234" s="44">
        <f>SUMPRODUCT(N234:R234,'Fisico SPOT MAT'!N234:R234)*E234</f>
        <v>906326.66466850857</v>
      </c>
      <c r="T234" s="17">
        <v>75</v>
      </c>
      <c r="U234" s="17">
        <v>18</v>
      </c>
      <c r="V234" s="17">
        <v>60</v>
      </c>
      <c r="W234" s="28">
        <f>SUMPRODUCT(T234:V234,'Fisico SPOT MAT'!T234:V234)*24</f>
        <v>4013441.0400000005</v>
      </c>
      <c r="X234" s="19">
        <v>0</v>
      </c>
      <c r="Y234" s="19">
        <v>5</v>
      </c>
      <c r="Z234" s="19">
        <v>0</v>
      </c>
      <c r="AA234" s="28">
        <f>SUMPRODUCT(X234:Z234,'Fisico SPOT MAT'!X234:Z234)*E234</f>
        <v>10300</v>
      </c>
      <c r="AC234" s="115"/>
      <c r="AD234" s="41">
        <v>62.979108547771887</v>
      </c>
      <c r="AE234" s="42">
        <v>43.254093850759126</v>
      </c>
      <c r="AF234">
        <v>5050</v>
      </c>
      <c r="AG234" s="74">
        <f t="shared" si="98"/>
        <v>3.7785898269746028</v>
      </c>
      <c r="AH234">
        <v>0</v>
      </c>
      <c r="AI234" s="41">
        <v>0.85</v>
      </c>
      <c r="AJ234">
        <v>362</v>
      </c>
    </row>
    <row r="235" spans="1:36" x14ac:dyDescent="0.25">
      <c r="A235" s="3">
        <f>+'Mono ASIG'!A235</f>
        <v>1411.1790000000001</v>
      </c>
      <c r="B235" s="3">
        <f>+'Mono ASIG'!B235</f>
        <v>1412.9870000000001</v>
      </c>
      <c r="C235" s="1">
        <f>+'Mono ASIG'!C235</f>
        <v>2026</v>
      </c>
      <c r="D235" s="1">
        <f t="shared" si="95"/>
        <v>5</v>
      </c>
      <c r="E235" s="1">
        <f>+'Fisico SPOT MAT'!E235</f>
        <v>16</v>
      </c>
      <c r="F235" s="1" t="str">
        <f>+'Mono ASIG'!F235</f>
        <v>lun</v>
      </c>
      <c r="G235" s="56">
        <f>+'Mono ASIG'!G235</f>
        <v>46146</v>
      </c>
      <c r="H235" s="17">
        <f t="shared" si="96"/>
        <v>73.003427748973991</v>
      </c>
      <c r="I235" s="17">
        <f t="shared" si="97"/>
        <v>49.218911838342649</v>
      </c>
      <c r="J235" s="17">
        <v>22.000000000000007</v>
      </c>
      <c r="K235" s="17">
        <v>22.000000000000007</v>
      </c>
      <c r="L235" s="17">
        <v>32</v>
      </c>
      <c r="M235" s="44">
        <f>SUMPRODUCT(H235:L235,'Fisico SPOT MAT'!H235:L235)*24</f>
        <v>8849064.4724927545</v>
      </c>
      <c r="N235" s="19">
        <f>+'Fisico SPOT MAT'!AG235</f>
        <v>16.243462293041382</v>
      </c>
      <c r="O235" s="19">
        <f t="shared" si="76"/>
        <v>13.950276243093922</v>
      </c>
      <c r="P235" s="19">
        <v>6</v>
      </c>
      <c r="Q235" s="19">
        <v>6</v>
      </c>
      <c r="R235" s="19">
        <v>0</v>
      </c>
      <c r="S235" s="44">
        <f>SUMPRODUCT(N235:R235,'Fisico SPOT MAT'!N235:R235)*E235</f>
        <v>3623503.48121547</v>
      </c>
      <c r="T235" s="17">
        <v>75</v>
      </c>
      <c r="U235" s="17">
        <v>18</v>
      </c>
      <c r="V235" s="17">
        <v>60</v>
      </c>
      <c r="W235" s="28">
        <f>SUMPRODUCT(T235:V235,'Fisico SPOT MAT'!T235:V235)*24</f>
        <v>3585538.3200000026</v>
      </c>
      <c r="X235" s="19">
        <v>0</v>
      </c>
      <c r="Y235" s="19">
        <v>5</v>
      </c>
      <c r="Z235" s="19">
        <v>0</v>
      </c>
      <c r="AA235" s="28">
        <f>SUMPRODUCT(X235:Z235,'Fisico SPOT MAT'!X235:Z235)*E235</f>
        <v>41200</v>
      </c>
      <c r="AC235" s="115"/>
      <c r="AD235" s="41">
        <v>68.033655970935826</v>
      </c>
      <c r="AE235" s="42">
        <v>44.249140060304477</v>
      </c>
      <c r="AF235">
        <v>5050</v>
      </c>
      <c r="AG235" s="74">
        <f t="shared" si="98"/>
        <v>4.1197717780381682</v>
      </c>
      <c r="AH235">
        <v>0</v>
      </c>
      <c r="AI235" s="41">
        <v>0.85</v>
      </c>
      <c r="AJ235">
        <v>362</v>
      </c>
    </row>
    <row r="236" spans="1:36" x14ac:dyDescent="0.25">
      <c r="A236" s="3">
        <f>+'Mono ASIG'!A236</f>
        <v>1411.1790000000001</v>
      </c>
      <c r="B236" s="3">
        <f>+'Mono ASIG'!B236</f>
        <v>1412.9870000000001</v>
      </c>
      <c r="C236" s="1">
        <f>+'Mono ASIG'!C236</f>
        <v>2026</v>
      </c>
      <c r="D236" s="1">
        <f t="shared" si="95"/>
        <v>5</v>
      </c>
      <c r="E236" s="1">
        <f>+'Fisico SPOT MAT'!E236</f>
        <v>16</v>
      </c>
      <c r="F236" s="1" t="str">
        <f>+'Mono ASIG'!F236</f>
        <v>mar</v>
      </c>
      <c r="G236" s="56">
        <f>+'Mono ASIG'!G236</f>
        <v>46147</v>
      </c>
      <c r="H236" s="17">
        <f t="shared" si="96"/>
        <v>81.015978474377533</v>
      </c>
      <c r="I236" s="17">
        <f t="shared" si="97"/>
        <v>49.66719144316783</v>
      </c>
      <c r="J236" s="17">
        <v>21.999999999999996</v>
      </c>
      <c r="K236" s="17">
        <v>21.999999999999996</v>
      </c>
      <c r="L236" s="17">
        <v>32</v>
      </c>
      <c r="M236" s="44">
        <f>SUMPRODUCT(H236:L236,'Fisico SPOT MAT'!H236:L236)*24</f>
        <v>9883030.2163472641</v>
      </c>
      <c r="N236" s="19">
        <f>+'Fisico SPOT MAT'!AG236</f>
        <v>16.248926276654853</v>
      </c>
      <c r="O236" s="19">
        <f t="shared" si="76"/>
        <v>13.950276243093922</v>
      </c>
      <c r="P236" s="19">
        <v>6</v>
      </c>
      <c r="Q236" s="19">
        <v>6</v>
      </c>
      <c r="R236" s="19">
        <v>0</v>
      </c>
      <c r="S236" s="44">
        <f>SUMPRODUCT(N236:R236,'Fisico SPOT MAT'!N236:R236)*E236</f>
        <v>3632119.1009208099</v>
      </c>
      <c r="T236" s="17">
        <v>75</v>
      </c>
      <c r="U236" s="17">
        <v>18</v>
      </c>
      <c r="V236" s="17">
        <v>60</v>
      </c>
      <c r="W236" s="28">
        <f>SUMPRODUCT(T236:V236,'Fisico SPOT MAT'!T236:V236)*24</f>
        <v>2714427.4799999986</v>
      </c>
      <c r="X236" s="19">
        <v>0</v>
      </c>
      <c r="Y236" s="19">
        <v>5</v>
      </c>
      <c r="Z236" s="19">
        <v>0</v>
      </c>
      <c r="AA236" s="28">
        <f>SUMPRODUCT(X236:Z236,'Fisico SPOT MAT'!X236:Z236)*E236</f>
        <v>41200</v>
      </c>
      <c r="AC236" s="115"/>
      <c r="AD236" s="41">
        <v>75.53955828981502</v>
      </c>
      <c r="AE236" s="42">
        <v>44.190771258605317</v>
      </c>
      <c r="AF236">
        <v>5050</v>
      </c>
      <c r="AG236" s="74">
        <f t="shared" si="98"/>
        <v>4.6264201845625141</v>
      </c>
      <c r="AH236">
        <v>0</v>
      </c>
      <c r="AI236" s="41">
        <v>0.85</v>
      </c>
      <c r="AJ236">
        <v>362</v>
      </c>
    </row>
    <row r="237" spans="1:36" x14ac:dyDescent="0.25">
      <c r="A237" s="3">
        <f>+'Mono ASIG'!A237</f>
        <v>1411.1790000000001</v>
      </c>
      <c r="B237" s="3">
        <f>+'Mono ASIG'!B237</f>
        <v>1412.9870000000001</v>
      </c>
      <c r="C237" s="1">
        <f>+'Mono ASIG'!C237</f>
        <v>2026</v>
      </c>
      <c r="D237" s="1">
        <f t="shared" si="95"/>
        <v>5</v>
      </c>
      <c r="E237" s="1">
        <f>+'Fisico SPOT MAT'!E237</f>
        <v>16</v>
      </c>
      <c r="F237" s="1" t="str">
        <f>+'Mono ASIG'!F237</f>
        <v>mié</v>
      </c>
      <c r="G237" s="56">
        <f>+'Mono ASIG'!G237</f>
        <v>46148</v>
      </c>
      <c r="H237" s="17">
        <f t="shared" si="96"/>
        <v>86.677979843313139</v>
      </c>
      <c r="I237" s="17">
        <f t="shared" si="97"/>
        <v>51.482752785074062</v>
      </c>
      <c r="J237" s="17">
        <v>22.000000000000014</v>
      </c>
      <c r="K237" s="17">
        <v>22.000000000000014</v>
      </c>
      <c r="L237" s="17">
        <v>32</v>
      </c>
      <c r="M237" s="44">
        <f>SUMPRODUCT(H237:L237,'Fisico SPOT MAT'!H237:L237)*24</f>
        <v>10128353.546149094</v>
      </c>
      <c r="N237" s="19">
        <f>+'Fisico SPOT MAT'!AG237</f>
        <v>16.245154074558272</v>
      </c>
      <c r="O237" s="19">
        <f t="shared" si="76"/>
        <v>13.950276243093922</v>
      </c>
      <c r="P237" s="19">
        <v>6</v>
      </c>
      <c r="Q237" s="19">
        <v>6</v>
      </c>
      <c r="R237" s="19">
        <v>0</v>
      </c>
      <c r="S237" s="44">
        <f>SUMPRODUCT(N237:R237,'Fisico SPOT MAT'!N237:R237)*E237</f>
        <v>3618701.6680294657</v>
      </c>
      <c r="T237" s="17">
        <v>75</v>
      </c>
      <c r="U237" s="17">
        <v>18</v>
      </c>
      <c r="V237" s="17">
        <v>60</v>
      </c>
      <c r="W237" s="28">
        <f>SUMPRODUCT(T237:V237,'Fisico SPOT MAT'!T237:V237)*24</f>
        <v>3428405.6399999997</v>
      </c>
      <c r="X237" s="19">
        <v>0</v>
      </c>
      <c r="Y237" s="19">
        <v>5</v>
      </c>
      <c r="Z237" s="19">
        <v>0</v>
      </c>
      <c r="AA237" s="28">
        <f>SUMPRODUCT(X237:Z237,'Fisico SPOT MAT'!X237:Z237)*E237</f>
        <v>41200</v>
      </c>
      <c r="AC237" s="115"/>
      <c r="AD237" s="41">
        <v>80.843540836827302</v>
      </c>
      <c r="AE237" s="42">
        <v>45.648313778588218</v>
      </c>
      <c r="AF237">
        <v>5050</v>
      </c>
      <c r="AG237" s="74">
        <f t="shared" si="98"/>
        <v>4.984439006485843</v>
      </c>
      <c r="AH237">
        <v>0</v>
      </c>
      <c r="AI237" s="41">
        <v>0.85</v>
      </c>
      <c r="AJ237">
        <v>362</v>
      </c>
    </row>
    <row r="238" spans="1:36" x14ac:dyDescent="0.25">
      <c r="A238" s="3">
        <f>+'Mono ASIG'!A238</f>
        <v>1411.1790000000001</v>
      </c>
      <c r="B238" s="3">
        <f>+'Mono ASIG'!B238</f>
        <v>1412.9870000000001</v>
      </c>
      <c r="C238" s="1">
        <f>+'Mono ASIG'!C238</f>
        <v>2026</v>
      </c>
      <c r="D238" s="1">
        <f t="shared" si="95"/>
        <v>5</v>
      </c>
      <c r="E238" s="1">
        <f>+'Fisico SPOT MAT'!E238</f>
        <v>16</v>
      </c>
      <c r="F238" s="1" t="str">
        <f>+'Mono ASIG'!F238</f>
        <v>jue</v>
      </c>
      <c r="G238" s="56">
        <f>+'Mono ASIG'!G238</f>
        <v>46149</v>
      </c>
      <c r="H238" s="17">
        <f t="shared" si="96"/>
        <v>80.203219278649257</v>
      </c>
      <c r="I238" s="17">
        <f t="shared" si="97"/>
        <v>52.14374784589625</v>
      </c>
      <c r="J238" s="17">
        <v>22</v>
      </c>
      <c r="K238" s="17">
        <v>22</v>
      </c>
      <c r="L238" s="17">
        <v>32</v>
      </c>
      <c r="M238" s="44">
        <f>SUMPRODUCT(H238:L238,'Fisico SPOT MAT'!H238:L238)*24</f>
        <v>9255594.8558335621</v>
      </c>
      <c r="N238" s="19">
        <f>+'Fisico SPOT MAT'!AG238</f>
        <v>16.254286889159104</v>
      </c>
      <c r="O238" s="19">
        <f t="shared" si="76"/>
        <v>13.950276243093922</v>
      </c>
      <c r="P238" s="19">
        <v>6</v>
      </c>
      <c r="Q238" s="19">
        <v>6</v>
      </c>
      <c r="R238" s="19">
        <v>0</v>
      </c>
      <c r="S238" s="44">
        <f>SUMPRODUCT(N238:R238,'Fisico SPOT MAT'!N238:R238)*E238</f>
        <v>3635212.7793001849</v>
      </c>
      <c r="T238" s="17">
        <v>75</v>
      </c>
      <c r="U238" s="17">
        <v>18</v>
      </c>
      <c r="V238" s="17">
        <v>60</v>
      </c>
      <c r="W238" s="28">
        <f>SUMPRODUCT(T238:V238,'Fisico SPOT MAT'!T238:V238)*24</f>
        <v>3893318.8199999975</v>
      </c>
      <c r="X238" s="19">
        <v>0</v>
      </c>
      <c r="Y238" s="19">
        <v>5</v>
      </c>
      <c r="Z238" s="19">
        <v>0</v>
      </c>
      <c r="AA238" s="28">
        <f>SUMPRODUCT(X238:Z238,'Fisico SPOT MAT'!X238:Z238)*E238</f>
        <v>41200</v>
      </c>
      <c r="AC238" s="115"/>
      <c r="AD238" s="41">
        <v>74.778191361732326</v>
      </c>
      <c r="AE238" s="42">
        <v>46.718719928979318</v>
      </c>
      <c r="AF238">
        <v>5050</v>
      </c>
      <c r="AG238" s="74">
        <f t="shared" si="98"/>
        <v>4.5750279169169321</v>
      </c>
      <c r="AH238">
        <v>0</v>
      </c>
      <c r="AI238" s="41">
        <v>0.85</v>
      </c>
      <c r="AJ238">
        <v>362</v>
      </c>
    </row>
    <row r="239" spans="1:36" x14ac:dyDescent="0.25">
      <c r="A239" s="3">
        <f>+'Mono ASIG'!A239</f>
        <v>1411.1790000000001</v>
      </c>
      <c r="B239" s="3">
        <f>+'Mono ASIG'!B239</f>
        <v>1412.9870000000001</v>
      </c>
      <c r="C239" s="1">
        <f>+'Mono ASIG'!C239</f>
        <v>2026</v>
      </c>
      <c r="D239" s="1">
        <f t="shared" si="95"/>
        <v>5</v>
      </c>
      <c r="E239" s="1">
        <f>+'Fisico SPOT MAT'!E239</f>
        <v>16</v>
      </c>
      <c r="F239" s="1" t="str">
        <f>+'Mono ASIG'!F239</f>
        <v>vie</v>
      </c>
      <c r="G239" s="56">
        <f>+'Mono ASIG'!G239</f>
        <v>46150</v>
      </c>
      <c r="H239" s="17">
        <f t="shared" si="96"/>
        <v>86.827631116343568</v>
      </c>
      <c r="I239" s="17">
        <f t="shared" si="97"/>
        <v>54.218346235282979</v>
      </c>
      <c r="J239" s="17">
        <v>21.999999999999986</v>
      </c>
      <c r="K239" s="17">
        <v>21.999999999999986</v>
      </c>
      <c r="L239" s="17">
        <v>32</v>
      </c>
      <c r="M239" s="44">
        <f>SUMPRODUCT(H239:L239,'Fisico SPOT MAT'!H239:L239)*24</f>
        <v>9814802.1700977795</v>
      </c>
      <c r="N239" s="19">
        <f>+'Fisico SPOT MAT'!AG239</f>
        <v>16.296573964670866</v>
      </c>
      <c r="O239" s="19">
        <f t="shared" si="76"/>
        <v>13.950276243093922</v>
      </c>
      <c r="P239" s="19">
        <v>6</v>
      </c>
      <c r="Q239" s="19">
        <v>6</v>
      </c>
      <c r="R239" s="19">
        <v>0</v>
      </c>
      <c r="S239" s="44">
        <f>SUMPRODUCT(N239:R239,'Fisico SPOT MAT'!N239:R239)*E239</f>
        <v>3743785.1820626166</v>
      </c>
      <c r="T239" s="17">
        <v>75</v>
      </c>
      <c r="U239" s="17">
        <v>18</v>
      </c>
      <c r="V239" s="17">
        <v>60</v>
      </c>
      <c r="W239" s="28">
        <f>SUMPRODUCT(T239:V239,'Fisico SPOT MAT'!T239:V239)*24</f>
        <v>4420159.740000003</v>
      </c>
      <c r="X239" s="19">
        <v>0</v>
      </c>
      <c r="Y239" s="19">
        <v>5</v>
      </c>
      <c r="Z239" s="19">
        <v>0</v>
      </c>
      <c r="AA239" s="28">
        <f>SUMPRODUCT(X239:Z239,'Fisico SPOT MAT'!X239:Z239)*E239</f>
        <v>41200</v>
      </c>
      <c r="AC239" s="115"/>
      <c r="AD239" s="41">
        <v>80.98372938299164</v>
      </c>
      <c r="AE239" s="42">
        <v>48.374444501931045</v>
      </c>
      <c r="AF239">
        <v>5050</v>
      </c>
      <c r="AG239" s="74">
        <f t="shared" si="98"/>
        <v>4.9939017333519358</v>
      </c>
      <c r="AH239">
        <v>0</v>
      </c>
      <c r="AI239" s="41">
        <v>0.85</v>
      </c>
      <c r="AJ239">
        <v>362</v>
      </c>
    </row>
    <row r="240" spans="1:36" x14ac:dyDescent="0.25">
      <c r="A240" s="3">
        <f>+'Mono ASIG'!A240</f>
        <v>1411.1790000000001</v>
      </c>
      <c r="B240" s="3">
        <f>+'Mono ASIG'!B240</f>
        <v>1412.9870000000001</v>
      </c>
      <c r="C240" s="1">
        <f>+'Mono ASIG'!C240</f>
        <v>2026</v>
      </c>
      <c r="D240" s="1">
        <f t="shared" si="95"/>
        <v>5</v>
      </c>
      <c r="E240" s="1">
        <f>+'Fisico SPOT MAT'!E240</f>
        <v>6</v>
      </c>
      <c r="F240" s="1" t="str">
        <f>+'Mono ASIG'!F240</f>
        <v>sáb</v>
      </c>
      <c r="G240" s="56">
        <f>+'Mono ASIG'!G240</f>
        <v>46151</v>
      </c>
      <c r="H240" s="17">
        <f t="shared" si="96"/>
        <v>92.391298550652195</v>
      </c>
      <c r="I240" s="17">
        <f t="shared" si="97"/>
        <v>91.356388890122545</v>
      </c>
      <c r="J240" s="17">
        <v>24.499319320615967</v>
      </c>
      <c r="K240" s="17">
        <v>24.499319320615967</v>
      </c>
      <c r="L240" s="17">
        <v>32.101160284324394</v>
      </c>
      <c r="M240" s="44">
        <f>SUMPRODUCT(H240:L240,'Fisico SPOT MAT'!H240:L240)*24</f>
        <v>11101177.089238569</v>
      </c>
      <c r="N240" s="19">
        <f>+'Fisico SPOT MAT'!AG240</f>
        <v>16.330643331224419</v>
      </c>
      <c r="O240" s="19">
        <f t="shared" si="76"/>
        <v>13.950276243093922</v>
      </c>
      <c r="P240" s="19">
        <v>6</v>
      </c>
      <c r="Q240" s="19">
        <v>6</v>
      </c>
      <c r="R240" s="19">
        <v>0</v>
      </c>
      <c r="S240" s="44">
        <f>SUMPRODUCT(N240:R240,'Fisico SPOT MAT'!N240:R240)*E240</f>
        <v>1434692.6235897793</v>
      </c>
      <c r="T240" s="17">
        <v>75</v>
      </c>
      <c r="U240" s="17">
        <v>18</v>
      </c>
      <c r="V240" s="17">
        <v>60</v>
      </c>
      <c r="W240" s="28">
        <f>SUMPRODUCT(T240:V240,'Fisico SPOT MAT'!T240:V240)*24</f>
        <v>4091692.26</v>
      </c>
      <c r="X240" s="19">
        <v>0</v>
      </c>
      <c r="Y240" s="19">
        <v>5</v>
      </c>
      <c r="Z240" s="19">
        <v>0</v>
      </c>
      <c r="AA240" s="28">
        <f>SUMPRODUCT(X240:Z240,'Fisico SPOT MAT'!X240:Z240)*E240</f>
        <v>15450</v>
      </c>
      <c r="AC240" s="115"/>
      <c r="AD240" s="41">
        <v>86.195595831992691</v>
      </c>
      <c r="AE240" s="42">
        <v>85.160686171463041</v>
      </c>
      <c r="AF240">
        <v>5050</v>
      </c>
      <c r="AG240" s="74">
        <f t="shared" si="98"/>
        <v>5.3457027186595072</v>
      </c>
      <c r="AH240">
        <v>0</v>
      </c>
      <c r="AI240" s="41">
        <v>0.85</v>
      </c>
      <c r="AJ240">
        <v>362</v>
      </c>
    </row>
    <row r="241" spans="1:36" x14ac:dyDescent="0.25">
      <c r="A241" s="3">
        <f>+'Mono ASIG'!A241</f>
        <v>1411.1790000000001</v>
      </c>
      <c r="B241" s="3">
        <f>+'Mono ASIG'!B241</f>
        <v>1412.9870000000001</v>
      </c>
      <c r="C241" s="1">
        <f>+'Mono ASIG'!C241</f>
        <v>2026</v>
      </c>
      <c r="D241" s="1">
        <f t="shared" si="95"/>
        <v>5</v>
      </c>
      <c r="E241" s="1">
        <f>+'Fisico SPOT MAT'!E241</f>
        <v>4</v>
      </c>
      <c r="F241" s="1" t="str">
        <f>+'Mono ASIG'!F241</f>
        <v>dom</v>
      </c>
      <c r="G241" s="56">
        <f>+'Mono ASIG'!G241</f>
        <v>46152</v>
      </c>
      <c r="H241" s="17">
        <f t="shared" si="96"/>
        <v>94.863244270684049</v>
      </c>
      <c r="I241" s="17">
        <f t="shared" si="97"/>
        <v>135.52644750962872</v>
      </c>
      <c r="J241" s="17">
        <v>23.019197757507261</v>
      </c>
      <c r="K241" s="17">
        <v>23.019197757507261</v>
      </c>
      <c r="L241" s="17">
        <v>32</v>
      </c>
      <c r="M241" s="44">
        <f>SUMPRODUCT(H241:L241,'Fisico SPOT MAT'!H241:L241)*24</f>
        <v>11194263.269721847</v>
      </c>
      <c r="N241" s="19">
        <f>+'Fisico SPOT MAT'!AG241</f>
        <v>16.327967713779035</v>
      </c>
      <c r="O241" s="19">
        <f t="shared" si="76"/>
        <v>13.950276243093922</v>
      </c>
      <c r="P241" s="19">
        <v>6</v>
      </c>
      <c r="Q241" s="19">
        <v>6</v>
      </c>
      <c r="R241" s="19">
        <v>0</v>
      </c>
      <c r="S241" s="44">
        <f>SUMPRODUCT(N241:R241,'Fisico SPOT MAT'!N241:R241)*E241</f>
        <v>955882.38305709034</v>
      </c>
      <c r="T241" s="17">
        <v>75</v>
      </c>
      <c r="U241" s="17">
        <v>18</v>
      </c>
      <c r="V241" s="17">
        <v>60</v>
      </c>
      <c r="W241" s="28">
        <f>SUMPRODUCT(T241:V241,'Fisico SPOT MAT'!T241:V241)*24</f>
        <v>3648552.7199999988</v>
      </c>
      <c r="X241" s="19">
        <v>0</v>
      </c>
      <c r="Y241" s="19">
        <v>5</v>
      </c>
      <c r="Z241" s="19">
        <v>0</v>
      </c>
      <c r="AA241" s="28">
        <f>SUMPRODUCT(X241:Z241,'Fisico SPOT MAT'!X241:Z241)*E241</f>
        <v>10300</v>
      </c>
      <c r="AC241" s="115"/>
      <c r="AD241" s="41">
        <v>88.511235850757899</v>
      </c>
      <c r="AE241" s="42">
        <v>129.17443908970256</v>
      </c>
      <c r="AF241">
        <v>5050</v>
      </c>
      <c r="AG241" s="74">
        <f t="shared" si="98"/>
        <v>5.5020084199261587</v>
      </c>
      <c r="AH241">
        <v>0</v>
      </c>
      <c r="AI241" s="41">
        <v>0.85</v>
      </c>
      <c r="AJ241">
        <v>362</v>
      </c>
    </row>
    <row r="242" spans="1:36" x14ac:dyDescent="0.25">
      <c r="A242" s="3">
        <f>+'Mono ASIG'!A242</f>
        <v>1411.1790000000001</v>
      </c>
      <c r="B242" s="3">
        <f>+'Mono ASIG'!B242</f>
        <v>1412.9870000000001</v>
      </c>
      <c r="C242" s="1">
        <f>+'Mono ASIG'!C242</f>
        <v>2026</v>
      </c>
      <c r="D242" s="1">
        <f t="shared" si="95"/>
        <v>5</v>
      </c>
      <c r="E242" s="1">
        <f>+'Fisico SPOT MAT'!E242</f>
        <v>16</v>
      </c>
      <c r="F242" s="1" t="str">
        <f>+'Mono ASIG'!F242</f>
        <v>lun</v>
      </c>
      <c r="G242" s="56">
        <f>+'Mono ASIG'!G242</f>
        <v>46153</v>
      </c>
      <c r="H242" s="17">
        <f t="shared" si="96"/>
        <v>100.30995620111797</v>
      </c>
      <c r="I242" s="17">
        <f t="shared" si="97"/>
        <v>205.35901211699817</v>
      </c>
      <c r="J242" s="17">
        <v>25.06669533522637</v>
      </c>
      <c r="K242" s="17">
        <v>25.06669533522637</v>
      </c>
      <c r="L242" s="17">
        <v>32.983359208384634</v>
      </c>
      <c r="M242" s="44">
        <f>SUMPRODUCT(H242:L242,'Fisico SPOT MAT'!H242:L242)*24</f>
        <v>12293746.985320926</v>
      </c>
      <c r="N242" s="19">
        <f>+'Fisico SPOT MAT'!AG242</f>
        <v>16.325263162893648</v>
      </c>
      <c r="O242" s="19">
        <f t="shared" si="76"/>
        <v>13.950276243093922</v>
      </c>
      <c r="P242" s="19">
        <v>6</v>
      </c>
      <c r="Q242" s="19">
        <v>6</v>
      </c>
      <c r="R242" s="19">
        <v>0</v>
      </c>
      <c r="S242" s="44">
        <f>SUMPRODUCT(N242:R242,'Fisico SPOT MAT'!N242:R242)*E242</f>
        <v>3783695.4316758765</v>
      </c>
      <c r="T242" s="17">
        <v>75</v>
      </c>
      <c r="U242" s="17">
        <v>18</v>
      </c>
      <c r="V242" s="17">
        <v>60</v>
      </c>
      <c r="W242" s="28">
        <f>SUMPRODUCT(T242:V242,'Fisico SPOT MAT'!T242:V242)*24</f>
        <v>3878775.6599999992</v>
      </c>
      <c r="X242" s="19">
        <v>0</v>
      </c>
      <c r="Y242" s="19">
        <v>5</v>
      </c>
      <c r="Z242" s="19">
        <v>0</v>
      </c>
      <c r="AA242" s="28">
        <f>SUMPRODUCT(X242:Z242,'Fisico SPOT MAT'!X242:Z242)*E242</f>
        <v>41200</v>
      </c>
      <c r="AC242" s="115"/>
      <c r="AD242" s="41">
        <v>93.613542108775619</v>
      </c>
      <c r="AE242" s="42">
        <v>198.66259802465584</v>
      </c>
      <c r="AF242">
        <v>5050</v>
      </c>
      <c r="AG242" s="74">
        <f t="shared" si="98"/>
        <v>5.8464140923423544</v>
      </c>
      <c r="AH242">
        <v>0</v>
      </c>
      <c r="AI242" s="41">
        <v>0.85</v>
      </c>
      <c r="AJ242">
        <v>362</v>
      </c>
    </row>
    <row r="243" spans="1:36" x14ac:dyDescent="0.25">
      <c r="A243" s="3">
        <f>+'Mono ASIG'!A243</f>
        <v>1411.1790000000001</v>
      </c>
      <c r="B243" s="3">
        <f>+'Mono ASIG'!B243</f>
        <v>1412.9870000000001</v>
      </c>
      <c r="C243" s="1">
        <f>+'Mono ASIG'!C243</f>
        <v>2026</v>
      </c>
      <c r="D243" s="1">
        <f t="shared" ref="D243:D250" si="99">MONTH(G243)</f>
        <v>5</v>
      </c>
      <c r="E243" s="1">
        <f>+'Fisico SPOT MAT'!E243</f>
        <v>16</v>
      </c>
      <c r="F243" s="1" t="str">
        <f>+'Mono ASIG'!F243</f>
        <v>mar</v>
      </c>
      <c r="G243" s="56">
        <f>+'Mono ASIG'!G243</f>
        <v>46154</v>
      </c>
      <c r="H243" s="17">
        <f t="shared" ref="H243" si="100">+AD243+AG243+AH243+AI243</f>
        <v>109.62620720661089</v>
      </c>
      <c r="I243" s="17">
        <f t="shared" ref="I243" si="101">+AE243+AG243+AH243+AI243</f>
        <v>230.51064944461228</v>
      </c>
      <c r="J243" s="17">
        <v>27.044616291132797</v>
      </c>
      <c r="K243" s="17">
        <v>27.044616291132797</v>
      </c>
      <c r="L243" s="17">
        <v>33.607582023047627</v>
      </c>
      <c r="M243" s="44">
        <f>SUMPRODUCT(H243:L243,'Fisico SPOT MAT'!H243:L243)*24</f>
        <v>14572966.205807954</v>
      </c>
      <c r="N243" s="19">
        <f>+'Fisico SPOT MAT'!AG243</f>
        <v>16.3165156472304</v>
      </c>
      <c r="O243" s="19">
        <f t="shared" ref="O243" si="102">AF243/AJ243</f>
        <v>13.950276243093922</v>
      </c>
      <c r="P243" s="19">
        <v>6</v>
      </c>
      <c r="Q243" s="19">
        <v>6</v>
      </c>
      <c r="R243" s="19">
        <v>0</v>
      </c>
      <c r="S243" s="44">
        <f>SUMPRODUCT(N243:R243,'Fisico SPOT MAT'!N243:R243)*E243</f>
        <v>3792736.9718232057</v>
      </c>
      <c r="T243" s="17">
        <v>75</v>
      </c>
      <c r="U243" s="17">
        <v>18</v>
      </c>
      <c r="V243" s="17">
        <v>60</v>
      </c>
      <c r="W243" s="28">
        <f>SUMPRODUCT(T243:V243,'Fisico SPOT MAT'!T243:V243)*24</f>
        <v>3557426.9999999986</v>
      </c>
      <c r="X243" s="19">
        <v>0</v>
      </c>
      <c r="Y243" s="19">
        <v>5</v>
      </c>
      <c r="Z243" s="19">
        <v>0</v>
      </c>
      <c r="AA243" s="28">
        <f>SUMPRODUCT(X243:Z243,'Fisico SPOT MAT'!X243:Z243)*E243</f>
        <v>41200</v>
      </c>
      <c r="AC243" s="115"/>
      <c r="AD243" s="41">
        <v>102.34070932703597</v>
      </c>
      <c r="AE243" s="42">
        <v>223.22515156503735</v>
      </c>
      <c r="AF243">
        <v>5050</v>
      </c>
      <c r="AG243" s="74">
        <f t="shared" ref="AG243" si="103">0.075*0.9*(AD243-7)</f>
        <v>6.4354978795749282</v>
      </c>
      <c r="AH243">
        <v>0</v>
      </c>
      <c r="AI243" s="41">
        <v>0.85</v>
      </c>
      <c r="AJ243">
        <v>362</v>
      </c>
    </row>
    <row r="244" spans="1:36" x14ac:dyDescent="0.25">
      <c r="A244" s="3">
        <f>+'Mono ASIG'!A244</f>
        <v>1411.1790000000001</v>
      </c>
      <c r="B244" s="3">
        <f>+'Mono ASIG'!B244</f>
        <v>1412.9870000000001</v>
      </c>
      <c r="C244" s="1">
        <f>+'Mono ASIG'!C244</f>
        <v>2026</v>
      </c>
      <c r="D244" s="1">
        <f t="shared" si="99"/>
        <v>5</v>
      </c>
      <c r="E244" s="1">
        <f>+'Fisico SPOT MAT'!E244</f>
        <v>16</v>
      </c>
      <c r="F244" s="1" t="str">
        <f>+'Mono ASIG'!F244</f>
        <v>mié</v>
      </c>
      <c r="G244" s="56">
        <f>+'Mono ASIG'!G244</f>
        <v>46155</v>
      </c>
      <c r="H244" s="17">
        <f t="shared" ref="H244:H250" si="104">+AD244+AG244+AH244+AI244</f>
        <v>109.91394610440851</v>
      </c>
      <c r="I244" s="17">
        <f t="shared" ref="I244:I250" si="105">+AE244+AG244+AH244+AI244</f>
        <v>222.40403397644391</v>
      </c>
      <c r="J244" s="17">
        <v>28.012634541968453</v>
      </c>
      <c r="K244" s="17">
        <v>28.012634541968453</v>
      </c>
      <c r="L244" s="17">
        <v>33.401467600197307</v>
      </c>
      <c r="M244" s="44">
        <f>SUMPRODUCT(H244:L244,'Fisico SPOT MAT'!H244:L244)*24</f>
        <v>15204898.892859774</v>
      </c>
      <c r="N244" s="19">
        <f>+'Fisico SPOT MAT'!AG244</f>
        <v>16.323807153883717</v>
      </c>
      <c r="O244" s="19">
        <f t="shared" ref="O244:O250" si="106">AF244/AJ244</f>
        <v>13.950276243093922</v>
      </c>
      <c r="P244" s="19">
        <v>6</v>
      </c>
      <c r="Q244" s="19">
        <v>6</v>
      </c>
      <c r="R244" s="19">
        <v>0</v>
      </c>
      <c r="S244" s="44">
        <f>SUMPRODUCT(N244:R244,'Fisico SPOT MAT'!N244:R244)*E244</f>
        <v>3809757.2060036836</v>
      </c>
      <c r="T244" s="17">
        <v>75</v>
      </c>
      <c r="U244" s="17">
        <v>18</v>
      </c>
      <c r="V244" s="17">
        <v>60</v>
      </c>
      <c r="W244" s="28">
        <f>SUMPRODUCT(T244:V244,'Fisico SPOT MAT'!T244:V244)*24</f>
        <v>3112514.4599999995</v>
      </c>
      <c r="X244" s="19">
        <v>0</v>
      </c>
      <c r="Y244" s="19">
        <v>5</v>
      </c>
      <c r="Z244" s="19">
        <v>0</v>
      </c>
      <c r="AA244" s="28">
        <f>SUMPRODUCT(X244:Z244,'Fisico SPOT MAT'!X244:Z244)*E244</f>
        <v>35811.1</v>
      </c>
      <c r="AC244" s="115"/>
      <c r="AD244" s="41">
        <v>102.61025396197519</v>
      </c>
      <c r="AE244" s="42">
        <v>215.10034183401061</v>
      </c>
      <c r="AF244">
        <v>5050</v>
      </c>
      <c r="AG244" s="74">
        <f t="shared" ref="AG244:AG250" si="107">0.075*0.9*(AD244-7)</f>
        <v>6.4536921424333258</v>
      </c>
      <c r="AH244">
        <v>0</v>
      </c>
      <c r="AI244" s="41">
        <v>0.85</v>
      </c>
      <c r="AJ244">
        <v>362</v>
      </c>
    </row>
    <row r="245" spans="1:36" x14ac:dyDescent="0.25">
      <c r="A245" s="3">
        <f>+'Mono ASIG'!A245</f>
        <v>1411.1790000000001</v>
      </c>
      <c r="B245" s="3">
        <f>+'Mono ASIG'!B245</f>
        <v>1412.9870000000001</v>
      </c>
      <c r="C245" s="1">
        <f>+'Mono ASIG'!C245</f>
        <v>2026</v>
      </c>
      <c r="D245" s="1">
        <f t="shared" si="99"/>
        <v>5</v>
      </c>
      <c r="E245" s="1">
        <f>+'Fisico SPOT MAT'!E245</f>
        <v>16</v>
      </c>
      <c r="F245" s="1" t="str">
        <f>+'Mono ASIG'!F245</f>
        <v>jue</v>
      </c>
      <c r="G245" s="56">
        <f>+'Mono ASIG'!G245</f>
        <v>46156</v>
      </c>
      <c r="H245" s="17">
        <f t="shared" si="104"/>
        <v>107.21281679854597</v>
      </c>
      <c r="I245" s="17">
        <f t="shared" si="105"/>
        <v>216.80234940343314</v>
      </c>
      <c r="J245" s="17">
        <v>27.085903932740674</v>
      </c>
      <c r="K245" s="17">
        <v>27.085903932740674</v>
      </c>
      <c r="L245" s="17">
        <v>33.35581219077033</v>
      </c>
      <c r="M245" s="44">
        <f>SUMPRODUCT(H245:L245,'Fisico SPOT MAT'!H245:L245)*24</f>
        <v>15091165.007392704</v>
      </c>
      <c r="N245" s="19">
        <f>+'Fisico SPOT MAT'!AG245</f>
        <v>16.322038870370932</v>
      </c>
      <c r="O245" s="19">
        <f t="shared" si="106"/>
        <v>13.950276243093922</v>
      </c>
      <c r="P245" s="19">
        <v>6</v>
      </c>
      <c r="Q245" s="19">
        <v>6</v>
      </c>
      <c r="R245" s="19">
        <v>0</v>
      </c>
      <c r="S245" s="44">
        <f>SUMPRODUCT(N245:R245,'Fisico SPOT MAT'!N245:R245)*E245</f>
        <v>3806197.1523572751</v>
      </c>
      <c r="T245" s="17">
        <v>75</v>
      </c>
      <c r="U245" s="17">
        <v>18</v>
      </c>
      <c r="V245" s="17">
        <v>60</v>
      </c>
      <c r="W245" s="28">
        <f>SUMPRODUCT(T245:V245,'Fisico SPOT MAT'!T245:V245)*24</f>
        <v>2251477.7999999998</v>
      </c>
      <c r="X245" s="19">
        <v>0</v>
      </c>
      <c r="Y245" s="19">
        <v>5</v>
      </c>
      <c r="Z245" s="19">
        <v>0</v>
      </c>
      <c r="AA245" s="28">
        <f>SUMPRODUCT(X245:Z245,'Fisico SPOT MAT'!X245:Z245)*E245</f>
        <v>33200</v>
      </c>
      <c r="AC245" s="115"/>
      <c r="AD245" s="41">
        <v>100.07992205952785</v>
      </c>
      <c r="AE245" s="42">
        <v>209.66945466441501</v>
      </c>
      <c r="AF245">
        <v>5050</v>
      </c>
      <c r="AG245" s="74">
        <f t="shared" si="107"/>
        <v>6.28289473901813</v>
      </c>
      <c r="AH245">
        <v>0</v>
      </c>
      <c r="AI245" s="41">
        <v>0.85</v>
      </c>
      <c r="AJ245">
        <v>362</v>
      </c>
    </row>
    <row r="246" spans="1:36" x14ac:dyDescent="0.25">
      <c r="A246" s="3">
        <f>+'Mono ASIG'!A246</f>
        <v>1411.1790000000001</v>
      </c>
      <c r="B246" s="3">
        <f>+'Mono ASIG'!B246</f>
        <v>1412.9870000000001</v>
      </c>
      <c r="C246" s="1">
        <f>+'Mono ASIG'!C246</f>
        <v>2026</v>
      </c>
      <c r="D246" s="1">
        <f t="shared" si="99"/>
        <v>5</v>
      </c>
      <c r="E246" s="1">
        <f>+'Fisico SPOT MAT'!E246</f>
        <v>16</v>
      </c>
      <c r="F246" s="1" t="str">
        <f>+'Mono ASIG'!F246</f>
        <v>vie</v>
      </c>
      <c r="G246" s="56">
        <f>+'Mono ASIG'!G246</f>
        <v>46157</v>
      </c>
      <c r="H246" s="17">
        <f t="shared" si="104"/>
        <v>104.30029456346274</v>
      </c>
      <c r="I246" s="17">
        <f t="shared" si="105"/>
        <v>230.87197630185111</v>
      </c>
      <c r="J246" s="17">
        <v>26.313697432312832</v>
      </c>
      <c r="K246" s="17">
        <v>26.313697432312832</v>
      </c>
      <c r="L246" s="17">
        <v>32</v>
      </c>
      <c r="M246" s="44">
        <f>SUMPRODUCT(H246:L246,'Fisico SPOT MAT'!H246:L246)*24</f>
        <v>14247851.117574833</v>
      </c>
      <c r="N246" s="19">
        <f>+'Fisico SPOT MAT'!AG246</f>
        <v>16.294315077843429</v>
      </c>
      <c r="O246" s="19">
        <f t="shared" si="106"/>
        <v>13.950276243093922</v>
      </c>
      <c r="P246" s="19">
        <v>6</v>
      </c>
      <c r="Q246" s="19">
        <v>6</v>
      </c>
      <c r="R246" s="19">
        <v>0</v>
      </c>
      <c r="S246" s="44">
        <f>SUMPRODUCT(N246:R246,'Fisico SPOT MAT'!N246:R246)*E246</f>
        <v>3746375.4187624319</v>
      </c>
      <c r="T246" s="17">
        <v>75</v>
      </c>
      <c r="U246" s="17">
        <v>18</v>
      </c>
      <c r="V246" s="17">
        <v>60</v>
      </c>
      <c r="W246" s="28">
        <f>SUMPRODUCT(T246:V246,'Fisico SPOT MAT'!T246:V246)*24</f>
        <v>3531210.8399999994</v>
      </c>
      <c r="X246" s="19">
        <v>0</v>
      </c>
      <c r="Y246" s="19">
        <v>5</v>
      </c>
      <c r="Z246" s="19">
        <v>0</v>
      </c>
      <c r="AA246" s="28">
        <f>SUMPRODUCT(X246:Z246,'Fisico SPOT MAT'!X246:Z246)*E246</f>
        <v>33200</v>
      </c>
      <c r="AC246" s="115"/>
      <c r="AD246" s="41">
        <v>97.351563993876113</v>
      </c>
      <c r="AE246" s="42">
        <v>223.92324573226446</v>
      </c>
      <c r="AF246">
        <v>5050</v>
      </c>
      <c r="AG246" s="74">
        <f t="shared" si="107"/>
        <v>6.0987305695866381</v>
      </c>
      <c r="AH246">
        <v>0</v>
      </c>
      <c r="AI246" s="41">
        <v>0.85</v>
      </c>
      <c r="AJ246">
        <v>362</v>
      </c>
    </row>
    <row r="247" spans="1:36" x14ac:dyDescent="0.25">
      <c r="A247" s="3">
        <f>+'Mono ASIG'!A247</f>
        <v>1411.1790000000001</v>
      </c>
      <c r="B247" s="3">
        <f>+'Mono ASIG'!B247</f>
        <v>1412.9870000000001</v>
      </c>
      <c r="C247" s="1">
        <f>+'Mono ASIG'!C247</f>
        <v>2026</v>
      </c>
      <c r="D247" s="1">
        <f t="shared" si="99"/>
        <v>5</v>
      </c>
      <c r="E247" s="1">
        <f>+'Fisico SPOT MAT'!E247</f>
        <v>6</v>
      </c>
      <c r="F247" s="1" t="str">
        <f>+'Mono ASIG'!F247</f>
        <v>sáb</v>
      </c>
      <c r="G247" s="56">
        <f>+'Mono ASIG'!G247</f>
        <v>46158</v>
      </c>
      <c r="H247" s="17">
        <f t="shared" si="104"/>
        <v>122.82398908623512</v>
      </c>
      <c r="I247" s="17">
        <f t="shared" si="105"/>
        <v>224.43976370756872</v>
      </c>
      <c r="J247" s="17">
        <v>28.259870464613137</v>
      </c>
      <c r="K247" s="17">
        <v>28.259870464613137</v>
      </c>
      <c r="L247" s="17">
        <v>32</v>
      </c>
      <c r="M247" s="44">
        <f>SUMPRODUCT(H247:L247,'Fisico SPOT MAT'!H247:L247)*24</f>
        <v>14907095.502339335</v>
      </c>
      <c r="N247" s="19">
        <f>+'Fisico SPOT MAT'!AG247</f>
        <v>16.296811146845368</v>
      </c>
      <c r="O247" s="19">
        <f t="shared" si="106"/>
        <v>13.950276243093922</v>
      </c>
      <c r="P247" s="19">
        <v>6</v>
      </c>
      <c r="Q247" s="19">
        <v>6</v>
      </c>
      <c r="R247" s="19">
        <v>0</v>
      </c>
      <c r="S247" s="44">
        <f>SUMPRODUCT(N247:R247,'Fisico SPOT MAT'!N247:R247)*E247</f>
        <v>1391159.2756491709</v>
      </c>
      <c r="T247" s="17">
        <v>75</v>
      </c>
      <c r="U247" s="17">
        <v>18</v>
      </c>
      <c r="V247" s="17">
        <v>60</v>
      </c>
      <c r="W247" s="28">
        <f>SUMPRODUCT(T247:V247,'Fisico SPOT MAT'!T247:V247)*24</f>
        <v>3019417.1399999983</v>
      </c>
      <c r="X247" s="19">
        <v>0</v>
      </c>
      <c r="Y247" s="19">
        <v>5</v>
      </c>
      <c r="Z247" s="19">
        <v>0</v>
      </c>
      <c r="AA247" s="28">
        <f>SUMPRODUCT(X247:Z247,'Fisico SPOT MAT'!X247:Z247)*E247</f>
        <v>12450</v>
      </c>
      <c r="AC247" s="115"/>
      <c r="AD247" s="41">
        <v>114.70397104096966</v>
      </c>
      <c r="AE247" s="42">
        <v>216.31974566230326</v>
      </c>
      <c r="AF247">
        <v>5050</v>
      </c>
      <c r="AG247" s="74">
        <f t="shared" si="107"/>
        <v>7.270018045265453</v>
      </c>
      <c r="AH247">
        <v>0</v>
      </c>
      <c r="AI247" s="41">
        <v>0.85</v>
      </c>
      <c r="AJ247">
        <v>362</v>
      </c>
    </row>
    <row r="248" spans="1:36" x14ac:dyDescent="0.25">
      <c r="A248" s="3">
        <f>+'Mono ASIG'!A248</f>
        <v>1411.1790000000001</v>
      </c>
      <c r="B248" s="3">
        <f>+'Mono ASIG'!B248</f>
        <v>1412.9870000000001</v>
      </c>
      <c r="C248" s="1">
        <f>+'Mono ASIG'!C248</f>
        <v>2026</v>
      </c>
      <c r="D248" s="1">
        <f t="shared" si="99"/>
        <v>5</v>
      </c>
      <c r="E248" s="1">
        <f>+'Fisico SPOT MAT'!E248</f>
        <v>4</v>
      </c>
      <c r="F248" s="1" t="str">
        <f>+'Mono ASIG'!F248</f>
        <v>dom</v>
      </c>
      <c r="G248" s="56">
        <f>+'Mono ASIG'!G248</f>
        <v>46159</v>
      </c>
      <c r="H248" s="17">
        <f t="shared" si="104"/>
        <v>126.28570737639976</v>
      </c>
      <c r="I248" s="17">
        <f t="shared" si="105"/>
        <v>219.97750773514232</v>
      </c>
      <c r="J248" s="17">
        <v>27.601635648593813</v>
      </c>
      <c r="K248" s="17">
        <v>27.601635648593813</v>
      </c>
      <c r="L248" s="17">
        <v>32</v>
      </c>
      <c r="M248" s="44">
        <f>SUMPRODUCT(H248:L248,'Fisico SPOT MAT'!H248:L248)*24</f>
        <v>15878004.713182999</v>
      </c>
      <c r="N248" s="19">
        <f>+'Fisico SPOT MAT'!AG248</f>
        <v>16.308629834536429</v>
      </c>
      <c r="O248" s="19">
        <f t="shared" si="106"/>
        <v>13.950276243093922</v>
      </c>
      <c r="P248" s="19">
        <v>6</v>
      </c>
      <c r="Q248" s="19">
        <v>6</v>
      </c>
      <c r="R248" s="19">
        <v>0</v>
      </c>
      <c r="S248" s="44">
        <f>SUMPRODUCT(N248:R248,'Fisico SPOT MAT'!N248:R248)*E248</f>
        <v>930563.16698895046</v>
      </c>
      <c r="T248" s="17">
        <v>75</v>
      </c>
      <c r="U248" s="17">
        <v>18</v>
      </c>
      <c r="V248" s="17">
        <v>60</v>
      </c>
      <c r="W248" s="28">
        <f>SUMPRODUCT(T248:V248,'Fisico SPOT MAT'!T248:V248)*24</f>
        <v>2844234.1799999988</v>
      </c>
      <c r="X248" s="19">
        <v>0</v>
      </c>
      <c r="Y248" s="19">
        <v>5</v>
      </c>
      <c r="Z248" s="19">
        <v>0</v>
      </c>
      <c r="AA248" s="28">
        <f>SUMPRODUCT(X248:Z248,'Fisico SPOT MAT'!X248:Z248)*E248</f>
        <v>8300</v>
      </c>
      <c r="AC248" s="115"/>
      <c r="AD248" s="41">
        <v>117.94679847906301</v>
      </c>
      <c r="AE248" s="42">
        <v>211.63859883780557</v>
      </c>
      <c r="AF248">
        <v>5050</v>
      </c>
      <c r="AG248" s="74">
        <f t="shared" si="107"/>
        <v>7.4889088973367537</v>
      </c>
      <c r="AH248">
        <v>0</v>
      </c>
      <c r="AI248" s="41">
        <v>0.85</v>
      </c>
      <c r="AJ248">
        <v>362</v>
      </c>
    </row>
    <row r="249" spans="1:36" x14ac:dyDescent="0.25">
      <c r="A249" s="3">
        <f>+'Mono ASIG'!A249</f>
        <v>1411.1790000000001</v>
      </c>
      <c r="B249" s="3">
        <f>+'Mono ASIG'!B249</f>
        <v>1399.4749999999999</v>
      </c>
      <c r="C249" s="1">
        <f>+'Mono ASIG'!C249</f>
        <v>2026</v>
      </c>
      <c r="D249" s="1">
        <f t="shared" si="99"/>
        <v>5</v>
      </c>
      <c r="E249" s="1">
        <f>+'Fisico SPOT MAT'!E249</f>
        <v>16</v>
      </c>
      <c r="F249" s="1" t="str">
        <f>+'Mono ASIG'!F249</f>
        <v>lun</v>
      </c>
      <c r="G249" s="56">
        <f>+'Mono ASIG'!G249</f>
        <v>46160</v>
      </c>
      <c r="H249" s="17">
        <f t="shared" si="104"/>
        <v>137.03368208429848</v>
      </c>
      <c r="I249" s="17">
        <f t="shared" si="105"/>
        <v>230.96042980313089</v>
      </c>
      <c r="J249" s="17">
        <v>29.522787467195258</v>
      </c>
      <c r="K249" s="17">
        <v>29.522787467195258</v>
      </c>
      <c r="L249" s="17">
        <v>32</v>
      </c>
      <c r="M249" s="44">
        <f>SUMPRODUCT(H249:L249,'Fisico SPOT MAT'!H249:L249)*24</f>
        <v>20567009.214695327</v>
      </c>
      <c r="N249" s="19">
        <f>+'Fisico SPOT MAT'!AG249</f>
        <v>16.335097795661774</v>
      </c>
      <c r="O249" s="19">
        <f t="shared" si="106"/>
        <v>13.950276243093922</v>
      </c>
      <c r="P249" s="19">
        <v>6</v>
      </c>
      <c r="Q249" s="19">
        <v>6</v>
      </c>
      <c r="R249" s="19">
        <v>0</v>
      </c>
      <c r="S249" s="44">
        <f>SUMPRODUCT(N249:R249,'Fisico SPOT MAT'!N249:R249)*E249</f>
        <v>3778539.7587845307</v>
      </c>
      <c r="T249" s="17">
        <v>75</v>
      </c>
      <c r="U249" s="17">
        <v>18</v>
      </c>
      <c r="V249" s="17">
        <v>60</v>
      </c>
      <c r="W249" s="28">
        <f>SUMPRODUCT(T249:V249,'Fisico SPOT MAT'!T249:V249)*24</f>
        <v>3137999.2799999984</v>
      </c>
      <c r="X249" s="19">
        <v>0</v>
      </c>
      <c r="Y249" s="19">
        <v>5</v>
      </c>
      <c r="Z249" s="19">
        <v>0</v>
      </c>
      <c r="AA249" s="28">
        <f>SUMPRODUCT(X249:Z249,'Fisico SPOT MAT'!X249:Z249)*E249</f>
        <v>33200</v>
      </c>
      <c r="AC249" s="115"/>
      <c r="AD249" s="41">
        <v>128.01515886116954</v>
      </c>
      <c r="AE249" s="42">
        <v>221.94190658000196</v>
      </c>
      <c r="AF249">
        <v>5050</v>
      </c>
      <c r="AG249" s="74">
        <f t="shared" si="107"/>
        <v>8.1685232231289451</v>
      </c>
      <c r="AH249">
        <v>0</v>
      </c>
      <c r="AI249" s="41">
        <v>0.85</v>
      </c>
      <c r="AJ249">
        <v>362</v>
      </c>
    </row>
    <row r="250" spans="1:36" x14ac:dyDescent="0.25">
      <c r="A250" s="3">
        <f>+'Mono ASIG'!A250</f>
        <v>1411.1790000000001</v>
      </c>
      <c r="B250" s="3">
        <f>+'Mono ASIG'!B250</f>
        <v>1399.4749999999999</v>
      </c>
      <c r="C250" s="1">
        <f>+'Mono ASIG'!C250</f>
        <v>2026</v>
      </c>
      <c r="D250" s="1">
        <f t="shared" si="99"/>
        <v>5</v>
      </c>
      <c r="E250" s="1">
        <f>+'Fisico SPOT MAT'!E250</f>
        <v>16</v>
      </c>
      <c r="F250" s="1" t="str">
        <f>+'Mono ASIG'!F250</f>
        <v>mar</v>
      </c>
      <c r="G250" s="56">
        <f>+'Mono ASIG'!G250</f>
        <v>46161</v>
      </c>
      <c r="H250" s="17">
        <f t="shared" si="104"/>
        <v>138.57946499311547</v>
      </c>
      <c r="I250" s="17">
        <f t="shared" si="105"/>
        <v>229.53035936979754</v>
      </c>
      <c r="J250" s="17">
        <v>30.877261250616503</v>
      </c>
      <c r="K250" s="17">
        <v>30.877261250616503</v>
      </c>
      <c r="L250" s="17">
        <v>35.024788581432325</v>
      </c>
      <c r="M250" s="44">
        <f>SUMPRODUCT(H250:L250,'Fisico SPOT MAT'!H250:L250)*24</f>
        <v>22131608.066844471</v>
      </c>
      <c r="N250" s="19">
        <f>+'Fisico SPOT MAT'!AG250</f>
        <v>16.326698335019653</v>
      </c>
      <c r="O250" s="19">
        <f t="shared" si="106"/>
        <v>13.950276243093922</v>
      </c>
      <c r="P250" s="19">
        <v>6</v>
      </c>
      <c r="Q250" s="19">
        <v>6</v>
      </c>
      <c r="R250" s="19">
        <v>0</v>
      </c>
      <c r="S250" s="44">
        <f>SUMPRODUCT(N250:R250,'Fisico SPOT MAT'!N250:R250)*E250</f>
        <v>3760125.3806261499</v>
      </c>
      <c r="T250" s="17">
        <v>75</v>
      </c>
      <c r="U250" s="17">
        <v>18</v>
      </c>
      <c r="V250" s="17">
        <v>60</v>
      </c>
      <c r="W250" s="28">
        <f>SUMPRODUCT(T250:V250,'Fisico SPOT MAT'!T250:V250)*24</f>
        <v>3193466.3399999989</v>
      </c>
      <c r="X250" s="19">
        <v>0</v>
      </c>
      <c r="Y250" s="19">
        <v>5</v>
      </c>
      <c r="Z250" s="19">
        <v>0</v>
      </c>
      <c r="AA250" s="28">
        <f>SUMPRODUCT(X250:Z250,'Fisico SPOT MAT'!X250:Z250)*E250</f>
        <v>33200</v>
      </c>
      <c r="AC250" s="115"/>
      <c r="AD250" s="41">
        <v>129.46319905678263</v>
      </c>
      <c r="AE250" s="42">
        <v>220.41409343346473</v>
      </c>
      <c r="AF250">
        <v>5050</v>
      </c>
      <c r="AG250" s="74">
        <f t="shared" si="107"/>
        <v>8.2662659363328288</v>
      </c>
      <c r="AH250">
        <v>0</v>
      </c>
      <c r="AI250" s="41">
        <v>0.85</v>
      </c>
      <c r="AJ250">
        <v>362</v>
      </c>
    </row>
    <row r="251" spans="1:36" x14ac:dyDescent="0.25">
      <c r="A251" s="3">
        <f>+'Mono ASIG'!A251</f>
        <v>1411.1790000000001</v>
      </c>
      <c r="B251" s="3">
        <f>+'Mono ASIG'!B251</f>
        <v>1399.4749999999999</v>
      </c>
      <c r="C251" s="1">
        <f>+'Mono ASIG'!C251</f>
        <v>2026</v>
      </c>
      <c r="D251" s="1">
        <f t="shared" ref="D251:D256" si="108">MONTH(G251)</f>
        <v>5</v>
      </c>
      <c r="E251" s="1">
        <f>+'Fisico SPOT MAT'!E251</f>
        <v>16</v>
      </c>
      <c r="F251" s="1" t="str">
        <f>+'Mono ASIG'!F251</f>
        <v>mié</v>
      </c>
      <c r="G251" s="56">
        <f>+'Mono ASIG'!G251</f>
        <v>46162</v>
      </c>
      <c r="H251" s="17">
        <f t="shared" ref="H251:H256" si="109">+AD251+AG251+AH251+AI251</f>
        <v>136.68163508458377</v>
      </c>
      <c r="I251" s="17">
        <f t="shared" ref="I251:I256" si="110">+AE251+AG251+AH251+AI251</f>
        <v>240.42627456676968</v>
      </c>
      <c r="J251" s="17">
        <v>34.587175138114667</v>
      </c>
      <c r="K251" s="17">
        <v>34.587175138114667</v>
      </c>
      <c r="L251" s="17">
        <v>32</v>
      </c>
      <c r="M251" s="44">
        <f>SUMPRODUCT(H251:L251,'Fisico SPOT MAT'!H251:L251)*24</f>
        <v>22077183.581971928</v>
      </c>
      <c r="N251" s="19">
        <f>+'Fisico SPOT MAT'!AG251</f>
        <v>16.331761582857048</v>
      </c>
      <c r="O251" s="19">
        <f t="shared" ref="O251:O256" si="111">AF251/AJ251</f>
        <v>13.950276243093922</v>
      </c>
      <c r="P251" s="19">
        <v>6</v>
      </c>
      <c r="Q251" s="19">
        <v>6</v>
      </c>
      <c r="R251" s="19">
        <v>0</v>
      </c>
      <c r="S251" s="44">
        <f>SUMPRODUCT(N251:R251,'Fisico SPOT MAT'!N251:R251)*E251</f>
        <v>3771927.1897974224</v>
      </c>
      <c r="T251" s="17">
        <v>75</v>
      </c>
      <c r="U251" s="17">
        <v>18</v>
      </c>
      <c r="V251" s="17">
        <v>60</v>
      </c>
      <c r="W251" s="28">
        <f>SUMPRODUCT(T251:V251,'Fisico SPOT MAT'!T251:V251)*24</f>
        <v>2951442.2399999988</v>
      </c>
      <c r="X251" s="19">
        <v>0</v>
      </c>
      <c r="Y251" s="19">
        <v>5</v>
      </c>
      <c r="Z251" s="19">
        <v>0</v>
      </c>
      <c r="AA251" s="28">
        <f>SUMPRODUCT(X251:Z251,'Fisico SPOT MAT'!X251:Z251)*E251</f>
        <v>33200</v>
      </c>
      <c r="AC251" s="115"/>
      <c r="AD251" s="41">
        <v>127.68537244457498</v>
      </c>
      <c r="AE251" s="42">
        <v>231.43001192676087</v>
      </c>
      <c r="AF251">
        <v>5050</v>
      </c>
      <c r="AG251" s="74">
        <f t="shared" ref="AG251:AG256" si="112">0.075*0.9*(AD251-7)</f>
        <v>8.1462626400088123</v>
      </c>
      <c r="AH251">
        <v>0</v>
      </c>
      <c r="AI251" s="41">
        <v>0.85</v>
      </c>
      <c r="AJ251">
        <v>362</v>
      </c>
    </row>
    <row r="252" spans="1:36" x14ac:dyDescent="0.25">
      <c r="A252" s="3">
        <f>+'Mono ASIG'!A252</f>
        <v>1411.1790000000001</v>
      </c>
      <c r="B252" s="3">
        <f>+'Mono ASIG'!B252</f>
        <v>1399.4749999999999</v>
      </c>
      <c r="C252" s="1">
        <f>+'Mono ASIG'!C252</f>
        <v>2026</v>
      </c>
      <c r="D252" s="1">
        <f t="shared" si="108"/>
        <v>5</v>
      </c>
      <c r="E252" s="1">
        <f>+'Fisico SPOT MAT'!E252</f>
        <v>16</v>
      </c>
      <c r="F252" s="1" t="str">
        <f>+'Mono ASIG'!F252</f>
        <v>jue</v>
      </c>
      <c r="G252" s="56">
        <f>+'Mono ASIG'!G252</f>
        <v>46163</v>
      </c>
      <c r="H252" s="17">
        <f t="shared" si="109"/>
        <v>143.76879059053115</v>
      </c>
      <c r="I252" s="17">
        <f t="shared" si="110"/>
        <v>229.26626857462307</v>
      </c>
      <c r="J252" s="17">
        <v>33.97689532931345</v>
      </c>
      <c r="K252" s="17">
        <v>33.97689532931345</v>
      </c>
      <c r="L252" s="17">
        <v>32</v>
      </c>
      <c r="M252" s="44">
        <f>SUMPRODUCT(H252:L252,'Fisico SPOT MAT'!H252:L252)*24</f>
        <v>23106166.351120934</v>
      </c>
      <c r="N252" s="19">
        <f>+'Fisico SPOT MAT'!AG252</f>
        <v>16.321229497318985</v>
      </c>
      <c r="O252" s="19">
        <f t="shared" si="111"/>
        <v>13.950276243093922</v>
      </c>
      <c r="P252" s="19">
        <v>6</v>
      </c>
      <c r="Q252" s="19">
        <v>6</v>
      </c>
      <c r="R252" s="19">
        <v>0</v>
      </c>
      <c r="S252" s="44">
        <f>SUMPRODUCT(N252:R252,'Fisico SPOT MAT'!N252:R252)*E252</f>
        <v>3753764.290681398</v>
      </c>
      <c r="T252" s="17">
        <v>75</v>
      </c>
      <c r="U252" s="17">
        <v>18</v>
      </c>
      <c r="V252" s="17">
        <v>60</v>
      </c>
      <c r="W252" s="28">
        <f>SUMPRODUCT(T252:V252,'Fisico SPOT MAT'!T252:V252)*24</f>
        <v>2399112.6000000006</v>
      </c>
      <c r="X252" s="19">
        <v>0</v>
      </c>
      <c r="Y252" s="19">
        <v>5</v>
      </c>
      <c r="Z252" s="19">
        <v>0</v>
      </c>
      <c r="AA252" s="28">
        <f>SUMPRODUCT(X252:Z252,'Fisico SPOT MAT'!X252:Z252)*E252</f>
        <v>33200</v>
      </c>
      <c r="AC252" s="115"/>
      <c r="AD252" s="41">
        <v>134.32439399581372</v>
      </c>
      <c r="AE252" s="42">
        <v>219.82187197990564</v>
      </c>
      <c r="AF252">
        <v>5050</v>
      </c>
      <c r="AG252" s="74">
        <f t="shared" si="112"/>
        <v>8.594396594717427</v>
      </c>
      <c r="AH252">
        <v>0</v>
      </c>
      <c r="AI252" s="41">
        <v>0.85</v>
      </c>
      <c r="AJ252">
        <v>362</v>
      </c>
    </row>
    <row r="253" spans="1:36" x14ac:dyDescent="0.25">
      <c r="A253" s="3">
        <f>+'Mono ASIG'!A253</f>
        <v>1411.1790000000001</v>
      </c>
      <c r="B253" s="3">
        <f>+'Mono ASIG'!B253</f>
        <v>1399.4749999999999</v>
      </c>
      <c r="C253" s="1">
        <f>+'Mono ASIG'!C253</f>
        <v>2026</v>
      </c>
      <c r="D253" s="1">
        <f t="shared" si="108"/>
        <v>5</v>
      </c>
      <c r="E253" s="1">
        <f>+'Fisico SPOT MAT'!E253</f>
        <v>16</v>
      </c>
      <c r="F253" s="1" t="str">
        <f>+'Mono ASIG'!F253</f>
        <v>vie</v>
      </c>
      <c r="G253" s="56">
        <f>+'Mono ASIG'!G253</f>
        <v>46164</v>
      </c>
      <c r="H253" s="17">
        <f t="shared" si="109"/>
        <v>145.21258932748006</v>
      </c>
      <c r="I253" s="17">
        <f t="shared" si="110"/>
        <v>243.88043085948001</v>
      </c>
      <c r="J253" s="17">
        <v>34.025067742549162</v>
      </c>
      <c r="K253" s="17">
        <v>34.025067742549162</v>
      </c>
      <c r="L253" s="17">
        <v>32</v>
      </c>
      <c r="M253" s="44">
        <f>SUMPRODUCT(H253:L253,'Fisico SPOT MAT'!H253:L253)*24</f>
        <v>22681789.56335767</v>
      </c>
      <c r="N253" s="19">
        <f>+'Fisico SPOT MAT'!AG253</f>
        <v>16.321608008312701</v>
      </c>
      <c r="O253" s="19">
        <f t="shared" si="111"/>
        <v>13.950276243093922</v>
      </c>
      <c r="P253" s="19">
        <v>6</v>
      </c>
      <c r="Q253" s="19">
        <v>6</v>
      </c>
      <c r="R253" s="19">
        <v>0</v>
      </c>
      <c r="S253" s="44">
        <f>SUMPRODUCT(N253:R253,'Fisico SPOT MAT'!N253:R253)*E253</f>
        <v>3740288.9556537727</v>
      </c>
      <c r="T253" s="17">
        <v>75</v>
      </c>
      <c r="U253" s="17">
        <v>18</v>
      </c>
      <c r="V253" s="17">
        <v>60</v>
      </c>
      <c r="W253" s="28">
        <f>SUMPRODUCT(T253:V253,'Fisico SPOT MAT'!T253:V253)*24</f>
        <v>2887156.379999999</v>
      </c>
      <c r="X253" s="19">
        <v>0</v>
      </c>
      <c r="Y253" s="19">
        <v>5</v>
      </c>
      <c r="Z253" s="19">
        <v>0</v>
      </c>
      <c r="AA253" s="28">
        <f>SUMPRODUCT(X253:Z253,'Fisico SPOT MAT'!X253:Z253)*E253</f>
        <v>33200</v>
      </c>
      <c r="AC253" s="115"/>
      <c r="AD253" s="41">
        <v>135.67689866742865</v>
      </c>
      <c r="AE253" s="42">
        <v>234.34474019942857</v>
      </c>
      <c r="AF253">
        <v>5050</v>
      </c>
      <c r="AG253" s="74">
        <f t="shared" si="112"/>
        <v>8.685690660051435</v>
      </c>
      <c r="AH253">
        <v>0</v>
      </c>
      <c r="AI253" s="41">
        <v>0.85</v>
      </c>
      <c r="AJ253">
        <v>362</v>
      </c>
    </row>
    <row r="254" spans="1:36" x14ac:dyDescent="0.25">
      <c r="A254" s="3">
        <f>+'Mono ASIG'!A254</f>
        <v>1411.1790000000001</v>
      </c>
      <c r="B254" s="3">
        <f>+'Mono ASIG'!B254</f>
        <v>1399.4749999999999</v>
      </c>
      <c r="C254" s="1">
        <f>+'Mono ASIG'!C254</f>
        <v>2026</v>
      </c>
      <c r="D254" s="1">
        <f t="shared" si="108"/>
        <v>5</v>
      </c>
      <c r="E254" s="1">
        <f>+'Fisico SPOT MAT'!E254</f>
        <v>6</v>
      </c>
      <c r="F254" s="1" t="str">
        <f>+'Mono ASIG'!F254</f>
        <v>sáb</v>
      </c>
      <c r="G254" s="56">
        <f>+'Mono ASIG'!G254</f>
        <v>46165</v>
      </c>
      <c r="H254" s="17">
        <f t="shared" si="109"/>
        <v>133.48628296677489</v>
      </c>
      <c r="I254" s="17">
        <f t="shared" si="110"/>
        <v>123.67135734510701</v>
      </c>
      <c r="J254" s="17">
        <v>32.282392666521062</v>
      </c>
      <c r="K254" s="17">
        <v>32.282392666521062</v>
      </c>
      <c r="L254" s="17">
        <v>32</v>
      </c>
      <c r="M254" s="44">
        <f>SUMPRODUCT(H254:L254,'Fisico SPOT MAT'!H254:L254)*24</f>
        <v>16731663.646453146</v>
      </c>
      <c r="N254" s="19">
        <f>+'Fisico SPOT MAT'!AG254</f>
        <v>16.251067493208211</v>
      </c>
      <c r="O254" s="19">
        <f t="shared" si="111"/>
        <v>13.950276243093922</v>
      </c>
      <c r="P254" s="19">
        <v>6</v>
      </c>
      <c r="Q254" s="19">
        <v>6</v>
      </c>
      <c r="R254" s="19">
        <v>0</v>
      </c>
      <c r="S254" s="44">
        <f>SUMPRODUCT(N254:R254,'Fisico SPOT MAT'!N254:R254)*E254</f>
        <v>1348639.748687845</v>
      </c>
      <c r="T254" s="17">
        <v>75</v>
      </c>
      <c r="U254" s="17">
        <v>18</v>
      </c>
      <c r="V254" s="17">
        <v>60</v>
      </c>
      <c r="W254" s="28">
        <f>SUMPRODUCT(T254:V254,'Fisico SPOT MAT'!T254:V254)*24</f>
        <v>3301959.6599999983</v>
      </c>
      <c r="X254" s="19">
        <v>0</v>
      </c>
      <c r="Y254" s="19">
        <v>5</v>
      </c>
      <c r="Z254" s="19">
        <v>0</v>
      </c>
      <c r="AA254" s="28">
        <f>SUMPRODUCT(X254:Z254,'Fisico SPOT MAT'!X254:Z254)*E254</f>
        <v>12450</v>
      </c>
      <c r="AC254" s="115"/>
      <c r="AD254" s="41">
        <v>124.69206835295073</v>
      </c>
      <c r="AE254" s="42">
        <v>114.87714273128285</v>
      </c>
      <c r="AF254">
        <v>5050</v>
      </c>
      <c r="AG254" s="74">
        <f t="shared" si="112"/>
        <v>7.9442146138241743</v>
      </c>
      <c r="AH254">
        <v>0</v>
      </c>
      <c r="AI254" s="41">
        <v>0.85</v>
      </c>
      <c r="AJ254">
        <v>362</v>
      </c>
    </row>
    <row r="255" spans="1:36" x14ac:dyDescent="0.25">
      <c r="A255" s="3">
        <f>+'Mono ASIG'!A255</f>
        <v>1411.1790000000001</v>
      </c>
      <c r="B255" s="3">
        <f>+'Mono ASIG'!B255</f>
        <v>1399.4749999999999</v>
      </c>
      <c r="C255" s="1">
        <f>+'Mono ASIG'!C255</f>
        <v>2026</v>
      </c>
      <c r="D255" s="1">
        <f t="shared" si="108"/>
        <v>5</v>
      </c>
      <c r="E255" s="1">
        <f>+'Fisico SPOT MAT'!E255</f>
        <v>4</v>
      </c>
      <c r="F255" s="1" t="str">
        <f>+'Mono ASIG'!F255</f>
        <v>dom</v>
      </c>
      <c r="G255" s="56">
        <f>+'Mono ASIG'!G255</f>
        <v>46166</v>
      </c>
      <c r="H255" s="17">
        <f t="shared" si="109"/>
        <v>120.12185464835076</v>
      </c>
      <c r="I255" s="17">
        <f t="shared" si="110"/>
        <v>75.035808371089786</v>
      </c>
      <c r="J255" s="17">
        <v>27.853981741235582</v>
      </c>
      <c r="K255" s="17">
        <v>27.853981741235582</v>
      </c>
      <c r="L255" s="17">
        <v>32</v>
      </c>
      <c r="M255" s="44">
        <f>SUMPRODUCT(H255:L255,'Fisico SPOT MAT'!H255:L255)*24</f>
        <v>13840639.506922107</v>
      </c>
      <c r="N255" s="19">
        <f>+'Fisico SPOT MAT'!AG255</f>
        <v>16.24534782780729</v>
      </c>
      <c r="O255" s="19">
        <f t="shared" si="111"/>
        <v>13.950276243093922</v>
      </c>
      <c r="P255" s="19">
        <v>6</v>
      </c>
      <c r="Q255" s="19">
        <v>6</v>
      </c>
      <c r="R255" s="19">
        <v>0</v>
      </c>
      <c r="S255" s="44">
        <f>SUMPRODUCT(N255:R255,'Fisico SPOT MAT'!N255:R255)*E255</f>
        <v>904250.18653775309</v>
      </c>
      <c r="T255" s="17">
        <v>75</v>
      </c>
      <c r="U255" s="17">
        <v>18</v>
      </c>
      <c r="V255" s="17">
        <v>60</v>
      </c>
      <c r="W255" s="28">
        <f>SUMPRODUCT(T255:V255,'Fisico SPOT MAT'!T255:V255)*24</f>
        <v>3404601.180000003</v>
      </c>
      <c r="X255" s="19">
        <v>0</v>
      </c>
      <c r="Y255" s="19">
        <v>5</v>
      </c>
      <c r="Z255" s="19">
        <v>0</v>
      </c>
      <c r="AA255" s="28">
        <f>SUMPRODUCT(X255:Z255,'Fisico SPOT MAT'!X255:Z255)*E255</f>
        <v>9294.4416666666657</v>
      </c>
      <c r="AC255" s="115"/>
      <c r="AD255" s="41">
        <v>112.17269756285786</v>
      </c>
      <c r="AE255" s="42">
        <v>67.086651285596886</v>
      </c>
      <c r="AF255">
        <v>5050</v>
      </c>
      <c r="AG255" s="74">
        <f t="shared" si="112"/>
        <v>7.099157085492906</v>
      </c>
      <c r="AH255">
        <v>0</v>
      </c>
      <c r="AI255" s="41">
        <v>0.85</v>
      </c>
      <c r="AJ255">
        <v>362</v>
      </c>
    </row>
    <row r="256" spans="1:36" x14ac:dyDescent="0.25">
      <c r="A256" s="3">
        <f>+'Mono ASIG'!A256</f>
        <v>1411.1790000000001</v>
      </c>
      <c r="B256" s="3">
        <f>+'Mono ASIG'!B256</f>
        <v>1399.4749999999999</v>
      </c>
      <c r="C256" s="1">
        <f>+'Mono ASIG'!C256</f>
        <v>2026</v>
      </c>
      <c r="D256" s="1">
        <f t="shared" si="108"/>
        <v>5</v>
      </c>
      <c r="E256" s="1">
        <f>+'Fisico SPOT MAT'!E256</f>
        <v>4</v>
      </c>
      <c r="F256" s="1" t="str">
        <f>+'Mono ASIG'!F256</f>
        <v>lun</v>
      </c>
      <c r="G256" s="56">
        <f>+'Mono ASIG'!G256</f>
        <v>46167</v>
      </c>
      <c r="H256" s="17">
        <f t="shared" si="109"/>
        <v>117.75183424908784</v>
      </c>
      <c r="I256" s="17">
        <f t="shared" si="110"/>
        <v>90.066081328806192</v>
      </c>
      <c r="J256" s="17">
        <v>26.778573827241999</v>
      </c>
      <c r="K256" s="17">
        <v>26.778573827241999</v>
      </c>
      <c r="L256" s="17">
        <v>32</v>
      </c>
      <c r="M256" s="44">
        <f>SUMPRODUCT(H256:L256,'Fisico SPOT MAT'!H256:L256)*24</f>
        <v>14303722.905445246</v>
      </c>
      <c r="N256" s="19">
        <f>+'Fisico SPOT MAT'!AG256</f>
        <v>16.237780696906746</v>
      </c>
      <c r="O256" s="19">
        <f t="shared" si="111"/>
        <v>13.950276243093922</v>
      </c>
      <c r="P256" s="19">
        <v>6</v>
      </c>
      <c r="Q256" s="19">
        <v>6</v>
      </c>
      <c r="R256" s="19">
        <v>0</v>
      </c>
      <c r="S256" s="44">
        <f>SUMPRODUCT(N256:R256,'Fisico SPOT MAT'!N256:R256)*E256</f>
        <v>907856.17020257877</v>
      </c>
      <c r="T256" s="17">
        <v>75</v>
      </c>
      <c r="U256" s="17">
        <v>18</v>
      </c>
      <c r="V256" s="17">
        <v>60</v>
      </c>
      <c r="W256" s="28">
        <f>SUMPRODUCT(T256:V256,'Fisico SPOT MAT'!T256:V256)*24</f>
        <v>2703841.1999999983</v>
      </c>
      <c r="X256" s="19">
        <v>0</v>
      </c>
      <c r="Y256" s="19">
        <v>5</v>
      </c>
      <c r="Z256" s="19">
        <v>0</v>
      </c>
      <c r="AA256" s="28">
        <f>SUMPRODUCT(X256:Z256,'Fisico SPOT MAT'!X256:Z256)*E256</f>
        <v>10300</v>
      </c>
      <c r="AC256" s="115"/>
      <c r="AD256" s="41">
        <v>109.95253793825559</v>
      </c>
      <c r="AE256" s="42">
        <v>82.266785017973945</v>
      </c>
      <c r="AF256">
        <v>5050</v>
      </c>
      <c r="AG256" s="74">
        <f t="shared" si="112"/>
        <v>6.9492963108322527</v>
      </c>
      <c r="AH256">
        <v>0</v>
      </c>
      <c r="AI256" s="41">
        <v>0.85</v>
      </c>
      <c r="AJ256">
        <v>362</v>
      </c>
    </row>
    <row r="257" spans="1:36" x14ac:dyDescent="0.25">
      <c r="A257" s="3">
        <f>+'Mono ASIG'!A257</f>
        <v>1411.1790000000001</v>
      </c>
      <c r="B257" s="3">
        <f>+'Mono ASIG'!B257</f>
        <v>1399.4749999999999</v>
      </c>
      <c r="C257" s="1">
        <f>+'Mono ASIG'!C257</f>
        <v>2026</v>
      </c>
      <c r="D257" s="1">
        <f t="shared" ref="D257:D261" si="113">MONTH(G257)</f>
        <v>5</v>
      </c>
      <c r="E257" s="1">
        <f>+'Fisico SPOT MAT'!E257</f>
        <v>16</v>
      </c>
      <c r="F257" s="1" t="str">
        <f>+'Mono ASIG'!F257</f>
        <v>mar</v>
      </c>
      <c r="G257" s="56">
        <f>+'Mono ASIG'!G257</f>
        <v>46168</v>
      </c>
      <c r="H257" s="17">
        <f t="shared" ref="H257:H261" si="114">+AD257+AG257+AH257+AI257</f>
        <v>115.12525101526526</v>
      </c>
      <c r="I257" s="17">
        <f t="shared" ref="I257:I261" si="115">+AE257+AG257+AH257+AI257</f>
        <v>161.63829848559388</v>
      </c>
      <c r="J257" s="17">
        <v>28.765002088292363</v>
      </c>
      <c r="K257" s="17">
        <v>28.765002088292363</v>
      </c>
      <c r="L257" s="17">
        <v>32</v>
      </c>
      <c r="M257" s="44">
        <f>SUMPRODUCT(H257:L257,'Fisico SPOT MAT'!H257:L257)*24</f>
        <v>17600773.808914572</v>
      </c>
      <c r="N257" s="19">
        <f>+'Fisico SPOT MAT'!AG257</f>
        <v>16.292200141361288</v>
      </c>
      <c r="O257" s="19">
        <f t="shared" ref="O257:O260" si="116">AF257/AJ257</f>
        <v>13.950276243093922</v>
      </c>
      <c r="P257" s="19">
        <v>6</v>
      </c>
      <c r="Q257" s="19">
        <v>6</v>
      </c>
      <c r="R257" s="19">
        <v>0</v>
      </c>
      <c r="S257" s="44">
        <f>SUMPRODUCT(N257:R257,'Fisico SPOT MAT'!N257:R257)*E257</f>
        <v>3748661.8225046038</v>
      </c>
      <c r="T257" s="17">
        <v>75</v>
      </c>
      <c r="U257" s="17">
        <v>18</v>
      </c>
      <c r="V257" s="17">
        <v>60</v>
      </c>
      <c r="W257" s="28">
        <f>SUMPRODUCT(T257:V257,'Fisico SPOT MAT'!T257:V257)*24</f>
        <v>2753745.3600000013</v>
      </c>
      <c r="X257" s="19">
        <v>0</v>
      </c>
      <c r="Y257" s="19">
        <v>5</v>
      </c>
      <c r="Z257" s="19">
        <v>0</v>
      </c>
      <c r="AA257" s="28">
        <f>SUMPRODUCT(X257:Z257,'Fisico SPOT MAT'!X257:Z257)*E257</f>
        <v>41200</v>
      </c>
      <c r="AC257" s="115"/>
      <c r="AD257" s="41">
        <v>107.49203842179416</v>
      </c>
      <c r="AE257" s="42">
        <v>154.00508589212276</v>
      </c>
      <c r="AF257">
        <v>5050</v>
      </c>
      <c r="AG257" s="74">
        <f t="shared" ref="AG257:AG261" si="117">0.075*0.9*(AD257-7)</f>
        <v>6.7832125934711067</v>
      </c>
      <c r="AH257">
        <v>0</v>
      </c>
      <c r="AI257" s="41">
        <v>0.85</v>
      </c>
      <c r="AJ257">
        <v>362</v>
      </c>
    </row>
    <row r="258" spans="1:36" x14ac:dyDescent="0.25">
      <c r="A258" s="3">
        <f>+'Mono ASIG'!A258</f>
        <v>1411.1790000000001</v>
      </c>
      <c r="B258" s="3">
        <f>+'Mono ASIG'!B258</f>
        <v>1399.4749999999999</v>
      </c>
      <c r="C258" s="1">
        <f>+'Mono ASIG'!C258</f>
        <v>2026</v>
      </c>
      <c r="D258" s="1">
        <f t="shared" si="113"/>
        <v>5</v>
      </c>
      <c r="E258" s="1">
        <f>+'Fisico SPOT MAT'!E258</f>
        <v>16</v>
      </c>
      <c r="F258" s="1" t="str">
        <f>+'Mono ASIG'!F258</f>
        <v>mié</v>
      </c>
      <c r="G258" s="56">
        <f>+'Mono ASIG'!G258</f>
        <v>46169</v>
      </c>
      <c r="H258" s="17">
        <f t="shared" si="114"/>
        <v>144.54208283953628</v>
      </c>
      <c r="I258" s="17">
        <f t="shared" si="115"/>
        <v>202.18559710385898</v>
      </c>
      <c r="J258" s="17">
        <v>30.458210293577359</v>
      </c>
      <c r="K258" s="17">
        <v>30.458210293577359</v>
      </c>
      <c r="L258" s="17">
        <v>32</v>
      </c>
      <c r="M258" s="44">
        <f>SUMPRODUCT(H258:L258,'Fisico SPOT MAT'!H258:L258)*24</f>
        <v>22358912.644214556</v>
      </c>
      <c r="N258" s="19">
        <f>+'Fisico SPOT MAT'!AG258</f>
        <v>16.286337075249438</v>
      </c>
      <c r="O258" s="19">
        <f t="shared" si="116"/>
        <v>13.950276243093922</v>
      </c>
      <c r="P258" s="19">
        <v>6</v>
      </c>
      <c r="Q258" s="19">
        <v>6</v>
      </c>
      <c r="R258" s="19">
        <v>0</v>
      </c>
      <c r="S258" s="44">
        <f>SUMPRODUCT(N258:R258,'Fisico SPOT MAT'!N258:R258)*E258</f>
        <v>3734200.751941069</v>
      </c>
      <c r="T258" s="17">
        <v>75</v>
      </c>
      <c r="U258" s="17">
        <v>18</v>
      </c>
      <c r="V258" s="17">
        <v>60</v>
      </c>
      <c r="W258" s="28">
        <f>SUMPRODUCT(T258:V258,'Fisico SPOT MAT'!T258:V258)*24</f>
        <v>2818257.5399999991</v>
      </c>
      <c r="X258" s="19">
        <v>0</v>
      </c>
      <c r="Y258" s="19">
        <v>5</v>
      </c>
      <c r="Z258" s="19">
        <v>0</v>
      </c>
      <c r="AA258" s="28">
        <f>SUMPRODUCT(X258:Z258,'Fisico SPOT MAT'!X258:Z258)*E258</f>
        <v>41200</v>
      </c>
      <c r="AC258" s="115"/>
      <c r="AD258" s="41">
        <v>135.04878954523306</v>
      </c>
      <c r="AE258" s="42">
        <v>192.69230380955577</v>
      </c>
      <c r="AF258">
        <v>5050</v>
      </c>
      <c r="AG258" s="74">
        <f t="shared" si="117"/>
        <v>8.6432932943032323</v>
      </c>
      <c r="AH258">
        <v>0</v>
      </c>
      <c r="AI258" s="41">
        <v>0.85</v>
      </c>
      <c r="AJ258">
        <v>362</v>
      </c>
    </row>
    <row r="259" spans="1:36" x14ac:dyDescent="0.25">
      <c r="A259" s="3">
        <f>+'Mono ASIG'!A259</f>
        <v>1411.1790000000001</v>
      </c>
      <c r="B259" s="3">
        <f>+'Mono ASIG'!B259</f>
        <v>1399.4749999999999</v>
      </c>
      <c r="C259" s="1">
        <f>+'Mono ASIG'!C259</f>
        <v>2026</v>
      </c>
      <c r="D259" s="1">
        <f t="shared" si="113"/>
        <v>5</v>
      </c>
      <c r="E259" s="1">
        <f>+'Fisico SPOT MAT'!E259</f>
        <v>16</v>
      </c>
      <c r="F259" s="1" t="str">
        <f>+'Mono ASIG'!F259</f>
        <v>jue</v>
      </c>
      <c r="G259" s="56">
        <f>+'Mono ASIG'!G259</f>
        <v>46170</v>
      </c>
      <c r="H259" s="17">
        <f t="shared" si="114"/>
        <v>149.0144719053101</v>
      </c>
      <c r="I259" s="17">
        <f t="shared" si="115"/>
        <v>234.07748431705409</v>
      </c>
      <c r="J259" s="17">
        <v>29.725738057811959</v>
      </c>
      <c r="K259" s="17">
        <v>29.725738057811959</v>
      </c>
      <c r="L259" s="17">
        <v>32</v>
      </c>
      <c r="M259" s="44">
        <f>SUMPRODUCT(H259:L259,'Fisico SPOT MAT'!H259:L259)*24</f>
        <v>23352424.025358777</v>
      </c>
      <c r="N259" s="19">
        <f>+'Fisico SPOT MAT'!AG259</f>
        <v>16.242073468917713</v>
      </c>
      <c r="O259" s="19">
        <f t="shared" si="116"/>
        <v>13.950276243093922</v>
      </c>
      <c r="P259" s="19">
        <v>6</v>
      </c>
      <c r="Q259" s="19">
        <v>6</v>
      </c>
      <c r="R259" s="19">
        <v>0</v>
      </c>
      <c r="S259" s="44">
        <f>SUMPRODUCT(N259:R259,'Fisico SPOT MAT'!N259:R259)*E259</f>
        <v>3629122.8047145493</v>
      </c>
      <c r="T259" s="17">
        <v>75</v>
      </c>
      <c r="U259" s="17">
        <v>18</v>
      </c>
      <c r="V259" s="17">
        <v>60</v>
      </c>
      <c r="W259" s="28">
        <f>SUMPRODUCT(T259:V259,'Fisico SPOT MAT'!T259:V259)*24</f>
        <v>2573774.5199999986</v>
      </c>
      <c r="X259" s="19">
        <v>0</v>
      </c>
      <c r="Y259" s="19">
        <v>5</v>
      </c>
      <c r="Z259" s="19">
        <v>0</v>
      </c>
      <c r="AA259" s="28">
        <f>SUMPRODUCT(X259:Z259,'Fisico SPOT MAT'!X259:Z259)*E259</f>
        <v>41200</v>
      </c>
      <c r="AC259" s="115"/>
      <c r="AD259" s="41">
        <v>139.23838117593453</v>
      </c>
      <c r="AE259" s="42">
        <v>224.30139358767852</v>
      </c>
      <c r="AF259">
        <v>5050</v>
      </c>
      <c r="AG259" s="74">
        <f t="shared" si="117"/>
        <v>8.9260907293755825</v>
      </c>
      <c r="AH259">
        <v>0</v>
      </c>
      <c r="AI259" s="41">
        <v>0.85</v>
      </c>
      <c r="AJ259">
        <v>362</v>
      </c>
    </row>
    <row r="260" spans="1:36" x14ac:dyDescent="0.25">
      <c r="A260" s="3">
        <f>+'Mono ASIG'!A260</f>
        <v>1411.1790000000001</v>
      </c>
      <c r="B260" s="3">
        <f>+'Mono ASIG'!B260</f>
        <v>1399.4749999999999</v>
      </c>
      <c r="C260" s="1">
        <f>+'Mono ASIG'!C260</f>
        <v>2026</v>
      </c>
      <c r="D260" s="1">
        <f t="shared" si="113"/>
        <v>5</v>
      </c>
      <c r="E260" s="1">
        <f>+'Fisico SPOT MAT'!E260</f>
        <v>16</v>
      </c>
      <c r="F260" s="1" t="str">
        <f>+'Mono ASIG'!F260</f>
        <v>vie</v>
      </c>
      <c r="G260" s="56">
        <f>+'Mono ASIG'!G260</f>
        <v>46171</v>
      </c>
      <c r="H260" s="17">
        <f t="shared" si="114"/>
        <v>143.87327579728887</v>
      </c>
      <c r="I260" s="17">
        <f t="shared" si="115"/>
        <v>233.30607811966331</v>
      </c>
      <c r="J260" s="17">
        <v>29.819932920493869</v>
      </c>
      <c r="K260" s="17">
        <v>29.819932920493869</v>
      </c>
      <c r="L260" s="17">
        <v>32</v>
      </c>
      <c r="M260" s="44">
        <f>SUMPRODUCT(H260:L260,'Fisico SPOT MAT'!H260:L260)*24</f>
        <v>22287847.405879311</v>
      </c>
      <c r="N260" s="19">
        <f>+'Fisico SPOT MAT'!AG260</f>
        <v>16.25335920904396</v>
      </c>
      <c r="O260" s="19">
        <f t="shared" si="116"/>
        <v>13.950276243093922</v>
      </c>
      <c r="P260" s="19">
        <v>6</v>
      </c>
      <c r="Q260" s="19">
        <v>6</v>
      </c>
      <c r="R260" s="19">
        <v>0</v>
      </c>
      <c r="S260" s="44">
        <f>SUMPRODUCT(N260:R260,'Fisico SPOT MAT'!N260:R260)*E260</f>
        <v>3665115.4522651946</v>
      </c>
      <c r="T260" s="17">
        <v>75</v>
      </c>
      <c r="U260" s="17">
        <v>18</v>
      </c>
      <c r="V260" s="17">
        <v>60</v>
      </c>
      <c r="W260" s="28">
        <f>SUMPRODUCT(T260:V260,'Fisico SPOT MAT'!T260:V260)*24</f>
        <v>2317131.2400000002</v>
      </c>
      <c r="X260" s="19">
        <v>0</v>
      </c>
      <c r="Y260" s="19">
        <v>5</v>
      </c>
      <c r="Z260" s="19">
        <v>0</v>
      </c>
      <c r="AA260" s="28">
        <f>SUMPRODUCT(X260:Z260,'Fisico SPOT MAT'!X260:Z260)*E260</f>
        <v>41200</v>
      </c>
      <c r="AC260" s="115"/>
      <c r="AD260" s="41">
        <v>134.42227240963828</v>
      </c>
      <c r="AE260" s="42">
        <v>223.85507473201272</v>
      </c>
      <c r="AF260">
        <v>5050</v>
      </c>
      <c r="AG260" s="74">
        <f t="shared" si="117"/>
        <v>8.601003387650584</v>
      </c>
      <c r="AH260">
        <v>0</v>
      </c>
      <c r="AI260" s="41">
        <v>0.85</v>
      </c>
      <c r="AJ260">
        <v>362</v>
      </c>
    </row>
    <row r="261" spans="1:36" x14ac:dyDescent="0.25">
      <c r="A261" s="3">
        <f>+'Mono ASIG'!A261</f>
        <v>1411.1790000000001</v>
      </c>
      <c r="B261" s="3">
        <f>+'Mono ASIG'!B261</f>
        <v>1399.4749999999999</v>
      </c>
      <c r="C261" s="1">
        <f>+'Mono ASIG'!C261</f>
        <v>2026</v>
      </c>
      <c r="D261" s="1">
        <f t="shared" si="113"/>
        <v>5</v>
      </c>
      <c r="E261" s="1">
        <f>+'Fisico SPOT MAT'!E261</f>
        <v>6</v>
      </c>
      <c r="F261" s="1" t="str">
        <f>+'Mono ASIG'!F261</f>
        <v>sáb</v>
      </c>
      <c r="G261" s="56">
        <f>+'Mono ASIG'!G261</f>
        <v>46172</v>
      </c>
      <c r="H261" s="17">
        <f t="shared" si="114"/>
        <v>135.19068310249864</v>
      </c>
      <c r="I261" s="17">
        <f t="shared" si="115"/>
        <v>228.41999165746682</v>
      </c>
      <c r="J261" s="17">
        <v>30.090735179078134</v>
      </c>
      <c r="K261" s="17">
        <v>30.090735179078134</v>
      </c>
      <c r="L261" s="17">
        <v>32</v>
      </c>
      <c r="M261" s="44">
        <f>SUMPRODUCT(H261:L261,'Fisico SPOT MAT'!H261:L261)*24</f>
        <v>18242914.969630666</v>
      </c>
      <c r="N261" s="19">
        <f>+'Fisico SPOT MAT'!AG261</f>
        <v>16.270221499404972</v>
      </c>
      <c r="O261" s="19">
        <f>AF261/AJ261</f>
        <v>13.950276243093922</v>
      </c>
      <c r="P261" s="19">
        <v>6</v>
      </c>
      <c r="Q261" s="19">
        <v>6</v>
      </c>
      <c r="R261" s="19">
        <v>0</v>
      </c>
      <c r="S261" s="44">
        <f>SUMPRODUCT(N261:R261,'Fisico SPOT MAT'!N261:R261)*E261</f>
        <v>1387502.8363121548</v>
      </c>
      <c r="T261" s="17">
        <v>75</v>
      </c>
      <c r="U261" s="17">
        <v>18</v>
      </c>
      <c r="V261" s="17">
        <v>60</v>
      </c>
      <c r="W261" s="28">
        <f>SUMPRODUCT(T261:V261,'Fisico SPOT MAT'!T261:V261)*24</f>
        <v>2676569.9400000004</v>
      </c>
      <c r="X261" s="19">
        <v>0</v>
      </c>
      <c r="Y261" s="19">
        <v>5</v>
      </c>
      <c r="Z261" s="19">
        <v>0</v>
      </c>
      <c r="AA261" s="28">
        <f>SUMPRODUCT(X261:Z261,'Fisico SPOT MAT'!X261:Z261)*E261</f>
        <v>15450</v>
      </c>
      <c r="AC261" s="115"/>
      <c r="AD261" s="41">
        <v>126.28869611475282</v>
      </c>
      <c r="AE261" s="42">
        <v>219.51800466972102</v>
      </c>
      <c r="AF261">
        <v>5050</v>
      </c>
      <c r="AG261" s="74">
        <f t="shared" si="117"/>
        <v>8.051986987745817</v>
      </c>
      <c r="AH261">
        <v>0</v>
      </c>
      <c r="AI261" s="41">
        <v>0.85</v>
      </c>
      <c r="AJ261">
        <v>362</v>
      </c>
    </row>
    <row r="262" spans="1:36" x14ac:dyDescent="0.25">
      <c r="A262" s="3">
        <f>+'Mono ASIG'!A262</f>
        <v>1411.1790000000001</v>
      </c>
      <c r="B262" s="3">
        <f>+'Mono ASIG'!B262</f>
        <v>1399.4749999999999</v>
      </c>
      <c r="C262" s="1">
        <f>+'Mono ASIG'!C262</f>
        <v>2026</v>
      </c>
      <c r="D262" s="1">
        <f t="shared" ref="D262" si="118">MONTH(G262)</f>
        <v>5</v>
      </c>
      <c r="E262" s="1">
        <f>+'Fisico SPOT MAT'!E262</f>
        <v>4</v>
      </c>
      <c r="F262" s="1" t="str">
        <f>+'Mono ASIG'!F262</f>
        <v>dom</v>
      </c>
      <c r="G262" s="56">
        <f>+'Mono ASIG'!G262</f>
        <v>46173</v>
      </c>
      <c r="H262" s="17">
        <f t="shared" ref="H262" si="119">+AD262+AG262+AH262+AI262</f>
        <v>125.29322862202575</v>
      </c>
      <c r="I262" s="17">
        <f t="shared" ref="I262" si="120">+AE262+AG262+AH262+AI262</f>
        <v>234.3648031441808</v>
      </c>
      <c r="J262" s="17">
        <v>29.829359700090855</v>
      </c>
      <c r="K262" s="17">
        <v>29.829359700090855</v>
      </c>
      <c r="L262" s="17">
        <v>32</v>
      </c>
      <c r="M262" s="44">
        <f>SUMPRODUCT(H262:L262,'Fisico SPOT MAT'!H262:L262)*24</f>
        <v>16181531.609469209</v>
      </c>
      <c r="N262" s="19">
        <f>+'Fisico SPOT MAT'!AG262</f>
        <v>16.283097542415092</v>
      </c>
      <c r="O262" s="19">
        <f>AF262/AJ262</f>
        <v>13.950276243093922</v>
      </c>
      <c r="P262" s="19">
        <v>6</v>
      </c>
      <c r="Q262" s="19">
        <v>6</v>
      </c>
      <c r="R262" s="19">
        <v>0</v>
      </c>
      <c r="S262" s="44">
        <f>SUMPRODUCT(N262:R262,'Fisico SPOT MAT'!N262:R262)*E262</f>
        <v>931714.21278084745</v>
      </c>
      <c r="T262" s="17">
        <v>75</v>
      </c>
      <c r="U262" s="17">
        <v>18</v>
      </c>
      <c r="V262" s="17">
        <v>60</v>
      </c>
      <c r="W262" s="28">
        <f>SUMPRODUCT(T262:V262,'Fisico SPOT MAT'!T262:V262)*24</f>
        <v>2719034.7000000025</v>
      </c>
      <c r="X262" s="19">
        <v>0</v>
      </c>
      <c r="Y262" s="19">
        <v>5</v>
      </c>
      <c r="Z262" s="19">
        <v>0</v>
      </c>
      <c r="AA262" s="28">
        <f>SUMPRODUCT(X262:Z262,'Fisico SPOT MAT'!X262:Z262)*E262</f>
        <v>10300</v>
      </c>
      <c r="AC262" s="115"/>
      <c r="AD262" s="41">
        <v>117.01707599252998</v>
      </c>
      <c r="AE262" s="42">
        <v>226.08865051468501</v>
      </c>
      <c r="AF262">
        <v>5050</v>
      </c>
      <c r="AG262" s="74">
        <f t="shared" ref="AG262" si="121">0.075*0.9*(AD262-7)</f>
        <v>7.4261526294957747</v>
      </c>
      <c r="AH262">
        <v>0</v>
      </c>
      <c r="AI262" s="41">
        <v>0.85</v>
      </c>
      <c r="AJ262">
        <v>362</v>
      </c>
    </row>
    <row r="263" spans="1:36" x14ac:dyDescent="0.25">
      <c r="A263" s="3">
        <f>+'Mono ASIG'!A263</f>
        <v>1477.29</v>
      </c>
      <c r="B263" s="3">
        <f>+'Mono ASIG'!B263</f>
        <v>1407.8889999999999</v>
      </c>
      <c r="C263" s="1">
        <f>+'Mono ASIG'!C263</f>
        <v>2026</v>
      </c>
      <c r="D263" s="1">
        <f t="shared" ref="D263:D269" si="122">MONTH(G263)</f>
        <v>6</v>
      </c>
      <c r="E263" s="1">
        <f>+'Fisico SPOT MAT'!E263</f>
        <v>16</v>
      </c>
      <c r="F263" s="1" t="str">
        <f>+'Mono ASIG'!F263</f>
        <v>lun</v>
      </c>
      <c r="G263" s="56">
        <f>+'Mono ASIG'!G263</f>
        <v>46174</v>
      </c>
      <c r="H263" s="17">
        <f t="shared" ref="H263:H269" si="123">+AD263+AG263+AH263+AI263</f>
        <v>167.64581784423916</v>
      </c>
      <c r="I263" s="17">
        <f t="shared" ref="I263:I269" si="124">+AE263+AG263+AH263+AI263</f>
        <v>135.57979302847934</v>
      </c>
      <c r="J263" s="17">
        <v>35.023991558279228</v>
      </c>
      <c r="K263" s="17">
        <v>35.023991558279228</v>
      </c>
      <c r="L263" s="17">
        <v>34.361171891088738</v>
      </c>
      <c r="M263" s="44">
        <f>SUMPRODUCT(H263:L263,'Fisico SPOT MAT'!H263:L263)*24</f>
        <v>23703744.294016093</v>
      </c>
      <c r="N263" s="19">
        <f>+'Fisico SPOT MAT'!AG263</f>
        <v>16.855535827346614</v>
      </c>
      <c r="O263" s="19">
        <f t="shared" ref="O263:O269" si="125">AF263/AJ263</f>
        <v>13.359788359788359</v>
      </c>
      <c r="P263" s="19">
        <v>6</v>
      </c>
      <c r="Q263" s="19">
        <v>6</v>
      </c>
      <c r="R263" s="19">
        <v>0</v>
      </c>
      <c r="S263" s="44">
        <f>SUMPRODUCT(N263:R263,'Fisico SPOT MAT'!N263:R263)*E263</f>
        <v>3828693.1178694889</v>
      </c>
      <c r="T263" s="17">
        <v>75</v>
      </c>
      <c r="U263" s="17">
        <v>18</v>
      </c>
      <c r="V263" s="17">
        <v>60</v>
      </c>
      <c r="W263" s="28">
        <f>SUMPRODUCT(T263:V263,'Fisico SPOT MAT'!T263:V263)*24</f>
        <v>2994801.5400000014</v>
      </c>
      <c r="X263" s="19">
        <v>0</v>
      </c>
      <c r="Y263" s="19">
        <v>5</v>
      </c>
      <c r="Z263" s="19">
        <v>0</v>
      </c>
      <c r="AA263" s="28">
        <f>SUMPRODUCT(X263:Z263,'Fisico SPOT MAT'!X263:Z263)*E263</f>
        <v>36240</v>
      </c>
      <c r="AC263" s="115"/>
      <c r="AD263" s="41">
        <v>156.69163264097347</v>
      </c>
      <c r="AE263" s="42">
        <v>124.62560782521365</v>
      </c>
      <c r="AF263">
        <v>5050</v>
      </c>
      <c r="AG263" s="74">
        <f t="shared" ref="AG263:AG269" si="126">0.075*0.9*(AD263-7)</f>
        <v>10.104185203265709</v>
      </c>
      <c r="AH263">
        <v>0</v>
      </c>
      <c r="AI263" s="41">
        <v>0.85</v>
      </c>
      <c r="AJ263">
        <v>378</v>
      </c>
    </row>
    <row r="264" spans="1:36" x14ac:dyDescent="0.25">
      <c r="A264" s="3">
        <f>+'Mono ASIG'!A264</f>
        <v>1477.29</v>
      </c>
      <c r="B264" s="3">
        <f>+'Mono ASIG'!B264</f>
        <v>1407.8889999999999</v>
      </c>
      <c r="C264" s="1">
        <f>+'Mono ASIG'!C264</f>
        <v>2026</v>
      </c>
      <c r="D264" s="1">
        <f t="shared" si="122"/>
        <v>6</v>
      </c>
      <c r="E264" s="1">
        <f>+'Fisico SPOT MAT'!E264</f>
        <v>16</v>
      </c>
      <c r="F264" s="1" t="str">
        <f>+'Mono ASIG'!F264</f>
        <v>mar</v>
      </c>
      <c r="G264" s="56">
        <f>+'Mono ASIG'!G264</f>
        <v>46175</v>
      </c>
      <c r="H264" s="17">
        <f t="shared" si="123"/>
        <v>167.73439344630614</v>
      </c>
      <c r="I264" s="17">
        <f t="shared" si="124"/>
        <v>58.444239856719413</v>
      </c>
      <c r="J264" s="17">
        <v>30.363153523220817</v>
      </c>
      <c r="K264" s="17">
        <v>30.363153523220817</v>
      </c>
      <c r="L264" s="17">
        <v>32.122610583991253</v>
      </c>
      <c r="M264" s="44">
        <f>SUMPRODUCT(H264:L264,'Fisico SPOT MAT'!H264:L264)*24</f>
        <v>23698369.941211924</v>
      </c>
      <c r="N264" s="19">
        <f>+'Fisico SPOT MAT'!AG264</f>
        <v>16.873886441581352</v>
      </c>
      <c r="O264" s="19">
        <f t="shared" si="125"/>
        <v>13.359788359788359</v>
      </c>
      <c r="P264" s="19">
        <v>6</v>
      </c>
      <c r="Q264" s="19">
        <v>6</v>
      </c>
      <c r="R264" s="19">
        <v>0</v>
      </c>
      <c r="S264" s="44">
        <f>SUMPRODUCT(N264:R264,'Fisico SPOT MAT'!N264:R264)*E264</f>
        <v>3888798.7214955897</v>
      </c>
      <c r="T264" s="17">
        <v>75</v>
      </c>
      <c r="U264" s="17">
        <v>18</v>
      </c>
      <c r="V264" s="17">
        <v>60</v>
      </c>
      <c r="W264" s="28">
        <f>SUMPRODUCT(T264:V264,'Fisico SPOT MAT'!T264:V264)*24</f>
        <v>3239664.9599999981</v>
      </c>
      <c r="X264" s="19">
        <v>0</v>
      </c>
      <c r="Y264" s="19">
        <v>5</v>
      </c>
      <c r="Z264" s="19">
        <v>0</v>
      </c>
      <c r="AA264" s="28">
        <f>SUMPRODUCT(X264:Z264,'Fisico SPOT MAT'!X264:Z264)*E264</f>
        <v>36240</v>
      </c>
      <c r="AC264" s="115"/>
      <c r="AD264" s="41">
        <v>156.77460744384652</v>
      </c>
      <c r="AE264" s="42">
        <v>47.484453854259769</v>
      </c>
      <c r="AF264">
        <v>5050</v>
      </c>
      <c r="AG264" s="74">
        <f t="shared" si="126"/>
        <v>10.109786002459641</v>
      </c>
      <c r="AH264">
        <v>0</v>
      </c>
      <c r="AI264" s="41">
        <v>0.85</v>
      </c>
      <c r="AJ264">
        <v>378</v>
      </c>
    </row>
    <row r="265" spans="1:36" x14ac:dyDescent="0.25">
      <c r="A265" s="3">
        <f>+'Mono ASIG'!A265</f>
        <v>1477.29</v>
      </c>
      <c r="B265" s="3">
        <f>+'Mono ASIG'!B265</f>
        <v>1407.8889999999999</v>
      </c>
      <c r="C265" s="1">
        <f>+'Mono ASIG'!C265</f>
        <v>2026</v>
      </c>
      <c r="D265" s="1">
        <f t="shared" si="122"/>
        <v>6</v>
      </c>
      <c r="E265" s="1">
        <f>+'Fisico SPOT MAT'!E265</f>
        <v>16</v>
      </c>
      <c r="F265" s="1" t="str">
        <f>+'Mono ASIG'!F265</f>
        <v>mié</v>
      </c>
      <c r="G265" s="56">
        <f>+'Mono ASIG'!G265</f>
        <v>46176</v>
      </c>
      <c r="H265" s="17">
        <f t="shared" si="123"/>
        <v>163.44678474144678</v>
      </c>
      <c r="I265" s="17">
        <f t="shared" si="124"/>
        <v>59.537929691410802</v>
      </c>
      <c r="J265" s="17">
        <v>30.375460097159483</v>
      </c>
      <c r="K265" s="17">
        <v>30.375460097159483</v>
      </c>
      <c r="L265" s="17">
        <v>33.045747682937893</v>
      </c>
      <c r="M265" s="44">
        <f>SUMPRODUCT(H265:L265,'Fisico SPOT MAT'!H265:L265)*24</f>
        <v>22520705.802370921</v>
      </c>
      <c r="N265" s="19">
        <f>+'Fisico SPOT MAT'!AG265</f>
        <v>16.87854880529153</v>
      </c>
      <c r="O265" s="19">
        <f t="shared" si="125"/>
        <v>13.359788359788359</v>
      </c>
      <c r="P265" s="19">
        <v>6</v>
      </c>
      <c r="Q265" s="19">
        <v>6</v>
      </c>
      <c r="R265" s="19">
        <v>0</v>
      </c>
      <c r="S265" s="44">
        <f>SUMPRODUCT(N265:R265,'Fisico SPOT MAT'!N265:R265)*E265</f>
        <v>3904458.4418024682</v>
      </c>
      <c r="T265" s="17">
        <v>75</v>
      </c>
      <c r="U265" s="17">
        <v>18</v>
      </c>
      <c r="V265" s="17">
        <v>60</v>
      </c>
      <c r="W265" s="28">
        <f>SUMPRODUCT(T265:V265,'Fisico SPOT MAT'!T265:V265)*24</f>
        <v>3435178.6199999987</v>
      </c>
      <c r="X265" s="19">
        <v>0</v>
      </c>
      <c r="Y265" s="19">
        <v>5</v>
      </c>
      <c r="Z265" s="19">
        <v>0</v>
      </c>
      <c r="AA265" s="28">
        <f>SUMPRODUCT(X265:Z265,'Fisico SPOT MAT'!X265:Z265)*E265</f>
        <v>36240</v>
      </c>
      <c r="AC265" s="115"/>
      <c r="AD265" s="41">
        <v>152.75811216997357</v>
      </c>
      <c r="AE265" s="42">
        <v>48.849257119937583</v>
      </c>
      <c r="AF265">
        <v>5050</v>
      </c>
      <c r="AG265" s="74">
        <f t="shared" si="126"/>
        <v>9.8386725714732162</v>
      </c>
      <c r="AH265">
        <v>0</v>
      </c>
      <c r="AI265" s="41">
        <v>0.85</v>
      </c>
      <c r="AJ265">
        <v>378</v>
      </c>
    </row>
    <row r="266" spans="1:36" x14ac:dyDescent="0.25">
      <c r="A266" s="3">
        <f>+'Mono ASIG'!A266</f>
        <v>1477.29</v>
      </c>
      <c r="B266" s="3">
        <f>+'Mono ASIG'!B266</f>
        <v>1407.8889999999999</v>
      </c>
      <c r="C266" s="1">
        <f>+'Mono ASIG'!C266</f>
        <v>2026</v>
      </c>
      <c r="D266" s="1">
        <f t="shared" si="122"/>
        <v>6</v>
      </c>
      <c r="E266" s="1">
        <f>+'Fisico SPOT MAT'!E266</f>
        <v>16</v>
      </c>
      <c r="F266" s="1" t="str">
        <f>+'Mono ASIG'!F266</f>
        <v>jue</v>
      </c>
      <c r="G266" s="56">
        <f>+'Mono ASIG'!G266</f>
        <v>46177</v>
      </c>
      <c r="H266" s="17">
        <f t="shared" si="123"/>
        <v>169.07617953783239</v>
      </c>
      <c r="I266" s="17">
        <f t="shared" si="124"/>
        <v>57.617396156798925</v>
      </c>
      <c r="J266" s="17">
        <v>32.009165488469648</v>
      </c>
      <c r="K266" s="17">
        <v>32.009165488469648</v>
      </c>
      <c r="L266" s="17">
        <v>33.495513753296947</v>
      </c>
      <c r="M266" s="44">
        <f>SUMPRODUCT(H266:L266,'Fisico SPOT MAT'!H266:L266)*24</f>
        <v>25917554.247582793</v>
      </c>
      <c r="N266" s="19">
        <f>+'Fisico SPOT MAT'!AG266</f>
        <v>16.882036488543378</v>
      </c>
      <c r="O266" s="19">
        <f t="shared" si="125"/>
        <v>13.359788359788359</v>
      </c>
      <c r="P266" s="19">
        <v>6</v>
      </c>
      <c r="Q266" s="19">
        <v>6</v>
      </c>
      <c r="R266" s="19">
        <v>0</v>
      </c>
      <c r="S266" s="44">
        <f>SUMPRODUCT(N266:R266,'Fisico SPOT MAT'!N266:R266)*E266</f>
        <v>3914239.3680000002</v>
      </c>
      <c r="T266" s="17">
        <v>75</v>
      </c>
      <c r="U266" s="17">
        <v>18</v>
      </c>
      <c r="V266" s="17">
        <v>60</v>
      </c>
      <c r="W266" s="28">
        <f>SUMPRODUCT(T266:V266,'Fisico SPOT MAT'!T266:V266)*24</f>
        <v>2337031.5000000009</v>
      </c>
      <c r="X266" s="19">
        <v>0</v>
      </c>
      <c r="Y266" s="19">
        <v>5</v>
      </c>
      <c r="Z266" s="19">
        <v>0</v>
      </c>
      <c r="AA266" s="28">
        <f>SUMPRODUCT(X266:Z266,'Fisico SPOT MAT'!X266:Z266)*E266</f>
        <v>36240</v>
      </c>
      <c r="AC266" s="115"/>
      <c r="AD266" s="41">
        <v>158.03154991834415</v>
      </c>
      <c r="AE266" s="42">
        <v>46.572766537310692</v>
      </c>
      <c r="AF266">
        <v>5050</v>
      </c>
      <c r="AG266" s="74">
        <f t="shared" si="126"/>
        <v>10.19462961948823</v>
      </c>
      <c r="AH266">
        <v>0</v>
      </c>
      <c r="AI266" s="41">
        <v>0.85</v>
      </c>
      <c r="AJ266">
        <v>378</v>
      </c>
    </row>
    <row r="267" spans="1:36" x14ac:dyDescent="0.25">
      <c r="A267" s="3">
        <f>+'Mono ASIG'!A267</f>
        <v>1477.29</v>
      </c>
      <c r="B267" s="3">
        <f>+'Mono ASIG'!B267</f>
        <v>1407.8889999999999</v>
      </c>
      <c r="C267" s="1">
        <f>+'Mono ASIG'!C267</f>
        <v>2026</v>
      </c>
      <c r="D267" s="1">
        <f t="shared" si="122"/>
        <v>6</v>
      </c>
      <c r="E267" s="1">
        <f>+'Fisico SPOT MAT'!E267</f>
        <v>16</v>
      </c>
      <c r="F267" s="1" t="str">
        <f>+'Mono ASIG'!F267</f>
        <v>vie</v>
      </c>
      <c r="G267" s="56">
        <f>+'Mono ASIG'!G267</f>
        <v>46178</v>
      </c>
      <c r="H267" s="17">
        <f t="shared" si="123"/>
        <v>164.96612905824546</v>
      </c>
      <c r="I267" s="17">
        <f t="shared" si="124"/>
        <v>56.721816058291893</v>
      </c>
      <c r="J267" s="17">
        <v>33.269448084512447</v>
      </c>
      <c r="K267" s="17">
        <v>33.269448084512447</v>
      </c>
      <c r="L267" s="17">
        <v>33.175621047163723</v>
      </c>
      <c r="M267" s="44">
        <f>SUMPRODUCT(H267:L267,'Fisico SPOT MAT'!H267:L267)*24</f>
        <v>25112490.225239202</v>
      </c>
      <c r="N267" s="19">
        <f>+'Fisico SPOT MAT'!AG267</f>
        <v>16.883560095813415</v>
      </c>
      <c r="O267" s="19">
        <f t="shared" si="125"/>
        <v>13.359788359788359</v>
      </c>
      <c r="P267" s="19">
        <v>6</v>
      </c>
      <c r="Q267" s="19">
        <v>6</v>
      </c>
      <c r="R267" s="19">
        <v>0</v>
      </c>
      <c r="S267" s="44">
        <f>SUMPRODUCT(N267:R267,'Fisico SPOT MAT'!N267:R267)*E267</f>
        <v>3920269.0889241621</v>
      </c>
      <c r="T267" s="17">
        <v>75</v>
      </c>
      <c r="U267" s="17">
        <v>18</v>
      </c>
      <c r="V267" s="17">
        <v>60</v>
      </c>
      <c r="W267" s="28">
        <f>SUMPRODUCT(T267:V267,'Fisico SPOT MAT'!T267:V267)*24</f>
        <v>2110661.040000001</v>
      </c>
      <c r="X267" s="19">
        <v>0</v>
      </c>
      <c r="Y267" s="19">
        <v>5</v>
      </c>
      <c r="Z267" s="19">
        <v>0</v>
      </c>
      <c r="AA267" s="28">
        <f>SUMPRODUCT(X267:Z267,'Fisico SPOT MAT'!X267:Z267)*E267</f>
        <v>36240</v>
      </c>
      <c r="AC267" s="115"/>
      <c r="AD267" s="41">
        <v>154.18138553465616</v>
      </c>
      <c r="AE267" s="42">
        <v>45.937072534702601</v>
      </c>
      <c r="AF267">
        <v>5050</v>
      </c>
      <c r="AG267" s="74">
        <f t="shared" si="126"/>
        <v>9.934743523589292</v>
      </c>
      <c r="AH267">
        <v>0</v>
      </c>
      <c r="AI267" s="41">
        <v>0.85</v>
      </c>
      <c r="AJ267">
        <v>378</v>
      </c>
    </row>
    <row r="268" spans="1:36" x14ac:dyDescent="0.25">
      <c r="A268" s="3">
        <f>+'Mono ASIG'!A268</f>
        <v>1477.29</v>
      </c>
      <c r="B268" s="3">
        <f>+'Mono ASIG'!B268</f>
        <v>1407.8889999999999</v>
      </c>
      <c r="C268" s="1">
        <f>+'Mono ASIG'!C268</f>
        <v>2026</v>
      </c>
      <c r="D268" s="1">
        <f t="shared" si="122"/>
        <v>6</v>
      </c>
      <c r="E268" s="1">
        <f>+'Fisico SPOT MAT'!E268</f>
        <v>6</v>
      </c>
      <c r="F268" s="1" t="str">
        <f>+'Mono ASIG'!F268</f>
        <v>sáb</v>
      </c>
      <c r="G268" s="56">
        <f>+'Mono ASIG'!G268</f>
        <v>46179</v>
      </c>
      <c r="H268" s="17">
        <f t="shared" si="123"/>
        <v>166.68607767337537</v>
      </c>
      <c r="I268" s="17">
        <f t="shared" si="124"/>
        <v>58.665141861283239</v>
      </c>
      <c r="J268" s="17">
        <v>33.089543154374397</v>
      </c>
      <c r="K268" s="17">
        <v>33.089543154374397</v>
      </c>
      <c r="L268" s="17">
        <v>33.145536397700255</v>
      </c>
      <c r="M268" s="44">
        <f>SUMPRODUCT(H268:L268,'Fisico SPOT MAT'!H268:L268)*24</f>
        <v>24785504.60566958</v>
      </c>
      <c r="N268" s="19">
        <f>+'Fisico SPOT MAT'!AG268</f>
        <v>16.881498146238524</v>
      </c>
      <c r="O268" s="19">
        <f t="shared" si="125"/>
        <v>13.359788359788359</v>
      </c>
      <c r="P268" s="19">
        <v>6</v>
      </c>
      <c r="Q268" s="19">
        <v>6</v>
      </c>
      <c r="R268" s="19">
        <v>0</v>
      </c>
      <c r="S268" s="44">
        <f>SUMPRODUCT(N268:R268,'Fisico SPOT MAT'!N268:R268)*E268</f>
        <v>1467608.6608637562</v>
      </c>
      <c r="T268" s="17">
        <v>75</v>
      </c>
      <c r="U268" s="17">
        <v>18</v>
      </c>
      <c r="V268" s="17">
        <v>60</v>
      </c>
      <c r="W268" s="28">
        <f>SUMPRODUCT(T268:V268,'Fisico SPOT MAT'!T268:V268)*24</f>
        <v>1863364.9799999991</v>
      </c>
      <c r="X268" s="19">
        <v>0</v>
      </c>
      <c r="Y268" s="19">
        <v>5</v>
      </c>
      <c r="Z268" s="19">
        <v>0</v>
      </c>
      <c r="AA268" s="28">
        <f>SUMPRODUCT(X268:Z268,'Fisico SPOT MAT'!X268:Z268)*E268</f>
        <v>13590</v>
      </c>
      <c r="AC268" s="115"/>
      <c r="AD268" s="41">
        <v>155.79257861674509</v>
      </c>
      <c r="AE268" s="42">
        <v>47.771642804652942</v>
      </c>
      <c r="AF268">
        <v>5050</v>
      </c>
      <c r="AG268" s="74">
        <f t="shared" si="126"/>
        <v>10.043499056630294</v>
      </c>
      <c r="AH268">
        <v>0</v>
      </c>
      <c r="AI268" s="41">
        <v>0.85</v>
      </c>
      <c r="AJ268">
        <v>378</v>
      </c>
    </row>
    <row r="269" spans="1:36" x14ac:dyDescent="0.25">
      <c r="A269" s="3">
        <f>+'Mono ASIG'!A269</f>
        <v>1477.29</v>
      </c>
      <c r="B269" s="3">
        <f>+'Mono ASIG'!B269</f>
        <v>1407.8889999999999</v>
      </c>
      <c r="C269" s="1">
        <f>+'Mono ASIG'!C269</f>
        <v>2026</v>
      </c>
      <c r="D269" s="1">
        <f t="shared" si="122"/>
        <v>6</v>
      </c>
      <c r="E269" s="1">
        <f>+'Fisico SPOT MAT'!E269</f>
        <v>4</v>
      </c>
      <c r="F269" s="1" t="str">
        <f>+'Mono ASIG'!F269</f>
        <v>dom</v>
      </c>
      <c r="G269" s="56">
        <f>+'Mono ASIG'!G269</f>
        <v>46180</v>
      </c>
      <c r="H269" s="17">
        <f t="shared" si="123"/>
        <v>161.89561428214054</v>
      </c>
      <c r="I269" s="17">
        <f t="shared" si="124"/>
        <v>57.857959252645358</v>
      </c>
      <c r="J269" s="17">
        <v>28.757717119917142</v>
      </c>
      <c r="K269" s="17">
        <v>28.757717119917142</v>
      </c>
      <c r="L269" s="17">
        <v>32.75589044714139</v>
      </c>
      <c r="M269" s="44">
        <f>SUMPRODUCT(H269:L269,'Fisico SPOT MAT'!H269:L269)*24</f>
        <v>22091401.501707815</v>
      </c>
      <c r="N269" s="19">
        <f>+'Fisico SPOT MAT'!AG269</f>
        <v>16.873801772010342</v>
      </c>
      <c r="O269" s="19">
        <f t="shared" si="125"/>
        <v>13.359788359788359</v>
      </c>
      <c r="P269" s="19">
        <v>6</v>
      </c>
      <c r="Q269" s="19">
        <v>6</v>
      </c>
      <c r="R269" s="19">
        <v>0</v>
      </c>
      <c r="S269" s="44">
        <f>SUMPRODUCT(N269:R269,'Fisico SPOT MAT'!N269:R269)*E269</f>
        <v>971902.8205044088</v>
      </c>
      <c r="T269" s="17">
        <v>75</v>
      </c>
      <c r="U269" s="17">
        <v>18</v>
      </c>
      <c r="V269" s="17">
        <v>60</v>
      </c>
      <c r="W269" s="28">
        <f>SUMPRODUCT(T269:V269,'Fisico SPOT MAT'!T269:V269)*24</f>
        <v>2090834.0399999991</v>
      </c>
      <c r="X269" s="19">
        <v>0</v>
      </c>
      <c r="Y269" s="19">
        <v>5</v>
      </c>
      <c r="Z269" s="19">
        <v>0</v>
      </c>
      <c r="AA269" s="28">
        <f>SUMPRODUCT(X269:Z269,'Fisico SPOT MAT'!X269:Z269)*E269</f>
        <v>9060</v>
      </c>
      <c r="AC269" s="115"/>
      <c r="AD269" s="41">
        <v>151.30502508865624</v>
      </c>
      <c r="AE269" s="42">
        <v>47.26737005916106</v>
      </c>
      <c r="AF269">
        <v>5050</v>
      </c>
      <c r="AG269" s="74">
        <f t="shared" si="126"/>
        <v>9.740589193484297</v>
      </c>
      <c r="AH269">
        <v>0</v>
      </c>
      <c r="AI269" s="41">
        <v>0.85</v>
      </c>
      <c r="AJ269">
        <v>378</v>
      </c>
    </row>
    <row r="270" spans="1:36" x14ac:dyDescent="0.25">
      <c r="A270" s="3">
        <f>+'Mono ASIG'!A270</f>
        <v>1477.29</v>
      </c>
      <c r="B270" s="3">
        <f>+'Mono ASIG'!B270</f>
        <v>1407.8889999999999</v>
      </c>
      <c r="C270" s="1">
        <f>+'Mono ASIG'!C270</f>
        <v>2026</v>
      </c>
      <c r="D270" s="1">
        <f t="shared" ref="D270:D271" si="127">MONTH(G270)</f>
        <v>6</v>
      </c>
      <c r="E270" s="1">
        <f>+'Fisico SPOT MAT'!E270</f>
        <v>16</v>
      </c>
      <c r="F270" s="1" t="str">
        <f>+'Mono ASIG'!F270</f>
        <v>lun</v>
      </c>
      <c r="G270" s="56">
        <f>+'Mono ASIG'!G270</f>
        <v>46181</v>
      </c>
      <c r="H270" s="17">
        <f t="shared" ref="H270:H271" si="128">+AD270+AG270+AH270+AI270</f>
        <v>164.56793067057475</v>
      </c>
      <c r="I270" s="17">
        <f t="shared" ref="I270:I271" si="129">+AE270+AG270+AH270+AI270</f>
        <v>57.45019588273037</v>
      </c>
      <c r="J270" s="17">
        <v>31.653547357703872</v>
      </c>
      <c r="K270" s="17">
        <v>31.653547357703872</v>
      </c>
      <c r="L270" s="17">
        <v>33.323153057315267</v>
      </c>
      <c r="M270" s="44">
        <f>SUMPRODUCT(H270:L270,'Fisico SPOT MAT'!H270:L270)*24</f>
        <v>26679144.502548706</v>
      </c>
      <c r="N270" s="19">
        <f>+'Fisico SPOT MAT'!AG270</f>
        <v>16.880799176229335</v>
      </c>
      <c r="O270" s="19">
        <f t="shared" ref="O270:O271" si="130">AF270/AJ270</f>
        <v>13.359788359788359</v>
      </c>
      <c r="P270" s="19">
        <v>6</v>
      </c>
      <c r="Q270" s="19">
        <v>6</v>
      </c>
      <c r="R270" s="19">
        <v>0</v>
      </c>
      <c r="S270" s="44">
        <f>SUMPRODUCT(N270:R270,'Fisico SPOT MAT'!N270:R270)*E270</f>
        <v>3911311.6309841271</v>
      </c>
      <c r="T270" s="17">
        <v>75</v>
      </c>
      <c r="U270" s="17">
        <v>18</v>
      </c>
      <c r="V270" s="17">
        <v>60</v>
      </c>
      <c r="W270" s="28">
        <f>SUMPRODUCT(T270:V270,'Fisico SPOT MAT'!T270:V270)*24</f>
        <v>2073953.2800000017</v>
      </c>
      <c r="X270" s="19">
        <v>0</v>
      </c>
      <c r="Y270" s="19">
        <v>5</v>
      </c>
      <c r="Z270" s="19">
        <v>0</v>
      </c>
      <c r="AA270" s="28">
        <f>SUMPRODUCT(X270:Z270,'Fisico SPOT MAT'!X270:Z270)*E270</f>
        <v>36240</v>
      </c>
      <c r="AC270" s="115"/>
      <c r="AD270" s="41">
        <v>153.80836596775154</v>
      </c>
      <c r="AE270" s="42">
        <v>46.690631179907136</v>
      </c>
      <c r="AF270">
        <v>5050</v>
      </c>
      <c r="AG270" s="74">
        <f t="shared" ref="AG270:AG271" si="131">0.075*0.9*(AD270-7)</f>
        <v>9.9095647028232303</v>
      </c>
      <c r="AH270">
        <v>0</v>
      </c>
      <c r="AI270" s="41">
        <v>0.85</v>
      </c>
      <c r="AJ270">
        <v>378</v>
      </c>
    </row>
    <row r="271" spans="1:36" x14ac:dyDescent="0.25">
      <c r="A271" s="3">
        <f>+'Mono ASIG'!A271</f>
        <v>1477.29</v>
      </c>
      <c r="B271" s="3">
        <f>+'Mono ASIG'!B271</f>
        <v>1407.8889999999999</v>
      </c>
      <c r="C271" s="1">
        <f>+'Mono ASIG'!C271</f>
        <v>2026</v>
      </c>
      <c r="D271" s="1">
        <f t="shared" si="127"/>
        <v>6</v>
      </c>
      <c r="E271" s="1">
        <f>+'Fisico SPOT MAT'!E271</f>
        <v>16</v>
      </c>
      <c r="F271" s="1" t="str">
        <f>+'Mono ASIG'!F271</f>
        <v>mar</v>
      </c>
      <c r="G271" s="56">
        <f>+'Mono ASIG'!G271</f>
        <v>46182</v>
      </c>
      <c r="H271" s="17">
        <f t="shared" si="128"/>
        <v>166.80853542471831</v>
      </c>
      <c r="I271" s="17">
        <f t="shared" si="129"/>
        <v>58.144917871272384</v>
      </c>
      <c r="J271" s="17">
        <v>31.875761258951492</v>
      </c>
      <c r="K271" s="17">
        <v>31.875761258951492</v>
      </c>
      <c r="L271" s="17">
        <v>33.602560423105395</v>
      </c>
      <c r="M271" s="44">
        <f>SUMPRODUCT(H271:L271,'Fisico SPOT MAT'!H271:L271)*24</f>
        <v>27449016.910592221</v>
      </c>
      <c r="N271" s="19">
        <f>+'Fisico SPOT MAT'!AG271</f>
        <v>16.890638736510965</v>
      </c>
      <c r="O271" s="19">
        <f t="shared" si="130"/>
        <v>13.359788359788359</v>
      </c>
      <c r="P271" s="19">
        <v>6</v>
      </c>
      <c r="Q271" s="19">
        <v>6</v>
      </c>
      <c r="R271" s="19">
        <v>0</v>
      </c>
      <c r="S271" s="44">
        <f>SUMPRODUCT(N271:R271,'Fisico SPOT MAT'!N271:R271)*E271</f>
        <v>3942886.0467760139</v>
      </c>
      <c r="T271" s="17">
        <v>75</v>
      </c>
      <c r="U271" s="17">
        <v>18</v>
      </c>
      <c r="V271" s="17">
        <v>60</v>
      </c>
      <c r="W271" s="28">
        <f>SUMPRODUCT(T271:V271,'Fisico SPOT MAT'!T271:V271)*24</f>
        <v>2575266.0599999996</v>
      </c>
      <c r="X271" s="19">
        <v>0</v>
      </c>
      <c r="Y271" s="19">
        <v>5</v>
      </c>
      <c r="Z271" s="19">
        <v>0</v>
      </c>
      <c r="AA271" s="28">
        <f>SUMPRODUCT(X271:Z271,'Fisico SPOT MAT'!X271:Z271)*E271</f>
        <v>36240</v>
      </c>
      <c r="AC271" s="115"/>
      <c r="AD271" s="41">
        <v>155.90729313790942</v>
      </c>
      <c r="AE271" s="42">
        <v>47.243675584463496</v>
      </c>
      <c r="AF271">
        <v>5050</v>
      </c>
      <c r="AG271" s="74">
        <f t="shared" si="131"/>
        <v>10.051242286808886</v>
      </c>
      <c r="AH271">
        <v>0</v>
      </c>
      <c r="AI271" s="41">
        <v>0.85</v>
      </c>
      <c r="AJ271">
        <v>378</v>
      </c>
    </row>
    <row r="272" spans="1:36" x14ac:dyDescent="0.25">
      <c r="A272" s="3">
        <f>+'Mono ASIG'!A272</f>
        <v>1477.29</v>
      </c>
      <c r="B272" s="3">
        <f>+'Mono ASIG'!B272</f>
        <v>1407.8889999999999</v>
      </c>
      <c r="C272" s="1">
        <f>+'Mono ASIG'!C272</f>
        <v>2026</v>
      </c>
      <c r="D272" s="1">
        <f t="shared" ref="D272:D277" si="132">MONTH(G272)</f>
        <v>6</v>
      </c>
      <c r="E272" s="1">
        <f>+'Fisico SPOT MAT'!E272</f>
        <v>16</v>
      </c>
      <c r="F272" s="1" t="str">
        <f>+'Mono ASIG'!F272</f>
        <v>mié</v>
      </c>
      <c r="G272" s="56">
        <f>+'Mono ASIG'!G272</f>
        <v>46183</v>
      </c>
      <c r="H272" s="17">
        <f t="shared" ref="H272:H277" si="133">+AD272+AG272+AH272+AI272</f>
        <v>171.22997616770527</v>
      </c>
      <c r="I272" s="17">
        <f t="shared" ref="I272:I277" si="134">+AE272+AG272+AH272+AI272</f>
        <v>77.496221774921025</v>
      </c>
      <c r="J272" s="17">
        <v>32.841729071620477</v>
      </c>
      <c r="K272" s="17">
        <v>32.841729071620477</v>
      </c>
      <c r="L272" s="17">
        <v>33.949920866269039</v>
      </c>
      <c r="M272" s="44">
        <f>SUMPRODUCT(H272:L272,'Fisico SPOT MAT'!H272:L272)*24</f>
        <v>26042998.198649313</v>
      </c>
      <c r="N272" s="19">
        <f>+'Fisico SPOT MAT'!AG272</f>
        <v>16.892294367887061</v>
      </c>
      <c r="O272" s="19">
        <f t="shared" ref="O272:O277" si="135">AF272/AJ272</f>
        <v>13.359788359788359</v>
      </c>
      <c r="P272" s="19">
        <v>6</v>
      </c>
      <c r="Q272" s="19">
        <v>6</v>
      </c>
      <c r="R272" s="19">
        <v>0</v>
      </c>
      <c r="S272" s="44">
        <f>SUMPRODUCT(N272:R272,'Fisico SPOT MAT'!N272:R272)*E272</f>
        <v>3947722.3254179899</v>
      </c>
      <c r="T272" s="17">
        <v>75</v>
      </c>
      <c r="U272" s="17">
        <v>18</v>
      </c>
      <c r="V272" s="17">
        <v>60</v>
      </c>
      <c r="W272" s="28">
        <f>SUMPRODUCT(T272:V272,'Fisico SPOT MAT'!T272:V272)*24</f>
        <v>3185191.8600000031</v>
      </c>
      <c r="X272" s="19">
        <v>0</v>
      </c>
      <c r="Y272" s="19">
        <v>5</v>
      </c>
      <c r="Z272" s="19">
        <v>0</v>
      </c>
      <c r="AA272" s="28">
        <f>SUMPRODUCT(X272:Z272,'Fisico SPOT MAT'!X272:Z272)*E272</f>
        <v>36240</v>
      </c>
      <c r="AC272" s="115"/>
      <c r="AD272" s="41">
        <v>160.04915800253423</v>
      </c>
      <c r="AE272" s="42">
        <v>66.315403609749964</v>
      </c>
      <c r="AF272">
        <v>5050</v>
      </c>
      <c r="AG272" s="74">
        <f t="shared" ref="AG272:AG277" si="136">0.075*0.9*(AD272-7)</f>
        <v>10.330818165171062</v>
      </c>
      <c r="AH272">
        <v>0</v>
      </c>
      <c r="AI272" s="41">
        <v>0.85</v>
      </c>
      <c r="AJ272">
        <v>378</v>
      </c>
    </row>
    <row r="273" spans="1:36" x14ac:dyDescent="0.25">
      <c r="A273" s="3">
        <f>+'Mono ASIG'!A273</f>
        <v>1477.29</v>
      </c>
      <c r="B273" s="3">
        <f>+'Mono ASIG'!B273</f>
        <v>1407.8889999999999</v>
      </c>
      <c r="C273" s="1">
        <f>+'Mono ASIG'!C273</f>
        <v>2026</v>
      </c>
      <c r="D273" s="1">
        <f t="shared" si="132"/>
        <v>6</v>
      </c>
      <c r="E273" s="1">
        <f>+'Fisico SPOT MAT'!E273</f>
        <v>16</v>
      </c>
      <c r="F273" s="1" t="str">
        <f>+'Mono ASIG'!F273</f>
        <v>jue</v>
      </c>
      <c r="G273" s="56">
        <f>+'Mono ASIG'!G273</f>
        <v>46184</v>
      </c>
      <c r="H273" s="17">
        <f t="shared" si="133"/>
        <v>177.0768958006567</v>
      </c>
      <c r="I273" s="17">
        <f t="shared" si="134"/>
        <v>11.550529711048551</v>
      </c>
      <c r="J273" s="17">
        <v>30.731580142477078</v>
      </c>
      <c r="K273" s="17">
        <v>30.731580142477078</v>
      </c>
      <c r="L273" s="17">
        <v>33.587422031924106</v>
      </c>
      <c r="M273" s="44">
        <f>SUMPRODUCT(H273:L273,'Fisico SPOT MAT'!H273:L273)*24</f>
        <v>25735663.881770913</v>
      </c>
      <c r="N273" s="19">
        <f>+'Fisico SPOT MAT'!AG273</f>
        <v>16.90128051527655</v>
      </c>
      <c r="O273" s="19">
        <f t="shared" si="135"/>
        <v>13.359788359788359</v>
      </c>
      <c r="P273" s="19">
        <v>6</v>
      </c>
      <c r="Q273" s="19">
        <v>6</v>
      </c>
      <c r="R273" s="19">
        <v>0</v>
      </c>
      <c r="S273" s="44">
        <f>SUMPRODUCT(N273:R273,'Fisico SPOT MAT'!N273:R273)*E273</f>
        <v>3978342.6454179897</v>
      </c>
      <c r="T273" s="17">
        <v>75</v>
      </c>
      <c r="U273" s="17">
        <v>18</v>
      </c>
      <c r="V273" s="17">
        <v>60</v>
      </c>
      <c r="W273" s="28">
        <f>SUMPRODUCT(T273:V273,'Fisico SPOT MAT'!T273:V273)*24</f>
        <v>3302719.9199999976</v>
      </c>
      <c r="X273" s="19">
        <v>0</v>
      </c>
      <c r="Y273" s="19">
        <v>5</v>
      </c>
      <c r="Z273" s="19">
        <v>0</v>
      </c>
      <c r="AA273" s="28">
        <f>SUMPRODUCT(X273:Z273,'Fisico SPOT MAT'!X273:Z273)*E273</f>
        <v>36240</v>
      </c>
      <c r="AC273" s="115"/>
      <c r="AD273" s="41">
        <v>165.52636608960816</v>
      </c>
      <c r="AE273" s="42">
        <v>0</v>
      </c>
      <c r="AF273">
        <v>5050</v>
      </c>
      <c r="AG273" s="74">
        <f t="shared" si="136"/>
        <v>10.700529711048551</v>
      </c>
      <c r="AH273">
        <v>0</v>
      </c>
      <c r="AI273" s="41">
        <v>0.85</v>
      </c>
      <c r="AJ273">
        <v>378</v>
      </c>
    </row>
    <row r="274" spans="1:36" x14ac:dyDescent="0.25">
      <c r="A274" s="3">
        <f>+'Mono ASIG'!A274</f>
        <v>1477.29</v>
      </c>
      <c r="B274" s="3">
        <f>+'Mono ASIG'!B274</f>
        <v>1407.8889999999999</v>
      </c>
      <c r="C274" s="1">
        <f>+'Mono ASIG'!C274</f>
        <v>2026</v>
      </c>
      <c r="D274" s="1">
        <f t="shared" si="132"/>
        <v>6</v>
      </c>
      <c r="E274" s="1">
        <f>+'Fisico SPOT MAT'!E274</f>
        <v>16</v>
      </c>
      <c r="F274" s="1" t="str">
        <f>+'Mono ASIG'!F274</f>
        <v>vie</v>
      </c>
      <c r="G274" s="56">
        <f>+'Mono ASIG'!G274</f>
        <v>46185</v>
      </c>
      <c r="H274" s="17">
        <f t="shared" si="133"/>
        <v>167.22718705847601</v>
      </c>
      <c r="I274" s="17">
        <f t="shared" si="134"/>
        <v>10.927714404165931</v>
      </c>
      <c r="J274" s="17">
        <v>29.122702378463298</v>
      </c>
      <c r="K274" s="17">
        <v>29.122702378463298</v>
      </c>
      <c r="L274" s="17">
        <v>32.939454567390506</v>
      </c>
      <c r="M274" s="44">
        <f>SUMPRODUCT(H274:L274,'Fisico SPOT MAT'!H274:L274)*24</f>
        <v>23537156.842363156</v>
      </c>
      <c r="N274" s="19">
        <f>+'Fisico SPOT MAT'!AG274</f>
        <v>16.901151090971439</v>
      </c>
      <c r="O274" s="19">
        <f t="shared" si="135"/>
        <v>13.359788359788359</v>
      </c>
      <c r="P274" s="19">
        <v>6</v>
      </c>
      <c r="Q274" s="19">
        <v>6</v>
      </c>
      <c r="R274" s="19">
        <v>0</v>
      </c>
      <c r="S274" s="44">
        <f>SUMPRODUCT(N274:R274,'Fisico SPOT MAT'!N274:R274)*E274</f>
        <v>3977593.1094179875</v>
      </c>
      <c r="T274" s="17">
        <v>75</v>
      </c>
      <c r="U274" s="17">
        <v>18</v>
      </c>
      <c r="V274" s="17">
        <v>60</v>
      </c>
      <c r="W274" s="28">
        <f>SUMPRODUCT(T274:V274,'Fisico SPOT MAT'!T274:V274)*24</f>
        <v>4213791.9600000083</v>
      </c>
      <c r="X274" s="19">
        <v>0</v>
      </c>
      <c r="Y274" s="19">
        <v>5</v>
      </c>
      <c r="Z274" s="19">
        <v>0</v>
      </c>
      <c r="AA274" s="28">
        <f>SUMPRODUCT(X274:Z274,'Fisico SPOT MAT'!X274:Z274)*E274</f>
        <v>36240</v>
      </c>
      <c r="AC274" s="115"/>
      <c r="AD274" s="41">
        <v>156.29947265431008</v>
      </c>
      <c r="AE274" s="42">
        <v>0</v>
      </c>
      <c r="AF274">
        <v>5050</v>
      </c>
      <c r="AG274" s="74">
        <f t="shared" si="136"/>
        <v>10.077714404165931</v>
      </c>
      <c r="AH274">
        <v>0</v>
      </c>
      <c r="AI274" s="41">
        <v>0.85</v>
      </c>
      <c r="AJ274">
        <v>378</v>
      </c>
    </row>
    <row r="275" spans="1:36" x14ac:dyDescent="0.25">
      <c r="A275" s="3">
        <f>+'Mono ASIG'!A275</f>
        <v>1477.29</v>
      </c>
      <c r="B275" s="3">
        <f>+'Mono ASIG'!B275</f>
        <v>1407.8889999999999</v>
      </c>
      <c r="C275" s="1">
        <f>+'Mono ASIG'!C275</f>
        <v>2026</v>
      </c>
      <c r="D275" s="1">
        <f t="shared" si="132"/>
        <v>6</v>
      </c>
      <c r="E275" s="1">
        <f>+'Fisico SPOT MAT'!E275</f>
        <v>6</v>
      </c>
      <c r="F275" s="1" t="str">
        <f>+'Mono ASIG'!F275</f>
        <v>sáb</v>
      </c>
      <c r="G275" s="56">
        <f>+'Mono ASIG'!G275</f>
        <v>46186</v>
      </c>
      <c r="H275" s="17">
        <f t="shared" si="133"/>
        <v>163.2707067425936</v>
      </c>
      <c r="I275" s="17">
        <f t="shared" si="134"/>
        <v>10.677538833840815</v>
      </c>
      <c r="J275" s="17">
        <v>28.907241610095266</v>
      </c>
      <c r="K275" s="17">
        <v>28.907241610095266</v>
      </c>
      <c r="L275" s="17">
        <v>32.937865342320912</v>
      </c>
      <c r="M275" s="44">
        <f>SUMPRODUCT(H275:L275,'Fisico SPOT MAT'!H275:L275)*24</f>
        <v>22440736.881293446</v>
      </c>
      <c r="N275" s="19">
        <f>+'Fisico SPOT MAT'!AG275</f>
        <v>16.871658946144276</v>
      </c>
      <c r="O275" s="19">
        <f t="shared" si="135"/>
        <v>13.359788359788359</v>
      </c>
      <c r="P275" s="19">
        <v>6</v>
      </c>
      <c r="Q275" s="19">
        <v>6</v>
      </c>
      <c r="R275" s="19">
        <v>0</v>
      </c>
      <c r="S275" s="44">
        <f>SUMPRODUCT(N275:R275,'Fisico SPOT MAT'!N275:R275)*E275</f>
        <v>1454606.4650317461</v>
      </c>
      <c r="T275" s="17">
        <v>75</v>
      </c>
      <c r="U275" s="17">
        <v>18</v>
      </c>
      <c r="V275" s="17">
        <v>60</v>
      </c>
      <c r="W275" s="28">
        <f>SUMPRODUCT(T275:V275,'Fisico SPOT MAT'!T275:V275)*24</f>
        <v>3027572.9999999995</v>
      </c>
      <c r="X275" s="19">
        <v>0</v>
      </c>
      <c r="Y275" s="19">
        <v>5</v>
      </c>
      <c r="Z275" s="19">
        <v>0</v>
      </c>
      <c r="AA275" s="28">
        <f>SUMPRODUCT(X275:Z275,'Fisico SPOT MAT'!X275:Z275)*E275</f>
        <v>13590</v>
      </c>
      <c r="AC275" s="115"/>
      <c r="AD275" s="41">
        <v>152.5931679087528</v>
      </c>
      <c r="AE275" s="42">
        <v>0</v>
      </c>
      <c r="AF275">
        <v>5050</v>
      </c>
      <c r="AG275" s="74">
        <f t="shared" si="136"/>
        <v>9.8275388338408156</v>
      </c>
      <c r="AH275">
        <v>0</v>
      </c>
      <c r="AI275" s="41">
        <v>0.85</v>
      </c>
      <c r="AJ275">
        <v>378</v>
      </c>
    </row>
    <row r="276" spans="1:36" x14ac:dyDescent="0.25">
      <c r="A276" s="3">
        <f>+'Mono ASIG'!A276</f>
        <v>1477.29</v>
      </c>
      <c r="B276" s="3">
        <f>+'Mono ASIG'!B276</f>
        <v>1407.8889999999999</v>
      </c>
      <c r="C276" s="1">
        <f>+'Mono ASIG'!C276</f>
        <v>2026</v>
      </c>
      <c r="D276" s="1">
        <f t="shared" si="132"/>
        <v>6</v>
      </c>
      <c r="E276" s="1">
        <f>+'Fisico SPOT MAT'!E276</f>
        <v>4</v>
      </c>
      <c r="F276" s="1" t="str">
        <f>+'Mono ASIG'!F276</f>
        <v>dom</v>
      </c>
      <c r="G276" s="56">
        <f>+'Mono ASIG'!G276</f>
        <v>46187</v>
      </c>
      <c r="H276" s="17">
        <f t="shared" si="133"/>
        <v>159.37431977878924</v>
      </c>
      <c r="I276" s="17">
        <f t="shared" si="134"/>
        <v>10.43116307734733</v>
      </c>
      <c r="J276" s="17">
        <v>29.372434957000642</v>
      </c>
      <c r="K276" s="17">
        <v>29.372434957000642</v>
      </c>
      <c r="L276" s="17">
        <v>33.373147680165609</v>
      </c>
      <c r="M276" s="44">
        <f>SUMPRODUCT(H276:L276,'Fisico SPOT MAT'!H276:L276)*24</f>
        <v>21433308.451224454</v>
      </c>
      <c r="N276" s="19">
        <f>+'Fisico SPOT MAT'!AG276</f>
        <v>16.86738111758887</v>
      </c>
      <c r="O276" s="19">
        <f t="shared" si="135"/>
        <v>13.359788359788359</v>
      </c>
      <c r="P276" s="19">
        <v>6</v>
      </c>
      <c r="Q276" s="19">
        <v>6</v>
      </c>
      <c r="R276" s="19">
        <v>0</v>
      </c>
      <c r="S276" s="44">
        <f>SUMPRODUCT(N276:R276,'Fisico SPOT MAT'!N276:R276)*E276</f>
        <v>966266.97535449709</v>
      </c>
      <c r="T276" s="17">
        <v>75</v>
      </c>
      <c r="U276" s="17">
        <v>18</v>
      </c>
      <c r="V276" s="17">
        <v>60</v>
      </c>
      <c r="W276" s="28">
        <f>SUMPRODUCT(T276:V276,'Fisico SPOT MAT'!T276:V276)*24</f>
        <v>3378123.0600000028</v>
      </c>
      <c r="X276" s="19">
        <v>0</v>
      </c>
      <c r="Y276" s="19">
        <v>5</v>
      </c>
      <c r="Z276" s="19">
        <v>0</v>
      </c>
      <c r="AA276" s="28">
        <f>SUMPRODUCT(X276:Z276,'Fisico SPOT MAT'!X276:Z276)*E276</f>
        <v>9060</v>
      </c>
      <c r="AC276" s="115"/>
      <c r="AD276" s="41">
        <v>148.94315670144192</v>
      </c>
      <c r="AE276" s="42">
        <v>0</v>
      </c>
      <c r="AF276">
        <v>5050</v>
      </c>
      <c r="AG276" s="74">
        <f t="shared" si="136"/>
        <v>9.5811630773473304</v>
      </c>
      <c r="AH276">
        <v>0</v>
      </c>
      <c r="AI276" s="41">
        <v>0.85</v>
      </c>
      <c r="AJ276">
        <v>378</v>
      </c>
    </row>
    <row r="277" spans="1:36" x14ac:dyDescent="0.25">
      <c r="A277" s="3">
        <f>+'Mono ASIG'!A277</f>
        <v>1477.29</v>
      </c>
      <c r="B277" s="3">
        <f>+'Mono ASIG'!B277</f>
        <v>1445.3979999999999</v>
      </c>
      <c r="C277" s="1">
        <f>+'Mono ASIG'!C277</f>
        <v>2026</v>
      </c>
      <c r="D277" s="1">
        <f t="shared" si="132"/>
        <v>6</v>
      </c>
      <c r="E277" s="1">
        <f>+'Fisico SPOT MAT'!E277</f>
        <v>4</v>
      </c>
      <c r="F277" s="1" t="str">
        <f>+'Mono ASIG'!F277</f>
        <v>lun</v>
      </c>
      <c r="G277" s="56">
        <f>+'Mono ASIG'!G277</f>
        <v>46188</v>
      </c>
      <c r="H277" s="17">
        <f t="shared" si="133"/>
        <v>155.10988644076818</v>
      </c>
      <c r="I277" s="17">
        <f t="shared" si="134"/>
        <v>88.834674000768459</v>
      </c>
      <c r="J277" s="17">
        <v>29.053883760653992</v>
      </c>
      <c r="K277" s="17">
        <v>29.053883760653992</v>
      </c>
      <c r="L277" s="17">
        <v>32.614808667732355</v>
      </c>
      <c r="M277" s="44">
        <f>SUMPRODUCT(H277:L277,'Fisico SPOT MAT'!H277:L277)*24</f>
        <v>20758286.65353702</v>
      </c>
      <c r="N277" s="19">
        <f>+'Fisico SPOT MAT'!AG277</f>
        <v>16.865908298408222</v>
      </c>
      <c r="O277" s="19">
        <f t="shared" si="135"/>
        <v>13.359788359788359</v>
      </c>
      <c r="P277" s="19">
        <v>6</v>
      </c>
      <c r="Q277" s="19">
        <v>6</v>
      </c>
      <c r="R277" s="19">
        <v>0</v>
      </c>
      <c r="S277" s="44">
        <f>SUMPRODUCT(N277:R277,'Fisico SPOT MAT'!N277:R277)*E277</f>
        <v>959355.13358024694</v>
      </c>
      <c r="T277" s="17">
        <v>75</v>
      </c>
      <c r="U277" s="17">
        <v>18</v>
      </c>
      <c r="V277" s="17">
        <v>60</v>
      </c>
      <c r="W277" s="28">
        <f>SUMPRODUCT(T277:V277,'Fisico SPOT MAT'!T277:V277)*24</f>
        <v>3771515.4600000018</v>
      </c>
      <c r="X277" s="19">
        <v>0</v>
      </c>
      <c r="Y277" s="19">
        <v>5</v>
      </c>
      <c r="Z277" s="19">
        <v>0</v>
      </c>
      <c r="AA277" s="28">
        <f>SUMPRODUCT(X277:Z277,'Fisico SPOT MAT'!X277:Z277)*E277</f>
        <v>8600</v>
      </c>
      <c r="AC277" s="115"/>
      <c r="AD277" s="41">
        <v>144.94837137308494</v>
      </c>
      <c r="AE277" s="42">
        <v>78.673158933085233</v>
      </c>
      <c r="AF277">
        <v>5050</v>
      </c>
      <c r="AG277" s="74">
        <f t="shared" si="136"/>
        <v>9.3115150676832332</v>
      </c>
      <c r="AH277">
        <v>0</v>
      </c>
      <c r="AI277" s="41">
        <v>0.85</v>
      </c>
      <c r="AJ277">
        <v>378</v>
      </c>
    </row>
    <row r="278" spans="1:36" x14ac:dyDescent="0.25">
      <c r="A278" s="3">
        <f>+'Mono ASIG'!A278</f>
        <v>1477.29</v>
      </c>
      <c r="B278" s="3">
        <f>+'Mono ASIG'!B278</f>
        <v>1445.3979999999999</v>
      </c>
      <c r="C278" s="1">
        <f>+'Mono ASIG'!C278</f>
        <v>2026</v>
      </c>
      <c r="D278" s="1">
        <f t="shared" ref="D278:D284" si="137">MONTH(G278)</f>
        <v>6</v>
      </c>
      <c r="E278" s="1">
        <f>+'Fisico SPOT MAT'!E278</f>
        <v>16</v>
      </c>
      <c r="F278" s="1" t="str">
        <f>+'Mono ASIG'!F278</f>
        <v>mar</v>
      </c>
      <c r="G278" s="56">
        <f>+'Mono ASIG'!G278</f>
        <v>46189</v>
      </c>
      <c r="H278" s="17">
        <f t="shared" ref="H278:H284" si="138">+AD278+AG278+AH278+AI278</f>
        <v>155.80613216230842</v>
      </c>
      <c r="I278" s="17">
        <f t="shared" ref="I278:I284" si="139">+AE278+AG278+AH278+AI278</f>
        <v>248.5958243428523</v>
      </c>
      <c r="J278" s="17">
        <v>30.470151202718085</v>
      </c>
      <c r="K278" s="17">
        <v>30.470151202718085</v>
      </c>
      <c r="L278" s="17">
        <v>32.419734377527575</v>
      </c>
      <c r="M278" s="44">
        <f>SUMPRODUCT(H278:L278,'Fisico SPOT MAT'!H278:L278)*24</f>
        <v>24803157.829081673</v>
      </c>
      <c r="N278" s="19">
        <f>+'Fisico SPOT MAT'!AG278</f>
        <v>16.899642190767313</v>
      </c>
      <c r="O278" s="19">
        <f t="shared" ref="O278:O284" si="140">AF278/AJ278</f>
        <v>13.359788359788359</v>
      </c>
      <c r="P278" s="19">
        <v>6</v>
      </c>
      <c r="Q278" s="19">
        <v>6</v>
      </c>
      <c r="R278" s="19">
        <v>0</v>
      </c>
      <c r="S278" s="44">
        <f>SUMPRODUCT(N278:R278,'Fisico SPOT MAT'!N278:R278)*E278</f>
        <v>3963529.6770969997</v>
      </c>
      <c r="T278" s="17">
        <v>75</v>
      </c>
      <c r="U278" s="17">
        <v>18</v>
      </c>
      <c r="V278" s="17">
        <v>60</v>
      </c>
      <c r="W278" s="28">
        <f>SUMPRODUCT(T278:V278,'Fisico SPOT MAT'!T278:V278)*24</f>
        <v>3650860.6799999969</v>
      </c>
      <c r="X278" s="19">
        <v>0</v>
      </c>
      <c r="Y278" s="19">
        <v>5</v>
      </c>
      <c r="Z278" s="19">
        <v>0</v>
      </c>
      <c r="AA278" s="28">
        <f>SUMPRODUCT(X278:Z278,'Fisico SPOT MAT'!X278:Z278)*E278</f>
        <v>34400</v>
      </c>
      <c r="AC278" s="115"/>
      <c r="AD278" s="41">
        <v>145.60059218951608</v>
      </c>
      <c r="AE278" s="42">
        <v>238.39028437005996</v>
      </c>
      <c r="AF278">
        <v>5050</v>
      </c>
      <c r="AG278" s="74">
        <f t="shared" ref="AG278:AG284" si="141">0.075*0.9*(AD278-7)</f>
        <v>9.3555399727923358</v>
      </c>
      <c r="AH278">
        <v>0</v>
      </c>
      <c r="AI278" s="41">
        <v>0.85</v>
      </c>
      <c r="AJ278">
        <v>378</v>
      </c>
    </row>
    <row r="279" spans="1:36" x14ac:dyDescent="0.25">
      <c r="A279" s="3">
        <f>+'Mono ASIG'!A279</f>
        <v>1477.29</v>
      </c>
      <c r="B279" s="3">
        <f>+'Mono ASIG'!B279</f>
        <v>1445.3979999999999</v>
      </c>
      <c r="C279" s="1">
        <f>+'Mono ASIG'!C279</f>
        <v>2026</v>
      </c>
      <c r="D279" s="1">
        <f t="shared" si="137"/>
        <v>6</v>
      </c>
      <c r="E279" s="1">
        <f>+'Fisico SPOT MAT'!E279</f>
        <v>16</v>
      </c>
      <c r="F279" s="1" t="str">
        <f>+'Mono ASIG'!F279</f>
        <v>mié</v>
      </c>
      <c r="G279" s="56">
        <f>+'Mono ASIG'!G279</f>
        <v>46190</v>
      </c>
      <c r="H279" s="17">
        <f t="shared" si="138"/>
        <v>137.90485641536054</v>
      </c>
      <c r="I279" s="17">
        <f t="shared" si="139"/>
        <v>228.0586524114324</v>
      </c>
      <c r="J279" s="17">
        <v>29.500917334929223</v>
      </c>
      <c r="K279" s="17">
        <v>29.500917334929223</v>
      </c>
      <c r="L279" s="17">
        <v>32.338871393395273</v>
      </c>
      <c r="M279" s="44">
        <f>SUMPRODUCT(H279:L279,'Fisico SPOT MAT'!H279:L279)*24</f>
        <v>22070008.999538735</v>
      </c>
      <c r="N279" s="19">
        <f>+'Fisico SPOT MAT'!AG279</f>
        <v>16.901115218609867</v>
      </c>
      <c r="O279" s="19">
        <f t="shared" si="140"/>
        <v>13.359788359788359</v>
      </c>
      <c r="P279" s="19">
        <v>6</v>
      </c>
      <c r="Q279" s="19">
        <v>6</v>
      </c>
      <c r="R279" s="19">
        <v>0</v>
      </c>
      <c r="S279" s="44">
        <f>SUMPRODUCT(N279:R279,'Fisico SPOT MAT'!N279:R279)*E279</f>
        <v>3978702.7309664898</v>
      </c>
      <c r="T279" s="17">
        <v>75</v>
      </c>
      <c r="U279" s="17">
        <v>18</v>
      </c>
      <c r="V279" s="17">
        <v>60</v>
      </c>
      <c r="W279" s="28">
        <f>SUMPRODUCT(T279:V279,'Fisico SPOT MAT'!T279:V279)*24</f>
        <v>3357525.3599999975</v>
      </c>
      <c r="X279" s="19">
        <v>0</v>
      </c>
      <c r="Y279" s="19">
        <v>5</v>
      </c>
      <c r="Z279" s="19">
        <v>0</v>
      </c>
      <c r="AA279" s="28">
        <f>SUMPRODUCT(X279:Z279,'Fisico SPOT MAT'!X279:Z279)*E279</f>
        <v>34400</v>
      </c>
      <c r="AC279" s="115"/>
      <c r="AD279" s="41">
        <v>128.83124722750404</v>
      </c>
      <c r="AE279" s="42">
        <v>218.9850432235759</v>
      </c>
      <c r="AF279">
        <v>5050</v>
      </c>
      <c r="AG279" s="74">
        <f t="shared" si="141"/>
        <v>8.223609187856523</v>
      </c>
      <c r="AH279">
        <v>0</v>
      </c>
      <c r="AI279" s="41">
        <v>0.85</v>
      </c>
      <c r="AJ279">
        <v>378</v>
      </c>
    </row>
    <row r="280" spans="1:36" x14ac:dyDescent="0.25">
      <c r="A280" s="3">
        <f>+'Mono ASIG'!A280</f>
        <v>1477.29</v>
      </c>
      <c r="B280" s="3">
        <f>+'Mono ASIG'!B280</f>
        <v>1445.3979999999999</v>
      </c>
      <c r="C280" s="1">
        <f>+'Mono ASIG'!C280</f>
        <v>2026</v>
      </c>
      <c r="D280" s="1">
        <f t="shared" si="137"/>
        <v>6</v>
      </c>
      <c r="E280" s="1">
        <f>+'Fisico SPOT MAT'!E280</f>
        <v>16</v>
      </c>
      <c r="F280" s="1" t="str">
        <f>+'Mono ASIG'!F280</f>
        <v>jue</v>
      </c>
      <c r="G280" s="56">
        <f>+'Mono ASIG'!G280</f>
        <v>46191</v>
      </c>
      <c r="H280" s="17">
        <f t="shared" si="138"/>
        <v>152.06052511165336</v>
      </c>
      <c r="I280" s="17">
        <f t="shared" si="139"/>
        <v>227.86353892150441</v>
      </c>
      <c r="J280" s="17">
        <v>29.981573315180615</v>
      </c>
      <c r="K280" s="17">
        <v>29.981573315180615</v>
      </c>
      <c r="L280" s="17">
        <v>34.757224148041672</v>
      </c>
      <c r="M280" s="44">
        <f>SUMPRODUCT(H280:L280,'Fisico SPOT MAT'!H280:L280)*24</f>
        <v>23408167.176622629</v>
      </c>
      <c r="N280" s="19">
        <f>+'Fisico SPOT MAT'!AG280</f>
        <v>16.875618508642837</v>
      </c>
      <c r="O280" s="19">
        <f t="shared" si="140"/>
        <v>13.359788359788359</v>
      </c>
      <c r="P280" s="19">
        <v>6</v>
      </c>
      <c r="Q280" s="19">
        <v>6</v>
      </c>
      <c r="R280" s="19">
        <v>0</v>
      </c>
      <c r="S280" s="44">
        <f>SUMPRODUCT(N280:R280,'Fisico SPOT MAT'!N280:R280)*E280</f>
        <v>3894795.5769029977</v>
      </c>
      <c r="T280" s="17">
        <v>75</v>
      </c>
      <c r="U280" s="17">
        <v>18</v>
      </c>
      <c r="V280" s="17">
        <v>60</v>
      </c>
      <c r="W280" s="28">
        <f>SUMPRODUCT(T280:V280,'Fisico SPOT MAT'!T280:V280)*24</f>
        <v>3657145.1400000011</v>
      </c>
      <c r="X280" s="19">
        <v>0</v>
      </c>
      <c r="Y280" s="19">
        <v>5</v>
      </c>
      <c r="Z280" s="19">
        <v>0</v>
      </c>
      <c r="AA280" s="28">
        <f>SUMPRODUCT(X280:Z280,'Fisico SPOT MAT'!X280:Z280)*E280</f>
        <v>34400</v>
      </c>
      <c r="AC280" s="115"/>
      <c r="AD280" s="41">
        <v>142.0918268024856</v>
      </c>
      <c r="AE280" s="42">
        <v>217.89484061233665</v>
      </c>
      <c r="AF280">
        <v>5050</v>
      </c>
      <c r="AG280" s="74">
        <f t="shared" si="141"/>
        <v>9.1186983091677778</v>
      </c>
      <c r="AH280">
        <v>0</v>
      </c>
      <c r="AI280" s="41">
        <v>0.85</v>
      </c>
      <c r="AJ280">
        <v>378</v>
      </c>
    </row>
    <row r="281" spans="1:36" x14ac:dyDescent="0.25">
      <c r="A281" s="3">
        <f>+'Mono ASIG'!A281</f>
        <v>1477.29</v>
      </c>
      <c r="B281" s="3">
        <f>+'Mono ASIG'!B281</f>
        <v>1445.3979999999999</v>
      </c>
      <c r="C281" s="1">
        <f>+'Mono ASIG'!C281</f>
        <v>2026</v>
      </c>
      <c r="D281" s="1">
        <f t="shared" si="137"/>
        <v>6</v>
      </c>
      <c r="E281" s="1">
        <f>+'Fisico SPOT MAT'!E281</f>
        <v>16</v>
      </c>
      <c r="F281" s="1" t="str">
        <f>+'Mono ASIG'!F281</f>
        <v>vie</v>
      </c>
      <c r="G281" s="56">
        <f>+'Mono ASIG'!G281</f>
        <v>46192</v>
      </c>
      <c r="H281" s="17">
        <f t="shared" si="138"/>
        <v>164.29458191991517</v>
      </c>
      <c r="I281" s="17">
        <f t="shared" si="139"/>
        <v>256.60159950455403</v>
      </c>
      <c r="J281" s="17">
        <v>34.01962615630314</v>
      </c>
      <c r="K281" s="17">
        <v>34.01962615630314</v>
      </c>
      <c r="L281" s="17">
        <v>36.993531562368034</v>
      </c>
      <c r="M281" s="44">
        <f>SUMPRODUCT(H281:L281,'Fisico SPOT MAT'!H281:L281)*24</f>
        <v>24664667.195345618</v>
      </c>
      <c r="N281" s="19">
        <f>+'Fisico SPOT MAT'!AG281</f>
        <v>16.846665057092533</v>
      </c>
      <c r="O281" s="19">
        <f t="shared" si="140"/>
        <v>13.359788359788359</v>
      </c>
      <c r="P281" s="19">
        <v>6</v>
      </c>
      <c r="Q281" s="19">
        <v>6</v>
      </c>
      <c r="R281" s="19">
        <v>0</v>
      </c>
      <c r="S281" s="44">
        <f>SUMPRODUCT(N281:R281,'Fisico SPOT MAT'!N281:R281)*E281</f>
        <v>3774200.0203104056</v>
      </c>
      <c r="T281" s="17">
        <v>75</v>
      </c>
      <c r="U281" s="17">
        <v>18</v>
      </c>
      <c r="V281" s="17">
        <v>60</v>
      </c>
      <c r="W281" s="28">
        <f>SUMPRODUCT(T281:V281,'Fisico SPOT MAT'!T281:V281)*24</f>
        <v>3307622.3999999994</v>
      </c>
      <c r="X281" s="19">
        <v>0</v>
      </c>
      <c r="Y281" s="19">
        <v>5</v>
      </c>
      <c r="Z281" s="19">
        <v>0</v>
      </c>
      <c r="AA281" s="28">
        <f>SUMPRODUCT(X281:Z281,'Fisico SPOT MAT'!X281:Z281)*E281</f>
        <v>34400</v>
      </c>
      <c r="AC281" s="115"/>
      <c r="AD281" s="41">
        <v>153.55230156432336</v>
      </c>
      <c r="AE281" s="42">
        <v>245.85931914896219</v>
      </c>
      <c r="AF281">
        <v>5050</v>
      </c>
      <c r="AG281" s="74">
        <f t="shared" si="141"/>
        <v>9.8922803555918275</v>
      </c>
      <c r="AH281">
        <v>0</v>
      </c>
      <c r="AI281" s="41">
        <v>0.85</v>
      </c>
      <c r="AJ281">
        <v>378</v>
      </c>
    </row>
    <row r="282" spans="1:36" x14ac:dyDescent="0.25">
      <c r="A282" s="3">
        <f>+'Mono ASIG'!A282</f>
        <v>1477.29</v>
      </c>
      <c r="B282" s="3">
        <f>+'Mono ASIG'!B282</f>
        <v>1445.3979999999999</v>
      </c>
      <c r="C282" s="1">
        <f>+'Mono ASIG'!C282</f>
        <v>2026</v>
      </c>
      <c r="D282" s="1">
        <f t="shared" si="137"/>
        <v>6</v>
      </c>
      <c r="E282" s="1">
        <f>+'Fisico SPOT MAT'!E282</f>
        <v>4</v>
      </c>
      <c r="F282" s="1" t="str">
        <f>+'Mono ASIG'!F282</f>
        <v>sáb</v>
      </c>
      <c r="G282" s="56">
        <f>+'Mono ASIG'!G282</f>
        <v>46193</v>
      </c>
      <c r="H282" s="17">
        <f t="shared" si="138"/>
        <v>145.63000045228495</v>
      </c>
      <c r="I282" s="17">
        <f t="shared" si="139"/>
        <v>239.27974841902926</v>
      </c>
      <c r="J282" s="17">
        <v>26.79463628262609</v>
      </c>
      <c r="K282" s="17">
        <v>26.79463628262609</v>
      </c>
      <c r="L282" s="17">
        <v>32.140842436936076</v>
      </c>
      <c r="M282" s="44">
        <f>SUMPRODUCT(H282:L282,'Fisico SPOT MAT'!H282:L282)*24</f>
        <v>21528069.822882585</v>
      </c>
      <c r="N282" s="19">
        <f>+'Fisico SPOT MAT'!AG282</f>
        <v>16.844124580894825</v>
      </c>
      <c r="O282" s="19">
        <f t="shared" si="140"/>
        <v>13.359788359788359</v>
      </c>
      <c r="P282" s="19">
        <v>6</v>
      </c>
      <c r="Q282" s="19">
        <v>6</v>
      </c>
      <c r="R282" s="19">
        <v>0</v>
      </c>
      <c r="S282" s="44">
        <f>SUMPRODUCT(N282:R282,'Fisico SPOT MAT'!N282:R282)*E282</f>
        <v>948176.40791269823</v>
      </c>
      <c r="T282" s="17">
        <v>75</v>
      </c>
      <c r="U282" s="17">
        <v>18</v>
      </c>
      <c r="V282" s="17">
        <v>60</v>
      </c>
      <c r="W282" s="28">
        <f>SUMPRODUCT(T282:V282,'Fisico SPOT MAT'!T282:V282)*24</f>
        <v>3933948.1200000066</v>
      </c>
      <c r="X282" s="19">
        <v>0</v>
      </c>
      <c r="Y282" s="19">
        <v>5</v>
      </c>
      <c r="Z282" s="19">
        <v>0</v>
      </c>
      <c r="AA282" s="28">
        <f>SUMPRODUCT(X282:Z282,'Fisico SPOT MAT'!X282:Z282)*E282</f>
        <v>8600</v>
      </c>
      <c r="AC282" s="115"/>
      <c r="AD282" s="41">
        <v>136.06791611455265</v>
      </c>
      <c r="AE282" s="42">
        <v>229.71766408129696</v>
      </c>
      <c r="AF282">
        <v>5050</v>
      </c>
      <c r="AG282" s="74">
        <f t="shared" si="141"/>
        <v>8.7120843377323034</v>
      </c>
      <c r="AH282">
        <v>0</v>
      </c>
      <c r="AI282" s="41">
        <v>0.85</v>
      </c>
      <c r="AJ282">
        <v>378</v>
      </c>
    </row>
    <row r="283" spans="1:36" x14ac:dyDescent="0.25">
      <c r="A283" s="3">
        <f>+'Mono ASIG'!A283</f>
        <v>1477.29</v>
      </c>
      <c r="B283" s="3">
        <f>+'Mono ASIG'!B283</f>
        <v>1445.3979999999999</v>
      </c>
      <c r="C283" s="1">
        <f>+'Mono ASIG'!C283</f>
        <v>2026</v>
      </c>
      <c r="D283" s="1">
        <f t="shared" si="137"/>
        <v>6</v>
      </c>
      <c r="E283" s="1">
        <f>+'Fisico SPOT MAT'!E283</f>
        <v>4</v>
      </c>
      <c r="F283" s="1" t="str">
        <f>+'Mono ASIG'!F283</f>
        <v>dom</v>
      </c>
      <c r="G283" s="56">
        <f>+'Mono ASIG'!G283</f>
        <v>46194</v>
      </c>
      <c r="H283" s="17">
        <f t="shared" si="138"/>
        <v>148.32337454605255</v>
      </c>
      <c r="I283" s="17">
        <f t="shared" si="139"/>
        <v>238.11760478181461</v>
      </c>
      <c r="J283" s="17">
        <v>25.339881617833974</v>
      </c>
      <c r="K283" s="17">
        <v>25.339881617833974</v>
      </c>
      <c r="L283" s="17">
        <v>32.475088307390436</v>
      </c>
      <c r="M283" s="44">
        <f>SUMPRODUCT(H283:L283,'Fisico SPOT MAT'!H283:L283)*24</f>
        <v>20815778.256357789</v>
      </c>
      <c r="N283" s="19">
        <f>+'Fisico SPOT MAT'!AG283</f>
        <v>16.834203765287057</v>
      </c>
      <c r="O283" s="19">
        <f t="shared" si="140"/>
        <v>13.359788359788359</v>
      </c>
      <c r="P283" s="19">
        <v>6</v>
      </c>
      <c r="Q283" s="19">
        <v>6</v>
      </c>
      <c r="R283" s="19">
        <v>0</v>
      </c>
      <c r="S283" s="44">
        <f>SUMPRODUCT(N283:R283,'Fisico SPOT MAT'!N283:R283)*E283</f>
        <v>940755.46495238028</v>
      </c>
      <c r="T283" s="17">
        <v>75</v>
      </c>
      <c r="U283" s="17">
        <v>18</v>
      </c>
      <c r="V283" s="17">
        <v>60</v>
      </c>
      <c r="W283" s="28">
        <f>SUMPRODUCT(T283:V283,'Fisico SPOT MAT'!T283:V283)*24</f>
        <v>3460675.200000002</v>
      </c>
      <c r="X283" s="19">
        <v>0</v>
      </c>
      <c r="Y283" s="19">
        <v>5</v>
      </c>
      <c r="Z283" s="19">
        <v>0</v>
      </c>
      <c r="AA283" s="28">
        <f>SUMPRODUCT(X283:Z283,'Fisico SPOT MAT'!X283:Z283)*E283</f>
        <v>8600</v>
      </c>
      <c r="AC283" s="115"/>
      <c r="AD283" s="41">
        <v>138.59098318131387</v>
      </c>
      <c r="AE283" s="42">
        <v>228.38521341707593</v>
      </c>
      <c r="AF283">
        <v>5050</v>
      </c>
      <c r="AG283" s="74">
        <f t="shared" si="141"/>
        <v>8.8823913647386874</v>
      </c>
      <c r="AH283">
        <v>0</v>
      </c>
      <c r="AI283" s="41">
        <v>0.85</v>
      </c>
      <c r="AJ283">
        <v>378</v>
      </c>
    </row>
    <row r="284" spans="1:36" x14ac:dyDescent="0.25">
      <c r="A284" s="3">
        <f>+'Mono ASIG'!A284</f>
        <v>1477.29</v>
      </c>
      <c r="B284" s="3">
        <f>+'Mono ASIG'!B284</f>
        <v>1445.3979999999999</v>
      </c>
      <c r="C284" s="1">
        <f>+'Mono ASIG'!C284</f>
        <v>2026</v>
      </c>
      <c r="D284" s="1">
        <f t="shared" si="137"/>
        <v>6</v>
      </c>
      <c r="E284" s="1">
        <f>+'Fisico SPOT MAT'!E284</f>
        <v>16</v>
      </c>
      <c r="F284" s="1" t="str">
        <f>+'Mono ASIG'!F284</f>
        <v>lun</v>
      </c>
      <c r="G284" s="56">
        <f>+'Mono ASIG'!G284</f>
        <v>46195</v>
      </c>
      <c r="H284" s="17">
        <f t="shared" si="138"/>
        <v>153.61885511234138</v>
      </c>
      <c r="I284" s="17">
        <f t="shared" si="139"/>
        <v>233.44194247208949</v>
      </c>
      <c r="J284" s="17">
        <v>30.582678856772187</v>
      </c>
      <c r="K284" s="17">
        <v>30.582678856772187</v>
      </c>
      <c r="L284" s="17">
        <v>34.8854029828546</v>
      </c>
      <c r="M284" s="44">
        <f>SUMPRODUCT(H284:L284,'Fisico SPOT MAT'!H284:L284)*24</f>
        <v>26539904.260353267</v>
      </c>
      <c r="N284" s="19">
        <f>+'Fisico SPOT MAT'!AG284</f>
        <v>16.84995873494875</v>
      </c>
      <c r="O284" s="19">
        <f t="shared" si="140"/>
        <v>13.359788359788359</v>
      </c>
      <c r="P284" s="19">
        <v>6</v>
      </c>
      <c r="Q284" s="19">
        <v>6</v>
      </c>
      <c r="R284" s="19">
        <v>0</v>
      </c>
      <c r="S284" s="44">
        <f>SUMPRODUCT(N284:R284,'Fisico SPOT MAT'!N284:R284)*E284</f>
        <v>3811736.9286807738</v>
      </c>
      <c r="T284" s="17">
        <v>75</v>
      </c>
      <c r="U284" s="17">
        <v>18</v>
      </c>
      <c r="V284" s="17">
        <v>60</v>
      </c>
      <c r="W284" s="28">
        <f>SUMPRODUCT(T284:V284,'Fisico SPOT MAT'!T284:V284)*24</f>
        <v>3475473.7799999975</v>
      </c>
      <c r="X284" s="19">
        <v>0</v>
      </c>
      <c r="Y284" s="19">
        <v>5</v>
      </c>
      <c r="Z284" s="19">
        <v>0</v>
      </c>
      <c r="AA284" s="28">
        <f>SUMPRODUCT(X284:Z284,'Fisico SPOT MAT'!X284:Z284)*E284</f>
        <v>34400</v>
      </c>
      <c r="AC284" s="115"/>
      <c r="AD284" s="41">
        <v>143.55162071413713</v>
      </c>
      <c r="AE284" s="42">
        <v>223.37470807388524</v>
      </c>
      <c r="AF284">
        <v>5050</v>
      </c>
      <c r="AG284" s="74">
        <f t="shared" si="141"/>
        <v>9.2172343982042566</v>
      </c>
      <c r="AH284">
        <v>0</v>
      </c>
      <c r="AI284" s="41">
        <v>0.85</v>
      </c>
      <c r="AJ284">
        <v>378</v>
      </c>
    </row>
    <row r="285" spans="1:36" x14ac:dyDescent="0.25">
      <c r="A285" s="3"/>
      <c r="B285" s="3"/>
      <c r="C285" s="1"/>
      <c r="D285" s="1"/>
      <c r="E285" s="1"/>
      <c r="G285" s="56"/>
      <c r="H285" s="17"/>
      <c r="I285" s="17"/>
      <c r="J285" s="135"/>
      <c r="K285" s="17"/>
      <c r="L285" s="135"/>
      <c r="N285" s="19"/>
      <c r="O285" s="19"/>
      <c r="P285" s="19"/>
      <c r="Q285" s="19"/>
      <c r="R285" s="19"/>
      <c r="AC285" s="115"/>
      <c r="AD285" s="41"/>
      <c r="AE285" s="42"/>
      <c r="AG285" s="74"/>
      <c r="AI285" s="41"/>
    </row>
    <row r="290" spans="1:1" x14ac:dyDescent="0.25">
      <c r="A290" s="75" t="s">
        <v>5</v>
      </c>
    </row>
  </sheetData>
  <autoFilter ref="A19:AF284" xr:uid="{1C87ACD4-9C6E-4352-8700-10693FF92FCB}"/>
  <phoneticPr fontId="2" type="noConversion"/>
  <pageMargins left="0.7" right="0.7" top="0.75" bottom="0.75" header="0.3" footer="0.3"/>
  <ignoredErrors>
    <ignoredError sqref="H8:AA13 H263:I269 M263:S269 H16:AA19 H14:Q14 U14:AA14 H15:S15 U15:AA15 S14 H233:S262 H20:S231 U20:AA231 H232:S232 U232:AA232 U263:AA269 U233:AA262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f51209-9f10-4f36-8de1-59c1c6f75fc5" xsi:nil="true"/>
    <lcf76f155ced4ddcb4097134ff3c332f xmlns="79735e5c-8018-456a-845d-1b5efa834d1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B9FA002523FD4E8F50B6ADAA10F021" ma:contentTypeVersion="12" ma:contentTypeDescription="Crear nuevo documento." ma:contentTypeScope="" ma:versionID="3caba0b227e97a57734973329c0ab55d">
  <xsd:schema xmlns:xsd="http://www.w3.org/2001/XMLSchema" xmlns:xs="http://www.w3.org/2001/XMLSchema" xmlns:p="http://schemas.microsoft.com/office/2006/metadata/properties" xmlns:ns2="79735e5c-8018-456a-845d-1b5efa834d1c" xmlns:ns3="36f51209-9f10-4f36-8de1-59c1c6f75fc5" targetNamespace="http://schemas.microsoft.com/office/2006/metadata/properties" ma:root="true" ma:fieldsID="998942b465790eaa9427ded6c07532cf" ns2:_="" ns3:_="">
    <xsd:import namespace="79735e5c-8018-456a-845d-1b5efa834d1c"/>
    <xsd:import namespace="36f51209-9f10-4f36-8de1-59c1c6f75f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35e5c-8018-456a-845d-1b5efa834d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3d4b3072-c78a-4ddf-b4ed-0da3e1b51e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f51209-9f10-4f36-8de1-59c1c6f75fc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5fa5358-9754-4775-b2d1-e2a3f825675b}" ma:internalName="TaxCatchAll" ma:showField="CatchAllData" ma:web="36f51209-9f10-4f36-8de1-59c1c6f75f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188AE42E-6842-4035-993E-4464DCC7B5C2}">
  <ds:schemaRefs>
    <ds:schemaRef ds:uri="http://schemas.microsoft.com/office/2006/metadata/properties"/>
    <ds:schemaRef ds:uri="http://www.w3.org/2000/xmlns/"/>
    <ds:schemaRef ds:uri="36f51209-9f10-4f36-8de1-59c1c6f75fc5"/>
    <ds:schemaRef ds:uri="http://www.w3.org/2001/XMLSchema-instance"/>
    <ds:schemaRef ds:uri="79735e5c-8018-456a-845d-1b5efa834d1c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89BAEE4-C4CF-4C71-B5F1-9599C9A9B00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79735e5c-8018-456a-845d-1b5efa834d1c"/>
    <ds:schemaRef ds:uri="36f51209-9f10-4f36-8de1-59c1c6f75fc5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9FCE16-A61A-4CDC-8EDB-061D35DD886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995C7B3-6CE9-415E-9348-3B28A72FA7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Gráficos</vt:lpstr>
      </vt:variant>
      <vt:variant>
        <vt:i4>1</vt:i4>
      </vt:variant>
    </vt:vector>
  </HeadingPairs>
  <TitlesOfParts>
    <vt:vector size="7" baseType="lpstr">
      <vt:lpstr>PRECIOS ACUM</vt:lpstr>
      <vt:lpstr>Precios</vt:lpstr>
      <vt:lpstr>Fisico ASIG</vt:lpstr>
      <vt:lpstr>Mono ASIG</vt:lpstr>
      <vt:lpstr>Fisico SPOT MAT</vt:lpstr>
      <vt:lpstr>Mono SPOT MAT</vt:lpstr>
      <vt:lpstr>Gráfico1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Luchilo</dc:creator>
  <cp:keywords/>
  <dc:description/>
  <cp:lastModifiedBy>Agustina Lesce</cp:lastModifiedBy>
  <cp:revision/>
  <dcterms:created xsi:type="dcterms:W3CDTF">2025-11-04T12:01:28Z</dcterms:created>
  <dcterms:modified xsi:type="dcterms:W3CDTF">2026-06-26T18:38:24Z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0x010100C4B9FA002523FD4E8F50B6ADAA10F021</vt:lpwstr>
  </property>
  <property fmtid="{D5CDD505-2E9C-101B-9397-08002B2CF9AE}" pid="3" name="MediaServiceImageTags">
    <vt:lpwstr/>
  </property>
</Properties>
</file>